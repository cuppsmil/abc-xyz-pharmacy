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tur\Desktop\"/>
    </mc:Choice>
  </mc:AlternateContent>
  <xr:revisionPtr revIDLastSave="0" documentId="8_{07C09396-9C0C-4D8A-95CE-D0CD7F9334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C-XYZ" sheetId="10" r:id="rId1"/>
    <sheet name="Мой abc" sheetId="9" r:id="rId2"/>
    <sheet name="Сводник кол-во по каждой кат." sheetId="13" r:id="rId3"/>
    <sheet name="Сводник по каждому тов." sheetId="12" r:id="rId4"/>
    <sheet name="data" sheetId="1" r:id="rId5"/>
    <sheet name="Покупки по дням" sheetId="15" r:id="rId6"/>
    <sheet name="сводник по ABC" sheetId="2" r:id="rId7"/>
    <sheet name="ABC" sheetId="3" r:id="rId8"/>
    <sheet name="Сводник по кол-ву ABC-XYZ" sheetId="8" r:id="rId9"/>
    <sheet name="группы" sheetId="7" r:id="rId10"/>
    <sheet name="распределение_групп_абс" sheetId="5" r:id="rId11"/>
    <sheet name="xyz" sheetId="6" r:id="rId12"/>
    <sheet name="Лист3" sheetId="4" state="hidden" r:id="rId13"/>
  </sheets>
  <definedNames>
    <definedName name="_xlcn.WorksheetConnection_dataA1E13764" hidden="1">data!$A$1:$E$13764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</pivotCaches>
  <extLst>
    <ext xmlns:x15="http://schemas.microsoft.com/office/spreadsheetml/2010/11/main" uri="{FCE2AD5D-F65C-4FA6-A056-5C36A1767C68}">
      <x15:dataModel>
        <x15:modelTables>
          <x15:modelTable id="Диапазон" name="Диапазон" connection="WorksheetConnection_data!$A$1:$E$1376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0" l="1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2" i="10"/>
  <c r="AQ4" i="15"/>
  <c r="AQ5" i="15"/>
  <c r="AQ6" i="15"/>
  <c r="AQ7" i="15"/>
  <c r="AQ8" i="15"/>
  <c r="AQ9" i="15"/>
  <c r="AQ10" i="15"/>
  <c r="AQ11" i="15"/>
  <c r="AQ12" i="15"/>
  <c r="AQ13" i="15"/>
  <c r="AQ14" i="15"/>
  <c r="AQ15" i="15"/>
  <c r="AQ16" i="15"/>
  <c r="AQ17" i="15"/>
  <c r="AQ18" i="15"/>
  <c r="AQ19" i="15"/>
  <c r="AQ20" i="15"/>
  <c r="AQ21" i="15"/>
  <c r="AQ22" i="15"/>
  <c r="AQ23" i="15"/>
  <c r="AQ24" i="15"/>
  <c r="AQ25" i="15"/>
  <c r="AQ26" i="15"/>
  <c r="AQ27" i="15"/>
  <c r="AQ28" i="15"/>
  <c r="AQ29" i="15"/>
  <c r="AQ30" i="15"/>
  <c r="AQ31" i="15"/>
  <c r="AQ32" i="15"/>
  <c r="AQ33" i="15"/>
  <c r="AQ34" i="15"/>
  <c r="AQ35" i="15"/>
  <c r="AQ36" i="15"/>
  <c r="AQ37" i="15"/>
  <c r="AQ38" i="15"/>
  <c r="AQ39" i="15"/>
  <c r="AQ40" i="15"/>
  <c r="AQ41" i="15"/>
  <c r="AQ42" i="15"/>
  <c r="AQ43" i="15"/>
  <c r="AQ44" i="15"/>
  <c r="AQ45" i="15"/>
  <c r="AQ46" i="15"/>
  <c r="AQ47" i="15"/>
  <c r="AQ48" i="15"/>
  <c r="AQ49" i="15"/>
  <c r="AQ50" i="15"/>
  <c r="AQ51" i="15"/>
  <c r="AQ52" i="15"/>
  <c r="AQ53" i="15"/>
  <c r="AQ54" i="15"/>
  <c r="AQ55" i="15"/>
  <c r="AQ56" i="15"/>
  <c r="AQ57" i="15"/>
  <c r="AQ58" i="15"/>
  <c r="AQ59" i="15"/>
  <c r="AQ60" i="15"/>
  <c r="AQ61" i="15"/>
  <c r="AQ62" i="15"/>
  <c r="AQ63" i="15"/>
  <c r="AQ64" i="15"/>
  <c r="AQ65" i="15"/>
  <c r="AQ66" i="15"/>
  <c r="AQ67" i="15"/>
  <c r="AQ68" i="15"/>
  <c r="AQ69" i="15"/>
  <c r="AQ70" i="15"/>
  <c r="AQ71" i="15"/>
  <c r="AQ72" i="15"/>
  <c r="AQ73" i="15"/>
  <c r="AQ74" i="15"/>
  <c r="AQ75" i="15"/>
  <c r="AQ76" i="15"/>
  <c r="AQ77" i="15"/>
  <c r="AQ78" i="15"/>
  <c r="AQ79" i="15"/>
  <c r="AQ80" i="15"/>
  <c r="AQ81" i="15"/>
  <c r="AQ82" i="15"/>
  <c r="AQ83" i="15"/>
  <c r="AQ84" i="15"/>
  <c r="AQ85" i="15"/>
  <c r="AQ86" i="15"/>
  <c r="AQ87" i="15"/>
  <c r="AQ88" i="15"/>
  <c r="AQ89" i="15"/>
  <c r="AQ90" i="15"/>
  <c r="AQ91" i="15"/>
  <c r="AQ92" i="15"/>
  <c r="AQ93" i="15"/>
  <c r="AQ94" i="15"/>
  <c r="AQ95" i="15"/>
  <c r="AQ96" i="15"/>
  <c r="AQ97" i="15"/>
  <c r="AQ98" i="15"/>
  <c r="AQ99" i="15"/>
  <c r="AQ100" i="15"/>
  <c r="AQ101" i="15"/>
  <c r="AQ102" i="15"/>
  <c r="AQ103" i="15"/>
  <c r="AQ104" i="15"/>
  <c r="AQ105" i="15"/>
  <c r="AQ106" i="15"/>
  <c r="AQ107" i="15"/>
  <c r="AQ108" i="15"/>
  <c r="AQ109" i="15"/>
  <c r="AQ110" i="15"/>
  <c r="AQ111" i="15"/>
  <c r="AQ112" i="15"/>
  <c r="AQ113" i="15"/>
  <c r="AQ114" i="15"/>
  <c r="AQ115" i="15"/>
  <c r="AQ116" i="15"/>
  <c r="AQ117" i="15"/>
  <c r="AQ118" i="15"/>
  <c r="AQ119" i="15"/>
  <c r="AQ120" i="15"/>
  <c r="AQ121" i="15"/>
  <c r="AQ122" i="15"/>
  <c r="AQ123" i="15"/>
  <c r="AQ124" i="15"/>
  <c r="AQ125" i="15"/>
  <c r="AQ126" i="15"/>
  <c r="AQ127" i="15"/>
  <c r="AQ128" i="15"/>
  <c r="AQ129" i="15"/>
  <c r="AQ130" i="15"/>
  <c r="AQ131" i="15"/>
  <c r="AQ132" i="15"/>
  <c r="AQ133" i="15"/>
  <c r="AQ134" i="15"/>
  <c r="AQ135" i="15"/>
  <c r="AQ136" i="15"/>
  <c r="AQ137" i="15"/>
  <c r="AQ138" i="15"/>
  <c r="AQ139" i="15"/>
  <c r="AQ140" i="15"/>
  <c r="AQ141" i="15"/>
  <c r="AQ142" i="15"/>
  <c r="AQ143" i="15"/>
  <c r="AQ144" i="15"/>
  <c r="AQ145" i="15"/>
  <c r="AQ146" i="15"/>
  <c r="AQ147" i="15"/>
  <c r="AQ148" i="15"/>
  <c r="AQ149" i="15"/>
  <c r="AQ150" i="15"/>
  <c r="AQ151" i="15"/>
  <c r="AQ152" i="15"/>
  <c r="AQ153" i="15"/>
  <c r="AQ154" i="15"/>
  <c r="AQ155" i="15"/>
  <c r="AQ156" i="15"/>
  <c r="AQ157" i="15"/>
  <c r="AQ158" i="15"/>
  <c r="AQ3" i="15"/>
  <c r="AN11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AP4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AL5" i="15"/>
  <c r="AM5" i="15"/>
  <c r="AN5" i="15"/>
  <c r="AO5" i="15"/>
  <c r="AP5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AM6" i="15"/>
  <c r="AN6" i="15"/>
  <c r="AO6" i="15"/>
  <c r="AP6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AM9" i="15"/>
  <c r="AN9" i="15"/>
  <c r="AO9" i="15"/>
  <c r="AP9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AP10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O11" i="15"/>
  <c r="AP11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AK12" i="15"/>
  <c r="AL12" i="15"/>
  <c r="AM12" i="15"/>
  <c r="AN12" i="15"/>
  <c r="AO12" i="15"/>
  <c r="AP12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AJ15" i="15"/>
  <c r="AK15" i="15"/>
  <c r="AL15" i="15"/>
  <c r="AM15" i="15"/>
  <c r="AN15" i="15"/>
  <c r="AO15" i="15"/>
  <c r="AP15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AI16" i="15"/>
  <c r="AJ16" i="15"/>
  <c r="AK16" i="15"/>
  <c r="AL16" i="15"/>
  <c r="AM16" i="15"/>
  <c r="AN16" i="15"/>
  <c r="AO16" i="15"/>
  <c r="AP16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AI17" i="15"/>
  <c r="AJ17" i="15"/>
  <c r="AK17" i="15"/>
  <c r="AL17" i="15"/>
  <c r="AM17" i="15"/>
  <c r="AN17" i="15"/>
  <c r="AO17" i="15"/>
  <c r="AP17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AG18" i="15"/>
  <c r="AH18" i="15"/>
  <c r="AI18" i="15"/>
  <c r="AJ18" i="15"/>
  <c r="AK18" i="15"/>
  <c r="AL18" i="15"/>
  <c r="AM18" i="15"/>
  <c r="AN18" i="15"/>
  <c r="AO18" i="15"/>
  <c r="AP18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AL20" i="15"/>
  <c r="AM20" i="15"/>
  <c r="AN20" i="15"/>
  <c r="AO20" i="15"/>
  <c r="AP20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AL21" i="15"/>
  <c r="AM21" i="15"/>
  <c r="AN21" i="15"/>
  <c r="AO21" i="15"/>
  <c r="AP21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AL22" i="15"/>
  <c r="AM22" i="15"/>
  <c r="AN22" i="15"/>
  <c r="AO22" i="15"/>
  <c r="AP22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AL23" i="15"/>
  <c r="AM23" i="15"/>
  <c r="AN23" i="15"/>
  <c r="AO23" i="15"/>
  <c r="AP23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AH24" i="15"/>
  <c r="AI24" i="15"/>
  <c r="AJ24" i="15"/>
  <c r="AK24" i="15"/>
  <c r="AL24" i="15"/>
  <c r="AM24" i="15"/>
  <c r="AN24" i="15"/>
  <c r="AO24" i="15"/>
  <c r="AP24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AI25" i="15"/>
  <c r="AJ25" i="15"/>
  <c r="AK25" i="15"/>
  <c r="AL25" i="15"/>
  <c r="AM25" i="15"/>
  <c r="AN25" i="15"/>
  <c r="AO25" i="15"/>
  <c r="AP25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AI26" i="15"/>
  <c r="AJ26" i="15"/>
  <c r="AK26" i="15"/>
  <c r="AL26" i="15"/>
  <c r="AM26" i="15"/>
  <c r="AN26" i="15"/>
  <c r="AO26" i="15"/>
  <c r="AP26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AL27" i="15"/>
  <c r="AM27" i="15"/>
  <c r="AN27" i="15"/>
  <c r="AO27" i="15"/>
  <c r="AP27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AH28" i="15"/>
  <c r="AI28" i="15"/>
  <c r="AJ28" i="15"/>
  <c r="AK28" i="15"/>
  <c r="AL28" i="15"/>
  <c r="AM28" i="15"/>
  <c r="AN28" i="15"/>
  <c r="AO28" i="15"/>
  <c r="AP28" i="15"/>
  <c r="C29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AH29" i="15"/>
  <c r="AI29" i="15"/>
  <c r="AJ29" i="15"/>
  <c r="AK29" i="15"/>
  <c r="AL29" i="15"/>
  <c r="AM29" i="15"/>
  <c r="AN29" i="15"/>
  <c r="AO29" i="15"/>
  <c r="AP29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AL31" i="15"/>
  <c r="AM31" i="15"/>
  <c r="AN31" i="15"/>
  <c r="AO31" i="15"/>
  <c r="AP31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AH32" i="15"/>
  <c r="AI32" i="15"/>
  <c r="AJ32" i="15"/>
  <c r="AK32" i="15"/>
  <c r="AL32" i="15"/>
  <c r="AM32" i="15"/>
  <c r="AN32" i="15"/>
  <c r="AO32" i="15"/>
  <c r="AP32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G33" i="15"/>
  <c r="AH33" i="15"/>
  <c r="AI33" i="15"/>
  <c r="AJ33" i="15"/>
  <c r="AK33" i="15"/>
  <c r="AL33" i="15"/>
  <c r="AM33" i="15"/>
  <c r="AN33" i="15"/>
  <c r="AO33" i="15"/>
  <c r="AP33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AL34" i="15"/>
  <c r="AM34" i="15"/>
  <c r="AN34" i="15"/>
  <c r="AO34" i="15"/>
  <c r="AP34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AL35" i="15"/>
  <c r="AM35" i="15"/>
  <c r="AN35" i="15"/>
  <c r="AO35" i="15"/>
  <c r="AP35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Y36" i="15"/>
  <c r="Z36" i="15"/>
  <c r="AA36" i="15"/>
  <c r="AB36" i="15"/>
  <c r="AC36" i="15"/>
  <c r="AD36" i="15"/>
  <c r="AE36" i="15"/>
  <c r="AF36" i="15"/>
  <c r="AG36" i="15"/>
  <c r="AH36" i="15"/>
  <c r="AI36" i="15"/>
  <c r="AJ36" i="15"/>
  <c r="AK36" i="15"/>
  <c r="AL36" i="15"/>
  <c r="AM36" i="15"/>
  <c r="AN36" i="15"/>
  <c r="AO36" i="15"/>
  <c r="AP36" i="15"/>
  <c r="C37" i="15"/>
  <c r="D37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AH37" i="15"/>
  <c r="AI37" i="15"/>
  <c r="AJ37" i="15"/>
  <c r="AK37" i="15"/>
  <c r="AL37" i="15"/>
  <c r="AM37" i="15"/>
  <c r="AN37" i="15"/>
  <c r="AO37" i="15"/>
  <c r="AP37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AL38" i="15"/>
  <c r="AM38" i="15"/>
  <c r="AN38" i="15"/>
  <c r="AO38" i="15"/>
  <c r="AP38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AJ39" i="15"/>
  <c r="AK39" i="15"/>
  <c r="AL39" i="15"/>
  <c r="AM39" i="15"/>
  <c r="AN39" i="15"/>
  <c r="AO39" i="15"/>
  <c r="AP39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AJ41" i="15"/>
  <c r="AK41" i="15"/>
  <c r="AL41" i="15"/>
  <c r="AM41" i="15"/>
  <c r="AN41" i="15"/>
  <c r="AO41" i="15"/>
  <c r="AP41" i="15"/>
  <c r="C42" i="15"/>
  <c r="D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Y42" i="15"/>
  <c r="Z42" i="15"/>
  <c r="AA42" i="15"/>
  <c r="AB42" i="15"/>
  <c r="AC42" i="15"/>
  <c r="AD42" i="15"/>
  <c r="AE42" i="15"/>
  <c r="AF42" i="15"/>
  <c r="AG42" i="15"/>
  <c r="AH42" i="15"/>
  <c r="AI42" i="15"/>
  <c r="AJ42" i="15"/>
  <c r="AK42" i="15"/>
  <c r="AL42" i="15"/>
  <c r="AM42" i="15"/>
  <c r="AN42" i="15"/>
  <c r="AO42" i="15"/>
  <c r="AP42" i="15"/>
  <c r="C43" i="15"/>
  <c r="D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AJ43" i="15"/>
  <c r="AK43" i="15"/>
  <c r="AL43" i="15"/>
  <c r="AM43" i="15"/>
  <c r="AN43" i="15"/>
  <c r="AO43" i="15"/>
  <c r="AP43" i="15"/>
  <c r="C44" i="15"/>
  <c r="D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AI44" i="15"/>
  <c r="AJ44" i="15"/>
  <c r="AK44" i="15"/>
  <c r="AL44" i="15"/>
  <c r="AM44" i="15"/>
  <c r="AN44" i="15"/>
  <c r="AO44" i="15"/>
  <c r="AP44" i="15"/>
  <c r="C45" i="15"/>
  <c r="D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AH45" i="15"/>
  <c r="AI45" i="15"/>
  <c r="AJ45" i="15"/>
  <c r="AK45" i="15"/>
  <c r="AL45" i="15"/>
  <c r="AM45" i="15"/>
  <c r="AN45" i="15"/>
  <c r="AO45" i="15"/>
  <c r="AP45" i="15"/>
  <c r="C46" i="15"/>
  <c r="D46" i="15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U46" i="15"/>
  <c r="V46" i="15"/>
  <c r="W46" i="15"/>
  <c r="X46" i="15"/>
  <c r="Y46" i="15"/>
  <c r="Z46" i="15"/>
  <c r="AA46" i="15"/>
  <c r="AB46" i="15"/>
  <c r="AC46" i="15"/>
  <c r="AD46" i="15"/>
  <c r="AE46" i="15"/>
  <c r="AF46" i="15"/>
  <c r="AG46" i="15"/>
  <c r="AH46" i="15"/>
  <c r="AI46" i="15"/>
  <c r="AJ46" i="15"/>
  <c r="AK46" i="15"/>
  <c r="AL46" i="15"/>
  <c r="AM46" i="15"/>
  <c r="AN46" i="15"/>
  <c r="AO46" i="15"/>
  <c r="AP46" i="15"/>
  <c r="C47" i="15"/>
  <c r="D47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AI47" i="15"/>
  <c r="AJ47" i="15"/>
  <c r="AK47" i="15"/>
  <c r="AL47" i="15"/>
  <c r="AM47" i="15"/>
  <c r="AN47" i="15"/>
  <c r="AO47" i="15"/>
  <c r="AP47" i="15"/>
  <c r="C48" i="15"/>
  <c r="D48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T48" i="15"/>
  <c r="U48" i="15"/>
  <c r="V48" i="15"/>
  <c r="W48" i="15"/>
  <c r="X48" i="15"/>
  <c r="Y48" i="15"/>
  <c r="Z48" i="15"/>
  <c r="AA48" i="15"/>
  <c r="AB48" i="15"/>
  <c r="AC48" i="15"/>
  <c r="AD48" i="15"/>
  <c r="AE48" i="15"/>
  <c r="AF48" i="15"/>
  <c r="AG48" i="15"/>
  <c r="AH48" i="15"/>
  <c r="AI48" i="15"/>
  <c r="AJ48" i="15"/>
  <c r="AK48" i="15"/>
  <c r="AL48" i="15"/>
  <c r="AM48" i="15"/>
  <c r="AN48" i="15"/>
  <c r="AO48" i="15"/>
  <c r="AP48" i="15"/>
  <c r="C49" i="15"/>
  <c r="D49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AL49" i="15"/>
  <c r="AM49" i="15"/>
  <c r="AN49" i="15"/>
  <c r="AO49" i="15"/>
  <c r="AP49" i="15"/>
  <c r="C50" i="15"/>
  <c r="D50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AG50" i="15"/>
  <c r="AH50" i="15"/>
  <c r="AI50" i="15"/>
  <c r="AJ50" i="15"/>
  <c r="AK50" i="15"/>
  <c r="AL50" i="15"/>
  <c r="AM50" i="15"/>
  <c r="AN50" i="15"/>
  <c r="AO50" i="15"/>
  <c r="AP50" i="15"/>
  <c r="C51" i="15"/>
  <c r="D51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AG51" i="15"/>
  <c r="AH51" i="15"/>
  <c r="AI51" i="15"/>
  <c r="AJ51" i="15"/>
  <c r="AK51" i="15"/>
  <c r="AL51" i="15"/>
  <c r="AM51" i="15"/>
  <c r="AN51" i="15"/>
  <c r="AO51" i="15"/>
  <c r="AP51" i="15"/>
  <c r="C52" i="15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AG52" i="15"/>
  <c r="AH52" i="15"/>
  <c r="AI52" i="15"/>
  <c r="AJ52" i="15"/>
  <c r="AK52" i="15"/>
  <c r="AL52" i="15"/>
  <c r="AM52" i="15"/>
  <c r="AN52" i="15"/>
  <c r="AO52" i="15"/>
  <c r="AP52" i="15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N53" i="15"/>
  <c r="AO53" i="15"/>
  <c r="AP53" i="15"/>
  <c r="C54" i="15"/>
  <c r="D54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AL54" i="15"/>
  <c r="AM54" i="15"/>
  <c r="AN54" i="15"/>
  <c r="AO54" i="15"/>
  <c r="AP54" i="15"/>
  <c r="C55" i="15"/>
  <c r="D55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Y55" i="15"/>
  <c r="Z55" i="15"/>
  <c r="AA55" i="15"/>
  <c r="AB55" i="15"/>
  <c r="AC55" i="15"/>
  <c r="AD55" i="15"/>
  <c r="AE55" i="15"/>
  <c r="AF55" i="15"/>
  <c r="AG55" i="15"/>
  <c r="AH55" i="15"/>
  <c r="AI55" i="15"/>
  <c r="AJ55" i="15"/>
  <c r="AK55" i="15"/>
  <c r="AL55" i="15"/>
  <c r="AM55" i="15"/>
  <c r="AN55" i="15"/>
  <c r="AO55" i="15"/>
  <c r="AP55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AK56" i="15"/>
  <c r="AL56" i="15"/>
  <c r="AM56" i="15"/>
  <c r="AN56" i="15"/>
  <c r="AO56" i="15"/>
  <c r="AP56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AI57" i="15"/>
  <c r="AJ57" i="15"/>
  <c r="AK57" i="15"/>
  <c r="AL57" i="15"/>
  <c r="AM57" i="15"/>
  <c r="AN57" i="15"/>
  <c r="AO57" i="15"/>
  <c r="AP57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AH58" i="15"/>
  <c r="AI58" i="15"/>
  <c r="AJ58" i="15"/>
  <c r="AK58" i="15"/>
  <c r="AL58" i="15"/>
  <c r="AM58" i="15"/>
  <c r="AN58" i="15"/>
  <c r="AO58" i="15"/>
  <c r="AP58" i="15"/>
  <c r="C59" i="15"/>
  <c r="D59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AG59" i="15"/>
  <c r="AH59" i="15"/>
  <c r="AI59" i="15"/>
  <c r="AJ59" i="15"/>
  <c r="AK59" i="15"/>
  <c r="AL59" i="15"/>
  <c r="AM59" i="15"/>
  <c r="AN59" i="15"/>
  <c r="AO59" i="15"/>
  <c r="AP59" i="15"/>
  <c r="C60" i="15"/>
  <c r="D60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U60" i="15"/>
  <c r="V60" i="15"/>
  <c r="W60" i="15"/>
  <c r="X60" i="15"/>
  <c r="Y60" i="15"/>
  <c r="Z60" i="15"/>
  <c r="AA60" i="15"/>
  <c r="AB60" i="15"/>
  <c r="AC60" i="15"/>
  <c r="AD60" i="15"/>
  <c r="AE60" i="15"/>
  <c r="AF60" i="15"/>
  <c r="AG60" i="15"/>
  <c r="AH60" i="15"/>
  <c r="AI60" i="15"/>
  <c r="AJ60" i="15"/>
  <c r="AK60" i="15"/>
  <c r="AL60" i="15"/>
  <c r="AM60" i="15"/>
  <c r="AN60" i="15"/>
  <c r="AO60" i="15"/>
  <c r="AP60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C68" i="15"/>
  <c r="D68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T68" i="15"/>
  <c r="U68" i="15"/>
  <c r="V68" i="15"/>
  <c r="W68" i="15"/>
  <c r="X68" i="15"/>
  <c r="Y68" i="15"/>
  <c r="Z68" i="15"/>
  <c r="AA68" i="15"/>
  <c r="AB68" i="15"/>
  <c r="AC68" i="15"/>
  <c r="AD68" i="15"/>
  <c r="AE68" i="15"/>
  <c r="AF68" i="15"/>
  <c r="AG68" i="15"/>
  <c r="AH68" i="15"/>
  <c r="AI68" i="15"/>
  <c r="AJ68" i="15"/>
  <c r="AK68" i="15"/>
  <c r="AL68" i="15"/>
  <c r="AM68" i="15"/>
  <c r="AN68" i="15"/>
  <c r="AO68" i="15"/>
  <c r="AP68" i="15"/>
  <c r="C69" i="15"/>
  <c r="D69" i="15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R69" i="15"/>
  <c r="S69" i="15"/>
  <c r="T69" i="15"/>
  <c r="U69" i="15"/>
  <c r="V69" i="15"/>
  <c r="W69" i="15"/>
  <c r="X69" i="15"/>
  <c r="Y69" i="15"/>
  <c r="Z69" i="15"/>
  <c r="AA69" i="15"/>
  <c r="AB69" i="15"/>
  <c r="AC69" i="15"/>
  <c r="AD69" i="15"/>
  <c r="AE69" i="15"/>
  <c r="AF69" i="15"/>
  <c r="AG69" i="15"/>
  <c r="AH69" i="15"/>
  <c r="AI69" i="15"/>
  <c r="AJ69" i="15"/>
  <c r="AK69" i="15"/>
  <c r="AL69" i="15"/>
  <c r="AM69" i="15"/>
  <c r="AN69" i="15"/>
  <c r="AO69" i="15"/>
  <c r="AP69" i="15"/>
  <c r="C70" i="15"/>
  <c r="D70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T70" i="15"/>
  <c r="U70" i="15"/>
  <c r="V70" i="15"/>
  <c r="W70" i="15"/>
  <c r="X70" i="15"/>
  <c r="Y70" i="15"/>
  <c r="Z70" i="15"/>
  <c r="AA70" i="15"/>
  <c r="AB70" i="15"/>
  <c r="AC70" i="15"/>
  <c r="AD70" i="15"/>
  <c r="AE70" i="15"/>
  <c r="AF70" i="15"/>
  <c r="AG70" i="15"/>
  <c r="AH70" i="15"/>
  <c r="AI70" i="15"/>
  <c r="AJ70" i="15"/>
  <c r="AK70" i="15"/>
  <c r="AL70" i="15"/>
  <c r="AM70" i="15"/>
  <c r="AN70" i="15"/>
  <c r="AO70" i="15"/>
  <c r="AP70" i="15"/>
  <c r="C71" i="15"/>
  <c r="D71" i="15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Y71" i="15"/>
  <c r="Z71" i="15"/>
  <c r="AA71" i="15"/>
  <c r="AB71" i="15"/>
  <c r="AC71" i="15"/>
  <c r="AD71" i="15"/>
  <c r="AE71" i="15"/>
  <c r="AF71" i="15"/>
  <c r="AG71" i="15"/>
  <c r="AH71" i="15"/>
  <c r="AI71" i="15"/>
  <c r="AJ71" i="15"/>
  <c r="AK71" i="15"/>
  <c r="AL71" i="15"/>
  <c r="AM71" i="15"/>
  <c r="AN71" i="15"/>
  <c r="AO71" i="15"/>
  <c r="AP71" i="15"/>
  <c r="C72" i="15"/>
  <c r="D72" i="15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T72" i="15"/>
  <c r="U72" i="15"/>
  <c r="V72" i="15"/>
  <c r="W72" i="15"/>
  <c r="X72" i="15"/>
  <c r="Y72" i="15"/>
  <c r="Z72" i="15"/>
  <c r="AA72" i="15"/>
  <c r="AB72" i="15"/>
  <c r="AC72" i="15"/>
  <c r="AD72" i="15"/>
  <c r="AE72" i="15"/>
  <c r="AF72" i="15"/>
  <c r="AG72" i="15"/>
  <c r="AH72" i="15"/>
  <c r="AI72" i="15"/>
  <c r="AJ72" i="15"/>
  <c r="AK72" i="15"/>
  <c r="AL72" i="15"/>
  <c r="AM72" i="15"/>
  <c r="AN72" i="15"/>
  <c r="AO72" i="15"/>
  <c r="AP72" i="15"/>
  <c r="C73" i="15"/>
  <c r="D73" i="15"/>
  <c r="E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T73" i="15"/>
  <c r="U73" i="15"/>
  <c r="V73" i="15"/>
  <c r="W73" i="15"/>
  <c r="X73" i="15"/>
  <c r="Y73" i="15"/>
  <c r="Z73" i="15"/>
  <c r="AA73" i="15"/>
  <c r="AB73" i="15"/>
  <c r="AC73" i="15"/>
  <c r="AD73" i="15"/>
  <c r="AE73" i="15"/>
  <c r="AF73" i="15"/>
  <c r="AG73" i="15"/>
  <c r="AH73" i="15"/>
  <c r="AI73" i="15"/>
  <c r="AJ73" i="15"/>
  <c r="AK73" i="15"/>
  <c r="AL73" i="15"/>
  <c r="AM73" i="15"/>
  <c r="AN73" i="15"/>
  <c r="AO73" i="15"/>
  <c r="AP73" i="15"/>
  <c r="C74" i="15"/>
  <c r="D74" i="15"/>
  <c r="E74" i="15"/>
  <c r="F74" i="15"/>
  <c r="G74" i="15"/>
  <c r="H74" i="15"/>
  <c r="I74" i="15"/>
  <c r="J74" i="15"/>
  <c r="K74" i="15"/>
  <c r="L74" i="15"/>
  <c r="M74" i="15"/>
  <c r="N74" i="15"/>
  <c r="O74" i="15"/>
  <c r="P74" i="15"/>
  <c r="Q74" i="15"/>
  <c r="R74" i="15"/>
  <c r="S74" i="15"/>
  <c r="T74" i="15"/>
  <c r="U74" i="15"/>
  <c r="V74" i="15"/>
  <c r="W74" i="15"/>
  <c r="X74" i="15"/>
  <c r="Y74" i="15"/>
  <c r="Z74" i="15"/>
  <c r="AA74" i="15"/>
  <c r="AB74" i="15"/>
  <c r="AC74" i="15"/>
  <c r="AD74" i="15"/>
  <c r="AE74" i="15"/>
  <c r="AF74" i="15"/>
  <c r="AG74" i="15"/>
  <c r="AH74" i="15"/>
  <c r="AI74" i="15"/>
  <c r="AJ74" i="15"/>
  <c r="AK74" i="15"/>
  <c r="AL74" i="15"/>
  <c r="AM74" i="15"/>
  <c r="AN74" i="15"/>
  <c r="AO74" i="15"/>
  <c r="AP74" i="15"/>
  <c r="C75" i="15"/>
  <c r="D75" i="15"/>
  <c r="E75" i="15"/>
  <c r="F75" i="15"/>
  <c r="G75" i="15"/>
  <c r="H75" i="15"/>
  <c r="I75" i="15"/>
  <c r="J75" i="15"/>
  <c r="K75" i="15"/>
  <c r="L75" i="15"/>
  <c r="M75" i="15"/>
  <c r="N75" i="15"/>
  <c r="O75" i="15"/>
  <c r="P75" i="15"/>
  <c r="Q75" i="15"/>
  <c r="R75" i="15"/>
  <c r="S75" i="15"/>
  <c r="T75" i="15"/>
  <c r="U75" i="15"/>
  <c r="V75" i="15"/>
  <c r="W75" i="15"/>
  <c r="X75" i="15"/>
  <c r="Y75" i="15"/>
  <c r="Z75" i="15"/>
  <c r="AA75" i="15"/>
  <c r="AB75" i="15"/>
  <c r="AC75" i="15"/>
  <c r="AD75" i="15"/>
  <c r="AE75" i="15"/>
  <c r="AF75" i="15"/>
  <c r="AG75" i="15"/>
  <c r="AH75" i="15"/>
  <c r="AI75" i="15"/>
  <c r="AJ75" i="15"/>
  <c r="AK75" i="15"/>
  <c r="AL75" i="15"/>
  <c r="AM75" i="15"/>
  <c r="AN75" i="15"/>
  <c r="AO75" i="15"/>
  <c r="AP75" i="15"/>
  <c r="C76" i="15"/>
  <c r="D76" i="15"/>
  <c r="E76" i="15"/>
  <c r="F76" i="15"/>
  <c r="G76" i="15"/>
  <c r="H76" i="15"/>
  <c r="I76" i="15"/>
  <c r="J76" i="15"/>
  <c r="K76" i="15"/>
  <c r="L76" i="15"/>
  <c r="M76" i="15"/>
  <c r="N76" i="15"/>
  <c r="O76" i="15"/>
  <c r="P76" i="15"/>
  <c r="Q76" i="15"/>
  <c r="R76" i="15"/>
  <c r="S76" i="15"/>
  <c r="T76" i="15"/>
  <c r="U76" i="15"/>
  <c r="V76" i="15"/>
  <c r="W76" i="15"/>
  <c r="X76" i="15"/>
  <c r="Y76" i="15"/>
  <c r="Z76" i="15"/>
  <c r="AA76" i="15"/>
  <c r="AB76" i="15"/>
  <c r="AC76" i="15"/>
  <c r="AD76" i="15"/>
  <c r="AE76" i="15"/>
  <c r="AF76" i="15"/>
  <c r="AG76" i="15"/>
  <c r="AH76" i="15"/>
  <c r="AI76" i="15"/>
  <c r="AJ76" i="15"/>
  <c r="AK76" i="15"/>
  <c r="AL76" i="15"/>
  <c r="AM76" i="15"/>
  <c r="AN76" i="15"/>
  <c r="AO76" i="15"/>
  <c r="AP76" i="15"/>
  <c r="C77" i="15"/>
  <c r="D77" i="15"/>
  <c r="E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R77" i="15"/>
  <c r="S77" i="15"/>
  <c r="T77" i="15"/>
  <c r="U77" i="15"/>
  <c r="V77" i="15"/>
  <c r="W77" i="15"/>
  <c r="X77" i="15"/>
  <c r="Y77" i="15"/>
  <c r="Z77" i="15"/>
  <c r="AA77" i="15"/>
  <c r="AB77" i="15"/>
  <c r="AC77" i="15"/>
  <c r="AD77" i="15"/>
  <c r="AE77" i="15"/>
  <c r="AF77" i="15"/>
  <c r="AG77" i="15"/>
  <c r="AH77" i="15"/>
  <c r="AI77" i="15"/>
  <c r="AJ77" i="15"/>
  <c r="AK77" i="15"/>
  <c r="AL77" i="15"/>
  <c r="AM77" i="15"/>
  <c r="AN77" i="15"/>
  <c r="AO77" i="15"/>
  <c r="AP77" i="15"/>
  <c r="C78" i="15"/>
  <c r="D78" i="15"/>
  <c r="E78" i="15"/>
  <c r="F78" i="15"/>
  <c r="G78" i="15"/>
  <c r="H78" i="15"/>
  <c r="I78" i="15"/>
  <c r="J78" i="15"/>
  <c r="K78" i="15"/>
  <c r="L78" i="15"/>
  <c r="M78" i="15"/>
  <c r="N78" i="15"/>
  <c r="O78" i="15"/>
  <c r="P78" i="15"/>
  <c r="Q78" i="15"/>
  <c r="R78" i="15"/>
  <c r="S78" i="15"/>
  <c r="T78" i="15"/>
  <c r="U78" i="15"/>
  <c r="V78" i="15"/>
  <c r="W78" i="15"/>
  <c r="X78" i="15"/>
  <c r="Y78" i="15"/>
  <c r="Z78" i="15"/>
  <c r="AA78" i="15"/>
  <c r="AB78" i="15"/>
  <c r="AC78" i="15"/>
  <c r="AD78" i="15"/>
  <c r="AE78" i="15"/>
  <c r="AF78" i="15"/>
  <c r="AG78" i="15"/>
  <c r="AH78" i="15"/>
  <c r="AI78" i="15"/>
  <c r="AJ78" i="15"/>
  <c r="AK78" i="15"/>
  <c r="AL78" i="15"/>
  <c r="AM78" i="15"/>
  <c r="AN78" i="15"/>
  <c r="AO78" i="15"/>
  <c r="AP78" i="15"/>
  <c r="C79" i="15"/>
  <c r="D79" i="15"/>
  <c r="E79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Y79" i="15"/>
  <c r="Z79" i="15"/>
  <c r="AA79" i="15"/>
  <c r="AB79" i="15"/>
  <c r="AC79" i="15"/>
  <c r="AD79" i="15"/>
  <c r="AE79" i="15"/>
  <c r="AF79" i="15"/>
  <c r="AG79" i="15"/>
  <c r="AH79" i="15"/>
  <c r="AI79" i="15"/>
  <c r="AJ79" i="15"/>
  <c r="AK79" i="15"/>
  <c r="AL79" i="15"/>
  <c r="AM79" i="15"/>
  <c r="AN79" i="15"/>
  <c r="AO79" i="15"/>
  <c r="AP79" i="15"/>
  <c r="C80" i="15"/>
  <c r="D80" i="15"/>
  <c r="E80" i="15"/>
  <c r="F80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T80" i="15"/>
  <c r="U80" i="15"/>
  <c r="V80" i="15"/>
  <c r="W80" i="15"/>
  <c r="X80" i="15"/>
  <c r="Y80" i="15"/>
  <c r="Z80" i="15"/>
  <c r="AA80" i="15"/>
  <c r="AB80" i="15"/>
  <c r="AC80" i="15"/>
  <c r="AD80" i="15"/>
  <c r="AE80" i="15"/>
  <c r="AF80" i="15"/>
  <c r="AG80" i="15"/>
  <c r="AH80" i="15"/>
  <c r="AI80" i="15"/>
  <c r="AJ80" i="15"/>
  <c r="AK80" i="15"/>
  <c r="AL80" i="15"/>
  <c r="AM80" i="15"/>
  <c r="AN80" i="15"/>
  <c r="AO80" i="15"/>
  <c r="AP80" i="15"/>
  <c r="C81" i="15"/>
  <c r="D81" i="15"/>
  <c r="E81" i="15"/>
  <c r="F81" i="15"/>
  <c r="G81" i="15"/>
  <c r="H81" i="15"/>
  <c r="I81" i="15"/>
  <c r="J81" i="15"/>
  <c r="K81" i="15"/>
  <c r="L81" i="15"/>
  <c r="M81" i="15"/>
  <c r="N81" i="15"/>
  <c r="O81" i="15"/>
  <c r="P81" i="15"/>
  <c r="Q81" i="15"/>
  <c r="R81" i="15"/>
  <c r="S81" i="15"/>
  <c r="T81" i="15"/>
  <c r="U81" i="15"/>
  <c r="V81" i="15"/>
  <c r="W81" i="15"/>
  <c r="X81" i="15"/>
  <c r="Y81" i="15"/>
  <c r="Z81" i="15"/>
  <c r="AA81" i="15"/>
  <c r="AB81" i="15"/>
  <c r="AC81" i="15"/>
  <c r="AD81" i="15"/>
  <c r="AE81" i="15"/>
  <c r="AF81" i="15"/>
  <c r="AG81" i="15"/>
  <c r="AH81" i="15"/>
  <c r="AI81" i="15"/>
  <c r="AJ81" i="15"/>
  <c r="AK81" i="15"/>
  <c r="AL81" i="15"/>
  <c r="AM81" i="15"/>
  <c r="AN81" i="15"/>
  <c r="AO81" i="15"/>
  <c r="AP81" i="15"/>
  <c r="C82" i="15"/>
  <c r="D82" i="15"/>
  <c r="E82" i="15"/>
  <c r="F82" i="15"/>
  <c r="G82" i="15"/>
  <c r="H82" i="15"/>
  <c r="I82" i="15"/>
  <c r="J82" i="15"/>
  <c r="K82" i="15"/>
  <c r="L82" i="15"/>
  <c r="M82" i="15"/>
  <c r="N82" i="15"/>
  <c r="O82" i="15"/>
  <c r="P82" i="15"/>
  <c r="Q82" i="15"/>
  <c r="R82" i="15"/>
  <c r="S82" i="15"/>
  <c r="T82" i="15"/>
  <c r="U82" i="15"/>
  <c r="V82" i="15"/>
  <c r="W82" i="15"/>
  <c r="X82" i="15"/>
  <c r="Y82" i="15"/>
  <c r="Z82" i="15"/>
  <c r="AA82" i="15"/>
  <c r="AB82" i="15"/>
  <c r="AC82" i="15"/>
  <c r="AD82" i="15"/>
  <c r="AE82" i="15"/>
  <c r="AF82" i="15"/>
  <c r="AG82" i="15"/>
  <c r="AH82" i="15"/>
  <c r="AI82" i="15"/>
  <c r="AJ82" i="15"/>
  <c r="AK82" i="15"/>
  <c r="AL82" i="15"/>
  <c r="AM82" i="15"/>
  <c r="AN82" i="15"/>
  <c r="AO82" i="15"/>
  <c r="AP82" i="15"/>
  <c r="C83" i="15"/>
  <c r="D83" i="15"/>
  <c r="E83" i="15"/>
  <c r="F83" i="15"/>
  <c r="G83" i="15"/>
  <c r="H83" i="15"/>
  <c r="I83" i="15"/>
  <c r="J83" i="15"/>
  <c r="K83" i="15"/>
  <c r="L83" i="15"/>
  <c r="M83" i="15"/>
  <c r="N83" i="15"/>
  <c r="O83" i="15"/>
  <c r="P83" i="15"/>
  <c r="Q83" i="15"/>
  <c r="R83" i="15"/>
  <c r="S83" i="15"/>
  <c r="T83" i="15"/>
  <c r="U83" i="15"/>
  <c r="V83" i="15"/>
  <c r="W83" i="15"/>
  <c r="X83" i="15"/>
  <c r="Y83" i="15"/>
  <c r="Z83" i="15"/>
  <c r="AA83" i="15"/>
  <c r="AB83" i="15"/>
  <c r="AC83" i="15"/>
  <c r="AD83" i="15"/>
  <c r="AE83" i="15"/>
  <c r="AF83" i="15"/>
  <c r="AG83" i="15"/>
  <c r="AH83" i="15"/>
  <c r="AI83" i="15"/>
  <c r="AJ83" i="15"/>
  <c r="AK83" i="15"/>
  <c r="AL83" i="15"/>
  <c r="AM83" i="15"/>
  <c r="AN83" i="15"/>
  <c r="AO83" i="15"/>
  <c r="AP83" i="15"/>
  <c r="C84" i="15"/>
  <c r="D84" i="15"/>
  <c r="E84" i="15"/>
  <c r="F84" i="15"/>
  <c r="G84" i="15"/>
  <c r="H84" i="15"/>
  <c r="I84" i="15"/>
  <c r="J84" i="15"/>
  <c r="K84" i="15"/>
  <c r="L84" i="15"/>
  <c r="M84" i="15"/>
  <c r="N84" i="15"/>
  <c r="O84" i="15"/>
  <c r="P84" i="15"/>
  <c r="Q84" i="15"/>
  <c r="R84" i="15"/>
  <c r="S84" i="15"/>
  <c r="T84" i="15"/>
  <c r="U84" i="15"/>
  <c r="V84" i="15"/>
  <c r="W84" i="15"/>
  <c r="X84" i="15"/>
  <c r="Y84" i="15"/>
  <c r="Z84" i="15"/>
  <c r="AA84" i="15"/>
  <c r="AB84" i="15"/>
  <c r="AC84" i="15"/>
  <c r="AD84" i="15"/>
  <c r="AE84" i="15"/>
  <c r="AF84" i="15"/>
  <c r="AG84" i="15"/>
  <c r="AH84" i="15"/>
  <c r="AI84" i="15"/>
  <c r="AJ84" i="15"/>
  <c r="AK84" i="15"/>
  <c r="AL84" i="15"/>
  <c r="AM84" i="15"/>
  <c r="AN84" i="15"/>
  <c r="AO84" i="15"/>
  <c r="AP84" i="15"/>
  <c r="C85" i="15"/>
  <c r="D85" i="15"/>
  <c r="E85" i="15"/>
  <c r="F85" i="15"/>
  <c r="G85" i="15"/>
  <c r="H85" i="15"/>
  <c r="I85" i="15"/>
  <c r="J85" i="15"/>
  <c r="K85" i="15"/>
  <c r="L85" i="15"/>
  <c r="M85" i="15"/>
  <c r="N85" i="15"/>
  <c r="O85" i="15"/>
  <c r="P85" i="15"/>
  <c r="Q85" i="15"/>
  <c r="R85" i="15"/>
  <c r="S85" i="15"/>
  <c r="T85" i="15"/>
  <c r="U85" i="15"/>
  <c r="V85" i="15"/>
  <c r="W85" i="15"/>
  <c r="X85" i="15"/>
  <c r="Y85" i="15"/>
  <c r="Z85" i="15"/>
  <c r="AA85" i="15"/>
  <c r="AB85" i="15"/>
  <c r="AC85" i="15"/>
  <c r="AD85" i="15"/>
  <c r="AE85" i="15"/>
  <c r="AF85" i="15"/>
  <c r="AG85" i="15"/>
  <c r="AH85" i="15"/>
  <c r="AI85" i="15"/>
  <c r="AJ85" i="15"/>
  <c r="AK85" i="15"/>
  <c r="AL85" i="15"/>
  <c r="AM85" i="15"/>
  <c r="AN85" i="15"/>
  <c r="AO85" i="15"/>
  <c r="AP85" i="15"/>
  <c r="C86" i="15"/>
  <c r="D86" i="15"/>
  <c r="E86" i="15"/>
  <c r="F86" i="15"/>
  <c r="G86" i="15"/>
  <c r="H86" i="15"/>
  <c r="I86" i="15"/>
  <c r="J86" i="15"/>
  <c r="K86" i="15"/>
  <c r="L86" i="15"/>
  <c r="M86" i="15"/>
  <c r="N86" i="15"/>
  <c r="O86" i="15"/>
  <c r="P86" i="15"/>
  <c r="Q86" i="15"/>
  <c r="R86" i="15"/>
  <c r="S86" i="15"/>
  <c r="T86" i="15"/>
  <c r="U86" i="15"/>
  <c r="V86" i="15"/>
  <c r="W86" i="15"/>
  <c r="X86" i="15"/>
  <c r="Y86" i="15"/>
  <c r="Z86" i="15"/>
  <c r="AA86" i="15"/>
  <c r="AB86" i="15"/>
  <c r="AC86" i="15"/>
  <c r="AD86" i="15"/>
  <c r="AE86" i="15"/>
  <c r="AF86" i="15"/>
  <c r="AG86" i="15"/>
  <c r="AH86" i="15"/>
  <c r="AI86" i="15"/>
  <c r="AJ86" i="15"/>
  <c r="AK86" i="15"/>
  <c r="AL86" i="15"/>
  <c r="AM86" i="15"/>
  <c r="AN86" i="15"/>
  <c r="AO86" i="15"/>
  <c r="AP86" i="15"/>
  <c r="C87" i="15"/>
  <c r="D87" i="15"/>
  <c r="E87" i="15"/>
  <c r="F87" i="15"/>
  <c r="G87" i="15"/>
  <c r="H87" i="15"/>
  <c r="I87" i="15"/>
  <c r="J87" i="15"/>
  <c r="K87" i="15"/>
  <c r="L87" i="15"/>
  <c r="M87" i="15"/>
  <c r="N87" i="15"/>
  <c r="O87" i="15"/>
  <c r="P87" i="15"/>
  <c r="Q87" i="15"/>
  <c r="R87" i="15"/>
  <c r="S87" i="15"/>
  <c r="T87" i="15"/>
  <c r="U87" i="15"/>
  <c r="V87" i="15"/>
  <c r="W87" i="15"/>
  <c r="X87" i="15"/>
  <c r="Y87" i="15"/>
  <c r="Z87" i="15"/>
  <c r="AA87" i="15"/>
  <c r="AB87" i="15"/>
  <c r="AC87" i="15"/>
  <c r="AD87" i="15"/>
  <c r="AE87" i="15"/>
  <c r="AF87" i="15"/>
  <c r="AG87" i="15"/>
  <c r="AH87" i="15"/>
  <c r="AI87" i="15"/>
  <c r="AJ87" i="15"/>
  <c r="AK87" i="15"/>
  <c r="AL87" i="15"/>
  <c r="AM87" i="15"/>
  <c r="AN87" i="15"/>
  <c r="AO87" i="15"/>
  <c r="AP87" i="15"/>
  <c r="C88" i="15"/>
  <c r="D88" i="15"/>
  <c r="E88" i="15"/>
  <c r="F88" i="15"/>
  <c r="G88" i="15"/>
  <c r="H88" i="15"/>
  <c r="I88" i="15"/>
  <c r="J88" i="15"/>
  <c r="K88" i="15"/>
  <c r="L88" i="15"/>
  <c r="M88" i="15"/>
  <c r="N88" i="15"/>
  <c r="O88" i="15"/>
  <c r="P88" i="15"/>
  <c r="Q88" i="15"/>
  <c r="R88" i="15"/>
  <c r="S88" i="15"/>
  <c r="T88" i="15"/>
  <c r="U88" i="15"/>
  <c r="V88" i="15"/>
  <c r="W88" i="15"/>
  <c r="X88" i="15"/>
  <c r="Y88" i="15"/>
  <c r="Z88" i="15"/>
  <c r="AA88" i="15"/>
  <c r="AB88" i="15"/>
  <c r="AC88" i="15"/>
  <c r="AD88" i="15"/>
  <c r="AE88" i="15"/>
  <c r="AF88" i="15"/>
  <c r="AG88" i="15"/>
  <c r="AH88" i="15"/>
  <c r="AI88" i="15"/>
  <c r="AJ88" i="15"/>
  <c r="AK88" i="15"/>
  <c r="AL88" i="15"/>
  <c r="AM88" i="15"/>
  <c r="AN88" i="15"/>
  <c r="AO88" i="15"/>
  <c r="AP88" i="15"/>
  <c r="C89" i="15"/>
  <c r="D89" i="15"/>
  <c r="E89" i="15"/>
  <c r="F89" i="15"/>
  <c r="G89" i="15"/>
  <c r="H89" i="15"/>
  <c r="I89" i="15"/>
  <c r="J89" i="15"/>
  <c r="K89" i="15"/>
  <c r="L89" i="15"/>
  <c r="M89" i="15"/>
  <c r="N89" i="15"/>
  <c r="O89" i="15"/>
  <c r="P89" i="15"/>
  <c r="Q89" i="15"/>
  <c r="R89" i="15"/>
  <c r="S89" i="15"/>
  <c r="T89" i="15"/>
  <c r="U89" i="15"/>
  <c r="V89" i="15"/>
  <c r="W89" i="15"/>
  <c r="X89" i="15"/>
  <c r="Y89" i="15"/>
  <c r="Z89" i="15"/>
  <c r="AA89" i="15"/>
  <c r="AB89" i="15"/>
  <c r="AC89" i="15"/>
  <c r="AD89" i="15"/>
  <c r="AE89" i="15"/>
  <c r="AF89" i="15"/>
  <c r="AG89" i="15"/>
  <c r="AH89" i="15"/>
  <c r="AI89" i="15"/>
  <c r="AJ89" i="15"/>
  <c r="AK89" i="15"/>
  <c r="AL89" i="15"/>
  <c r="AM89" i="15"/>
  <c r="AN89" i="15"/>
  <c r="AO89" i="15"/>
  <c r="AP89" i="15"/>
  <c r="C90" i="15"/>
  <c r="D90" i="15"/>
  <c r="E90" i="15"/>
  <c r="F90" i="15"/>
  <c r="G90" i="15"/>
  <c r="H90" i="15"/>
  <c r="I90" i="15"/>
  <c r="J90" i="15"/>
  <c r="K90" i="15"/>
  <c r="L90" i="15"/>
  <c r="M90" i="15"/>
  <c r="N90" i="15"/>
  <c r="O90" i="15"/>
  <c r="P90" i="15"/>
  <c r="Q90" i="15"/>
  <c r="R90" i="15"/>
  <c r="S90" i="15"/>
  <c r="T90" i="15"/>
  <c r="U90" i="15"/>
  <c r="V90" i="15"/>
  <c r="W90" i="15"/>
  <c r="X90" i="15"/>
  <c r="Y90" i="15"/>
  <c r="Z90" i="15"/>
  <c r="AA90" i="15"/>
  <c r="AB90" i="15"/>
  <c r="AC90" i="15"/>
  <c r="AD90" i="15"/>
  <c r="AE90" i="15"/>
  <c r="AF90" i="15"/>
  <c r="AG90" i="15"/>
  <c r="AH90" i="15"/>
  <c r="AI90" i="15"/>
  <c r="AJ90" i="15"/>
  <c r="AK90" i="15"/>
  <c r="AL90" i="15"/>
  <c r="AM90" i="15"/>
  <c r="AN90" i="15"/>
  <c r="AO90" i="15"/>
  <c r="AP90" i="15"/>
  <c r="C91" i="15"/>
  <c r="D91" i="15"/>
  <c r="E91" i="15"/>
  <c r="F91" i="15"/>
  <c r="G91" i="15"/>
  <c r="H91" i="15"/>
  <c r="I91" i="15"/>
  <c r="J91" i="15"/>
  <c r="K91" i="15"/>
  <c r="L91" i="15"/>
  <c r="M91" i="15"/>
  <c r="N91" i="15"/>
  <c r="O91" i="15"/>
  <c r="P91" i="15"/>
  <c r="Q91" i="15"/>
  <c r="R91" i="15"/>
  <c r="S91" i="15"/>
  <c r="T91" i="15"/>
  <c r="U91" i="15"/>
  <c r="V91" i="15"/>
  <c r="W91" i="15"/>
  <c r="X91" i="15"/>
  <c r="Y91" i="15"/>
  <c r="Z91" i="15"/>
  <c r="AA91" i="15"/>
  <c r="AB91" i="15"/>
  <c r="AC91" i="15"/>
  <c r="AD91" i="15"/>
  <c r="AE91" i="15"/>
  <c r="AF91" i="15"/>
  <c r="AG91" i="15"/>
  <c r="AH91" i="15"/>
  <c r="AI91" i="15"/>
  <c r="AJ91" i="15"/>
  <c r="AK91" i="15"/>
  <c r="AL91" i="15"/>
  <c r="AM91" i="15"/>
  <c r="AN91" i="15"/>
  <c r="AO91" i="15"/>
  <c r="AP91" i="15"/>
  <c r="C92" i="15"/>
  <c r="D92" i="15"/>
  <c r="E92" i="15"/>
  <c r="F92" i="15"/>
  <c r="G92" i="15"/>
  <c r="H92" i="15"/>
  <c r="I92" i="15"/>
  <c r="J92" i="15"/>
  <c r="K92" i="15"/>
  <c r="L92" i="15"/>
  <c r="M92" i="15"/>
  <c r="N92" i="15"/>
  <c r="O92" i="15"/>
  <c r="P92" i="15"/>
  <c r="Q92" i="15"/>
  <c r="R92" i="15"/>
  <c r="S92" i="15"/>
  <c r="T92" i="15"/>
  <c r="U92" i="15"/>
  <c r="V92" i="15"/>
  <c r="W92" i="15"/>
  <c r="X92" i="15"/>
  <c r="Y92" i="15"/>
  <c r="Z92" i="15"/>
  <c r="AA92" i="15"/>
  <c r="AB92" i="15"/>
  <c r="AC92" i="15"/>
  <c r="AD92" i="15"/>
  <c r="AE92" i="15"/>
  <c r="AF92" i="15"/>
  <c r="AG92" i="15"/>
  <c r="AH92" i="15"/>
  <c r="AI92" i="15"/>
  <c r="AJ92" i="15"/>
  <c r="AK92" i="15"/>
  <c r="AL92" i="15"/>
  <c r="AM92" i="15"/>
  <c r="AN92" i="15"/>
  <c r="AO92" i="15"/>
  <c r="AP92" i="15"/>
  <c r="C93" i="15"/>
  <c r="D93" i="15"/>
  <c r="E93" i="15"/>
  <c r="F93" i="15"/>
  <c r="G93" i="15"/>
  <c r="H93" i="15"/>
  <c r="I93" i="15"/>
  <c r="J93" i="15"/>
  <c r="K93" i="15"/>
  <c r="L93" i="15"/>
  <c r="M93" i="15"/>
  <c r="N93" i="15"/>
  <c r="O93" i="15"/>
  <c r="P93" i="15"/>
  <c r="Q93" i="15"/>
  <c r="R93" i="15"/>
  <c r="S93" i="15"/>
  <c r="T93" i="15"/>
  <c r="U93" i="15"/>
  <c r="V93" i="15"/>
  <c r="W93" i="15"/>
  <c r="X93" i="15"/>
  <c r="Y93" i="15"/>
  <c r="Z93" i="15"/>
  <c r="AA93" i="15"/>
  <c r="AB93" i="15"/>
  <c r="AC93" i="15"/>
  <c r="AD93" i="15"/>
  <c r="AE93" i="15"/>
  <c r="AF93" i="15"/>
  <c r="AG93" i="15"/>
  <c r="AH93" i="15"/>
  <c r="AI93" i="15"/>
  <c r="AJ93" i="15"/>
  <c r="AK93" i="15"/>
  <c r="AL93" i="15"/>
  <c r="AM93" i="15"/>
  <c r="AN93" i="15"/>
  <c r="AO93" i="15"/>
  <c r="AP93" i="15"/>
  <c r="C94" i="15"/>
  <c r="D94" i="15"/>
  <c r="E94" i="15"/>
  <c r="F94" i="15"/>
  <c r="G94" i="15"/>
  <c r="H94" i="15"/>
  <c r="I94" i="15"/>
  <c r="J94" i="15"/>
  <c r="K94" i="15"/>
  <c r="L94" i="15"/>
  <c r="M94" i="15"/>
  <c r="N94" i="15"/>
  <c r="O94" i="15"/>
  <c r="P94" i="15"/>
  <c r="Q94" i="15"/>
  <c r="R94" i="15"/>
  <c r="S94" i="15"/>
  <c r="T94" i="15"/>
  <c r="U94" i="15"/>
  <c r="V94" i="15"/>
  <c r="W94" i="15"/>
  <c r="X94" i="15"/>
  <c r="Y94" i="15"/>
  <c r="Z94" i="15"/>
  <c r="AA94" i="15"/>
  <c r="AB94" i="15"/>
  <c r="AC94" i="15"/>
  <c r="AD94" i="15"/>
  <c r="AE94" i="15"/>
  <c r="AF94" i="15"/>
  <c r="AG94" i="15"/>
  <c r="AH94" i="15"/>
  <c r="AI94" i="15"/>
  <c r="AJ94" i="15"/>
  <c r="AK94" i="15"/>
  <c r="AL94" i="15"/>
  <c r="AM94" i="15"/>
  <c r="AN94" i="15"/>
  <c r="AO94" i="15"/>
  <c r="AP94" i="15"/>
  <c r="C95" i="15"/>
  <c r="D95" i="15"/>
  <c r="E95" i="15"/>
  <c r="F95" i="15"/>
  <c r="G95" i="15"/>
  <c r="H95" i="15"/>
  <c r="I95" i="15"/>
  <c r="J95" i="15"/>
  <c r="K95" i="15"/>
  <c r="L95" i="15"/>
  <c r="M95" i="15"/>
  <c r="N95" i="15"/>
  <c r="O95" i="15"/>
  <c r="P95" i="15"/>
  <c r="Q95" i="15"/>
  <c r="R95" i="15"/>
  <c r="S95" i="15"/>
  <c r="T95" i="15"/>
  <c r="U95" i="15"/>
  <c r="V95" i="15"/>
  <c r="W95" i="15"/>
  <c r="X95" i="15"/>
  <c r="Y95" i="15"/>
  <c r="Z95" i="15"/>
  <c r="AA95" i="15"/>
  <c r="AB95" i="15"/>
  <c r="AC95" i="15"/>
  <c r="AD95" i="15"/>
  <c r="AE95" i="15"/>
  <c r="AF95" i="15"/>
  <c r="AG95" i="15"/>
  <c r="AH95" i="15"/>
  <c r="AI95" i="15"/>
  <c r="AJ95" i="15"/>
  <c r="AK95" i="15"/>
  <c r="AL95" i="15"/>
  <c r="AM95" i="15"/>
  <c r="AN95" i="15"/>
  <c r="AO95" i="15"/>
  <c r="AP95" i="15"/>
  <c r="C96" i="15"/>
  <c r="D96" i="15"/>
  <c r="E96" i="15"/>
  <c r="F96" i="15"/>
  <c r="G96" i="15"/>
  <c r="H96" i="15"/>
  <c r="I96" i="15"/>
  <c r="J96" i="15"/>
  <c r="K96" i="15"/>
  <c r="L96" i="15"/>
  <c r="M96" i="15"/>
  <c r="N96" i="15"/>
  <c r="O96" i="15"/>
  <c r="P96" i="15"/>
  <c r="Q96" i="15"/>
  <c r="R96" i="15"/>
  <c r="S96" i="15"/>
  <c r="T96" i="15"/>
  <c r="U96" i="15"/>
  <c r="V96" i="15"/>
  <c r="W96" i="15"/>
  <c r="X96" i="15"/>
  <c r="Y96" i="15"/>
  <c r="Z96" i="15"/>
  <c r="AA96" i="15"/>
  <c r="AB96" i="15"/>
  <c r="AC96" i="15"/>
  <c r="AD96" i="15"/>
  <c r="AE96" i="15"/>
  <c r="AF96" i="15"/>
  <c r="AG96" i="15"/>
  <c r="AH96" i="15"/>
  <c r="AI96" i="15"/>
  <c r="AJ96" i="15"/>
  <c r="AK96" i="15"/>
  <c r="AL96" i="15"/>
  <c r="AM96" i="15"/>
  <c r="AN96" i="15"/>
  <c r="AO96" i="15"/>
  <c r="AP96" i="15"/>
  <c r="C97" i="15"/>
  <c r="D97" i="15"/>
  <c r="E97" i="15"/>
  <c r="F97" i="15"/>
  <c r="G97" i="15"/>
  <c r="H97" i="15"/>
  <c r="I97" i="15"/>
  <c r="J97" i="15"/>
  <c r="K97" i="15"/>
  <c r="L97" i="15"/>
  <c r="M97" i="15"/>
  <c r="N97" i="15"/>
  <c r="O97" i="15"/>
  <c r="P97" i="15"/>
  <c r="Q97" i="15"/>
  <c r="R97" i="15"/>
  <c r="S97" i="15"/>
  <c r="T97" i="15"/>
  <c r="U97" i="15"/>
  <c r="V97" i="15"/>
  <c r="W97" i="15"/>
  <c r="X97" i="15"/>
  <c r="Y97" i="15"/>
  <c r="Z97" i="15"/>
  <c r="AA97" i="15"/>
  <c r="AB97" i="15"/>
  <c r="AC97" i="15"/>
  <c r="AD97" i="15"/>
  <c r="AE97" i="15"/>
  <c r="AF97" i="15"/>
  <c r="AG97" i="15"/>
  <c r="AH97" i="15"/>
  <c r="AI97" i="15"/>
  <c r="AJ97" i="15"/>
  <c r="AK97" i="15"/>
  <c r="AL97" i="15"/>
  <c r="AM97" i="15"/>
  <c r="AN97" i="15"/>
  <c r="AO97" i="15"/>
  <c r="AP97" i="15"/>
  <c r="C98" i="15"/>
  <c r="D98" i="15"/>
  <c r="E98" i="15"/>
  <c r="F98" i="15"/>
  <c r="G98" i="15"/>
  <c r="H98" i="15"/>
  <c r="I98" i="15"/>
  <c r="J98" i="15"/>
  <c r="K98" i="15"/>
  <c r="L98" i="15"/>
  <c r="M98" i="15"/>
  <c r="N98" i="15"/>
  <c r="O98" i="15"/>
  <c r="P98" i="15"/>
  <c r="Q98" i="15"/>
  <c r="R98" i="15"/>
  <c r="S98" i="15"/>
  <c r="T98" i="15"/>
  <c r="U98" i="15"/>
  <c r="V98" i="15"/>
  <c r="W98" i="15"/>
  <c r="X98" i="15"/>
  <c r="Y98" i="15"/>
  <c r="Z98" i="15"/>
  <c r="AA98" i="15"/>
  <c r="AB98" i="15"/>
  <c r="AC98" i="15"/>
  <c r="AD98" i="15"/>
  <c r="AE98" i="15"/>
  <c r="AF98" i="15"/>
  <c r="AG98" i="15"/>
  <c r="AH98" i="15"/>
  <c r="AI98" i="15"/>
  <c r="AJ98" i="15"/>
  <c r="AK98" i="15"/>
  <c r="AL98" i="15"/>
  <c r="AM98" i="15"/>
  <c r="AN98" i="15"/>
  <c r="AO98" i="15"/>
  <c r="AP98" i="15"/>
  <c r="C99" i="15"/>
  <c r="D99" i="15"/>
  <c r="E99" i="15"/>
  <c r="F99" i="15"/>
  <c r="G99" i="15"/>
  <c r="H99" i="15"/>
  <c r="I99" i="15"/>
  <c r="J99" i="15"/>
  <c r="K99" i="15"/>
  <c r="L99" i="15"/>
  <c r="M99" i="15"/>
  <c r="N99" i="15"/>
  <c r="O99" i="15"/>
  <c r="P99" i="15"/>
  <c r="Q99" i="15"/>
  <c r="R99" i="15"/>
  <c r="S99" i="15"/>
  <c r="T99" i="15"/>
  <c r="U99" i="15"/>
  <c r="V99" i="15"/>
  <c r="W99" i="15"/>
  <c r="X99" i="15"/>
  <c r="Y99" i="15"/>
  <c r="Z99" i="15"/>
  <c r="AA99" i="15"/>
  <c r="AB99" i="15"/>
  <c r="AC99" i="15"/>
  <c r="AD99" i="15"/>
  <c r="AE99" i="15"/>
  <c r="AF99" i="15"/>
  <c r="AG99" i="15"/>
  <c r="AH99" i="15"/>
  <c r="AI99" i="15"/>
  <c r="AJ99" i="15"/>
  <c r="AK99" i="15"/>
  <c r="AL99" i="15"/>
  <c r="AM99" i="15"/>
  <c r="AN99" i="15"/>
  <c r="AO99" i="15"/>
  <c r="AP99" i="15"/>
  <c r="C100" i="15"/>
  <c r="D100" i="15"/>
  <c r="E100" i="15"/>
  <c r="F100" i="15"/>
  <c r="G100" i="15"/>
  <c r="H100" i="15"/>
  <c r="I100" i="15"/>
  <c r="J100" i="15"/>
  <c r="K100" i="15"/>
  <c r="L100" i="15"/>
  <c r="M100" i="15"/>
  <c r="N100" i="15"/>
  <c r="O100" i="15"/>
  <c r="P100" i="15"/>
  <c r="Q100" i="15"/>
  <c r="R100" i="15"/>
  <c r="S100" i="15"/>
  <c r="T100" i="15"/>
  <c r="U100" i="15"/>
  <c r="V100" i="15"/>
  <c r="W100" i="15"/>
  <c r="X100" i="15"/>
  <c r="Y100" i="15"/>
  <c r="Z100" i="15"/>
  <c r="AA100" i="15"/>
  <c r="AB100" i="15"/>
  <c r="AC100" i="15"/>
  <c r="AD100" i="15"/>
  <c r="AE100" i="15"/>
  <c r="AF100" i="15"/>
  <c r="AG100" i="15"/>
  <c r="AH100" i="15"/>
  <c r="AI100" i="15"/>
  <c r="AJ100" i="15"/>
  <c r="AK100" i="15"/>
  <c r="AL100" i="15"/>
  <c r="AM100" i="15"/>
  <c r="AN100" i="15"/>
  <c r="AO100" i="15"/>
  <c r="AP100" i="15"/>
  <c r="C101" i="15"/>
  <c r="D101" i="15"/>
  <c r="E101" i="15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R101" i="15"/>
  <c r="S101" i="15"/>
  <c r="T101" i="15"/>
  <c r="U101" i="15"/>
  <c r="V101" i="15"/>
  <c r="W101" i="15"/>
  <c r="X101" i="15"/>
  <c r="Y101" i="15"/>
  <c r="Z101" i="15"/>
  <c r="AA101" i="15"/>
  <c r="AB101" i="15"/>
  <c r="AC101" i="15"/>
  <c r="AD101" i="15"/>
  <c r="AE101" i="15"/>
  <c r="AF101" i="15"/>
  <c r="AG101" i="15"/>
  <c r="AH101" i="15"/>
  <c r="AI101" i="15"/>
  <c r="AJ101" i="15"/>
  <c r="AK101" i="15"/>
  <c r="AL101" i="15"/>
  <c r="AM101" i="15"/>
  <c r="AN101" i="15"/>
  <c r="AO101" i="15"/>
  <c r="AP101" i="15"/>
  <c r="C102" i="15"/>
  <c r="D102" i="15"/>
  <c r="E102" i="15"/>
  <c r="F102" i="15"/>
  <c r="G102" i="15"/>
  <c r="H102" i="15"/>
  <c r="I102" i="15"/>
  <c r="J102" i="15"/>
  <c r="K102" i="15"/>
  <c r="L102" i="15"/>
  <c r="M102" i="15"/>
  <c r="N102" i="15"/>
  <c r="O102" i="15"/>
  <c r="P102" i="15"/>
  <c r="Q102" i="15"/>
  <c r="R102" i="15"/>
  <c r="S102" i="15"/>
  <c r="T102" i="15"/>
  <c r="U102" i="15"/>
  <c r="V102" i="15"/>
  <c r="W102" i="15"/>
  <c r="X102" i="15"/>
  <c r="Y102" i="15"/>
  <c r="Z102" i="15"/>
  <c r="AA102" i="15"/>
  <c r="AB102" i="15"/>
  <c r="AC102" i="15"/>
  <c r="AD102" i="15"/>
  <c r="AE102" i="15"/>
  <c r="AF102" i="15"/>
  <c r="AG102" i="15"/>
  <c r="AH102" i="15"/>
  <c r="AI102" i="15"/>
  <c r="AJ102" i="15"/>
  <c r="AK102" i="15"/>
  <c r="AL102" i="15"/>
  <c r="AM102" i="15"/>
  <c r="AN102" i="15"/>
  <c r="AO102" i="15"/>
  <c r="AP102" i="15"/>
  <c r="C103" i="15"/>
  <c r="D103" i="15"/>
  <c r="E103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T103" i="15"/>
  <c r="U103" i="15"/>
  <c r="V103" i="15"/>
  <c r="W103" i="15"/>
  <c r="X103" i="15"/>
  <c r="Y103" i="15"/>
  <c r="Z103" i="15"/>
  <c r="AA103" i="15"/>
  <c r="AB103" i="15"/>
  <c r="AC103" i="15"/>
  <c r="AD103" i="15"/>
  <c r="AE103" i="15"/>
  <c r="AF103" i="15"/>
  <c r="AG103" i="15"/>
  <c r="AH103" i="15"/>
  <c r="AI103" i="15"/>
  <c r="AJ103" i="15"/>
  <c r="AK103" i="15"/>
  <c r="AL103" i="15"/>
  <c r="AM103" i="15"/>
  <c r="AN103" i="15"/>
  <c r="AO103" i="15"/>
  <c r="AP103" i="15"/>
  <c r="C104" i="15"/>
  <c r="D104" i="15"/>
  <c r="E104" i="15"/>
  <c r="F104" i="15"/>
  <c r="G104" i="15"/>
  <c r="H104" i="15"/>
  <c r="I104" i="15"/>
  <c r="J104" i="15"/>
  <c r="K104" i="15"/>
  <c r="L104" i="15"/>
  <c r="M104" i="15"/>
  <c r="N104" i="15"/>
  <c r="O104" i="15"/>
  <c r="P104" i="15"/>
  <c r="Q104" i="15"/>
  <c r="R104" i="15"/>
  <c r="S104" i="15"/>
  <c r="T104" i="15"/>
  <c r="U104" i="15"/>
  <c r="V104" i="15"/>
  <c r="W104" i="15"/>
  <c r="X104" i="15"/>
  <c r="Y104" i="15"/>
  <c r="Z104" i="15"/>
  <c r="AA104" i="15"/>
  <c r="AB104" i="15"/>
  <c r="AC104" i="15"/>
  <c r="AD104" i="15"/>
  <c r="AE104" i="15"/>
  <c r="AF104" i="15"/>
  <c r="AG104" i="15"/>
  <c r="AH104" i="15"/>
  <c r="AI104" i="15"/>
  <c r="AJ104" i="15"/>
  <c r="AK104" i="15"/>
  <c r="AL104" i="15"/>
  <c r="AM104" i="15"/>
  <c r="AN104" i="15"/>
  <c r="AO104" i="15"/>
  <c r="AP104" i="15"/>
  <c r="C105" i="15"/>
  <c r="D105" i="15"/>
  <c r="E105" i="15"/>
  <c r="F105" i="15"/>
  <c r="G105" i="15"/>
  <c r="H105" i="15"/>
  <c r="I105" i="15"/>
  <c r="J105" i="15"/>
  <c r="K105" i="15"/>
  <c r="L105" i="15"/>
  <c r="M105" i="15"/>
  <c r="N105" i="15"/>
  <c r="O105" i="15"/>
  <c r="P105" i="15"/>
  <c r="Q105" i="15"/>
  <c r="R105" i="15"/>
  <c r="S105" i="15"/>
  <c r="T105" i="15"/>
  <c r="U105" i="15"/>
  <c r="V105" i="15"/>
  <c r="W105" i="15"/>
  <c r="X105" i="15"/>
  <c r="Y105" i="15"/>
  <c r="Z105" i="15"/>
  <c r="AA105" i="15"/>
  <c r="AB105" i="15"/>
  <c r="AC105" i="15"/>
  <c r="AD105" i="15"/>
  <c r="AE105" i="15"/>
  <c r="AF105" i="15"/>
  <c r="AG105" i="15"/>
  <c r="AH105" i="15"/>
  <c r="AI105" i="15"/>
  <c r="AJ105" i="15"/>
  <c r="AK105" i="15"/>
  <c r="AL105" i="15"/>
  <c r="AM105" i="15"/>
  <c r="AN105" i="15"/>
  <c r="AO105" i="15"/>
  <c r="AP105" i="15"/>
  <c r="C106" i="15"/>
  <c r="D106" i="15"/>
  <c r="E106" i="15"/>
  <c r="F106" i="15"/>
  <c r="G106" i="15"/>
  <c r="H106" i="15"/>
  <c r="I106" i="15"/>
  <c r="J106" i="15"/>
  <c r="K106" i="15"/>
  <c r="L106" i="15"/>
  <c r="M106" i="15"/>
  <c r="N106" i="15"/>
  <c r="O106" i="15"/>
  <c r="P106" i="15"/>
  <c r="Q106" i="15"/>
  <c r="R106" i="15"/>
  <c r="S106" i="15"/>
  <c r="T106" i="15"/>
  <c r="U106" i="15"/>
  <c r="V106" i="15"/>
  <c r="W106" i="15"/>
  <c r="X106" i="15"/>
  <c r="Y106" i="15"/>
  <c r="Z106" i="15"/>
  <c r="AA106" i="15"/>
  <c r="AB106" i="15"/>
  <c r="AC106" i="15"/>
  <c r="AD106" i="15"/>
  <c r="AE106" i="15"/>
  <c r="AF106" i="15"/>
  <c r="AG106" i="15"/>
  <c r="AH106" i="15"/>
  <c r="AI106" i="15"/>
  <c r="AJ106" i="15"/>
  <c r="AK106" i="15"/>
  <c r="AL106" i="15"/>
  <c r="AM106" i="15"/>
  <c r="AN106" i="15"/>
  <c r="AO106" i="15"/>
  <c r="AP106" i="15"/>
  <c r="C107" i="15"/>
  <c r="D107" i="15"/>
  <c r="E107" i="15"/>
  <c r="F107" i="15"/>
  <c r="G107" i="15"/>
  <c r="H107" i="15"/>
  <c r="I107" i="15"/>
  <c r="J107" i="15"/>
  <c r="K107" i="15"/>
  <c r="L107" i="15"/>
  <c r="M107" i="15"/>
  <c r="N107" i="15"/>
  <c r="O107" i="15"/>
  <c r="P107" i="15"/>
  <c r="Q107" i="15"/>
  <c r="R107" i="15"/>
  <c r="S107" i="15"/>
  <c r="T107" i="15"/>
  <c r="U107" i="15"/>
  <c r="V107" i="15"/>
  <c r="W107" i="15"/>
  <c r="X107" i="15"/>
  <c r="Y107" i="15"/>
  <c r="Z107" i="15"/>
  <c r="AA107" i="15"/>
  <c r="AB107" i="15"/>
  <c r="AC107" i="15"/>
  <c r="AD107" i="15"/>
  <c r="AE107" i="15"/>
  <c r="AF107" i="15"/>
  <c r="AG107" i="15"/>
  <c r="AH107" i="15"/>
  <c r="AI107" i="15"/>
  <c r="AJ107" i="15"/>
  <c r="AK107" i="15"/>
  <c r="AL107" i="15"/>
  <c r="AM107" i="15"/>
  <c r="AN107" i="15"/>
  <c r="AO107" i="15"/>
  <c r="AP107" i="15"/>
  <c r="C108" i="15"/>
  <c r="D108" i="15"/>
  <c r="E108" i="15"/>
  <c r="F108" i="15"/>
  <c r="G108" i="15"/>
  <c r="H108" i="15"/>
  <c r="I108" i="15"/>
  <c r="J108" i="15"/>
  <c r="K108" i="15"/>
  <c r="L108" i="15"/>
  <c r="M108" i="15"/>
  <c r="N108" i="15"/>
  <c r="O108" i="15"/>
  <c r="P108" i="15"/>
  <c r="Q108" i="15"/>
  <c r="R108" i="15"/>
  <c r="S108" i="15"/>
  <c r="T108" i="15"/>
  <c r="U108" i="15"/>
  <c r="V108" i="15"/>
  <c r="W108" i="15"/>
  <c r="X108" i="15"/>
  <c r="Y108" i="15"/>
  <c r="Z108" i="15"/>
  <c r="AA108" i="15"/>
  <c r="AB108" i="15"/>
  <c r="AC108" i="15"/>
  <c r="AD108" i="15"/>
  <c r="AE108" i="15"/>
  <c r="AF108" i="15"/>
  <c r="AG108" i="15"/>
  <c r="AH108" i="15"/>
  <c r="AI108" i="15"/>
  <c r="AJ108" i="15"/>
  <c r="AK108" i="15"/>
  <c r="AL108" i="15"/>
  <c r="AM108" i="15"/>
  <c r="AN108" i="15"/>
  <c r="AO108" i="15"/>
  <c r="AP108" i="15"/>
  <c r="C109" i="15"/>
  <c r="D109" i="15"/>
  <c r="E109" i="15"/>
  <c r="F109" i="15"/>
  <c r="G109" i="15"/>
  <c r="H109" i="15"/>
  <c r="I109" i="15"/>
  <c r="J109" i="15"/>
  <c r="K109" i="15"/>
  <c r="L109" i="15"/>
  <c r="M109" i="15"/>
  <c r="N109" i="15"/>
  <c r="O109" i="15"/>
  <c r="P109" i="15"/>
  <c r="Q109" i="15"/>
  <c r="R109" i="15"/>
  <c r="S109" i="15"/>
  <c r="T109" i="15"/>
  <c r="U109" i="15"/>
  <c r="V109" i="15"/>
  <c r="W109" i="15"/>
  <c r="X109" i="15"/>
  <c r="Y109" i="15"/>
  <c r="Z109" i="15"/>
  <c r="AA109" i="15"/>
  <c r="AB109" i="15"/>
  <c r="AC109" i="15"/>
  <c r="AD109" i="15"/>
  <c r="AE109" i="15"/>
  <c r="AF109" i="15"/>
  <c r="AG109" i="15"/>
  <c r="AH109" i="15"/>
  <c r="AI109" i="15"/>
  <c r="AJ109" i="15"/>
  <c r="AK109" i="15"/>
  <c r="AL109" i="15"/>
  <c r="AM109" i="15"/>
  <c r="AN109" i="15"/>
  <c r="AO109" i="15"/>
  <c r="AP109" i="15"/>
  <c r="C110" i="15"/>
  <c r="D110" i="15"/>
  <c r="E110" i="15"/>
  <c r="F110" i="15"/>
  <c r="G110" i="15"/>
  <c r="H110" i="15"/>
  <c r="I110" i="15"/>
  <c r="J110" i="15"/>
  <c r="K110" i="15"/>
  <c r="L110" i="15"/>
  <c r="M110" i="15"/>
  <c r="N110" i="15"/>
  <c r="O110" i="15"/>
  <c r="P110" i="15"/>
  <c r="Q110" i="15"/>
  <c r="R110" i="15"/>
  <c r="S110" i="15"/>
  <c r="T110" i="15"/>
  <c r="U110" i="15"/>
  <c r="V110" i="15"/>
  <c r="W110" i="15"/>
  <c r="X110" i="15"/>
  <c r="Y110" i="15"/>
  <c r="Z110" i="15"/>
  <c r="AA110" i="15"/>
  <c r="AB110" i="15"/>
  <c r="AC110" i="15"/>
  <c r="AD110" i="15"/>
  <c r="AE110" i="15"/>
  <c r="AF110" i="15"/>
  <c r="AG110" i="15"/>
  <c r="AH110" i="15"/>
  <c r="AI110" i="15"/>
  <c r="AJ110" i="15"/>
  <c r="AK110" i="15"/>
  <c r="AL110" i="15"/>
  <c r="AM110" i="15"/>
  <c r="AN110" i="15"/>
  <c r="AO110" i="15"/>
  <c r="AP110" i="15"/>
  <c r="C111" i="15"/>
  <c r="D111" i="15"/>
  <c r="E111" i="15"/>
  <c r="F111" i="15"/>
  <c r="G111" i="15"/>
  <c r="H111" i="15"/>
  <c r="I111" i="15"/>
  <c r="J111" i="15"/>
  <c r="K111" i="15"/>
  <c r="L111" i="15"/>
  <c r="M111" i="15"/>
  <c r="N111" i="15"/>
  <c r="O111" i="15"/>
  <c r="P111" i="15"/>
  <c r="Q111" i="15"/>
  <c r="R111" i="15"/>
  <c r="S111" i="15"/>
  <c r="T111" i="15"/>
  <c r="U111" i="15"/>
  <c r="V111" i="15"/>
  <c r="W111" i="15"/>
  <c r="X111" i="15"/>
  <c r="Y111" i="15"/>
  <c r="Z111" i="15"/>
  <c r="AA111" i="15"/>
  <c r="AB111" i="15"/>
  <c r="AC111" i="15"/>
  <c r="AD111" i="15"/>
  <c r="AE111" i="15"/>
  <c r="AF111" i="15"/>
  <c r="AG111" i="15"/>
  <c r="AH111" i="15"/>
  <c r="AI111" i="15"/>
  <c r="AJ111" i="15"/>
  <c r="AK111" i="15"/>
  <c r="AL111" i="15"/>
  <c r="AM111" i="15"/>
  <c r="AN111" i="15"/>
  <c r="AO111" i="15"/>
  <c r="AP111" i="15"/>
  <c r="C112" i="15"/>
  <c r="D112" i="15"/>
  <c r="E112" i="15"/>
  <c r="F112" i="15"/>
  <c r="G112" i="15"/>
  <c r="H112" i="15"/>
  <c r="I112" i="15"/>
  <c r="J112" i="15"/>
  <c r="K112" i="15"/>
  <c r="L112" i="15"/>
  <c r="M112" i="15"/>
  <c r="N112" i="15"/>
  <c r="O112" i="15"/>
  <c r="P112" i="15"/>
  <c r="Q112" i="15"/>
  <c r="R112" i="15"/>
  <c r="S112" i="15"/>
  <c r="T112" i="15"/>
  <c r="U112" i="15"/>
  <c r="V112" i="15"/>
  <c r="W112" i="15"/>
  <c r="X112" i="15"/>
  <c r="Y112" i="15"/>
  <c r="Z112" i="15"/>
  <c r="AA112" i="15"/>
  <c r="AB112" i="15"/>
  <c r="AC112" i="15"/>
  <c r="AD112" i="15"/>
  <c r="AE112" i="15"/>
  <c r="AF112" i="15"/>
  <c r="AG112" i="15"/>
  <c r="AH112" i="15"/>
  <c r="AI112" i="15"/>
  <c r="AJ112" i="15"/>
  <c r="AK112" i="15"/>
  <c r="AL112" i="15"/>
  <c r="AM112" i="15"/>
  <c r="AN112" i="15"/>
  <c r="AO112" i="15"/>
  <c r="AP112" i="15"/>
  <c r="C113" i="15"/>
  <c r="D113" i="15"/>
  <c r="E113" i="15"/>
  <c r="F113" i="15"/>
  <c r="G113" i="15"/>
  <c r="H113" i="15"/>
  <c r="I113" i="15"/>
  <c r="J113" i="15"/>
  <c r="K113" i="15"/>
  <c r="L113" i="15"/>
  <c r="M113" i="15"/>
  <c r="N113" i="15"/>
  <c r="O113" i="15"/>
  <c r="P113" i="15"/>
  <c r="Q113" i="15"/>
  <c r="R113" i="15"/>
  <c r="S113" i="15"/>
  <c r="T113" i="15"/>
  <c r="U113" i="15"/>
  <c r="V113" i="15"/>
  <c r="W113" i="15"/>
  <c r="X113" i="15"/>
  <c r="Y113" i="15"/>
  <c r="Z113" i="15"/>
  <c r="AA113" i="15"/>
  <c r="AB113" i="15"/>
  <c r="AC113" i="15"/>
  <c r="AD113" i="15"/>
  <c r="AE113" i="15"/>
  <c r="AF113" i="15"/>
  <c r="AG113" i="15"/>
  <c r="AH113" i="15"/>
  <c r="AI113" i="15"/>
  <c r="AJ113" i="15"/>
  <c r="AK113" i="15"/>
  <c r="AL113" i="15"/>
  <c r="AM113" i="15"/>
  <c r="AN113" i="15"/>
  <c r="AO113" i="15"/>
  <c r="AP113" i="15"/>
  <c r="C114" i="15"/>
  <c r="D114" i="15"/>
  <c r="E114" i="15"/>
  <c r="F114" i="15"/>
  <c r="G114" i="15"/>
  <c r="H114" i="15"/>
  <c r="I114" i="15"/>
  <c r="J114" i="15"/>
  <c r="K114" i="15"/>
  <c r="L114" i="15"/>
  <c r="M114" i="15"/>
  <c r="N114" i="15"/>
  <c r="O114" i="15"/>
  <c r="P114" i="15"/>
  <c r="Q114" i="15"/>
  <c r="R114" i="15"/>
  <c r="S114" i="15"/>
  <c r="T114" i="15"/>
  <c r="U114" i="15"/>
  <c r="V114" i="15"/>
  <c r="W114" i="15"/>
  <c r="X114" i="15"/>
  <c r="Y114" i="15"/>
  <c r="Z114" i="15"/>
  <c r="AA114" i="15"/>
  <c r="AB114" i="15"/>
  <c r="AC114" i="15"/>
  <c r="AD114" i="15"/>
  <c r="AE114" i="15"/>
  <c r="AF114" i="15"/>
  <c r="AG114" i="15"/>
  <c r="AH114" i="15"/>
  <c r="AI114" i="15"/>
  <c r="AJ114" i="15"/>
  <c r="AK114" i="15"/>
  <c r="AL114" i="15"/>
  <c r="AM114" i="15"/>
  <c r="AN114" i="15"/>
  <c r="AO114" i="15"/>
  <c r="AP114" i="15"/>
  <c r="C115" i="15"/>
  <c r="D115" i="15"/>
  <c r="E115" i="15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R115" i="15"/>
  <c r="S115" i="15"/>
  <c r="T115" i="15"/>
  <c r="U115" i="15"/>
  <c r="V115" i="15"/>
  <c r="W115" i="15"/>
  <c r="X115" i="15"/>
  <c r="Y115" i="15"/>
  <c r="Z115" i="15"/>
  <c r="AA115" i="15"/>
  <c r="AB115" i="15"/>
  <c r="AC115" i="15"/>
  <c r="AD115" i="15"/>
  <c r="AE115" i="15"/>
  <c r="AF115" i="15"/>
  <c r="AG115" i="15"/>
  <c r="AH115" i="15"/>
  <c r="AI115" i="15"/>
  <c r="AJ115" i="15"/>
  <c r="AK115" i="15"/>
  <c r="AL115" i="15"/>
  <c r="AM115" i="15"/>
  <c r="AN115" i="15"/>
  <c r="AO115" i="15"/>
  <c r="AP115" i="15"/>
  <c r="C116" i="15"/>
  <c r="D116" i="15"/>
  <c r="E116" i="15"/>
  <c r="F116" i="15"/>
  <c r="G116" i="15"/>
  <c r="H116" i="15"/>
  <c r="I116" i="15"/>
  <c r="J116" i="15"/>
  <c r="K116" i="15"/>
  <c r="L116" i="15"/>
  <c r="M116" i="15"/>
  <c r="N116" i="15"/>
  <c r="O116" i="15"/>
  <c r="P116" i="15"/>
  <c r="Q116" i="15"/>
  <c r="R116" i="15"/>
  <c r="S116" i="15"/>
  <c r="T116" i="15"/>
  <c r="U116" i="15"/>
  <c r="V116" i="15"/>
  <c r="W116" i="15"/>
  <c r="X116" i="15"/>
  <c r="Y116" i="15"/>
  <c r="Z116" i="15"/>
  <c r="AA116" i="15"/>
  <c r="AB116" i="15"/>
  <c r="AC116" i="15"/>
  <c r="AD116" i="15"/>
  <c r="AE116" i="15"/>
  <c r="AF116" i="15"/>
  <c r="AG116" i="15"/>
  <c r="AH116" i="15"/>
  <c r="AI116" i="15"/>
  <c r="AJ116" i="15"/>
  <c r="AK116" i="15"/>
  <c r="AL116" i="15"/>
  <c r="AM116" i="15"/>
  <c r="AN116" i="15"/>
  <c r="AO116" i="15"/>
  <c r="AP116" i="15"/>
  <c r="C117" i="15"/>
  <c r="D117" i="15"/>
  <c r="E117" i="15"/>
  <c r="F117" i="15"/>
  <c r="G117" i="15"/>
  <c r="H117" i="15"/>
  <c r="I117" i="15"/>
  <c r="J117" i="15"/>
  <c r="K117" i="15"/>
  <c r="L117" i="15"/>
  <c r="M117" i="15"/>
  <c r="N117" i="15"/>
  <c r="O117" i="15"/>
  <c r="P117" i="15"/>
  <c r="Q117" i="15"/>
  <c r="R117" i="15"/>
  <c r="S117" i="15"/>
  <c r="T117" i="15"/>
  <c r="U117" i="15"/>
  <c r="V117" i="15"/>
  <c r="W117" i="15"/>
  <c r="X117" i="15"/>
  <c r="Y117" i="15"/>
  <c r="Z117" i="15"/>
  <c r="AA117" i="15"/>
  <c r="AB117" i="15"/>
  <c r="AC117" i="15"/>
  <c r="AD117" i="15"/>
  <c r="AE117" i="15"/>
  <c r="AF117" i="15"/>
  <c r="AG117" i="15"/>
  <c r="AH117" i="15"/>
  <c r="AI117" i="15"/>
  <c r="AJ117" i="15"/>
  <c r="AK117" i="15"/>
  <c r="AL117" i="15"/>
  <c r="AM117" i="15"/>
  <c r="AN117" i="15"/>
  <c r="AO117" i="15"/>
  <c r="AP117" i="15"/>
  <c r="C118" i="15"/>
  <c r="D118" i="15"/>
  <c r="E118" i="15"/>
  <c r="F118" i="15"/>
  <c r="G118" i="15"/>
  <c r="H118" i="15"/>
  <c r="I118" i="15"/>
  <c r="J118" i="15"/>
  <c r="K118" i="15"/>
  <c r="L118" i="15"/>
  <c r="M118" i="15"/>
  <c r="N118" i="15"/>
  <c r="O118" i="15"/>
  <c r="P118" i="15"/>
  <c r="Q118" i="15"/>
  <c r="R118" i="15"/>
  <c r="S118" i="15"/>
  <c r="T118" i="15"/>
  <c r="U118" i="15"/>
  <c r="V118" i="15"/>
  <c r="W118" i="15"/>
  <c r="X118" i="15"/>
  <c r="Y118" i="15"/>
  <c r="Z118" i="15"/>
  <c r="AA118" i="15"/>
  <c r="AB118" i="15"/>
  <c r="AC118" i="15"/>
  <c r="AD118" i="15"/>
  <c r="AE118" i="15"/>
  <c r="AF118" i="15"/>
  <c r="AG118" i="15"/>
  <c r="AH118" i="15"/>
  <c r="AI118" i="15"/>
  <c r="AJ118" i="15"/>
  <c r="AK118" i="15"/>
  <c r="AL118" i="15"/>
  <c r="AM118" i="15"/>
  <c r="AN118" i="15"/>
  <c r="AO118" i="15"/>
  <c r="AP118" i="15"/>
  <c r="C119" i="15"/>
  <c r="D119" i="15"/>
  <c r="E119" i="15"/>
  <c r="F119" i="15"/>
  <c r="G119" i="15"/>
  <c r="H119" i="15"/>
  <c r="I119" i="15"/>
  <c r="J119" i="15"/>
  <c r="K119" i="15"/>
  <c r="L119" i="15"/>
  <c r="M119" i="15"/>
  <c r="N119" i="15"/>
  <c r="O119" i="15"/>
  <c r="P119" i="15"/>
  <c r="Q119" i="15"/>
  <c r="R119" i="15"/>
  <c r="S119" i="15"/>
  <c r="T119" i="15"/>
  <c r="U119" i="15"/>
  <c r="V119" i="15"/>
  <c r="W119" i="15"/>
  <c r="X119" i="15"/>
  <c r="Y119" i="15"/>
  <c r="Z119" i="15"/>
  <c r="AA119" i="15"/>
  <c r="AB119" i="15"/>
  <c r="AC119" i="15"/>
  <c r="AD119" i="15"/>
  <c r="AE119" i="15"/>
  <c r="AF119" i="15"/>
  <c r="AG119" i="15"/>
  <c r="AH119" i="15"/>
  <c r="AI119" i="15"/>
  <c r="AJ119" i="15"/>
  <c r="AK119" i="15"/>
  <c r="AL119" i="15"/>
  <c r="AM119" i="15"/>
  <c r="AN119" i="15"/>
  <c r="AO119" i="15"/>
  <c r="AP119" i="15"/>
  <c r="C120" i="15"/>
  <c r="D120" i="15"/>
  <c r="E120" i="15"/>
  <c r="F120" i="15"/>
  <c r="G120" i="15"/>
  <c r="H120" i="15"/>
  <c r="I120" i="15"/>
  <c r="J120" i="15"/>
  <c r="K120" i="15"/>
  <c r="L120" i="15"/>
  <c r="M120" i="15"/>
  <c r="N120" i="15"/>
  <c r="O120" i="15"/>
  <c r="P120" i="15"/>
  <c r="Q120" i="15"/>
  <c r="R120" i="15"/>
  <c r="S120" i="15"/>
  <c r="T120" i="15"/>
  <c r="U120" i="15"/>
  <c r="V120" i="15"/>
  <c r="W120" i="15"/>
  <c r="X120" i="15"/>
  <c r="Y120" i="15"/>
  <c r="Z120" i="15"/>
  <c r="AA120" i="15"/>
  <c r="AB120" i="15"/>
  <c r="AC120" i="15"/>
  <c r="AD120" i="15"/>
  <c r="AE120" i="15"/>
  <c r="AF120" i="15"/>
  <c r="AG120" i="15"/>
  <c r="AH120" i="15"/>
  <c r="AI120" i="15"/>
  <c r="AJ120" i="15"/>
  <c r="AK120" i="15"/>
  <c r="AL120" i="15"/>
  <c r="AM120" i="15"/>
  <c r="AN120" i="15"/>
  <c r="AO120" i="15"/>
  <c r="AP120" i="15"/>
  <c r="C121" i="15"/>
  <c r="D121" i="15"/>
  <c r="E121" i="15"/>
  <c r="F121" i="15"/>
  <c r="G121" i="15"/>
  <c r="H121" i="15"/>
  <c r="I121" i="15"/>
  <c r="J121" i="15"/>
  <c r="K121" i="15"/>
  <c r="L121" i="15"/>
  <c r="M121" i="15"/>
  <c r="N121" i="15"/>
  <c r="O121" i="15"/>
  <c r="P121" i="15"/>
  <c r="Q121" i="15"/>
  <c r="R121" i="15"/>
  <c r="S121" i="15"/>
  <c r="T121" i="15"/>
  <c r="U121" i="15"/>
  <c r="V121" i="15"/>
  <c r="W121" i="15"/>
  <c r="X121" i="15"/>
  <c r="Y121" i="15"/>
  <c r="Z121" i="15"/>
  <c r="AA121" i="15"/>
  <c r="AB121" i="15"/>
  <c r="AC121" i="15"/>
  <c r="AD121" i="15"/>
  <c r="AE121" i="15"/>
  <c r="AF121" i="15"/>
  <c r="AG121" i="15"/>
  <c r="AH121" i="15"/>
  <c r="AI121" i="15"/>
  <c r="AJ121" i="15"/>
  <c r="AK121" i="15"/>
  <c r="AL121" i="15"/>
  <c r="AM121" i="15"/>
  <c r="AN121" i="15"/>
  <c r="AO121" i="15"/>
  <c r="AP121" i="15"/>
  <c r="C122" i="15"/>
  <c r="D122" i="15"/>
  <c r="E122" i="15"/>
  <c r="F122" i="15"/>
  <c r="G122" i="15"/>
  <c r="H122" i="15"/>
  <c r="I122" i="15"/>
  <c r="J122" i="15"/>
  <c r="K122" i="15"/>
  <c r="L122" i="15"/>
  <c r="M122" i="15"/>
  <c r="N122" i="15"/>
  <c r="O122" i="15"/>
  <c r="P122" i="15"/>
  <c r="Q122" i="15"/>
  <c r="R122" i="15"/>
  <c r="S122" i="15"/>
  <c r="T122" i="15"/>
  <c r="U122" i="15"/>
  <c r="V122" i="15"/>
  <c r="W122" i="15"/>
  <c r="X122" i="15"/>
  <c r="Y122" i="15"/>
  <c r="Z122" i="15"/>
  <c r="AA122" i="15"/>
  <c r="AB122" i="15"/>
  <c r="AC122" i="15"/>
  <c r="AD122" i="15"/>
  <c r="AE122" i="15"/>
  <c r="AF122" i="15"/>
  <c r="AG122" i="15"/>
  <c r="AH122" i="15"/>
  <c r="AI122" i="15"/>
  <c r="AJ122" i="15"/>
  <c r="AK122" i="15"/>
  <c r="AL122" i="15"/>
  <c r="AM122" i="15"/>
  <c r="AN122" i="15"/>
  <c r="AO122" i="15"/>
  <c r="AP122" i="15"/>
  <c r="C123" i="15"/>
  <c r="D123" i="15"/>
  <c r="E123" i="15"/>
  <c r="F123" i="15"/>
  <c r="G123" i="15"/>
  <c r="H123" i="15"/>
  <c r="I123" i="15"/>
  <c r="J123" i="15"/>
  <c r="K123" i="15"/>
  <c r="L123" i="15"/>
  <c r="M123" i="15"/>
  <c r="N123" i="15"/>
  <c r="O123" i="15"/>
  <c r="P123" i="15"/>
  <c r="Q123" i="15"/>
  <c r="R123" i="15"/>
  <c r="S123" i="15"/>
  <c r="T123" i="15"/>
  <c r="U123" i="15"/>
  <c r="V123" i="15"/>
  <c r="W123" i="15"/>
  <c r="X123" i="15"/>
  <c r="Y123" i="15"/>
  <c r="Z123" i="15"/>
  <c r="AA123" i="15"/>
  <c r="AB123" i="15"/>
  <c r="AC123" i="15"/>
  <c r="AD123" i="15"/>
  <c r="AE123" i="15"/>
  <c r="AF123" i="15"/>
  <c r="AG123" i="15"/>
  <c r="AH123" i="15"/>
  <c r="AI123" i="15"/>
  <c r="AJ123" i="15"/>
  <c r="AK123" i="15"/>
  <c r="AL123" i="15"/>
  <c r="AM123" i="15"/>
  <c r="AN123" i="15"/>
  <c r="AO123" i="15"/>
  <c r="AP123" i="15"/>
  <c r="C124" i="15"/>
  <c r="D124" i="15"/>
  <c r="E124" i="15"/>
  <c r="F124" i="15"/>
  <c r="G124" i="15"/>
  <c r="H124" i="15"/>
  <c r="I124" i="15"/>
  <c r="J124" i="15"/>
  <c r="K124" i="15"/>
  <c r="L124" i="15"/>
  <c r="M124" i="15"/>
  <c r="N124" i="15"/>
  <c r="O124" i="15"/>
  <c r="P124" i="15"/>
  <c r="Q124" i="15"/>
  <c r="R124" i="15"/>
  <c r="S124" i="15"/>
  <c r="T124" i="15"/>
  <c r="U124" i="15"/>
  <c r="V124" i="15"/>
  <c r="W124" i="15"/>
  <c r="X124" i="15"/>
  <c r="Y124" i="15"/>
  <c r="Z124" i="15"/>
  <c r="AA124" i="15"/>
  <c r="AB124" i="15"/>
  <c r="AC124" i="15"/>
  <c r="AD124" i="15"/>
  <c r="AE124" i="15"/>
  <c r="AF124" i="15"/>
  <c r="AG124" i="15"/>
  <c r="AH124" i="15"/>
  <c r="AI124" i="15"/>
  <c r="AJ124" i="15"/>
  <c r="AK124" i="15"/>
  <c r="AL124" i="15"/>
  <c r="AM124" i="15"/>
  <c r="AN124" i="15"/>
  <c r="AO124" i="15"/>
  <c r="AP124" i="15"/>
  <c r="C125" i="15"/>
  <c r="D125" i="15"/>
  <c r="E125" i="15"/>
  <c r="F125" i="15"/>
  <c r="G125" i="15"/>
  <c r="H125" i="15"/>
  <c r="I125" i="15"/>
  <c r="J125" i="15"/>
  <c r="K125" i="15"/>
  <c r="L125" i="15"/>
  <c r="M125" i="15"/>
  <c r="N125" i="15"/>
  <c r="O125" i="15"/>
  <c r="P125" i="15"/>
  <c r="Q125" i="15"/>
  <c r="R125" i="15"/>
  <c r="S125" i="15"/>
  <c r="T125" i="15"/>
  <c r="U125" i="15"/>
  <c r="V125" i="15"/>
  <c r="W125" i="15"/>
  <c r="X125" i="15"/>
  <c r="Y125" i="15"/>
  <c r="Z125" i="15"/>
  <c r="AA125" i="15"/>
  <c r="AB125" i="15"/>
  <c r="AC125" i="15"/>
  <c r="AD125" i="15"/>
  <c r="AE125" i="15"/>
  <c r="AF125" i="15"/>
  <c r="AG125" i="15"/>
  <c r="AH125" i="15"/>
  <c r="AI125" i="15"/>
  <c r="AJ125" i="15"/>
  <c r="AK125" i="15"/>
  <c r="AL125" i="15"/>
  <c r="AM125" i="15"/>
  <c r="AN125" i="15"/>
  <c r="AO125" i="15"/>
  <c r="AP125" i="15"/>
  <c r="C126" i="15"/>
  <c r="D126" i="15"/>
  <c r="E126" i="15"/>
  <c r="F126" i="15"/>
  <c r="G126" i="15"/>
  <c r="H126" i="15"/>
  <c r="I126" i="15"/>
  <c r="J126" i="15"/>
  <c r="K126" i="15"/>
  <c r="L126" i="15"/>
  <c r="M126" i="15"/>
  <c r="N126" i="15"/>
  <c r="O126" i="15"/>
  <c r="P126" i="15"/>
  <c r="Q126" i="15"/>
  <c r="R126" i="15"/>
  <c r="S126" i="15"/>
  <c r="T126" i="15"/>
  <c r="U126" i="15"/>
  <c r="V126" i="15"/>
  <c r="W126" i="15"/>
  <c r="X126" i="15"/>
  <c r="Y126" i="15"/>
  <c r="Z126" i="15"/>
  <c r="AA126" i="15"/>
  <c r="AB126" i="15"/>
  <c r="AC126" i="15"/>
  <c r="AD126" i="15"/>
  <c r="AE126" i="15"/>
  <c r="AF126" i="15"/>
  <c r="AG126" i="15"/>
  <c r="AH126" i="15"/>
  <c r="AI126" i="15"/>
  <c r="AJ126" i="15"/>
  <c r="AK126" i="15"/>
  <c r="AL126" i="15"/>
  <c r="AM126" i="15"/>
  <c r="AN126" i="15"/>
  <c r="AO126" i="15"/>
  <c r="AP126" i="15"/>
  <c r="C127" i="15"/>
  <c r="D127" i="15"/>
  <c r="E127" i="15"/>
  <c r="F127" i="15"/>
  <c r="G127" i="15"/>
  <c r="H127" i="15"/>
  <c r="I127" i="15"/>
  <c r="J127" i="15"/>
  <c r="K127" i="15"/>
  <c r="L127" i="15"/>
  <c r="M127" i="15"/>
  <c r="N127" i="15"/>
  <c r="O127" i="15"/>
  <c r="P127" i="15"/>
  <c r="Q127" i="15"/>
  <c r="R127" i="15"/>
  <c r="S127" i="15"/>
  <c r="T127" i="15"/>
  <c r="U127" i="15"/>
  <c r="V127" i="15"/>
  <c r="W127" i="15"/>
  <c r="X127" i="15"/>
  <c r="Y127" i="15"/>
  <c r="Z127" i="15"/>
  <c r="AA127" i="15"/>
  <c r="AB127" i="15"/>
  <c r="AC127" i="15"/>
  <c r="AD127" i="15"/>
  <c r="AE127" i="15"/>
  <c r="AF127" i="15"/>
  <c r="AG127" i="15"/>
  <c r="AH127" i="15"/>
  <c r="AI127" i="15"/>
  <c r="AJ127" i="15"/>
  <c r="AK127" i="15"/>
  <c r="AL127" i="15"/>
  <c r="AM127" i="15"/>
  <c r="AN127" i="15"/>
  <c r="AO127" i="15"/>
  <c r="AP127" i="15"/>
  <c r="C128" i="15"/>
  <c r="D128" i="15"/>
  <c r="E128" i="15"/>
  <c r="F128" i="15"/>
  <c r="G128" i="15"/>
  <c r="H128" i="15"/>
  <c r="I128" i="15"/>
  <c r="J128" i="15"/>
  <c r="K128" i="15"/>
  <c r="L128" i="15"/>
  <c r="M128" i="15"/>
  <c r="N128" i="15"/>
  <c r="O128" i="15"/>
  <c r="P128" i="15"/>
  <c r="Q128" i="15"/>
  <c r="R128" i="15"/>
  <c r="S128" i="15"/>
  <c r="T128" i="15"/>
  <c r="U128" i="15"/>
  <c r="V128" i="15"/>
  <c r="W128" i="15"/>
  <c r="X128" i="15"/>
  <c r="Y128" i="15"/>
  <c r="Z128" i="15"/>
  <c r="AA128" i="15"/>
  <c r="AB128" i="15"/>
  <c r="AC128" i="15"/>
  <c r="AD128" i="15"/>
  <c r="AE128" i="15"/>
  <c r="AF128" i="15"/>
  <c r="AG128" i="15"/>
  <c r="AH128" i="15"/>
  <c r="AI128" i="15"/>
  <c r="AJ128" i="15"/>
  <c r="AK128" i="15"/>
  <c r="AL128" i="15"/>
  <c r="AM128" i="15"/>
  <c r="AN128" i="15"/>
  <c r="AO128" i="15"/>
  <c r="AP128" i="15"/>
  <c r="C129" i="15"/>
  <c r="D129" i="15"/>
  <c r="E129" i="15"/>
  <c r="F129" i="15"/>
  <c r="G129" i="15"/>
  <c r="H129" i="15"/>
  <c r="I129" i="15"/>
  <c r="J129" i="15"/>
  <c r="K129" i="15"/>
  <c r="L129" i="15"/>
  <c r="M129" i="15"/>
  <c r="N129" i="15"/>
  <c r="O129" i="15"/>
  <c r="P129" i="15"/>
  <c r="Q129" i="15"/>
  <c r="R129" i="15"/>
  <c r="S129" i="15"/>
  <c r="T129" i="15"/>
  <c r="U129" i="15"/>
  <c r="V129" i="15"/>
  <c r="W129" i="15"/>
  <c r="X129" i="15"/>
  <c r="Y129" i="15"/>
  <c r="Z129" i="15"/>
  <c r="AA129" i="15"/>
  <c r="AB129" i="15"/>
  <c r="AC129" i="15"/>
  <c r="AD129" i="15"/>
  <c r="AE129" i="15"/>
  <c r="AF129" i="15"/>
  <c r="AG129" i="15"/>
  <c r="AH129" i="15"/>
  <c r="AI129" i="15"/>
  <c r="AJ129" i="15"/>
  <c r="AK129" i="15"/>
  <c r="AL129" i="15"/>
  <c r="AM129" i="15"/>
  <c r="AN129" i="15"/>
  <c r="AO129" i="15"/>
  <c r="AP129" i="15"/>
  <c r="C130" i="15"/>
  <c r="D130" i="15"/>
  <c r="E130" i="15"/>
  <c r="F130" i="15"/>
  <c r="G130" i="15"/>
  <c r="H130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W130" i="15"/>
  <c r="X130" i="15"/>
  <c r="Y130" i="15"/>
  <c r="Z130" i="15"/>
  <c r="AA130" i="15"/>
  <c r="AB130" i="15"/>
  <c r="AC130" i="15"/>
  <c r="AD130" i="15"/>
  <c r="AE130" i="15"/>
  <c r="AF130" i="15"/>
  <c r="AG130" i="15"/>
  <c r="AH130" i="15"/>
  <c r="AI130" i="15"/>
  <c r="AJ130" i="15"/>
  <c r="AK130" i="15"/>
  <c r="AL130" i="15"/>
  <c r="AM130" i="15"/>
  <c r="AN130" i="15"/>
  <c r="AO130" i="15"/>
  <c r="AP130" i="15"/>
  <c r="C131" i="15"/>
  <c r="D131" i="15"/>
  <c r="E131" i="15"/>
  <c r="F131" i="15"/>
  <c r="G131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W131" i="15"/>
  <c r="X131" i="15"/>
  <c r="Y131" i="15"/>
  <c r="Z131" i="15"/>
  <c r="AA131" i="15"/>
  <c r="AB131" i="15"/>
  <c r="AC131" i="15"/>
  <c r="AD131" i="15"/>
  <c r="AE131" i="15"/>
  <c r="AF131" i="15"/>
  <c r="AG131" i="15"/>
  <c r="AH131" i="15"/>
  <c r="AI131" i="15"/>
  <c r="AJ131" i="15"/>
  <c r="AK131" i="15"/>
  <c r="AL131" i="15"/>
  <c r="AM131" i="15"/>
  <c r="AN131" i="15"/>
  <c r="AO131" i="15"/>
  <c r="AP131" i="15"/>
  <c r="C132" i="15"/>
  <c r="D132" i="15"/>
  <c r="E132" i="15"/>
  <c r="F132" i="15"/>
  <c r="G132" i="15"/>
  <c r="H132" i="15"/>
  <c r="I132" i="15"/>
  <c r="J132" i="15"/>
  <c r="K132" i="15"/>
  <c r="L132" i="15"/>
  <c r="M132" i="15"/>
  <c r="N132" i="15"/>
  <c r="O132" i="15"/>
  <c r="P132" i="15"/>
  <c r="Q132" i="15"/>
  <c r="R132" i="15"/>
  <c r="S132" i="15"/>
  <c r="T132" i="15"/>
  <c r="U132" i="15"/>
  <c r="V132" i="15"/>
  <c r="W132" i="15"/>
  <c r="X132" i="15"/>
  <c r="Y132" i="15"/>
  <c r="Z132" i="15"/>
  <c r="AA132" i="15"/>
  <c r="AB132" i="15"/>
  <c r="AC132" i="15"/>
  <c r="AD132" i="15"/>
  <c r="AE132" i="15"/>
  <c r="AF132" i="15"/>
  <c r="AG132" i="15"/>
  <c r="AH132" i="15"/>
  <c r="AI132" i="15"/>
  <c r="AJ132" i="15"/>
  <c r="AK132" i="15"/>
  <c r="AL132" i="15"/>
  <c r="AM132" i="15"/>
  <c r="AN132" i="15"/>
  <c r="AO132" i="15"/>
  <c r="AP132" i="15"/>
  <c r="C133" i="15"/>
  <c r="D133" i="15"/>
  <c r="E133" i="15"/>
  <c r="F133" i="15"/>
  <c r="G133" i="15"/>
  <c r="H133" i="15"/>
  <c r="I133" i="15"/>
  <c r="J133" i="15"/>
  <c r="K133" i="15"/>
  <c r="L133" i="15"/>
  <c r="M133" i="15"/>
  <c r="N133" i="15"/>
  <c r="O133" i="15"/>
  <c r="P133" i="15"/>
  <c r="Q133" i="15"/>
  <c r="R133" i="15"/>
  <c r="S133" i="15"/>
  <c r="T133" i="15"/>
  <c r="U133" i="15"/>
  <c r="V133" i="15"/>
  <c r="W133" i="15"/>
  <c r="X133" i="15"/>
  <c r="Y133" i="15"/>
  <c r="Z133" i="15"/>
  <c r="AA133" i="15"/>
  <c r="AB133" i="15"/>
  <c r="AC133" i="15"/>
  <c r="AD133" i="15"/>
  <c r="AE133" i="15"/>
  <c r="AF133" i="15"/>
  <c r="AG133" i="15"/>
  <c r="AH133" i="15"/>
  <c r="AI133" i="15"/>
  <c r="AJ133" i="15"/>
  <c r="AK133" i="15"/>
  <c r="AL133" i="15"/>
  <c r="AM133" i="15"/>
  <c r="AN133" i="15"/>
  <c r="AO133" i="15"/>
  <c r="AP133" i="15"/>
  <c r="C134" i="15"/>
  <c r="D134" i="15"/>
  <c r="E134" i="15"/>
  <c r="F134" i="15"/>
  <c r="G134" i="15"/>
  <c r="H134" i="15"/>
  <c r="I134" i="15"/>
  <c r="J134" i="15"/>
  <c r="K134" i="15"/>
  <c r="L134" i="15"/>
  <c r="M134" i="15"/>
  <c r="N134" i="15"/>
  <c r="O134" i="15"/>
  <c r="P134" i="15"/>
  <c r="Q134" i="15"/>
  <c r="R134" i="15"/>
  <c r="S134" i="15"/>
  <c r="T134" i="15"/>
  <c r="U134" i="15"/>
  <c r="V134" i="15"/>
  <c r="W134" i="15"/>
  <c r="X134" i="15"/>
  <c r="Y134" i="15"/>
  <c r="Z134" i="15"/>
  <c r="AA134" i="15"/>
  <c r="AB134" i="15"/>
  <c r="AC134" i="15"/>
  <c r="AD134" i="15"/>
  <c r="AE134" i="15"/>
  <c r="AF134" i="15"/>
  <c r="AG134" i="15"/>
  <c r="AH134" i="15"/>
  <c r="AI134" i="15"/>
  <c r="AJ134" i="15"/>
  <c r="AK134" i="15"/>
  <c r="AL134" i="15"/>
  <c r="AM134" i="15"/>
  <c r="AN134" i="15"/>
  <c r="AO134" i="15"/>
  <c r="AP134" i="15"/>
  <c r="C135" i="15"/>
  <c r="D135" i="15"/>
  <c r="E135" i="15"/>
  <c r="F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W135" i="15"/>
  <c r="X135" i="15"/>
  <c r="Y135" i="15"/>
  <c r="Z135" i="15"/>
  <c r="AA135" i="15"/>
  <c r="AB135" i="15"/>
  <c r="AC135" i="15"/>
  <c r="AD135" i="15"/>
  <c r="AE135" i="15"/>
  <c r="AF135" i="15"/>
  <c r="AG135" i="15"/>
  <c r="AH135" i="15"/>
  <c r="AI135" i="15"/>
  <c r="AJ135" i="15"/>
  <c r="AK135" i="15"/>
  <c r="AL135" i="15"/>
  <c r="AM135" i="15"/>
  <c r="AN135" i="15"/>
  <c r="AO135" i="15"/>
  <c r="AP135" i="15"/>
  <c r="C136" i="15"/>
  <c r="D136" i="15"/>
  <c r="E136" i="15"/>
  <c r="F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W136" i="15"/>
  <c r="X136" i="15"/>
  <c r="Y136" i="15"/>
  <c r="Z136" i="15"/>
  <c r="AA136" i="15"/>
  <c r="AB136" i="15"/>
  <c r="AC136" i="15"/>
  <c r="AD136" i="15"/>
  <c r="AE136" i="15"/>
  <c r="AF136" i="15"/>
  <c r="AG136" i="15"/>
  <c r="AH136" i="15"/>
  <c r="AI136" i="15"/>
  <c r="AJ136" i="15"/>
  <c r="AK136" i="15"/>
  <c r="AL136" i="15"/>
  <c r="AM136" i="15"/>
  <c r="AN136" i="15"/>
  <c r="AO136" i="15"/>
  <c r="AP136" i="15"/>
  <c r="C137" i="15"/>
  <c r="D137" i="15"/>
  <c r="E137" i="15"/>
  <c r="F137" i="15"/>
  <c r="G137" i="15"/>
  <c r="H137" i="15"/>
  <c r="I137" i="15"/>
  <c r="J137" i="15"/>
  <c r="K137" i="15"/>
  <c r="L137" i="15"/>
  <c r="M137" i="15"/>
  <c r="N137" i="15"/>
  <c r="O137" i="15"/>
  <c r="P137" i="15"/>
  <c r="Q137" i="15"/>
  <c r="R137" i="15"/>
  <c r="S137" i="15"/>
  <c r="T137" i="15"/>
  <c r="U137" i="15"/>
  <c r="V137" i="15"/>
  <c r="W137" i="15"/>
  <c r="X137" i="15"/>
  <c r="Y137" i="15"/>
  <c r="Z137" i="15"/>
  <c r="AA137" i="15"/>
  <c r="AB137" i="15"/>
  <c r="AC137" i="15"/>
  <c r="AD137" i="15"/>
  <c r="AE137" i="15"/>
  <c r="AF137" i="15"/>
  <c r="AG137" i="15"/>
  <c r="AH137" i="15"/>
  <c r="AI137" i="15"/>
  <c r="AJ137" i="15"/>
  <c r="AK137" i="15"/>
  <c r="AL137" i="15"/>
  <c r="AM137" i="15"/>
  <c r="AN137" i="15"/>
  <c r="AO137" i="15"/>
  <c r="AP137" i="15"/>
  <c r="C138" i="15"/>
  <c r="D138" i="15"/>
  <c r="E138" i="15"/>
  <c r="F138" i="15"/>
  <c r="G138" i="15"/>
  <c r="H138" i="15"/>
  <c r="I138" i="15"/>
  <c r="J138" i="15"/>
  <c r="K138" i="15"/>
  <c r="L138" i="15"/>
  <c r="M138" i="15"/>
  <c r="N138" i="15"/>
  <c r="O138" i="15"/>
  <c r="P138" i="15"/>
  <c r="Q138" i="15"/>
  <c r="R138" i="15"/>
  <c r="S138" i="15"/>
  <c r="T138" i="15"/>
  <c r="U138" i="15"/>
  <c r="V138" i="15"/>
  <c r="W138" i="15"/>
  <c r="X138" i="15"/>
  <c r="Y138" i="15"/>
  <c r="Z138" i="15"/>
  <c r="AA138" i="15"/>
  <c r="AB138" i="15"/>
  <c r="AC138" i="15"/>
  <c r="AD138" i="15"/>
  <c r="AE138" i="15"/>
  <c r="AF138" i="15"/>
  <c r="AG138" i="15"/>
  <c r="AH138" i="15"/>
  <c r="AI138" i="15"/>
  <c r="AJ138" i="15"/>
  <c r="AK138" i="15"/>
  <c r="AL138" i="15"/>
  <c r="AM138" i="15"/>
  <c r="AN138" i="15"/>
  <c r="AO138" i="15"/>
  <c r="AP138" i="15"/>
  <c r="C139" i="15"/>
  <c r="D139" i="15"/>
  <c r="E139" i="15"/>
  <c r="F139" i="15"/>
  <c r="G139" i="15"/>
  <c r="H139" i="15"/>
  <c r="I139" i="15"/>
  <c r="J139" i="15"/>
  <c r="K139" i="15"/>
  <c r="L139" i="15"/>
  <c r="M139" i="15"/>
  <c r="N139" i="15"/>
  <c r="O139" i="15"/>
  <c r="P139" i="15"/>
  <c r="Q139" i="15"/>
  <c r="R139" i="15"/>
  <c r="S139" i="15"/>
  <c r="T139" i="15"/>
  <c r="U139" i="15"/>
  <c r="V139" i="15"/>
  <c r="W139" i="15"/>
  <c r="X139" i="15"/>
  <c r="Y139" i="15"/>
  <c r="Z139" i="15"/>
  <c r="AA139" i="15"/>
  <c r="AB139" i="15"/>
  <c r="AC139" i="15"/>
  <c r="AD139" i="15"/>
  <c r="AE139" i="15"/>
  <c r="AF139" i="15"/>
  <c r="AG139" i="15"/>
  <c r="AH139" i="15"/>
  <c r="AI139" i="15"/>
  <c r="AJ139" i="15"/>
  <c r="AK139" i="15"/>
  <c r="AL139" i="15"/>
  <c r="AM139" i="15"/>
  <c r="AN139" i="15"/>
  <c r="AO139" i="15"/>
  <c r="AP139" i="15"/>
  <c r="C140" i="15"/>
  <c r="D140" i="15"/>
  <c r="E140" i="15"/>
  <c r="F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W140" i="15"/>
  <c r="X140" i="15"/>
  <c r="Y140" i="15"/>
  <c r="Z140" i="15"/>
  <c r="AA140" i="15"/>
  <c r="AB140" i="15"/>
  <c r="AC140" i="15"/>
  <c r="AD140" i="15"/>
  <c r="AE140" i="15"/>
  <c r="AF140" i="15"/>
  <c r="AG140" i="15"/>
  <c r="AH140" i="15"/>
  <c r="AI140" i="15"/>
  <c r="AJ140" i="15"/>
  <c r="AK140" i="15"/>
  <c r="AL140" i="15"/>
  <c r="AM140" i="15"/>
  <c r="AN140" i="15"/>
  <c r="AO140" i="15"/>
  <c r="AP140" i="15"/>
  <c r="C141" i="15"/>
  <c r="D141" i="15"/>
  <c r="E141" i="15"/>
  <c r="F141" i="15"/>
  <c r="G141" i="15"/>
  <c r="H141" i="15"/>
  <c r="I141" i="15"/>
  <c r="J141" i="15"/>
  <c r="K141" i="15"/>
  <c r="L141" i="15"/>
  <c r="M141" i="15"/>
  <c r="N141" i="15"/>
  <c r="O141" i="15"/>
  <c r="P141" i="15"/>
  <c r="Q141" i="15"/>
  <c r="R141" i="15"/>
  <c r="S141" i="15"/>
  <c r="T141" i="15"/>
  <c r="U141" i="15"/>
  <c r="V141" i="15"/>
  <c r="W141" i="15"/>
  <c r="X141" i="15"/>
  <c r="Y141" i="15"/>
  <c r="Z141" i="15"/>
  <c r="AA141" i="15"/>
  <c r="AB141" i="15"/>
  <c r="AC141" i="15"/>
  <c r="AD141" i="15"/>
  <c r="AE141" i="15"/>
  <c r="AF141" i="15"/>
  <c r="AG141" i="15"/>
  <c r="AH141" i="15"/>
  <c r="AI141" i="15"/>
  <c r="AJ141" i="15"/>
  <c r="AK141" i="15"/>
  <c r="AL141" i="15"/>
  <c r="AM141" i="15"/>
  <c r="AN141" i="15"/>
  <c r="AO141" i="15"/>
  <c r="AP141" i="15"/>
  <c r="C142" i="15"/>
  <c r="D142" i="15"/>
  <c r="E142" i="15"/>
  <c r="F142" i="15"/>
  <c r="G142" i="15"/>
  <c r="H142" i="15"/>
  <c r="I142" i="15"/>
  <c r="J142" i="15"/>
  <c r="K142" i="15"/>
  <c r="L142" i="15"/>
  <c r="M142" i="15"/>
  <c r="N142" i="15"/>
  <c r="O142" i="15"/>
  <c r="P142" i="15"/>
  <c r="Q142" i="15"/>
  <c r="R142" i="15"/>
  <c r="S142" i="15"/>
  <c r="T142" i="15"/>
  <c r="U142" i="15"/>
  <c r="V142" i="15"/>
  <c r="W142" i="15"/>
  <c r="X142" i="15"/>
  <c r="Y142" i="15"/>
  <c r="Z142" i="15"/>
  <c r="AA142" i="15"/>
  <c r="AB142" i="15"/>
  <c r="AC142" i="15"/>
  <c r="AD142" i="15"/>
  <c r="AE142" i="15"/>
  <c r="AF142" i="15"/>
  <c r="AG142" i="15"/>
  <c r="AH142" i="15"/>
  <c r="AI142" i="15"/>
  <c r="AJ142" i="15"/>
  <c r="AK142" i="15"/>
  <c r="AL142" i="15"/>
  <c r="AM142" i="15"/>
  <c r="AN142" i="15"/>
  <c r="AO142" i="15"/>
  <c r="AP142" i="15"/>
  <c r="C143" i="15"/>
  <c r="D143" i="15"/>
  <c r="E143" i="15"/>
  <c r="F143" i="15"/>
  <c r="G143" i="15"/>
  <c r="H143" i="15"/>
  <c r="I143" i="15"/>
  <c r="J143" i="15"/>
  <c r="K143" i="15"/>
  <c r="L143" i="15"/>
  <c r="M143" i="15"/>
  <c r="N143" i="15"/>
  <c r="O143" i="15"/>
  <c r="P143" i="15"/>
  <c r="Q143" i="15"/>
  <c r="R143" i="15"/>
  <c r="S143" i="15"/>
  <c r="T143" i="15"/>
  <c r="U143" i="15"/>
  <c r="V143" i="15"/>
  <c r="W143" i="15"/>
  <c r="X143" i="15"/>
  <c r="Y143" i="15"/>
  <c r="Z143" i="15"/>
  <c r="AA143" i="15"/>
  <c r="AB143" i="15"/>
  <c r="AC143" i="15"/>
  <c r="AD143" i="15"/>
  <c r="AE143" i="15"/>
  <c r="AF143" i="15"/>
  <c r="AG143" i="15"/>
  <c r="AH143" i="15"/>
  <c r="AI143" i="15"/>
  <c r="AJ143" i="15"/>
  <c r="AK143" i="15"/>
  <c r="AL143" i="15"/>
  <c r="AM143" i="15"/>
  <c r="AN143" i="15"/>
  <c r="AO143" i="15"/>
  <c r="AP143" i="15"/>
  <c r="C144" i="15"/>
  <c r="D144" i="15"/>
  <c r="E144" i="15"/>
  <c r="F144" i="15"/>
  <c r="G144" i="15"/>
  <c r="H144" i="15"/>
  <c r="I144" i="15"/>
  <c r="J144" i="15"/>
  <c r="K144" i="15"/>
  <c r="L144" i="15"/>
  <c r="M144" i="15"/>
  <c r="N144" i="15"/>
  <c r="O144" i="15"/>
  <c r="P144" i="15"/>
  <c r="Q144" i="15"/>
  <c r="R144" i="15"/>
  <c r="S144" i="15"/>
  <c r="T144" i="15"/>
  <c r="U144" i="15"/>
  <c r="V144" i="15"/>
  <c r="W144" i="15"/>
  <c r="X144" i="15"/>
  <c r="Y144" i="15"/>
  <c r="Z144" i="15"/>
  <c r="AA144" i="15"/>
  <c r="AB144" i="15"/>
  <c r="AC144" i="15"/>
  <c r="AD144" i="15"/>
  <c r="AE144" i="15"/>
  <c r="AF144" i="15"/>
  <c r="AG144" i="15"/>
  <c r="AH144" i="15"/>
  <c r="AI144" i="15"/>
  <c r="AJ144" i="15"/>
  <c r="AK144" i="15"/>
  <c r="AL144" i="15"/>
  <c r="AM144" i="15"/>
  <c r="AN144" i="15"/>
  <c r="AO144" i="15"/>
  <c r="AP144" i="15"/>
  <c r="C145" i="15"/>
  <c r="D145" i="15"/>
  <c r="E145" i="15"/>
  <c r="F145" i="15"/>
  <c r="G145" i="15"/>
  <c r="H145" i="15"/>
  <c r="I145" i="15"/>
  <c r="J145" i="15"/>
  <c r="K145" i="15"/>
  <c r="L145" i="15"/>
  <c r="M145" i="15"/>
  <c r="N145" i="15"/>
  <c r="O145" i="15"/>
  <c r="P145" i="15"/>
  <c r="Q145" i="15"/>
  <c r="R145" i="15"/>
  <c r="S145" i="15"/>
  <c r="T145" i="15"/>
  <c r="U145" i="15"/>
  <c r="V145" i="15"/>
  <c r="W145" i="15"/>
  <c r="X145" i="15"/>
  <c r="Y145" i="15"/>
  <c r="Z145" i="15"/>
  <c r="AA145" i="15"/>
  <c r="AB145" i="15"/>
  <c r="AC145" i="15"/>
  <c r="AD145" i="15"/>
  <c r="AE145" i="15"/>
  <c r="AF145" i="15"/>
  <c r="AG145" i="15"/>
  <c r="AH145" i="15"/>
  <c r="AI145" i="15"/>
  <c r="AJ145" i="15"/>
  <c r="AK145" i="15"/>
  <c r="AL145" i="15"/>
  <c r="AM145" i="15"/>
  <c r="AN145" i="15"/>
  <c r="AO145" i="15"/>
  <c r="AP145" i="15"/>
  <c r="C146" i="15"/>
  <c r="D146" i="15"/>
  <c r="E146" i="15"/>
  <c r="F146" i="15"/>
  <c r="G146" i="15"/>
  <c r="H146" i="15"/>
  <c r="I146" i="15"/>
  <c r="J146" i="15"/>
  <c r="K146" i="15"/>
  <c r="L146" i="15"/>
  <c r="M146" i="15"/>
  <c r="N146" i="15"/>
  <c r="O146" i="15"/>
  <c r="P146" i="15"/>
  <c r="Q146" i="15"/>
  <c r="R146" i="15"/>
  <c r="S146" i="15"/>
  <c r="T146" i="15"/>
  <c r="U146" i="15"/>
  <c r="V146" i="15"/>
  <c r="W146" i="15"/>
  <c r="X146" i="15"/>
  <c r="Y146" i="15"/>
  <c r="Z146" i="15"/>
  <c r="AA146" i="15"/>
  <c r="AB146" i="15"/>
  <c r="AC146" i="15"/>
  <c r="AD146" i="15"/>
  <c r="AE146" i="15"/>
  <c r="AF146" i="15"/>
  <c r="AG146" i="15"/>
  <c r="AH146" i="15"/>
  <c r="AI146" i="15"/>
  <c r="AJ146" i="15"/>
  <c r="AK146" i="15"/>
  <c r="AL146" i="15"/>
  <c r="AM146" i="15"/>
  <c r="AN146" i="15"/>
  <c r="AO146" i="15"/>
  <c r="AP146" i="15"/>
  <c r="C147" i="15"/>
  <c r="D147" i="15"/>
  <c r="E147" i="15"/>
  <c r="F147" i="15"/>
  <c r="G147" i="15"/>
  <c r="H147" i="15"/>
  <c r="I147" i="15"/>
  <c r="J147" i="15"/>
  <c r="K147" i="15"/>
  <c r="L147" i="15"/>
  <c r="M147" i="15"/>
  <c r="N147" i="15"/>
  <c r="O147" i="15"/>
  <c r="P147" i="15"/>
  <c r="Q147" i="15"/>
  <c r="R147" i="15"/>
  <c r="S147" i="15"/>
  <c r="T147" i="15"/>
  <c r="U147" i="15"/>
  <c r="V147" i="15"/>
  <c r="W147" i="15"/>
  <c r="X147" i="15"/>
  <c r="Y147" i="15"/>
  <c r="Z147" i="15"/>
  <c r="AA147" i="15"/>
  <c r="AB147" i="15"/>
  <c r="AC147" i="15"/>
  <c r="AD147" i="15"/>
  <c r="AE147" i="15"/>
  <c r="AF147" i="15"/>
  <c r="AG147" i="15"/>
  <c r="AH147" i="15"/>
  <c r="AI147" i="15"/>
  <c r="AJ147" i="15"/>
  <c r="AK147" i="15"/>
  <c r="AL147" i="15"/>
  <c r="AM147" i="15"/>
  <c r="AN147" i="15"/>
  <c r="AO147" i="15"/>
  <c r="AP147" i="15"/>
  <c r="C148" i="15"/>
  <c r="D148" i="15"/>
  <c r="E148" i="15"/>
  <c r="F148" i="15"/>
  <c r="G148" i="15"/>
  <c r="H148" i="15"/>
  <c r="I148" i="15"/>
  <c r="J148" i="15"/>
  <c r="K148" i="15"/>
  <c r="L148" i="15"/>
  <c r="M148" i="15"/>
  <c r="N148" i="15"/>
  <c r="O148" i="15"/>
  <c r="P148" i="15"/>
  <c r="Q148" i="15"/>
  <c r="R148" i="15"/>
  <c r="S148" i="15"/>
  <c r="T148" i="15"/>
  <c r="U148" i="15"/>
  <c r="V148" i="15"/>
  <c r="W148" i="15"/>
  <c r="X148" i="15"/>
  <c r="Y148" i="15"/>
  <c r="Z148" i="15"/>
  <c r="AA148" i="15"/>
  <c r="AB148" i="15"/>
  <c r="AC148" i="15"/>
  <c r="AD148" i="15"/>
  <c r="AE148" i="15"/>
  <c r="AF148" i="15"/>
  <c r="AG148" i="15"/>
  <c r="AH148" i="15"/>
  <c r="AI148" i="15"/>
  <c r="AJ148" i="15"/>
  <c r="AK148" i="15"/>
  <c r="AL148" i="15"/>
  <c r="AM148" i="15"/>
  <c r="AN148" i="15"/>
  <c r="AO148" i="15"/>
  <c r="AP148" i="15"/>
  <c r="C149" i="15"/>
  <c r="D149" i="15"/>
  <c r="E149" i="15"/>
  <c r="F149" i="15"/>
  <c r="G149" i="15"/>
  <c r="H149" i="15"/>
  <c r="I149" i="15"/>
  <c r="J149" i="15"/>
  <c r="K149" i="15"/>
  <c r="L149" i="15"/>
  <c r="M149" i="15"/>
  <c r="N149" i="15"/>
  <c r="O149" i="15"/>
  <c r="P149" i="15"/>
  <c r="Q149" i="15"/>
  <c r="R149" i="15"/>
  <c r="S149" i="15"/>
  <c r="T149" i="15"/>
  <c r="U149" i="15"/>
  <c r="V149" i="15"/>
  <c r="W149" i="15"/>
  <c r="X149" i="15"/>
  <c r="Y149" i="15"/>
  <c r="Z149" i="15"/>
  <c r="AA149" i="15"/>
  <c r="AB149" i="15"/>
  <c r="AC149" i="15"/>
  <c r="AD149" i="15"/>
  <c r="AE149" i="15"/>
  <c r="AF149" i="15"/>
  <c r="AG149" i="15"/>
  <c r="AH149" i="15"/>
  <c r="AI149" i="15"/>
  <c r="AJ149" i="15"/>
  <c r="AK149" i="15"/>
  <c r="AL149" i="15"/>
  <c r="AM149" i="15"/>
  <c r="AN149" i="15"/>
  <c r="AO149" i="15"/>
  <c r="AP149" i="15"/>
  <c r="C150" i="15"/>
  <c r="D150" i="15"/>
  <c r="E150" i="15"/>
  <c r="F150" i="15"/>
  <c r="G150" i="15"/>
  <c r="H150" i="15"/>
  <c r="I150" i="15"/>
  <c r="J150" i="15"/>
  <c r="K150" i="15"/>
  <c r="L150" i="15"/>
  <c r="M150" i="15"/>
  <c r="N150" i="15"/>
  <c r="O150" i="15"/>
  <c r="P150" i="15"/>
  <c r="Q150" i="15"/>
  <c r="R150" i="15"/>
  <c r="S150" i="15"/>
  <c r="T150" i="15"/>
  <c r="U150" i="15"/>
  <c r="V150" i="15"/>
  <c r="W150" i="15"/>
  <c r="X150" i="15"/>
  <c r="Y150" i="15"/>
  <c r="Z150" i="15"/>
  <c r="AA150" i="15"/>
  <c r="AB150" i="15"/>
  <c r="AC150" i="15"/>
  <c r="AD150" i="15"/>
  <c r="AE150" i="15"/>
  <c r="AF150" i="15"/>
  <c r="AG150" i="15"/>
  <c r="AH150" i="15"/>
  <c r="AI150" i="15"/>
  <c r="AJ150" i="15"/>
  <c r="AK150" i="15"/>
  <c r="AL150" i="15"/>
  <c r="AM150" i="15"/>
  <c r="AN150" i="15"/>
  <c r="AO150" i="15"/>
  <c r="AP150" i="15"/>
  <c r="C151" i="15"/>
  <c r="D151" i="15"/>
  <c r="E151" i="15"/>
  <c r="F151" i="15"/>
  <c r="G151" i="15"/>
  <c r="H151" i="15"/>
  <c r="I151" i="15"/>
  <c r="J151" i="15"/>
  <c r="K151" i="15"/>
  <c r="L151" i="15"/>
  <c r="M151" i="15"/>
  <c r="N151" i="15"/>
  <c r="O151" i="15"/>
  <c r="P151" i="15"/>
  <c r="Q151" i="15"/>
  <c r="R151" i="15"/>
  <c r="S151" i="15"/>
  <c r="T151" i="15"/>
  <c r="U151" i="15"/>
  <c r="V151" i="15"/>
  <c r="W151" i="15"/>
  <c r="X151" i="15"/>
  <c r="Y151" i="15"/>
  <c r="Z151" i="15"/>
  <c r="AA151" i="15"/>
  <c r="AB151" i="15"/>
  <c r="AC151" i="15"/>
  <c r="AD151" i="15"/>
  <c r="AE151" i="15"/>
  <c r="AF151" i="15"/>
  <c r="AG151" i="15"/>
  <c r="AH151" i="15"/>
  <c r="AI151" i="15"/>
  <c r="AJ151" i="15"/>
  <c r="AK151" i="15"/>
  <c r="AL151" i="15"/>
  <c r="AM151" i="15"/>
  <c r="AN151" i="15"/>
  <c r="AO151" i="15"/>
  <c r="AP151" i="15"/>
  <c r="C152" i="15"/>
  <c r="D152" i="15"/>
  <c r="E152" i="15"/>
  <c r="F152" i="15"/>
  <c r="G152" i="15"/>
  <c r="H152" i="15"/>
  <c r="I152" i="15"/>
  <c r="J152" i="15"/>
  <c r="K152" i="15"/>
  <c r="L152" i="15"/>
  <c r="M152" i="15"/>
  <c r="N152" i="15"/>
  <c r="O152" i="15"/>
  <c r="P152" i="15"/>
  <c r="Q152" i="15"/>
  <c r="R152" i="15"/>
  <c r="S152" i="15"/>
  <c r="T152" i="15"/>
  <c r="U152" i="15"/>
  <c r="V152" i="15"/>
  <c r="W152" i="15"/>
  <c r="X152" i="15"/>
  <c r="Y152" i="15"/>
  <c r="Z152" i="15"/>
  <c r="AA152" i="15"/>
  <c r="AB152" i="15"/>
  <c r="AC152" i="15"/>
  <c r="AD152" i="15"/>
  <c r="AE152" i="15"/>
  <c r="AF152" i="15"/>
  <c r="AG152" i="15"/>
  <c r="AH152" i="15"/>
  <c r="AI152" i="15"/>
  <c r="AJ152" i="15"/>
  <c r="AK152" i="15"/>
  <c r="AL152" i="15"/>
  <c r="AM152" i="15"/>
  <c r="AN152" i="15"/>
  <c r="AO152" i="15"/>
  <c r="AP152" i="15"/>
  <c r="C153" i="15"/>
  <c r="D153" i="15"/>
  <c r="E153" i="15"/>
  <c r="F153" i="15"/>
  <c r="G153" i="15"/>
  <c r="H153" i="15"/>
  <c r="I153" i="15"/>
  <c r="J153" i="15"/>
  <c r="K153" i="15"/>
  <c r="L153" i="15"/>
  <c r="M153" i="15"/>
  <c r="N153" i="15"/>
  <c r="O153" i="15"/>
  <c r="P153" i="15"/>
  <c r="Q153" i="15"/>
  <c r="R153" i="15"/>
  <c r="S153" i="15"/>
  <c r="T153" i="15"/>
  <c r="U153" i="15"/>
  <c r="V153" i="15"/>
  <c r="W153" i="15"/>
  <c r="X153" i="15"/>
  <c r="Y153" i="15"/>
  <c r="Z153" i="15"/>
  <c r="AA153" i="15"/>
  <c r="AB153" i="15"/>
  <c r="AC153" i="15"/>
  <c r="AD153" i="15"/>
  <c r="AE153" i="15"/>
  <c r="AF153" i="15"/>
  <c r="AG153" i="15"/>
  <c r="AH153" i="15"/>
  <c r="AI153" i="15"/>
  <c r="AJ153" i="15"/>
  <c r="AK153" i="15"/>
  <c r="AL153" i="15"/>
  <c r="AM153" i="15"/>
  <c r="AN153" i="15"/>
  <c r="AO153" i="15"/>
  <c r="AP153" i="15"/>
  <c r="C154" i="15"/>
  <c r="D154" i="15"/>
  <c r="E154" i="15"/>
  <c r="F154" i="15"/>
  <c r="G154" i="15"/>
  <c r="H154" i="15"/>
  <c r="I154" i="15"/>
  <c r="J154" i="15"/>
  <c r="K154" i="15"/>
  <c r="L154" i="15"/>
  <c r="M154" i="15"/>
  <c r="N154" i="15"/>
  <c r="O154" i="15"/>
  <c r="P154" i="15"/>
  <c r="Q154" i="15"/>
  <c r="R154" i="15"/>
  <c r="S154" i="15"/>
  <c r="T154" i="15"/>
  <c r="U154" i="15"/>
  <c r="V154" i="15"/>
  <c r="W154" i="15"/>
  <c r="X154" i="15"/>
  <c r="Y154" i="15"/>
  <c r="Z154" i="15"/>
  <c r="AA154" i="15"/>
  <c r="AB154" i="15"/>
  <c r="AC154" i="15"/>
  <c r="AD154" i="15"/>
  <c r="AE154" i="15"/>
  <c r="AF154" i="15"/>
  <c r="AG154" i="15"/>
  <c r="AH154" i="15"/>
  <c r="AI154" i="15"/>
  <c r="AJ154" i="15"/>
  <c r="AK154" i="15"/>
  <c r="AL154" i="15"/>
  <c r="AM154" i="15"/>
  <c r="AN154" i="15"/>
  <c r="AO154" i="15"/>
  <c r="AP154" i="15"/>
  <c r="C155" i="15"/>
  <c r="D155" i="15"/>
  <c r="E155" i="15"/>
  <c r="F155" i="15"/>
  <c r="G155" i="15"/>
  <c r="H155" i="15"/>
  <c r="I155" i="15"/>
  <c r="J155" i="15"/>
  <c r="K155" i="15"/>
  <c r="L155" i="15"/>
  <c r="M155" i="15"/>
  <c r="N155" i="15"/>
  <c r="O155" i="15"/>
  <c r="P155" i="15"/>
  <c r="Q155" i="15"/>
  <c r="R155" i="15"/>
  <c r="S155" i="15"/>
  <c r="T155" i="15"/>
  <c r="U155" i="15"/>
  <c r="V155" i="15"/>
  <c r="W155" i="15"/>
  <c r="X155" i="15"/>
  <c r="Y155" i="15"/>
  <c r="Z155" i="15"/>
  <c r="AA155" i="15"/>
  <c r="AB155" i="15"/>
  <c r="AC155" i="15"/>
  <c r="AD155" i="15"/>
  <c r="AE155" i="15"/>
  <c r="AF155" i="15"/>
  <c r="AG155" i="15"/>
  <c r="AH155" i="15"/>
  <c r="AI155" i="15"/>
  <c r="AJ155" i="15"/>
  <c r="AK155" i="15"/>
  <c r="AL155" i="15"/>
  <c r="AM155" i="15"/>
  <c r="AN155" i="15"/>
  <c r="AO155" i="15"/>
  <c r="AP155" i="15"/>
  <c r="C156" i="15"/>
  <c r="D156" i="15"/>
  <c r="E156" i="15"/>
  <c r="F156" i="15"/>
  <c r="G156" i="15"/>
  <c r="H156" i="15"/>
  <c r="I156" i="15"/>
  <c r="J156" i="15"/>
  <c r="K156" i="15"/>
  <c r="L156" i="15"/>
  <c r="M156" i="15"/>
  <c r="N156" i="15"/>
  <c r="O156" i="15"/>
  <c r="P156" i="15"/>
  <c r="Q156" i="15"/>
  <c r="R156" i="15"/>
  <c r="S156" i="15"/>
  <c r="T156" i="15"/>
  <c r="U156" i="15"/>
  <c r="V156" i="15"/>
  <c r="W156" i="15"/>
  <c r="X156" i="15"/>
  <c r="Y156" i="15"/>
  <c r="Z156" i="15"/>
  <c r="AA156" i="15"/>
  <c r="AB156" i="15"/>
  <c r="AC156" i="15"/>
  <c r="AD156" i="15"/>
  <c r="AE156" i="15"/>
  <c r="AF156" i="15"/>
  <c r="AG156" i="15"/>
  <c r="AH156" i="15"/>
  <c r="AI156" i="15"/>
  <c r="AJ156" i="15"/>
  <c r="AK156" i="15"/>
  <c r="AL156" i="15"/>
  <c r="AM156" i="15"/>
  <c r="AN156" i="15"/>
  <c r="AO156" i="15"/>
  <c r="AP156" i="15"/>
  <c r="C157" i="15"/>
  <c r="D157" i="15"/>
  <c r="E157" i="15"/>
  <c r="F157" i="15"/>
  <c r="G157" i="15"/>
  <c r="H157" i="15"/>
  <c r="I157" i="15"/>
  <c r="J157" i="15"/>
  <c r="K157" i="15"/>
  <c r="L157" i="15"/>
  <c r="M157" i="15"/>
  <c r="N157" i="15"/>
  <c r="O157" i="15"/>
  <c r="P157" i="15"/>
  <c r="Q157" i="15"/>
  <c r="R157" i="15"/>
  <c r="S157" i="15"/>
  <c r="T157" i="15"/>
  <c r="U157" i="15"/>
  <c r="V157" i="15"/>
  <c r="W157" i="15"/>
  <c r="X157" i="15"/>
  <c r="Y157" i="15"/>
  <c r="Z157" i="15"/>
  <c r="AA157" i="15"/>
  <c r="AB157" i="15"/>
  <c r="AC157" i="15"/>
  <c r="AD157" i="15"/>
  <c r="AE157" i="15"/>
  <c r="AF157" i="15"/>
  <c r="AG157" i="15"/>
  <c r="AH157" i="15"/>
  <c r="AI157" i="15"/>
  <c r="AJ157" i="15"/>
  <c r="AK157" i="15"/>
  <c r="AL157" i="15"/>
  <c r="AM157" i="15"/>
  <c r="AN157" i="15"/>
  <c r="AO157" i="15"/>
  <c r="AP157" i="15"/>
  <c r="C158" i="15"/>
  <c r="D158" i="15"/>
  <c r="E158" i="15"/>
  <c r="F158" i="15"/>
  <c r="G158" i="15"/>
  <c r="H158" i="15"/>
  <c r="I158" i="15"/>
  <c r="J158" i="15"/>
  <c r="K158" i="15"/>
  <c r="L158" i="15"/>
  <c r="M158" i="15"/>
  <c r="N158" i="15"/>
  <c r="O158" i="15"/>
  <c r="P158" i="15"/>
  <c r="Q158" i="15"/>
  <c r="R158" i="15"/>
  <c r="S158" i="15"/>
  <c r="T158" i="15"/>
  <c r="U158" i="15"/>
  <c r="V158" i="15"/>
  <c r="W158" i="15"/>
  <c r="X158" i="15"/>
  <c r="Y158" i="15"/>
  <c r="Z158" i="15"/>
  <c r="AA158" i="15"/>
  <c r="AB158" i="15"/>
  <c r="AC158" i="15"/>
  <c r="AD158" i="15"/>
  <c r="AE158" i="15"/>
  <c r="AF158" i="15"/>
  <c r="AG158" i="15"/>
  <c r="AH158" i="15"/>
  <c r="AI158" i="15"/>
  <c r="AJ158" i="15"/>
  <c r="AK158" i="15"/>
  <c r="AL158" i="15"/>
  <c r="AM158" i="15"/>
  <c r="AN158" i="15"/>
  <c r="AO158" i="15"/>
  <c r="AP158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J3" i="15"/>
  <c r="AK3" i="15"/>
  <c r="AL3" i="15"/>
  <c r="AM3" i="15"/>
  <c r="AN3" i="15"/>
  <c r="AO3" i="15"/>
  <c r="AP3" i="15"/>
  <c r="E3" i="15"/>
  <c r="F3" i="15"/>
  <c r="G3" i="15"/>
  <c r="H3" i="15"/>
  <c r="I3" i="15"/>
  <c r="J3" i="15"/>
  <c r="K3" i="15"/>
  <c r="D3" i="15"/>
  <c r="C3" i="15"/>
  <c r="C50" i="6"/>
  <c r="C4" i="6"/>
  <c r="C3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D110" i="6"/>
  <c r="C111" i="6"/>
  <c r="C112" i="6"/>
  <c r="C113" i="6"/>
  <c r="C114" i="6"/>
  <c r="D114" i="6"/>
  <c r="C115" i="6"/>
  <c r="C116" i="6"/>
  <c r="C117" i="6"/>
  <c r="C118" i="6"/>
  <c r="D118" i="6"/>
  <c r="C119" i="6"/>
  <c r="C120" i="6"/>
  <c r="C121" i="6"/>
  <c r="C122" i="6"/>
  <c r="D122" i="6"/>
  <c r="C123" i="6"/>
  <c r="C124" i="6"/>
  <c r="C125" i="6"/>
  <c r="C126" i="6"/>
  <c r="D126" i="6"/>
  <c r="C127" i="6"/>
  <c r="C128" i="6"/>
  <c r="C129" i="6"/>
  <c r="C130" i="6"/>
  <c r="D130" i="6"/>
  <c r="C131" i="6"/>
  <c r="C132" i="6"/>
  <c r="C133" i="6"/>
  <c r="C134" i="6"/>
  <c r="D134" i="6"/>
  <c r="C135" i="6"/>
  <c r="C136" i="6"/>
  <c r="C137" i="6"/>
  <c r="C138" i="6"/>
  <c r="D138" i="6"/>
  <c r="C139" i="6"/>
  <c r="C140" i="6"/>
  <c r="C141" i="6"/>
  <c r="C142" i="6"/>
  <c r="D142" i="6"/>
  <c r="C143" i="6"/>
  <c r="C144" i="6"/>
  <c r="C145" i="6"/>
  <c r="C146" i="6"/>
  <c r="D146" i="6"/>
  <c r="C147" i="6"/>
  <c r="C148" i="6"/>
  <c r="C149" i="6"/>
  <c r="C150" i="6"/>
  <c r="D150" i="6"/>
  <c r="C151" i="6"/>
  <c r="C152" i="6"/>
  <c r="C153" i="6"/>
  <c r="C154" i="6"/>
  <c r="D154" i="6"/>
  <c r="C155" i="6"/>
  <c r="C156" i="6"/>
  <c r="C157" i="6"/>
  <c r="C158" i="6"/>
  <c r="D158" i="6"/>
  <c r="D3" i="6"/>
  <c r="E2" i="6"/>
  <c r="F2" i="6" s="1"/>
  <c r="D2" i="6"/>
  <c r="D60" i="6" s="1"/>
  <c r="H3" i="1"/>
  <c r="H2" i="1"/>
  <c r="P67" i="3"/>
  <c r="P68" i="3"/>
  <c r="P69" i="3"/>
  <c r="P70" i="3"/>
  <c r="P71" i="3"/>
  <c r="P36" i="3"/>
  <c r="P72" i="3"/>
  <c r="P73" i="3"/>
  <c r="P74" i="3"/>
  <c r="P75" i="3"/>
  <c r="P76" i="3"/>
  <c r="P77" i="3"/>
  <c r="P78" i="3"/>
  <c r="P118" i="3"/>
  <c r="P37" i="3"/>
  <c r="P38" i="3"/>
  <c r="P39" i="3"/>
  <c r="P2" i="3"/>
  <c r="P40" i="3"/>
  <c r="P79" i="3"/>
  <c r="P119" i="3"/>
  <c r="P41" i="3"/>
  <c r="P120" i="3"/>
  <c r="P42" i="3"/>
  <c r="P106" i="3"/>
  <c r="P43" i="3"/>
  <c r="P144" i="3"/>
  <c r="P121" i="3"/>
  <c r="P122" i="3"/>
  <c r="P123" i="3"/>
  <c r="P3" i="3"/>
  <c r="P4" i="3"/>
  <c r="P5" i="3"/>
  <c r="P80" i="3"/>
  <c r="P44" i="3"/>
  <c r="P45" i="3"/>
  <c r="P6" i="3"/>
  <c r="P7" i="3"/>
  <c r="P46" i="3"/>
  <c r="P8" i="3"/>
  <c r="P151" i="3"/>
  <c r="P90" i="3"/>
  <c r="P107" i="3"/>
  <c r="P124" i="3"/>
  <c r="P152" i="3"/>
  <c r="P135" i="3"/>
  <c r="P47" i="3"/>
  <c r="P153" i="3"/>
  <c r="P154" i="3"/>
  <c r="P108" i="3"/>
  <c r="P136" i="3"/>
  <c r="P9" i="3"/>
  <c r="P109" i="3"/>
  <c r="P125" i="3"/>
  <c r="P10" i="3"/>
  <c r="P11" i="3"/>
  <c r="P81" i="3"/>
  <c r="P12" i="3"/>
  <c r="P110" i="3"/>
  <c r="P13" i="3"/>
  <c r="P145" i="3"/>
  <c r="P137" i="3"/>
  <c r="P48" i="3"/>
  <c r="P91" i="3"/>
  <c r="P92" i="3"/>
  <c r="P14" i="3"/>
  <c r="P49" i="3"/>
  <c r="P93" i="3"/>
  <c r="P94" i="3"/>
  <c r="P95" i="3"/>
  <c r="P138" i="3"/>
  <c r="P15" i="3"/>
  <c r="P96" i="3"/>
  <c r="P139" i="3"/>
  <c r="P97" i="3"/>
  <c r="P140" i="3"/>
  <c r="P16" i="3"/>
  <c r="P50" i="3"/>
  <c r="P51" i="3"/>
  <c r="P52" i="3"/>
  <c r="P53" i="3"/>
  <c r="P82" i="3"/>
  <c r="P54" i="3"/>
  <c r="P17" i="3"/>
  <c r="P141" i="3"/>
  <c r="P111" i="3"/>
  <c r="P55" i="3"/>
  <c r="P56" i="3"/>
  <c r="P112" i="3"/>
  <c r="P146" i="3"/>
  <c r="P57" i="3"/>
  <c r="P126" i="3"/>
  <c r="P58" i="3"/>
  <c r="P59" i="3"/>
  <c r="P127" i="3"/>
  <c r="P113" i="3"/>
  <c r="P155" i="3"/>
  <c r="P60" i="3"/>
  <c r="P83" i="3"/>
  <c r="P84" i="3"/>
  <c r="P128" i="3"/>
  <c r="P98" i="3"/>
  <c r="P156" i="3"/>
  <c r="P129" i="3"/>
  <c r="P157" i="3"/>
  <c r="P61" i="3"/>
  <c r="P85" i="3"/>
  <c r="P18" i="3"/>
  <c r="P86" i="3"/>
  <c r="P62" i="3"/>
  <c r="P19" i="3"/>
  <c r="P20" i="3"/>
  <c r="P21" i="3"/>
  <c r="P87" i="3"/>
  <c r="P130" i="3"/>
  <c r="P22" i="3"/>
  <c r="P131" i="3"/>
  <c r="P99" i="3"/>
  <c r="P23" i="3"/>
  <c r="P63" i="3"/>
  <c r="P114" i="3"/>
  <c r="P24" i="3"/>
  <c r="P64" i="3"/>
  <c r="P65" i="3"/>
  <c r="P25" i="3"/>
  <c r="P132" i="3"/>
  <c r="P115" i="3"/>
  <c r="P147" i="3"/>
  <c r="P100" i="3"/>
  <c r="P88" i="3"/>
  <c r="P101" i="3"/>
  <c r="P26" i="3"/>
  <c r="P133" i="3"/>
  <c r="P27" i="3"/>
  <c r="P148" i="3"/>
  <c r="P149" i="3"/>
  <c r="P28" i="3"/>
  <c r="P29" i="3"/>
  <c r="P150" i="3"/>
  <c r="P102" i="3"/>
  <c r="P116" i="3"/>
  <c r="P30" i="3"/>
  <c r="P142" i="3"/>
  <c r="P89" i="3"/>
  <c r="P103" i="3"/>
  <c r="P31" i="3"/>
  <c r="P117" i="3"/>
  <c r="P134" i="3"/>
  <c r="P32" i="3"/>
  <c r="P104" i="3"/>
  <c r="P33" i="3"/>
  <c r="P105" i="3"/>
  <c r="P34" i="3"/>
  <c r="P35" i="3"/>
  <c r="P143" i="3"/>
  <c r="P66" i="3"/>
  <c r="F8" i="9"/>
  <c r="F9" i="9"/>
  <c r="F6" i="9"/>
  <c r="F5" i="9"/>
  <c r="F7" i="9"/>
  <c r="F4" i="9"/>
  <c r="D58" i="6" l="1"/>
  <c r="D157" i="6"/>
  <c r="D153" i="6"/>
  <c r="D149" i="6"/>
  <c r="D145" i="6"/>
  <c r="D141" i="6"/>
  <c r="D137" i="6"/>
  <c r="D133" i="6"/>
  <c r="D129" i="6"/>
  <c r="D125" i="6"/>
  <c r="D121" i="6"/>
  <c r="D117" i="6"/>
  <c r="D113" i="6"/>
  <c r="D109" i="6"/>
  <c r="D156" i="6"/>
  <c r="D152" i="6"/>
  <c r="D148" i="6"/>
  <c r="D144" i="6"/>
  <c r="D140" i="6"/>
  <c r="D136" i="6"/>
  <c r="D132" i="6"/>
  <c r="D128" i="6"/>
  <c r="D124" i="6"/>
  <c r="D120" i="6"/>
  <c r="D116" i="6"/>
  <c r="D112" i="6"/>
  <c r="D108" i="6"/>
  <c r="D155" i="6"/>
  <c r="D151" i="6"/>
  <c r="D147" i="6"/>
  <c r="D143" i="6"/>
  <c r="D139" i="6"/>
  <c r="D135" i="6"/>
  <c r="D131" i="6"/>
  <c r="D127" i="6"/>
  <c r="D123" i="6"/>
  <c r="D119" i="6"/>
  <c r="D115" i="6"/>
  <c r="D111" i="6"/>
  <c r="D107" i="6"/>
  <c r="G2" i="6"/>
  <c r="F6" i="6"/>
  <c r="F7" i="6"/>
  <c r="F8" i="6"/>
  <c r="F5" i="6"/>
  <c r="F4" i="6"/>
  <c r="F10" i="6"/>
  <c r="F11" i="6"/>
  <c r="F12" i="6"/>
  <c r="F13" i="6"/>
  <c r="F9" i="6"/>
  <c r="F25" i="6"/>
  <c r="F26" i="6"/>
  <c r="F27" i="6"/>
  <c r="F28" i="6"/>
  <c r="F29" i="6"/>
  <c r="F30" i="6"/>
  <c r="F31" i="6"/>
  <c r="F16" i="6"/>
  <c r="F19" i="6"/>
  <c r="F18" i="6"/>
  <c r="F21" i="6"/>
  <c r="F32" i="6"/>
  <c r="F33" i="6"/>
  <c r="F34" i="6"/>
  <c r="F35" i="6"/>
  <c r="F36" i="6"/>
  <c r="F15" i="6"/>
  <c r="F20" i="6"/>
  <c r="F23" i="6"/>
  <c r="F14" i="6"/>
  <c r="F17" i="6"/>
  <c r="F22" i="6"/>
  <c r="F24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6" i="6"/>
  <c r="F70" i="6"/>
  <c r="F74" i="6"/>
  <c r="F63" i="6"/>
  <c r="F65" i="6"/>
  <c r="F3" i="6"/>
  <c r="F64" i="6"/>
  <c r="F68" i="6"/>
  <c r="F72" i="6"/>
  <c r="F76" i="6"/>
  <c r="F78" i="6"/>
  <c r="F82" i="6"/>
  <c r="F86" i="6"/>
  <c r="F90" i="6"/>
  <c r="F94" i="6"/>
  <c r="F98" i="6"/>
  <c r="F101" i="6"/>
  <c r="F106" i="6"/>
  <c r="F67" i="6"/>
  <c r="F69" i="6"/>
  <c r="F71" i="6"/>
  <c r="F73" i="6"/>
  <c r="F75" i="6"/>
  <c r="F77" i="6"/>
  <c r="F81" i="6"/>
  <c r="F85" i="6"/>
  <c r="F89" i="6"/>
  <c r="F93" i="6"/>
  <c r="F97" i="6"/>
  <c r="F103" i="6"/>
  <c r="F108" i="6"/>
  <c r="F110" i="6"/>
  <c r="F112" i="6"/>
  <c r="F114" i="6"/>
  <c r="F116" i="6"/>
  <c r="F118" i="6"/>
  <c r="F120" i="6"/>
  <c r="F80" i="6"/>
  <c r="F84" i="6"/>
  <c r="F88" i="6"/>
  <c r="F92" i="6"/>
  <c r="F96" i="6"/>
  <c r="F100" i="6"/>
  <c r="F102" i="6"/>
  <c r="F105" i="6"/>
  <c r="F79" i="6"/>
  <c r="F83" i="6"/>
  <c r="F87" i="6"/>
  <c r="F91" i="6"/>
  <c r="F95" i="6"/>
  <c r="F99" i="6"/>
  <c r="F104" i="6"/>
  <c r="F107" i="6"/>
  <c r="F109" i="6"/>
  <c r="F111" i="6"/>
  <c r="F113" i="6"/>
  <c r="F115" i="6"/>
  <c r="F117" i="6"/>
  <c r="F121" i="6"/>
  <c r="F123" i="6"/>
  <c r="F125" i="6"/>
  <c r="F127" i="6"/>
  <c r="F129" i="6"/>
  <c r="F131" i="6"/>
  <c r="F133" i="6"/>
  <c r="F135" i="6"/>
  <c r="F137" i="6"/>
  <c r="F139" i="6"/>
  <c r="F141" i="6"/>
  <c r="F143" i="6"/>
  <c r="F145" i="6"/>
  <c r="F147" i="6"/>
  <c r="F149" i="6"/>
  <c r="F151" i="6"/>
  <c r="F153" i="6"/>
  <c r="F155" i="6"/>
  <c r="F157" i="6"/>
  <c r="F119" i="6"/>
  <c r="F122" i="6"/>
  <c r="F124" i="6"/>
  <c r="F126" i="6"/>
  <c r="F128" i="6"/>
  <c r="F130" i="6"/>
  <c r="F132" i="6"/>
  <c r="F134" i="6"/>
  <c r="F136" i="6"/>
  <c r="F138" i="6"/>
  <c r="F140" i="6"/>
  <c r="F142" i="6"/>
  <c r="F144" i="6"/>
  <c r="F146" i="6"/>
  <c r="F148" i="6"/>
  <c r="F150" i="6"/>
  <c r="F152" i="6"/>
  <c r="F154" i="6"/>
  <c r="F158" i="6"/>
  <c r="E5" i="6"/>
  <c r="E4" i="6"/>
  <c r="E6" i="6"/>
  <c r="E7" i="6"/>
  <c r="E8" i="6"/>
  <c r="E9" i="6"/>
  <c r="E10" i="6"/>
  <c r="E11" i="6"/>
  <c r="E12" i="6"/>
  <c r="E13" i="6"/>
  <c r="E14" i="6"/>
  <c r="E16" i="6"/>
  <c r="E18" i="6"/>
  <c r="E20" i="6"/>
  <c r="E22" i="6"/>
  <c r="E24" i="6"/>
  <c r="E21" i="6"/>
  <c r="E15" i="6"/>
  <c r="E23" i="6"/>
  <c r="E17" i="6"/>
  <c r="E25" i="6"/>
  <c r="E19" i="6"/>
  <c r="E26" i="6"/>
  <c r="E31" i="6"/>
  <c r="E29" i="6"/>
  <c r="E32" i="6"/>
  <c r="E35" i="6"/>
  <c r="E37" i="6"/>
  <c r="E39" i="6"/>
  <c r="E34" i="6"/>
  <c r="E30" i="6"/>
  <c r="E36" i="6"/>
  <c r="E27" i="6"/>
  <c r="E28" i="6"/>
  <c r="E33" i="6"/>
  <c r="E38" i="6"/>
  <c r="E42" i="6"/>
  <c r="E47" i="6"/>
  <c r="E50" i="6"/>
  <c r="E41" i="6"/>
  <c r="E44" i="6"/>
  <c r="E49" i="6"/>
  <c r="E52" i="6"/>
  <c r="E43" i="6"/>
  <c r="E40" i="6"/>
  <c r="E45" i="6"/>
  <c r="E48" i="6"/>
  <c r="E46" i="6"/>
  <c r="E51" i="6"/>
  <c r="E62" i="6"/>
  <c r="E56" i="6"/>
  <c r="E61" i="6"/>
  <c r="E63" i="6"/>
  <c r="E65" i="6"/>
  <c r="E67" i="6"/>
  <c r="E69" i="6"/>
  <c r="E71" i="6"/>
  <c r="E73" i="6"/>
  <c r="E75" i="6"/>
  <c r="E77" i="6"/>
  <c r="E79" i="6"/>
  <c r="E81" i="6"/>
  <c r="E83" i="6"/>
  <c r="E85" i="6"/>
  <c r="E87" i="6"/>
  <c r="E89" i="6"/>
  <c r="E91" i="6"/>
  <c r="E93" i="6"/>
  <c r="E95" i="6"/>
  <c r="E97" i="6"/>
  <c r="E99" i="6"/>
  <c r="E53" i="6"/>
  <c r="E54" i="6"/>
  <c r="E58" i="6"/>
  <c r="E55" i="6"/>
  <c r="E57" i="6"/>
  <c r="E60" i="6"/>
  <c r="E64" i="6"/>
  <c r="E66" i="6"/>
  <c r="E68" i="6"/>
  <c r="E70" i="6"/>
  <c r="E72" i="6"/>
  <c r="E74" i="6"/>
  <c r="E76" i="6"/>
  <c r="E78" i="6"/>
  <c r="E80" i="6"/>
  <c r="E82" i="6"/>
  <c r="E84" i="6"/>
  <c r="E86" i="6"/>
  <c r="E88" i="6"/>
  <c r="E90" i="6"/>
  <c r="E92" i="6"/>
  <c r="E94" i="6"/>
  <c r="E96" i="6"/>
  <c r="E98" i="6"/>
  <c r="E100" i="6"/>
  <c r="E102" i="6"/>
  <c r="E104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59" i="6"/>
  <c r="E103" i="6"/>
  <c r="E105" i="6"/>
  <c r="E101" i="6"/>
  <c r="E3" i="6"/>
  <c r="F156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7" i="6"/>
  <c r="D29" i="6"/>
  <c r="D31" i="6"/>
  <c r="D26" i="6"/>
  <c r="D28" i="6"/>
  <c r="D32" i="6"/>
  <c r="D34" i="6"/>
  <c r="D36" i="6"/>
  <c r="D30" i="6"/>
  <c r="D33" i="6"/>
  <c r="D35" i="6"/>
  <c r="D37" i="6"/>
  <c r="D39" i="6"/>
  <c r="D41" i="6"/>
  <c r="D43" i="6"/>
  <c r="D45" i="6"/>
  <c r="D47" i="6"/>
  <c r="D49" i="6"/>
  <c r="D51" i="6"/>
  <c r="D53" i="6"/>
  <c r="D55" i="6"/>
  <c r="D57" i="6"/>
  <c r="D59" i="6"/>
  <c r="D61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44" i="6"/>
  <c r="D52" i="6"/>
  <c r="D46" i="6"/>
  <c r="D54" i="6"/>
  <c r="D40" i="6"/>
  <c r="D38" i="6"/>
  <c r="D42" i="6"/>
  <c r="D50" i="6"/>
  <c r="D62" i="6"/>
  <c r="D48" i="6"/>
  <c r="D56" i="6"/>
  <c r="H2" i="6" l="1"/>
  <c r="G4" i="6"/>
  <c r="G5" i="6"/>
  <c r="G6" i="6"/>
  <c r="G7" i="6"/>
  <c r="G8" i="6"/>
  <c r="G10" i="6"/>
  <c r="G9" i="6"/>
  <c r="G11" i="6"/>
  <c r="G12" i="6"/>
  <c r="G13" i="6"/>
  <c r="G15" i="6"/>
  <c r="G17" i="6"/>
  <c r="G19" i="6"/>
  <c r="G21" i="6"/>
  <c r="G23" i="6"/>
  <c r="G14" i="6"/>
  <c r="G22" i="6"/>
  <c r="G16" i="6"/>
  <c r="G24" i="6"/>
  <c r="G26" i="6"/>
  <c r="G28" i="6"/>
  <c r="G30" i="6"/>
  <c r="G18" i="6"/>
  <c r="G20" i="6"/>
  <c r="G27" i="6"/>
  <c r="G25" i="6"/>
  <c r="G29" i="6"/>
  <c r="G33" i="6"/>
  <c r="G35" i="6"/>
  <c r="G32" i="6"/>
  <c r="G34" i="6"/>
  <c r="G31" i="6"/>
  <c r="G36" i="6"/>
  <c r="G38" i="6"/>
  <c r="G40" i="6"/>
  <c r="G42" i="6"/>
  <c r="G44" i="6"/>
  <c r="G46" i="6"/>
  <c r="G48" i="6"/>
  <c r="G50" i="6"/>
  <c r="G52" i="6"/>
  <c r="G54" i="6"/>
  <c r="G56" i="6"/>
  <c r="G58" i="6"/>
  <c r="G60" i="6"/>
  <c r="G62" i="6"/>
  <c r="G37" i="6"/>
  <c r="G45" i="6"/>
  <c r="G53" i="6"/>
  <c r="G47" i="6"/>
  <c r="G55" i="6"/>
  <c r="G41" i="6"/>
  <c r="G39" i="6"/>
  <c r="G43" i="6"/>
  <c r="G51" i="6"/>
  <c r="G49" i="6"/>
  <c r="G57" i="6"/>
  <c r="G59" i="6"/>
  <c r="G64" i="6"/>
  <c r="G66" i="6"/>
  <c r="G68" i="6"/>
  <c r="G70" i="6"/>
  <c r="G72" i="6"/>
  <c r="G74" i="6"/>
  <c r="G76" i="6"/>
  <c r="G78" i="6"/>
  <c r="G80" i="6"/>
  <c r="G82" i="6"/>
  <c r="G84" i="6"/>
  <c r="G86" i="6"/>
  <c r="G88" i="6"/>
  <c r="G90" i="6"/>
  <c r="G92" i="6"/>
  <c r="G94" i="6"/>
  <c r="G96" i="6"/>
  <c r="G98" i="6"/>
  <c r="G100" i="6"/>
  <c r="G61" i="6"/>
  <c r="G63" i="6"/>
  <c r="G65" i="6"/>
  <c r="G67" i="6"/>
  <c r="G69" i="6"/>
  <c r="G71" i="6"/>
  <c r="G73" i="6"/>
  <c r="G75" i="6"/>
  <c r="G77" i="6"/>
  <c r="G79" i="6"/>
  <c r="G81" i="6"/>
  <c r="G83" i="6"/>
  <c r="G85" i="6"/>
  <c r="G87" i="6"/>
  <c r="G89" i="6"/>
  <c r="G91" i="6"/>
  <c r="G93" i="6"/>
  <c r="G95" i="6"/>
  <c r="G97" i="6"/>
  <c r="G99" i="6"/>
  <c r="G101" i="6"/>
  <c r="G103" i="6"/>
  <c r="G105" i="6"/>
  <c r="G104" i="6"/>
  <c r="G107" i="6"/>
  <c r="G109" i="6"/>
  <c r="G111" i="6"/>
  <c r="G106" i="6"/>
  <c r="G108" i="6"/>
  <c r="G110" i="6"/>
  <c r="G112" i="6"/>
  <c r="G114" i="6"/>
  <c r="G116" i="6"/>
  <c r="G118" i="6"/>
  <c r="G102" i="6"/>
  <c r="G3" i="6"/>
  <c r="G113" i="6"/>
  <c r="G117" i="6"/>
  <c r="G120" i="6"/>
  <c r="G121" i="6"/>
  <c r="G123" i="6"/>
  <c r="G125" i="6"/>
  <c r="G127" i="6"/>
  <c r="G129" i="6"/>
  <c r="G131" i="6"/>
  <c r="G133" i="6"/>
  <c r="G135" i="6"/>
  <c r="G137" i="6"/>
  <c r="G139" i="6"/>
  <c r="G141" i="6"/>
  <c r="G143" i="6"/>
  <c r="G145" i="6"/>
  <c r="G147" i="6"/>
  <c r="G149" i="6"/>
  <c r="G151" i="6"/>
  <c r="G153" i="6"/>
  <c r="G155" i="6"/>
  <c r="G115" i="6"/>
  <c r="G119" i="6"/>
  <c r="G122" i="6"/>
  <c r="G124" i="6"/>
  <c r="G126" i="6"/>
  <c r="G128" i="6"/>
  <c r="G130" i="6"/>
  <c r="G132" i="6"/>
  <c r="G134" i="6"/>
  <c r="G136" i="6"/>
  <c r="G138" i="6"/>
  <c r="G140" i="6"/>
  <c r="G142" i="6"/>
  <c r="G144" i="6"/>
  <c r="G146" i="6"/>
  <c r="G148" i="6"/>
  <c r="G150" i="6"/>
  <c r="G152" i="6"/>
  <c r="G154" i="6"/>
  <c r="G156" i="6"/>
  <c r="G157" i="6"/>
  <c r="G158" i="6"/>
  <c r="I2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31" i="6"/>
  <c r="H33" i="6"/>
  <c r="H36" i="6"/>
  <c r="H38" i="6"/>
  <c r="H29" i="6"/>
  <c r="H35" i="6"/>
  <c r="H32" i="6"/>
  <c r="H30" i="6"/>
  <c r="H34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39" i="6"/>
  <c r="H40" i="6"/>
  <c r="H43" i="6"/>
  <c r="H48" i="6"/>
  <c r="H51" i="6"/>
  <c r="H37" i="6"/>
  <c r="H42" i="6"/>
  <c r="H45" i="6"/>
  <c r="H50" i="6"/>
  <c r="H53" i="6"/>
  <c r="H44" i="6"/>
  <c r="H41" i="6"/>
  <c r="H46" i="6"/>
  <c r="H49" i="6"/>
  <c r="H55" i="6"/>
  <c r="H57" i="6"/>
  <c r="H62" i="6"/>
  <c r="H56" i="6"/>
  <c r="H59" i="6"/>
  <c r="H47" i="6"/>
  <c r="H52" i="6"/>
  <c r="H54" i="6"/>
  <c r="H58" i="6"/>
  <c r="H61" i="6"/>
  <c r="H60" i="6"/>
  <c r="H107" i="6"/>
  <c r="H109" i="6"/>
  <c r="H111" i="6"/>
  <c r="H113" i="6"/>
  <c r="H115" i="6"/>
  <c r="H117" i="6"/>
  <c r="H119" i="6"/>
  <c r="H108" i="6"/>
  <c r="H110" i="6"/>
  <c r="H112" i="6"/>
  <c r="H114" i="6"/>
  <c r="H116" i="6"/>
  <c r="H122" i="6"/>
  <c r="H124" i="6"/>
  <c r="H126" i="6"/>
  <c r="H128" i="6"/>
  <c r="H130" i="6"/>
  <c r="H132" i="6"/>
  <c r="H134" i="6"/>
  <c r="H136" i="6"/>
  <c r="H138" i="6"/>
  <c r="H140" i="6"/>
  <c r="H142" i="6"/>
  <c r="H144" i="6"/>
  <c r="H146" i="6"/>
  <c r="H148" i="6"/>
  <c r="H150" i="6"/>
  <c r="H152" i="6"/>
  <c r="H154" i="6"/>
  <c r="H156" i="6"/>
  <c r="H158" i="6"/>
  <c r="H118" i="6"/>
  <c r="H120" i="6"/>
  <c r="H121" i="6"/>
  <c r="H123" i="6"/>
  <c r="H125" i="6"/>
  <c r="H127" i="6"/>
  <c r="H129" i="6"/>
  <c r="H131" i="6"/>
  <c r="H133" i="6"/>
  <c r="H135" i="6"/>
  <c r="H137" i="6"/>
  <c r="H139" i="6"/>
  <c r="H141" i="6"/>
  <c r="H143" i="6"/>
  <c r="H145" i="6"/>
  <c r="H147" i="6"/>
  <c r="H149" i="6"/>
  <c r="H151" i="6"/>
  <c r="H153" i="6"/>
  <c r="H157" i="6"/>
  <c r="H3" i="6"/>
  <c r="H155" i="6"/>
  <c r="J2" i="6" l="1"/>
  <c r="I4" i="6"/>
  <c r="I9" i="6"/>
  <c r="I5" i="6"/>
  <c r="I6" i="6"/>
  <c r="I7" i="6"/>
  <c r="I8" i="6"/>
  <c r="I10" i="6"/>
  <c r="I11" i="6"/>
  <c r="I13" i="6"/>
  <c r="I17" i="6"/>
  <c r="I20" i="6"/>
  <c r="I14" i="6"/>
  <c r="I19" i="6"/>
  <c r="I22" i="6"/>
  <c r="I25" i="6"/>
  <c r="I27" i="6"/>
  <c r="I29" i="6"/>
  <c r="I31" i="6"/>
  <c r="I12" i="6"/>
  <c r="I16" i="6"/>
  <c r="I21" i="6"/>
  <c r="I24" i="6"/>
  <c r="I15" i="6"/>
  <c r="I18" i="6"/>
  <c r="I23" i="6"/>
  <c r="I30" i="6"/>
  <c r="I32" i="6"/>
  <c r="I34" i="6"/>
  <c r="I36" i="6"/>
  <c r="I26" i="6"/>
  <c r="I28" i="6"/>
  <c r="I33" i="6"/>
  <c r="I35" i="6"/>
  <c r="I37" i="6"/>
  <c r="I39" i="6"/>
  <c r="I41" i="6"/>
  <c r="I43" i="6"/>
  <c r="I45" i="6"/>
  <c r="I47" i="6"/>
  <c r="I49" i="6"/>
  <c r="I51" i="6"/>
  <c r="I53" i="6"/>
  <c r="I55" i="6"/>
  <c r="I57" i="6"/>
  <c r="I59" i="6"/>
  <c r="I61" i="6"/>
  <c r="I46" i="6"/>
  <c r="I38" i="6"/>
  <c r="I40" i="6"/>
  <c r="I48" i="6"/>
  <c r="I42" i="6"/>
  <c r="I44" i="6"/>
  <c r="I52" i="6"/>
  <c r="I54" i="6"/>
  <c r="I65" i="6"/>
  <c r="I69" i="6"/>
  <c r="I73" i="6"/>
  <c r="I60" i="6"/>
  <c r="I50" i="6"/>
  <c r="I62" i="6"/>
  <c r="I64" i="6"/>
  <c r="I5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58" i="6"/>
  <c r="I63" i="6"/>
  <c r="I67" i="6"/>
  <c r="I71" i="6"/>
  <c r="I75" i="6"/>
  <c r="I79" i="6"/>
  <c r="I83" i="6"/>
  <c r="I87" i="6"/>
  <c r="I91" i="6"/>
  <c r="I95" i="6"/>
  <c r="I99" i="6"/>
  <c r="I102" i="6"/>
  <c r="I66" i="6"/>
  <c r="I68" i="6"/>
  <c r="I70" i="6"/>
  <c r="I72" i="6"/>
  <c r="I74" i="6"/>
  <c r="I76" i="6"/>
  <c r="I78" i="6"/>
  <c r="I82" i="6"/>
  <c r="I86" i="6"/>
  <c r="I90" i="6"/>
  <c r="I94" i="6"/>
  <c r="I98" i="6"/>
  <c r="I101" i="6"/>
  <c r="I104" i="6"/>
  <c r="I77" i="6"/>
  <c r="I81" i="6"/>
  <c r="I85" i="6"/>
  <c r="I89" i="6"/>
  <c r="I93" i="6"/>
  <c r="I97" i="6"/>
  <c r="I103" i="6"/>
  <c r="I106" i="6"/>
  <c r="I80" i="6"/>
  <c r="I84" i="6"/>
  <c r="I88" i="6"/>
  <c r="I92" i="6"/>
  <c r="I96" i="6"/>
  <c r="I100" i="6"/>
  <c r="I105" i="6"/>
  <c r="I3" i="6"/>
  <c r="K2" i="6" l="1"/>
  <c r="J5" i="6"/>
  <c r="J6" i="6"/>
  <c r="J7" i="6"/>
  <c r="J4" i="6"/>
  <c r="J11" i="6"/>
  <c r="J12" i="6"/>
  <c r="J9" i="6"/>
  <c r="J8" i="6"/>
  <c r="J10" i="6"/>
  <c r="J14" i="6"/>
  <c r="J16" i="6"/>
  <c r="J18" i="6"/>
  <c r="J20" i="6"/>
  <c r="J22" i="6"/>
  <c r="J24" i="6"/>
  <c r="J25" i="6"/>
  <c r="J26" i="6"/>
  <c r="J27" i="6"/>
  <c r="J28" i="6"/>
  <c r="J29" i="6"/>
  <c r="J30" i="6"/>
  <c r="J31" i="6"/>
  <c r="J15" i="6"/>
  <c r="J13" i="6"/>
  <c r="J17" i="6"/>
  <c r="J32" i="6"/>
  <c r="J33" i="6"/>
  <c r="J34" i="6"/>
  <c r="J35" i="6"/>
  <c r="J36" i="6"/>
  <c r="J19" i="6"/>
  <c r="J23" i="6"/>
  <c r="J21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5" i="6"/>
  <c r="J67" i="6"/>
  <c r="J69" i="6"/>
  <c r="J71" i="6"/>
  <c r="J73" i="6"/>
  <c r="J75" i="6"/>
  <c r="J77" i="6"/>
  <c r="J79" i="6"/>
  <c r="J81" i="6"/>
  <c r="J83" i="6"/>
  <c r="J85" i="6"/>
  <c r="J87" i="6"/>
  <c r="J89" i="6"/>
  <c r="J91" i="6"/>
  <c r="J93" i="6"/>
  <c r="J95" i="6"/>
  <c r="J97" i="6"/>
  <c r="J99" i="6"/>
  <c r="J64" i="6"/>
  <c r="J66" i="6"/>
  <c r="J68" i="6"/>
  <c r="J70" i="6"/>
  <c r="J72" i="6"/>
  <c r="J74" i="6"/>
  <c r="J76" i="6"/>
  <c r="J78" i="6"/>
  <c r="J80" i="6"/>
  <c r="J82" i="6"/>
  <c r="J84" i="6"/>
  <c r="J86" i="6"/>
  <c r="J88" i="6"/>
  <c r="J90" i="6"/>
  <c r="J92" i="6"/>
  <c r="J94" i="6"/>
  <c r="J96" i="6"/>
  <c r="J98" i="6"/>
  <c r="J100" i="6"/>
  <c r="J102" i="6"/>
  <c r="J104" i="6"/>
  <c r="J106" i="6"/>
  <c r="J3" i="6"/>
  <c r="J105" i="6"/>
  <c r="J108" i="6"/>
  <c r="J110" i="6"/>
  <c r="J112" i="6"/>
  <c r="J101" i="6"/>
  <c r="J107" i="6"/>
  <c r="J109" i="6"/>
  <c r="J111" i="6"/>
  <c r="J113" i="6"/>
  <c r="J115" i="6"/>
  <c r="J117" i="6"/>
  <c r="J103" i="6"/>
  <c r="J116" i="6"/>
  <c r="J119" i="6"/>
  <c r="J122" i="6"/>
  <c r="J124" i="6"/>
  <c r="J126" i="6"/>
  <c r="J128" i="6"/>
  <c r="J130" i="6"/>
  <c r="J132" i="6"/>
  <c r="J134" i="6"/>
  <c r="J136" i="6"/>
  <c r="J138" i="6"/>
  <c r="J140" i="6"/>
  <c r="J142" i="6"/>
  <c r="J144" i="6"/>
  <c r="J146" i="6"/>
  <c r="J148" i="6"/>
  <c r="J150" i="6"/>
  <c r="J152" i="6"/>
  <c r="J154" i="6"/>
  <c r="J114" i="6"/>
  <c r="J118" i="6"/>
  <c r="J120" i="6"/>
  <c r="J121" i="6"/>
  <c r="J123" i="6"/>
  <c r="J125" i="6"/>
  <c r="J127" i="6"/>
  <c r="J129" i="6"/>
  <c r="J131" i="6"/>
  <c r="J133" i="6"/>
  <c r="J135" i="6"/>
  <c r="J137" i="6"/>
  <c r="J139" i="6"/>
  <c r="J141" i="6"/>
  <c r="J143" i="6"/>
  <c r="J145" i="6"/>
  <c r="J147" i="6"/>
  <c r="J149" i="6"/>
  <c r="J151" i="6"/>
  <c r="J153" i="6"/>
  <c r="J155" i="6"/>
  <c r="J156" i="6"/>
  <c r="J158" i="6"/>
  <c r="J157" i="6"/>
  <c r="L2" i="6" l="1"/>
  <c r="K5" i="6"/>
  <c r="K4" i="6"/>
  <c r="K8" i="6"/>
  <c r="K10" i="6"/>
  <c r="K9" i="6"/>
  <c r="K6" i="6"/>
  <c r="K7" i="6"/>
  <c r="K11" i="6"/>
  <c r="K13" i="6"/>
  <c r="K18" i="6"/>
  <c r="K21" i="6"/>
  <c r="K15" i="6"/>
  <c r="K20" i="6"/>
  <c r="K23" i="6"/>
  <c r="K14" i="6"/>
  <c r="K17" i="6"/>
  <c r="K22" i="6"/>
  <c r="K25" i="6"/>
  <c r="K12" i="6"/>
  <c r="K16" i="6"/>
  <c r="K19" i="6"/>
  <c r="K26" i="6"/>
  <c r="K24" i="6"/>
  <c r="K28" i="6"/>
  <c r="K27" i="6"/>
  <c r="K30" i="6"/>
  <c r="K34" i="6"/>
  <c r="K37" i="6"/>
  <c r="K39" i="6"/>
  <c r="K31" i="6"/>
  <c r="K29" i="6"/>
  <c r="K33" i="6"/>
  <c r="K32" i="6"/>
  <c r="K35" i="6"/>
  <c r="K41" i="6"/>
  <c r="K44" i="6"/>
  <c r="K49" i="6"/>
  <c r="K52" i="6"/>
  <c r="K36" i="6"/>
  <c r="K43" i="6"/>
  <c r="K46" i="6"/>
  <c r="K51" i="6"/>
  <c r="K54" i="6"/>
  <c r="K38" i="6"/>
  <c r="K40" i="6"/>
  <c r="K42" i="6"/>
  <c r="K47" i="6"/>
  <c r="K50" i="6"/>
  <c r="K56" i="6"/>
  <c r="K61" i="6"/>
  <c r="K66" i="6"/>
  <c r="K70" i="6"/>
  <c r="K74" i="6"/>
  <c r="K55" i="6"/>
  <c r="K58" i="6"/>
  <c r="K45" i="6"/>
  <c r="K48" i="6"/>
  <c r="K57" i="6"/>
  <c r="K60" i="6"/>
  <c r="K63" i="6"/>
  <c r="K65" i="6"/>
  <c r="K53" i="6"/>
  <c r="K59" i="6"/>
  <c r="K62" i="6"/>
  <c r="K64" i="6"/>
  <c r="K68" i="6"/>
  <c r="K72" i="6"/>
  <c r="K76" i="6"/>
  <c r="K80" i="6"/>
  <c r="K84" i="6"/>
  <c r="K88" i="6"/>
  <c r="K92" i="6"/>
  <c r="K96" i="6"/>
  <c r="K100" i="6"/>
  <c r="K103" i="6"/>
  <c r="K79" i="6"/>
  <c r="K83" i="6"/>
  <c r="K87" i="6"/>
  <c r="K91" i="6"/>
  <c r="K95" i="6"/>
  <c r="K99" i="6"/>
  <c r="K102" i="6"/>
  <c r="K105" i="6"/>
  <c r="K108" i="6"/>
  <c r="K110" i="6"/>
  <c r="K112" i="6"/>
  <c r="K114" i="6"/>
  <c r="K116" i="6"/>
  <c r="K118" i="6"/>
  <c r="K120" i="6"/>
  <c r="K67" i="6"/>
  <c r="K69" i="6"/>
  <c r="K71" i="6"/>
  <c r="K73" i="6"/>
  <c r="K75" i="6"/>
  <c r="K78" i="6"/>
  <c r="K82" i="6"/>
  <c r="K86" i="6"/>
  <c r="K90" i="6"/>
  <c r="K94" i="6"/>
  <c r="K98" i="6"/>
  <c r="K104" i="6"/>
  <c r="K77" i="6"/>
  <c r="K81" i="6"/>
  <c r="K85" i="6"/>
  <c r="K89" i="6"/>
  <c r="K93" i="6"/>
  <c r="K97" i="6"/>
  <c r="K101" i="6"/>
  <c r="K106" i="6"/>
  <c r="K107" i="6"/>
  <c r="K109" i="6"/>
  <c r="K111" i="6"/>
  <c r="K113" i="6"/>
  <c r="K115" i="6"/>
  <c r="K117" i="6"/>
  <c r="K121" i="6"/>
  <c r="K123" i="6"/>
  <c r="K125" i="6"/>
  <c r="K127" i="6"/>
  <c r="K129" i="6"/>
  <c r="K131" i="6"/>
  <c r="K133" i="6"/>
  <c r="K135" i="6"/>
  <c r="K137" i="6"/>
  <c r="K139" i="6"/>
  <c r="K141" i="6"/>
  <c r="K143" i="6"/>
  <c r="K145" i="6"/>
  <c r="K147" i="6"/>
  <c r="K149" i="6"/>
  <c r="K151" i="6"/>
  <c r="K153" i="6"/>
  <c r="K155" i="6"/>
  <c r="K157" i="6"/>
  <c r="K119" i="6"/>
  <c r="K122" i="6"/>
  <c r="K124" i="6"/>
  <c r="K126" i="6"/>
  <c r="K128" i="6"/>
  <c r="K130" i="6"/>
  <c r="K132" i="6"/>
  <c r="K134" i="6"/>
  <c r="K136" i="6"/>
  <c r="K138" i="6"/>
  <c r="K140" i="6"/>
  <c r="K142" i="6"/>
  <c r="K144" i="6"/>
  <c r="K146" i="6"/>
  <c r="K148" i="6"/>
  <c r="K150" i="6"/>
  <c r="K152" i="6"/>
  <c r="K154" i="6"/>
  <c r="K158" i="6"/>
  <c r="K156" i="6"/>
  <c r="K3" i="6"/>
  <c r="M2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6" i="6"/>
  <c r="L28" i="6"/>
  <c r="L30" i="6"/>
  <c r="L31" i="6"/>
  <c r="L33" i="6"/>
  <c r="L35" i="6"/>
  <c r="L32" i="6"/>
  <c r="L25" i="6"/>
  <c r="L27" i="6"/>
  <c r="L34" i="6"/>
  <c r="L36" i="6"/>
  <c r="L29" i="6"/>
  <c r="L38" i="6"/>
  <c r="L40" i="6"/>
  <c r="L42" i="6"/>
  <c r="L44" i="6"/>
  <c r="L46" i="6"/>
  <c r="L48" i="6"/>
  <c r="L50" i="6"/>
  <c r="L52" i="6"/>
  <c r="L54" i="6"/>
  <c r="L56" i="6"/>
  <c r="L58" i="6"/>
  <c r="L60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47" i="6"/>
  <c r="L39" i="6"/>
  <c r="L41" i="6"/>
  <c r="L49" i="6"/>
  <c r="L37" i="6"/>
  <c r="L43" i="6"/>
  <c r="L45" i="6"/>
  <c r="L53" i="6"/>
  <c r="L51" i="6"/>
  <c r="L61" i="6"/>
  <c r="L55" i="6"/>
  <c r="L57" i="6"/>
  <c r="L59" i="6"/>
  <c r="L107" i="6"/>
  <c r="L109" i="6"/>
  <c r="L111" i="6"/>
  <c r="L108" i="6"/>
  <c r="L110" i="6"/>
  <c r="L112" i="6"/>
  <c r="L114" i="6"/>
  <c r="L116" i="6"/>
  <c r="L118" i="6"/>
  <c r="L115" i="6"/>
  <c r="L120" i="6"/>
  <c r="L3" i="6"/>
  <c r="L121" i="6"/>
  <c r="L123" i="6"/>
  <c r="L125" i="6"/>
  <c r="L127" i="6"/>
  <c r="L129" i="6"/>
  <c r="L131" i="6"/>
  <c r="L133" i="6"/>
  <c r="L135" i="6"/>
  <c r="L137" i="6"/>
  <c r="L139" i="6"/>
  <c r="L141" i="6"/>
  <c r="L143" i="6"/>
  <c r="L145" i="6"/>
  <c r="L147" i="6"/>
  <c r="L149" i="6"/>
  <c r="L151" i="6"/>
  <c r="L153" i="6"/>
  <c r="L155" i="6"/>
  <c r="L113" i="6"/>
  <c r="L117" i="6"/>
  <c r="L119" i="6"/>
  <c r="L122" i="6"/>
  <c r="L124" i="6"/>
  <c r="L126" i="6"/>
  <c r="L128" i="6"/>
  <c r="L130" i="6"/>
  <c r="L132" i="6"/>
  <c r="L134" i="6"/>
  <c r="L136" i="6"/>
  <c r="L138" i="6"/>
  <c r="L140" i="6"/>
  <c r="L142" i="6"/>
  <c r="L144" i="6"/>
  <c r="L146" i="6"/>
  <c r="L148" i="6"/>
  <c r="L150" i="6"/>
  <c r="L152" i="6"/>
  <c r="L154" i="6"/>
  <c r="L156" i="6"/>
  <c r="L157" i="6"/>
  <c r="L158" i="6"/>
  <c r="N2" i="6" l="1"/>
  <c r="M4" i="6"/>
  <c r="M6" i="6"/>
  <c r="M7" i="6"/>
  <c r="M8" i="6"/>
  <c r="M10" i="6"/>
  <c r="M5" i="6"/>
  <c r="M9" i="6"/>
  <c r="M11" i="6"/>
  <c r="M12" i="6"/>
  <c r="M13" i="6"/>
  <c r="M15" i="6"/>
  <c r="M17" i="6"/>
  <c r="M19" i="6"/>
  <c r="M21" i="6"/>
  <c r="M23" i="6"/>
  <c r="M16" i="6"/>
  <c r="M18" i="6"/>
  <c r="M20" i="6"/>
  <c r="M14" i="6"/>
  <c r="M24" i="6"/>
  <c r="M22" i="6"/>
  <c r="M25" i="6"/>
  <c r="M27" i="6"/>
  <c r="M26" i="6"/>
  <c r="M29" i="6"/>
  <c r="M35" i="6"/>
  <c r="M38" i="6"/>
  <c r="M30" i="6"/>
  <c r="M32" i="6"/>
  <c r="M28" i="6"/>
  <c r="M31" i="6"/>
  <c r="M34" i="6"/>
  <c r="M33" i="6"/>
  <c r="M36" i="6"/>
  <c r="M42" i="6"/>
  <c r="M45" i="6"/>
  <c r="M50" i="6"/>
  <c r="M44" i="6"/>
  <c r="M47" i="6"/>
  <c r="M52" i="6"/>
  <c r="M55" i="6"/>
  <c r="M39" i="6"/>
  <c r="M41" i="6"/>
  <c r="M37" i="6"/>
  <c r="M40" i="6"/>
  <c r="M43" i="6"/>
  <c r="M48" i="6"/>
  <c r="M51" i="6"/>
  <c r="M57" i="6"/>
  <c r="M62" i="6"/>
  <c r="M46" i="6"/>
  <c r="M49" i="6"/>
  <c r="M53" i="6"/>
  <c r="M54" i="6"/>
  <c r="M56" i="6"/>
  <c r="M59" i="6"/>
  <c r="M64" i="6"/>
  <c r="M66" i="6"/>
  <c r="M68" i="6"/>
  <c r="M70" i="6"/>
  <c r="M72" i="6"/>
  <c r="M74" i="6"/>
  <c r="M76" i="6"/>
  <c r="M78" i="6"/>
  <c r="M80" i="6"/>
  <c r="M82" i="6"/>
  <c r="M84" i="6"/>
  <c r="M86" i="6"/>
  <c r="M88" i="6"/>
  <c r="M90" i="6"/>
  <c r="M92" i="6"/>
  <c r="M94" i="6"/>
  <c r="M96" i="6"/>
  <c r="M98" i="6"/>
  <c r="M58" i="6"/>
  <c r="M61" i="6"/>
  <c r="M60" i="6"/>
  <c r="M63" i="6"/>
  <c r="M65" i="6"/>
  <c r="M67" i="6"/>
  <c r="M69" i="6"/>
  <c r="M71" i="6"/>
  <c r="M73" i="6"/>
  <c r="M75" i="6"/>
  <c r="M77" i="6"/>
  <c r="M79" i="6"/>
  <c r="M81" i="6"/>
  <c r="M83" i="6"/>
  <c r="M85" i="6"/>
  <c r="M87" i="6"/>
  <c r="M89" i="6"/>
  <c r="M91" i="6"/>
  <c r="M93" i="6"/>
  <c r="M95" i="6"/>
  <c r="M97" i="6"/>
  <c r="M99" i="6"/>
  <c r="M101" i="6"/>
  <c r="M103" i="6"/>
  <c r="M105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06" i="6"/>
  <c r="M100" i="6"/>
  <c r="M102" i="6"/>
  <c r="M104" i="6"/>
  <c r="M3" i="6"/>
  <c r="O2" i="6" l="1"/>
  <c r="N5" i="6"/>
  <c r="N6" i="6"/>
  <c r="N7" i="6"/>
  <c r="N4" i="6"/>
  <c r="N9" i="6"/>
  <c r="N11" i="6"/>
  <c r="N12" i="6"/>
  <c r="N8" i="6"/>
  <c r="N10" i="6"/>
  <c r="N25" i="6"/>
  <c r="N26" i="6"/>
  <c r="N27" i="6"/>
  <c r="N28" i="6"/>
  <c r="N29" i="6"/>
  <c r="N30" i="6"/>
  <c r="N14" i="6"/>
  <c r="N19" i="6"/>
  <c r="N22" i="6"/>
  <c r="N16" i="6"/>
  <c r="N21" i="6"/>
  <c r="N24" i="6"/>
  <c r="N31" i="6"/>
  <c r="N32" i="6"/>
  <c r="N33" i="6"/>
  <c r="N34" i="6"/>
  <c r="N35" i="6"/>
  <c r="N36" i="6"/>
  <c r="N13" i="6"/>
  <c r="N15" i="6"/>
  <c r="N18" i="6"/>
  <c r="N23" i="6"/>
  <c r="N17" i="6"/>
  <c r="N20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5" i="6"/>
  <c r="N69" i="6"/>
  <c r="N73" i="6"/>
  <c r="N64" i="6"/>
  <c r="N3" i="6"/>
  <c r="N63" i="6"/>
  <c r="N67" i="6"/>
  <c r="N71" i="6"/>
  <c r="N75" i="6"/>
  <c r="N77" i="6"/>
  <c r="N81" i="6"/>
  <c r="N85" i="6"/>
  <c r="N89" i="6"/>
  <c r="N93" i="6"/>
  <c r="N97" i="6"/>
  <c r="N101" i="6"/>
  <c r="N104" i="6"/>
  <c r="N80" i="6"/>
  <c r="N84" i="6"/>
  <c r="N88" i="6"/>
  <c r="N92" i="6"/>
  <c r="N96" i="6"/>
  <c r="N103" i="6"/>
  <c r="N106" i="6"/>
  <c r="N107" i="6"/>
  <c r="N109" i="6"/>
  <c r="N111" i="6"/>
  <c r="N113" i="6"/>
  <c r="N115" i="6"/>
  <c r="N117" i="6"/>
  <c r="N119" i="6"/>
  <c r="N66" i="6"/>
  <c r="N68" i="6"/>
  <c r="N70" i="6"/>
  <c r="N72" i="6"/>
  <c r="N74" i="6"/>
  <c r="N76" i="6"/>
  <c r="N79" i="6"/>
  <c r="N83" i="6"/>
  <c r="N87" i="6"/>
  <c r="N91" i="6"/>
  <c r="N95" i="6"/>
  <c r="N99" i="6"/>
  <c r="N100" i="6"/>
  <c r="N105" i="6"/>
  <c r="N78" i="6"/>
  <c r="N82" i="6"/>
  <c r="N86" i="6"/>
  <c r="N90" i="6"/>
  <c r="N94" i="6"/>
  <c r="N98" i="6"/>
  <c r="N102" i="6"/>
  <c r="N108" i="6"/>
  <c r="N110" i="6"/>
  <c r="N112" i="6"/>
  <c r="N114" i="6"/>
  <c r="N116" i="6"/>
  <c r="N118" i="6"/>
  <c r="N122" i="6"/>
  <c r="N124" i="6"/>
  <c r="N126" i="6"/>
  <c r="N128" i="6"/>
  <c r="N130" i="6"/>
  <c r="N132" i="6"/>
  <c r="N134" i="6"/>
  <c r="N136" i="6"/>
  <c r="N138" i="6"/>
  <c r="N140" i="6"/>
  <c r="N142" i="6"/>
  <c r="N144" i="6"/>
  <c r="N146" i="6"/>
  <c r="N148" i="6"/>
  <c r="N150" i="6"/>
  <c r="N152" i="6"/>
  <c r="N154" i="6"/>
  <c r="N156" i="6"/>
  <c r="N158" i="6"/>
  <c r="N120" i="6"/>
  <c r="N121" i="6"/>
  <c r="N123" i="6"/>
  <c r="N125" i="6"/>
  <c r="N127" i="6"/>
  <c r="N129" i="6"/>
  <c r="N131" i="6"/>
  <c r="N133" i="6"/>
  <c r="N135" i="6"/>
  <c r="N137" i="6"/>
  <c r="N139" i="6"/>
  <c r="N141" i="6"/>
  <c r="N143" i="6"/>
  <c r="N145" i="6"/>
  <c r="N147" i="6"/>
  <c r="N149" i="6"/>
  <c r="N151" i="6"/>
  <c r="N153" i="6"/>
  <c r="N155" i="6"/>
  <c r="N157" i="6"/>
  <c r="P2" i="6" l="1"/>
  <c r="O5" i="6"/>
  <c r="O4" i="6"/>
  <c r="O6" i="6"/>
  <c r="O7" i="6"/>
  <c r="O9" i="6"/>
  <c r="O8" i="6"/>
  <c r="O10" i="6"/>
  <c r="O11" i="6"/>
  <c r="O12" i="6"/>
  <c r="O14" i="6"/>
  <c r="O16" i="6"/>
  <c r="O18" i="6"/>
  <c r="O20" i="6"/>
  <c r="O22" i="6"/>
  <c r="O24" i="6"/>
  <c r="O17" i="6"/>
  <c r="O19" i="6"/>
  <c r="O25" i="6"/>
  <c r="O27" i="6"/>
  <c r="O29" i="6"/>
  <c r="O21" i="6"/>
  <c r="O13" i="6"/>
  <c r="O15" i="6"/>
  <c r="O26" i="6"/>
  <c r="O23" i="6"/>
  <c r="O32" i="6"/>
  <c r="O34" i="6"/>
  <c r="O36" i="6"/>
  <c r="O33" i="6"/>
  <c r="O35" i="6"/>
  <c r="O30" i="6"/>
  <c r="O28" i="6"/>
  <c r="O31" i="6"/>
  <c r="O37" i="6"/>
  <c r="O39" i="6"/>
  <c r="O41" i="6"/>
  <c r="O43" i="6"/>
  <c r="O45" i="6"/>
  <c r="O47" i="6"/>
  <c r="O49" i="6"/>
  <c r="O51" i="6"/>
  <c r="O53" i="6"/>
  <c r="O55" i="6"/>
  <c r="O57" i="6"/>
  <c r="O59" i="6"/>
  <c r="O61" i="6"/>
  <c r="O40" i="6"/>
  <c r="O48" i="6"/>
  <c r="O42" i="6"/>
  <c r="O50" i="6"/>
  <c r="O44" i="6"/>
  <c r="O38" i="6"/>
  <c r="O46" i="6"/>
  <c r="O52" i="6"/>
  <c r="O62" i="6"/>
  <c r="O63" i="6"/>
  <c r="O65" i="6"/>
  <c r="O67" i="6"/>
  <c r="O69" i="6"/>
  <c r="O71" i="6"/>
  <c r="O73" i="6"/>
  <c r="O75" i="6"/>
  <c r="O77" i="6"/>
  <c r="O79" i="6"/>
  <c r="O81" i="6"/>
  <c r="O83" i="6"/>
  <c r="O85" i="6"/>
  <c r="O87" i="6"/>
  <c r="O89" i="6"/>
  <c r="O91" i="6"/>
  <c r="O93" i="6"/>
  <c r="O95" i="6"/>
  <c r="O97" i="6"/>
  <c r="O99" i="6"/>
  <c r="O54" i="6"/>
  <c r="O56" i="6"/>
  <c r="O58" i="6"/>
  <c r="O64" i="6"/>
  <c r="O66" i="6"/>
  <c r="O68" i="6"/>
  <c r="O70" i="6"/>
  <c r="O72" i="6"/>
  <c r="O74" i="6"/>
  <c r="O76" i="6"/>
  <c r="O78" i="6"/>
  <c r="O80" i="6"/>
  <c r="O82" i="6"/>
  <c r="O84" i="6"/>
  <c r="O86" i="6"/>
  <c r="O88" i="6"/>
  <c r="O90" i="6"/>
  <c r="O92" i="6"/>
  <c r="O94" i="6"/>
  <c r="O96" i="6"/>
  <c r="O98" i="6"/>
  <c r="O100" i="6"/>
  <c r="O102" i="6"/>
  <c r="O104" i="6"/>
  <c r="O106" i="6"/>
  <c r="O60" i="6"/>
  <c r="O108" i="6"/>
  <c r="O110" i="6"/>
  <c r="O101" i="6"/>
  <c r="O103" i="6"/>
  <c r="O107" i="6"/>
  <c r="O109" i="6"/>
  <c r="O111" i="6"/>
  <c r="O113" i="6"/>
  <c r="O115" i="6"/>
  <c r="O117" i="6"/>
  <c r="O105" i="6"/>
  <c r="O112" i="6"/>
  <c r="O116" i="6"/>
  <c r="O118" i="6"/>
  <c r="O122" i="6"/>
  <c r="O124" i="6"/>
  <c r="O126" i="6"/>
  <c r="O128" i="6"/>
  <c r="O130" i="6"/>
  <c r="O132" i="6"/>
  <c r="O134" i="6"/>
  <c r="O136" i="6"/>
  <c r="O138" i="6"/>
  <c r="O140" i="6"/>
  <c r="O142" i="6"/>
  <c r="O144" i="6"/>
  <c r="O146" i="6"/>
  <c r="O148" i="6"/>
  <c r="O150" i="6"/>
  <c r="O152" i="6"/>
  <c r="O154" i="6"/>
  <c r="O120" i="6"/>
  <c r="O114" i="6"/>
  <c r="O119" i="6"/>
  <c r="O121" i="6"/>
  <c r="O123" i="6"/>
  <c r="O125" i="6"/>
  <c r="O127" i="6"/>
  <c r="O129" i="6"/>
  <c r="O131" i="6"/>
  <c r="O133" i="6"/>
  <c r="O135" i="6"/>
  <c r="O137" i="6"/>
  <c r="O139" i="6"/>
  <c r="O141" i="6"/>
  <c r="O143" i="6"/>
  <c r="O145" i="6"/>
  <c r="O147" i="6"/>
  <c r="O149" i="6"/>
  <c r="O151" i="6"/>
  <c r="O153" i="6"/>
  <c r="O155" i="6"/>
  <c r="O158" i="6"/>
  <c r="O157" i="6"/>
  <c r="O3" i="6"/>
  <c r="O156" i="6"/>
  <c r="Q2" i="6" l="1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7" i="6"/>
  <c r="P30" i="6"/>
  <c r="P28" i="6"/>
  <c r="P29" i="6"/>
  <c r="P31" i="6"/>
  <c r="P36" i="6"/>
  <c r="P37" i="6"/>
  <c r="P39" i="6"/>
  <c r="P33" i="6"/>
  <c r="P26" i="6"/>
  <c r="P32" i="6"/>
  <c r="P35" i="6"/>
  <c r="P34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38" i="6"/>
  <c r="P43" i="6"/>
  <c r="P46" i="6"/>
  <c r="P51" i="6"/>
  <c r="P40" i="6"/>
  <c r="P45" i="6"/>
  <c r="P48" i="6"/>
  <c r="P53" i="6"/>
  <c r="P42" i="6"/>
  <c r="P41" i="6"/>
  <c r="P44" i="6"/>
  <c r="P49" i="6"/>
  <c r="P47" i="6"/>
  <c r="P57" i="6"/>
  <c r="P60" i="6"/>
  <c r="P52" i="6"/>
  <c r="P59" i="6"/>
  <c r="P62" i="6"/>
  <c r="P50" i="6"/>
  <c r="P54" i="6"/>
  <c r="P55" i="6"/>
  <c r="P56" i="6"/>
  <c r="P61" i="6"/>
  <c r="P58" i="6"/>
  <c r="P108" i="6"/>
  <c r="P110" i="6"/>
  <c r="P112" i="6"/>
  <c r="P114" i="6"/>
  <c r="P116" i="6"/>
  <c r="P118" i="6"/>
  <c r="P120" i="6"/>
  <c r="P107" i="6"/>
  <c r="P109" i="6"/>
  <c r="P111" i="6"/>
  <c r="P113" i="6"/>
  <c r="P115" i="6"/>
  <c r="P117" i="6"/>
  <c r="P119" i="6"/>
  <c r="P121" i="6"/>
  <c r="P123" i="6"/>
  <c r="P125" i="6"/>
  <c r="P127" i="6"/>
  <c r="P129" i="6"/>
  <c r="P131" i="6"/>
  <c r="P133" i="6"/>
  <c r="P135" i="6"/>
  <c r="P137" i="6"/>
  <c r="P139" i="6"/>
  <c r="P141" i="6"/>
  <c r="P143" i="6"/>
  <c r="P145" i="6"/>
  <c r="P147" i="6"/>
  <c r="P149" i="6"/>
  <c r="P151" i="6"/>
  <c r="P153" i="6"/>
  <c r="P155" i="6"/>
  <c r="P157" i="6"/>
  <c r="P122" i="6"/>
  <c r="P124" i="6"/>
  <c r="P126" i="6"/>
  <c r="P128" i="6"/>
  <c r="P130" i="6"/>
  <c r="P132" i="6"/>
  <c r="P134" i="6"/>
  <c r="P136" i="6"/>
  <c r="P138" i="6"/>
  <c r="P140" i="6"/>
  <c r="P142" i="6"/>
  <c r="P144" i="6"/>
  <c r="P146" i="6"/>
  <c r="P148" i="6"/>
  <c r="P150" i="6"/>
  <c r="P152" i="6"/>
  <c r="P154" i="6"/>
  <c r="P156" i="6"/>
  <c r="P158" i="6"/>
  <c r="P3" i="6"/>
  <c r="R2" i="6" l="1"/>
  <c r="Q4" i="6"/>
  <c r="Q5" i="6"/>
  <c r="Q8" i="6"/>
  <c r="Q10" i="6"/>
  <c r="Q6" i="6"/>
  <c r="Q7" i="6"/>
  <c r="Q9" i="6"/>
  <c r="Q13" i="6"/>
  <c r="Q12" i="6"/>
  <c r="Q15" i="6"/>
  <c r="Q20" i="6"/>
  <c r="Q11" i="6"/>
  <c r="Q14" i="6"/>
  <c r="Q17" i="6"/>
  <c r="Q22" i="6"/>
  <c r="Q26" i="6"/>
  <c r="Q28" i="6"/>
  <c r="Q30" i="6"/>
  <c r="Q16" i="6"/>
  <c r="Q19" i="6"/>
  <c r="Q24" i="6"/>
  <c r="Q18" i="6"/>
  <c r="Q23" i="6"/>
  <c r="Q21" i="6"/>
  <c r="Q25" i="6"/>
  <c r="Q31" i="6"/>
  <c r="Q33" i="6"/>
  <c r="Q35" i="6"/>
  <c r="Q34" i="6"/>
  <c r="Q29" i="6"/>
  <c r="Q27" i="6"/>
  <c r="Q32" i="6"/>
  <c r="Q38" i="6"/>
  <c r="Q40" i="6"/>
  <c r="Q42" i="6"/>
  <c r="Q44" i="6"/>
  <c r="Q46" i="6"/>
  <c r="Q48" i="6"/>
  <c r="Q50" i="6"/>
  <c r="Q52" i="6"/>
  <c r="Q54" i="6"/>
  <c r="Q56" i="6"/>
  <c r="Q58" i="6"/>
  <c r="Q60" i="6"/>
  <c r="Q62" i="6"/>
  <c r="Q37" i="6"/>
  <c r="Q41" i="6"/>
  <c r="Q49" i="6"/>
  <c r="Q43" i="6"/>
  <c r="Q51" i="6"/>
  <c r="Q36" i="6"/>
  <c r="Q39" i="6"/>
  <c r="Q47" i="6"/>
  <c r="Q55" i="6"/>
  <c r="Q61" i="6"/>
  <c r="Q66" i="6"/>
  <c r="Q70" i="6"/>
  <c r="Q74" i="6"/>
  <c r="Q53" i="6"/>
  <c r="Q57" i="6"/>
  <c r="Q63" i="6"/>
  <c r="Q65" i="6"/>
  <c r="Q45" i="6"/>
  <c r="Q59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64" i="6"/>
  <c r="Q68" i="6"/>
  <c r="Q72" i="6"/>
  <c r="Q76" i="6"/>
  <c r="Q78" i="6"/>
  <c r="Q82" i="6"/>
  <c r="Q86" i="6"/>
  <c r="Q90" i="6"/>
  <c r="Q94" i="6"/>
  <c r="Q98" i="6"/>
  <c r="Q102" i="6"/>
  <c r="Q105" i="6"/>
  <c r="Q77" i="6"/>
  <c r="Q81" i="6"/>
  <c r="Q85" i="6"/>
  <c r="Q89" i="6"/>
  <c r="Q93" i="6"/>
  <c r="Q97" i="6"/>
  <c r="Q104" i="6"/>
  <c r="Q80" i="6"/>
  <c r="Q84" i="6"/>
  <c r="Q88" i="6"/>
  <c r="Q92" i="6"/>
  <c r="Q96" i="6"/>
  <c r="Q101" i="6"/>
  <c r="Q106" i="6"/>
  <c r="Q67" i="6"/>
  <c r="Q69" i="6"/>
  <c r="Q71" i="6"/>
  <c r="Q73" i="6"/>
  <c r="Q75" i="6"/>
  <c r="Q79" i="6"/>
  <c r="Q83" i="6"/>
  <c r="Q87" i="6"/>
  <c r="Q91" i="6"/>
  <c r="Q95" i="6"/>
  <c r="Q99" i="6"/>
  <c r="Q100" i="6"/>
  <c r="Q103" i="6"/>
  <c r="Q3" i="6"/>
  <c r="S2" i="6" l="1"/>
  <c r="R4" i="6"/>
  <c r="R5" i="6"/>
  <c r="R6" i="6"/>
  <c r="R7" i="6"/>
  <c r="R11" i="6"/>
  <c r="R12" i="6"/>
  <c r="R8" i="6"/>
  <c r="R10" i="6"/>
  <c r="R9" i="6"/>
  <c r="R13" i="6"/>
  <c r="R15" i="6"/>
  <c r="R17" i="6"/>
  <c r="R19" i="6"/>
  <c r="R21" i="6"/>
  <c r="R23" i="6"/>
  <c r="R25" i="6"/>
  <c r="R26" i="6"/>
  <c r="R27" i="6"/>
  <c r="R28" i="6"/>
  <c r="R29" i="6"/>
  <c r="R30" i="6"/>
  <c r="R18" i="6"/>
  <c r="R20" i="6"/>
  <c r="R31" i="6"/>
  <c r="R32" i="6"/>
  <c r="R33" i="6"/>
  <c r="R34" i="6"/>
  <c r="R35" i="6"/>
  <c r="R36" i="6"/>
  <c r="R14" i="6"/>
  <c r="R22" i="6"/>
  <c r="R1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24" i="6"/>
  <c r="R64" i="6"/>
  <c r="R66" i="6"/>
  <c r="R68" i="6"/>
  <c r="R70" i="6"/>
  <c r="R72" i="6"/>
  <c r="R74" i="6"/>
  <c r="R76" i="6"/>
  <c r="R78" i="6"/>
  <c r="R80" i="6"/>
  <c r="R82" i="6"/>
  <c r="R84" i="6"/>
  <c r="R86" i="6"/>
  <c r="R88" i="6"/>
  <c r="R90" i="6"/>
  <c r="R92" i="6"/>
  <c r="R94" i="6"/>
  <c r="R96" i="6"/>
  <c r="R98" i="6"/>
  <c r="R63" i="6"/>
  <c r="R65" i="6"/>
  <c r="R67" i="6"/>
  <c r="R69" i="6"/>
  <c r="R71" i="6"/>
  <c r="R73" i="6"/>
  <c r="R75" i="6"/>
  <c r="R77" i="6"/>
  <c r="R79" i="6"/>
  <c r="R81" i="6"/>
  <c r="R83" i="6"/>
  <c r="R85" i="6"/>
  <c r="R87" i="6"/>
  <c r="R89" i="6"/>
  <c r="R91" i="6"/>
  <c r="R93" i="6"/>
  <c r="R95" i="6"/>
  <c r="R97" i="6"/>
  <c r="R99" i="6"/>
  <c r="R101" i="6"/>
  <c r="R103" i="6"/>
  <c r="R105" i="6"/>
  <c r="R3" i="6"/>
  <c r="R100" i="6"/>
  <c r="R107" i="6"/>
  <c r="R109" i="6"/>
  <c r="R111" i="6"/>
  <c r="R102" i="6"/>
  <c r="R104" i="6"/>
  <c r="R108" i="6"/>
  <c r="R110" i="6"/>
  <c r="R112" i="6"/>
  <c r="R114" i="6"/>
  <c r="R116" i="6"/>
  <c r="R118" i="6"/>
  <c r="R106" i="6"/>
  <c r="R115" i="6"/>
  <c r="R119" i="6"/>
  <c r="R121" i="6"/>
  <c r="R123" i="6"/>
  <c r="R125" i="6"/>
  <c r="R127" i="6"/>
  <c r="R129" i="6"/>
  <c r="R131" i="6"/>
  <c r="R133" i="6"/>
  <c r="R135" i="6"/>
  <c r="R137" i="6"/>
  <c r="R139" i="6"/>
  <c r="R141" i="6"/>
  <c r="R143" i="6"/>
  <c r="R145" i="6"/>
  <c r="R147" i="6"/>
  <c r="R149" i="6"/>
  <c r="R151" i="6"/>
  <c r="R153" i="6"/>
  <c r="R155" i="6"/>
  <c r="R113" i="6"/>
  <c r="R117" i="6"/>
  <c r="R120" i="6"/>
  <c r="R122" i="6"/>
  <c r="R124" i="6"/>
  <c r="R126" i="6"/>
  <c r="R128" i="6"/>
  <c r="R130" i="6"/>
  <c r="R132" i="6"/>
  <c r="R134" i="6"/>
  <c r="R136" i="6"/>
  <c r="R138" i="6"/>
  <c r="R140" i="6"/>
  <c r="R142" i="6"/>
  <c r="R144" i="6"/>
  <c r="R146" i="6"/>
  <c r="R148" i="6"/>
  <c r="R150" i="6"/>
  <c r="R152" i="6"/>
  <c r="R154" i="6"/>
  <c r="R156" i="6"/>
  <c r="R158" i="6"/>
  <c r="R157" i="6"/>
  <c r="T2" i="6" l="1"/>
  <c r="S4" i="6"/>
  <c r="S5" i="6"/>
  <c r="S9" i="6"/>
  <c r="S8" i="6"/>
  <c r="S10" i="6"/>
  <c r="S6" i="6"/>
  <c r="S7" i="6"/>
  <c r="S11" i="6"/>
  <c r="S13" i="6"/>
  <c r="S16" i="6"/>
  <c r="S21" i="6"/>
  <c r="S12" i="6"/>
  <c r="S15" i="6"/>
  <c r="S18" i="6"/>
  <c r="S23" i="6"/>
  <c r="S17" i="6"/>
  <c r="S20" i="6"/>
  <c r="S14" i="6"/>
  <c r="S19" i="6"/>
  <c r="S25" i="6"/>
  <c r="S22" i="6"/>
  <c r="S24" i="6"/>
  <c r="S26" i="6"/>
  <c r="S28" i="6"/>
  <c r="S32" i="6"/>
  <c r="S38" i="6"/>
  <c r="S31" i="6"/>
  <c r="S34" i="6"/>
  <c r="S29" i="6"/>
  <c r="S33" i="6"/>
  <c r="S36" i="6"/>
  <c r="S27" i="6"/>
  <c r="S30" i="6"/>
  <c r="S35" i="6"/>
  <c r="S39" i="6"/>
  <c r="S44" i="6"/>
  <c r="S47" i="6"/>
  <c r="S52" i="6"/>
  <c r="S37" i="6"/>
  <c r="S41" i="6"/>
  <c r="S46" i="6"/>
  <c r="S49" i="6"/>
  <c r="S54" i="6"/>
  <c r="S40" i="6"/>
  <c r="S43" i="6"/>
  <c r="S42" i="6"/>
  <c r="S45" i="6"/>
  <c r="S50" i="6"/>
  <c r="S56" i="6"/>
  <c r="S65" i="6"/>
  <c r="S69" i="6"/>
  <c r="S73" i="6"/>
  <c r="S55" i="6"/>
  <c r="S58" i="6"/>
  <c r="S61" i="6"/>
  <c r="S51" i="6"/>
  <c r="S60" i="6"/>
  <c r="S64" i="6"/>
  <c r="S48" i="6"/>
  <c r="S53" i="6"/>
  <c r="S57" i="6"/>
  <c r="S62" i="6"/>
  <c r="S59" i="6"/>
  <c r="S63" i="6"/>
  <c r="S67" i="6"/>
  <c r="S71" i="6"/>
  <c r="S75" i="6"/>
  <c r="S79" i="6"/>
  <c r="S83" i="6"/>
  <c r="S87" i="6"/>
  <c r="S91" i="6"/>
  <c r="S95" i="6"/>
  <c r="S99" i="6"/>
  <c r="S103" i="6"/>
  <c r="S106" i="6"/>
  <c r="S78" i="6"/>
  <c r="S82" i="6"/>
  <c r="S86" i="6"/>
  <c r="S90" i="6"/>
  <c r="S94" i="6"/>
  <c r="S98" i="6"/>
  <c r="S100" i="6"/>
  <c r="S105" i="6"/>
  <c r="S107" i="6"/>
  <c r="S109" i="6"/>
  <c r="S111" i="6"/>
  <c r="S113" i="6"/>
  <c r="S115" i="6"/>
  <c r="S117" i="6"/>
  <c r="S119" i="6"/>
  <c r="S77" i="6"/>
  <c r="S81" i="6"/>
  <c r="S85" i="6"/>
  <c r="S89" i="6"/>
  <c r="S93" i="6"/>
  <c r="S97" i="6"/>
  <c r="S102" i="6"/>
  <c r="S66" i="6"/>
  <c r="S68" i="6"/>
  <c r="S70" i="6"/>
  <c r="S72" i="6"/>
  <c r="S74" i="6"/>
  <c r="S76" i="6"/>
  <c r="S80" i="6"/>
  <c r="S84" i="6"/>
  <c r="S88" i="6"/>
  <c r="S92" i="6"/>
  <c r="S96" i="6"/>
  <c r="S101" i="6"/>
  <c r="S104" i="6"/>
  <c r="S108" i="6"/>
  <c r="S110" i="6"/>
  <c r="S112" i="6"/>
  <c r="S114" i="6"/>
  <c r="S116" i="6"/>
  <c r="S120" i="6"/>
  <c r="S122" i="6"/>
  <c r="S124" i="6"/>
  <c r="S126" i="6"/>
  <c r="S128" i="6"/>
  <c r="S130" i="6"/>
  <c r="S132" i="6"/>
  <c r="S134" i="6"/>
  <c r="S136" i="6"/>
  <c r="S138" i="6"/>
  <c r="S140" i="6"/>
  <c r="S142" i="6"/>
  <c r="S144" i="6"/>
  <c r="S146" i="6"/>
  <c r="S148" i="6"/>
  <c r="S150" i="6"/>
  <c r="S152" i="6"/>
  <c r="S154" i="6"/>
  <c r="S156" i="6"/>
  <c r="S158" i="6"/>
  <c r="S118" i="6"/>
  <c r="S121" i="6"/>
  <c r="S123" i="6"/>
  <c r="S125" i="6"/>
  <c r="S127" i="6"/>
  <c r="S129" i="6"/>
  <c r="S131" i="6"/>
  <c r="S133" i="6"/>
  <c r="S135" i="6"/>
  <c r="S137" i="6"/>
  <c r="S139" i="6"/>
  <c r="S141" i="6"/>
  <c r="S143" i="6"/>
  <c r="S145" i="6"/>
  <c r="S147" i="6"/>
  <c r="S149" i="6"/>
  <c r="S151" i="6"/>
  <c r="S153" i="6"/>
  <c r="S155" i="6"/>
  <c r="S157" i="6"/>
  <c r="S3" i="6"/>
  <c r="U2" i="6" l="1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7" i="6"/>
  <c r="T29" i="6"/>
  <c r="T26" i="6"/>
  <c r="T32" i="6"/>
  <c r="T34" i="6"/>
  <c r="T36" i="6"/>
  <c r="T30" i="6"/>
  <c r="T35" i="6"/>
  <c r="T28" i="6"/>
  <c r="T31" i="6"/>
  <c r="T33" i="6"/>
  <c r="T37" i="6"/>
  <c r="T39" i="6"/>
  <c r="T41" i="6"/>
  <c r="T43" i="6"/>
  <c r="T45" i="6"/>
  <c r="T47" i="6"/>
  <c r="T49" i="6"/>
  <c r="T51" i="6"/>
  <c r="T53" i="6"/>
  <c r="T55" i="6"/>
  <c r="T57" i="6"/>
  <c r="T59" i="6"/>
  <c r="T61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42" i="6"/>
  <c r="T50" i="6"/>
  <c r="T38" i="6"/>
  <c r="T44" i="6"/>
  <c r="T52" i="6"/>
  <c r="T40" i="6"/>
  <c r="T48" i="6"/>
  <c r="T54" i="6"/>
  <c r="T62" i="6"/>
  <c r="T56" i="6"/>
  <c r="T46" i="6"/>
  <c r="T58" i="6"/>
  <c r="T60" i="6"/>
  <c r="T108" i="6"/>
  <c r="T110" i="6"/>
  <c r="T107" i="6"/>
  <c r="T109" i="6"/>
  <c r="T111" i="6"/>
  <c r="T113" i="6"/>
  <c r="T115" i="6"/>
  <c r="T117" i="6"/>
  <c r="T114" i="6"/>
  <c r="T120" i="6"/>
  <c r="T122" i="6"/>
  <c r="T124" i="6"/>
  <c r="T126" i="6"/>
  <c r="T128" i="6"/>
  <c r="T130" i="6"/>
  <c r="T132" i="6"/>
  <c r="T134" i="6"/>
  <c r="T136" i="6"/>
  <c r="T138" i="6"/>
  <c r="T140" i="6"/>
  <c r="T142" i="6"/>
  <c r="T144" i="6"/>
  <c r="T146" i="6"/>
  <c r="T148" i="6"/>
  <c r="T150" i="6"/>
  <c r="T152" i="6"/>
  <c r="T154" i="6"/>
  <c r="T112" i="6"/>
  <c r="T116" i="6"/>
  <c r="T119" i="6"/>
  <c r="T118" i="6"/>
  <c r="T121" i="6"/>
  <c r="T123" i="6"/>
  <c r="T125" i="6"/>
  <c r="T127" i="6"/>
  <c r="T129" i="6"/>
  <c r="T131" i="6"/>
  <c r="T133" i="6"/>
  <c r="T135" i="6"/>
  <c r="T137" i="6"/>
  <c r="T139" i="6"/>
  <c r="T141" i="6"/>
  <c r="T143" i="6"/>
  <c r="T145" i="6"/>
  <c r="T147" i="6"/>
  <c r="T149" i="6"/>
  <c r="T151" i="6"/>
  <c r="T153" i="6"/>
  <c r="T155" i="6"/>
  <c r="T157" i="6"/>
  <c r="T156" i="6"/>
  <c r="T3" i="6"/>
  <c r="T158" i="6"/>
  <c r="V2" i="6" l="1"/>
  <c r="U4" i="6"/>
  <c r="U6" i="6"/>
  <c r="U7" i="6"/>
  <c r="U5" i="6"/>
  <c r="U9" i="6"/>
  <c r="U11" i="6"/>
  <c r="U12" i="6"/>
  <c r="U8" i="6"/>
  <c r="U14" i="6"/>
  <c r="U16" i="6"/>
  <c r="U18" i="6"/>
  <c r="U20" i="6"/>
  <c r="U22" i="6"/>
  <c r="U24" i="6"/>
  <c r="U19" i="6"/>
  <c r="U10" i="6"/>
  <c r="U13" i="6"/>
  <c r="U21" i="6"/>
  <c r="U15" i="6"/>
  <c r="U23" i="6"/>
  <c r="U25" i="6"/>
  <c r="U17" i="6"/>
  <c r="U26" i="6"/>
  <c r="U27" i="6"/>
  <c r="U29" i="6"/>
  <c r="U33" i="6"/>
  <c r="U37" i="6"/>
  <c r="U39" i="6"/>
  <c r="U30" i="6"/>
  <c r="U32" i="6"/>
  <c r="U35" i="6"/>
  <c r="U28" i="6"/>
  <c r="U34" i="6"/>
  <c r="U31" i="6"/>
  <c r="U36" i="6"/>
  <c r="U40" i="6"/>
  <c r="U45" i="6"/>
  <c r="U48" i="6"/>
  <c r="U42" i="6"/>
  <c r="U47" i="6"/>
  <c r="U50" i="6"/>
  <c r="U55" i="6"/>
  <c r="U38" i="6"/>
  <c r="U41" i="6"/>
  <c r="U44" i="6"/>
  <c r="U43" i="6"/>
  <c r="U46" i="6"/>
  <c r="U51" i="6"/>
  <c r="U53" i="6"/>
  <c r="U57" i="6"/>
  <c r="U54" i="6"/>
  <c r="U59" i="6"/>
  <c r="U62" i="6"/>
  <c r="U63" i="6"/>
  <c r="U65" i="6"/>
  <c r="U67" i="6"/>
  <c r="U69" i="6"/>
  <c r="U71" i="6"/>
  <c r="U73" i="6"/>
  <c r="U75" i="6"/>
  <c r="U77" i="6"/>
  <c r="U79" i="6"/>
  <c r="U81" i="6"/>
  <c r="U83" i="6"/>
  <c r="U85" i="6"/>
  <c r="U87" i="6"/>
  <c r="U89" i="6"/>
  <c r="U91" i="6"/>
  <c r="U93" i="6"/>
  <c r="U95" i="6"/>
  <c r="U97" i="6"/>
  <c r="U99" i="6"/>
  <c r="U49" i="6"/>
  <c r="U56" i="6"/>
  <c r="U61" i="6"/>
  <c r="U52" i="6"/>
  <c r="U58" i="6"/>
  <c r="U64" i="6"/>
  <c r="U66" i="6"/>
  <c r="U68" i="6"/>
  <c r="U70" i="6"/>
  <c r="U72" i="6"/>
  <c r="U74" i="6"/>
  <c r="U76" i="6"/>
  <c r="U78" i="6"/>
  <c r="U80" i="6"/>
  <c r="U82" i="6"/>
  <c r="U84" i="6"/>
  <c r="U86" i="6"/>
  <c r="U88" i="6"/>
  <c r="U90" i="6"/>
  <c r="U92" i="6"/>
  <c r="U94" i="6"/>
  <c r="U96" i="6"/>
  <c r="U98" i="6"/>
  <c r="U100" i="6"/>
  <c r="U102" i="6"/>
  <c r="U104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60" i="6"/>
  <c r="U101" i="6"/>
  <c r="U103" i="6"/>
  <c r="U105" i="6"/>
  <c r="U3" i="6"/>
  <c r="W2" i="6" l="1"/>
  <c r="V5" i="6"/>
  <c r="V6" i="6"/>
  <c r="V7" i="6"/>
  <c r="V4" i="6"/>
  <c r="V8" i="6"/>
  <c r="V10" i="6"/>
  <c r="V11" i="6"/>
  <c r="V12" i="6"/>
  <c r="V9" i="6"/>
  <c r="V13" i="6"/>
  <c r="V25" i="6"/>
  <c r="V26" i="6"/>
  <c r="V27" i="6"/>
  <c r="V28" i="6"/>
  <c r="V29" i="6"/>
  <c r="V30" i="6"/>
  <c r="V14" i="6"/>
  <c r="V17" i="6"/>
  <c r="V22" i="6"/>
  <c r="V16" i="6"/>
  <c r="V19" i="6"/>
  <c r="V24" i="6"/>
  <c r="V31" i="6"/>
  <c r="V32" i="6"/>
  <c r="V33" i="6"/>
  <c r="V34" i="6"/>
  <c r="V35" i="6"/>
  <c r="V36" i="6"/>
  <c r="V18" i="6"/>
  <c r="V21" i="6"/>
  <c r="V15" i="6"/>
  <c r="V20" i="6"/>
  <c r="V23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6" i="6"/>
  <c r="V70" i="6"/>
  <c r="V74" i="6"/>
  <c r="V63" i="6"/>
  <c r="V65" i="6"/>
  <c r="V3" i="6"/>
  <c r="V64" i="6"/>
  <c r="V68" i="6"/>
  <c r="V72" i="6"/>
  <c r="V76" i="6"/>
  <c r="V67" i="6"/>
  <c r="V69" i="6"/>
  <c r="V71" i="6"/>
  <c r="V73" i="6"/>
  <c r="V75" i="6"/>
  <c r="V80" i="6"/>
  <c r="V84" i="6"/>
  <c r="V88" i="6"/>
  <c r="V92" i="6"/>
  <c r="V96" i="6"/>
  <c r="V104" i="6"/>
  <c r="V79" i="6"/>
  <c r="V83" i="6"/>
  <c r="V87" i="6"/>
  <c r="V91" i="6"/>
  <c r="V95" i="6"/>
  <c r="V99" i="6"/>
  <c r="V101" i="6"/>
  <c r="V106" i="6"/>
  <c r="V108" i="6"/>
  <c r="V110" i="6"/>
  <c r="V112" i="6"/>
  <c r="V114" i="6"/>
  <c r="V116" i="6"/>
  <c r="V118" i="6"/>
  <c r="V120" i="6"/>
  <c r="V78" i="6"/>
  <c r="V82" i="6"/>
  <c r="V86" i="6"/>
  <c r="V90" i="6"/>
  <c r="V94" i="6"/>
  <c r="V98" i="6"/>
  <c r="V100" i="6"/>
  <c r="V103" i="6"/>
  <c r="V77" i="6"/>
  <c r="V81" i="6"/>
  <c r="V85" i="6"/>
  <c r="V89" i="6"/>
  <c r="V93" i="6"/>
  <c r="V97" i="6"/>
  <c r="V102" i="6"/>
  <c r="V105" i="6"/>
  <c r="V107" i="6"/>
  <c r="V109" i="6"/>
  <c r="V111" i="6"/>
  <c r="V113" i="6"/>
  <c r="V115" i="6"/>
  <c r="V117" i="6"/>
  <c r="V121" i="6"/>
  <c r="V123" i="6"/>
  <c r="V125" i="6"/>
  <c r="V127" i="6"/>
  <c r="V129" i="6"/>
  <c r="V131" i="6"/>
  <c r="V133" i="6"/>
  <c r="V135" i="6"/>
  <c r="V137" i="6"/>
  <c r="V139" i="6"/>
  <c r="V141" i="6"/>
  <c r="V143" i="6"/>
  <c r="V145" i="6"/>
  <c r="V147" i="6"/>
  <c r="V149" i="6"/>
  <c r="V151" i="6"/>
  <c r="V153" i="6"/>
  <c r="V155" i="6"/>
  <c r="V157" i="6"/>
  <c r="V122" i="6"/>
  <c r="V124" i="6"/>
  <c r="V126" i="6"/>
  <c r="V128" i="6"/>
  <c r="V130" i="6"/>
  <c r="V132" i="6"/>
  <c r="V134" i="6"/>
  <c r="V136" i="6"/>
  <c r="V138" i="6"/>
  <c r="V140" i="6"/>
  <c r="V142" i="6"/>
  <c r="V144" i="6"/>
  <c r="V146" i="6"/>
  <c r="V148" i="6"/>
  <c r="V150" i="6"/>
  <c r="V152" i="6"/>
  <c r="V154" i="6"/>
  <c r="V119" i="6"/>
  <c r="V158" i="6"/>
  <c r="V156" i="6"/>
  <c r="X2" i="6" l="1"/>
  <c r="W4" i="6"/>
  <c r="W5" i="6"/>
  <c r="W6" i="6"/>
  <c r="W7" i="6"/>
  <c r="W8" i="6"/>
  <c r="W10" i="6"/>
  <c r="W11" i="6"/>
  <c r="W12" i="6"/>
  <c r="W13" i="6"/>
  <c r="W15" i="6"/>
  <c r="W17" i="6"/>
  <c r="W19" i="6"/>
  <c r="W21" i="6"/>
  <c r="W23" i="6"/>
  <c r="W20" i="6"/>
  <c r="W14" i="6"/>
  <c r="W22" i="6"/>
  <c r="W26" i="6"/>
  <c r="W28" i="6"/>
  <c r="W30" i="6"/>
  <c r="W16" i="6"/>
  <c r="W24" i="6"/>
  <c r="W9" i="6"/>
  <c r="W18" i="6"/>
  <c r="W27" i="6"/>
  <c r="W31" i="6"/>
  <c r="W33" i="6"/>
  <c r="W35" i="6"/>
  <c r="W36" i="6"/>
  <c r="W25" i="6"/>
  <c r="W32" i="6"/>
  <c r="W29" i="6"/>
  <c r="W34" i="6"/>
  <c r="W38" i="6"/>
  <c r="W40" i="6"/>
  <c r="W42" i="6"/>
  <c r="W44" i="6"/>
  <c r="W46" i="6"/>
  <c r="W48" i="6"/>
  <c r="W50" i="6"/>
  <c r="W52" i="6"/>
  <c r="W54" i="6"/>
  <c r="W56" i="6"/>
  <c r="W58" i="6"/>
  <c r="W60" i="6"/>
  <c r="W62" i="6"/>
  <c r="W43" i="6"/>
  <c r="W51" i="6"/>
  <c r="W39" i="6"/>
  <c r="W45" i="6"/>
  <c r="W53" i="6"/>
  <c r="W37" i="6"/>
  <c r="W41" i="6"/>
  <c r="W49" i="6"/>
  <c r="W47" i="6"/>
  <c r="W57" i="6"/>
  <c r="W64" i="6"/>
  <c r="W66" i="6"/>
  <c r="W68" i="6"/>
  <c r="W70" i="6"/>
  <c r="W72" i="6"/>
  <c r="W74" i="6"/>
  <c r="W76" i="6"/>
  <c r="W78" i="6"/>
  <c r="W80" i="6"/>
  <c r="W82" i="6"/>
  <c r="W84" i="6"/>
  <c r="W86" i="6"/>
  <c r="W88" i="6"/>
  <c r="W90" i="6"/>
  <c r="W92" i="6"/>
  <c r="W94" i="6"/>
  <c r="W96" i="6"/>
  <c r="W98" i="6"/>
  <c r="W55" i="6"/>
  <c r="W59" i="6"/>
  <c r="W61" i="6"/>
  <c r="W63" i="6"/>
  <c r="W65" i="6"/>
  <c r="W67" i="6"/>
  <c r="W69" i="6"/>
  <c r="W71" i="6"/>
  <c r="W73" i="6"/>
  <c r="W75" i="6"/>
  <c r="W77" i="6"/>
  <c r="W79" i="6"/>
  <c r="W81" i="6"/>
  <c r="W83" i="6"/>
  <c r="W85" i="6"/>
  <c r="W87" i="6"/>
  <c r="W89" i="6"/>
  <c r="W91" i="6"/>
  <c r="W93" i="6"/>
  <c r="W95" i="6"/>
  <c r="W97" i="6"/>
  <c r="W99" i="6"/>
  <c r="W101" i="6"/>
  <c r="W103" i="6"/>
  <c r="W105" i="6"/>
  <c r="W102" i="6"/>
  <c r="W107" i="6"/>
  <c r="W109" i="6"/>
  <c r="W111" i="6"/>
  <c r="W104" i="6"/>
  <c r="W106" i="6"/>
  <c r="W108" i="6"/>
  <c r="W110" i="6"/>
  <c r="W112" i="6"/>
  <c r="W114" i="6"/>
  <c r="W116" i="6"/>
  <c r="W118" i="6"/>
  <c r="W100" i="6"/>
  <c r="W113" i="6"/>
  <c r="W117" i="6"/>
  <c r="W119" i="6"/>
  <c r="W3" i="6"/>
  <c r="W121" i="6"/>
  <c r="W123" i="6"/>
  <c r="W125" i="6"/>
  <c r="W127" i="6"/>
  <c r="W129" i="6"/>
  <c r="W131" i="6"/>
  <c r="W133" i="6"/>
  <c r="W135" i="6"/>
  <c r="W137" i="6"/>
  <c r="W139" i="6"/>
  <c r="W141" i="6"/>
  <c r="W143" i="6"/>
  <c r="W145" i="6"/>
  <c r="W147" i="6"/>
  <c r="W149" i="6"/>
  <c r="W151" i="6"/>
  <c r="W153" i="6"/>
  <c r="W155" i="6"/>
  <c r="W115" i="6"/>
  <c r="W120" i="6"/>
  <c r="W122" i="6"/>
  <c r="W124" i="6"/>
  <c r="W126" i="6"/>
  <c r="W128" i="6"/>
  <c r="W130" i="6"/>
  <c r="W132" i="6"/>
  <c r="W134" i="6"/>
  <c r="W136" i="6"/>
  <c r="W138" i="6"/>
  <c r="W140" i="6"/>
  <c r="W142" i="6"/>
  <c r="W144" i="6"/>
  <c r="W146" i="6"/>
  <c r="W148" i="6"/>
  <c r="W150" i="6"/>
  <c r="W152" i="6"/>
  <c r="W154" i="6"/>
  <c r="W156" i="6"/>
  <c r="W157" i="6"/>
  <c r="W158" i="6"/>
  <c r="Y2" i="6" l="1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30" i="6"/>
  <c r="X27" i="6"/>
  <c r="X29" i="6"/>
  <c r="X31" i="6"/>
  <c r="X34" i="6"/>
  <c r="X38" i="6"/>
  <c r="X33" i="6"/>
  <c r="X35" i="6"/>
  <c r="X26" i="6"/>
  <c r="X28" i="6"/>
  <c r="X3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41" i="6"/>
  <c r="X46" i="6"/>
  <c r="X49" i="6"/>
  <c r="X40" i="6"/>
  <c r="X43" i="6"/>
  <c r="X48" i="6"/>
  <c r="X51" i="6"/>
  <c r="X39" i="6"/>
  <c r="X42" i="6"/>
  <c r="X36" i="6"/>
  <c r="X37" i="6"/>
  <c r="X44" i="6"/>
  <c r="X47" i="6"/>
  <c r="X45" i="6"/>
  <c r="X50" i="6"/>
  <c r="X52" i="6"/>
  <c r="X61" i="6"/>
  <c r="X53" i="6"/>
  <c r="X60" i="6"/>
  <c r="X54" i="6"/>
  <c r="X57" i="6"/>
  <c r="X62" i="6"/>
  <c r="X55" i="6"/>
  <c r="X56" i="6"/>
  <c r="X59" i="6"/>
  <c r="X58" i="6"/>
  <c r="X107" i="6"/>
  <c r="X109" i="6"/>
  <c r="X111" i="6"/>
  <c r="X113" i="6"/>
  <c r="X115" i="6"/>
  <c r="X117" i="6"/>
  <c r="X119" i="6"/>
  <c r="X106" i="6"/>
  <c r="X108" i="6"/>
  <c r="X110" i="6"/>
  <c r="X112" i="6"/>
  <c r="X114" i="6"/>
  <c r="X116" i="6"/>
  <c r="X118" i="6"/>
  <c r="X122" i="6"/>
  <c r="X124" i="6"/>
  <c r="X126" i="6"/>
  <c r="X128" i="6"/>
  <c r="X130" i="6"/>
  <c r="X132" i="6"/>
  <c r="X134" i="6"/>
  <c r="X136" i="6"/>
  <c r="X138" i="6"/>
  <c r="X140" i="6"/>
  <c r="X142" i="6"/>
  <c r="X144" i="6"/>
  <c r="X146" i="6"/>
  <c r="X148" i="6"/>
  <c r="X150" i="6"/>
  <c r="X152" i="6"/>
  <c r="X154" i="6"/>
  <c r="X156" i="6"/>
  <c r="X158" i="6"/>
  <c r="X121" i="6"/>
  <c r="X123" i="6"/>
  <c r="X125" i="6"/>
  <c r="X127" i="6"/>
  <c r="X129" i="6"/>
  <c r="X131" i="6"/>
  <c r="X133" i="6"/>
  <c r="X135" i="6"/>
  <c r="X137" i="6"/>
  <c r="X139" i="6"/>
  <c r="X141" i="6"/>
  <c r="X143" i="6"/>
  <c r="X145" i="6"/>
  <c r="X147" i="6"/>
  <c r="X149" i="6"/>
  <c r="X151" i="6"/>
  <c r="X153" i="6"/>
  <c r="X120" i="6"/>
  <c r="X155" i="6"/>
  <c r="X3" i="6"/>
  <c r="X157" i="6"/>
  <c r="Z2" i="6" l="1"/>
  <c r="Y4" i="6"/>
  <c r="Y9" i="6"/>
  <c r="Y5" i="6"/>
  <c r="Y6" i="6"/>
  <c r="Y7" i="6"/>
  <c r="Y8" i="6"/>
  <c r="Y10" i="6"/>
  <c r="Y15" i="6"/>
  <c r="Y18" i="6"/>
  <c r="Y17" i="6"/>
  <c r="Y20" i="6"/>
  <c r="Y25" i="6"/>
  <c r="Y27" i="6"/>
  <c r="Y29" i="6"/>
  <c r="Y11" i="6"/>
  <c r="Y12" i="6"/>
  <c r="Y13" i="6"/>
  <c r="Y14" i="6"/>
  <c r="Y19" i="6"/>
  <c r="Y22" i="6"/>
  <c r="Y16" i="6"/>
  <c r="Y21" i="6"/>
  <c r="Y23" i="6"/>
  <c r="Y26" i="6"/>
  <c r="Y24" i="6"/>
  <c r="Y28" i="6"/>
  <c r="Y32" i="6"/>
  <c r="Y34" i="6"/>
  <c r="Y36" i="6"/>
  <c r="Y31" i="6"/>
  <c r="Y30" i="6"/>
  <c r="Y33" i="6"/>
  <c r="Y35" i="6"/>
  <c r="Y37" i="6"/>
  <c r="Y39" i="6"/>
  <c r="Y41" i="6"/>
  <c r="Y43" i="6"/>
  <c r="Y45" i="6"/>
  <c r="Y47" i="6"/>
  <c r="Y49" i="6"/>
  <c r="Y51" i="6"/>
  <c r="Y53" i="6"/>
  <c r="Y55" i="6"/>
  <c r="Y57" i="6"/>
  <c r="Y59" i="6"/>
  <c r="Y61" i="6"/>
  <c r="Y44" i="6"/>
  <c r="Y52" i="6"/>
  <c r="Y46" i="6"/>
  <c r="Y54" i="6"/>
  <c r="Y40" i="6"/>
  <c r="Y38" i="6"/>
  <c r="Y42" i="6"/>
  <c r="Y50" i="6"/>
  <c r="Y48" i="6"/>
  <c r="Y56" i="6"/>
  <c r="Y65" i="6"/>
  <c r="Y69" i="6"/>
  <c r="Y73" i="6"/>
  <c r="Y58" i="6"/>
  <c r="Y60" i="6"/>
  <c r="Y64" i="6"/>
  <c r="Y62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63" i="6"/>
  <c r="Y67" i="6"/>
  <c r="Y71" i="6"/>
  <c r="Y75" i="6"/>
  <c r="Y66" i="6"/>
  <c r="Y68" i="6"/>
  <c r="Y70" i="6"/>
  <c r="Y72" i="6"/>
  <c r="Y74" i="6"/>
  <c r="Y76" i="6"/>
  <c r="Y77" i="6"/>
  <c r="Y81" i="6"/>
  <c r="Y85" i="6"/>
  <c r="Y89" i="6"/>
  <c r="Y93" i="6"/>
  <c r="Y97" i="6"/>
  <c r="Y100" i="6"/>
  <c r="Y105" i="6"/>
  <c r="Y80" i="6"/>
  <c r="Y84" i="6"/>
  <c r="Y88" i="6"/>
  <c r="Y92" i="6"/>
  <c r="Y96" i="6"/>
  <c r="Y102" i="6"/>
  <c r="Y79" i="6"/>
  <c r="Y83" i="6"/>
  <c r="Y87" i="6"/>
  <c r="Y91" i="6"/>
  <c r="Y95" i="6"/>
  <c r="Y99" i="6"/>
  <c r="Y101" i="6"/>
  <c r="Y104" i="6"/>
  <c r="Y78" i="6"/>
  <c r="Y82" i="6"/>
  <c r="Y86" i="6"/>
  <c r="Y90" i="6"/>
  <c r="Y94" i="6"/>
  <c r="Y98" i="6"/>
  <c r="Y103" i="6"/>
  <c r="Y3" i="6"/>
  <c r="AA2" i="6" l="1"/>
  <c r="Z5" i="6"/>
  <c r="Z6" i="6"/>
  <c r="Z7" i="6"/>
  <c r="Z4" i="6"/>
  <c r="Z11" i="6"/>
  <c r="Z12" i="6"/>
  <c r="Z9" i="6"/>
  <c r="Z10" i="6"/>
  <c r="Z14" i="6"/>
  <c r="Z16" i="6"/>
  <c r="Z18" i="6"/>
  <c r="Z20" i="6"/>
  <c r="Z22" i="6"/>
  <c r="Z24" i="6"/>
  <c r="Z25" i="6"/>
  <c r="Z26" i="6"/>
  <c r="Z27" i="6"/>
  <c r="Z28" i="6"/>
  <c r="Z29" i="6"/>
  <c r="Z30" i="6"/>
  <c r="Z21" i="6"/>
  <c r="Z8" i="6"/>
  <c r="Z15" i="6"/>
  <c r="Z23" i="6"/>
  <c r="Z31" i="6"/>
  <c r="Z32" i="6"/>
  <c r="Z33" i="6"/>
  <c r="Z34" i="6"/>
  <c r="Z35" i="6"/>
  <c r="Z36" i="6"/>
  <c r="Z17" i="6"/>
  <c r="Z13" i="6"/>
  <c r="Z19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5" i="6"/>
  <c r="Z67" i="6"/>
  <c r="Z69" i="6"/>
  <c r="Z71" i="6"/>
  <c r="Z73" i="6"/>
  <c r="Z75" i="6"/>
  <c r="Z77" i="6"/>
  <c r="Z79" i="6"/>
  <c r="Z81" i="6"/>
  <c r="Z83" i="6"/>
  <c r="Z85" i="6"/>
  <c r="Z87" i="6"/>
  <c r="Z89" i="6"/>
  <c r="Z91" i="6"/>
  <c r="Z93" i="6"/>
  <c r="Z95" i="6"/>
  <c r="Z97" i="6"/>
  <c r="Z99" i="6"/>
  <c r="Z64" i="6"/>
  <c r="Z66" i="6"/>
  <c r="Z68" i="6"/>
  <c r="Z70" i="6"/>
  <c r="Z72" i="6"/>
  <c r="Z74" i="6"/>
  <c r="Z76" i="6"/>
  <c r="Z78" i="6"/>
  <c r="Z80" i="6"/>
  <c r="Z82" i="6"/>
  <c r="Z84" i="6"/>
  <c r="Z86" i="6"/>
  <c r="Z88" i="6"/>
  <c r="Z90" i="6"/>
  <c r="Z92" i="6"/>
  <c r="Z94" i="6"/>
  <c r="Z96" i="6"/>
  <c r="Z98" i="6"/>
  <c r="Z100" i="6"/>
  <c r="Z102" i="6"/>
  <c r="Z104" i="6"/>
  <c r="Z3" i="6"/>
  <c r="Z103" i="6"/>
  <c r="Z106" i="6"/>
  <c r="Z108" i="6"/>
  <c r="Z110" i="6"/>
  <c r="Z105" i="6"/>
  <c r="Z107" i="6"/>
  <c r="Z109" i="6"/>
  <c r="Z111" i="6"/>
  <c r="Z113" i="6"/>
  <c r="Z115" i="6"/>
  <c r="Z117" i="6"/>
  <c r="Z101" i="6"/>
  <c r="Z120" i="6"/>
  <c r="Z114" i="6"/>
  <c r="Z118" i="6"/>
  <c r="Z119" i="6"/>
  <c r="Z122" i="6"/>
  <c r="Z124" i="6"/>
  <c r="Z126" i="6"/>
  <c r="Z128" i="6"/>
  <c r="Z130" i="6"/>
  <c r="Z132" i="6"/>
  <c r="Z134" i="6"/>
  <c r="Z136" i="6"/>
  <c r="Z138" i="6"/>
  <c r="Z140" i="6"/>
  <c r="Z142" i="6"/>
  <c r="Z144" i="6"/>
  <c r="Z146" i="6"/>
  <c r="Z148" i="6"/>
  <c r="Z150" i="6"/>
  <c r="Z152" i="6"/>
  <c r="Z154" i="6"/>
  <c r="Z112" i="6"/>
  <c r="Z116" i="6"/>
  <c r="Z121" i="6"/>
  <c r="Z123" i="6"/>
  <c r="Z125" i="6"/>
  <c r="Z127" i="6"/>
  <c r="Z129" i="6"/>
  <c r="Z131" i="6"/>
  <c r="Z133" i="6"/>
  <c r="Z135" i="6"/>
  <c r="Z137" i="6"/>
  <c r="Z139" i="6"/>
  <c r="Z141" i="6"/>
  <c r="Z143" i="6"/>
  <c r="Z145" i="6"/>
  <c r="Z147" i="6"/>
  <c r="Z149" i="6"/>
  <c r="Z151" i="6"/>
  <c r="Z153" i="6"/>
  <c r="Z155" i="6"/>
  <c r="Z158" i="6"/>
  <c r="Z156" i="6"/>
  <c r="Z157" i="6"/>
  <c r="AB2" i="6" l="1"/>
  <c r="AA5" i="6"/>
  <c r="AA4" i="6"/>
  <c r="AA8" i="6"/>
  <c r="AA10" i="6"/>
  <c r="AA9" i="6"/>
  <c r="AA6" i="6"/>
  <c r="AA11" i="6"/>
  <c r="AA7" i="6"/>
  <c r="AA13" i="6"/>
  <c r="AA16" i="6"/>
  <c r="AA19" i="6"/>
  <c r="AA18" i="6"/>
  <c r="AA21" i="6"/>
  <c r="AA15" i="6"/>
  <c r="AA20" i="6"/>
  <c r="AA23" i="6"/>
  <c r="AA25" i="6"/>
  <c r="AA12" i="6"/>
  <c r="AA14" i="6"/>
  <c r="AA17" i="6"/>
  <c r="AA24" i="6"/>
  <c r="AA22" i="6"/>
  <c r="AA26" i="6"/>
  <c r="AA28" i="6"/>
  <c r="AA32" i="6"/>
  <c r="AA35" i="6"/>
  <c r="AA37" i="6"/>
  <c r="AA39" i="6"/>
  <c r="AA27" i="6"/>
  <c r="AA29" i="6"/>
  <c r="AA34" i="6"/>
  <c r="AA31" i="6"/>
  <c r="AA36" i="6"/>
  <c r="AA30" i="6"/>
  <c r="AA33" i="6"/>
  <c r="AA38" i="6"/>
  <c r="AA42" i="6"/>
  <c r="AA47" i="6"/>
  <c r="AA50" i="6"/>
  <c r="AA41" i="6"/>
  <c r="AA44" i="6"/>
  <c r="AA49" i="6"/>
  <c r="AA52" i="6"/>
  <c r="AA43" i="6"/>
  <c r="AA40" i="6"/>
  <c r="AA45" i="6"/>
  <c r="AA48" i="6"/>
  <c r="AA55" i="6"/>
  <c r="AA62" i="6"/>
  <c r="AA66" i="6"/>
  <c r="AA70" i="6"/>
  <c r="AA74" i="6"/>
  <c r="AA56" i="6"/>
  <c r="AA61" i="6"/>
  <c r="AA53" i="6"/>
  <c r="AA58" i="6"/>
  <c r="AA63" i="6"/>
  <c r="AA65" i="6"/>
  <c r="AA46" i="6"/>
  <c r="AA51" i="6"/>
  <c r="AA54" i="6"/>
  <c r="AA57" i="6"/>
  <c r="AA60" i="6"/>
  <c r="AA59" i="6"/>
  <c r="AA64" i="6"/>
  <c r="AA68" i="6"/>
  <c r="AA72" i="6"/>
  <c r="AA76" i="6"/>
  <c r="AA78" i="6"/>
  <c r="AA82" i="6"/>
  <c r="AA86" i="6"/>
  <c r="AA90" i="6"/>
  <c r="AA94" i="6"/>
  <c r="AA98" i="6"/>
  <c r="AA101" i="6"/>
  <c r="AA67" i="6"/>
  <c r="AA69" i="6"/>
  <c r="AA71" i="6"/>
  <c r="AA73" i="6"/>
  <c r="AA75" i="6"/>
  <c r="AA77" i="6"/>
  <c r="AA81" i="6"/>
  <c r="AA85" i="6"/>
  <c r="AA89" i="6"/>
  <c r="AA93" i="6"/>
  <c r="AA97" i="6"/>
  <c r="AA100" i="6"/>
  <c r="AA103" i="6"/>
  <c r="AA106" i="6"/>
  <c r="AA108" i="6"/>
  <c r="AA110" i="6"/>
  <c r="AA112" i="6"/>
  <c r="AA114" i="6"/>
  <c r="AA116" i="6"/>
  <c r="AA118" i="6"/>
  <c r="AA120" i="6"/>
  <c r="AA80" i="6"/>
  <c r="AA84" i="6"/>
  <c r="AA88" i="6"/>
  <c r="AA92" i="6"/>
  <c r="AA96" i="6"/>
  <c r="AA102" i="6"/>
  <c r="AA105" i="6"/>
  <c r="AA79" i="6"/>
  <c r="AA83" i="6"/>
  <c r="AA87" i="6"/>
  <c r="AA91" i="6"/>
  <c r="AA95" i="6"/>
  <c r="AA99" i="6"/>
  <c r="AA104" i="6"/>
  <c r="AA107" i="6"/>
  <c r="AA109" i="6"/>
  <c r="AA111" i="6"/>
  <c r="AA113" i="6"/>
  <c r="AA115" i="6"/>
  <c r="AA117" i="6"/>
  <c r="AA121" i="6"/>
  <c r="AA123" i="6"/>
  <c r="AA125" i="6"/>
  <c r="AA127" i="6"/>
  <c r="AA129" i="6"/>
  <c r="AA131" i="6"/>
  <c r="AA133" i="6"/>
  <c r="AA135" i="6"/>
  <c r="AA137" i="6"/>
  <c r="AA139" i="6"/>
  <c r="AA141" i="6"/>
  <c r="AA143" i="6"/>
  <c r="AA145" i="6"/>
  <c r="AA147" i="6"/>
  <c r="AA149" i="6"/>
  <c r="AA151" i="6"/>
  <c r="AA153" i="6"/>
  <c r="AA155" i="6"/>
  <c r="AA157" i="6"/>
  <c r="AA119" i="6"/>
  <c r="AA122" i="6"/>
  <c r="AA124" i="6"/>
  <c r="AA126" i="6"/>
  <c r="AA128" i="6"/>
  <c r="AA130" i="6"/>
  <c r="AA132" i="6"/>
  <c r="AA134" i="6"/>
  <c r="AA136" i="6"/>
  <c r="AA138" i="6"/>
  <c r="AA140" i="6"/>
  <c r="AA142" i="6"/>
  <c r="AA144" i="6"/>
  <c r="AA146" i="6"/>
  <c r="AA148" i="6"/>
  <c r="AA150" i="6"/>
  <c r="AA152" i="6"/>
  <c r="AA154" i="6"/>
  <c r="AA156" i="6"/>
  <c r="AA3" i="6"/>
  <c r="AA158" i="6"/>
  <c r="AC2" i="6" l="1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6" i="6"/>
  <c r="AB28" i="6"/>
  <c r="AB30" i="6"/>
  <c r="AB27" i="6"/>
  <c r="AB25" i="6"/>
  <c r="AB29" i="6"/>
  <c r="AB31" i="6"/>
  <c r="AB33" i="6"/>
  <c r="AB35" i="6"/>
  <c r="AB32" i="6"/>
  <c r="AB34" i="6"/>
  <c r="AB36" i="6"/>
  <c r="AB38" i="6"/>
  <c r="AB40" i="6"/>
  <c r="AB42" i="6"/>
  <c r="AB44" i="6"/>
  <c r="AB46" i="6"/>
  <c r="AB48" i="6"/>
  <c r="AB50" i="6"/>
  <c r="AB52" i="6"/>
  <c r="AB54" i="6"/>
  <c r="AB56" i="6"/>
  <c r="AB58" i="6"/>
  <c r="AB60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37" i="6"/>
  <c r="AB45" i="6"/>
  <c r="AB47" i="6"/>
  <c r="AB55" i="6"/>
  <c r="AB41" i="6"/>
  <c r="AB39" i="6"/>
  <c r="AB43" i="6"/>
  <c r="AB51" i="6"/>
  <c r="AB57" i="6"/>
  <c r="AB59" i="6"/>
  <c r="AB61" i="6"/>
  <c r="AB49" i="6"/>
  <c r="AB53" i="6"/>
  <c r="AB107" i="6"/>
  <c r="AB109" i="6"/>
  <c r="AB111" i="6"/>
  <c r="AB106" i="6"/>
  <c r="AB108" i="6"/>
  <c r="AB110" i="6"/>
  <c r="AB112" i="6"/>
  <c r="AB114" i="6"/>
  <c r="AB116" i="6"/>
  <c r="AB118" i="6"/>
  <c r="AB3" i="6"/>
  <c r="AB113" i="6"/>
  <c r="AB117" i="6"/>
  <c r="AB120" i="6"/>
  <c r="AB121" i="6"/>
  <c r="AB123" i="6"/>
  <c r="AB125" i="6"/>
  <c r="AB127" i="6"/>
  <c r="AB129" i="6"/>
  <c r="AB131" i="6"/>
  <c r="AB133" i="6"/>
  <c r="AB135" i="6"/>
  <c r="AB137" i="6"/>
  <c r="AB139" i="6"/>
  <c r="AB141" i="6"/>
  <c r="AB143" i="6"/>
  <c r="AB145" i="6"/>
  <c r="AB147" i="6"/>
  <c r="AB149" i="6"/>
  <c r="AB151" i="6"/>
  <c r="AB153" i="6"/>
  <c r="AB155" i="6"/>
  <c r="AB115" i="6"/>
  <c r="AB119" i="6"/>
  <c r="AB122" i="6"/>
  <c r="AB124" i="6"/>
  <c r="AB126" i="6"/>
  <c r="AB128" i="6"/>
  <c r="AB130" i="6"/>
  <c r="AB132" i="6"/>
  <c r="AB134" i="6"/>
  <c r="AB136" i="6"/>
  <c r="AB138" i="6"/>
  <c r="AB140" i="6"/>
  <c r="AB142" i="6"/>
  <c r="AB144" i="6"/>
  <c r="AB146" i="6"/>
  <c r="AB148" i="6"/>
  <c r="AB150" i="6"/>
  <c r="AB152" i="6"/>
  <c r="AB154" i="6"/>
  <c r="AB156" i="6"/>
  <c r="AB157" i="6"/>
  <c r="AB158" i="6"/>
  <c r="AD2" i="6" l="1"/>
  <c r="AC4" i="6"/>
  <c r="AC6" i="6"/>
  <c r="AC7" i="6"/>
  <c r="AC8" i="6"/>
  <c r="AC10" i="6"/>
  <c r="AC5" i="6"/>
  <c r="AC9" i="6"/>
  <c r="AC11" i="6"/>
  <c r="AC12" i="6"/>
  <c r="AC13" i="6"/>
  <c r="AC15" i="6"/>
  <c r="AC17" i="6"/>
  <c r="AC19" i="6"/>
  <c r="AC21" i="6"/>
  <c r="AC23" i="6"/>
  <c r="AC14" i="6"/>
  <c r="AC22" i="6"/>
  <c r="AC16" i="6"/>
  <c r="AC18" i="6"/>
  <c r="AC24" i="6"/>
  <c r="AC20" i="6"/>
  <c r="AC25" i="6"/>
  <c r="AC26" i="6"/>
  <c r="AC27" i="6"/>
  <c r="AC30" i="6"/>
  <c r="AC33" i="6"/>
  <c r="AC36" i="6"/>
  <c r="AC38" i="6"/>
  <c r="AC28" i="6"/>
  <c r="AC35" i="6"/>
  <c r="AC29" i="6"/>
  <c r="AC32" i="6"/>
  <c r="AC31" i="6"/>
  <c r="AC34" i="6"/>
  <c r="AC39" i="6"/>
  <c r="AC40" i="6"/>
  <c r="AC43" i="6"/>
  <c r="AC48" i="6"/>
  <c r="AC51" i="6"/>
  <c r="AC37" i="6"/>
  <c r="AC42" i="6"/>
  <c r="AC45" i="6"/>
  <c r="AC50" i="6"/>
  <c r="AC53" i="6"/>
  <c r="AC44" i="6"/>
  <c r="AC41" i="6"/>
  <c r="AC46" i="6"/>
  <c r="AC49" i="6"/>
  <c r="AC54" i="6"/>
  <c r="AC52" i="6"/>
  <c r="AC55" i="6"/>
  <c r="AC57" i="6"/>
  <c r="AC62" i="6"/>
  <c r="AC64" i="6"/>
  <c r="AC66" i="6"/>
  <c r="AC68" i="6"/>
  <c r="AC70" i="6"/>
  <c r="AC72" i="6"/>
  <c r="AC74" i="6"/>
  <c r="AC76" i="6"/>
  <c r="AC78" i="6"/>
  <c r="AC80" i="6"/>
  <c r="AC82" i="6"/>
  <c r="AC84" i="6"/>
  <c r="AC86" i="6"/>
  <c r="AC88" i="6"/>
  <c r="AC90" i="6"/>
  <c r="AC92" i="6"/>
  <c r="AC94" i="6"/>
  <c r="AC96" i="6"/>
  <c r="AC98" i="6"/>
  <c r="AC47" i="6"/>
  <c r="AC56" i="6"/>
  <c r="AC59" i="6"/>
  <c r="AC58" i="6"/>
  <c r="AC61" i="6"/>
  <c r="AC63" i="6"/>
  <c r="AC65" i="6"/>
  <c r="AC67" i="6"/>
  <c r="AC69" i="6"/>
  <c r="AC71" i="6"/>
  <c r="AC73" i="6"/>
  <c r="AC75" i="6"/>
  <c r="AC77" i="6"/>
  <c r="AC79" i="6"/>
  <c r="AC81" i="6"/>
  <c r="AC83" i="6"/>
  <c r="AC85" i="6"/>
  <c r="AC87" i="6"/>
  <c r="AC89" i="6"/>
  <c r="AC91" i="6"/>
  <c r="AC93" i="6"/>
  <c r="AC95" i="6"/>
  <c r="AC97" i="6"/>
  <c r="AC99" i="6"/>
  <c r="AC101" i="6"/>
  <c r="AC103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60" i="6"/>
  <c r="AC104" i="6"/>
  <c r="AC100" i="6"/>
  <c r="AC102" i="6"/>
  <c r="AC3" i="6"/>
  <c r="AD5" i="6" l="1"/>
  <c r="AD6" i="6"/>
  <c r="AD7" i="6"/>
  <c r="AD4" i="6"/>
  <c r="AD9" i="6"/>
  <c r="AD11" i="6"/>
  <c r="AD12" i="6"/>
  <c r="AD8" i="6"/>
  <c r="AD10" i="6"/>
  <c r="AD24" i="6"/>
  <c r="AD25" i="6"/>
  <c r="AD26" i="6"/>
  <c r="AD27" i="6"/>
  <c r="AD28" i="6"/>
  <c r="AD29" i="6"/>
  <c r="AD30" i="6"/>
  <c r="AD13" i="6"/>
  <c r="AD17" i="6"/>
  <c r="AD20" i="6"/>
  <c r="AD14" i="6"/>
  <c r="AD19" i="6"/>
  <c r="AD22" i="6"/>
  <c r="AD31" i="6"/>
  <c r="AD32" i="6"/>
  <c r="AD33" i="6"/>
  <c r="AD34" i="6"/>
  <c r="AD35" i="6"/>
  <c r="AD16" i="6"/>
  <c r="AD21" i="6"/>
  <c r="AD15" i="6"/>
  <c r="AD18" i="6"/>
  <c r="AD23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5" i="6"/>
  <c r="AD69" i="6"/>
  <c r="AD73" i="6"/>
  <c r="AD62" i="6"/>
  <c r="AD64" i="6"/>
  <c r="AD3" i="6"/>
  <c r="AD63" i="6"/>
  <c r="AD67" i="6"/>
  <c r="AD71" i="6"/>
  <c r="AD75" i="6"/>
  <c r="AD79" i="6"/>
  <c r="AD83" i="6"/>
  <c r="AD87" i="6"/>
  <c r="AD91" i="6"/>
  <c r="AD95" i="6"/>
  <c r="AD99" i="6"/>
  <c r="AD102" i="6"/>
  <c r="AD66" i="6"/>
  <c r="AD68" i="6"/>
  <c r="AD70" i="6"/>
  <c r="AD72" i="6"/>
  <c r="AD74" i="6"/>
  <c r="AD76" i="6"/>
  <c r="AD78" i="6"/>
  <c r="AD82" i="6"/>
  <c r="AD86" i="6"/>
  <c r="AD90" i="6"/>
  <c r="AD94" i="6"/>
  <c r="AD98" i="6"/>
  <c r="AD101" i="6"/>
  <c r="AD104" i="6"/>
  <c r="AD107" i="6"/>
  <c r="AD109" i="6"/>
  <c r="AD111" i="6"/>
  <c r="AD113" i="6"/>
  <c r="AD115" i="6"/>
  <c r="AD117" i="6"/>
  <c r="AD119" i="6"/>
  <c r="AD77" i="6"/>
  <c r="AD81" i="6"/>
  <c r="AD85" i="6"/>
  <c r="AD89" i="6"/>
  <c r="AD93" i="6"/>
  <c r="AD97" i="6"/>
  <c r="AD103" i="6"/>
  <c r="AD80" i="6"/>
  <c r="AD84" i="6"/>
  <c r="AD88" i="6"/>
  <c r="AD92" i="6"/>
  <c r="AD96" i="6"/>
  <c r="AD100" i="6"/>
  <c r="AD105" i="6"/>
  <c r="AD106" i="6"/>
  <c r="AD108" i="6"/>
  <c r="AD110" i="6"/>
  <c r="AD112" i="6"/>
  <c r="AD114" i="6"/>
  <c r="AD116" i="6"/>
  <c r="AD122" i="6"/>
  <c r="AD124" i="6"/>
  <c r="AD126" i="6"/>
  <c r="AD128" i="6"/>
  <c r="AD130" i="6"/>
  <c r="AD132" i="6"/>
  <c r="AD134" i="6"/>
  <c r="AD136" i="6"/>
  <c r="AD138" i="6"/>
  <c r="AD140" i="6"/>
  <c r="AD142" i="6"/>
  <c r="AD144" i="6"/>
  <c r="AD146" i="6"/>
  <c r="AD148" i="6"/>
  <c r="AD150" i="6"/>
  <c r="AD152" i="6"/>
  <c r="AD154" i="6"/>
  <c r="AD156" i="6"/>
  <c r="AD158" i="6"/>
  <c r="AE2" i="6"/>
  <c r="AD118" i="6"/>
  <c r="AD120" i="6"/>
  <c r="AD121" i="6"/>
  <c r="AD123" i="6"/>
  <c r="AD125" i="6"/>
  <c r="AD127" i="6"/>
  <c r="AD129" i="6"/>
  <c r="AD131" i="6"/>
  <c r="AD133" i="6"/>
  <c r="AD135" i="6"/>
  <c r="AD137" i="6"/>
  <c r="AD139" i="6"/>
  <c r="AD141" i="6"/>
  <c r="AD143" i="6"/>
  <c r="AD145" i="6"/>
  <c r="AD147" i="6"/>
  <c r="AD149" i="6"/>
  <c r="AD151" i="6"/>
  <c r="AD153" i="6"/>
  <c r="AD157" i="6"/>
  <c r="AD155" i="6"/>
  <c r="AE5" i="6" l="1"/>
  <c r="AE4" i="6"/>
  <c r="AE6" i="6"/>
  <c r="AE7" i="6"/>
  <c r="AE9" i="6"/>
  <c r="AE8" i="6"/>
  <c r="AE10" i="6"/>
  <c r="AE11" i="6"/>
  <c r="AE12" i="6"/>
  <c r="AE14" i="6"/>
  <c r="AE16" i="6"/>
  <c r="AE18" i="6"/>
  <c r="AE20" i="6"/>
  <c r="AE22" i="6"/>
  <c r="AE15" i="6"/>
  <c r="AE13" i="6"/>
  <c r="AE17" i="6"/>
  <c r="AE25" i="6"/>
  <c r="AE27" i="6"/>
  <c r="AE29" i="6"/>
  <c r="AE19" i="6"/>
  <c r="AE21" i="6"/>
  <c r="AE23" i="6"/>
  <c r="AE30" i="6"/>
  <c r="AE32" i="6"/>
  <c r="AE34" i="6"/>
  <c r="AE26" i="6"/>
  <c r="AE31" i="6"/>
  <c r="AE33" i="6"/>
  <c r="AE24" i="6"/>
  <c r="AE28" i="6"/>
  <c r="AE35" i="6"/>
  <c r="AE37" i="6"/>
  <c r="AE39" i="6"/>
  <c r="AE41" i="6"/>
  <c r="AE43" i="6"/>
  <c r="AE45" i="6"/>
  <c r="AE47" i="6"/>
  <c r="AE49" i="6"/>
  <c r="AE51" i="6"/>
  <c r="AE53" i="6"/>
  <c r="AE55" i="6"/>
  <c r="AE57" i="6"/>
  <c r="AE59" i="6"/>
  <c r="AE61" i="6"/>
  <c r="AE36" i="6"/>
  <c r="AE46" i="6"/>
  <c r="AE38" i="6"/>
  <c r="AE40" i="6"/>
  <c r="AE48" i="6"/>
  <c r="AE42" i="6"/>
  <c r="AE44" i="6"/>
  <c r="AE50" i="6"/>
  <c r="AE54" i="6"/>
  <c r="AE60" i="6"/>
  <c r="AE63" i="6"/>
  <c r="AE65" i="6"/>
  <c r="AE67" i="6"/>
  <c r="AE69" i="6"/>
  <c r="AE71" i="6"/>
  <c r="AE73" i="6"/>
  <c r="AE75" i="6"/>
  <c r="AE77" i="6"/>
  <c r="AE79" i="6"/>
  <c r="AE81" i="6"/>
  <c r="AE83" i="6"/>
  <c r="AE85" i="6"/>
  <c r="AE87" i="6"/>
  <c r="AE89" i="6"/>
  <c r="AE91" i="6"/>
  <c r="AE93" i="6"/>
  <c r="AE95" i="6"/>
  <c r="AE97" i="6"/>
  <c r="AE99" i="6"/>
  <c r="AE52" i="6"/>
  <c r="AE56" i="6"/>
  <c r="AE62" i="6"/>
  <c r="AE64" i="6"/>
  <c r="AE66" i="6"/>
  <c r="AE68" i="6"/>
  <c r="AE70" i="6"/>
  <c r="AE72" i="6"/>
  <c r="AE74" i="6"/>
  <c r="AE76" i="6"/>
  <c r="AE78" i="6"/>
  <c r="AE80" i="6"/>
  <c r="AE82" i="6"/>
  <c r="AE84" i="6"/>
  <c r="AE86" i="6"/>
  <c r="AE88" i="6"/>
  <c r="AE90" i="6"/>
  <c r="AE92" i="6"/>
  <c r="AE94" i="6"/>
  <c r="AE96" i="6"/>
  <c r="AE98" i="6"/>
  <c r="AE100" i="6"/>
  <c r="AE102" i="6"/>
  <c r="AE104" i="6"/>
  <c r="AF2" i="6"/>
  <c r="AE58" i="6"/>
  <c r="AE105" i="6"/>
  <c r="AE106" i="6"/>
  <c r="AE108" i="6"/>
  <c r="AE110" i="6"/>
  <c r="AE101" i="6"/>
  <c r="AE107" i="6"/>
  <c r="AE109" i="6"/>
  <c r="AE111" i="6"/>
  <c r="AE113" i="6"/>
  <c r="AE115" i="6"/>
  <c r="AE117" i="6"/>
  <c r="AE103" i="6"/>
  <c r="AE112" i="6"/>
  <c r="AE116" i="6"/>
  <c r="AE119" i="6"/>
  <c r="AE122" i="6"/>
  <c r="AE124" i="6"/>
  <c r="AE126" i="6"/>
  <c r="AE128" i="6"/>
  <c r="AE130" i="6"/>
  <c r="AE132" i="6"/>
  <c r="AE134" i="6"/>
  <c r="AE136" i="6"/>
  <c r="AE138" i="6"/>
  <c r="AE140" i="6"/>
  <c r="AE142" i="6"/>
  <c r="AE144" i="6"/>
  <c r="AE146" i="6"/>
  <c r="AE148" i="6"/>
  <c r="AE150" i="6"/>
  <c r="AE152" i="6"/>
  <c r="AE154" i="6"/>
  <c r="AE114" i="6"/>
  <c r="AE118" i="6"/>
  <c r="AE120" i="6"/>
  <c r="AE121" i="6"/>
  <c r="AE123" i="6"/>
  <c r="AE125" i="6"/>
  <c r="AE127" i="6"/>
  <c r="AE129" i="6"/>
  <c r="AE131" i="6"/>
  <c r="AE133" i="6"/>
  <c r="AE135" i="6"/>
  <c r="AE137" i="6"/>
  <c r="AE139" i="6"/>
  <c r="AE141" i="6"/>
  <c r="AE143" i="6"/>
  <c r="AE145" i="6"/>
  <c r="AE147" i="6"/>
  <c r="AE149" i="6"/>
  <c r="AE151" i="6"/>
  <c r="AE153" i="6"/>
  <c r="AE155" i="6"/>
  <c r="AE156" i="6"/>
  <c r="AE158" i="6"/>
  <c r="AE3" i="6"/>
  <c r="AE157" i="6"/>
  <c r="AF4" i="6" l="1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5" i="6"/>
  <c r="AF24" i="6"/>
  <c r="AF26" i="6"/>
  <c r="AF28" i="6"/>
  <c r="AF34" i="6"/>
  <c r="AF37" i="6"/>
  <c r="AF39" i="6"/>
  <c r="AF30" i="6"/>
  <c r="AF31" i="6"/>
  <c r="AF27" i="6"/>
  <c r="AF33" i="6"/>
  <c r="AF36" i="6"/>
  <c r="AF29" i="6"/>
  <c r="AF32" i="6"/>
  <c r="AF35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41" i="6"/>
  <c r="AF44" i="6"/>
  <c r="AF49" i="6"/>
  <c r="AF52" i="6"/>
  <c r="AF43" i="6"/>
  <c r="AF46" i="6"/>
  <c r="AF51" i="6"/>
  <c r="AF54" i="6"/>
  <c r="AF38" i="6"/>
  <c r="AF40" i="6"/>
  <c r="AF42" i="6"/>
  <c r="AF47" i="6"/>
  <c r="AF50" i="6"/>
  <c r="AF53" i="6"/>
  <c r="AF56" i="6"/>
  <c r="AF61" i="6"/>
  <c r="AF45" i="6"/>
  <c r="AF48" i="6"/>
  <c r="AF58" i="6"/>
  <c r="AF55" i="6"/>
  <c r="AF57" i="6"/>
  <c r="AF60" i="6"/>
  <c r="AF59" i="6"/>
  <c r="AF106" i="6"/>
  <c r="AF108" i="6"/>
  <c r="AF110" i="6"/>
  <c r="AF112" i="6"/>
  <c r="AF114" i="6"/>
  <c r="AF116" i="6"/>
  <c r="AF118" i="6"/>
  <c r="AF120" i="6"/>
  <c r="AF107" i="6"/>
  <c r="AF109" i="6"/>
  <c r="AF111" i="6"/>
  <c r="AF113" i="6"/>
  <c r="AF115" i="6"/>
  <c r="AF117" i="6"/>
  <c r="AF121" i="6"/>
  <c r="AF123" i="6"/>
  <c r="AF125" i="6"/>
  <c r="AF127" i="6"/>
  <c r="AF129" i="6"/>
  <c r="AF131" i="6"/>
  <c r="AF133" i="6"/>
  <c r="AF135" i="6"/>
  <c r="AF137" i="6"/>
  <c r="AF139" i="6"/>
  <c r="AF141" i="6"/>
  <c r="AF143" i="6"/>
  <c r="AF145" i="6"/>
  <c r="AF147" i="6"/>
  <c r="AF149" i="6"/>
  <c r="AF151" i="6"/>
  <c r="AF153" i="6"/>
  <c r="AF155" i="6"/>
  <c r="AF157" i="6"/>
  <c r="AF119" i="6"/>
  <c r="AF122" i="6"/>
  <c r="AF124" i="6"/>
  <c r="AF126" i="6"/>
  <c r="AF128" i="6"/>
  <c r="AF130" i="6"/>
  <c r="AF132" i="6"/>
  <c r="AF134" i="6"/>
  <c r="AF136" i="6"/>
  <c r="AF138" i="6"/>
  <c r="AF140" i="6"/>
  <c r="AF142" i="6"/>
  <c r="AF144" i="6"/>
  <c r="AF146" i="6"/>
  <c r="AF148" i="6"/>
  <c r="AF150" i="6"/>
  <c r="AF152" i="6"/>
  <c r="AF154" i="6"/>
  <c r="AF158" i="6"/>
  <c r="AF156" i="6"/>
  <c r="AF3" i="6"/>
  <c r="AG2" i="6"/>
  <c r="AG4" i="6" l="1"/>
  <c r="AG5" i="6"/>
  <c r="AG8" i="6"/>
  <c r="AG10" i="6"/>
  <c r="AG6" i="6"/>
  <c r="AG7" i="6"/>
  <c r="AG9" i="6"/>
  <c r="AG13" i="6"/>
  <c r="AG12" i="6"/>
  <c r="AG18" i="6"/>
  <c r="AG21" i="6"/>
  <c r="AG15" i="6"/>
  <c r="AG20" i="6"/>
  <c r="AG23" i="6"/>
  <c r="AG24" i="6"/>
  <c r="AG26" i="6"/>
  <c r="AG28" i="6"/>
  <c r="AG30" i="6"/>
  <c r="AG14" i="6"/>
  <c r="AG17" i="6"/>
  <c r="AG22" i="6"/>
  <c r="AG11" i="6"/>
  <c r="AG16" i="6"/>
  <c r="AG19" i="6"/>
  <c r="AG31" i="6"/>
  <c r="AG33" i="6"/>
  <c r="AG35" i="6"/>
  <c r="AG29" i="6"/>
  <c r="AG32" i="6"/>
  <c r="AG34" i="6"/>
  <c r="AG25" i="6"/>
  <c r="AG27" i="6"/>
  <c r="AG36" i="6"/>
  <c r="AG38" i="6"/>
  <c r="AG40" i="6"/>
  <c r="AG42" i="6"/>
  <c r="AG44" i="6"/>
  <c r="AG46" i="6"/>
  <c r="AG48" i="6"/>
  <c r="AG50" i="6"/>
  <c r="AG52" i="6"/>
  <c r="AG54" i="6"/>
  <c r="AG56" i="6"/>
  <c r="AG58" i="6"/>
  <c r="AG60" i="6"/>
  <c r="AG47" i="6"/>
  <c r="AG39" i="6"/>
  <c r="AG41" i="6"/>
  <c r="AG49" i="6"/>
  <c r="AG37" i="6"/>
  <c r="AG43" i="6"/>
  <c r="AG45" i="6"/>
  <c r="AG51" i="6"/>
  <c r="AG62" i="6"/>
  <c r="AG66" i="6"/>
  <c r="AG70" i="6"/>
  <c r="AG74" i="6"/>
  <c r="AG53" i="6"/>
  <c r="AG61" i="6"/>
  <c r="AG63" i="6"/>
  <c r="AG65" i="6"/>
  <c r="AG55" i="6"/>
  <c r="AG57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59" i="6"/>
  <c r="AG64" i="6"/>
  <c r="AG68" i="6"/>
  <c r="AG72" i="6"/>
  <c r="AG76" i="6"/>
  <c r="AG80" i="6"/>
  <c r="AG84" i="6"/>
  <c r="AG88" i="6"/>
  <c r="AG92" i="6"/>
  <c r="AG96" i="6"/>
  <c r="AG100" i="6"/>
  <c r="AG103" i="6"/>
  <c r="AG79" i="6"/>
  <c r="AG83" i="6"/>
  <c r="AG87" i="6"/>
  <c r="AG91" i="6"/>
  <c r="AG95" i="6"/>
  <c r="AG99" i="6"/>
  <c r="AG102" i="6"/>
  <c r="AG105" i="6"/>
  <c r="AG67" i="6"/>
  <c r="AG69" i="6"/>
  <c r="AG71" i="6"/>
  <c r="AG73" i="6"/>
  <c r="AG75" i="6"/>
  <c r="AG78" i="6"/>
  <c r="AG82" i="6"/>
  <c r="AG86" i="6"/>
  <c r="AG90" i="6"/>
  <c r="AG94" i="6"/>
  <c r="AG98" i="6"/>
  <c r="AG104" i="6"/>
  <c r="AG77" i="6"/>
  <c r="AG81" i="6"/>
  <c r="AG85" i="6"/>
  <c r="AG89" i="6"/>
  <c r="AG93" i="6"/>
  <c r="AG97" i="6"/>
  <c r="AG101" i="6"/>
  <c r="AG3" i="6"/>
  <c r="AH2" i="6"/>
  <c r="AH4" i="6" l="1"/>
  <c r="AH5" i="6"/>
  <c r="AH6" i="6"/>
  <c r="AH7" i="6"/>
  <c r="AH11" i="6"/>
  <c r="AH12" i="6"/>
  <c r="AH8" i="6"/>
  <c r="AH10" i="6"/>
  <c r="AH9" i="6"/>
  <c r="AH13" i="6"/>
  <c r="AH15" i="6"/>
  <c r="AH17" i="6"/>
  <c r="AH19" i="6"/>
  <c r="AH21" i="6"/>
  <c r="AH23" i="6"/>
  <c r="AH24" i="6"/>
  <c r="AH25" i="6"/>
  <c r="AH26" i="6"/>
  <c r="AH27" i="6"/>
  <c r="AH28" i="6"/>
  <c r="AH29" i="6"/>
  <c r="AH30" i="6"/>
  <c r="AH16" i="6"/>
  <c r="AH18" i="6"/>
  <c r="AH31" i="6"/>
  <c r="AH32" i="6"/>
  <c r="AH33" i="6"/>
  <c r="AH34" i="6"/>
  <c r="AH35" i="6"/>
  <c r="AH20" i="6"/>
  <c r="AH14" i="6"/>
  <c r="AH22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4" i="6"/>
  <c r="AH66" i="6"/>
  <c r="AH68" i="6"/>
  <c r="AH70" i="6"/>
  <c r="AH72" i="6"/>
  <c r="AH74" i="6"/>
  <c r="AH76" i="6"/>
  <c r="AH78" i="6"/>
  <c r="AH80" i="6"/>
  <c r="AH82" i="6"/>
  <c r="AH84" i="6"/>
  <c r="AH86" i="6"/>
  <c r="AH88" i="6"/>
  <c r="AH90" i="6"/>
  <c r="AH92" i="6"/>
  <c r="AH94" i="6"/>
  <c r="AH96" i="6"/>
  <c r="AH98" i="6"/>
  <c r="AH63" i="6"/>
  <c r="AH65" i="6"/>
  <c r="AH67" i="6"/>
  <c r="AH69" i="6"/>
  <c r="AH71" i="6"/>
  <c r="AH73" i="6"/>
  <c r="AH75" i="6"/>
  <c r="AH77" i="6"/>
  <c r="AH79" i="6"/>
  <c r="AH81" i="6"/>
  <c r="AH83" i="6"/>
  <c r="AH85" i="6"/>
  <c r="AH87" i="6"/>
  <c r="AH89" i="6"/>
  <c r="AH91" i="6"/>
  <c r="AH93" i="6"/>
  <c r="AH95" i="6"/>
  <c r="AH97" i="6"/>
  <c r="AH99" i="6"/>
  <c r="AH101" i="6"/>
  <c r="AH103" i="6"/>
  <c r="AH105" i="6"/>
  <c r="AH3" i="6"/>
  <c r="AH107" i="6"/>
  <c r="AH109" i="6"/>
  <c r="AH111" i="6"/>
  <c r="AH100" i="6"/>
  <c r="AH102" i="6"/>
  <c r="AH106" i="6"/>
  <c r="AH108" i="6"/>
  <c r="AH110" i="6"/>
  <c r="AH112" i="6"/>
  <c r="AH114" i="6"/>
  <c r="AH116" i="6"/>
  <c r="AH118" i="6"/>
  <c r="AH104" i="6"/>
  <c r="AH115" i="6"/>
  <c r="AH120" i="6"/>
  <c r="AH121" i="6"/>
  <c r="AH123" i="6"/>
  <c r="AH125" i="6"/>
  <c r="AH127" i="6"/>
  <c r="AH129" i="6"/>
  <c r="AH131" i="6"/>
  <c r="AH133" i="6"/>
  <c r="AH135" i="6"/>
  <c r="AH137" i="6"/>
  <c r="AH139" i="6"/>
  <c r="AH141" i="6"/>
  <c r="AH143" i="6"/>
  <c r="AH145" i="6"/>
  <c r="AH147" i="6"/>
  <c r="AH149" i="6"/>
  <c r="AH151" i="6"/>
  <c r="AH153" i="6"/>
  <c r="AH155" i="6"/>
  <c r="AH113" i="6"/>
  <c r="AH117" i="6"/>
  <c r="AH119" i="6"/>
  <c r="AH122" i="6"/>
  <c r="AH124" i="6"/>
  <c r="AH126" i="6"/>
  <c r="AH128" i="6"/>
  <c r="AH130" i="6"/>
  <c r="AH132" i="6"/>
  <c r="AH134" i="6"/>
  <c r="AH136" i="6"/>
  <c r="AH138" i="6"/>
  <c r="AH140" i="6"/>
  <c r="AH142" i="6"/>
  <c r="AH144" i="6"/>
  <c r="AH146" i="6"/>
  <c r="AH148" i="6"/>
  <c r="AH150" i="6"/>
  <c r="AH152" i="6"/>
  <c r="AH154" i="6"/>
  <c r="AH156" i="6"/>
  <c r="AH157" i="6"/>
  <c r="AH158" i="6"/>
  <c r="AI2" i="6"/>
  <c r="AI4" i="6" l="1"/>
  <c r="AI5" i="6"/>
  <c r="AI9" i="6"/>
  <c r="AI8" i="6"/>
  <c r="AI10" i="6"/>
  <c r="AI6" i="6"/>
  <c r="AI11" i="6"/>
  <c r="AI7" i="6"/>
  <c r="AI14" i="6"/>
  <c r="AI19" i="6"/>
  <c r="AI22" i="6"/>
  <c r="AI12" i="6"/>
  <c r="AI16" i="6"/>
  <c r="AI21" i="6"/>
  <c r="AI13" i="6"/>
  <c r="AI15" i="6"/>
  <c r="AI18" i="6"/>
  <c r="AI23" i="6"/>
  <c r="AI24" i="6"/>
  <c r="AI17" i="6"/>
  <c r="AI20" i="6"/>
  <c r="AI25" i="6"/>
  <c r="AI27" i="6"/>
  <c r="AI26" i="6"/>
  <c r="AI29" i="6"/>
  <c r="AI35" i="6"/>
  <c r="AI36" i="6"/>
  <c r="AI38" i="6"/>
  <c r="AI32" i="6"/>
  <c r="AI30" i="6"/>
  <c r="AI31" i="6"/>
  <c r="AI34" i="6"/>
  <c r="AI28" i="6"/>
  <c r="AI33" i="6"/>
  <c r="AI42" i="6"/>
  <c r="AI45" i="6"/>
  <c r="AI50" i="6"/>
  <c r="AI44" i="6"/>
  <c r="AI47" i="6"/>
  <c r="AI52" i="6"/>
  <c r="AI55" i="6"/>
  <c r="AI39" i="6"/>
  <c r="AI41" i="6"/>
  <c r="AI37" i="6"/>
  <c r="AI40" i="6"/>
  <c r="AI43" i="6"/>
  <c r="AI48" i="6"/>
  <c r="AI51" i="6"/>
  <c r="AI46" i="6"/>
  <c r="AI49" i="6"/>
  <c r="AI57" i="6"/>
  <c r="AI65" i="6"/>
  <c r="AI69" i="6"/>
  <c r="AI73" i="6"/>
  <c r="AI56" i="6"/>
  <c r="AI59" i="6"/>
  <c r="AI53" i="6"/>
  <c r="AI54" i="6"/>
  <c r="AI58" i="6"/>
  <c r="AI61" i="6"/>
  <c r="AI62" i="6"/>
  <c r="AI64" i="6"/>
  <c r="AI60" i="6"/>
  <c r="AJ2" i="6"/>
  <c r="AI63" i="6"/>
  <c r="AI67" i="6"/>
  <c r="AI71" i="6"/>
  <c r="AI75" i="6"/>
  <c r="AI77" i="6"/>
  <c r="AI81" i="6"/>
  <c r="AI85" i="6"/>
  <c r="AI89" i="6"/>
  <c r="AI93" i="6"/>
  <c r="AI97" i="6"/>
  <c r="AI101" i="6"/>
  <c r="AI104" i="6"/>
  <c r="AI80" i="6"/>
  <c r="AI84" i="6"/>
  <c r="AI88" i="6"/>
  <c r="AI92" i="6"/>
  <c r="AI96" i="6"/>
  <c r="AI103" i="6"/>
  <c r="AI107" i="6"/>
  <c r="AI109" i="6"/>
  <c r="AI111" i="6"/>
  <c r="AI113" i="6"/>
  <c r="AI115" i="6"/>
  <c r="AI117" i="6"/>
  <c r="AI119" i="6"/>
  <c r="AI66" i="6"/>
  <c r="AI68" i="6"/>
  <c r="AI70" i="6"/>
  <c r="AI72" i="6"/>
  <c r="AI74" i="6"/>
  <c r="AI76" i="6"/>
  <c r="AI79" i="6"/>
  <c r="AI83" i="6"/>
  <c r="AI87" i="6"/>
  <c r="AI91" i="6"/>
  <c r="AI95" i="6"/>
  <c r="AI99" i="6"/>
  <c r="AI100" i="6"/>
  <c r="AI105" i="6"/>
  <c r="AI78" i="6"/>
  <c r="AI82" i="6"/>
  <c r="AI86" i="6"/>
  <c r="AI90" i="6"/>
  <c r="AI94" i="6"/>
  <c r="AI98" i="6"/>
  <c r="AI102" i="6"/>
  <c r="AI106" i="6"/>
  <c r="AI108" i="6"/>
  <c r="AI110" i="6"/>
  <c r="AI112" i="6"/>
  <c r="AI114" i="6"/>
  <c r="AI116" i="6"/>
  <c r="AI118" i="6"/>
  <c r="AI122" i="6"/>
  <c r="AI124" i="6"/>
  <c r="AI126" i="6"/>
  <c r="AI128" i="6"/>
  <c r="AI130" i="6"/>
  <c r="AI132" i="6"/>
  <c r="AI134" i="6"/>
  <c r="AI136" i="6"/>
  <c r="AI138" i="6"/>
  <c r="AI140" i="6"/>
  <c r="AI142" i="6"/>
  <c r="AI144" i="6"/>
  <c r="AI146" i="6"/>
  <c r="AI148" i="6"/>
  <c r="AI150" i="6"/>
  <c r="AI152" i="6"/>
  <c r="AI154" i="6"/>
  <c r="AI156" i="6"/>
  <c r="AI158" i="6"/>
  <c r="AI120" i="6"/>
  <c r="AI121" i="6"/>
  <c r="AI123" i="6"/>
  <c r="AI125" i="6"/>
  <c r="AI127" i="6"/>
  <c r="AI129" i="6"/>
  <c r="AI131" i="6"/>
  <c r="AI133" i="6"/>
  <c r="AI135" i="6"/>
  <c r="AI137" i="6"/>
  <c r="AI139" i="6"/>
  <c r="AI141" i="6"/>
  <c r="AI143" i="6"/>
  <c r="AI145" i="6"/>
  <c r="AI147" i="6"/>
  <c r="AI149" i="6"/>
  <c r="AI151" i="6"/>
  <c r="AI153" i="6"/>
  <c r="AI155" i="6"/>
  <c r="AI157" i="6"/>
  <c r="AI3" i="6"/>
  <c r="AJ4" i="6" l="1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5" i="6"/>
  <c r="AJ27" i="6"/>
  <c r="AJ29" i="6"/>
  <c r="AJ26" i="6"/>
  <c r="AJ24" i="6"/>
  <c r="AJ32" i="6"/>
  <c r="AJ34" i="6"/>
  <c r="AJ28" i="6"/>
  <c r="AJ33" i="6"/>
  <c r="AJ35" i="6"/>
  <c r="AJ30" i="6"/>
  <c r="AJ31" i="6"/>
  <c r="AJ37" i="6"/>
  <c r="AJ39" i="6"/>
  <c r="AJ41" i="6"/>
  <c r="AJ43" i="6"/>
  <c r="AJ45" i="6"/>
  <c r="AJ47" i="6"/>
  <c r="AJ49" i="6"/>
  <c r="AJ51" i="6"/>
  <c r="AJ53" i="6"/>
  <c r="AJ55" i="6"/>
  <c r="AJ57" i="6"/>
  <c r="AJ59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40" i="6"/>
  <c r="AJ48" i="6"/>
  <c r="AJ36" i="6"/>
  <c r="AJ42" i="6"/>
  <c r="AJ50" i="6"/>
  <c r="AJ44" i="6"/>
  <c r="AJ38" i="6"/>
  <c r="AJ46" i="6"/>
  <c r="AJ56" i="6"/>
  <c r="AJ52" i="6"/>
  <c r="AJ54" i="6"/>
  <c r="AJ58" i="6"/>
  <c r="AJ60" i="6"/>
  <c r="AJ106" i="6"/>
  <c r="AJ108" i="6"/>
  <c r="AJ110" i="6"/>
  <c r="AJ107" i="6"/>
  <c r="AJ109" i="6"/>
  <c r="AJ111" i="6"/>
  <c r="AJ113" i="6"/>
  <c r="AJ115" i="6"/>
  <c r="AJ117" i="6"/>
  <c r="AK2" i="6"/>
  <c r="AJ112" i="6"/>
  <c r="AJ116" i="6"/>
  <c r="AJ118" i="6"/>
  <c r="AJ122" i="6"/>
  <c r="AJ124" i="6"/>
  <c r="AJ126" i="6"/>
  <c r="AJ128" i="6"/>
  <c r="AJ130" i="6"/>
  <c r="AJ132" i="6"/>
  <c r="AJ134" i="6"/>
  <c r="AJ136" i="6"/>
  <c r="AJ138" i="6"/>
  <c r="AJ140" i="6"/>
  <c r="AJ142" i="6"/>
  <c r="AJ144" i="6"/>
  <c r="AJ146" i="6"/>
  <c r="AJ148" i="6"/>
  <c r="AJ150" i="6"/>
  <c r="AJ152" i="6"/>
  <c r="AJ154" i="6"/>
  <c r="AJ120" i="6"/>
  <c r="AJ114" i="6"/>
  <c r="AJ119" i="6"/>
  <c r="AJ121" i="6"/>
  <c r="AJ123" i="6"/>
  <c r="AJ125" i="6"/>
  <c r="AJ127" i="6"/>
  <c r="AJ129" i="6"/>
  <c r="AJ131" i="6"/>
  <c r="AJ133" i="6"/>
  <c r="AJ135" i="6"/>
  <c r="AJ137" i="6"/>
  <c r="AJ139" i="6"/>
  <c r="AJ141" i="6"/>
  <c r="AJ143" i="6"/>
  <c r="AJ145" i="6"/>
  <c r="AJ147" i="6"/>
  <c r="AJ149" i="6"/>
  <c r="AJ151" i="6"/>
  <c r="AJ153" i="6"/>
  <c r="AJ155" i="6"/>
  <c r="AJ158" i="6"/>
  <c r="AJ157" i="6"/>
  <c r="AJ3" i="6"/>
  <c r="AJ156" i="6"/>
  <c r="AK4" i="6" l="1"/>
  <c r="AK6" i="6"/>
  <c r="AK7" i="6"/>
  <c r="AK5" i="6"/>
  <c r="AK9" i="6"/>
  <c r="AK8" i="6"/>
  <c r="AK11" i="6"/>
  <c r="AK12" i="6"/>
  <c r="AK10" i="6"/>
  <c r="AK14" i="6"/>
  <c r="AK16" i="6"/>
  <c r="AK18" i="6"/>
  <c r="AK20" i="6"/>
  <c r="AK22" i="6"/>
  <c r="AK17" i="6"/>
  <c r="AK19" i="6"/>
  <c r="AK21" i="6"/>
  <c r="AK25" i="6"/>
  <c r="AK13" i="6"/>
  <c r="AK15" i="6"/>
  <c r="AK24" i="6"/>
  <c r="AK23" i="6"/>
  <c r="AK27" i="6"/>
  <c r="AK30" i="6"/>
  <c r="AK31" i="6"/>
  <c r="AK37" i="6"/>
  <c r="AK39" i="6"/>
  <c r="AK26" i="6"/>
  <c r="AK28" i="6"/>
  <c r="AK29" i="6"/>
  <c r="AK33" i="6"/>
  <c r="AK32" i="6"/>
  <c r="AK35" i="6"/>
  <c r="AK36" i="6"/>
  <c r="AK34" i="6"/>
  <c r="AK38" i="6"/>
  <c r="AK43" i="6"/>
  <c r="AK46" i="6"/>
  <c r="AK51" i="6"/>
  <c r="AK40" i="6"/>
  <c r="AK45" i="6"/>
  <c r="AK48" i="6"/>
  <c r="AK53" i="6"/>
  <c r="AK42" i="6"/>
  <c r="AK41" i="6"/>
  <c r="AK44" i="6"/>
  <c r="AK49" i="6"/>
  <c r="AK52" i="6"/>
  <c r="AK54" i="6"/>
  <c r="AK55" i="6"/>
  <c r="AK57" i="6"/>
  <c r="AK60" i="6"/>
  <c r="AK63" i="6"/>
  <c r="AK65" i="6"/>
  <c r="AK67" i="6"/>
  <c r="AK69" i="6"/>
  <c r="AK71" i="6"/>
  <c r="AK73" i="6"/>
  <c r="AK75" i="6"/>
  <c r="AK77" i="6"/>
  <c r="AK79" i="6"/>
  <c r="AK81" i="6"/>
  <c r="AK83" i="6"/>
  <c r="AK85" i="6"/>
  <c r="AK87" i="6"/>
  <c r="AK89" i="6"/>
  <c r="AK91" i="6"/>
  <c r="AK93" i="6"/>
  <c r="AK95" i="6"/>
  <c r="AK97" i="6"/>
  <c r="AK99" i="6"/>
  <c r="AK50" i="6"/>
  <c r="AK59" i="6"/>
  <c r="AK47" i="6"/>
  <c r="AK56" i="6"/>
  <c r="AK61" i="6"/>
  <c r="AK62" i="6"/>
  <c r="AK64" i="6"/>
  <c r="AK66" i="6"/>
  <c r="AK68" i="6"/>
  <c r="AK70" i="6"/>
  <c r="AK72" i="6"/>
  <c r="AK74" i="6"/>
  <c r="AK76" i="6"/>
  <c r="AK78" i="6"/>
  <c r="AK80" i="6"/>
  <c r="AK82" i="6"/>
  <c r="AK84" i="6"/>
  <c r="AK86" i="6"/>
  <c r="AK88" i="6"/>
  <c r="AK90" i="6"/>
  <c r="AK92" i="6"/>
  <c r="AK94" i="6"/>
  <c r="AK96" i="6"/>
  <c r="AK98" i="6"/>
  <c r="AK100" i="6"/>
  <c r="AK102" i="6"/>
  <c r="AK104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58" i="6"/>
  <c r="AK101" i="6"/>
  <c r="AK103" i="6"/>
  <c r="AK105" i="6"/>
  <c r="AL2" i="6"/>
  <c r="AK3" i="6"/>
  <c r="AL5" i="6" l="1"/>
  <c r="AL6" i="6"/>
  <c r="AL7" i="6"/>
  <c r="AL4" i="6"/>
  <c r="AL8" i="6"/>
  <c r="AL10" i="6"/>
  <c r="AL11" i="6"/>
  <c r="AL12" i="6"/>
  <c r="AL9" i="6"/>
  <c r="AL13" i="6"/>
  <c r="AL24" i="6"/>
  <c r="AL25" i="6"/>
  <c r="AL26" i="6"/>
  <c r="AL27" i="6"/>
  <c r="AL28" i="6"/>
  <c r="AL29" i="6"/>
  <c r="AL30" i="6"/>
  <c r="AL15" i="6"/>
  <c r="AL20" i="6"/>
  <c r="AL14" i="6"/>
  <c r="AL17" i="6"/>
  <c r="AL22" i="6"/>
  <c r="AL31" i="6"/>
  <c r="AL32" i="6"/>
  <c r="AL33" i="6"/>
  <c r="AL34" i="6"/>
  <c r="AL35" i="6"/>
  <c r="AL16" i="6"/>
  <c r="AL19" i="6"/>
  <c r="AL18" i="6"/>
  <c r="AL23" i="6"/>
  <c r="AL21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6" i="6"/>
  <c r="AL70" i="6"/>
  <c r="AL74" i="6"/>
  <c r="AL63" i="6"/>
  <c r="AL65" i="6"/>
  <c r="AL3" i="6"/>
  <c r="AL64" i="6"/>
  <c r="AL68" i="6"/>
  <c r="AL72" i="6"/>
  <c r="AL76" i="6"/>
  <c r="AL78" i="6"/>
  <c r="AL82" i="6"/>
  <c r="AL86" i="6"/>
  <c r="AL90" i="6"/>
  <c r="AL94" i="6"/>
  <c r="AL98" i="6"/>
  <c r="AL102" i="6"/>
  <c r="AL105" i="6"/>
  <c r="AL77" i="6"/>
  <c r="AL81" i="6"/>
  <c r="AL85" i="6"/>
  <c r="AL89" i="6"/>
  <c r="AL93" i="6"/>
  <c r="AL97" i="6"/>
  <c r="AL104" i="6"/>
  <c r="AL106" i="6"/>
  <c r="AL108" i="6"/>
  <c r="AL110" i="6"/>
  <c r="AL112" i="6"/>
  <c r="AL114" i="6"/>
  <c r="AL116" i="6"/>
  <c r="AL118" i="6"/>
  <c r="AL120" i="6"/>
  <c r="AL80" i="6"/>
  <c r="AL84" i="6"/>
  <c r="AL88" i="6"/>
  <c r="AL92" i="6"/>
  <c r="AL96" i="6"/>
  <c r="AL101" i="6"/>
  <c r="AL67" i="6"/>
  <c r="AL69" i="6"/>
  <c r="AL71" i="6"/>
  <c r="AL73" i="6"/>
  <c r="AL75" i="6"/>
  <c r="AL79" i="6"/>
  <c r="AL83" i="6"/>
  <c r="AL87" i="6"/>
  <c r="AL91" i="6"/>
  <c r="AL95" i="6"/>
  <c r="AL99" i="6"/>
  <c r="AL100" i="6"/>
  <c r="AL103" i="6"/>
  <c r="AL107" i="6"/>
  <c r="AL109" i="6"/>
  <c r="AL111" i="6"/>
  <c r="AL113" i="6"/>
  <c r="AL115" i="6"/>
  <c r="AL117" i="6"/>
  <c r="AL119" i="6"/>
  <c r="AL121" i="6"/>
  <c r="AL123" i="6"/>
  <c r="AL125" i="6"/>
  <c r="AL127" i="6"/>
  <c r="AL129" i="6"/>
  <c r="AL131" i="6"/>
  <c r="AL133" i="6"/>
  <c r="AL135" i="6"/>
  <c r="AL137" i="6"/>
  <c r="AL139" i="6"/>
  <c r="AL141" i="6"/>
  <c r="AL143" i="6"/>
  <c r="AL145" i="6"/>
  <c r="AL147" i="6"/>
  <c r="AL149" i="6"/>
  <c r="AL151" i="6"/>
  <c r="AL153" i="6"/>
  <c r="AL155" i="6"/>
  <c r="AL157" i="6"/>
  <c r="AL122" i="6"/>
  <c r="AL124" i="6"/>
  <c r="AL126" i="6"/>
  <c r="AL128" i="6"/>
  <c r="AL130" i="6"/>
  <c r="AL132" i="6"/>
  <c r="AL134" i="6"/>
  <c r="AL136" i="6"/>
  <c r="AL138" i="6"/>
  <c r="AL140" i="6"/>
  <c r="AL142" i="6"/>
  <c r="AL144" i="6"/>
  <c r="AL146" i="6"/>
  <c r="AL148" i="6"/>
  <c r="AL150" i="6"/>
  <c r="AL152" i="6"/>
  <c r="AL154" i="6"/>
  <c r="AL156" i="6"/>
  <c r="AL158" i="6"/>
  <c r="AM2" i="6"/>
  <c r="AM4" i="6" l="1"/>
  <c r="AM5" i="6"/>
  <c r="AM6" i="6"/>
  <c r="AM7" i="6"/>
  <c r="AM8" i="6"/>
  <c r="AM10" i="6"/>
  <c r="AM9" i="6"/>
  <c r="AM11" i="6"/>
  <c r="AM12" i="6"/>
  <c r="AM13" i="6"/>
  <c r="AM15" i="6"/>
  <c r="AM17" i="6"/>
  <c r="AM19" i="6"/>
  <c r="AM21" i="6"/>
  <c r="AM23" i="6"/>
  <c r="AM18" i="6"/>
  <c r="AM20" i="6"/>
  <c r="AM24" i="6"/>
  <c r="AM26" i="6"/>
  <c r="AM28" i="6"/>
  <c r="AM30" i="6"/>
  <c r="AM14" i="6"/>
  <c r="AM22" i="6"/>
  <c r="AM16" i="6"/>
  <c r="AM25" i="6"/>
  <c r="AM31" i="6"/>
  <c r="AM33" i="6"/>
  <c r="AM35" i="6"/>
  <c r="AM27" i="6"/>
  <c r="AM34" i="6"/>
  <c r="AM29" i="6"/>
  <c r="AM32" i="6"/>
  <c r="AM36" i="6"/>
  <c r="AM38" i="6"/>
  <c r="AM40" i="6"/>
  <c r="AM42" i="6"/>
  <c r="AM44" i="6"/>
  <c r="AM46" i="6"/>
  <c r="AM48" i="6"/>
  <c r="AM50" i="6"/>
  <c r="AM52" i="6"/>
  <c r="AM54" i="6"/>
  <c r="AM56" i="6"/>
  <c r="AM58" i="6"/>
  <c r="AM60" i="6"/>
  <c r="AM37" i="6"/>
  <c r="AM41" i="6"/>
  <c r="AM49" i="6"/>
  <c r="AM43" i="6"/>
  <c r="AM51" i="6"/>
  <c r="AM39" i="6"/>
  <c r="AM47" i="6"/>
  <c r="AM61" i="6"/>
  <c r="AM55" i="6"/>
  <c r="AM62" i="6"/>
  <c r="AM64" i="6"/>
  <c r="AM66" i="6"/>
  <c r="AM68" i="6"/>
  <c r="AM70" i="6"/>
  <c r="AM72" i="6"/>
  <c r="AM74" i="6"/>
  <c r="AM76" i="6"/>
  <c r="AM78" i="6"/>
  <c r="AM80" i="6"/>
  <c r="AM82" i="6"/>
  <c r="AM84" i="6"/>
  <c r="AM86" i="6"/>
  <c r="AM88" i="6"/>
  <c r="AM90" i="6"/>
  <c r="AM92" i="6"/>
  <c r="AM94" i="6"/>
  <c r="AM96" i="6"/>
  <c r="AM98" i="6"/>
  <c r="AM45" i="6"/>
  <c r="AM57" i="6"/>
  <c r="AM53" i="6"/>
  <c r="AM59" i="6"/>
  <c r="AM63" i="6"/>
  <c r="AM65" i="6"/>
  <c r="AM67" i="6"/>
  <c r="AM69" i="6"/>
  <c r="AM71" i="6"/>
  <c r="AM73" i="6"/>
  <c r="AM75" i="6"/>
  <c r="AM77" i="6"/>
  <c r="AM79" i="6"/>
  <c r="AM81" i="6"/>
  <c r="AM83" i="6"/>
  <c r="AM85" i="6"/>
  <c r="AM87" i="6"/>
  <c r="AM89" i="6"/>
  <c r="AM91" i="6"/>
  <c r="AM93" i="6"/>
  <c r="AM95" i="6"/>
  <c r="AM97" i="6"/>
  <c r="AM99" i="6"/>
  <c r="AM101" i="6"/>
  <c r="AM103" i="6"/>
  <c r="AM105" i="6"/>
  <c r="AN2" i="6"/>
  <c r="AM100" i="6"/>
  <c r="AM107" i="6"/>
  <c r="AM109" i="6"/>
  <c r="AM111" i="6"/>
  <c r="AM102" i="6"/>
  <c r="AM104" i="6"/>
  <c r="AM106" i="6"/>
  <c r="AM108" i="6"/>
  <c r="AM110" i="6"/>
  <c r="AM112" i="6"/>
  <c r="AM114" i="6"/>
  <c r="AM116" i="6"/>
  <c r="AM118" i="6"/>
  <c r="AM3" i="6"/>
  <c r="AM115" i="6"/>
  <c r="AM119" i="6"/>
  <c r="AM121" i="6"/>
  <c r="AM123" i="6"/>
  <c r="AM125" i="6"/>
  <c r="AM127" i="6"/>
  <c r="AM129" i="6"/>
  <c r="AM131" i="6"/>
  <c r="AM133" i="6"/>
  <c r="AM135" i="6"/>
  <c r="AM137" i="6"/>
  <c r="AM139" i="6"/>
  <c r="AM141" i="6"/>
  <c r="AM143" i="6"/>
  <c r="AM145" i="6"/>
  <c r="AM147" i="6"/>
  <c r="AM149" i="6"/>
  <c r="AM151" i="6"/>
  <c r="AM153" i="6"/>
  <c r="AM155" i="6"/>
  <c r="AM113" i="6"/>
  <c r="AM117" i="6"/>
  <c r="AM120" i="6"/>
  <c r="AM122" i="6"/>
  <c r="AM124" i="6"/>
  <c r="AM126" i="6"/>
  <c r="AM128" i="6"/>
  <c r="AM130" i="6"/>
  <c r="AM132" i="6"/>
  <c r="AM134" i="6"/>
  <c r="AM136" i="6"/>
  <c r="AM138" i="6"/>
  <c r="AM140" i="6"/>
  <c r="AM142" i="6"/>
  <c r="AM144" i="6"/>
  <c r="AM146" i="6"/>
  <c r="AM148" i="6"/>
  <c r="AM150" i="6"/>
  <c r="AM152" i="6"/>
  <c r="AM154" i="6"/>
  <c r="AM156" i="6"/>
  <c r="AM158" i="6"/>
  <c r="AM157" i="6"/>
  <c r="AN4" i="6" l="1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8" i="6"/>
  <c r="AN30" i="6"/>
  <c r="AN32" i="6"/>
  <c r="AN36" i="6"/>
  <c r="AN38" i="6"/>
  <c r="AN27" i="6"/>
  <c r="AN31" i="6"/>
  <c r="AN34" i="6"/>
  <c r="AN33" i="6"/>
  <c r="AN29" i="6"/>
  <c r="AN35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39" i="6"/>
  <c r="AN44" i="6"/>
  <c r="AN47" i="6"/>
  <c r="AN52" i="6"/>
  <c r="AN37" i="6"/>
  <c r="AN41" i="6"/>
  <c r="AN46" i="6"/>
  <c r="AN49" i="6"/>
  <c r="AN54" i="6"/>
  <c r="AN40" i="6"/>
  <c r="AN43" i="6"/>
  <c r="AN42" i="6"/>
  <c r="AN45" i="6"/>
  <c r="AN50" i="6"/>
  <c r="AN53" i="6"/>
  <c r="AN56" i="6"/>
  <c r="AN51" i="6"/>
  <c r="AN58" i="6"/>
  <c r="AN61" i="6"/>
  <c r="AN48" i="6"/>
  <c r="AN55" i="6"/>
  <c r="AN60" i="6"/>
  <c r="AN57" i="6"/>
  <c r="AN59" i="6"/>
  <c r="AN107" i="6"/>
  <c r="AN109" i="6"/>
  <c r="AN111" i="6"/>
  <c r="AN113" i="6"/>
  <c r="AN115" i="6"/>
  <c r="AN117" i="6"/>
  <c r="AN119" i="6"/>
  <c r="AN106" i="6"/>
  <c r="AN108" i="6"/>
  <c r="AN110" i="6"/>
  <c r="AN112" i="6"/>
  <c r="AN114" i="6"/>
  <c r="AN116" i="6"/>
  <c r="AN120" i="6"/>
  <c r="AN122" i="6"/>
  <c r="AN124" i="6"/>
  <c r="AN126" i="6"/>
  <c r="AN128" i="6"/>
  <c r="AN130" i="6"/>
  <c r="AN132" i="6"/>
  <c r="AN134" i="6"/>
  <c r="AN136" i="6"/>
  <c r="AN138" i="6"/>
  <c r="AN140" i="6"/>
  <c r="AN142" i="6"/>
  <c r="AN144" i="6"/>
  <c r="AN146" i="6"/>
  <c r="AN148" i="6"/>
  <c r="AN150" i="6"/>
  <c r="AN152" i="6"/>
  <c r="AN154" i="6"/>
  <c r="AN156" i="6"/>
  <c r="AN158" i="6"/>
  <c r="AN118" i="6"/>
  <c r="AN121" i="6"/>
  <c r="AN123" i="6"/>
  <c r="AN125" i="6"/>
  <c r="AN127" i="6"/>
  <c r="AN129" i="6"/>
  <c r="AN131" i="6"/>
  <c r="AN133" i="6"/>
  <c r="AN135" i="6"/>
  <c r="AN137" i="6"/>
  <c r="AN139" i="6"/>
  <c r="AN141" i="6"/>
  <c r="AN143" i="6"/>
  <c r="AN145" i="6"/>
  <c r="AN147" i="6"/>
  <c r="AN149" i="6"/>
  <c r="AN151" i="6"/>
  <c r="AN153" i="6"/>
  <c r="AN155" i="6"/>
  <c r="AN157" i="6"/>
  <c r="AO2" i="6"/>
  <c r="AN3" i="6"/>
  <c r="AO4" i="6" l="1"/>
  <c r="AO9" i="6"/>
  <c r="AO5" i="6"/>
  <c r="AO6" i="6"/>
  <c r="AO7" i="6"/>
  <c r="AO8" i="6"/>
  <c r="AO11" i="6"/>
  <c r="AO13" i="6"/>
  <c r="AO16" i="6"/>
  <c r="AO21" i="6"/>
  <c r="AO15" i="6"/>
  <c r="AO18" i="6"/>
  <c r="AO23" i="6"/>
  <c r="AO25" i="6"/>
  <c r="AO27" i="6"/>
  <c r="AO29" i="6"/>
  <c r="AO10" i="6"/>
  <c r="AO12" i="6"/>
  <c r="AO17" i="6"/>
  <c r="AO20" i="6"/>
  <c r="AO14" i="6"/>
  <c r="AO19" i="6"/>
  <c r="AO22" i="6"/>
  <c r="AO26" i="6"/>
  <c r="AO32" i="6"/>
  <c r="AO34" i="6"/>
  <c r="AO35" i="6"/>
  <c r="AO30" i="6"/>
  <c r="AO28" i="6"/>
  <c r="AO31" i="6"/>
  <c r="AO24" i="6"/>
  <c r="AO33" i="6"/>
  <c r="AO37" i="6"/>
  <c r="AO39" i="6"/>
  <c r="AO41" i="6"/>
  <c r="AO43" i="6"/>
  <c r="AO45" i="6"/>
  <c r="AO47" i="6"/>
  <c r="AO49" i="6"/>
  <c r="AO51" i="6"/>
  <c r="AO53" i="6"/>
  <c r="AO55" i="6"/>
  <c r="AO57" i="6"/>
  <c r="AO59" i="6"/>
  <c r="AO61" i="6"/>
  <c r="AO42" i="6"/>
  <c r="AO50" i="6"/>
  <c r="AO38" i="6"/>
  <c r="AO44" i="6"/>
  <c r="AO52" i="6"/>
  <c r="AO36" i="6"/>
  <c r="AO40" i="6"/>
  <c r="AO48" i="6"/>
  <c r="AO65" i="6"/>
  <c r="AO69" i="6"/>
  <c r="AO73" i="6"/>
  <c r="AO46" i="6"/>
  <c r="AO54" i="6"/>
  <c r="AO56" i="6"/>
  <c r="AO58" i="6"/>
  <c r="AO62" i="6"/>
  <c r="AO64" i="6"/>
  <c r="AO60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O136" i="6"/>
  <c r="AO137" i="6"/>
  <c r="AO138" i="6"/>
  <c r="AO139" i="6"/>
  <c r="AO140" i="6"/>
  <c r="AO141" i="6"/>
  <c r="AO142" i="6"/>
  <c r="AO143" i="6"/>
  <c r="AO144" i="6"/>
  <c r="AO145" i="6"/>
  <c r="AO146" i="6"/>
  <c r="AO147" i="6"/>
  <c r="AO148" i="6"/>
  <c r="AO149" i="6"/>
  <c r="AO150" i="6"/>
  <c r="AO151" i="6"/>
  <c r="AO152" i="6"/>
  <c r="AO153" i="6"/>
  <c r="AO154" i="6"/>
  <c r="AO155" i="6"/>
  <c r="AO156" i="6"/>
  <c r="AO157" i="6"/>
  <c r="AO158" i="6"/>
  <c r="AO63" i="6"/>
  <c r="AO67" i="6"/>
  <c r="AO71" i="6"/>
  <c r="AO75" i="6"/>
  <c r="AO79" i="6"/>
  <c r="AO83" i="6"/>
  <c r="AO87" i="6"/>
  <c r="AO91" i="6"/>
  <c r="AO95" i="6"/>
  <c r="AO99" i="6"/>
  <c r="AO103" i="6"/>
  <c r="AO78" i="6"/>
  <c r="AO82" i="6"/>
  <c r="AO86" i="6"/>
  <c r="AO90" i="6"/>
  <c r="AO94" i="6"/>
  <c r="AO98" i="6"/>
  <c r="AO100" i="6"/>
  <c r="AO105" i="6"/>
  <c r="AO77" i="6"/>
  <c r="AO81" i="6"/>
  <c r="AO85" i="6"/>
  <c r="AO89" i="6"/>
  <c r="AO93" i="6"/>
  <c r="AO97" i="6"/>
  <c r="AO102" i="6"/>
  <c r="AO66" i="6"/>
  <c r="AO68" i="6"/>
  <c r="AO70" i="6"/>
  <c r="AO72" i="6"/>
  <c r="AO74" i="6"/>
  <c r="AO76" i="6"/>
  <c r="AO80" i="6"/>
  <c r="AO84" i="6"/>
  <c r="AO88" i="6"/>
  <c r="AO92" i="6"/>
  <c r="AO96" i="6"/>
  <c r="AO101" i="6"/>
  <c r="AO104" i="6"/>
  <c r="AP2" i="6"/>
  <c r="AO3" i="6"/>
  <c r="AP5" i="6" l="1"/>
  <c r="AQ5" i="6" s="1"/>
  <c r="AP6" i="6"/>
  <c r="AQ6" i="6" s="1"/>
  <c r="AP7" i="6"/>
  <c r="AQ7" i="6" s="1"/>
  <c r="AP4" i="6"/>
  <c r="AQ4" i="6" s="1"/>
  <c r="AP10" i="6"/>
  <c r="AQ10" i="6" s="1"/>
  <c r="AP11" i="6"/>
  <c r="AQ11" i="6" s="1"/>
  <c r="AP12" i="6"/>
  <c r="AQ12" i="6" s="1"/>
  <c r="AP9" i="6"/>
  <c r="AQ9" i="6" s="1"/>
  <c r="AP8" i="6"/>
  <c r="AQ8" i="6" s="1"/>
  <c r="AP14" i="6"/>
  <c r="AQ14" i="6" s="1"/>
  <c r="AP16" i="6"/>
  <c r="AQ16" i="6" s="1"/>
  <c r="AP18" i="6"/>
  <c r="AQ18" i="6" s="1"/>
  <c r="AP20" i="6"/>
  <c r="AQ20" i="6" s="1"/>
  <c r="AP22" i="6"/>
  <c r="AQ22" i="6" s="1"/>
  <c r="AP24" i="6"/>
  <c r="AQ24" i="6" s="1"/>
  <c r="AP25" i="6"/>
  <c r="AQ25" i="6" s="1"/>
  <c r="AP26" i="6"/>
  <c r="AQ26" i="6" s="1"/>
  <c r="AP27" i="6"/>
  <c r="AQ27" i="6" s="1"/>
  <c r="AP28" i="6"/>
  <c r="AQ28" i="6" s="1"/>
  <c r="AP29" i="6"/>
  <c r="AQ29" i="6" s="1"/>
  <c r="AP30" i="6"/>
  <c r="AQ30" i="6" s="1"/>
  <c r="AP19" i="6"/>
  <c r="AQ19" i="6" s="1"/>
  <c r="AP13" i="6"/>
  <c r="AQ13" i="6" s="1"/>
  <c r="AP21" i="6"/>
  <c r="AQ21" i="6" s="1"/>
  <c r="AP31" i="6"/>
  <c r="AQ31" i="6" s="1"/>
  <c r="AP32" i="6"/>
  <c r="AQ32" i="6" s="1"/>
  <c r="AP33" i="6"/>
  <c r="AQ33" i="6" s="1"/>
  <c r="AP34" i="6"/>
  <c r="AQ34" i="6" s="1"/>
  <c r="AP35" i="6"/>
  <c r="AQ35" i="6" s="1"/>
  <c r="AP15" i="6"/>
  <c r="AQ15" i="6" s="1"/>
  <c r="AP23" i="6"/>
  <c r="AQ23" i="6" s="1"/>
  <c r="AP17" i="6"/>
  <c r="AQ17" i="6" s="1"/>
  <c r="AP36" i="6"/>
  <c r="AQ36" i="6" s="1"/>
  <c r="AP37" i="6"/>
  <c r="AQ37" i="6" s="1"/>
  <c r="AP38" i="6"/>
  <c r="AQ38" i="6" s="1"/>
  <c r="AP39" i="6"/>
  <c r="AQ39" i="6" s="1"/>
  <c r="AP40" i="6"/>
  <c r="AQ40" i="6" s="1"/>
  <c r="AP41" i="6"/>
  <c r="AQ41" i="6" s="1"/>
  <c r="AP42" i="6"/>
  <c r="AQ42" i="6" s="1"/>
  <c r="AP43" i="6"/>
  <c r="AQ43" i="6" s="1"/>
  <c r="AP44" i="6"/>
  <c r="AQ44" i="6" s="1"/>
  <c r="AP45" i="6"/>
  <c r="AQ45" i="6" s="1"/>
  <c r="AP46" i="6"/>
  <c r="AQ46" i="6" s="1"/>
  <c r="AP47" i="6"/>
  <c r="AQ47" i="6" s="1"/>
  <c r="AP48" i="6"/>
  <c r="AQ48" i="6" s="1"/>
  <c r="AP49" i="6"/>
  <c r="AQ49" i="6" s="1"/>
  <c r="AP50" i="6"/>
  <c r="AQ50" i="6" s="1"/>
  <c r="AP51" i="6"/>
  <c r="AQ51" i="6" s="1"/>
  <c r="AP52" i="6"/>
  <c r="AQ52" i="6" s="1"/>
  <c r="AP53" i="6"/>
  <c r="AQ53" i="6" s="1"/>
  <c r="AP54" i="6"/>
  <c r="AQ54" i="6" s="1"/>
  <c r="AP55" i="6"/>
  <c r="AQ55" i="6" s="1"/>
  <c r="AP56" i="6"/>
  <c r="AQ56" i="6" s="1"/>
  <c r="AP57" i="6"/>
  <c r="AQ57" i="6" s="1"/>
  <c r="AP58" i="6"/>
  <c r="AQ58" i="6" s="1"/>
  <c r="AP59" i="6"/>
  <c r="AQ59" i="6" s="1"/>
  <c r="AP60" i="6"/>
  <c r="AQ60" i="6" s="1"/>
  <c r="AP61" i="6"/>
  <c r="AQ61" i="6" s="1"/>
  <c r="AP63" i="6"/>
  <c r="AQ63" i="6" s="1"/>
  <c r="AP65" i="6"/>
  <c r="AQ65" i="6" s="1"/>
  <c r="AP67" i="6"/>
  <c r="AQ67" i="6" s="1"/>
  <c r="AP69" i="6"/>
  <c r="AQ69" i="6" s="1"/>
  <c r="AP71" i="6"/>
  <c r="AQ71" i="6" s="1"/>
  <c r="AP73" i="6"/>
  <c r="AQ73" i="6" s="1"/>
  <c r="AP75" i="6"/>
  <c r="AQ75" i="6" s="1"/>
  <c r="AP77" i="6"/>
  <c r="AQ77" i="6" s="1"/>
  <c r="AP79" i="6"/>
  <c r="AQ79" i="6" s="1"/>
  <c r="AP81" i="6"/>
  <c r="AQ81" i="6" s="1"/>
  <c r="AP83" i="6"/>
  <c r="AQ83" i="6" s="1"/>
  <c r="AP85" i="6"/>
  <c r="AQ85" i="6" s="1"/>
  <c r="AP87" i="6"/>
  <c r="AQ87" i="6" s="1"/>
  <c r="AP89" i="6"/>
  <c r="AQ89" i="6" s="1"/>
  <c r="AP91" i="6"/>
  <c r="AQ91" i="6" s="1"/>
  <c r="AP93" i="6"/>
  <c r="AQ93" i="6" s="1"/>
  <c r="AP95" i="6"/>
  <c r="AQ95" i="6" s="1"/>
  <c r="AP97" i="6"/>
  <c r="AQ97" i="6" s="1"/>
  <c r="AP99" i="6"/>
  <c r="AQ99" i="6" s="1"/>
  <c r="AP62" i="6"/>
  <c r="AQ62" i="6" s="1"/>
  <c r="AP64" i="6"/>
  <c r="AQ64" i="6" s="1"/>
  <c r="AP66" i="6"/>
  <c r="AQ66" i="6" s="1"/>
  <c r="AP68" i="6"/>
  <c r="AQ68" i="6" s="1"/>
  <c r="AP70" i="6"/>
  <c r="AQ70" i="6" s="1"/>
  <c r="AP72" i="6"/>
  <c r="AQ72" i="6" s="1"/>
  <c r="AP74" i="6"/>
  <c r="AQ74" i="6" s="1"/>
  <c r="AP76" i="6"/>
  <c r="AQ76" i="6" s="1"/>
  <c r="AP78" i="6"/>
  <c r="AQ78" i="6" s="1"/>
  <c r="AP80" i="6"/>
  <c r="AQ80" i="6" s="1"/>
  <c r="AP82" i="6"/>
  <c r="AQ82" i="6" s="1"/>
  <c r="AP84" i="6"/>
  <c r="AQ84" i="6" s="1"/>
  <c r="AP86" i="6"/>
  <c r="AQ86" i="6" s="1"/>
  <c r="AP88" i="6"/>
  <c r="AQ88" i="6" s="1"/>
  <c r="AP90" i="6"/>
  <c r="AQ90" i="6" s="1"/>
  <c r="AP92" i="6"/>
  <c r="AQ92" i="6" s="1"/>
  <c r="AP94" i="6"/>
  <c r="AQ94" i="6" s="1"/>
  <c r="AP96" i="6"/>
  <c r="AQ96" i="6" s="1"/>
  <c r="AP98" i="6"/>
  <c r="AQ98" i="6" s="1"/>
  <c r="AP100" i="6"/>
  <c r="AQ100" i="6" s="1"/>
  <c r="AP102" i="6"/>
  <c r="AQ102" i="6" s="1"/>
  <c r="AP104" i="6"/>
  <c r="AQ104" i="6" s="1"/>
  <c r="AP3" i="6"/>
  <c r="AQ3" i="6" s="1"/>
  <c r="AP101" i="6"/>
  <c r="AQ101" i="6" s="1"/>
  <c r="AP106" i="6"/>
  <c r="AQ106" i="6" s="1"/>
  <c r="AP108" i="6"/>
  <c r="AQ108" i="6" s="1"/>
  <c r="AP110" i="6"/>
  <c r="AQ110" i="6" s="1"/>
  <c r="AP103" i="6"/>
  <c r="AQ103" i="6" s="1"/>
  <c r="AP105" i="6"/>
  <c r="AQ105" i="6" s="1"/>
  <c r="AP107" i="6"/>
  <c r="AQ107" i="6" s="1"/>
  <c r="AP109" i="6"/>
  <c r="AQ109" i="6" s="1"/>
  <c r="AP111" i="6"/>
  <c r="AQ111" i="6" s="1"/>
  <c r="AP113" i="6"/>
  <c r="AQ113" i="6" s="1"/>
  <c r="AP115" i="6"/>
  <c r="AQ115" i="6" s="1"/>
  <c r="AP117" i="6"/>
  <c r="AQ117" i="6" s="1"/>
  <c r="AP114" i="6"/>
  <c r="AQ114" i="6" s="1"/>
  <c r="AP120" i="6"/>
  <c r="AQ120" i="6" s="1"/>
  <c r="AP122" i="6"/>
  <c r="AQ122" i="6" s="1"/>
  <c r="AP124" i="6"/>
  <c r="AQ124" i="6" s="1"/>
  <c r="AP126" i="6"/>
  <c r="AQ126" i="6" s="1"/>
  <c r="AP128" i="6"/>
  <c r="AQ128" i="6" s="1"/>
  <c r="AP130" i="6"/>
  <c r="AQ130" i="6" s="1"/>
  <c r="AP132" i="6"/>
  <c r="AQ132" i="6" s="1"/>
  <c r="AP134" i="6"/>
  <c r="AQ134" i="6" s="1"/>
  <c r="AP136" i="6"/>
  <c r="AQ136" i="6" s="1"/>
  <c r="AP138" i="6"/>
  <c r="AQ138" i="6" s="1"/>
  <c r="AP140" i="6"/>
  <c r="AQ140" i="6" s="1"/>
  <c r="AP142" i="6"/>
  <c r="AQ142" i="6" s="1"/>
  <c r="AP144" i="6"/>
  <c r="AQ144" i="6" s="1"/>
  <c r="AP146" i="6"/>
  <c r="AQ146" i="6" s="1"/>
  <c r="AP148" i="6"/>
  <c r="AQ148" i="6" s="1"/>
  <c r="AP150" i="6"/>
  <c r="AQ150" i="6" s="1"/>
  <c r="AP152" i="6"/>
  <c r="AQ152" i="6" s="1"/>
  <c r="AP154" i="6"/>
  <c r="AQ154" i="6" s="1"/>
  <c r="AP112" i="6"/>
  <c r="AQ112" i="6" s="1"/>
  <c r="AP116" i="6"/>
  <c r="AQ116" i="6" s="1"/>
  <c r="AP119" i="6"/>
  <c r="AQ119" i="6" s="1"/>
  <c r="AP118" i="6"/>
  <c r="AQ118" i="6" s="1"/>
  <c r="AP121" i="6"/>
  <c r="AQ121" i="6" s="1"/>
  <c r="AP123" i="6"/>
  <c r="AQ123" i="6" s="1"/>
  <c r="AP125" i="6"/>
  <c r="AQ125" i="6" s="1"/>
  <c r="AP127" i="6"/>
  <c r="AQ127" i="6" s="1"/>
  <c r="AP129" i="6"/>
  <c r="AQ129" i="6" s="1"/>
  <c r="AP131" i="6"/>
  <c r="AQ131" i="6" s="1"/>
  <c r="AP133" i="6"/>
  <c r="AQ133" i="6" s="1"/>
  <c r="AP135" i="6"/>
  <c r="AQ135" i="6" s="1"/>
  <c r="AP137" i="6"/>
  <c r="AQ137" i="6" s="1"/>
  <c r="AP139" i="6"/>
  <c r="AQ139" i="6" s="1"/>
  <c r="AP141" i="6"/>
  <c r="AQ141" i="6" s="1"/>
  <c r="AP143" i="6"/>
  <c r="AQ143" i="6" s="1"/>
  <c r="AP145" i="6"/>
  <c r="AQ145" i="6" s="1"/>
  <c r="AP147" i="6"/>
  <c r="AQ147" i="6" s="1"/>
  <c r="AP149" i="6"/>
  <c r="AQ149" i="6" s="1"/>
  <c r="AP151" i="6"/>
  <c r="AQ151" i="6" s="1"/>
  <c r="AP153" i="6"/>
  <c r="AQ153" i="6" s="1"/>
  <c r="AP155" i="6"/>
  <c r="AQ155" i="6" s="1"/>
  <c r="AP157" i="6"/>
  <c r="AQ157" i="6" s="1"/>
  <c r="AP156" i="6"/>
  <c r="AQ156" i="6" s="1"/>
  <c r="AP158" i="6"/>
  <c r="AQ158" i="6" s="1"/>
  <c r="B158" i="6" l="1"/>
  <c r="Q157" i="3" s="1"/>
  <c r="R157" i="3" s="1"/>
  <c r="S157" i="3" s="1"/>
  <c r="B153" i="6"/>
  <c r="Q152" i="3" s="1"/>
  <c r="R152" i="3" s="1"/>
  <c r="S152" i="3" s="1"/>
  <c r="B145" i="6"/>
  <c r="Q144" i="3" s="1"/>
  <c r="R144" i="3" s="1"/>
  <c r="S144" i="3" s="1"/>
  <c r="B137" i="6"/>
  <c r="Q136" i="3" s="1"/>
  <c r="R136" i="3" s="1"/>
  <c r="S136" i="3" s="1"/>
  <c r="B129" i="6"/>
  <c r="Q128" i="3" s="1"/>
  <c r="R128" i="3" s="1"/>
  <c r="S128" i="3" s="1"/>
  <c r="B121" i="6"/>
  <c r="Q120" i="3" s="1"/>
  <c r="R120" i="3" s="1"/>
  <c r="S120" i="3" s="1"/>
  <c r="B112" i="6"/>
  <c r="Q111" i="3" s="1"/>
  <c r="R111" i="3" s="1"/>
  <c r="S111" i="3" s="1"/>
  <c r="B148" i="6"/>
  <c r="Q147" i="3" s="1"/>
  <c r="R147" i="3" s="1"/>
  <c r="S147" i="3" s="1"/>
  <c r="B140" i="6"/>
  <c r="Q139" i="3" s="1"/>
  <c r="R139" i="3" s="1"/>
  <c r="S139" i="3" s="1"/>
  <c r="B132" i="6"/>
  <c r="Q131" i="3" s="1"/>
  <c r="R131" i="3" s="1"/>
  <c r="S131" i="3" s="1"/>
  <c r="B124" i="6"/>
  <c r="Q123" i="3" s="1"/>
  <c r="R123" i="3" s="1"/>
  <c r="S123" i="3" s="1"/>
  <c r="B117" i="6"/>
  <c r="Q116" i="3" s="1"/>
  <c r="R116" i="3" s="1"/>
  <c r="S116" i="3" s="1"/>
  <c r="B109" i="6"/>
  <c r="Q108" i="3" s="1"/>
  <c r="R108" i="3" s="1"/>
  <c r="S108" i="3" s="1"/>
  <c r="B110" i="6"/>
  <c r="Q109" i="3" s="1"/>
  <c r="R109" i="3" s="1"/>
  <c r="S109" i="3" s="1"/>
  <c r="B3" i="6"/>
  <c r="Q2" i="3" s="1"/>
  <c r="R2" i="3" s="1"/>
  <c r="S2" i="3" s="1"/>
  <c r="B98" i="6"/>
  <c r="Q97" i="3" s="1"/>
  <c r="R97" i="3" s="1"/>
  <c r="S97" i="3" s="1"/>
  <c r="B90" i="6"/>
  <c r="Q89" i="3" s="1"/>
  <c r="R89" i="3" s="1"/>
  <c r="S89" i="3" s="1"/>
  <c r="B82" i="6"/>
  <c r="Q81" i="3" s="1"/>
  <c r="R81" i="3" s="1"/>
  <c r="S81" i="3" s="1"/>
  <c r="B74" i="6"/>
  <c r="Q73" i="3" s="1"/>
  <c r="R73" i="3" s="1"/>
  <c r="S73" i="3" s="1"/>
  <c r="B66" i="6"/>
  <c r="Q65" i="3" s="1"/>
  <c r="R65" i="3" s="1"/>
  <c r="S65" i="3" s="1"/>
  <c r="B97" i="6"/>
  <c r="Q96" i="3" s="1"/>
  <c r="R96" i="3" s="1"/>
  <c r="S96" i="3" s="1"/>
  <c r="B89" i="6"/>
  <c r="Q88" i="3" s="1"/>
  <c r="R88" i="3" s="1"/>
  <c r="S88" i="3" s="1"/>
  <c r="B81" i="6"/>
  <c r="Q80" i="3" s="1"/>
  <c r="R80" i="3" s="1"/>
  <c r="S80" i="3" s="1"/>
  <c r="B73" i="6"/>
  <c r="Q72" i="3" s="1"/>
  <c r="R72" i="3" s="1"/>
  <c r="S72" i="3" s="1"/>
  <c r="B65" i="6"/>
  <c r="Q64" i="3" s="1"/>
  <c r="R64" i="3" s="1"/>
  <c r="S64" i="3" s="1"/>
  <c r="B59" i="6"/>
  <c r="Q58" i="3" s="1"/>
  <c r="R58" i="3" s="1"/>
  <c r="S58" i="3" s="1"/>
  <c r="B55" i="6"/>
  <c r="Q54" i="3" s="1"/>
  <c r="R54" i="3" s="1"/>
  <c r="S54" i="3" s="1"/>
  <c r="B51" i="6"/>
  <c r="Q50" i="3" s="1"/>
  <c r="R50" i="3" s="1"/>
  <c r="S50" i="3" s="1"/>
  <c r="B47" i="6"/>
  <c r="Q46" i="3" s="1"/>
  <c r="R46" i="3" s="1"/>
  <c r="S46" i="3" s="1"/>
  <c r="B43" i="6"/>
  <c r="Q42" i="3" s="1"/>
  <c r="R42" i="3" s="1"/>
  <c r="S42" i="3" s="1"/>
  <c r="B39" i="6"/>
  <c r="Q38" i="3" s="1"/>
  <c r="R38" i="3" s="1"/>
  <c r="S38" i="3" s="1"/>
  <c r="B17" i="6"/>
  <c r="Q16" i="3" s="1"/>
  <c r="R16" i="3" s="1"/>
  <c r="S16" i="3" s="1"/>
  <c r="B34" i="6"/>
  <c r="Q33" i="3" s="1"/>
  <c r="R33" i="3" s="1"/>
  <c r="S33" i="3" s="1"/>
  <c r="B21" i="6"/>
  <c r="Q20" i="3" s="1"/>
  <c r="R20" i="3" s="1"/>
  <c r="S20" i="3" s="1"/>
  <c r="B29" i="6"/>
  <c r="Q28" i="3" s="1"/>
  <c r="R28" i="3" s="1"/>
  <c r="S28" i="3" s="1"/>
  <c r="B25" i="6"/>
  <c r="Q24" i="3" s="1"/>
  <c r="R24" i="3" s="1"/>
  <c r="S24" i="3" s="1"/>
  <c r="B18" i="6"/>
  <c r="Q17" i="3" s="1"/>
  <c r="R17" i="3" s="1"/>
  <c r="S17" i="3" s="1"/>
  <c r="B9" i="6"/>
  <c r="Q8" i="3" s="1"/>
  <c r="R8" i="3" s="1"/>
  <c r="S8" i="3" s="1"/>
  <c r="B4" i="6"/>
  <c r="Q3" i="3" s="1"/>
  <c r="R3" i="3" s="1"/>
  <c r="S3" i="3" s="1"/>
  <c r="B156" i="6"/>
  <c r="Q155" i="3" s="1"/>
  <c r="R155" i="3" s="1"/>
  <c r="S155" i="3" s="1"/>
  <c r="B151" i="6"/>
  <c r="Q150" i="3" s="1"/>
  <c r="R150" i="3" s="1"/>
  <c r="S150" i="3" s="1"/>
  <c r="B143" i="6"/>
  <c r="Q142" i="3" s="1"/>
  <c r="R142" i="3" s="1"/>
  <c r="S142" i="3" s="1"/>
  <c r="B135" i="6"/>
  <c r="Q134" i="3" s="1"/>
  <c r="R134" i="3" s="1"/>
  <c r="S134" i="3" s="1"/>
  <c r="B127" i="6"/>
  <c r="Q126" i="3" s="1"/>
  <c r="R126" i="3" s="1"/>
  <c r="S126" i="3" s="1"/>
  <c r="B118" i="6"/>
  <c r="Q117" i="3" s="1"/>
  <c r="R117" i="3" s="1"/>
  <c r="S117" i="3" s="1"/>
  <c r="B154" i="6"/>
  <c r="Q153" i="3" s="1"/>
  <c r="R153" i="3" s="1"/>
  <c r="S153" i="3" s="1"/>
  <c r="B146" i="6"/>
  <c r="Q145" i="3" s="1"/>
  <c r="R145" i="3" s="1"/>
  <c r="S145" i="3" s="1"/>
  <c r="B138" i="6"/>
  <c r="Q137" i="3" s="1"/>
  <c r="R137" i="3" s="1"/>
  <c r="S137" i="3" s="1"/>
  <c r="B130" i="6"/>
  <c r="Q129" i="3" s="1"/>
  <c r="R129" i="3" s="1"/>
  <c r="S129" i="3" s="1"/>
  <c r="B122" i="6"/>
  <c r="Q121" i="3" s="1"/>
  <c r="R121" i="3" s="1"/>
  <c r="S121" i="3" s="1"/>
  <c r="B115" i="6"/>
  <c r="Q114" i="3" s="1"/>
  <c r="R114" i="3" s="1"/>
  <c r="S114" i="3" s="1"/>
  <c r="B107" i="6"/>
  <c r="Q106" i="3" s="1"/>
  <c r="R106" i="3" s="1"/>
  <c r="S106" i="3" s="1"/>
  <c r="B108" i="6"/>
  <c r="Q107" i="3" s="1"/>
  <c r="R107" i="3" s="1"/>
  <c r="S107" i="3" s="1"/>
  <c r="B104" i="6"/>
  <c r="Q103" i="3" s="1"/>
  <c r="R103" i="3" s="1"/>
  <c r="S103" i="3" s="1"/>
  <c r="B96" i="6"/>
  <c r="Q95" i="3" s="1"/>
  <c r="R95" i="3" s="1"/>
  <c r="S95" i="3" s="1"/>
  <c r="B88" i="6"/>
  <c r="Q87" i="3" s="1"/>
  <c r="R87" i="3" s="1"/>
  <c r="S87" i="3" s="1"/>
  <c r="B80" i="6"/>
  <c r="Q79" i="3" s="1"/>
  <c r="R79" i="3" s="1"/>
  <c r="S79" i="3" s="1"/>
  <c r="B72" i="6"/>
  <c r="Q71" i="3" s="1"/>
  <c r="R71" i="3" s="1"/>
  <c r="S71" i="3" s="1"/>
  <c r="B64" i="6"/>
  <c r="Q63" i="3" s="1"/>
  <c r="R63" i="3" s="1"/>
  <c r="S63" i="3" s="1"/>
  <c r="B95" i="6"/>
  <c r="Q94" i="3" s="1"/>
  <c r="R94" i="3" s="1"/>
  <c r="S94" i="3" s="1"/>
  <c r="B87" i="6"/>
  <c r="Q86" i="3" s="1"/>
  <c r="R86" i="3" s="1"/>
  <c r="S86" i="3" s="1"/>
  <c r="B79" i="6"/>
  <c r="Q78" i="3" s="1"/>
  <c r="R78" i="3" s="1"/>
  <c r="S78" i="3" s="1"/>
  <c r="B71" i="6"/>
  <c r="Q70" i="3" s="1"/>
  <c r="R70" i="3" s="1"/>
  <c r="S70" i="3" s="1"/>
  <c r="B63" i="6"/>
  <c r="Q62" i="3" s="1"/>
  <c r="R62" i="3" s="1"/>
  <c r="S62" i="3" s="1"/>
  <c r="B58" i="6"/>
  <c r="Q57" i="3" s="1"/>
  <c r="R57" i="3" s="1"/>
  <c r="S57" i="3" s="1"/>
  <c r="B54" i="6"/>
  <c r="Q53" i="3" s="1"/>
  <c r="R53" i="3" s="1"/>
  <c r="S53" i="3" s="1"/>
  <c r="B50" i="6"/>
  <c r="Q49" i="3" s="1"/>
  <c r="R49" i="3" s="1"/>
  <c r="S49" i="3" s="1"/>
  <c r="B46" i="6"/>
  <c r="Q45" i="3" s="1"/>
  <c r="R45" i="3" s="1"/>
  <c r="S45" i="3" s="1"/>
  <c r="B42" i="6"/>
  <c r="Q41" i="3" s="1"/>
  <c r="R41" i="3" s="1"/>
  <c r="S41" i="3" s="1"/>
  <c r="B38" i="6"/>
  <c r="Q37" i="3" s="1"/>
  <c r="R37" i="3" s="1"/>
  <c r="S37" i="3" s="1"/>
  <c r="B23" i="6"/>
  <c r="Q22" i="3" s="1"/>
  <c r="R22" i="3" s="1"/>
  <c r="S22" i="3" s="1"/>
  <c r="B33" i="6"/>
  <c r="Q32" i="3" s="1"/>
  <c r="R32" i="3" s="1"/>
  <c r="S32" i="3" s="1"/>
  <c r="B13" i="6"/>
  <c r="Q12" i="3" s="1"/>
  <c r="R12" i="3" s="1"/>
  <c r="S12" i="3" s="1"/>
  <c r="B28" i="6"/>
  <c r="Q27" i="3" s="1"/>
  <c r="R27" i="3" s="1"/>
  <c r="S27" i="3" s="1"/>
  <c r="B24" i="6"/>
  <c r="Q23" i="3" s="1"/>
  <c r="R23" i="3" s="1"/>
  <c r="S23" i="3" s="1"/>
  <c r="B16" i="6"/>
  <c r="Q15" i="3" s="1"/>
  <c r="R15" i="3" s="1"/>
  <c r="S15" i="3" s="1"/>
  <c r="B12" i="6"/>
  <c r="Q11" i="3" s="1"/>
  <c r="R11" i="3" s="1"/>
  <c r="S11" i="3" s="1"/>
  <c r="B7" i="6"/>
  <c r="Q6" i="3" s="1"/>
  <c r="R6" i="3" s="1"/>
  <c r="S6" i="3" s="1"/>
  <c r="B157" i="6"/>
  <c r="Q156" i="3" s="1"/>
  <c r="R156" i="3" s="1"/>
  <c r="S156" i="3" s="1"/>
  <c r="B149" i="6"/>
  <c r="Q148" i="3" s="1"/>
  <c r="R148" i="3" s="1"/>
  <c r="S148" i="3" s="1"/>
  <c r="B141" i="6"/>
  <c r="Q140" i="3" s="1"/>
  <c r="R140" i="3" s="1"/>
  <c r="S140" i="3" s="1"/>
  <c r="B133" i="6"/>
  <c r="Q132" i="3" s="1"/>
  <c r="R132" i="3" s="1"/>
  <c r="S132" i="3" s="1"/>
  <c r="B125" i="6"/>
  <c r="Q124" i="3" s="1"/>
  <c r="R124" i="3" s="1"/>
  <c r="S124" i="3" s="1"/>
  <c r="B119" i="6"/>
  <c r="Q118" i="3" s="1"/>
  <c r="R118" i="3" s="1"/>
  <c r="S118" i="3" s="1"/>
  <c r="B152" i="6"/>
  <c r="Q151" i="3" s="1"/>
  <c r="R151" i="3" s="1"/>
  <c r="S151" i="3" s="1"/>
  <c r="B144" i="6"/>
  <c r="Q143" i="3" s="1"/>
  <c r="R143" i="3" s="1"/>
  <c r="S143" i="3" s="1"/>
  <c r="B136" i="6"/>
  <c r="Q135" i="3" s="1"/>
  <c r="R135" i="3" s="1"/>
  <c r="S135" i="3" s="1"/>
  <c r="B128" i="6"/>
  <c r="Q127" i="3" s="1"/>
  <c r="R127" i="3" s="1"/>
  <c r="S127" i="3" s="1"/>
  <c r="B120" i="6"/>
  <c r="Q119" i="3" s="1"/>
  <c r="R119" i="3" s="1"/>
  <c r="S119" i="3" s="1"/>
  <c r="B113" i="6"/>
  <c r="Q112" i="3" s="1"/>
  <c r="R112" i="3" s="1"/>
  <c r="S112" i="3" s="1"/>
  <c r="B105" i="6"/>
  <c r="Q104" i="3" s="1"/>
  <c r="R104" i="3" s="1"/>
  <c r="S104" i="3" s="1"/>
  <c r="B106" i="6"/>
  <c r="Q105" i="3" s="1"/>
  <c r="R105" i="3" s="1"/>
  <c r="S105" i="3" s="1"/>
  <c r="B102" i="6"/>
  <c r="Q101" i="3" s="1"/>
  <c r="R101" i="3" s="1"/>
  <c r="S101" i="3" s="1"/>
  <c r="B94" i="6"/>
  <c r="Q93" i="3" s="1"/>
  <c r="R93" i="3" s="1"/>
  <c r="S93" i="3" s="1"/>
  <c r="B86" i="6"/>
  <c r="Q85" i="3" s="1"/>
  <c r="R85" i="3" s="1"/>
  <c r="S85" i="3" s="1"/>
  <c r="B78" i="6"/>
  <c r="Q77" i="3" s="1"/>
  <c r="R77" i="3" s="1"/>
  <c r="S77" i="3" s="1"/>
  <c r="B70" i="6"/>
  <c r="Q69" i="3" s="1"/>
  <c r="R69" i="3" s="1"/>
  <c r="S69" i="3" s="1"/>
  <c r="B62" i="6"/>
  <c r="Q61" i="3" s="1"/>
  <c r="R61" i="3" s="1"/>
  <c r="S61" i="3" s="1"/>
  <c r="B93" i="6"/>
  <c r="Q92" i="3" s="1"/>
  <c r="R92" i="3" s="1"/>
  <c r="S92" i="3" s="1"/>
  <c r="B85" i="6"/>
  <c r="Q84" i="3" s="1"/>
  <c r="R84" i="3" s="1"/>
  <c r="S84" i="3" s="1"/>
  <c r="B77" i="6"/>
  <c r="Q76" i="3" s="1"/>
  <c r="R76" i="3" s="1"/>
  <c r="S76" i="3" s="1"/>
  <c r="B69" i="6"/>
  <c r="Q68" i="3" s="1"/>
  <c r="R68" i="3" s="1"/>
  <c r="S68" i="3" s="1"/>
  <c r="B61" i="6"/>
  <c r="Q60" i="3" s="1"/>
  <c r="R60" i="3" s="1"/>
  <c r="S60" i="3" s="1"/>
  <c r="B57" i="6"/>
  <c r="Q56" i="3" s="1"/>
  <c r="R56" i="3" s="1"/>
  <c r="S56" i="3" s="1"/>
  <c r="B53" i="6"/>
  <c r="Q52" i="3" s="1"/>
  <c r="R52" i="3" s="1"/>
  <c r="S52" i="3" s="1"/>
  <c r="B49" i="6"/>
  <c r="Q48" i="3" s="1"/>
  <c r="R48" i="3" s="1"/>
  <c r="S48" i="3" s="1"/>
  <c r="B45" i="6"/>
  <c r="Q44" i="3" s="1"/>
  <c r="R44" i="3" s="1"/>
  <c r="S44" i="3" s="1"/>
  <c r="B41" i="6"/>
  <c r="Q40" i="3" s="1"/>
  <c r="R40" i="3" s="1"/>
  <c r="S40" i="3" s="1"/>
  <c r="B37" i="6"/>
  <c r="Q36" i="3" s="1"/>
  <c r="R36" i="3" s="1"/>
  <c r="S36" i="3" s="1"/>
  <c r="B15" i="6"/>
  <c r="Q14" i="3" s="1"/>
  <c r="R14" i="3" s="1"/>
  <c r="S14" i="3" s="1"/>
  <c r="B32" i="6"/>
  <c r="Q31" i="3" s="1"/>
  <c r="R31" i="3" s="1"/>
  <c r="S31" i="3" s="1"/>
  <c r="B19" i="6"/>
  <c r="Q18" i="3" s="1"/>
  <c r="R18" i="3" s="1"/>
  <c r="S18" i="3" s="1"/>
  <c r="B27" i="6"/>
  <c r="Q26" i="3" s="1"/>
  <c r="R26" i="3" s="1"/>
  <c r="S26" i="3" s="1"/>
  <c r="B22" i="6"/>
  <c r="Q21" i="3" s="1"/>
  <c r="R21" i="3" s="1"/>
  <c r="S21" i="3" s="1"/>
  <c r="B14" i="6"/>
  <c r="Q13" i="3" s="1"/>
  <c r="R13" i="3" s="1"/>
  <c r="S13" i="3" s="1"/>
  <c r="B11" i="6"/>
  <c r="Q10" i="3" s="1"/>
  <c r="R10" i="3" s="1"/>
  <c r="S10" i="3" s="1"/>
  <c r="B6" i="6"/>
  <c r="Q5" i="3" s="1"/>
  <c r="R5" i="3" s="1"/>
  <c r="S5" i="3" s="1"/>
  <c r="B155" i="6"/>
  <c r="Q154" i="3" s="1"/>
  <c r="R154" i="3" s="1"/>
  <c r="S154" i="3" s="1"/>
  <c r="B147" i="6"/>
  <c r="Q146" i="3" s="1"/>
  <c r="R146" i="3" s="1"/>
  <c r="S146" i="3" s="1"/>
  <c r="B139" i="6"/>
  <c r="Q138" i="3" s="1"/>
  <c r="R138" i="3" s="1"/>
  <c r="S138" i="3" s="1"/>
  <c r="B131" i="6"/>
  <c r="Q130" i="3" s="1"/>
  <c r="R130" i="3" s="1"/>
  <c r="S130" i="3" s="1"/>
  <c r="B123" i="6"/>
  <c r="Q122" i="3" s="1"/>
  <c r="R122" i="3" s="1"/>
  <c r="S122" i="3" s="1"/>
  <c r="B116" i="6"/>
  <c r="Q115" i="3" s="1"/>
  <c r="R115" i="3" s="1"/>
  <c r="S115" i="3" s="1"/>
  <c r="B150" i="6"/>
  <c r="Q149" i="3" s="1"/>
  <c r="R149" i="3" s="1"/>
  <c r="S149" i="3" s="1"/>
  <c r="B142" i="6"/>
  <c r="Q141" i="3" s="1"/>
  <c r="R141" i="3" s="1"/>
  <c r="S141" i="3" s="1"/>
  <c r="B134" i="6"/>
  <c r="Q133" i="3" s="1"/>
  <c r="R133" i="3" s="1"/>
  <c r="S133" i="3" s="1"/>
  <c r="B126" i="6"/>
  <c r="Q125" i="3" s="1"/>
  <c r="R125" i="3" s="1"/>
  <c r="S125" i="3" s="1"/>
  <c r="B114" i="6"/>
  <c r="Q113" i="3" s="1"/>
  <c r="R113" i="3" s="1"/>
  <c r="S113" i="3" s="1"/>
  <c r="B111" i="6"/>
  <c r="Q110" i="3" s="1"/>
  <c r="R110" i="3" s="1"/>
  <c r="S110" i="3" s="1"/>
  <c r="B103" i="6"/>
  <c r="Q102" i="3" s="1"/>
  <c r="R102" i="3" s="1"/>
  <c r="S102" i="3" s="1"/>
  <c r="B101" i="6"/>
  <c r="Q100" i="3" s="1"/>
  <c r="R100" i="3" s="1"/>
  <c r="S100" i="3" s="1"/>
  <c r="B100" i="6"/>
  <c r="Q99" i="3" s="1"/>
  <c r="R99" i="3" s="1"/>
  <c r="S99" i="3" s="1"/>
  <c r="B92" i="6"/>
  <c r="Q91" i="3" s="1"/>
  <c r="R91" i="3" s="1"/>
  <c r="S91" i="3" s="1"/>
  <c r="B84" i="6"/>
  <c r="Q83" i="3" s="1"/>
  <c r="R83" i="3" s="1"/>
  <c r="S83" i="3" s="1"/>
  <c r="B76" i="6"/>
  <c r="Q75" i="3" s="1"/>
  <c r="R75" i="3" s="1"/>
  <c r="S75" i="3" s="1"/>
  <c r="B68" i="6"/>
  <c r="Q67" i="3" s="1"/>
  <c r="R67" i="3" s="1"/>
  <c r="S67" i="3" s="1"/>
  <c r="B99" i="6"/>
  <c r="Q98" i="3" s="1"/>
  <c r="R98" i="3" s="1"/>
  <c r="S98" i="3" s="1"/>
  <c r="B91" i="6"/>
  <c r="Q90" i="3" s="1"/>
  <c r="R90" i="3" s="1"/>
  <c r="S90" i="3" s="1"/>
  <c r="B83" i="6"/>
  <c r="Q82" i="3" s="1"/>
  <c r="R82" i="3" s="1"/>
  <c r="S82" i="3" s="1"/>
  <c r="B75" i="6"/>
  <c r="Q74" i="3" s="1"/>
  <c r="R74" i="3" s="1"/>
  <c r="S74" i="3" s="1"/>
  <c r="B67" i="6"/>
  <c r="Q66" i="3" s="1"/>
  <c r="R66" i="3" s="1"/>
  <c r="S66" i="3" s="1"/>
  <c r="B60" i="6"/>
  <c r="Q59" i="3" s="1"/>
  <c r="R59" i="3" s="1"/>
  <c r="S59" i="3" s="1"/>
  <c r="B56" i="6"/>
  <c r="Q55" i="3" s="1"/>
  <c r="R55" i="3" s="1"/>
  <c r="S55" i="3" s="1"/>
  <c r="B52" i="6"/>
  <c r="Q51" i="3" s="1"/>
  <c r="R51" i="3" s="1"/>
  <c r="S51" i="3" s="1"/>
  <c r="B48" i="6"/>
  <c r="Q47" i="3" s="1"/>
  <c r="R47" i="3" s="1"/>
  <c r="S47" i="3" s="1"/>
  <c r="B44" i="6"/>
  <c r="Q43" i="3" s="1"/>
  <c r="R43" i="3" s="1"/>
  <c r="S43" i="3" s="1"/>
  <c r="B40" i="6"/>
  <c r="Q39" i="3" s="1"/>
  <c r="R39" i="3" s="1"/>
  <c r="S39" i="3" s="1"/>
  <c r="B36" i="6"/>
  <c r="Q35" i="3" s="1"/>
  <c r="R35" i="3" s="1"/>
  <c r="S35" i="3" s="1"/>
  <c r="B35" i="6"/>
  <c r="Q34" i="3" s="1"/>
  <c r="R34" i="3" s="1"/>
  <c r="S34" i="3" s="1"/>
  <c r="B31" i="6"/>
  <c r="Q30" i="3" s="1"/>
  <c r="R30" i="3" s="1"/>
  <c r="S30" i="3" s="1"/>
  <c r="B30" i="6"/>
  <c r="Q29" i="3" s="1"/>
  <c r="R29" i="3" s="1"/>
  <c r="S29" i="3" s="1"/>
  <c r="B26" i="6"/>
  <c r="Q25" i="3" s="1"/>
  <c r="R25" i="3" s="1"/>
  <c r="S25" i="3" s="1"/>
  <c r="B20" i="6"/>
  <c r="Q19" i="3" s="1"/>
  <c r="R19" i="3" s="1"/>
  <c r="S19" i="3" s="1"/>
  <c r="B8" i="6"/>
  <c r="Q7" i="3" s="1"/>
  <c r="R7" i="3" s="1"/>
  <c r="S7" i="3" s="1"/>
  <c r="B10" i="6"/>
  <c r="Q9" i="3" s="1"/>
  <c r="R9" i="3" s="1"/>
  <c r="S9" i="3" s="1"/>
  <c r="B5" i="6"/>
  <c r="Q4" i="3" s="1"/>
  <c r="R4" i="3" s="1"/>
  <c r="S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21F8DE-A399-4D7B-A087-7B665C00DA94}" keepAlive="1" name="ThisWorkbookDataModel" description="Модель данных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6905BE1-5F3F-465E-A406-53A8F71A4B71}" name="WorksheetConnection_data!$A$1:$E$13764" type="102" refreshedVersion="7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dataA1E13764"/>
        </x15:connection>
      </ext>
    </extLst>
  </connection>
</connections>
</file>

<file path=xl/sharedStrings.xml><?xml version="1.0" encoding="utf-8"?>
<sst xmlns="http://schemas.openxmlformats.org/spreadsheetml/2006/main" count="16415" uniqueCount="250">
  <si>
    <t>dr_ndrugs</t>
  </si>
  <si>
    <t>dr_dat</t>
  </si>
  <si>
    <t>dr_kol</t>
  </si>
  <si>
    <t>dr_czak</t>
  </si>
  <si>
    <t>dr_croz</t>
  </si>
  <si>
    <t>КОНКОР КОР 2,5МГ, №30 ТАБ, П/П/О /МЕРК/</t>
  </si>
  <si>
    <t>ТЕРАФЛЮ ЛИМОН ОТ ГРИППА И ПРОСТУДЫ 22,1Г, №10 ПОР, Д/Р-РА Д/ПРИЕМА ВНУТРЬ ПАК,</t>
  </si>
  <si>
    <t>ТИЗИН КЛАССИК 0,1% 10МЛ, НАЗАЛ,СПРЕЙ ФЛ, /ДЖОНСОН/</t>
  </si>
  <si>
    <t>ЛЮКСПЛАСТ ЛЕЙКОПЛАСТ, БАКТЕР, 19Х72ММ ТКАН, ЭЛ,ТЕЛЕСН, №10 [LUXPLAST]</t>
  </si>
  <si>
    <t>РИНОНОРМ-ТЕВА 0,1% 140МКГ/ДОЗА 20МЛ, НАЗАЛ,СПРЕЙ ФЛ, /ТЕВА/</t>
  </si>
  <si>
    <t>ХЛОРГЕКСИДИН 0,05% 100МЛ, №1 Р-Р Д/МЕСТ, И НАРУЖ,ПРИМ, ФЛ, ПЭТ, /ТУЛЬСКАЯ ФФ/</t>
  </si>
  <si>
    <t>СТЭЛМАС ВОДА ДЕТСКАЯ 0,6Л, Н/ГАЗ, [STELMAS]</t>
  </si>
  <si>
    <t>ГЛИЦИН 100МГ, №100 ТАБ, ПОДЪЯЗЫЧ, /БИОТИКИ/</t>
  </si>
  <si>
    <t>МИГ 400МГ, №20 ТАБ, П/П/О /БЕРЛИН-ХЕМИ/</t>
  </si>
  <si>
    <t>ФОСФАЛЮГЕЛЬ 16Г, №20 ГЕЛЬ Д/ПРИЕМА ВНУТРЬ ПАК,</t>
  </si>
  <si>
    <t>ЕССЕНТУКИ ВОДА МИНЕР, №4 0,45Л, ГАЗ, СТЕКЛО</t>
  </si>
  <si>
    <t>АСКОРУТИН 50МГ,+50МГ, №50 ТАБ, /ФАРМСТАНДАРТ-УФИМСКИЙ/</t>
  </si>
  <si>
    <t>АФОБАЗОЛ 10МГ, №60 ТАБ,</t>
  </si>
  <si>
    <t>ВАЛЕРИАНА ЭКСТРАКТ 20МГ, №50 ТАБ, П/О /БОРИСОВСКИЙ/</t>
  </si>
  <si>
    <t>РИНОСТОП 0,1% 15МЛ, НАЗАЛ,СПРЕЙ ФЛ, /ОТИСИФАРМ/ЛЕККО/ФАРМСТАНДАРТ ЛЕКСРЕДСТВА/</t>
  </si>
  <si>
    <t>КОРВАЛОЛ 25МЛ, КАПЛИ Д/ПРИЕМА ВНУТРЬ ФЛ, И/У /ФАРМСТАНДАРТ ЛЕКСРЕДСТВА/</t>
  </si>
  <si>
    <t>СПАЗМАЛГОН №20 ТАБ,</t>
  </si>
  <si>
    <t>СТЭЛМАС ВОДА КИСЛОРОД 0,6Л, Н/ГАЗ, СПОРТ [STELMAS]</t>
  </si>
  <si>
    <t>ТАУФОН 4% 10МЛ, №1 ГЛ,КАПЛИ ФЛ,/КАП, /ОТИСИФАРМ/ФАРМСТАНДАРТ/</t>
  </si>
  <si>
    <t>СНУП 0,1% 90МКГ/ДОЗА 15МЛ, НАЗАЛ,СПРЕЙ ФЛ, /ШТАДА/</t>
  </si>
  <si>
    <t>ОМЕЗ 20МГ, №30 КАПС, /Д-Р РЕДДИ/</t>
  </si>
  <si>
    <t>НИМЕСИЛ 100МГ, 2Г, №30 ГРАН, Д/СУСП, Д/ПРИЕМА ВНУТРЬ ПАК, /ГУИДОТТИ/МЕНАРИНИ/</t>
  </si>
  <si>
    <t>ЛЮКСПЛАСТ ЛЕЙКОПЛАСТ, БАКТЕР, СТАНДАРТ, 19Х72ММ ТКАН, №20 [LUXPLAST]</t>
  </si>
  <si>
    <t>ЛЕВОМЕКОЛЬ 40МГ/Г,+7,5МГ/Г, 40Г, №1 МАЗЬ Д/НАРУЖ,ПРИМ, ТУБА /НИЖФАРМ/</t>
  </si>
  <si>
    <t>ПОЛИДЕКСА С ФЕНИЛЭФРИНОМ 15МЛ, НАЗАЛ,СПРЕЙ ФЛ,</t>
  </si>
  <si>
    <t>БИСОПРОЛОЛ 2,5МГ, №60 ТАБ, П/О /ВЕРТЕКС/</t>
  </si>
  <si>
    <t>НАФТИЗИН 0,1% 15МЛ, НАЗАЛ,КАПЛИ ФЛ,/КАП, /ЛЕККО/</t>
  </si>
  <si>
    <t>СФМ ШПРИЦ 2МЛ, 3-Х КОМП, 0,63Х32ММ 23G №10 [SFM]</t>
  </si>
  <si>
    <t>МЕТРОГИЛ 5МГ/МЛ, 100МЛ, №1 Р-Р Д/ИНФ, ФЛ, /ЮНИК/</t>
  </si>
  <si>
    <t>НАЙЗ 100МГ, №20 ТАБ,</t>
  </si>
  <si>
    <t>ЦИТРАМОН П №20 ТАБ, /МЕДИСОРБ/</t>
  </si>
  <si>
    <t>ПУСТЫРНИКА НАСТОЙКА 25МЛ, ФЛ, /ГИППОКРАТ/</t>
  </si>
  <si>
    <t>ВАЛЕРИАНЫ НАСТОЙКА 25МЛ, ФЛ, /КАМЕЛИЯ/</t>
  </si>
  <si>
    <t>БОЯРЫШНИКА НАСТОЙКА 25МЛ, ФЛ, /ФЛОРА КАВКАЗА/</t>
  </si>
  <si>
    <t>БОРНАЯ К-ТА 10Г, ДЕЗ,СР-ВО ПОР, (НДС 20%)</t>
  </si>
  <si>
    <t>ОТРИВИН 0,1% 10МЛ, №1 МЕНТОЛ+ЭВКАЛИПТ НАЗАЛ,СПРЕЙ ФЛ, /ГЛАКСО/НОВАРТИС/</t>
  </si>
  <si>
    <t>КОНТЕЙНЕР Д/СБОРА БИОМАТЕРИАЛА 120МЛ, УНИВЕРС, СТЕР, (БАНКА)</t>
  </si>
  <si>
    <t>КАНЕФРОН Н №60 ТАБ, П/О</t>
  </si>
  <si>
    <t>ЦЕТРИН 10МГ, №20 ТАБ, П/П/О /Д-Р РЕДДИ/</t>
  </si>
  <si>
    <t>ЛЕЙКОПЛАСТЫРЬ БАКТЕР, №20 НАБОР БЕЖ,(ТЕЛ,) /ВЕРОФАРМ/</t>
  </si>
  <si>
    <t>ФЕРРОГЕМАТОГЕН 50Г, ПАСТИЛКА ЖЕВ, (ПЛИТКА)</t>
  </si>
  <si>
    <t>АСКОРБИНОВАЯ К-ТА 50МГ, №200 ДРАЖЕ /ФАРМСТАНДАРТ-УФАВИТА/</t>
  </si>
  <si>
    <t>ЦИТРАМОН П №20 ТАБ, /ФАРМСТАНДАРТ/</t>
  </si>
  <si>
    <t>УГОЛЬ АКТИВИРОВАННЫЙ 250МГ, №50 ТАБ, /ФАРМСТАНДАРТ ЛЕКСРЕДСТВА/</t>
  </si>
  <si>
    <t>АЦЕТИЛСАЛИЦИЛОВАЯ К-ТА 500МГ, №20 ТАБ, /ФАРМСТАНДАРТ/</t>
  </si>
  <si>
    <t>ЛОПЕРАМИД-АКРИХИН 2МГ, №20 КАПС, /АКРИХИН/</t>
  </si>
  <si>
    <t>ЛЕЙКОПЛАСТЫРЬ БАКТЕР, 2,5Х7,2 №1 /ВЕРОФАРМ/</t>
  </si>
  <si>
    <t>ЦЕТРИН 10МГ, №30 ТАБ, П/П/О /Д-Р РЕДДИ/</t>
  </si>
  <si>
    <t>СТЭЛМАС ВОДА 0,6Л, Н/ГАЗ, [STELMAS]</t>
  </si>
  <si>
    <t>ГАБАПЕНТИН 300МГ, №100 КАПС, /КАНОНФАРМА/</t>
  </si>
  <si>
    <t>ВЕРОШПИРОН 25МГ, №20 ТАБ, /ГЕДЕОН РИХТЕР/</t>
  </si>
  <si>
    <t>КЕТОРОЛ ЭКСПРЕСС 10МГ, №20 ТАБ, ДИСПЕРГ, /Д-Р РЕДДИС/</t>
  </si>
  <si>
    <t>КАРДИОМАГНИЛ 75МГ,+15,2МГ, №100 ТАБ,</t>
  </si>
  <si>
    <t>ТРОКСЕРУТИН ВРАМЕД 2% 40Г, ГЕЛЬ Д/НАРУЖ,ПРИМ, ТУБА /СОФАРМА/</t>
  </si>
  <si>
    <t>ГЕМАТОГЕН РУССКИЙ КОКОС В ГЛАЗУРИ 40Г, ПЛИТКА /ФАРМ-ПРО/</t>
  </si>
  <si>
    <t>АЦИКЛОВИР-БЕЛУПО 5% 10Г, №1 КРЕМ Д/НАРУЖ,ПРИМ, ТУБА /БЕЛУПО/</t>
  </si>
  <si>
    <t>СУЛЬФАЦИЛ-НАТРИЯ АЛЬБУЦИД 20% 10МЛ, №1 ГЛ,КАПЛИ ФЛ,/КАП, /ЛЕККО/</t>
  </si>
  <si>
    <t>ОМЕПРАЗОЛ 20МГ, №30 КАПС, /ПРОИЗВОДСТВО МЕДИКАМЕНТОВ/</t>
  </si>
  <si>
    <t>ВАЛОСЕРДИН 25МЛ, КАПЛИ Д/ПРИЕМА ВНУТРЬ ФЛ, /МОСФАРМА/</t>
  </si>
  <si>
    <t>РЕНГАЛИН №20 ТАБ, Д/РАСС,</t>
  </si>
  <si>
    <t>ПЕНТАЛГИН №24 ТАБ, П/П/О /ОТИСИФАРМ/</t>
  </si>
  <si>
    <t>ВАЛИДОЛ 60МГ, №10 ТАБ, ПОДЪЯЗЫЧ, /ФАРМСТАНДАРТ/</t>
  </si>
  <si>
    <t>АСКОФЕН-П №20 ТАБ, /ФАРМСТАНДАРТ-ЛЕКСРЕДСТВА/</t>
  </si>
  <si>
    <t>ЙОДА 5% 25МЛ, №1 СПИРТ, Р-Р Д/НАРУЖ,ПРИМ, ФЛ, /ТУЛЬСКАЯ ФФ/</t>
  </si>
  <si>
    <t>ПЕРЕКИСЬ ВОДОРОДА 3% 200МЛ, Р-Р ФЛ, ПЛАСТ, /ЛЕКАРЬ/</t>
  </si>
  <si>
    <t>НО-ШПА 40МГ, №64 ТАБ, ФЛ, ДОЗАТОР /ХИНОИН/</t>
  </si>
  <si>
    <t>ЙОДА 5% 25МЛ, №1 СПИРТ, Р-Р Д/НАРУЖ,ПРИМ, ФЛ, /ФЛОРА КАВКАЗА/</t>
  </si>
  <si>
    <t>КОНВАЛИС 300МГ, №50 КАПС,</t>
  </si>
  <si>
    <t>АСКОРБИНОВАЯ К-ТА АПЕЛЬСИН №10 ТАБ, КРУТКА САХ,</t>
  </si>
  <si>
    <t>ЦИПРОЛЕТ 500МГ, №10 ТАБ, П/П/О /Д-Р РЕДДИ/</t>
  </si>
  <si>
    <t>ХАРТМАНН КОСМОПОР Е ПОВЯЗКА 7,2Х5СМ №50 П/ОПЕР, САМОКЛ, СТЕР, [HARTMANN COSMOPOR]</t>
  </si>
  <si>
    <t>ГАЛАЗОЛИН 0,1% 10МЛ, №1 НАЗАЛ,КАПЛИ ФЛ,/КАП, /ПОЛЬФА/</t>
  </si>
  <si>
    <t>ПАНКРЕАТИН 25ЕД №60 ТАБ,КШ/РАСТВ, П/О /АВЕКСИМА/</t>
  </si>
  <si>
    <t>ИНДАПАМИД 2,5МГ, №30 ТАБ, П/О /ХЕМОФАРМ/</t>
  </si>
  <si>
    <t>БИСОПРОЛОЛ 5МГ, №60 ТАБ, П/П/О /ВЕРТЕКС/</t>
  </si>
  <si>
    <t>МУКАЛТИН 50МГ, №10 ТАБ, /ВИФИТЕХ/</t>
  </si>
  <si>
    <t>ПАНКРЕАТИН 25ЕД №60 ТАБ,КШ/РАСТВ, П/О БЛИСТЕР /БИОСИНТЕЗ/</t>
  </si>
  <si>
    <t>ВАЛЕРИАНЫ НАСТОЙКА 25МЛ, ФЛ, /ИВАНОВСКАЯ ФФ/</t>
  </si>
  <si>
    <t>ДОЛГИТ 5% 100Г, КРЕМ Д/НАРУЖ,ПРИМ, ТУБА /ДОЛОРГИТ/</t>
  </si>
  <si>
    <t>ВАЛОКОРДИН 20МЛ, КАПЛИ Д/ПРИЕМА ВНУТРЬ ФЛ,/КАП,</t>
  </si>
  <si>
    <t>АММИАК 100МГ/МЛ, 100МЛ, №1 Р-Р Д/НАРУЖ,/ИНГ, ФЛ, /САМАРСКАЯ ФФ/</t>
  </si>
  <si>
    <t>КЛИНСА БИНТ ВЫСОК,ПЛОТН, СТЕР, 7МХ14СМ И/У</t>
  </si>
  <si>
    <t>НУРОФЕН ЭКСПРЕСС ФОРТЕ 400МГ, №20 КАПС, /РЕКИТТ БЕНКИЗЕР/</t>
  </si>
  <si>
    <t>СФМ ШПРИЦ 3МЛ, 3-Х КОМП, 0,6Х30ММ 23G №10 [SFM]</t>
  </si>
  <si>
    <t>ГЕПАРИНОВАЯ 25Г, МАЗЬ Д/НАРУЖ,ПРИМ, ТУБА /НИЖФАРМ/</t>
  </si>
  <si>
    <t>ЭНТЕРОСГЕЛЬ 225Г, ПАСТА Д/ПРИЕМА ВНУТРЬ ТУБА</t>
  </si>
  <si>
    <t>АСЕПТИКА САЛФЕТКА СПИРТОВАЯ 60Х100 №20</t>
  </si>
  <si>
    <t>НАФТИЗИН 0,1% 15МЛ, НАЗАЛ,КАПЛИ ФЛ,/КАП, /СЛАВЯНСКАЯ АПТЕКА/</t>
  </si>
  <si>
    <t>РОМАШКИ ЦВЕТКИ 1,5Г, №20 ПАК, /КРАСНОГОРСК/</t>
  </si>
  <si>
    <t>ЦЕФТРИАКСОН 1Г, №1 ПОР, Д/Р-РА Д/В/В,В/М ФЛ, /БЕЛМЕДПРЕПАРАТЫ/</t>
  </si>
  <si>
    <t>СФМ ШПРИЦ 5МЛ, 3-Х КОМП, 0,7Х40ММ 22G №10 [SFM]</t>
  </si>
  <si>
    <t>МУКАЛТИН РЕНЕВАЛ 50МГ, №20 ТАБ, /ОБНОВЛЕНИЕ/</t>
  </si>
  <si>
    <t>ГАБАПЕНТИН 300МГ, №50 КАПС, /КАНОНФАРМА/</t>
  </si>
  <si>
    <t>СУПРАСТИН 25МГ, №20 ТАБ, /ЭГИС/</t>
  </si>
  <si>
    <t>МЕЗИМ-ФОРТЕ №20 ТАБ, П/О /БЕРЛИН-ХЕМИ/</t>
  </si>
  <si>
    <t>АНАЛЬГИН 500МГ, №20 ТАБ, /ФАРМСТАНДАРТ/</t>
  </si>
  <si>
    <t>АСКОРБИНОВАЯ К-ТА 100МГ,+877МГ, ГЛЮКОЗА №40 ТАБ, /ФАРМСТАНДАРТ/</t>
  </si>
  <si>
    <t>РИНОСТОП 0,1% 10МЛ, НАЗАЛ,КАПЛИ ФЛ,/КАП, /ОТИСИФАРМ/ЛЕККО/ФАРМСТАНДАРТ ЛЕКСРЕДСТВА/</t>
  </si>
  <si>
    <t>ЙОДА 5% 25МЛ, №1 СПИРТ, Р-Р Д/НАРУЖ,ПРИМ, ФЛ, /САМАРАМЕДПРОМ/</t>
  </si>
  <si>
    <t>КСИЛЕН 0,1% 20МЛ, №1 НАЗАЛ,КАПЛИ ФЛ,/КАП, /ВЕРОФАРМ/</t>
  </si>
  <si>
    <t>ДОКТОР ПЕРЕЦ ЛЕЙКОПЛАСТ, ПЕРЦОВЫЙ 10X18 №1 ПЕРФ, /ВЕРОФАРМ/</t>
  </si>
  <si>
    <t>ДИКЛОФЕНАК 25МГ/МЛ, 3МЛ, №5 Р-Р Д/В/М ВВЕД, АМП, /ХЕМОФАРМ/</t>
  </si>
  <si>
    <t>ТРИХОПОЛ 250МГ, №20 ТАБ, /ПОЛЬФАРМА/</t>
  </si>
  <si>
    <t>БОЯРЫШНИКА НАСТОЙКА 25МЛ, ФЛ, /ИВАНОВСКАЯ ФФ/</t>
  </si>
  <si>
    <t>L-ТИРОКСИН 50МКГ, №50 ТАБ, /БЕРЛИН ХЕМИ/</t>
  </si>
  <si>
    <t>ТЕРАФЛЮ ЛИМОН ОТ ГРИППА И ПРОСТУДЫ 22,1Г, №4 ПОР, Д/Р-РА Д/ПРИЕМА ВНУТРЬ ПАК,</t>
  </si>
  <si>
    <t>АКВАДЕТРИМ 15000МЕ/МЛ, 10МЛ, КАПЛИ Д/ПРИЕМА ВНУТРЬ ФЛ,/КАП, (ВИТАМИН Д3 ВОДН,Р-Р) /МЕДАНА/</t>
  </si>
  <si>
    <t>КОНКОР 5МГ, №50 ТАБ, П/П/О /МЕРК/</t>
  </si>
  <si>
    <t>БРОМГЕКСИН 8 БЕРЛИН-ХЕМИ 8МГ, №25 ТАБ, П/О /БЕРЛИН ХЕМИ/</t>
  </si>
  <si>
    <t>ЛОРАТАДИН 10МГ, №30 ТАБ, /ВЕРТЕКС/</t>
  </si>
  <si>
    <t>ОМЕПРАЗОЛ-ТЕВА 20МГ, №28 КАПС, КШ/РАСТВ, /ТЕВА/</t>
  </si>
  <si>
    <t>ТОБРЕКС 0,3% 5МЛ, ГЛ,КАПЛИ ФЛ,/КАП, /АЛКОН/</t>
  </si>
  <si>
    <t>ХЛОРГЕКСИДИН 0,05% 200МЛ, №1 Р-Р Д/МЕСТ, И НАРУЖ,ПРИМ, ФЛ, ПЭТ, /ЛЕКАРЬ/</t>
  </si>
  <si>
    <t>ПЕРЕКИСЬ ВОДОРОДА 3% 100МЛ, Р-Р ФЛ, ПЛАСТ, /БЕЛМЕДПРЕПАРАТЫ/</t>
  </si>
  <si>
    <t>НАТРИЯ ХЛОРИД 0,9% 200МЛ, №28 Р-Р Д/ИНФ, БУТ, /МОСФАРМ/</t>
  </si>
  <si>
    <t>ИБУКЛИН 400МГ,+325МГ, №10 ТАБ, П/П/О</t>
  </si>
  <si>
    <t>КОНТЕЙНЕР Д/СБОРА БИОМАТЕРИАЛОВ 125МЛ, СТЕР, ЗАВИН, КРЫШ, И/У</t>
  </si>
  <si>
    <t>ПАРАЦЕТАМОЛ 500МГ, №20 ТАБ, /ФАРМСТАНДАРТ/</t>
  </si>
  <si>
    <t>ЗВЕЗДОЧКА НОЗ 0,1% 15МЛ, НАЗАЛ,СПРЕЙ ФЛ, +РАСП,</t>
  </si>
  <si>
    <t>АСЕПТИКА САЛФЕТКА СПИРТОВАЯ 60Х100 №30</t>
  </si>
  <si>
    <t>ТАНТУМ ВЕРДЕ 0,255МКГ/ДОЗА 30МЛ, 176ДОЗ СПРЕЙ Д/МЕСТ,ПРИМ, ДОЗИР, ФЛ,</t>
  </si>
  <si>
    <t>ЦЕФАЗОЛИНА НАТРИЕВАЯ СОЛЬ 1Г, №1 ПОР, Д/Р-РА В/В,В/М ФЛ, /БИОСИНТЕЗ/</t>
  </si>
  <si>
    <t>ИНГАЛИПТ 30МЛ, АЭРОЗОЛЬ Д/МЕСТ,ПРИМ, БАЛЛОН /ФАРМСТАНДАРТ-ЛЕКСРЕДСТВА/</t>
  </si>
  <si>
    <t>ЛИЗОБАКТ №30 ТАБ, Д/РАСС, СУБЛИН,</t>
  </si>
  <si>
    <t>СЕНАДЕ 13,5МГ, №500 ТАБ, /ЦИПЛА/</t>
  </si>
  <si>
    <t>КСИЛЕН 0,1% 10МЛ, №1 НАЗАЛ,КАПЛИ ФЛ,/КАП, /ВЕРОФАРМ/</t>
  </si>
  <si>
    <t>ГРАММИДИН НЕО С АНЕСТЕТИКОМ №18 ТАБ, Д/РАСС,</t>
  </si>
  <si>
    <t>НИМЕСУЛИД 100МГ, №20 ТАБ, /РЕПЛЕКФАРМ/БЕРЕЗОВСКИЙ/</t>
  </si>
  <si>
    <t>ЛЕЙКОПЛАСТЫРЬ БАКТЕР, 6X10 №1 /ВЕРОФАРМ/</t>
  </si>
  <si>
    <t>МЕНОВАЗИН 40МЛ, №1 СПИРТ, Р-Р Д/НАРУЖ,ПРИМ, ФЛ, /ТУЛЬСКАЯ ФФ/</t>
  </si>
  <si>
    <t>СОТАГЕКСАЛ 80МГ, №20 ТАБ, /ГЕКСАЛ АГ/</t>
  </si>
  <si>
    <t>МЕТРОГИЛ ДЕНТА 20Г, №1 ГЕЛЬ СТОМАТ, ТУБА</t>
  </si>
  <si>
    <t>ПИПЕТКА ГЛ, ТРАВМОБЕЗ, №1 ФУТ,</t>
  </si>
  <si>
    <t>СТЭЛМАС ВОДА МИН,ЛЕЧ,-СТОЛ, МАГНИЙ 1Л, ГАЗ, [STELMAS]</t>
  </si>
  <si>
    <t>КЛИНСА БИНТ ВЫСОК,ПЛОТН, СТЕР, 5МХ10СМ И/У</t>
  </si>
  <si>
    <t>ЗОДАК 10МГ/МЛ, 20МЛ, КАПЛИ Д/ПРИЕМА ВНУТРЬ ФЛ, /ЗЕНТИВА/</t>
  </si>
  <si>
    <t>ГЕМАТОГЕН С-ВИТА ПЛЮС 50Г, /ФАРМ-ПРО/</t>
  </si>
  <si>
    <t>ХЛОРГЕКСИДИН 0,05% 100МЛ, №1 Р-Р Д/МЕСТ, И НАРУЖ,ПРИМ, ФЛ, ПЭТ, /ИВАНОВСКАЯ ФФ/</t>
  </si>
  <si>
    <t>АЛЛОХОЛ №50 ТАБ, П/О /ФАРМСТАНДАРТ/</t>
  </si>
  <si>
    <t>ФУРАЦИЛИН 20МГ, №20 ТАБ, Д/Р-РА Д/МЕСТ, И НАРУЖ,ПРИМ, /АВЕКСИМА/</t>
  </si>
  <si>
    <t>ФЛУКОНАЗОЛ 150МГ, №1 КАПС, /ВЕРТЕКС/</t>
  </si>
  <si>
    <t>МИРАМИСТИН 0,01% 150МЛ, №1 Р-Р Д/МЕСТ,ПРИМ, ФЛ, С РАСП,</t>
  </si>
  <si>
    <t>СПАЗГАН №20 ТАБ,</t>
  </si>
  <si>
    <t>ЦИТРАМОН П №30 ТАБ, /МЕДИСОРБ/</t>
  </si>
  <si>
    <t>ФЕНИБУТ 250МГ, №20 ТАБ, /БЕЛМЕДПРЕПАРАТЫ/</t>
  </si>
  <si>
    <t>БОРЖОМИ ВОДА МИНЕР, ГАЗ, 0,5Л, СТЕКЛО</t>
  </si>
  <si>
    <t>ПАРАЦЕТАМОЛ МЕДИСОРБ 500МГ, №30 ТАБ, /МЕДИСОРБ/</t>
  </si>
  <si>
    <t>ПЕНТАЛГИН №12 ТАБ, П/П/О /ОТИСИФАРМ/</t>
  </si>
  <si>
    <t>ПЕРЕКИСЬ ВОДОРОДА 3% 100МЛ, Р-Р ФЛ, ПЛАСТ, /ТУЛЬСКАЯ ФФ/</t>
  </si>
  <si>
    <t>БЕТАЛОК ЗОК 25МГ, №14 ТАБ,ПРОЛОНГ, П/О /АСТРА ЗЕНЕКА/</t>
  </si>
  <si>
    <t>ХАРТМАНН КОСМОПОР Е ПОВЯЗКА 10СМХ8СМ №25 П/ОПЕР, САМОКЛ, СТЕР, [HARTMANN COSMOPOR]</t>
  </si>
  <si>
    <t>НАЙЗ 100МГ, №30 ТАБ,</t>
  </si>
  <si>
    <t>АСКОРБИНОВАЯ К-ТА 25МГ, №10 ТАБ, КРУТКА САХ, (БАД)</t>
  </si>
  <si>
    <t>ЦЕФТРИАКСОН 1Г, №1 ПОР, Д/Р-РА Д/В/В,В/М ФЛ, /БИОСИНТЕЗ/</t>
  </si>
  <si>
    <t>АЦИКЛОВИР-АКРИХИН 200МГ, №20 ТАБ, /АКРИХИН/</t>
  </si>
  <si>
    <t>РИНОНОРМ-ТЕВА 0,1% 20МЛ, НАЗАЛ,СПРЕЙ ФЛ, /ТЕВА/</t>
  </si>
  <si>
    <t>Названия строк</t>
  </si>
  <si>
    <t>Общий итог</t>
  </si>
  <si>
    <t>Сумма по полю dr_kol</t>
  </si>
  <si>
    <t>Сумма по полю dr_czak</t>
  </si>
  <si>
    <t>Сумма по полю dr_croz</t>
  </si>
  <si>
    <t>name</t>
  </si>
  <si>
    <t>kol</t>
  </si>
  <si>
    <t>zak</t>
  </si>
  <si>
    <t>roz</t>
  </si>
  <si>
    <t>perc_kol</t>
  </si>
  <si>
    <t>cumsum_kol</t>
  </si>
  <si>
    <t>abc_kol</t>
  </si>
  <si>
    <t>A</t>
  </si>
  <si>
    <t>B</t>
  </si>
  <si>
    <t>C</t>
  </si>
  <si>
    <t>perc_roz</t>
  </si>
  <si>
    <t>cumsum_roz</t>
  </si>
  <si>
    <t>abc_roz</t>
  </si>
  <si>
    <t>margin</t>
  </si>
  <si>
    <t>perc_margin</t>
  </si>
  <si>
    <t>cumsum_margin</t>
  </si>
  <si>
    <t>abc_margin</t>
  </si>
  <si>
    <t>ABC</t>
  </si>
  <si>
    <t>AAA</t>
  </si>
  <si>
    <t>AAB</t>
  </si>
  <si>
    <t>AAC</t>
  </si>
  <si>
    <t>ABA</t>
  </si>
  <si>
    <t>ABB</t>
  </si>
  <si>
    <t>ACA</t>
  </si>
  <si>
    <t>ACB</t>
  </si>
  <si>
    <t>ACC</t>
  </si>
  <si>
    <t>BAA</t>
  </si>
  <si>
    <t>BAB</t>
  </si>
  <si>
    <t>BAC</t>
  </si>
  <si>
    <t>BBA</t>
  </si>
  <si>
    <t>BBB</t>
  </si>
  <si>
    <t>BBC</t>
  </si>
  <si>
    <t>BCA</t>
  </si>
  <si>
    <t>BCB</t>
  </si>
  <si>
    <t>BCC</t>
  </si>
  <si>
    <t>CAA</t>
  </si>
  <si>
    <t>CAB</t>
  </si>
  <si>
    <t>CAC</t>
  </si>
  <si>
    <t>CBA</t>
  </si>
  <si>
    <t>CBB</t>
  </si>
  <si>
    <t>CBC</t>
  </si>
  <si>
    <t>CCA</t>
  </si>
  <si>
    <t>CCB</t>
  </si>
  <si>
    <t>group</t>
  </si>
  <si>
    <t>(пусто)</t>
  </si>
  <si>
    <t>Количество по полю group</t>
  </si>
  <si>
    <t>кол-во, выручка, маржинальность</t>
  </si>
  <si>
    <t>var</t>
  </si>
  <si>
    <t>XYZ</t>
  </si>
  <si>
    <t>ABC-XYZ</t>
  </si>
  <si>
    <t>AAAZ</t>
  </si>
  <si>
    <t>AABZ</t>
  </si>
  <si>
    <t>AACZ</t>
  </si>
  <si>
    <t>ABAZ</t>
  </si>
  <si>
    <t>ABBZ</t>
  </si>
  <si>
    <t>ACAZ</t>
  </si>
  <si>
    <t>ACBZ</t>
  </si>
  <si>
    <t>ACCZ</t>
  </si>
  <si>
    <t>BAAZ</t>
  </si>
  <si>
    <t>BABZ</t>
  </si>
  <si>
    <t>BACZ</t>
  </si>
  <si>
    <t>BBAZ</t>
  </si>
  <si>
    <t>BBBZ</t>
  </si>
  <si>
    <t>BBCZ</t>
  </si>
  <si>
    <t>BCAZ</t>
  </si>
  <si>
    <t>BCBZ</t>
  </si>
  <si>
    <t>BCCZ</t>
  </si>
  <si>
    <t>CAAZ</t>
  </si>
  <si>
    <t>CABZ</t>
  </si>
  <si>
    <t>CACZ</t>
  </si>
  <si>
    <t>CBAZ</t>
  </si>
  <si>
    <t>CBBZ</t>
  </si>
  <si>
    <t>CBCZ</t>
  </si>
  <si>
    <t>CCAZ</t>
  </si>
  <si>
    <t>CCBZ</t>
  </si>
  <si>
    <t>Сумма по столбцу dr_kol</t>
  </si>
  <si>
    <t>Сумма по столбцу dr_czak</t>
  </si>
  <si>
    <t>Сумма по столбцу dr_croz</t>
  </si>
  <si>
    <t>pr_kol</t>
  </si>
  <si>
    <t>perc_marg</t>
  </si>
  <si>
    <t>cumsum_marg</t>
  </si>
  <si>
    <t>Количество по полю ABC</t>
  </si>
  <si>
    <t>количество, выручка, маржинальность</t>
  </si>
  <si>
    <t>ABC 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</si>
</sst>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9" fontId="0" fillId="0" borderId="0" xfId="1" applyFont="1"/>
    <xf numFmtId="9" fontId="0" fillId="0" borderId="0" xfId="0" applyNumberFormat="1"/>
    <xf numFmtId="164" fontId="0" fillId="0" borderId="0" xfId="0" applyNumberFormat="1"/>
    <xf numFmtId="10" fontId="16" fillId="0" borderId="0" xfId="0" applyNumberFormat="1" applyFont="1"/>
    <xf numFmtId="10" fontId="0" fillId="0" borderId="0" xfId="1" applyNumberFormat="1" applyFont="1"/>
    <xf numFmtId="10" fontId="0" fillId="0" borderId="0" xfId="0" applyNumberFormat="1"/>
    <xf numFmtId="9" fontId="16" fillId="0" borderId="0" xfId="1" applyFont="1"/>
    <xf numFmtId="10" fontId="16" fillId="0" borderId="0" xfId="1" applyNumberFormat="1" applyFont="1"/>
    <xf numFmtId="14" fontId="16" fillId="0" borderId="0" xfId="0" applyNumberFormat="1" applyFont="1"/>
    <xf numFmtId="164" fontId="0" fillId="0" borderId="0" xfId="1" applyNumberFormat="1" applyFont="1"/>
    <xf numFmtId="164" fontId="16" fillId="0" borderId="0" xfId="1" applyNumberFormat="1" applyFont="1"/>
    <xf numFmtId="0" fontId="0" fillId="0" borderId="0" xfId="0" applyAlignment="1">
      <alignment wrapText="1"/>
    </xf>
  </cellXfs>
  <cellStyles count="43">
    <cellStyle name="20% — акцент1" xfId="20" builtinId="30" customBuiltin="1"/>
    <cellStyle name="20% — акцент2" xfId="24" builtinId="34" customBuiltin="1"/>
    <cellStyle name="20% — акцент3" xfId="28" builtinId="38" customBuiltin="1"/>
    <cellStyle name="20% — акцент4" xfId="32" builtinId="42" customBuiltin="1"/>
    <cellStyle name="20% — акцент5" xfId="36" builtinId="46" customBuiltin="1"/>
    <cellStyle name="20% — акцент6" xfId="40" builtinId="50" customBuiltin="1"/>
    <cellStyle name="40% — акцент1" xfId="21" builtinId="31" customBuiltin="1"/>
    <cellStyle name="40% — акцент2" xfId="25" builtinId="35" customBuiltin="1"/>
    <cellStyle name="40% — акцент3" xfId="29" builtinId="39" customBuiltin="1"/>
    <cellStyle name="40% — акцент4" xfId="33" builtinId="43" customBuiltin="1"/>
    <cellStyle name="40% — акцент5" xfId="37" builtinId="47" customBuiltin="1"/>
    <cellStyle name="40% — акцент6" xfId="41" builtinId="51" customBuiltin="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8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7" builtinId="53" customBuiltin="1"/>
    <cellStyle name="Примечание" xfId="16" builtinId="10" customBuiltin="1"/>
    <cellStyle name="Процентный" xfId="1" builtinId="5"/>
    <cellStyle name="Связанная ячейка" xfId="13" builtinId="24" customBuiltin="1"/>
    <cellStyle name="Текст предупреждения" xfId="15" builtinId="11" customBuiltin="1"/>
    <cellStyle name="Хороший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za ruzova" refreshedDate="45536.671804050929" createdVersion="5" refreshedVersion="5" minRefreshableVersion="3" recordCount="13763" xr:uid="{00000000-000A-0000-FFFF-FFFF03000000}">
  <cacheSource type="worksheet">
    <worksheetSource ref="A1:E13764" sheet="data"/>
  </cacheSource>
  <cacheFields count="5">
    <cacheField name="dr_ndrugs" numFmtId="0">
      <sharedItems count="156">
        <s v="КОНКОР КОР 2,5МГ, №30 ТАБ, П/П/О /МЕРК/"/>
        <s v="ТЕРАФЛЮ ЛИМОН ОТ ГРИППА И ПРОСТУДЫ 22,1Г, №10 ПОР, Д/Р-РА Д/ПРИЕМА ВНУТРЬ ПАК,"/>
        <s v="ТИЗИН КЛАССИК 0,1% 10МЛ, НАЗАЛ,СПРЕЙ ФЛ, /ДЖОНСОН/"/>
        <s v="ЛЮКСПЛАСТ ЛЕЙКОПЛАСТ, БАКТЕР, 19Х72ММ ТКАН, ЭЛ,ТЕЛЕСН, №10 [LUXPLAST]"/>
        <s v="РИНОНОРМ-ТЕВА 0,1% 140МКГ/ДОЗА 20МЛ, НАЗАЛ,СПРЕЙ ФЛ, /ТЕВА/"/>
        <s v="ХЛОРГЕКСИДИН 0,05% 100МЛ, №1 Р-Р Д/МЕСТ, И НАРУЖ,ПРИМ, ФЛ, ПЭТ, /ТУЛЬСКАЯ ФФ/"/>
        <s v="СТЭЛМАС ВОДА ДЕТСКАЯ 0,6Л, Н/ГАЗ, [STELMAS]"/>
        <s v="ГЛИЦИН 100МГ, №100 ТАБ, ПОДЪЯЗЫЧ, /БИОТИКИ/"/>
        <s v="МИГ 400МГ, №20 ТАБ, П/П/О /БЕРЛИН-ХЕМИ/"/>
        <s v="ФОСФАЛЮГЕЛЬ 16Г, №20 ГЕЛЬ Д/ПРИЕМА ВНУТРЬ ПАК,"/>
        <s v="ЕССЕНТУКИ ВОДА МИНЕР, №4 0,45Л, ГАЗ, СТЕКЛО"/>
        <s v="АСКОРУТИН 50МГ,+50МГ, №50 ТАБ, /ФАРМСТАНДАРТ-УФИМСКИЙ/"/>
        <s v="АФОБАЗОЛ 10МГ, №60 ТАБ,"/>
        <s v="ВАЛЕРИАНА ЭКСТРАКТ 20МГ, №50 ТАБ, П/О /БОРИСОВСКИЙ/"/>
        <s v="РИНОСТОП 0,1% 15МЛ, НАЗАЛ,СПРЕЙ ФЛ, /ОТИСИФАРМ/ЛЕККО/ФАРМСТАНДАРТ ЛЕКСРЕДСТВА/"/>
        <s v="КОРВАЛОЛ 25МЛ, КАПЛИ Д/ПРИЕМА ВНУТРЬ ФЛ, И/У /ФАРМСТАНДАРТ ЛЕКСРЕДСТВА/"/>
        <s v="СПАЗМАЛГОН №20 ТАБ,"/>
        <s v="СТЭЛМАС ВОДА КИСЛОРОД 0,6Л, Н/ГАЗ, СПОРТ [STELMAS]"/>
        <s v="ТАУФОН 4% 10МЛ, №1 ГЛ,КАПЛИ ФЛ,/КАП, /ОТИСИФАРМ/ФАРМСТАНДАРТ/"/>
        <s v="СНУП 0,1% 90МКГ/ДОЗА 15МЛ, НАЗАЛ,СПРЕЙ ФЛ, /ШТАДА/"/>
        <s v="ОМЕЗ 20МГ, №30 КАПС, /Д-Р РЕДДИ/"/>
        <s v="НИМЕСИЛ 100МГ, 2Г, №30 ГРАН, Д/СУСП, Д/ПРИЕМА ВНУТРЬ ПАК, /ГУИДОТТИ/МЕНАРИНИ/"/>
        <s v="ЛЮКСПЛАСТ ЛЕЙКОПЛАСТ, БАКТЕР, СТАНДАРТ, 19Х72ММ ТКАН, №20 [LUXPLAST]"/>
        <s v="ЛЕВОМЕКОЛЬ 40МГ/Г,+7,5МГ/Г, 40Г, №1 МАЗЬ Д/НАРУЖ,ПРИМ, ТУБА /НИЖФАРМ/"/>
        <s v="ПОЛИДЕКСА С ФЕНИЛЭФРИНОМ 15МЛ, НАЗАЛ,СПРЕЙ ФЛ,"/>
        <s v="БИСОПРОЛОЛ 2,5МГ, №60 ТАБ, П/О /ВЕРТЕКС/"/>
        <s v="НАФТИЗИН 0,1% 15МЛ, НАЗАЛ,КАПЛИ ФЛ,/КАП, /ЛЕККО/"/>
        <s v="СФМ ШПРИЦ 2МЛ, 3-Х КОМП, 0,63Х32ММ 23G №10 [SFM]"/>
        <s v="МЕТРОГИЛ 5МГ/МЛ, 100МЛ, №1 Р-Р Д/ИНФ, ФЛ, /ЮНИК/"/>
        <s v="НАЙЗ 100МГ, №20 ТАБ,"/>
        <s v="ЦИТРАМОН П №20 ТАБ, /МЕДИСОРБ/"/>
        <s v="ПУСТЫРНИКА НАСТОЙКА 25МЛ, ФЛ, /ГИППОКРАТ/"/>
        <s v="ВАЛЕРИАНЫ НАСТОЙКА 25МЛ, ФЛ, /КАМЕЛИЯ/"/>
        <s v="БОЯРЫШНИКА НАСТОЙКА 25МЛ, ФЛ, /ФЛОРА КАВКАЗА/"/>
        <s v="БОРНАЯ К-ТА 10Г, ДЕЗ,СР-ВО ПОР, (НДС 20%)"/>
        <s v="ОТРИВИН 0,1% 10МЛ, №1 МЕНТОЛ+ЭВКАЛИПТ НАЗАЛ,СПРЕЙ ФЛ, /ГЛАКСО/НОВАРТИС/"/>
        <s v="КОНТЕЙНЕР Д/СБОРА БИОМАТЕРИАЛА 120МЛ, УНИВЕРС, СТЕР, (БАНКА)"/>
        <s v="КАНЕФРОН Н №60 ТАБ, П/О"/>
        <s v="ЦЕТРИН 10МГ, №20 ТАБ, П/П/О /Д-Р РЕДДИ/"/>
        <s v="ЛЕЙКОПЛАСТЫРЬ БАКТЕР, №20 НАБОР БЕЖ,(ТЕЛ,) /ВЕРОФАРМ/"/>
        <s v="ФЕРРОГЕМАТОГЕН 50Г, ПАСТИЛКА ЖЕВ, (ПЛИТКА)"/>
        <s v="АСКОРБИНОВАЯ К-ТА 50МГ, №200 ДРАЖЕ /ФАРМСТАНДАРТ-УФАВИТА/"/>
        <s v="ЦИТРАМОН П №20 ТАБ, /ФАРМСТАНДАРТ/"/>
        <s v="УГОЛЬ АКТИВИРОВАННЫЙ 250МГ, №50 ТАБ, /ФАРМСТАНДАРТ ЛЕКСРЕДСТВА/"/>
        <s v="АЦЕТИЛСАЛИЦИЛОВАЯ К-ТА 500МГ, №20 ТАБ, /ФАРМСТАНДАРТ/"/>
        <s v="ЛОПЕРАМИД-АКРИХИН 2МГ, №20 КАПС, /АКРИХИН/"/>
        <s v="ЛЕЙКОПЛАСТЫРЬ БАКТЕР, 2,5Х7,2 №1 /ВЕРОФАРМ/"/>
        <s v="ЦЕТРИН 10МГ, №30 ТАБ, П/П/О /Д-Р РЕДДИ/"/>
        <s v="СТЭЛМАС ВОДА 0,6Л, Н/ГАЗ, [STELMAS]"/>
        <s v="ГАБАПЕНТИН 300МГ, №100 КАПС, /КАНОНФАРМА/"/>
        <s v="ВЕРОШПИРОН 25МГ, №20 ТАБ, /ГЕДЕОН РИХТЕР/"/>
        <s v="КЕТОРОЛ ЭКСПРЕСС 10МГ, №20 ТАБ, ДИСПЕРГ, /Д-Р РЕДДИС/"/>
        <s v="КАРДИОМАГНИЛ 75МГ,+15,2МГ, №100 ТАБ,"/>
        <s v="ТРОКСЕРУТИН ВРАМЕД 2% 40Г, ГЕЛЬ Д/НАРУЖ,ПРИМ, ТУБА /СОФАРМА/"/>
        <s v="ГЕМАТОГЕН РУССКИЙ КОКОС В ГЛАЗУРИ 40Г, ПЛИТКА /ФАРМ-ПРО/"/>
        <s v="АЦИКЛОВИР-БЕЛУПО 5% 10Г, №1 КРЕМ Д/НАРУЖ,ПРИМ, ТУБА /БЕЛУПО/"/>
        <s v="СУЛЬФАЦИЛ-НАТРИЯ АЛЬБУЦИД 20% 10МЛ, №1 ГЛ,КАПЛИ ФЛ,/КАП, /ЛЕККО/"/>
        <s v="ОМЕПРАЗОЛ 20МГ, №30 КАПС, /ПРОИЗВОДСТВО МЕДИКАМЕНТОВ/"/>
        <s v="ВАЛОСЕРДИН 25МЛ, КАПЛИ Д/ПРИЕМА ВНУТРЬ ФЛ, /МОСФАРМА/"/>
        <s v="РЕНГАЛИН №20 ТАБ, Д/РАСС,"/>
        <s v="ПЕНТАЛГИН №24 ТАБ, П/П/О /ОТИСИФАРМ/"/>
        <s v="ВАЛИДОЛ 60МГ, №10 ТАБ, ПОДЪЯЗЫЧ, /ФАРМСТАНДАРТ/"/>
        <s v="АСКОФЕН-П №20 ТАБ, /ФАРМСТАНДАРТ-ЛЕКСРЕДСТВА/"/>
        <s v="ЙОДА 5% 25МЛ, №1 СПИРТ, Р-Р Д/НАРУЖ,ПРИМ, ФЛ, /ТУЛЬСКАЯ ФФ/"/>
        <s v="ПЕРЕКИСЬ ВОДОРОДА 3% 200МЛ, Р-Р ФЛ, ПЛАСТ, /ЛЕКАРЬ/"/>
        <s v="НО-ШПА 40МГ, №64 ТАБ, ФЛ, ДОЗАТОР /ХИНОИН/"/>
        <s v="ЙОДА 5% 25МЛ, №1 СПИРТ, Р-Р Д/НАРУЖ,ПРИМ, ФЛ, /ФЛОРА КАВКАЗА/"/>
        <s v="КОНВАЛИС 300МГ, №50 КАПС,"/>
        <s v="АСКОРБИНОВАЯ К-ТА АПЕЛЬСИН №10 ТАБ, КРУТКА САХ,"/>
        <s v="ЦИПРОЛЕТ 500МГ, №10 ТАБ, П/П/О /Д-Р РЕДДИ/"/>
        <s v="ХАРТМАНН КОСМОПОР Е ПОВЯЗКА 7,2Х5СМ №50 П/ОПЕР, САМОКЛ, СТЕР, [HARTMANN COSMOPOR]"/>
        <s v="ГАЛАЗОЛИН 0,1% 10МЛ, №1 НАЗАЛ,КАПЛИ ФЛ,/КАП, /ПОЛЬФА/"/>
        <s v="ПАНКРЕАТИН 25ЕД №60 ТАБ,КШ/РАСТВ, П/О /АВЕКСИМА/"/>
        <s v="ИНДАПАМИД 2,5МГ, №30 ТАБ, П/О /ХЕМОФАРМ/"/>
        <s v="БИСОПРОЛОЛ 5МГ, №60 ТАБ, П/П/О /ВЕРТЕКС/"/>
        <s v="МУКАЛТИН 50МГ, №10 ТАБ, /ВИФИТЕХ/"/>
        <s v="ПАНКРЕАТИН 25ЕД №60 ТАБ,КШ/РАСТВ, П/О БЛИСТЕР /БИОСИНТЕЗ/"/>
        <s v="ВАЛЕРИАНЫ НАСТОЙКА 25МЛ, ФЛ, /ИВАНОВСКАЯ ФФ/"/>
        <s v="ДОЛГИТ 5% 100Г, КРЕМ Д/НАРУЖ,ПРИМ, ТУБА /ДОЛОРГИТ/"/>
        <s v="ВАЛОКОРДИН 20МЛ, КАПЛИ Д/ПРИЕМА ВНУТРЬ ФЛ,/КАП,"/>
        <s v="АММИАК 100МГ/МЛ, 100МЛ, №1 Р-Р Д/НАРУЖ,/ИНГ, ФЛ, /САМАРСКАЯ ФФ/"/>
        <s v="КЛИНСА БИНТ ВЫСОК,ПЛОТН, СТЕР, 7МХ14СМ И/У"/>
        <s v="НУРОФЕН ЭКСПРЕСС ФОРТЕ 400МГ, №20 КАПС, /РЕКИТТ БЕНКИЗЕР/"/>
        <s v="СФМ ШПРИЦ 3МЛ, 3-Х КОМП, 0,6Х30ММ 23G №10 [SFM]"/>
        <s v="ГЕПАРИНОВАЯ 25Г, МАЗЬ Д/НАРУЖ,ПРИМ, ТУБА /НИЖФАРМ/"/>
        <s v="ЭНТЕРОСГЕЛЬ 225Г, ПАСТА Д/ПРИЕМА ВНУТРЬ ТУБА"/>
        <s v="АСЕПТИКА САЛФЕТКА СПИРТОВАЯ 60Х100 №20"/>
        <s v="НАФТИЗИН 0,1% 15МЛ, НАЗАЛ,КАПЛИ ФЛ,/КАП, /СЛАВЯНСКАЯ АПТЕКА/"/>
        <s v="РОМАШКИ ЦВЕТКИ 1,5Г, №20 ПАК, /КРАСНОГОРСК/"/>
        <s v="ЦЕФТРИАКСОН 1Г, №1 ПОР, Д/Р-РА Д/В/В,В/М ФЛ, /БЕЛМЕДПРЕПАРАТЫ/"/>
        <s v="СФМ ШПРИЦ 5МЛ, 3-Х КОМП, 0,7Х40ММ 22G №10 [SFM]"/>
        <s v="МУКАЛТИН РЕНЕВАЛ 50МГ, №20 ТАБ, /ОБНОВЛЕНИЕ/"/>
        <s v="ГАБАПЕНТИН 300МГ, №50 КАПС, /КАНОНФАРМА/"/>
        <s v="СУПРАСТИН 25МГ, №20 ТАБ, /ЭГИС/"/>
        <s v="МЕЗИМ-ФОРТЕ №20 ТАБ, П/О /БЕРЛИН-ХЕМИ/"/>
        <s v="АНАЛЬГИН 500МГ, №20 ТАБ, /ФАРМСТАНДАРТ/"/>
        <s v="АСКОРБИНОВАЯ К-ТА 100МГ,+877МГ, ГЛЮКОЗА №40 ТАБ, /ФАРМСТАНДАРТ/"/>
        <s v="РИНОСТОП 0,1% 10МЛ, НАЗАЛ,КАПЛИ ФЛ,/КАП, /ОТИСИФАРМ/ЛЕККО/ФАРМСТАНДАРТ ЛЕКСРЕДСТВА/"/>
        <s v="ЙОДА 5% 25МЛ, №1 СПИРТ, Р-Р Д/НАРУЖ,ПРИМ, ФЛ, /САМАРАМЕДПРОМ/"/>
        <s v="КСИЛЕН 0,1% 20МЛ, №1 НАЗАЛ,КАПЛИ ФЛ,/КАП, /ВЕРОФАРМ/"/>
        <s v="ДОКТОР ПЕРЕЦ ЛЕЙКОПЛАСТ, ПЕРЦОВЫЙ 10X18 №1 ПЕРФ, /ВЕРОФАРМ/"/>
        <s v="ДИКЛОФЕНАК 25МГ/МЛ, 3МЛ, №5 Р-Р Д/В/М ВВЕД, АМП, /ХЕМОФАРМ/"/>
        <s v="ТРИХОПОЛ 250МГ, №20 ТАБ, /ПОЛЬФАРМА/"/>
        <s v="БОЯРЫШНИКА НАСТОЙКА 25МЛ, ФЛ, /ИВАНОВСКАЯ ФФ/"/>
        <s v="L-ТИРОКСИН 50МКГ, №50 ТАБ, /БЕРЛИН ХЕМИ/"/>
        <s v="ТЕРАФЛЮ ЛИМОН ОТ ГРИППА И ПРОСТУДЫ 22,1Г, №4 ПОР, Д/Р-РА Д/ПРИЕМА ВНУТРЬ ПАК,"/>
        <s v="АКВАДЕТРИМ 15000МЕ/МЛ, 10МЛ, КАПЛИ Д/ПРИЕМА ВНУТРЬ ФЛ,/КАП, (ВИТАМИН Д3 ВОДН,Р-Р) /МЕДАНА/"/>
        <s v="КОНКОР 5МГ, №50 ТАБ, П/П/О /МЕРК/"/>
        <s v="БРОМГЕКСИН 8 БЕРЛИН-ХЕМИ 8МГ, №25 ТАБ, П/О /БЕРЛИН ХЕМИ/"/>
        <s v="ЛОРАТАДИН 10МГ, №30 ТАБ, /ВЕРТЕКС/"/>
        <s v="ОМЕПРАЗОЛ-ТЕВА 20МГ, №28 КАПС, КШ/РАСТВ, /ТЕВА/"/>
        <s v="ТОБРЕКС 0,3% 5МЛ, ГЛ,КАПЛИ ФЛ,/КАП, /АЛКОН/"/>
        <s v="ХЛОРГЕКСИДИН 0,05% 200МЛ, №1 Р-Р Д/МЕСТ, И НАРУЖ,ПРИМ, ФЛ, ПЭТ, /ЛЕКАРЬ/"/>
        <s v="ПЕРЕКИСЬ ВОДОРОДА 3% 100МЛ, Р-Р ФЛ, ПЛАСТ, /БЕЛМЕДПРЕПАРАТЫ/"/>
        <s v="НАТРИЯ ХЛОРИД 0,9% 200МЛ, №28 Р-Р Д/ИНФ, БУТ, /МОСФАРМ/"/>
        <s v="ИБУКЛИН 400МГ,+325МГ, №10 ТАБ, П/П/О"/>
        <s v="КОНТЕЙНЕР Д/СБОРА БИОМАТЕРИАЛОВ 125МЛ, СТЕР, ЗАВИН, КРЫШ, И/У"/>
        <s v="ПАРАЦЕТАМОЛ 500МГ, №20 ТАБ, /ФАРМСТАНДАРТ/"/>
        <s v="ЗВЕЗДОЧКА НОЗ 0,1% 15МЛ, НАЗАЛ,СПРЕЙ ФЛ, +РАСП,"/>
        <s v="АСЕПТИКА САЛФЕТКА СПИРТОВАЯ 60Х100 №30"/>
        <s v="ТАНТУМ ВЕРДЕ 0,255МКГ/ДОЗА 30МЛ, 176ДОЗ СПРЕЙ Д/МЕСТ,ПРИМ, ДОЗИР, ФЛ,"/>
        <s v="ЦЕФАЗОЛИНА НАТРИЕВАЯ СОЛЬ 1Г, №1 ПОР, Д/Р-РА В/В,В/М ФЛ, /БИОСИНТЕЗ/"/>
        <s v="ИНГАЛИПТ 30МЛ, АЭРОЗОЛЬ Д/МЕСТ,ПРИМ, БАЛЛОН /ФАРМСТАНДАРТ-ЛЕКСРЕДСТВА/"/>
        <s v="ЛИЗОБАКТ №30 ТАБ, Д/РАСС, СУБЛИН,"/>
        <s v="СЕНАДЕ 13,5МГ, №500 ТАБ, /ЦИПЛА/"/>
        <s v="КСИЛЕН 0,1% 10МЛ, №1 НАЗАЛ,КАПЛИ ФЛ,/КАП, /ВЕРОФАРМ/"/>
        <s v="ГРАММИДИН НЕО С АНЕСТЕТИКОМ №18 ТАБ, Д/РАСС,"/>
        <s v="НИМЕСУЛИД 100МГ, №20 ТАБ, /РЕПЛЕКФАРМ/БЕРЕЗОВСКИЙ/"/>
        <s v="ЛЕЙКОПЛАСТЫРЬ БАКТЕР, 6X10 №1 /ВЕРОФАРМ/"/>
        <s v="МЕНОВАЗИН 40МЛ, №1 СПИРТ, Р-Р Д/НАРУЖ,ПРИМ, ФЛ, /ТУЛЬСКАЯ ФФ/"/>
        <s v="СОТАГЕКСАЛ 80МГ, №20 ТАБ, /ГЕКСАЛ АГ/"/>
        <s v="МЕТРОГИЛ ДЕНТА 20Г, №1 ГЕЛЬ СТОМАТ, ТУБА"/>
        <s v="ПИПЕТКА ГЛ, ТРАВМОБЕЗ, №1 ФУТ,"/>
        <s v="СТЭЛМАС ВОДА МИН,ЛЕЧ,-СТОЛ, МАГНИЙ 1Л, ГАЗ, [STELMAS]"/>
        <s v="КЛИНСА БИНТ ВЫСОК,ПЛОТН, СТЕР, 5МХ10СМ И/У"/>
        <s v="ЗОДАК 10МГ/МЛ, 20МЛ, КАПЛИ Д/ПРИЕМА ВНУТРЬ ФЛ, /ЗЕНТИВА/"/>
        <s v="ГЕМАТОГЕН С-ВИТА ПЛЮС 50Г, /ФАРМ-ПРО/"/>
        <s v="ХЛОРГЕКСИДИН 0,05% 100МЛ, №1 Р-Р Д/МЕСТ, И НАРУЖ,ПРИМ, ФЛ, ПЭТ, /ИВАНОВСКАЯ ФФ/"/>
        <s v="АЛЛОХОЛ №50 ТАБ, П/О /ФАРМСТАНДАРТ/"/>
        <s v="ФУРАЦИЛИН 20МГ, №20 ТАБ, Д/Р-РА Д/МЕСТ, И НАРУЖ,ПРИМ, /АВЕКСИМА/"/>
        <s v="ФЛУКОНАЗОЛ 150МГ, №1 КАПС, /ВЕРТЕКС/"/>
        <s v="МИРАМИСТИН 0,01% 150МЛ, №1 Р-Р Д/МЕСТ,ПРИМ, ФЛ, С РАСП,"/>
        <s v="СПАЗГАН №20 ТАБ,"/>
        <s v="ЦИТРАМОН П №30 ТАБ, /МЕДИСОРБ/"/>
        <s v="ФЕНИБУТ 250МГ, №20 ТАБ, /БЕЛМЕДПРЕПАРАТЫ/"/>
        <s v="БОРЖОМИ ВОДА МИНЕР, ГАЗ, 0,5Л, СТЕКЛО"/>
        <s v="ПАРАЦЕТАМОЛ МЕДИСОРБ 500МГ, №30 ТАБ, /МЕДИСОРБ/"/>
        <s v="ПЕНТАЛГИН №12 ТАБ, П/П/О /ОТИСИФАРМ/"/>
        <s v="ПЕРЕКИСЬ ВОДОРОДА 3% 100МЛ, Р-Р ФЛ, ПЛАСТ, /ТУЛЬСКАЯ ФФ/"/>
        <s v="БЕТАЛОК ЗОК 25МГ, №14 ТАБ,ПРОЛОНГ, П/О /АСТРА ЗЕНЕКА/"/>
        <s v="ХАРТМАНН КОСМОПОР Е ПОВЯЗКА 10СМХ8СМ №25 П/ОПЕР, САМОКЛ, СТЕР, [HARTMANN COSMOPOR]"/>
        <s v="НАЙЗ 100МГ, №30 ТАБ,"/>
        <s v="АСКОРБИНОВАЯ К-ТА 25МГ, №10 ТАБ, КРУТКА САХ, (БАД)"/>
        <s v="ЦЕФТРИАКСОН 1Г, №1 ПОР, Д/Р-РА Д/В/В,В/М ФЛ, /БИОСИНТЕЗ/"/>
        <s v="АЦИКЛОВИР-АКРИХИН 200МГ, №20 ТАБ, /АКРИХИН/"/>
        <s v="РИНОНОРМ-ТЕВА 0,1% 20МЛ, НАЗАЛ,СПРЕЙ ФЛ, /ТЕВА/"/>
      </sharedItems>
    </cacheField>
    <cacheField name="dr_dat" numFmtId="14">
      <sharedItems containsSemiMixedTypes="0" containsNonDate="0" containsDate="1" containsString="0" minDate="2022-05-01T00:00:00" maxDate="2022-06-10T00:00:00"/>
    </cacheField>
    <cacheField name="dr_kol" numFmtId="0">
      <sharedItems containsSemiMixedTypes="0" containsString="0" containsNumber="1" minValue="1.37336E-2" maxValue="200"/>
    </cacheField>
    <cacheField name="dr_czak" numFmtId="0">
      <sharedItems containsSemiMixedTypes="0" containsString="0" containsNumber="1" minValue="1.9" maxValue="1283.8399999999999"/>
    </cacheField>
    <cacheField name="dr_croz" numFmtId="0">
      <sharedItems containsSemiMixedTypes="0" containsString="0" containsNumber="1" minValue="3.07" maxValue="16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za ruzova" refreshedDate="45536.684662384258" createdVersion="5" refreshedVersion="5" minRefreshableVersion="3" recordCount="158" xr:uid="{00000000-000A-0000-FFFF-FFFF04000000}">
  <cacheSource type="worksheet">
    <worksheetSource ref="A1:A1048576" sheet="Лист3"/>
  </cacheSource>
  <cacheFields count="1">
    <cacheField name="group" numFmtId="0">
      <sharedItems containsBlank="1" count="27">
        <s v="ABC"/>
        <s v="AAA"/>
        <s v="AAB"/>
        <s v="AAC"/>
        <s v="ABA"/>
        <s v="ABB"/>
        <s v="ACA"/>
        <s v="ACB"/>
        <s v="ACC"/>
        <s v="BAA"/>
        <s v="BAB"/>
        <s v="BAC"/>
        <s v="BBA"/>
        <s v="BBB"/>
        <s v="BBC"/>
        <s v="BCA"/>
        <s v="BCB"/>
        <s v="BCC"/>
        <s v="CAA"/>
        <s v="CAB"/>
        <s v="CAC"/>
        <s v="CBA"/>
        <s v="CBB"/>
        <s v="CBC"/>
        <s v="CCA"/>
        <s v="CC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za ruzova" refreshedDate="45536.700637037036" createdVersion="5" refreshedVersion="5" minRefreshableVersion="3" recordCount="157" xr:uid="{00000000-000A-0000-FFFF-FFFF05000000}">
  <cacheSource type="worksheet">
    <worksheetSource ref="A1:A1048576" sheet="группы"/>
  </cacheSource>
  <cacheFields count="1">
    <cacheField name="group" numFmtId="0">
      <sharedItems containsBlank="1" count="26">
        <s v="AAAZ"/>
        <s v="AABZ"/>
        <s v="AACZ"/>
        <s v="ABAZ"/>
        <s v="ABBZ"/>
        <s v="ACAZ"/>
        <s v="ACBZ"/>
        <s v="ACCZ"/>
        <s v="BAAZ"/>
        <s v="BABZ"/>
        <s v="BACZ"/>
        <s v="BBAZ"/>
        <s v="BBBZ"/>
        <s v="BBCZ"/>
        <s v="BCAZ"/>
        <s v="BCBZ"/>
        <s v="BCCZ"/>
        <s v="CAAZ"/>
        <s v="CABZ"/>
        <s v="CACZ"/>
        <s v="CBAZ"/>
        <s v="CBBZ"/>
        <s v="CBCZ"/>
        <s v="CCAZ"/>
        <s v="CCBZ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ртур Кидрячев" refreshedDate="45985.699082754632" backgroundQuery="1" createdVersion="7" refreshedVersion="7" minRefreshableVersion="3" recordCount="0" supportSubquery="1" supportAdvancedDrill="1" xr:uid="{4598EF24-0AFB-4DDB-A817-9664E327B2F3}">
  <cacheSource type="external" connectionId="1"/>
  <cacheFields count="4">
    <cacheField name="[Диапазон].[dr_ndrugs].[dr_ndrugs]" caption="dr_ndrugs" numFmtId="0" level="1">
      <sharedItems count="156">
        <s v="L-ТИРОКСИН 50МКГ, №50 ТАБ, /БЕРЛИН ХЕМИ/"/>
        <s v="АКВАДЕТРИМ 15000МЕ/МЛ, 10МЛ, КАПЛИ Д/ПРИЕМА ВНУТРЬ ФЛ,/КАП, (ВИТАМИН Д3 ВОДН,Р-Р) /МЕДАНА/"/>
        <s v="АЛЛОХОЛ №50 ТАБ, П/О /ФАРМСТАНДАРТ/"/>
        <s v="АММИАК 100МГ/МЛ, 100МЛ, №1 Р-Р Д/НАРУЖ,/ИНГ, ФЛ, /САМАРСКАЯ ФФ/"/>
        <s v="АНАЛЬГИН 500МГ, №20 ТАБ, /ФАРМСТАНДАРТ/"/>
        <s v="АСЕПТИКА САЛФЕТКА СПИРТОВАЯ 60Х100 №20"/>
        <s v="АСЕПТИКА САЛФЕТКА СПИРТОВАЯ 60Х100 №30"/>
        <s v="АСКОРБИНОВАЯ К-ТА 100МГ,+877МГ, ГЛЮКОЗА №40 ТАБ, /ФАРМСТАНДАРТ/"/>
        <s v="АСКОРБИНОВАЯ К-ТА 25МГ, №10 ТАБ, КРУТКА САХ, (БАД)"/>
        <s v="АСКОРБИНОВАЯ К-ТА 50МГ, №200 ДРАЖЕ /ФАРМСТАНДАРТ-УФАВИТА/"/>
        <s v="АСКОРБИНОВАЯ К-ТА АПЕЛЬСИН №10 ТАБ, КРУТКА САХ,"/>
        <s v="АСКОРУТИН 50МГ,+50МГ, №50 ТАБ, /ФАРМСТАНДАРТ-УФИМСКИЙ/"/>
        <s v="АСКОФЕН-П №20 ТАБ, /ФАРМСТАНДАРТ-ЛЕКСРЕДСТВА/"/>
        <s v="АФОБАЗОЛ 10МГ, №60 ТАБ,"/>
        <s v="АЦЕТИЛСАЛИЦИЛОВАЯ К-ТА 500МГ, №20 ТАБ, /ФАРМСТАНДАРТ/"/>
        <s v="АЦИКЛОВИР-АКРИХИН 200МГ, №20 ТАБ, /АКРИХИН/"/>
        <s v="АЦИКЛОВИР-БЕЛУПО 5% 10Г, №1 КРЕМ Д/НАРУЖ,ПРИМ, ТУБА /БЕЛУПО/"/>
        <s v="БЕТАЛОК ЗОК 25МГ, №14 ТАБ,ПРОЛОНГ, П/О /АСТРА ЗЕНЕКА/"/>
        <s v="БИСОПРОЛОЛ 2,5МГ, №60 ТАБ, П/О /ВЕРТЕКС/"/>
        <s v="БИСОПРОЛОЛ 5МГ, №60 ТАБ, П/П/О /ВЕРТЕКС/"/>
        <s v="БОРЖОМИ ВОДА МИНЕР, ГАЗ, 0,5Л, СТЕКЛО"/>
        <s v="БОРНАЯ К-ТА 10Г, ДЕЗ,СР-ВО ПОР, (НДС 20%)"/>
        <s v="БОЯРЫШНИКА НАСТОЙКА 25МЛ, ФЛ, /ИВАНОВСКАЯ ФФ/"/>
        <s v="БОЯРЫШНИКА НАСТОЙКА 25МЛ, ФЛ, /ФЛОРА КАВКАЗА/"/>
        <s v="БРОМГЕКСИН 8 БЕРЛИН-ХЕМИ 8МГ, №25 ТАБ, П/О /БЕРЛИН ХЕМИ/"/>
        <s v="ВАЛЕРИАНА ЭКСТРАКТ 20МГ, №50 ТАБ, П/О /БОРИСОВСКИЙ/"/>
        <s v="ВАЛЕРИАНЫ НАСТОЙКА 25МЛ, ФЛ, /ИВАНОВСКАЯ ФФ/"/>
        <s v="ВАЛЕРИАНЫ НАСТОЙКА 25МЛ, ФЛ, /КАМЕЛИЯ/"/>
        <s v="ВАЛИДОЛ 60МГ, №10 ТАБ, ПОДЪЯЗЫЧ, /ФАРМСТАНДАРТ/"/>
        <s v="ВАЛОКОРДИН 20МЛ, КАПЛИ Д/ПРИЕМА ВНУТРЬ ФЛ,/КАП,"/>
        <s v="ВАЛОСЕРДИН 25МЛ, КАПЛИ Д/ПРИЕМА ВНУТРЬ ФЛ, /МОСФАРМА/"/>
        <s v="ВЕРОШПИРОН 25МГ, №20 ТАБ, /ГЕДЕОН РИХТЕР/"/>
        <s v="ГАБАПЕНТИН 300МГ, №100 КАПС, /КАНОНФАРМА/"/>
        <s v="ГАБАПЕНТИН 300МГ, №50 КАПС, /КАНОНФАРМА/"/>
        <s v="ГАЛАЗОЛИН 0,1% 10МЛ, №1 НАЗАЛ,КАПЛИ ФЛ,/КАП, /ПОЛЬФА/"/>
        <s v="ГЕМАТОГЕН РУССКИЙ КОКОС В ГЛАЗУРИ 40Г, ПЛИТКА /ФАРМ-ПРО/"/>
        <s v="ГЕМАТОГЕН С-ВИТА ПЛЮС 50Г, /ФАРМ-ПРО/"/>
        <s v="ГЕПАРИНОВАЯ 25Г, МАЗЬ Д/НАРУЖ,ПРИМ, ТУБА /НИЖФАРМ/"/>
        <s v="ГЛИЦИН 100МГ, №100 ТАБ, ПОДЪЯЗЫЧ, /БИОТИКИ/"/>
        <s v="ГРАММИДИН НЕО С АНЕСТЕТИКОМ №18 ТАБ, Д/РАСС,"/>
        <s v="ДИКЛОФЕНАК 25МГ/МЛ, 3МЛ, №5 Р-Р Д/В/М ВВЕД, АМП, /ХЕМОФАРМ/"/>
        <s v="ДОКТОР ПЕРЕЦ ЛЕЙКОПЛАСТ, ПЕРЦОВЫЙ 10X18 №1 ПЕРФ, /ВЕРОФАРМ/"/>
        <s v="ДОЛГИТ 5% 100Г, КРЕМ Д/НАРУЖ,ПРИМ, ТУБА /ДОЛОРГИТ/"/>
        <s v="ЕССЕНТУКИ ВОДА МИНЕР, №4 0,45Л, ГАЗ, СТЕКЛО"/>
        <s v="ЗВЕЗДОЧКА НОЗ 0,1% 15МЛ, НАЗАЛ,СПРЕЙ ФЛ, +РАСП,"/>
        <s v="ЗОДАК 10МГ/МЛ, 20МЛ, КАПЛИ Д/ПРИЕМА ВНУТРЬ ФЛ, /ЗЕНТИВА/"/>
        <s v="ИБУКЛИН 400МГ,+325МГ, №10 ТАБ, П/П/О"/>
        <s v="ИНГАЛИПТ 30МЛ, АЭРОЗОЛЬ Д/МЕСТ,ПРИМ, БАЛЛОН /ФАРМСТАНДАРТ-ЛЕКСРЕДСТВА/"/>
        <s v="ИНДАПАМИД 2,5МГ, №30 ТАБ, П/О /ХЕМОФАРМ/"/>
        <s v="ЙОДА 5% 25МЛ, №1 СПИРТ, Р-Р Д/НАРУЖ,ПРИМ, ФЛ, /САМАРАМЕДПРОМ/"/>
        <s v="ЙОДА 5% 25МЛ, №1 СПИРТ, Р-Р Д/НАРУЖ,ПРИМ, ФЛ, /ТУЛЬСКАЯ ФФ/"/>
        <s v="ЙОДА 5% 25МЛ, №1 СПИРТ, Р-Р Д/НАРУЖ,ПРИМ, ФЛ, /ФЛОРА КАВКАЗА/"/>
        <s v="КАНЕФРОН Н №60 ТАБ, П/О"/>
        <s v="КАРДИОМАГНИЛ 75МГ,+15,2МГ, №100 ТАБ,"/>
        <s v="КЕТОРОЛ ЭКСПРЕСС 10МГ, №20 ТАБ, ДИСПЕРГ, /Д-Р РЕДДИС/"/>
        <s v="КЛИНСА БИНТ ВЫСОК,ПЛОТН, СТЕР, 5МХ10СМ И/У"/>
        <s v="КЛИНСА БИНТ ВЫСОК,ПЛОТН, СТЕР, 7МХ14СМ И/У"/>
        <s v="КОНВАЛИС 300МГ, №50 КАПС,"/>
        <s v="КОНКОР 5МГ, №50 ТАБ, П/П/О /МЕРК/"/>
        <s v="КОНКОР КОР 2,5МГ, №30 ТАБ, П/П/О /МЕРК/"/>
        <s v="КОНТЕЙНЕР Д/СБОРА БИОМАТЕРИАЛА 120МЛ, УНИВЕРС, СТЕР, (БАНКА)"/>
        <s v="КОНТЕЙНЕР Д/СБОРА БИОМАТЕРИАЛОВ 125МЛ, СТЕР, ЗАВИН, КРЫШ, И/У"/>
        <s v="КОРВАЛОЛ 25МЛ, КАПЛИ Д/ПРИЕМА ВНУТРЬ ФЛ, И/У /ФАРМСТАНДАРТ ЛЕКСРЕДСТВА/"/>
        <s v="КСИЛЕН 0,1% 10МЛ, №1 НАЗАЛ,КАПЛИ ФЛ,/КАП, /ВЕРОФАРМ/"/>
        <s v="КСИЛЕН 0,1% 20МЛ, №1 НАЗАЛ,КАПЛИ ФЛ,/КАП, /ВЕРОФАРМ/"/>
        <s v="ЛЕВОМЕКОЛЬ 40МГ/Г,+7,5МГ/Г, 40Г, №1 МАЗЬ Д/НАРУЖ,ПРИМ, ТУБА /НИЖФАРМ/"/>
        <s v="ЛЕЙКОПЛАСТЫРЬ БАКТЕР, 2,5Х7,2 №1 /ВЕРОФАРМ/"/>
        <s v="ЛЕЙКОПЛАСТЫРЬ БАКТЕР, 6X10 №1 /ВЕРОФАРМ/"/>
        <s v="ЛЕЙКОПЛАСТЫРЬ БАКТЕР, №20 НАБОР БЕЖ,(ТЕЛ,) /ВЕРОФАРМ/"/>
        <s v="ЛИЗОБАКТ №30 ТАБ, Д/РАСС, СУБЛИН,"/>
        <s v="ЛОПЕРАМИД-АКРИХИН 2МГ, №20 КАПС, /АКРИХИН/"/>
        <s v="ЛОРАТАДИН 10МГ, №30 ТАБ, /ВЕРТЕКС/"/>
        <s v="ЛЮКСПЛАСТ ЛЕЙКОПЛАСТ, БАКТЕР, 19Х72ММ ТКАН, ЭЛ,ТЕЛЕСН, №10 [LUXPLAST]"/>
        <s v="ЛЮКСПЛАСТ ЛЕЙКОПЛАСТ, БАКТЕР, СТАНДАРТ, 19Х72ММ ТКАН, №20 [LUXPLAST]"/>
        <s v="МЕЗИМ-ФОРТЕ №20 ТАБ, П/О /БЕРЛИН-ХЕМИ/"/>
        <s v="МЕНОВАЗИН 40МЛ, №1 СПИРТ, Р-Р Д/НАРУЖ,ПРИМ, ФЛ, /ТУЛЬСКАЯ ФФ/"/>
        <s v="МЕТРОГИЛ 5МГ/МЛ, 100МЛ, №1 Р-Р Д/ИНФ, ФЛ, /ЮНИК/"/>
        <s v="МЕТРОГИЛ ДЕНТА 20Г, №1 ГЕЛЬ СТОМАТ, ТУБА"/>
        <s v="МИГ 400МГ, №20 ТАБ, П/П/О /БЕРЛИН-ХЕМИ/"/>
        <s v="МИРАМИСТИН 0,01% 150МЛ, №1 Р-Р Д/МЕСТ,ПРИМ, ФЛ, С РАСП,"/>
        <s v="МУКАЛТИН 50МГ, №10 ТАБ, /ВИФИТЕХ/"/>
        <s v="МУКАЛТИН РЕНЕВАЛ 50МГ, №20 ТАБ, /ОБНОВЛЕНИЕ/"/>
        <s v="НАЙЗ 100МГ, №20 ТАБ,"/>
        <s v="НАЙЗ 100МГ, №30 ТАБ,"/>
        <s v="НАТРИЯ ХЛОРИД 0,9% 200МЛ, №28 Р-Р Д/ИНФ, БУТ, /МОСФАРМ/"/>
        <s v="НАФТИЗИН 0,1% 15МЛ, НАЗАЛ,КАПЛИ ФЛ,/КАП, /ЛЕККО/"/>
        <s v="НАФТИЗИН 0,1% 15МЛ, НАЗАЛ,КАПЛИ ФЛ,/КАП, /СЛАВЯНСКАЯ АПТЕКА/"/>
        <s v="НИМЕСИЛ 100МГ, 2Г, №30 ГРАН, Д/СУСП, Д/ПРИЕМА ВНУТРЬ ПАК, /ГУИДОТТИ/МЕНАРИНИ/"/>
        <s v="НИМЕСУЛИД 100МГ, №20 ТАБ, /РЕПЛЕКФАРМ/БЕРЕЗОВСКИЙ/"/>
        <s v="НО-ШПА 40МГ, №64 ТАБ, ФЛ, ДОЗАТОР /ХИНОИН/"/>
        <s v="НУРОФЕН ЭКСПРЕСС ФОРТЕ 400МГ, №20 КАПС, /РЕКИТТ БЕНКИЗЕР/"/>
        <s v="ОМЕЗ 20МГ, №30 КАПС, /Д-Р РЕДДИ/"/>
        <s v="ОМЕПРАЗОЛ 20МГ, №30 КАПС, /ПРОИЗВОДСТВО МЕДИКАМЕНТОВ/"/>
        <s v="ОМЕПРАЗОЛ-ТЕВА 20МГ, №28 КАПС, КШ/РАСТВ, /ТЕВА/"/>
        <s v="ОТРИВИН 0,1% 10МЛ, №1 МЕНТОЛ+ЭВКАЛИПТ НАЗАЛ,СПРЕЙ ФЛ, /ГЛАКСО/НОВАРТИС/"/>
        <s v="ПАНКРЕАТИН 25ЕД №60 ТАБ,КШ/РАСТВ, П/О /АВЕКСИМА/"/>
        <s v="ПАНКРЕАТИН 25ЕД №60 ТАБ,КШ/РАСТВ, П/О БЛИСТЕР /БИОСИНТЕЗ/"/>
        <s v="ПАРАЦЕТАМОЛ 500МГ, №20 ТАБ, /ФАРМСТАНДАРТ/"/>
        <s v="ПАРАЦЕТАМОЛ МЕДИСОРБ 500МГ, №30 ТАБ, /МЕДИСОРБ/"/>
        <s v="ПЕНТАЛГИН №12 ТАБ, П/П/О /ОТИСИФАРМ/"/>
        <s v="ПЕНТАЛГИН №24 ТАБ, П/П/О /ОТИСИФАРМ/"/>
        <s v="ПЕРЕКИСЬ ВОДОРОДА 3% 100МЛ, Р-Р ФЛ, ПЛАСТ, /БЕЛМЕДПРЕПАРАТЫ/"/>
        <s v="ПЕРЕКИСЬ ВОДОРОДА 3% 100МЛ, Р-Р ФЛ, ПЛАСТ, /ТУЛЬСКАЯ ФФ/"/>
        <s v="ПЕРЕКИСЬ ВОДОРОДА 3% 200МЛ, Р-Р ФЛ, ПЛАСТ, /ЛЕКАРЬ/"/>
        <s v="ПИПЕТКА ГЛ, ТРАВМОБЕЗ, №1 ФУТ,"/>
        <s v="ПОЛИДЕКСА С ФЕНИЛЭФРИНОМ 15МЛ, НАЗАЛ,СПРЕЙ ФЛ,"/>
        <s v="ПУСТЫРНИКА НАСТОЙКА 25МЛ, ФЛ, /ГИППОКРАТ/"/>
        <s v="РЕНГАЛИН №20 ТАБ, Д/РАСС,"/>
        <s v="РИНОНОРМ-ТЕВА 0,1% 140МКГ/ДОЗА 20МЛ, НАЗАЛ,СПРЕЙ ФЛ, /ТЕВА/"/>
        <s v="РИНОНОРМ-ТЕВА 0,1% 20МЛ, НАЗАЛ,СПРЕЙ ФЛ, /ТЕВА/"/>
        <s v="РИНОСТОП 0,1% 10МЛ, НАЗАЛ,КАПЛИ ФЛ,/КАП, /ОТИСИФАРМ/ЛЕККО/ФАРМСТАНДАРТ ЛЕКСРЕДСТВА/"/>
        <s v="РИНОСТОП 0,1% 15МЛ, НАЗАЛ,СПРЕЙ ФЛ, /ОТИСИФАРМ/ЛЕККО/ФАРМСТАНДАРТ ЛЕКСРЕДСТВА/"/>
        <s v="РОМАШКИ ЦВЕТКИ 1,5Г, №20 ПАК, /КРАСНОГОРСК/"/>
        <s v="СЕНАДЕ 13,5МГ, №500 ТАБ, /ЦИПЛА/"/>
        <s v="СНУП 0,1% 90МКГ/ДОЗА 15МЛ, НАЗАЛ,СПРЕЙ ФЛ, /ШТАДА/"/>
        <s v="СОТАГЕКСАЛ 80МГ, №20 ТАБ, /ГЕКСАЛ АГ/"/>
        <s v="СПАЗГАН №20 ТАБ,"/>
        <s v="СПАЗМАЛГОН №20 ТАБ,"/>
        <s v="СТЭЛМАС ВОДА 0,6Л, Н/ГАЗ, [STELMAS]"/>
        <s v="СТЭЛМАС ВОДА ДЕТСКАЯ 0,6Л, Н/ГАЗ, [STELMAS]"/>
        <s v="СТЭЛМАС ВОДА КИСЛОРОД 0,6Л, Н/ГАЗ, СПОРТ [STELMAS]"/>
        <s v="СТЭЛМАС ВОДА МИН,ЛЕЧ,-СТОЛ, МАГНИЙ 1Л, ГАЗ, [STELMAS]"/>
        <s v="СУЛЬФАЦИЛ-НАТРИЯ АЛЬБУЦИД 20% 10МЛ, №1 ГЛ,КАПЛИ ФЛ,/КАП, /ЛЕККО/"/>
        <s v="СУПРАСТИН 25МГ, №20 ТАБ, /ЭГИС/"/>
        <s v="СФМ ШПРИЦ 2МЛ, 3-Х КОМП, 0,63Х32ММ 23G №10 [SFM]"/>
        <s v="СФМ ШПРИЦ 3МЛ, 3-Х КОМП, 0,6Х30ММ 23G №10 [SFM]"/>
        <s v="СФМ ШПРИЦ 5МЛ, 3-Х КОМП, 0,7Х40ММ 22G №10 [SFM]"/>
        <s v="ТАНТУМ ВЕРДЕ 0,255МКГ/ДОЗА 30МЛ, 176ДОЗ СПРЕЙ Д/МЕСТ,ПРИМ, ДОЗИР, ФЛ,"/>
        <s v="ТАУФОН 4% 10МЛ, №1 ГЛ,КАПЛИ ФЛ,/КАП, /ОТИСИФАРМ/ФАРМСТАНДАРТ/"/>
        <s v="ТЕРАФЛЮ ЛИМОН ОТ ГРИППА И ПРОСТУДЫ 22,1Г, №10 ПОР, Д/Р-РА Д/ПРИЕМА ВНУТРЬ ПАК,"/>
        <s v="ТЕРАФЛЮ ЛИМОН ОТ ГРИППА И ПРОСТУДЫ 22,1Г, №4 ПОР, Д/Р-РА Д/ПРИЕМА ВНУТРЬ ПАК,"/>
        <s v="ТИЗИН КЛАССИК 0,1% 10МЛ, НАЗАЛ,СПРЕЙ ФЛ, /ДЖОНСОН/"/>
        <s v="ТОБРЕКС 0,3% 5МЛ, ГЛ,КАПЛИ ФЛ,/КАП, /АЛКОН/"/>
        <s v="ТРИХОПОЛ 250МГ, №20 ТАБ, /ПОЛЬФАРМА/"/>
        <s v="ТРОКСЕРУТИН ВРАМЕД 2% 40Г, ГЕЛЬ Д/НАРУЖ,ПРИМ, ТУБА /СОФАРМА/"/>
        <s v="УГОЛЬ АКТИВИРОВАННЫЙ 250МГ, №50 ТАБ, /ФАРМСТАНДАРТ ЛЕКСРЕДСТВА/"/>
        <s v="ФЕНИБУТ 250МГ, №20 ТАБ, /БЕЛМЕДПРЕПАРАТЫ/"/>
        <s v="ФЕРРОГЕМАТОГЕН 50Г, ПАСТИЛКА ЖЕВ, (ПЛИТКА)"/>
        <s v="ФЛУКОНАЗОЛ 150МГ, №1 КАПС, /ВЕРТЕКС/"/>
        <s v="ФОСФАЛЮГЕЛЬ 16Г, №20 ГЕЛЬ Д/ПРИЕМА ВНУТРЬ ПАК,"/>
        <s v="ФУРАЦИЛИН 20МГ, №20 ТАБ, Д/Р-РА Д/МЕСТ, И НАРУЖ,ПРИМ, /АВЕКСИМА/"/>
        <s v="ХАРТМАНН КОСМОПОР Е ПОВЯЗКА 10СМХ8СМ №25 П/ОПЕР, САМОКЛ, СТЕР, [HARTMANN COSMOPOR]"/>
        <s v="ХАРТМАНН КОСМОПОР Е ПОВЯЗКА 7,2Х5СМ №50 П/ОПЕР, САМОКЛ, СТЕР, [HARTMANN COSMOPOR]"/>
        <s v="ХЛОРГЕКСИДИН 0,05% 100МЛ, №1 Р-Р Д/МЕСТ, И НАРУЖ,ПРИМ, ФЛ, ПЭТ, /ИВАНОВСКАЯ ФФ/"/>
        <s v="ХЛОРГЕКСИДИН 0,05% 100МЛ, №1 Р-Р Д/МЕСТ, И НАРУЖ,ПРИМ, ФЛ, ПЭТ, /ТУЛЬСКАЯ ФФ/"/>
        <s v="ХЛОРГЕКСИДИН 0,05% 200МЛ, №1 Р-Р Д/МЕСТ, И НАРУЖ,ПРИМ, ФЛ, ПЭТ, /ЛЕКАРЬ/"/>
        <s v="ЦЕТРИН 10МГ, №20 ТАБ, П/П/О /Д-Р РЕДДИ/"/>
        <s v="ЦЕТРИН 10МГ, №30 ТАБ, П/П/О /Д-Р РЕДДИ/"/>
        <s v="ЦЕФАЗОЛИНА НАТРИЕВАЯ СОЛЬ 1Г, №1 ПОР, Д/Р-РА В/В,В/М ФЛ, /БИОСИНТЕЗ/"/>
        <s v="ЦЕФТРИАКСОН 1Г, №1 ПОР, Д/Р-РА Д/В/В,В/М ФЛ, /БЕЛМЕДПРЕПАРАТЫ/"/>
        <s v="ЦЕФТРИАКСОН 1Г, №1 ПОР, Д/Р-РА Д/В/В,В/М ФЛ, /БИОСИНТЕЗ/"/>
        <s v="ЦИПРОЛЕТ 500МГ, №10 ТАБ, П/П/О /Д-Р РЕДДИ/"/>
        <s v="ЦИТРАМОН П №20 ТАБ, /МЕДИСОРБ/"/>
        <s v="ЦИТРАМОН П №20 ТАБ, /ФАРМСТАНДАРТ/"/>
        <s v="ЦИТРАМОН П №30 ТАБ, /МЕДИСОРБ/"/>
        <s v="ЭНТЕРОСГЕЛЬ 225Г, ПАСТА Д/ПРИЕМА ВНУТРЬ ТУБА"/>
      </sharedItems>
    </cacheField>
    <cacheField name="[Measures].[Сумма по столбцу dr_kol]" caption="Сумма по столбцу dr_kol" numFmtId="0" hierarchy="7" level="32767"/>
    <cacheField name="[Measures].[Сумма по столбцу dr_czak]" caption="Сумма по столбцу dr_czak" numFmtId="0" hierarchy="8" level="32767"/>
    <cacheField name="[Measures].[Сумма по столбцу dr_croz]" caption="Сумма по столбцу dr_croz" numFmtId="0" hierarchy="9" level="32767"/>
  </cacheFields>
  <cacheHierarchies count="10">
    <cacheHierarchy uniqueName="[Диапазон].[dr_ndrugs]" caption="dr_ndrugs" attribute="1" defaultMemberUniqueName="[Диапазон].[dr_ndrugs].[All]" allUniqueName="[Диапазон].[dr_ndrugs].[All]" dimensionUniqueName="[Диапазон]" displayFolder="" count="2" memberValueDatatype="130" unbalanced="0">
      <fieldsUsage count="2">
        <fieldUsage x="-1"/>
        <fieldUsage x="0"/>
      </fieldsUsage>
    </cacheHierarchy>
    <cacheHierarchy uniqueName="[Диапазон].[dr_dat]" caption="dr_dat" attribute="1" time="1" defaultMemberUniqueName="[Диапазон].[dr_dat].[All]" allUniqueName="[Диапазон].[dr_dat].[All]" dimensionUniqueName="[Диапазон]" displayFolder="" count="0" memberValueDatatype="7" unbalanced="0"/>
    <cacheHierarchy uniqueName="[Диапазон].[dr_kol]" caption="dr_kol" attribute="1" defaultMemberUniqueName="[Диапазон].[dr_kol].[All]" allUniqueName="[Диапазон].[dr_kol].[All]" dimensionUniqueName="[Диапазон]" displayFolder="" count="0" memberValueDatatype="5" unbalanced="0"/>
    <cacheHierarchy uniqueName="[Диапазон].[dr_czak]" caption="dr_czak" attribute="1" defaultMemberUniqueName="[Диапазон].[dr_czak].[All]" allUniqueName="[Диапазон].[dr_czak].[All]" dimensionUniqueName="[Диапазон]" displayFolder="" count="0" memberValueDatatype="5" unbalanced="0"/>
    <cacheHierarchy uniqueName="[Диапазон].[dr_croz]" caption="dr_croz" attribute="1" defaultMemberUniqueName="[Диапазон].[dr_croz].[All]" allUniqueName="[Диапазон].[dr_croz].[All]" dimensionUniqueName="[Диапазон]" displayFolder="" count="0" memberValueDatatype="5" unbalanced="0"/>
    <cacheHierarchy uniqueName="[Measures].[__XL_Count Диапазон]" caption="__XL_Count Диапазон" measure="1" displayFolder="" measureGroup="Диапазон" count="0" hidden="1"/>
    <cacheHierarchy uniqueName="[Measures].[__No measures defined]" caption="__No measures defined" measure="1" displayFolder="" count="0" hidden="1"/>
    <cacheHierarchy uniqueName="[Measures].[Сумма по столбцу dr_kol]" caption="Сумма по столбцу dr_kol" measure="1" displayFolder="" measureGroup="Диапазон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dr_czak]" caption="Сумма по столбцу dr_czak" measure="1" displayFolder="" measureGroup="Диапазон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dr_croz]" caption="Сумма по столбцу dr_croz" measure="1" displayFolder="" measureGroup="Диапазон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Диапазон" uniqueName="[Диапазон]" caption="Диапазон"/>
  </dimensions>
  <measureGroups count="1">
    <measureGroup name="Диапазон" caption="Диапазон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ртур Кидрячев" refreshedDate="45985.728699189815" createdVersion="7" refreshedVersion="7" minRefreshableVersion="3" recordCount="158" xr:uid="{19761F0B-EDD1-4AA9-8BA6-BAB7AD067B87}">
  <cacheSource type="worksheet">
    <worksheetSource ref="Q1:Q1048576" sheet="ABC-XYZ"/>
  </cacheSource>
  <cacheFields count="1">
    <cacheField name="ABC" numFmtId="0">
      <sharedItems containsBlank="1" count="26">
        <s v="AAA"/>
        <s v="AAB"/>
        <s v="AAC"/>
        <s v="ABA"/>
        <s v="ABB"/>
        <s v="ACA"/>
        <s v="ACB"/>
        <s v="ACC"/>
        <s v="BAA"/>
        <s v="BAB"/>
        <s v="BAC"/>
        <s v="BBA"/>
        <s v="BBB"/>
        <s v="BBC"/>
        <s v="BCA"/>
        <s v="BCB"/>
        <s v="BCC"/>
        <s v="CAA"/>
        <s v="CAB"/>
        <s v="CAC"/>
        <s v="CBA"/>
        <s v="CBB"/>
        <s v="CBC"/>
        <s v="CCA"/>
        <s v="CC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63">
  <r>
    <x v="0"/>
    <d v="2022-06-09T00:00:00"/>
    <n v="1"/>
    <n v="130.15"/>
    <n v="157"/>
  </r>
  <r>
    <x v="1"/>
    <d v="2022-06-09T00:00:00"/>
    <n v="0.4"/>
    <n v="458.65"/>
    <n v="574"/>
  </r>
  <r>
    <x v="2"/>
    <d v="2022-06-09T00:00:00"/>
    <n v="1"/>
    <n v="88.43"/>
    <n v="110"/>
  </r>
  <r>
    <x v="3"/>
    <d v="2022-06-09T00:00:00"/>
    <n v="1"/>
    <n v="47.67"/>
    <n v="77"/>
  </r>
  <r>
    <x v="4"/>
    <d v="2022-06-09T00:00:00"/>
    <n v="1"/>
    <n v="80.69"/>
    <n v="98"/>
  </r>
  <r>
    <x v="5"/>
    <d v="2022-06-09T00:00:00"/>
    <n v="1"/>
    <n v="11.1"/>
    <n v="13"/>
  </r>
  <r>
    <x v="6"/>
    <d v="2022-06-09T00:00:00"/>
    <n v="1"/>
    <n v="24.2"/>
    <n v="40"/>
  </r>
  <r>
    <x v="2"/>
    <d v="2022-06-09T00:00:00"/>
    <n v="1"/>
    <n v="88.43"/>
    <n v="110"/>
  </r>
  <r>
    <x v="7"/>
    <d v="2022-06-09T00:00:00"/>
    <n v="1"/>
    <n v="56.98"/>
    <n v="72"/>
  </r>
  <r>
    <x v="3"/>
    <d v="2022-06-09T00:00:00"/>
    <n v="1"/>
    <n v="47.67"/>
    <n v="77"/>
  </r>
  <r>
    <x v="8"/>
    <d v="2022-06-09T00:00:00"/>
    <n v="1"/>
    <n v="119.06"/>
    <n v="146"/>
  </r>
  <r>
    <x v="9"/>
    <d v="2022-06-09T00:00:00"/>
    <n v="1"/>
    <n v="429.41"/>
    <n v="580"/>
  </r>
  <r>
    <x v="10"/>
    <d v="2022-06-09T00:00:00"/>
    <n v="1"/>
    <n v="50.1"/>
    <n v="81"/>
  </r>
  <r>
    <x v="11"/>
    <d v="2022-06-09T00:00:00"/>
    <n v="1"/>
    <n v="34.51"/>
    <n v="54"/>
  </r>
  <r>
    <x v="12"/>
    <d v="2022-06-09T00:00:00"/>
    <n v="1"/>
    <n v="388.58"/>
    <n v="467"/>
  </r>
  <r>
    <x v="13"/>
    <d v="2022-06-09T00:00:00"/>
    <n v="1"/>
    <n v="46.05"/>
    <n v="72"/>
  </r>
  <r>
    <x v="3"/>
    <d v="2022-06-09T00:00:00"/>
    <n v="1"/>
    <n v="47.67"/>
    <n v="77"/>
  </r>
  <r>
    <x v="14"/>
    <d v="2022-06-09T00:00:00"/>
    <n v="1"/>
    <n v="81.290000000000006"/>
    <n v="103"/>
  </r>
  <r>
    <x v="15"/>
    <d v="2022-06-09T00:00:00"/>
    <n v="1"/>
    <n v="20.72"/>
    <n v="27"/>
  </r>
  <r>
    <x v="1"/>
    <d v="2022-06-09T00:00:00"/>
    <n v="0.2"/>
    <n v="460.66"/>
    <n v="576"/>
  </r>
  <r>
    <x v="16"/>
    <d v="2022-06-09T00:00:00"/>
    <n v="1"/>
    <n v="190.59"/>
    <n v="262"/>
  </r>
  <r>
    <x v="16"/>
    <d v="2022-06-09T00:00:00"/>
    <n v="1"/>
    <n v="190.59"/>
    <n v="262"/>
  </r>
  <r>
    <x v="17"/>
    <d v="2022-06-09T00:00:00"/>
    <n v="1"/>
    <n v="30.3"/>
    <n v="49"/>
  </r>
  <r>
    <x v="8"/>
    <d v="2022-06-09T00:00:00"/>
    <n v="1"/>
    <n v="119.06"/>
    <n v="146"/>
  </r>
  <r>
    <x v="18"/>
    <d v="2022-06-09T00:00:00"/>
    <n v="1"/>
    <n v="110.51"/>
    <n v="124"/>
  </r>
  <r>
    <x v="13"/>
    <d v="2022-06-09T00:00:00"/>
    <n v="1"/>
    <n v="46"/>
    <n v="70"/>
  </r>
  <r>
    <x v="14"/>
    <d v="2022-06-09T00:00:00"/>
    <n v="1"/>
    <n v="81.290000000000006"/>
    <n v="103"/>
  </r>
  <r>
    <x v="4"/>
    <d v="2022-06-09T00:00:00"/>
    <n v="1"/>
    <n v="80.69"/>
    <n v="100"/>
  </r>
  <r>
    <x v="19"/>
    <d v="2022-06-09T00:00:00"/>
    <n v="1"/>
    <n v="101.95"/>
    <n v="120"/>
  </r>
  <r>
    <x v="19"/>
    <d v="2022-06-09T00:00:00"/>
    <n v="1"/>
    <n v="101.95"/>
    <n v="120"/>
  </r>
  <r>
    <x v="19"/>
    <d v="2022-06-09T00:00:00"/>
    <n v="1"/>
    <n v="101.95"/>
    <n v="120"/>
  </r>
  <r>
    <x v="20"/>
    <d v="2022-06-09T00:00:00"/>
    <n v="1"/>
    <n v="147.18"/>
    <n v="176"/>
  </r>
  <r>
    <x v="21"/>
    <d v="2022-06-09T00:00:00"/>
    <n v="0.3"/>
    <n v="979.4"/>
    <n v="1225"/>
  </r>
  <r>
    <x v="22"/>
    <d v="2022-06-09T00:00:00"/>
    <n v="1"/>
    <n v="101.57"/>
    <n v="156"/>
  </r>
  <r>
    <x v="23"/>
    <d v="2022-06-09T00:00:00"/>
    <n v="1"/>
    <n v="148.91"/>
    <n v="202"/>
  </r>
  <r>
    <x v="17"/>
    <d v="2022-06-09T00:00:00"/>
    <n v="1"/>
    <n v="30.3"/>
    <n v="49"/>
  </r>
  <r>
    <x v="24"/>
    <d v="2022-06-09T00:00:00"/>
    <n v="1"/>
    <n v="473.35"/>
    <n v="640"/>
  </r>
  <r>
    <x v="25"/>
    <d v="2022-06-09T00:00:00"/>
    <n v="1"/>
    <n v="157.62"/>
    <n v="187"/>
  </r>
  <r>
    <x v="26"/>
    <d v="2022-06-09T00:00:00"/>
    <n v="1"/>
    <n v="13.26"/>
    <n v="18"/>
  </r>
  <r>
    <x v="26"/>
    <d v="2022-06-09T00:00:00"/>
    <n v="1"/>
    <n v="13.26"/>
    <n v="18"/>
  </r>
  <r>
    <x v="26"/>
    <d v="2022-06-09T00:00:00"/>
    <n v="1"/>
    <n v="13.26"/>
    <n v="18"/>
  </r>
  <r>
    <x v="26"/>
    <d v="2022-06-09T00:00:00"/>
    <n v="1"/>
    <n v="13.26"/>
    <n v="18"/>
  </r>
  <r>
    <x v="26"/>
    <d v="2022-06-09T00:00:00"/>
    <n v="1"/>
    <n v="13.26"/>
    <n v="18"/>
  </r>
  <r>
    <x v="26"/>
    <d v="2022-06-09T00:00:00"/>
    <n v="1"/>
    <n v="13.26"/>
    <n v="18"/>
  </r>
  <r>
    <x v="20"/>
    <d v="2022-06-09T00:00:00"/>
    <n v="1"/>
    <n v="146.85"/>
    <n v="177"/>
  </r>
  <r>
    <x v="27"/>
    <d v="2022-06-09T00:00:00"/>
    <n v="1.5"/>
    <n v="99.21"/>
    <n v="154"/>
  </r>
  <r>
    <x v="28"/>
    <d v="2022-06-09T00:00:00"/>
    <n v="1"/>
    <n v="20.84"/>
    <n v="26"/>
  </r>
  <r>
    <x v="29"/>
    <d v="2022-06-09T00:00:00"/>
    <n v="1"/>
    <n v="202.48"/>
    <n v="233"/>
  </r>
  <r>
    <x v="6"/>
    <d v="2022-06-09T00:00:00"/>
    <n v="1"/>
    <n v="24.2"/>
    <n v="39"/>
  </r>
  <r>
    <x v="30"/>
    <d v="2022-06-09T00:00:00"/>
    <n v="1"/>
    <n v="31.99"/>
    <n v="49"/>
  </r>
  <r>
    <x v="17"/>
    <d v="2022-06-09T00:00:00"/>
    <n v="1"/>
    <n v="30.3"/>
    <n v="50"/>
  </r>
  <r>
    <x v="31"/>
    <d v="2022-06-09T00:00:00"/>
    <n v="1"/>
    <n v="26.53"/>
    <n v="34"/>
  </r>
  <r>
    <x v="31"/>
    <d v="2022-06-09T00:00:00"/>
    <n v="1"/>
    <n v="26.53"/>
    <n v="34"/>
  </r>
  <r>
    <x v="15"/>
    <d v="2022-06-09T00:00:00"/>
    <n v="1"/>
    <n v="20.72"/>
    <n v="27"/>
  </r>
  <r>
    <x v="7"/>
    <d v="2022-06-09T00:00:00"/>
    <n v="1"/>
    <n v="56.41"/>
    <n v="70"/>
  </r>
  <r>
    <x v="32"/>
    <d v="2022-06-09T00:00:00"/>
    <n v="1"/>
    <n v="48.85"/>
    <n v="62"/>
  </r>
  <r>
    <x v="32"/>
    <d v="2022-06-09T00:00:00"/>
    <n v="1"/>
    <n v="48.85"/>
    <n v="62"/>
  </r>
  <r>
    <x v="33"/>
    <d v="2022-06-09T00:00:00"/>
    <n v="1"/>
    <n v="34.450000000000003"/>
    <n v="55"/>
  </r>
  <r>
    <x v="34"/>
    <d v="2022-06-09T00:00:00"/>
    <n v="1"/>
    <n v="9.8800000000000008"/>
    <n v="16"/>
  </r>
  <r>
    <x v="35"/>
    <d v="2022-06-09T00:00:00"/>
    <n v="1"/>
    <n v="174.03"/>
    <n v="212"/>
  </r>
  <r>
    <x v="20"/>
    <d v="2022-06-09T00:00:00"/>
    <n v="1"/>
    <n v="147.29"/>
    <n v="177"/>
  </r>
  <r>
    <x v="8"/>
    <d v="2022-06-09T00:00:00"/>
    <n v="1"/>
    <n v="119.04"/>
    <n v="143"/>
  </r>
  <r>
    <x v="36"/>
    <d v="2022-06-09T00:00:00"/>
    <n v="3"/>
    <n v="11.05"/>
    <n v="18"/>
  </r>
  <r>
    <x v="37"/>
    <d v="2022-06-09T00:00:00"/>
    <n v="1"/>
    <n v="566.04"/>
    <n v="651"/>
  </r>
  <r>
    <x v="7"/>
    <d v="2022-06-09T00:00:00"/>
    <n v="1"/>
    <n v="55.68"/>
    <n v="69"/>
  </r>
  <r>
    <x v="2"/>
    <d v="2022-06-09T00:00:00"/>
    <n v="1"/>
    <n v="87.78"/>
    <n v="105"/>
  </r>
  <r>
    <x v="38"/>
    <d v="2022-06-09T00:00:00"/>
    <n v="1"/>
    <n v="133.83000000000001"/>
    <n v="161"/>
  </r>
  <r>
    <x v="39"/>
    <d v="2022-06-09T00:00:00"/>
    <n v="1"/>
    <n v="60.58"/>
    <n v="100"/>
  </r>
  <r>
    <x v="22"/>
    <d v="2022-06-09T00:00:00"/>
    <n v="1"/>
    <n v="101.57"/>
    <n v="156"/>
  </r>
  <r>
    <x v="40"/>
    <d v="2022-06-09T00:00:00"/>
    <n v="2"/>
    <n v="26.54"/>
    <n v="43"/>
  </r>
  <r>
    <x v="11"/>
    <d v="2022-06-09T00:00:00"/>
    <n v="1"/>
    <n v="46.01"/>
    <n v="72"/>
  </r>
  <r>
    <x v="41"/>
    <d v="2022-06-09T00:00:00"/>
    <n v="1"/>
    <n v="18.79"/>
    <n v="23"/>
  </r>
  <r>
    <x v="42"/>
    <d v="2022-06-09T00:00:00"/>
    <n v="1"/>
    <n v="43.73"/>
    <n v="68"/>
  </r>
  <r>
    <x v="43"/>
    <d v="2022-06-09T00:00:00"/>
    <n v="1"/>
    <n v="39.92"/>
    <n v="63"/>
  </r>
  <r>
    <x v="44"/>
    <d v="2022-06-09T00:00:00"/>
    <n v="1"/>
    <n v="15.8"/>
    <n v="19"/>
  </r>
  <r>
    <x v="45"/>
    <d v="2022-06-09T00:00:00"/>
    <n v="1"/>
    <n v="43.92"/>
    <n v="55"/>
  </r>
  <r>
    <x v="31"/>
    <d v="2022-06-09T00:00:00"/>
    <n v="1"/>
    <n v="26.53"/>
    <n v="34"/>
  </r>
  <r>
    <x v="46"/>
    <d v="2022-06-09T00:00:00"/>
    <n v="10"/>
    <n v="2.29"/>
    <n v="4"/>
  </r>
  <r>
    <x v="47"/>
    <d v="2022-06-09T00:00:00"/>
    <n v="1"/>
    <n v="205.69"/>
    <n v="247"/>
  </r>
  <r>
    <x v="48"/>
    <d v="2022-06-09T00:00:00"/>
    <n v="1"/>
    <n v="23.4"/>
    <n v="38"/>
  </r>
  <r>
    <x v="49"/>
    <d v="2022-06-09T00:00:00"/>
    <n v="1"/>
    <n v="643.5"/>
    <n v="831"/>
  </r>
  <r>
    <x v="50"/>
    <d v="2022-06-09T00:00:00"/>
    <n v="1"/>
    <n v="77.45"/>
    <n v="95"/>
  </r>
  <r>
    <x v="3"/>
    <d v="2022-06-09T00:00:00"/>
    <n v="1"/>
    <n v="47.67"/>
    <n v="77"/>
  </r>
  <r>
    <x v="5"/>
    <d v="2022-06-09T00:00:00"/>
    <n v="1"/>
    <n v="11.1"/>
    <n v="13"/>
  </r>
  <r>
    <x v="28"/>
    <d v="2022-06-09T00:00:00"/>
    <n v="1"/>
    <n v="21.25"/>
    <n v="25"/>
  </r>
  <r>
    <x v="28"/>
    <d v="2022-06-09T00:00:00"/>
    <n v="1"/>
    <n v="21.25"/>
    <n v="25"/>
  </r>
  <r>
    <x v="28"/>
    <d v="2022-06-09T00:00:00"/>
    <n v="1"/>
    <n v="21.25"/>
    <n v="25"/>
  </r>
  <r>
    <x v="28"/>
    <d v="2022-06-09T00:00:00"/>
    <n v="1"/>
    <n v="21.25"/>
    <n v="25"/>
  </r>
  <r>
    <x v="28"/>
    <d v="2022-06-09T00:00:00"/>
    <n v="1"/>
    <n v="21.25"/>
    <n v="25"/>
  </r>
  <r>
    <x v="51"/>
    <d v="2022-06-09T00:00:00"/>
    <n v="1"/>
    <n v="44.56"/>
    <n v="68"/>
  </r>
  <r>
    <x v="40"/>
    <d v="2022-06-09T00:00:00"/>
    <n v="5"/>
    <n v="28.82"/>
    <n v="50"/>
  </r>
  <r>
    <x v="0"/>
    <d v="2022-06-09T00:00:00"/>
    <n v="1"/>
    <n v="130.04"/>
    <n v="157"/>
  </r>
  <r>
    <x v="52"/>
    <d v="2022-06-09T00:00:00"/>
    <n v="1"/>
    <n v="239.58"/>
    <n v="281"/>
  </r>
  <r>
    <x v="53"/>
    <d v="2022-06-09T00:00:00"/>
    <n v="1"/>
    <n v="60.5"/>
    <n v="73"/>
  </r>
  <r>
    <x v="36"/>
    <d v="2022-06-09T00:00:00"/>
    <n v="4"/>
    <n v="10.9"/>
    <n v="18"/>
  </r>
  <r>
    <x v="25"/>
    <d v="2022-06-09T00:00:00"/>
    <n v="1"/>
    <n v="156.19999999999999"/>
    <n v="186"/>
  </r>
  <r>
    <x v="50"/>
    <d v="2022-06-09T00:00:00"/>
    <n v="1"/>
    <n v="77.45"/>
    <n v="95"/>
  </r>
  <r>
    <x v="43"/>
    <d v="2022-06-09T00:00:00"/>
    <n v="1"/>
    <n v="38.99"/>
    <n v="60"/>
  </r>
  <r>
    <x v="44"/>
    <d v="2022-06-09T00:00:00"/>
    <n v="1"/>
    <n v="15.82"/>
    <n v="20"/>
  </r>
  <r>
    <x v="54"/>
    <d v="2022-06-09T00:00:00"/>
    <n v="1"/>
    <n v="14.76"/>
    <n v="24"/>
  </r>
  <r>
    <x v="21"/>
    <d v="2022-06-09T00:00:00"/>
    <n v="0.2"/>
    <n v="984.65"/>
    <n v="1271"/>
  </r>
  <r>
    <x v="18"/>
    <d v="2022-06-09T00:00:00"/>
    <n v="1"/>
    <n v="110.21"/>
    <n v="124"/>
  </r>
  <r>
    <x v="55"/>
    <d v="2022-06-09T00:00:00"/>
    <n v="1"/>
    <n v="58.06"/>
    <n v="72"/>
  </r>
  <r>
    <x v="38"/>
    <d v="2022-06-09T00:00:00"/>
    <n v="1"/>
    <n v="135.76"/>
    <n v="163"/>
  </r>
  <r>
    <x v="56"/>
    <d v="2022-06-09T00:00:00"/>
    <n v="1"/>
    <n v="32.78"/>
    <n v="50"/>
  </r>
  <r>
    <x v="17"/>
    <d v="2022-06-09T00:00:00"/>
    <n v="2"/>
    <n v="30.3"/>
    <n v="50"/>
  </r>
  <r>
    <x v="7"/>
    <d v="2022-06-09T00:00:00"/>
    <n v="1"/>
    <n v="56.03"/>
    <n v="70"/>
  </r>
  <r>
    <x v="57"/>
    <d v="2022-06-09T00:00:00"/>
    <n v="1"/>
    <n v="25.71"/>
    <n v="31"/>
  </r>
  <r>
    <x v="19"/>
    <d v="2022-06-09T00:00:00"/>
    <n v="1"/>
    <n v="101.95"/>
    <n v="122"/>
  </r>
  <r>
    <x v="58"/>
    <d v="2022-06-09T00:00:00"/>
    <n v="1"/>
    <n v="73.3"/>
    <n v="88"/>
  </r>
  <r>
    <x v="59"/>
    <d v="2022-06-09T00:00:00"/>
    <n v="1"/>
    <n v="200.69"/>
    <n v="267"/>
  </r>
  <r>
    <x v="57"/>
    <d v="2022-06-09T00:00:00"/>
    <n v="1"/>
    <n v="25.71"/>
    <n v="31"/>
  </r>
  <r>
    <x v="57"/>
    <d v="2022-06-09T00:00:00"/>
    <n v="1"/>
    <n v="25.47"/>
    <n v="31"/>
  </r>
  <r>
    <x v="60"/>
    <d v="2022-06-09T00:00:00"/>
    <n v="1"/>
    <n v="187.74"/>
    <n v="239"/>
  </r>
  <r>
    <x v="61"/>
    <d v="2022-06-09T00:00:00"/>
    <n v="1"/>
    <n v="31.08"/>
    <n v="36"/>
  </r>
  <r>
    <x v="61"/>
    <d v="2022-06-09T00:00:00"/>
    <n v="1"/>
    <n v="31.08"/>
    <n v="36"/>
  </r>
  <r>
    <x v="62"/>
    <d v="2022-06-09T00:00:00"/>
    <n v="1"/>
    <n v="55.64"/>
    <n v="79"/>
  </r>
  <r>
    <x v="62"/>
    <d v="2022-06-09T00:00:00"/>
    <n v="1"/>
    <n v="54.32"/>
    <n v="78"/>
  </r>
  <r>
    <x v="34"/>
    <d v="2022-06-09T00:00:00"/>
    <n v="5"/>
    <n v="8.58"/>
    <n v="14"/>
  </r>
  <r>
    <x v="44"/>
    <d v="2022-06-09T00:00:00"/>
    <n v="1"/>
    <n v="15.41"/>
    <n v="19"/>
  </r>
  <r>
    <x v="30"/>
    <d v="2022-06-09T00:00:00"/>
    <n v="1"/>
    <n v="32.71"/>
    <n v="50"/>
  </r>
  <r>
    <x v="63"/>
    <d v="2022-06-09T00:00:00"/>
    <n v="1"/>
    <n v="52.91"/>
    <n v="76"/>
  </r>
  <r>
    <x v="61"/>
    <d v="2022-06-09T00:00:00"/>
    <n v="1"/>
    <n v="30.56"/>
    <n v="36"/>
  </r>
  <r>
    <x v="61"/>
    <d v="2022-06-09T00:00:00"/>
    <n v="1"/>
    <n v="30.56"/>
    <n v="36"/>
  </r>
  <r>
    <x v="61"/>
    <d v="2022-06-09T00:00:00"/>
    <n v="1"/>
    <n v="30.56"/>
    <n v="36"/>
  </r>
  <r>
    <x v="61"/>
    <d v="2022-06-09T00:00:00"/>
    <n v="1"/>
    <n v="30.56"/>
    <n v="36"/>
  </r>
  <r>
    <x v="61"/>
    <d v="2022-06-09T00:00:00"/>
    <n v="1"/>
    <n v="30.56"/>
    <n v="36"/>
  </r>
  <r>
    <x v="61"/>
    <d v="2022-06-09T00:00:00"/>
    <n v="1"/>
    <n v="30.56"/>
    <n v="36"/>
  </r>
  <r>
    <x v="57"/>
    <d v="2022-06-09T00:00:00"/>
    <n v="1"/>
    <n v="25.47"/>
    <n v="31"/>
  </r>
  <r>
    <x v="15"/>
    <d v="2022-06-09T00:00:00"/>
    <n v="1"/>
    <n v="20.77"/>
    <n v="26"/>
  </r>
  <r>
    <x v="15"/>
    <d v="2022-06-09T00:00:00"/>
    <n v="1"/>
    <n v="20.77"/>
    <n v="26"/>
  </r>
  <r>
    <x v="34"/>
    <d v="2022-06-09T00:00:00"/>
    <n v="3"/>
    <n v="35.409999999999997"/>
    <n v="61"/>
  </r>
  <r>
    <x v="30"/>
    <d v="2022-06-09T00:00:00"/>
    <n v="1"/>
    <n v="32.71"/>
    <n v="50"/>
  </r>
  <r>
    <x v="64"/>
    <d v="2022-06-09T00:00:00"/>
    <n v="1"/>
    <n v="19.989999999999998"/>
    <n v="24"/>
  </r>
  <r>
    <x v="65"/>
    <d v="2022-06-09T00:00:00"/>
    <n v="1"/>
    <n v="166.31"/>
    <n v="200"/>
  </r>
  <r>
    <x v="21"/>
    <d v="2022-06-09T00:00:00"/>
    <n v="0.36666700000000002"/>
    <n v="959.3"/>
    <n v="1315"/>
  </r>
  <r>
    <x v="21"/>
    <d v="2022-06-09T00:00:00"/>
    <n v="0.3"/>
    <n v="979.4"/>
    <n v="1342"/>
  </r>
  <r>
    <x v="3"/>
    <d v="2022-06-09T00:00:00"/>
    <n v="1"/>
    <n v="47.72"/>
    <n v="78"/>
  </r>
  <r>
    <x v="10"/>
    <d v="2022-06-09T00:00:00"/>
    <n v="1"/>
    <n v="50.1"/>
    <n v="79"/>
  </r>
  <r>
    <x v="14"/>
    <d v="2022-06-09T00:00:00"/>
    <n v="1"/>
    <n v="81.790000000000006"/>
    <n v="102"/>
  </r>
  <r>
    <x v="14"/>
    <d v="2022-06-09T00:00:00"/>
    <n v="1"/>
    <n v="81.790000000000006"/>
    <n v="102"/>
  </r>
  <r>
    <x v="58"/>
    <d v="2022-06-09T00:00:00"/>
    <n v="1"/>
    <n v="73.510000000000005"/>
    <n v="89"/>
  </r>
  <r>
    <x v="58"/>
    <d v="2022-06-09T00:00:00"/>
    <n v="1"/>
    <n v="73.510000000000005"/>
    <n v="89"/>
  </r>
  <r>
    <x v="47"/>
    <d v="2022-06-09T00:00:00"/>
    <n v="1"/>
    <n v="202.48"/>
    <n v="243"/>
  </r>
  <r>
    <x v="66"/>
    <d v="2022-06-09T00:00:00"/>
    <n v="1"/>
    <n v="54.06"/>
    <n v="77"/>
  </r>
  <r>
    <x v="67"/>
    <d v="2022-06-09T00:00:00"/>
    <n v="1"/>
    <n v="556.51"/>
    <n v="735"/>
  </r>
  <r>
    <x v="65"/>
    <d v="2022-06-09T00:00:00"/>
    <n v="1"/>
    <n v="164.67"/>
    <n v="210"/>
  </r>
  <r>
    <x v="53"/>
    <d v="2022-06-09T00:00:00"/>
    <n v="1"/>
    <n v="84.36"/>
    <n v="102"/>
  </r>
  <r>
    <x v="53"/>
    <d v="2022-06-09T00:00:00"/>
    <n v="1"/>
    <n v="84.36"/>
    <n v="102"/>
  </r>
  <r>
    <x v="58"/>
    <d v="2022-06-09T00:00:00"/>
    <n v="1"/>
    <n v="73.3"/>
    <n v="88"/>
  </r>
  <r>
    <x v="58"/>
    <d v="2022-06-09T00:00:00"/>
    <n v="1"/>
    <n v="73.3"/>
    <n v="88"/>
  </r>
  <r>
    <x v="34"/>
    <d v="2022-06-09T00:00:00"/>
    <n v="2"/>
    <n v="8.58"/>
    <n v="14"/>
  </r>
  <r>
    <x v="57"/>
    <d v="2022-06-09T00:00:00"/>
    <n v="1"/>
    <n v="25.7"/>
    <n v="31"/>
  </r>
  <r>
    <x v="57"/>
    <d v="2022-06-09T00:00:00"/>
    <n v="1"/>
    <n v="25.7"/>
    <n v="31"/>
  </r>
  <r>
    <x v="57"/>
    <d v="2022-06-09T00:00:00"/>
    <n v="1"/>
    <n v="25.7"/>
    <n v="31"/>
  </r>
  <r>
    <x v="57"/>
    <d v="2022-06-09T00:00:00"/>
    <n v="1"/>
    <n v="25.7"/>
    <n v="31"/>
  </r>
  <r>
    <x v="2"/>
    <d v="2022-06-09T00:00:00"/>
    <n v="1"/>
    <n v="87.78"/>
    <n v="105"/>
  </r>
  <r>
    <x v="2"/>
    <d v="2022-06-09T00:00:00"/>
    <n v="1"/>
    <n v="87.78"/>
    <n v="105"/>
  </r>
  <r>
    <x v="33"/>
    <d v="2022-06-09T00:00:00"/>
    <n v="1"/>
    <n v="27.64"/>
    <n v="43"/>
  </r>
  <r>
    <x v="14"/>
    <d v="2022-06-09T00:00:00"/>
    <n v="1"/>
    <n v="81.73"/>
    <n v="102"/>
  </r>
  <r>
    <x v="14"/>
    <d v="2022-06-09T00:00:00"/>
    <n v="1"/>
    <n v="81.73"/>
    <n v="102"/>
  </r>
  <r>
    <x v="14"/>
    <d v="2022-06-09T00:00:00"/>
    <n v="1"/>
    <n v="81.790000000000006"/>
    <n v="102"/>
  </r>
  <r>
    <x v="55"/>
    <d v="2022-06-09T00:00:00"/>
    <n v="1"/>
    <n v="60.4"/>
    <n v="74"/>
  </r>
  <r>
    <x v="14"/>
    <d v="2022-06-09T00:00:00"/>
    <n v="1"/>
    <n v="81.58"/>
    <n v="102"/>
  </r>
  <r>
    <x v="14"/>
    <d v="2022-06-09T00:00:00"/>
    <n v="1"/>
    <n v="82.34"/>
    <n v="103"/>
  </r>
  <r>
    <x v="14"/>
    <d v="2022-06-09T00:00:00"/>
    <n v="1"/>
    <n v="82.34"/>
    <n v="103"/>
  </r>
  <r>
    <x v="19"/>
    <d v="2022-06-09T00:00:00"/>
    <n v="1"/>
    <n v="101.95"/>
    <n v="120"/>
  </r>
  <r>
    <x v="68"/>
    <d v="2022-06-09T00:00:00"/>
    <n v="1"/>
    <n v="7.82"/>
    <n v="13"/>
  </r>
  <r>
    <x v="69"/>
    <d v="2022-06-09T00:00:00"/>
    <n v="1"/>
    <n v="89.28"/>
    <n v="111"/>
  </r>
  <r>
    <x v="70"/>
    <d v="2022-06-09T00:00:00"/>
    <n v="0.42"/>
    <n v="468.33"/>
    <n v="712"/>
  </r>
  <r>
    <x v="21"/>
    <d v="2022-06-09T00:00:00"/>
    <n v="0.2"/>
    <n v="1026.1199999999999"/>
    <n v="1283"/>
  </r>
  <r>
    <x v="3"/>
    <d v="2022-06-09T00:00:00"/>
    <n v="1"/>
    <n v="42.71"/>
    <n v="70"/>
  </r>
  <r>
    <x v="57"/>
    <d v="2022-06-09T00:00:00"/>
    <n v="1"/>
    <n v="25.7"/>
    <n v="31"/>
  </r>
  <r>
    <x v="1"/>
    <d v="2022-06-09T00:00:00"/>
    <n v="0.2"/>
    <n v="460.66"/>
    <n v="576"/>
  </r>
  <r>
    <x v="71"/>
    <d v="2022-06-09T00:00:00"/>
    <n v="1"/>
    <n v="30.8"/>
    <n v="38"/>
  </r>
  <r>
    <x v="72"/>
    <d v="2022-06-09T00:00:00"/>
    <n v="1"/>
    <n v="60.61"/>
    <n v="76"/>
  </r>
  <r>
    <x v="72"/>
    <d v="2022-06-09T00:00:00"/>
    <n v="1"/>
    <n v="60.61"/>
    <n v="76"/>
  </r>
  <r>
    <x v="20"/>
    <d v="2022-06-09T00:00:00"/>
    <n v="1"/>
    <n v="146.85"/>
    <n v="177"/>
  </r>
  <r>
    <x v="73"/>
    <d v="2022-06-09T00:00:00"/>
    <n v="1"/>
    <n v="71.36"/>
    <n v="90"/>
  </r>
  <r>
    <x v="74"/>
    <d v="2022-06-09T00:00:00"/>
    <n v="1"/>
    <n v="148.5"/>
    <n v="177"/>
  </r>
  <r>
    <x v="25"/>
    <d v="2022-06-09T00:00:00"/>
    <n v="1"/>
    <n v="156.19999999999999"/>
    <n v="186"/>
  </r>
  <r>
    <x v="75"/>
    <d v="2022-06-09T00:00:00"/>
    <n v="1"/>
    <n v="22.17"/>
    <n v="34"/>
  </r>
  <r>
    <x v="60"/>
    <d v="2022-06-09T00:00:00"/>
    <n v="1"/>
    <n v="186.96"/>
    <n v="238"/>
  </r>
  <r>
    <x v="76"/>
    <d v="2022-06-09T00:00:00"/>
    <n v="1"/>
    <n v="40.15"/>
    <n v="49"/>
  </r>
  <r>
    <x v="58"/>
    <d v="2022-06-09T00:00:00"/>
    <n v="1"/>
    <n v="73.91"/>
    <n v="93"/>
  </r>
  <r>
    <x v="77"/>
    <d v="2022-06-09T00:00:00"/>
    <n v="1"/>
    <n v="34.270000000000003"/>
    <n v="43"/>
  </r>
  <r>
    <x v="13"/>
    <d v="2022-06-09T00:00:00"/>
    <n v="1"/>
    <n v="46"/>
    <n v="70"/>
  </r>
  <r>
    <x v="14"/>
    <d v="2022-06-09T00:00:00"/>
    <n v="1"/>
    <n v="82.34"/>
    <n v="103"/>
  </r>
  <r>
    <x v="0"/>
    <d v="2022-06-09T00:00:00"/>
    <n v="1"/>
    <n v="146.1"/>
    <n v="173"/>
  </r>
  <r>
    <x v="19"/>
    <d v="2022-06-09T00:00:00"/>
    <n v="1"/>
    <n v="101.95"/>
    <n v="120"/>
  </r>
  <r>
    <x v="11"/>
    <d v="2022-06-09T00:00:00"/>
    <n v="1"/>
    <n v="44.1"/>
    <n v="68"/>
  </r>
  <r>
    <x v="2"/>
    <d v="2022-06-09T00:00:00"/>
    <n v="1"/>
    <n v="87.78"/>
    <n v="105"/>
  </r>
  <r>
    <x v="2"/>
    <d v="2022-06-09T00:00:00"/>
    <n v="1"/>
    <n v="88.86"/>
    <n v="104"/>
  </r>
  <r>
    <x v="2"/>
    <d v="2022-06-09T00:00:00"/>
    <n v="1"/>
    <n v="88.86"/>
    <n v="104"/>
  </r>
  <r>
    <x v="21"/>
    <d v="2022-06-09T00:00:00"/>
    <n v="0.1"/>
    <n v="991.65"/>
    <n v="1240"/>
  </r>
  <r>
    <x v="3"/>
    <d v="2022-06-09T00:00:00"/>
    <n v="1"/>
    <n v="47.67"/>
    <n v="77"/>
  </r>
  <r>
    <x v="3"/>
    <d v="2022-06-09T00:00:00"/>
    <n v="1"/>
    <n v="47.67"/>
    <n v="77"/>
  </r>
  <r>
    <x v="15"/>
    <d v="2022-06-09T00:00:00"/>
    <n v="1"/>
    <n v="20.77"/>
    <n v="26"/>
  </r>
  <r>
    <x v="15"/>
    <d v="2022-06-09T00:00:00"/>
    <n v="1"/>
    <n v="20.77"/>
    <n v="26"/>
  </r>
  <r>
    <x v="78"/>
    <d v="2022-06-09T00:00:00"/>
    <n v="1"/>
    <n v="207.68"/>
    <n v="246"/>
  </r>
  <r>
    <x v="79"/>
    <d v="2022-06-09T00:00:00"/>
    <n v="1"/>
    <n v="153.22999999999999"/>
    <n v="192"/>
  </r>
  <r>
    <x v="79"/>
    <d v="2022-06-09T00:00:00"/>
    <n v="1"/>
    <n v="153.75"/>
    <n v="193"/>
  </r>
  <r>
    <x v="80"/>
    <d v="2022-06-09T00:00:00"/>
    <n v="1"/>
    <n v="15.36"/>
    <n v="24"/>
  </r>
  <r>
    <x v="80"/>
    <d v="2022-06-09T00:00:00"/>
    <n v="1"/>
    <n v="13.97"/>
    <n v="22"/>
  </r>
  <r>
    <x v="80"/>
    <d v="2022-06-09T00:00:00"/>
    <n v="1"/>
    <n v="13.97"/>
    <n v="22"/>
  </r>
  <r>
    <x v="80"/>
    <d v="2022-06-09T00:00:00"/>
    <n v="1"/>
    <n v="13.97"/>
    <n v="22"/>
  </r>
  <r>
    <x v="81"/>
    <d v="2022-06-09T00:00:00"/>
    <n v="4"/>
    <n v="47.4"/>
    <n v="76"/>
  </r>
  <r>
    <x v="82"/>
    <d v="2022-06-09T00:00:00"/>
    <n v="1"/>
    <n v="323.66000000000003"/>
    <n v="370"/>
  </r>
  <r>
    <x v="83"/>
    <d v="2022-06-09T00:00:00"/>
    <n v="1"/>
    <n v="123.98"/>
    <n v="195"/>
  </r>
  <r>
    <x v="84"/>
    <d v="2022-06-09T00:00:00"/>
    <n v="1"/>
    <n v="81.81"/>
    <n v="117"/>
  </r>
  <r>
    <x v="85"/>
    <d v="2022-06-09T00:00:00"/>
    <n v="1"/>
    <n v="405.96"/>
    <n v="500"/>
  </r>
  <r>
    <x v="52"/>
    <d v="2022-06-09T00:00:00"/>
    <n v="1"/>
    <n v="236.21"/>
    <n v="265"/>
  </r>
  <r>
    <x v="86"/>
    <d v="2022-06-09T00:00:00"/>
    <n v="1"/>
    <n v="34.65"/>
    <n v="57"/>
  </r>
  <r>
    <x v="15"/>
    <d v="2022-06-09T00:00:00"/>
    <n v="1"/>
    <n v="19.71"/>
    <n v="26"/>
  </r>
  <r>
    <x v="16"/>
    <d v="2022-06-09T00:00:00"/>
    <n v="1"/>
    <n v="184.75"/>
    <n v="250"/>
  </r>
  <r>
    <x v="19"/>
    <d v="2022-06-09T00:00:00"/>
    <n v="1"/>
    <n v="99.96"/>
    <n v="121"/>
  </r>
  <r>
    <x v="87"/>
    <d v="2022-06-09T00:00:00"/>
    <n v="10"/>
    <n v="15"/>
    <n v="20"/>
  </r>
  <r>
    <x v="70"/>
    <d v="2022-06-09T00:00:00"/>
    <n v="0.2"/>
    <n v="438.6"/>
    <n v="667"/>
  </r>
  <r>
    <x v="69"/>
    <d v="2022-06-09T00:00:00"/>
    <n v="1"/>
    <n v="87.84"/>
    <n v="110"/>
  </r>
  <r>
    <x v="69"/>
    <d v="2022-06-09T00:00:00"/>
    <n v="1"/>
    <n v="87.84"/>
    <n v="110"/>
  </r>
  <r>
    <x v="1"/>
    <d v="2022-06-09T00:00:00"/>
    <n v="0.4"/>
    <n v="454.7"/>
    <n v="569"/>
  </r>
  <r>
    <x v="88"/>
    <d v="2022-06-09T00:00:00"/>
    <n v="1"/>
    <n v="65.400000000000006"/>
    <n v="93"/>
  </r>
  <r>
    <x v="89"/>
    <d v="2022-06-09T00:00:00"/>
    <n v="1"/>
    <n v="26.58"/>
    <n v="38"/>
  </r>
  <r>
    <x v="90"/>
    <d v="2022-06-09T00:00:00"/>
    <n v="0.3"/>
    <n v="103.49"/>
    <n v="161"/>
  </r>
  <r>
    <x v="91"/>
    <d v="2022-06-09T00:00:00"/>
    <n v="1"/>
    <n v="71.650000000000006"/>
    <n v="102"/>
  </r>
  <r>
    <x v="4"/>
    <d v="2022-06-09T00:00:00"/>
    <n v="1"/>
    <n v="81.17"/>
    <n v="99"/>
  </r>
  <r>
    <x v="34"/>
    <d v="2022-06-09T00:00:00"/>
    <n v="10"/>
    <n v="8.58"/>
    <n v="14"/>
  </r>
  <r>
    <x v="18"/>
    <d v="2022-06-09T00:00:00"/>
    <n v="1"/>
    <n v="110.21"/>
    <n v="124"/>
  </r>
  <r>
    <x v="18"/>
    <d v="2022-06-09T00:00:00"/>
    <n v="1"/>
    <n v="110.21"/>
    <n v="124"/>
  </r>
  <r>
    <x v="92"/>
    <d v="2022-06-09T00:00:00"/>
    <n v="1"/>
    <n v="431.34"/>
    <n v="570"/>
  </r>
  <r>
    <x v="50"/>
    <d v="2022-06-09T00:00:00"/>
    <n v="1"/>
    <n v="78.39"/>
    <n v="96"/>
  </r>
  <r>
    <x v="79"/>
    <d v="2022-06-09T00:00:00"/>
    <n v="1"/>
    <n v="175.74"/>
    <n v="220"/>
  </r>
  <r>
    <x v="15"/>
    <d v="2022-06-09T00:00:00"/>
    <n v="1"/>
    <n v="21.21"/>
    <n v="25"/>
  </r>
  <r>
    <x v="52"/>
    <d v="2022-06-09T00:00:00"/>
    <n v="1"/>
    <n v="233.74"/>
    <n v="274"/>
  </r>
  <r>
    <x v="5"/>
    <d v="2022-06-09T00:00:00"/>
    <n v="1"/>
    <n v="11.1"/>
    <n v="13"/>
  </r>
  <r>
    <x v="5"/>
    <d v="2022-06-09T00:00:00"/>
    <n v="1"/>
    <n v="11.1"/>
    <n v="13"/>
  </r>
  <r>
    <x v="18"/>
    <d v="2022-06-09T00:00:00"/>
    <n v="1"/>
    <n v="110.51"/>
    <n v="124"/>
  </r>
  <r>
    <x v="93"/>
    <d v="2022-06-09T00:00:00"/>
    <n v="1"/>
    <n v="111.32"/>
    <n v="133"/>
  </r>
  <r>
    <x v="94"/>
    <d v="2022-06-09T00:00:00"/>
    <n v="1"/>
    <n v="64.25"/>
    <n v="77"/>
  </r>
  <r>
    <x v="52"/>
    <d v="2022-06-09T00:00:00"/>
    <n v="1"/>
    <n v="233.74"/>
    <n v="274"/>
  </r>
  <r>
    <x v="7"/>
    <d v="2022-06-09T00:00:00"/>
    <n v="1"/>
    <n v="55.68"/>
    <n v="69"/>
  </r>
  <r>
    <x v="95"/>
    <d v="2022-06-09T00:00:00"/>
    <n v="1"/>
    <n v="37.479999999999997"/>
    <n v="57"/>
  </r>
  <r>
    <x v="80"/>
    <d v="2022-06-09T00:00:00"/>
    <n v="1"/>
    <n v="15.14"/>
    <n v="24"/>
  </r>
  <r>
    <x v="52"/>
    <d v="2022-06-09T00:00:00"/>
    <n v="1"/>
    <n v="239.58"/>
    <n v="281"/>
  </r>
  <r>
    <x v="96"/>
    <d v="2022-06-09T00:00:00"/>
    <n v="1"/>
    <n v="31"/>
    <n v="48"/>
  </r>
  <r>
    <x v="96"/>
    <d v="2022-06-09T00:00:00"/>
    <n v="1"/>
    <n v="31"/>
    <n v="48"/>
  </r>
  <r>
    <x v="3"/>
    <d v="2022-06-09T00:00:00"/>
    <n v="1"/>
    <n v="47.83"/>
    <n v="78"/>
  </r>
  <r>
    <x v="97"/>
    <d v="2022-06-09T00:00:00"/>
    <n v="1"/>
    <n v="26.29"/>
    <n v="33"/>
  </r>
  <r>
    <x v="97"/>
    <d v="2022-06-09T00:00:00"/>
    <n v="1"/>
    <n v="26.29"/>
    <n v="33"/>
  </r>
  <r>
    <x v="90"/>
    <d v="2022-06-09T00:00:00"/>
    <n v="0.3"/>
    <n v="114.36"/>
    <n v="175"/>
  </r>
  <r>
    <x v="50"/>
    <d v="2022-06-09T00:00:00"/>
    <n v="1"/>
    <n v="78.510000000000005"/>
    <n v="96"/>
  </r>
  <r>
    <x v="50"/>
    <d v="2022-06-09T00:00:00"/>
    <n v="1"/>
    <n v="78.510000000000005"/>
    <n v="96"/>
  </r>
  <r>
    <x v="61"/>
    <d v="2022-06-09T00:00:00"/>
    <n v="1"/>
    <n v="31.68"/>
    <n v="39"/>
  </r>
  <r>
    <x v="61"/>
    <d v="2022-06-09T00:00:00"/>
    <n v="1"/>
    <n v="31.68"/>
    <n v="39"/>
  </r>
  <r>
    <x v="61"/>
    <d v="2022-06-09T00:00:00"/>
    <n v="1"/>
    <n v="31.68"/>
    <n v="39"/>
  </r>
  <r>
    <x v="61"/>
    <d v="2022-06-09T00:00:00"/>
    <n v="1"/>
    <n v="31.68"/>
    <n v="39"/>
  </r>
  <r>
    <x v="61"/>
    <d v="2022-06-09T00:00:00"/>
    <n v="1"/>
    <n v="31.68"/>
    <n v="39"/>
  </r>
  <r>
    <x v="45"/>
    <d v="2022-06-09T00:00:00"/>
    <n v="1"/>
    <n v="43.55"/>
    <n v="54"/>
  </r>
  <r>
    <x v="98"/>
    <d v="2022-06-09T00:00:00"/>
    <n v="1"/>
    <n v="46.32"/>
    <n v="72"/>
  </r>
  <r>
    <x v="53"/>
    <d v="2022-06-09T00:00:00"/>
    <n v="1"/>
    <n v="65"/>
    <n v="78"/>
  </r>
  <r>
    <x v="53"/>
    <d v="2022-06-09T00:00:00"/>
    <n v="1"/>
    <n v="65"/>
    <n v="78"/>
  </r>
  <r>
    <x v="53"/>
    <d v="2022-06-09T00:00:00"/>
    <n v="1"/>
    <n v="65"/>
    <n v="78"/>
  </r>
  <r>
    <x v="99"/>
    <d v="2022-06-09T00:00:00"/>
    <n v="1"/>
    <n v="46.73"/>
    <n v="58"/>
  </r>
  <r>
    <x v="99"/>
    <d v="2022-06-09T00:00:00"/>
    <n v="1"/>
    <n v="46.73"/>
    <n v="58"/>
  </r>
  <r>
    <x v="99"/>
    <d v="2022-06-09T00:00:00"/>
    <n v="1"/>
    <n v="45.44"/>
    <n v="57"/>
  </r>
  <r>
    <x v="15"/>
    <d v="2022-06-09T00:00:00"/>
    <n v="1"/>
    <n v="21.21"/>
    <n v="27"/>
  </r>
  <r>
    <x v="15"/>
    <d v="2022-06-09T00:00:00"/>
    <n v="1"/>
    <n v="21.21"/>
    <n v="27"/>
  </r>
  <r>
    <x v="100"/>
    <d v="2022-06-09T00:00:00"/>
    <n v="1"/>
    <n v="27.72"/>
    <n v="45"/>
  </r>
  <r>
    <x v="61"/>
    <d v="2022-06-09T00:00:00"/>
    <n v="1"/>
    <n v="30.56"/>
    <n v="36"/>
  </r>
  <r>
    <x v="21"/>
    <d v="2022-06-09T00:00:00"/>
    <n v="0.1"/>
    <n v="979.4"/>
    <n v="1323"/>
  </r>
  <r>
    <x v="101"/>
    <d v="2022-06-09T00:00:00"/>
    <n v="1"/>
    <n v="41.84"/>
    <n v="51"/>
  </r>
  <r>
    <x v="74"/>
    <d v="2022-06-09T00:00:00"/>
    <n v="1"/>
    <n v="148.5"/>
    <n v="177"/>
  </r>
  <r>
    <x v="102"/>
    <d v="2022-06-09T00:00:00"/>
    <n v="1"/>
    <n v="68.760000000000005"/>
    <n v="87"/>
  </r>
  <r>
    <x v="53"/>
    <d v="2022-06-09T00:00:00"/>
    <n v="1"/>
    <n v="65"/>
    <n v="78"/>
  </r>
  <r>
    <x v="69"/>
    <d v="2022-06-09T00:00:00"/>
    <n v="1"/>
    <n v="87.36"/>
    <n v="109"/>
  </r>
  <r>
    <x v="23"/>
    <d v="2022-06-09T00:00:00"/>
    <n v="1"/>
    <n v="148.91"/>
    <n v="207"/>
  </r>
  <r>
    <x v="3"/>
    <d v="2022-06-09T00:00:00"/>
    <n v="1"/>
    <n v="47.72"/>
    <n v="78"/>
  </r>
  <r>
    <x v="57"/>
    <d v="2022-06-09T00:00:00"/>
    <n v="1"/>
    <n v="25.7"/>
    <n v="31"/>
  </r>
  <r>
    <x v="97"/>
    <d v="2022-06-09T00:00:00"/>
    <n v="1"/>
    <n v="25.44"/>
    <n v="32"/>
  </r>
  <r>
    <x v="97"/>
    <d v="2022-06-09T00:00:00"/>
    <n v="1"/>
    <n v="25.44"/>
    <n v="32"/>
  </r>
  <r>
    <x v="1"/>
    <d v="2022-06-09T00:00:00"/>
    <n v="1"/>
    <n v="438.89"/>
    <n v="549"/>
  </r>
  <r>
    <x v="31"/>
    <d v="2022-06-09T00:00:00"/>
    <n v="1"/>
    <n v="21.42"/>
    <n v="27"/>
  </r>
  <r>
    <x v="31"/>
    <d v="2022-06-09T00:00:00"/>
    <n v="1"/>
    <n v="21.42"/>
    <n v="27"/>
  </r>
  <r>
    <x v="31"/>
    <d v="2022-06-09T00:00:00"/>
    <n v="1"/>
    <n v="21.42"/>
    <n v="27"/>
  </r>
  <r>
    <x v="35"/>
    <d v="2022-06-09T00:00:00"/>
    <n v="1"/>
    <n v="172.56"/>
    <n v="206"/>
  </r>
  <r>
    <x v="77"/>
    <d v="2022-06-09T00:00:00"/>
    <n v="1"/>
    <n v="35.85"/>
    <n v="45"/>
  </r>
  <r>
    <x v="77"/>
    <d v="2022-06-09T00:00:00"/>
    <n v="1"/>
    <n v="35.85"/>
    <n v="45"/>
  </r>
  <r>
    <x v="77"/>
    <d v="2022-06-09T00:00:00"/>
    <n v="1"/>
    <n v="35.85"/>
    <n v="45"/>
  </r>
  <r>
    <x v="77"/>
    <d v="2022-06-09T00:00:00"/>
    <n v="1"/>
    <n v="35.85"/>
    <n v="45"/>
  </r>
  <r>
    <x v="75"/>
    <d v="2022-06-09T00:00:00"/>
    <n v="1"/>
    <n v="22.17"/>
    <n v="34"/>
  </r>
  <r>
    <x v="77"/>
    <d v="2022-06-09T00:00:00"/>
    <n v="1"/>
    <n v="36.090000000000003"/>
    <n v="46"/>
  </r>
  <r>
    <x v="77"/>
    <d v="2022-06-09T00:00:00"/>
    <n v="1"/>
    <n v="36.090000000000003"/>
    <n v="46"/>
  </r>
  <r>
    <x v="103"/>
    <d v="2022-06-09T00:00:00"/>
    <n v="1"/>
    <n v="23.57"/>
    <n v="37"/>
  </r>
  <r>
    <x v="103"/>
    <d v="2022-06-09T00:00:00"/>
    <n v="1"/>
    <n v="23.57"/>
    <n v="37"/>
  </r>
  <r>
    <x v="103"/>
    <d v="2022-06-09T00:00:00"/>
    <n v="1"/>
    <n v="23.57"/>
    <n v="37"/>
  </r>
  <r>
    <x v="103"/>
    <d v="2022-06-09T00:00:00"/>
    <n v="1"/>
    <n v="23.57"/>
    <n v="37"/>
  </r>
  <r>
    <x v="103"/>
    <d v="2022-06-09T00:00:00"/>
    <n v="1"/>
    <n v="23.57"/>
    <n v="37"/>
  </r>
  <r>
    <x v="103"/>
    <d v="2022-06-09T00:00:00"/>
    <n v="1"/>
    <n v="23.57"/>
    <n v="37"/>
  </r>
  <r>
    <x v="20"/>
    <d v="2022-06-09T00:00:00"/>
    <n v="1"/>
    <n v="146.85"/>
    <n v="177"/>
  </r>
  <r>
    <x v="20"/>
    <d v="2022-06-09T00:00:00"/>
    <n v="1"/>
    <n v="146.85"/>
    <n v="177"/>
  </r>
  <r>
    <x v="15"/>
    <d v="2022-06-09T00:00:00"/>
    <n v="1"/>
    <n v="20.77"/>
    <n v="26"/>
  </r>
  <r>
    <x v="15"/>
    <d v="2022-06-09T00:00:00"/>
    <n v="1"/>
    <n v="21.21"/>
    <n v="27"/>
  </r>
  <r>
    <x v="40"/>
    <d v="2022-06-09T00:00:00"/>
    <n v="1"/>
    <n v="28.85"/>
    <n v="47"/>
  </r>
  <r>
    <x v="62"/>
    <d v="2022-06-09T00:00:00"/>
    <n v="1"/>
    <n v="54.32"/>
    <n v="83"/>
  </r>
  <r>
    <x v="54"/>
    <d v="2022-06-09T00:00:00"/>
    <n v="1"/>
    <n v="14.76"/>
    <n v="24"/>
  </r>
  <r>
    <x v="61"/>
    <d v="2022-06-09T00:00:00"/>
    <n v="1"/>
    <n v="30.56"/>
    <n v="36"/>
  </r>
  <r>
    <x v="104"/>
    <d v="2022-06-09T00:00:00"/>
    <n v="1"/>
    <n v="88.39"/>
    <n v="106"/>
  </r>
  <r>
    <x v="90"/>
    <d v="2022-06-09T00:00:00"/>
    <n v="1"/>
    <n v="114.36"/>
    <n v="175"/>
  </r>
  <r>
    <x v="105"/>
    <d v="2022-06-09T00:00:00"/>
    <n v="1"/>
    <n v="209.32"/>
    <n v="287"/>
  </r>
  <r>
    <x v="25"/>
    <d v="2022-06-09T00:00:00"/>
    <n v="1"/>
    <n v="156.19999999999999"/>
    <n v="186"/>
  </r>
  <r>
    <x v="22"/>
    <d v="2022-06-09T00:00:00"/>
    <n v="1"/>
    <n v="101.57"/>
    <n v="156"/>
  </r>
  <r>
    <x v="106"/>
    <d v="2022-06-09T00:00:00"/>
    <n v="1"/>
    <n v="163.76"/>
    <n v="196"/>
  </r>
  <r>
    <x v="30"/>
    <d v="2022-06-09T00:00:00"/>
    <n v="1"/>
    <n v="32.71"/>
    <n v="50"/>
  </r>
  <r>
    <x v="107"/>
    <d v="2022-06-09T00:00:00"/>
    <n v="1"/>
    <n v="281.47000000000003"/>
    <n v="334"/>
  </r>
  <r>
    <x v="108"/>
    <d v="2022-06-09T00:00:00"/>
    <n v="1"/>
    <n v="126.69"/>
    <n v="179"/>
  </r>
  <r>
    <x v="36"/>
    <d v="2022-06-09T00:00:00"/>
    <n v="1"/>
    <n v="10.9"/>
    <n v="18"/>
  </r>
  <r>
    <x v="109"/>
    <d v="2022-06-09T00:00:00"/>
    <n v="1"/>
    <n v="74.8"/>
    <n v="92"/>
  </r>
  <r>
    <x v="110"/>
    <d v="2022-06-09T00:00:00"/>
    <n v="1"/>
    <n v="71.09"/>
    <n v="88"/>
  </r>
  <r>
    <x v="110"/>
    <d v="2022-06-09T00:00:00"/>
    <n v="1"/>
    <n v="71.09"/>
    <n v="88"/>
  </r>
  <r>
    <x v="110"/>
    <d v="2022-06-09T00:00:00"/>
    <n v="1"/>
    <n v="71.09"/>
    <n v="88"/>
  </r>
  <r>
    <x v="110"/>
    <d v="2022-06-09T00:00:00"/>
    <n v="1"/>
    <n v="71.09"/>
    <n v="88"/>
  </r>
  <r>
    <x v="51"/>
    <d v="2022-06-09T00:00:00"/>
    <n v="1"/>
    <n v="45.47"/>
    <n v="71"/>
  </r>
  <r>
    <x v="61"/>
    <d v="2022-06-09T00:00:00"/>
    <n v="1"/>
    <n v="30.56"/>
    <n v="36"/>
  </r>
  <r>
    <x v="61"/>
    <d v="2022-06-09T00:00:00"/>
    <n v="1"/>
    <n v="30.56"/>
    <n v="36"/>
  </r>
  <r>
    <x v="3"/>
    <d v="2022-06-09T00:00:00"/>
    <n v="1"/>
    <n v="42.71"/>
    <n v="70"/>
  </r>
  <r>
    <x v="111"/>
    <d v="2022-06-09T00:00:00"/>
    <n v="1"/>
    <n v="102.39"/>
    <n v="121"/>
  </r>
  <r>
    <x v="112"/>
    <d v="2022-06-09T00:00:00"/>
    <n v="1"/>
    <n v="23.14"/>
    <n v="28"/>
  </r>
  <r>
    <x v="48"/>
    <d v="2022-06-09T00:00:00"/>
    <n v="1"/>
    <n v="23.4"/>
    <n v="38"/>
  </r>
  <r>
    <x v="64"/>
    <d v="2022-06-09T00:00:00"/>
    <n v="1"/>
    <n v="19.989999999999998"/>
    <n v="24"/>
  </r>
  <r>
    <x v="34"/>
    <d v="2022-06-09T00:00:00"/>
    <n v="2"/>
    <n v="8.58"/>
    <n v="14"/>
  </r>
  <r>
    <x v="105"/>
    <d v="2022-06-09T00:00:00"/>
    <n v="1"/>
    <n v="206.64"/>
    <n v="284"/>
  </r>
  <r>
    <x v="9"/>
    <d v="2022-06-09T00:00:00"/>
    <n v="1"/>
    <n v="429.41"/>
    <n v="580"/>
  </r>
  <r>
    <x v="55"/>
    <d v="2022-06-09T00:00:00"/>
    <n v="1"/>
    <n v="58.19"/>
    <n v="72"/>
  </r>
  <r>
    <x v="113"/>
    <d v="2022-06-09T00:00:00"/>
    <n v="1"/>
    <n v="10.78"/>
    <n v="13"/>
  </r>
  <r>
    <x v="113"/>
    <d v="2022-06-09T00:00:00"/>
    <n v="1"/>
    <n v="10.78"/>
    <n v="13"/>
  </r>
  <r>
    <x v="114"/>
    <d v="2022-06-09T00:00:00"/>
    <n v="7.1428400000000003E-2"/>
    <n v="656.19"/>
    <n v="722"/>
  </r>
  <r>
    <x v="101"/>
    <d v="2022-06-09T00:00:00"/>
    <n v="1"/>
    <n v="41.21"/>
    <n v="51"/>
  </r>
  <r>
    <x v="101"/>
    <d v="2022-06-09T00:00:00"/>
    <n v="1"/>
    <n v="41.21"/>
    <n v="51"/>
  </r>
  <r>
    <x v="101"/>
    <d v="2022-06-09T00:00:00"/>
    <n v="1"/>
    <n v="41.21"/>
    <n v="51"/>
  </r>
  <r>
    <x v="18"/>
    <d v="2022-06-09T00:00:00"/>
    <n v="1"/>
    <n v="110.51"/>
    <n v="124"/>
  </r>
  <r>
    <x v="31"/>
    <d v="2022-06-09T00:00:00"/>
    <n v="1"/>
    <n v="26.53"/>
    <n v="34"/>
  </r>
  <r>
    <x v="58"/>
    <d v="2022-06-09T00:00:00"/>
    <n v="1"/>
    <n v="73.13"/>
    <n v="96"/>
  </r>
  <r>
    <x v="32"/>
    <d v="2022-06-09T00:00:00"/>
    <n v="1"/>
    <n v="48.85"/>
    <n v="62"/>
  </r>
  <r>
    <x v="33"/>
    <d v="2022-06-09T00:00:00"/>
    <n v="1"/>
    <n v="34.450000000000003"/>
    <n v="55"/>
  </r>
  <r>
    <x v="56"/>
    <d v="2022-06-09T00:00:00"/>
    <n v="1"/>
    <n v="32.89"/>
    <n v="50"/>
  </r>
  <r>
    <x v="115"/>
    <d v="2022-06-09T00:00:00"/>
    <n v="1"/>
    <n v="130.35"/>
    <n v="182"/>
  </r>
  <r>
    <x v="116"/>
    <d v="2022-06-09T00:00:00"/>
    <n v="1"/>
    <n v="10.94"/>
    <n v="18"/>
  </r>
  <r>
    <x v="15"/>
    <d v="2022-06-09T00:00:00"/>
    <n v="1"/>
    <n v="20.72"/>
    <n v="27"/>
  </r>
  <r>
    <x v="32"/>
    <d v="2022-06-09T00:00:00"/>
    <n v="1"/>
    <n v="48.85"/>
    <n v="62"/>
  </r>
  <r>
    <x v="33"/>
    <d v="2022-06-09T00:00:00"/>
    <n v="1"/>
    <n v="34.450000000000003"/>
    <n v="55"/>
  </r>
  <r>
    <x v="102"/>
    <d v="2022-06-09T00:00:00"/>
    <n v="1"/>
    <n v="68.760000000000005"/>
    <n v="87"/>
  </r>
  <r>
    <x v="4"/>
    <d v="2022-06-09T00:00:00"/>
    <n v="1"/>
    <n v="81.17"/>
    <n v="99"/>
  </r>
  <r>
    <x v="92"/>
    <d v="2022-06-09T00:00:00"/>
    <n v="1"/>
    <n v="431.34"/>
    <n v="570"/>
  </r>
  <r>
    <x v="92"/>
    <d v="2022-06-09T00:00:00"/>
    <n v="1"/>
    <n v="431.34"/>
    <n v="570"/>
  </r>
  <r>
    <x v="89"/>
    <d v="2022-06-09T00:00:00"/>
    <n v="1"/>
    <n v="26.58"/>
    <n v="38"/>
  </r>
  <r>
    <x v="14"/>
    <d v="2022-06-09T00:00:00"/>
    <n v="1"/>
    <n v="80.760000000000005"/>
    <n v="101"/>
  </r>
  <r>
    <x v="60"/>
    <d v="2022-06-09T00:00:00"/>
    <n v="1"/>
    <n v="186.96"/>
    <n v="234"/>
  </r>
  <r>
    <x v="0"/>
    <d v="2022-06-09T00:00:00"/>
    <n v="1"/>
    <n v="130.15"/>
    <n v="157"/>
  </r>
  <r>
    <x v="0"/>
    <d v="2022-06-09T00:00:00"/>
    <n v="1"/>
    <n v="130.15"/>
    <n v="157"/>
  </r>
  <r>
    <x v="4"/>
    <d v="2022-06-08T00:00:00"/>
    <n v="1"/>
    <n v="80.69"/>
    <n v="98"/>
  </r>
  <r>
    <x v="85"/>
    <d v="2022-06-08T00:00:00"/>
    <n v="1"/>
    <n v="390.04"/>
    <n v="469"/>
  </r>
  <r>
    <x v="117"/>
    <d v="2022-06-08T00:00:00"/>
    <n v="1"/>
    <n v="20.86"/>
    <n v="26"/>
  </r>
  <r>
    <x v="62"/>
    <d v="2022-06-08T00:00:00"/>
    <n v="1"/>
    <n v="56.87"/>
    <n v="83"/>
  </r>
  <r>
    <x v="19"/>
    <d v="2022-06-08T00:00:00"/>
    <n v="1"/>
    <n v="101.95"/>
    <n v="122"/>
  </r>
  <r>
    <x v="71"/>
    <d v="2022-06-08T00:00:00"/>
    <n v="1"/>
    <n v="30.8"/>
    <n v="38"/>
  </r>
  <r>
    <x v="102"/>
    <d v="2022-06-08T00:00:00"/>
    <n v="1"/>
    <n v="68.760000000000005"/>
    <n v="87"/>
  </r>
  <r>
    <x v="118"/>
    <d v="2022-06-08T00:00:00"/>
    <n v="1"/>
    <n v="62.7"/>
    <n v="80"/>
  </r>
  <r>
    <x v="118"/>
    <d v="2022-06-08T00:00:00"/>
    <n v="1"/>
    <n v="62.7"/>
    <n v="80"/>
  </r>
  <r>
    <x v="119"/>
    <d v="2022-06-08T00:00:00"/>
    <n v="1"/>
    <n v="48.86"/>
    <n v="79"/>
  </r>
  <r>
    <x v="43"/>
    <d v="2022-06-08T00:00:00"/>
    <n v="1"/>
    <n v="39"/>
    <n v="60"/>
  </r>
  <r>
    <x v="64"/>
    <d v="2022-06-08T00:00:00"/>
    <n v="1"/>
    <n v="19.989999999999998"/>
    <n v="24"/>
  </r>
  <r>
    <x v="66"/>
    <d v="2022-06-08T00:00:00"/>
    <n v="1"/>
    <n v="54.1"/>
    <n v="77"/>
  </r>
  <r>
    <x v="21"/>
    <d v="2022-06-08T00:00:00"/>
    <n v="0.1"/>
    <n v="991.65"/>
    <n v="1240"/>
  </r>
  <r>
    <x v="25"/>
    <d v="2022-06-08T00:00:00"/>
    <n v="1"/>
    <n v="156.19999999999999"/>
    <n v="186"/>
  </r>
  <r>
    <x v="97"/>
    <d v="2022-06-08T00:00:00"/>
    <n v="1"/>
    <n v="26.29"/>
    <n v="33"/>
  </r>
  <r>
    <x v="97"/>
    <d v="2022-06-08T00:00:00"/>
    <n v="1"/>
    <n v="26.29"/>
    <n v="33"/>
  </r>
  <r>
    <x v="97"/>
    <d v="2022-06-08T00:00:00"/>
    <n v="1"/>
    <n v="26.29"/>
    <n v="33"/>
  </r>
  <r>
    <x v="87"/>
    <d v="2022-06-08T00:00:00"/>
    <n v="10"/>
    <n v="6.78"/>
    <n v="9"/>
  </r>
  <r>
    <x v="120"/>
    <d v="2022-06-08T00:00:00"/>
    <n v="1"/>
    <n v="337.22"/>
    <n v="439"/>
  </r>
  <r>
    <x v="121"/>
    <d v="2022-06-08T00:00:00"/>
    <n v="1"/>
    <n v="27.38"/>
    <n v="34"/>
  </r>
  <r>
    <x v="121"/>
    <d v="2022-06-08T00:00:00"/>
    <n v="1"/>
    <n v="27.38"/>
    <n v="34"/>
  </r>
  <r>
    <x v="121"/>
    <d v="2022-06-08T00:00:00"/>
    <n v="1"/>
    <n v="27.38"/>
    <n v="34"/>
  </r>
  <r>
    <x v="121"/>
    <d v="2022-06-08T00:00:00"/>
    <n v="1"/>
    <n v="27.38"/>
    <n v="34"/>
  </r>
  <r>
    <x v="121"/>
    <d v="2022-06-08T00:00:00"/>
    <n v="1"/>
    <n v="27.38"/>
    <n v="34"/>
  </r>
  <r>
    <x v="121"/>
    <d v="2022-06-08T00:00:00"/>
    <n v="1"/>
    <n v="27.38"/>
    <n v="34"/>
  </r>
  <r>
    <x v="121"/>
    <d v="2022-06-08T00:00:00"/>
    <n v="1"/>
    <n v="27.38"/>
    <n v="34"/>
  </r>
  <r>
    <x v="121"/>
    <d v="2022-06-08T00:00:00"/>
    <n v="1"/>
    <n v="27.38"/>
    <n v="34"/>
  </r>
  <r>
    <x v="121"/>
    <d v="2022-06-08T00:00:00"/>
    <n v="1"/>
    <n v="27.38"/>
    <n v="34"/>
  </r>
  <r>
    <x v="121"/>
    <d v="2022-06-08T00:00:00"/>
    <n v="1"/>
    <n v="27.38"/>
    <n v="34"/>
  </r>
  <r>
    <x v="90"/>
    <d v="2022-06-08T00:00:00"/>
    <n v="1"/>
    <n v="110.54"/>
    <n v="174"/>
  </r>
  <r>
    <x v="119"/>
    <d v="2022-06-08T00:00:00"/>
    <n v="1"/>
    <n v="42.48"/>
    <n v="69"/>
  </r>
  <r>
    <x v="29"/>
    <d v="2022-06-08T00:00:00"/>
    <n v="1"/>
    <n v="200.19"/>
    <n v="231"/>
  </r>
  <r>
    <x v="14"/>
    <d v="2022-06-08T00:00:00"/>
    <n v="1"/>
    <n v="81.790000000000006"/>
    <n v="102"/>
  </r>
  <r>
    <x v="14"/>
    <d v="2022-06-08T00:00:00"/>
    <n v="1"/>
    <n v="81.290000000000006"/>
    <n v="103"/>
  </r>
  <r>
    <x v="2"/>
    <d v="2022-06-08T00:00:00"/>
    <n v="1"/>
    <n v="88.73"/>
    <n v="104"/>
  </r>
  <r>
    <x v="122"/>
    <d v="2022-06-08T00:00:00"/>
    <n v="1"/>
    <n v="119.64"/>
    <n v="162"/>
  </r>
  <r>
    <x v="36"/>
    <d v="2022-06-08T00:00:00"/>
    <n v="1"/>
    <n v="10.9"/>
    <n v="18"/>
  </r>
  <r>
    <x v="21"/>
    <d v="2022-06-08T00:00:00"/>
    <n v="0.1"/>
    <n v="986.58"/>
    <n v="1234"/>
  </r>
  <r>
    <x v="123"/>
    <d v="2022-06-08T00:00:00"/>
    <n v="1"/>
    <n v="312.83"/>
    <n v="432"/>
  </r>
  <r>
    <x v="89"/>
    <d v="2022-06-08T00:00:00"/>
    <n v="1"/>
    <n v="26.8"/>
    <n v="38"/>
  </r>
  <r>
    <x v="89"/>
    <d v="2022-06-08T00:00:00"/>
    <n v="1"/>
    <n v="26.8"/>
    <n v="38"/>
  </r>
  <r>
    <x v="89"/>
    <d v="2022-06-08T00:00:00"/>
    <n v="1"/>
    <n v="26.8"/>
    <n v="38"/>
  </r>
  <r>
    <x v="89"/>
    <d v="2022-06-08T00:00:00"/>
    <n v="1"/>
    <n v="26.8"/>
    <n v="38"/>
  </r>
  <r>
    <x v="89"/>
    <d v="2022-06-08T00:00:00"/>
    <n v="1"/>
    <n v="26.8"/>
    <n v="38"/>
  </r>
  <r>
    <x v="22"/>
    <d v="2022-06-08T00:00:00"/>
    <n v="1"/>
    <n v="101.57"/>
    <n v="156"/>
  </r>
  <r>
    <x v="68"/>
    <d v="2022-06-08T00:00:00"/>
    <n v="3"/>
    <n v="7.82"/>
    <n v="13"/>
  </r>
  <r>
    <x v="95"/>
    <d v="2022-06-08T00:00:00"/>
    <n v="1"/>
    <n v="37.46"/>
    <n v="57"/>
  </r>
  <r>
    <x v="61"/>
    <d v="2022-06-08T00:00:00"/>
    <n v="1"/>
    <n v="34.049999999999997"/>
    <n v="38"/>
  </r>
  <r>
    <x v="70"/>
    <d v="2022-06-08T00:00:00"/>
    <n v="0.06"/>
    <n v="467.08"/>
    <n v="664"/>
  </r>
  <r>
    <x v="99"/>
    <d v="2022-06-08T00:00:00"/>
    <n v="1"/>
    <n v="46.77"/>
    <n v="58"/>
  </r>
  <r>
    <x v="19"/>
    <d v="2022-06-08T00:00:00"/>
    <n v="1"/>
    <n v="99.96"/>
    <n v="121"/>
  </r>
  <r>
    <x v="109"/>
    <d v="2022-06-08T00:00:00"/>
    <n v="1"/>
    <n v="74.8"/>
    <n v="92"/>
  </r>
  <r>
    <x v="31"/>
    <d v="2022-06-08T00:00:00"/>
    <n v="1"/>
    <n v="23.73"/>
    <n v="31"/>
  </r>
  <r>
    <x v="15"/>
    <d v="2022-06-08T00:00:00"/>
    <n v="1"/>
    <n v="19.71"/>
    <n v="26"/>
  </r>
  <r>
    <x v="105"/>
    <d v="2022-06-08T00:00:00"/>
    <n v="1"/>
    <n v="206.53"/>
    <n v="273"/>
  </r>
  <r>
    <x v="23"/>
    <d v="2022-06-08T00:00:00"/>
    <n v="1"/>
    <n v="141.08000000000001"/>
    <n v="205"/>
  </r>
  <r>
    <x v="124"/>
    <d v="2022-06-08T00:00:00"/>
    <n v="0.08"/>
    <n v="495.19"/>
    <n v="606"/>
  </r>
  <r>
    <x v="109"/>
    <d v="2022-06-08T00:00:00"/>
    <n v="1"/>
    <n v="74.8"/>
    <n v="92"/>
  </r>
  <r>
    <x v="39"/>
    <d v="2022-06-08T00:00:00"/>
    <n v="1"/>
    <n v="64.53"/>
    <n v="101"/>
  </r>
  <r>
    <x v="29"/>
    <d v="2022-06-08T00:00:00"/>
    <n v="1"/>
    <n v="202.92"/>
    <n v="234"/>
  </r>
  <r>
    <x v="50"/>
    <d v="2022-06-08T00:00:00"/>
    <n v="1"/>
    <n v="77.45"/>
    <n v="95"/>
  </r>
  <r>
    <x v="27"/>
    <d v="2022-06-08T00:00:00"/>
    <n v="0.309392"/>
    <n v="125.73"/>
    <n v="192"/>
  </r>
  <r>
    <x v="27"/>
    <d v="2022-06-08T00:00:00"/>
    <n v="0.690608"/>
    <n v="125.73"/>
    <n v="192"/>
  </r>
  <r>
    <x v="101"/>
    <d v="2022-06-08T00:00:00"/>
    <n v="0.309392"/>
    <n v="40.659999999999997"/>
    <n v="50"/>
  </r>
  <r>
    <x v="101"/>
    <d v="2022-06-08T00:00:00"/>
    <n v="0.690608"/>
    <n v="40.659999999999997"/>
    <n v="50"/>
  </r>
  <r>
    <x v="20"/>
    <d v="2022-06-08T00:00:00"/>
    <n v="1"/>
    <n v="146.97"/>
    <n v="177"/>
  </r>
  <r>
    <x v="35"/>
    <d v="2022-06-08T00:00:00"/>
    <n v="1"/>
    <n v="174.03"/>
    <n v="212"/>
  </r>
  <r>
    <x v="125"/>
    <d v="2022-06-08T00:00:00"/>
    <n v="1"/>
    <n v="23.37"/>
    <n v="29"/>
  </r>
  <r>
    <x v="49"/>
    <d v="2022-06-08T00:00:00"/>
    <n v="1"/>
    <n v="643.5"/>
    <n v="831"/>
  </r>
  <r>
    <x v="29"/>
    <d v="2022-06-08T00:00:00"/>
    <n v="1"/>
    <n v="200.19"/>
    <n v="231"/>
  </r>
  <r>
    <x v="126"/>
    <d v="2022-06-08T00:00:00"/>
    <n v="1"/>
    <n v="367.46"/>
    <n v="486"/>
  </r>
  <r>
    <x v="119"/>
    <d v="2022-06-08T00:00:00"/>
    <n v="1"/>
    <n v="42.48"/>
    <n v="69"/>
  </r>
  <r>
    <x v="26"/>
    <d v="2022-06-08T00:00:00"/>
    <n v="1"/>
    <n v="14.1"/>
    <n v="19"/>
  </r>
  <r>
    <x v="42"/>
    <d v="2022-06-08T00:00:00"/>
    <n v="1"/>
    <n v="43.74"/>
    <n v="68"/>
  </r>
  <r>
    <x v="124"/>
    <d v="2022-06-08T00:00:00"/>
    <n v="0.08"/>
    <n v="540.89"/>
    <n v="593"/>
  </r>
  <r>
    <x v="40"/>
    <d v="2022-06-08T00:00:00"/>
    <n v="1"/>
    <n v="29.69"/>
    <n v="48"/>
  </r>
  <r>
    <x v="16"/>
    <d v="2022-06-08T00:00:00"/>
    <n v="1"/>
    <n v="190.59"/>
    <n v="262"/>
  </r>
  <r>
    <x v="87"/>
    <d v="2022-06-08T00:00:00"/>
    <n v="1"/>
    <n v="7.26"/>
    <n v="10"/>
  </r>
  <r>
    <x v="116"/>
    <d v="2022-06-08T00:00:00"/>
    <n v="1"/>
    <n v="9.86"/>
    <n v="16"/>
  </r>
  <r>
    <x v="84"/>
    <d v="2022-06-08T00:00:00"/>
    <n v="1"/>
    <n v="81.17"/>
    <n v="116"/>
  </r>
  <r>
    <x v="13"/>
    <d v="2022-06-08T00:00:00"/>
    <n v="1"/>
    <n v="46"/>
    <n v="72"/>
  </r>
  <r>
    <x v="13"/>
    <d v="2022-06-08T00:00:00"/>
    <n v="1"/>
    <n v="46"/>
    <n v="72"/>
  </r>
  <r>
    <x v="43"/>
    <d v="2022-06-08T00:00:00"/>
    <n v="1"/>
    <n v="38.82"/>
    <n v="61"/>
  </r>
  <r>
    <x v="4"/>
    <d v="2022-06-08T00:00:00"/>
    <n v="1"/>
    <n v="80.69"/>
    <n v="100"/>
  </r>
  <r>
    <x v="59"/>
    <d v="2022-06-08T00:00:00"/>
    <n v="1"/>
    <n v="200.69"/>
    <n v="267"/>
  </r>
  <r>
    <x v="49"/>
    <d v="2022-06-08T00:00:00"/>
    <n v="1"/>
    <n v="643.5"/>
    <n v="831"/>
  </r>
  <r>
    <x v="127"/>
    <d v="2022-06-08T00:00:00"/>
    <n v="1"/>
    <n v="58.53"/>
    <n v="84"/>
  </r>
  <r>
    <x v="60"/>
    <d v="2022-06-08T00:00:00"/>
    <n v="1"/>
    <n v="187.36"/>
    <n v="220"/>
  </r>
  <r>
    <x v="11"/>
    <d v="2022-06-08T00:00:00"/>
    <n v="1"/>
    <n v="43.52"/>
    <n v="69"/>
  </r>
  <r>
    <x v="11"/>
    <d v="2022-06-08T00:00:00"/>
    <n v="1"/>
    <n v="43.52"/>
    <n v="69"/>
  </r>
  <r>
    <x v="21"/>
    <d v="2022-06-08T00:00:00"/>
    <n v="0.1"/>
    <n v="991.65"/>
    <n v="1240"/>
  </r>
  <r>
    <x v="100"/>
    <d v="2022-06-08T00:00:00"/>
    <n v="1"/>
    <n v="27.72"/>
    <n v="45"/>
  </r>
  <r>
    <x v="4"/>
    <d v="2022-06-08T00:00:00"/>
    <n v="1"/>
    <n v="80.69"/>
    <n v="100"/>
  </r>
  <r>
    <x v="113"/>
    <d v="2022-06-08T00:00:00"/>
    <n v="1"/>
    <n v="10.78"/>
    <n v="13"/>
  </r>
  <r>
    <x v="64"/>
    <d v="2022-06-08T00:00:00"/>
    <n v="1"/>
    <n v="19.989999999999998"/>
    <n v="24"/>
  </r>
  <r>
    <x v="64"/>
    <d v="2022-06-08T00:00:00"/>
    <n v="1"/>
    <n v="19.989999999999998"/>
    <n v="24"/>
  </r>
  <r>
    <x v="3"/>
    <d v="2022-06-08T00:00:00"/>
    <n v="2"/>
    <n v="47.67"/>
    <n v="77"/>
  </r>
  <r>
    <x v="48"/>
    <d v="2022-06-08T00:00:00"/>
    <n v="1"/>
    <n v="23.4"/>
    <n v="38"/>
  </r>
  <r>
    <x v="37"/>
    <d v="2022-06-08T00:00:00"/>
    <n v="1"/>
    <n v="566.04"/>
    <n v="651"/>
  </r>
  <r>
    <x v="43"/>
    <d v="2022-06-08T00:00:00"/>
    <n v="1"/>
    <n v="38.82"/>
    <n v="61"/>
  </r>
  <r>
    <x v="43"/>
    <d v="2022-06-08T00:00:00"/>
    <n v="1"/>
    <n v="38.82"/>
    <n v="61"/>
  </r>
  <r>
    <x v="84"/>
    <d v="2022-06-08T00:00:00"/>
    <n v="1"/>
    <n v="86.16"/>
    <n v="123"/>
  </r>
  <r>
    <x v="69"/>
    <d v="2022-06-08T00:00:00"/>
    <n v="1"/>
    <n v="87.69"/>
    <n v="109"/>
  </r>
  <r>
    <x v="17"/>
    <d v="2022-06-08T00:00:00"/>
    <n v="1"/>
    <n v="30.3"/>
    <n v="49"/>
  </r>
  <r>
    <x v="47"/>
    <d v="2022-06-08T00:00:00"/>
    <n v="1"/>
    <n v="221.19"/>
    <n v="262"/>
  </r>
  <r>
    <x v="49"/>
    <d v="2022-06-08T00:00:00"/>
    <n v="1"/>
    <n v="643.5"/>
    <n v="831"/>
  </r>
  <r>
    <x v="4"/>
    <d v="2022-06-08T00:00:00"/>
    <n v="1"/>
    <n v="81.17"/>
    <n v="99"/>
  </r>
  <r>
    <x v="4"/>
    <d v="2022-06-08T00:00:00"/>
    <n v="1"/>
    <n v="81.17"/>
    <n v="99"/>
  </r>
  <r>
    <x v="58"/>
    <d v="2022-06-08T00:00:00"/>
    <n v="1"/>
    <n v="73.510000000000005"/>
    <n v="89"/>
  </r>
  <r>
    <x v="58"/>
    <d v="2022-06-08T00:00:00"/>
    <n v="1"/>
    <n v="73.510000000000005"/>
    <n v="89"/>
  </r>
  <r>
    <x v="58"/>
    <d v="2022-06-08T00:00:00"/>
    <n v="1"/>
    <n v="73.510000000000005"/>
    <n v="89"/>
  </r>
  <r>
    <x v="52"/>
    <d v="2022-06-08T00:00:00"/>
    <n v="1"/>
    <n v="239.58"/>
    <n v="300"/>
  </r>
  <r>
    <x v="128"/>
    <d v="2022-06-08T00:00:00"/>
    <n v="50"/>
    <n v="5.08"/>
    <n v="9"/>
  </r>
  <r>
    <x v="37"/>
    <d v="2022-06-08T00:00:00"/>
    <n v="1"/>
    <n v="566.04"/>
    <n v="651"/>
  </r>
  <r>
    <x v="7"/>
    <d v="2022-06-08T00:00:00"/>
    <n v="1"/>
    <n v="56.39"/>
    <n v="70"/>
  </r>
  <r>
    <x v="51"/>
    <d v="2022-06-08T00:00:00"/>
    <n v="1"/>
    <n v="46.37"/>
    <n v="72"/>
  </r>
  <r>
    <x v="51"/>
    <d v="2022-06-08T00:00:00"/>
    <n v="1"/>
    <n v="46.37"/>
    <n v="72"/>
  </r>
  <r>
    <x v="46"/>
    <d v="2022-06-08T00:00:00"/>
    <n v="4"/>
    <n v="2.0099999999999998"/>
    <n v="4"/>
  </r>
  <r>
    <x v="46"/>
    <d v="2022-06-08T00:00:00"/>
    <n v="4"/>
    <n v="2.0099999999999998"/>
    <n v="4"/>
  </r>
  <r>
    <x v="26"/>
    <d v="2022-06-08T00:00:00"/>
    <n v="1"/>
    <n v="13.19"/>
    <n v="18"/>
  </r>
  <r>
    <x v="26"/>
    <d v="2022-06-08T00:00:00"/>
    <n v="1"/>
    <n v="13.19"/>
    <n v="18"/>
  </r>
  <r>
    <x v="26"/>
    <d v="2022-06-08T00:00:00"/>
    <n v="1"/>
    <n v="13.19"/>
    <n v="18"/>
  </r>
  <r>
    <x v="15"/>
    <d v="2022-06-08T00:00:00"/>
    <n v="1"/>
    <n v="21.62"/>
    <n v="28"/>
  </r>
  <r>
    <x v="77"/>
    <d v="2022-06-08T00:00:00"/>
    <n v="1"/>
    <n v="34.270000000000003"/>
    <n v="43"/>
  </r>
  <r>
    <x v="52"/>
    <d v="2022-06-08T00:00:00"/>
    <n v="1"/>
    <n v="232.7"/>
    <n v="291"/>
  </r>
  <r>
    <x v="129"/>
    <d v="2022-06-08T00:00:00"/>
    <n v="1"/>
    <n v="26.86"/>
    <n v="43"/>
  </r>
  <r>
    <x v="70"/>
    <d v="2022-06-08T00:00:00"/>
    <n v="0.02"/>
    <n v="466.47"/>
    <n v="710"/>
  </r>
  <r>
    <x v="127"/>
    <d v="2022-06-08T00:00:00"/>
    <n v="1"/>
    <n v="60.02"/>
    <n v="88"/>
  </r>
  <r>
    <x v="0"/>
    <d v="2022-06-08T00:00:00"/>
    <n v="1"/>
    <n v="130.04"/>
    <n v="157"/>
  </r>
  <r>
    <x v="127"/>
    <d v="2022-06-08T00:00:00"/>
    <n v="1"/>
    <n v="58.53"/>
    <n v="88"/>
  </r>
  <r>
    <x v="130"/>
    <d v="2022-06-08T00:00:00"/>
    <n v="1"/>
    <n v="73.260000000000005"/>
    <n v="91"/>
  </r>
  <r>
    <x v="130"/>
    <d v="2022-06-08T00:00:00"/>
    <n v="1"/>
    <n v="73.260000000000005"/>
    <n v="91"/>
  </r>
  <r>
    <x v="15"/>
    <d v="2022-06-08T00:00:00"/>
    <n v="1"/>
    <n v="21.62"/>
    <n v="28"/>
  </r>
  <r>
    <x v="15"/>
    <d v="2022-06-08T00:00:00"/>
    <n v="1"/>
    <n v="21.62"/>
    <n v="28"/>
  </r>
  <r>
    <x v="94"/>
    <d v="2022-06-08T00:00:00"/>
    <n v="1"/>
    <n v="64.25"/>
    <n v="76"/>
  </r>
  <r>
    <x v="15"/>
    <d v="2022-06-08T00:00:00"/>
    <n v="1"/>
    <n v="20.77"/>
    <n v="26"/>
  </r>
  <r>
    <x v="43"/>
    <d v="2022-06-08T00:00:00"/>
    <n v="1"/>
    <n v="39.92"/>
    <n v="63"/>
  </r>
  <r>
    <x v="31"/>
    <d v="2022-06-08T00:00:00"/>
    <n v="1"/>
    <n v="26.53"/>
    <n v="34"/>
  </r>
  <r>
    <x v="90"/>
    <d v="2022-06-08T00:00:00"/>
    <n v="0.3"/>
    <n v="113.11"/>
    <n v="174"/>
  </r>
  <r>
    <x v="42"/>
    <d v="2022-06-08T00:00:00"/>
    <n v="1"/>
    <n v="43.45"/>
    <n v="67"/>
  </r>
  <r>
    <x v="31"/>
    <d v="2022-06-08T00:00:00"/>
    <n v="1"/>
    <n v="26.53"/>
    <n v="34"/>
  </r>
  <r>
    <x v="45"/>
    <d v="2022-06-08T00:00:00"/>
    <n v="1"/>
    <n v="42.95"/>
    <n v="54"/>
  </r>
  <r>
    <x v="6"/>
    <d v="2022-06-08T00:00:00"/>
    <n v="1"/>
    <n v="24.2"/>
    <n v="39"/>
  </r>
  <r>
    <x v="21"/>
    <d v="2022-06-08T00:00:00"/>
    <n v="0.2"/>
    <n v="979.4"/>
    <n v="1342"/>
  </r>
  <r>
    <x v="13"/>
    <d v="2022-06-08T00:00:00"/>
    <n v="1"/>
    <n v="46"/>
    <n v="70"/>
  </r>
  <r>
    <x v="47"/>
    <d v="2022-06-08T00:00:00"/>
    <n v="1"/>
    <n v="202.48"/>
    <n v="243"/>
  </r>
  <r>
    <x v="18"/>
    <d v="2022-06-08T00:00:00"/>
    <n v="1"/>
    <n v="110.21"/>
    <n v="124"/>
  </r>
  <r>
    <x v="23"/>
    <d v="2022-06-08T00:00:00"/>
    <n v="1"/>
    <n v="147.97"/>
    <n v="209"/>
  </r>
  <r>
    <x v="58"/>
    <d v="2022-06-08T00:00:00"/>
    <n v="1"/>
    <n v="73.13"/>
    <n v="96"/>
  </r>
  <r>
    <x v="58"/>
    <d v="2022-06-08T00:00:00"/>
    <n v="1"/>
    <n v="73.13"/>
    <n v="96"/>
  </r>
  <r>
    <x v="58"/>
    <d v="2022-06-08T00:00:00"/>
    <n v="1"/>
    <n v="72.03"/>
    <n v="94"/>
  </r>
  <r>
    <x v="44"/>
    <d v="2022-06-08T00:00:00"/>
    <n v="1"/>
    <n v="15.8"/>
    <n v="19"/>
  </r>
  <r>
    <x v="119"/>
    <d v="2022-06-08T00:00:00"/>
    <n v="1"/>
    <n v="48.86"/>
    <n v="79"/>
  </r>
  <r>
    <x v="46"/>
    <d v="2022-06-08T00:00:00"/>
    <n v="8"/>
    <n v="2.0099999999999998"/>
    <n v="4"/>
  </r>
  <r>
    <x v="15"/>
    <d v="2022-06-08T00:00:00"/>
    <n v="1"/>
    <n v="20.77"/>
    <n v="26"/>
  </r>
  <r>
    <x v="16"/>
    <d v="2022-06-08T00:00:00"/>
    <n v="1"/>
    <n v="184.75"/>
    <n v="250"/>
  </r>
  <r>
    <x v="90"/>
    <d v="2022-06-08T00:00:00"/>
    <n v="0.9"/>
    <n v="130.88999999999999"/>
    <n v="206"/>
  </r>
  <r>
    <x v="101"/>
    <d v="2022-06-08T00:00:00"/>
    <n v="0.8"/>
    <n v="40.17"/>
    <n v="50"/>
  </r>
  <r>
    <x v="39"/>
    <d v="2022-06-08T00:00:00"/>
    <n v="1"/>
    <n v="64.53"/>
    <n v="101"/>
  </r>
  <r>
    <x v="80"/>
    <d v="2022-06-08T00:00:00"/>
    <n v="1"/>
    <n v="13.61"/>
    <n v="22"/>
  </r>
  <r>
    <x v="80"/>
    <d v="2022-06-08T00:00:00"/>
    <n v="1"/>
    <n v="15.51"/>
    <n v="25"/>
  </r>
  <r>
    <x v="80"/>
    <d v="2022-06-08T00:00:00"/>
    <n v="1"/>
    <n v="15.51"/>
    <n v="25"/>
  </r>
  <r>
    <x v="93"/>
    <d v="2022-06-08T00:00:00"/>
    <n v="1"/>
    <n v="111.32"/>
    <n v="133"/>
  </r>
  <r>
    <x v="127"/>
    <d v="2022-06-08T00:00:00"/>
    <n v="1"/>
    <n v="61.16"/>
    <n v="90"/>
  </r>
  <r>
    <x v="5"/>
    <d v="2022-06-08T00:00:00"/>
    <n v="1"/>
    <n v="11.33"/>
    <n v="13"/>
  </r>
  <r>
    <x v="5"/>
    <d v="2022-06-08T00:00:00"/>
    <n v="1"/>
    <n v="11.33"/>
    <n v="13"/>
  </r>
  <r>
    <x v="70"/>
    <d v="2022-06-08T00:00:00"/>
    <n v="1.2"/>
    <n v="468.33"/>
    <n v="712"/>
  </r>
  <r>
    <x v="123"/>
    <d v="2022-06-08T00:00:00"/>
    <n v="1"/>
    <n v="255.9"/>
    <n v="338"/>
  </r>
  <r>
    <x v="119"/>
    <d v="2022-06-08T00:00:00"/>
    <n v="1"/>
    <n v="48.86"/>
    <n v="79"/>
  </r>
  <r>
    <x v="74"/>
    <d v="2022-06-08T00:00:00"/>
    <n v="1"/>
    <n v="148.5"/>
    <n v="177"/>
  </r>
  <r>
    <x v="85"/>
    <d v="2022-06-08T00:00:00"/>
    <n v="1"/>
    <n v="397.02"/>
    <n v="477"/>
  </r>
  <r>
    <x v="25"/>
    <d v="2022-06-08T00:00:00"/>
    <n v="1"/>
    <n v="156.19999999999999"/>
    <n v="186"/>
  </r>
  <r>
    <x v="44"/>
    <d v="2022-06-08T00:00:00"/>
    <n v="1"/>
    <n v="15.82"/>
    <n v="20"/>
  </r>
  <r>
    <x v="44"/>
    <d v="2022-06-08T00:00:00"/>
    <n v="1"/>
    <n v="15.82"/>
    <n v="20"/>
  </r>
  <r>
    <x v="95"/>
    <d v="2022-06-08T00:00:00"/>
    <n v="1"/>
    <n v="38.07"/>
    <n v="59"/>
  </r>
  <r>
    <x v="95"/>
    <d v="2022-06-08T00:00:00"/>
    <n v="1"/>
    <n v="38.07"/>
    <n v="59"/>
  </r>
  <r>
    <x v="93"/>
    <d v="2022-06-08T00:00:00"/>
    <n v="1"/>
    <n v="111.32"/>
    <n v="134"/>
  </r>
  <r>
    <x v="94"/>
    <d v="2022-06-08T00:00:00"/>
    <n v="1"/>
    <n v="64.25"/>
    <n v="76"/>
  </r>
  <r>
    <x v="94"/>
    <d v="2022-06-08T00:00:00"/>
    <n v="1"/>
    <n v="64.25"/>
    <n v="76"/>
  </r>
  <r>
    <x v="45"/>
    <d v="2022-06-08T00:00:00"/>
    <n v="1"/>
    <n v="43.55"/>
    <n v="54"/>
  </r>
  <r>
    <x v="34"/>
    <d v="2022-06-08T00:00:00"/>
    <n v="10"/>
    <n v="9.8800000000000008"/>
    <n v="16"/>
  </r>
  <r>
    <x v="55"/>
    <d v="2022-06-08T00:00:00"/>
    <n v="1"/>
    <n v="56.76"/>
    <n v="71"/>
  </r>
  <r>
    <x v="19"/>
    <d v="2022-06-08T00:00:00"/>
    <n v="1"/>
    <n v="101.95"/>
    <n v="122"/>
  </r>
  <r>
    <x v="49"/>
    <d v="2022-06-08T00:00:00"/>
    <n v="1"/>
    <n v="643.5"/>
    <n v="831"/>
  </r>
  <r>
    <x v="119"/>
    <d v="2022-06-08T00:00:00"/>
    <n v="1"/>
    <n v="42.48"/>
    <n v="69"/>
  </r>
  <r>
    <x v="86"/>
    <d v="2022-06-08T00:00:00"/>
    <n v="2"/>
    <n v="36"/>
    <n v="59"/>
  </r>
  <r>
    <x v="131"/>
    <d v="2022-06-08T00:00:00"/>
    <n v="1"/>
    <n v="286.72000000000003"/>
    <n v="382"/>
  </r>
  <r>
    <x v="50"/>
    <d v="2022-06-08T00:00:00"/>
    <n v="1"/>
    <n v="77.45"/>
    <n v="95"/>
  </r>
  <r>
    <x v="61"/>
    <d v="2022-06-08T00:00:00"/>
    <n v="1"/>
    <n v="30.56"/>
    <n v="36"/>
  </r>
  <r>
    <x v="61"/>
    <d v="2022-06-08T00:00:00"/>
    <n v="1"/>
    <n v="30.56"/>
    <n v="36"/>
  </r>
  <r>
    <x v="132"/>
    <d v="2022-06-08T00:00:00"/>
    <n v="2"/>
    <n v="10.53"/>
    <n v="18"/>
  </r>
  <r>
    <x v="116"/>
    <d v="2022-06-08T00:00:00"/>
    <n v="1"/>
    <n v="10.94"/>
    <n v="18"/>
  </r>
  <r>
    <x v="25"/>
    <d v="2022-06-08T00:00:00"/>
    <n v="1"/>
    <n v="156.19999999999999"/>
    <n v="186"/>
  </r>
  <r>
    <x v="4"/>
    <d v="2022-06-08T00:00:00"/>
    <n v="1"/>
    <n v="80.69"/>
    <n v="100"/>
  </r>
  <r>
    <x v="122"/>
    <d v="2022-06-08T00:00:00"/>
    <n v="1"/>
    <n v="120.04"/>
    <n v="167"/>
  </r>
  <r>
    <x v="91"/>
    <d v="2022-06-08T00:00:00"/>
    <n v="1"/>
    <n v="71.650000000000006"/>
    <n v="102"/>
  </r>
  <r>
    <x v="91"/>
    <d v="2022-06-08T00:00:00"/>
    <n v="1"/>
    <n v="71.650000000000006"/>
    <n v="102"/>
  </r>
  <r>
    <x v="61"/>
    <d v="2022-06-08T00:00:00"/>
    <n v="1"/>
    <n v="30.56"/>
    <n v="36"/>
  </r>
  <r>
    <x v="59"/>
    <d v="2022-06-08T00:00:00"/>
    <n v="1"/>
    <n v="199.07"/>
    <n v="281"/>
  </r>
  <r>
    <x v="97"/>
    <d v="2022-06-08T00:00:00"/>
    <n v="1"/>
    <n v="26.05"/>
    <n v="32"/>
  </r>
  <r>
    <x v="14"/>
    <d v="2022-06-08T00:00:00"/>
    <n v="1"/>
    <n v="81.290000000000006"/>
    <n v="103"/>
  </r>
  <r>
    <x v="129"/>
    <d v="2022-06-08T00:00:00"/>
    <n v="1"/>
    <n v="26.6"/>
    <n v="42"/>
  </r>
  <r>
    <x v="129"/>
    <d v="2022-06-08T00:00:00"/>
    <n v="1"/>
    <n v="28.16"/>
    <n v="44"/>
  </r>
  <r>
    <x v="23"/>
    <d v="2022-06-08T00:00:00"/>
    <n v="1"/>
    <n v="148.91"/>
    <n v="204"/>
  </r>
  <r>
    <x v="98"/>
    <d v="2022-06-08T00:00:00"/>
    <n v="1"/>
    <n v="46.32"/>
    <n v="72"/>
  </r>
  <r>
    <x v="98"/>
    <d v="2022-06-08T00:00:00"/>
    <n v="1"/>
    <n v="46.32"/>
    <n v="72"/>
  </r>
  <r>
    <x v="98"/>
    <d v="2022-06-08T00:00:00"/>
    <n v="1"/>
    <n v="46.32"/>
    <n v="72"/>
  </r>
  <r>
    <x v="98"/>
    <d v="2022-06-08T00:00:00"/>
    <n v="1"/>
    <n v="46.32"/>
    <n v="72"/>
  </r>
  <r>
    <x v="98"/>
    <d v="2022-06-08T00:00:00"/>
    <n v="1"/>
    <n v="46.32"/>
    <n v="72"/>
  </r>
  <r>
    <x v="133"/>
    <d v="2022-06-08T00:00:00"/>
    <n v="1"/>
    <n v="44.4"/>
    <n v="77"/>
  </r>
  <r>
    <x v="34"/>
    <d v="2022-06-08T00:00:00"/>
    <n v="3"/>
    <n v="8.58"/>
    <n v="14"/>
  </r>
  <r>
    <x v="0"/>
    <d v="2022-06-08T00:00:00"/>
    <n v="1"/>
    <n v="131.16"/>
    <n v="158"/>
  </r>
  <r>
    <x v="95"/>
    <d v="2022-06-08T00:00:00"/>
    <n v="1"/>
    <n v="36.99"/>
    <n v="57"/>
  </r>
  <r>
    <x v="134"/>
    <d v="2022-06-08T00:00:00"/>
    <n v="5"/>
    <n v="24.17"/>
    <n v="40"/>
  </r>
  <r>
    <x v="128"/>
    <d v="2022-06-08T00:00:00"/>
    <n v="4"/>
    <n v="6.13"/>
    <n v="10"/>
  </r>
  <r>
    <x v="46"/>
    <d v="2022-06-08T00:00:00"/>
    <n v="8"/>
    <n v="2.0499999999999998"/>
    <n v="4"/>
  </r>
  <r>
    <x v="46"/>
    <d v="2022-06-08T00:00:00"/>
    <n v="8"/>
    <n v="2.0499999999999998"/>
    <n v="4"/>
  </r>
  <r>
    <x v="43"/>
    <d v="2022-06-08T00:00:00"/>
    <n v="1"/>
    <n v="39.56"/>
    <n v="63"/>
  </r>
  <r>
    <x v="126"/>
    <d v="2022-06-08T00:00:00"/>
    <n v="1"/>
    <n v="361.91"/>
    <n v="424"/>
  </r>
  <r>
    <x v="67"/>
    <d v="2022-06-08T00:00:00"/>
    <n v="1"/>
    <n v="556.51"/>
    <n v="735"/>
  </r>
  <r>
    <x v="30"/>
    <d v="2022-06-08T00:00:00"/>
    <n v="1"/>
    <n v="32.71"/>
    <n v="50"/>
  </r>
  <r>
    <x v="23"/>
    <d v="2022-06-08T00:00:00"/>
    <n v="1"/>
    <n v="148.91"/>
    <n v="207"/>
  </r>
  <r>
    <x v="27"/>
    <d v="2022-06-08T00:00:00"/>
    <n v="2"/>
    <n v="105"/>
    <n v="161"/>
  </r>
  <r>
    <x v="51"/>
    <d v="2022-06-08T00:00:00"/>
    <n v="1"/>
    <n v="45.32"/>
    <n v="69"/>
  </r>
  <r>
    <x v="48"/>
    <d v="2022-06-08T00:00:00"/>
    <n v="1"/>
    <n v="23.4"/>
    <n v="41"/>
  </r>
  <r>
    <x v="65"/>
    <d v="2022-06-08T00:00:00"/>
    <n v="1"/>
    <n v="164.2"/>
    <n v="203"/>
  </r>
  <r>
    <x v="127"/>
    <d v="2022-06-08T00:00:00"/>
    <n v="1"/>
    <n v="61.16"/>
    <n v="90"/>
  </r>
  <r>
    <x v="135"/>
    <d v="2022-06-08T00:00:00"/>
    <n v="1"/>
    <n v="168.8"/>
    <n v="183.33"/>
  </r>
  <r>
    <x v="106"/>
    <d v="2022-06-08T00:00:00"/>
    <n v="1"/>
    <n v="172.45"/>
    <n v="187.21"/>
  </r>
  <r>
    <x v="92"/>
    <d v="2022-06-08T00:00:00"/>
    <n v="1"/>
    <n v="431.34"/>
    <n v="570"/>
  </r>
  <r>
    <x v="20"/>
    <d v="2022-06-08T00:00:00"/>
    <n v="1"/>
    <n v="146.97"/>
    <n v="177"/>
  </r>
  <r>
    <x v="20"/>
    <d v="2022-06-08T00:00:00"/>
    <n v="1"/>
    <n v="146.97"/>
    <n v="177"/>
  </r>
  <r>
    <x v="22"/>
    <d v="2022-06-08T00:00:00"/>
    <n v="1"/>
    <n v="101.57"/>
    <n v="156"/>
  </r>
  <r>
    <x v="40"/>
    <d v="2022-06-08T00:00:00"/>
    <n v="2"/>
    <n v="29.69"/>
    <n v="48"/>
  </r>
  <r>
    <x v="4"/>
    <d v="2022-06-08T00:00:00"/>
    <n v="1"/>
    <n v="80.69"/>
    <n v="100"/>
  </r>
  <r>
    <x v="136"/>
    <d v="2022-06-08T00:00:00"/>
    <n v="2"/>
    <n v="12.16"/>
    <n v="20"/>
  </r>
  <r>
    <x v="109"/>
    <d v="2022-06-08T00:00:00"/>
    <n v="1"/>
    <n v="74.8"/>
    <n v="92"/>
  </r>
  <r>
    <x v="0"/>
    <d v="2022-06-08T00:00:00"/>
    <n v="1"/>
    <n v="145.6"/>
    <n v="172"/>
  </r>
  <r>
    <x v="0"/>
    <d v="2022-06-08T00:00:00"/>
    <n v="1"/>
    <n v="145.6"/>
    <n v="172"/>
  </r>
  <r>
    <x v="40"/>
    <d v="2022-06-08T00:00:00"/>
    <n v="2"/>
    <n v="29.69"/>
    <n v="48"/>
  </r>
  <r>
    <x v="40"/>
    <d v="2022-06-08T00:00:00"/>
    <n v="1"/>
    <n v="28.85"/>
    <n v="47"/>
  </r>
  <r>
    <x v="129"/>
    <d v="2022-06-08T00:00:00"/>
    <n v="1"/>
    <n v="35.200000000000003"/>
    <n v="54"/>
  </r>
  <r>
    <x v="129"/>
    <d v="2022-06-08T00:00:00"/>
    <n v="1"/>
    <n v="26.86"/>
    <n v="41"/>
  </r>
  <r>
    <x v="129"/>
    <d v="2022-06-08T00:00:00"/>
    <n v="1"/>
    <n v="26.86"/>
    <n v="41"/>
  </r>
  <r>
    <x v="63"/>
    <d v="2022-06-08T00:00:00"/>
    <n v="1"/>
    <n v="53.57"/>
    <n v="82"/>
  </r>
  <r>
    <x v="72"/>
    <d v="2022-06-08T00:00:00"/>
    <n v="1"/>
    <n v="60.94"/>
    <n v="76"/>
  </r>
  <r>
    <x v="137"/>
    <d v="2022-06-08T00:00:00"/>
    <n v="1"/>
    <n v="12.86"/>
    <n v="15"/>
  </r>
  <r>
    <x v="117"/>
    <d v="2022-06-08T00:00:00"/>
    <n v="1"/>
    <n v="21.23"/>
    <n v="26"/>
  </r>
  <r>
    <x v="95"/>
    <d v="2022-06-08T00:00:00"/>
    <n v="1"/>
    <n v="37.479999999999997"/>
    <n v="57"/>
  </r>
  <r>
    <x v="63"/>
    <d v="2022-06-08T00:00:00"/>
    <n v="1"/>
    <n v="55.27"/>
    <n v="87"/>
  </r>
  <r>
    <x v="23"/>
    <d v="2022-06-08T00:00:00"/>
    <n v="1"/>
    <n v="148.91"/>
    <n v="204"/>
  </r>
  <r>
    <x v="100"/>
    <d v="2022-06-08T00:00:00"/>
    <n v="2"/>
    <n v="27.72"/>
    <n v="45"/>
  </r>
  <r>
    <x v="101"/>
    <d v="2022-06-08T00:00:00"/>
    <n v="1"/>
    <n v="41.16"/>
    <n v="51"/>
  </r>
  <r>
    <x v="115"/>
    <d v="2022-06-08T00:00:00"/>
    <n v="1"/>
    <n v="132.56"/>
    <n v="179"/>
  </r>
  <r>
    <x v="115"/>
    <d v="2022-06-08T00:00:00"/>
    <n v="1"/>
    <n v="132.56"/>
    <n v="179"/>
  </r>
  <r>
    <x v="13"/>
    <d v="2022-06-08T00:00:00"/>
    <n v="1"/>
    <n v="46"/>
    <n v="70"/>
  </r>
  <r>
    <x v="13"/>
    <d v="2022-06-08T00:00:00"/>
    <n v="1"/>
    <n v="46"/>
    <n v="70"/>
  </r>
  <r>
    <x v="97"/>
    <d v="2022-06-08T00:00:00"/>
    <n v="1"/>
    <n v="25.43"/>
    <n v="32"/>
  </r>
  <r>
    <x v="97"/>
    <d v="2022-06-08T00:00:00"/>
    <n v="1"/>
    <n v="25.43"/>
    <n v="32"/>
  </r>
  <r>
    <x v="97"/>
    <d v="2022-06-08T00:00:00"/>
    <n v="1"/>
    <n v="25.43"/>
    <n v="32"/>
  </r>
  <r>
    <x v="97"/>
    <d v="2022-06-08T00:00:00"/>
    <n v="1"/>
    <n v="25.43"/>
    <n v="32"/>
  </r>
  <r>
    <x v="97"/>
    <d v="2022-06-08T00:00:00"/>
    <n v="1"/>
    <n v="25.43"/>
    <n v="32"/>
  </r>
  <r>
    <x v="97"/>
    <d v="2022-06-08T00:00:00"/>
    <n v="1"/>
    <n v="25.43"/>
    <n v="32"/>
  </r>
  <r>
    <x v="97"/>
    <d v="2022-06-08T00:00:00"/>
    <n v="1"/>
    <n v="25.43"/>
    <n v="32"/>
  </r>
  <r>
    <x v="60"/>
    <d v="2022-06-08T00:00:00"/>
    <n v="1"/>
    <n v="187.74"/>
    <n v="220"/>
  </r>
  <r>
    <x v="110"/>
    <d v="2022-06-08T00:00:00"/>
    <n v="1"/>
    <n v="71.239999999999995"/>
    <n v="88"/>
  </r>
  <r>
    <x v="138"/>
    <d v="2022-06-08T00:00:00"/>
    <n v="1"/>
    <n v="50.84"/>
    <n v="73"/>
  </r>
  <r>
    <x v="88"/>
    <d v="2022-06-08T00:00:00"/>
    <n v="1"/>
    <n v="71.05"/>
    <n v="101"/>
  </r>
  <r>
    <x v="62"/>
    <d v="2022-06-08T00:00:00"/>
    <n v="1"/>
    <n v="55.98"/>
    <n v="80"/>
  </r>
  <r>
    <x v="56"/>
    <d v="2022-06-08T00:00:00"/>
    <n v="1"/>
    <n v="32.85"/>
    <n v="50"/>
  </r>
  <r>
    <x v="39"/>
    <d v="2022-06-08T00:00:00"/>
    <n v="1"/>
    <n v="64.53"/>
    <n v="101"/>
  </r>
  <r>
    <x v="53"/>
    <d v="2022-06-08T00:00:00"/>
    <n v="1"/>
    <n v="60.5"/>
    <n v="73"/>
  </r>
  <r>
    <x v="27"/>
    <d v="2022-06-08T00:00:00"/>
    <n v="0.4"/>
    <n v="99.21"/>
    <n v="154"/>
  </r>
  <r>
    <x v="27"/>
    <d v="2022-06-08T00:00:00"/>
    <n v="0.4"/>
    <n v="100.57"/>
    <n v="154"/>
  </r>
  <r>
    <x v="20"/>
    <d v="2022-06-08T00:00:00"/>
    <n v="1"/>
    <n v="147.55000000000001"/>
    <n v="181"/>
  </r>
  <r>
    <x v="51"/>
    <d v="2022-06-08T00:00:00"/>
    <n v="1"/>
    <n v="46.37"/>
    <n v="72"/>
  </r>
  <r>
    <x v="138"/>
    <d v="2022-06-08T00:00:00"/>
    <n v="1"/>
    <n v="50.61"/>
    <n v="72"/>
  </r>
  <r>
    <x v="90"/>
    <d v="2022-06-08T00:00:00"/>
    <n v="0.3"/>
    <n v="111.25"/>
    <n v="171"/>
  </r>
  <r>
    <x v="22"/>
    <d v="2022-06-08T00:00:00"/>
    <n v="1"/>
    <n v="101.57"/>
    <n v="156"/>
  </r>
  <r>
    <x v="0"/>
    <d v="2022-06-08T00:00:00"/>
    <n v="1"/>
    <n v="132.63999999999999"/>
    <n v="159"/>
  </r>
  <r>
    <x v="0"/>
    <d v="2022-06-08T00:00:00"/>
    <n v="1"/>
    <n v="132.63999999999999"/>
    <n v="159"/>
  </r>
  <r>
    <x v="73"/>
    <d v="2022-06-08T00:00:00"/>
    <n v="1"/>
    <n v="69.84"/>
    <n v="88"/>
  </r>
  <r>
    <x v="73"/>
    <d v="2022-06-08T00:00:00"/>
    <n v="1"/>
    <n v="69.84"/>
    <n v="88"/>
  </r>
  <r>
    <x v="22"/>
    <d v="2022-06-08T00:00:00"/>
    <n v="1"/>
    <n v="101.57"/>
    <n v="156"/>
  </r>
  <r>
    <x v="116"/>
    <d v="2022-06-08T00:00:00"/>
    <n v="4"/>
    <n v="10.94"/>
    <n v="18"/>
  </r>
  <r>
    <x v="14"/>
    <d v="2022-06-08T00:00:00"/>
    <n v="1"/>
    <n v="81.790000000000006"/>
    <n v="102"/>
  </r>
  <r>
    <x v="14"/>
    <d v="2022-06-08T00:00:00"/>
    <n v="1"/>
    <n v="81.790000000000006"/>
    <n v="102"/>
  </r>
  <r>
    <x v="129"/>
    <d v="2022-06-08T00:00:00"/>
    <n v="1"/>
    <n v="26.87"/>
    <n v="41"/>
  </r>
  <r>
    <x v="61"/>
    <d v="2022-06-08T00:00:00"/>
    <n v="1"/>
    <n v="30.56"/>
    <n v="36"/>
  </r>
  <r>
    <x v="83"/>
    <d v="2022-06-08T00:00:00"/>
    <n v="1"/>
    <n v="111.52"/>
    <n v="173"/>
  </r>
  <r>
    <x v="133"/>
    <d v="2022-06-08T00:00:00"/>
    <n v="1"/>
    <n v="46.5"/>
    <n v="76"/>
  </r>
  <r>
    <x v="101"/>
    <d v="2022-06-08T00:00:00"/>
    <n v="1"/>
    <n v="42.02"/>
    <n v="52"/>
  </r>
  <r>
    <x v="16"/>
    <d v="2022-06-08T00:00:00"/>
    <n v="1"/>
    <n v="184.75"/>
    <n v="257"/>
  </r>
  <r>
    <x v="31"/>
    <d v="2022-06-08T00:00:00"/>
    <n v="1"/>
    <n v="21.42"/>
    <n v="27"/>
  </r>
  <r>
    <x v="31"/>
    <d v="2022-06-08T00:00:00"/>
    <n v="1"/>
    <n v="21.42"/>
    <n v="27"/>
  </r>
  <r>
    <x v="31"/>
    <d v="2022-06-08T00:00:00"/>
    <n v="1"/>
    <n v="21.42"/>
    <n v="27"/>
  </r>
  <r>
    <x v="31"/>
    <d v="2022-06-08T00:00:00"/>
    <n v="1"/>
    <n v="21.42"/>
    <n v="27"/>
  </r>
  <r>
    <x v="31"/>
    <d v="2022-06-08T00:00:00"/>
    <n v="1"/>
    <n v="21.42"/>
    <n v="27"/>
  </r>
  <r>
    <x v="31"/>
    <d v="2022-06-08T00:00:00"/>
    <n v="1"/>
    <n v="21.42"/>
    <n v="27"/>
  </r>
  <r>
    <x v="77"/>
    <d v="2022-06-08T00:00:00"/>
    <n v="1"/>
    <n v="35.85"/>
    <n v="45"/>
  </r>
  <r>
    <x v="77"/>
    <d v="2022-06-08T00:00:00"/>
    <n v="1"/>
    <n v="35.85"/>
    <n v="45"/>
  </r>
  <r>
    <x v="77"/>
    <d v="2022-06-08T00:00:00"/>
    <n v="1"/>
    <n v="35.85"/>
    <n v="45"/>
  </r>
  <r>
    <x v="77"/>
    <d v="2022-06-08T00:00:00"/>
    <n v="1"/>
    <n v="35.85"/>
    <n v="45"/>
  </r>
  <r>
    <x v="77"/>
    <d v="2022-06-08T00:00:00"/>
    <n v="1"/>
    <n v="36.090000000000003"/>
    <n v="46"/>
  </r>
  <r>
    <x v="77"/>
    <d v="2022-06-08T00:00:00"/>
    <n v="1"/>
    <n v="36.090000000000003"/>
    <n v="46"/>
  </r>
  <r>
    <x v="103"/>
    <d v="2022-06-08T00:00:00"/>
    <n v="1"/>
    <n v="23.57"/>
    <n v="37"/>
  </r>
  <r>
    <x v="103"/>
    <d v="2022-06-08T00:00:00"/>
    <n v="1"/>
    <n v="23.57"/>
    <n v="37"/>
  </r>
  <r>
    <x v="103"/>
    <d v="2022-06-08T00:00:00"/>
    <n v="1"/>
    <n v="23.57"/>
    <n v="37"/>
  </r>
  <r>
    <x v="103"/>
    <d v="2022-06-08T00:00:00"/>
    <n v="1"/>
    <n v="23.57"/>
    <n v="37"/>
  </r>
  <r>
    <x v="103"/>
    <d v="2022-06-08T00:00:00"/>
    <n v="1"/>
    <n v="23.57"/>
    <n v="37"/>
  </r>
  <r>
    <x v="103"/>
    <d v="2022-06-08T00:00:00"/>
    <n v="1"/>
    <n v="23.57"/>
    <n v="37"/>
  </r>
  <r>
    <x v="139"/>
    <d v="2022-06-08T00:00:00"/>
    <n v="1"/>
    <n v="51.35"/>
    <n v="73"/>
  </r>
  <r>
    <x v="52"/>
    <d v="2022-06-08T00:00:00"/>
    <n v="1"/>
    <n v="233.74"/>
    <n v="262"/>
  </r>
  <r>
    <x v="93"/>
    <d v="2022-06-08T00:00:00"/>
    <n v="1"/>
    <n v="111.32"/>
    <n v="134"/>
  </r>
  <r>
    <x v="49"/>
    <d v="2022-06-08T00:00:00"/>
    <n v="1"/>
    <n v="643.5"/>
    <n v="831"/>
  </r>
  <r>
    <x v="117"/>
    <d v="2022-06-08T00:00:00"/>
    <n v="1"/>
    <n v="21.26"/>
    <n v="26"/>
  </r>
  <r>
    <x v="52"/>
    <d v="2022-06-08T00:00:00"/>
    <n v="1"/>
    <n v="245.58"/>
    <n v="307"/>
  </r>
  <r>
    <x v="51"/>
    <d v="2022-06-08T00:00:00"/>
    <n v="1"/>
    <n v="44.9"/>
    <n v="69"/>
  </r>
  <r>
    <x v="99"/>
    <d v="2022-06-08T00:00:00"/>
    <n v="1"/>
    <n v="45.87"/>
    <n v="58"/>
  </r>
  <r>
    <x v="13"/>
    <d v="2022-06-08T00:00:00"/>
    <n v="1"/>
    <n v="46"/>
    <n v="72"/>
  </r>
  <r>
    <x v="4"/>
    <d v="2022-06-08T00:00:00"/>
    <n v="1"/>
    <n v="80.69"/>
    <n v="100"/>
  </r>
  <r>
    <x v="4"/>
    <d v="2022-06-08T00:00:00"/>
    <n v="1"/>
    <n v="80.69"/>
    <n v="100"/>
  </r>
  <r>
    <x v="60"/>
    <d v="2022-06-08T00:00:00"/>
    <n v="1"/>
    <n v="189.35"/>
    <n v="222"/>
  </r>
  <r>
    <x v="15"/>
    <d v="2022-06-08T00:00:00"/>
    <n v="1"/>
    <n v="21.21"/>
    <n v="25"/>
  </r>
  <r>
    <x v="15"/>
    <d v="2022-06-08T00:00:00"/>
    <n v="1"/>
    <n v="20.18"/>
    <n v="24"/>
  </r>
  <r>
    <x v="44"/>
    <d v="2022-06-08T00:00:00"/>
    <n v="1"/>
    <n v="15.82"/>
    <n v="20"/>
  </r>
  <r>
    <x v="44"/>
    <d v="2022-06-08T00:00:00"/>
    <n v="1"/>
    <n v="15.82"/>
    <n v="20"/>
  </r>
  <r>
    <x v="20"/>
    <d v="2022-06-08T00:00:00"/>
    <n v="1"/>
    <n v="148.52000000000001"/>
    <n v="178"/>
  </r>
  <r>
    <x v="44"/>
    <d v="2022-06-08T00:00:00"/>
    <n v="1"/>
    <n v="15.8"/>
    <n v="19"/>
  </r>
  <r>
    <x v="129"/>
    <d v="2022-06-08T00:00:00"/>
    <n v="1"/>
    <n v="26.86"/>
    <n v="43"/>
  </r>
  <r>
    <x v="130"/>
    <d v="2022-06-08T00:00:00"/>
    <n v="1"/>
    <n v="72.31"/>
    <n v="90"/>
  </r>
  <r>
    <x v="0"/>
    <d v="2022-06-08T00:00:00"/>
    <n v="1"/>
    <n v="132.63999999999999"/>
    <n v="154"/>
  </r>
  <r>
    <x v="0"/>
    <d v="2022-06-08T00:00:00"/>
    <n v="1"/>
    <n v="132.63999999999999"/>
    <n v="154"/>
  </r>
  <r>
    <x v="36"/>
    <d v="2022-06-08T00:00:00"/>
    <n v="1"/>
    <n v="11.19"/>
    <n v="19"/>
  </r>
  <r>
    <x v="88"/>
    <d v="2022-06-08T00:00:00"/>
    <n v="1"/>
    <n v="71.05"/>
    <n v="101"/>
  </r>
  <r>
    <x v="88"/>
    <d v="2022-06-08T00:00:00"/>
    <n v="1"/>
    <n v="71.05"/>
    <n v="101"/>
  </r>
  <r>
    <x v="124"/>
    <d v="2022-06-08T00:00:00"/>
    <n v="0.08"/>
    <n v="493.92"/>
    <n v="595"/>
  </r>
  <r>
    <x v="15"/>
    <d v="2022-06-08T00:00:00"/>
    <n v="1"/>
    <n v="20.77"/>
    <n v="26"/>
  </r>
  <r>
    <x v="15"/>
    <d v="2022-06-08T00:00:00"/>
    <n v="1"/>
    <n v="20.77"/>
    <n v="26"/>
  </r>
  <r>
    <x v="71"/>
    <d v="2022-06-08T00:00:00"/>
    <n v="1"/>
    <n v="33.950000000000003"/>
    <n v="41"/>
  </r>
  <r>
    <x v="71"/>
    <d v="2022-06-08T00:00:00"/>
    <n v="1"/>
    <n v="33.950000000000003"/>
    <n v="41"/>
  </r>
  <r>
    <x v="21"/>
    <d v="2022-06-08T00:00:00"/>
    <n v="0.1"/>
    <n v="994.43"/>
    <n v="1343"/>
  </r>
  <r>
    <x v="60"/>
    <d v="2022-06-08T00:00:00"/>
    <n v="1"/>
    <n v="189.35"/>
    <n v="222"/>
  </r>
  <r>
    <x v="15"/>
    <d v="2022-06-08T00:00:00"/>
    <n v="1"/>
    <n v="20.72"/>
    <n v="27"/>
  </r>
  <r>
    <x v="15"/>
    <d v="2022-06-08T00:00:00"/>
    <n v="1"/>
    <n v="20.72"/>
    <n v="27"/>
  </r>
  <r>
    <x v="20"/>
    <d v="2022-06-08T00:00:00"/>
    <n v="1"/>
    <n v="148.52000000000001"/>
    <n v="178"/>
  </r>
  <r>
    <x v="0"/>
    <d v="2022-06-08T00:00:00"/>
    <n v="1"/>
    <n v="132.63999999999999"/>
    <n v="159"/>
  </r>
  <r>
    <x v="90"/>
    <d v="2022-06-08T00:00:00"/>
    <n v="0.5"/>
    <n v="113.82"/>
    <n v="173"/>
  </r>
  <r>
    <x v="101"/>
    <d v="2022-06-08T00:00:00"/>
    <n v="1"/>
    <n v="41.84"/>
    <n v="51"/>
  </r>
  <r>
    <x v="53"/>
    <d v="2022-06-08T00:00:00"/>
    <n v="1"/>
    <n v="76.02"/>
    <n v="92"/>
  </r>
  <r>
    <x v="90"/>
    <d v="2022-06-08T00:00:00"/>
    <n v="2.5"/>
    <n v="129.4"/>
    <n v="204"/>
  </r>
  <r>
    <x v="127"/>
    <d v="2022-06-08T00:00:00"/>
    <n v="1"/>
    <n v="61.16"/>
    <n v="90"/>
  </r>
  <r>
    <x v="0"/>
    <d v="2022-06-08T00:00:00"/>
    <n v="1"/>
    <n v="130.04"/>
    <n v="157"/>
  </r>
  <r>
    <x v="78"/>
    <d v="2022-06-08T00:00:00"/>
    <n v="1"/>
    <n v="201.63"/>
    <n v="239"/>
  </r>
  <r>
    <x v="122"/>
    <d v="2022-06-08T00:00:00"/>
    <n v="1"/>
    <n v="120.04"/>
    <n v="167"/>
  </r>
  <r>
    <x v="105"/>
    <d v="2022-06-08T00:00:00"/>
    <n v="1"/>
    <n v="232.26"/>
    <n v="326"/>
  </r>
  <r>
    <x v="22"/>
    <d v="2022-06-08T00:00:00"/>
    <n v="1"/>
    <n v="101.57"/>
    <n v="156"/>
  </r>
  <r>
    <x v="139"/>
    <d v="2022-06-08T00:00:00"/>
    <n v="1"/>
    <n v="51.39"/>
    <n v="73"/>
  </r>
  <r>
    <x v="43"/>
    <d v="2022-06-08T00:00:00"/>
    <n v="1"/>
    <n v="38.82"/>
    <n v="61"/>
  </r>
  <r>
    <x v="18"/>
    <d v="2022-06-08T00:00:00"/>
    <n v="1"/>
    <n v="110.18"/>
    <n v="124"/>
  </r>
  <r>
    <x v="102"/>
    <d v="2022-06-08T00:00:00"/>
    <n v="1"/>
    <n v="71.73"/>
    <n v="88"/>
  </r>
  <r>
    <x v="87"/>
    <d v="2022-06-08T00:00:00"/>
    <n v="1"/>
    <n v="5.26"/>
    <n v="7"/>
  </r>
  <r>
    <x v="95"/>
    <d v="2022-06-08T00:00:00"/>
    <n v="1"/>
    <n v="37.86"/>
    <n v="59"/>
  </r>
  <r>
    <x v="60"/>
    <d v="2022-06-08T00:00:00"/>
    <n v="1"/>
    <n v="186.78"/>
    <n v="219"/>
  </r>
  <r>
    <x v="9"/>
    <d v="2022-06-08T00:00:00"/>
    <n v="0.2"/>
    <n v="444.95"/>
    <n v="615"/>
  </r>
  <r>
    <x v="19"/>
    <d v="2022-06-08T00:00:00"/>
    <n v="1"/>
    <n v="101.95"/>
    <n v="120"/>
  </r>
  <r>
    <x v="19"/>
    <d v="2022-06-08T00:00:00"/>
    <n v="1"/>
    <n v="101.95"/>
    <n v="120"/>
  </r>
  <r>
    <x v="19"/>
    <d v="2022-06-08T00:00:00"/>
    <n v="1"/>
    <n v="101.95"/>
    <n v="120"/>
  </r>
  <r>
    <x v="69"/>
    <d v="2022-06-08T00:00:00"/>
    <n v="1"/>
    <n v="87.84"/>
    <n v="110"/>
  </r>
  <r>
    <x v="69"/>
    <d v="2022-06-08T00:00:00"/>
    <n v="1"/>
    <n v="86.64"/>
    <n v="108"/>
  </r>
  <r>
    <x v="69"/>
    <d v="2022-06-08T00:00:00"/>
    <n v="1"/>
    <n v="86.64"/>
    <n v="108"/>
  </r>
  <r>
    <x v="2"/>
    <d v="2022-06-08T00:00:00"/>
    <n v="1"/>
    <n v="88.74"/>
    <n v="110"/>
  </r>
  <r>
    <x v="19"/>
    <d v="2022-06-08T00:00:00"/>
    <n v="1"/>
    <n v="101.95"/>
    <n v="120"/>
  </r>
  <r>
    <x v="19"/>
    <d v="2022-06-08T00:00:00"/>
    <n v="1"/>
    <n v="101.95"/>
    <n v="120"/>
  </r>
  <r>
    <x v="19"/>
    <d v="2022-06-08T00:00:00"/>
    <n v="1"/>
    <n v="101.95"/>
    <n v="120"/>
  </r>
  <r>
    <x v="19"/>
    <d v="2022-06-08T00:00:00"/>
    <n v="1"/>
    <n v="101.95"/>
    <n v="120"/>
  </r>
  <r>
    <x v="19"/>
    <d v="2022-06-08T00:00:00"/>
    <n v="1"/>
    <n v="101.95"/>
    <n v="120"/>
  </r>
  <r>
    <x v="57"/>
    <d v="2022-06-07T00:00:00"/>
    <n v="1"/>
    <n v="25.6"/>
    <n v="31"/>
  </r>
  <r>
    <x v="115"/>
    <d v="2022-06-07T00:00:00"/>
    <n v="1"/>
    <n v="134"/>
    <n v="187"/>
  </r>
  <r>
    <x v="95"/>
    <d v="2022-06-07T00:00:00"/>
    <n v="1"/>
    <n v="36.99"/>
    <n v="57"/>
  </r>
  <r>
    <x v="35"/>
    <d v="2022-06-07T00:00:00"/>
    <n v="1"/>
    <n v="176.42"/>
    <n v="211"/>
  </r>
  <r>
    <x v="93"/>
    <d v="2022-06-07T00:00:00"/>
    <n v="1"/>
    <n v="111.32"/>
    <n v="133"/>
  </r>
  <r>
    <x v="93"/>
    <d v="2022-06-07T00:00:00"/>
    <n v="1"/>
    <n v="111.32"/>
    <n v="134"/>
  </r>
  <r>
    <x v="45"/>
    <d v="2022-06-07T00:00:00"/>
    <n v="1"/>
    <n v="43.92"/>
    <n v="55"/>
  </r>
  <r>
    <x v="30"/>
    <d v="2022-06-07T00:00:00"/>
    <n v="1"/>
    <n v="32.71"/>
    <n v="50"/>
  </r>
  <r>
    <x v="83"/>
    <d v="2022-06-07T00:00:00"/>
    <n v="0.5"/>
    <n v="133.88"/>
    <n v="204"/>
  </r>
  <r>
    <x v="57"/>
    <d v="2022-06-07T00:00:00"/>
    <n v="1"/>
    <n v="25.6"/>
    <n v="31"/>
  </r>
  <r>
    <x v="94"/>
    <d v="2022-06-07T00:00:00"/>
    <n v="1"/>
    <n v="64.25"/>
    <n v="76"/>
  </r>
  <r>
    <x v="86"/>
    <d v="2022-06-07T00:00:00"/>
    <n v="1"/>
    <n v="34.65"/>
    <n v="57"/>
  </r>
  <r>
    <x v="126"/>
    <d v="2022-06-07T00:00:00"/>
    <n v="1"/>
    <n v="349.8"/>
    <n v="403"/>
  </r>
  <r>
    <x v="2"/>
    <d v="2022-06-07T00:00:00"/>
    <n v="1"/>
    <n v="88.43"/>
    <n v="110"/>
  </r>
  <r>
    <x v="3"/>
    <d v="2022-06-07T00:00:00"/>
    <n v="1"/>
    <n v="42.71"/>
    <n v="70"/>
  </r>
  <r>
    <x v="97"/>
    <d v="2022-06-07T00:00:00"/>
    <n v="1"/>
    <n v="25.43"/>
    <n v="32"/>
  </r>
  <r>
    <x v="97"/>
    <d v="2022-06-07T00:00:00"/>
    <n v="1"/>
    <n v="25.43"/>
    <n v="32"/>
  </r>
  <r>
    <x v="97"/>
    <d v="2022-06-07T00:00:00"/>
    <n v="1"/>
    <n v="25.43"/>
    <n v="32"/>
  </r>
  <r>
    <x v="97"/>
    <d v="2022-06-07T00:00:00"/>
    <n v="1"/>
    <n v="26.8"/>
    <n v="33"/>
  </r>
  <r>
    <x v="127"/>
    <d v="2022-06-07T00:00:00"/>
    <n v="1"/>
    <n v="58.53"/>
    <n v="84"/>
  </r>
  <r>
    <x v="22"/>
    <d v="2022-06-07T00:00:00"/>
    <n v="1"/>
    <n v="101.57"/>
    <n v="156"/>
  </r>
  <r>
    <x v="44"/>
    <d v="2022-06-07T00:00:00"/>
    <n v="1"/>
    <n v="15.82"/>
    <n v="20"/>
  </r>
  <r>
    <x v="99"/>
    <d v="2022-06-07T00:00:00"/>
    <n v="1"/>
    <n v="46.26"/>
    <n v="59"/>
  </r>
  <r>
    <x v="16"/>
    <d v="2022-06-07T00:00:00"/>
    <n v="1"/>
    <n v="184.39"/>
    <n v="257"/>
  </r>
  <r>
    <x v="97"/>
    <d v="2022-06-07T00:00:00"/>
    <n v="1"/>
    <n v="25.44"/>
    <n v="32"/>
  </r>
  <r>
    <x v="4"/>
    <d v="2022-06-07T00:00:00"/>
    <n v="1"/>
    <n v="80.69"/>
    <n v="98"/>
  </r>
  <r>
    <x v="60"/>
    <d v="2022-06-07T00:00:00"/>
    <n v="1"/>
    <n v="187.36"/>
    <n v="220"/>
  </r>
  <r>
    <x v="125"/>
    <d v="2022-06-07T00:00:00"/>
    <n v="1"/>
    <n v="23.56"/>
    <n v="29"/>
  </r>
  <r>
    <x v="23"/>
    <d v="2022-06-07T00:00:00"/>
    <n v="1"/>
    <n v="149.28"/>
    <n v="211"/>
  </r>
  <r>
    <x v="23"/>
    <d v="2022-06-07T00:00:00"/>
    <n v="1"/>
    <n v="149.28"/>
    <n v="211"/>
  </r>
  <r>
    <x v="23"/>
    <d v="2022-06-07T00:00:00"/>
    <n v="1"/>
    <n v="122.75"/>
    <n v="174"/>
  </r>
  <r>
    <x v="17"/>
    <d v="2022-06-07T00:00:00"/>
    <n v="1"/>
    <n v="30.3"/>
    <n v="49"/>
  </r>
  <r>
    <x v="72"/>
    <d v="2022-06-07T00:00:00"/>
    <n v="1"/>
    <n v="60.89"/>
    <n v="76"/>
  </r>
  <r>
    <x v="30"/>
    <d v="2022-06-07T00:00:00"/>
    <n v="1"/>
    <n v="32.71"/>
    <n v="50"/>
  </r>
  <r>
    <x v="72"/>
    <d v="2022-06-07T00:00:00"/>
    <n v="1"/>
    <n v="60.89"/>
    <n v="76"/>
  </r>
  <r>
    <x v="16"/>
    <d v="2022-06-07T00:00:00"/>
    <n v="1"/>
    <n v="184.75"/>
    <n v="250"/>
  </r>
  <r>
    <x v="60"/>
    <d v="2022-06-07T00:00:00"/>
    <n v="1"/>
    <n v="187.74"/>
    <n v="239"/>
  </r>
  <r>
    <x v="65"/>
    <d v="2022-06-07T00:00:00"/>
    <n v="1"/>
    <n v="162.19"/>
    <n v="196"/>
  </r>
  <r>
    <x v="84"/>
    <d v="2022-06-07T00:00:00"/>
    <n v="1"/>
    <n v="86.16"/>
    <n v="123"/>
  </r>
  <r>
    <x v="93"/>
    <d v="2022-06-07T00:00:00"/>
    <n v="1"/>
    <n v="111.32"/>
    <n v="134"/>
  </r>
  <r>
    <x v="63"/>
    <d v="2022-06-07T00:00:00"/>
    <n v="1"/>
    <n v="55.27"/>
    <n v="87"/>
  </r>
  <r>
    <x v="140"/>
    <d v="2022-06-07T00:00:00"/>
    <n v="1"/>
    <n v="25.3"/>
    <n v="31"/>
  </r>
  <r>
    <x v="51"/>
    <d v="2022-06-07T00:00:00"/>
    <n v="1"/>
    <n v="44.56"/>
    <n v="70"/>
  </r>
  <r>
    <x v="51"/>
    <d v="2022-06-07T00:00:00"/>
    <n v="1"/>
    <n v="44.56"/>
    <n v="70"/>
  </r>
  <r>
    <x v="26"/>
    <d v="2022-06-07T00:00:00"/>
    <n v="1"/>
    <n v="13.19"/>
    <n v="18"/>
  </r>
  <r>
    <x v="34"/>
    <d v="2022-06-07T00:00:00"/>
    <n v="5"/>
    <n v="8.58"/>
    <n v="14"/>
  </r>
  <r>
    <x v="72"/>
    <d v="2022-06-07T00:00:00"/>
    <n v="1"/>
    <n v="60.68"/>
    <n v="76"/>
  </r>
  <r>
    <x v="72"/>
    <d v="2022-06-07T00:00:00"/>
    <n v="1"/>
    <n v="60.68"/>
    <n v="76"/>
  </r>
  <r>
    <x v="17"/>
    <d v="2022-06-07T00:00:00"/>
    <n v="1"/>
    <n v="30.3"/>
    <n v="49"/>
  </r>
  <r>
    <x v="126"/>
    <d v="2022-06-07T00:00:00"/>
    <n v="1"/>
    <n v="356.07"/>
    <n v="428"/>
  </r>
  <r>
    <x v="17"/>
    <d v="2022-06-07T00:00:00"/>
    <n v="1"/>
    <n v="30.3"/>
    <n v="49"/>
  </r>
  <r>
    <x v="37"/>
    <d v="2022-06-07T00:00:00"/>
    <n v="1"/>
    <n v="566.04"/>
    <n v="634"/>
  </r>
  <r>
    <x v="37"/>
    <d v="2022-06-07T00:00:00"/>
    <n v="1"/>
    <n v="566.04"/>
    <n v="634"/>
  </r>
  <r>
    <x v="65"/>
    <d v="2022-06-07T00:00:00"/>
    <n v="1"/>
    <n v="168.41"/>
    <n v="203"/>
  </r>
  <r>
    <x v="20"/>
    <d v="2022-06-07T00:00:00"/>
    <n v="1"/>
    <n v="147.55000000000001"/>
    <n v="177"/>
  </r>
  <r>
    <x v="131"/>
    <d v="2022-06-07T00:00:00"/>
    <n v="1"/>
    <n v="286.72000000000003"/>
    <n v="402"/>
  </r>
  <r>
    <x v="120"/>
    <d v="2022-06-07T00:00:00"/>
    <n v="1"/>
    <n v="438.35"/>
    <n v="459"/>
  </r>
  <r>
    <x v="122"/>
    <d v="2022-06-07T00:00:00"/>
    <n v="1"/>
    <n v="128.91999999999999"/>
    <n v="135"/>
  </r>
  <r>
    <x v="126"/>
    <d v="2022-06-07T00:00:00"/>
    <n v="1"/>
    <n v="364.76"/>
    <n v="382"/>
  </r>
  <r>
    <x v="95"/>
    <d v="2022-06-07T00:00:00"/>
    <n v="1"/>
    <n v="37.479999999999997"/>
    <n v="57"/>
  </r>
  <r>
    <x v="95"/>
    <d v="2022-06-07T00:00:00"/>
    <n v="1"/>
    <n v="37.479999999999997"/>
    <n v="57"/>
  </r>
  <r>
    <x v="23"/>
    <d v="2022-06-07T00:00:00"/>
    <n v="1"/>
    <n v="147.97"/>
    <n v="209"/>
  </r>
  <r>
    <x v="140"/>
    <d v="2022-06-07T00:00:00"/>
    <n v="1"/>
    <n v="25.3"/>
    <n v="31"/>
  </r>
  <r>
    <x v="140"/>
    <d v="2022-06-07T00:00:00"/>
    <n v="1"/>
    <n v="25.3"/>
    <n v="31"/>
  </r>
  <r>
    <x v="19"/>
    <d v="2022-06-07T00:00:00"/>
    <n v="1"/>
    <n v="101.95"/>
    <n v="122"/>
  </r>
  <r>
    <x v="41"/>
    <d v="2022-06-07T00:00:00"/>
    <n v="1"/>
    <n v="18.68"/>
    <n v="23"/>
  </r>
  <r>
    <x v="41"/>
    <d v="2022-06-07T00:00:00"/>
    <n v="1"/>
    <n v="18.68"/>
    <n v="23"/>
  </r>
  <r>
    <x v="34"/>
    <d v="2022-06-07T00:00:00"/>
    <n v="2"/>
    <n v="35.409999999999997"/>
    <n v="58"/>
  </r>
  <r>
    <x v="56"/>
    <d v="2022-06-07T00:00:00"/>
    <n v="1"/>
    <n v="32.85"/>
    <n v="50"/>
  </r>
  <r>
    <x v="37"/>
    <d v="2022-06-07T00:00:00"/>
    <n v="1"/>
    <n v="566.04"/>
    <n v="651"/>
  </r>
  <r>
    <x v="63"/>
    <d v="2022-06-07T00:00:00"/>
    <n v="1"/>
    <n v="50.44"/>
    <n v="79"/>
  </r>
  <r>
    <x v="98"/>
    <d v="2022-06-07T00:00:00"/>
    <n v="1"/>
    <n v="46.32"/>
    <n v="72"/>
  </r>
  <r>
    <x v="60"/>
    <d v="2022-06-07T00:00:00"/>
    <n v="1"/>
    <n v="187.74"/>
    <n v="220"/>
  </r>
  <r>
    <x v="118"/>
    <d v="2022-06-07T00:00:00"/>
    <n v="1"/>
    <n v="62.79"/>
    <n v="78"/>
  </r>
  <r>
    <x v="107"/>
    <d v="2022-06-07T00:00:00"/>
    <n v="1"/>
    <n v="291.39"/>
    <n v="311"/>
  </r>
  <r>
    <x v="92"/>
    <d v="2022-06-07T00:00:00"/>
    <n v="1"/>
    <n v="431.34"/>
    <n v="570"/>
  </r>
  <r>
    <x v="131"/>
    <d v="2022-06-07T00:00:00"/>
    <n v="1"/>
    <n v="285.45"/>
    <n v="386"/>
  </r>
  <r>
    <x v="2"/>
    <d v="2022-06-07T00:00:00"/>
    <n v="1"/>
    <n v="88.73"/>
    <n v="104"/>
  </r>
  <r>
    <x v="68"/>
    <d v="2022-06-07T00:00:00"/>
    <n v="1"/>
    <n v="7.82"/>
    <n v="13"/>
  </r>
  <r>
    <x v="95"/>
    <d v="2022-06-07T00:00:00"/>
    <n v="1"/>
    <n v="38.07"/>
    <n v="59"/>
  </r>
  <r>
    <x v="118"/>
    <d v="2022-06-07T00:00:00"/>
    <n v="1"/>
    <n v="62.6"/>
    <n v="78"/>
  </r>
  <r>
    <x v="85"/>
    <d v="2022-06-07T00:00:00"/>
    <n v="1"/>
    <n v="390.04"/>
    <n v="469"/>
  </r>
  <r>
    <x v="14"/>
    <d v="2022-06-07T00:00:00"/>
    <n v="1"/>
    <n v="80.760000000000005"/>
    <n v="101"/>
  </r>
  <r>
    <x v="131"/>
    <d v="2022-06-07T00:00:00"/>
    <n v="1"/>
    <n v="314.16000000000003"/>
    <n v="329"/>
  </r>
  <r>
    <x v="34"/>
    <d v="2022-06-07T00:00:00"/>
    <n v="1"/>
    <n v="8.58"/>
    <n v="14"/>
  </r>
  <r>
    <x v="23"/>
    <d v="2022-06-07T00:00:00"/>
    <n v="1"/>
    <n v="148.91"/>
    <n v="204"/>
  </r>
  <r>
    <x v="45"/>
    <d v="2022-06-07T00:00:00"/>
    <n v="1"/>
    <n v="42.95"/>
    <n v="54"/>
  </r>
  <r>
    <x v="141"/>
    <d v="2022-06-07T00:00:00"/>
    <n v="1"/>
    <n v="410.25"/>
    <n v="460"/>
  </r>
  <r>
    <x v="23"/>
    <d v="2022-06-07T00:00:00"/>
    <n v="1"/>
    <n v="148.91"/>
    <n v="204"/>
  </r>
  <r>
    <x v="81"/>
    <d v="2022-06-07T00:00:00"/>
    <n v="1"/>
    <n v="47.4"/>
    <n v="77"/>
  </r>
  <r>
    <x v="81"/>
    <d v="2022-06-07T00:00:00"/>
    <n v="1"/>
    <n v="47.4"/>
    <n v="77"/>
  </r>
  <r>
    <x v="58"/>
    <d v="2022-06-07T00:00:00"/>
    <n v="1"/>
    <n v="73.3"/>
    <n v="88"/>
  </r>
  <r>
    <x v="46"/>
    <d v="2022-06-07T00:00:00"/>
    <n v="40"/>
    <n v="2.1800000000000002"/>
    <n v="4"/>
  </r>
  <r>
    <x v="2"/>
    <d v="2022-06-07T00:00:00"/>
    <n v="1"/>
    <n v="88.43"/>
    <n v="104"/>
  </r>
  <r>
    <x v="60"/>
    <d v="2022-06-07T00:00:00"/>
    <n v="1"/>
    <n v="187.36"/>
    <n v="220"/>
  </r>
  <r>
    <x v="40"/>
    <d v="2022-06-07T00:00:00"/>
    <n v="1"/>
    <n v="29.69"/>
    <n v="48"/>
  </r>
  <r>
    <x v="38"/>
    <d v="2022-06-07T00:00:00"/>
    <n v="1"/>
    <n v="134.68"/>
    <n v="162"/>
  </r>
  <r>
    <x v="142"/>
    <d v="2022-06-07T00:00:00"/>
    <n v="1"/>
    <n v="120.71"/>
    <n v="132"/>
  </r>
  <r>
    <x v="45"/>
    <d v="2022-06-07T00:00:00"/>
    <n v="1"/>
    <n v="44.53"/>
    <n v="55"/>
  </r>
  <r>
    <x v="52"/>
    <d v="2022-06-07T00:00:00"/>
    <n v="1"/>
    <n v="238.7"/>
    <n v="280"/>
  </r>
  <r>
    <x v="22"/>
    <d v="2022-06-07T00:00:00"/>
    <n v="1"/>
    <n v="101.57"/>
    <n v="156"/>
  </r>
  <r>
    <x v="53"/>
    <d v="2022-06-07T00:00:00"/>
    <n v="1"/>
    <n v="65"/>
    <n v="78"/>
  </r>
  <r>
    <x v="53"/>
    <d v="2022-06-07T00:00:00"/>
    <n v="1"/>
    <n v="65"/>
    <n v="78"/>
  </r>
  <r>
    <x v="60"/>
    <d v="2022-06-07T00:00:00"/>
    <n v="1"/>
    <n v="213.94"/>
    <n v="230"/>
  </r>
  <r>
    <x v="143"/>
    <d v="2022-06-07T00:00:00"/>
    <n v="1"/>
    <n v="36.94"/>
    <n v="57"/>
  </r>
  <r>
    <x v="19"/>
    <d v="2022-06-07T00:00:00"/>
    <n v="1"/>
    <n v="101.95"/>
    <n v="122"/>
  </r>
  <r>
    <x v="3"/>
    <d v="2022-06-07T00:00:00"/>
    <n v="1"/>
    <n v="58.34"/>
    <n v="92"/>
  </r>
  <r>
    <x v="13"/>
    <d v="2022-06-07T00:00:00"/>
    <n v="1"/>
    <n v="46"/>
    <n v="70"/>
  </r>
  <r>
    <x v="13"/>
    <d v="2022-06-07T00:00:00"/>
    <n v="1"/>
    <n v="46"/>
    <n v="70"/>
  </r>
  <r>
    <x v="13"/>
    <d v="2022-06-07T00:00:00"/>
    <n v="1"/>
    <n v="46"/>
    <n v="70"/>
  </r>
  <r>
    <x v="13"/>
    <d v="2022-06-07T00:00:00"/>
    <n v="1"/>
    <n v="46"/>
    <n v="70"/>
  </r>
  <r>
    <x v="13"/>
    <d v="2022-06-07T00:00:00"/>
    <n v="1"/>
    <n v="46"/>
    <n v="70"/>
  </r>
  <r>
    <x v="13"/>
    <d v="2022-06-07T00:00:00"/>
    <n v="1"/>
    <n v="46"/>
    <n v="70"/>
  </r>
  <r>
    <x v="15"/>
    <d v="2022-06-07T00:00:00"/>
    <n v="1"/>
    <n v="19.940000000000001"/>
    <n v="26"/>
  </r>
  <r>
    <x v="15"/>
    <d v="2022-06-07T00:00:00"/>
    <n v="1"/>
    <n v="19.940000000000001"/>
    <n v="26"/>
  </r>
  <r>
    <x v="79"/>
    <d v="2022-06-07T00:00:00"/>
    <n v="1"/>
    <n v="160.57"/>
    <n v="201"/>
  </r>
  <r>
    <x v="79"/>
    <d v="2022-06-07T00:00:00"/>
    <n v="1"/>
    <n v="155.88"/>
    <n v="195"/>
  </r>
  <r>
    <x v="19"/>
    <d v="2022-06-07T00:00:00"/>
    <n v="1"/>
    <n v="103.46"/>
    <n v="121"/>
  </r>
  <r>
    <x v="22"/>
    <d v="2022-06-07T00:00:00"/>
    <n v="1"/>
    <n v="101.57"/>
    <n v="156"/>
  </r>
  <r>
    <x v="36"/>
    <d v="2022-06-07T00:00:00"/>
    <n v="1"/>
    <n v="11.63"/>
    <n v="19"/>
  </r>
  <r>
    <x v="80"/>
    <d v="2022-06-07T00:00:00"/>
    <n v="1"/>
    <n v="15.14"/>
    <n v="24"/>
  </r>
  <r>
    <x v="80"/>
    <d v="2022-06-07T00:00:00"/>
    <n v="1"/>
    <n v="15.14"/>
    <n v="24"/>
  </r>
  <r>
    <x v="11"/>
    <d v="2022-06-07T00:00:00"/>
    <n v="1"/>
    <n v="34.51"/>
    <n v="54"/>
  </r>
  <r>
    <x v="85"/>
    <d v="2022-06-07T00:00:00"/>
    <n v="1"/>
    <n v="390.04"/>
    <n v="480"/>
  </r>
  <r>
    <x v="120"/>
    <d v="2022-06-07T00:00:00"/>
    <n v="1"/>
    <n v="337.22"/>
    <n v="439"/>
  </r>
  <r>
    <x v="18"/>
    <d v="2022-06-07T00:00:00"/>
    <n v="1"/>
    <n v="167.09"/>
    <n v="175"/>
  </r>
  <r>
    <x v="18"/>
    <d v="2022-06-07T00:00:00"/>
    <n v="1"/>
    <n v="167.09"/>
    <n v="175"/>
  </r>
  <r>
    <x v="92"/>
    <d v="2022-06-07T00:00:00"/>
    <n v="1"/>
    <n v="426.67"/>
    <n v="564"/>
  </r>
  <r>
    <x v="94"/>
    <d v="2022-06-07T00:00:00"/>
    <n v="1"/>
    <n v="64.25"/>
    <n v="79"/>
  </r>
  <r>
    <x v="110"/>
    <d v="2022-06-07T00:00:00"/>
    <n v="1"/>
    <n v="71.31"/>
    <n v="90"/>
  </r>
  <r>
    <x v="27"/>
    <d v="2022-06-07T00:00:00"/>
    <n v="0.5"/>
    <n v="100.57"/>
    <n v="154"/>
  </r>
  <r>
    <x v="102"/>
    <d v="2022-06-07T00:00:00"/>
    <n v="1"/>
    <n v="71.03"/>
    <n v="88"/>
  </r>
  <r>
    <x v="11"/>
    <d v="2022-06-07T00:00:00"/>
    <n v="1"/>
    <n v="43.52"/>
    <n v="69"/>
  </r>
  <r>
    <x v="110"/>
    <d v="2022-06-07T00:00:00"/>
    <n v="1"/>
    <n v="71.31"/>
    <n v="90"/>
  </r>
  <r>
    <x v="21"/>
    <d v="2022-06-07T00:00:00"/>
    <n v="0.3"/>
    <n v="984.79"/>
    <n v="1340"/>
  </r>
  <r>
    <x v="72"/>
    <d v="2022-06-07T00:00:00"/>
    <n v="1"/>
    <n v="60.61"/>
    <n v="76"/>
  </r>
  <r>
    <x v="20"/>
    <d v="2022-06-07T00:00:00"/>
    <n v="1"/>
    <n v="147.55000000000001"/>
    <n v="177"/>
  </r>
  <r>
    <x v="31"/>
    <d v="2022-06-07T00:00:00"/>
    <n v="1"/>
    <n v="23.73"/>
    <n v="31"/>
  </r>
  <r>
    <x v="31"/>
    <d v="2022-06-07T00:00:00"/>
    <n v="1"/>
    <n v="23.73"/>
    <n v="31"/>
  </r>
  <r>
    <x v="53"/>
    <d v="2022-06-07T00:00:00"/>
    <n v="1"/>
    <n v="76.02"/>
    <n v="92"/>
  </r>
  <r>
    <x v="53"/>
    <d v="2022-06-07T00:00:00"/>
    <n v="1"/>
    <n v="76.02"/>
    <n v="92"/>
  </r>
  <r>
    <x v="136"/>
    <d v="2022-06-07T00:00:00"/>
    <n v="2"/>
    <n v="12.2"/>
    <n v="20"/>
  </r>
  <r>
    <x v="50"/>
    <d v="2022-06-07T00:00:00"/>
    <n v="1"/>
    <n v="77.45"/>
    <n v="95"/>
  </r>
  <r>
    <x v="116"/>
    <d v="2022-06-07T00:00:00"/>
    <n v="3"/>
    <n v="11.41"/>
    <n v="19"/>
  </r>
  <r>
    <x v="4"/>
    <d v="2022-06-07T00:00:00"/>
    <n v="1"/>
    <n v="80.69"/>
    <n v="100"/>
  </r>
  <r>
    <x v="68"/>
    <d v="2022-06-07T00:00:00"/>
    <n v="1"/>
    <n v="7.82"/>
    <n v="13"/>
  </r>
  <r>
    <x v="83"/>
    <d v="2022-06-07T00:00:00"/>
    <n v="0.5"/>
    <n v="102.08"/>
    <n v="157"/>
  </r>
  <r>
    <x v="17"/>
    <d v="2022-06-07T00:00:00"/>
    <n v="2"/>
    <n v="30.3"/>
    <n v="49"/>
  </r>
  <r>
    <x v="117"/>
    <d v="2022-06-07T00:00:00"/>
    <n v="7.4074100000000004E-2"/>
    <n v="20.59"/>
    <n v="25"/>
  </r>
  <r>
    <x v="117"/>
    <d v="2022-06-07T00:00:00"/>
    <n v="0.92592600000000003"/>
    <n v="20.59"/>
    <n v="25"/>
  </r>
  <r>
    <x v="23"/>
    <d v="2022-06-07T00:00:00"/>
    <n v="7.4074100000000004E-2"/>
    <n v="122.75"/>
    <n v="174"/>
  </r>
  <r>
    <x v="23"/>
    <d v="2022-06-07T00:00:00"/>
    <n v="0.92592600000000003"/>
    <n v="122.75"/>
    <n v="174"/>
  </r>
  <r>
    <x v="44"/>
    <d v="2022-06-07T00:00:00"/>
    <n v="1"/>
    <n v="15.58"/>
    <n v="19"/>
  </r>
  <r>
    <x v="90"/>
    <d v="2022-06-07T00:00:00"/>
    <n v="2"/>
    <n v="110.54"/>
    <n v="174"/>
  </r>
  <r>
    <x v="119"/>
    <d v="2022-06-07T00:00:00"/>
    <n v="1"/>
    <n v="42.47"/>
    <n v="69"/>
  </r>
  <r>
    <x v="50"/>
    <d v="2022-06-07T00:00:00"/>
    <n v="1"/>
    <n v="78.510000000000005"/>
    <n v="96"/>
  </r>
  <r>
    <x v="97"/>
    <d v="2022-06-07T00:00:00"/>
    <n v="1"/>
    <n v="25.97"/>
    <n v="32"/>
  </r>
  <r>
    <x v="48"/>
    <d v="2022-06-07T00:00:00"/>
    <n v="1"/>
    <n v="23.4"/>
    <n v="38"/>
  </r>
  <r>
    <x v="132"/>
    <d v="2022-06-07T00:00:00"/>
    <n v="1"/>
    <n v="6.4"/>
    <n v="11"/>
  </r>
  <r>
    <x v="36"/>
    <d v="2022-06-07T00:00:00"/>
    <n v="4"/>
    <n v="11.19"/>
    <n v="19"/>
  </r>
  <r>
    <x v="24"/>
    <d v="2022-06-07T00:00:00"/>
    <n v="1"/>
    <n v="489.61"/>
    <n v="647"/>
  </r>
  <r>
    <x v="46"/>
    <d v="2022-06-07T00:00:00"/>
    <n v="4"/>
    <n v="2.0099999999999998"/>
    <n v="4"/>
  </r>
  <r>
    <x v="20"/>
    <d v="2022-06-07T00:00:00"/>
    <n v="1"/>
    <n v="146.85"/>
    <n v="177"/>
  </r>
  <r>
    <x v="107"/>
    <d v="2022-06-07T00:00:00"/>
    <n v="1"/>
    <n v="291.39"/>
    <n v="345"/>
  </r>
  <r>
    <x v="23"/>
    <d v="2022-06-07T00:00:00"/>
    <n v="1"/>
    <n v="148.91999999999999"/>
    <n v="207"/>
  </r>
  <r>
    <x v="76"/>
    <d v="2022-06-07T00:00:00"/>
    <n v="1"/>
    <n v="40.14"/>
    <n v="49"/>
  </r>
  <r>
    <x v="50"/>
    <d v="2022-06-07T00:00:00"/>
    <n v="1"/>
    <n v="77.66"/>
    <n v="95"/>
  </r>
  <r>
    <x v="50"/>
    <d v="2022-06-07T00:00:00"/>
    <n v="1"/>
    <n v="77.66"/>
    <n v="95"/>
  </r>
  <r>
    <x v="74"/>
    <d v="2022-06-07T00:00:00"/>
    <n v="1"/>
    <n v="150.77000000000001"/>
    <n v="179"/>
  </r>
  <r>
    <x v="143"/>
    <d v="2022-06-07T00:00:00"/>
    <n v="1"/>
    <n v="36.94"/>
    <n v="57"/>
  </r>
  <r>
    <x v="19"/>
    <d v="2022-06-07T00:00:00"/>
    <n v="1"/>
    <n v="101.95"/>
    <n v="120"/>
  </r>
  <r>
    <x v="54"/>
    <d v="2022-06-07T00:00:00"/>
    <n v="11"/>
    <n v="14.55"/>
    <n v="24"/>
  </r>
  <r>
    <x v="18"/>
    <d v="2022-06-07T00:00:00"/>
    <n v="1"/>
    <n v="126.16"/>
    <n v="141"/>
  </r>
  <r>
    <x v="78"/>
    <d v="2022-06-07T00:00:00"/>
    <n v="1"/>
    <n v="201.72"/>
    <n v="231"/>
  </r>
  <r>
    <x v="78"/>
    <d v="2022-06-07T00:00:00"/>
    <n v="1"/>
    <n v="201.72"/>
    <n v="231"/>
  </r>
  <r>
    <x v="22"/>
    <d v="2022-06-07T00:00:00"/>
    <n v="1"/>
    <n v="101.57"/>
    <n v="156"/>
  </r>
  <r>
    <x v="4"/>
    <d v="2022-06-07T00:00:00"/>
    <n v="1"/>
    <n v="80.69"/>
    <n v="98"/>
  </r>
  <r>
    <x v="87"/>
    <d v="2022-06-07T00:00:00"/>
    <n v="3"/>
    <n v="6.24"/>
    <n v="9"/>
  </r>
  <r>
    <x v="1"/>
    <d v="2022-06-07T00:00:00"/>
    <n v="1"/>
    <n v="460.66"/>
    <n v="576"/>
  </r>
  <r>
    <x v="101"/>
    <d v="2022-06-07T00:00:00"/>
    <n v="1"/>
    <n v="42.24"/>
    <n v="53"/>
  </r>
  <r>
    <x v="4"/>
    <d v="2022-06-07T00:00:00"/>
    <n v="1"/>
    <n v="80.69"/>
    <n v="98"/>
  </r>
  <r>
    <x v="83"/>
    <d v="2022-06-07T00:00:00"/>
    <n v="1"/>
    <n v="106.51"/>
    <n v="163"/>
  </r>
  <r>
    <x v="101"/>
    <d v="2022-06-07T00:00:00"/>
    <n v="1"/>
    <n v="41.13"/>
    <n v="51"/>
  </r>
  <r>
    <x v="110"/>
    <d v="2022-06-07T00:00:00"/>
    <n v="1"/>
    <n v="71.31"/>
    <n v="90"/>
  </r>
  <r>
    <x v="23"/>
    <d v="2022-06-07T00:00:00"/>
    <n v="1"/>
    <n v="148.83000000000001"/>
    <n v="204"/>
  </r>
  <r>
    <x v="34"/>
    <d v="2022-06-07T00:00:00"/>
    <n v="2"/>
    <n v="8.58"/>
    <n v="14"/>
  </r>
  <r>
    <x v="34"/>
    <d v="2022-06-07T00:00:00"/>
    <n v="4"/>
    <n v="8.58"/>
    <n v="14"/>
  </r>
  <r>
    <x v="26"/>
    <d v="2022-06-07T00:00:00"/>
    <n v="1"/>
    <n v="13.36"/>
    <n v="18"/>
  </r>
  <r>
    <x v="26"/>
    <d v="2022-06-07T00:00:00"/>
    <n v="1"/>
    <n v="13.36"/>
    <n v="18"/>
  </r>
  <r>
    <x v="15"/>
    <d v="2022-06-07T00:00:00"/>
    <n v="1"/>
    <n v="19.71"/>
    <n v="26"/>
  </r>
  <r>
    <x v="15"/>
    <d v="2022-06-07T00:00:00"/>
    <n v="1"/>
    <n v="19.71"/>
    <n v="26"/>
  </r>
  <r>
    <x v="38"/>
    <d v="2022-06-07T00:00:00"/>
    <n v="1"/>
    <n v="134.94999999999999"/>
    <n v="162"/>
  </r>
  <r>
    <x v="43"/>
    <d v="2022-06-07T00:00:00"/>
    <n v="1"/>
    <n v="41.47"/>
    <n v="64"/>
  </r>
  <r>
    <x v="43"/>
    <d v="2022-06-07T00:00:00"/>
    <n v="1"/>
    <n v="38.89"/>
    <n v="60"/>
  </r>
  <r>
    <x v="12"/>
    <d v="2022-06-07T00:00:00"/>
    <n v="1"/>
    <n v="393.09"/>
    <n v="472"/>
  </r>
  <r>
    <x v="38"/>
    <d v="2022-06-07T00:00:00"/>
    <n v="1"/>
    <n v="134.09"/>
    <n v="161"/>
  </r>
  <r>
    <x v="24"/>
    <d v="2022-06-07T00:00:00"/>
    <n v="1"/>
    <n v="488.05"/>
    <n v="645"/>
  </r>
  <r>
    <x v="114"/>
    <d v="2022-06-07T00:00:00"/>
    <n v="3.5714299999999997E-2"/>
    <n v="656.19"/>
    <n v="722"/>
  </r>
  <r>
    <x v="61"/>
    <d v="2022-06-07T00:00:00"/>
    <n v="1"/>
    <n v="31.08"/>
    <n v="36"/>
  </r>
  <r>
    <x v="2"/>
    <d v="2022-06-07T00:00:00"/>
    <n v="1"/>
    <n v="88.73"/>
    <n v="104"/>
  </r>
  <r>
    <x v="8"/>
    <d v="2022-06-07T00:00:00"/>
    <n v="1"/>
    <n v="123.83"/>
    <n v="148"/>
  </r>
  <r>
    <x v="45"/>
    <d v="2022-06-07T00:00:00"/>
    <n v="1"/>
    <n v="42.99"/>
    <n v="54"/>
  </r>
  <r>
    <x v="71"/>
    <d v="2022-06-07T00:00:00"/>
    <n v="1"/>
    <n v="30.8"/>
    <n v="38"/>
  </r>
  <r>
    <x v="98"/>
    <d v="2022-06-07T00:00:00"/>
    <n v="1"/>
    <n v="46.32"/>
    <n v="72"/>
  </r>
  <r>
    <x v="98"/>
    <d v="2022-06-07T00:00:00"/>
    <n v="1"/>
    <n v="46.32"/>
    <n v="72"/>
  </r>
  <r>
    <x v="98"/>
    <d v="2022-06-07T00:00:00"/>
    <n v="1"/>
    <n v="46.32"/>
    <n v="72"/>
  </r>
  <r>
    <x v="63"/>
    <d v="2022-06-07T00:00:00"/>
    <n v="1"/>
    <n v="53.57"/>
    <n v="82"/>
  </r>
  <r>
    <x v="80"/>
    <d v="2022-06-07T00:00:00"/>
    <n v="1"/>
    <n v="15.36"/>
    <n v="24"/>
  </r>
  <r>
    <x v="133"/>
    <d v="2022-06-07T00:00:00"/>
    <n v="1"/>
    <n v="46.5"/>
    <n v="75"/>
  </r>
  <r>
    <x v="21"/>
    <d v="2022-06-07T00:00:00"/>
    <n v="1"/>
    <n v="979.4"/>
    <n v="1342"/>
  </r>
  <r>
    <x v="3"/>
    <d v="2022-06-07T00:00:00"/>
    <n v="1"/>
    <n v="47.67"/>
    <n v="77"/>
  </r>
  <r>
    <x v="39"/>
    <d v="2022-06-07T00:00:00"/>
    <n v="1"/>
    <n v="64.53"/>
    <n v="103"/>
  </r>
  <r>
    <x v="99"/>
    <d v="2022-06-07T00:00:00"/>
    <n v="1"/>
    <n v="46.73"/>
    <n v="58"/>
  </r>
  <r>
    <x v="132"/>
    <d v="2022-06-07T00:00:00"/>
    <n v="1"/>
    <n v="8.5"/>
    <n v="14"/>
  </r>
  <r>
    <x v="70"/>
    <d v="2022-06-07T00:00:00"/>
    <n v="0.2"/>
    <n v="463.1"/>
    <n v="649"/>
  </r>
  <r>
    <x v="19"/>
    <d v="2022-06-07T00:00:00"/>
    <n v="1"/>
    <n v="107.76"/>
    <n v="127"/>
  </r>
  <r>
    <x v="86"/>
    <d v="2022-06-07T00:00:00"/>
    <n v="1"/>
    <n v="35.340000000000003"/>
    <n v="58"/>
  </r>
  <r>
    <x v="35"/>
    <d v="2022-06-07T00:00:00"/>
    <n v="1"/>
    <n v="173.09"/>
    <n v="207"/>
  </r>
  <r>
    <x v="60"/>
    <d v="2022-06-07T00:00:00"/>
    <n v="1"/>
    <n v="187.74"/>
    <n v="220"/>
  </r>
  <r>
    <x v="109"/>
    <d v="2022-06-07T00:00:00"/>
    <n v="1"/>
    <n v="74.8"/>
    <n v="94"/>
  </r>
  <r>
    <x v="79"/>
    <d v="2022-06-07T00:00:00"/>
    <n v="1"/>
    <n v="161.47999999999999"/>
    <n v="202"/>
  </r>
  <r>
    <x v="126"/>
    <d v="2022-06-07T00:00:00"/>
    <n v="1"/>
    <n v="358.57"/>
    <n v="413"/>
  </r>
  <r>
    <x v="108"/>
    <d v="2022-06-07T00:00:00"/>
    <n v="1"/>
    <n v="126.69"/>
    <n v="179"/>
  </r>
  <r>
    <x v="12"/>
    <d v="2022-06-07T00:00:00"/>
    <n v="1"/>
    <n v="390.53"/>
    <n v="469"/>
  </r>
  <r>
    <x v="93"/>
    <d v="2022-06-07T00:00:00"/>
    <n v="1"/>
    <n v="111.32"/>
    <n v="134"/>
  </r>
  <r>
    <x v="56"/>
    <d v="2022-06-07T00:00:00"/>
    <n v="1"/>
    <n v="32.979999999999997"/>
    <n v="52"/>
  </r>
  <r>
    <x v="122"/>
    <d v="2022-06-07T00:00:00"/>
    <n v="1"/>
    <n v="119.63"/>
    <n v="164"/>
  </r>
  <r>
    <x v="20"/>
    <d v="2022-06-07T00:00:00"/>
    <n v="1"/>
    <n v="141.47999999999999"/>
    <n v="171"/>
  </r>
  <r>
    <x v="144"/>
    <d v="2022-06-07T00:00:00"/>
    <n v="1"/>
    <n v="201.41"/>
    <n v="268"/>
  </r>
  <r>
    <x v="144"/>
    <d v="2022-06-07T00:00:00"/>
    <n v="1"/>
    <n v="201.41"/>
    <n v="268"/>
  </r>
  <r>
    <x v="91"/>
    <d v="2022-06-07T00:00:00"/>
    <n v="1"/>
    <n v="71.650000000000006"/>
    <n v="107"/>
  </r>
  <r>
    <x v="91"/>
    <d v="2022-06-07T00:00:00"/>
    <n v="1"/>
    <n v="71.650000000000006"/>
    <n v="107"/>
  </r>
  <r>
    <x v="115"/>
    <d v="2022-06-07T00:00:00"/>
    <n v="1"/>
    <n v="132.07"/>
    <n v="192"/>
  </r>
  <r>
    <x v="43"/>
    <d v="2022-06-07T00:00:00"/>
    <n v="1"/>
    <n v="41.47"/>
    <n v="64"/>
  </r>
  <r>
    <x v="133"/>
    <d v="2022-06-07T00:00:00"/>
    <n v="1"/>
    <n v="46.5"/>
    <n v="75"/>
  </r>
  <r>
    <x v="110"/>
    <d v="2022-06-07T00:00:00"/>
    <n v="1"/>
    <n v="71.31"/>
    <n v="88"/>
  </r>
  <r>
    <x v="62"/>
    <d v="2022-06-07T00:00:00"/>
    <n v="1"/>
    <n v="55.36"/>
    <n v="79"/>
  </r>
  <r>
    <x v="99"/>
    <d v="2022-06-07T00:00:00"/>
    <n v="1"/>
    <n v="46.73"/>
    <n v="58"/>
  </r>
  <r>
    <x v="76"/>
    <d v="2022-06-07T00:00:00"/>
    <n v="1"/>
    <n v="43.63"/>
    <n v="54"/>
  </r>
  <r>
    <x v="145"/>
    <d v="2022-06-07T00:00:00"/>
    <n v="2"/>
    <n v="94.8"/>
    <n v="147"/>
  </r>
  <r>
    <x v="2"/>
    <d v="2022-06-07T00:00:00"/>
    <n v="1"/>
    <n v="88.73"/>
    <n v="104"/>
  </r>
  <r>
    <x v="18"/>
    <d v="2022-06-07T00:00:00"/>
    <n v="1"/>
    <n v="110.21"/>
    <n v="124"/>
  </r>
  <r>
    <x v="93"/>
    <d v="2022-06-07T00:00:00"/>
    <n v="1"/>
    <n v="111.48"/>
    <n v="134"/>
  </r>
  <r>
    <x v="76"/>
    <d v="2022-06-07T00:00:00"/>
    <n v="1"/>
    <n v="40.14"/>
    <n v="49"/>
  </r>
  <r>
    <x v="76"/>
    <d v="2022-06-07T00:00:00"/>
    <n v="1"/>
    <n v="40.14"/>
    <n v="49"/>
  </r>
  <r>
    <x v="113"/>
    <d v="2022-06-07T00:00:00"/>
    <n v="1"/>
    <n v="10.78"/>
    <n v="13"/>
  </r>
  <r>
    <x v="113"/>
    <d v="2022-06-07T00:00:00"/>
    <n v="1"/>
    <n v="10.78"/>
    <n v="13"/>
  </r>
  <r>
    <x v="26"/>
    <d v="2022-06-07T00:00:00"/>
    <n v="1"/>
    <n v="13.36"/>
    <n v="18"/>
  </r>
  <r>
    <x v="26"/>
    <d v="2022-06-07T00:00:00"/>
    <n v="1"/>
    <n v="13.36"/>
    <n v="18"/>
  </r>
  <r>
    <x v="26"/>
    <d v="2022-06-07T00:00:00"/>
    <n v="1"/>
    <n v="13.36"/>
    <n v="18"/>
  </r>
  <r>
    <x v="50"/>
    <d v="2022-06-07T00:00:00"/>
    <n v="1"/>
    <n v="77.510000000000005"/>
    <n v="95"/>
  </r>
  <r>
    <x v="50"/>
    <d v="2022-06-07T00:00:00"/>
    <n v="1"/>
    <n v="78.510000000000005"/>
    <n v="96"/>
  </r>
  <r>
    <x v="146"/>
    <d v="2022-06-07T00:00:00"/>
    <n v="1"/>
    <n v="24.24"/>
    <n v="30"/>
  </r>
  <r>
    <x v="91"/>
    <d v="2022-06-07T00:00:00"/>
    <n v="1"/>
    <n v="71.650000000000006"/>
    <n v="102"/>
  </r>
  <r>
    <x v="96"/>
    <d v="2022-06-07T00:00:00"/>
    <n v="1"/>
    <n v="34.25"/>
    <n v="54"/>
  </r>
  <r>
    <x v="96"/>
    <d v="2022-06-07T00:00:00"/>
    <n v="1"/>
    <n v="34.25"/>
    <n v="54"/>
  </r>
  <r>
    <x v="12"/>
    <d v="2022-06-07T00:00:00"/>
    <n v="1"/>
    <n v="393.09"/>
    <n v="472"/>
  </r>
  <r>
    <x v="116"/>
    <d v="2022-06-07T00:00:00"/>
    <n v="1"/>
    <n v="10.4"/>
    <n v="17"/>
  </r>
  <r>
    <x v="6"/>
    <d v="2022-06-07T00:00:00"/>
    <n v="1"/>
    <n v="24.2"/>
    <n v="40"/>
  </r>
  <r>
    <x v="78"/>
    <d v="2022-06-07T00:00:00"/>
    <n v="1"/>
    <n v="207.69"/>
    <n v="246"/>
  </r>
  <r>
    <x v="113"/>
    <d v="2022-06-07T00:00:00"/>
    <n v="1"/>
    <n v="10.78"/>
    <n v="13"/>
  </r>
  <r>
    <x v="113"/>
    <d v="2022-06-07T00:00:00"/>
    <n v="1"/>
    <n v="10.78"/>
    <n v="13"/>
  </r>
  <r>
    <x v="80"/>
    <d v="2022-06-07T00:00:00"/>
    <n v="1"/>
    <n v="15.13"/>
    <n v="23"/>
  </r>
  <r>
    <x v="80"/>
    <d v="2022-06-07T00:00:00"/>
    <n v="1"/>
    <n v="15.13"/>
    <n v="23"/>
  </r>
  <r>
    <x v="18"/>
    <d v="2022-06-07T00:00:00"/>
    <n v="1"/>
    <n v="110.21"/>
    <n v="124"/>
  </r>
  <r>
    <x v="99"/>
    <d v="2022-06-07T00:00:00"/>
    <n v="1"/>
    <n v="45.42"/>
    <n v="57"/>
  </r>
  <r>
    <x v="130"/>
    <d v="2022-06-07T00:00:00"/>
    <n v="1"/>
    <n v="72.319999999999993"/>
    <n v="90"/>
  </r>
  <r>
    <x v="141"/>
    <d v="2022-06-07T00:00:00"/>
    <n v="1"/>
    <n v="407.84"/>
    <n v="457"/>
  </r>
  <r>
    <x v="47"/>
    <d v="2022-06-07T00:00:00"/>
    <n v="1"/>
    <n v="205"/>
    <n v="250"/>
  </r>
  <r>
    <x v="66"/>
    <d v="2022-06-07T00:00:00"/>
    <n v="1"/>
    <n v="54.07"/>
    <n v="77"/>
  </r>
  <r>
    <x v="60"/>
    <d v="2022-06-07T00:00:00"/>
    <n v="1"/>
    <n v="187.36"/>
    <n v="220"/>
  </r>
  <r>
    <x v="129"/>
    <d v="2022-06-07T00:00:00"/>
    <n v="1"/>
    <n v="26.86"/>
    <n v="41"/>
  </r>
  <r>
    <x v="73"/>
    <d v="2022-06-07T00:00:00"/>
    <n v="1"/>
    <n v="67"/>
    <n v="85"/>
  </r>
  <r>
    <x v="9"/>
    <d v="2022-06-07T00:00:00"/>
    <n v="1"/>
    <n v="433.75"/>
    <n v="573"/>
  </r>
  <r>
    <x v="147"/>
    <d v="2022-06-07T00:00:00"/>
    <n v="1"/>
    <n v="106.06"/>
    <n v="133"/>
  </r>
  <r>
    <x v="37"/>
    <d v="2022-06-07T00:00:00"/>
    <n v="1"/>
    <n v="568.22"/>
    <n v="711"/>
  </r>
  <r>
    <x v="15"/>
    <d v="2022-06-07T00:00:00"/>
    <n v="1"/>
    <n v="20.77"/>
    <n v="26"/>
  </r>
  <r>
    <x v="15"/>
    <d v="2022-06-07T00:00:00"/>
    <n v="1"/>
    <n v="20.77"/>
    <n v="26"/>
  </r>
  <r>
    <x v="3"/>
    <d v="2022-06-07T00:00:00"/>
    <n v="1"/>
    <n v="47.58"/>
    <n v="77"/>
  </r>
  <r>
    <x v="52"/>
    <d v="2022-06-07T00:00:00"/>
    <n v="1"/>
    <n v="239.58"/>
    <n v="281"/>
  </r>
  <r>
    <x v="21"/>
    <d v="2022-06-07T00:00:00"/>
    <n v="0.2"/>
    <n v="984.65"/>
    <n v="1271"/>
  </r>
  <r>
    <x v="34"/>
    <d v="2022-06-07T00:00:00"/>
    <n v="6"/>
    <n v="9.8800000000000008"/>
    <n v="16"/>
  </r>
  <r>
    <x v="5"/>
    <d v="2022-06-07T00:00:00"/>
    <n v="1"/>
    <n v="11.67"/>
    <n v="14"/>
  </r>
  <r>
    <x v="5"/>
    <d v="2022-06-07T00:00:00"/>
    <n v="1"/>
    <n v="11.67"/>
    <n v="14"/>
  </r>
  <r>
    <x v="22"/>
    <d v="2022-06-07T00:00:00"/>
    <n v="1"/>
    <n v="101.57"/>
    <n v="156"/>
  </r>
  <r>
    <x v="117"/>
    <d v="2022-06-07T00:00:00"/>
    <n v="1"/>
    <n v="21.07"/>
    <n v="26"/>
  </r>
  <r>
    <x v="117"/>
    <d v="2022-06-07T00:00:00"/>
    <n v="1"/>
    <n v="21.07"/>
    <n v="26"/>
  </r>
  <r>
    <x v="110"/>
    <d v="2022-06-07T00:00:00"/>
    <n v="1"/>
    <n v="71.31"/>
    <n v="90"/>
  </r>
  <r>
    <x v="52"/>
    <d v="2022-06-07T00:00:00"/>
    <n v="1"/>
    <n v="239.58"/>
    <n v="281"/>
  </r>
  <r>
    <x v="3"/>
    <d v="2022-06-07T00:00:00"/>
    <n v="1"/>
    <n v="42.71"/>
    <n v="70"/>
  </r>
  <r>
    <x v="22"/>
    <d v="2022-06-07T00:00:00"/>
    <n v="1"/>
    <n v="102.34"/>
    <n v="157"/>
  </r>
  <r>
    <x v="148"/>
    <d v="2022-06-07T00:00:00"/>
    <n v="1"/>
    <n v="10.119999999999999"/>
    <n v="12"/>
  </r>
  <r>
    <x v="15"/>
    <d v="2022-06-07T00:00:00"/>
    <n v="1"/>
    <n v="30.75"/>
    <n v="41.16"/>
  </r>
  <r>
    <x v="15"/>
    <d v="2022-06-07T00:00:00"/>
    <n v="1"/>
    <n v="30.75"/>
    <n v="41.16"/>
  </r>
  <r>
    <x v="149"/>
    <d v="2022-06-07T00:00:00"/>
    <n v="1"/>
    <n v="131.37"/>
    <n v="145.04"/>
  </r>
  <r>
    <x v="149"/>
    <d v="2022-06-07T00:00:00"/>
    <n v="1"/>
    <n v="131.37"/>
    <n v="145.04"/>
  </r>
  <r>
    <x v="142"/>
    <d v="2022-06-07T00:00:00"/>
    <n v="1"/>
    <n v="135.01"/>
    <n v="196"/>
  </r>
  <r>
    <x v="46"/>
    <d v="2022-06-07T00:00:00"/>
    <n v="4"/>
    <n v="2.29"/>
    <n v="4"/>
  </r>
  <r>
    <x v="46"/>
    <d v="2022-06-07T00:00:00"/>
    <n v="4"/>
    <n v="2.29"/>
    <n v="4"/>
  </r>
  <r>
    <x v="39"/>
    <d v="2022-06-07T00:00:00"/>
    <n v="1"/>
    <n v="68.88"/>
    <n v="109"/>
  </r>
  <r>
    <x v="42"/>
    <d v="2022-06-07T00:00:00"/>
    <n v="1"/>
    <n v="43.45"/>
    <n v="67"/>
  </r>
  <r>
    <x v="117"/>
    <d v="2022-06-07T00:00:00"/>
    <n v="1"/>
    <n v="21.23"/>
    <n v="26"/>
  </r>
  <r>
    <x v="0"/>
    <d v="2022-06-07T00:00:00"/>
    <n v="1"/>
    <n v="146.1"/>
    <n v="173"/>
  </r>
  <r>
    <x v="43"/>
    <d v="2022-06-07T00:00:00"/>
    <n v="1"/>
    <n v="38.82"/>
    <n v="61"/>
  </r>
  <r>
    <x v="31"/>
    <d v="2022-06-07T00:00:00"/>
    <n v="1"/>
    <n v="21.42"/>
    <n v="27"/>
  </r>
  <r>
    <x v="31"/>
    <d v="2022-06-07T00:00:00"/>
    <n v="1"/>
    <n v="21.42"/>
    <n v="27"/>
  </r>
  <r>
    <x v="31"/>
    <d v="2022-06-07T00:00:00"/>
    <n v="1"/>
    <n v="21.42"/>
    <n v="27"/>
  </r>
  <r>
    <x v="31"/>
    <d v="2022-06-07T00:00:00"/>
    <n v="1"/>
    <n v="21.42"/>
    <n v="27"/>
  </r>
  <r>
    <x v="31"/>
    <d v="2022-06-07T00:00:00"/>
    <n v="1"/>
    <n v="21.42"/>
    <n v="27"/>
  </r>
  <r>
    <x v="31"/>
    <d v="2022-06-07T00:00:00"/>
    <n v="1"/>
    <n v="21.42"/>
    <n v="27"/>
  </r>
  <r>
    <x v="77"/>
    <d v="2022-06-07T00:00:00"/>
    <n v="1"/>
    <n v="35.85"/>
    <n v="45"/>
  </r>
  <r>
    <x v="77"/>
    <d v="2022-06-07T00:00:00"/>
    <n v="1"/>
    <n v="36.090000000000003"/>
    <n v="46"/>
  </r>
  <r>
    <x v="77"/>
    <d v="2022-06-07T00:00:00"/>
    <n v="1"/>
    <n v="36.090000000000003"/>
    <n v="46"/>
  </r>
  <r>
    <x v="77"/>
    <d v="2022-06-07T00:00:00"/>
    <n v="1"/>
    <n v="36.090000000000003"/>
    <n v="46"/>
  </r>
  <r>
    <x v="77"/>
    <d v="2022-06-07T00:00:00"/>
    <n v="1"/>
    <n v="36.090000000000003"/>
    <n v="46"/>
  </r>
  <r>
    <x v="77"/>
    <d v="2022-06-07T00:00:00"/>
    <n v="1"/>
    <n v="36.090000000000003"/>
    <n v="46"/>
  </r>
  <r>
    <x v="103"/>
    <d v="2022-06-07T00:00:00"/>
    <n v="1"/>
    <n v="23.57"/>
    <n v="37"/>
  </r>
  <r>
    <x v="103"/>
    <d v="2022-06-07T00:00:00"/>
    <n v="1"/>
    <n v="23.57"/>
    <n v="37"/>
  </r>
  <r>
    <x v="103"/>
    <d v="2022-06-07T00:00:00"/>
    <n v="1"/>
    <n v="23.57"/>
    <n v="37"/>
  </r>
  <r>
    <x v="103"/>
    <d v="2022-06-07T00:00:00"/>
    <n v="1"/>
    <n v="23.57"/>
    <n v="37"/>
  </r>
  <r>
    <x v="103"/>
    <d v="2022-06-07T00:00:00"/>
    <n v="1"/>
    <n v="23.57"/>
    <n v="37"/>
  </r>
  <r>
    <x v="103"/>
    <d v="2022-06-07T00:00:00"/>
    <n v="1"/>
    <n v="23.57"/>
    <n v="37"/>
  </r>
  <r>
    <x v="43"/>
    <d v="2022-06-07T00:00:00"/>
    <n v="1"/>
    <n v="38.99"/>
    <n v="60"/>
  </r>
  <r>
    <x v="108"/>
    <d v="2022-06-07T00:00:00"/>
    <n v="1"/>
    <n v="123.39"/>
    <n v="172"/>
  </r>
  <r>
    <x v="90"/>
    <d v="2022-06-07T00:00:00"/>
    <n v="0.5"/>
    <n v="113.82"/>
    <n v="173"/>
  </r>
  <r>
    <x v="4"/>
    <d v="2022-06-07T00:00:00"/>
    <n v="1"/>
    <n v="80.69"/>
    <n v="98"/>
  </r>
  <r>
    <x v="42"/>
    <d v="2022-06-07T00:00:00"/>
    <n v="1"/>
    <n v="43.08"/>
    <n v="68"/>
  </r>
  <r>
    <x v="42"/>
    <d v="2022-06-07T00:00:00"/>
    <n v="1"/>
    <n v="43.08"/>
    <n v="68"/>
  </r>
  <r>
    <x v="31"/>
    <d v="2022-06-07T00:00:00"/>
    <n v="1"/>
    <n v="26.53"/>
    <n v="34"/>
  </r>
  <r>
    <x v="15"/>
    <d v="2022-06-07T00:00:00"/>
    <n v="1"/>
    <n v="20.72"/>
    <n v="27"/>
  </r>
  <r>
    <x v="15"/>
    <d v="2022-06-07T00:00:00"/>
    <n v="1"/>
    <n v="20.72"/>
    <n v="27"/>
  </r>
  <r>
    <x v="15"/>
    <d v="2022-06-07T00:00:00"/>
    <n v="1"/>
    <n v="20.72"/>
    <n v="27"/>
  </r>
  <r>
    <x v="53"/>
    <d v="2022-06-07T00:00:00"/>
    <n v="1"/>
    <n v="60.5"/>
    <n v="73"/>
  </r>
  <r>
    <x v="124"/>
    <d v="2022-06-07T00:00:00"/>
    <n v="0.04"/>
    <n v="540.89"/>
    <n v="593"/>
  </r>
  <r>
    <x v="87"/>
    <d v="2022-06-07T00:00:00"/>
    <n v="1"/>
    <n v="6.94"/>
    <n v="10"/>
  </r>
  <r>
    <x v="90"/>
    <d v="2022-06-07T00:00:00"/>
    <n v="0.1"/>
    <n v="213.31"/>
    <n v="329"/>
  </r>
  <r>
    <x v="46"/>
    <d v="2022-06-07T00:00:00"/>
    <n v="1"/>
    <n v="2.1800000000000002"/>
    <n v="4"/>
  </r>
  <r>
    <x v="46"/>
    <d v="2022-06-07T00:00:00"/>
    <n v="4"/>
    <n v="1.9"/>
    <n v="3.07"/>
  </r>
  <r>
    <x v="46"/>
    <d v="2022-06-07T00:00:00"/>
    <n v="4"/>
    <n v="1.9"/>
    <n v="3.07"/>
  </r>
  <r>
    <x v="23"/>
    <d v="2022-06-07T00:00:00"/>
    <n v="1"/>
    <n v="122.75"/>
    <n v="174"/>
  </r>
  <r>
    <x v="113"/>
    <d v="2022-06-07T00:00:00"/>
    <n v="1"/>
    <n v="10.78"/>
    <n v="13"/>
  </r>
  <r>
    <x v="18"/>
    <d v="2022-06-07T00:00:00"/>
    <n v="1"/>
    <n v="110.21"/>
    <n v="124"/>
  </r>
  <r>
    <x v="16"/>
    <d v="2022-06-07T00:00:00"/>
    <n v="1"/>
    <n v="184.39"/>
    <n v="260"/>
  </r>
  <r>
    <x v="8"/>
    <d v="2022-06-07T00:00:00"/>
    <n v="1"/>
    <n v="119.04"/>
    <n v="143"/>
  </r>
  <r>
    <x v="15"/>
    <d v="2022-06-07T00:00:00"/>
    <n v="1"/>
    <n v="19.940000000000001"/>
    <n v="26"/>
  </r>
  <r>
    <x v="42"/>
    <d v="2022-06-07T00:00:00"/>
    <n v="1"/>
    <n v="43.08"/>
    <n v="66"/>
  </r>
  <r>
    <x v="116"/>
    <d v="2022-06-07T00:00:00"/>
    <n v="1"/>
    <n v="10.4"/>
    <n v="17"/>
  </r>
  <r>
    <x v="142"/>
    <d v="2022-06-07T00:00:00"/>
    <n v="1"/>
    <n v="135.02000000000001"/>
    <n v="185"/>
  </r>
  <r>
    <x v="17"/>
    <d v="2022-06-07T00:00:00"/>
    <n v="1"/>
    <n v="30.3"/>
    <n v="49"/>
  </r>
  <r>
    <x v="4"/>
    <d v="2022-06-07T00:00:00"/>
    <n v="1"/>
    <n v="80.69"/>
    <n v="100"/>
  </r>
  <r>
    <x v="6"/>
    <d v="2022-06-07T00:00:00"/>
    <n v="1"/>
    <n v="24.2"/>
    <n v="39"/>
  </r>
  <r>
    <x v="5"/>
    <d v="2022-06-07T00:00:00"/>
    <n v="1"/>
    <n v="11.67"/>
    <n v="14"/>
  </r>
  <r>
    <x v="22"/>
    <d v="2022-06-07T00:00:00"/>
    <n v="1"/>
    <n v="101.57"/>
    <n v="156"/>
  </r>
  <r>
    <x v="117"/>
    <d v="2022-06-07T00:00:00"/>
    <n v="1"/>
    <n v="20.75"/>
    <n v="25"/>
  </r>
  <r>
    <x v="47"/>
    <d v="2022-06-07T00:00:00"/>
    <n v="1"/>
    <n v="203.5"/>
    <n v="249"/>
  </r>
  <r>
    <x v="143"/>
    <d v="2022-06-06T00:00:00"/>
    <n v="1"/>
    <n v="36.94"/>
    <n v="57"/>
  </r>
  <r>
    <x v="143"/>
    <d v="2022-06-06T00:00:00"/>
    <n v="1"/>
    <n v="36.94"/>
    <n v="57"/>
  </r>
  <r>
    <x v="47"/>
    <d v="2022-06-06T00:00:00"/>
    <n v="1"/>
    <n v="204.8"/>
    <n v="246"/>
  </r>
  <r>
    <x v="51"/>
    <d v="2022-06-06T00:00:00"/>
    <n v="1"/>
    <n v="44.58"/>
    <n v="68"/>
  </r>
  <r>
    <x v="25"/>
    <d v="2022-06-06T00:00:00"/>
    <n v="1"/>
    <n v="156.19999999999999"/>
    <n v="186"/>
  </r>
  <r>
    <x v="97"/>
    <d v="2022-06-06T00:00:00"/>
    <n v="1"/>
    <n v="30.22"/>
    <n v="36"/>
  </r>
  <r>
    <x v="3"/>
    <d v="2022-06-06T00:00:00"/>
    <n v="2"/>
    <n v="47.83"/>
    <n v="78"/>
  </r>
  <r>
    <x v="97"/>
    <d v="2022-06-06T00:00:00"/>
    <n v="1"/>
    <n v="25.97"/>
    <n v="32"/>
  </r>
  <r>
    <x v="83"/>
    <d v="2022-06-06T00:00:00"/>
    <n v="1"/>
    <n v="114.08"/>
    <n v="175"/>
  </r>
  <r>
    <x v="119"/>
    <d v="2022-06-06T00:00:00"/>
    <n v="1"/>
    <n v="48.86"/>
    <n v="79"/>
  </r>
  <r>
    <x v="120"/>
    <d v="2022-06-06T00:00:00"/>
    <n v="1"/>
    <n v="337.22"/>
    <n v="439"/>
  </r>
  <r>
    <x v="69"/>
    <d v="2022-06-06T00:00:00"/>
    <n v="1"/>
    <n v="87.69"/>
    <n v="112"/>
  </r>
  <r>
    <x v="5"/>
    <d v="2022-06-06T00:00:00"/>
    <n v="1"/>
    <n v="11.67"/>
    <n v="14"/>
  </r>
  <r>
    <x v="17"/>
    <d v="2022-06-06T00:00:00"/>
    <n v="1"/>
    <n v="30.3"/>
    <n v="49"/>
  </r>
  <r>
    <x v="70"/>
    <d v="2022-06-06T00:00:00"/>
    <n v="0.2"/>
    <n v="463.1"/>
    <n v="649"/>
  </r>
  <r>
    <x v="150"/>
    <d v="2022-06-06T00:00:00"/>
    <n v="0.2"/>
    <n v="498.53"/>
    <n v="698"/>
  </r>
  <r>
    <x v="91"/>
    <d v="2022-06-06T00:00:00"/>
    <n v="1"/>
    <n v="70.930000000000007"/>
    <n v="101"/>
  </r>
  <r>
    <x v="40"/>
    <d v="2022-06-06T00:00:00"/>
    <n v="2"/>
    <n v="28.21"/>
    <n v="49"/>
  </r>
  <r>
    <x v="136"/>
    <d v="2022-06-06T00:00:00"/>
    <n v="1"/>
    <n v="12.2"/>
    <n v="21"/>
  </r>
  <r>
    <x v="16"/>
    <d v="2022-06-06T00:00:00"/>
    <n v="1"/>
    <n v="184.39"/>
    <n v="260"/>
  </r>
  <r>
    <x v="21"/>
    <d v="2022-06-06T00:00:00"/>
    <n v="0.1"/>
    <n v="979.4"/>
    <n v="1293"/>
  </r>
  <r>
    <x v="40"/>
    <d v="2022-06-06T00:00:00"/>
    <n v="1"/>
    <n v="28.82"/>
    <n v="50"/>
  </r>
  <r>
    <x v="83"/>
    <d v="2022-06-06T00:00:00"/>
    <n v="2"/>
    <n v="133.88"/>
    <n v="204"/>
  </r>
  <r>
    <x v="54"/>
    <d v="2022-06-06T00:00:00"/>
    <n v="5"/>
    <n v="14.14"/>
    <n v="23"/>
  </r>
  <r>
    <x v="54"/>
    <d v="2022-06-06T00:00:00"/>
    <n v="3"/>
    <n v="14.76"/>
    <n v="24"/>
  </r>
  <r>
    <x v="14"/>
    <d v="2022-06-06T00:00:00"/>
    <n v="1"/>
    <n v="81.290000000000006"/>
    <n v="103"/>
  </r>
  <r>
    <x v="14"/>
    <d v="2022-06-06T00:00:00"/>
    <n v="1"/>
    <n v="81.290000000000006"/>
    <n v="103"/>
  </r>
  <r>
    <x v="34"/>
    <d v="2022-06-06T00:00:00"/>
    <n v="2"/>
    <n v="8.58"/>
    <n v="14"/>
  </r>
  <r>
    <x v="140"/>
    <d v="2022-06-06T00:00:00"/>
    <n v="1"/>
    <n v="25.3"/>
    <n v="31"/>
  </r>
  <r>
    <x v="48"/>
    <d v="2022-06-06T00:00:00"/>
    <n v="1"/>
    <n v="23.4"/>
    <n v="38"/>
  </r>
  <r>
    <x v="54"/>
    <d v="2022-06-06T00:00:00"/>
    <n v="1"/>
    <n v="16.97"/>
    <n v="28"/>
  </r>
  <r>
    <x v="54"/>
    <d v="2022-06-06T00:00:00"/>
    <n v="1"/>
    <n v="14.76"/>
    <n v="24"/>
  </r>
  <r>
    <x v="65"/>
    <d v="2022-06-06T00:00:00"/>
    <n v="1"/>
    <n v="164.67"/>
    <n v="210"/>
  </r>
  <r>
    <x v="46"/>
    <d v="2022-06-06T00:00:00"/>
    <n v="4"/>
    <n v="2.0099999999999998"/>
    <n v="4"/>
  </r>
  <r>
    <x v="46"/>
    <d v="2022-06-06T00:00:00"/>
    <n v="4"/>
    <n v="2.0099999999999998"/>
    <n v="4"/>
  </r>
  <r>
    <x v="15"/>
    <d v="2022-06-06T00:00:00"/>
    <n v="1"/>
    <n v="20.72"/>
    <n v="27"/>
  </r>
  <r>
    <x v="26"/>
    <d v="2022-06-06T00:00:00"/>
    <n v="1"/>
    <n v="14.1"/>
    <n v="19"/>
  </r>
  <r>
    <x v="26"/>
    <d v="2022-06-06T00:00:00"/>
    <n v="1"/>
    <n v="14.1"/>
    <n v="19"/>
  </r>
  <r>
    <x v="19"/>
    <d v="2022-06-06T00:00:00"/>
    <n v="1"/>
    <n v="103.5"/>
    <n v="119"/>
  </r>
  <r>
    <x v="49"/>
    <d v="2022-06-06T00:00:00"/>
    <n v="1"/>
    <n v="643.5"/>
    <n v="831"/>
  </r>
  <r>
    <x v="133"/>
    <d v="2022-06-06T00:00:00"/>
    <n v="2"/>
    <n v="46.5"/>
    <n v="76"/>
  </r>
  <r>
    <x v="133"/>
    <d v="2022-06-06T00:00:00"/>
    <n v="1"/>
    <n v="46.5"/>
    <n v="76"/>
  </r>
  <r>
    <x v="119"/>
    <d v="2022-06-06T00:00:00"/>
    <n v="2"/>
    <n v="48.86"/>
    <n v="79"/>
  </r>
  <r>
    <x v="84"/>
    <d v="2022-06-06T00:00:00"/>
    <n v="1"/>
    <n v="81.17"/>
    <n v="116"/>
  </r>
  <r>
    <x v="100"/>
    <d v="2022-06-06T00:00:00"/>
    <n v="2"/>
    <n v="28.45"/>
    <n v="47"/>
  </r>
  <r>
    <x v="61"/>
    <d v="2022-06-06T00:00:00"/>
    <n v="1"/>
    <n v="30.56"/>
    <n v="36"/>
  </r>
  <r>
    <x v="80"/>
    <d v="2022-06-06T00:00:00"/>
    <n v="1"/>
    <n v="15.51"/>
    <n v="25"/>
  </r>
  <r>
    <x v="42"/>
    <d v="2022-06-06T00:00:00"/>
    <n v="1"/>
    <n v="43"/>
    <n v="67"/>
  </r>
  <r>
    <x v="42"/>
    <d v="2022-06-06T00:00:00"/>
    <n v="1"/>
    <n v="43"/>
    <n v="67"/>
  </r>
  <r>
    <x v="1"/>
    <d v="2022-06-06T00:00:00"/>
    <n v="0.6"/>
    <n v="460.59"/>
    <n v="576"/>
  </r>
  <r>
    <x v="80"/>
    <d v="2022-06-06T00:00:00"/>
    <n v="1"/>
    <n v="14.82"/>
    <n v="24"/>
  </r>
  <r>
    <x v="80"/>
    <d v="2022-06-06T00:00:00"/>
    <n v="1"/>
    <n v="17.23"/>
    <n v="28"/>
  </r>
  <r>
    <x v="72"/>
    <d v="2022-06-06T00:00:00"/>
    <n v="1"/>
    <n v="61.89"/>
    <n v="77"/>
  </r>
  <r>
    <x v="2"/>
    <d v="2022-06-06T00:00:00"/>
    <n v="1"/>
    <n v="88.07"/>
    <n v="104"/>
  </r>
  <r>
    <x v="91"/>
    <d v="2022-06-06T00:00:00"/>
    <n v="1"/>
    <n v="71.650000000000006"/>
    <n v="102"/>
  </r>
  <r>
    <x v="34"/>
    <d v="2022-06-06T00:00:00"/>
    <n v="2"/>
    <n v="9.9499999999999993"/>
    <n v="17"/>
  </r>
  <r>
    <x v="1"/>
    <d v="2022-06-06T00:00:00"/>
    <n v="0.2"/>
    <n v="472.13"/>
    <n v="591"/>
  </r>
  <r>
    <x v="117"/>
    <d v="2022-06-06T00:00:00"/>
    <n v="1"/>
    <n v="21.07"/>
    <n v="26"/>
  </r>
  <r>
    <x v="44"/>
    <d v="2022-06-06T00:00:00"/>
    <n v="1"/>
    <n v="15.82"/>
    <n v="20"/>
  </r>
  <r>
    <x v="136"/>
    <d v="2022-06-06T00:00:00"/>
    <n v="5"/>
    <n v="12.16"/>
    <n v="20"/>
  </r>
  <r>
    <x v="16"/>
    <d v="2022-06-06T00:00:00"/>
    <n v="1"/>
    <n v="184.39"/>
    <n v="260"/>
  </r>
  <r>
    <x v="52"/>
    <d v="2022-06-06T00:00:00"/>
    <n v="1"/>
    <n v="233.06"/>
    <n v="273"/>
  </r>
  <r>
    <x v="150"/>
    <d v="2022-06-06T00:00:00"/>
    <n v="0.12"/>
    <n v="495.72"/>
    <n v="754"/>
  </r>
  <r>
    <x v="21"/>
    <d v="2022-06-06T00:00:00"/>
    <n v="0.1"/>
    <n v="984.65"/>
    <n v="1271"/>
  </r>
  <r>
    <x v="116"/>
    <d v="2022-06-06T00:00:00"/>
    <n v="2"/>
    <n v="9.86"/>
    <n v="16"/>
  </r>
  <r>
    <x v="88"/>
    <d v="2022-06-06T00:00:00"/>
    <n v="1"/>
    <n v="84.22"/>
    <n v="124"/>
  </r>
  <r>
    <x v="19"/>
    <d v="2022-06-06T00:00:00"/>
    <n v="1"/>
    <n v="101.95"/>
    <n v="122"/>
  </r>
  <r>
    <x v="27"/>
    <d v="2022-06-06T00:00:00"/>
    <n v="2"/>
    <n v="112.79"/>
    <n v="172"/>
  </r>
  <r>
    <x v="59"/>
    <d v="2022-06-06T00:00:00"/>
    <n v="1"/>
    <n v="200.89"/>
    <n v="266"/>
  </r>
  <r>
    <x v="19"/>
    <d v="2022-06-06T00:00:00"/>
    <n v="1"/>
    <n v="101.12"/>
    <n v="113.68"/>
  </r>
  <r>
    <x v="80"/>
    <d v="2022-06-06T00:00:00"/>
    <n v="1"/>
    <n v="17.23"/>
    <n v="28"/>
  </r>
  <r>
    <x v="24"/>
    <d v="2022-06-06T00:00:00"/>
    <n v="1"/>
    <n v="481.17"/>
    <n v="650"/>
  </r>
  <r>
    <x v="48"/>
    <d v="2022-06-06T00:00:00"/>
    <n v="1"/>
    <n v="23.4"/>
    <n v="38"/>
  </r>
  <r>
    <x v="112"/>
    <d v="2022-06-06T00:00:00"/>
    <n v="1"/>
    <n v="23.14"/>
    <n v="28"/>
  </r>
  <r>
    <x v="2"/>
    <d v="2022-06-06T00:00:00"/>
    <n v="1"/>
    <n v="88.86"/>
    <n v="104"/>
  </r>
  <r>
    <x v="93"/>
    <d v="2022-06-06T00:00:00"/>
    <n v="1"/>
    <n v="111.32"/>
    <n v="134"/>
  </r>
  <r>
    <x v="135"/>
    <d v="2022-06-06T00:00:00"/>
    <n v="1"/>
    <n v="156.22999999999999"/>
    <n v="188"/>
  </r>
  <r>
    <x v="142"/>
    <d v="2022-06-06T00:00:00"/>
    <n v="1"/>
    <n v="132.15"/>
    <n v="187"/>
  </r>
  <r>
    <x v="54"/>
    <d v="2022-06-06T00:00:00"/>
    <n v="5"/>
    <n v="14.55"/>
    <n v="24"/>
  </r>
  <r>
    <x v="4"/>
    <d v="2022-06-06T00:00:00"/>
    <n v="1"/>
    <n v="81.87"/>
    <n v="99"/>
  </r>
  <r>
    <x v="131"/>
    <d v="2022-06-06T00:00:00"/>
    <n v="1"/>
    <n v="286.72000000000003"/>
    <n v="379"/>
  </r>
  <r>
    <x v="90"/>
    <d v="2022-06-06T00:00:00"/>
    <n v="1"/>
    <n v="110.52"/>
    <n v="168"/>
  </r>
  <r>
    <x v="21"/>
    <d v="2022-06-06T00:00:00"/>
    <n v="0.3"/>
    <n v="979.4"/>
    <n v="1293"/>
  </r>
  <r>
    <x v="136"/>
    <d v="2022-06-06T00:00:00"/>
    <n v="1"/>
    <n v="12.16"/>
    <n v="20"/>
  </r>
  <r>
    <x v="110"/>
    <d v="2022-06-06T00:00:00"/>
    <n v="1"/>
    <n v="71.02"/>
    <n v="88"/>
  </r>
  <r>
    <x v="45"/>
    <d v="2022-06-06T00:00:00"/>
    <n v="1"/>
    <n v="43.92"/>
    <n v="55"/>
  </r>
  <r>
    <x v="3"/>
    <d v="2022-06-06T00:00:00"/>
    <n v="1"/>
    <n v="47.77"/>
    <n v="78"/>
  </r>
  <r>
    <x v="1"/>
    <d v="2022-06-06T00:00:00"/>
    <n v="0.2"/>
    <n v="460.59"/>
    <n v="576"/>
  </r>
  <r>
    <x v="41"/>
    <d v="2022-06-06T00:00:00"/>
    <n v="1"/>
    <n v="19.440000000000001"/>
    <n v="23"/>
  </r>
  <r>
    <x v="7"/>
    <d v="2022-06-06T00:00:00"/>
    <n v="1"/>
    <n v="56.39"/>
    <n v="70"/>
  </r>
  <r>
    <x v="7"/>
    <d v="2022-06-06T00:00:00"/>
    <n v="1"/>
    <n v="56.39"/>
    <n v="70"/>
  </r>
  <r>
    <x v="68"/>
    <d v="2022-06-06T00:00:00"/>
    <n v="2"/>
    <n v="7.82"/>
    <n v="13"/>
  </r>
  <r>
    <x v="12"/>
    <d v="2022-06-06T00:00:00"/>
    <n v="1"/>
    <n v="387.04"/>
    <n v="465"/>
  </r>
  <r>
    <x v="104"/>
    <d v="2022-06-06T00:00:00"/>
    <n v="1"/>
    <n v="87.07"/>
    <n v="98"/>
  </r>
  <r>
    <x v="104"/>
    <d v="2022-06-06T00:00:00"/>
    <n v="1"/>
    <n v="87.07"/>
    <n v="98"/>
  </r>
  <r>
    <x v="104"/>
    <d v="2022-06-06T00:00:00"/>
    <n v="1"/>
    <n v="88.25"/>
    <n v="99"/>
  </r>
  <r>
    <x v="104"/>
    <d v="2022-06-06T00:00:00"/>
    <n v="1"/>
    <n v="88.25"/>
    <n v="99"/>
  </r>
  <r>
    <x v="151"/>
    <d v="2022-06-06T00:00:00"/>
    <n v="1"/>
    <n v="254.03"/>
    <n v="336"/>
  </r>
  <r>
    <x v="29"/>
    <d v="2022-06-06T00:00:00"/>
    <n v="1"/>
    <n v="201.73"/>
    <n v="232"/>
  </r>
  <r>
    <x v="26"/>
    <d v="2022-06-06T00:00:00"/>
    <n v="1"/>
    <n v="13.36"/>
    <n v="18"/>
  </r>
  <r>
    <x v="26"/>
    <d v="2022-06-06T00:00:00"/>
    <n v="1"/>
    <n v="13.36"/>
    <n v="18"/>
  </r>
  <r>
    <x v="26"/>
    <d v="2022-06-06T00:00:00"/>
    <n v="1"/>
    <n v="13.36"/>
    <n v="18"/>
  </r>
  <r>
    <x v="7"/>
    <d v="2022-06-06T00:00:00"/>
    <n v="1"/>
    <n v="56.39"/>
    <n v="70"/>
  </r>
  <r>
    <x v="7"/>
    <d v="2022-06-06T00:00:00"/>
    <n v="1"/>
    <n v="56.39"/>
    <n v="70"/>
  </r>
  <r>
    <x v="67"/>
    <d v="2022-06-06T00:00:00"/>
    <n v="1"/>
    <n v="556.51"/>
    <n v="735"/>
  </r>
  <r>
    <x v="2"/>
    <d v="2022-06-06T00:00:00"/>
    <n v="1"/>
    <n v="88.43"/>
    <n v="110"/>
  </r>
  <r>
    <x v="60"/>
    <d v="2022-06-06T00:00:00"/>
    <n v="1"/>
    <n v="187.36"/>
    <n v="220"/>
  </r>
  <r>
    <x v="8"/>
    <d v="2022-06-06T00:00:00"/>
    <n v="1"/>
    <n v="119.06"/>
    <n v="146"/>
  </r>
  <r>
    <x v="34"/>
    <d v="2022-06-06T00:00:00"/>
    <n v="5"/>
    <n v="8.58"/>
    <n v="14"/>
  </r>
  <r>
    <x v="46"/>
    <d v="2022-06-06T00:00:00"/>
    <n v="4"/>
    <n v="2.1800000000000002"/>
    <n v="4"/>
  </r>
  <r>
    <x v="3"/>
    <d v="2022-06-06T00:00:00"/>
    <n v="3"/>
    <n v="47.58"/>
    <n v="77"/>
  </r>
  <r>
    <x v="3"/>
    <d v="2022-06-06T00:00:00"/>
    <n v="2"/>
    <n v="47.82"/>
    <n v="77"/>
  </r>
  <r>
    <x v="109"/>
    <d v="2022-06-06T00:00:00"/>
    <n v="1"/>
    <n v="74.8"/>
    <n v="92"/>
  </r>
  <r>
    <x v="83"/>
    <d v="2022-06-06T00:00:00"/>
    <n v="1"/>
    <n v="123.98"/>
    <n v="195"/>
  </r>
  <r>
    <x v="101"/>
    <d v="2022-06-06T00:00:00"/>
    <n v="1"/>
    <n v="41.5"/>
    <n v="51"/>
  </r>
  <r>
    <x v="101"/>
    <d v="2022-06-06T00:00:00"/>
    <n v="1"/>
    <n v="41.5"/>
    <n v="51"/>
  </r>
  <r>
    <x v="21"/>
    <d v="2022-06-06T00:00:00"/>
    <n v="0.1"/>
    <n v="986.58"/>
    <n v="1352"/>
  </r>
  <r>
    <x v="147"/>
    <d v="2022-06-06T00:00:00"/>
    <n v="1"/>
    <n v="111.18"/>
    <n v="139"/>
  </r>
  <r>
    <x v="10"/>
    <d v="2022-06-06T00:00:00"/>
    <n v="1"/>
    <n v="37.85"/>
    <n v="62"/>
  </r>
  <r>
    <x v="34"/>
    <d v="2022-06-06T00:00:00"/>
    <n v="2"/>
    <n v="9.8800000000000008"/>
    <n v="16"/>
  </r>
  <r>
    <x v="34"/>
    <d v="2022-06-06T00:00:00"/>
    <n v="1"/>
    <n v="9.8800000000000008"/>
    <n v="16"/>
  </r>
  <r>
    <x v="80"/>
    <d v="2022-06-06T00:00:00"/>
    <n v="1"/>
    <n v="15.36"/>
    <n v="24"/>
  </r>
  <r>
    <x v="41"/>
    <d v="2022-06-06T00:00:00"/>
    <n v="1"/>
    <n v="18.79"/>
    <n v="23"/>
  </r>
  <r>
    <x v="34"/>
    <d v="2022-06-06T00:00:00"/>
    <n v="1"/>
    <n v="8.58"/>
    <n v="14"/>
  </r>
  <r>
    <x v="129"/>
    <d v="2022-06-06T00:00:00"/>
    <n v="1"/>
    <n v="26.87"/>
    <n v="41"/>
  </r>
  <r>
    <x v="40"/>
    <d v="2022-06-06T00:00:00"/>
    <n v="2"/>
    <n v="28.85"/>
    <n v="47"/>
  </r>
  <r>
    <x v="54"/>
    <d v="2022-06-06T00:00:00"/>
    <n v="1"/>
    <n v="16.78"/>
    <n v="28"/>
  </r>
  <r>
    <x v="68"/>
    <d v="2022-06-06T00:00:00"/>
    <n v="2"/>
    <n v="7.82"/>
    <n v="13"/>
  </r>
  <r>
    <x v="88"/>
    <d v="2022-06-06T00:00:00"/>
    <n v="1"/>
    <n v="71.05"/>
    <n v="106"/>
  </r>
  <r>
    <x v="51"/>
    <d v="2022-06-06T00:00:00"/>
    <n v="1"/>
    <n v="44.9"/>
    <n v="69"/>
  </r>
  <r>
    <x v="20"/>
    <d v="2022-06-06T00:00:00"/>
    <n v="1"/>
    <n v="141.47999999999999"/>
    <n v="171"/>
  </r>
  <r>
    <x v="20"/>
    <d v="2022-06-06T00:00:00"/>
    <n v="1"/>
    <n v="141.47999999999999"/>
    <n v="171"/>
  </r>
  <r>
    <x v="52"/>
    <d v="2022-06-06T00:00:00"/>
    <n v="1"/>
    <n v="233.74"/>
    <n v="274"/>
  </r>
  <r>
    <x v="40"/>
    <d v="2022-06-06T00:00:00"/>
    <n v="1"/>
    <n v="28.21"/>
    <n v="46"/>
  </r>
  <r>
    <x v="70"/>
    <d v="2022-06-06T00:00:00"/>
    <n v="0.26"/>
    <n v="464.4"/>
    <n v="706"/>
  </r>
  <r>
    <x v="93"/>
    <d v="2022-06-06T00:00:00"/>
    <n v="1"/>
    <n v="111.32"/>
    <n v="134"/>
  </r>
  <r>
    <x v="117"/>
    <d v="2022-06-06T00:00:00"/>
    <n v="1"/>
    <n v="21.23"/>
    <n v="26"/>
  </r>
  <r>
    <x v="20"/>
    <d v="2022-06-06T00:00:00"/>
    <n v="1"/>
    <n v="146.85"/>
    <n v="177"/>
  </r>
  <r>
    <x v="23"/>
    <d v="2022-06-06T00:00:00"/>
    <n v="1"/>
    <n v="148.91"/>
    <n v="207"/>
  </r>
  <r>
    <x v="95"/>
    <d v="2022-06-06T00:00:00"/>
    <n v="1"/>
    <n v="38.07"/>
    <n v="59"/>
  </r>
  <r>
    <x v="132"/>
    <d v="2022-06-06T00:00:00"/>
    <n v="1"/>
    <n v="9"/>
    <n v="16"/>
  </r>
  <r>
    <x v="50"/>
    <d v="2022-06-06T00:00:00"/>
    <n v="1"/>
    <n v="77.67"/>
    <n v="95"/>
  </r>
  <r>
    <x v="53"/>
    <d v="2022-06-06T00:00:00"/>
    <n v="1"/>
    <n v="84.36"/>
    <n v="102"/>
  </r>
  <r>
    <x v="53"/>
    <d v="2022-06-06T00:00:00"/>
    <n v="1"/>
    <n v="84.36"/>
    <n v="102"/>
  </r>
  <r>
    <x v="21"/>
    <d v="2022-06-06T00:00:00"/>
    <n v="0.1"/>
    <n v="986.58"/>
    <n v="1352"/>
  </r>
  <r>
    <x v="114"/>
    <d v="2022-06-06T00:00:00"/>
    <n v="0.35714299999999999"/>
    <n v="656.19"/>
    <n v="722"/>
  </r>
  <r>
    <x v="101"/>
    <d v="2022-06-06T00:00:00"/>
    <n v="1"/>
    <n v="40.659999999999997"/>
    <n v="50"/>
  </r>
  <r>
    <x v="86"/>
    <d v="2022-06-06T00:00:00"/>
    <n v="1"/>
    <n v="34.65"/>
    <n v="57"/>
  </r>
  <r>
    <x v="101"/>
    <d v="2022-06-06T00:00:00"/>
    <n v="1"/>
    <n v="40.659999999999997"/>
    <n v="50"/>
  </r>
  <r>
    <x v="124"/>
    <d v="2022-06-06T00:00:00"/>
    <n v="0.04"/>
    <n v="490.78"/>
    <n v="591"/>
  </r>
  <r>
    <x v="117"/>
    <d v="2022-06-06T00:00:00"/>
    <n v="1"/>
    <n v="20.91"/>
    <n v="26"/>
  </r>
  <r>
    <x v="91"/>
    <d v="2022-06-06T00:00:00"/>
    <n v="1"/>
    <n v="70.930000000000007"/>
    <n v="101"/>
  </r>
  <r>
    <x v="51"/>
    <d v="2022-06-06T00:00:00"/>
    <n v="1"/>
    <n v="44.9"/>
    <n v="69"/>
  </r>
  <r>
    <x v="68"/>
    <d v="2022-06-06T00:00:00"/>
    <n v="2"/>
    <n v="7.82"/>
    <n v="13"/>
  </r>
  <r>
    <x v="34"/>
    <d v="2022-06-06T00:00:00"/>
    <n v="10"/>
    <n v="11.28"/>
    <n v="19"/>
  </r>
  <r>
    <x v="54"/>
    <d v="2022-06-06T00:00:00"/>
    <n v="1"/>
    <n v="14.76"/>
    <n v="24"/>
  </r>
  <r>
    <x v="116"/>
    <d v="2022-06-06T00:00:00"/>
    <n v="1"/>
    <n v="9.86"/>
    <n v="16"/>
  </r>
  <r>
    <x v="30"/>
    <d v="2022-06-06T00:00:00"/>
    <n v="1"/>
    <n v="32.71"/>
    <n v="50"/>
  </r>
  <r>
    <x v="50"/>
    <d v="2022-06-06T00:00:00"/>
    <n v="1"/>
    <n v="78.510000000000005"/>
    <n v="96"/>
  </r>
  <r>
    <x v="50"/>
    <d v="2022-06-06T00:00:00"/>
    <n v="1"/>
    <n v="78.510000000000005"/>
    <n v="96"/>
  </r>
  <r>
    <x v="50"/>
    <d v="2022-06-06T00:00:00"/>
    <n v="1"/>
    <n v="77.510000000000005"/>
    <n v="95"/>
  </r>
  <r>
    <x v="146"/>
    <d v="2022-06-06T00:00:00"/>
    <n v="1"/>
    <n v="23.23"/>
    <n v="29"/>
  </r>
  <r>
    <x v="146"/>
    <d v="2022-06-06T00:00:00"/>
    <n v="1"/>
    <n v="23.23"/>
    <n v="29"/>
  </r>
  <r>
    <x v="91"/>
    <d v="2022-06-06T00:00:00"/>
    <n v="1"/>
    <n v="71.650000000000006"/>
    <n v="102"/>
  </r>
  <r>
    <x v="95"/>
    <d v="2022-06-06T00:00:00"/>
    <n v="1"/>
    <n v="37.42"/>
    <n v="57"/>
  </r>
  <r>
    <x v="70"/>
    <d v="2022-06-06T00:00:00"/>
    <n v="0.08"/>
    <n v="466.47"/>
    <n v="710"/>
  </r>
  <r>
    <x v="58"/>
    <d v="2022-06-06T00:00:00"/>
    <n v="1"/>
    <n v="73.3"/>
    <n v="88"/>
  </r>
  <r>
    <x v="58"/>
    <d v="2022-06-06T00:00:00"/>
    <n v="1"/>
    <n v="73.3"/>
    <n v="88"/>
  </r>
  <r>
    <x v="13"/>
    <d v="2022-06-06T00:00:00"/>
    <n v="1"/>
    <n v="46"/>
    <n v="70"/>
  </r>
  <r>
    <x v="39"/>
    <d v="2022-06-06T00:00:00"/>
    <n v="1"/>
    <n v="65.010000000000005"/>
    <n v="101"/>
  </r>
  <r>
    <x v="0"/>
    <d v="2022-06-06T00:00:00"/>
    <n v="1"/>
    <n v="132.94"/>
    <n v="160"/>
  </r>
  <r>
    <x v="0"/>
    <d v="2022-06-06T00:00:00"/>
    <n v="1"/>
    <n v="131.16"/>
    <n v="158"/>
  </r>
  <r>
    <x v="19"/>
    <d v="2022-06-06T00:00:00"/>
    <n v="1"/>
    <n v="101.95"/>
    <n v="122"/>
  </r>
  <r>
    <x v="19"/>
    <d v="2022-06-06T00:00:00"/>
    <n v="1"/>
    <n v="101.95"/>
    <n v="122"/>
  </r>
  <r>
    <x v="97"/>
    <d v="2022-06-06T00:00:00"/>
    <n v="1"/>
    <n v="25.44"/>
    <n v="32"/>
  </r>
  <r>
    <x v="69"/>
    <d v="2022-06-06T00:00:00"/>
    <n v="1"/>
    <n v="89.43"/>
    <n v="111"/>
  </r>
  <r>
    <x v="50"/>
    <d v="2022-06-06T00:00:00"/>
    <n v="1"/>
    <n v="77.63"/>
    <n v="95"/>
  </r>
  <r>
    <x v="26"/>
    <d v="2022-06-06T00:00:00"/>
    <n v="1"/>
    <n v="14.4"/>
    <n v="19"/>
  </r>
  <r>
    <x v="14"/>
    <d v="2022-06-06T00:00:00"/>
    <n v="1"/>
    <n v="81.290000000000006"/>
    <n v="103"/>
  </r>
  <r>
    <x v="29"/>
    <d v="2022-06-06T00:00:00"/>
    <n v="1"/>
    <n v="200.36"/>
    <n v="231"/>
  </r>
  <r>
    <x v="124"/>
    <d v="2022-06-06T00:00:00"/>
    <n v="0.4"/>
    <n v="495.07"/>
    <n v="596"/>
  </r>
  <r>
    <x v="118"/>
    <d v="2022-06-06T00:00:00"/>
    <n v="1"/>
    <n v="62.7"/>
    <n v="80"/>
  </r>
  <r>
    <x v="118"/>
    <d v="2022-06-06T00:00:00"/>
    <n v="1"/>
    <n v="62.7"/>
    <n v="80"/>
  </r>
  <r>
    <x v="46"/>
    <d v="2022-06-06T00:00:00"/>
    <n v="8"/>
    <n v="2.1800000000000002"/>
    <n v="4"/>
  </r>
  <r>
    <x v="30"/>
    <d v="2022-06-06T00:00:00"/>
    <n v="1"/>
    <n v="32.71"/>
    <n v="50"/>
  </r>
  <r>
    <x v="137"/>
    <d v="2022-06-06T00:00:00"/>
    <n v="1"/>
    <n v="12.86"/>
    <n v="15"/>
  </r>
  <r>
    <x v="137"/>
    <d v="2022-06-06T00:00:00"/>
    <n v="1"/>
    <n v="12.86"/>
    <n v="15"/>
  </r>
  <r>
    <x v="137"/>
    <d v="2022-06-06T00:00:00"/>
    <n v="1"/>
    <n v="12.86"/>
    <n v="15"/>
  </r>
  <r>
    <x v="16"/>
    <d v="2022-06-06T00:00:00"/>
    <n v="1"/>
    <n v="190.59"/>
    <n v="262"/>
  </r>
  <r>
    <x v="79"/>
    <d v="2022-06-06T00:00:00"/>
    <n v="1"/>
    <n v="153.22999999999999"/>
    <n v="177"/>
  </r>
  <r>
    <x v="79"/>
    <d v="2022-06-06T00:00:00"/>
    <n v="1"/>
    <n v="153.22999999999999"/>
    <n v="177"/>
  </r>
  <r>
    <x v="78"/>
    <d v="2022-06-06T00:00:00"/>
    <n v="1"/>
    <n v="201.63"/>
    <n v="239"/>
  </r>
  <r>
    <x v="119"/>
    <d v="2022-06-06T00:00:00"/>
    <n v="1"/>
    <n v="48.86"/>
    <n v="79"/>
  </r>
  <r>
    <x v="129"/>
    <d v="2022-06-06T00:00:00"/>
    <n v="2"/>
    <n v="26.87"/>
    <n v="41"/>
  </r>
  <r>
    <x v="66"/>
    <d v="2022-06-06T00:00:00"/>
    <n v="1"/>
    <n v="54.07"/>
    <n v="77"/>
  </r>
  <r>
    <x v="66"/>
    <d v="2022-06-06T00:00:00"/>
    <n v="1"/>
    <n v="54.07"/>
    <n v="77"/>
  </r>
  <r>
    <x v="66"/>
    <d v="2022-06-06T00:00:00"/>
    <n v="1"/>
    <n v="54.07"/>
    <n v="77"/>
  </r>
  <r>
    <x v="66"/>
    <d v="2022-06-06T00:00:00"/>
    <n v="1"/>
    <n v="54.07"/>
    <n v="77"/>
  </r>
  <r>
    <x v="72"/>
    <d v="2022-06-06T00:00:00"/>
    <n v="1"/>
    <n v="61.89"/>
    <n v="77"/>
  </r>
  <r>
    <x v="60"/>
    <d v="2022-06-06T00:00:00"/>
    <n v="1"/>
    <n v="186.78"/>
    <n v="219"/>
  </r>
  <r>
    <x v="52"/>
    <d v="2022-06-06T00:00:00"/>
    <n v="1"/>
    <n v="233.74"/>
    <n v="262"/>
  </r>
  <r>
    <x v="69"/>
    <d v="2022-06-06T00:00:00"/>
    <n v="1"/>
    <n v="87.69"/>
    <n v="109"/>
  </r>
  <r>
    <x v="95"/>
    <d v="2022-06-06T00:00:00"/>
    <n v="1"/>
    <n v="38.07"/>
    <n v="59"/>
  </r>
  <r>
    <x v="43"/>
    <d v="2022-06-06T00:00:00"/>
    <n v="1"/>
    <n v="39.06"/>
    <n v="61"/>
  </r>
  <r>
    <x v="43"/>
    <d v="2022-06-06T00:00:00"/>
    <n v="1"/>
    <n v="39.06"/>
    <n v="61"/>
  </r>
  <r>
    <x v="129"/>
    <d v="2022-06-06T00:00:00"/>
    <n v="1"/>
    <n v="26.91"/>
    <n v="43"/>
  </r>
  <r>
    <x v="100"/>
    <d v="2022-06-06T00:00:00"/>
    <n v="1"/>
    <n v="28.45"/>
    <n v="47"/>
  </r>
  <r>
    <x v="117"/>
    <d v="2022-06-06T00:00:00"/>
    <n v="1"/>
    <n v="21.07"/>
    <n v="26"/>
  </r>
  <r>
    <x v="142"/>
    <d v="2022-06-06T00:00:00"/>
    <n v="1"/>
    <n v="137.55000000000001"/>
    <n v="189"/>
  </r>
  <r>
    <x v="7"/>
    <d v="2022-06-06T00:00:00"/>
    <n v="1"/>
    <n v="56.39"/>
    <n v="70"/>
  </r>
  <r>
    <x v="20"/>
    <d v="2022-06-06T00:00:00"/>
    <n v="1"/>
    <n v="147.18"/>
    <n v="177"/>
  </r>
  <r>
    <x v="78"/>
    <d v="2022-06-06T00:00:00"/>
    <n v="1"/>
    <n v="207.68"/>
    <n v="246"/>
  </r>
  <r>
    <x v="51"/>
    <d v="2022-06-06T00:00:00"/>
    <n v="1"/>
    <n v="45.88"/>
    <n v="72"/>
  </r>
  <r>
    <x v="70"/>
    <d v="2022-06-06T00:00:00"/>
    <n v="0.1"/>
    <n v="465.14"/>
    <n v="684"/>
  </r>
  <r>
    <x v="150"/>
    <d v="2022-06-06T00:00:00"/>
    <n v="0.2"/>
    <n v="529.47"/>
    <n v="752"/>
  </r>
  <r>
    <x v="113"/>
    <d v="2022-06-06T00:00:00"/>
    <n v="1"/>
    <n v="10.63"/>
    <n v="13"/>
  </r>
  <r>
    <x v="61"/>
    <d v="2022-06-06T00:00:00"/>
    <n v="1"/>
    <n v="30.56"/>
    <n v="36"/>
  </r>
  <r>
    <x v="61"/>
    <d v="2022-06-06T00:00:00"/>
    <n v="1"/>
    <n v="30.56"/>
    <n v="36"/>
  </r>
  <r>
    <x v="35"/>
    <d v="2022-06-06T00:00:00"/>
    <n v="1"/>
    <n v="176.24"/>
    <n v="211"/>
  </r>
  <r>
    <x v="14"/>
    <d v="2022-06-06T00:00:00"/>
    <n v="1"/>
    <n v="81.290000000000006"/>
    <n v="103"/>
  </r>
  <r>
    <x v="142"/>
    <d v="2022-06-06T00:00:00"/>
    <n v="1"/>
    <n v="136.94999999999999"/>
    <n v="194"/>
  </r>
  <r>
    <x v="15"/>
    <d v="2022-06-06T00:00:00"/>
    <n v="1"/>
    <n v="20.77"/>
    <n v="26"/>
  </r>
  <r>
    <x v="0"/>
    <d v="2022-06-06T00:00:00"/>
    <n v="1"/>
    <n v="131.16"/>
    <n v="158"/>
  </r>
  <r>
    <x v="124"/>
    <d v="2022-06-06T00:00:00"/>
    <n v="0.08"/>
    <n v="495.19"/>
    <n v="596"/>
  </r>
  <r>
    <x v="127"/>
    <d v="2022-06-06T00:00:00"/>
    <n v="1"/>
    <n v="58.53"/>
    <n v="84"/>
  </r>
  <r>
    <x v="68"/>
    <d v="2022-06-06T00:00:00"/>
    <n v="1"/>
    <n v="8.06"/>
    <n v="14"/>
  </r>
  <r>
    <x v="18"/>
    <d v="2022-06-06T00:00:00"/>
    <n v="1"/>
    <n v="109.41"/>
    <n v="123"/>
  </r>
  <r>
    <x v="26"/>
    <d v="2022-06-06T00:00:00"/>
    <n v="1"/>
    <n v="13.36"/>
    <n v="18"/>
  </r>
  <r>
    <x v="26"/>
    <d v="2022-06-06T00:00:00"/>
    <n v="1"/>
    <n v="13.36"/>
    <n v="18"/>
  </r>
  <r>
    <x v="26"/>
    <d v="2022-06-06T00:00:00"/>
    <n v="1"/>
    <n v="13.36"/>
    <n v="18"/>
  </r>
  <r>
    <x v="26"/>
    <d v="2022-06-06T00:00:00"/>
    <n v="1"/>
    <n v="13.36"/>
    <n v="18"/>
  </r>
  <r>
    <x v="26"/>
    <d v="2022-06-06T00:00:00"/>
    <n v="1"/>
    <n v="13.36"/>
    <n v="18"/>
  </r>
  <r>
    <x v="60"/>
    <d v="2022-06-06T00:00:00"/>
    <n v="1"/>
    <n v="187.36"/>
    <n v="220"/>
  </r>
  <r>
    <x v="150"/>
    <d v="2022-06-06T00:00:00"/>
    <n v="0.04"/>
    <n v="498.53"/>
    <n v="698"/>
  </r>
  <r>
    <x v="31"/>
    <d v="2022-06-06T00:00:00"/>
    <n v="1"/>
    <n v="23.73"/>
    <n v="31"/>
  </r>
  <r>
    <x v="101"/>
    <d v="2022-06-06T00:00:00"/>
    <n v="1"/>
    <n v="42.16"/>
    <n v="52"/>
  </r>
  <r>
    <x v="9"/>
    <d v="2022-06-06T00:00:00"/>
    <n v="0.1"/>
    <n v="455.4"/>
    <n v="602"/>
  </r>
  <r>
    <x v="36"/>
    <d v="2022-06-06T00:00:00"/>
    <n v="3"/>
    <n v="11.19"/>
    <n v="19"/>
  </r>
  <r>
    <x v="36"/>
    <d v="2022-06-06T00:00:00"/>
    <n v="2"/>
    <n v="11.19"/>
    <n v="19"/>
  </r>
  <r>
    <x v="135"/>
    <d v="2022-06-06T00:00:00"/>
    <n v="1"/>
    <n v="153.56"/>
    <n v="186"/>
  </r>
  <r>
    <x v="51"/>
    <d v="2022-06-06T00:00:00"/>
    <n v="1"/>
    <n v="44.9"/>
    <n v="69"/>
  </r>
  <r>
    <x v="14"/>
    <d v="2022-06-06T00:00:00"/>
    <n v="1"/>
    <n v="81.95"/>
    <n v="102"/>
  </r>
  <r>
    <x v="52"/>
    <d v="2022-06-06T00:00:00"/>
    <n v="1"/>
    <n v="239.58"/>
    <n v="281"/>
  </r>
  <r>
    <x v="4"/>
    <d v="2022-06-06T00:00:00"/>
    <n v="1"/>
    <n v="80.69"/>
    <n v="100"/>
  </r>
  <r>
    <x v="4"/>
    <d v="2022-06-06T00:00:00"/>
    <n v="1"/>
    <n v="80.69"/>
    <n v="100"/>
  </r>
  <r>
    <x v="4"/>
    <d v="2022-06-06T00:00:00"/>
    <n v="1"/>
    <n v="80.69"/>
    <n v="100"/>
  </r>
  <r>
    <x v="7"/>
    <d v="2022-06-06T00:00:00"/>
    <n v="1"/>
    <n v="56.1"/>
    <n v="70"/>
  </r>
  <r>
    <x v="70"/>
    <d v="2022-06-06T00:00:00"/>
    <n v="0.2"/>
    <n v="490.56"/>
    <n v="687"/>
  </r>
  <r>
    <x v="87"/>
    <d v="2022-06-06T00:00:00"/>
    <n v="2"/>
    <n v="5.26"/>
    <n v="7"/>
  </r>
  <r>
    <x v="61"/>
    <d v="2022-06-06T00:00:00"/>
    <n v="1"/>
    <n v="30.56"/>
    <n v="36"/>
  </r>
  <r>
    <x v="16"/>
    <d v="2022-06-06T00:00:00"/>
    <n v="1"/>
    <n v="184.75"/>
    <n v="254"/>
  </r>
  <r>
    <x v="126"/>
    <d v="2022-06-06T00:00:00"/>
    <n v="1"/>
    <n v="356.07"/>
    <n v="417"/>
  </r>
  <r>
    <x v="56"/>
    <d v="2022-06-06T00:00:00"/>
    <n v="1"/>
    <n v="32.78"/>
    <n v="50"/>
  </r>
  <r>
    <x v="78"/>
    <d v="2022-06-06T00:00:00"/>
    <n v="1"/>
    <n v="207.68"/>
    <n v="241"/>
  </r>
  <r>
    <x v="50"/>
    <d v="2022-06-06T00:00:00"/>
    <n v="1"/>
    <n v="77.66"/>
    <n v="95"/>
  </r>
  <r>
    <x v="50"/>
    <d v="2022-06-06T00:00:00"/>
    <n v="1"/>
    <n v="77.510000000000005"/>
    <n v="94"/>
  </r>
  <r>
    <x v="50"/>
    <d v="2022-06-06T00:00:00"/>
    <n v="1"/>
    <n v="77.510000000000005"/>
    <n v="94"/>
  </r>
  <r>
    <x v="87"/>
    <d v="2022-06-06T00:00:00"/>
    <n v="2"/>
    <n v="6.78"/>
    <n v="9"/>
  </r>
  <r>
    <x v="45"/>
    <d v="2022-06-06T00:00:00"/>
    <n v="1"/>
    <n v="43.92"/>
    <n v="55"/>
  </r>
  <r>
    <x v="15"/>
    <d v="2022-06-06T00:00:00"/>
    <n v="1"/>
    <n v="19.82"/>
    <n v="25"/>
  </r>
  <r>
    <x v="15"/>
    <d v="2022-06-06T00:00:00"/>
    <n v="1"/>
    <n v="19.82"/>
    <n v="25"/>
  </r>
  <r>
    <x v="151"/>
    <d v="2022-06-06T00:00:00"/>
    <n v="1"/>
    <n v="251.37"/>
    <n v="352"/>
  </r>
  <r>
    <x v="44"/>
    <d v="2022-06-06T00:00:00"/>
    <n v="1"/>
    <n v="15.8"/>
    <n v="19"/>
  </r>
  <r>
    <x v="67"/>
    <d v="2022-06-06T00:00:00"/>
    <n v="1"/>
    <n v="556.51"/>
    <n v="735"/>
  </r>
  <r>
    <x v="67"/>
    <d v="2022-06-06T00:00:00"/>
    <n v="1"/>
    <n v="556.51"/>
    <n v="735"/>
  </r>
  <r>
    <x v="30"/>
    <d v="2022-06-06T00:00:00"/>
    <n v="1"/>
    <n v="31.99"/>
    <n v="49"/>
  </r>
  <r>
    <x v="30"/>
    <d v="2022-06-06T00:00:00"/>
    <n v="1"/>
    <n v="31.99"/>
    <n v="49"/>
  </r>
  <r>
    <x v="124"/>
    <d v="2022-06-06T00:00:00"/>
    <n v="0.16"/>
    <n v="493.92"/>
    <n v="595"/>
  </r>
  <r>
    <x v="93"/>
    <d v="2022-06-06T00:00:00"/>
    <n v="1"/>
    <n v="113.71"/>
    <n v="137"/>
  </r>
  <r>
    <x v="55"/>
    <d v="2022-06-06T00:00:00"/>
    <n v="1"/>
    <n v="56.76"/>
    <n v="71"/>
  </r>
  <r>
    <x v="60"/>
    <d v="2022-06-06T00:00:00"/>
    <n v="1"/>
    <n v="187.36"/>
    <n v="220"/>
  </r>
  <r>
    <x v="141"/>
    <d v="2022-06-06T00:00:00"/>
    <n v="1"/>
    <n v="413.44"/>
    <n v="464"/>
  </r>
  <r>
    <x v="43"/>
    <d v="2022-06-06T00:00:00"/>
    <n v="1"/>
    <n v="41.47"/>
    <n v="64"/>
  </r>
  <r>
    <x v="19"/>
    <d v="2022-06-06T00:00:00"/>
    <n v="1"/>
    <n v="101.95"/>
    <n v="122"/>
  </r>
  <r>
    <x v="60"/>
    <d v="2022-06-06T00:00:00"/>
    <n v="1"/>
    <n v="187.36"/>
    <n v="220"/>
  </r>
  <r>
    <x v="19"/>
    <d v="2022-06-06T00:00:00"/>
    <n v="1"/>
    <n v="101.95"/>
    <n v="122"/>
  </r>
  <r>
    <x v="4"/>
    <d v="2022-06-06T00:00:00"/>
    <n v="1"/>
    <n v="80.69"/>
    <n v="98"/>
  </r>
  <r>
    <x v="4"/>
    <d v="2022-06-06T00:00:00"/>
    <n v="1"/>
    <n v="80.69"/>
    <n v="98"/>
  </r>
  <r>
    <x v="58"/>
    <d v="2022-06-06T00:00:00"/>
    <n v="1"/>
    <n v="71.45"/>
    <n v="86"/>
  </r>
  <r>
    <x v="29"/>
    <d v="2022-06-06T00:00:00"/>
    <n v="1"/>
    <n v="201.73"/>
    <n v="232"/>
  </r>
  <r>
    <x v="85"/>
    <d v="2022-06-06T00:00:00"/>
    <n v="1"/>
    <n v="399.09"/>
    <n v="491"/>
  </r>
  <r>
    <x v="85"/>
    <d v="2022-06-06T00:00:00"/>
    <n v="1"/>
    <n v="397.02"/>
    <n v="489"/>
  </r>
  <r>
    <x v="19"/>
    <d v="2022-06-06T00:00:00"/>
    <n v="1"/>
    <n v="101.95"/>
    <n v="120"/>
  </r>
  <r>
    <x v="67"/>
    <d v="2022-06-06T00:00:00"/>
    <n v="1"/>
    <n v="556.51"/>
    <n v="735"/>
  </r>
  <r>
    <x v="20"/>
    <d v="2022-06-06T00:00:00"/>
    <n v="1"/>
    <n v="147.18"/>
    <n v="177"/>
  </r>
  <r>
    <x v="38"/>
    <d v="2022-06-06T00:00:00"/>
    <n v="1"/>
    <n v="134.94999999999999"/>
    <n v="162"/>
  </r>
  <r>
    <x v="58"/>
    <d v="2022-06-06T00:00:00"/>
    <n v="1"/>
    <n v="72.03"/>
    <n v="94"/>
  </r>
  <r>
    <x v="18"/>
    <d v="2022-06-06T00:00:00"/>
    <n v="1"/>
    <n v="110.21"/>
    <n v="124"/>
  </r>
  <r>
    <x v="26"/>
    <d v="2022-06-06T00:00:00"/>
    <n v="1"/>
    <n v="13.19"/>
    <n v="18"/>
  </r>
  <r>
    <x v="26"/>
    <d v="2022-06-06T00:00:00"/>
    <n v="1"/>
    <n v="13.19"/>
    <n v="18"/>
  </r>
  <r>
    <x v="19"/>
    <d v="2022-06-06T00:00:00"/>
    <n v="1"/>
    <n v="101.95"/>
    <n v="122"/>
  </r>
  <r>
    <x v="19"/>
    <d v="2022-06-06T00:00:00"/>
    <n v="1"/>
    <n v="101.95"/>
    <n v="122"/>
  </r>
  <r>
    <x v="71"/>
    <d v="2022-06-06T00:00:00"/>
    <n v="1"/>
    <n v="33.950000000000003"/>
    <n v="41"/>
  </r>
  <r>
    <x v="71"/>
    <d v="2022-06-06T00:00:00"/>
    <n v="1"/>
    <n v="33.950000000000003"/>
    <n v="41"/>
  </r>
  <r>
    <x v="120"/>
    <d v="2022-06-06T00:00:00"/>
    <n v="1"/>
    <n v="337.24"/>
    <n v="446"/>
  </r>
  <r>
    <x v="83"/>
    <d v="2022-06-06T00:00:00"/>
    <n v="1"/>
    <n v="133.88"/>
    <n v="204"/>
  </r>
  <r>
    <x v="72"/>
    <d v="2022-06-06T00:00:00"/>
    <n v="1"/>
    <n v="60.94"/>
    <n v="76"/>
  </r>
  <r>
    <x v="64"/>
    <d v="2022-06-06T00:00:00"/>
    <n v="1"/>
    <n v="19.989999999999998"/>
    <n v="24"/>
  </r>
  <r>
    <x v="128"/>
    <d v="2022-06-06T00:00:00"/>
    <n v="5"/>
    <n v="5.0999999999999996"/>
    <n v="9"/>
  </r>
  <r>
    <x v="12"/>
    <d v="2022-06-06T00:00:00"/>
    <n v="1"/>
    <n v="388.58"/>
    <n v="467"/>
  </r>
  <r>
    <x v="100"/>
    <d v="2022-06-06T00:00:00"/>
    <n v="1"/>
    <n v="27.72"/>
    <n v="45"/>
  </r>
  <r>
    <x v="46"/>
    <d v="2022-06-06T00:00:00"/>
    <n v="4"/>
    <n v="2.29"/>
    <n v="4"/>
  </r>
  <r>
    <x v="46"/>
    <d v="2022-06-06T00:00:00"/>
    <n v="4"/>
    <n v="2.29"/>
    <n v="4"/>
  </r>
  <r>
    <x v="19"/>
    <d v="2022-06-06T00:00:00"/>
    <n v="1"/>
    <n v="101.95"/>
    <n v="118"/>
  </r>
  <r>
    <x v="112"/>
    <d v="2022-06-06T00:00:00"/>
    <n v="1"/>
    <n v="23.14"/>
    <n v="28"/>
  </r>
  <r>
    <x v="113"/>
    <d v="2022-06-06T00:00:00"/>
    <n v="1"/>
    <n v="10.63"/>
    <n v="13"/>
  </r>
  <r>
    <x v="113"/>
    <d v="2022-06-06T00:00:00"/>
    <n v="1"/>
    <n v="10.63"/>
    <n v="13"/>
  </r>
  <r>
    <x v="55"/>
    <d v="2022-06-06T00:00:00"/>
    <n v="1"/>
    <n v="56.76"/>
    <n v="71"/>
  </r>
  <r>
    <x v="76"/>
    <d v="2022-06-06T00:00:00"/>
    <n v="1"/>
    <n v="43.63"/>
    <n v="54"/>
  </r>
  <r>
    <x v="76"/>
    <d v="2022-06-06T00:00:00"/>
    <n v="1"/>
    <n v="43.63"/>
    <n v="54"/>
  </r>
  <r>
    <x v="70"/>
    <d v="2022-06-06T00:00:00"/>
    <n v="0.2"/>
    <n v="466.47"/>
    <n v="710"/>
  </r>
  <r>
    <x v="19"/>
    <d v="2022-06-06T00:00:00"/>
    <n v="1"/>
    <n v="101.95"/>
    <n v="118"/>
  </r>
  <r>
    <x v="76"/>
    <d v="2022-06-06T00:00:00"/>
    <n v="1"/>
    <n v="40.15"/>
    <n v="49"/>
  </r>
  <r>
    <x v="89"/>
    <d v="2022-06-06T00:00:00"/>
    <n v="1"/>
    <n v="31.13"/>
    <n v="43"/>
  </r>
  <r>
    <x v="89"/>
    <d v="2022-06-06T00:00:00"/>
    <n v="1"/>
    <n v="31.13"/>
    <n v="43"/>
  </r>
  <r>
    <x v="89"/>
    <d v="2022-06-06T00:00:00"/>
    <n v="1"/>
    <n v="31.13"/>
    <n v="43"/>
  </r>
  <r>
    <x v="89"/>
    <d v="2022-06-06T00:00:00"/>
    <n v="1"/>
    <n v="31.13"/>
    <n v="43"/>
  </r>
  <r>
    <x v="89"/>
    <d v="2022-06-06T00:00:00"/>
    <n v="1"/>
    <n v="31.13"/>
    <n v="43"/>
  </r>
  <r>
    <x v="90"/>
    <d v="2022-06-06T00:00:00"/>
    <n v="0.5"/>
    <n v="103.49"/>
    <n v="161"/>
  </r>
  <r>
    <x v="133"/>
    <d v="2022-06-06T00:00:00"/>
    <n v="1"/>
    <n v="46.5"/>
    <n v="76"/>
  </r>
  <r>
    <x v="42"/>
    <d v="2022-06-06T00:00:00"/>
    <n v="1"/>
    <n v="43.45"/>
    <n v="67"/>
  </r>
  <r>
    <x v="23"/>
    <d v="2022-06-06T00:00:00"/>
    <n v="1"/>
    <n v="141.08000000000001"/>
    <n v="205"/>
  </r>
  <r>
    <x v="60"/>
    <d v="2022-06-06T00:00:00"/>
    <n v="1"/>
    <n v="187.74"/>
    <n v="239"/>
  </r>
  <r>
    <x v="113"/>
    <d v="2022-06-06T00:00:00"/>
    <n v="1"/>
    <n v="10.79"/>
    <n v="13"/>
  </r>
  <r>
    <x v="80"/>
    <d v="2022-06-06T00:00:00"/>
    <n v="1"/>
    <n v="15.13"/>
    <n v="23"/>
  </r>
  <r>
    <x v="78"/>
    <d v="2022-06-06T00:00:00"/>
    <n v="1"/>
    <n v="207.69"/>
    <n v="246"/>
  </r>
  <r>
    <x v="79"/>
    <d v="2022-06-06T00:00:00"/>
    <n v="1"/>
    <n v="153.22999999999999"/>
    <n v="192"/>
  </r>
  <r>
    <x v="61"/>
    <d v="2022-06-06T00:00:00"/>
    <n v="1"/>
    <n v="31.58"/>
    <n v="37"/>
  </r>
  <r>
    <x v="61"/>
    <d v="2022-06-06T00:00:00"/>
    <n v="1"/>
    <n v="31.58"/>
    <n v="37"/>
  </r>
  <r>
    <x v="61"/>
    <d v="2022-06-06T00:00:00"/>
    <n v="1"/>
    <n v="30.56"/>
    <n v="36"/>
  </r>
  <r>
    <x v="90"/>
    <d v="2022-06-06T00:00:00"/>
    <n v="1"/>
    <n v="103.49"/>
    <n v="161"/>
  </r>
  <r>
    <x v="53"/>
    <d v="2022-06-06T00:00:00"/>
    <n v="1"/>
    <n v="80.86"/>
    <n v="98"/>
  </r>
  <r>
    <x v="40"/>
    <d v="2022-06-06T00:00:00"/>
    <n v="1"/>
    <n v="28.85"/>
    <n v="47"/>
  </r>
  <r>
    <x v="133"/>
    <d v="2022-06-06T00:00:00"/>
    <n v="2"/>
    <n v="46.5"/>
    <n v="76"/>
  </r>
  <r>
    <x v="145"/>
    <d v="2022-06-06T00:00:00"/>
    <n v="1"/>
    <n v="94.8"/>
    <n v="151"/>
  </r>
  <r>
    <x v="145"/>
    <d v="2022-06-06T00:00:00"/>
    <n v="1"/>
    <n v="94.8"/>
    <n v="151"/>
  </r>
  <r>
    <x v="42"/>
    <d v="2022-06-06T00:00:00"/>
    <n v="1"/>
    <n v="43.08"/>
    <n v="68"/>
  </r>
  <r>
    <x v="127"/>
    <d v="2022-06-06T00:00:00"/>
    <n v="1"/>
    <n v="60.91"/>
    <n v="90"/>
  </r>
  <r>
    <x v="21"/>
    <d v="2022-06-06T00:00:00"/>
    <n v="0.1"/>
    <n v="984.79"/>
    <n v="1340"/>
  </r>
  <r>
    <x v="21"/>
    <d v="2022-06-06T00:00:00"/>
    <n v="0.2"/>
    <n v="984.65"/>
    <n v="1271"/>
  </r>
  <r>
    <x v="31"/>
    <d v="2022-06-06T00:00:00"/>
    <n v="1"/>
    <n v="23.73"/>
    <n v="31"/>
  </r>
  <r>
    <x v="31"/>
    <d v="2022-06-06T00:00:00"/>
    <n v="1"/>
    <n v="23.73"/>
    <n v="31"/>
  </r>
  <r>
    <x v="20"/>
    <d v="2022-06-06T00:00:00"/>
    <n v="1"/>
    <n v="148.52000000000001"/>
    <n v="181"/>
  </r>
  <r>
    <x v="18"/>
    <d v="2022-06-06T00:00:00"/>
    <n v="1"/>
    <n v="110.21"/>
    <n v="124"/>
  </r>
  <r>
    <x v="123"/>
    <d v="2022-06-06T00:00:00"/>
    <n v="1"/>
    <n v="313.23"/>
    <n v="433"/>
  </r>
  <r>
    <x v="50"/>
    <d v="2022-06-06T00:00:00"/>
    <n v="1"/>
    <n v="77.510000000000005"/>
    <n v="94"/>
  </r>
  <r>
    <x v="90"/>
    <d v="2022-06-06T00:00:00"/>
    <n v="1"/>
    <n v="111.88"/>
    <n v="176"/>
  </r>
  <r>
    <x v="0"/>
    <d v="2022-06-06T00:00:00"/>
    <n v="1"/>
    <n v="130.04"/>
    <n v="157"/>
  </r>
  <r>
    <x v="83"/>
    <d v="2022-06-06T00:00:00"/>
    <n v="1"/>
    <n v="95.21"/>
    <n v="152"/>
  </r>
  <r>
    <x v="26"/>
    <d v="2022-06-06T00:00:00"/>
    <n v="1"/>
    <n v="14.1"/>
    <n v="19"/>
  </r>
  <r>
    <x v="26"/>
    <d v="2022-06-06T00:00:00"/>
    <n v="1"/>
    <n v="14.1"/>
    <n v="19"/>
  </r>
  <r>
    <x v="26"/>
    <d v="2022-06-06T00:00:00"/>
    <n v="1"/>
    <n v="14.1"/>
    <n v="19"/>
  </r>
  <r>
    <x v="149"/>
    <d v="2022-06-06T00:00:00"/>
    <n v="1"/>
    <n v="124.5"/>
    <n v="149"/>
  </r>
  <r>
    <x v="130"/>
    <d v="2022-06-06T00:00:00"/>
    <n v="1"/>
    <n v="72.31"/>
    <n v="90"/>
  </r>
  <r>
    <x v="130"/>
    <d v="2022-06-06T00:00:00"/>
    <n v="1"/>
    <n v="72.31"/>
    <n v="90"/>
  </r>
  <r>
    <x v="96"/>
    <d v="2022-06-06T00:00:00"/>
    <n v="1"/>
    <n v="33.26"/>
    <n v="53"/>
  </r>
  <r>
    <x v="38"/>
    <d v="2022-06-06T00:00:00"/>
    <n v="1"/>
    <n v="134.94999999999999"/>
    <n v="162"/>
  </r>
  <r>
    <x v="46"/>
    <d v="2022-06-06T00:00:00"/>
    <n v="4"/>
    <n v="2.0099999999999998"/>
    <n v="4"/>
  </r>
  <r>
    <x v="79"/>
    <d v="2022-06-06T00:00:00"/>
    <n v="1"/>
    <n v="153.75"/>
    <n v="193"/>
  </r>
  <r>
    <x v="127"/>
    <d v="2022-06-06T00:00:00"/>
    <n v="1"/>
    <n v="58.53"/>
    <n v="88"/>
  </r>
  <r>
    <x v="18"/>
    <d v="2022-06-06T00:00:00"/>
    <n v="1"/>
    <n v="109.41"/>
    <n v="123"/>
  </r>
  <r>
    <x v="23"/>
    <d v="2022-06-06T00:00:00"/>
    <n v="1"/>
    <n v="148.91"/>
    <n v="204"/>
  </r>
  <r>
    <x v="125"/>
    <d v="2022-06-05T00:00:00"/>
    <n v="1"/>
    <n v="23.53"/>
    <n v="29"/>
  </r>
  <r>
    <x v="19"/>
    <d v="2022-06-05T00:00:00"/>
    <n v="1"/>
    <n v="101.95"/>
    <n v="122"/>
  </r>
  <r>
    <x v="43"/>
    <d v="2022-06-05T00:00:00"/>
    <n v="1"/>
    <n v="38.82"/>
    <n v="61"/>
  </r>
  <r>
    <x v="43"/>
    <d v="2022-06-05T00:00:00"/>
    <n v="1"/>
    <n v="38.82"/>
    <n v="61"/>
  </r>
  <r>
    <x v="118"/>
    <d v="2022-06-05T00:00:00"/>
    <n v="1"/>
    <n v="62.46"/>
    <n v="80"/>
  </r>
  <r>
    <x v="16"/>
    <d v="2022-06-05T00:00:00"/>
    <n v="1"/>
    <n v="190.59"/>
    <n v="262"/>
  </r>
  <r>
    <x v="145"/>
    <d v="2022-06-05T00:00:00"/>
    <n v="1"/>
    <n v="94.8"/>
    <n v="147"/>
  </r>
  <r>
    <x v="2"/>
    <d v="2022-06-05T00:00:00"/>
    <n v="1"/>
    <n v="88.73"/>
    <n v="104"/>
  </r>
  <r>
    <x v="13"/>
    <d v="2022-06-05T00:00:00"/>
    <n v="1"/>
    <n v="46"/>
    <n v="72"/>
  </r>
  <r>
    <x v="14"/>
    <d v="2022-06-05T00:00:00"/>
    <n v="1"/>
    <n v="81.290000000000006"/>
    <n v="103"/>
  </r>
  <r>
    <x v="57"/>
    <d v="2022-06-05T00:00:00"/>
    <n v="1"/>
    <n v="25.71"/>
    <n v="31"/>
  </r>
  <r>
    <x v="57"/>
    <d v="2022-06-05T00:00:00"/>
    <n v="1"/>
    <n v="25.71"/>
    <n v="31"/>
  </r>
  <r>
    <x v="151"/>
    <d v="2022-06-05T00:00:00"/>
    <n v="1"/>
    <n v="251.37"/>
    <n v="352"/>
  </r>
  <r>
    <x v="41"/>
    <d v="2022-06-05T00:00:00"/>
    <n v="1"/>
    <n v="19.440000000000001"/>
    <n v="23"/>
  </r>
  <r>
    <x v="26"/>
    <d v="2022-06-05T00:00:00"/>
    <n v="1"/>
    <n v="14.4"/>
    <n v="19"/>
  </r>
  <r>
    <x v="26"/>
    <d v="2022-06-05T00:00:00"/>
    <n v="1"/>
    <n v="14.4"/>
    <n v="19"/>
  </r>
  <r>
    <x v="88"/>
    <d v="2022-06-05T00:00:00"/>
    <n v="1"/>
    <n v="68.599999999999994"/>
    <n v="98"/>
  </r>
  <r>
    <x v="4"/>
    <d v="2022-06-05T00:00:00"/>
    <n v="1"/>
    <n v="80.69"/>
    <n v="100"/>
  </r>
  <r>
    <x v="4"/>
    <d v="2022-06-05T00:00:00"/>
    <n v="1"/>
    <n v="80.69"/>
    <n v="100"/>
  </r>
  <r>
    <x v="4"/>
    <d v="2022-06-05T00:00:00"/>
    <n v="1"/>
    <n v="80.69"/>
    <n v="100"/>
  </r>
  <r>
    <x v="84"/>
    <d v="2022-06-05T00:00:00"/>
    <n v="1"/>
    <n v="81.17"/>
    <n v="121"/>
  </r>
  <r>
    <x v="45"/>
    <d v="2022-06-05T00:00:00"/>
    <n v="1"/>
    <n v="43.73"/>
    <n v="56"/>
  </r>
  <r>
    <x v="41"/>
    <d v="2022-06-05T00:00:00"/>
    <n v="1"/>
    <n v="19.43"/>
    <n v="24"/>
  </r>
  <r>
    <x v="49"/>
    <d v="2022-06-05T00:00:00"/>
    <n v="1"/>
    <n v="718.05"/>
    <n v="927"/>
  </r>
  <r>
    <x v="100"/>
    <d v="2022-06-05T00:00:00"/>
    <n v="2"/>
    <n v="28.45"/>
    <n v="47"/>
  </r>
  <r>
    <x v="3"/>
    <d v="2022-06-05T00:00:00"/>
    <n v="1"/>
    <n v="47.67"/>
    <n v="77"/>
  </r>
  <r>
    <x v="100"/>
    <d v="2022-06-05T00:00:00"/>
    <n v="1"/>
    <n v="27.69"/>
    <n v="45"/>
  </r>
  <r>
    <x v="43"/>
    <d v="2022-06-05T00:00:00"/>
    <n v="1"/>
    <n v="38.99"/>
    <n v="60"/>
  </r>
  <r>
    <x v="0"/>
    <d v="2022-06-05T00:00:00"/>
    <n v="1"/>
    <n v="132.33000000000001"/>
    <n v="152"/>
  </r>
  <r>
    <x v="40"/>
    <d v="2022-06-05T00:00:00"/>
    <n v="2"/>
    <n v="28.21"/>
    <n v="46"/>
  </r>
  <r>
    <x v="133"/>
    <d v="2022-06-05T00:00:00"/>
    <n v="1"/>
    <n v="46.5"/>
    <n v="75"/>
  </r>
  <r>
    <x v="46"/>
    <d v="2022-06-05T00:00:00"/>
    <n v="1"/>
    <n v="2.0099999999999998"/>
    <n v="4"/>
  </r>
  <r>
    <x v="45"/>
    <d v="2022-06-05T00:00:00"/>
    <n v="1"/>
    <n v="43.92"/>
    <n v="55"/>
  </r>
  <r>
    <x v="65"/>
    <d v="2022-06-05T00:00:00"/>
    <n v="1"/>
    <n v="165.06"/>
    <n v="199"/>
  </r>
  <r>
    <x v="20"/>
    <d v="2022-06-05T00:00:00"/>
    <n v="1"/>
    <n v="147.18"/>
    <n v="177"/>
  </r>
  <r>
    <x v="14"/>
    <d v="2022-06-05T00:00:00"/>
    <n v="1"/>
    <n v="81.290000000000006"/>
    <n v="103"/>
  </r>
  <r>
    <x v="2"/>
    <d v="2022-06-05T00:00:00"/>
    <n v="1"/>
    <n v="88.73"/>
    <n v="106"/>
  </r>
  <r>
    <x v="117"/>
    <d v="2022-06-05T00:00:00"/>
    <n v="1"/>
    <n v="21.07"/>
    <n v="26"/>
  </r>
  <r>
    <x v="44"/>
    <d v="2022-06-05T00:00:00"/>
    <n v="1"/>
    <n v="15.82"/>
    <n v="20"/>
  </r>
  <r>
    <x v="34"/>
    <d v="2022-06-05T00:00:00"/>
    <n v="3"/>
    <n v="8.58"/>
    <n v="14"/>
  </r>
  <r>
    <x v="118"/>
    <d v="2022-06-05T00:00:00"/>
    <n v="1"/>
    <n v="62.79"/>
    <n v="78"/>
  </r>
  <r>
    <x v="118"/>
    <d v="2022-06-05T00:00:00"/>
    <n v="1"/>
    <n v="62.79"/>
    <n v="78"/>
  </r>
  <r>
    <x v="115"/>
    <d v="2022-06-05T00:00:00"/>
    <n v="1"/>
    <n v="132.07"/>
    <n v="181"/>
  </r>
  <r>
    <x v="27"/>
    <d v="2022-06-05T00:00:00"/>
    <n v="1"/>
    <n v="105"/>
    <n v="163"/>
  </r>
  <r>
    <x v="50"/>
    <d v="2022-06-05T00:00:00"/>
    <n v="1"/>
    <n v="77.45"/>
    <n v="95"/>
  </r>
  <r>
    <x v="47"/>
    <d v="2022-06-05T00:00:00"/>
    <n v="1"/>
    <n v="202.33"/>
    <n v="243"/>
  </r>
  <r>
    <x v="41"/>
    <d v="2022-06-05T00:00:00"/>
    <n v="1"/>
    <n v="19.43"/>
    <n v="23"/>
  </r>
  <r>
    <x v="145"/>
    <d v="2022-06-05T00:00:00"/>
    <n v="1"/>
    <n v="94.8"/>
    <n v="147"/>
  </r>
  <r>
    <x v="67"/>
    <d v="2022-06-05T00:00:00"/>
    <n v="1"/>
    <n v="556.51"/>
    <n v="735"/>
  </r>
  <r>
    <x v="122"/>
    <d v="2022-06-05T00:00:00"/>
    <n v="1"/>
    <n v="119.64"/>
    <n v="167"/>
  </r>
  <r>
    <x v="133"/>
    <d v="2022-06-05T00:00:00"/>
    <n v="1"/>
    <n v="46.5"/>
    <n v="75"/>
  </r>
  <r>
    <x v="19"/>
    <d v="2022-06-05T00:00:00"/>
    <n v="1"/>
    <n v="101.95"/>
    <n v="122"/>
  </r>
  <r>
    <x v="37"/>
    <d v="2022-06-05T00:00:00"/>
    <n v="1"/>
    <n v="566.04"/>
    <n v="634"/>
  </r>
  <r>
    <x v="97"/>
    <d v="2022-06-05T00:00:00"/>
    <n v="1"/>
    <n v="26.11"/>
    <n v="32"/>
  </r>
  <r>
    <x v="89"/>
    <d v="2022-06-05T00:00:00"/>
    <n v="1"/>
    <n v="26.8"/>
    <n v="38"/>
  </r>
  <r>
    <x v="89"/>
    <d v="2022-06-05T00:00:00"/>
    <n v="1"/>
    <n v="26.8"/>
    <n v="38"/>
  </r>
  <r>
    <x v="90"/>
    <d v="2022-06-05T00:00:00"/>
    <n v="0.2"/>
    <n v="129.4"/>
    <n v="197"/>
  </r>
  <r>
    <x v="36"/>
    <d v="2022-06-05T00:00:00"/>
    <n v="2"/>
    <n v="11.69"/>
    <n v="21"/>
  </r>
  <r>
    <x v="16"/>
    <d v="2022-06-05T00:00:00"/>
    <n v="1"/>
    <n v="190.59"/>
    <n v="262"/>
  </r>
  <r>
    <x v="109"/>
    <d v="2022-06-05T00:00:00"/>
    <n v="1"/>
    <n v="74.8"/>
    <n v="94"/>
  </r>
  <r>
    <x v="45"/>
    <d v="2022-06-05T00:00:00"/>
    <n v="1"/>
    <n v="43.73"/>
    <n v="56"/>
  </r>
  <r>
    <x v="99"/>
    <d v="2022-06-05T00:00:00"/>
    <n v="1"/>
    <n v="45.42"/>
    <n v="57"/>
  </r>
  <r>
    <x v="99"/>
    <d v="2022-06-05T00:00:00"/>
    <n v="1"/>
    <n v="45.42"/>
    <n v="57"/>
  </r>
  <r>
    <x v="99"/>
    <d v="2022-06-05T00:00:00"/>
    <n v="1"/>
    <n v="45.87"/>
    <n v="58"/>
  </r>
  <r>
    <x v="99"/>
    <d v="2022-06-05T00:00:00"/>
    <n v="1"/>
    <n v="45.87"/>
    <n v="58"/>
  </r>
  <r>
    <x v="99"/>
    <d v="2022-06-05T00:00:00"/>
    <n v="1"/>
    <n v="45.87"/>
    <n v="58"/>
  </r>
  <r>
    <x v="99"/>
    <d v="2022-06-05T00:00:00"/>
    <n v="1"/>
    <n v="45.87"/>
    <n v="58"/>
  </r>
  <r>
    <x v="99"/>
    <d v="2022-06-05T00:00:00"/>
    <n v="1"/>
    <n v="45.87"/>
    <n v="58"/>
  </r>
  <r>
    <x v="99"/>
    <d v="2022-06-05T00:00:00"/>
    <n v="1"/>
    <n v="45.87"/>
    <n v="58"/>
  </r>
  <r>
    <x v="99"/>
    <d v="2022-06-05T00:00:00"/>
    <n v="1"/>
    <n v="45.87"/>
    <n v="58"/>
  </r>
  <r>
    <x v="99"/>
    <d v="2022-06-05T00:00:00"/>
    <n v="1"/>
    <n v="45.87"/>
    <n v="58"/>
  </r>
  <r>
    <x v="42"/>
    <d v="2022-06-05T00:00:00"/>
    <n v="1"/>
    <n v="43.2"/>
    <n v="67"/>
  </r>
  <r>
    <x v="85"/>
    <d v="2022-06-05T00:00:00"/>
    <n v="1"/>
    <n v="391.02"/>
    <n v="470"/>
  </r>
  <r>
    <x v="7"/>
    <d v="2022-06-05T00:00:00"/>
    <n v="1"/>
    <n v="56.98"/>
    <n v="72"/>
  </r>
  <r>
    <x v="41"/>
    <d v="2022-06-05T00:00:00"/>
    <n v="1"/>
    <n v="19.43"/>
    <n v="24"/>
  </r>
  <r>
    <x v="0"/>
    <d v="2022-06-05T00:00:00"/>
    <n v="1"/>
    <n v="130.43"/>
    <n v="157"/>
  </r>
  <r>
    <x v="125"/>
    <d v="2022-06-05T00:00:00"/>
    <n v="1"/>
    <n v="23.53"/>
    <n v="29"/>
  </r>
  <r>
    <x v="51"/>
    <d v="2022-06-05T00:00:00"/>
    <n v="1"/>
    <n v="45.32"/>
    <n v="69"/>
  </r>
  <r>
    <x v="16"/>
    <d v="2022-06-05T00:00:00"/>
    <n v="1"/>
    <n v="184.39"/>
    <n v="257"/>
  </r>
  <r>
    <x v="147"/>
    <d v="2022-06-05T00:00:00"/>
    <n v="1"/>
    <n v="111.18"/>
    <n v="139"/>
  </r>
  <r>
    <x v="126"/>
    <d v="2022-06-05T00:00:00"/>
    <n v="1"/>
    <n v="361.91"/>
    <n v="424"/>
  </r>
  <r>
    <x v="125"/>
    <d v="2022-06-05T00:00:00"/>
    <n v="1"/>
    <n v="23.56"/>
    <n v="29"/>
  </r>
  <r>
    <x v="125"/>
    <d v="2022-06-05T00:00:00"/>
    <n v="1"/>
    <n v="23.56"/>
    <n v="29"/>
  </r>
  <r>
    <x v="125"/>
    <d v="2022-06-05T00:00:00"/>
    <n v="1"/>
    <n v="23.56"/>
    <n v="29"/>
  </r>
  <r>
    <x v="125"/>
    <d v="2022-06-05T00:00:00"/>
    <n v="1"/>
    <n v="23.56"/>
    <n v="29"/>
  </r>
  <r>
    <x v="125"/>
    <d v="2022-06-05T00:00:00"/>
    <n v="1"/>
    <n v="23.56"/>
    <n v="29"/>
  </r>
  <r>
    <x v="125"/>
    <d v="2022-06-05T00:00:00"/>
    <n v="1"/>
    <n v="23.56"/>
    <n v="29"/>
  </r>
  <r>
    <x v="4"/>
    <d v="2022-06-05T00:00:00"/>
    <n v="1"/>
    <n v="80.69"/>
    <n v="100"/>
  </r>
  <r>
    <x v="40"/>
    <d v="2022-06-05T00:00:00"/>
    <n v="1"/>
    <n v="29.26"/>
    <n v="48"/>
  </r>
  <r>
    <x v="152"/>
    <d v="2022-06-05T00:00:00"/>
    <n v="1"/>
    <n v="12"/>
    <n v="20"/>
  </r>
  <r>
    <x v="106"/>
    <d v="2022-06-05T00:00:00"/>
    <n v="1"/>
    <n v="163.29"/>
    <n v="196"/>
  </r>
  <r>
    <x v="117"/>
    <d v="2022-06-05T00:00:00"/>
    <n v="1"/>
    <n v="21.07"/>
    <n v="26"/>
  </r>
  <r>
    <x v="40"/>
    <d v="2022-06-05T00:00:00"/>
    <n v="1"/>
    <n v="28.21"/>
    <n v="46"/>
  </r>
  <r>
    <x v="117"/>
    <d v="2022-06-05T00:00:00"/>
    <n v="1"/>
    <n v="21.07"/>
    <n v="26"/>
  </r>
  <r>
    <x v="54"/>
    <d v="2022-06-05T00:00:00"/>
    <n v="1"/>
    <n v="14.55"/>
    <n v="24"/>
  </r>
  <r>
    <x v="122"/>
    <d v="2022-06-05T00:00:00"/>
    <n v="1"/>
    <n v="119.8"/>
    <n v="167"/>
  </r>
  <r>
    <x v="7"/>
    <d v="2022-06-05T00:00:00"/>
    <n v="1"/>
    <n v="56.03"/>
    <n v="70"/>
  </r>
  <r>
    <x v="19"/>
    <d v="2022-06-05T00:00:00"/>
    <n v="1"/>
    <n v="103.46"/>
    <n v="121"/>
  </r>
  <r>
    <x v="19"/>
    <d v="2022-06-05T00:00:00"/>
    <n v="1"/>
    <n v="101.95"/>
    <n v="122"/>
  </r>
  <r>
    <x v="80"/>
    <d v="2022-06-05T00:00:00"/>
    <n v="1"/>
    <n v="14.38"/>
    <n v="23"/>
  </r>
  <r>
    <x v="80"/>
    <d v="2022-06-05T00:00:00"/>
    <n v="1"/>
    <n v="14.38"/>
    <n v="23"/>
  </r>
  <r>
    <x v="80"/>
    <d v="2022-06-05T00:00:00"/>
    <n v="1"/>
    <n v="14.38"/>
    <n v="23"/>
  </r>
  <r>
    <x v="80"/>
    <d v="2022-06-05T00:00:00"/>
    <n v="1"/>
    <n v="14.38"/>
    <n v="23"/>
  </r>
  <r>
    <x v="23"/>
    <d v="2022-06-05T00:00:00"/>
    <n v="1"/>
    <n v="148.91"/>
    <n v="207"/>
  </r>
  <r>
    <x v="130"/>
    <d v="2022-06-05T00:00:00"/>
    <n v="1"/>
    <n v="72.31"/>
    <n v="90"/>
  </r>
  <r>
    <x v="43"/>
    <d v="2022-06-05T00:00:00"/>
    <n v="1"/>
    <n v="38.89"/>
    <n v="60"/>
  </r>
  <r>
    <x v="145"/>
    <d v="2022-06-05T00:00:00"/>
    <n v="1"/>
    <n v="94.8"/>
    <n v="147"/>
  </r>
  <r>
    <x v="55"/>
    <d v="2022-06-05T00:00:00"/>
    <n v="1"/>
    <n v="59.2"/>
    <n v="74"/>
  </r>
  <r>
    <x v="55"/>
    <d v="2022-06-05T00:00:00"/>
    <n v="1"/>
    <n v="59.2"/>
    <n v="74"/>
  </r>
  <r>
    <x v="47"/>
    <d v="2022-06-05T00:00:00"/>
    <n v="1"/>
    <n v="205"/>
    <n v="250"/>
  </r>
  <r>
    <x v="90"/>
    <d v="2022-06-05T00:00:00"/>
    <n v="0.5"/>
    <n v="113.82"/>
    <n v="173"/>
  </r>
  <r>
    <x v="14"/>
    <d v="2022-06-05T00:00:00"/>
    <n v="1"/>
    <n v="81.95"/>
    <n v="102"/>
  </r>
  <r>
    <x v="101"/>
    <d v="2022-06-05T00:00:00"/>
    <n v="1"/>
    <n v="40.659999999999997"/>
    <n v="50"/>
  </r>
  <r>
    <x v="20"/>
    <d v="2022-06-05T00:00:00"/>
    <n v="1"/>
    <n v="147.55000000000001"/>
    <n v="181"/>
  </r>
  <r>
    <x v="20"/>
    <d v="2022-06-05T00:00:00"/>
    <n v="1"/>
    <n v="147.55000000000001"/>
    <n v="181"/>
  </r>
  <r>
    <x v="7"/>
    <d v="2022-06-05T00:00:00"/>
    <n v="1"/>
    <n v="56.1"/>
    <n v="70"/>
  </r>
  <r>
    <x v="39"/>
    <d v="2022-06-05T00:00:00"/>
    <n v="1"/>
    <n v="64.53"/>
    <n v="101"/>
  </r>
  <r>
    <x v="3"/>
    <d v="2022-06-05T00:00:00"/>
    <n v="1"/>
    <n v="47.82"/>
    <n v="83"/>
  </r>
  <r>
    <x v="45"/>
    <d v="2022-06-05T00:00:00"/>
    <n v="1"/>
    <n v="43.92"/>
    <n v="55"/>
  </r>
  <r>
    <x v="19"/>
    <d v="2022-06-05T00:00:00"/>
    <n v="1"/>
    <n v="101.95"/>
    <n v="120"/>
  </r>
  <r>
    <x v="133"/>
    <d v="2022-06-05T00:00:00"/>
    <n v="1"/>
    <n v="46.5"/>
    <n v="75"/>
  </r>
  <r>
    <x v="133"/>
    <d v="2022-06-05T00:00:00"/>
    <n v="1"/>
    <n v="46.5"/>
    <n v="75"/>
  </r>
  <r>
    <x v="92"/>
    <d v="2022-06-05T00:00:00"/>
    <n v="1"/>
    <n v="426.66"/>
    <n v="564"/>
  </r>
  <r>
    <x v="133"/>
    <d v="2022-06-05T00:00:00"/>
    <n v="1"/>
    <n v="46.5"/>
    <n v="76"/>
  </r>
  <r>
    <x v="94"/>
    <d v="2022-06-05T00:00:00"/>
    <n v="1"/>
    <n v="64.25"/>
    <n v="80"/>
  </r>
  <r>
    <x v="19"/>
    <d v="2022-06-05T00:00:00"/>
    <n v="1"/>
    <n v="101.95"/>
    <n v="120"/>
  </r>
  <r>
    <x v="26"/>
    <d v="2022-06-05T00:00:00"/>
    <n v="1"/>
    <n v="13.36"/>
    <n v="18"/>
  </r>
  <r>
    <x v="19"/>
    <d v="2022-06-05T00:00:00"/>
    <n v="1"/>
    <n v="101.95"/>
    <n v="122"/>
  </r>
  <r>
    <x v="43"/>
    <d v="2022-06-05T00:00:00"/>
    <n v="1"/>
    <n v="41.43"/>
    <n v="66"/>
  </r>
  <r>
    <x v="72"/>
    <d v="2022-06-05T00:00:00"/>
    <n v="1"/>
    <n v="65.89"/>
    <n v="81"/>
  </r>
  <r>
    <x v="39"/>
    <d v="2022-06-05T00:00:00"/>
    <n v="1"/>
    <n v="69.959999999999994"/>
    <n v="112"/>
  </r>
  <r>
    <x v="86"/>
    <d v="2022-06-05T00:00:00"/>
    <n v="1"/>
    <n v="35.340000000000003"/>
    <n v="58"/>
  </r>
  <r>
    <x v="5"/>
    <d v="2022-06-05T00:00:00"/>
    <n v="1"/>
    <n v="11.67"/>
    <n v="14"/>
  </r>
  <r>
    <x v="5"/>
    <d v="2022-06-05T00:00:00"/>
    <n v="1"/>
    <n v="11.67"/>
    <n v="14"/>
  </r>
  <r>
    <x v="5"/>
    <d v="2022-06-05T00:00:00"/>
    <n v="1"/>
    <n v="11.67"/>
    <n v="14"/>
  </r>
  <r>
    <x v="90"/>
    <d v="2022-06-05T00:00:00"/>
    <n v="3"/>
    <n v="111.25"/>
    <n v="171"/>
  </r>
  <r>
    <x v="119"/>
    <d v="2022-06-05T00:00:00"/>
    <n v="1"/>
    <n v="48.86"/>
    <n v="79"/>
  </r>
  <r>
    <x v="123"/>
    <d v="2022-06-05T00:00:00"/>
    <n v="1"/>
    <n v="269.2"/>
    <n v="359"/>
  </r>
  <r>
    <x v="97"/>
    <d v="2022-06-05T00:00:00"/>
    <n v="1"/>
    <n v="25.97"/>
    <n v="32"/>
  </r>
  <r>
    <x v="97"/>
    <d v="2022-06-05T00:00:00"/>
    <n v="1"/>
    <n v="25.97"/>
    <n v="32"/>
  </r>
  <r>
    <x v="97"/>
    <d v="2022-06-05T00:00:00"/>
    <n v="1"/>
    <n v="25.97"/>
    <n v="32"/>
  </r>
  <r>
    <x v="21"/>
    <d v="2022-06-05T00:00:00"/>
    <n v="1"/>
    <n v="986.58"/>
    <n v="1234"/>
  </r>
  <r>
    <x v="78"/>
    <d v="2022-06-05T00:00:00"/>
    <n v="1"/>
    <n v="201.71"/>
    <n v="243"/>
  </r>
  <r>
    <x v="58"/>
    <d v="2022-06-05T00:00:00"/>
    <n v="1"/>
    <n v="71.45"/>
    <n v="86"/>
  </r>
  <r>
    <x v="58"/>
    <d v="2022-06-05T00:00:00"/>
    <n v="1"/>
    <n v="71.45"/>
    <n v="86"/>
  </r>
  <r>
    <x v="78"/>
    <d v="2022-06-05T00:00:00"/>
    <n v="1"/>
    <n v="198.56"/>
    <n v="239"/>
  </r>
  <r>
    <x v="78"/>
    <d v="2022-06-05T00:00:00"/>
    <n v="1"/>
    <n v="198.56"/>
    <n v="239"/>
  </r>
  <r>
    <x v="67"/>
    <d v="2022-06-05T00:00:00"/>
    <n v="1"/>
    <n v="556.51"/>
    <n v="735"/>
  </r>
  <r>
    <x v="84"/>
    <d v="2022-06-05T00:00:00"/>
    <n v="1"/>
    <n v="91.23"/>
    <n v="133"/>
  </r>
  <r>
    <x v="107"/>
    <d v="2022-06-05T00:00:00"/>
    <n v="1"/>
    <n v="251.13"/>
    <n v="295"/>
  </r>
  <r>
    <x v="34"/>
    <d v="2022-06-05T00:00:00"/>
    <n v="1"/>
    <n v="8.58"/>
    <n v="14"/>
  </r>
  <r>
    <x v="34"/>
    <d v="2022-06-05T00:00:00"/>
    <n v="1"/>
    <n v="8.58"/>
    <n v="14"/>
  </r>
  <r>
    <x v="51"/>
    <d v="2022-06-05T00:00:00"/>
    <n v="1"/>
    <n v="45.88"/>
    <n v="72"/>
  </r>
  <r>
    <x v="129"/>
    <d v="2022-06-05T00:00:00"/>
    <n v="1"/>
    <n v="26.91"/>
    <n v="43"/>
  </r>
  <r>
    <x v="141"/>
    <d v="2022-06-05T00:00:00"/>
    <n v="1"/>
    <n v="410.25"/>
    <n v="567"/>
  </r>
  <r>
    <x v="104"/>
    <d v="2022-06-05T00:00:00"/>
    <n v="1"/>
    <n v="87.07"/>
    <n v="97"/>
  </r>
  <r>
    <x v="104"/>
    <d v="2022-06-05T00:00:00"/>
    <n v="1"/>
    <n v="87.07"/>
    <n v="97"/>
  </r>
  <r>
    <x v="16"/>
    <d v="2022-06-05T00:00:00"/>
    <n v="1"/>
    <n v="184.39"/>
    <n v="268"/>
  </r>
  <r>
    <x v="72"/>
    <d v="2022-06-05T00:00:00"/>
    <n v="1"/>
    <n v="60.61"/>
    <n v="76"/>
  </r>
  <r>
    <x v="94"/>
    <d v="2022-06-05T00:00:00"/>
    <n v="1"/>
    <n v="64.25"/>
    <n v="80"/>
  </r>
  <r>
    <x v="39"/>
    <d v="2022-06-05T00:00:00"/>
    <n v="1"/>
    <n v="65.010000000000005"/>
    <n v="101"/>
  </r>
  <r>
    <x v="49"/>
    <d v="2022-06-05T00:00:00"/>
    <n v="1"/>
    <n v="718.05"/>
    <n v="927"/>
  </r>
  <r>
    <x v="46"/>
    <d v="2022-06-05T00:00:00"/>
    <n v="4"/>
    <n v="2.0099999999999998"/>
    <n v="4"/>
  </r>
  <r>
    <x v="20"/>
    <d v="2022-06-05T00:00:00"/>
    <n v="1"/>
    <n v="148.52000000000001"/>
    <n v="178"/>
  </r>
  <r>
    <x v="126"/>
    <d v="2022-06-05T00:00:00"/>
    <n v="1"/>
    <n v="361.91"/>
    <n v="424"/>
  </r>
  <r>
    <x v="19"/>
    <d v="2022-06-05T00:00:00"/>
    <n v="1"/>
    <n v="99.96"/>
    <n v="121"/>
  </r>
  <r>
    <x v="131"/>
    <d v="2022-06-05T00:00:00"/>
    <n v="1"/>
    <n v="286.72000000000003"/>
    <n v="382"/>
  </r>
  <r>
    <x v="48"/>
    <d v="2022-06-05T00:00:00"/>
    <n v="1"/>
    <n v="23.4"/>
    <n v="38"/>
  </r>
  <r>
    <x v="36"/>
    <d v="2022-06-05T00:00:00"/>
    <n v="2"/>
    <n v="11.52"/>
    <n v="20"/>
  </r>
  <r>
    <x v="41"/>
    <d v="2022-06-05T00:00:00"/>
    <n v="1"/>
    <n v="19.7"/>
    <n v="24"/>
  </r>
  <r>
    <x v="41"/>
    <d v="2022-06-05T00:00:00"/>
    <n v="1"/>
    <n v="19.7"/>
    <n v="24"/>
  </r>
  <r>
    <x v="55"/>
    <d v="2022-06-05T00:00:00"/>
    <n v="1"/>
    <n v="59.38"/>
    <n v="73"/>
  </r>
  <r>
    <x v="55"/>
    <d v="2022-06-05T00:00:00"/>
    <n v="1"/>
    <n v="59.38"/>
    <n v="73"/>
  </r>
  <r>
    <x v="106"/>
    <d v="2022-06-05T00:00:00"/>
    <n v="1"/>
    <n v="163.16"/>
    <n v="196"/>
  </r>
  <r>
    <x v="2"/>
    <d v="2022-06-05T00:00:00"/>
    <n v="1"/>
    <n v="88.73"/>
    <n v="104"/>
  </r>
  <r>
    <x v="52"/>
    <d v="2022-06-05T00:00:00"/>
    <n v="1"/>
    <n v="233.06"/>
    <n v="273"/>
  </r>
  <r>
    <x v="25"/>
    <d v="2022-06-05T00:00:00"/>
    <n v="1"/>
    <n v="156.19999999999999"/>
    <n v="186"/>
  </r>
  <r>
    <x v="44"/>
    <d v="2022-06-05T00:00:00"/>
    <n v="1"/>
    <n v="15.8"/>
    <n v="19"/>
  </r>
  <r>
    <x v="44"/>
    <d v="2022-06-05T00:00:00"/>
    <n v="1"/>
    <n v="15.8"/>
    <n v="19"/>
  </r>
  <r>
    <x v="95"/>
    <d v="2022-06-05T00:00:00"/>
    <n v="1"/>
    <n v="37.479999999999997"/>
    <n v="57"/>
  </r>
  <r>
    <x v="95"/>
    <d v="2022-06-05T00:00:00"/>
    <n v="1"/>
    <n v="37.479999999999997"/>
    <n v="57"/>
  </r>
  <r>
    <x v="113"/>
    <d v="2022-06-05T00:00:00"/>
    <n v="1"/>
    <n v="10.78"/>
    <n v="13"/>
  </r>
  <r>
    <x v="70"/>
    <d v="2022-06-05T00:00:00"/>
    <n v="0.1"/>
    <n v="430.44"/>
    <n v="633"/>
  </r>
  <r>
    <x v="29"/>
    <d v="2022-06-05T00:00:00"/>
    <n v="1"/>
    <n v="201.73"/>
    <n v="232"/>
  </r>
  <r>
    <x v="153"/>
    <d v="2022-06-05T00:00:00"/>
    <n v="1"/>
    <n v="31.21"/>
    <n v="39"/>
  </r>
  <r>
    <x v="153"/>
    <d v="2022-06-05T00:00:00"/>
    <n v="1"/>
    <n v="24.12"/>
    <n v="32"/>
  </r>
  <r>
    <x v="153"/>
    <d v="2022-06-05T00:00:00"/>
    <n v="1"/>
    <n v="24.12"/>
    <n v="32"/>
  </r>
  <r>
    <x v="153"/>
    <d v="2022-06-05T00:00:00"/>
    <n v="1"/>
    <n v="24.12"/>
    <n v="32"/>
  </r>
  <r>
    <x v="153"/>
    <d v="2022-06-05T00:00:00"/>
    <n v="1"/>
    <n v="24.12"/>
    <n v="32"/>
  </r>
  <r>
    <x v="140"/>
    <d v="2022-06-05T00:00:00"/>
    <n v="1"/>
    <n v="25.3"/>
    <n v="31"/>
  </r>
  <r>
    <x v="145"/>
    <d v="2022-06-05T00:00:00"/>
    <n v="1"/>
    <n v="94.8"/>
    <n v="147"/>
  </r>
  <r>
    <x v="16"/>
    <d v="2022-06-05T00:00:00"/>
    <n v="1"/>
    <n v="182.55"/>
    <n v="247"/>
  </r>
  <r>
    <x v="60"/>
    <d v="2022-06-05T00:00:00"/>
    <n v="1"/>
    <n v="187.74"/>
    <n v="239"/>
  </r>
  <r>
    <x v="92"/>
    <d v="2022-06-05T00:00:00"/>
    <n v="1"/>
    <n v="426.66"/>
    <n v="564"/>
  </r>
  <r>
    <x v="47"/>
    <d v="2022-06-05T00:00:00"/>
    <n v="1"/>
    <n v="205"/>
    <n v="250"/>
  </r>
  <r>
    <x v="109"/>
    <d v="2022-06-05T00:00:00"/>
    <n v="1"/>
    <n v="74.8"/>
    <n v="92"/>
  </r>
  <r>
    <x v="107"/>
    <d v="2022-06-05T00:00:00"/>
    <n v="1"/>
    <n v="251.13"/>
    <n v="295"/>
  </r>
  <r>
    <x v="55"/>
    <d v="2022-06-05T00:00:00"/>
    <n v="1"/>
    <n v="56.76"/>
    <n v="71"/>
  </r>
  <r>
    <x v="64"/>
    <d v="2022-06-05T00:00:00"/>
    <n v="1"/>
    <n v="19.989999999999998"/>
    <n v="24"/>
  </r>
  <r>
    <x v="64"/>
    <d v="2022-06-05T00:00:00"/>
    <n v="1"/>
    <n v="19.989999999999998"/>
    <n v="24"/>
  </r>
  <r>
    <x v="34"/>
    <d v="2022-06-05T00:00:00"/>
    <n v="10"/>
    <n v="11.72"/>
    <n v="19"/>
  </r>
  <r>
    <x v="80"/>
    <d v="2022-06-05T00:00:00"/>
    <n v="1"/>
    <n v="17.23"/>
    <n v="28"/>
  </r>
  <r>
    <x v="57"/>
    <d v="2022-06-05T00:00:00"/>
    <n v="1"/>
    <n v="25.7"/>
    <n v="31"/>
  </r>
  <r>
    <x v="57"/>
    <d v="2022-06-05T00:00:00"/>
    <n v="1"/>
    <n v="25.7"/>
    <n v="31"/>
  </r>
  <r>
    <x v="13"/>
    <d v="2022-06-05T00:00:00"/>
    <n v="1"/>
    <n v="46"/>
    <n v="70"/>
  </r>
  <r>
    <x v="13"/>
    <d v="2022-06-05T00:00:00"/>
    <n v="1"/>
    <n v="46"/>
    <n v="70"/>
  </r>
  <r>
    <x v="120"/>
    <d v="2022-06-05T00:00:00"/>
    <n v="1"/>
    <n v="337.22"/>
    <n v="446"/>
  </r>
  <r>
    <x v="18"/>
    <d v="2022-06-05T00:00:00"/>
    <n v="1"/>
    <n v="109.41"/>
    <n v="123"/>
  </r>
  <r>
    <x v="135"/>
    <d v="2022-06-05T00:00:00"/>
    <n v="1"/>
    <n v="160.04"/>
    <n v="192"/>
  </r>
  <r>
    <x v="47"/>
    <d v="2022-06-05T00:00:00"/>
    <n v="1"/>
    <n v="221.19"/>
    <n v="262"/>
  </r>
  <r>
    <x v="56"/>
    <d v="2022-06-05T00:00:00"/>
    <n v="1"/>
    <n v="32.89"/>
    <n v="50"/>
  </r>
  <r>
    <x v="150"/>
    <d v="2022-06-05T00:00:00"/>
    <n v="0.4"/>
    <n v="527.48"/>
    <n v="713"/>
  </r>
  <r>
    <x v="82"/>
    <d v="2022-06-05T00:00:00"/>
    <n v="1"/>
    <n v="323.66000000000003"/>
    <n v="370"/>
  </r>
  <r>
    <x v="4"/>
    <d v="2022-06-05T00:00:00"/>
    <n v="1"/>
    <n v="80.69"/>
    <n v="98"/>
  </r>
  <r>
    <x v="54"/>
    <d v="2022-06-05T00:00:00"/>
    <n v="1"/>
    <n v="11.59"/>
    <n v="19"/>
  </r>
  <r>
    <x v="95"/>
    <d v="2022-06-05T00:00:00"/>
    <n v="1"/>
    <n v="37.42"/>
    <n v="57"/>
  </r>
  <r>
    <x v="81"/>
    <d v="2022-06-05T00:00:00"/>
    <n v="2"/>
    <n v="47.4"/>
    <n v="82"/>
  </r>
  <r>
    <x v="122"/>
    <d v="2022-06-05T00:00:00"/>
    <n v="1"/>
    <n v="119.85"/>
    <n v="167"/>
  </r>
  <r>
    <x v="113"/>
    <d v="2022-06-05T00:00:00"/>
    <n v="1"/>
    <n v="10.78"/>
    <n v="13"/>
  </r>
  <r>
    <x v="113"/>
    <d v="2022-06-05T00:00:00"/>
    <n v="1"/>
    <n v="10.78"/>
    <n v="13"/>
  </r>
  <r>
    <x v="39"/>
    <d v="2022-06-05T00:00:00"/>
    <n v="1"/>
    <n v="65.53"/>
    <n v="100"/>
  </r>
  <r>
    <x v="126"/>
    <d v="2022-06-05T00:00:00"/>
    <n v="1"/>
    <n v="349.61"/>
    <n v="403"/>
  </r>
  <r>
    <x v="30"/>
    <d v="2022-06-05T00:00:00"/>
    <n v="1"/>
    <n v="31.99"/>
    <n v="49"/>
  </r>
  <r>
    <x v="100"/>
    <d v="2022-06-05T00:00:00"/>
    <n v="1"/>
    <n v="35.79"/>
    <n v="58"/>
  </r>
  <r>
    <x v="100"/>
    <d v="2022-06-05T00:00:00"/>
    <n v="1"/>
    <n v="27.69"/>
    <n v="45"/>
  </r>
  <r>
    <x v="20"/>
    <d v="2022-06-05T00:00:00"/>
    <n v="1"/>
    <n v="146.85"/>
    <n v="173"/>
  </r>
  <r>
    <x v="120"/>
    <d v="2022-06-05T00:00:00"/>
    <n v="1"/>
    <n v="337.22"/>
    <n v="446"/>
  </r>
  <r>
    <x v="103"/>
    <d v="2022-06-05T00:00:00"/>
    <n v="1"/>
    <n v="27.61"/>
    <n v="42"/>
  </r>
  <r>
    <x v="53"/>
    <d v="2022-06-05T00:00:00"/>
    <n v="1"/>
    <n v="60.5"/>
    <n v="73"/>
  </r>
  <r>
    <x v="0"/>
    <d v="2022-06-05T00:00:00"/>
    <n v="1"/>
    <n v="132.33000000000001"/>
    <n v="152"/>
  </r>
  <r>
    <x v="85"/>
    <d v="2022-06-05T00:00:00"/>
    <n v="1"/>
    <n v="399.09"/>
    <n v="491"/>
  </r>
  <r>
    <x v="1"/>
    <d v="2022-06-05T00:00:00"/>
    <n v="0.4"/>
    <n v="472.13"/>
    <n v="591"/>
  </r>
  <r>
    <x v="129"/>
    <d v="2022-06-05T00:00:00"/>
    <n v="1"/>
    <n v="26.91"/>
    <n v="43"/>
  </r>
  <r>
    <x v="101"/>
    <d v="2022-06-05T00:00:00"/>
    <n v="1"/>
    <n v="41.48"/>
    <n v="51"/>
  </r>
  <r>
    <x v="51"/>
    <d v="2022-06-05T00:00:00"/>
    <n v="1"/>
    <n v="44.56"/>
    <n v="70"/>
  </r>
  <r>
    <x v="74"/>
    <d v="2022-06-05T00:00:00"/>
    <n v="1"/>
    <n v="150.77000000000001"/>
    <n v="179"/>
  </r>
  <r>
    <x v="116"/>
    <d v="2022-06-05T00:00:00"/>
    <n v="2"/>
    <n v="10.4"/>
    <n v="17"/>
  </r>
  <r>
    <x v="122"/>
    <d v="2022-06-05T00:00:00"/>
    <n v="1"/>
    <n v="119.28"/>
    <n v="169"/>
  </r>
  <r>
    <x v="105"/>
    <d v="2022-06-04T00:00:00"/>
    <n v="1"/>
    <n v="230.01"/>
    <n v="306"/>
  </r>
  <r>
    <x v="4"/>
    <d v="2022-06-04T00:00:00"/>
    <n v="1"/>
    <n v="80.69"/>
    <n v="100"/>
  </r>
  <r>
    <x v="42"/>
    <d v="2022-06-04T00:00:00"/>
    <n v="1"/>
    <n v="43.2"/>
    <n v="67"/>
  </r>
  <r>
    <x v="55"/>
    <d v="2022-06-04T00:00:00"/>
    <n v="1"/>
    <n v="59.2"/>
    <n v="74"/>
  </r>
  <r>
    <x v="142"/>
    <d v="2022-06-04T00:00:00"/>
    <n v="1"/>
    <n v="137.12"/>
    <n v="191"/>
  </r>
  <r>
    <x v="51"/>
    <d v="2022-06-04T00:00:00"/>
    <n v="1"/>
    <n v="45.32"/>
    <n v="69"/>
  </r>
  <r>
    <x v="42"/>
    <d v="2022-06-04T00:00:00"/>
    <n v="1"/>
    <n v="43.2"/>
    <n v="67"/>
  </r>
  <r>
    <x v="113"/>
    <d v="2022-06-04T00:00:00"/>
    <n v="1"/>
    <n v="10.78"/>
    <n v="13"/>
  </r>
  <r>
    <x v="34"/>
    <d v="2022-06-04T00:00:00"/>
    <n v="3"/>
    <n v="35.409999999999997"/>
    <n v="58"/>
  </r>
  <r>
    <x v="5"/>
    <d v="2022-06-04T00:00:00"/>
    <n v="1"/>
    <n v="11.67"/>
    <n v="14"/>
  </r>
  <r>
    <x v="18"/>
    <d v="2022-06-04T00:00:00"/>
    <n v="1"/>
    <n v="109.41"/>
    <n v="123"/>
  </r>
  <r>
    <x v="8"/>
    <d v="2022-06-04T00:00:00"/>
    <n v="1"/>
    <n v="117.7"/>
    <n v="142"/>
  </r>
  <r>
    <x v="45"/>
    <d v="2022-06-04T00:00:00"/>
    <n v="1"/>
    <n v="43.55"/>
    <n v="54"/>
  </r>
  <r>
    <x v="36"/>
    <d v="2022-06-04T00:00:00"/>
    <n v="2"/>
    <n v="10.9"/>
    <n v="18"/>
  </r>
  <r>
    <x v="40"/>
    <d v="2022-06-04T00:00:00"/>
    <n v="1"/>
    <n v="28.21"/>
    <n v="46"/>
  </r>
  <r>
    <x v="0"/>
    <d v="2022-06-04T00:00:00"/>
    <n v="1"/>
    <n v="146.1"/>
    <n v="173"/>
  </r>
  <r>
    <x v="39"/>
    <d v="2022-06-04T00:00:00"/>
    <n v="1"/>
    <n v="64.53"/>
    <n v="103"/>
  </r>
  <r>
    <x v="74"/>
    <d v="2022-06-04T00:00:00"/>
    <n v="1"/>
    <n v="148.5"/>
    <n v="177"/>
  </r>
  <r>
    <x v="74"/>
    <d v="2022-06-04T00:00:00"/>
    <n v="1"/>
    <n v="148.5"/>
    <n v="177"/>
  </r>
  <r>
    <x v="82"/>
    <d v="2022-06-04T00:00:00"/>
    <n v="1"/>
    <n v="323.66000000000003"/>
    <n v="366"/>
  </r>
  <r>
    <x v="34"/>
    <d v="2022-06-04T00:00:00"/>
    <n v="5"/>
    <n v="8.58"/>
    <n v="14"/>
  </r>
  <r>
    <x v="20"/>
    <d v="2022-06-04T00:00:00"/>
    <n v="1"/>
    <n v="147.55000000000001"/>
    <n v="181"/>
  </r>
  <r>
    <x v="95"/>
    <d v="2022-06-04T00:00:00"/>
    <n v="1"/>
    <n v="38.07"/>
    <n v="59"/>
  </r>
  <r>
    <x v="95"/>
    <d v="2022-06-04T00:00:00"/>
    <n v="1"/>
    <n v="38.07"/>
    <n v="59"/>
  </r>
  <r>
    <x v="95"/>
    <d v="2022-06-04T00:00:00"/>
    <n v="1"/>
    <n v="38.07"/>
    <n v="59"/>
  </r>
  <r>
    <x v="60"/>
    <d v="2022-06-04T00:00:00"/>
    <n v="1"/>
    <n v="187.36"/>
    <n v="220"/>
  </r>
  <r>
    <x v="46"/>
    <d v="2022-06-04T00:00:00"/>
    <n v="4"/>
    <n v="2.0099999999999998"/>
    <n v="4"/>
  </r>
  <r>
    <x v="67"/>
    <d v="2022-06-04T00:00:00"/>
    <n v="1"/>
    <n v="556.51"/>
    <n v="735"/>
  </r>
  <r>
    <x v="60"/>
    <d v="2022-06-04T00:00:00"/>
    <n v="1"/>
    <n v="187.36"/>
    <n v="220"/>
  </r>
  <r>
    <x v="30"/>
    <d v="2022-06-04T00:00:00"/>
    <n v="1"/>
    <n v="31.99"/>
    <n v="49"/>
  </r>
  <r>
    <x v="73"/>
    <d v="2022-06-04T00:00:00"/>
    <n v="1"/>
    <n v="69.599999999999994"/>
    <n v="88"/>
  </r>
  <r>
    <x v="116"/>
    <d v="2022-06-04T00:00:00"/>
    <n v="1"/>
    <n v="10.4"/>
    <n v="17"/>
  </r>
  <r>
    <x v="145"/>
    <d v="2022-06-04T00:00:00"/>
    <n v="2"/>
    <n v="120.9"/>
    <n v="190"/>
  </r>
  <r>
    <x v="40"/>
    <d v="2022-06-04T00:00:00"/>
    <n v="1"/>
    <n v="28.21"/>
    <n v="49"/>
  </r>
  <r>
    <x v="45"/>
    <d v="2022-06-04T00:00:00"/>
    <n v="1"/>
    <n v="43.55"/>
    <n v="54"/>
  </r>
  <r>
    <x v="45"/>
    <d v="2022-06-04T00:00:00"/>
    <n v="1"/>
    <n v="43.55"/>
    <n v="54"/>
  </r>
  <r>
    <x v="45"/>
    <d v="2022-06-04T00:00:00"/>
    <n v="1"/>
    <n v="43.55"/>
    <n v="54"/>
  </r>
  <r>
    <x v="45"/>
    <d v="2022-06-04T00:00:00"/>
    <n v="1"/>
    <n v="43.55"/>
    <n v="54"/>
  </r>
  <r>
    <x v="21"/>
    <d v="2022-06-04T00:00:00"/>
    <n v="0.1"/>
    <n v="986.58"/>
    <n v="1234"/>
  </r>
  <r>
    <x v="14"/>
    <d v="2022-06-04T00:00:00"/>
    <n v="1"/>
    <n v="81.290000000000006"/>
    <n v="103"/>
  </r>
  <r>
    <x v="14"/>
    <d v="2022-06-04T00:00:00"/>
    <n v="1"/>
    <n v="81.290000000000006"/>
    <n v="103"/>
  </r>
  <r>
    <x v="10"/>
    <d v="2022-06-04T00:00:00"/>
    <n v="1"/>
    <n v="34.18"/>
    <n v="56"/>
  </r>
  <r>
    <x v="90"/>
    <d v="2022-06-04T00:00:00"/>
    <n v="0.1"/>
    <n v="113.82"/>
    <n v="173"/>
  </r>
  <r>
    <x v="93"/>
    <d v="2022-06-04T00:00:00"/>
    <n v="1"/>
    <n v="111.32"/>
    <n v="133"/>
  </r>
  <r>
    <x v="127"/>
    <d v="2022-06-04T00:00:00"/>
    <n v="1"/>
    <n v="60.02"/>
    <n v="88"/>
  </r>
  <r>
    <x v="113"/>
    <d v="2022-06-04T00:00:00"/>
    <n v="1"/>
    <n v="10.78"/>
    <n v="13"/>
  </r>
  <r>
    <x v="1"/>
    <d v="2022-06-04T00:00:00"/>
    <n v="1"/>
    <n v="470.81"/>
    <n v="589"/>
  </r>
  <r>
    <x v="128"/>
    <d v="2022-06-04T00:00:00"/>
    <n v="1"/>
    <n v="5.0999999999999996"/>
    <n v="9"/>
  </r>
  <r>
    <x v="15"/>
    <d v="2022-06-04T00:00:00"/>
    <n v="1"/>
    <n v="20.77"/>
    <n v="26"/>
  </r>
  <r>
    <x v="0"/>
    <d v="2022-06-04T00:00:00"/>
    <n v="1"/>
    <n v="132.33000000000001"/>
    <n v="159"/>
  </r>
  <r>
    <x v="127"/>
    <d v="2022-06-04T00:00:00"/>
    <n v="1"/>
    <n v="58.53"/>
    <n v="84"/>
  </r>
  <r>
    <x v="42"/>
    <d v="2022-06-04T00:00:00"/>
    <n v="1"/>
    <n v="43.2"/>
    <n v="67"/>
  </r>
  <r>
    <x v="98"/>
    <d v="2022-06-04T00:00:00"/>
    <n v="1"/>
    <n v="46.32"/>
    <n v="72"/>
  </r>
  <r>
    <x v="98"/>
    <d v="2022-06-04T00:00:00"/>
    <n v="1"/>
    <n v="46.32"/>
    <n v="72"/>
  </r>
  <r>
    <x v="90"/>
    <d v="2022-06-04T00:00:00"/>
    <n v="0.1"/>
    <n v="129.4"/>
    <n v="197"/>
  </r>
  <r>
    <x v="98"/>
    <d v="2022-06-04T00:00:00"/>
    <n v="1"/>
    <n v="46.32"/>
    <n v="72"/>
  </r>
  <r>
    <x v="98"/>
    <d v="2022-06-04T00:00:00"/>
    <n v="1"/>
    <n v="46.32"/>
    <n v="72"/>
  </r>
  <r>
    <x v="98"/>
    <d v="2022-06-04T00:00:00"/>
    <n v="1"/>
    <n v="46.32"/>
    <n v="72"/>
  </r>
  <r>
    <x v="107"/>
    <d v="2022-06-04T00:00:00"/>
    <n v="1"/>
    <n v="281.47000000000003"/>
    <n v="334"/>
  </r>
  <r>
    <x v="122"/>
    <d v="2022-06-04T00:00:00"/>
    <n v="1"/>
    <n v="121"/>
    <n v="176"/>
  </r>
  <r>
    <x v="31"/>
    <d v="2022-06-04T00:00:00"/>
    <n v="1"/>
    <n v="21.42"/>
    <n v="27"/>
  </r>
  <r>
    <x v="31"/>
    <d v="2022-06-04T00:00:00"/>
    <n v="1"/>
    <n v="21.42"/>
    <n v="27"/>
  </r>
  <r>
    <x v="31"/>
    <d v="2022-06-04T00:00:00"/>
    <n v="1"/>
    <n v="21.42"/>
    <n v="27"/>
  </r>
  <r>
    <x v="31"/>
    <d v="2022-06-04T00:00:00"/>
    <n v="1"/>
    <n v="21.42"/>
    <n v="27"/>
  </r>
  <r>
    <x v="31"/>
    <d v="2022-06-04T00:00:00"/>
    <n v="1"/>
    <n v="21.42"/>
    <n v="27"/>
  </r>
  <r>
    <x v="31"/>
    <d v="2022-06-04T00:00:00"/>
    <n v="1"/>
    <n v="21.42"/>
    <n v="27"/>
  </r>
  <r>
    <x v="77"/>
    <d v="2022-06-04T00:00:00"/>
    <n v="1"/>
    <n v="36.090000000000003"/>
    <n v="46"/>
  </r>
  <r>
    <x v="77"/>
    <d v="2022-06-04T00:00:00"/>
    <n v="1"/>
    <n v="36.090000000000003"/>
    <n v="46"/>
  </r>
  <r>
    <x v="77"/>
    <d v="2022-06-04T00:00:00"/>
    <n v="1"/>
    <n v="36.090000000000003"/>
    <n v="46"/>
  </r>
  <r>
    <x v="77"/>
    <d v="2022-06-04T00:00:00"/>
    <n v="1"/>
    <n v="36.090000000000003"/>
    <n v="46"/>
  </r>
  <r>
    <x v="77"/>
    <d v="2022-06-04T00:00:00"/>
    <n v="1"/>
    <n v="35.85"/>
    <n v="45"/>
  </r>
  <r>
    <x v="77"/>
    <d v="2022-06-04T00:00:00"/>
    <n v="1"/>
    <n v="35.85"/>
    <n v="45"/>
  </r>
  <r>
    <x v="103"/>
    <d v="2022-06-04T00:00:00"/>
    <n v="1"/>
    <n v="23.13"/>
    <n v="36"/>
  </r>
  <r>
    <x v="103"/>
    <d v="2022-06-04T00:00:00"/>
    <n v="1"/>
    <n v="23.13"/>
    <n v="36"/>
  </r>
  <r>
    <x v="103"/>
    <d v="2022-06-04T00:00:00"/>
    <n v="1"/>
    <n v="23.13"/>
    <n v="36"/>
  </r>
  <r>
    <x v="103"/>
    <d v="2022-06-04T00:00:00"/>
    <n v="1"/>
    <n v="22.27"/>
    <n v="35"/>
  </r>
  <r>
    <x v="103"/>
    <d v="2022-06-04T00:00:00"/>
    <n v="1"/>
    <n v="22.27"/>
    <n v="35"/>
  </r>
  <r>
    <x v="103"/>
    <d v="2022-06-04T00:00:00"/>
    <n v="1"/>
    <n v="22.27"/>
    <n v="35"/>
  </r>
  <r>
    <x v="49"/>
    <d v="2022-06-04T00:00:00"/>
    <n v="1"/>
    <n v="723.11"/>
    <n v="933"/>
  </r>
  <r>
    <x v="70"/>
    <d v="2022-06-04T00:00:00"/>
    <n v="0.2"/>
    <n v="463.1"/>
    <n v="649"/>
  </r>
  <r>
    <x v="137"/>
    <d v="2022-06-04T00:00:00"/>
    <n v="1"/>
    <n v="12.86"/>
    <n v="15"/>
  </r>
  <r>
    <x v="137"/>
    <d v="2022-06-04T00:00:00"/>
    <n v="1"/>
    <n v="12.86"/>
    <n v="15"/>
  </r>
  <r>
    <x v="132"/>
    <d v="2022-06-04T00:00:00"/>
    <n v="1"/>
    <n v="8.5"/>
    <n v="14"/>
  </r>
  <r>
    <x v="141"/>
    <d v="2022-06-04T00:00:00"/>
    <n v="1"/>
    <n v="413.44"/>
    <n v="464"/>
  </r>
  <r>
    <x v="74"/>
    <d v="2022-06-04T00:00:00"/>
    <n v="1"/>
    <n v="153.44999999999999"/>
    <n v="169"/>
  </r>
  <r>
    <x v="35"/>
    <d v="2022-06-04T00:00:00"/>
    <n v="1"/>
    <n v="173.61"/>
    <n v="208"/>
  </r>
  <r>
    <x v="95"/>
    <d v="2022-06-04T00:00:00"/>
    <n v="1"/>
    <n v="38.07"/>
    <n v="59"/>
  </r>
  <r>
    <x v="95"/>
    <d v="2022-06-04T00:00:00"/>
    <n v="1"/>
    <n v="38.07"/>
    <n v="59"/>
  </r>
  <r>
    <x v="95"/>
    <d v="2022-06-04T00:00:00"/>
    <n v="1"/>
    <n v="38.07"/>
    <n v="59"/>
  </r>
  <r>
    <x v="60"/>
    <d v="2022-06-04T00:00:00"/>
    <n v="1"/>
    <n v="187.36"/>
    <n v="220"/>
  </r>
  <r>
    <x v="43"/>
    <d v="2022-06-04T00:00:00"/>
    <n v="1"/>
    <n v="41.43"/>
    <n v="66"/>
  </r>
  <r>
    <x v="43"/>
    <d v="2022-06-04T00:00:00"/>
    <n v="1"/>
    <n v="41.43"/>
    <n v="66"/>
  </r>
  <r>
    <x v="43"/>
    <d v="2022-06-04T00:00:00"/>
    <n v="1"/>
    <n v="41.43"/>
    <n v="66"/>
  </r>
  <r>
    <x v="43"/>
    <d v="2022-06-04T00:00:00"/>
    <n v="1"/>
    <n v="41.43"/>
    <n v="66"/>
  </r>
  <r>
    <x v="43"/>
    <d v="2022-06-04T00:00:00"/>
    <n v="1"/>
    <n v="41.43"/>
    <n v="66"/>
  </r>
  <r>
    <x v="43"/>
    <d v="2022-06-04T00:00:00"/>
    <n v="1"/>
    <n v="41.43"/>
    <n v="66"/>
  </r>
  <r>
    <x v="29"/>
    <d v="2022-06-04T00:00:00"/>
    <n v="1"/>
    <n v="201.2"/>
    <n v="232"/>
  </r>
  <r>
    <x v="115"/>
    <d v="2022-06-04T00:00:00"/>
    <n v="1"/>
    <n v="132.07"/>
    <n v="181"/>
  </r>
  <r>
    <x v="81"/>
    <d v="2022-06-04T00:00:00"/>
    <n v="1"/>
    <n v="47.4"/>
    <n v="76"/>
  </r>
  <r>
    <x v="85"/>
    <d v="2022-06-04T00:00:00"/>
    <n v="1"/>
    <n v="390.04"/>
    <n v="480"/>
  </r>
  <r>
    <x v="85"/>
    <d v="2022-06-04T00:00:00"/>
    <n v="1"/>
    <n v="397.02"/>
    <n v="489"/>
  </r>
  <r>
    <x v="4"/>
    <d v="2022-06-04T00:00:00"/>
    <n v="1"/>
    <n v="80.69"/>
    <n v="100"/>
  </r>
  <r>
    <x v="42"/>
    <d v="2022-06-04T00:00:00"/>
    <n v="1"/>
    <n v="43.08"/>
    <n v="66"/>
  </r>
  <r>
    <x v="20"/>
    <d v="2022-06-04T00:00:00"/>
    <n v="1"/>
    <n v="147.55000000000001"/>
    <n v="181"/>
  </r>
  <r>
    <x v="102"/>
    <d v="2022-06-04T00:00:00"/>
    <n v="1"/>
    <n v="70.77"/>
    <n v="88"/>
  </r>
  <r>
    <x v="102"/>
    <d v="2022-06-04T00:00:00"/>
    <n v="1"/>
    <n v="70.77"/>
    <n v="88"/>
  </r>
  <r>
    <x v="20"/>
    <d v="2022-06-04T00:00:00"/>
    <n v="1"/>
    <n v="148.52000000000001"/>
    <n v="178"/>
  </r>
  <r>
    <x v="30"/>
    <d v="2022-06-04T00:00:00"/>
    <n v="1"/>
    <n v="32.71"/>
    <n v="50"/>
  </r>
  <r>
    <x v="30"/>
    <d v="2022-06-04T00:00:00"/>
    <n v="1"/>
    <n v="32.71"/>
    <n v="50"/>
  </r>
  <r>
    <x v="29"/>
    <d v="2022-06-04T00:00:00"/>
    <n v="1"/>
    <n v="201.73"/>
    <n v="232"/>
  </r>
  <r>
    <x v="113"/>
    <d v="2022-06-04T00:00:00"/>
    <n v="1"/>
    <n v="10.66"/>
    <n v="13"/>
  </r>
  <r>
    <x v="60"/>
    <d v="2022-06-04T00:00:00"/>
    <n v="1"/>
    <n v="186.96"/>
    <n v="238"/>
  </r>
  <r>
    <x v="58"/>
    <d v="2022-06-04T00:00:00"/>
    <n v="1"/>
    <n v="71.45"/>
    <n v="90"/>
  </r>
  <r>
    <x v="58"/>
    <d v="2022-06-04T00:00:00"/>
    <n v="1"/>
    <n v="71.45"/>
    <n v="90"/>
  </r>
  <r>
    <x v="76"/>
    <d v="2022-06-04T00:00:00"/>
    <n v="1"/>
    <n v="43.63"/>
    <n v="54"/>
  </r>
  <r>
    <x v="67"/>
    <d v="2022-06-04T00:00:00"/>
    <n v="1"/>
    <n v="556.51"/>
    <n v="735"/>
  </r>
  <r>
    <x v="21"/>
    <d v="2022-06-04T00:00:00"/>
    <n v="0.2"/>
    <n v="984.65"/>
    <n v="1271"/>
  </r>
  <r>
    <x v="70"/>
    <d v="2022-06-04T00:00:00"/>
    <n v="0.12"/>
    <n v="463.1"/>
    <n v="649"/>
  </r>
  <r>
    <x v="150"/>
    <d v="2022-06-04T00:00:00"/>
    <n v="0.08"/>
    <n v="498.53"/>
    <n v="698"/>
  </r>
  <r>
    <x v="110"/>
    <d v="2022-06-04T00:00:00"/>
    <n v="1"/>
    <n v="71.31"/>
    <n v="88"/>
  </r>
  <r>
    <x v="90"/>
    <d v="2022-06-04T00:00:00"/>
    <n v="0.2"/>
    <n v="129.4"/>
    <n v="197"/>
  </r>
  <r>
    <x v="113"/>
    <d v="2022-06-04T00:00:00"/>
    <n v="1"/>
    <n v="10.78"/>
    <n v="13"/>
  </r>
  <r>
    <x v="19"/>
    <d v="2022-06-04T00:00:00"/>
    <n v="1"/>
    <n v="103.46"/>
    <n v="121"/>
  </r>
  <r>
    <x v="84"/>
    <d v="2022-06-04T00:00:00"/>
    <n v="1"/>
    <n v="90.96"/>
    <n v="130"/>
  </r>
  <r>
    <x v="124"/>
    <d v="2022-06-04T00:00:00"/>
    <n v="0.08"/>
    <n v="493.92"/>
    <n v="595"/>
  </r>
  <r>
    <x v="12"/>
    <d v="2022-06-04T00:00:00"/>
    <n v="1"/>
    <n v="428.78"/>
    <n v="449"/>
  </r>
  <r>
    <x v="21"/>
    <d v="2022-06-04T00:00:00"/>
    <n v="0.5"/>
    <n v="986.58"/>
    <n v="1234"/>
  </r>
  <r>
    <x v="8"/>
    <d v="2022-06-04T00:00:00"/>
    <n v="1"/>
    <n v="119.04"/>
    <n v="143"/>
  </r>
  <r>
    <x v="109"/>
    <d v="2022-06-04T00:00:00"/>
    <n v="1"/>
    <n v="74.8"/>
    <n v="94"/>
  </r>
  <r>
    <x v="54"/>
    <d v="2022-06-04T00:00:00"/>
    <n v="2"/>
    <n v="14.55"/>
    <n v="24"/>
  </r>
  <r>
    <x v="71"/>
    <d v="2022-06-04T00:00:00"/>
    <n v="1"/>
    <n v="30.9"/>
    <n v="39"/>
  </r>
  <r>
    <x v="98"/>
    <d v="2022-06-04T00:00:00"/>
    <n v="1"/>
    <n v="45.64"/>
    <n v="70"/>
  </r>
  <r>
    <x v="133"/>
    <d v="2022-06-04T00:00:00"/>
    <n v="1"/>
    <n v="46.5"/>
    <n v="75"/>
  </r>
  <r>
    <x v="142"/>
    <d v="2022-06-04T00:00:00"/>
    <n v="1"/>
    <n v="136.94999999999999"/>
    <n v="188"/>
  </r>
  <r>
    <x v="18"/>
    <d v="2022-06-04T00:00:00"/>
    <n v="1"/>
    <n v="110.18"/>
    <n v="124"/>
  </r>
  <r>
    <x v="15"/>
    <d v="2022-06-04T00:00:00"/>
    <n v="1"/>
    <n v="22.62"/>
    <n v="29"/>
  </r>
  <r>
    <x v="15"/>
    <d v="2022-06-04T00:00:00"/>
    <n v="1"/>
    <n v="22.62"/>
    <n v="29"/>
  </r>
  <r>
    <x v="15"/>
    <d v="2022-06-04T00:00:00"/>
    <n v="1"/>
    <n v="22.62"/>
    <n v="29"/>
  </r>
  <r>
    <x v="15"/>
    <d v="2022-06-04T00:00:00"/>
    <n v="1"/>
    <n v="22.62"/>
    <n v="29"/>
  </r>
  <r>
    <x v="15"/>
    <d v="2022-06-04T00:00:00"/>
    <n v="1"/>
    <n v="19.82"/>
    <n v="25"/>
  </r>
  <r>
    <x v="9"/>
    <d v="2022-06-04T00:00:00"/>
    <n v="0.1"/>
    <n v="444.95"/>
    <n v="615"/>
  </r>
  <r>
    <x v="9"/>
    <d v="2022-06-04T00:00:00"/>
    <n v="0.1"/>
    <n v="466.1"/>
    <n v="644"/>
  </r>
  <r>
    <x v="125"/>
    <d v="2022-06-04T00:00:00"/>
    <n v="1"/>
    <n v="23.53"/>
    <n v="29"/>
  </r>
  <r>
    <x v="62"/>
    <d v="2022-06-04T00:00:00"/>
    <n v="1"/>
    <n v="54.32"/>
    <n v="83"/>
  </r>
  <r>
    <x v="22"/>
    <d v="2022-06-04T00:00:00"/>
    <n v="1"/>
    <n v="102.34"/>
    <n v="157"/>
  </r>
  <r>
    <x v="30"/>
    <d v="2022-06-04T00:00:00"/>
    <n v="1"/>
    <n v="32.71"/>
    <n v="50"/>
  </r>
  <r>
    <x v="75"/>
    <d v="2022-06-04T00:00:00"/>
    <n v="1"/>
    <n v="21.62"/>
    <n v="33"/>
  </r>
  <r>
    <x v="75"/>
    <d v="2022-06-04T00:00:00"/>
    <n v="1"/>
    <n v="21.62"/>
    <n v="33"/>
  </r>
  <r>
    <x v="61"/>
    <d v="2022-06-04T00:00:00"/>
    <n v="1"/>
    <n v="30.6"/>
    <n v="36"/>
  </r>
  <r>
    <x v="37"/>
    <d v="2022-06-04T00:00:00"/>
    <n v="1"/>
    <n v="566.04"/>
    <n v="634"/>
  </r>
  <r>
    <x v="13"/>
    <d v="2022-06-04T00:00:00"/>
    <n v="1"/>
    <n v="46"/>
    <n v="72"/>
  </r>
  <r>
    <x v="3"/>
    <d v="2022-06-04T00:00:00"/>
    <n v="1"/>
    <n v="47.82"/>
    <n v="83"/>
  </r>
  <r>
    <x v="46"/>
    <d v="2022-06-04T00:00:00"/>
    <n v="4"/>
    <n v="2.29"/>
    <n v="4"/>
  </r>
  <r>
    <x v="147"/>
    <d v="2022-06-04T00:00:00"/>
    <n v="1"/>
    <n v="110.61"/>
    <n v="139"/>
  </r>
  <r>
    <x v="45"/>
    <d v="2022-06-04T00:00:00"/>
    <n v="1"/>
    <n v="43.55"/>
    <n v="54"/>
  </r>
  <r>
    <x v="76"/>
    <d v="2022-06-04T00:00:00"/>
    <n v="1"/>
    <n v="40.26"/>
    <n v="50"/>
  </r>
  <r>
    <x v="51"/>
    <d v="2022-06-04T00:00:00"/>
    <n v="1"/>
    <n v="45.36"/>
    <n v="71"/>
  </r>
  <r>
    <x v="80"/>
    <d v="2022-06-04T00:00:00"/>
    <n v="1"/>
    <n v="13.61"/>
    <n v="22"/>
  </r>
  <r>
    <x v="80"/>
    <d v="2022-06-04T00:00:00"/>
    <n v="1"/>
    <n v="13.61"/>
    <n v="22"/>
  </r>
  <r>
    <x v="80"/>
    <d v="2022-06-04T00:00:00"/>
    <n v="1"/>
    <n v="13.61"/>
    <n v="22"/>
  </r>
  <r>
    <x v="80"/>
    <d v="2022-06-04T00:00:00"/>
    <n v="1"/>
    <n v="13.61"/>
    <n v="22"/>
  </r>
  <r>
    <x v="19"/>
    <d v="2022-06-04T00:00:00"/>
    <n v="1"/>
    <n v="103.46"/>
    <n v="121"/>
  </r>
  <r>
    <x v="5"/>
    <d v="2022-06-04T00:00:00"/>
    <n v="1"/>
    <n v="11.67"/>
    <n v="14"/>
  </r>
  <r>
    <x v="132"/>
    <d v="2022-06-04T00:00:00"/>
    <n v="5"/>
    <n v="9"/>
    <n v="15"/>
  </r>
  <r>
    <x v="105"/>
    <d v="2022-06-04T00:00:00"/>
    <n v="1"/>
    <n v="209.32"/>
    <n v="287"/>
  </r>
  <r>
    <x v="107"/>
    <d v="2022-06-04T00:00:00"/>
    <n v="1"/>
    <n v="281.47000000000003"/>
    <n v="334"/>
  </r>
  <r>
    <x v="44"/>
    <d v="2022-06-04T00:00:00"/>
    <n v="1"/>
    <n v="17.93"/>
    <n v="21"/>
  </r>
  <r>
    <x v="108"/>
    <d v="2022-06-04T00:00:00"/>
    <n v="1"/>
    <n v="125.4"/>
    <n v="182"/>
  </r>
  <r>
    <x v="19"/>
    <d v="2022-06-04T00:00:00"/>
    <n v="1"/>
    <n v="103.46"/>
    <n v="121"/>
  </r>
  <r>
    <x v="51"/>
    <d v="2022-06-04T00:00:00"/>
    <n v="1"/>
    <n v="43.97"/>
    <n v="67"/>
  </r>
  <r>
    <x v="37"/>
    <d v="2022-06-04T00:00:00"/>
    <n v="1"/>
    <n v="566.04"/>
    <n v="651"/>
  </r>
  <r>
    <x v="117"/>
    <d v="2022-06-04T00:00:00"/>
    <n v="1"/>
    <n v="20.91"/>
    <n v="26"/>
  </r>
  <r>
    <x v="29"/>
    <d v="2022-06-04T00:00:00"/>
    <n v="1"/>
    <n v="201.73"/>
    <n v="232"/>
  </r>
  <r>
    <x v="110"/>
    <d v="2022-06-04T00:00:00"/>
    <n v="1"/>
    <n v="71.31"/>
    <n v="90"/>
  </r>
  <r>
    <x v="42"/>
    <d v="2022-06-04T00:00:00"/>
    <n v="1"/>
    <n v="43.2"/>
    <n v="67"/>
  </r>
  <r>
    <x v="144"/>
    <d v="2022-06-04T00:00:00"/>
    <n v="1"/>
    <n v="201.41"/>
    <n v="268"/>
  </r>
  <r>
    <x v="144"/>
    <d v="2022-06-04T00:00:00"/>
    <n v="1"/>
    <n v="201.41"/>
    <n v="268"/>
  </r>
  <r>
    <x v="2"/>
    <d v="2022-06-04T00:00:00"/>
    <n v="1"/>
    <n v="88.73"/>
    <n v="106"/>
  </r>
  <r>
    <x v="23"/>
    <d v="2022-06-04T00:00:00"/>
    <n v="1"/>
    <n v="148.91"/>
    <n v="204"/>
  </r>
  <r>
    <x v="22"/>
    <d v="2022-06-04T00:00:00"/>
    <n v="1"/>
    <n v="102.34"/>
    <n v="157"/>
  </r>
  <r>
    <x v="8"/>
    <d v="2022-06-04T00:00:00"/>
    <n v="1"/>
    <n v="119.04"/>
    <n v="143"/>
  </r>
  <r>
    <x v="23"/>
    <d v="2022-06-04T00:00:00"/>
    <n v="1"/>
    <n v="148.91999999999999"/>
    <n v="207"/>
  </r>
  <r>
    <x v="122"/>
    <d v="2022-06-04T00:00:00"/>
    <n v="1"/>
    <n v="119.8"/>
    <n v="167"/>
  </r>
  <r>
    <x v="16"/>
    <d v="2022-06-04T00:00:00"/>
    <n v="1"/>
    <n v="184.43"/>
    <n v="257"/>
  </r>
  <r>
    <x v="3"/>
    <d v="2022-06-04T00:00:00"/>
    <n v="1"/>
    <n v="47.77"/>
    <n v="78"/>
  </r>
  <r>
    <x v="4"/>
    <d v="2022-06-04T00:00:00"/>
    <n v="1"/>
    <n v="80.73"/>
    <n v="100"/>
  </r>
  <r>
    <x v="4"/>
    <d v="2022-06-04T00:00:00"/>
    <n v="1"/>
    <n v="80.73"/>
    <n v="100"/>
  </r>
  <r>
    <x v="18"/>
    <d v="2022-06-04T00:00:00"/>
    <n v="1"/>
    <n v="109.41"/>
    <n v="123"/>
  </r>
  <r>
    <x v="46"/>
    <d v="2022-06-04T00:00:00"/>
    <n v="12"/>
    <n v="2.1800000000000002"/>
    <n v="4"/>
  </r>
  <r>
    <x v="43"/>
    <d v="2022-06-04T00:00:00"/>
    <n v="1"/>
    <n v="41.47"/>
    <n v="64"/>
  </r>
  <r>
    <x v="43"/>
    <d v="2022-06-04T00:00:00"/>
    <n v="1"/>
    <n v="41.47"/>
    <n v="64"/>
  </r>
  <r>
    <x v="43"/>
    <d v="2022-06-04T00:00:00"/>
    <n v="1"/>
    <n v="41.47"/>
    <n v="64"/>
  </r>
  <r>
    <x v="0"/>
    <d v="2022-06-04T00:00:00"/>
    <n v="1"/>
    <n v="130.75"/>
    <n v="160"/>
  </r>
  <r>
    <x v="24"/>
    <d v="2022-06-04T00:00:00"/>
    <n v="1"/>
    <n v="488.05"/>
    <n v="635"/>
  </r>
  <r>
    <x v="3"/>
    <d v="2022-06-04T00:00:00"/>
    <n v="1"/>
    <n v="47.67"/>
    <n v="77"/>
  </r>
  <r>
    <x v="39"/>
    <d v="2022-06-04T00:00:00"/>
    <n v="1"/>
    <n v="65.53"/>
    <n v="100"/>
  </r>
  <r>
    <x v="13"/>
    <d v="2022-06-04T00:00:00"/>
    <n v="1"/>
    <n v="46"/>
    <n v="72"/>
  </r>
  <r>
    <x v="2"/>
    <d v="2022-06-04T00:00:00"/>
    <n v="1"/>
    <n v="88.73"/>
    <n v="104"/>
  </r>
  <r>
    <x v="65"/>
    <d v="2022-06-04T00:00:00"/>
    <n v="1"/>
    <n v="162.19"/>
    <n v="196"/>
  </r>
  <r>
    <x v="45"/>
    <d v="2022-06-04T00:00:00"/>
    <n v="1"/>
    <n v="43.92"/>
    <n v="55"/>
  </r>
  <r>
    <x v="93"/>
    <d v="2022-06-04T00:00:00"/>
    <n v="1"/>
    <n v="111.32"/>
    <n v="133"/>
  </r>
  <r>
    <x v="91"/>
    <d v="2022-06-04T00:00:00"/>
    <n v="1"/>
    <n v="71.650000000000006"/>
    <n v="102"/>
  </r>
  <r>
    <x v="108"/>
    <d v="2022-06-04T00:00:00"/>
    <n v="1"/>
    <n v="126.69"/>
    <n v="179"/>
  </r>
  <r>
    <x v="42"/>
    <d v="2022-06-04T00:00:00"/>
    <n v="1"/>
    <n v="43.08"/>
    <n v="66"/>
  </r>
  <r>
    <x v="42"/>
    <d v="2022-06-04T00:00:00"/>
    <n v="1"/>
    <n v="43.08"/>
    <n v="66"/>
  </r>
  <r>
    <x v="93"/>
    <d v="2022-06-04T00:00:00"/>
    <n v="1"/>
    <n v="111.32"/>
    <n v="134"/>
  </r>
  <r>
    <x v="45"/>
    <d v="2022-06-04T00:00:00"/>
    <n v="1"/>
    <n v="43.92"/>
    <n v="55"/>
  </r>
  <r>
    <x v="55"/>
    <d v="2022-06-04T00:00:00"/>
    <n v="1"/>
    <n v="58.03"/>
    <n v="72"/>
  </r>
  <r>
    <x v="86"/>
    <d v="2022-06-04T00:00:00"/>
    <n v="1"/>
    <n v="37.340000000000003"/>
    <n v="65"/>
  </r>
  <r>
    <x v="101"/>
    <d v="2022-06-04T00:00:00"/>
    <n v="1"/>
    <n v="46.2"/>
    <n v="56"/>
  </r>
  <r>
    <x v="15"/>
    <d v="2022-06-04T00:00:00"/>
    <n v="1"/>
    <n v="20.18"/>
    <n v="24"/>
  </r>
  <r>
    <x v="56"/>
    <d v="2022-06-04T00:00:00"/>
    <n v="1"/>
    <n v="32.909999999999997"/>
    <n v="51"/>
  </r>
  <r>
    <x v="90"/>
    <d v="2022-06-04T00:00:00"/>
    <n v="0.2"/>
    <n v="129.4"/>
    <n v="197"/>
  </r>
  <r>
    <x v="20"/>
    <d v="2022-06-04T00:00:00"/>
    <n v="1"/>
    <n v="147.55000000000001"/>
    <n v="181"/>
  </r>
  <r>
    <x v="135"/>
    <d v="2022-06-04T00:00:00"/>
    <n v="1"/>
    <n v="158.94"/>
    <n v="194"/>
  </r>
  <r>
    <x v="50"/>
    <d v="2022-06-04T00:00:00"/>
    <n v="1"/>
    <n v="88.79"/>
    <n v="100.8"/>
  </r>
  <r>
    <x v="100"/>
    <d v="2022-06-04T00:00:00"/>
    <n v="1"/>
    <n v="27.72"/>
    <n v="45"/>
  </r>
  <r>
    <x v="61"/>
    <d v="2022-06-04T00:00:00"/>
    <n v="1"/>
    <n v="30.56"/>
    <n v="36"/>
  </r>
  <r>
    <x v="61"/>
    <d v="2022-06-04T00:00:00"/>
    <n v="1"/>
    <n v="30.56"/>
    <n v="36"/>
  </r>
  <r>
    <x v="19"/>
    <d v="2022-06-04T00:00:00"/>
    <n v="1"/>
    <n v="103.46"/>
    <n v="121"/>
  </r>
  <r>
    <x v="87"/>
    <d v="2022-06-04T00:00:00"/>
    <n v="1"/>
    <n v="6.24"/>
    <n v="9"/>
  </r>
  <r>
    <x v="57"/>
    <d v="2022-06-04T00:00:00"/>
    <n v="1"/>
    <n v="25.71"/>
    <n v="31"/>
  </r>
  <r>
    <x v="151"/>
    <d v="2022-06-04T00:00:00"/>
    <n v="1"/>
    <n v="251.37"/>
    <n v="335"/>
  </r>
  <r>
    <x v="110"/>
    <d v="2022-06-04T00:00:00"/>
    <n v="1"/>
    <n v="71.31"/>
    <n v="90"/>
  </r>
  <r>
    <x v="93"/>
    <d v="2022-06-04T00:00:00"/>
    <n v="1"/>
    <n v="111.21"/>
    <n v="134"/>
  </r>
  <r>
    <x v="25"/>
    <d v="2022-06-04T00:00:00"/>
    <n v="1"/>
    <n v="156.19999999999999"/>
    <n v="186"/>
  </r>
  <r>
    <x v="60"/>
    <d v="2022-06-04T00:00:00"/>
    <n v="1"/>
    <n v="186.96"/>
    <n v="238"/>
  </r>
  <r>
    <x v="93"/>
    <d v="2022-06-04T00:00:00"/>
    <n v="1"/>
    <n v="111.32"/>
    <n v="133"/>
  </r>
  <r>
    <x v="4"/>
    <d v="2022-06-04T00:00:00"/>
    <n v="1"/>
    <n v="81.87"/>
    <n v="99"/>
  </r>
  <r>
    <x v="8"/>
    <d v="2022-06-04T00:00:00"/>
    <n v="1"/>
    <n v="117.7"/>
    <n v="142"/>
  </r>
  <r>
    <x v="88"/>
    <d v="2022-06-04T00:00:00"/>
    <n v="1"/>
    <n v="71.05"/>
    <n v="104"/>
  </r>
  <r>
    <x v="112"/>
    <d v="2022-06-04T00:00:00"/>
    <n v="1"/>
    <n v="23.14"/>
    <n v="28"/>
  </r>
  <r>
    <x v="112"/>
    <d v="2022-06-04T00:00:00"/>
    <n v="1"/>
    <n v="23.14"/>
    <n v="28"/>
  </r>
  <r>
    <x v="58"/>
    <d v="2022-06-04T00:00:00"/>
    <n v="1"/>
    <n v="73.3"/>
    <n v="88"/>
  </r>
  <r>
    <x v="127"/>
    <d v="2022-06-04T00:00:00"/>
    <n v="1"/>
    <n v="58.53"/>
    <n v="84"/>
  </r>
  <r>
    <x v="108"/>
    <d v="2022-06-04T00:00:00"/>
    <n v="1"/>
    <n v="136.57"/>
    <n v="158"/>
  </r>
  <r>
    <x v="23"/>
    <d v="2022-06-04T00:00:00"/>
    <n v="1"/>
    <n v="141.08000000000001"/>
    <n v="205"/>
  </r>
  <r>
    <x v="92"/>
    <d v="2022-06-04T00:00:00"/>
    <n v="1"/>
    <n v="421.97"/>
    <n v="545"/>
  </r>
  <r>
    <x v="147"/>
    <d v="2022-06-04T00:00:00"/>
    <n v="1"/>
    <n v="110.61"/>
    <n v="139"/>
  </r>
  <r>
    <x v="123"/>
    <d v="2022-06-04T00:00:00"/>
    <n v="1"/>
    <n v="265.7"/>
    <n v="365"/>
  </r>
  <r>
    <x v="60"/>
    <d v="2022-06-04T00:00:00"/>
    <n v="1"/>
    <n v="187.36"/>
    <n v="220"/>
  </r>
  <r>
    <x v="46"/>
    <d v="2022-06-04T00:00:00"/>
    <n v="4"/>
    <n v="2.0099999999999998"/>
    <n v="4"/>
  </r>
  <r>
    <x v="100"/>
    <d v="2022-06-04T00:00:00"/>
    <n v="1"/>
    <n v="26.9"/>
    <n v="44"/>
  </r>
  <r>
    <x v="37"/>
    <d v="2022-06-04T00:00:00"/>
    <n v="1"/>
    <n v="566.04"/>
    <n v="634"/>
  </r>
  <r>
    <x v="113"/>
    <d v="2022-06-04T00:00:00"/>
    <n v="1"/>
    <n v="11.1"/>
    <n v="13"/>
  </r>
  <r>
    <x v="113"/>
    <d v="2022-06-04T00:00:00"/>
    <n v="1"/>
    <n v="11.1"/>
    <n v="13"/>
  </r>
  <r>
    <x v="130"/>
    <d v="2022-06-04T00:00:00"/>
    <n v="1"/>
    <n v="72.31"/>
    <n v="90"/>
  </r>
  <r>
    <x v="45"/>
    <d v="2022-06-04T00:00:00"/>
    <n v="1"/>
    <n v="43.55"/>
    <n v="54"/>
  </r>
  <r>
    <x v="72"/>
    <d v="2022-06-04T00:00:00"/>
    <n v="1"/>
    <n v="61.89"/>
    <n v="77"/>
  </r>
  <r>
    <x v="70"/>
    <d v="2022-06-04T00:00:00"/>
    <n v="0.02"/>
    <n v="404.09"/>
    <n v="594"/>
  </r>
  <r>
    <x v="60"/>
    <d v="2022-06-04T00:00:00"/>
    <n v="1"/>
    <n v="187.36"/>
    <n v="220"/>
  </r>
  <r>
    <x v="146"/>
    <d v="2022-06-04T00:00:00"/>
    <n v="1"/>
    <n v="23.23"/>
    <n v="29"/>
  </r>
  <r>
    <x v="146"/>
    <d v="2022-06-04T00:00:00"/>
    <n v="1"/>
    <n v="23.23"/>
    <n v="29"/>
  </r>
  <r>
    <x v="55"/>
    <d v="2022-06-04T00:00:00"/>
    <n v="1"/>
    <n v="58.08"/>
    <n v="72"/>
  </r>
  <r>
    <x v="35"/>
    <d v="2022-06-04T00:00:00"/>
    <n v="1"/>
    <n v="173.86"/>
    <n v="208"/>
  </r>
  <r>
    <x v="23"/>
    <d v="2022-06-04T00:00:00"/>
    <n v="1"/>
    <n v="147.97"/>
    <n v="209"/>
  </r>
  <r>
    <x v="142"/>
    <d v="2022-06-04T00:00:00"/>
    <n v="1"/>
    <n v="135.02000000000001"/>
    <n v="185"/>
  </r>
  <r>
    <x v="60"/>
    <d v="2022-06-04T00:00:00"/>
    <n v="1"/>
    <n v="187.36"/>
    <n v="220"/>
  </r>
  <r>
    <x v="37"/>
    <d v="2022-06-04T00:00:00"/>
    <n v="1"/>
    <n v="566.04"/>
    <n v="651"/>
  </r>
  <r>
    <x v="142"/>
    <d v="2022-06-04T00:00:00"/>
    <n v="1"/>
    <n v="137.55000000000001"/>
    <n v="194"/>
  </r>
  <r>
    <x v="53"/>
    <d v="2022-06-04T00:00:00"/>
    <n v="1"/>
    <n v="76.02"/>
    <n v="92"/>
  </r>
  <r>
    <x v="53"/>
    <d v="2022-06-04T00:00:00"/>
    <n v="1"/>
    <n v="76.02"/>
    <n v="92"/>
  </r>
  <r>
    <x v="19"/>
    <d v="2022-06-04T00:00:00"/>
    <n v="1"/>
    <n v="107.76"/>
    <n v="127"/>
  </r>
  <r>
    <x v="70"/>
    <d v="2022-06-04T00:00:00"/>
    <n v="1.37336E-2"/>
    <n v="467.08"/>
    <n v="664"/>
  </r>
  <r>
    <x v="70"/>
    <d v="2022-06-04T00:00:00"/>
    <n v="8.6266399999999993E-2"/>
    <n v="467.08"/>
    <n v="664"/>
  </r>
  <r>
    <x v="27"/>
    <d v="2022-06-04T00:00:00"/>
    <n v="1"/>
    <n v="97.54"/>
    <n v="154"/>
  </r>
  <r>
    <x v="84"/>
    <d v="2022-06-04T00:00:00"/>
    <n v="1"/>
    <n v="91.23"/>
    <n v="133"/>
  </r>
  <r>
    <x v="42"/>
    <d v="2022-06-04T00:00:00"/>
    <n v="1"/>
    <n v="43.08"/>
    <n v="66"/>
  </r>
  <r>
    <x v="93"/>
    <d v="2022-06-04T00:00:00"/>
    <n v="1"/>
    <n v="111.32"/>
    <n v="134"/>
  </r>
  <r>
    <x v="0"/>
    <d v="2022-06-04T00:00:00"/>
    <n v="1"/>
    <n v="132.33000000000001"/>
    <n v="159"/>
  </r>
  <r>
    <x v="80"/>
    <d v="2022-06-04T00:00:00"/>
    <n v="1"/>
    <n v="16.62"/>
    <n v="26"/>
  </r>
  <r>
    <x v="80"/>
    <d v="2022-06-04T00:00:00"/>
    <n v="1"/>
    <n v="15.36"/>
    <n v="24"/>
  </r>
  <r>
    <x v="87"/>
    <d v="2022-06-04T00:00:00"/>
    <n v="6"/>
    <n v="6.78"/>
    <n v="9"/>
  </r>
  <r>
    <x v="87"/>
    <d v="2022-06-04T00:00:00"/>
    <n v="4"/>
    <n v="6.24"/>
    <n v="9"/>
  </r>
  <r>
    <x v="14"/>
    <d v="2022-06-04T00:00:00"/>
    <n v="1"/>
    <n v="81.290000000000006"/>
    <n v="103"/>
  </r>
  <r>
    <x v="121"/>
    <d v="2022-06-04T00:00:00"/>
    <n v="1"/>
    <n v="32.01"/>
    <n v="39"/>
  </r>
  <r>
    <x v="121"/>
    <d v="2022-06-04T00:00:00"/>
    <n v="1"/>
    <n v="32.01"/>
    <n v="39"/>
  </r>
  <r>
    <x v="121"/>
    <d v="2022-06-04T00:00:00"/>
    <n v="1"/>
    <n v="32.01"/>
    <n v="39"/>
  </r>
  <r>
    <x v="121"/>
    <d v="2022-06-04T00:00:00"/>
    <n v="1"/>
    <n v="32.01"/>
    <n v="39"/>
  </r>
  <r>
    <x v="121"/>
    <d v="2022-06-04T00:00:00"/>
    <n v="1"/>
    <n v="32.01"/>
    <n v="39"/>
  </r>
  <r>
    <x v="121"/>
    <d v="2022-06-04T00:00:00"/>
    <n v="1"/>
    <n v="32.01"/>
    <n v="39"/>
  </r>
  <r>
    <x v="121"/>
    <d v="2022-06-04T00:00:00"/>
    <n v="1"/>
    <n v="32.01"/>
    <n v="39"/>
  </r>
  <r>
    <x v="121"/>
    <d v="2022-06-04T00:00:00"/>
    <n v="1"/>
    <n v="32.01"/>
    <n v="39"/>
  </r>
  <r>
    <x v="121"/>
    <d v="2022-06-04T00:00:00"/>
    <n v="1"/>
    <n v="32.01"/>
    <n v="39"/>
  </r>
  <r>
    <x v="121"/>
    <d v="2022-06-04T00:00:00"/>
    <n v="1"/>
    <n v="32.01"/>
    <n v="39"/>
  </r>
  <r>
    <x v="105"/>
    <d v="2022-06-04T00:00:00"/>
    <n v="1"/>
    <n v="240.43"/>
    <n v="325"/>
  </r>
  <r>
    <x v="86"/>
    <d v="2022-06-04T00:00:00"/>
    <n v="1"/>
    <n v="34.65"/>
    <n v="57"/>
  </r>
  <r>
    <x v="142"/>
    <d v="2022-06-04T00:00:00"/>
    <n v="1"/>
    <n v="136.66"/>
    <n v="190"/>
  </r>
  <r>
    <x v="60"/>
    <d v="2022-06-04T00:00:00"/>
    <n v="1"/>
    <n v="187.36"/>
    <n v="220"/>
  </r>
  <r>
    <x v="93"/>
    <d v="2022-06-04T00:00:00"/>
    <n v="1"/>
    <n v="111.32"/>
    <n v="134"/>
  </r>
  <r>
    <x v="18"/>
    <d v="2022-06-04T00:00:00"/>
    <n v="1"/>
    <n v="109.41"/>
    <n v="123"/>
  </r>
  <r>
    <x v="126"/>
    <d v="2022-06-04T00:00:00"/>
    <n v="1"/>
    <n v="350.97"/>
    <n v="404"/>
  </r>
  <r>
    <x v="51"/>
    <d v="2022-06-04T00:00:00"/>
    <n v="1"/>
    <n v="44.56"/>
    <n v="70"/>
  </r>
  <r>
    <x v="143"/>
    <d v="2022-06-04T00:00:00"/>
    <n v="1"/>
    <n v="36.94"/>
    <n v="57"/>
  </r>
  <r>
    <x v="17"/>
    <d v="2022-06-04T00:00:00"/>
    <n v="1"/>
    <n v="30.3"/>
    <n v="49"/>
  </r>
  <r>
    <x v="141"/>
    <d v="2022-06-04T00:00:00"/>
    <n v="1"/>
    <n v="410.25"/>
    <n v="460"/>
  </r>
  <r>
    <x v="76"/>
    <d v="2022-06-04T00:00:00"/>
    <n v="1"/>
    <n v="40.14"/>
    <n v="49"/>
  </r>
  <r>
    <x v="42"/>
    <d v="2022-06-04T00:00:00"/>
    <n v="1"/>
    <n v="43"/>
    <n v="67"/>
  </r>
  <r>
    <x v="44"/>
    <d v="2022-06-04T00:00:00"/>
    <n v="1"/>
    <n v="15.8"/>
    <n v="19"/>
  </r>
  <r>
    <x v="22"/>
    <d v="2022-06-04T00:00:00"/>
    <n v="1"/>
    <n v="102.34"/>
    <n v="157"/>
  </r>
  <r>
    <x v="60"/>
    <d v="2022-06-03T00:00:00"/>
    <n v="1"/>
    <n v="187.74"/>
    <n v="220"/>
  </r>
  <r>
    <x v="70"/>
    <d v="2022-06-03T00:00:00"/>
    <n v="0.06"/>
    <n v="463.1"/>
    <n v="649"/>
  </r>
  <r>
    <x v="117"/>
    <d v="2022-06-03T00:00:00"/>
    <n v="1"/>
    <n v="21.07"/>
    <n v="26"/>
  </r>
  <r>
    <x v="23"/>
    <d v="2022-06-03T00:00:00"/>
    <n v="1"/>
    <n v="148.91"/>
    <n v="204"/>
  </r>
  <r>
    <x v="13"/>
    <d v="2022-06-03T00:00:00"/>
    <n v="1"/>
    <n v="46"/>
    <n v="72"/>
  </r>
  <r>
    <x v="47"/>
    <d v="2022-06-03T00:00:00"/>
    <n v="1"/>
    <n v="205"/>
    <n v="250"/>
  </r>
  <r>
    <x v="52"/>
    <d v="2022-06-03T00:00:00"/>
    <n v="1"/>
    <n v="233.74"/>
    <n v="262"/>
  </r>
  <r>
    <x v="126"/>
    <d v="2022-06-03T00:00:00"/>
    <n v="1"/>
    <n v="361.91"/>
    <n v="424"/>
  </r>
  <r>
    <x v="19"/>
    <d v="2022-06-03T00:00:00"/>
    <n v="1"/>
    <n v="103.46"/>
    <n v="121"/>
  </r>
  <r>
    <x v="117"/>
    <d v="2022-06-03T00:00:00"/>
    <n v="1"/>
    <n v="21.07"/>
    <n v="26"/>
  </r>
  <r>
    <x v="9"/>
    <d v="2022-06-03T00:00:00"/>
    <n v="0.2"/>
    <n v="440.99"/>
    <n v="574"/>
  </r>
  <r>
    <x v="21"/>
    <d v="2022-06-03T00:00:00"/>
    <n v="0.1"/>
    <n v="986.58"/>
    <n v="1234"/>
  </r>
  <r>
    <x v="47"/>
    <d v="2022-06-03T00:00:00"/>
    <n v="1"/>
    <n v="205"/>
    <n v="250"/>
  </r>
  <r>
    <x v="102"/>
    <d v="2022-06-03T00:00:00"/>
    <n v="1"/>
    <n v="70.77"/>
    <n v="88"/>
  </r>
  <r>
    <x v="90"/>
    <d v="2022-06-03T00:00:00"/>
    <n v="1"/>
    <n v="113.82"/>
    <n v="173"/>
  </r>
  <r>
    <x v="84"/>
    <d v="2022-06-03T00:00:00"/>
    <n v="1"/>
    <n v="81.17"/>
    <n v="121"/>
  </r>
  <r>
    <x v="72"/>
    <d v="2022-06-03T00:00:00"/>
    <n v="1"/>
    <n v="60.94"/>
    <n v="76"/>
  </r>
  <r>
    <x v="117"/>
    <d v="2022-06-03T00:00:00"/>
    <n v="1"/>
    <n v="20.59"/>
    <n v="25"/>
  </r>
  <r>
    <x v="29"/>
    <d v="2022-06-03T00:00:00"/>
    <n v="1"/>
    <n v="200.19"/>
    <n v="231"/>
  </r>
  <r>
    <x v="117"/>
    <d v="2022-06-03T00:00:00"/>
    <n v="1"/>
    <n v="20.59"/>
    <n v="25"/>
  </r>
  <r>
    <x v="3"/>
    <d v="2022-06-03T00:00:00"/>
    <n v="1"/>
    <n v="47.77"/>
    <n v="78"/>
  </r>
  <r>
    <x v="154"/>
    <d v="2022-06-03T00:00:00"/>
    <n v="1"/>
    <n v="52.11"/>
    <n v="65"/>
  </r>
  <r>
    <x v="118"/>
    <d v="2022-06-03T00:00:00"/>
    <n v="1"/>
    <n v="62.79"/>
    <n v="78"/>
  </r>
  <r>
    <x v="37"/>
    <d v="2022-06-03T00:00:00"/>
    <n v="1"/>
    <n v="631.17999999999995"/>
    <n v="661"/>
  </r>
  <r>
    <x v="147"/>
    <d v="2022-06-03T00:00:00"/>
    <n v="1"/>
    <n v="109.67"/>
    <n v="138"/>
  </r>
  <r>
    <x v="19"/>
    <d v="2022-06-03T00:00:00"/>
    <n v="1"/>
    <n v="103.46"/>
    <n v="121"/>
  </r>
  <r>
    <x v="130"/>
    <d v="2022-06-03T00:00:00"/>
    <n v="1"/>
    <n v="72.88"/>
    <n v="90"/>
  </r>
  <r>
    <x v="130"/>
    <d v="2022-06-03T00:00:00"/>
    <n v="1"/>
    <n v="72.31"/>
    <n v="90"/>
  </r>
  <r>
    <x v="130"/>
    <d v="2022-06-03T00:00:00"/>
    <n v="1"/>
    <n v="72.31"/>
    <n v="90"/>
  </r>
  <r>
    <x v="15"/>
    <d v="2022-06-03T00:00:00"/>
    <n v="1"/>
    <n v="19.71"/>
    <n v="25"/>
  </r>
  <r>
    <x v="15"/>
    <d v="2022-06-03T00:00:00"/>
    <n v="1"/>
    <n v="19.71"/>
    <n v="25"/>
  </r>
  <r>
    <x v="54"/>
    <d v="2022-06-03T00:00:00"/>
    <n v="1"/>
    <n v="14.55"/>
    <n v="24"/>
  </r>
  <r>
    <x v="27"/>
    <d v="2022-06-03T00:00:00"/>
    <n v="1"/>
    <n v="100.57"/>
    <n v="154"/>
  </r>
  <r>
    <x v="133"/>
    <d v="2022-06-03T00:00:00"/>
    <n v="1"/>
    <n v="46.5"/>
    <n v="75"/>
  </r>
  <r>
    <x v="150"/>
    <d v="2022-06-03T00:00:00"/>
    <n v="0.6"/>
    <n v="529.6"/>
    <n v="715"/>
  </r>
  <r>
    <x v="26"/>
    <d v="2022-06-03T00:00:00"/>
    <n v="1"/>
    <n v="14.4"/>
    <n v="19"/>
  </r>
  <r>
    <x v="26"/>
    <d v="2022-06-03T00:00:00"/>
    <n v="1"/>
    <n v="14.4"/>
    <n v="19"/>
  </r>
  <r>
    <x v="26"/>
    <d v="2022-06-03T00:00:00"/>
    <n v="1"/>
    <n v="14.4"/>
    <n v="19"/>
  </r>
  <r>
    <x v="26"/>
    <d v="2022-06-03T00:00:00"/>
    <n v="1"/>
    <n v="14.4"/>
    <n v="19"/>
  </r>
  <r>
    <x v="95"/>
    <d v="2022-06-03T00:00:00"/>
    <n v="1"/>
    <n v="38.07"/>
    <n v="59"/>
  </r>
  <r>
    <x v="60"/>
    <d v="2022-06-03T00:00:00"/>
    <n v="1"/>
    <n v="187.36"/>
    <n v="220"/>
  </r>
  <r>
    <x v="72"/>
    <d v="2022-06-03T00:00:00"/>
    <n v="1"/>
    <n v="60.99"/>
    <n v="76"/>
  </r>
  <r>
    <x v="64"/>
    <d v="2022-06-03T00:00:00"/>
    <n v="1"/>
    <n v="19.989999999999998"/>
    <n v="24"/>
  </r>
  <r>
    <x v="64"/>
    <d v="2022-06-03T00:00:00"/>
    <n v="1"/>
    <n v="19.989999999999998"/>
    <n v="24"/>
  </r>
  <r>
    <x v="136"/>
    <d v="2022-06-03T00:00:00"/>
    <n v="1"/>
    <n v="10.76"/>
    <n v="18"/>
  </r>
  <r>
    <x v="112"/>
    <d v="2022-06-03T00:00:00"/>
    <n v="1"/>
    <n v="23.14"/>
    <n v="28"/>
  </r>
  <r>
    <x v="5"/>
    <d v="2022-06-03T00:00:00"/>
    <n v="1"/>
    <n v="11.67"/>
    <n v="14"/>
  </r>
  <r>
    <x v="5"/>
    <d v="2022-06-03T00:00:00"/>
    <n v="1"/>
    <n v="11.67"/>
    <n v="14"/>
  </r>
  <r>
    <x v="137"/>
    <d v="2022-06-03T00:00:00"/>
    <n v="1"/>
    <n v="12.86"/>
    <n v="15"/>
  </r>
  <r>
    <x v="23"/>
    <d v="2022-06-03T00:00:00"/>
    <n v="1"/>
    <n v="122.75"/>
    <n v="174"/>
  </r>
  <r>
    <x v="34"/>
    <d v="2022-06-03T00:00:00"/>
    <n v="2"/>
    <n v="8.58"/>
    <n v="14"/>
  </r>
  <r>
    <x v="114"/>
    <d v="2022-06-03T00:00:00"/>
    <n v="7.1428599999999995E-2"/>
    <n v="656.19"/>
    <n v="722"/>
  </r>
  <r>
    <x v="54"/>
    <d v="2022-06-03T00:00:00"/>
    <n v="2"/>
    <n v="14.55"/>
    <n v="24"/>
  </r>
  <r>
    <x v="2"/>
    <d v="2022-06-03T00:00:00"/>
    <n v="1"/>
    <n v="88.43"/>
    <n v="110"/>
  </r>
  <r>
    <x v="4"/>
    <d v="2022-06-03T00:00:00"/>
    <n v="1"/>
    <n v="80.73"/>
    <n v="100"/>
  </r>
  <r>
    <x v="112"/>
    <d v="2022-06-03T00:00:00"/>
    <n v="1"/>
    <n v="23.14"/>
    <n v="28"/>
  </r>
  <r>
    <x v="112"/>
    <d v="2022-06-03T00:00:00"/>
    <n v="1"/>
    <n v="23.14"/>
    <n v="28"/>
  </r>
  <r>
    <x v="67"/>
    <d v="2022-06-03T00:00:00"/>
    <n v="1"/>
    <n v="556.51"/>
    <n v="735"/>
  </r>
  <r>
    <x v="21"/>
    <d v="2022-06-03T00:00:00"/>
    <n v="0.1"/>
    <n v="1182.26"/>
    <n v="1537"/>
  </r>
  <r>
    <x v="109"/>
    <d v="2022-06-03T00:00:00"/>
    <n v="1"/>
    <n v="74.8"/>
    <n v="92"/>
  </r>
  <r>
    <x v="21"/>
    <d v="2022-06-03T00:00:00"/>
    <n v="0.1"/>
    <n v="984.79"/>
    <n v="1271"/>
  </r>
  <r>
    <x v="22"/>
    <d v="2022-06-03T00:00:00"/>
    <n v="1"/>
    <n v="102.34"/>
    <n v="157"/>
  </r>
  <r>
    <x v="19"/>
    <d v="2022-06-03T00:00:00"/>
    <n v="1"/>
    <n v="101.95"/>
    <n v="120"/>
  </r>
  <r>
    <x v="60"/>
    <d v="2022-06-03T00:00:00"/>
    <n v="1"/>
    <n v="187.68"/>
    <n v="220"/>
  </r>
  <r>
    <x v="88"/>
    <d v="2022-06-03T00:00:00"/>
    <n v="1"/>
    <n v="71.05"/>
    <n v="101"/>
  </r>
  <r>
    <x v="25"/>
    <d v="2022-06-03T00:00:00"/>
    <n v="1"/>
    <n v="156.19999999999999"/>
    <n v="186"/>
  </r>
  <r>
    <x v="146"/>
    <d v="2022-06-03T00:00:00"/>
    <n v="1"/>
    <n v="26.81"/>
    <n v="32"/>
  </r>
  <r>
    <x v="117"/>
    <d v="2022-06-03T00:00:00"/>
    <n v="1"/>
    <n v="20.86"/>
    <n v="26"/>
  </r>
  <r>
    <x v="98"/>
    <d v="2022-06-03T00:00:00"/>
    <n v="1"/>
    <n v="45.88"/>
    <n v="73"/>
  </r>
  <r>
    <x v="98"/>
    <d v="2022-06-03T00:00:00"/>
    <n v="1"/>
    <n v="45.88"/>
    <n v="73"/>
  </r>
  <r>
    <x v="98"/>
    <d v="2022-06-03T00:00:00"/>
    <n v="1"/>
    <n v="45.88"/>
    <n v="73"/>
  </r>
  <r>
    <x v="143"/>
    <d v="2022-06-03T00:00:00"/>
    <n v="1"/>
    <n v="36.94"/>
    <n v="57"/>
  </r>
  <r>
    <x v="91"/>
    <d v="2022-06-03T00:00:00"/>
    <n v="1"/>
    <n v="71.650000000000006"/>
    <n v="107"/>
  </r>
  <r>
    <x v="81"/>
    <d v="2022-06-03T00:00:00"/>
    <n v="1"/>
    <n v="47.4"/>
    <n v="77"/>
  </r>
  <r>
    <x v="66"/>
    <d v="2022-06-03T00:00:00"/>
    <n v="1"/>
    <n v="54.07"/>
    <n v="77"/>
  </r>
  <r>
    <x v="114"/>
    <d v="2022-06-03T00:00:00"/>
    <n v="7.1428599999999995E-2"/>
    <n v="656.19"/>
    <n v="722"/>
  </r>
  <r>
    <x v="123"/>
    <d v="2022-06-03T00:00:00"/>
    <n v="1"/>
    <n v="255.9"/>
    <n v="359"/>
  </r>
  <r>
    <x v="135"/>
    <d v="2022-06-03T00:00:00"/>
    <n v="1"/>
    <n v="155.13"/>
    <n v="187"/>
  </r>
  <r>
    <x v="21"/>
    <d v="2022-06-03T00:00:00"/>
    <n v="0.1"/>
    <n v="986.58"/>
    <n v="1234"/>
  </r>
  <r>
    <x v="145"/>
    <d v="2022-06-03T00:00:00"/>
    <n v="1"/>
    <n v="94.8"/>
    <n v="147"/>
  </r>
  <r>
    <x v="15"/>
    <d v="2022-06-03T00:00:00"/>
    <n v="1"/>
    <n v="20.77"/>
    <n v="26"/>
  </r>
  <r>
    <x v="15"/>
    <d v="2022-06-03T00:00:00"/>
    <n v="1"/>
    <n v="20.77"/>
    <n v="26"/>
  </r>
  <r>
    <x v="60"/>
    <d v="2022-06-03T00:00:00"/>
    <n v="1"/>
    <n v="187.36"/>
    <n v="220"/>
  </r>
  <r>
    <x v="60"/>
    <d v="2022-06-03T00:00:00"/>
    <n v="1"/>
    <n v="187.36"/>
    <n v="220"/>
  </r>
  <r>
    <x v="73"/>
    <d v="2022-06-03T00:00:00"/>
    <n v="1"/>
    <n v="69.599999999999994"/>
    <n v="88"/>
  </r>
  <r>
    <x v="45"/>
    <d v="2022-06-03T00:00:00"/>
    <n v="1"/>
    <n v="43.92"/>
    <n v="55"/>
  </r>
  <r>
    <x v="45"/>
    <d v="2022-06-03T00:00:00"/>
    <n v="1"/>
    <n v="43.92"/>
    <n v="55"/>
  </r>
  <r>
    <x v="21"/>
    <d v="2022-06-03T00:00:00"/>
    <n v="0.1"/>
    <n v="984.65"/>
    <n v="1271"/>
  </r>
  <r>
    <x v="51"/>
    <d v="2022-06-03T00:00:00"/>
    <n v="1"/>
    <n v="46.37"/>
    <n v="71"/>
  </r>
  <r>
    <x v="45"/>
    <d v="2022-06-03T00:00:00"/>
    <n v="1"/>
    <n v="42.99"/>
    <n v="54"/>
  </r>
  <r>
    <x v="81"/>
    <d v="2022-06-03T00:00:00"/>
    <n v="1"/>
    <n v="47.4"/>
    <n v="77"/>
  </r>
  <r>
    <x v="66"/>
    <d v="2022-06-03T00:00:00"/>
    <n v="1"/>
    <n v="54.07"/>
    <n v="77"/>
  </r>
  <r>
    <x v="66"/>
    <d v="2022-06-03T00:00:00"/>
    <n v="1"/>
    <n v="54.07"/>
    <n v="77"/>
  </r>
  <r>
    <x v="80"/>
    <d v="2022-06-03T00:00:00"/>
    <n v="1"/>
    <n v="16.489999999999998"/>
    <n v="26"/>
  </r>
  <r>
    <x v="80"/>
    <d v="2022-06-03T00:00:00"/>
    <n v="1"/>
    <n v="16.489999999999998"/>
    <n v="26"/>
  </r>
  <r>
    <x v="4"/>
    <d v="2022-06-03T00:00:00"/>
    <n v="1"/>
    <n v="80.69"/>
    <n v="98"/>
  </r>
  <r>
    <x v="0"/>
    <d v="2022-06-03T00:00:00"/>
    <n v="1"/>
    <n v="130.04"/>
    <n v="157"/>
  </r>
  <r>
    <x v="21"/>
    <d v="2022-06-03T00:00:00"/>
    <n v="1"/>
    <n v="984.92"/>
    <n v="1232"/>
  </r>
  <r>
    <x v="20"/>
    <d v="2022-06-03T00:00:00"/>
    <n v="1"/>
    <n v="147.55000000000001"/>
    <n v="181"/>
  </r>
  <r>
    <x v="21"/>
    <d v="2022-06-03T00:00:00"/>
    <n v="0.2"/>
    <n v="986.58"/>
    <n v="1234"/>
  </r>
  <r>
    <x v="3"/>
    <d v="2022-06-03T00:00:00"/>
    <n v="1"/>
    <n v="47.77"/>
    <n v="78"/>
  </r>
  <r>
    <x v="69"/>
    <d v="2022-06-03T00:00:00"/>
    <n v="1"/>
    <n v="86.64"/>
    <n v="108"/>
  </r>
  <r>
    <x v="103"/>
    <d v="2022-06-03T00:00:00"/>
    <n v="1"/>
    <n v="29.56"/>
    <n v="45"/>
  </r>
  <r>
    <x v="103"/>
    <d v="2022-06-03T00:00:00"/>
    <n v="1"/>
    <n v="29.56"/>
    <n v="45"/>
  </r>
  <r>
    <x v="103"/>
    <d v="2022-06-03T00:00:00"/>
    <n v="1"/>
    <n v="29.56"/>
    <n v="45"/>
  </r>
  <r>
    <x v="23"/>
    <d v="2022-06-03T00:00:00"/>
    <n v="1"/>
    <n v="147.94"/>
    <n v="200"/>
  </r>
  <r>
    <x v="41"/>
    <d v="2022-06-03T00:00:00"/>
    <n v="1"/>
    <n v="19.43"/>
    <n v="23"/>
  </r>
  <r>
    <x v="4"/>
    <d v="2022-06-03T00:00:00"/>
    <n v="1"/>
    <n v="80.69"/>
    <n v="98"/>
  </r>
  <r>
    <x v="73"/>
    <d v="2022-06-03T00:00:00"/>
    <n v="1"/>
    <n v="69.290000000000006"/>
    <n v="88"/>
  </r>
  <r>
    <x v="96"/>
    <d v="2022-06-03T00:00:00"/>
    <n v="1"/>
    <n v="30.69"/>
    <n v="48"/>
  </r>
  <r>
    <x v="3"/>
    <d v="2022-06-03T00:00:00"/>
    <n v="1"/>
    <n v="47.67"/>
    <n v="77"/>
  </r>
  <r>
    <x v="37"/>
    <d v="2022-06-03T00:00:00"/>
    <n v="1"/>
    <n v="625.46"/>
    <n v="655"/>
  </r>
  <r>
    <x v="90"/>
    <d v="2022-06-03T00:00:00"/>
    <n v="1"/>
    <n v="111.88"/>
    <n v="176"/>
  </r>
  <r>
    <x v="31"/>
    <d v="2022-06-03T00:00:00"/>
    <n v="1"/>
    <n v="21.42"/>
    <n v="27"/>
  </r>
  <r>
    <x v="31"/>
    <d v="2022-06-03T00:00:00"/>
    <n v="1"/>
    <n v="21.42"/>
    <n v="27"/>
  </r>
  <r>
    <x v="31"/>
    <d v="2022-06-03T00:00:00"/>
    <n v="1"/>
    <n v="21.42"/>
    <n v="27"/>
  </r>
  <r>
    <x v="31"/>
    <d v="2022-06-03T00:00:00"/>
    <n v="1"/>
    <n v="21.42"/>
    <n v="27"/>
  </r>
  <r>
    <x v="31"/>
    <d v="2022-06-03T00:00:00"/>
    <n v="1"/>
    <n v="21.42"/>
    <n v="27"/>
  </r>
  <r>
    <x v="31"/>
    <d v="2022-06-03T00:00:00"/>
    <n v="1"/>
    <n v="21.42"/>
    <n v="27"/>
  </r>
  <r>
    <x v="35"/>
    <d v="2022-06-03T00:00:00"/>
    <n v="1"/>
    <n v="176.24"/>
    <n v="211"/>
  </r>
  <r>
    <x v="77"/>
    <d v="2022-06-03T00:00:00"/>
    <n v="1"/>
    <n v="35.85"/>
    <n v="45"/>
  </r>
  <r>
    <x v="77"/>
    <d v="2022-06-03T00:00:00"/>
    <n v="1"/>
    <n v="35.85"/>
    <n v="45"/>
  </r>
  <r>
    <x v="77"/>
    <d v="2022-06-03T00:00:00"/>
    <n v="1"/>
    <n v="35.85"/>
    <n v="45"/>
  </r>
  <r>
    <x v="77"/>
    <d v="2022-06-03T00:00:00"/>
    <n v="1"/>
    <n v="35.85"/>
    <n v="45"/>
  </r>
  <r>
    <x v="77"/>
    <d v="2022-06-03T00:00:00"/>
    <n v="1"/>
    <n v="35.85"/>
    <n v="45"/>
  </r>
  <r>
    <x v="77"/>
    <d v="2022-06-03T00:00:00"/>
    <n v="1"/>
    <n v="35.85"/>
    <n v="45"/>
  </r>
  <r>
    <x v="103"/>
    <d v="2022-06-03T00:00:00"/>
    <n v="1"/>
    <n v="23.13"/>
    <n v="36"/>
  </r>
  <r>
    <x v="103"/>
    <d v="2022-06-03T00:00:00"/>
    <n v="1"/>
    <n v="23.13"/>
    <n v="36"/>
  </r>
  <r>
    <x v="103"/>
    <d v="2022-06-03T00:00:00"/>
    <n v="1"/>
    <n v="23.13"/>
    <n v="36"/>
  </r>
  <r>
    <x v="103"/>
    <d v="2022-06-03T00:00:00"/>
    <n v="1"/>
    <n v="23.13"/>
    <n v="36"/>
  </r>
  <r>
    <x v="103"/>
    <d v="2022-06-03T00:00:00"/>
    <n v="1"/>
    <n v="23.13"/>
    <n v="36"/>
  </r>
  <r>
    <x v="103"/>
    <d v="2022-06-03T00:00:00"/>
    <n v="1"/>
    <n v="23.13"/>
    <n v="36"/>
  </r>
  <r>
    <x v="1"/>
    <d v="2022-06-03T00:00:00"/>
    <n v="0.5"/>
    <n v="457.55"/>
    <n v="572"/>
  </r>
  <r>
    <x v="18"/>
    <d v="2022-06-03T00:00:00"/>
    <n v="1"/>
    <n v="109.41"/>
    <n v="123"/>
  </r>
  <r>
    <x v="3"/>
    <d v="2022-06-03T00:00:00"/>
    <n v="1"/>
    <n v="47.67"/>
    <n v="77"/>
  </r>
  <r>
    <x v="68"/>
    <d v="2022-06-03T00:00:00"/>
    <n v="1"/>
    <n v="8.01"/>
    <n v="13"/>
  </r>
  <r>
    <x v="129"/>
    <d v="2022-06-03T00:00:00"/>
    <n v="1"/>
    <n v="26.86"/>
    <n v="41"/>
  </r>
  <r>
    <x v="13"/>
    <d v="2022-06-03T00:00:00"/>
    <n v="1"/>
    <n v="46"/>
    <n v="70"/>
  </r>
  <r>
    <x v="0"/>
    <d v="2022-06-03T00:00:00"/>
    <n v="1"/>
    <n v="146.1"/>
    <n v="173"/>
  </r>
  <r>
    <x v="48"/>
    <d v="2022-06-03T00:00:00"/>
    <n v="1"/>
    <n v="23.4"/>
    <n v="38"/>
  </r>
  <r>
    <x v="131"/>
    <d v="2022-06-03T00:00:00"/>
    <n v="1"/>
    <n v="369.27"/>
    <n v="389"/>
  </r>
  <r>
    <x v="26"/>
    <d v="2022-06-03T00:00:00"/>
    <n v="1"/>
    <n v="14.4"/>
    <n v="19"/>
  </r>
  <r>
    <x v="86"/>
    <d v="2022-06-03T00:00:00"/>
    <n v="1"/>
    <n v="37.340000000000003"/>
    <n v="65"/>
  </r>
  <r>
    <x v="93"/>
    <d v="2022-06-03T00:00:00"/>
    <n v="1"/>
    <n v="111.21"/>
    <n v="131"/>
  </r>
  <r>
    <x v="19"/>
    <d v="2022-06-03T00:00:00"/>
    <n v="1"/>
    <n v="101.95"/>
    <n v="120"/>
  </r>
  <r>
    <x v="4"/>
    <d v="2022-06-03T00:00:00"/>
    <n v="1"/>
    <n v="80.73"/>
    <n v="100"/>
  </r>
  <r>
    <x v="4"/>
    <d v="2022-06-03T00:00:00"/>
    <n v="1"/>
    <n v="80.69"/>
    <n v="100"/>
  </r>
  <r>
    <x v="4"/>
    <d v="2022-06-03T00:00:00"/>
    <n v="1"/>
    <n v="80.69"/>
    <n v="100"/>
  </r>
  <r>
    <x v="19"/>
    <d v="2022-06-03T00:00:00"/>
    <n v="1"/>
    <n v="101.95"/>
    <n v="120"/>
  </r>
  <r>
    <x v="28"/>
    <d v="2022-06-03T00:00:00"/>
    <n v="1"/>
    <n v="21.17"/>
    <n v="25"/>
  </r>
  <r>
    <x v="28"/>
    <d v="2022-06-03T00:00:00"/>
    <n v="1"/>
    <n v="21.17"/>
    <n v="25"/>
  </r>
  <r>
    <x v="28"/>
    <d v="2022-06-03T00:00:00"/>
    <n v="1"/>
    <n v="21.17"/>
    <n v="25"/>
  </r>
  <r>
    <x v="28"/>
    <d v="2022-06-03T00:00:00"/>
    <n v="1"/>
    <n v="21.17"/>
    <n v="25"/>
  </r>
  <r>
    <x v="119"/>
    <d v="2022-06-03T00:00:00"/>
    <n v="1"/>
    <n v="42.47"/>
    <n v="69"/>
  </r>
  <r>
    <x v="130"/>
    <d v="2022-06-03T00:00:00"/>
    <n v="1"/>
    <n v="72.31"/>
    <n v="90"/>
  </r>
  <r>
    <x v="130"/>
    <d v="2022-06-03T00:00:00"/>
    <n v="1"/>
    <n v="72.31"/>
    <n v="90"/>
  </r>
  <r>
    <x v="85"/>
    <d v="2022-06-03T00:00:00"/>
    <n v="1"/>
    <n v="404.95"/>
    <n v="507"/>
  </r>
  <r>
    <x v="88"/>
    <d v="2022-06-03T00:00:00"/>
    <n v="1"/>
    <n v="71.05"/>
    <n v="106"/>
  </r>
  <r>
    <x v="8"/>
    <d v="2022-06-03T00:00:00"/>
    <n v="1"/>
    <n v="119.06"/>
    <n v="146"/>
  </r>
  <r>
    <x v="113"/>
    <d v="2022-06-03T00:00:00"/>
    <n v="1"/>
    <n v="10.79"/>
    <n v="13"/>
  </r>
  <r>
    <x v="99"/>
    <d v="2022-06-03T00:00:00"/>
    <n v="1"/>
    <n v="44.72"/>
    <n v="56"/>
  </r>
  <r>
    <x v="99"/>
    <d v="2022-06-03T00:00:00"/>
    <n v="1"/>
    <n v="44.68"/>
    <n v="56"/>
  </r>
  <r>
    <x v="8"/>
    <d v="2022-06-03T00:00:00"/>
    <n v="1"/>
    <n v="119.04"/>
    <n v="143"/>
  </r>
  <r>
    <x v="8"/>
    <d v="2022-06-03T00:00:00"/>
    <n v="1"/>
    <n v="119.06"/>
    <n v="143"/>
  </r>
  <r>
    <x v="117"/>
    <d v="2022-06-03T00:00:00"/>
    <n v="1"/>
    <n v="20.59"/>
    <n v="25"/>
  </r>
  <r>
    <x v="4"/>
    <d v="2022-06-03T00:00:00"/>
    <n v="1"/>
    <n v="80.69"/>
    <n v="98"/>
  </r>
  <r>
    <x v="60"/>
    <d v="2022-06-03T00:00:00"/>
    <n v="1"/>
    <n v="187.73"/>
    <n v="220"/>
  </r>
  <r>
    <x v="47"/>
    <d v="2022-06-03T00:00:00"/>
    <n v="1"/>
    <n v="201.19"/>
    <n v="242"/>
  </r>
  <r>
    <x v="141"/>
    <d v="2022-06-03T00:00:00"/>
    <n v="1"/>
    <n v="410.25"/>
    <n v="460"/>
  </r>
  <r>
    <x v="141"/>
    <d v="2022-06-03T00:00:00"/>
    <n v="1"/>
    <n v="407.84"/>
    <n v="457"/>
  </r>
  <r>
    <x v="60"/>
    <d v="2022-06-03T00:00:00"/>
    <n v="1"/>
    <n v="187.36"/>
    <n v="220"/>
  </r>
  <r>
    <x v="88"/>
    <d v="2022-06-03T00:00:00"/>
    <n v="1"/>
    <n v="80.27"/>
    <n v="114"/>
  </r>
  <r>
    <x v="94"/>
    <d v="2022-06-03T00:00:00"/>
    <n v="1"/>
    <n v="64.25"/>
    <n v="77"/>
  </r>
  <r>
    <x v="139"/>
    <d v="2022-06-03T00:00:00"/>
    <n v="1"/>
    <n v="51.32"/>
    <n v="73"/>
  </r>
  <r>
    <x v="64"/>
    <d v="2022-06-03T00:00:00"/>
    <n v="1"/>
    <n v="19.989999999999998"/>
    <n v="24"/>
  </r>
  <r>
    <x v="90"/>
    <d v="2022-06-03T00:00:00"/>
    <n v="1"/>
    <n v="111.88"/>
    <n v="176"/>
  </r>
  <r>
    <x v="23"/>
    <d v="2022-06-03T00:00:00"/>
    <n v="1"/>
    <n v="148.91"/>
    <n v="204"/>
  </r>
  <r>
    <x v="2"/>
    <d v="2022-06-03T00:00:00"/>
    <n v="1"/>
    <n v="88.73"/>
    <n v="106"/>
  </r>
  <r>
    <x v="57"/>
    <d v="2022-06-03T00:00:00"/>
    <n v="1"/>
    <n v="25.71"/>
    <n v="31"/>
  </r>
  <r>
    <x v="85"/>
    <d v="2022-06-03T00:00:00"/>
    <n v="1"/>
    <n v="390.04"/>
    <n v="469"/>
  </r>
  <r>
    <x v="45"/>
    <d v="2022-06-03T00:00:00"/>
    <n v="1"/>
    <n v="43.92"/>
    <n v="55"/>
  </r>
  <r>
    <x v="45"/>
    <d v="2022-06-03T00:00:00"/>
    <n v="1"/>
    <n v="43.92"/>
    <n v="55"/>
  </r>
  <r>
    <x v="21"/>
    <d v="2022-06-03T00:00:00"/>
    <n v="6.6666699999999995E-2"/>
    <n v="991.65"/>
    <n v="1240"/>
  </r>
  <r>
    <x v="80"/>
    <d v="2022-06-03T00:00:00"/>
    <n v="1"/>
    <n v="15.51"/>
    <n v="25"/>
  </r>
  <r>
    <x v="80"/>
    <d v="2022-06-03T00:00:00"/>
    <n v="1"/>
    <n v="15.51"/>
    <n v="25"/>
  </r>
  <r>
    <x v="80"/>
    <d v="2022-06-03T00:00:00"/>
    <n v="1"/>
    <n v="15.51"/>
    <n v="25"/>
  </r>
  <r>
    <x v="15"/>
    <d v="2022-06-03T00:00:00"/>
    <n v="1"/>
    <n v="20.72"/>
    <n v="27"/>
  </r>
  <r>
    <x v="15"/>
    <d v="2022-06-03T00:00:00"/>
    <n v="1"/>
    <n v="20.72"/>
    <n v="27"/>
  </r>
  <r>
    <x v="15"/>
    <d v="2022-06-03T00:00:00"/>
    <n v="1"/>
    <n v="20.72"/>
    <n v="27"/>
  </r>
  <r>
    <x v="70"/>
    <d v="2022-06-03T00:00:00"/>
    <n v="0.02"/>
    <n v="490.56"/>
    <n v="687"/>
  </r>
  <r>
    <x v="48"/>
    <d v="2022-06-03T00:00:00"/>
    <n v="1"/>
    <n v="23.4"/>
    <n v="38"/>
  </r>
  <r>
    <x v="25"/>
    <d v="2022-06-03T00:00:00"/>
    <n v="1"/>
    <n v="156.19999999999999"/>
    <n v="186"/>
  </r>
  <r>
    <x v="81"/>
    <d v="2022-06-03T00:00:00"/>
    <n v="1"/>
    <n v="47.4"/>
    <n v="77"/>
  </r>
  <r>
    <x v="126"/>
    <d v="2022-06-03T00:00:00"/>
    <n v="1"/>
    <n v="358.57"/>
    <n v="413"/>
  </r>
  <r>
    <x v="27"/>
    <d v="2022-06-03T00:00:00"/>
    <n v="1"/>
    <n v="99.21"/>
    <n v="154"/>
  </r>
  <r>
    <x v="18"/>
    <d v="2022-06-03T00:00:00"/>
    <n v="1"/>
    <n v="109.41"/>
    <n v="123"/>
  </r>
  <r>
    <x v="95"/>
    <d v="2022-06-03T00:00:00"/>
    <n v="1"/>
    <n v="37.46"/>
    <n v="57"/>
  </r>
  <r>
    <x v="19"/>
    <d v="2022-06-03T00:00:00"/>
    <n v="1"/>
    <n v="103.46"/>
    <n v="121"/>
  </r>
  <r>
    <x v="21"/>
    <d v="2022-06-03T00:00:00"/>
    <n v="0.1"/>
    <n v="991.73"/>
    <n v="1280"/>
  </r>
  <r>
    <x v="29"/>
    <d v="2022-06-03T00:00:00"/>
    <n v="1"/>
    <n v="201.2"/>
    <n v="232"/>
  </r>
  <r>
    <x v="51"/>
    <d v="2022-06-03T00:00:00"/>
    <n v="1"/>
    <n v="44.9"/>
    <n v="69"/>
  </r>
  <r>
    <x v="94"/>
    <d v="2022-06-03T00:00:00"/>
    <n v="1"/>
    <n v="64.25"/>
    <n v="76"/>
  </r>
  <r>
    <x v="143"/>
    <d v="2022-06-03T00:00:00"/>
    <n v="1"/>
    <n v="36.97"/>
    <n v="57"/>
  </r>
  <r>
    <x v="143"/>
    <d v="2022-06-03T00:00:00"/>
    <n v="1"/>
    <n v="37.75"/>
    <n v="58"/>
  </r>
  <r>
    <x v="60"/>
    <d v="2022-06-03T00:00:00"/>
    <n v="1"/>
    <n v="187.36"/>
    <n v="220"/>
  </r>
  <r>
    <x v="61"/>
    <d v="2022-06-03T00:00:00"/>
    <n v="1"/>
    <n v="32"/>
    <n v="36"/>
  </r>
  <r>
    <x v="31"/>
    <d v="2022-06-03T00:00:00"/>
    <n v="1"/>
    <n v="23.01"/>
    <n v="30"/>
  </r>
  <r>
    <x v="31"/>
    <d v="2022-06-03T00:00:00"/>
    <n v="1"/>
    <n v="23.01"/>
    <n v="30"/>
  </r>
  <r>
    <x v="31"/>
    <d v="2022-06-03T00:00:00"/>
    <n v="1"/>
    <n v="23.01"/>
    <n v="30"/>
  </r>
  <r>
    <x v="20"/>
    <d v="2022-06-03T00:00:00"/>
    <n v="1"/>
    <n v="148.52000000000001"/>
    <n v="178"/>
  </r>
  <r>
    <x v="52"/>
    <d v="2022-06-03T00:00:00"/>
    <n v="1"/>
    <n v="239.58"/>
    <n v="300"/>
  </r>
  <r>
    <x v="111"/>
    <d v="2022-06-03T00:00:00"/>
    <n v="1"/>
    <n v="101.43"/>
    <n v="120"/>
  </r>
  <r>
    <x v="124"/>
    <d v="2022-06-03T00:00:00"/>
    <n v="0.08"/>
    <n v="493.92"/>
    <n v="595"/>
  </r>
  <r>
    <x v="57"/>
    <d v="2022-06-03T00:00:00"/>
    <n v="1"/>
    <n v="25.7"/>
    <n v="31"/>
  </r>
  <r>
    <x v="57"/>
    <d v="2022-06-03T00:00:00"/>
    <n v="1"/>
    <n v="25.71"/>
    <n v="31"/>
  </r>
  <r>
    <x v="95"/>
    <d v="2022-06-03T00:00:00"/>
    <n v="1"/>
    <n v="37.479999999999997"/>
    <n v="57"/>
  </r>
  <r>
    <x v="110"/>
    <d v="2022-06-03T00:00:00"/>
    <n v="1"/>
    <n v="71.31"/>
    <n v="90"/>
  </r>
  <r>
    <x v="3"/>
    <d v="2022-06-03T00:00:00"/>
    <n v="1"/>
    <n v="47.77"/>
    <n v="78"/>
  </r>
  <r>
    <x v="137"/>
    <d v="2022-06-03T00:00:00"/>
    <n v="1"/>
    <n v="12.86"/>
    <n v="15"/>
  </r>
  <r>
    <x v="43"/>
    <d v="2022-06-03T00:00:00"/>
    <n v="1"/>
    <n v="38.89"/>
    <n v="60"/>
  </r>
  <r>
    <x v="70"/>
    <d v="2022-06-03T00:00:00"/>
    <n v="0.12"/>
    <n v="464.4"/>
    <n v="706"/>
  </r>
  <r>
    <x v="120"/>
    <d v="2022-06-03T00:00:00"/>
    <n v="1"/>
    <n v="395.34"/>
    <n v="522"/>
  </r>
  <r>
    <x v="100"/>
    <d v="2022-06-03T00:00:00"/>
    <n v="2"/>
    <n v="35.79"/>
    <n v="58"/>
  </r>
  <r>
    <x v="61"/>
    <d v="2022-06-03T00:00:00"/>
    <n v="1"/>
    <n v="31.68"/>
    <n v="39"/>
  </r>
  <r>
    <x v="110"/>
    <d v="2022-06-03T00:00:00"/>
    <n v="1"/>
    <n v="71.31"/>
    <n v="88"/>
  </r>
  <r>
    <x v="19"/>
    <d v="2022-06-03T00:00:00"/>
    <n v="1"/>
    <n v="103.46"/>
    <n v="121"/>
  </r>
  <r>
    <x v="111"/>
    <d v="2022-06-03T00:00:00"/>
    <n v="1"/>
    <n v="105.79"/>
    <n v="127"/>
  </r>
  <r>
    <x v="40"/>
    <d v="2022-06-03T00:00:00"/>
    <n v="1"/>
    <n v="26.54"/>
    <n v="43"/>
  </r>
  <r>
    <x v="136"/>
    <d v="2022-06-03T00:00:00"/>
    <n v="1"/>
    <n v="12.2"/>
    <n v="20"/>
  </r>
  <r>
    <x v="24"/>
    <d v="2022-06-03T00:00:00"/>
    <n v="1"/>
    <n v="481.17"/>
    <n v="650"/>
  </r>
  <r>
    <x v="142"/>
    <d v="2022-06-03T00:00:00"/>
    <n v="1"/>
    <n v="136.66"/>
    <n v="193"/>
  </r>
  <r>
    <x v="73"/>
    <d v="2022-06-03T00:00:00"/>
    <n v="1"/>
    <n v="69.84"/>
    <n v="88"/>
  </r>
  <r>
    <x v="116"/>
    <d v="2022-06-03T00:00:00"/>
    <n v="2"/>
    <n v="10.4"/>
    <n v="17"/>
  </r>
  <r>
    <x v="37"/>
    <d v="2022-06-03T00:00:00"/>
    <n v="1"/>
    <n v="566.04"/>
    <n v="651"/>
  </r>
  <r>
    <x v="40"/>
    <d v="2022-06-03T00:00:00"/>
    <n v="2"/>
    <n v="26.16"/>
    <n v="43"/>
  </r>
  <r>
    <x v="93"/>
    <d v="2022-06-03T00:00:00"/>
    <n v="1"/>
    <n v="111.32"/>
    <n v="133"/>
  </r>
  <r>
    <x v="124"/>
    <d v="2022-06-03T00:00:00"/>
    <n v="0.04"/>
    <n v="495.19"/>
    <n v="606"/>
  </r>
  <r>
    <x v="136"/>
    <d v="2022-06-03T00:00:00"/>
    <n v="1"/>
    <n v="12.19"/>
    <n v="20"/>
  </r>
  <r>
    <x v="111"/>
    <d v="2022-06-03T00:00:00"/>
    <n v="1"/>
    <n v="105.42"/>
    <n v="126"/>
  </r>
  <r>
    <x v="95"/>
    <d v="2022-06-03T00:00:00"/>
    <n v="1"/>
    <n v="37.42"/>
    <n v="57"/>
  </r>
  <r>
    <x v="48"/>
    <d v="2022-06-03T00:00:00"/>
    <n v="1"/>
    <n v="23.4"/>
    <n v="41"/>
  </r>
  <r>
    <x v="31"/>
    <d v="2022-06-03T00:00:00"/>
    <n v="1"/>
    <n v="26.53"/>
    <n v="34"/>
  </r>
  <r>
    <x v="31"/>
    <d v="2022-06-03T00:00:00"/>
    <n v="1"/>
    <n v="26.53"/>
    <n v="34"/>
  </r>
  <r>
    <x v="31"/>
    <d v="2022-06-03T00:00:00"/>
    <n v="1"/>
    <n v="26.53"/>
    <n v="34"/>
  </r>
  <r>
    <x v="31"/>
    <d v="2022-06-03T00:00:00"/>
    <n v="1"/>
    <n v="26.53"/>
    <n v="34"/>
  </r>
  <r>
    <x v="15"/>
    <d v="2022-06-03T00:00:00"/>
    <n v="1"/>
    <n v="21.04"/>
    <n v="28"/>
  </r>
  <r>
    <x v="32"/>
    <d v="2022-06-03T00:00:00"/>
    <n v="1"/>
    <n v="51.31"/>
    <n v="65"/>
  </r>
  <r>
    <x v="32"/>
    <d v="2022-06-03T00:00:00"/>
    <n v="1"/>
    <n v="51.31"/>
    <n v="65"/>
  </r>
  <r>
    <x v="32"/>
    <d v="2022-06-03T00:00:00"/>
    <n v="1"/>
    <n v="51.31"/>
    <n v="65"/>
  </r>
  <r>
    <x v="32"/>
    <d v="2022-06-03T00:00:00"/>
    <n v="1"/>
    <n v="51.31"/>
    <n v="65"/>
  </r>
  <r>
    <x v="61"/>
    <d v="2022-06-03T00:00:00"/>
    <n v="4"/>
    <n v="32"/>
    <n v="36"/>
  </r>
  <r>
    <x v="4"/>
    <d v="2022-06-03T00:00:00"/>
    <n v="1"/>
    <n v="81.87"/>
    <n v="99"/>
  </r>
  <r>
    <x v="4"/>
    <d v="2022-06-03T00:00:00"/>
    <n v="1"/>
    <n v="81.87"/>
    <n v="99"/>
  </r>
  <r>
    <x v="79"/>
    <d v="2022-06-03T00:00:00"/>
    <n v="1"/>
    <n v="153.75"/>
    <n v="193"/>
  </r>
  <r>
    <x v="19"/>
    <d v="2022-06-03T00:00:00"/>
    <n v="1"/>
    <n v="103.46"/>
    <n v="121"/>
  </r>
  <r>
    <x v="49"/>
    <d v="2022-06-03T00:00:00"/>
    <n v="1"/>
    <n v="723.11"/>
    <n v="933"/>
  </r>
  <r>
    <x v="43"/>
    <d v="2022-06-03T00:00:00"/>
    <n v="1"/>
    <n v="38.82"/>
    <n v="61"/>
  </r>
  <r>
    <x v="142"/>
    <d v="2022-06-03T00:00:00"/>
    <n v="1"/>
    <n v="136.94999999999999"/>
    <n v="188"/>
  </r>
  <r>
    <x v="140"/>
    <d v="2022-06-03T00:00:00"/>
    <n v="1"/>
    <n v="25.3"/>
    <n v="31"/>
  </r>
  <r>
    <x v="140"/>
    <d v="2022-06-03T00:00:00"/>
    <n v="1"/>
    <n v="25.3"/>
    <n v="31"/>
  </r>
  <r>
    <x v="140"/>
    <d v="2022-06-03T00:00:00"/>
    <n v="1"/>
    <n v="25.3"/>
    <n v="31"/>
  </r>
  <r>
    <x v="140"/>
    <d v="2022-06-03T00:00:00"/>
    <n v="1"/>
    <n v="25.3"/>
    <n v="31"/>
  </r>
  <r>
    <x v="140"/>
    <d v="2022-06-03T00:00:00"/>
    <n v="1"/>
    <n v="25.3"/>
    <n v="31"/>
  </r>
  <r>
    <x v="90"/>
    <d v="2022-06-03T00:00:00"/>
    <n v="0.5"/>
    <n v="113.82"/>
    <n v="173"/>
  </r>
  <r>
    <x v="83"/>
    <d v="2022-06-03T00:00:00"/>
    <n v="0.5"/>
    <n v="108"/>
    <n v="165"/>
  </r>
  <r>
    <x v="41"/>
    <d v="2022-06-03T00:00:00"/>
    <n v="1"/>
    <n v="19.600000000000001"/>
    <n v="24"/>
  </r>
  <r>
    <x v="41"/>
    <d v="2022-06-03T00:00:00"/>
    <n v="1"/>
    <n v="19.600000000000001"/>
    <n v="24"/>
  </r>
  <r>
    <x v="87"/>
    <d v="2022-06-03T00:00:00"/>
    <n v="6"/>
    <n v="6.44"/>
    <n v="9"/>
  </r>
  <r>
    <x v="46"/>
    <d v="2022-06-03T00:00:00"/>
    <n v="4"/>
    <n v="2.29"/>
    <n v="4"/>
  </r>
  <r>
    <x v="50"/>
    <d v="2022-06-03T00:00:00"/>
    <n v="1"/>
    <n v="77.63"/>
    <n v="95"/>
  </r>
  <r>
    <x v="95"/>
    <d v="2022-06-03T00:00:00"/>
    <n v="1"/>
    <n v="38.07"/>
    <n v="59"/>
  </r>
  <r>
    <x v="92"/>
    <d v="2022-06-03T00:00:00"/>
    <n v="1"/>
    <n v="426.66"/>
    <n v="564"/>
  </r>
  <r>
    <x v="60"/>
    <d v="2022-06-03T00:00:00"/>
    <n v="1"/>
    <n v="187.68"/>
    <n v="220"/>
  </r>
  <r>
    <x v="31"/>
    <d v="2022-06-03T00:00:00"/>
    <n v="1"/>
    <n v="22.03"/>
    <n v="28"/>
  </r>
  <r>
    <x v="15"/>
    <d v="2022-06-03T00:00:00"/>
    <n v="1"/>
    <n v="21.62"/>
    <n v="28"/>
  </r>
  <r>
    <x v="61"/>
    <d v="2022-06-03T00:00:00"/>
    <n v="1"/>
    <n v="30.56"/>
    <n v="36"/>
  </r>
  <r>
    <x v="61"/>
    <d v="2022-06-03T00:00:00"/>
    <n v="1"/>
    <n v="30.56"/>
    <n v="36"/>
  </r>
  <r>
    <x v="77"/>
    <d v="2022-06-03T00:00:00"/>
    <n v="1"/>
    <n v="36.44"/>
    <n v="46"/>
  </r>
  <r>
    <x v="18"/>
    <d v="2022-06-03T00:00:00"/>
    <n v="1"/>
    <n v="109.41"/>
    <n v="123"/>
  </r>
  <r>
    <x v="18"/>
    <d v="2022-06-03T00:00:00"/>
    <n v="1"/>
    <n v="109.41"/>
    <n v="123"/>
  </r>
  <r>
    <x v="80"/>
    <d v="2022-06-03T00:00:00"/>
    <n v="1"/>
    <n v="15.95"/>
    <n v="26"/>
  </r>
  <r>
    <x v="85"/>
    <d v="2022-06-03T00:00:00"/>
    <n v="1"/>
    <n v="404.95"/>
    <n v="499"/>
  </r>
  <r>
    <x v="59"/>
    <d v="2022-06-03T00:00:00"/>
    <n v="1"/>
    <n v="198.66"/>
    <n v="273"/>
  </r>
  <r>
    <x v="110"/>
    <d v="2022-06-03T00:00:00"/>
    <n v="1"/>
    <n v="71.31"/>
    <n v="88"/>
  </r>
  <r>
    <x v="111"/>
    <d v="2022-06-03T00:00:00"/>
    <n v="1"/>
    <n v="101.95"/>
    <n v="121"/>
  </r>
  <r>
    <x v="71"/>
    <d v="2022-06-03T00:00:00"/>
    <n v="1"/>
    <n v="33.950000000000003"/>
    <n v="41"/>
  </r>
  <r>
    <x v="126"/>
    <d v="2022-06-03T00:00:00"/>
    <n v="1"/>
    <n v="363"/>
    <n v="436"/>
  </r>
  <r>
    <x v="132"/>
    <d v="2022-06-03T00:00:00"/>
    <n v="1"/>
    <n v="9"/>
    <n v="15"/>
  </r>
  <r>
    <x v="45"/>
    <d v="2022-06-03T00:00:00"/>
    <n v="1"/>
    <n v="43.74"/>
    <n v="54"/>
  </r>
  <r>
    <x v="44"/>
    <d v="2022-06-03T00:00:00"/>
    <n v="1"/>
    <n v="15.8"/>
    <n v="19"/>
  </r>
  <r>
    <x v="44"/>
    <d v="2022-06-03T00:00:00"/>
    <n v="1"/>
    <n v="15.8"/>
    <n v="19"/>
  </r>
  <r>
    <x v="44"/>
    <d v="2022-06-03T00:00:00"/>
    <n v="1"/>
    <n v="15.8"/>
    <n v="19"/>
  </r>
  <r>
    <x v="44"/>
    <d v="2022-06-03T00:00:00"/>
    <n v="1"/>
    <n v="15.8"/>
    <n v="19"/>
  </r>
  <r>
    <x v="44"/>
    <d v="2022-06-03T00:00:00"/>
    <n v="1"/>
    <n v="15.8"/>
    <n v="19"/>
  </r>
  <r>
    <x v="60"/>
    <d v="2022-06-03T00:00:00"/>
    <n v="1"/>
    <n v="185.57"/>
    <n v="236"/>
  </r>
  <r>
    <x v="94"/>
    <d v="2022-06-03T00:00:00"/>
    <n v="1"/>
    <n v="64.25"/>
    <n v="76"/>
  </r>
  <r>
    <x v="27"/>
    <d v="2022-06-03T00:00:00"/>
    <n v="1"/>
    <n v="99.21"/>
    <n v="154"/>
  </r>
  <r>
    <x v="119"/>
    <d v="2022-06-03T00:00:00"/>
    <n v="1"/>
    <n v="48.86"/>
    <n v="79"/>
  </r>
  <r>
    <x v="49"/>
    <d v="2022-06-03T00:00:00"/>
    <n v="1"/>
    <n v="723.11"/>
    <n v="933"/>
  </r>
  <r>
    <x v="126"/>
    <d v="2022-06-03T00:00:00"/>
    <n v="1"/>
    <n v="349.61"/>
    <n v="403"/>
  </r>
  <r>
    <x v="40"/>
    <d v="2022-06-03T00:00:00"/>
    <n v="1"/>
    <n v="26.16"/>
    <n v="43"/>
  </r>
  <r>
    <x v="43"/>
    <d v="2022-06-03T00:00:00"/>
    <n v="1"/>
    <n v="39"/>
    <n v="60"/>
  </r>
  <r>
    <x v="59"/>
    <d v="2022-06-03T00:00:00"/>
    <n v="1"/>
    <n v="199.7"/>
    <n v="278"/>
  </r>
  <r>
    <x v="0"/>
    <d v="2022-06-03T00:00:00"/>
    <n v="1"/>
    <n v="145.6"/>
    <n v="172"/>
  </r>
  <r>
    <x v="107"/>
    <d v="2022-06-03T00:00:00"/>
    <n v="1"/>
    <n v="250.16"/>
    <n v="304"/>
  </r>
  <r>
    <x v="65"/>
    <d v="2022-06-03T00:00:00"/>
    <n v="1"/>
    <n v="166.31"/>
    <n v="200"/>
  </r>
  <r>
    <x v="139"/>
    <d v="2022-06-03T00:00:00"/>
    <n v="1"/>
    <n v="51.32"/>
    <n v="73"/>
  </r>
  <r>
    <x v="124"/>
    <d v="2022-06-03T00:00:00"/>
    <n v="0.04"/>
    <n v="493.92"/>
    <n v="595"/>
  </r>
  <r>
    <x v="0"/>
    <d v="2022-06-03T00:00:00"/>
    <n v="1"/>
    <n v="132.33000000000001"/>
    <n v="159"/>
  </r>
  <r>
    <x v="143"/>
    <d v="2022-06-03T00:00:00"/>
    <n v="1"/>
    <n v="37.75"/>
    <n v="58"/>
  </r>
  <r>
    <x v="146"/>
    <d v="2022-06-03T00:00:00"/>
    <n v="1"/>
    <n v="23.23"/>
    <n v="29"/>
  </r>
  <r>
    <x v="69"/>
    <d v="2022-06-03T00:00:00"/>
    <n v="1"/>
    <n v="87.68"/>
    <n v="109"/>
  </r>
  <r>
    <x v="69"/>
    <d v="2022-06-03T00:00:00"/>
    <n v="1"/>
    <n v="87.68"/>
    <n v="109"/>
  </r>
  <r>
    <x v="102"/>
    <d v="2022-06-03T00:00:00"/>
    <n v="1"/>
    <n v="70.77"/>
    <n v="88"/>
  </r>
  <r>
    <x v="102"/>
    <d v="2022-06-03T00:00:00"/>
    <n v="1"/>
    <n v="70.77"/>
    <n v="88"/>
  </r>
  <r>
    <x v="101"/>
    <d v="2022-06-03T00:00:00"/>
    <n v="1"/>
    <n v="42.16"/>
    <n v="52"/>
  </r>
  <r>
    <x v="86"/>
    <d v="2022-06-03T00:00:00"/>
    <n v="1"/>
    <n v="37.340000000000003"/>
    <n v="65"/>
  </r>
  <r>
    <x v="53"/>
    <d v="2022-06-03T00:00:00"/>
    <n v="1"/>
    <n v="76.02"/>
    <n v="92"/>
  </r>
  <r>
    <x v="53"/>
    <d v="2022-06-03T00:00:00"/>
    <n v="1"/>
    <n v="76.02"/>
    <n v="92"/>
  </r>
  <r>
    <x v="53"/>
    <d v="2022-06-03T00:00:00"/>
    <n v="1"/>
    <n v="60.5"/>
    <n v="73"/>
  </r>
  <r>
    <x v="114"/>
    <d v="2022-06-03T00:00:00"/>
    <n v="3.5714299999999997E-2"/>
    <n v="656.19"/>
    <n v="722"/>
  </r>
  <r>
    <x v="21"/>
    <d v="2022-06-03T00:00:00"/>
    <n v="0.2"/>
    <n v="991.65"/>
    <n v="1240"/>
  </r>
  <r>
    <x v="61"/>
    <d v="2022-06-03T00:00:00"/>
    <n v="1"/>
    <n v="31.08"/>
    <n v="36"/>
  </r>
  <r>
    <x v="52"/>
    <d v="2022-06-03T00:00:00"/>
    <n v="1"/>
    <n v="230.46"/>
    <n v="270"/>
  </r>
  <r>
    <x v="13"/>
    <d v="2022-06-03T00:00:00"/>
    <n v="1"/>
    <n v="46"/>
    <n v="70"/>
  </r>
  <r>
    <x v="113"/>
    <d v="2022-06-03T00:00:00"/>
    <n v="1"/>
    <n v="10.79"/>
    <n v="13"/>
  </r>
  <r>
    <x v="98"/>
    <d v="2022-06-03T00:00:00"/>
    <n v="1"/>
    <n v="45.64"/>
    <n v="70"/>
  </r>
  <r>
    <x v="122"/>
    <d v="2022-06-03T00:00:00"/>
    <n v="1"/>
    <n v="119.39"/>
    <n v="164"/>
  </r>
  <r>
    <x v="52"/>
    <d v="2022-06-03T00:00:00"/>
    <n v="1"/>
    <n v="239.58"/>
    <n v="281"/>
  </r>
  <r>
    <x v="74"/>
    <d v="2022-06-03T00:00:00"/>
    <n v="1"/>
    <n v="150.77000000000001"/>
    <n v="179"/>
  </r>
  <r>
    <x v="8"/>
    <d v="2022-06-03T00:00:00"/>
    <n v="1"/>
    <n v="133.43"/>
    <n v="148"/>
  </r>
  <r>
    <x v="31"/>
    <d v="2022-06-03T00:00:00"/>
    <n v="1"/>
    <n v="22.03"/>
    <n v="28"/>
  </r>
  <r>
    <x v="15"/>
    <d v="2022-06-03T00:00:00"/>
    <n v="1"/>
    <n v="20.77"/>
    <n v="26"/>
  </r>
  <r>
    <x v="79"/>
    <d v="2022-06-03T00:00:00"/>
    <n v="1"/>
    <n v="153.75"/>
    <n v="193"/>
  </r>
  <r>
    <x v="77"/>
    <d v="2022-06-03T00:00:00"/>
    <n v="1"/>
    <n v="36.44"/>
    <n v="46"/>
  </r>
  <r>
    <x v="57"/>
    <d v="2022-06-03T00:00:00"/>
    <n v="1"/>
    <n v="25.71"/>
    <n v="31"/>
  </r>
  <r>
    <x v="127"/>
    <d v="2022-06-03T00:00:00"/>
    <n v="1"/>
    <n v="58.53"/>
    <n v="88"/>
  </r>
  <r>
    <x v="25"/>
    <d v="2022-06-03T00:00:00"/>
    <n v="1"/>
    <n v="156.19999999999999"/>
    <n v="186"/>
  </r>
  <r>
    <x v="106"/>
    <d v="2022-06-03T00:00:00"/>
    <n v="1"/>
    <n v="163.57"/>
    <n v="196"/>
  </r>
  <r>
    <x v="90"/>
    <d v="2022-06-03T00:00:00"/>
    <n v="1"/>
    <n v="111.88"/>
    <n v="176"/>
  </r>
  <r>
    <x v="15"/>
    <d v="2022-06-03T00:00:00"/>
    <n v="1"/>
    <n v="20.77"/>
    <n v="26"/>
  </r>
  <r>
    <x v="61"/>
    <d v="2022-06-03T00:00:00"/>
    <n v="1"/>
    <n v="31.58"/>
    <n v="37"/>
  </r>
  <r>
    <x v="61"/>
    <d v="2022-06-03T00:00:00"/>
    <n v="1"/>
    <n v="31.58"/>
    <n v="37"/>
  </r>
  <r>
    <x v="61"/>
    <d v="2022-06-03T00:00:00"/>
    <n v="1"/>
    <n v="31.58"/>
    <n v="37"/>
  </r>
  <r>
    <x v="61"/>
    <d v="2022-06-03T00:00:00"/>
    <n v="1"/>
    <n v="31.58"/>
    <n v="37"/>
  </r>
  <r>
    <x v="61"/>
    <d v="2022-06-03T00:00:00"/>
    <n v="1"/>
    <n v="31.58"/>
    <n v="37"/>
  </r>
  <r>
    <x v="93"/>
    <d v="2022-06-03T00:00:00"/>
    <n v="1"/>
    <n v="111.32"/>
    <n v="134"/>
  </r>
  <r>
    <x v="47"/>
    <d v="2022-06-03T00:00:00"/>
    <n v="1"/>
    <n v="205"/>
    <n v="250"/>
  </r>
  <r>
    <x v="93"/>
    <d v="2022-06-03T00:00:00"/>
    <n v="1"/>
    <n v="113.71"/>
    <n v="137"/>
  </r>
  <r>
    <x v="44"/>
    <d v="2022-06-03T00:00:00"/>
    <n v="1"/>
    <n v="15.58"/>
    <n v="19"/>
  </r>
  <r>
    <x v="44"/>
    <d v="2022-06-03T00:00:00"/>
    <n v="1"/>
    <n v="15.58"/>
    <n v="19"/>
  </r>
  <r>
    <x v="44"/>
    <d v="2022-06-03T00:00:00"/>
    <n v="1"/>
    <n v="16.579999999999998"/>
    <n v="20"/>
  </r>
  <r>
    <x v="26"/>
    <d v="2022-06-03T00:00:00"/>
    <n v="1"/>
    <n v="13.19"/>
    <n v="18"/>
  </r>
  <r>
    <x v="115"/>
    <d v="2022-06-03T00:00:00"/>
    <n v="1"/>
    <n v="132.56"/>
    <n v="179"/>
  </r>
  <r>
    <x v="2"/>
    <d v="2022-06-03T00:00:00"/>
    <n v="1"/>
    <n v="88.73"/>
    <n v="106"/>
  </r>
  <r>
    <x v="24"/>
    <d v="2022-06-03T00:00:00"/>
    <n v="1"/>
    <n v="488.05"/>
    <n v="635"/>
  </r>
  <r>
    <x v="4"/>
    <d v="2022-06-03T00:00:00"/>
    <n v="1"/>
    <n v="81.17"/>
    <n v="99"/>
  </r>
  <r>
    <x v="136"/>
    <d v="2022-06-03T00:00:00"/>
    <n v="1"/>
    <n v="12.19"/>
    <n v="20"/>
  </r>
  <r>
    <x v="1"/>
    <d v="2022-06-03T00:00:00"/>
    <n v="0.2"/>
    <n v="460.66"/>
    <n v="576"/>
  </r>
  <r>
    <x v="21"/>
    <d v="2022-06-03T00:00:00"/>
    <n v="0.2"/>
    <n v="991.65"/>
    <n v="1240"/>
  </r>
  <r>
    <x v="90"/>
    <d v="2022-06-03T00:00:00"/>
    <n v="1"/>
    <n v="131.07"/>
    <n v="206"/>
  </r>
  <r>
    <x v="93"/>
    <d v="2022-06-03T00:00:00"/>
    <n v="1"/>
    <n v="111.32"/>
    <n v="134"/>
  </r>
  <r>
    <x v="110"/>
    <d v="2022-06-03T00:00:00"/>
    <n v="1"/>
    <n v="77.33"/>
    <n v="89.24"/>
  </r>
  <r>
    <x v="110"/>
    <d v="2022-06-03T00:00:00"/>
    <n v="1"/>
    <n v="77.33"/>
    <n v="89.24"/>
  </r>
  <r>
    <x v="11"/>
    <d v="2022-06-03T00:00:00"/>
    <n v="1"/>
    <n v="48"/>
    <n v="76"/>
  </r>
  <r>
    <x v="11"/>
    <d v="2022-06-03T00:00:00"/>
    <n v="1"/>
    <n v="42.09"/>
    <n v="67"/>
  </r>
  <r>
    <x v="152"/>
    <d v="2022-06-03T00:00:00"/>
    <n v="1"/>
    <n v="12"/>
    <n v="20"/>
  </r>
  <r>
    <x v="107"/>
    <d v="2022-06-03T00:00:00"/>
    <n v="1"/>
    <n v="255.77"/>
    <n v="310"/>
  </r>
  <r>
    <x v="115"/>
    <d v="2022-06-03T00:00:00"/>
    <n v="1"/>
    <n v="148.21"/>
    <n v="209"/>
  </r>
  <r>
    <x v="123"/>
    <d v="2022-06-03T00:00:00"/>
    <n v="1"/>
    <n v="313.23"/>
    <n v="433"/>
  </r>
  <r>
    <x v="14"/>
    <d v="2022-06-03T00:00:00"/>
    <n v="1"/>
    <n v="81.95"/>
    <n v="102"/>
  </r>
  <r>
    <x v="22"/>
    <d v="2022-06-03T00:00:00"/>
    <n v="1"/>
    <n v="102.34"/>
    <n v="157"/>
  </r>
  <r>
    <x v="9"/>
    <d v="2022-06-03T00:00:00"/>
    <n v="0.5"/>
    <n v="455.4"/>
    <n v="624"/>
  </r>
  <r>
    <x v="54"/>
    <d v="2022-06-03T00:00:00"/>
    <n v="1"/>
    <n v="13.62"/>
    <n v="23"/>
  </r>
  <r>
    <x v="107"/>
    <d v="2022-06-03T00:00:00"/>
    <n v="1"/>
    <n v="281.47000000000003"/>
    <n v="334"/>
  </r>
  <r>
    <x v="52"/>
    <d v="2022-06-03T00:00:00"/>
    <n v="1"/>
    <n v="233.74"/>
    <n v="274"/>
  </r>
  <r>
    <x v="100"/>
    <d v="2022-06-03T00:00:00"/>
    <n v="2"/>
    <n v="27.72"/>
    <n v="45"/>
  </r>
  <r>
    <x v="126"/>
    <d v="2022-06-03T00:00:00"/>
    <n v="1"/>
    <n v="360"/>
    <n v="414"/>
  </r>
  <r>
    <x v="49"/>
    <d v="2022-06-03T00:00:00"/>
    <n v="1"/>
    <n v="723.12"/>
    <n v="933"/>
  </r>
  <r>
    <x v="98"/>
    <d v="2022-06-03T00:00:00"/>
    <n v="1"/>
    <n v="45.64"/>
    <n v="70"/>
  </r>
  <r>
    <x v="23"/>
    <d v="2022-06-03T00:00:00"/>
    <n v="1"/>
    <n v="122.75"/>
    <n v="174"/>
  </r>
  <r>
    <x v="42"/>
    <d v="2022-06-03T00:00:00"/>
    <n v="1"/>
    <n v="43.2"/>
    <n v="67"/>
  </r>
  <r>
    <x v="19"/>
    <d v="2022-06-03T00:00:00"/>
    <n v="1"/>
    <n v="103.49"/>
    <n v="122"/>
  </r>
  <r>
    <x v="107"/>
    <d v="2022-06-03T00:00:00"/>
    <n v="1"/>
    <n v="255.77"/>
    <n v="310"/>
  </r>
  <r>
    <x v="134"/>
    <d v="2022-06-03T00:00:00"/>
    <n v="11"/>
    <n v="24.18"/>
    <n v="40"/>
  </r>
  <r>
    <x v="52"/>
    <d v="2022-06-03T00:00:00"/>
    <n v="1"/>
    <n v="239.58"/>
    <n v="281"/>
  </r>
  <r>
    <x v="127"/>
    <d v="2022-06-03T00:00:00"/>
    <n v="1"/>
    <n v="58.23"/>
    <n v="87"/>
  </r>
  <r>
    <x v="44"/>
    <d v="2022-06-03T00:00:00"/>
    <n v="1"/>
    <n v="15.8"/>
    <n v="19"/>
  </r>
  <r>
    <x v="29"/>
    <d v="2022-06-03T00:00:00"/>
    <n v="1"/>
    <n v="200.36"/>
    <n v="231"/>
  </r>
  <r>
    <x v="67"/>
    <d v="2022-06-03T00:00:00"/>
    <n v="1"/>
    <n v="556.51"/>
    <n v="735"/>
  </r>
  <r>
    <x v="73"/>
    <d v="2022-06-03T00:00:00"/>
    <n v="1"/>
    <n v="69.290000000000006"/>
    <n v="88"/>
  </r>
  <r>
    <x v="146"/>
    <d v="2022-06-03T00:00:00"/>
    <n v="1"/>
    <n v="23.23"/>
    <n v="29"/>
  </r>
  <r>
    <x v="3"/>
    <d v="2022-06-03T00:00:00"/>
    <n v="2"/>
    <n v="47.43"/>
    <n v="77"/>
  </r>
  <r>
    <x v="128"/>
    <d v="2022-06-03T00:00:00"/>
    <n v="9"/>
    <n v="6.19"/>
    <n v="11"/>
  </r>
  <r>
    <x v="80"/>
    <d v="2022-06-03T00:00:00"/>
    <n v="1"/>
    <n v="16.489999999999998"/>
    <n v="26"/>
  </r>
  <r>
    <x v="80"/>
    <d v="2022-06-03T00:00:00"/>
    <n v="1"/>
    <n v="16.489999999999998"/>
    <n v="26"/>
  </r>
  <r>
    <x v="110"/>
    <d v="2022-06-03T00:00:00"/>
    <n v="1"/>
    <n v="71.02"/>
    <n v="88"/>
  </r>
  <r>
    <x v="47"/>
    <d v="2022-06-03T00:00:00"/>
    <n v="1"/>
    <n v="202.07"/>
    <n v="243"/>
  </r>
  <r>
    <x v="12"/>
    <d v="2022-06-03T00:00:00"/>
    <n v="1"/>
    <n v="389.53"/>
    <n v="468"/>
  </r>
  <r>
    <x v="34"/>
    <d v="2022-06-03T00:00:00"/>
    <n v="4"/>
    <n v="8.58"/>
    <n v="14"/>
  </r>
  <r>
    <x v="15"/>
    <d v="2022-06-03T00:00:00"/>
    <n v="1"/>
    <n v="19.71"/>
    <n v="26"/>
  </r>
  <r>
    <x v="28"/>
    <d v="2022-06-03T00:00:00"/>
    <n v="1"/>
    <n v="21.42"/>
    <n v="26"/>
  </r>
  <r>
    <x v="122"/>
    <d v="2022-06-03T00:00:00"/>
    <n v="1"/>
    <n v="121"/>
    <n v="176"/>
  </r>
  <r>
    <x v="25"/>
    <d v="2022-06-03T00:00:00"/>
    <n v="1"/>
    <n v="156.19999999999999"/>
    <n v="186"/>
  </r>
  <r>
    <x v="68"/>
    <d v="2022-06-03T00:00:00"/>
    <n v="1"/>
    <n v="7.82"/>
    <n v="13"/>
  </r>
  <r>
    <x v="124"/>
    <d v="2022-06-03T00:00:00"/>
    <n v="0.08"/>
    <n v="495.5"/>
    <n v="596"/>
  </r>
  <r>
    <x v="45"/>
    <d v="2022-06-03T00:00:00"/>
    <n v="1"/>
    <n v="43.55"/>
    <n v="54"/>
  </r>
  <r>
    <x v="112"/>
    <d v="2022-06-02T00:00:00"/>
    <n v="1"/>
    <n v="23.14"/>
    <n v="28"/>
  </r>
  <r>
    <x v="112"/>
    <d v="2022-06-02T00:00:00"/>
    <n v="1"/>
    <n v="23.14"/>
    <n v="28"/>
  </r>
  <r>
    <x v="112"/>
    <d v="2022-06-02T00:00:00"/>
    <n v="1"/>
    <n v="23.14"/>
    <n v="28"/>
  </r>
  <r>
    <x v="19"/>
    <d v="2022-06-02T00:00:00"/>
    <n v="1"/>
    <n v="101.95"/>
    <n v="120"/>
  </r>
  <r>
    <x v="117"/>
    <d v="2022-06-02T00:00:00"/>
    <n v="1"/>
    <n v="21.07"/>
    <n v="26"/>
  </r>
  <r>
    <x v="117"/>
    <d v="2022-06-02T00:00:00"/>
    <n v="1"/>
    <n v="21.07"/>
    <n v="26"/>
  </r>
  <r>
    <x v="5"/>
    <d v="2022-06-02T00:00:00"/>
    <n v="1"/>
    <n v="11.33"/>
    <n v="13"/>
  </r>
  <r>
    <x v="5"/>
    <d v="2022-06-02T00:00:00"/>
    <n v="1"/>
    <n v="11.33"/>
    <n v="13"/>
  </r>
  <r>
    <x v="5"/>
    <d v="2022-06-02T00:00:00"/>
    <n v="1"/>
    <n v="11.33"/>
    <n v="13"/>
  </r>
  <r>
    <x v="5"/>
    <d v="2022-06-02T00:00:00"/>
    <n v="1"/>
    <n v="11.33"/>
    <n v="13"/>
  </r>
  <r>
    <x v="40"/>
    <d v="2022-06-02T00:00:00"/>
    <n v="1"/>
    <n v="25.1"/>
    <n v="41"/>
  </r>
  <r>
    <x v="4"/>
    <d v="2022-06-02T00:00:00"/>
    <n v="1"/>
    <n v="81.87"/>
    <n v="99"/>
  </r>
  <r>
    <x v="27"/>
    <d v="2022-06-02T00:00:00"/>
    <n v="0.5"/>
    <n v="149.72999999999999"/>
    <n v="236"/>
  </r>
  <r>
    <x v="20"/>
    <d v="2022-06-02T00:00:00"/>
    <n v="1"/>
    <n v="148.52000000000001"/>
    <n v="181"/>
  </r>
  <r>
    <x v="51"/>
    <d v="2022-06-02T00:00:00"/>
    <n v="1"/>
    <n v="45.36"/>
    <n v="71"/>
  </r>
  <r>
    <x v="87"/>
    <d v="2022-06-02T00:00:00"/>
    <n v="5"/>
    <n v="6.44"/>
    <n v="9"/>
  </r>
  <r>
    <x v="42"/>
    <d v="2022-06-02T00:00:00"/>
    <n v="1"/>
    <n v="43"/>
    <n v="66"/>
  </r>
  <r>
    <x v="129"/>
    <d v="2022-06-02T00:00:00"/>
    <n v="1"/>
    <n v="26.87"/>
    <n v="41"/>
  </r>
  <r>
    <x v="50"/>
    <d v="2022-06-02T00:00:00"/>
    <n v="1"/>
    <n v="77.510000000000005"/>
    <n v="95"/>
  </r>
  <r>
    <x v="112"/>
    <d v="2022-06-02T00:00:00"/>
    <n v="1"/>
    <n v="23.14"/>
    <n v="28"/>
  </r>
  <r>
    <x v="50"/>
    <d v="2022-06-02T00:00:00"/>
    <n v="1"/>
    <n v="77.510000000000005"/>
    <n v="94"/>
  </r>
  <r>
    <x v="146"/>
    <d v="2022-06-02T00:00:00"/>
    <n v="1"/>
    <n v="26.81"/>
    <n v="32"/>
  </r>
  <r>
    <x v="20"/>
    <d v="2022-06-02T00:00:00"/>
    <n v="1"/>
    <n v="146.85"/>
    <n v="173"/>
  </r>
  <r>
    <x v="60"/>
    <d v="2022-06-02T00:00:00"/>
    <n v="1"/>
    <n v="187.36"/>
    <n v="220"/>
  </r>
  <r>
    <x v="43"/>
    <d v="2022-06-02T00:00:00"/>
    <n v="1"/>
    <n v="38.82"/>
    <n v="61"/>
  </r>
  <r>
    <x v="140"/>
    <d v="2022-06-02T00:00:00"/>
    <n v="1"/>
    <n v="25.3"/>
    <n v="31"/>
  </r>
  <r>
    <x v="40"/>
    <d v="2022-06-02T00:00:00"/>
    <n v="2"/>
    <n v="26.54"/>
    <n v="43"/>
  </r>
  <r>
    <x v="40"/>
    <d v="2022-06-02T00:00:00"/>
    <n v="1"/>
    <n v="27.21"/>
    <n v="44"/>
  </r>
  <r>
    <x v="4"/>
    <d v="2022-06-02T00:00:00"/>
    <n v="1"/>
    <n v="80.69"/>
    <n v="98"/>
  </r>
  <r>
    <x v="21"/>
    <d v="2022-06-02T00:00:00"/>
    <n v="0.2"/>
    <n v="991.73"/>
    <n v="1280"/>
  </r>
  <r>
    <x v="53"/>
    <d v="2022-06-02T00:00:00"/>
    <n v="1"/>
    <n v="76.02"/>
    <n v="92"/>
  </r>
  <r>
    <x v="55"/>
    <d v="2022-06-02T00:00:00"/>
    <n v="1"/>
    <n v="59.2"/>
    <n v="74"/>
  </r>
  <r>
    <x v="36"/>
    <d v="2022-06-02T00:00:00"/>
    <n v="1"/>
    <n v="11.69"/>
    <n v="19"/>
  </r>
  <r>
    <x v="110"/>
    <d v="2022-06-02T00:00:00"/>
    <n v="1"/>
    <n v="71.02"/>
    <n v="88"/>
  </r>
  <r>
    <x v="29"/>
    <d v="2022-06-02T00:00:00"/>
    <n v="1"/>
    <n v="203.35"/>
    <n v="234"/>
  </r>
  <r>
    <x v="21"/>
    <d v="2022-06-02T00:00:00"/>
    <n v="0.2"/>
    <n v="986.58"/>
    <n v="1352"/>
  </r>
  <r>
    <x v="134"/>
    <d v="2022-06-02T00:00:00"/>
    <n v="2"/>
    <n v="24.18"/>
    <n v="40"/>
  </r>
  <r>
    <x v="87"/>
    <d v="2022-06-02T00:00:00"/>
    <n v="2"/>
    <n v="6.44"/>
    <n v="9"/>
  </r>
  <r>
    <x v="41"/>
    <d v="2022-06-02T00:00:00"/>
    <n v="1"/>
    <n v="19.7"/>
    <n v="24"/>
  </r>
  <r>
    <x v="41"/>
    <d v="2022-06-02T00:00:00"/>
    <n v="1"/>
    <n v="19.43"/>
    <n v="23"/>
  </r>
  <r>
    <x v="41"/>
    <d v="2022-06-02T00:00:00"/>
    <n v="1"/>
    <n v="19.43"/>
    <n v="23"/>
  </r>
  <r>
    <x v="15"/>
    <d v="2022-06-02T00:00:00"/>
    <n v="1"/>
    <n v="20.3"/>
    <n v="27"/>
  </r>
  <r>
    <x v="17"/>
    <d v="2022-06-02T00:00:00"/>
    <n v="1"/>
    <n v="30.3"/>
    <n v="53"/>
  </r>
  <r>
    <x v="1"/>
    <d v="2022-06-02T00:00:00"/>
    <n v="1"/>
    <n v="460.59"/>
    <n v="576"/>
  </r>
  <r>
    <x v="5"/>
    <d v="2022-06-02T00:00:00"/>
    <n v="1"/>
    <n v="11.67"/>
    <n v="14"/>
  </r>
  <r>
    <x v="42"/>
    <d v="2022-06-02T00:00:00"/>
    <n v="1"/>
    <n v="43.08"/>
    <n v="68"/>
  </r>
  <r>
    <x v="42"/>
    <d v="2022-06-02T00:00:00"/>
    <n v="1"/>
    <n v="43.08"/>
    <n v="68"/>
  </r>
  <r>
    <x v="117"/>
    <d v="2022-06-02T00:00:00"/>
    <n v="1"/>
    <n v="21.26"/>
    <n v="26"/>
  </r>
  <r>
    <x v="117"/>
    <d v="2022-06-02T00:00:00"/>
    <n v="1"/>
    <n v="21.26"/>
    <n v="26"/>
  </r>
  <r>
    <x v="61"/>
    <d v="2022-06-02T00:00:00"/>
    <n v="1"/>
    <n v="31.68"/>
    <n v="39"/>
  </r>
  <r>
    <x v="44"/>
    <d v="2022-06-02T00:00:00"/>
    <n v="1"/>
    <n v="17.93"/>
    <n v="21"/>
  </r>
  <r>
    <x v="44"/>
    <d v="2022-06-02T00:00:00"/>
    <n v="1"/>
    <n v="17.93"/>
    <n v="21"/>
  </r>
  <r>
    <x v="95"/>
    <d v="2022-06-02T00:00:00"/>
    <n v="1"/>
    <n v="37.479999999999997"/>
    <n v="59"/>
  </r>
  <r>
    <x v="95"/>
    <d v="2022-06-02T00:00:00"/>
    <n v="1"/>
    <n v="37.479999999999997"/>
    <n v="59"/>
  </r>
  <r>
    <x v="132"/>
    <d v="2022-06-02T00:00:00"/>
    <n v="1"/>
    <n v="8.5"/>
    <n v="14"/>
  </r>
  <r>
    <x v="2"/>
    <d v="2022-06-02T00:00:00"/>
    <n v="1"/>
    <n v="89.53"/>
    <n v="108"/>
  </r>
  <r>
    <x v="48"/>
    <d v="2022-06-02T00:00:00"/>
    <n v="1"/>
    <n v="23.4"/>
    <n v="38"/>
  </r>
  <r>
    <x v="36"/>
    <d v="2022-06-02T00:00:00"/>
    <n v="2"/>
    <n v="10.9"/>
    <n v="18"/>
  </r>
  <r>
    <x v="147"/>
    <d v="2022-06-02T00:00:00"/>
    <n v="1"/>
    <n v="111.18"/>
    <n v="139"/>
  </r>
  <r>
    <x v="131"/>
    <d v="2022-06-02T00:00:00"/>
    <n v="1"/>
    <n v="320.64999999999998"/>
    <n v="443"/>
  </r>
  <r>
    <x v="135"/>
    <d v="2022-06-02T00:00:00"/>
    <n v="1"/>
    <n v="161.37"/>
    <n v="169"/>
  </r>
  <r>
    <x v="7"/>
    <d v="2022-06-02T00:00:00"/>
    <n v="1"/>
    <n v="56.41"/>
    <n v="70"/>
  </r>
  <r>
    <x v="12"/>
    <d v="2022-06-02T00:00:00"/>
    <n v="1"/>
    <n v="390.55"/>
    <n v="469"/>
  </r>
  <r>
    <x v="26"/>
    <d v="2022-06-02T00:00:00"/>
    <n v="1"/>
    <n v="13.05"/>
    <n v="18"/>
  </r>
  <r>
    <x v="26"/>
    <d v="2022-06-02T00:00:00"/>
    <n v="1"/>
    <n v="13.05"/>
    <n v="18"/>
  </r>
  <r>
    <x v="3"/>
    <d v="2022-06-02T00:00:00"/>
    <n v="1"/>
    <n v="47.77"/>
    <n v="78"/>
  </r>
  <r>
    <x v="85"/>
    <d v="2022-06-02T00:00:00"/>
    <n v="1"/>
    <n v="404.95"/>
    <n v="507"/>
  </r>
  <r>
    <x v="2"/>
    <d v="2022-06-02T00:00:00"/>
    <n v="1"/>
    <n v="87.6"/>
    <n v="108"/>
  </r>
  <r>
    <x v="25"/>
    <d v="2022-06-02T00:00:00"/>
    <n v="1"/>
    <n v="156.19999999999999"/>
    <n v="189"/>
  </r>
  <r>
    <x v="153"/>
    <d v="2022-06-02T00:00:00"/>
    <n v="1"/>
    <n v="24.05"/>
    <n v="31"/>
  </r>
  <r>
    <x v="153"/>
    <d v="2022-06-02T00:00:00"/>
    <n v="1"/>
    <n v="24.05"/>
    <n v="31"/>
  </r>
  <r>
    <x v="153"/>
    <d v="2022-06-02T00:00:00"/>
    <n v="1"/>
    <n v="24.05"/>
    <n v="31"/>
  </r>
  <r>
    <x v="153"/>
    <d v="2022-06-02T00:00:00"/>
    <n v="1"/>
    <n v="24.05"/>
    <n v="31"/>
  </r>
  <r>
    <x v="153"/>
    <d v="2022-06-02T00:00:00"/>
    <n v="1"/>
    <n v="24.05"/>
    <n v="31"/>
  </r>
  <r>
    <x v="90"/>
    <d v="2022-06-02T00:00:00"/>
    <n v="1"/>
    <n v="131.07"/>
    <n v="206"/>
  </r>
  <r>
    <x v="61"/>
    <d v="2022-06-02T00:00:00"/>
    <n v="1"/>
    <n v="32"/>
    <n v="36"/>
  </r>
  <r>
    <x v="3"/>
    <d v="2022-06-02T00:00:00"/>
    <n v="2"/>
    <n v="47.72"/>
    <n v="78"/>
  </r>
  <r>
    <x v="3"/>
    <d v="2022-06-02T00:00:00"/>
    <n v="1"/>
    <n v="47.43"/>
    <n v="77"/>
  </r>
  <r>
    <x v="83"/>
    <d v="2022-06-02T00:00:00"/>
    <n v="0.1"/>
    <n v="102.08"/>
    <n v="157"/>
  </r>
  <r>
    <x v="16"/>
    <d v="2022-06-02T00:00:00"/>
    <n v="1"/>
    <n v="190.59"/>
    <n v="262"/>
  </r>
  <r>
    <x v="70"/>
    <d v="2022-06-02T00:00:00"/>
    <n v="0.2"/>
    <n v="467.08"/>
    <n v="664"/>
  </r>
  <r>
    <x v="13"/>
    <d v="2022-06-02T00:00:00"/>
    <n v="1"/>
    <n v="46"/>
    <n v="70"/>
  </r>
  <r>
    <x v="116"/>
    <d v="2022-06-02T00:00:00"/>
    <n v="1"/>
    <n v="10.4"/>
    <n v="17"/>
  </r>
  <r>
    <x v="20"/>
    <d v="2022-06-02T00:00:00"/>
    <n v="1"/>
    <n v="148.52000000000001"/>
    <n v="181"/>
  </r>
  <r>
    <x v="3"/>
    <d v="2022-06-02T00:00:00"/>
    <n v="1"/>
    <n v="47.67"/>
    <n v="77"/>
  </r>
  <r>
    <x v="19"/>
    <d v="2022-06-02T00:00:00"/>
    <n v="1"/>
    <n v="102.47"/>
    <n v="121"/>
  </r>
  <r>
    <x v="91"/>
    <d v="2022-06-02T00:00:00"/>
    <n v="1"/>
    <n v="72.84"/>
    <n v="104"/>
  </r>
  <r>
    <x v="90"/>
    <d v="2022-06-02T00:00:00"/>
    <n v="1"/>
    <n v="113.82"/>
    <n v="173"/>
  </r>
  <r>
    <x v="97"/>
    <d v="2022-06-02T00:00:00"/>
    <n v="1"/>
    <n v="26.29"/>
    <n v="33"/>
  </r>
  <r>
    <x v="97"/>
    <d v="2022-06-02T00:00:00"/>
    <n v="1"/>
    <n v="26.29"/>
    <n v="33"/>
  </r>
  <r>
    <x v="88"/>
    <d v="2022-06-02T00:00:00"/>
    <n v="1"/>
    <n v="71.05"/>
    <n v="101"/>
  </r>
  <r>
    <x v="60"/>
    <d v="2022-06-02T00:00:00"/>
    <n v="1"/>
    <n v="185.57"/>
    <n v="236"/>
  </r>
  <r>
    <x v="146"/>
    <d v="2022-06-02T00:00:00"/>
    <n v="1"/>
    <n v="23.23"/>
    <n v="29"/>
  </r>
  <r>
    <x v="70"/>
    <d v="2022-06-02T00:00:00"/>
    <n v="0.02"/>
    <n v="463.1"/>
    <n v="649"/>
  </r>
  <r>
    <x v="70"/>
    <d v="2022-06-02T00:00:00"/>
    <n v="0.04"/>
    <n v="438.61"/>
    <n v="615"/>
  </r>
  <r>
    <x v="40"/>
    <d v="2022-06-02T00:00:00"/>
    <n v="1"/>
    <n v="28.21"/>
    <n v="46"/>
  </r>
  <r>
    <x v="13"/>
    <d v="2022-06-02T00:00:00"/>
    <n v="1"/>
    <n v="46"/>
    <n v="72"/>
  </r>
  <r>
    <x v="44"/>
    <d v="2022-06-02T00:00:00"/>
    <n v="1"/>
    <n v="15.8"/>
    <n v="19"/>
  </r>
  <r>
    <x v="44"/>
    <d v="2022-06-02T00:00:00"/>
    <n v="1"/>
    <n v="15.8"/>
    <n v="19"/>
  </r>
  <r>
    <x v="68"/>
    <d v="2022-06-02T00:00:00"/>
    <n v="2"/>
    <n v="8.01"/>
    <n v="13"/>
  </r>
  <r>
    <x v="82"/>
    <d v="2022-06-02T00:00:00"/>
    <n v="1"/>
    <n v="323.66000000000003"/>
    <n v="389"/>
  </r>
  <r>
    <x v="10"/>
    <d v="2022-06-02T00:00:00"/>
    <n v="2"/>
    <n v="55.5"/>
    <n v="89"/>
  </r>
  <r>
    <x v="70"/>
    <d v="2022-06-02T00:00:00"/>
    <n v="0.08"/>
    <n v="466.47"/>
    <n v="710"/>
  </r>
  <r>
    <x v="40"/>
    <d v="2022-06-02T00:00:00"/>
    <n v="1"/>
    <n v="28.85"/>
    <n v="47"/>
  </r>
  <r>
    <x v="16"/>
    <d v="2022-06-02T00:00:00"/>
    <n v="1"/>
    <n v="190.59"/>
    <n v="262"/>
  </r>
  <r>
    <x v="92"/>
    <d v="2022-06-02T00:00:00"/>
    <n v="1"/>
    <n v="426.66"/>
    <n v="564"/>
  </r>
  <r>
    <x v="50"/>
    <d v="2022-06-02T00:00:00"/>
    <n v="1"/>
    <n v="77.510000000000005"/>
    <n v="94"/>
  </r>
  <r>
    <x v="50"/>
    <d v="2022-06-02T00:00:00"/>
    <n v="1"/>
    <n v="77.510000000000005"/>
    <n v="94"/>
  </r>
  <r>
    <x v="16"/>
    <d v="2022-06-02T00:00:00"/>
    <n v="1"/>
    <n v="182.55"/>
    <n v="251"/>
  </r>
  <r>
    <x v="151"/>
    <d v="2022-06-02T00:00:00"/>
    <n v="1"/>
    <n v="249.76"/>
    <n v="338"/>
  </r>
  <r>
    <x v="3"/>
    <d v="2022-06-02T00:00:00"/>
    <n v="1"/>
    <n v="47.82"/>
    <n v="83"/>
  </r>
  <r>
    <x v="42"/>
    <d v="2022-06-02T00:00:00"/>
    <n v="1"/>
    <n v="43.2"/>
    <n v="67"/>
  </r>
  <r>
    <x v="50"/>
    <d v="2022-06-02T00:00:00"/>
    <n v="1"/>
    <n v="77.510000000000005"/>
    <n v="94"/>
  </r>
  <r>
    <x v="22"/>
    <d v="2022-06-02T00:00:00"/>
    <n v="1"/>
    <n v="102.34"/>
    <n v="157"/>
  </r>
  <r>
    <x v="19"/>
    <d v="2022-06-02T00:00:00"/>
    <n v="1"/>
    <n v="102.47"/>
    <n v="121"/>
  </r>
  <r>
    <x v="1"/>
    <d v="2022-06-02T00:00:00"/>
    <n v="1"/>
    <n v="431.48"/>
    <n v="540"/>
  </r>
  <r>
    <x v="135"/>
    <d v="2022-06-02T00:00:00"/>
    <n v="1"/>
    <n v="155.13"/>
    <n v="187"/>
  </r>
  <r>
    <x v="2"/>
    <d v="2022-06-02T00:00:00"/>
    <n v="1"/>
    <n v="88.43"/>
    <n v="110"/>
  </r>
  <r>
    <x v="113"/>
    <d v="2022-06-02T00:00:00"/>
    <n v="1"/>
    <n v="10.79"/>
    <n v="13"/>
  </r>
  <r>
    <x v="23"/>
    <d v="2022-06-02T00:00:00"/>
    <n v="1"/>
    <n v="148.83000000000001"/>
    <n v="207"/>
  </r>
  <r>
    <x v="145"/>
    <d v="2022-06-02T00:00:00"/>
    <n v="1"/>
    <n v="94.8"/>
    <n v="147"/>
  </r>
  <r>
    <x v="130"/>
    <d v="2022-06-02T00:00:00"/>
    <n v="1"/>
    <n v="72.31"/>
    <n v="90"/>
  </r>
  <r>
    <x v="50"/>
    <d v="2022-06-02T00:00:00"/>
    <n v="1"/>
    <n v="77.510000000000005"/>
    <n v="94"/>
  </r>
  <r>
    <x v="26"/>
    <d v="2022-06-02T00:00:00"/>
    <n v="1"/>
    <n v="14.4"/>
    <n v="19"/>
  </r>
  <r>
    <x v="26"/>
    <d v="2022-06-02T00:00:00"/>
    <n v="1"/>
    <n v="14.4"/>
    <n v="19"/>
  </r>
  <r>
    <x v="26"/>
    <d v="2022-06-02T00:00:00"/>
    <n v="1"/>
    <n v="14.4"/>
    <n v="19"/>
  </r>
  <r>
    <x v="26"/>
    <d v="2022-06-02T00:00:00"/>
    <n v="1"/>
    <n v="14.4"/>
    <n v="19"/>
  </r>
  <r>
    <x v="94"/>
    <d v="2022-06-02T00:00:00"/>
    <n v="1"/>
    <n v="64.25"/>
    <n v="77"/>
  </r>
  <r>
    <x v="51"/>
    <d v="2022-06-02T00:00:00"/>
    <n v="1"/>
    <n v="44.9"/>
    <n v="69"/>
  </r>
  <r>
    <x v="76"/>
    <d v="2022-06-02T00:00:00"/>
    <n v="1"/>
    <n v="43.63"/>
    <n v="54"/>
  </r>
  <r>
    <x v="18"/>
    <d v="2022-06-02T00:00:00"/>
    <n v="1"/>
    <n v="109.41"/>
    <n v="123"/>
  </r>
  <r>
    <x v="18"/>
    <d v="2022-06-02T00:00:00"/>
    <n v="1"/>
    <n v="109.41"/>
    <n v="123"/>
  </r>
  <r>
    <x v="3"/>
    <d v="2022-06-02T00:00:00"/>
    <n v="1"/>
    <n v="47.83"/>
    <n v="78"/>
  </r>
  <r>
    <x v="7"/>
    <d v="2022-06-02T00:00:00"/>
    <n v="1"/>
    <n v="56.18"/>
    <n v="70"/>
  </r>
  <r>
    <x v="7"/>
    <d v="2022-06-02T00:00:00"/>
    <n v="1"/>
    <n v="56.1"/>
    <n v="70"/>
  </r>
  <r>
    <x v="7"/>
    <d v="2022-06-02T00:00:00"/>
    <n v="1"/>
    <n v="56.03"/>
    <n v="70"/>
  </r>
  <r>
    <x v="142"/>
    <d v="2022-06-02T00:00:00"/>
    <n v="1"/>
    <n v="136.94999999999999"/>
    <n v="188"/>
  </r>
  <r>
    <x v="27"/>
    <d v="2022-06-02T00:00:00"/>
    <n v="1"/>
    <n v="105"/>
    <n v="165"/>
  </r>
  <r>
    <x v="61"/>
    <d v="2022-06-02T00:00:00"/>
    <n v="1"/>
    <n v="31.58"/>
    <n v="37"/>
  </r>
  <r>
    <x v="22"/>
    <d v="2022-06-02T00:00:00"/>
    <n v="1"/>
    <n v="102.34"/>
    <n v="157"/>
  </r>
  <r>
    <x v="3"/>
    <d v="2022-06-02T00:00:00"/>
    <n v="1"/>
    <n v="47.83"/>
    <n v="78"/>
  </r>
  <r>
    <x v="0"/>
    <d v="2022-06-02T00:00:00"/>
    <n v="1"/>
    <n v="132.33000000000001"/>
    <n v="159"/>
  </r>
  <r>
    <x v="18"/>
    <d v="2022-06-02T00:00:00"/>
    <n v="1"/>
    <n v="109.41"/>
    <n v="123"/>
  </r>
  <r>
    <x v="24"/>
    <d v="2022-06-02T00:00:00"/>
    <n v="1"/>
    <n v="489.61"/>
    <n v="671"/>
  </r>
  <r>
    <x v="53"/>
    <d v="2022-06-02T00:00:00"/>
    <n v="1"/>
    <n v="76.02"/>
    <n v="92"/>
  </r>
  <r>
    <x v="53"/>
    <d v="2022-06-02T00:00:00"/>
    <n v="1"/>
    <n v="76.02"/>
    <n v="92"/>
  </r>
  <r>
    <x v="53"/>
    <d v="2022-06-02T00:00:00"/>
    <n v="1"/>
    <n v="76.02"/>
    <n v="92"/>
  </r>
  <r>
    <x v="53"/>
    <d v="2022-06-02T00:00:00"/>
    <n v="1"/>
    <n v="76.02"/>
    <n v="92"/>
  </r>
  <r>
    <x v="29"/>
    <d v="2022-06-02T00:00:00"/>
    <n v="1"/>
    <n v="200.35"/>
    <n v="235"/>
  </r>
  <r>
    <x v="29"/>
    <d v="2022-06-02T00:00:00"/>
    <n v="1"/>
    <n v="200.35"/>
    <n v="235"/>
  </r>
  <r>
    <x v="41"/>
    <d v="2022-06-02T00:00:00"/>
    <n v="1"/>
    <n v="19.420000000000002"/>
    <n v="23"/>
  </r>
  <r>
    <x v="42"/>
    <d v="2022-06-02T00:00:00"/>
    <n v="1"/>
    <n v="43"/>
    <n v="68"/>
  </r>
  <r>
    <x v="20"/>
    <d v="2022-06-02T00:00:00"/>
    <n v="1"/>
    <n v="147.18"/>
    <n v="177"/>
  </r>
  <r>
    <x v="52"/>
    <d v="2022-06-02T00:00:00"/>
    <n v="1"/>
    <n v="238.7"/>
    <n v="280"/>
  </r>
  <r>
    <x v="149"/>
    <d v="2022-06-02T00:00:00"/>
    <n v="1"/>
    <n v="124.5"/>
    <n v="149"/>
  </r>
  <r>
    <x v="38"/>
    <d v="2022-06-02T00:00:00"/>
    <n v="9.8774299999999995E-2"/>
    <n v="134.94999999999999"/>
    <n v="162"/>
  </r>
  <r>
    <x v="38"/>
    <d v="2022-06-02T00:00:00"/>
    <n v="0.90122599999999997"/>
    <n v="134.94999999999999"/>
    <n v="162"/>
  </r>
  <r>
    <x v="24"/>
    <d v="2022-06-02T00:00:00"/>
    <n v="9.8774299999999995E-2"/>
    <n v="480.11"/>
    <n v="634"/>
  </r>
  <r>
    <x v="24"/>
    <d v="2022-06-02T00:00:00"/>
    <n v="0.90122599999999997"/>
    <n v="480.11"/>
    <n v="634"/>
  </r>
  <r>
    <x v="40"/>
    <d v="2022-06-02T00:00:00"/>
    <n v="1"/>
    <n v="27.21"/>
    <n v="44"/>
  </r>
  <r>
    <x v="80"/>
    <d v="2022-06-02T00:00:00"/>
    <n v="1"/>
    <n v="15.51"/>
    <n v="25"/>
  </r>
  <r>
    <x v="80"/>
    <d v="2022-06-02T00:00:00"/>
    <n v="1"/>
    <n v="15.51"/>
    <n v="25"/>
  </r>
  <r>
    <x v="80"/>
    <d v="2022-06-02T00:00:00"/>
    <n v="1"/>
    <n v="15.51"/>
    <n v="25"/>
  </r>
  <r>
    <x v="88"/>
    <d v="2022-06-02T00:00:00"/>
    <n v="1"/>
    <n v="84.22"/>
    <n v="124"/>
  </r>
  <r>
    <x v="47"/>
    <d v="2022-06-02T00:00:00"/>
    <n v="1"/>
    <n v="203.13"/>
    <n v="244"/>
  </r>
  <r>
    <x v="96"/>
    <d v="2022-06-02T00:00:00"/>
    <n v="1"/>
    <n v="33.26"/>
    <n v="53"/>
  </r>
  <r>
    <x v="134"/>
    <d v="2022-06-02T00:00:00"/>
    <n v="2"/>
    <n v="24.18"/>
    <n v="39"/>
  </r>
  <r>
    <x v="62"/>
    <d v="2022-06-02T00:00:00"/>
    <n v="1"/>
    <n v="54.32"/>
    <n v="78"/>
  </r>
  <r>
    <x v="123"/>
    <d v="2022-06-02T00:00:00"/>
    <n v="1"/>
    <n v="261.16000000000003"/>
    <n v="361"/>
  </r>
  <r>
    <x v="128"/>
    <d v="2022-06-02T00:00:00"/>
    <n v="2"/>
    <n v="6.19"/>
    <n v="11"/>
  </r>
  <r>
    <x v="128"/>
    <d v="2022-06-02T00:00:00"/>
    <n v="1"/>
    <n v="6.19"/>
    <n v="11"/>
  </r>
  <r>
    <x v="134"/>
    <d v="2022-06-02T00:00:00"/>
    <n v="2"/>
    <n v="24.18"/>
    <n v="40"/>
  </r>
  <r>
    <x v="61"/>
    <d v="2022-06-02T00:00:00"/>
    <n v="1"/>
    <n v="30.56"/>
    <n v="36"/>
  </r>
  <r>
    <x v="50"/>
    <d v="2022-06-02T00:00:00"/>
    <n v="1"/>
    <n v="77.510000000000005"/>
    <n v="95"/>
  </r>
  <r>
    <x v="42"/>
    <d v="2022-06-02T00:00:00"/>
    <n v="1"/>
    <n v="43.45"/>
    <n v="67"/>
  </r>
  <r>
    <x v="95"/>
    <d v="2022-06-02T00:00:00"/>
    <n v="1"/>
    <n v="37.479999999999997"/>
    <n v="57"/>
  </r>
  <r>
    <x v="19"/>
    <d v="2022-06-02T00:00:00"/>
    <n v="1"/>
    <n v="103.46"/>
    <n v="121"/>
  </r>
  <r>
    <x v="19"/>
    <d v="2022-06-02T00:00:00"/>
    <n v="1"/>
    <n v="103.46"/>
    <n v="121"/>
  </r>
  <r>
    <x v="121"/>
    <d v="2022-06-02T00:00:00"/>
    <n v="1"/>
    <n v="27.38"/>
    <n v="34"/>
  </r>
  <r>
    <x v="121"/>
    <d v="2022-06-02T00:00:00"/>
    <n v="1"/>
    <n v="27.38"/>
    <n v="34"/>
  </r>
  <r>
    <x v="121"/>
    <d v="2022-06-02T00:00:00"/>
    <n v="1"/>
    <n v="27.38"/>
    <n v="34"/>
  </r>
  <r>
    <x v="121"/>
    <d v="2022-06-02T00:00:00"/>
    <n v="1"/>
    <n v="27.38"/>
    <n v="34"/>
  </r>
  <r>
    <x v="121"/>
    <d v="2022-06-02T00:00:00"/>
    <n v="1"/>
    <n v="27.38"/>
    <n v="34"/>
  </r>
  <r>
    <x v="121"/>
    <d v="2022-06-02T00:00:00"/>
    <n v="1"/>
    <n v="27.38"/>
    <n v="34"/>
  </r>
  <r>
    <x v="121"/>
    <d v="2022-06-02T00:00:00"/>
    <n v="1"/>
    <n v="27.38"/>
    <n v="34"/>
  </r>
  <r>
    <x v="121"/>
    <d v="2022-06-02T00:00:00"/>
    <n v="1"/>
    <n v="27.38"/>
    <n v="34"/>
  </r>
  <r>
    <x v="121"/>
    <d v="2022-06-02T00:00:00"/>
    <n v="1"/>
    <n v="27.38"/>
    <n v="34"/>
  </r>
  <r>
    <x v="121"/>
    <d v="2022-06-02T00:00:00"/>
    <n v="1"/>
    <n v="27.38"/>
    <n v="34"/>
  </r>
  <r>
    <x v="90"/>
    <d v="2022-06-02T00:00:00"/>
    <n v="1"/>
    <n v="131.07"/>
    <n v="206"/>
  </r>
  <r>
    <x v="28"/>
    <d v="2022-06-02T00:00:00"/>
    <n v="1"/>
    <n v="21.17"/>
    <n v="25"/>
  </r>
  <r>
    <x v="28"/>
    <d v="2022-06-02T00:00:00"/>
    <n v="1"/>
    <n v="21.17"/>
    <n v="25"/>
  </r>
  <r>
    <x v="28"/>
    <d v="2022-06-02T00:00:00"/>
    <n v="1"/>
    <n v="21.17"/>
    <n v="25"/>
  </r>
  <r>
    <x v="28"/>
    <d v="2022-06-02T00:00:00"/>
    <n v="1"/>
    <n v="21.17"/>
    <n v="25"/>
  </r>
  <r>
    <x v="28"/>
    <d v="2022-06-02T00:00:00"/>
    <n v="1"/>
    <n v="21.17"/>
    <n v="25"/>
  </r>
  <r>
    <x v="119"/>
    <d v="2022-06-02T00:00:00"/>
    <n v="1"/>
    <n v="36.549999999999997"/>
    <n v="60"/>
  </r>
  <r>
    <x v="24"/>
    <d v="2022-06-02T00:00:00"/>
    <n v="1"/>
    <n v="480.05"/>
    <n v="658"/>
  </r>
  <r>
    <x v="8"/>
    <d v="2022-06-02T00:00:00"/>
    <n v="1"/>
    <n v="119.06"/>
    <n v="146"/>
  </r>
  <r>
    <x v="43"/>
    <d v="2022-06-02T00:00:00"/>
    <n v="1"/>
    <n v="39.83"/>
    <n v="63"/>
  </r>
  <r>
    <x v="142"/>
    <d v="2022-06-02T00:00:00"/>
    <n v="1"/>
    <n v="135.37"/>
    <n v="189"/>
  </r>
  <r>
    <x v="81"/>
    <d v="2022-06-02T00:00:00"/>
    <n v="1"/>
    <n v="47.4"/>
    <n v="76"/>
  </r>
  <r>
    <x v="117"/>
    <d v="2022-06-02T00:00:00"/>
    <n v="1"/>
    <n v="20.78"/>
    <n v="25"/>
  </r>
  <r>
    <x v="57"/>
    <d v="2022-06-02T00:00:00"/>
    <n v="1"/>
    <n v="25.71"/>
    <n v="31"/>
  </r>
  <r>
    <x v="131"/>
    <d v="2022-06-02T00:00:00"/>
    <n v="1"/>
    <n v="286.72000000000003"/>
    <n v="382"/>
  </r>
  <r>
    <x v="55"/>
    <d v="2022-06-02T00:00:00"/>
    <n v="1"/>
    <n v="58.15"/>
    <n v="72"/>
  </r>
  <r>
    <x v="0"/>
    <d v="2022-06-02T00:00:00"/>
    <n v="1"/>
    <n v="145.6"/>
    <n v="169"/>
  </r>
  <r>
    <x v="15"/>
    <d v="2022-06-02T00:00:00"/>
    <n v="1"/>
    <n v="19.71"/>
    <n v="25"/>
  </r>
  <r>
    <x v="102"/>
    <d v="2022-06-02T00:00:00"/>
    <n v="1"/>
    <n v="71.78"/>
    <n v="89"/>
  </r>
  <r>
    <x v="25"/>
    <d v="2022-06-02T00:00:00"/>
    <n v="1"/>
    <n v="156.19999999999999"/>
    <n v="186"/>
  </r>
  <r>
    <x v="50"/>
    <d v="2022-06-02T00:00:00"/>
    <n v="1"/>
    <n v="77.510000000000005"/>
    <n v="97"/>
  </r>
  <r>
    <x v="90"/>
    <d v="2022-06-02T00:00:00"/>
    <n v="1"/>
    <n v="131.07"/>
    <n v="206"/>
  </r>
  <r>
    <x v="129"/>
    <d v="2022-06-02T00:00:00"/>
    <n v="1"/>
    <n v="26.85"/>
    <n v="41"/>
  </r>
  <r>
    <x v="129"/>
    <d v="2022-06-02T00:00:00"/>
    <n v="1"/>
    <n v="26.85"/>
    <n v="41"/>
  </r>
  <r>
    <x v="116"/>
    <d v="2022-06-02T00:00:00"/>
    <n v="1"/>
    <n v="10.4"/>
    <n v="17"/>
  </r>
  <r>
    <x v="116"/>
    <d v="2022-06-02T00:00:00"/>
    <n v="1"/>
    <n v="11.41"/>
    <n v="19"/>
  </r>
  <r>
    <x v="88"/>
    <d v="2022-06-02T00:00:00"/>
    <n v="1"/>
    <n v="80.27"/>
    <n v="114"/>
  </r>
  <r>
    <x v="114"/>
    <d v="2022-06-02T00:00:00"/>
    <n v="3.5714299999999997E-2"/>
    <n v="656.19"/>
    <n v="722"/>
  </r>
  <r>
    <x v="152"/>
    <d v="2022-06-02T00:00:00"/>
    <n v="1"/>
    <n v="12"/>
    <n v="20"/>
  </r>
  <r>
    <x v="7"/>
    <d v="2022-06-02T00:00:00"/>
    <n v="1"/>
    <n v="56.41"/>
    <n v="70"/>
  </r>
  <r>
    <x v="0"/>
    <d v="2022-06-02T00:00:00"/>
    <n v="1"/>
    <n v="130.75"/>
    <n v="160"/>
  </r>
  <r>
    <x v="15"/>
    <d v="2022-06-02T00:00:00"/>
    <n v="1"/>
    <n v="21.04"/>
    <n v="28"/>
  </r>
  <r>
    <x v="52"/>
    <d v="2022-06-02T00:00:00"/>
    <n v="1"/>
    <n v="245.58"/>
    <n v="307"/>
  </r>
  <r>
    <x v="0"/>
    <d v="2022-06-02T00:00:00"/>
    <n v="1"/>
    <n v="146.1"/>
    <n v="173"/>
  </r>
  <r>
    <x v="67"/>
    <d v="2022-06-02T00:00:00"/>
    <n v="1"/>
    <n v="556.51"/>
    <n v="735"/>
  </r>
  <r>
    <x v="67"/>
    <d v="2022-06-02T00:00:00"/>
    <n v="1"/>
    <n v="556.51"/>
    <n v="735"/>
  </r>
  <r>
    <x v="40"/>
    <d v="2022-06-02T00:00:00"/>
    <n v="1"/>
    <n v="26.54"/>
    <n v="43"/>
  </r>
  <r>
    <x v="70"/>
    <d v="2022-06-02T00:00:00"/>
    <n v="0.12"/>
    <n v="466.47"/>
    <n v="710"/>
  </r>
  <r>
    <x v="51"/>
    <d v="2022-06-02T00:00:00"/>
    <n v="1"/>
    <n v="45.36"/>
    <n v="71"/>
  </r>
  <r>
    <x v="136"/>
    <d v="2022-06-02T00:00:00"/>
    <n v="3"/>
    <n v="12.2"/>
    <n v="20"/>
  </r>
  <r>
    <x v="53"/>
    <d v="2022-06-02T00:00:00"/>
    <n v="1"/>
    <n v="60.5"/>
    <n v="73"/>
  </r>
  <r>
    <x v="53"/>
    <d v="2022-06-02T00:00:00"/>
    <n v="1"/>
    <n v="60.5"/>
    <n v="73"/>
  </r>
  <r>
    <x v="53"/>
    <d v="2022-06-02T00:00:00"/>
    <n v="1"/>
    <n v="60.5"/>
    <n v="73"/>
  </r>
  <r>
    <x v="97"/>
    <d v="2022-06-02T00:00:00"/>
    <n v="1"/>
    <n v="26.69"/>
    <n v="33"/>
  </r>
  <r>
    <x v="97"/>
    <d v="2022-06-02T00:00:00"/>
    <n v="1"/>
    <n v="26.69"/>
    <n v="33"/>
  </r>
  <r>
    <x v="97"/>
    <d v="2022-06-02T00:00:00"/>
    <n v="1"/>
    <n v="26.69"/>
    <n v="33"/>
  </r>
  <r>
    <x v="6"/>
    <d v="2022-06-02T00:00:00"/>
    <n v="1"/>
    <n v="24.2"/>
    <n v="40"/>
  </r>
  <r>
    <x v="20"/>
    <d v="2022-06-02T00:00:00"/>
    <n v="1"/>
    <n v="147.55000000000001"/>
    <n v="177"/>
  </r>
  <r>
    <x v="41"/>
    <d v="2022-06-02T00:00:00"/>
    <n v="1"/>
    <n v="19.420000000000002"/>
    <n v="23"/>
  </r>
  <r>
    <x v="19"/>
    <d v="2022-06-02T00:00:00"/>
    <n v="1"/>
    <n v="103.46"/>
    <n v="121"/>
  </r>
  <r>
    <x v="23"/>
    <d v="2022-06-02T00:00:00"/>
    <n v="1"/>
    <n v="148.91"/>
    <n v="204"/>
  </r>
  <r>
    <x v="94"/>
    <d v="2022-06-02T00:00:00"/>
    <n v="1"/>
    <n v="64.25"/>
    <n v="76"/>
  </r>
  <r>
    <x v="63"/>
    <d v="2022-06-02T00:00:00"/>
    <n v="1"/>
    <n v="56.58"/>
    <n v="86"/>
  </r>
  <r>
    <x v="60"/>
    <d v="2022-06-02T00:00:00"/>
    <n v="1"/>
    <n v="176.77"/>
    <n v="221"/>
  </r>
  <r>
    <x v="43"/>
    <d v="2022-06-02T00:00:00"/>
    <n v="1"/>
    <n v="39.83"/>
    <n v="61"/>
  </r>
  <r>
    <x v="112"/>
    <d v="2022-06-02T00:00:00"/>
    <n v="1"/>
    <n v="23.14"/>
    <n v="28"/>
  </r>
  <r>
    <x v="29"/>
    <d v="2022-06-02T00:00:00"/>
    <n v="1"/>
    <n v="200.36"/>
    <n v="231"/>
  </r>
  <r>
    <x v="54"/>
    <d v="2022-06-02T00:00:00"/>
    <n v="1"/>
    <n v="14.55"/>
    <n v="24"/>
  </r>
  <r>
    <x v="15"/>
    <d v="2022-06-02T00:00:00"/>
    <n v="1"/>
    <n v="19.71"/>
    <n v="26"/>
  </r>
  <r>
    <x v="15"/>
    <d v="2022-06-02T00:00:00"/>
    <n v="1"/>
    <n v="19.71"/>
    <n v="26"/>
  </r>
  <r>
    <x v="15"/>
    <d v="2022-06-02T00:00:00"/>
    <n v="1"/>
    <n v="19.71"/>
    <n v="26"/>
  </r>
  <r>
    <x v="15"/>
    <d v="2022-06-02T00:00:00"/>
    <n v="1"/>
    <n v="19.71"/>
    <n v="26"/>
  </r>
  <r>
    <x v="15"/>
    <d v="2022-06-02T00:00:00"/>
    <n v="1"/>
    <n v="19.71"/>
    <n v="26"/>
  </r>
  <r>
    <x v="135"/>
    <d v="2022-06-02T00:00:00"/>
    <n v="1"/>
    <n v="153.78"/>
    <n v="186"/>
  </r>
  <r>
    <x v="149"/>
    <d v="2022-06-02T00:00:00"/>
    <n v="1"/>
    <n v="123.98"/>
    <n v="149"/>
  </r>
  <r>
    <x v="70"/>
    <d v="2022-06-02T00:00:00"/>
    <n v="0.16"/>
    <n v="463.1"/>
    <n v="649"/>
  </r>
  <r>
    <x v="150"/>
    <d v="2022-06-02T00:00:00"/>
    <n v="0.16"/>
    <n v="487.04"/>
    <n v="731"/>
  </r>
  <r>
    <x v="132"/>
    <d v="2022-06-02T00:00:00"/>
    <n v="1"/>
    <n v="10.53"/>
    <n v="18"/>
  </r>
  <r>
    <x v="132"/>
    <d v="2022-06-02T00:00:00"/>
    <n v="1"/>
    <n v="10.210000000000001"/>
    <n v="17"/>
  </r>
  <r>
    <x v="9"/>
    <d v="2022-06-02T00:00:00"/>
    <n v="0.5"/>
    <n v="455.4"/>
    <n v="624"/>
  </r>
  <r>
    <x v="138"/>
    <d v="2022-06-02T00:00:00"/>
    <n v="1"/>
    <n v="51.22"/>
    <n v="78"/>
  </r>
  <r>
    <x v="25"/>
    <d v="2022-06-02T00:00:00"/>
    <n v="1"/>
    <n v="156.19999999999999"/>
    <n v="189"/>
  </r>
  <r>
    <x v="116"/>
    <d v="2022-06-02T00:00:00"/>
    <n v="3"/>
    <n v="11.41"/>
    <n v="19"/>
  </r>
  <r>
    <x v="59"/>
    <d v="2022-06-02T00:00:00"/>
    <n v="1"/>
    <n v="199.07"/>
    <n v="277"/>
  </r>
  <r>
    <x v="95"/>
    <d v="2022-06-02T00:00:00"/>
    <n v="1"/>
    <n v="37.46"/>
    <n v="57"/>
  </r>
  <r>
    <x v="56"/>
    <d v="2022-06-02T00:00:00"/>
    <n v="1"/>
    <n v="32.909999999999997"/>
    <n v="51"/>
  </r>
  <r>
    <x v="56"/>
    <d v="2022-06-02T00:00:00"/>
    <n v="1"/>
    <n v="32.909999999999997"/>
    <n v="51"/>
  </r>
  <r>
    <x v="20"/>
    <d v="2022-06-02T00:00:00"/>
    <n v="1"/>
    <n v="148.52000000000001"/>
    <n v="181"/>
  </r>
  <r>
    <x v="43"/>
    <d v="2022-06-02T00:00:00"/>
    <n v="1"/>
    <n v="41.54"/>
    <n v="65"/>
  </r>
  <r>
    <x v="57"/>
    <d v="2022-06-02T00:00:00"/>
    <n v="1"/>
    <n v="25.15"/>
    <n v="30"/>
  </r>
  <r>
    <x v="93"/>
    <d v="2022-06-02T00:00:00"/>
    <n v="1"/>
    <n v="111.32"/>
    <n v="134"/>
  </r>
  <r>
    <x v="31"/>
    <d v="2022-06-02T00:00:00"/>
    <n v="1"/>
    <n v="22.03"/>
    <n v="28"/>
  </r>
  <r>
    <x v="31"/>
    <d v="2022-06-02T00:00:00"/>
    <n v="1"/>
    <n v="22.03"/>
    <n v="28"/>
  </r>
  <r>
    <x v="129"/>
    <d v="2022-06-02T00:00:00"/>
    <n v="1"/>
    <n v="26.85"/>
    <n v="41"/>
  </r>
  <r>
    <x v="139"/>
    <d v="2022-06-02T00:00:00"/>
    <n v="1"/>
    <n v="51.98"/>
    <n v="81"/>
  </r>
  <r>
    <x v="19"/>
    <d v="2022-06-02T00:00:00"/>
    <n v="1"/>
    <n v="103.19"/>
    <n v="116"/>
  </r>
  <r>
    <x v="19"/>
    <d v="2022-06-02T00:00:00"/>
    <n v="1"/>
    <n v="103.19"/>
    <n v="116"/>
  </r>
  <r>
    <x v="144"/>
    <d v="2022-06-02T00:00:00"/>
    <n v="1"/>
    <n v="212.71"/>
    <n v="288"/>
  </r>
  <r>
    <x v="144"/>
    <d v="2022-06-02T00:00:00"/>
    <n v="1"/>
    <n v="212.71"/>
    <n v="288"/>
  </r>
  <r>
    <x v="73"/>
    <d v="2022-06-02T00:00:00"/>
    <n v="1"/>
    <n v="69.599999999999994"/>
    <n v="88"/>
  </r>
  <r>
    <x v="73"/>
    <d v="2022-06-02T00:00:00"/>
    <n v="1"/>
    <n v="69.599999999999994"/>
    <n v="88"/>
  </r>
  <r>
    <x v="74"/>
    <d v="2022-06-02T00:00:00"/>
    <n v="1"/>
    <n v="148.5"/>
    <n v="177"/>
  </r>
  <r>
    <x v="148"/>
    <d v="2022-06-02T00:00:00"/>
    <n v="1"/>
    <n v="10.34"/>
    <n v="12"/>
  </r>
  <r>
    <x v="80"/>
    <d v="2022-06-02T00:00:00"/>
    <n v="1"/>
    <n v="17"/>
    <n v="26"/>
  </r>
  <r>
    <x v="80"/>
    <d v="2022-06-02T00:00:00"/>
    <n v="1"/>
    <n v="16.489999999999998"/>
    <n v="26"/>
  </r>
  <r>
    <x v="80"/>
    <d v="2022-06-02T00:00:00"/>
    <n v="1"/>
    <n v="16.489999999999998"/>
    <n v="26"/>
  </r>
  <r>
    <x v="15"/>
    <d v="2022-06-02T00:00:00"/>
    <n v="1"/>
    <n v="19.71"/>
    <n v="25"/>
  </r>
  <r>
    <x v="123"/>
    <d v="2022-06-02T00:00:00"/>
    <n v="1"/>
    <n v="313.23"/>
    <n v="433"/>
  </r>
  <r>
    <x v="15"/>
    <d v="2022-06-02T00:00:00"/>
    <n v="1"/>
    <n v="21.04"/>
    <n v="28"/>
  </r>
  <r>
    <x v="15"/>
    <d v="2022-06-02T00:00:00"/>
    <n v="1"/>
    <n v="21.04"/>
    <n v="28"/>
  </r>
  <r>
    <x v="32"/>
    <d v="2022-06-02T00:00:00"/>
    <n v="1"/>
    <n v="51.31"/>
    <n v="65"/>
  </r>
  <r>
    <x v="32"/>
    <d v="2022-06-02T00:00:00"/>
    <n v="1"/>
    <n v="51.31"/>
    <n v="65"/>
  </r>
  <r>
    <x v="110"/>
    <d v="2022-06-02T00:00:00"/>
    <n v="1"/>
    <n v="71.31"/>
    <n v="90"/>
  </r>
  <r>
    <x v="32"/>
    <d v="2022-06-02T00:00:00"/>
    <n v="1"/>
    <n v="51.31"/>
    <n v="65"/>
  </r>
  <r>
    <x v="136"/>
    <d v="2022-06-02T00:00:00"/>
    <n v="2"/>
    <n v="12.2"/>
    <n v="20"/>
  </r>
  <r>
    <x v="72"/>
    <d v="2022-06-02T00:00:00"/>
    <n v="1"/>
    <n v="58.22"/>
    <n v="73"/>
  </r>
  <r>
    <x v="26"/>
    <d v="2022-06-02T00:00:00"/>
    <n v="1"/>
    <n v="14.1"/>
    <n v="19"/>
  </r>
  <r>
    <x v="122"/>
    <d v="2022-06-02T00:00:00"/>
    <n v="1"/>
    <n v="119.64"/>
    <n v="167"/>
  </r>
  <r>
    <x v="36"/>
    <d v="2022-06-02T00:00:00"/>
    <n v="3"/>
    <n v="10.9"/>
    <n v="18"/>
  </r>
  <r>
    <x v="36"/>
    <d v="2022-06-02T00:00:00"/>
    <n v="1"/>
    <n v="11.1"/>
    <n v="18"/>
  </r>
  <r>
    <x v="20"/>
    <d v="2022-06-02T00:00:00"/>
    <n v="1"/>
    <n v="147.55000000000001"/>
    <n v="181"/>
  </r>
  <r>
    <x v="110"/>
    <d v="2022-06-02T00:00:00"/>
    <n v="1"/>
    <n v="71.31"/>
    <n v="90"/>
  </r>
  <r>
    <x v="60"/>
    <d v="2022-06-02T00:00:00"/>
    <n v="1"/>
    <n v="187.36"/>
    <n v="220"/>
  </r>
  <r>
    <x v="83"/>
    <d v="2022-06-02T00:00:00"/>
    <n v="1"/>
    <n v="102.08"/>
    <n v="157"/>
  </r>
  <r>
    <x v="19"/>
    <d v="2022-06-02T00:00:00"/>
    <n v="1"/>
    <n v="101.95"/>
    <n v="122"/>
  </r>
  <r>
    <x v="4"/>
    <d v="2022-06-02T00:00:00"/>
    <n v="1"/>
    <n v="80.69"/>
    <n v="98"/>
  </r>
  <r>
    <x v="54"/>
    <d v="2022-06-02T00:00:00"/>
    <n v="2"/>
    <n v="14.55"/>
    <n v="24"/>
  </r>
  <r>
    <x v="56"/>
    <d v="2022-06-02T00:00:00"/>
    <n v="1"/>
    <n v="33.08"/>
    <n v="51"/>
  </r>
  <r>
    <x v="3"/>
    <d v="2022-06-02T00:00:00"/>
    <n v="1"/>
    <n v="47.67"/>
    <n v="77"/>
  </r>
  <r>
    <x v="51"/>
    <d v="2022-06-02T00:00:00"/>
    <n v="1"/>
    <n v="45.36"/>
    <n v="71"/>
  </r>
  <r>
    <x v="60"/>
    <d v="2022-06-02T00:00:00"/>
    <n v="1"/>
    <n v="184.45"/>
    <n v="216"/>
  </r>
  <r>
    <x v="70"/>
    <d v="2022-06-02T00:00:00"/>
    <n v="0.08"/>
    <n v="490.56"/>
    <n v="687"/>
  </r>
  <r>
    <x v="132"/>
    <d v="2022-06-02T00:00:00"/>
    <n v="2"/>
    <n v="9.6199999999999992"/>
    <n v="16"/>
  </r>
  <r>
    <x v="117"/>
    <d v="2022-06-02T00:00:00"/>
    <n v="1"/>
    <n v="20.48"/>
    <n v="25"/>
  </r>
  <r>
    <x v="120"/>
    <d v="2022-06-02T00:00:00"/>
    <n v="1"/>
    <n v="337.24"/>
    <n v="446"/>
  </r>
  <r>
    <x v="90"/>
    <d v="2022-06-02T00:00:00"/>
    <n v="1"/>
    <n v="129.4"/>
    <n v="197"/>
  </r>
  <r>
    <x v="113"/>
    <d v="2022-06-02T00:00:00"/>
    <n v="1"/>
    <n v="10.78"/>
    <n v="13"/>
  </r>
  <r>
    <x v="123"/>
    <d v="2022-06-02T00:00:00"/>
    <n v="1"/>
    <n v="261.16000000000003"/>
    <n v="361"/>
  </r>
  <r>
    <x v="101"/>
    <d v="2022-06-02T00:00:00"/>
    <n v="1"/>
    <n v="46.2"/>
    <n v="56"/>
  </r>
  <r>
    <x v="134"/>
    <d v="2022-06-02T00:00:00"/>
    <n v="1"/>
    <n v="24.18"/>
    <n v="39"/>
  </r>
  <r>
    <x v="44"/>
    <d v="2022-06-02T00:00:00"/>
    <n v="1"/>
    <n v="15.82"/>
    <n v="20"/>
  </r>
  <r>
    <x v="116"/>
    <d v="2022-06-01T00:00:00"/>
    <n v="2"/>
    <n v="10.4"/>
    <n v="17"/>
  </r>
  <r>
    <x v="83"/>
    <d v="2022-06-01T00:00:00"/>
    <n v="1"/>
    <n v="132"/>
    <n v="202"/>
  </r>
  <r>
    <x v="11"/>
    <d v="2022-06-01T00:00:00"/>
    <n v="1"/>
    <n v="43.22"/>
    <n v="68"/>
  </r>
  <r>
    <x v="11"/>
    <d v="2022-06-01T00:00:00"/>
    <n v="1"/>
    <n v="43.22"/>
    <n v="68"/>
  </r>
  <r>
    <x v="11"/>
    <d v="2022-06-01T00:00:00"/>
    <n v="1"/>
    <n v="43.22"/>
    <n v="68"/>
  </r>
  <r>
    <x v="11"/>
    <d v="2022-06-01T00:00:00"/>
    <n v="1"/>
    <n v="44.03"/>
    <n v="70"/>
  </r>
  <r>
    <x v="18"/>
    <d v="2022-06-01T00:00:00"/>
    <n v="1"/>
    <n v="101.26"/>
    <n v="112"/>
  </r>
  <r>
    <x v="0"/>
    <d v="2022-06-01T00:00:00"/>
    <n v="1"/>
    <n v="130.43"/>
    <n v="150"/>
  </r>
  <r>
    <x v="122"/>
    <d v="2022-06-01T00:00:00"/>
    <n v="1"/>
    <n v="119.8"/>
    <n v="167"/>
  </r>
  <r>
    <x v="2"/>
    <d v="2022-06-01T00:00:00"/>
    <n v="1"/>
    <n v="88.43"/>
    <n v="104"/>
  </r>
  <r>
    <x v="1"/>
    <d v="2022-06-01T00:00:00"/>
    <n v="1"/>
    <n v="438.89"/>
    <n v="549"/>
  </r>
  <r>
    <x v="87"/>
    <d v="2022-06-01T00:00:00"/>
    <n v="50"/>
    <n v="6.24"/>
    <n v="9"/>
  </r>
  <r>
    <x v="72"/>
    <d v="2022-06-01T00:00:00"/>
    <n v="1"/>
    <n v="60.94"/>
    <n v="76"/>
  </r>
  <r>
    <x v="31"/>
    <d v="2022-06-01T00:00:00"/>
    <n v="1"/>
    <n v="22.05"/>
    <n v="28"/>
  </r>
  <r>
    <x v="31"/>
    <d v="2022-06-01T00:00:00"/>
    <n v="1"/>
    <n v="22.05"/>
    <n v="28"/>
  </r>
  <r>
    <x v="31"/>
    <d v="2022-06-01T00:00:00"/>
    <n v="1"/>
    <n v="22.05"/>
    <n v="28"/>
  </r>
  <r>
    <x v="15"/>
    <d v="2022-06-01T00:00:00"/>
    <n v="1"/>
    <n v="21.04"/>
    <n v="28"/>
  </r>
  <r>
    <x v="19"/>
    <d v="2022-06-01T00:00:00"/>
    <n v="1"/>
    <n v="103.49"/>
    <n v="122"/>
  </r>
  <r>
    <x v="36"/>
    <d v="2022-06-01T00:00:00"/>
    <n v="1"/>
    <n v="11.69"/>
    <n v="19"/>
  </r>
  <r>
    <x v="100"/>
    <d v="2022-06-01T00:00:00"/>
    <n v="1"/>
    <n v="27.69"/>
    <n v="45"/>
  </r>
  <r>
    <x v="59"/>
    <d v="2022-06-01T00:00:00"/>
    <n v="1"/>
    <n v="201.04"/>
    <n v="266"/>
  </r>
  <r>
    <x v="42"/>
    <d v="2022-06-01T00:00:00"/>
    <n v="1"/>
    <n v="43"/>
    <n v="66"/>
  </r>
  <r>
    <x v="101"/>
    <d v="2022-06-01T00:00:00"/>
    <n v="1"/>
    <n v="41.66"/>
    <n v="51"/>
  </r>
  <r>
    <x v="4"/>
    <d v="2022-06-01T00:00:00"/>
    <n v="1"/>
    <n v="80.73"/>
    <n v="98"/>
  </r>
  <r>
    <x v="36"/>
    <d v="2022-06-01T00:00:00"/>
    <n v="5"/>
    <n v="11.1"/>
    <n v="18"/>
  </r>
  <r>
    <x v="139"/>
    <d v="2022-06-01T00:00:00"/>
    <n v="1"/>
    <n v="51.98"/>
    <n v="81"/>
  </r>
  <r>
    <x v="7"/>
    <d v="2022-06-01T00:00:00"/>
    <n v="1"/>
    <n v="56.98"/>
    <n v="72"/>
  </r>
  <r>
    <x v="122"/>
    <d v="2022-06-01T00:00:00"/>
    <n v="1"/>
    <n v="119.39"/>
    <n v="164"/>
  </r>
  <r>
    <x v="122"/>
    <d v="2022-06-01T00:00:00"/>
    <n v="1"/>
    <n v="119.39"/>
    <n v="164"/>
  </r>
  <r>
    <x v="99"/>
    <d v="2022-06-01T00:00:00"/>
    <n v="1"/>
    <n v="45.33"/>
    <n v="58"/>
  </r>
  <r>
    <x v="145"/>
    <d v="2022-06-01T00:00:00"/>
    <n v="1"/>
    <n v="94.8"/>
    <n v="147"/>
  </r>
  <r>
    <x v="128"/>
    <d v="2022-06-01T00:00:00"/>
    <n v="1"/>
    <n v="6.19"/>
    <n v="11"/>
  </r>
  <r>
    <x v="19"/>
    <d v="2022-06-01T00:00:00"/>
    <n v="1"/>
    <n v="103.46"/>
    <n v="121"/>
  </r>
  <r>
    <x v="90"/>
    <d v="2022-06-01T00:00:00"/>
    <n v="0.3"/>
    <n v="113.82"/>
    <n v="173"/>
  </r>
  <r>
    <x v="145"/>
    <d v="2022-06-01T00:00:00"/>
    <n v="1"/>
    <n v="94.8"/>
    <n v="147"/>
  </r>
  <r>
    <x v="11"/>
    <d v="2022-06-01T00:00:00"/>
    <n v="1"/>
    <n v="43.62"/>
    <n v="68"/>
  </r>
  <r>
    <x v="116"/>
    <d v="2022-06-01T00:00:00"/>
    <n v="1"/>
    <n v="11.41"/>
    <n v="19"/>
  </r>
  <r>
    <x v="116"/>
    <d v="2022-06-01T00:00:00"/>
    <n v="1"/>
    <n v="11.41"/>
    <n v="19"/>
  </r>
  <r>
    <x v="144"/>
    <d v="2022-06-01T00:00:00"/>
    <n v="1"/>
    <n v="219"/>
    <n v="307"/>
  </r>
  <r>
    <x v="116"/>
    <d v="2022-06-01T00:00:00"/>
    <n v="1"/>
    <n v="11.41"/>
    <n v="19"/>
  </r>
  <r>
    <x v="37"/>
    <d v="2022-06-01T00:00:00"/>
    <n v="1"/>
    <n v="610.85"/>
    <n v="703"/>
  </r>
  <r>
    <x v="67"/>
    <d v="2022-06-01T00:00:00"/>
    <n v="1"/>
    <n v="556.51"/>
    <n v="735"/>
  </r>
  <r>
    <x v="7"/>
    <d v="2022-06-01T00:00:00"/>
    <n v="1"/>
    <n v="56.24"/>
    <n v="70"/>
  </r>
  <r>
    <x v="7"/>
    <d v="2022-06-01T00:00:00"/>
    <n v="1"/>
    <n v="56.24"/>
    <n v="70"/>
  </r>
  <r>
    <x v="133"/>
    <d v="2022-06-01T00:00:00"/>
    <n v="1"/>
    <n v="46.5"/>
    <n v="76"/>
  </r>
  <r>
    <x v="133"/>
    <d v="2022-06-01T00:00:00"/>
    <n v="1"/>
    <n v="46.5"/>
    <n v="76"/>
  </r>
  <r>
    <x v="100"/>
    <d v="2022-06-01T00:00:00"/>
    <n v="1"/>
    <n v="35.79"/>
    <n v="58"/>
  </r>
  <r>
    <x v="58"/>
    <d v="2022-06-01T00:00:00"/>
    <n v="1"/>
    <n v="72.03"/>
    <n v="94"/>
  </r>
  <r>
    <x v="58"/>
    <d v="2022-06-01T00:00:00"/>
    <n v="1"/>
    <n v="72.03"/>
    <n v="94"/>
  </r>
  <r>
    <x v="95"/>
    <d v="2022-06-01T00:00:00"/>
    <n v="1"/>
    <n v="35.82"/>
    <n v="57"/>
  </r>
  <r>
    <x v="19"/>
    <d v="2022-06-01T00:00:00"/>
    <n v="1"/>
    <n v="102.08"/>
    <n v="121"/>
  </r>
  <r>
    <x v="14"/>
    <d v="2022-06-01T00:00:00"/>
    <n v="1"/>
    <n v="81.73"/>
    <n v="102"/>
  </r>
  <r>
    <x v="14"/>
    <d v="2022-06-01T00:00:00"/>
    <n v="1"/>
    <n v="81.73"/>
    <n v="102"/>
  </r>
  <r>
    <x v="60"/>
    <d v="2022-06-01T00:00:00"/>
    <n v="1"/>
    <n v="187.36"/>
    <n v="220"/>
  </r>
  <r>
    <x v="67"/>
    <d v="2022-06-01T00:00:00"/>
    <n v="1"/>
    <n v="556.51"/>
    <n v="735"/>
  </r>
  <r>
    <x v="67"/>
    <d v="2022-06-01T00:00:00"/>
    <n v="1"/>
    <n v="556.51"/>
    <n v="735"/>
  </r>
  <r>
    <x v="92"/>
    <d v="2022-06-01T00:00:00"/>
    <n v="1"/>
    <n v="426.66"/>
    <n v="564"/>
  </r>
  <r>
    <x v="129"/>
    <d v="2022-06-01T00:00:00"/>
    <n v="1"/>
    <n v="26.85"/>
    <n v="41"/>
  </r>
  <r>
    <x v="117"/>
    <d v="2022-06-01T00:00:00"/>
    <n v="1"/>
    <n v="20.48"/>
    <n v="25"/>
  </r>
  <r>
    <x v="4"/>
    <d v="2022-06-01T00:00:00"/>
    <n v="1"/>
    <n v="80.69"/>
    <n v="98"/>
  </r>
  <r>
    <x v="4"/>
    <d v="2022-06-01T00:00:00"/>
    <n v="1"/>
    <n v="80.69"/>
    <n v="98"/>
  </r>
  <r>
    <x v="137"/>
    <d v="2022-06-01T00:00:00"/>
    <n v="1"/>
    <n v="12.86"/>
    <n v="15"/>
  </r>
  <r>
    <x v="148"/>
    <d v="2022-06-01T00:00:00"/>
    <n v="1"/>
    <n v="10.34"/>
    <n v="12"/>
  </r>
  <r>
    <x v="141"/>
    <d v="2022-06-01T00:00:00"/>
    <n v="1"/>
    <n v="412.93"/>
    <n v="463"/>
  </r>
  <r>
    <x v="0"/>
    <d v="2022-06-01T00:00:00"/>
    <n v="1"/>
    <n v="146.1"/>
    <n v="173"/>
  </r>
  <r>
    <x v="0"/>
    <d v="2022-06-01T00:00:00"/>
    <n v="1"/>
    <n v="146.1"/>
    <n v="173"/>
  </r>
  <r>
    <x v="90"/>
    <d v="2022-06-01T00:00:00"/>
    <n v="1"/>
    <n v="114.36"/>
    <n v="175"/>
  </r>
  <r>
    <x v="19"/>
    <d v="2022-06-01T00:00:00"/>
    <n v="1"/>
    <n v="102.47"/>
    <n v="121"/>
  </r>
  <r>
    <x v="19"/>
    <d v="2022-06-01T00:00:00"/>
    <n v="1"/>
    <n v="102.47"/>
    <n v="121"/>
  </r>
  <r>
    <x v="82"/>
    <d v="2022-06-01T00:00:00"/>
    <n v="1"/>
    <n v="323.66000000000003"/>
    <n v="389"/>
  </r>
  <r>
    <x v="13"/>
    <d v="2022-06-01T00:00:00"/>
    <n v="1"/>
    <n v="46"/>
    <n v="72"/>
  </r>
  <r>
    <x v="0"/>
    <d v="2022-06-01T00:00:00"/>
    <n v="1"/>
    <n v="130.04"/>
    <n v="157"/>
  </r>
  <r>
    <x v="22"/>
    <d v="2022-06-01T00:00:00"/>
    <n v="1"/>
    <n v="102.34"/>
    <n v="157"/>
  </r>
  <r>
    <x v="45"/>
    <d v="2022-06-01T00:00:00"/>
    <n v="1"/>
    <n v="43.74"/>
    <n v="54"/>
  </r>
  <r>
    <x v="20"/>
    <d v="2022-06-01T00:00:00"/>
    <n v="1"/>
    <n v="147.55000000000001"/>
    <n v="181"/>
  </r>
  <r>
    <x v="130"/>
    <d v="2022-06-01T00:00:00"/>
    <n v="1"/>
    <n v="79.53"/>
    <n v="95"/>
  </r>
  <r>
    <x v="130"/>
    <d v="2022-06-01T00:00:00"/>
    <n v="1"/>
    <n v="79.53"/>
    <n v="95"/>
  </r>
  <r>
    <x v="124"/>
    <d v="2022-06-01T00:00:00"/>
    <n v="0.16"/>
    <n v="495.19"/>
    <n v="606"/>
  </r>
  <r>
    <x v="20"/>
    <d v="2022-06-01T00:00:00"/>
    <n v="1"/>
    <n v="147.18"/>
    <n v="177"/>
  </r>
  <r>
    <x v="0"/>
    <d v="2022-06-01T00:00:00"/>
    <n v="1"/>
    <n v="130.04"/>
    <n v="157"/>
  </r>
  <r>
    <x v="8"/>
    <d v="2022-06-01T00:00:00"/>
    <n v="1"/>
    <n v="125.93"/>
    <n v="150"/>
  </r>
  <r>
    <x v="117"/>
    <d v="2022-06-01T00:00:00"/>
    <n v="1"/>
    <n v="20.86"/>
    <n v="26"/>
  </r>
  <r>
    <x v="123"/>
    <d v="2022-06-01T00:00:00"/>
    <n v="1"/>
    <n v="313.23"/>
    <n v="433"/>
  </r>
  <r>
    <x v="47"/>
    <d v="2022-06-01T00:00:00"/>
    <n v="1"/>
    <n v="202.33"/>
    <n v="243"/>
  </r>
  <r>
    <x v="14"/>
    <d v="2022-06-01T00:00:00"/>
    <n v="1"/>
    <n v="81.58"/>
    <n v="102"/>
  </r>
  <r>
    <x v="145"/>
    <d v="2022-06-01T00:00:00"/>
    <n v="2"/>
    <n v="94.8"/>
    <n v="151"/>
  </r>
  <r>
    <x v="52"/>
    <d v="2022-06-01T00:00:00"/>
    <n v="1"/>
    <n v="233.74"/>
    <n v="262"/>
  </r>
  <r>
    <x v="8"/>
    <d v="2022-06-01T00:00:00"/>
    <n v="1"/>
    <n v="119.06"/>
    <n v="143"/>
  </r>
  <r>
    <x v="13"/>
    <d v="2022-06-01T00:00:00"/>
    <n v="1"/>
    <n v="46"/>
    <n v="72"/>
  </r>
  <r>
    <x v="70"/>
    <d v="2022-06-01T00:00:00"/>
    <n v="0.2"/>
    <n v="490.56"/>
    <n v="687"/>
  </r>
  <r>
    <x v="70"/>
    <d v="2022-06-01T00:00:00"/>
    <n v="0.3"/>
    <n v="433.37"/>
    <n v="607"/>
  </r>
  <r>
    <x v="99"/>
    <d v="2022-06-01T00:00:00"/>
    <n v="1"/>
    <n v="44.68"/>
    <n v="56"/>
  </r>
  <r>
    <x v="133"/>
    <d v="2022-06-01T00:00:00"/>
    <n v="1"/>
    <n v="46.5"/>
    <n v="75"/>
  </r>
  <r>
    <x v="59"/>
    <d v="2022-06-01T00:00:00"/>
    <n v="1"/>
    <n v="201.85"/>
    <n v="277"/>
  </r>
  <r>
    <x v="70"/>
    <d v="2022-06-01T00:00:00"/>
    <n v="0.3"/>
    <n v="463.1"/>
    <n v="649"/>
  </r>
  <r>
    <x v="84"/>
    <d v="2022-06-01T00:00:00"/>
    <n v="1"/>
    <n v="80.69"/>
    <n v="117"/>
  </r>
  <r>
    <x v="123"/>
    <d v="2022-06-01T00:00:00"/>
    <n v="1"/>
    <n v="267.45999999999998"/>
    <n v="370"/>
  </r>
  <r>
    <x v="126"/>
    <d v="2022-06-01T00:00:00"/>
    <n v="1"/>
    <n v="349.61"/>
    <n v="403"/>
  </r>
  <r>
    <x v="108"/>
    <d v="2022-06-01T00:00:00"/>
    <n v="1"/>
    <n v="126.69"/>
    <n v="177"/>
  </r>
  <r>
    <x v="88"/>
    <d v="2022-06-01T00:00:00"/>
    <n v="1"/>
    <n v="71.05"/>
    <n v="106"/>
  </r>
  <r>
    <x v="16"/>
    <d v="2022-06-01T00:00:00"/>
    <n v="1"/>
    <n v="190.59"/>
    <n v="262"/>
  </r>
  <r>
    <x v="42"/>
    <d v="2022-06-01T00:00:00"/>
    <n v="1"/>
    <n v="43.27"/>
    <n v="68"/>
  </r>
  <r>
    <x v="16"/>
    <d v="2022-06-01T00:00:00"/>
    <n v="1"/>
    <n v="187.69"/>
    <n v="254"/>
  </r>
  <r>
    <x v="17"/>
    <d v="2022-06-01T00:00:00"/>
    <n v="1"/>
    <n v="30.3"/>
    <n v="49"/>
  </r>
  <r>
    <x v="99"/>
    <d v="2022-06-01T00:00:00"/>
    <n v="1"/>
    <n v="45.52"/>
    <n v="57"/>
  </r>
  <r>
    <x v="95"/>
    <d v="2022-06-01T00:00:00"/>
    <n v="1"/>
    <n v="37.46"/>
    <n v="57"/>
  </r>
  <r>
    <x v="67"/>
    <d v="2022-06-01T00:00:00"/>
    <n v="1"/>
    <n v="556.51"/>
    <n v="735"/>
  </r>
  <r>
    <x v="19"/>
    <d v="2022-06-01T00:00:00"/>
    <n v="1"/>
    <n v="103.46"/>
    <n v="121"/>
  </r>
  <r>
    <x v="19"/>
    <d v="2022-06-01T00:00:00"/>
    <n v="1"/>
    <n v="103.46"/>
    <n v="121"/>
  </r>
  <r>
    <x v="153"/>
    <d v="2022-06-01T00:00:00"/>
    <n v="1"/>
    <n v="23.8"/>
    <n v="31"/>
  </r>
  <r>
    <x v="153"/>
    <d v="2022-06-01T00:00:00"/>
    <n v="1"/>
    <n v="23.8"/>
    <n v="31"/>
  </r>
  <r>
    <x v="153"/>
    <d v="2022-06-01T00:00:00"/>
    <n v="1"/>
    <n v="24.52"/>
    <n v="32"/>
  </r>
  <r>
    <x v="153"/>
    <d v="2022-06-01T00:00:00"/>
    <n v="1"/>
    <n v="24.52"/>
    <n v="32"/>
  </r>
  <r>
    <x v="153"/>
    <d v="2022-06-01T00:00:00"/>
    <n v="1"/>
    <n v="24.52"/>
    <n v="32"/>
  </r>
  <r>
    <x v="90"/>
    <d v="2022-06-01T00:00:00"/>
    <n v="1"/>
    <n v="131.07"/>
    <n v="206"/>
  </r>
  <r>
    <x v="17"/>
    <d v="2022-06-01T00:00:00"/>
    <n v="1"/>
    <n v="30.3"/>
    <n v="49"/>
  </r>
  <r>
    <x v="11"/>
    <d v="2022-06-01T00:00:00"/>
    <n v="1"/>
    <n v="34.51"/>
    <n v="54"/>
  </r>
  <r>
    <x v="60"/>
    <d v="2022-06-01T00:00:00"/>
    <n v="1"/>
    <n v="187.36"/>
    <n v="220"/>
  </r>
  <r>
    <x v="119"/>
    <d v="2022-06-01T00:00:00"/>
    <n v="1"/>
    <n v="36.75"/>
    <n v="59"/>
  </r>
  <r>
    <x v="54"/>
    <d v="2022-06-01T00:00:00"/>
    <n v="1"/>
    <n v="19.27"/>
    <n v="32"/>
  </r>
  <r>
    <x v="32"/>
    <d v="2022-06-01T00:00:00"/>
    <n v="1"/>
    <n v="51.31"/>
    <n v="65"/>
  </r>
  <r>
    <x v="33"/>
    <d v="2022-06-01T00:00:00"/>
    <n v="1"/>
    <n v="34.450000000000003"/>
    <n v="55"/>
  </r>
  <r>
    <x v="147"/>
    <d v="2022-06-01T00:00:00"/>
    <n v="1"/>
    <n v="107.99"/>
    <n v="135"/>
  </r>
  <r>
    <x v="19"/>
    <d v="2022-06-01T00:00:00"/>
    <n v="1"/>
    <n v="103.46"/>
    <n v="121"/>
  </r>
  <r>
    <x v="86"/>
    <d v="2022-06-01T00:00:00"/>
    <n v="1"/>
    <n v="34.65"/>
    <n v="57"/>
  </r>
  <r>
    <x v="90"/>
    <d v="2022-06-01T00:00:00"/>
    <n v="1"/>
    <n v="113.82"/>
    <n v="173"/>
  </r>
  <r>
    <x v="14"/>
    <d v="2022-06-01T00:00:00"/>
    <n v="1"/>
    <n v="81.95"/>
    <n v="102"/>
  </r>
  <r>
    <x v="14"/>
    <d v="2022-06-01T00:00:00"/>
    <n v="1"/>
    <n v="81.95"/>
    <n v="102"/>
  </r>
  <r>
    <x v="86"/>
    <d v="2022-06-01T00:00:00"/>
    <n v="1"/>
    <n v="35.340000000000003"/>
    <n v="58"/>
  </r>
  <r>
    <x v="31"/>
    <d v="2022-06-01T00:00:00"/>
    <n v="1"/>
    <n v="35"/>
    <n v="44"/>
  </r>
  <r>
    <x v="43"/>
    <d v="2022-06-01T00:00:00"/>
    <n v="1"/>
    <n v="39.83"/>
    <n v="61"/>
  </r>
  <r>
    <x v="93"/>
    <d v="2022-06-01T00:00:00"/>
    <n v="1"/>
    <n v="111.32"/>
    <n v="134"/>
  </r>
  <r>
    <x v="141"/>
    <d v="2022-06-01T00:00:00"/>
    <n v="1"/>
    <n v="410.25"/>
    <n v="460"/>
  </r>
  <r>
    <x v="58"/>
    <d v="2022-06-01T00:00:00"/>
    <n v="1"/>
    <n v="71.53"/>
    <n v="83"/>
  </r>
  <r>
    <x v="58"/>
    <d v="2022-06-01T00:00:00"/>
    <n v="1"/>
    <n v="71.53"/>
    <n v="83"/>
  </r>
  <r>
    <x v="73"/>
    <d v="2022-06-01T00:00:00"/>
    <n v="1"/>
    <n v="69.84"/>
    <n v="88"/>
  </r>
  <r>
    <x v="16"/>
    <d v="2022-06-01T00:00:00"/>
    <n v="1"/>
    <n v="187.69"/>
    <n v="254"/>
  </r>
  <r>
    <x v="73"/>
    <d v="2022-06-01T00:00:00"/>
    <n v="1"/>
    <n v="69.599999999999994"/>
    <n v="88"/>
  </r>
  <r>
    <x v="51"/>
    <d v="2022-06-01T00:00:00"/>
    <n v="1"/>
    <n v="44.7"/>
    <n v="68"/>
  </r>
  <r>
    <x v="61"/>
    <d v="2022-06-01T00:00:00"/>
    <n v="1"/>
    <n v="31.58"/>
    <n v="37"/>
  </r>
  <r>
    <x v="61"/>
    <d v="2022-06-01T00:00:00"/>
    <n v="1"/>
    <n v="31.58"/>
    <n v="37"/>
  </r>
  <r>
    <x v="17"/>
    <d v="2022-06-01T00:00:00"/>
    <n v="1"/>
    <n v="30.3"/>
    <n v="49"/>
  </r>
  <r>
    <x v="81"/>
    <d v="2022-06-01T00:00:00"/>
    <n v="1"/>
    <n v="47.4"/>
    <n v="82"/>
  </r>
  <r>
    <x v="81"/>
    <d v="2022-06-01T00:00:00"/>
    <n v="2"/>
    <n v="47.4"/>
    <n v="82"/>
  </r>
  <r>
    <x v="129"/>
    <d v="2022-06-01T00:00:00"/>
    <n v="1"/>
    <n v="35.200000000000003"/>
    <n v="54"/>
  </r>
  <r>
    <x v="129"/>
    <d v="2022-06-01T00:00:00"/>
    <n v="1"/>
    <n v="35.200000000000003"/>
    <n v="54"/>
  </r>
  <r>
    <x v="83"/>
    <d v="2022-06-01T00:00:00"/>
    <n v="0.4"/>
    <n v="132"/>
    <n v="202"/>
  </r>
  <r>
    <x v="19"/>
    <d v="2022-06-01T00:00:00"/>
    <n v="1"/>
    <n v="103.46"/>
    <n v="121"/>
  </r>
  <r>
    <x v="101"/>
    <d v="2022-06-01T00:00:00"/>
    <n v="1"/>
    <n v="46.2"/>
    <n v="56"/>
  </r>
  <r>
    <x v="106"/>
    <d v="2022-06-01T00:00:00"/>
    <n v="1"/>
    <n v="160.62"/>
    <n v="194"/>
  </r>
  <r>
    <x v="58"/>
    <d v="2022-06-01T00:00:00"/>
    <n v="1"/>
    <n v="73.3"/>
    <n v="88"/>
  </r>
  <r>
    <x v="58"/>
    <d v="2022-06-01T00:00:00"/>
    <n v="1"/>
    <n v="73.3"/>
    <n v="88"/>
  </r>
  <r>
    <x v="151"/>
    <d v="2022-06-01T00:00:00"/>
    <n v="1"/>
    <n v="251.37"/>
    <n v="335"/>
  </r>
  <r>
    <x v="43"/>
    <d v="2022-06-01T00:00:00"/>
    <n v="1"/>
    <n v="39.83"/>
    <n v="61"/>
  </r>
  <r>
    <x v="1"/>
    <d v="2022-06-01T00:00:00"/>
    <n v="1"/>
    <n v="460.59"/>
    <n v="576"/>
  </r>
  <r>
    <x v="15"/>
    <d v="2022-06-01T00:00:00"/>
    <n v="1"/>
    <n v="19.82"/>
    <n v="25"/>
  </r>
  <r>
    <x v="15"/>
    <d v="2022-06-01T00:00:00"/>
    <n v="1"/>
    <n v="19.82"/>
    <n v="25"/>
  </r>
  <r>
    <x v="17"/>
    <d v="2022-06-01T00:00:00"/>
    <n v="1"/>
    <n v="30.3"/>
    <n v="49"/>
  </r>
  <r>
    <x v="4"/>
    <d v="2022-06-01T00:00:00"/>
    <n v="1"/>
    <n v="80.73"/>
    <n v="98"/>
  </r>
  <r>
    <x v="4"/>
    <d v="2022-06-01T00:00:00"/>
    <n v="1"/>
    <n v="80.73"/>
    <n v="98"/>
  </r>
  <r>
    <x v="10"/>
    <d v="2022-06-01T00:00:00"/>
    <n v="1"/>
    <n v="55.5"/>
    <n v="89"/>
  </r>
  <r>
    <x v="21"/>
    <d v="2022-06-01T00:00:00"/>
    <n v="0.3"/>
    <n v="984.92"/>
    <n v="1330"/>
  </r>
  <r>
    <x v="46"/>
    <d v="2022-06-01T00:00:00"/>
    <n v="4"/>
    <n v="2.29"/>
    <n v="4"/>
  </r>
  <r>
    <x v="46"/>
    <d v="2022-06-01T00:00:00"/>
    <n v="12"/>
    <n v="2.29"/>
    <n v="4"/>
  </r>
  <r>
    <x v="131"/>
    <d v="2022-06-01T00:00:00"/>
    <n v="1"/>
    <n v="286.72000000000003"/>
    <n v="382"/>
  </r>
  <r>
    <x v="52"/>
    <d v="2022-06-01T00:00:00"/>
    <n v="1"/>
    <n v="238.7"/>
    <n v="280"/>
  </r>
  <r>
    <x v="82"/>
    <d v="2022-06-01T00:00:00"/>
    <n v="1"/>
    <n v="323.67"/>
    <n v="389"/>
  </r>
  <r>
    <x v="14"/>
    <d v="2022-06-01T00:00:00"/>
    <n v="1"/>
    <n v="81.95"/>
    <n v="102"/>
  </r>
  <r>
    <x v="15"/>
    <d v="2022-06-01T00:00:00"/>
    <n v="1"/>
    <n v="19.71"/>
    <n v="25"/>
  </r>
  <r>
    <x v="42"/>
    <d v="2022-06-01T00:00:00"/>
    <n v="1"/>
    <n v="43.2"/>
    <n v="67"/>
  </r>
  <r>
    <x v="42"/>
    <d v="2022-06-01T00:00:00"/>
    <n v="1"/>
    <n v="43.2"/>
    <n v="67"/>
  </r>
  <r>
    <x v="40"/>
    <d v="2022-06-01T00:00:00"/>
    <n v="6"/>
    <n v="28.21"/>
    <n v="46"/>
  </r>
  <r>
    <x v="61"/>
    <d v="2022-06-01T00:00:00"/>
    <n v="1"/>
    <n v="32"/>
    <n v="36"/>
  </r>
  <r>
    <x v="95"/>
    <d v="2022-06-01T00:00:00"/>
    <n v="1"/>
    <n v="38.07"/>
    <n v="59"/>
  </r>
  <r>
    <x v="2"/>
    <d v="2022-06-01T00:00:00"/>
    <n v="1"/>
    <n v="88.43"/>
    <n v="104"/>
  </r>
  <r>
    <x v="117"/>
    <d v="2022-06-01T00:00:00"/>
    <n v="1"/>
    <n v="20.78"/>
    <n v="26"/>
  </r>
  <r>
    <x v="7"/>
    <d v="2022-06-01T00:00:00"/>
    <n v="1"/>
    <n v="56.98"/>
    <n v="72"/>
  </r>
  <r>
    <x v="101"/>
    <d v="2022-06-01T00:00:00"/>
    <n v="1"/>
    <n v="42.16"/>
    <n v="52"/>
  </r>
  <r>
    <x v="117"/>
    <d v="2022-06-01T00:00:00"/>
    <n v="1"/>
    <n v="23.27"/>
    <n v="28"/>
  </r>
  <r>
    <x v="30"/>
    <d v="2022-06-01T00:00:00"/>
    <n v="1"/>
    <n v="35"/>
    <n v="55"/>
  </r>
  <r>
    <x v="30"/>
    <d v="2022-06-01T00:00:00"/>
    <n v="1"/>
    <n v="35"/>
    <n v="55"/>
  </r>
  <r>
    <x v="34"/>
    <d v="2022-06-01T00:00:00"/>
    <n v="5"/>
    <n v="8.58"/>
    <n v="14"/>
  </r>
  <r>
    <x v="42"/>
    <d v="2022-06-01T00:00:00"/>
    <n v="1"/>
    <n v="43.45"/>
    <n v="67"/>
  </r>
  <r>
    <x v="29"/>
    <d v="2022-06-01T00:00:00"/>
    <n v="1"/>
    <n v="200.35"/>
    <n v="235"/>
  </r>
  <r>
    <x v="12"/>
    <d v="2022-06-01T00:00:00"/>
    <n v="1"/>
    <n v="388.58"/>
    <n v="467"/>
  </r>
  <r>
    <x v="2"/>
    <d v="2022-06-01T00:00:00"/>
    <n v="1"/>
    <n v="88.73"/>
    <n v="104"/>
  </r>
  <r>
    <x v="60"/>
    <d v="2022-06-01T00:00:00"/>
    <n v="1"/>
    <n v="184.45"/>
    <n v="235"/>
  </r>
  <r>
    <x v="153"/>
    <d v="2022-06-01T00:00:00"/>
    <n v="1"/>
    <n v="23.94"/>
    <n v="32"/>
  </r>
  <r>
    <x v="153"/>
    <d v="2022-06-01T00:00:00"/>
    <n v="1"/>
    <n v="23.94"/>
    <n v="32"/>
  </r>
  <r>
    <x v="153"/>
    <d v="2022-06-01T00:00:00"/>
    <n v="1"/>
    <n v="23.94"/>
    <n v="32"/>
  </r>
  <r>
    <x v="153"/>
    <d v="2022-06-01T00:00:00"/>
    <n v="1"/>
    <n v="23.94"/>
    <n v="32"/>
  </r>
  <r>
    <x v="153"/>
    <d v="2022-06-01T00:00:00"/>
    <n v="1"/>
    <n v="23.94"/>
    <n v="32"/>
  </r>
  <r>
    <x v="153"/>
    <d v="2022-06-01T00:00:00"/>
    <n v="1"/>
    <n v="23.94"/>
    <n v="32"/>
  </r>
  <r>
    <x v="153"/>
    <d v="2022-06-01T00:00:00"/>
    <n v="1"/>
    <n v="23.94"/>
    <n v="32"/>
  </r>
  <r>
    <x v="153"/>
    <d v="2022-06-01T00:00:00"/>
    <n v="1"/>
    <n v="23.94"/>
    <n v="32"/>
  </r>
  <r>
    <x v="153"/>
    <d v="2022-06-01T00:00:00"/>
    <n v="1"/>
    <n v="23.94"/>
    <n v="32"/>
  </r>
  <r>
    <x v="153"/>
    <d v="2022-06-01T00:00:00"/>
    <n v="1"/>
    <n v="23.94"/>
    <n v="32"/>
  </r>
  <r>
    <x v="90"/>
    <d v="2022-06-01T00:00:00"/>
    <n v="1"/>
    <n v="114.36"/>
    <n v="175"/>
  </r>
  <r>
    <x v="119"/>
    <d v="2022-06-01T00:00:00"/>
    <n v="1"/>
    <n v="48.86"/>
    <n v="79"/>
  </r>
  <r>
    <x v="8"/>
    <d v="2022-06-01T00:00:00"/>
    <n v="1"/>
    <n v="119.06"/>
    <n v="146"/>
  </r>
  <r>
    <x v="3"/>
    <d v="2022-06-01T00:00:00"/>
    <n v="1"/>
    <n v="60.47"/>
    <n v="76"/>
  </r>
  <r>
    <x v="14"/>
    <d v="2022-06-01T00:00:00"/>
    <n v="1"/>
    <n v="80.760000000000005"/>
    <n v="101"/>
  </r>
  <r>
    <x v="17"/>
    <d v="2022-06-01T00:00:00"/>
    <n v="1"/>
    <n v="30.3"/>
    <n v="49"/>
  </r>
  <r>
    <x v="97"/>
    <d v="2022-06-01T00:00:00"/>
    <n v="1"/>
    <n v="26.29"/>
    <n v="33"/>
  </r>
  <r>
    <x v="97"/>
    <d v="2022-06-01T00:00:00"/>
    <n v="1"/>
    <n v="26.29"/>
    <n v="33"/>
  </r>
  <r>
    <x v="97"/>
    <d v="2022-06-01T00:00:00"/>
    <n v="1"/>
    <n v="26.29"/>
    <n v="33"/>
  </r>
  <r>
    <x v="97"/>
    <d v="2022-06-01T00:00:00"/>
    <n v="1"/>
    <n v="26.29"/>
    <n v="33"/>
  </r>
  <r>
    <x v="97"/>
    <d v="2022-06-01T00:00:00"/>
    <n v="1"/>
    <n v="26.29"/>
    <n v="33"/>
  </r>
  <r>
    <x v="79"/>
    <d v="2022-06-01T00:00:00"/>
    <n v="1"/>
    <n v="153.22999999999999"/>
    <n v="192"/>
  </r>
  <r>
    <x v="4"/>
    <d v="2022-06-01T00:00:00"/>
    <n v="1"/>
    <n v="81.87"/>
    <n v="99"/>
  </r>
  <r>
    <x v="55"/>
    <d v="2022-06-01T00:00:00"/>
    <n v="1"/>
    <n v="60.4"/>
    <n v="74"/>
  </r>
  <r>
    <x v="77"/>
    <d v="2022-06-01T00:00:00"/>
    <n v="1"/>
    <n v="36.44"/>
    <n v="46"/>
  </r>
  <r>
    <x v="77"/>
    <d v="2022-06-01T00:00:00"/>
    <n v="1"/>
    <n v="36.44"/>
    <n v="46"/>
  </r>
  <r>
    <x v="93"/>
    <d v="2022-06-01T00:00:00"/>
    <n v="1"/>
    <n v="111.21"/>
    <n v="131"/>
  </r>
  <r>
    <x v="113"/>
    <d v="2022-06-01T00:00:00"/>
    <n v="1"/>
    <n v="10.79"/>
    <n v="13"/>
  </r>
  <r>
    <x v="113"/>
    <d v="2022-06-01T00:00:00"/>
    <n v="1"/>
    <n v="10.79"/>
    <n v="13"/>
  </r>
  <r>
    <x v="80"/>
    <d v="2022-06-01T00:00:00"/>
    <n v="1"/>
    <n v="15.13"/>
    <n v="23"/>
  </r>
  <r>
    <x v="5"/>
    <d v="2022-06-01T00:00:00"/>
    <n v="1"/>
    <n v="11.67"/>
    <n v="14"/>
  </r>
  <r>
    <x v="5"/>
    <d v="2022-06-01T00:00:00"/>
    <n v="1"/>
    <n v="11.67"/>
    <n v="14"/>
  </r>
  <r>
    <x v="83"/>
    <d v="2022-06-01T00:00:00"/>
    <n v="1.3"/>
    <n v="132"/>
    <n v="202"/>
  </r>
  <r>
    <x v="30"/>
    <d v="2022-06-01T00:00:00"/>
    <n v="1"/>
    <n v="31.85"/>
    <n v="49"/>
  </r>
  <r>
    <x v="36"/>
    <d v="2022-06-01T00:00:00"/>
    <n v="1"/>
    <n v="11.1"/>
    <n v="18"/>
  </r>
  <r>
    <x v="101"/>
    <d v="2022-06-01T00:00:00"/>
    <n v="1"/>
    <n v="41.14"/>
    <n v="51"/>
  </r>
  <r>
    <x v="30"/>
    <d v="2022-06-01T00:00:00"/>
    <n v="0.13461500000000001"/>
    <n v="35"/>
    <n v="55"/>
  </r>
  <r>
    <x v="30"/>
    <d v="2022-06-01T00:00:00"/>
    <n v="0.86538499999999996"/>
    <n v="35"/>
    <n v="55"/>
  </r>
  <r>
    <x v="37"/>
    <d v="2022-06-01T00:00:00"/>
    <n v="1"/>
    <n v="610.85"/>
    <n v="703"/>
  </r>
  <r>
    <x v="17"/>
    <d v="2022-06-01T00:00:00"/>
    <n v="0.13461500000000001"/>
    <n v="30.3"/>
    <n v="49"/>
  </r>
  <r>
    <x v="17"/>
    <d v="2022-06-01T00:00:00"/>
    <n v="0.86538499999999996"/>
    <n v="30.3"/>
    <n v="49"/>
  </r>
  <r>
    <x v="117"/>
    <d v="2022-06-01T00:00:00"/>
    <n v="1"/>
    <n v="20.48"/>
    <n v="25"/>
  </r>
  <r>
    <x v="52"/>
    <d v="2022-06-01T00:00:00"/>
    <n v="1"/>
    <n v="233.76"/>
    <n v="274"/>
  </r>
  <r>
    <x v="102"/>
    <d v="2022-06-01T00:00:00"/>
    <n v="1"/>
    <n v="71"/>
    <n v="88"/>
  </r>
  <r>
    <x v="19"/>
    <d v="2022-06-01T00:00:00"/>
    <n v="1"/>
    <n v="102.47"/>
    <n v="121"/>
  </r>
  <r>
    <x v="41"/>
    <d v="2022-06-01T00:00:00"/>
    <n v="1"/>
    <n v="19.420000000000002"/>
    <n v="23"/>
  </r>
  <r>
    <x v="70"/>
    <d v="2022-06-01T00:00:00"/>
    <n v="0.22"/>
    <n v="404.09"/>
    <n v="594"/>
  </r>
  <r>
    <x v="20"/>
    <d v="2022-06-01T00:00:00"/>
    <n v="1"/>
    <n v="147.55000000000001"/>
    <n v="177"/>
  </r>
  <r>
    <x v="108"/>
    <d v="2022-06-01T00:00:00"/>
    <n v="1"/>
    <n v="126.69"/>
    <n v="177"/>
  </r>
  <r>
    <x v="100"/>
    <d v="2022-06-01T00:00:00"/>
    <n v="5"/>
    <n v="27.72"/>
    <n v="45"/>
  </r>
  <r>
    <x v="144"/>
    <d v="2022-06-01T00:00:00"/>
    <n v="1"/>
    <n v="199.6"/>
    <n v="290"/>
  </r>
  <r>
    <x v="31"/>
    <d v="2022-06-01T00:00:00"/>
    <n v="1"/>
    <n v="22.05"/>
    <n v="28"/>
  </r>
  <r>
    <x v="31"/>
    <d v="2022-06-01T00:00:00"/>
    <n v="1"/>
    <n v="22.05"/>
    <n v="28"/>
  </r>
  <r>
    <x v="31"/>
    <d v="2022-06-01T00:00:00"/>
    <n v="1"/>
    <n v="22.05"/>
    <n v="28"/>
  </r>
  <r>
    <x v="31"/>
    <d v="2022-06-01T00:00:00"/>
    <n v="1"/>
    <n v="22.05"/>
    <n v="28"/>
  </r>
  <r>
    <x v="126"/>
    <d v="2022-06-01T00:00:00"/>
    <n v="1"/>
    <n v="363"/>
    <n v="480"/>
  </r>
  <r>
    <x v="7"/>
    <d v="2022-06-01T00:00:00"/>
    <n v="1"/>
    <n v="56.18"/>
    <n v="70"/>
  </r>
  <r>
    <x v="148"/>
    <d v="2022-06-01T00:00:00"/>
    <n v="1"/>
    <n v="10.34"/>
    <n v="12"/>
  </r>
  <r>
    <x v="148"/>
    <d v="2022-06-01T00:00:00"/>
    <n v="1"/>
    <n v="10.34"/>
    <n v="12"/>
  </r>
  <r>
    <x v="42"/>
    <d v="2022-06-01T00:00:00"/>
    <n v="1"/>
    <n v="43.08"/>
    <n v="66"/>
  </r>
  <r>
    <x v="52"/>
    <d v="2022-06-01T00:00:00"/>
    <n v="1"/>
    <n v="233.74"/>
    <n v="262"/>
  </r>
  <r>
    <x v="61"/>
    <d v="2022-06-01T00:00:00"/>
    <n v="1"/>
    <n v="32"/>
    <n v="36"/>
  </r>
  <r>
    <x v="83"/>
    <d v="2022-06-01T00:00:00"/>
    <n v="1"/>
    <n v="136.57"/>
    <n v="215"/>
  </r>
  <r>
    <x v="141"/>
    <d v="2022-06-01T00:00:00"/>
    <n v="1"/>
    <n v="410.25"/>
    <n v="460"/>
  </r>
  <r>
    <x v="27"/>
    <d v="2022-06-01T00:00:00"/>
    <n v="0.39393899999999998"/>
    <n v="105"/>
    <n v="165"/>
  </r>
  <r>
    <x v="27"/>
    <d v="2022-06-01T00:00:00"/>
    <n v="0.60606099999999996"/>
    <n v="105"/>
    <n v="165"/>
  </r>
  <r>
    <x v="4"/>
    <d v="2022-06-01T00:00:00"/>
    <n v="1"/>
    <n v="81.17"/>
    <n v="99"/>
  </r>
  <r>
    <x v="19"/>
    <d v="2022-06-01T00:00:00"/>
    <n v="1"/>
    <n v="102.47"/>
    <n v="121"/>
  </r>
  <r>
    <x v="30"/>
    <d v="2022-06-01T00:00:00"/>
    <n v="1"/>
    <n v="35"/>
    <n v="55"/>
  </r>
  <r>
    <x v="128"/>
    <d v="2022-06-01T00:00:00"/>
    <n v="1"/>
    <n v="5.0999999999999996"/>
    <n v="9"/>
  </r>
  <r>
    <x v="51"/>
    <d v="2022-06-01T00:00:00"/>
    <n v="1"/>
    <n v="45.36"/>
    <n v="71"/>
  </r>
  <r>
    <x v="7"/>
    <d v="2022-06-01T00:00:00"/>
    <n v="1"/>
    <n v="56.98"/>
    <n v="72"/>
  </r>
  <r>
    <x v="21"/>
    <d v="2022-06-01T00:00:00"/>
    <n v="0.2"/>
    <n v="986.58"/>
    <n v="1352"/>
  </r>
  <r>
    <x v="51"/>
    <d v="2022-06-01T00:00:00"/>
    <n v="1"/>
    <n v="44.9"/>
    <n v="69"/>
  </r>
  <r>
    <x v="25"/>
    <d v="2022-06-01T00:00:00"/>
    <n v="1"/>
    <n v="156.19999999999999"/>
    <n v="186"/>
  </r>
  <r>
    <x v="61"/>
    <d v="2022-06-01T00:00:00"/>
    <n v="1"/>
    <n v="30.56"/>
    <n v="36"/>
  </r>
  <r>
    <x v="20"/>
    <d v="2022-06-01T00:00:00"/>
    <n v="1"/>
    <n v="147.55000000000001"/>
    <n v="177"/>
  </r>
  <r>
    <x v="61"/>
    <d v="2022-06-01T00:00:00"/>
    <n v="1"/>
    <n v="30.56"/>
    <n v="36"/>
  </r>
  <r>
    <x v="61"/>
    <d v="2022-06-01T00:00:00"/>
    <n v="1"/>
    <n v="30.56"/>
    <n v="36"/>
  </r>
  <r>
    <x v="21"/>
    <d v="2022-06-01T00:00:00"/>
    <n v="0.2"/>
    <n v="984.92"/>
    <n v="1330"/>
  </r>
  <r>
    <x v="139"/>
    <d v="2022-06-01T00:00:00"/>
    <n v="1"/>
    <n v="51.98"/>
    <n v="81"/>
  </r>
  <r>
    <x v="42"/>
    <d v="2022-06-01T00:00:00"/>
    <n v="1"/>
    <n v="43"/>
    <n v="66"/>
  </r>
  <r>
    <x v="86"/>
    <d v="2022-06-01T00:00:00"/>
    <n v="1"/>
    <n v="35.340000000000003"/>
    <n v="58"/>
  </r>
  <r>
    <x v="134"/>
    <d v="2022-06-01T00:00:00"/>
    <n v="1"/>
    <n v="24.18"/>
    <n v="40"/>
  </r>
  <r>
    <x v="87"/>
    <d v="2022-06-01T00:00:00"/>
    <n v="11"/>
    <n v="6.3"/>
    <n v="9"/>
  </r>
  <r>
    <x v="114"/>
    <d v="2022-06-01T00:00:00"/>
    <n v="3.5714299999999997E-2"/>
    <n v="656.19"/>
    <n v="722"/>
  </r>
  <r>
    <x v="20"/>
    <d v="2022-06-01T00:00:00"/>
    <n v="1"/>
    <n v="147.18"/>
    <n v="176"/>
  </r>
  <r>
    <x v="20"/>
    <d v="2022-06-01T00:00:00"/>
    <n v="1"/>
    <n v="147.18"/>
    <n v="176"/>
  </r>
  <r>
    <x v="122"/>
    <d v="2022-06-01T00:00:00"/>
    <n v="1"/>
    <n v="119.63"/>
    <n v="162"/>
  </r>
  <r>
    <x v="88"/>
    <d v="2022-06-01T00:00:00"/>
    <n v="1"/>
    <n v="71.05"/>
    <n v="101"/>
  </r>
  <r>
    <x v="59"/>
    <d v="2022-06-01T00:00:00"/>
    <n v="1"/>
    <n v="199.07"/>
    <n v="281"/>
  </r>
  <r>
    <x v="123"/>
    <d v="2022-06-01T00:00:00"/>
    <n v="1"/>
    <n v="255.9"/>
    <n v="359"/>
  </r>
  <r>
    <x v="115"/>
    <d v="2022-06-01T00:00:00"/>
    <n v="1"/>
    <n v="132.56"/>
    <n v="187"/>
  </r>
  <r>
    <x v="66"/>
    <d v="2022-06-01T00:00:00"/>
    <n v="1"/>
    <n v="57.59"/>
    <n v="82"/>
  </r>
  <r>
    <x v="61"/>
    <d v="2022-06-01T00:00:00"/>
    <n v="1"/>
    <n v="31.58"/>
    <n v="37"/>
  </r>
  <r>
    <x v="2"/>
    <d v="2022-06-01T00:00:00"/>
    <n v="1"/>
    <n v="88.43"/>
    <n v="106"/>
  </r>
  <r>
    <x v="16"/>
    <d v="2022-06-01T00:00:00"/>
    <n v="1"/>
    <n v="184.57"/>
    <n v="253"/>
  </r>
  <r>
    <x v="120"/>
    <d v="2022-06-01T00:00:00"/>
    <n v="1"/>
    <n v="337.24"/>
    <n v="436"/>
  </r>
  <r>
    <x v="18"/>
    <d v="2022-06-01T00:00:00"/>
    <n v="1"/>
    <n v="109.41"/>
    <n v="123"/>
  </r>
  <r>
    <x v="88"/>
    <d v="2022-06-01T00:00:00"/>
    <n v="1"/>
    <n v="71.05"/>
    <n v="101"/>
  </r>
  <r>
    <x v="130"/>
    <d v="2022-06-01T00:00:00"/>
    <n v="1"/>
    <n v="73.260000000000005"/>
    <n v="91"/>
  </r>
  <r>
    <x v="52"/>
    <d v="2022-06-01T00:00:00"/>
    <n v="1"/>
    <n v="233.74"/>
    <n v="274"/>
  </r>
  <r>
    <x v="42"/>
    <d v="2022-06-01T00:00:00"/>
    <n v="1"/>
    <n v="43.08"/>
    <n v="66"/>
  </r>
  <r>
    <x v="22"/>
    <d v="2022-06-01T00:00:00"/>
    <n v="1"/>
    <n v="102.34"/>
    <n v="157"/>
  </r>
  <r>
    <x v="42"/>
    <d v="2022-06-01T00:00:00"/>
    <n v="1"/>
    <n v="43"/>
    <n v="66"/>
  </r>
  <r>
    <x v="137"/>
    <d v="2022-06-01T00:00:00"/>
    <n v="1"/>
    <n v="12.86"/>
    <n v="15"/>
  </r>
  <r>
    <x v="137"/>
    <d v="2022-06-01T00:00:00"/>
    <n v="1"/>
    <n v="12.86"/>
    <n v="15"/>
  </r>
  <r>
    <x v="119"/>
    <d v="2022-06-01T00:00:00"/>
    <n v="1"/>
    <n v="42.47"/>
    <n v="69"/>
  </r>
  <r>
    <x v="145"/>
    <d v="2022-06-01T00:00:00"/>
    <n v="2"/>
    <n v="97"/>
    <n v="153"/>
  </r>
  <r>
    <x v="145"/>
    <d v="2022-06-01T00:00:00"/>
    <n v="1"/>
    <n v="97"/>
    <n v="153"/>
  </r>
  <r>
    <x v="69"/>
    <d v="2022-06-01T00:00:00"/>
    <n v="1"/>
    <n v="87.52"/>
    <n v="109"/>
  </r>
  <r>
    <x v="121"/>
    <d v="2022-06-01T00:00:00"/>
    <n v="1"/>
    <n v="29.36"/>
    <n v="37"/>
  </r>
  <r>
    <x v="121"/>
    <d v="2022-06-01T00:00:00"/>
    <n v="1"/>
    <n v="29.36"/>
    <n v="37"/>
  </r>
  <r>
    <x v="121"/>
    <d v="2022-06-01T00:00:00"/>
    <n v="1"/>
    <n v="29.36"/>
    <n v="37"/>
  </r>
  <r>
    <x v="121"/>
    <d v="2022-06-01T00:00:00"/>
    <n v="1"/>
    <n v="29.36"/>
    <n v="37"/>
  </r>
  <r>
    <x v="121"/>
    <d v="2022-06-01T00:00:00"/>
    <n v="1"/>
    <n v="29.36"/>
    <n v="37"/>
  </r>
  <r>
    <x v="121"/>
    <d v="2022-06-01T00:00:00"/>
    <n v="1"/>
    <n v="29.36"/>
    <n v="37"/>
  </r>
  <r>
    <x v="121"/>
    <d v="2022-06-01T00:00:00"/>
    <n v="1"/>
    <n v="29.36"/>
    <n v="37"/>
  </r>
  <r>
    <x v="121"/>
    <d v="2022-06-01T00:00:00"/>
    <n v="1"/>
    <n v="27.38"/>
    <n v="34"/>
  </r>
  <r>
    <x v="121"/>
    <d v="2022-06-01T00:00:00"/>
    <n v="1"/>
    <n v="27.38"/>
    <n v="34"/>
  </r>
  <r>
    <x v="121"/>
    <d v="2022-06-01T00:00:00"/>
    <n v="1"/>
    <n v="27.38"/>
    <n v="34"/>
  </r>
  <r>
    <x v="90"/>
    <d v="2022-06-01T00:00:00"/>
    <n v="1"/>
    <n v="131.07"/>
    <n v="206"/>
  </r>
  <r>
    <x v="17"/>
    <d v="2022-06-01T00:00:00"/>
    <n v="1"/>
    <n v="30.3"/>
    <n v="50"/>
  </r>
  <r>
    <x v="119"/>
    <d v="2022-06-01T00:00:00"/>
    <n v="1"/>
    <n v="42.47"/>
    <n v="69"/>
  </r>
  <r>
    <x v="57"/>
    <d v="2022-06-01T00:00:00"/>
    <n v="1"/>
    <n v="25.71"/>
    <n v="31"/>
  </r>
  <r>
    <x v="37"/>
    <d v="2022-06-01T00:00:00"/>
    <n v="1"/>
    <n v="580.15"/>
    <n v="726"/>
  </r>
  <r>
    <x v="20"/>
    <d v="2022-06-01T00:00:00"/>
    <n v="1"/>
    <n v="147.18"/>
    <n v="177"/>
  </r>
  <r>
    <x v="74"/>
    <d v="2022-06-01T00:00:00"/>
    <n v="1"/>
    <n v="148.5"/>
    <n v="177"/>
  </r>
  <r>
    <x v="64"/>
    <d v="2022-06-01T00:00:00"/>
    <n v="1"/>
    <n v="19.989999999999998"/>
    <n v="24"/>
  </r>
  <r>
    <x v="86"/>
    <d v="2022-06-01T00:00:00"/>
    <n v="1"/>
    <n v="35.340000000000003"/>
    <n v="58"/>
  </r>
  <r>
    <x v="91"/>
    <d v="2022-06-01T00:00:00"/>
    <n v="1"/>
    <n v="71.650000000000006"/>
    <n v="107"/>
  </r>
  <r>
    <x v="0"/>
    <d v="2022-06-01T00:00:00"/>
    <n v="1"/>
    <n v="145.53"/>
    <n v="161"/>
  </r>
  <r>
    <x v="0"/>
    <d v="2022-06-01T00:00:00"/>
    <n v="1"/>
    <n v="145.53"/>
    <n v="161"/>
  </r>
  <r>
    <x v="72"/>
    <d v="2022-06-01T00:00:00"/>
    <n v="1"/>
    <n v="58.22"/>
    <n v="73"/>
  </r>
  <r>
    <x v="15"/>
    <d v="2022-06-01T00:00:00"/>
    <n v="1"/>
    <n v="19.82"/>
    <n v="25"/>
  </r>
  <r>
    <x v="2"/>
    <d v="2022-06-01T00:00:00"/>
    <n v="1"/>
    <n v="88.73"/>
    <n v="104"/>
  </r>
  <r>
    <x v="73"/>
    <d v="2022-06-01T00:00:00"/>
    <n v="1"/>
    <n v="69.599999999999994"/>
    <n v="88"/>
  </r>
  <r>
    <x v="25"/>
    <d v="2022-06-01T00:00:00"/>
    <n v="1"/>
    <n v="156.19999999999999"/>
    <n v="186"/>
  </r>
  <r>
    <x v="58"/>
    <d v="2022-06-01T00:00:00"/>
    <n v="1"/>
    <n v="73.3"/>
    <n v="88"/>
  </r>
  <r>
    <x v="58"/>
    <d v="2022-06-01T00:00:00"/>
    <n v="1"/>
    <n v="73.3"/>
    <n v="88"/>
  </r>
  <r>
    <x v="139"/>
    <d v="2022-06-01T00:00:00"/>
    <n v="1"/>
    <n v="51.32"/>
    <n v="73"/>
  </r>
  <r>
    <x v="45"/>
    <d v="2022-06-01T00:00:00"/>
    <n v="1"/>
    <n v="43.55"/>
    <n v="54"/>
  </r>
  <r>
    <x v="133"/>
    <d v="2022-06-01T00:00:00"/>
    <n v="1"/>
    <n v="46.5"/>
    <n v="76"/>
  </r>
  <r>
    <x v="133"/>
    <d v="2022-06-01T00:00:00"/>
    <n v="2"/>
    <n v="46.5"/>
    <n v="76"/>
  </r>
  <r>
    <x v="56"/>
    <d v="2022-06-01T00:00:00"/>
    <n v="1"/>
    <n v="33.39"/>
    <n v="53"/>
  </r>
  <r>
    <x v="0"/>
    <d v="2022-06-01T00:00:00"/>
    <n v="1"/>
    <n v="130.04"/>
    <n v="157"/>
  </r>
  <r>
    <x v="4"/>
    <d v="2022-06-01T00:00:00"/>
    <n v="1"/>
    <n v="81.87"/>
    <n v="99"/>
  </r>
  <r>
    <x v="34"/>
    <d v="2022-06-01T00:00:00"/>
    <n v="3"/>
    <n v="9.9499999999999993"/>
    <n v="17"/>
  </r>
  <r>
    <x v="150"/>
    <d v="2022-06-01T00:00:00"/>
    <n v="0.4"/>
    <n v="495.72"/>
    <n v="754"/>
  </r>
  <r>
    <x v="97"/>
    <d v="2022-06-01T00:00:00"/>
    <n v="1"/>
    <n v="26.11"/>
    <n v="32"/>
  </r>
  <r>
    <x v="107"/>
    <d v="2022-06-01T00:00:00"/>
    <n v="1"/>
    <n v="281.47000000000003"/>
    <n v="334"/>
  </r>
  <r>
    <x v="85"/>
    <d v="2022-06-01T00:00:00"/>
    <n v="1"/>
    <n v="390.04"/>
    <n v="469"/>
  </r>
  <r>
    <x v="57"/>
    <d v="2022-06-01T00:00:00"/>
    <n v="1"/>
    <n v="25.71"/>
    <n v="31"/>
  </r>
  <r>
    <x v="40"/>
    <d v="2022-06-01T00:00:00"/>
    <n v="2"/>
    <n v="28.21"/>
    <n v="49"/>
  </r>
  <r>
    <x v="5"/>
    <d v="2022-06-01T00:00:00"/>
    <n v="1"/>
    <n v="11.67"/>
    <n v="14"/>
  </r>
  <r>
    <x v="140"/>
    <d v="2022-05-31T00:00:00"/>
    <n v="1"/>
    <n v="25.3"/>
    <n v="31"/>
  </r>
  <r>
    <x v="147"/>
    <d v="2022-05-31T00:00:00"/>
    <n v="1"/>
    <n v="111.18"/>
    <n v="139"/>
  </r>
  <r>
    <x v="21"/>
    <d v="2022-05-31T00:00:00"/>
    <n v="0.2"/>
    <n v="986.58"/>
    <n v="1234"/>
  </r>
  <r>
    <x v="40"/>
    <d v="2022-05-31T00:00:00"/>
    <n v="1"/>
    <n v="28.21"/>
    <n v="46"/>
  </r>
  <r>
    <x v="17"/>
    <d v="2022-05-31T00:00:00"/>
    <n v="1"/>
    <n v="30.3"/>
    <n v="49"/>
  </r>
  <r>
    <x v="120"/>
    <d v="2022-05-31T00:00:00"/>
    <n v="1"/>
    <n v="337.24"/>
    <n v="446"/>
  </r>
  <r>
    <x v="19"/>
    <d v="2022-05-31T00:00:00"/>
    <n v="1"/>
    <n v="103.46"/>
    <n v="121"/>
  </r>
  <r>
    <x v="15"/>
    <d v="2022-05-31T00:00:00"/>
    <n v="1"/>
    <n v="19.71"/>
    <n v="25"/>
  </r>
  <r>
    <x v="22"/>
    <d v="2022-05-31T00:00:00"/>
    <n v="1"/>
    <n v="102.34"/>
    <n v="157"/>
  </r>
  <r>
    <x v="1"/>
    <d v="2022-05-31T00:00:00"/>
    <n v="0.4"/>
    <n v="460.59"/>
    <n v="576"/>
  </r>
  <r>
    <x v="88"/>
    <d v="2022-05-31T00:00:00"/>
    <n v="1"/>
    <n v="65.400000000000006"/>
    <n v="93"/>
  </r>
  <r>
    <x v="135"/>
    <d v="2022-05-31T00:00:00"/>
    <n v="1"/>
    <n v="153.78"/>
    <n v="186"/>
  </r>
  <r>
    <x v="105"/>
    <d v="2022-05-31T00:00:00"/>
    <n v="1"/>
    <n v="206.64"/>
    <n v="284"/>
  </r>
  <r>
    <x v="15"/>
    <d v="2022-05-31T00:00:00"/>
    <n v="1"/>
    <n v="20.77"/>
    <n v="26"/>
  </r>
  <r>
    <x v="15"/>
    <d v="2022-05-31T00:00:00"/>
    <n v="1"/>
    <n v="20.77"/>
    <n v="26"/>
  </r>
  <r>
    <x v="15"/>
    <d v="2022-05-31T00:00:00"/>
    <n v="1"/>
    <n v="20.77"/>
    <n v="26"/>
  </r>
  <r>
    <x v="15"/>
    <d v="2022-05-31T00:00:00"/>
    <n v="1"/>
    <n v="20.77"/>
    <n v="26"/>
  </r>
  <r>
    <x v="15"/>
    <d v="2022-05-31T00:00:00"/>
    <n v="1"/>
    <n v="20.77"/>
    <n v="26"/>
  </r>
  <r>
    <x v="15"/>
    <d v="2022-05-31T00:00:00"/>
    <n v="1"/>
    <n v="20.77"/>
    <n v="26"/>
  </r>
  <r>
    <x v="15"/>
    <d v="2022-05-31T00:00:00"/>
    <n v="1"/>
    <n v="20.77"/>
    <n v="26"/>
  </r>
  <r>
    <x v="15"/>
    <d v="2022-05-31T00:00:00"/>
    <n v="1"/>
    <n v="20.77"/>
    <n v="26"/>
  </r>
  <r>
    <x v="15"/>
    <d v="2022-05-31T00:00:00"/>
    <n v="1"/>
    <n v="20.77"/>
    <n v="26"/>
  </r>
  <r>
    <x v="15"/>
    <d v="2022-05-31T00:00:00"/>
    <n v="1"/>
    <n v="20.77"/>
    <n v="26"/>
  </r>
  <r>
    <x v="118"/>
    <d v="2022-05-31T00:00:00"/>
    <n v="1"/>
    <n v="62.79"/>
    <n v="78"/>
  </r>
  <r>
    <x v="4"/>
    <d v="2022-05-31T00:00:00"/>
    <n v="1"/>
    <n v="80.73"/>
    <n v="98"/>
  </r>
  <r>
    <x v="146"/>
    <d v="2022-05-31T00:00:00"/>
    <n v="1"/>
    <n v="23.23"/>
    <n v="29"/>
  </r>
  <r>
    <x v="39"/>
    <d v="2022-05-31T00:00:00"/>
    <n v="1"/>
    <n v="65.010000000000005"/>
    <n v="101"/>
  </r>
  <r>
    <x v="14"/>
    <d v="2022-05-31T00:00:00"/>
    <n v="1"/>
    <n v="80.760000000000005"/>
    <n v="101"/>
  </r>
  <r>
    <x v="109"/>
    <d v="2022-05-31T00:00:00"/>
    <n v="1"/>
    <n v="74.8"/>
    <n v="94"/>
  </r>
  <r>
    <x v="91"/>
    <d v="2022-05-31T00:00:00"/>
    <n v="1"/>
    <n v="70.930000000000007"/>
    <n v="101"/>
  </r>
  <r>
    <x v="51"/>
    <d v="2022-05-31T00:00:00"/>
    <n v="1"/>
    <n v="45.36"/>
    <n v="71"/>
  </r>
  <r>
    <x v="47"/>
    <d v="2022-05-31T00:00:00"/>
    <n v="1"/>
    <n v="205"/>
    <n v="250"/>
  </r>
  <r>
    <x v="134"/>
    <d v="2022-05-31T00:00:00"/>
    <n v="1"/>
    <n v="24.18"/>
    <n v="39"/>
  </r>
  <r>
    <x v="98"/>
    <d v="2022-05-31T00:00:00"/>
    <n v="1"/>
    <n v="46.32"/>
    <n v="72"/>
  </r>
  <r>
    <x v="110"/>
    <d v="2022-05-31T00:00:00"/>
    <n v="1"/>
    <n v="71.02"/>
    <n v="88"/>
  </r>
  <r>
    <x v="87"/>
    <d v="2022-05-31T00:00:00"/>
    <n v="2"/>
    <n v="5.72"/>
    <n v="8"/>
  </r>
  <r>
    <x v="151"/>
    <d v="2022-05-31T00:00:00"/>
    <n v="1"/>
    <n v="251.37"/>
    <n v="335"/>
  </r>
  <r>
    <x v="2"/>
    <d v="2022-05-31T00:00:00"/>
    <n v="1"/>
    <n v="88.43"/>
    <n v="110"/>
  </r>
  <r>
    <x v="2"/>
    <d v="2022-05-31T00:00:00"/>
    <n v="1"/>
    <n v="88.43"/>
    <n v="110"/>
  </r>
  <r>
    <x v="141"/>
    <d v="2022-05-31T00:00:00"/>
    <n v="1"/>
    <n v="408.64"/>
    <n v="458"/>
  </r>
  <r>
    <x v="51"/>
    <d v="2022-05-31T00:00:00"/>
    <n v="1"/>
    <n v="45.36"/>
    <n v="71"/>
  </r>
  <r>
    <x v="2"/>
    <d v="2022-05-31T00:00:00"/>
    <n v="1"/>
    <n v="88.73"/>
    <n v="104"/>
  </r>
  <r>
    <x v="106"/>
    <d v="2022-05-31T00:00:00"/>
    <n v="1"/>
    <n v="163.16"/>
    <n v="196"/>
  </r>
  <r>
    <x v="142"/>
    <d v="2022-05-31T00:00:00"/>
    <n v="1"/>
    <n v="136.94999999999999"/>
    <n v="194"/>
  </r>
  <r>
    <x v="119"/>
    <d v="2022-05-31T00:00:00"/>
    <n v="1"/>
    <n v="42.85"/>
    <n v="70"/>
  </r>
  <r>
    <x v="24"/>
    <d v="2022-05-31T00:00:00"/>
    <n v="1"/>
    <n v="489.61"/>
    <n v="676"/>
  </r>
  <r>
    <x v="115"/>
    <d v="2022-05-31T00:00:00"/>
    <n v="1"/>
    <n v="132.56"/>
    <n v="187"/>
  </r>
  <r>
    <x v="115"/>
    <d v="2022-05-31T00:00:00"/>
    <n v="1"/>
    <n v="132.56"/>
    <n v="187"/>
  </r>
  <r>
    <x v="72"/>
    <d v="2022-05-31T00:00:00"/>
    <n v="1"/>
    <n v="60.94"/>
    <n v="76"/>
  </r>
  <r>
    <x v="23"/>
    <d v="2022-05-31T00:00:00"/>
    <n v="1"/>
    <n v="148.83000000000001"/>
    <n v="207"/>
  </r>
  <r>
    <x v="43"/>
    <d v="2022-05-31T00:00:00"/>
    <n v="1"/>
    <n v="35.200000000000003"/>
    <n v="55"/>
  </r>
  <r>
    <x v="143"/>
    <d v="2022-05-31T00:00:00"/>
    <n v="1"/>
    <n v="37.75"/>
    <n v="58"/>
  </r>
  <r>
    <x v="1"/>
    <d v="2022-05-31T00:00:00"/>
    <n v="1"/>
    <n v="427.35"/>
    <n v="535"/>
  </r>
  <r>
    <x v="142"/>
    <d v="2022-05-31T00:00:00"/>
    <n v="1"/>
    <n v="136.94999999999999"/>
    <n v="194"/>
  </r>
  <r>
    <x v="117"/>
    <d v="2022-05-31T00:00:00"/>
    <n v="1"/>
    <n v="20.48"/>
    <n v="25"/>
  </r>
  <r>
    <x v="44"/>
    <d v="2022-05-31T00:00:00"/>
    <n v="1"/>
    <n v="15.53"/>
    <n v="19"/>
  </r>
  <r>
    <x v="95"/>
    <d v="2022-05-31T00:00:00"/>
    <n v="1"/>
    <n v="37.46"/>
    <n v="57"/>
  </r>
  <r>
    <x v="65"/>
    <d v="2022-05-31T00:00:00"/>
    <n v="1"/>
    <n v="164.67"/>
    <n v="210"/>
  </r>
  <r>
    <x v="36"/>
    <d v="2022-05-31T00:00:00"/>
    <n v="2"/>
    <n v="10.9"/>
    <n v="18"/>
  </r>
  <r>
    <x v="139"/>
    <d v="2022-05-31T00:00:00"/>
    <n v="1"/>
    <n v="75.260000000000005"/>
    <n v="86.2"/>
  </r>
  <r>
    <x v="139"/>
    <d v="2022-05-31T00:00:00"/>
    <n v="1"/>
    <n v="75.260000000000005"/>
    <n v="86.2"/>
  </r>
  <r>
    <x v="123"/>
    <d v="2022-05-31T00:00:00"/>
    <n v="1"/>
    <n v="351.41"/>
    <n v="370.17"/>
  </r>
  <r>
    <x v="40"/>
    <d v="2022-05-31T00:00:00"/>
    <n v="1"/>
    <n v="28.21"/>
    <n v="46"/>
  </r>
  <r>
    <x v="17"/>
    <d v="2022-05-31T00:00:00"/>
    <n v="1"/>
    <n v="30.3"/>
    <n v="49"/>
  </r>
  <r>
    <x v="76"/>
    <d v="2022-05-31T00:00:00"/>
    <n v="1"/>
    <n v="43.63"/>
    <n v="54"/>
  </r>
  <r>
    <x v="68"/>
    <d v="2022-05-31T00:00:00"/>
    <n v="1"/>
    <n v="8.01"/>
    <n v="13"/>
  </r>
  <r>
    <x v="18"/>
    <d v="2022-05-31T00:00:00"/>
    <n v="1"/>
    <n v="109.41"/>
    <n v="123"/>
  </r>
  <r>
    <x v="51"/>
    <d v="2022-05-31T00:00:00"/>
    <n v="1"/>
    <n v="44.56"/>
    <n v="68"/>
  </r>
  <r>
    <x v="50"/>
    <d v="2022-05-31T00:00:00"/>
    <n v="1"/>
    <n v="77.510000000000005"/>
    <n v="95"/>
  </r>
  <r>
    <x v="51"/>
    <d v="2022-05-31T00:00:00"/>
    <n v="1"/>
    <n v="43.97"/>
    <n v="69"/>
  </r>
  <r>
    <x v="51"/>
    <d v="2022-05-31T00:00:00"/>
    <n v="1"/>
    <n v="45.36"/>
    <n v="71"/>
  </r>
  <r>
    <x v="18"/>
    <d v="2022-05-31T00:00:00"/>
    <n v="1"/>
    <n v="109.41"/>
    <n v="123"/>
  </r>
  <r>
    <x v="21"/>
    <d v="2022-05-31T00:00:00"/>
    <n v="0.5"/>
    <n v="984.92"/>
    <n v="1301"/>
  </r>
  <r>
    <x v="43"/>
    <d v="2022-05-31T00:00:00"/>
    <n v="1"/>
    <n v="39"/>
    <n v="60"/>
  </r>
  <r>
    <x v="128"/>
    <d v="2022-05-31T00:00:00"/>
    <n v="10"/>
    <n v="6.13"/>
    <n v="10"/>
  </r>
  <r>
    <x v="136"/>
    <d v="2022-05-31T00:00:00"/>
    <n v="4"/>
    <n v="12.19"/>
    <n v="20"/>
  </r>
  <r>
    <x v="23"/>
    <d v="2022-05-31T00:00:00"/>
    <n v="1"/>
    <n v="141.08000000000001"/>
    <n v="205"/>
  </r>
  <r>
    <x v="88"/>
    <d v="2022-05-31T00:00:00"/>
    <n v="1"/>
    <n v="71.05"/>
    <n v="106"/>
  </r>
  <r>
    <x v="123"/>
    <d v="2022-05-31T00:00:00"/>
    <n v="1"/>
    <n v="270.58999999999997"/>
    <n v="379"/>
  </r>
  <r>
    <x v="38"/>
    <d v="2022-05-31T00:00:00"/>
    <n v="1"/>
    <n v="133.71"/>
    <n v="164"/>
  </r>
  <r>
    <x v="2"/>
    <d v="2022-05-31T00:00:00"/>
    <n v="1"/>
    <n v="88.43"/>
    <n v="110"/>
  </r>
  <r>
    <x v="2"/>
    <d v="2022-05-31T00:00:00"/>
    <n v="1"/>
    <n v="88.43"/>
    <n v="110"/>
  </r>
  <r>
    <x v="2"/>
    <d v="2022-05-31T00:00:00"/>
    <n v="1"/>
    <n v="88.43"/>
    <n v="110"/>
  </r>
  <r>
    <x v="4"/>
    <d v="2022-05-31T00:00:00"/>
    <n v="1"/>
    <n v="80.69"/>
    <n v="98"/>
  </r>
  <r>
    <x v="15"/>
    <d v="2022-05-31T00:00:00"/>
    <n v="1"/>
    <n v="19.82"/>
    <n v="25"/>
  </r>
  <r>
    <x v="15"/>
    <d v="2022-05-31T00:00:00"/>
    <n v="1"/>
    <n v="19.82"/>
    <n v="25"/>
  </r>
  <r>
    <x v="45"/>
    <d v="2022-05-31T00:00:00"/>
    <n v="1"/>
    <n v="43.86"/>
    <n v="55"/>
  </r>
  <r>
    <x v="29"/>
    <d v="2022-05-31T00:00:00"/>
    <n v="1"/>
    <n v="196.02"/>
    <n v="226"/>
  </r>
  <r>
    <x v="20"/>
    <d v="2022-05-31T00:00:00"/>
    <n v="1"/>
    <n v="147.18"/>
    <n v="177"/>
  </r>
  <r>
    <x v="83"/>
    <d v="2022-05-31T00:00:00"/>
    <n v="0.5"/>
    <n v="136.57"/>
    <n v="215"/>
  </r>
  <r>
    <x v="40"/>
    <d v="2022-05-31T00:00:00"/>
    <n v="1"/>
    <n v="25.25"/>
    <n v="41"/>
  </r>
  <r>
    <x v="136"/>
    <d v="2022-05-31T00:00:00"/>
    <n v="1"/>
    <n v="12.19"/>
    <n v="20"/>
  </r>
  <r>
    <x v="14"/>
    <d v="2022-05-31T00:00:00"/>
    <n v="1"/>
    <n v="81.760000000000005"/>
    <n v="102"/>
  </r>
  <r>
    <x v="90"/>
    <d v="2022-05-31T00:00:00"/>
    <n v="0.5"/>
    <n v="103.49"/>
    <n v="161"/>
  </r>
  <r>
    <x v="153"/>
    <d v="2022-05-31T00:00:00"/>
    <n v="1"/>
    <n v="23.8"/>
    <n v="31"/>
  </r>
  <r>
    <x v="153"/>
    <d v="2022-05-31T00:00:00"/>
    <n v="1"/>
    <n v="23.8"/>
    <n v="31"/>
  </r>
  <r>
    <x v="153"/>
    <d v="2022-05-31T00:00:00"/>
    <n v="1"/>
    <n v="23.8"/>
    <n v="31"/>
  </r>
  <r>
    <x v="153"/>
    <d v="2022-05-31T00:00:00"/>
    <n v="1"/>
    <n v="23.8"/>
    <n v="31"/>
  </r>
  <r>
    <x v="153"/>
    <d v="2022-05-31T00:00:00"/>
    <n v="1"/>
    <n v="23.8"/>
    <n v="31"/>
  </r>
  <r>
    <x v="153"/>
    <d v="2022-05-31T00:00:00"/>
    <n v="1"/>
    <n v="23.8"/>
    <n v="31"/>
  </r>
  <r>
    <x v="102"/>
    <d v="2022-05-31T00:00:00"/>
    <n v="1"/>
    <n v="71"/>
    <n v="88"/>
  </r>
  <r>
    <x v="102"/>
    <d v="2022-05-31T00:00:00"/>
    <n v="1"/>
    <n v="71"/>
    <n v="88"/>
  </r>
  <r>
    <x v="90"/>
    <d v="2022-05-31T00:00:00"/>
    <n v="1"/>
    <n v="131.07"/>
    <n v="206"/>
  </r>
  <r>
    <x v="117"/>
    <d v="2022-05-31T00:00:00"/>
    <n v="1"/>
    <n v="20.48"/>
    <n v="25"/>
  </r>
  <r>
    <x v="117"/>
    <d v="2022-05-31T00:00:00"/>
    <n v="1"/>
    <n v="20.48"/>
    <n v="25"/>
  </r>
  <r>
    <x v="118"/>
    <d v="2022-05-31T00:00:00"/>
    <n v="1"/>
    <n v="62.46"/>
    <n v="80"/>
  </r>
  <r>
    <x v="118"/>
    <d v="2022-05-31T00:00:00"/>
    <n v="1"/>
    <n v="62.46"/>
    <n v="80"/>
  </r>
  <r>
    <x v="79"/>
    <d v="2022-05-31T00:00:00"/>
    <n v="1"/>
    <n v="153.22999999999999"/>
    <n v="177"/>
  </r>
  <r>
    <x v="128"/>
    <d v="2022-05-31T00:00:00"/>
    <n v="3"/>
    <n v="5.0999999999999996"/>
    <n v="9"/>
  </r>
  <r>
    <x v="14"/>
    <d v="2022-05-31T00:00:00"/>
    <n v="1"/>
    <n v="81.290000000000006"/>
    <n v="103"/>
  </r>
  <r>
    <x v="14"/>
    <d v="2022-05-31T00:00:00"/>
    <n v="1"/>
    <n v="81.290000000000006"/>
    <n v="103"/>
  </r>
  <r>
    <x v="20"/>
    <d v="2022-05-31T00:00:00"/>
    <n v="1"/>
    <n v="148.52000000000001"/>
    <n v="178"/>
  </r>
  <r>
    <x v="83"/>
    <d v="2022-05-31T00:00:00"/>
    <n v="0.5"/>
    <n v="136.57"/>
    <n v="215"/>
  </r>
  <r>
    <x v="146"/>
    <d v="2022-05-31T00:00:00"/>
    <n v="1"/>
    <n v="23.23"/>
    <n v="29"/>
  </r>
  <r>
    <x v="90"/>
    <d v="2022-05-31T00:00:00"/>
    <n v="1"/>
    <n v="129.4"/>
    <n v="204"/>
  </r>
  <r>
    <x v="27"/>
    <d v="2022-05-31T00:00:00"/>
    <n v="1"/>
    <n v="149.72999999999999"/>
    <n v="236"/>
  </r>
  <r>
    <x v="9"/>
    <d v="2022-05-31T00:00:00"/>
    <n v="0.2"/>
    <n v="445.39"/>
    <n v="602"/>
  </r>
  <r>
    <x v="10"/>
    <d v="2022-05-31T00:00:00"/>
    <n v="1"/>
    <n v="37.85"/>
    <n v="62"/>
  </r>
  <r>
    <x v="30"/>
    <d v="2022-05-31T00:00:00"/>
    <n v="1"/>
    <n v="35"/>
    <n v="55"/>
  </r>
  <r>
    <x v="30"/>
    <d v="2022-05-31T00:00:00"/>
    <n v="1"/>
    <n v="35"/>
    <n v="55"/>
  </r>
  <r>
    <x v="30"/>
    <d v="2022-05-31T00:00:00"/>
    <n v="1"/>
    <n v="35"/>
    <n v="55"/>
  </r>
  <r>
    <x v="26"/>
    <d v="2022-05-31T00:00:00"/>
    <n v="1"/>
    <n v="14.4"/>
    <n v="19"/>
  </r>
  <r>
    <x v="26"/>
    <d v="2022-05-31T00:00:00"/>
    <n v="1"/>
    <n v="14.4"/>
    <n v="19"/>
  </r>
  <r>
    <x v="26"/>
    <d v="2022-05-31T00:00:00"/>
    <n v="1"/>
    <n v="14.4"/>
    <n v="19"/>
  </r>
  <r>
    <x v="26"/>
    <d v="2022-05-31T00:00:00"/>
    <n v="1"/>
    <n v="14.4"/>
    <n v="19"/>
  </r>
  <r>
    <x v="26"/>
    <d v="2022-05-31T00:00:00"/>
    <n v="1"/>
    <n v="14.4"/>
    <n v="19"/>
  </r>
  <r>
    <x v="44"/>
    <d v="2022-05-31T00:00:00"/>
    <n v="1"/>
    <n v="15.82"/>
    <n v="20"/>
  </r>
  <r>
    <x v="68"/>
    <d v="2022-05-31T00:00:00"/>
    <n v="1"/>
    <n v="8.07"/>
    <n v="14"/>
  </r>
  <r>
    <x v="135"/>
    <d v="2022-05-31T00:00:00"/>
    <n v="1"/>
    <n v="155.13"/>
    <n v="187"/>
  </r>
  <r>
    <x v="73"/>
    <d v="2022-05-31T00:00:00"/>
    <n v="1"/>
    <n v="69.290000000000006"/>
    <n v="88"/>
  </r>
  <r>
    <x v="2"/>
    <d v="2022-05-31T00:00:00"/>
    <n v="1"/>
    <n v="89.27"/>
    <n v="111"/>
  </r>
  <r>
    <x v="88"/>
    <d v="2022-05-31T00:00:00"/>
    <n v="1"/>
    <n v="71.05"/>
    <n v="101"/>
  </r>
  <r>
    <x v="4"/>
    <d v="2022-05-31T00:00:00"/>
    <n v="1"/>
    <n v="81.17"/>
    <n v="99"/>
  </r>
  <r>
    <x v="4"/>
    <d v="2022-05-31T00:00:00"/>
    <n v="1"/>
    <n v="81.87"/>
    <n v="99"/>
  </r>
  <r>
    <x v="94"/>
    <d v="2022-05-31T00:00:00"/>
    <n v="1"/>
    <n v="64.25"/>
    <n v="76"/>
  </r>
  <r>
    <x v="13"/>
    <d v="2022-05-31T00:00:00"/>
    <n v="1"/>
    <n v="44"/>
    <n v="69"/>
  </r>
  <r>
    <x v="87"/>
    <d v="2022-05-31T00:00:00"/>
    <n v="6"/>
    <n v="5.72"/>
    <n v="8"/>
  </r>
  <r>
    <x v="85"/>
    <d v="2022-05-31T00:00:00"/>
    <n v="1"/>
    <n v="397.02"/>
    <n v="489"/>
  </r>
  <r>
    <x v="88"/>
    <d v="2022-05-31T00:00:00"/>
    <n v="1"/>
    <n v="65.400000000000006"/>
    <n v="93"/>
  </r>
  <r>
    <x v="115"/>
    <d v="2022-05-31T00:00:00"/>
    <n v="1"/>
    <n v="132.07"/>
    <n v="181"/>
  </r>
  <r>
    <x v="73"/>
    <d v="2022-05-31T00:00:00"/>
    <n v="1"/>
    <n v="69.84"/>
    <n v="88"/>
  </r>
  <r>
    <x v="68"/>
    <d v="2022-05-31T00:00:00"/>
    <n v="1"/>
    <n v="8.01"/>
    <n v="13"/>
  </r>
  <r>
    <x v="83"/>
    <d v="2022-05-31T00:00:00"/>
    <n v="1"/>
    <n v="132"/>
    <n v="202"/>
  </r>
  <r>
    <x v="128"/>
    <d v="2022-05-31T00:00:00"/>
    <n v="3"/>
    <n v="6.19"/>
    <n v="11"/>
  </r>
  <r>
    <x v="23"/>
    <d v="2022-05-31T00:00:00"/>
    <n v="1"/>
    <n v="148.91"/>
    <n v="204"/>
  </r>
  <r>
    <x v="20"/>
    <d v="2022-05-31T00:00:00"/>
    <n v="1"/>
    <n v="147.18"/>
    <n v="176"/>
  </r>
  <r>
    <x v="7"/>
    <d v="2022-05-31T00:00:00"/>
    <n v="1"/>
    <n v="56.98"/>
    <n v="72"/>
  </r>
  <r>
    <x v="93"/>
    <d v="2022-05-31T00:00:00"/>
    <n v="1"/>
    <n v="111.21"/>
    <n v="134"/>
  </r>
  <r>
    <x v="122"/>
    <d v="2022-05-31T00:00:00"/>
    <n v="1"/>
    <n v="119.39"/>
    <n v="164"/>
  </r>
  <r>
    <x v="19"/>
    <d v="2022-05-31T00:00:00"/>
    <n v="1"/>
    <n v="103.46"/>
    <n v="121"/>
  </r>
  <r>
    <x v="97"/>
    <d v="2022-05-31T00:00:00"/>
    <n v="1"/>
    <n v="26.11"/>
    <n v="32"/>
  </r>
  <r>
    <x v="58"/>
    <d v="2022-05-31T00:00:00"/>
    <n v="1"/>
    <n v="71.45"/>
    <n v="90"/>
  </r>
  <r>
    <x v="99"/>
    <d v="2022-05-31T00:00:00"/>
    <n v="1"/>
    <n v="45.55"/>
    <n v="57"/>
  </r>
  <r>
    <x v="99"/>
    <d v="2022-05-31T00:00:00"/>
    <n v="1"/>
    <n v="45.55"/>
    <n v="57"/>
  </r>
  <r>
    <x v="0"/>
    <d v="2022-05-31T00:00:00"/>
    <n v="1"/>
    <n v="130.75"/>
    <n v="160"/>
  </r>
  <r>
    <x v="86"/>
    <d v="2022-05-31T00:00:00"/>
    <n v="1"/>
    <n v="37.340000000000003"/>
    <n v="65"/>
  </r>
  <r>
    <x v="29"/>
    <d v="2022-05-31T00:00:00"/>
    <n v="1"/>
    <n v="202.19"/>
    <n v="233"/>
  </r>
  <r>
    <x v="114"/>
    <d v="2022-05-31T00:00:00"/>
    <n v="0.14285700000000001"/>
    <n v="628.24"/>
    <n v="694"/>
  </r>
  <r>
    <x v="82"/>
    <d v="2022-05-31T00:00:00"/>
    <n v="1"/>
    <n v="323.66000000000003"/>
    <n v="370"/>
  </r>
  <r>
    <x v="153"/>
    <d v="2022-05-31T00:00:00"/>
    <n v="1"/>
    <n v="23.94"/>
    <n v="32"/>
  </r>
  <r>
    <x v="153"/>
    <d v="2022-05-31T00:00:00"/>
    <n v="1"/>
    <n v="23.94"/>
    <n v="32"/>
  </r>
  <r>
    <x v="153"/>
    <d v="2022-05-31T00:00:00"/>
    <n v="1"/>
    <n v="23.94"/>
    <n v="32"/>
  </r>
  <r>
    <x v="153"/>
    <d v="2022-05-31T00:00:00"/>
    <n v="1"/>
    <n v="23.94"/>
    <n v="32"/>
  </r>
  <r>
    <x v="153"/>
    <d v="2022-05-31T00:00:00"/>
    <n v="1"/>
    <n v="23.94"/>
    <n v="32"/>
  </r>
  <r>
    <x v="153"/>
    <d v="2022-05-31T00:00:00"/>
    <n v="1"/>
    <n v="23.94"/>
    <n v="32"/>
  </r>
  <r>
    <x v="153"/>
    <d v="2022-05-31T00:00:00"/>
    <n v="1"/>
    <n v="23.94"/>
    <n v="32"/>
  </r>
  <r>
    <x v="153"/>
    <d v="2022-05-31T00:00:00"/>
    <n v="1"/>
    <n v="23.94"/>
    <n v="32"/>
  </r>
  <r>
    <x v="153"/>
    <d v="2022-05-31T00:00:00"/>
    <n v="1"/>
    <n v="23.94"/>
    <n v="32"/>
  </r>
  <r>
    <x v="153"/>
    <d v="2022-05-31T00:00:00"/>
    <n v="1"/>
    <n v="23.94"/>
    <n v="32"/>
  </r>
  <r>
    <x v="83"/>
    <d v="2022-05-31T00:00:00"/>
    <n v="1"/>
    <n v="128.1"/>
    <n v="199"/>
  </r>
  <r>
    <x v="110"/>
    <d v="2022-05-31T00:00:00"/>
    <n v="1"/>
    <n v="71.239999999999995"/>
    <n v="88"/>
  </r>
  <r>
    <x v="18"/>
    <d v="2022-05-31T00:00:00"/>
    <n v="1"/>
    <n v="110.21"/>
    <n v="124"/>
  </r>
  <r>
    <x v="40"/>
    <d v="2022-05-31T00:00:00"/>
    <n v="4"/>
    <n v="51.54"/>
    <n v="54"/>
  </r>
  <r>
    <x v="40"/>
    <d v="2022-05-31T00:00:00"/>
    <n v="6"/>
    <n v="51.54"/>
    <n v="54"/>
  </r>
  <r>
    <x v="24"/>
    <d v="2022-05-31T00:00:00"/>
    <n v="1"/>
    <n v="489.61"/>
    <n v="676"/>
  </r>
  <r>
    <x v="109"/>
    <d v="2022-05-31T00:00:00"/>
    <n v="1"/>
    <n v="74.8"/>
    <n v="92"/>
  </r>
  <r>
    <x v="106"/>
    <d v="2022-05-31T00:00:00"/>
    <n v="1"/>
    <n v="170"/>
    <n v="203"/>
  </r>
  <r>
    <x v="0"/>
    <d v="2022-05-31T00:00:00"/>
    <n v="1"/>
    <n v="130.43"/>
    <n v="150"/>
  </r>
  <r>
    <x v="0"/>
    <d v="2022-05-31T00:00:00"/>
    <n v="1"/>
    <n v="130.43"/>
    <n v="150"/>
  </r>
  <r>
    <x v="0"/>
    <d v="2022-05-31T00:00:00"/>
    <n v="1"/>
    <n v="130.43"/>
    <n v="150"/>
  </r>
  <r>
    <x v="76"/>
    <d v="2022-05-31T00:00:00"/>
    <n v="1"/>
    <n v="42.48"/>
    <n v="52"/>
  </r>
  <r>
    <x v="2"/>
    <d v="2022-05-31T00:00:00"/>
    <n v="1"/>
    <n v="88.73"/>
    <n v="106"/>
  </r>
  <r>
    <x v="2"/>
    <d v="2022-05-31T00:00:00"/>
    <n v="1"/>
    <n v="88.73"/>
    <n v="106"/>
  </r>
  <r>
    <x v="144"/>
    <d v="2022-05-31T00:00:00"/>
    <n v="1"/>
    <n v="199.99"/>
    <n v="270"/>
  </r>
  <r>
    <x v="42"/>
    <d v="2022-05-31T00:00:00"/>
    <n v="1"/>
    <n v="43"/>
    <n v="66"/>
  </r>
  <r>
    <x v="146"/>
    <d v="2022-05-31T00:00:00"/>
    <n v="1"/>
    <n v="23.23"/>
    <n v="29"/>
  </r>
  <r>
    <x v="128"/>
    <d v="2022-05-31T00:00:00"/>
    <n v="4"/>
    <n v="5.0999999999999996"/>
    <n v="9"/>
  </r>
  <r>
    <x v="30"/>
    <d v="2022-05-31T00:00:00"/>
    <n v="1"/>
    <n v="35"/>
    <n v="55"/>
  </r>
  <r>
    <x v="30"/>
    <d v="2022-05-31T00:00:00"/>
    <n v="1"/>
    <n v="35"/>
    <n v="55"/>
  </r>
  <r>
    <x v="30"/>
    <d v="2022-05-31T00:00:00"/>
    <n v="1"/>
    <n v="35"/>
    <n v="55"/>
  </r>
  <r>
    <x v="20"/>
    <d v="2022-05-31T00:00:00"/>
    <n v="1"/>
    <n v="147.18"/>
    <n v="177"/>
  </r>
  <r>
    <x v="100"/>
    <d v="2022-05-31T00:00:00"/>
    <n v="1"/>
    <n v="26.9"/>
    <n v="44"/>
  </r>
  <r>
    <x v="134"/>
    <d v="2022-05-31T00:00:00"/>
    <n v="1"/>
    <n v="24.18"/>
    <n v="40"/>
  </r>
  <r>
    <x v="138"/>
    <d v="2022-05-31T00:00:00"/>
    <n v="1"/>
    <n v="50.86"/>
    <n v="78"/>
  </r>
  <r>
    <x v="129"/>
    <d v="2022-05-31T00:00:00"/>
    <n v="1"/>
    <n v="33"/>
    <n v="51"/>
  </r>
  <r>
    <x v="129"/>
    <d v="2022-05-31T00:00:00"/>
    <n v="1"/>
    <n v="33"/>
    <n v="51"/>
  </r>
  <r>
    <x v="73"/>
    <d v="2022-05-31T00:00:00"/>
    <n v="1"/>
    <n v="69.599999999999994"/>
    <n v="90"/>
  </r>
  <r>
    <x v="117"/>
    <d v="2022-05-31T00:00:00"/>
    <n v="1"/>
    <n v="20.75"/>
    <n v="25"/>
  </r>
  <r>
    <x v="117"/>
    <d v="2022-05-31T00:00:00"/>
    <n v="1"/>
    <n v="20.75"/>
    <n v="25"/>
  </r>
  <r>
    <x v="17"/>
    <d v="2022-05-31T00:00:00"/>
    <n v="1"/>
    <n v="30.3"/>
    <n v="49"/>
  </r>
  <r>
    <x v="23"/>
    <d v="2022-05-31T00:00:00"/>
    <n v="1"/>
    <n v="150.03"/>
    <n v="212"/>
  </r>
  <r>
    <x v="61"/>
    <d v="2022-05-31T00:00:00"/>
    <n v="1"/>
    <n v="30.56"/>
    <n v="36"/>
  </r>
  <r>
    <x v="61"/>
    <d v="2022-05-31T00:00:00"/>
    <n v="1"/>
    <n v="30.56"/>
    <n v="36"/>
  </r>
  <r>
    <x v="106"/>
    <d v="2022-05-31T00:00:00"/>
    <n v="1"/>
    <n v="163.16"/>
    <n v="196"/>
  </r>
  <r>
    <x v="18"/>
    <d v="2022-05-31T00:00:00"/>
    <n v="1"/>
    <n v="109.41"/>
    <n v="123"/>
  </r>
  <r>
    <x v="56"/>
    <d v="2022-05-31T00:00:00"/>
    <n v="1"/>
    <n v="32.909999999999997"/>
    <n v="51"/>
  </r>
  <r>
    <x v="124"/>
    <d v="2022-05-31T00:00:00"/>
    <n v="0.04"/>
    <n v="493.92"/>
    <n v="595"/>
  </r>
  <r>
    <x v="25"/>
    <d v="2022-05-31T00:00:00"/>
    <n v="1"/>
    <n v="155.94"/>
    <n v="185"/>
  </r>
  <r>
    <x v="4"/>
    <d v="2022-05-31T00:00:00"/>
    <n v="1"/>
    <n v="80.69"/>
    <n v="100"/>
  </r>
  <r>
    <x v="109"/>
    <d v="2022-05-31T00:00:00"/>
    <n v="1"/>
    <n v="74.8"/>
    <n v="92"/>
  </r>
  <r>
    <x v="126"/>
    <d v="2022-05-31T00:00:00"/>
    <n v="1"/>
    <n v="350.97"/>
    <n v="404"/>
  </r>
  <r>
    <x v="26"/>
    <d v="2022-05-31T00:00:00"/>
    <n v="1"/>
    <n v="14.4"/>
    <n v="19"/>
  </r>
  <r>
    <x v="26"/>
    <d v="2022-05-31T00:00:00"/>
    <n v="1"/>
    <n v="14.4"/>
    <n v="19"/>
  </r>
  <r>
    <x v="45"/>
    <d v="2022-05-31T00:00:00"/>
    <n v="1"/>
    <n v="43.55"/>
    <n v="54"/>
  </r>
  <r>
    <x v="111"/>
    <d v="2022-05-31T00:00:00"/>
    <n v="1"/>
    <n v="105.79"/>
    <n v="127"/>
  </r>
  <r>
    <x v="84"/>
    <d v="2022-05-31T00:00:00"/>
    <n v="1"/>
    <n v="86.27"/>
    <n v="123"/>
  </r>
  <r>
    <x v="133"/>
    <d v="2022-05-31T00:00:00"/>
    <n v="1"/>
    <n v="46.5"/>
    <n v="75"/>
  </r>
  <r>
    <x v="81"/>
    <d v="2022-05-31T00:00:00"/>
    <n v="1"/>
    <n v="47.4"/>
    <n v="82"/>
  </r>
  <r>
    <x v="68"/>
    <d v="2022-05-31T00:00:00"/>
    <n v="1"/>
    <n v="8.01"/>
    <n v="13"/>
  </r>
  <r>
    <x v="60"/>
    <d v="2022-05-31T00:00:00"/>
    <n v="1"/>
    <n v="187.36"/>
    <n v="220"/>
  </r>
  <r>
    <x v="27"/>
    <d v="2022-05-31T00:00:00"/>
    <n v="1"/>
    <n v="105"/>
    <n v="165"/>
  </r>
  <r>
    <x v="117"/>
    <d v="2022-05-31T00:00:00"/>
    <n v="1"/>
    <n v="20.48"/>
    <n v="25"/>
  </r>
  <r>
    <x v="117"/>
    <d v="2022-05-31T00:00:00"/>
    <n v="1"/>
    <n v="20.48"/>
    <n v="25"/>
  </r>
  <r>
    <x v="44"/>
    <d v="2022-05-31T00:00:00"/>
    <n v="1"/>
    <n v="15.53"/>
    <n v="19"/>
  </r>
  <r>
    <x v="31"/>
    <d v="2022-05-31T00:00:00"/>
    <n v="1"/>
    <n v="22.05"/>
    <n v="28"/>
  </r>
  <r>
    <x v="31"/>
    <d v="2022-05-31T00:00:00"/>
    <n v="1"/>
    <n v="22.05"/>
    <n v="28"/>
  </r>
  <r>
    <x v="31"/>
    <d v="2022-05-31T00:00:00"/>
    <n v="1"/>
    <n v="22.05"/>
    <n v="28"/>
  </r>
  <r>
    <x v="31"/>
    <d v="2022-05-31T00:00:00"/>
    <n v="1"/>
    <n v="22.05"/>
    <n v="28"/>
  </r>
  <r>
    <x v="31"/>
    <d v="2022-05-31T00:00:00"/>
    <n v="1"/>
    <n v="22.05"/>
    <n v="28"/>
  </r>
  <r>
    <x v="145"/>
    <d v="2022-05-31T00:00:00"/>
    <n v="1"/>
    <n v="94.8"/>
    <n v="147"/>
  </r>
  <r>
    <x v="88"/>
    <d v="2022-05-31T00:00:00"/>
    <n v="1"/>
    <n v="71.05"/>
    <n v="104"/>
  </r>
  <r>
    <x v="104"/>
    <d v="2022-05-31T00:00:00"/>
    <n v="1"/>
    <n v="87.78"/>
    <n v="99"/>
  </r>
  <r>
    <x v="104"/>
    <d v="2022-05-31T00:00:00"/>
    <n v="1"/>
    <n v="87.78"/>
    <n v="99"/>
  </r>
  <r>
    <x v="104"/>
    <d v="2022-05-31T00:00:00"/>
    <n v="1"/>
    <n v="87.78"/>
    <n v="99"/>
  </r>
  <r>
    <x v="45"/>
    <d v="2022-05-31T00:00:00"/>
    <n v="1"/>
    <n v="45.74"/>
    <n v="56"/>
  </r>
  <r>
    <x v="45"/>
    <d v="2022-05-31T00:00:00"/>
    <n v="1"/>
    <n v="45.74"/>
    <n v="56"/>
  </r>
  <r>
    <x v="90"/>
    <d v="2022-05-31T00:00:00"/>
    <n v="0.1"/>
    <n v="129.69"/>
    <n v="204"/>
  </r>
  <r>
    <x v="41"/>
    <d v="2022-05-31T00:00:00"/>
    <n v="1"/>
    <n v="19.7"/>
    <n v="24"/>
  </r>
  <r>
    <x v="18"/>
    <d v="2022-05-31T00:00:00"/>
    <n v="1"/>
    <n v="109.41"/>
    <n v="123"/>
  </r>
  <r>
    <x v="34"/>
    <d v="2022-05-31T00:00:00"/>
    <n v="4"/>
    <n v="9.9499999999999993"/>
    <n v="17"/>
  </r>
  <r>
    <x v="59"/>
    <d v="2022-05-31T00:00:00"/>
    <n v="1"/>
    <n v="198.66"/>
    <n v="273"/>
  </r>
  <r>
    <x v="60"/>
    <d v="2022-05-31T00:00:00"/>
    <n v="1"/>
    <n v="184.45"/>
    <n v="216"/>
  </r>
  <r>
    <x v="60"/>
    <d v="2022-05-31T00:00:00"/>
    <n v="1"/>
    <n v="176.77"/>
    <n v="221"/>
  </r>
  <r>
    <x v="24"/>
    <d v="2022-05-31T00:00:00"/>
    <n v="1"/>
    <n v="481.17"/>
    <n v="621"/>
  </r>
  <r>
    <x v="114"/>
    <d v="2022-05-31T00:00:00"/>
    <n v="3.5714299999999997E-2"/>
    <n v="632.12"/>
    <n v="698"/>
  </r>
  <r>
    <x v="27"/>
    <d v="2022-05-31T00:00:00"/>
    <n v="1"/>
    <n v="105"/>
    <n v="165"/>
  </r>
  <r>
    <x v="86"/>
    <d v="2022-05-31T00:00:00"/>
    <n v="1"/>
    <n v="34.65"/>
    <n v="57"/>
  </r>
  <r>
    <x v="154"/>
    <d v="2022-05-31T00:00:00"/>
    <n v="1"/>
    <n v="52.11"/>
    <n v="65"/>
  </r>
  <r>
    <x v="141"/>
    <d v="2022-05-31T00:00:00"/>
    <n v="1"/>
    <n v="406.36"/>
    <n v="456"/>
  </r>
  <r>
    <x v="122"/>
    <d v="2022-05-31T00:00:00"/>
    <n v="1"/>
    <n v="119.8"/>
    <n v="167"/>
  </r>
  <r>
    <x v="133"/>
    <d v="2022-05-31T00:00:00"/>
    <n v="2"/>
    <n v="46.5"/>
    <n v="75"/>
  </r>
  <r>
    <x v="57"/>
    <d v="2022-05-31T00:00:00"/>
    <n v="1"/>
    <n v="25.15"/>
    <n v="30"/>
  </r>
  <r>
    <x v="57"/>
    <d v="2022-05-31T00:00:00"/>
    <n v="1"/>
    <n v="25.15"/>
    <n v="30"/>
  </r>
  <r>
    <x v="127"/>
    <d v="2022-05-31T00:00:00"/>
    <n v="1"/>
    <n v="58.23"/>
    <n v="86"/>
  </r>
  <r>
    <x v="127"/>
    <d v="2022-05-31T00:00:00"/>
    <n v="1"/>
    <n v="58.23"/>
    <n v="86"/>
  </r>
  <r>
    <x v="61"/>
    <d v="2022-05-31T00:00:00"/>
    <n v="1"/>
    <n v="32"/>
    <n v="36"/>
  </r>
  <r>
    <x v="131"/>
    <d v="2022-05-31T00:00:00"/>
    <n v="1"/>
    <n v="286.19"/>
    <n v="387"/>
  </r>
  <r>
    <x v="0"/>
    <d v="2022-05-31T00:00:00"/>
    <n v="1"/>
    <n v="132.33000000000001"/>
    <n v="152"/>
  </r>
  <r>
    <x v="136"/>
    <d v="2022-05-31T00:00:00"/>
    <n v="1"/>
    <n v="12.19"/>
    <n v="20"/>
  </r>
  <r>
    <x v="54"/>
    <d v="2022-05-31T00:00:00"/>
    <n v="1"/>
    <n v="13.62"/>
    <n v="23"/>
  </r>
  <r>
    <x v="80"/>
    <d v="2022-05-31T00:00:00"/>
    <n v="1"/>
    <n v="14.82"/>
    <n v="24"/>
  </r>
  <r>
    <x v="82"/>
    <d v="2022-05-31T00:00:00"/>
    <n v="1"/>
    <n v="323.66000000000003"/>
    <n v="370"/>
  </r>
  <r>
    <x v="54"/>
    <d v="2022-05-31T00:00:00"/>
    <n v="1"/>
    <n v="14.55"/>
    <n v="24"/>
  </r>
  <r>
    <x v="107"/>
    <d v="2022-05-31T00:00:00"/>
    <n v="1"/>
    <n v="251.13"/>
    <n v="295"/>
  </r>
  <r>
    <x v="95"/>
    <d v="2022-05-31T00:00:00"/>
    <n v="1"/>
    <n v="36.99"/>
    <n v="59"/>
  </r>
  <r>
    <x v="17"/>
    <d v="2022-05-31T00:00:00"/>
    <n v="1"/>
    <n v="30.3"/>
    <n v="49"/>
  </r>
  <r>
    <x v="97"/>
    <d v="2022-05-31T00:00:00"/>
    <n v="1"/>
    <n v="26.59"/>
    <n v="33"/>
  </r>
  <r>
    <x v="97"/>
    <d v="2022-05-31T00:00:00"/>
    <n v="1"/>
    <n v="26.59"/>
    <n v="33"/>
  </r>
  <r>
    <x v="49"/>
    <d v="2022-05-31T00:00:00"/>
    <n v="1"/>
    <n v="731.05"/>
    <n v="944"/>
  </r>
  <r>
    <x v="20"/>
    <d v="2022-05-31T00:00:00"/>
    <n v="1"/>
    <n v="147.18"/>
    <n v="177"/>
  </r>
  <r>
    <x v="149"/>
    <d v="2022-05-31T00:00:00"/>
    <n v="1"/>
    <n v="134.46"/>
    <n v="159"/>
  </r>
  <r>
    <x v="149"/>
    <d v="2022-05-31T00:00:00"/>
    <n v="1"/>
    <n v="134.46"/>
    <n v="159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40"/>
    <d v="2022-05-31T00:00:00"/>
    <n v="1"/>
    <n v="25.3"/>
    <n v="31"/>
  </r>
  <r>
    <x v="18"/>
    <d v="2022-05-31T00:00:00"/>
    <n v="1"/>
    <n v="109.41"/>
    <n v="123"/>
  </r>
  <r>
    <x v="86"/>
    <d v="2022-05-31T00:00:00"/>
    <n v="1"/>
    <n v="34.65"/>
    <n v="57"/>
  </r>
  <r>
    <x v="52"/>
    <d v="2022-05-31T00:00:00"/>
    <n v="1"/>
    <n v="230.46"/>
    <n v="270"/>
  </r>
  <r>
    <x v="50"/>
    <d v="2022-05-31T00:00:00"/>
    <n v="1"/>
    <n v="77.78"/>
    <n v="97"/>
  </r>
  <r>
    <x v="50"/>
    <d v="2022-05-31T00:00:00"/>
    <n v="1"/>
    <n v="77.510000000000005"/>
    <n v="97"/>
  </r>
  <r>
    <x v="50"/>
    <d v="2022-05-31T00:00:00"/>
    <n v="1"/>
    <n v="77.510000000000005"/>
    <n v="97"/>
  </r>
  <r>
    <x v="88"/>
    <d v="2022-05-31T00:00:00"/>
    <n v="1"/>
    <n v="71.05"/>
    <n v="101"/>
  </r>
  <r>
    <x v="60"/>
    <d v="2022-05-31T00:00:00"/>
    <n v="1"/>
    <n v="184.45"/>
    <n v="235"/>
  </r>
  <r>
    <x v="127"/>
    <d v="2022-05-31T00:00:00"/>
    <n v="1"/>
    <n v="58.53"/>
    <n v="87"/>
  </r>
  <r>
    <x v="37"/>
    <d v="2022-05-31T00:00:00"/>
    <n v="1"/>
    <n v="580.15"/>
    <n v="668"/>
  </r>
  <r>
    <x v="41"/>
    <d v="2022-05-31T00:00:00"/>
    <n v="1"/>
    <n v="19.7"/>
    <n v="24"/>
  </r>
  <r>
    <x v="41"/>
    <d v="2022-05-31T00:00:00"/>
    <n v="1"/>
    <n v="19.7"/>
    <n v="24"/>
  </r>
  <r>
    <x v="93"/>
    <d v="2022-05-31T00:00:00"/>
    <n v="1"/>
    <n v="111.48"/>
    <n v="134"/>
  </r>
  <r>
    <x v="49"/>
    <d v="2022-05-31T00:00:00"/>
    <n v="1"/>
    <n v="731.05"/>
    <n v="944"/>
  </r>
  <r>
    <x v="17"/>
    <d v="2022-05-31T00:00:00"/>
    <n v="1"/>
    <n v="30.3"/>
    <n v="49"/>
  </r>
  <r>
    <x v="45"/>
    <d v="2022-05-31T00:00:00"/>
    <n v="1"/>
    <n v="43.86"/>
    <n v="56"/>
  </r>
  <r>
    <x v="122"/>
    <d v="2022-05-31T00:00:00"/>
    <n v="1"/>
    <n v="119.39"/>
    <n v="164"/>
  </r>
  <r>
    <x v="2"/>
    <d v="2022-05-31T00:00:00"/>
    <n v="1"/>
    <n v="88.73"/>
    <n v="104"/>
  </r>
  <r>
    <x v="14"/>
    <d v="2022-05-31T00:00:00"/>
    <n v="1"/>
    <n v="82.34"/>
    <n v="103"/>
  </r>
  <r>
    <x v="107"/>
    <d v="2022-05-31T00:00:00"/>
    <n v="1"/>
    <n v="281.47000000000003"/>
    <n v="334"/>
  </r>
  <r>
    <x v="15"/>
    <d v="2022-05-31T00:00:00"/>
    <n v="1"/>
    <n v="21.04"/>
    <n v="28"/>
  </r>
  <r>
    <x v="15"/>
    <d v="2022-05-31T00:00:00"/>
    <n v="1"/>
    <n v="21.04"/>
    <n v="28"/>
  </r>
  <r>
    <x v="9"/>
    <d v="2022-05-31T00:00:00"/>
    <n v="0.2"/>
    <n v="501.97"/>
    <n v="628"/>
  </r>
  <r>
    <x v="60"/>
    <d v="2022-05-31T00:00:00"/>
    <n v="1"/>
    <n v="187.95"/>
    <n v="220"/>
  </r>
  <r>
    <x v="40"/>
    <d v="2022-05-31T00:00:00"/>
    <n v="2"/>
    <n v="33.07"/>
    <n v="54"/>
  </r>
  <r>
    <x v="43"/>
    <d v="2022-05-31T00:00:00"/>
    <n v="1"/>
    <n v="41.43"/>
    <n v="66"/>
  </r>
  <r>
    <x v="43"/>
    <d v="2022-05-31T00:00:00"/>
    <n v="1"/>
    <n v="41.43"/>
    <n v="66"/>
  </r>
  <r>
    <x v="57"/>
    <d v="2022-05-31T00:00:00"/>
    <n v="1"/>
    <n v="25.15"/>
    <n v="30"/>
  </r>
  <r>
    <x v="57"/>
    <d v="2022-05-31T00:00:00"/>
    <n v="1"/>
    <n v="25.15"/>
    <n v="30"/>
  </r>
  <r>
    <x v="46"/>
    <d v="2022-05-31T00:00:00"/>
    <n v="8"/>
    <n v="2.0099999999999998"/>
    <n v="4"/>
  </r>
  <r>
    <x v="97"/>
    <d v="2022-05-31T00:00:00"/>
    <n v="1"/>
    <n v="26.59"/>
    <n v="33"/>
  </r>
  <r>
    <x v="97"/>
    <d v="2022-05-31T00:00:00"/>
    <n v="1"/>
    <n v="26.59"/>
    <n v="33"/>
  </r>
  <r>
    <x v="97"/>
    <d v="2022-05-31T00:00:00"/>
    <n v="1"/>
    <n v="26.59"/>
    <n v="33"/>
  </r>
  <r>
    <x v="85"/>
    <d v="2022-05-31T00:00:00"/>
    <n v="1"/>
    <n v="404.95"/>
    <n v="499"/>
  </r>
  <r>
    <x v="65"/>
    <d v="2022-05-31T00:00:00"/>
    <n v="1"/>
    <n v="165.32"/>
    <n v="199"/>
  </r>
  <r>
    <x v="18"/>
    <d v="2022-05-31T00:00:00"/>
    <n v="1"/>
    <n v="109.41"/>
    <n v="123"/>
  </r>
  <r>
    <x v="13"/>
    <d v="2022-05-31T00:00:00"/>
    <n v="1"/>
    <n v="46"/>
    <n v="70"/>
  </r>
  <r>
    <x v="91"/>
    <d v="2022-05-31T00:00:00"/>
    <n v="1"/>
    <n v="71.650000000000006"/>
    <n v="107"/>
  </r>
  <r>
    <x v="51"/>
    <d v="2022-05-31T00:00:00"/>
    <n v="1"/>
    <n v="44.56"/>
    <n v="68"/>
  </r>
  <r>
    <x v="20"/>
    <d v="2022-05-31T00:00:00"/>
    <n v="1"/>
    <n v="147.18"/>
    <n v="180"/>
  </r>
  <r>
    <x v="60"/>
    <d v="2022-05-31T00:00:00"/>
    <n v="1"/>
    <n v="185.57"/>
    <n v="236"/>
  </r>
  <r>
    <x v="127"/>
    <d v="2022-05-31T00:00:00"/>
    <n v="1"/>
    <n v="59.75"/>
    <n v="85"/>
  </r>
  <r>
    <x v="31"/>
    <d v="2022-05-31T00:00:00"/>
    <n v="1"/>
    <n v="22.03"/>
    <n v="28"/>
  </r>
  <r>
    <x v="31"/>
    <d v="2022-05-31T00:00:00"/>
    <n v="1"/>
    <n v="22.03"/>
    <n v="28"/>
  </r>
  <r>
    <x v="31"/>
    <d v="2022-05-31T00:00:00"/>
    <n v="1"/>
    <n v="22.03"/>
    <n v="28"/>
  </r>
  <r>
    <x v="39"/>
    <d v="2022-05-31T00:00:00"/>
    <n v="1"/>
    <n v="65.010000000000005"/>
    <n v="101"/>
  </r>
  <r>
    <x v="132"/>
    <d v="2022-05-31T00:00:00"/>
    <n v="1"/>
    <n v="6.4"/>
    <n v="11"/>
  </r>
  <r>
    <x v="109"/>
    <d v="2022-05-31T00:00:00"/>
    <n v="1"/>
    <n v="74.36"/>
    <n v="91"/>
  </r>
  <r>
    <x v="19"/>
    <d v="2022-05-31T00:00:00"/>
    <n v="1"/>
    <n v="103.46"/>
    <n v="121"/>
  </r>
  <r>
    <x v="34"/>
    <d v="2022-05-31T00:00:00"/>
    <n v="5"/>
    <n v="11.72"/>
    <n v="19"/>
  </r>
  <r>
    <x v="18"/>
    <d v="2022-05-31T00:00:00"/>
    <n v="1"/>
    <n v="110.21"/>
    <n v="124"/>
  </r>
  <r>
    <x v="59"/>
    <d v="2022-05-31T00:00:00"/>
    <n v="1"/>
    <n v="198.66"/>
    <n v="273"/>
  </r>
  <r>
    <x v="23"/>
    <d v="2022-05-31T00:00:00"/>
    <n v="1"/>
    <n v="148.91"/>
    <n v="204"/>
  </r>
  <r>
    <x v="20"/>
    <d v="2022-05-31T00:00:00"/>
    <n v="1"/>
    <n v="147.18"/>
    <n v="176"/>
  </r>
  <r>
    <x v="117"/>
    <d v="2022-05-31T00:00:00"/>
    <n v="1"/>
    <n v="20.91"/>
    <n v="26"/>
  </r>
  <r>
    <x v="57"/>
    <d v="2022-05-31T00:00:00"/>
    <n v="1"/>
    <n v="25.29"/>
    <n v="30"/>
  </r>
  <r>
    <x v="90"/>
    <d v="2022-05-31T00:00:00"/>
    <n v="1"/>
    <n v="131.07"/>
    <n v="206"/>
  </r>
  <r>
    <x v="119"/>
    <d v="2022-05-31T00:00:00"/>
    <n v="1"/>
    <n v="42.47"/>
    <n v="69"/>
  </r>
  <r>
    <x v="45"/>
    <d v="2022-05-31T00:00:00"/>
    <n v="1"/>
    <n v="45.74"/>
    <n v="56"/>
  </r>
  <r>
    <x v="88"/>
    <d v="2022-05-31T00:00:00"/>
    <n v="1"/>
    <n v="71.05"/>
    <n v="101"/>
  </r>
  <r>
    <x v="25"/>
    <d v="2022-05-31T00:00:00"/>
    <n v="1"/>
    <n v="156.19999999999999"/>
    <n v="186"/>
  </r>
  <r>
    <x v="42"/>
    <d v="2022-05-31T00:00:00"/>
    <n v="1"/>
    <n v="43"/>
    <n v="68"/>
  </r>
  <r>
    <x v="117"/>
    <d v="2022-05-31T00:00:00"/>
    <n v="1"/>
    <n v="21.26"/>
    <n v="26"/>
  </r>
  <r>
    <x v="130"/>
    <d v="2022-05-31T00:00:00"/>
    <n v="1"/>
    <n v="72.31"/>
    <n v="90"/>
  </r>
  <r>
    <x v="130"/>
    <d v="2022-05-31T00:00:00"/>
    <n v="1"/>
    <n v="73.48"/>
    <n v="91"/>
  </r>
  <r>
    <x v="31"/>
    <d v="2022-05-31T00:00:00"/>
    <n v="1"/>
    <n v="22.05"/>
    <n v="28"/>
  </r>
  <r>
    <x v="31"/>
    <d v="2022-05-31T00:00:00"/>
    <n v="1"/>
    <n v="22.05"/>
    <n v="28"/>
  </r>
  <r>
    <x v="31"/>
    <d v="2022-05-31T00:00:00"/>
    <n v="1"/>
    <n v="22.05"/>
    <n v="28"/>
  </r>
  <r>
    <x v="31"/>
    <d v="2022-05-31T00:00:00"/>
    <n v="1"/>
    <n v="22.05"/>
    <n v="28"/>
  </r>
  <r>
    <x v="31"/>
    <d v="2022-05-31T00:00:00"/>
    <n v="1"/>
    <n v="22.05"/>
    <n v="28"/>
  </r>
  <r>
    <x v="31"/>
    <d v="2022-05-31T00:00:00"/>
    <n v="1"/>
    <n v="22.05"/>
    <n v="28"/>
  </r>
  <r>
    <x v="15"/>
    <d v="2022-05-31T00:00:00"/>
    <n v="1"/>
    <n v="21.04"/>
    <n v="28"/>
  </r>
  <r>
    <x v="15"/>
    <d v="2022-05-31T00:00:00"/>
    <n v="1"/>
    <n v="21.04"/>
    <n v="28"/>
  </r>
  <r>
    <x v="54"/>
    <d v="2022-05-30T00:00:00"/>
    <n v="1"/>
    <n v="14.55"/>
    <n v="24"/>
  </r>
  <r>
    <x v="19"/>
    <d v="2022-05-30T00:00:00"/>
    <n v="1"/>
    <n v="103.46"/>
    <n v="121"/>
  </r>
  <r>
    <x v="59"/>
    <d v="2022-05-30T00:00:00"/>
    <n v="1"/>
    <n v="202.51"/>
    <n v="270"/>
  </r>
  <r>
    <x v="30"/>
    <d v="2022-05-30T00:00:00"/>
    <n v="1"/>
    <n v="35"/>
    <n v="55"/>
  </r>
  <r>
    <x v="117"/>
    <d v="2022-05-30T00:00:00"/>
    <n v="1"/>
    <n v="20.86"/>
    <n v="26"/>
  </r>
  <r>
    <x v="68"/>
    <d v="2022-05-30T00:00:00"/>
    <n v="1"/>
    <n v="8.07"/>
    <n v="14"/>
  </r>
  <r>
    <x v="95"/>
    <d v="2022-05-30T00:00:00"/>
    <n v="1"/>
    <n v="36.99"/>
    <n v="57"/>
  </r>
  <r>
    <x v="20"/>
    <d v="2022-05-30T00:00:00"/>
    <n v="1"/>
    <n v="147.18"/>
    <n v="176"/>
  </r>
  <r>
    <x v="123"/>
    <d v="2022-05-30T00:00:00"/>
    <n v="1"/>
    <n v="269.2"/>
    <n v="359"/>
  </r>
  <r>
    <x v="122"/>
    <d v="2022-05-30T00:00:00"/>
    <n v="1"/>
    <n v="119.8"/>
    <n v="165"/>
  </r>
  <r>
    <x v="77"/>
    <d v="2022-05-30T00:00:00"/>
    <n v="1"/>
    <n v="35.83"/>
    <n v="45"/>
  </r>
  <r>
    <x v="33"/>
    <d v="2022-05-30T00:00:00"/>
    <n v="1"/>
    <n v="28.91"/>
    <n v="45"/>
  </r>
  <r>
    <x v="94"/>
    <d v="2022-05-30T00:00:00"/>
    <n v="1"/>
    <n v="64.25"/>
    <n v="76"/>
  </r>
  <r>
    <x v="73"/>
    <d v="2022-05-30T00:00:00"/>
    <n v="1"/>
    <n v="66.77"/>
    <n v="85"/>
  </r>
  <r>
    <x v="14"/>
    <d v="2022-05-30T00:00:00"/>
    <n v="1"/>
    <n v="81.290000000000006"/>
    <n v="103"/>
  </r>
  <r>
    <x v="133"/>
    <d v="2022-05-30T00:00:00"/>
    <n v="1"/>
    <n v="46.5"/>
    <n v="75"/>
  </r>
  <r>
    <x v="26"/>
    <d v="2022-05-30T00:00:00"/>
    <n v="1"/>
    <n v="13.05"/>
    <n v="18"/>
  </r>
  <r>
    <x v="26"/>
    <d v="2022-05-30T00:00:00"/>
    <n v="1"/>
    <n v="13.05"/>
    <n v="18"/>
  </r>
  <r>
    <x v="117"/>
    <d v="2022-05-30T00:00:00"/>
    <n v="1"/>
    <n v="20.86"/>
    <n v="26"/>
  </r>
  <r>
    <x v="141"/>
    <d v="2022-05-30T00:00:00"/>
    <n v="1"/>
    <n v="410.25"/>
    <n v="460"/>
  </r>
  <r>
    <x v="82"/>
    <d v="2022-05-30T00:00:00"/>
    <n v="1"/>
    <n v="323.66000000000003"/>
    <n v="370"/>
  </r>
  <r>
    <x v="153"/>
    <d v="2022-05-30T00:00:00"/>
    <n v="1"/>
    <n v="23.54"/>
    <n v="28.66"/>
  </r>
  <r>
    <x v="153"/>
    <d v="2022-05-30T00:00:00"/>
    <n v="1"/>
    <n v="23.54"/>
    <n v="28.66"/>
  </r>
  <r>
    <x v="153"/>
    <d v="2022-05-30T00:00:00"/>
    <n v="1"/>
    <n v="23.54"/>
    <n v="28.66"/>
  </r>
  <r>
    <x v="153"/>
    <d v="2022-05-30T00:00:00"/>
    <n v="1"/>
    <n v="23.54"/>
    <n v="28.66"/>
  </r>
  <r>
    <x v="153"/>
    <d v="2022-05-30T00:00:00"/>
    <n v="1"/>
    <n v="23.54"/>
    <n v="28.66"/>
  </r>
  <r>
    <x v="153"/>
    <d v="2022-05-30T00:00:00"/>
    <n v="1"/>
    <n v="23.54"/>
    <n v="28.66"/>
  </r>
  <r>
    <x v="153"/>
    <d v="2022-05-30T00:00:00"/>
    <n v="1"/>
    <n v="23.54"/>
    <n v="28.66"/>
  </r>
  <r>
    <x v="153"/>
    <d v="2022-05-30T00:00:00"/>
    <n v="1"/>
    <n v="23.54"/>
    <n v="28.66"/>
  </r>
  <r>
    <x v="153"/>
    <d v="2022-05-30T00:00:00"/>
    <n v="1"/>
    <n v="23.54"/>
    <n v="28.66"/>
  </r>
  <r>
    <x v="153"/>
    <d v="2022-05-30T00:00:00"/>
    <n v="1"/>
    <n v="23.54"/>
    <n v="28.66"/>
  </r>
  <r>
    <x v="46"/>
    <d v="2022-05-30T00:00:00"/>
    <n v="4"/>
    <n v="2.0099999999999998"/>
    <n v="4"/>
  </r>
  <r>
    <x v="27"/>
    <d v="2022-05-30T00:00:00"/>
    <n v="0.2"/>
    <n v="149.72999999999999"/>
    <n v="233"/>
  </r>
  <r>
    <x v="110"/>
    <d v="2022-05-30T00:00:00"/>
    <n v="1"/>
    <n v="71.459999999999994"/>
    <n v="88"/>
  </r>
  <r>
    <x v="40"/>
    <d v="2022-05-30T00:00:00"/>
    <n v="1"/>
    <n v="26.71"/>
    <n v="46"/>
  </r>
  <r>
    <x v="43"/>
    <d v="2022-05-30T00:00:00"/>
    <n v="1"/>
    <n v="35.200000000000003"/>
    <n v="55"/>
  </r>
  <r>
    <x v="26"/>
    <d v="2022-05-30T00:00:00"/>
    <n v="1"/>
    <n v="14.4"/>
    <n v="19"/>
  </r>
  <r>
    <x v="13"/>
    <d v="2022-05-30T00:00:00"/>
    <n v="1"/>
    <n v="46"/>
    <n v="72"/>
  </r>
  <r>
    <x v="44"/>
    <d v="2022-05-30T00:00:00"/>
    <n v="1"/>
    <n v="15.82"/>
    <n v="20"/>
  </r>
  <r>
    <x v="41"/>
    <d v="2022-05-30T00:00:00"/>
    <n v="1"/>
    <n v="19.43"/>
    <n v="24"/>
  </r>
  <r>
    <x v="137"/>
    <d v="2022-05-30T00:00:00"/>
    <n v="1"/>
    <n v="12.86"/>
    <n v="15"/>
  </r>
  <r>
    <x v="137"/>
    <d v="2022-05-30T00:00:00"/>
    <n v="1"/>
    <n v="12.86"/>
    <n v="15"/>
  </r>
  <r>
    <x v="114"/>
    <d v="2022-05-30T00:00:00"/>
    <n v="3.5714299999999997E-2"/>
    <n v="656.19"/>
    <n v="722"/>
  </r>
  <r>
    <x v="43"/>
    <d v="2022-05-30T00:00:00"/>
    <n v="1"/>
    <n v="38.82"/>
    <n v="61"/>
  </r>
  <r>
    <x v="14"/>
    <d v="2022-05-30T00:00:00"/>
    <n v="1"/>
    <n v="81.290000000000006"/>
    <n v="103"/>
  </r>
  <r>
    <x v="117"/>
    <d v="2022-05-30T00:00:00"/>
    <n v="1"/>
    <n v="20.86"/>
    <n v="26"/>
  </r>
  <r>
    <x v="110"/>
    <d v="2022-05-30T00:00:00"/>
    <n v="1"/>
    <n v="71.31"/>
    <n v="88"/>
  </r>
  <r>
    <x v="123"/>
    <d v="2022-05-30T00:00:00"/>
    <n v="1"/>
    <n v="261.16000000000003"/>
    <n v="345"/>
  </r>
  <r>
    <x v="1"/>
    <d v="2022-05-30T00:00:00"/>
    <n v="0.2"/>
    <n v="460.59"/>
    <n v="576"/>
  </r>
  <r>
    <x v="56"/>
    <d v="2022-05-30T00:00:00"/>
    <n v="1"/>
    <n v="33.14"/>
    <n v="53"/>
  </r>
  <r>
    <x v="56"/>
    <d v="2022-05-30T00:00:00"/>
    <n v="1"/>
    <n v="33.14"/>
    <n v="53"/>
  </r>
  <r>
    <x v="12"/>
    <d v="2022-05-30T00:00:00"/>
    <n v="1"/>
    <n v="381.46"/>
    <n v="458"/>
  </r>
  <r>
    <x v="98"/>
    <d v="2022-05-30T00:00:00"/>
    <n v="1"/>
    <n v="46.32"/>
    <n v="72"/>
  </r>
  <r>
    <x v="98"/>
    <d v="2022-05-30T00:00:00"/>
    <n v="1"/>
    <n v="46.32"/>
    <n v="72"/>
  </r>
  <r>
    <x v="149"/>
    <d v="2022-05-30T00:00:00"/>
    <n v="1"/>
    <n v="134.53"/>
    <n v="150"/>
  </r>
  <r>
    <x v="149"/>
    <d v="2022-05-30T00:00:00"/>
    <n v="1"/>
    <n v="134.53"/>
    <n v="150"/>
  </r>
  <r>
    <x v="149"/>
    <d v="2022-05-30T00:00:00"/>
    <n v="1"/>
    <n v="134.53"/>
    <n v="150"/>
  </r>
  <r>
    <x v="149"/>
    <d v="2022-05-30T00:00:00"/>
    <n v="1"/>
    <n v="134.53"/>
    <n v="150"/>
  </r>
  <r>
    <x v="149"/>
    <d v="2022-05-30T00:00:00"/>
    <n v="1"/>
    <n v="134.53"/>
    <n v="150"/>
  </r>
  <r>
    <x v="60"/>
    <d v="2022-05-30T00:00:00"/>
    <n v="1"/>
    <n v="187.33"/>
    <n v="220"/>
  </r>
  <r>
    <x v="2"/>
    <d v="2022-05-30T00:00:00"/>
    <n v="1"/>
    <n v="88.43"/>
    <n v="104"/>
  </r>
  <r>
    <x v="1"/>
    <d v="2022-05-30T00:00:00"/>
    <n v="0.2"/>
    <n v="460.59"/>
    <n v="576"/>
  </r>
  <r>
    <x v="54"/>
    <d v="2022-05-30T00:00:00"/>
    <n v="1"/>
    <n v="14.55"/>
    <n v="24"/>
  </r>
  <r>
    <x v="0"/>
    <d v="2022-05-30T00:00:00"/>
    <n v="1"/>
    <n v="146.1"/>
    <n v="173"/>
  </r>
  <r>
    <x v="3"/>
    <d v="2022-05-30T00:00:00"/>
    <n v="1"/>
    <n v="47.83"/>
    <n v="78"/>
  </r>
  <r>
    <x v="14"/>
    <d v="2022-05-30T00:00:00"/>
    <n v="1"/>
    <n v="80.760000000000005"/>
    <n v="101"/>
  </r>
  <r>
    <x v="22"/>
    <d v="2022-05-30T00:00:00"/>
    <n v="2"/>
    <n v="102.34"/>
    <n v="157"/>
  </r>
  <r>
    <x v="134"/>
    <d v="2022-05-30T00:00:00"/>
    <n v="1"/>
    <n v="24.18"/>
    <n v="39"/>
  </r>
  <r>
    <x v="67"/>
    <d v="2022-05-30T00:00:00"/>
    <n v="1"/>
    <n v="558.69000000000005"/>
    <n v="738"/>
  </r>
  <r>
    <x v="55"/>
    <d v="2022-05-30T00:00:00"/>
    <n v="1"/>
    <n v="56.76"/>
    <n v="71"/>
  </r>
  <r>
    <x v="138"/>
    <d v="2022-05-30T00:00:00"/>
    <n v="1"/>
    <n v="51.43"/>
    <n v="79"/>
  </r>
  <r>
    <x v="134"/>
    <d v="2022-05-30T00:00:00"/>
    <n v="1"/>
    <n v="24.18"/>
    <n v="40"/>
  </r>
  <r>
    <x v="90"/>
    <d v="2022-05-30T00:00:00"/>
    <n v="1"/>
    <n v="131.07"/>
    <n v="206"/>
  </r>
  <r>
    <x v="101"/>
    <d v="2022-05-30T00:00:00"/>
    <n v="1"/>
    <n v="41.5"/>
    <n v="51"/>
  </r>
  <r>
    <x v="68"/>
    <d v="2022-05-30T00:00:00"/>
    <n v="1"/>
    <n v="8.07"/>
    <n v="14"/>
  </r>
  <r>
    <x v="0"/>
    <d v="2022-05-30T00:00:00"/>
    <n v="1"/>
    <n v="132.94"/>
    <n v="160"/>
  </r>
  <r>
    <x v="61"/>
    <d v="2022-05-30T00:00:00"/>
    <n v="1"/>
    <n v="30.56"/>
    <n v="36"/>
  </r>
  <r>
    <x v="61"/>
    <d v="2022-05-30T00:00:00"/>
    <n v="1"/>
    <n v="30.56"/>
    <n v="36"/>
  </r>
  <r>
    <x v="61"/>
    <d v="2022-05-30T00:00:00"/>
    <n v="1"/>
    <n v="30.56"/>
    <n v="36"/>
  </r>
  <r>
    <x v="146"/>
    <d v="2022-05-30T00:00:00"/>
    <n v="1"/>
    <n v="26.81"/>
    <n v="32"/>
  </r>
  <r>
    <x v="92"/>
    <d v="2022-05-30T00:00:00"/>
    <n v="1"/>
    <n v="426.66"/>
    <n v="564"/>
  </r>
  <r>
    <x v="16"/>
    <d v="2022-05-30T00:00:00"/>
    <n v="1"/>
    <n v="184.39"/>
    <n v="268"/>
  </r>
  <r>
    <x v="44"/>
    <d v="2022-05-30T00:00:00"/>
    <n v="1"/>
    <n v="15.58"/>
    <n v="19"/>
  </r>
  <r>
    <x v="73"/>
    <d v="2022-05-30T00:00:00"/>
    <n v="1"/>
    <n v="69.599999999999994"/>
    <n v="90"/>
  </r>
  <r>
    <x v="3"/>
    <d v="2022-05-30T00:00:00"/>
    <n v="2"/>
    <n v="47.83"/>
    <n v="78"/>
  </r>
  <r>
    <x v="3"/>
    <d v="2022-05-30T00:00:00"/>
    <n v="1"/>
    <n v="47.83"/>
    <n v="78"/>
  </r>
  <r>
    <x v="31"/>
    <d v="2022-05-30T00:00:00"/>
    <n v="1"/>
    <n v="22.05"/>
    <n v="28"/>
  </r>
  <r>
    <x v="45"/>
    <d v="2022-05-30T00:00:00"/>
    <n v="1"/>
    <n v="43.86"/>
    <n v="56"/>
  </r>
  <r>
    <x v="130"/>
    <d v="2022-05-30T00:00:00"/>
    <n v="1"/>
    <n v="72.31"/>
    <n v="90"/>
  </r>
  <r>
    <x v="8"/>
    <d v="2022-05-30T00:00:00"/>
    <n v="1"/>
    <n v="119.06"/>
    <n v="143"/>
  </r>
  <r>
    <x v="95"/>
    <d v="2022-05-30T00:00:00"/>
    <n v="1"/>
    <n v="36.99"/>
    <n v="59"/>
  </r>
  <r>
    <x v="24"/>
    <d v="2022-05-30T00:00:00"/>
    <n v="1"/>
    <n v="489.61"/>
    <n v="676"/>
  </r>
  <r>
    <x v="60"/>
    <d v="2022-05-30T00:00:00"/>
    <n v="1"/>
    <n v="187.12"/>
    <n v="219"/>
  </r>
  <r>
    <x v="99"/>
    <d v="2022-05-30T00:00:00"/>
    <n v="1"/>
    <n v="45.16"/>
    <n v="57"/>
  </r>
  <r>
    <x v="99"/>
    <d v="2022-05-30T00:00:00"/>
    <n v="1"/>
    <n v="45.55"/>
    <n v="57"/>
  </r>
  <r>
    <x v="90"/>
    <d v="2022-05-30T00:00:00"/>
    <n v="0.3"/>
    <n v="133.25"/>
    <n v="204"/>
  </r>
  <r>
    <x v="136"/>
    <d v="2022-05-30T00:00:00"/>
    <n v="1"/>
    <n v="12.19"/>
    <n v="20"/>
  </r>
  <r>
    <x v="4"/>
    <d v="2022-05-30T00:00:00"/>
    <n v="1"/>
    <n v="80.69"/>
    <n v="98"/>
  </r>
  <r>
    <x v="90"/>
    <d v="2022-05-30T00:00:00"/>
    <n v="1"/>
    <n v="111.95"/>
    <n v="171"/>
  </r>
  <r>
    <x v="116"/>
    <d v="2022-05-30T00:00:00"/>
    <n v="10"/>
    <n v="11.41"/>
    <n v="19"/>
  </r>
  <r>
    <x v="88"/>
    <d v="2022-05-30T00:00:00"/>
    <n v="1"/>
    <n v="65.400000000000006"/>
    <n v="93"/>
  </r>
  <r>
    <x v="19"/>
    <d v="2022-05-30T00:00:00"/>
    <n v="1"/>
    <n v="103.46"/>
    <n v="121"/>
  </r>
  <r>
    <x v="31"/>
    <d v="2022-05-30T00:00:00"/>
    <n v="1"/>
    <n v="22"/>
    <n v="28"/>
  </r>
  <r>
    <x v="31"/>
    <d v="2022-05-30T00:00:00"/>
    <n v="1"/>
    <n v="22"/>
    <n v="28"/>
  </r>
  <r>
    <x v="31"/>
    <d v="2022-05-30T00:00:00"/>
    <n v="1"/>
    <n v="22"/>
    <n v="28"/>
  </r>
  <r>
    <x v="31"/>
    <d v="2022-05-30T00:00:00"/>
    <n v="1"/>
    <n v="22"/>
    <n v="28"/>
  </r>
  <r>
    <x v="31"/>
    <d v="2022-05-30T00:00:00"/>
    <n v="1"/>
    <n v="22"/>
    <n v="28"/>
  </r>
  <r>
    <x v="31"/>
    <d v="2022-05-30T00:00:00"/>
    <n v="1"/>
    <n v="21.19"/>
    <n v="27"/>
  </r>
  <r>
    <x v="35"/>
    <d v="2022-05-30T00:00:00"/>
    <n v="1"/>
    <n v="173.86"/>
    <n v="208"/>
  </r>
  <r>
    <x v="77"/>
    <d v="2022-05-30T00:00:00"/>
    <n v="1"/>
    <n v="35.83"/>
    <n v="45"/>
  </r>
  <r>
    <x v="33"/>
    <d v="2022-05-30T00:00:00"/>
    <n v="1"/>
    <n v="28.91"/>
    <n v="45"/>
  </r>
  <r>
    <x v="33"/>
    <d v="2022-05-30T00:00:00"/>
    <n v="1"/>
    <n v="28.91"/>
    <n v="45"/>
  </r>
  <r>
    <x v="33"/>
    <d v="2022-05-30T00:00:00"/>
    <n v="1"/>
    <n v="28.91"/>
    <n v="45"/>
  </r>
  <r>
    <x v="33"/>
    <d v="2022-05-30T00:00:00"/>
    <n v="1"/>
    <n v="28.91"/>
    <n v="45"/>
  </r>
  <r>
    <x v="33"/>
    <d v="2022-05-30T00:00:00"/>
    <n v="1"/>
    <n v="28.91"/>
    <n v="45"/>
  </r>
  <r>
    <x v="33"/>
    <d v="2022-05-30T00:00:00"/>
    <n v="1"/>
    <n v="28.91"/>
    <n v="45"/>
  </r>
  <r>
    <x v="84"/>
    <d v="2022-05-30T00:00:00"/>
    <n v="1"/>
    <n v="81.17"/>
    <n v="121"/>
  </r>
  <r>
    <x v="80"/>
    <d v="2022-05-30T00:00:00"/>
    <n v="1"/>
    <n v="15.95"/>
    <n v="26"/>
  </r>
  <r>
    <x v="80"/>
    <d v="2022-05-30T00:00:00"/>
    <n v="1"/>
    <n v="15.95"/>
    <n v="26"/>
  </r>
  <r>
    <x v="91"/>
    <d v="2022-05-30T00:00:00"/>
    <n v="1"/>
    <n v="71.650000000000006"/>
    <n v="102"/>
  </r>
  <r>
    <x v="129"/>
    <d v="2022-05-30T00:00:00"/>
    <n v="1"/>
    <n v="33"/>
    <n v="51"/>
  </r>
  <r>
    <x v="129"/>
    <d v="2022-05-30T00:00:00"/>
    <n v="1"/>
    <n v="33"/>
    <n v="51"/>
  </r>
  <r>
    <x v="30"/>
    <d v="2022-05-30T00:00:00"/>
    <n v="1"/>
    <n v="35"/>
    <n v="55"/>
  </r>
  <r>
    <x v="16"/>
    <d v="2022-05-30T00:00:00"/>
    <n v="1"/>
    <n v="184.57"/>
    <n v="253"/>
  </r>
  <r>
    <x v="15"/>
    <d v="2022-05-30T00:00:00"/>
    <n v="1"/>
    <n v="19.71"/>
    <n v="26"/>
  </r>
  <r>
    <x v="47"/>
    <d v="2022-05-30T00:00:00"/>
    <n v="1"/>
    <n v="205"/>
    <n v="250"/>
  </r>
  <r>
    <x v="102"/>
    <d v="2022-05-30T00:00:00"/>
    <n v="1"/>
    <n v="71"/>
    <n v="88"/>
  </r>
  <r>
    <x v="102"/>
    <d v="2022-05-30T00:00:00"/>
    <n v="1"/>
    <n v="71"/>
    <n v="88"/>
  </r>
  <r>
    <x v="88"/>
    <d v="2022-05-30T00:00:00"/>
    <n v="1"/>
    <n v="64.16"/>
    <n v="92"/>
  </r>
  <r>
    <x v="136"/>
    <d v="2022-05-30T00:00:00"/>
    <n v="2"/>
    <n v="12.19"/>
    <n v="20"/>
  </r>
  <r>
    <x v="152"/>
    <d v="2022-05-30T00:00:00"/>
    <n v="1"/>
    <n v="12"/>
    <n v="20"/>
  </r>
  <r>
    <x v="30"/>
    <d v="2022-05-30T00:00:00"/>
    <n v="1"/>
    <n v="33.11"/>
    <n v="51"/>
  </r>
  <r>
    <x v="102"/>
    <d v="2022-05-30T00:00:00"/>
    <n v="1"/>
    <n v="70.77"/>
    <n v="88"/>
  </r>
  <r>
    <x v="5"/>
    <d v="2022-05-30T00:00:00"/>
    <n v="1"/>
    <n v="11.67"/>
    <n v="14"/>
  </r>
  <r>
    <x v="21"/>
    <d v="2022-05-30T00:00:00"/>
    <n v="0.2"/>
    <n v="984.79"/>
    <n v="1300"/>
  </r>
  <r>
    <x v="104"/>
    <d v="2022-05-30T00:00:00"/>
    <n v="1"/>
    <n v="87.78"/>
    <n v="99"/>
  </r>
  <r>
    <x v="104"/>
    <d v="2022-05-30T00:00:00"/>
    <n v="1"/>
    <n v="87.78"/>
    <n v="99"/>
  </r>
  <r>
    <x v="104"/>
    <d v="2022-05-30T00:00:00"/>
    <n v="1"/>
    <n v="87.78"/>
    <n v="99"/>
  </r>
  <r>
    <x v="120"/>
    <d v="2022-05-30T00:00:00"/>
    <n v="1"/>
    <n v="331.43"/>
    <n v="431"/>
  </r>
  <r>
    <x v="104"/>
    <d v="2022-05-30T00:00:00"/>
    <n v="1"/>
    <n v="87.78"/>
    <n v="99"/>
  </r>
  <r>
    <x v="104"/>
    <d v="2022-05-30T00:00:00"/>
    <n v="1"/>
    <n v="87.78"/>
    <n v="99"/>
  </r>
  <r>
    <x v="4"/>
    <d v="2022-05-30T00:00:00"/>
    <n v="1"/>
    <n v="81.87"/>
    <n v="99"/>
  </r>
  <r>
    <x v="4"/>
    <d v="2022-05-30T00:00:00"/>
    <n v="1"/>
    <n v="81.17"/>
    <n v="99"/>
  </r>
  <r>
    <x v="4"/>
    <d v="2022-05-30T00:00:00"/>
    <n v="1"/>
    <n v="81.17"/>
    <n v="99"/>
  </r>
  <r>
    <x v="4"/>
    <d v="2022-05-30T00:00:00"/>
    <n v="1"/>
    <n v="81.17"/>
    <n v="99"/>
  </r>
  <r>
    <x v="4"/>
    <d v="2022-05-30T00:00:00"/>
    <n v="1"/>
    <n v="81.17"/>
    <n v="99"/>
  </r>
  <r>
    <x v="18"/>
    <d v="2022-05-30T00:00:00"/>
    <n v="1"/>
    <n v="109.41"/>
    <n v="123"/>
  </r>
  <r>
    <x v="52"/>
    <d v="2022-05-30T00:00:00"/>
    <n v="1"/>
    <n v="233.74"/>
    <n v="274"/>
  </r>
  <r>
    <x v="83"/>
    <d v="2022-05-30T00:00:00"/>
    <n v="0.4"/>
    <n v="136.57"/>
    <n v="215"/>
  </r>
  <r>
    <x v="0"/>
    <d v="2022-05-30T00:00:00"/>
    <n v="1"/>
    <n v="130.43"/>
    <n v="157"/>
  </r>
  <r>
    <x v="57"/>
    <d v="2022-05-30T00:00:00"/>
    <n v="1"/>
    <n v="25.62"/>
    <n v="31"/>
  </r>
  <r>
    <x v="151"/>
    <d v="2022-05-30T00:00:00"/>
    <n v="1"/>
    <n v="256.83"/>
    <n v="352"/>
  </r>
  <r>
    <x v="20"/>
    <d v="2022-05-30T00:00:00"/>
    <n v="1"/>
    <n v="147.18"/>
    <n v="177"/>
  </r>
  <r>
    <x v="126"/>
    <d v="2022-05-30T00:00:00"/>
    <n v="1"/>
    <n v="358.57"/>
    <n v="413"/>
  </r>
  <r>
    <x v="56"/>
    <d v="2022-05-30T00:00:00"/>
    <n v="1"/>
    <n v="33.14"/>
    <n v="53"/>
  </r>
  <r>
    <x v="135"/>
    <d v="2022-05-30T00:00:00"/>
    <n v="1"/>
    <n v="153.78"/>
    <n v="186"/>
  </r>
  <r>
    <x v="128"/>
    <d v="2022-05-30T00:00:00"/>
    <n v="1"/>
    <n v="6.19"/>
    <n v="11"/>
  </r>
  <r>
    <x v="18"/>
    <d v="2022-05-30T00:00:00"/>
    <n v="1"/>
    <n v="109.41"/>
    <n v="123"/>
  </r>
  <r>
    <x v="110"/>
    <d v="2022-05-30T00:00:00"/>
    <n v="1"/>
    <n v="71.459999999999994"/>
    <n v="88"/>
  </r>
  <r>
    <x v="52"/>
    <d v="2022-05-30T00:00:00"/>
    <n v="1"/>
    <n v="239.87"/>
    <n v="281"/>
  </r>
  <r>
    <x v="4"/>
    <d v="2022-05-30T00:00:00"/>
    <n v="1"/>
    <n v="80.69"/>
    <n v="98"/>
  </r>
  <r>
    <x v="117"/>
    <d v="2022-05-30T00:00:00"/>
    <n v="1"/>
    <n v="20.86"/>
    <n v="26"/>
  </r>
  <r>
    <x v="129"/>
    <d v="2022-05-30T00:00:00"/>
    <n v="1"/>
    <n v="33"/>
    <n v="51"/>
  </r>
  <r>
    <x v="2"/>
    <d v="2022-05-30T00:00:00"/>
    <n v="1"/>
    <n v="88.43"/>
    <n v="104"/>
  </r>
  <r>
    <x v="82"/>
    <d v="2022-05-30T00:00:00"/>
    <n v="1"/>
    <n v="323.67"/>
    <n v="389"/>
  </r>
  <r>
    <x v="99"/>
    <d v="2022-05-30T00:00:00"/>
    <n v="1"/>
    <n v="45.33"/>
    <n v="58"/>
  </r>
  <r>
    <x v="81"/>
    <d v="2022-05-30T00:00:00"/>
    <n v="2"/>
    <n v="47.4"/>
    <n v="82"/>
  </r>
  <r>
    <x v="20"/>
    <d v="2022-05-30T00:00:00"/>
    <n v="1"/>
    <n v="147.18"/>
    <n v="176"/>
  </r>
  <r>
    <x v="112"/>
    <d v="2022-05-30T00:00:00"/>
    <n v="1"/>
    <n v="23.14"/>
    <n v="28"/>
  </r>
  <r>
    <x v="112"/>
    <d v="2022-05-30T00:00:00"/>
    <n v="1"/>
    <n v="23.14"/>
    <n v="28"/>
  </r>
  <r>
    <x v="43"/>
    <d v="2022-05-30T00:00:00"/>
    <n v="1"/>
    <n v="39"/>
    <n v="60"/>
  </r>
  <r>
    <x v="7"/>
    <d v="2022-05-30T00:00:00"/>
    <n v="1"/>
    <n v="56.1"/>
    <n v="70"/>
  </r>
  <r>
    <x v="4"/>
    <d v="2022-05-30T00:00:00"/>
    <n v="1"/>
    <n v="80.69"/>
    <n v="98"/>
  </r>
  <r>
    <x v="24"/>
    <d v="2022-05-30T00:00:00"/>
    <n v="1"/>
    <n v="481.17"/>
    <n v="650"/>
  </r>
  <r>
    <x v="36"/>
    <d v="2022-05-30T00:00:00"/>
    <n v="1"/>
    <n v="11.69"/>
    <n v="19"/>
  </r>
  <r>
    <x v="34"/>
    <d v="2022-05-30T00:00:00"/>
    <n v="2"/>
    <n v="11.72"/>
    <n v="19"/>
  </r>
  <r>
    <x v="34"/>
    <d v="2022-05-30T00:00:00"/>
    <n v="3"/>
    <n v="11.94"/>
    <n v="20"/>
  </r>
  <r>
    <x v="68"/>
    <d v="2022-05-30T00:00:00"/>
    <n v="1"/>
    <n v="8.01"/>
    <n v="13"/>
  </r>
  <r>
    <x v="42"/>
    <d v="2022-05-30T00:00:00"/>
    <n v="1"/>
    <n v="42.85"/>
    <n v="67"/>
  </r>
  <r>
    <x v="117"/>
    <d v="2022-05-30T00:00:00"/>
    <n v="1"/>
    <n v="20.86"/>
    <n v="26"/>
  </r>
  <r>
    <x v="141"/>
    <d v="2022-05-30T00:00:00"/>
    <n v="1"/>
    <n v="410.25"/>
    <n v="460"/>
  </r>
  <r>
    <x v="67"/>
    <d v="2022-05-30T00:00:00"/>
    <n v="1"/>
    <n v="558.69000000000005"/>
    <n v="738"/>
  </r>
  <r>
    <x v="124"/>
    <d v="2022-05-30T00:00:00"/>
    <n v="0.2"/>
    <n v="491.7"/>
    <n v="592"/>
  </r>
  <r>
    <x v="41"/>
    <d v="2022-05-30T00:00:00"/>
    <n v="1"/>
    <n v="19.7"/>
    <n v="24"/>
  </r>
  <r>
    <x v="52"/>
    <d v="2022-05-30T00:00:00"/>
    <n v="1"/>
    <n v="230.46"/>
    <n v="270"/>
  </r>
  <r>
    <x v="142"/>
    <d v="2022-05-30T00:00:00"/>
    <n v="1"/>
    <n v="136.94999999999999"/>
    <n v="194"/>
  </r>
  <r>
    <x v="18"/>
    <d v="2022-05-30T00:00:00"/>
    <n v="1"/>
    <n v="109.41"/>
    <n v="123"/>
  </r>
  <r>
    <x v="14"/>
    <d v="2022-05-30T00:00:00"/>
    <n v="1"/>
    <n v="81.73"/>
    <n v="102"/>
  </r>
  <r>
    <x v="113"/>
    <d v="2022-05-30T00:00:00"/>
    <n v="1"/>
    <n v="10.66"/>
    <n v="13"/>
  </r>
  <r>
    <x v="98"/>
    <d v="2022-05-30T00:00:00"/>
    <n v="1"/>
    <n v="45.88"/>
    <n v="73"/>
  </r>
  <r>
    <x v="44"/>
    <d v="2022-05-30T00:00:00"/>
    <n v="1"/>
    <n v="15.82"/>
    <n v="20"/>
  </r>
  <r>
    <x v="95"/>
    <d v="2022-05-30T00:00:00"/>
    <n v="1"/>
    <n v="35.49"/>
    <n v="55"/>
  </r>
  <r>
    <x v="64"/>
    <d v="2022-05-30T00:00:00"/>
    <n v="1"/>
    <n v="19.989999999999998"/>
    <n v="24"/>
  </r>
  <r>
    <x v="22"/>
    <d v="2022-05-30T00:00:00"/>
    <n v="1"/>
    <n v="102.34"/>
    <n v="157"/>
  </r>
  <r>
    <x v="2"/>
    <d v="2022-05-30T00:00:00"/>
    <n v="1"/>
    <n v="88.43"/>
    <n v="104"/>
  </r>
  <r>
    <x v="2"/>
    <d v="2022-05-30T00:00:00"/>
    <n v="1"/>
    <n v="88.43"/>
    <n v="104"/>
  </r>
  <r>
    <x v="19"/>
    <d v="2022-05-30T00:00:00"/>
    <n v="1"/>
    <n v="103.46"/>
    <n v="121"/>
  </r>
  <r>
    <x v="143"/>
    <d v="2022-05-30T00:00:00"/>
    <n v="1"/>
    <n v="37.75"/>
    <n v="58"/>
  </r>
  <r>
    <x v="143"/>
    <d v="2022-05-30T00:00:00"/>
    <n v="1"/>
    <n v="37.75"/>
    <n v="58"/>
  </r>
  <r>
    <x v="143"/>
    <d v="2022-05-30T00:00:00"/>
    <n v="1"/>
    <n v="37.75"/>
    <n v="58"/>
  </r>
  <r>
    <x v="146"/>
    <d v="2022-05-30T00:00:00"/>
    <n v="1"/>
    <n v="23.23"/>
    <n v="29"/>
  </r>
  <r>
    <x v="146"/>
    <d v="2022-05-30T00:00:00"/>
    <n v="1"/>
    <n v="23.23"/>
    <n v="29"/>
  </r>
  <r>
    <x v="146"/>
    <d v="2022-05-30T00:00:00"/>
    <n v="1"/>
    <n v="23.23"/>
    <n v="29"/>
  </r>
  <r>
    <x v="146"/>
    <d v="2022-05-30T00:00:00"/>
    <n v="1"/>
    <n v="23.23"/>
    <n v="29"/>
  </r>
  <r>
    <x v="146"/>
    <d v="2022-05-30T00:00:00"/>
    <n v="1"/>
    <n v="23.23"/>
    <n v="29"/>
  </r>
  <r>
    <x v="44"/>
    <d v="2022-05-30T00:00:00"/>
    <n v="1"/>
    <n v="17.93"/>
    <n v="22"/>
  </r>
  <r>
    <x v="44"/>
    <d v="2022-05-30T00:00:00"/>
    <n v="1"/>
    <n v="16.579999999999998"/>
    <n v="20"/>
  </r>
  <r>
    <x v="44"/>
    <d v="2022-05-30T00:00:00"/>
    <n v="1"/>
    <n v="16.579999999999998"/>
    <n v="20"/>
  </r>
  <r>
    <x v="18"/>
    <d v="2022-05-30T00:00:00"/>
    <n v="1"/>
    <n v="109.41"/>
    <n v="123"/>
  </r>
  <r>
    <x v="79"/>
    <d v="2022-05-30T00:00:00"/>
    <n v="1"/>
    <n v="153.22999999999999"/>
    <n v="177"/>
  </r>
  <r>
    <x v="22"/>
    <d v="2022-05-30T00:00:00"/>
    <n v="1"/>
    <n v="102.34"/>
    <n v="157"/>
  </r>
  <r>
    <x v="18"/>
    <d v="2022-05-30T00:00:00"/>
    <n v="1"/>
    <n v="169.95"/>
    <n v="178"/>
  </r>
  <r>
    <x v="146"/>
    <d v="2022-05-30T00:00:00"/>
    <n v="1"/>
    <n v="24.03"/>
    <n v="29"/>
  </r>
  <r>
    <x v="6"/>
    <d v="2022-05-30T00:00:00"/>
    <n v="1"/>
    <n v="24.2"/>
    <n v="39"/>
  </r>
  <r>
    <x v="117"/>
    <d v="2022-05-30T00:00:00"/>
    <n v="1"/>
    <n v="20.91"/>
    <n v="26"/>
  </r>
  <r>
    <x v="62"/>
    <d v="2022-05-30T00:00:00"/>
    <n v="1"/>
    <n v="55.04"/>
    <n v="80"/>
  </r>
  <r>
    <x v="144"/>
    <d v="2022-05-30T00:00:00"/>
    <n v="1"/>
    <n v="212.71"/>
    <n v="288"/>
  </r>
  <r>
    <x v="144"/>
    <d v="2022-05-30T00:00:00"/>
    <n v="1"/>
    <n v="212.71"/>
    <n v="288"/>
  </r>
  <r>
    <x v="144"/>
    <d v="2022-05-30T00:00:00"/>
    <n v="1"/>
    <n v="218.9"/>
    <n v="296"/>
  </r>
  <r>
    <x v="111"/>
    <d v="2022-05-30T00:00:00"/>
    <n v="1"/>
    <n v="109.07"/>
    <n v="128"/>
  </r>
  <r>
    <x v="15"/>
    <d v="2022-05-30T00:00:00"/>
    <n v="1"/>
    <n v="21.04"/>
    <n v="28"/>
  </r>
  <r>
    <x v="58"/>
    <d v="2022-05-30T00:00:00"/>
    <n v="1"/>
    <n v="71.45"/>
    <n v="90"/>
  </r>
  <r>
    <x v="18"/>
    <d v="2022-05-30T00:00:00"/>
    <n v="1"/>
    <n v="109.41"/>
    <n v="123"/>
  </r>
  <r>
    <x v="50"/>
    <d v="2022-05-30T00:00:00"/>
    <n v="1"/>
    <n v="80.05"/>
    <n v="98"/>
  </r>
  <r>
    <x v="50"/>
    <d v="2022-05-30T00:00:00"/>
    <n v="1"/>
    <n v="80.05"/>
    <n v="98"/>
  </r>
  <r>
    <x v="104"/>
    <d v="2022-05-30T00:00:00"/>
    <n v="1"/>
    <n v="87.78"/>
    <n v="99"/>
  </r>
  <r>
    <x v="0"/>
    <d v="2022-05-30T00:00:00"/>
    <n v="1"/>
    <n v="145.6"/>
    <n v="172"/>
  </r>
  <r>
    <x v="2"/>
    <d v="2022-05-30T00:00:00"/>
    <n v="1"/>
    <n v="88.73"/>
    <n v="106"/>
  </r>
  <r>
    <x v="42"/>
    <d v="2022-05-30T00:00:00"/>
    <n v="1"/>
    <n v="43"/>
    <n v="66"/>
  </r>
  <r>
    <x v="88"/>
    <d v="2022-05-30T00:00:00"/>
    <n v="1"/>
    <n v="71.040000000000006"/>
    <n v="101"/>
  </r>
  <r>
    <x v="3"/>
    <d v="2022-05-30T00:00:00"/>
    <n v="1"/>
    <n v="47.83"/>
    <n v="78"/>
  </r>
  <r>
    <x v="3"/>
    <d v="2022-05-30T00:00:00"/>
    <n v="1"/>
    <n v="47.82"/>
    <n v="77"/>
  </r>
  <r>
    <x v="48"/>
    <d v="2022-05-30T00:00:00"/>
    <n v="1"/>
    <n v="23.4"/>
    <n v="38"/>
  </r>
  <r>
    <x v="21"/>
    <d v="2022-05-30T00:00:00"/>
    <n v="0.2"/>
    <n v="986.58"/>
    <n v="1352"/>
  </r>
  <r>
    <x v="72"/>
    <d v="2022-05-30T00:00:00"/>
    <n v="1"/>
    <n v="60.99"/>
    <n v="76"/>
  </r>
  <r>
    <x v="26"/>
    <d v="2022-05-30T00:00:00"/>
    <n v="1"/>
    <n v="13.19"/>
    <n v="18"/>
  </r>
  <r>
    <x v="26"/>
    <d v="2022-05-30T00:00:00"/>
    <n v="1"/>
    <n v="13.19"/>
    <n v="18"/>
  </r>
  <r>
    <x v="26"/>
    <d v="2022-05-30T00:00:00"/>
    <n v="1"/>
    <n v="13.19"/>
    <n v="18"/>
  </r>
  <r>
    <x v="26"/>
    <d v="2022-05-30T00:00:00"/>
    <n v="1"/>
    <n v="13.19"/>
    <n v="18"/>
  </r>
  <r>
    <x v="26"/>
    <d v="2022-05-30T00:00:00"/>
    <n v="1"/>
    <n v="13.19"/>
    <n v="18"/>
  </r>
  <r>
    <x v="26"/>
    <d v="2022-05-30T00:00:00"/>
    <n v="1"/>
    <n v="13.19"/>
    <n v="18"/>
  </r>
  <r>
    <x v="26"/>
    <d v="2022-05-30T00:00:00"/>
    <n v="1"/>
    <n v="13.19"/>
    <n v="18"/>
  </r>
  <r>
    <x v="26"/>
    <d v="2022-05-30T00:00:00"/>
    <n v="1"/>
    <n v="13.19"/>
    <n v="18"/>
  </r>
  <r>
    <x v="26"/>
    <d v="2022-05-30T00:00:00"/>
    <n v="1"/>
    <n v="13.19"/>
    <n v="18"/>
  </r>
  <r>
    <x v="26"/>
    <d v="2022-05-30T00:00:00"/>
    <n v="1"/>
    <n v="13.19"/>
    <n v="18"/>
  </r>
  <r>
    <x v="60"/>
    <d v="2022-05-30T00:00:00"/>
    <n v="1"/>
    <n v="187.12"/>
    <n v="219"/>
  </r>
  <r>
    <x v="21"/>
    <d v="2022-05-30T00:00:00"/>
    <n v="0.1"/>
    <n v="984.79"/>
    <n v="1300"/>
  </r>
  <r>
    <x v="43"/>
    <d v="2022-05-30T00:00:00"/>
    <n v="1"/>
    <n v="39.83"/>
    <n v="63"/>
  </r>
  <r>
    <x v="92"/>
    <d v="2022-05-30T00:00:00"/>
    <n v="1"/>
    <n v="426.66"/>
    <n v="564"/>
  </r>
  <r>
    <x v="14"/>
    <d v="2022-05-30T00:00:00"/>
    <n v="1"/>
    <n v="81.290000000000006"/>
    <n v="103"/>
  </r>
  <r>
    <x v="14"/>
    <d v="2022-05-30T00:00:00"/>
    <n v="1"/>
    <n v="81.290000000000006"/>
    <n v="103"/>
  </r>
  <r>
    <x v="137"/>
    <d v="2022-05-30T00:00:00"/>
    <n v="1"/>
    <n v="12.86"/>
    <n v="15"/>
  </r>
  <r>
    <x v="137"/>
    <d v="2022-05-30T00:00:00"/>
    <n v="1"/>
    <n v="12.86"/>
    <n v="15"/>
  </r>
  <r>
    <x v="137"/>
    <d v="2022-05-30T00:00:00"/>
    <n v="1"/>
    <n v="12.86"/>
    <n v="15"/>
  </r>
  <r>
    <x v="148"/>
    <d v="2022-05-30T00:00:00"/>
    <n v="1"/>
    <n v="10.34"/>
    <n v="12"/>
  </r>
  <r>
    <x v="148"/>
    <d v="2022-05-30T00:00:00"/>
    <n v="1"/>
    <n v="10.34"/>
    <n v="12"/>
  </r>
  <r>
    <x v="14"/>
    <d v="2022-05-30T00:00:00"/>
    <n v="1"/>
    <n v="82.26"/>
    <n v="103"/>
  </r>
  <r>
    <x v="148"/>
    <d v="2022-05-30T00:00:00"/>
    <n v="1"/>
    <n v="9.4600000000000009"/>
    <n v="11"/>
  </r>
  <r>
    <x v="134"/>
    <d v="2022-05-30T00:00:00"/>
    <n v="1"/>
    <n v="24.18"/>
    <n v="39"/>
  </r>
  <r>
    <x v="58"/>
    <d v="2022-05-30T00:00:00"/>
    <n v="1"/>
    <n v="71.45"/>
    <n v="90"/>
  </r>
  <r>
    <x v="58"/>
    <d v="2022-05-30T00:00:00"/>
    <n v="1"/>
    <n v="71.45"/>
    <n v="90"/>
  </r>
  <r>
    <x v="6"/>
    <d v="2022-05-30T00:00:00"/>
    <n v="1"/>
    <n v="24.2"/>
    <n v="39"/>
  </r>
  <r>
    <x v="34"/>
    <d v="2022-05-30T00:00:00"/>
    <n v="2"/>
    <n v="9.9499999999999993"/>
    <n v="17"/>
  </r>
  <r>
    <x v="26"/>
    <d v="2022-05-30T00:00:00"/>
    <n v="1"/>
    <n v="14.4"/>
    <n v="19"/>
  </r>
  <r>
    <x v="41"/>
    <d v="2022-05-30T00:00:00"/>
    <n v="1"/>
    <n v="19.43"/>
    <n v="24"/>
  </r>
  <r>
    <x v="5"/>
    <d v="2022-05-30T00:00:00"/>
    <n v="1"/>
    <n v="11.67"/>
    <n v="14"/>
  </r>
  <r>
    <x v="117"/>
    <d v="2022-05-30T00:00:00"/>
    <n v="1"/>
    <n v="20.86"/>
    <n v="26"/>
  </r>
  <r>
    <x v="44"/>
    <d v="2022-05-30T00:00:00"/>
    <n v="1"/>
    <n v="15.82"/>
    <n v="20"/>
  </r>
  <r>
    <x v="27"/>
    <d v="2022-05-30T00:00:00"/>
    <n v="1"/>
    <n v="149.72999999999999"/>
    <n v="236"/>
  </r>
  <r>
    <x v="78"/>
    <d v="2022-05-30T00:00:00"/>
    <n v="1"/>
    <n v="201.63"/>
    <n v="240"/>
  </r>
  <r>
    <x v="25"/>
    <d v="2022-05-30T00:00:00"/>
    <n v="1"/>
    <n v="156.19999999999999"/>
    <n v="186"/>
  </r>
  <r>
    <x v="30"/>
    <d v="2022-05-30T00:00:00"/>
    <n v="1"/>
    <n v="33.11"/>
    <n v="51"/>
  </r>
  <r>
    <x v="94"/>
    <d v="2022-05-30T00:00:00"/>
    <n v="1"/>
    <n v="74.3"/>
    <n v="91"/>
  </r>
  <r>
    <x v="46"/>
    <d v="2022-05-30T00:00:00"/>
    <n v="8"/>
    <n v="2.0099999999999998"/>
    <n v="4"/>
  </r>
  <r>
    <x v="52"/>
    <d v="2022-05-30T00:00:00"/>
    <n v="1"/>
    <n v="233.74"/>
    <n v="274"/>
  </r>
  <r>
    <x v="94"/>
    <d v="2022-05-30T00:00:00"/>
    <n v="1"/>
    <n v="64.25"/>
    <n v="76"/>
  </r>
  <r>
    <x v="57"/>
    <d v="2022-05-30T00:00:00"/>
    <n v="1"/>
    <n v="25.62"/>
    <n v="31"/>
  </r>
  <r>
    <x v="11"/>
    <d v="2022-05-30T00:00:00"/>
    <n v="1"/>
    <n v="43.49"/>
    <n v="67"/>
  </r>
  <r>
    <x v="11"/>
    <d v="2022-05-30T00:00:00"/>
    <n v="1"/>
    <n v="43.22"/>
    <n v="66"/>
  </r>
  <r>
    <x v="5"/>
    <d v="2022-05-30T00:00:00"/>
    <n v="1"/>
    <n v="11.67"/>
    <n v="14"/>
  </r>
  <r>
    <x v="52"/>
    <d v="2022-05-30T00:00:00"/>
    <n v="1"/>
    <n v="233.74"/>
    <n v="262"/>
  </r>
  <r>
    <x v="36"/>
    <d v="2022-05-30T00:00:00"/>
    <n v="1"/>
    <n v="10.9"/>
    <n v="18"/>
  </r>
  <r>
    <x v="144"/>
    <d v="2022-05-30T00:00:00"/>
    <n v="1"/>
    <n v="223.14"/>
    <n v="313"/>
  </r>
  <r>
    <x v="97"/>
    <d v="2022-05-30T00:00:00"/>
    <n v="1"/>
    <n v="26.11"/>
    <n v="32"/>
  </r>
  <r>
    <x v="97"/>
    <d v="2022-05-30T00:00:00"/>
    <n v="1"/>
    <n v="26.11"/>
    <n v="32"/>
  </r>
  <r>
    <x v="97"/>
    <d v="2022-05-30T00:00:00"/>
    <n v="1"/>
    <n v="26.11"/>
    <n v="32"/>
  </r>
  <r>
    <x v="46"/>
    <d v="2022-05-30T00:00:00"/>
    <n v="4"/>
    <n v="2.0099999999999998"/>
    <n v="4"/>
  </r>
  <r>
    <x v="23"/>
    <d v="2022-05-30T00:00:00"/>
    <n v="1"/>
    <n v="148.83000000000001"/>
    <n v="207"/>
  </r>
  <r>
    <x v="49"/>
    <d v="2022-05-30T00:00:00"/>
    <n v="1"/>
    <n v="731.05"/>
    <n v="944"/>
  </r>
  <r>
    <x v="31"/>
    <d v="2022-05-30T00:00:00"/>
    <n v="1"/>
    <n v="21.26"/>
    <n v="27"/>
  </r>
  <r>
    <x v="15"/>
    <d v="2022-05-30T00:00:00"/>
    <n v="1"/>
    <n v="19.71"/>
    <n v="23"/>
  </r>
  <r>
    <x v="40"/>
    <d v="2022-05-30T00:00:00"/>
    <n v="1"/>
    <n v="28.85"/>
    <n v="47"/>
  </r>
  <r>
    <x v="52"/>
    <d v="2022-05-30T00:00:00"/>
    <n v="1"/>
    <n v="233.74"/>
    <n v="274"/>
  </r>
  <r>
    <x v="12"/>
    <d v="2022-05-30T00:00:00"/>
    <n v="1"/>
    <n v="389.53"/>
    <n v="468"/>
  </r>
  <r>
    <x v="22"/>
    <d v="2022-05-30T00:00:00"/>
    <n v="1"/>
    <n v="102.34"/>
    <n v="157"/>
  </r>
  <r>
    <x v="64"/>
    <d v="2022-05-30T00:00:00"/>
    <n v="1"/>
    <n v="19.989999999999998"/>
    <n v="24"/>
  </r>
  <r>
    <x v="64"/>
    <d v="2022-05-30T00:00:00"/>
    <n v="1"/>
    <n v="19.989999999999998"/>
    <n v="24"/>
  </r>
  <r>
    <x v="63"/>
    <d v="2022-05-30T00:00:00"/>
    <n v="1"/>
    <n v="53.57"/>
    <n v="82"/>
  </r>
  <r>
    <x v="63"/>
    <d v="2022-05-30T00:00:00"/>
    <n v="1"/>
    <n v="53.57"/>
    <n v="82"/>
  </r>
  <r>
    <x v="80"/>
    <d v="2022-05-30T00:00:00"/>
    <n v="1"/>
    <n v="16.62"/>
    <n v="26"/>
  </r>
  <r>
    <x v="80"/>
    <d v="2022-05-30T00:00:00"/>
    <n v="1"/>
    <n v="16.62"/>
    <n v="26"/>
  </r>
  <r>
    <x v="76"/>
    <d v="2022-05-30T00:00:00"/>
    <n v="1"/>
    <n v="40.14"/>
    <n v="49"/>
  </r>
  <r>
    <x v="5"/>
    <d v="2022-05-30T00:00:00"/>
    <n v="1"/>
    <n v="11.67"/>
    <n v="14"/>
  </r>
  <r>
    <x v="5"/>
    <d v="2022-05-30T00:00:00"/>
    <n v="1"/>
    <n v="11.67"/>
    <n v="14"/>
  </r>
  <r>
    <x v="56"/>
    <d v="2022-05-30T00:00:00"/>
    <n v="1"/>
    <n v="32.979999999999997"/>
    <n v="52"/>
  </r>
  <r>
    <x v="138"/>
    <d v="2022-05-30T00:00:00"/>
    <n v="1"/>
    <n v="51.43"/>
    <n v="79"/>
  </r>
  <r>
    <x v="138"/>
    <d v="2022-05-30T00:00:00"/>
    <n v="1"/>
    <n v="51.43"/>
    <n v="79"/>
  </r>
  <r>
    <x v="138"/>
    <d v="2022-05-30T00:00:00"/>
    <n v="1"/>
    <n v="51.43"/>
    <n v="79"/>
  </r>
  <r>
    <x v="58"/>
    <d v="2022-05-30T00:00:00"/>
    <n v="1"/>
    <n v="71.790000000000006"/>
    <n v="94"/>
  </r>
  <r>
    <x v="58"/>
    <d v="2022-05-30T00:00:00"/>
    <n v="1"/>
    <n v="71.790000000000006"/>
    <n v="94"/>
  </r>
  <r>
    <x v="82"/>
    <d v="2022-05-30T00:00:00"/>
    <n v="1"/>
    <n v="323.66000000000003"/>
    <n v="389"/>
  </r>
  <r>
    <x v="60"/>
    <d v="2022-05-30T00:00:00"/>
    <n v="1"/>
    <n v="187.33"/>
    <n v="220"/>
  </r>
  <r>
    <x v="52"/>
    <d v="2022-05-30T00:00:00"/>
    <n v="1"/>
    <n v="233.74"/>
    <n v="274"/>
  </r>
  <r>
    <x v="122"/>
    <d v="2022-05-30T00:00:00"/>
    <n v="1"/>
    <n v="118.82"/>
    <n v="161"/>
  </r>
  <r>
    <x v="67"/>
    <d v="2022-05-30T00:00:00"/>
    <n v="1"/>
    <n v="558.69000000000005"/>
    <n v="738"/>
  </r>
  <r>
    <x v="2"/>
    <d v="2022-05-30T00:00:00"/>
    <n v="1"/>
    <n v="88.43"/>
    <n v="106"/>
  </r>
  <r>
    <x v="148"/>
    <d v="2022-05-30T00:00:00"/>
    <n v="1"/>
    <n v="9.4600000000000009"/>
    <n v="11"/>
  </r>
  <r>
    <x v="110"/>
    <d v="2022-05-30T00:00:00"/>
    <n v="1"/>
    <n v="69.849999999999994"/>
    <n v="88"/>
  </r>
  <r>
    <x v="40"/>
    <d v="2022-05-30T00:00:00"/>
    <n v="1"/>
    <n v="28.85"/>
    <n v="47"/>
  </r>
  <r>
    <x v="0"/>
    <d v="2022-05-30T00:00:00"/>
    <n v="1"/>
    <n v="130.43"/>
    <n v="150"/>
  </r>
  <r>
    <x v="60"/>
    <d v="2022-05-30T00:00:00"/>
    <n v="1"/>
    <n v="187.36"/>
    <n v="220"/>
  </r>
  <r>
    <x v="131"/>
    <d v="2022-05-30T00:00:00"/>
    <n v="1"/>
    <n v="286.11"/>
    <n v="392"/>
  </r>
  <r>
    <x v="0"/>
    <d v="2022-05-30T00:00:00"/>
    <n v="1"/>
    <n v="145.6"/>
    <n v="169"/>
  </r>
  <r>
    <x v="31"/>
    <d v="2022-05-30T00:00:00"/>
    <n v="1"/>
    <n v="22"/>
    <n v="28"/>
  </r>
  <r>
    <x v="31"/>
    <d v="2022-05-30T00:00:00"/>
    <n v="1"/>
    <n v="22"/>
    <n v="28"/>
  </r>
  <r>
    <x v="31"/>
    <d v="2022-05-30T00:00:00"/>
    <n v="1"/>
    <n v="22"/>
    <n v="28"/>
  </r>
  <r>
    <x v="15"/>
    <d v="2022-05-30T00:00:00"/>
    <n v="1"/>
    <n v="21.04"/>
    <n v="28"/>
  </r>
  <r>
    <x v="32"/>
    <d v="2022-05-30T00:00:00"/>
    <n v="1"/>
    <n v="51.84"/>
    <n v="65"/>
  </r>
  <r>
    <x v="32"/>
    <d v="2022-05-30T00:00:00"/>
    <n v="1"/>
    <n v="36.86"/>
    <n v="47"/>
  </r>
  <r>
    <x v="32"/>
    <d v="2022-05-30T00:00:00"/>
    <n v="1"/>
    <n v="36.86"/>
    <n v="47"/>
  </r>
  <r>
    <x v="107"/>
    <d v="2022-05-30T00:00:00"/>
    <n v="1"/>
    <n v="251.57"/>
    <n v="305"/>
  </r>
  <r>
    <x v="18"/>
    <d v="2022-05-30T00:00:00"/>
    <n v="1"/>
    <n v="109.41"/>
    <n v="123"/>
  </r>
  <r>
    <x v="130"/>
    <d v="2022-05-30T00:00:00"/>
    <n v="1"/>
    <n v="72.31"/>
    <n v="90"/>
  </r>
  <r>
    <x v="74"/>
    <d v="2022-05-30T00:00:00"/>
    <n v="1"/>
    <n v="148.5"/>
    <n v="177"/>
  </r>
  <r>
    <x v="2"/>
    <d v="2022-05-30T00:00:00"/>
    <n v="1"/>
    <n v="88.43"/>
    <n v="106"/>
  </r>
  <r>
    <x v="57"/>
    <d v="2022-05-30T00:00:00"/>
    <n v="1"/>
    <n v="25.62"/>
    <n v="31"/>
  </r>
  <r>
    <x v="57"/>
    <d v="2022-05-30T00:00:00"/>
    <n v="1"/>
    <n v="25.62"/>
    <n v="31"/>
  </r>
  <r>
    <x v="57"/>
    <d v="2022-05-30T00:00:00"/>
    <n v="1"/>
    <n v="25.62"/>
    <n v="31"/>
  </r>
  <r>
    <x v="59"/>
    <d v="2022-05-30T00:00:00"/>
    <n v="1"/>
    <n v="200.39"/>
    <n v="265"/>
  </r>
  <r>
    <x v="92"/>
    <d v="2022-05-30T00:00:00"/>
    <n v="1"/>
    <n v="426.67"/>
    <n v="564"/>
  </r>
  <r>
    <x v="58"/>
    <d v="2022-05-30T00:00:00"/>
    <n v="1"/>
    <n v="73.3"/>
    <n v="88"/>
  </r>
  <r>
    <x v="93"/>
    <d v="2022-05-30T00:00:00"/>
    <n v="1"/>
    <n v="111.32"/>
    <n v="134"/>
  </r>
  <r>
    <x v="95"/>
    <d v="2022-05-30T00:00:00"/>
    <n v="1"/>
    <n v="37.46"/>
    <n v="57"/>
  </r>
  <r>
    <x v="114"/>
    <d v="2022-05-30T00:00:00"/>
    <n v="0.107143"/>
    <n v="628.24"/>
    <n v="694"/>
  </r>
  <r>
    <x v="12"/>
    <d v="2022-05-30T00:00:00"/>
    <n v="1"/>
    <n v="389.53"/>
    <n v="468"/>
  </r>
  <r>
    <x v="126"/>
    <d v="2022-05-30T00:00:00"/>
    <n v="1"/>
    <n v="361.91"/>
    <n v="417"/>
  </r>
  <r>
    <x v="140"/>
    <d v="2022-05-30T00:00:00"/>
    <n v="1"/>
    <n v="25.3"/>
    <n v="31"/>
  </r>
  <r>
    <x v="93"/>
    <d v="2022-05-30T00:00:00"/>
    <n v="1"/>
    <n v="111.21"/>
    <n v="134"/>
  </r>
  <r>
    <x v="131"/>
    <d v="2022-05-30T00:00:00"/>
    <n v="1"/>
    <n v="286.72000000000003"/>
    <n v="396"/>
  </r>
  <r>
    <x v="26"/>
    <d v="2022-05-30T00:00:00"/>
    <n v="1"/>
    <n v="13.05"/>
    <n v="18"/>
  </r>
  <r>
    <x v="26"/>
    <d v="2022-05-30T00:00:00"/>
    <n v="1"/>
    <n v="13.05"/>
    <n v="18"/>
  </r>
  <r>
    <x v="26"/>
    <d v="2022-05-30T00:00:00"/>
    <n v="1"/>
    <n v="13.05"/>
    <n v="18"/>
  </r>
  <r>
    <x v="26"/>
    <d v="2022-05-30T00:00:00"/>
    <n v="1"/>
    <n v="13.05"/>
    <n v="18"/>
  </r>
  <r>
    <x v="26"/>
    <d v="2022-05-30T00:00:00"/>
    <n v="1"/>
    <n v="13.05"/>
    <n v="18"/>
  </r>
  <r>
    <x v="31"/>
    <d v="2022-05-30T00:00:00"/>
    <n v="1"/>
    <n v="22"/>
    <n v="28"/>
  </r>
  <r>
    <x v="31"/>
    <d v="2022-05-30T00:00:00"/>
    <n v="1"/>
    <n v="22"/>
    <n v="28"/>
  </r>
  <r>
    <x v="79"/>
    <d v="2022-05-30T00:00:00"/>
    <n v="1"/>
    <n v="175.74"/>
    <n v="220"/>
  </r>
  <r>
    <x v="79"/>
    <d v="2022-05-30T00:00:00"/>
    <n v="1"/>
    <n v="175.74"/>
    <n v="220"/>
  </r>
  <r>
    <x v="25"/>
    <d v="2022-05-30T00:00:00"/>
    <n v="1"/>
    <n v="156.19999999999999"/>
    <n v="186"/>
  </r>
  <r>
    <x v="2"/>
    <d v="2022-05-30T00:00:00"/>
    <n v="1"/>
    <n v="88.43"/>
    <n v="104"/>
  </r>
  <r>
    <x v="95"/>
    <d v="2022-05-30T00:00:00"/>
    <n v="1"/>
    <n v="37.46"/>
    <n v="57"/>
  </r>
  <r>
    <x v="95"/>
    <d v="2022-05-30T00:00:00"/>
    <n v="1"/>
    <n v="37.46"/>
    <n v="57"/>
  </r>
  <r>
    <x v="133"/>
    <d v="2022-05-30T00:00:00"/>
    <n v="1"/>
    <n v="46.5"/>
    <n v="75"/>
  </r>
  <r>
    <x v="31"/>
    <d v="2022-05-30T00:00:00"/>
    <n v="1"/>
    <n v="22"/>
    <n v="28"/>
  </r>
  <r>
    <x v="31"/>
    <d v="2022-05-30T00:00:00"/>
    <n v="1"/>
    <n v="22"/>
    <n v="28"/>
  </r>
  <r>
    <x v="31"/>
    <d v="2022-05-30T00:00:00"/>
    <n v="1"/>
    <n v="22"/>
    <n v="28"/>
  </r>
  <r>
    <x v="15"/>
    <d v="2022-05-30T00:00:00"/>
    <n v="1"/>
    <n v="21.04"/>
    <n v="28"/>
  </r>
  <r>
    <x v="15"/>
    <d v="2022-05-30T00:00:00"/>
    <n v="1"/>
    <n v="21.04"/>
    <n v="28"/>
  </r>
  <r>
    <x v="15"/>
    <d v="2022-05-30T00:00:00"/>
    <n v="1"/>
    <n v="22.66"/>
    <n v="30"/>
  </r>
  <r>
    <x v="21"/>
    <d v="2022-05-30T00:00:00"/>
    <n v="0.1"/>
    <n v="986.58"/>
    <n v="1352"/>
  </r>
  <r>
    <x v="59"/>
    <d v="2022-05-30T00:00:00"/>
    <n v="1"/>
    <n v="230.4"/>
    <n v="323"/>
  </r>
  <r>
    <x v="26"/>
    <d v="2022-05-30T00:00:00"/>
    <n v="1"/>
    <n v="13.19"/>
    <n v="18"/>
  </r>
  <r>
    <x v="57"/>
    <d v="2022-05-30T00:00:00"/>
    <n v="1"/>
    <n v="25.29"/>
    <n v="30"/>
  </r>
  <r>
    <x v="57"/>
    <d v="2022-05-30T00:00:00"/>
    <n v="1"/>
    <n v="25.71"/>
    <n v="31"/>
  </r>
  <r>
    <x v="57"/>
    <d v="2022-05-30T00:00:00"/>
    <n v="1"/>
    <n v="25.71"/>
    <n v="31"/>
  </r>
  <r>
    <x v="128"/>
    <d v="2022-05-30T00:00:00"/>
    <n v="3"/>
    <n v="6.13"/>
    <n v="10"/>
  </r>
  <r>
    <x v="46"/>
    <d v="2022-05-30T00:00:00"/>
    <n v="8"/>
    <n v="2.0499999999999998"/>
    <n v="4"/>
  </r>
  <r>
    <x v="46"/>
    <d v="2022-05-30T00:00:00"/>
    <n v="4"/>
    <n v="2.0499999999999998"/>
    <n v="4"/>
  </r>
  <r>
    <x v="7"/>
    <d v="2022-05-30T00:00:00"/>
    <n v="1"/>
    <n v="56.1"/>
    <n v="70"/>
  </r>
  <r>
    <x v="7"/>
    <d v="2022-05-30T00:00:00"/>
    <n v="1"/>
    <n v="56.1"/>
    <n v="70"/>
  </r>
  <r>
    <x v="111"/>
    <d v="2022-05-30T00:00:00"/>
    <n v="1"/>
    <n v="101.43"/>
    <n v="120"/>
  </r>
  <r>
    <x v="1"/>
    <d v="2022-05-30T00:00:00"/>
    <n v="0.2"/>
    <n v="438.89"/>
    <n v="549"/>
  </r>
  <r>
    <x v="56"/>
    <d v="2022-05-30T00:00:00"/>
    <n v="1"/>
    <n v="32.85"/>
    <n v="52"/>
  </r>
  <r>
    <x v="101"/>
    <d v="2022-05-30T00:00:00"/>
    <n v="1"/>
    <n v="41.94"/>
    <n v="51"/>
  </r>
  <r>
    <x v="153"/>
    <d v="2022-05-29T00:00:00"/>
    <n v="1"/>
    <n v="23.8"/>
    <n v="31"/>
  </r>
  <r>
    <x v="37"/>
    <d v="2022-05-29T00:00:00"/>
    <n v="1"/>
    <n v="566.04"/>
    <n v="634"/>
  </r>
  <r>
    <x v="5"/>
    <d v="2022-05-29T00:00:00"/>
    <n v="1"/>
    <n v="11.67"/>
    <n v="14"/>
  </r>
  <r>
    <x v="142"/>
    <d v="2022-05-29T00:00:00"/>
    <n v="1"/>
    <n v="136.94999999999999"/>
    <n v="188"/>
  </r>
  <r>
    <x v="133"/>
    <d v="2022-05-29T00:00:00"/>
    <n v="1"/>
    <n v="46.5"/>
    <n v="76"/>
  </r>
  <r>
    <x v="67"/>
    <d v="2022-05-29T00:00:00"/>
    <n v="1"/>
    <n v="558.69000000000005"/>
    <n v="738"/>
  </r>
  <r>
    <x v="19"/>
    <d v="2022-05-29T00:00:00"/>
    <n v="1"/>
    <n v="103.46"/>
    <n v="121"/>
  </r>
  <r>
    <x v="67"/>
    <d v="2022-05-29T00:00:00"/>
    <n v="1"/>
    <n v="558.69000000000005"/>
    <n v="738"/>
  </r>
  <r>
    <x v="19"/>
    <d v="2022-05-29T00:00:00"/>
    <n v="1"/>
    <n v="96.14"/>
    <n v="118"/>
  </r>
  <r>
    <x v="67"/>
    <d v="2022-05-29T00:00:00"/>
    <n v="1"/>
    <n v="558.69000000000005"/>
    <n v="738"/>
  </r>
  <r>
    <x v="49"/>
    <d v="2022-05-29T00:00:00"/>
    <n v="1"/>
    <n v="731.05"/>
    <n v="944"/>
  </r>
  <r>
    <x v="100"/>
    <d v="2022-05-29T00:00:00"/>
    <n v="1"/>
    <n v="26.9"/>
    <n v="44"/>
  </r>
  <r>
    <x v="24"/>
    <d v="2022-05-29T00:00:00"/>
    <n v="1"/>
    <n v="489.61"/>
    <n v="661"/>
  </r>
  <r>
    <x v="148"/>
    <d v="2022-05-29T00:00:00"/>
    <n v="1"/>
    <n v="10.34"/>
    <n v="12"/>
  </r>
  <r>
    <x v="123"/>
    <d v="2022-05-29T00:00:00"/>
    <n v="1"/>
    <n v="282.82"/>
    <n v="396"/>
  </r>
  <r>
    <x v="36"/>
    <d v="2022-05-29T00:00:00"/>
    <n v="1"/>
    <n v="11.69"/>
    <n v="19"/>
  </r>
  <r>
    <x v="44"/>
    <d v="2022-05-29T00:00:00"/>
    <n v="1"/>
    <n v="15.53"/>
    <n v="19"/>
  </r>
  <r>
    <x v="44"/>
    <d v="2022-05-29T00:00:00"/>
    <n v="1"/>
    <n v="15.53"/>
    <n v="19"/>
  </r>
  <r>
    <x v="26"/>
    <d v="2022-05-29T00:00:00"/>
    <n v="1"/>
    <n v="14.4"/>
    <n v="19"/>
  </r>
  <r>
    <x v="6"/>
    <d v="2022-05-29T00:00:00"/>
    <n v="1"/>
    <n v="24.2"/>
    <n v="39"/>
  </r>
  <r>
    <x v="46"/>
    <d v="2022-05-29T00:00:00"/>
    <n v="4"/>
    <n v="2.2999999999999998"/>
    <n v="4"/>
  </r>
  <r>
    <x v="47"/>
    <d v="2022-05-29T00:00:00"/>
    <n v="1"/>
    <n v="203.13"/>
    <n v="244"/>
  </r>
  <r>
    <x v="93"/>
    <d v="2022-05-29T00:00:00"/>
    <n v="1"/>
    <n v="111.21"/>
    <n v="134"/>
  </r>
  <r>
    <x v="92"/>
    <d v="2022-05-29T00:00:00"/>
    <n v="1"/>
    <n v="426.66"/>
    <n v="564"/>
  </r>
  <r>
    <x v="95"/>
    <d v="2022-05-29T00:00:00"/>
    <n v="1"/>
    <n v="37.479999999999997"/>
    <n v="57"/>
  </r>
  <r>
    <x v="9"/>
    <d v="2022-05-29T00:00:00"/>
    <n v="0.5"/>
    <n v="455.4"/>
    <n v="624"/>
  </r>
  <r>
    <x v="148"/>
    <d v="2022-05-29T00:00:00"/>
    <n v="1"/>
    <n v="9.4600000000000009"/>
    <n v="11"/>
  </r>
  <r>
    <x v="148"/>
    <d v="2022-05-29T00:00:00"/>
    <n v="1"/>
    <n v="9.4600000000000009"/>
    <n v="11"/>
  </r>
  <r>
    <x v="2"/>
    <d v="2022-05-29T00:00:00"/>
    <n v="1"/>
    <n v="88.43"/>
    <n v="104"/>
  </r>
  <r>
    <x v="14"/>
    <d v="2022-05-29T00:00:00"/>
    <n v="1"/>
    <n v="82.68"/>
    <n v="103"/>
  </r>
  <r>
    <x v="85"/>
    <d v="2022-05-29T00:00:00"/>
    <n v="1"/>
    <n v="384.59"/>
    <n v="474"/>
  </r>
  <r>
    <x v="51"/>
    <d v="2022-05-29T00:00:00"/>
    <n v="1"/>
    <n v="44.9"/>
    <n v="69"/>
  </r>
  <r>
    <x v="51"/>
    <d v="2022-05-29T00:00:00"/>
    <n v="1"/>
    <n v="44.9"/>
    <n v="69"/>
  </r>
  <r>
    <x v="141"/>
    <d v="2022-05-29T00:00:00"/>
    <n v="1"/>
    <n v="507.1"/>
    <n v="531"/>
  </r>
  <r>
    <x v="68"/>
    <d v="2022-05-29T00:00:00"/>
    <n v="1"/>
    <n v="8.01"/>
    <n v="13"/>
  </r>
  <r>
    <x v="51"/>
    <d v="2022-05-29T00:00:00"/>
    <n v="1"/>
    <n v="43.97"/>
    <n v="70"/>
  </r>
  <r>
    <x v="36"/>
    <d v="2022-05-29T00:00:00"/>
    <n v="1"/>
    <n v="11.52"/>
    <n v="20"/>
  </r>
  <r>
    <x v="117"/>
    <d v="2022-05-29T00:00:00"/>
    <n v="1"/>
    <n v="20.39"/>
    <n v="25"/>
  </r>
  <r>
    <x v="129"/>
    <d v="2022-05-29T00:00:00"/>
    <n v="1"/>
    <n v="33"/>
    <n v="51"/>
  </r>
  <r>
    <x v="117"/>
    <d v="2022-05-29T00:00:00"/>
    <n v="1"/>
    <n v="23.9"/>
    <n v="29"/>
  </r>
  <r>
    <x v="53"/>
    <d v="2022-05-29T00:00:00"/>
    <n v="1"/>
    <n v="88.35"/>
    <n v="107"/>
  </r>
  <r>
    <x v="53"/>
    <d v="2022-05-29T00:00:00"/>
    <n v="1"/>
    <n v="88.35"/>
    <n v="107"/>
  </r>
  <r>
    <x v="67"/>
    <d v="2022-05-29T00:00:00"/>
    <n v="1"/>
    <n v="558.69000000000005"/>
    <n v="738"/>
  </r>
  <r>
    <x v="67"/>
    <d v="2022-05-29T00:00:00"/>
    <n v="1"/>
    <n v="558.69000000000005"/>
    <n v="738"/>
  </r>
  <r>
    <x v="67"/>
    <d v="2022-05-29T00:00:00"/>
    <n v="1"/>
    <n v="558.69000000000005"/>
    <n v="738"/>
  </r>
  <r>
    <x v="30"/>
    <d v="2022-05-29T00:00:00"/>
    <n v="1"/>
    <n v="31.85"/>
    <n v="49"/>
  </r>
  <r>
    <x v="53"/>
    <d v="2022-05-29T00:00:00"/>
    <n v="1"/>
    <n v="84.36"/>
    <n v="102"/>
  </r>
  <r>
    <x v="2"/>
    <d v="2022-05-29T00:00:00"/>
    <n v="1"/>
    <n v="89.27"/>
    <n v="111"/>
  </r>
  <r>
    <x v="58"/>
    <d v="2022-05-29T00:00:00"/>
    <n v="1"/>
    <n v="71.38"/>
    <n v="86"/>
  </r>
  <r>
    <x v="22"/>
    <d v="2022-05-29T00:00:00"/>
    <n v="1"/>
    <n v="102.34"/>
    <n v="157"/>
  </r>
  <r>
    <x v="19"/>
    <d v="2022-05-29T00:00:00"/>
    <n v="1"/>
    <n v="102.47"/>
    <n v="121"/>
  </r>
  <r>
    <x v="127"/>
    <d v="2022-05-29T00:00:00"/>
    <n v="1"/>
    <n v="58.53"/>
    <n v="84"/>
  </r>
  <r>
    <x v="55"/>
    <d v="2022-05-29T00:00:00"/>
    <n v="1"/>
    <n v="56.76"/>
    <n v="71"/>
  </r>
  <r>
    <x v="55"/>
    <d v="2022-05-29T00:00:00"/>
    <n v="1"/>
    <n v="56.76"/>
    <n v="71"/>
  </r>
  <r>
    <x v="93"/>
    <d v="2022-05-29T00:00:00"/>
    <n v="1"/>
    <n v="111.32"/>
    <n v="134"/>
  </r>
  <r>
    <x v="111"/>
    <d v="2022-05-29T00:00:00"/>
    <n v="1"/>
    <n v="105.42"/>
    <n v="126"/>
  </r>
  <r>
    <x v="42"/>
    <d v="2022-05-29T00:00:00"/>
    <n v="1"/>
    <n v="42.85"/>
    <n v="67"/>
  </r>
  <r>
    <x v="134"/>
    <d v="2022-05-29T00:00:00"/>
    <n v="1"/>
    <n v="24.18"/>
    <n v="39"/>
  </r>
  <r>
    <x v="117"/>
    <d v="2022-05-29T00:00:00"/>
    <n v="1"/>
    <n v="20.39"/>
    <n v="25"/>
  </r>
  <r>
    <x v="144"/>
    <d v="2022-05-29T00:00:00"/>
    <n v="1"/>
    <n v="199.99"/>
    <n v="278"/>
  </r>
  <r>
    <x v="144"/>
    <d v="2022-05-29T00:00:00"/>
    <n v="1"/>
    <n v="199.99"/>
    <n v="278"/>
  </r>
  <r>
    <x v="144"/>
    <d v="2022-05-29T00:00:00"/>
    <n v="1"/>
    <n v="220.76"/>
    <n v="303"/>
  </r>
  <r>
    <x v="8"/>
    <d v="2022-05-29T00:00:00"/>
    <n v="1"/>
    <n v="119.73"/>
    <n v="144"/>
  </r>
  <r>
    <x v="11"/>
    <d v="2022-05-29T00:00:00"/>
    <n v="1"/>
    <n v="44.03"/>
    <n v="70"/>
  </r>
  <r>
    <x v="14"/>
    <d v="2022-05-29T00:00:00"/>
    <n v="1"/>
    <n v="81.290000000000006"/>
    <n v="103"/>
  </r>
  <r>
    <x v="19"/>
    <d v="2022-05-29T00:00:00"/>
    <n v="1"/>
    <n v="102.47"/>
    <n v="121"/>
  </r>
  <r>
    <x v="47"/>
    <d v="2022-05-29T00:00:00"/>
    <n v="1"/>
    <n v="205"/>
    <n v="250"/>
  </r>
  <r>
    <x v="151"/>
    <d v="2022-05-29T00:00:00"/>
    <n v="1"/>
    <n v="256.83"/>
    <n v="352"/>
  </r>
  <r>
    <x v="56"/>
    <d v="2022-05-29T00:00:00"/>
    <n v="1"/>
    <n v="32.979999999999997"/>
    <n v="52"/>
  </r>
  <r>
    <x v="60"/>
    <d v="2022-05-29T00:00:00"/>
    <n v="1"/>
    <n v="176.77"/>
    <n v="221"/>
  </r>
  <r>
    <x v="45"/>
    <d v="2022-05-29T00:00:00"/>
    <n v="1"/>
    <n v="43.86"/>
    <n v="55"/>
  </r>
  <r>
    <x v="36"/>
    <d v="2022-05-29T00:00:00"/>
    <n v="2"/>
    <n v="10.9"/>
    <n v="18"/>
  </r>
  <r>
    <x v="17"/>
    <d v="2022-05-29T00:00:00"/>
    <n v="1"/>
    <n v="30.3"/>
    <n v="49"/>
  </r>
  <r>
    <x v="14"/>
    <d v="2022-05-29T00:00:00"/>
    <n v="1"/>
    <n v="80.760000000000005"/>
    <n v="101"/>
  </r>
  <r>
    <x v="4"/>
    <d v="2022-05-29T00:00:00"/>
    <n v="1"/>
    <n v="81.91"/>
    <n v="99"/>
  </r>
  <r>
    <x v="42"/>
    <d v="2022-05-29T00:00:00"/>
    <n v="1"/>
    <n v="42.85"/>
    <n v="67"/>
  </r>
  <r>
    <x v="145"/>
    <d v="2022-05-29T00:00:00"/>
    <n v="1"/>
    <n v="94.8"/>
    <n v="147"/>
  </r>
  <r>
    <x v="4"/>
    <d v="2022-05-29T00:00:00"/>
    <n v="1"/>
    <n v="80.69"/>
    <n v="100"/>
  </r>
  <r>
    <x v="21"/>
    <d v="2022-05-29T00:00:00"/>
    <n v="0.2"/>
    <n v="1182.26"/>
    <n v="1537"/>
  </r>
  <r>
    <x v="17"/>
    <d v="2022-05-29T00:00:00"/>
    <n v="1"/>
    <n v="30.3"/>
    <n v="49"/>
  </r>
  <r>
    <x v="152"/>
    <d v="2022-05-29T00:00:00"/>
    <n v="2"/>
    <n v="12"/>
    <n v="20"/>
  </r>
  <r>
    <x v="141"/>
    <d v="2022-05-29T00:00:00"/>
    <n v="1"/>
    <n v="408.64"/>
    <n v="458"/>
  </r>
  <r>
    <x v="52"/>
    <d v="2022-05-29T00:00:00"/>
    <n v="1"/>
    <n v="233.74"/>
    <n v="274"/>
  </r>
  <r>
    <x v="26"/>
    <d v="2022-05-29T00:00:00"/>
    <n v="1"/>
    <n v="13.05"/>
    <n v="18"/>
  </r>
  <r>
    <x v="36"/>
    <d v="2022-05-29T00:00:00"/>
    <n v="1"/>
    <n v="10.9"/>
    <n v="18"/>
  </r>
  <r>
    <x v="2"/>
    <d v="2022-05-29T00:00:00"/>
    <n v="1"/>
    <n v="88.73"/>
    <n v="104"/>
  </r>
  <r>
    <x v="2"/>
    <d v="2022-05-29T00:00:00"/>
    <n v="1"/>
    <n v="88.73"/>
    <n v="104"/>
  </r>
  <r>
    <x v="60"/>
    <d v="2022-05-29T00:00:00"/>
    <n v="1"/>
    <n v="187.33"/>
    <n v="220"/>
  </r>
  <r>
    <x v="20"/>
    <d v="2022-05-29T00:00:00"/>
    <n v="1"/>
    <n v="147.18"/>
    <n v="177"/>
  </r>
  <r>
    <x v="63"/>
    <d v="2022-05-29T00:00:00"/>
    <n v="1"/>
    <n v="57.12"/>
    <n v="87"/>
  </r>
  <r>
    <x v="63"/>
    <d v="2022-05-29T00:00:00"/>
    <n v="1"/>
    <n v="57.12"/>
    <n v="87"/>
  </r>
  <r>
    <x v="63"/>
    <d v="2022-05-29T00:00:00"/>
    <n v="1"/>
    <n v="57.12"/>
    <n v="87"/>
  </r>
  <r>
    <x v="26"/>
    <d v="2022-05-29T00:00:00"/>
    <n v="1"/>
    <n v="14.4"/>
    <n v="19"/>
  </r>
  <r>
    <x v="26"/>
    <d v="2022-05-29T00:00:00"/>
    <n v="1"/>
    <n v="14.4"/>
    <n v="19"/>
  </r>
  <r>
    <x v="23"/>
    <d v="2022-05-29T00:00:00"/>
    <n v="1"/>
    <n v="148.91"/>
    <n v="204"/>
  </r>
  <r>
    <x v="31"/>
    <d v="2022-05-29T00:00:00"/>
    <n v="1"/>
    <n v="32.67"/>
    <n v="41"/>
  </r>
  <r>
    <x v="31"/>
    <d v="2022-05-29T00:00:00"/>
    <n v="1"/>
    <n v="32.67"/>
    <n v="41"/>
  </r>
  <r>
    <x v="103"/>
    <d v="2022-05-29T00:00:00"/>
    <n v="1"/>
    <n v="29.56"/>
    <n v="45"/>
  </r>
  <r>
    <x v="103"/>
    <d v="2022-05-29T00:00:00"/>
    <n v="1"/>
    <n v="29.56"/>
    <n v="45"/>
  </r>
  <r>
    <x v="87"/>
    <d v="2022-05-29T00:00:00"/>
    <n v="50"/>
    <n v="6.3"/>
    <n v="9"/>
  </r>
  <r>
    <x v="136"/>
    <d v="2022-05-29T00:00:00"/>
    <n v="2"/>
    <n v="12.2"/>
    <n v="20"/>
  </r>
  <r>
    <x v="107"/>
    <d v="2022-05-29T00:00:00"/>
    <n v="1"/>
    <n v="280.75"/>
    <n v="324"/>
  </r>
  <r>
    <x v="136"/>
    <d v="2022-05-29T00:00:00"/>
    <n v="1"/>
    <n v="12.2"/>
    <n v="20"/>
  </r>
  <r>
    <x v="152"/>
    <d v="2022-05-29T00:00:00"/>
    <n v="1"/>
    <n v="12"/>
    <n v="20"/>
  </r>
  <r>
    <x v="48"/>
    <d v="2022-05-29T00:00:00"/>
    <n v="1"/>
    <n v="23.4"/>
    <n v="38"/>
  </r>
  <r>
    <x v="18"/>
    <d v="2022-05-29T00:00:00"/>
    <n v="1"/>
    <n v="109.41"/>
    <n v="123"/>
  </r>
  <r>
    <x v="148"/>
    <d v="2022-05-29T00:00:00"/>
    <n v="1"/>
    <n v="10.34"/>
    <n v="12"/>
  </r>
  <r>
    <x v="6"/>
    <d v="2022-05-29T00:00:00"/>
    <n v="1"/>
    <n v="24.2"/>
    <n v="39"/>
  </r>
  <r>
    <x v="127"/>
    <d v="2022-05-29T00:00:00"/>
    <n v="1"/>
    <n v="58.53"/>
    <n v="84"/>
  </r>
  <r>
    <x v="127"/>
    <d v="2022-05-29T00:00:00"/>
    <n v="1"/>
    <n v="58.53"/>
    <n v="84"/>
  </r>
  <r>
    <x v="127"/>
    <d v="2022-05-29T00:00:00"/>
    <n v="1"/>
    <n v="58.53"/>
    <n v="84"/>
  </r>
  <r>
    <x v="60"/>
    <d v="2022-05-29T00:00:00"/>
    <n v="1"/>
    <n v="187.33"/>
    <n v="220"/>
  </r>
  <r>
    <x v="139"/>
    <d v="2022-05-29T00:00:00"/>
    <n v="1"/>
    <n v="51.98"/>
    <n v="81"/>
  </r>
  <r>
    <x v="88"/>
    <d v="2022-05-29T00:00:00"/>
    <n v="1"/>
    <n v="71.05"/>
    <n v="104"/>
  </r>
  <r>
    <x v="117"/>
    <d v="2022-05-29T00:00:00"/>
    <n v="1"/>
    <n v="20.86"/>
    <n v="26"/>
  </r>
  <r>
    <x v="27"/>
    <d v="2022-05-29T00:00:00"/>
    <n v="0.1"/>
    <n v="59.59"/>
    <n v="94"/>
  </r>
  <r>
    <x v="68"/>
    <d v="2022-05-29T00:00:00"/>
    <n v="1"/>
    <n v="8.06"/>
    <n v="14"/>
  </r>
  <r>
    <x v="86"/>
    <d v="2022-05-29T00:00:00"/>
    <n v="1"/>
    <n v="31.23"/>
    <n v="51"/>
  </r>
  <r>
    <x v="31"/>
    <d v="2022-05-29T00:00:00"/>
    <n v="1"/>
    <n v="32.67"/>
    <n v="41"/>
  </r>
  <r>
    <x v="31"/>
    <d v="2022-05-29T00:00:00"/>
    <n v="1"/>
    <n v="32.67"/>
    <n v="41"/>
  </r>
  <r>
    <x v="15"/>
    <d v="2022-05-29T00:00:00"/>
    <n v="1"/>
    <n v="19.71"/>
    <n v="25"/>
  </r>
  <r>
    <x v="15"/>
    <d v="2022-05-29T00:00:00"/>
    <n v="1"/>
    <n v="19.71"/>
    <n v="25"/>
  </r>
  <r>
    <x v="15"/>
    <d v="2022-05-29T00:00:00"/>
    <n v="1"/>
    <n v="19.71"/>
    <n v="25"/>
  </r>
  <r>
    <x v="15"/>
    <d v="2022-05-29T00:00:00"/>
    <n v="1"/>
    <n v="19.71"/>
    <n v="25"/>
  </r>
  <r>
    <x v="15"/>
    <d v="2022-05-29T00:00:00"/>
    <n v="1"/>
    <n v="19.71"/>
    <n v="25"/>
  </r>
  <r>
    <x v="103"/>
    <d v="2022-05-29T00:00:00"/>
    <n v="1"/>
    <n v="29.56"/>
    <n v="45"/>
  </r>
  <r>
    <x v="103"/>
    <d v="2022-05-29T00:00:00"/>
    <n v="1"/>
    <n v="29.56"/>
    <n v="45"/>
  </r>
  <r>
    <x v="103"/>
    <d v="2022-05-29T00:00:00"/>
    <n v="1"/>
    <n v="29.56"/>
    <n v="45"/>
  </r>
  <r>
    <x v="103"/>
    <d v="2022-05-29T00:00:00"/>
    <n v="1"/>
    <n v="29.56"/>
    <n v="45"/>
  </r>
  <r>
    <x v="111"/>
    <d v="2022-05-29T00:00:00"/>
    <n v="1"/>
    <n v="105.42"/>
    <n v="126"/>
  </r>
  <r>
    <x v="65"/>
    <d v="2022-05-29T00:00:00"/>
    <n v="1"/>
    <n v="164.67"/>
    <n v="210"/>
  </r>
  <r>
    <x v="9"/>
    <d v="2022-05-29T00:00:00"/>
    <n v="0.2"/>
    <n v="443.94"/>
    <n v="613"/>
  </r>
  <r>
    <x v="17"/>
    <d v="2022-05-29T00:00:00"/>
    <n v="2"/>
    <n v="30.3"/>
    <n v="49"/>
  </r>
  <r>
    <x v="0"/>
    <d v="2022-05-29T00:00:00"/>
    <n v="1"/>
    <n v="145.6"/>
    <n v="169"/>
  </r>
  <r>
    <x v="44"/>
    <d v="2022-05-29T00:00:00"/>
    <n v="1"/>
    <n v="15.58"/>
    <n v="19"/>
  </r>
  <r>
    <x v="87"/>
    <d v="2022-05-29T00:00:00"/>
    <n v="2"/>
    <n v="6.3"/>
    <n v="9"/>
  </r>
  <r>
    <x v="135"/>
    <d v="2022-05-29T00:00:00"/>
    <n v="1"/>
    <n v="158.29"/>
    <n v="190"/>
  </r>
  <r>
    <x v="2"/>
    <d v="2022-05-29T00:00:00"/>
    <n v="1"/>
    <n v="88.43"/>
    <n v="104"/>
  </r>
  <r>
    <x v="153"/>
    <d v="2022-05-29T00:00:00"/>
    <n v="1"/>
    <n v="23.8"/>
    <n v="31"/>
  </r>
  <r>
    <x v="153"/>
    <d v="2022-05-29T00:00:00"/>
    <n v="1"/>
    <n v="23.8"/>
    <n v="31"/>
  </r>
  <r>
    <x v="153"/>
    <d v="2022-05-29T00:00:00"/>
    <n v="1"/>
    <n v="23.8"/>
    <n v="31"/>
  </r>
  <r>
    <x v="153"/>
    <d v="2022-05-29T00:00:00"/>
    <n v="1"/>
    <n v="23.8"/>
    <n v="31"/>
  </r>
  <r>
    <x v="153"/>
    <d v="2022-05-29T00:00:00"/>
    <n v="1"/>
    <n v="23.8"/>
    <n v="31"/>
  </r>
  <r>
    <x v="153"/>
    <d v="2022-05-29T00:00:00"/>
    <n v="1"/>
    <n v="23.8"/>
    <n v="31"/>
  </r>
  <r>
    <x v="153"/>
    <d v="2022-05-29T00:00:00"/>
    <n v="1"/>
    <n v="23.8"/>
    <n v="31"/>
  </r>
  <r>
    <x v="153"/>
    <d v="2022-05-29T00:00:00"/>
    <n v="1"/>
    <n v="23.8"/>
    <n v="31"/>
  </r>
  <r>
    <x v="153"/>
    <d v="2022-05-29T00:00:00"/>
    <n v="1"/>
    <n v="23.8"/>
    <n v="31"/>
  </r>
  <r>
    <x v="90"/>
    <d v="2022-05-29T00:00:00"/>
    <n v="1"/>
    <n v="131.07"/>
    <n v="206"/>
  </r>
  <r>
    <x v="119"/>
    <d v="2022-05-29T00:00:00"/>
    <n v="1"/>
    <n v="42.85"/>
    <n v="70"/>
  </r>
  <r>
    <x v="100"/>
    <d v="2022-05-29T00:00:00"/>
    <n v="1"/>
    <n v="28.45"/>
    <n v="47"/>
  </r>
  <r>
    <x v="120"/>
    <d v="2022-05-29T00:00:00"/>
    <n v="1"/>
    <n v="331.43"/>
    <n v="431"/>
  </r>
  <r>
    <x v="112"/>
    <d v="2022-05-29T00:00:00"/>
    <n v="1"/>
    <n v="23.14"/>
    <n v="28"/>
  </r>
  <r>
    <x v="112"/>
    <d v="2022-05-29T00:00:00"/>
    <n v="1"/>
    <n v="23.14"/>
    <n v="28"/>
  </r>
  <r>
    <x v="22"/>
    <d v="2022-05-29T00:00:00"/>
    <n v="1"/>
    <n v="102.34"/>
    <n v="157"/>
  </r>
  <r>
    <x v="85"/>
    <d v="2022-05-29T00:00:00"/>
    <n v="1"/>
    <n v="390.04"/>
    <n v="469"/>
  </r>
  <r>
    <x v="83"/>
    <d v="2022-05-29T00:00:00"/>
    <n v="1"/>
    <n v="132"/>
    <n v="202"/>
  </r>
  <r>
    <x v="116"/>
    <d v="2022-05-29T00:00:00"/>
    <n v="1"/>
    <n v="11.41"/>
    <n v="19"/>
  </r>
  <r>
    <x v="129"/>
    <d v="2022-05-29T00:00:00"/>
    <n v="1"/>
    <n v="26.6"/>
    <n v="42"/>
  </r>
  <r>
    <x v="70"/>
    <d v="2022-05-29T00:00:00"/>
    <n v="0.2"/>
    <n v="466.1"/>
    <n v="709"/>
  </r>
  <r>
    <x v="57"/>
    <d v="2022-05-29T00:00:00"/>
    <n v="1"/>
    <n v="25.29"/>
    <n v="30"/>
  </r>
  <r>
    <x v="116"/>
    <d v="2022-05-29T00:00:00"/>
    <n v="1"/>
    <n v="11.41"/>
    <n v="19"/>
  </r>
  <r>
    <x v="4"/>
    <d v="2022-05-29T00:00:00"/>
    <n v="1"/>
    <n v="80.69"/>
    <n v="98"/>
  </r>
  <r>
    <x v="34"/>
    <d v="2022-05-29T00:00:00"/>
    <n v="1"/>
    <n v="9.9499999999999993"/>
    <n v="17"/>
  </r>
  <r>
    <x v="34"/>
    <d v="2022-05-29T00:00:00"/>
    <n v="2"/>
    <n v="9.9499999999999993"/>
    <n v="17"/>
  </r>
  <r>
    <x v="85"/>
    <d v="2022-05-29T00:00:00"/>
    <n v="1"/>
    <n v="397.03"/>
    <n v="477"/>
  </r>
  <r>
    <x v="0"/>
    <d v="2022-05-29T00:00:00"/>
    <n v="1"/>
    <n v="145.6"/>
    <n v="172"/>
  </r>
  <r>
    <x v="13"/>
    <d v="2022-05-29T00:00:00"/>
    <n v="1"/>
    <n v="44"/>
    <n v="70"/>
  </r>
  <r>
    <x v="13"/>
    <d v="2022-05-29T00:00:00"/>
    <n v="1"/>
    <n v="44"/>
    <n v="70"/>
  </r>
  <r>
    <x v="13"/>
    <d v="2022-05-29T00:00:00"/>
    <n v="1"/>
    <n v="44"/>
    <n v="70"/>
  </r>
  <r>
    <x v="13"/>
    <d v="2022-05-29T00:00:00"/>
    <n v="1"/>
    <n v="44"/>
    <n v="70"/>
  </r>
  <r>
    <x v="13"/>
    <d v="2022-05-29T00:00:00"/>
    <n v="1"/>
    <n v="44"/>
    <n v="70"/>
  </r>
  <r>
    <x v="26"/>
    <d v="2022-05-29T00:00:00"/>
    <n v="1"/>
    <n v="13.05"/>
    <n v="18"/>
  </r>
  <r>
    <x v="26"/>
    <d v="2022-05-29T00:00:00"/>
    <n v="1"/>
    <n v="13.05"/>
    <n v="18"/>
  </r>
  <r>
    <x v="153"/>
    <d v="2022-05-29T00:00:00"/>
    <n v="1"/>
    <n v="31.75"/>
    <n v="39"/>
  </r>
  <r>
    <x v="153"/>
    <d v="2022-05-29T00:00:00"/>
    <n v="1"/>
    <n v="31.75"/>
    <n v="39"/>
  </r>
  <r>
    <x v="153"/>
    <d v="2022-05-29T00:00:00"/>
    <n v="1"/>
    <n v="31.75"/>
    <n v="39"/>
  </r>
  <r>
    <x v="124"/>
    <d v="2022-05-29T00:00:00"/>
    <n v="0.16"/>
    <n v="491.7"/>
    <n v="592"/>
  </r>
  <r>
    <x v="88"/>
    <d v="2022-05-29T00:00:00"/>
    <n v="1"/>
    <n v="71.05"/>
    <n v="106"/>
  </r>
  <r>
    <x v="50"/>
    <d v="2022-05-29T00:00:00"/>
    <n v="1"/>
    <n v="77.63"/>
    <n v="95"/>
  </r>
  <r>
    <x v="97"/>
    <d v="2022-05-29T00:00:00"/>
    <n v="1"/>
    <n v="26.29"/>
    <n v="33"/>
  </r>
  <r>
    <x v="97"/>
    <d v="2022-05-29T00:00:00"/>
    <n v="1"/>
    <n v="26.29"/>
    <n v="33"/>
  </r>
  <r>
    <x v="110"/>
    <d v="2022-05-29T00:00:00"/>
    <n v="1"/>
    <n v="69.849999999999994"/>
    <n v="88"/>
  </r>
  <r>
    <x v="17"/>
    <d v="2022-05-29T00:00:00"/>
    <n v="1"/>
    <n v="30.3"/>
    <n v="49"/>
  </r>
  <r>
    <x v="136"/>
    <d v="2022-05-29T00:00:00"/>
    <n v="1"/>
    <n v="12.2"/>
    <n v="20"/>
  </r>
  <r>
    <x v="136"/>
    <d v="2022-05-29T00:00:00"/>
    <n v="2"/>
    <n v="12.2"/>
    <n v="20"/>
  </r>
  <r>
    <x v="151"/>
    <d v="2022-05-29T00:00:00"/>
    <n v="1"/>
    <n v="251.37"/>
    <n v="352"/>
  </r>
  <r>
    <x v="42"/>
    <d v="2022-05-29T00:00:00"/>
    <n v="1"/>
    <n v="42.85"/>
    <n v="67"/>
  </r>
  <r>
    <x v="27"/>
    <d v="2022-05-29T00:00:00"/>
    <n v="1"/>
    <n v="105"/>
    <n v="165"/>
  </r>
  <r>
    <x v="117"/>
    <d v="2022-05-29T00:00:00"/>
    <n v="1"/>
    <n v="20.39"/>
    <n v="25"/>
  </r>
  <r>
    <x v="119"/>
    <d v="2022-05-29T00:00:00"/>
    <n v="1"/>
    <n v="42.85"/>
    <n v="70"/>
  </r>
  <r>
    <x v="19"/>
    <d v="2022-05-29T00:00:00"/>
    <n v="1"/>
    <n v="103.46"/>
    <n v="121"/>
  </r>
  <r>
    <x v="7"/>
    <d v="2022-05-29T00:00:00"/>
    <n v="1"/>
    <n v="56.98"/>
    <n v="72"/>
  </r>
  <r>
    <x v="58"/>
    <d v="2022-05-29T00:00:00"/>
    <n v="1"/>
    <n v="71.38"/>
    <n v="86"/>
  </r>
  <r>
    <x v="58"/>
    <d v="2022-05-29T00:00:00"/>
    <n v="1"/>
    <n v="71.38"/>
    <n v="86"/>
  </r>
  <r>
    <x v="58"/>
    <d v="2022-05-29T00:00:00"/>
    <n v="1"/>
    <n v="71.38"/>
    <n v="86"/>
  </r>
  <r>
    <x v="109"/>
    <d v="2022-05-29T00:00:00"/>
    <n v="1"/>
    <n v="74.8"/>
    <n v="94"/>
  </r>
  <r>
    <x v="41"/>
    <d v="2022-05-29T00:00:00"/>
    <n v="1"/>
    <n v="19.43"/>
    <n v="24"/>
  </r>
  <r>
    <x v="96"/>
    <d v="2022-05-29T00:00:00"/>
    <n v="1"/>
    <n v="32.46"/>
    <n v="51"/>
  </r>
  <r>
    <x v="69"/>
    <d v="2022-05-29T00:00:00"/>
    <n v="1"/>
    <n v="86.64"/>
    <n v="108"/>
  </r>
  <r>
    <x v="152"/>
    <d v="2022-05-29T00:00:00"/>
    <n v="1"/>
    <n v="12"/>
    <n v="20"/>
  </r>
  <r>
    <x v="2"/>
    <d v="2022-05-29T00:00:00"/>
    <n v="1"/>
    <n v="88.43"/>
    <n v="106"/>
  </r>
  <r>
    <x v="45"/>
    <d v="2022-05-29T00:00:00"/>
    <n v="1"/>
    <n v="43.86"/>
    <n v="55"/>
  </r>
  <r>
    <x v="107"/>
    <d v="2022-05-29T00:00:00"/>
    <n v="1"/>
    <n v="251.13"/>
    <n v="295"/>
  </r>
  <r>
    <x v="15"/>
    <d v="2022-05-29T00:00:00"/>
    <n v="1"/>
    <n v="19.71"/>
    <n v="25"/>
  </r>
  <r>
    <x v="61"/>
    <d v="2022-05-29T00:00:00"/>
    <n v="1"/>
    <n v="30.56"/>
    <n v="36"/>
  </r>
  <r>
    <x v="95"/>
    <d v="2022-05-29T00:00:00"/>
    <n v="1"/>
    <n v="35.49"/>
    <n v="55"/>
  </r>
  <r>
    <x v="97"/>
    <d v="2022-05-29T00:00:00"/>
    <n v="1"/>
    <n v="26.29"/>
    <n v="33"/>
  </r>
  <r>
    <x v="14"/>
    <d v="2022-05-29T00:00:00"/>
    <n v="1"/>
    <n v="82.34"/>
    <n v="103"/>
  </r>
  <r>
    <x v="147"/>
    <d v="2022-05-29T00:00:00"/>
    <n v="1"/>
    <n v="110.13"/>
    <n v="138"/>
  </r>
  <r>
    <x v="61"/>
    <d v="2022-05-29T00:00:00"/>
    <n v="1"/>
    <n v="32"/>
    <n v="36"/>
  </r>
  <r>
    <x v="88"/>
    <d v="2022-05-29T00:00:00"/>
    <n v="1"/>
    <n v="71.05"/>
    <n v="101"/>
  </r>
  <r>
    <x v="40"/>
    <d v="2022-05-29T00:00:00"/>
    <n v="2"/>
    <n v="26.16"/>
    <n v="42"/>
  </r>
  <r>
    <x v="0"/>
    <d v="2022-05-29T00:00:00"/>
    <n v="1"/>
    <n v="145.6"/>
    <n v="172"/>
  </r>
  <r>
    <x v="36"/>
    <d v="2022-05-29T00:00:00"/>
    <n v="3"/>
    <n v="10.9"/>
    <n v="18"/>
  </r>
  <r>
    <x v="36"/>
    <d v="2022-05-29T00:00:00"/>
    <n v="2"/>
    <n v="11.1"/>
    <n v="18"/>
  </r>
  <r>
    <x v="2"/>
    <d v="2022-05-29T00:00:00"/>
    <n v="1"/>
    <n v="88.43"/>
    <n v="104"/>
  </r>
  <r>
    <x v="16"/>
    <d v="2022-05-29T00:00:00"/>
    <n v="1"/>
    <n v="184.39"/>
    <n v="260"/>
  </r>
  <r>
    <x v="147"/>
    <d v="2022-05-29T00:00:00"/>
    <n v="1"/>
    <n v="110.96"/>
    <n v="139"/>
  </r>
  <r>
    <x v="2"/>
    <d v="2022-05-29T00:00:00"/>
    <n v="1"/>
    <n v="88.43"/>
    <n v="104"/>
  </r>
  <r>
    <x v="47"/>
    <d v="2022-05-29T00:00:00"/>
    <n v="1"/>
    <n v="205"/>
    <n v="250"/>
  </r>
  <r>
    <x v="56"/>
    <d v="2022-05-29T00:00:00"/>
    <n v="1"/>
    <n v="33.08"/>
    <n v="51"/>
  </r>
  <r>
    <x v="61"/>
    <d v="2022-05-29T00:00:00"/>
    <n v="1"/>
    <n v="30.6"/>
    <n v="36"/>
  </r>
  <r>
    <x v="61"/>
    <d v="2022-05-29T00:00:00"/>
    <n v="1"/>
    <n v="30.6"/>
    <n v="36"/>
  </r>
  <r>
    <x v="20"/>
    <d v="2022-05-29T00:00:00"/>
    <n v="1"/>
    <n v="147.18"/>
    <n v="177"/>
  </r>
  <r>
    <x v="151"/>
    <d v="2022-05-29T00:00:00"/>
    <n v="1"/>
    <n v="251.37"/>
    <n v="352"/>
  </r>
  <r>
    <x v="111"/>
    <d v="2022-05-29T00:00:00"/>
    <n v="1"/>
    <n v="105.42"/>
    <n v="126"/>
  </r>
  <r>
    <x v="144"/>
    <d v="2022-05-29T00:00:00"/>
    <n v="1"/>
    <n v="219"/>
    <n v="307"/>
  </r>
  <r>
    <x v="144"/>
    <d v="2022-05-29T00:00:00"/>
    <n v="1"/>
    <n v="219"/>
    <n v="307"/>
  </r>
  <r>
    <x v="144"/>
    <d v="2022-05-29T00:00:00"/>
    <n v="1"/>
    <n v="219"/>
    <n v="307"/>
  </r>
  <r>
    <x v="6"/>
    <d v="2022-05-29T00:00:00"/>
    <n v="1"/>
    <n v="24.2"/>
    <n v="39"/>
  </r>
  <r>
    <x v="52"/>
    <d v="2022-05-29T00:00:00"/>
    <n v="1"/>
    <n v="227.82"/>
    <n v="267"/>
  </r>
  <r>
    <x v="58"/>
    <d v="2022-05-29T00:00:00"/>
    <n v="1"/>
    <n v="71.38"/>
    <n v="86"/>
  </r>
  <r>
    <x v="58"/>
    <d v="2022-05-29T00:00:00"/>
    <n v="1"/>
    <n v="71.38"/>
    <n v="86"/>
  </r>
  <r>
    <x v="2"/>
    <d v="2022-05-29T00:00:00"/>
    <n v="1"/>
    <n v="88.43"/>
    <n v="104"/>
  </r>
  <r>
    <x v="115"/>
    <d v="2022-05-29T00:00:00"/>
    <n v="1"/>
    <n v="159.74"/>
    <n v="219"/>
  </r>
  <r>
    <x v="20"/>
    <d v="2022-05-29T00:00:00"/>
    <n v="1"/>
    <n v="148.52000000000001"/>
    <n v="178"/>
  </r>
  <r>
    <x v="52"/>
    <d v="2022-05-29T00:00:00"/>
    <n v="1"/>
    <n v="230.46"/>
    <n v="270"/>
  </r>
  <r>
    <x v="14"/>
    <d v="2022-05-29T00:00:00"/>
    <n v="1"/>
    <n v="80.760000000000005"/>
    <n v="101"/>
  </r>
  <r>
    <x v="96"/>
    <d v="2022-05-29T00:00:00"/>
    <n v="1"/>
    <n v="33.26"/>
    <n v="53"/>
  </r>
  <r>
    <x v="82"/>
    <d v="2022-05-29T00:00:00"/>
    <n v="1"/>
    <n v="323.66000000000003"/>
    <n v="389"/>
  </r>
  <r>
    <x v="31"/>
    <d v="2022-05-29T00:00:00"/>
    <n v="1"/>
    <n v="22"/>
    <n v="28"/>
  </r>
  <r>
    <x v="31"/>
    <d v="2022-05-29T00:00:00"/>
    <n v="1"/>
    <n v="22"/>
    <n v="28"/>
  </r>
  <r>
    <x v="31"/>
    <d v="2022-05-29T00:00:00"/>
    <n v="1"/>
    <n v="22"/>
    <n v="28"/>
  </r>
  <r>
    <x v="31"/>
    <d v="2022-05-29T00:00:00"/>
    <n v="1"/>
    <n v="22"/>
    <n v="28"/>
  </r>
  <r>
    <x v="31"/>
    <d v="2022-05-29T00:00:00"/>
    <n v="1"/>
    <n v="22"/>
    <n v="28"/>
  </r>
  <r>
    <x v="31"/>
    <d v="2022-05-29T00:00:00"/>
    <n v="1"/>
    <n v="22"/>
    <n v="28"/>
  </r>
  <r>
    <x v="33"/>
    <d v="2022-05-29T00:00:00"/>
    <n v="1"/>
    <n v="28.91"/>
    <n v="45"/>
  </r>
  <r>
    <x v="33"/>
    <d v="2022-05-29T00:00:00"/>
    <n v="1"/>
    <n v="28.91"/>
    <n v="45"/>
  </r>
  <r>
    <x v="33"/>
    <d v="2022-05-29T00:00:00"/>
    <n v="1"/>
    <n v="28.91"/>
    <n v="45"/>
  </r>
  <r>
    <x v="33"/>
    <d v="2022-05-29T00:00:00"/>
    <n v="1"/>
    <n v="28.91"/>
    <n v="45"/>
  </r>
  <r>
    <x v="33"/>
    <d v="2022-05-29T00:00:00"/>
    <n v="1"/>
    <n v="28.91"/>
    <n v="45"/>
  </r>
  <r>
    <x v="33"/>
    <d v="2022-05-29T00:00:00"/>
    <n v="1"/>
    <n v="28.91"/>
    <n v="45"/>
  </r>
  <r>
    <x v="1"/>
    <d v="2022-05-29T00:00:00"/>
    <n v="0.1"/>
    <n v="457.55"/>
    <n v="572"/>
  </r>
  <r>
    <x v="1"/>
    <d v="2022-05-29T00:00:00"/>
    <n v="0.1"/>
    <n v="430.78"/>
    <n v="539"/>
  </r>
  <r>
    <x v="129"/>
    <d v="2022-05-29T00:00:00"/>
    <n v="1"/>
    <n v="35.200000000000003"/>
    <n v="54"/>
  </r>
  <r>
    <x v="136"/>
    <d v="2022-05-29T00:00:00"/>
    <n v="1"/>
    <n v="12.2"/>
    <n v="20"/>
  </r>
  <r>
    <x v="30"/>
    <d v="2022-05-29T00:00:00"/>
    <n v="1"/>
    <n v="33.11"/>
    <n v="51"/>
  </r>
  <r>
    <x v="30"/>
    <d v="2022-05-29T00:00:00"/>
    <n v="1"/>
    <n v="33.11"/>
    <n v="51"/>
  </r>
  <r>
    <x v="91"/>
    <d v="2022-05-29T00:00:00"/>
    <n v="1"/>
    <n v="70.930000000000007"/>
    <n v="101"/>
  </r>
  <r>
    <x v="6"/>
    <d v="2022-05-29T00:00:00"/>
    <n v="1"/>
    <n v="24.2"/>
    <n v="39"/>
  </r>
  <r>
    <x v="128"/>
    <d v="2022-05-29T00:00:00"/>
    <n v="10"/>
    <n v="6.13"/>
    <n v="10"/>
  </r>
  <r>
    <x v="60"/>
    <d v="2022-05-29T00:00:00"/>
    <n v="1"/>
    <n v="187.33"/>
    <n v="220"/>
  </r>
  <r>
    <x v="86"/>
    <d v="2022-05-29T00:00:00"/>
    <n v="1"/>
    <n v="37.340000000000003"/>
    <n v="65"/>
  </r>
  <r>
    <x v="40"/>
    <d v="2022-05-29T00:00:00"/>
    <n v="6"/>
    <n v="28.21"/>
    <n v="46"/>
  </r>
  <r>
    <x v="80"/>
    <d v="2022-05-29T00:00:00"/>
    <n v="1"/>
    <n v="15.13"/>
    <n v="23"/>
  </r>
  <r>
    <x v="80"/>
    <d v="2022-05-29T00:00:00"/>
    <n v="1"/>
    <n v="15.13"/>
    <n v="23"/>
  </r>
  <r>
    <x v="128"/>
    <d v="2022-05-29T00:00:00"/>
    <n v="1"/>
    <n v="5.0999999999999996"/>
    <n v="9"/>
  </r>
  <r>
    <x v="46"/>
    <d v="2022-05-29T00:00:00"/>
    <n v="1"/>
    <n v="2.2999999999999998"/>
    <n v="4"/>
  </r>
  <r>
    <x v="46"/>
    <d v="2022-05-29T00:00:00"/>
    <n v="3"/>
    <n v="2.2999999999999998"/>
    <n v="4"/>
  </r>
  <r>
    <x v="82"/>
    <d v="2022-05-29T00:00:00"/>
    <n v="1"/>
    <n v="323.67"/>
    <n v="366"/>
  </r>
  <r>
    <x v="51"/>
    <d v="2022-05-29T00:00:00"/>
    <n v="1"/>
    <n v="43.97"/>
    <n v="67"/>
  </r>
  <r>
    <x v="118"/>
    <d v="2022-05-29T00:00:00"/>
    <n v="1"/>
    <n v="62.34"/>
    <n v="78"/>
  </r>
  <r>
    <x v="118"/>
    <d v="2022-05-29T00:00:00"/>
    <n v="1"/>
    <n v="62.34"/>
    <n v="78"/>
  </r>
  <r>
    <x v="118"/>
    <d v="2022-05-29T00:00:00"/>
    <n v="1"/>
    <n v="62.79"/>
    <n v="78"/>
  </r>
  <r>
    <x v="118"/>
    <d v="2022-05-29T00:00:00"/>
    <n v="1"/>
    <n v="62.79"/>
    <n v="78"/>
  </r>
  <r>
    <x v="118"/>
    <d v="2022-05-29T00:00:00"/>
    <n v="1"/>
    <n v="62.79"/>
    <n v="78"/>
  </r>
  <r>
    <x v="101"/>
    <d v="2022-05-29T00:00:00"/>
    <n v="1"/>
    <n v="40.54"/>
    <n v="50"/>
  </r>
  <r>
    <x v="113"/>
    <d v="2022-05-29T00:00:00"/>
    <n v="1"/>
    <n v="10.66"/>
    <n v="13"/>
  </r>
  <r>
    <x v="113"/>
    <d v="2022-05-29T00:00:00"/>
    <n v="1"/>
    <n v="10.66"/>
    <n v="13"/>
  </r>
  <r>
    <x v="141"/>
    <d v="2022-05-29T00:00:00"/>
    <n v="1"/>
    <n v="412.93"/>
    <n v="463"/>
  </r>
  <r>
    <x v="93"/>
    <d v="2022-05-29T00:00:00"/>
    <n v="1"/>
    <n v="110.99"/>
    <n v="136"/>
  </r>
  <r>
    <x v="50"/>
    <d v="2022-05-29T00:00:00"/>
    <n v="1"/>
    <n v="77.510000000000005"/>
    <n v="94"/>
  </r>
  <r>
    <x v="143"/>
    <d v="2022-05-29T00:00:00"/>
    <n v="1"/>
    <n v="36.97"/>
    <n v="57"/>
  </r>
  <r>
    <x v="138"/>
    <d v="2022-05-29T00:00:00"/>
    <n v="1"/>
    <n v="46.59"/>
    <n v="71"/>
  </r>
  <r>
    <x v="52"/>
    <d v="2022-05-29T00:00:00"/>
    <n v="1"/>
    <n v="233.74"/>
    <n v="274"/>
  </r>
  <r>
    <x v="2"/>
    <d v="2022-05-29T00:00:00"/>
    <n v="1"/>
    <n v="88.73"/>
    <n v="104"/>
  </r>
  <r>
    <x v="105"/>
    <d v="2022-05-29T00:00:00"/>
    <n v="1"/>
    <n v="267.8"/>
    <n v="375"/>
  </r>
  <r>
    <x v="19"/>
    <d v="2022-05-29T00:00:00"/>
    <n v="1"/>
    <n v="102.47"/>
    <n v="121"/>
  </r>
  <r>
    <x v="18"/>
    <d v="2022-05-29T00:00:00"/>
    <n v="1"/>
    <n v="109.41"/>
    <n v="123"/>
  </r>
  <r>
    <x v="123"/>
    <d v="2022-05-29T00:00:00"/>
    <n v="1"/>
    <n v="255.9"/>
    <n v="359"/>
  </r>
  <r>
    <x v="106"/>
    <d v="2022-05-29T00:00:00"/>
    <n v="1"/>
    <n v="162.30000000000001"/>
    <n v="195"/>
  </r>
  <r>
    <x v="40"/>
    <d v="2022-05-29T00:00:00"/>
    <n v="1"/>
    <n v="28.85"/>
    <n v="47"/>
  </r>
  <r>
    <x v="30"/>
    <d v="2022-05-29T00:00:00"/>
    <n v="1"/>
    <n v="33.11"/>
    <n v="51"/>
  </r>
  <r>
    <x v="62"/>
    <d v="2022-05-29T00:00:00"/>
    <n v="1"/>
    <n v="55.04"/>
    <n v="80"/>
  </r>
  <r>
    <x v="5"/>
    <d v="2022-05-29T00:00:00"/>
    <n v="1"/>
    <n v="11.33"/>
    <n v="13"/>
  </r>
  <r>
    <x v="5"/>
    <d v="2022-05-29T00:00:00"/>
    <n v="1"/>
    <n v="11.33"/>
    <n v="13"/>
  </r>
  <r>
    <x v="124"/>
    <d v="2022-05-29T00:00:00"/>
    <n v="0.08"/>
    <n v="495.19"/>
    <n v="596"/>
  </r>
  <r>
    <x v="40"/>
    <d v="2022-05-29T00:00:00"/>
    <n v="1"/>
    <n v="29.26"/>
    <n v="48"/>
  </r>
  <r>
    <x v="82"/>
    <d v="2022-05-29T00:00:00"/>
    <n v="1"/>
    <n v="323.66000000000003"/>
    <n v="370"/>
  </r>
  <r>
    <x v="133"/>
    <d v="2022-05-29T00:00:00"/>
    <n v="1"/>
    <n v="44.4"/>
    <n v="77"/>
  </r>
  <r>
    <x v="42"/>
    <d v="2022-05-29T00:00:00"/>
    <n v="1"/>
    <n v="42.85"/>
    <n v="67"/>
  </r>
  <r>
    <x v="60"/>
    <d v="2022-05-29T00:00:00"/>
    <n v="1"/>
    <n v="187.36"/>
    <n v="220"/>
  </r>
  <r>
    <x v="44"/>
    <d v="2022-05-29T00:00:00"/>
    <n v="1"/>
    <n v="15.82"/>
    <n v="20"/>
  </r>
  <r>
    <x v="90"/>
    <d v="2022-05-29T00:00:00"/>
    <n v="1"/>
    <n v="111.95"/>
    <n v="171"/>
  </r>
  <r>
    <x v="12"/>
    <d v="2022-05-29T00:00:00"/>
    <n v="1"/>
    <n v="388.58"/>
    <n v="467"/>
  </r>
  <r>
    <x v="3"/>
    <d v="2022-05-29T00:00:00"/>
    <n v="1"/>
    <n v="47.82"/>
    <n v="77"/>
  </r>
  <r>
    <x v="53"/>
    <d v="2022-05-29T00:00:00"/>
    <n v="1"/>
    <n v="76.739999999999995"/>
    <n v="93"/>
  </r>
  <r>
    <x v="23"/>
    <d v="2022-05-29T00:00:00"/>
    <n v="1"/>
    <n v="122.75"/>
    <n v="174"/>
  </r>
  <r>
    <x v="15"/>
    <d v="2022-05-29T00:00:00"/>
    <n v="1"/>
    <n v="19.71"/>
    <n v="26"/>
  </r>
  <r>
    <x v="15"/>
    <d v="2022-05-29T00:00:00"/>
    <n v="1"/>
    <n v="19.71"/>
    <n v="26"/>
  </r>
  <r>
    <x v="7"/>
    <d v="2022-05-29T00:00:00"/>
    <n v="1"/>
    <n v="56.03"/>
    <n v="70"/>
  </r>
  <r>
    <x v="126"/>
    <d v="2022-05-29T00:00:00"/>
    <n v="1"/>
    <n v="350.97"/>
    <n v="404"/>
  </r>
  <r>
    <x v="112"/>
    <d v="2022-05-29T00:00:00"/>
    <n v="1"/>
    <n v="23.14"/>
    <n v="28"/>
  </r>
  <r>
    <x v="88"/>
    <d v="2022-05-29T00:00:00"/>
    <n v="1"/>
    <n v="71.05"/>
    <n v="106"/>
  </r>
  <r>
    <x v="0"/>
    <d v="2022-05-29T00:00:00"/>
    <n v="1"/>
    <n v="145.6"/>
    <n v="169"/>
  </r>
  <r>
    <x v="52"/>
    <d v="2022-05-29T00:00:00"/>
    <n v="1"/>
    <n v="296.88"/>
    <n v="348"/>
  </r>
  <r>
    <x v="52"/>
    <d v="2022-05-29T00:00:00"/>
    <n v="1"/>
    <n v="296.88"/>
    <n v="348"/>
  </r>
  <r>
    <x v="137"/>
    <d v="2022-05-29T00:00:00"/>
    <n v="1"/>
    <n v="12.86"/>
    <n v="15"/>
  </r>
  <r>
    <x v="137"/>
    <d v="2022-05-29T00:00:00"/>
    <n v="1"/>
    <n v="12.86"/>
    <n v="15"/>
  </r>
  <r>
    <x v="137"/>
    <d v="2022-05-29T00:00:00"/>
    <n v="1"/>
    <n v="12.86"/>
    <n v="15"/>
  </r>
  <r>
    <x v="137"/>
    <d v="2022-05-29T00:00:00"/>
    <n v="1"/>
    <n v="12.86"/>
    <n v="15"/>
  </r>
  <r>
    <x v="102"/>
    <d v="2022-05-29T00:00:00"/>
    <n v="1"/>
    <n v="71"/>
    <n v="88"/>
  </r>
  <r>
    <x v="26"/>
    <d v="2022-05-29T00:00:00"/>
    <n v="1"/>
    <n v="14.4"/>
    <n v="19"/>
  </r>
  <r>
    <x v="26"/>
    <d v="2022-05-29T00:00:00"/>
    <n v="1"/>
    <n v="14.4"/>
    <n v="19"/>
  </r>
  <r>
    <x v="26"/>
    <d v="2022-05-29T00:00:00"/>
    <n v="1"/>
    <n v="14.4"/>
    <n v="19"/>
  </r>
  <r>
    <x v="26"/>
    <d v="2022-05-29T00:00:00"/>
    <n v="1"/>
    <n v="14.4"/>
    <n v="19"/>
  </r>
  <r>
    <x v="26"/>
    <d v="2022-05-29T00:00:00"/>
    <n v="1"/>
    <n v="14.4"/>
    <n v="19"/>
  </r>
  <r>
    <x v="42"/>
    <d v="2022-05-29T00:00:00"/>
    <n v="1"/>
    <n v="43"/>
    <n v="66"/>
  </r>
  <r>
    <x v="42"/>
    <d v="2022-05-29T00:00:00"/>
    <n v="1"/>
    <n v="43"/>
    <n v="66"/>
  </r>
  <r>
    <x v="42"/>
    <d v="2022-05-29T00:00:00"/>
    <n v="1"/>
    <n v="43"/>
    <n v="66"/>
  </r>
  <r>
    <x v="117"/>
    <d v="2022-05-29T00:00:00"/>
    <n v="1"/>
    <n v="23.27"/>
    <n v="28"/>
  </r>
  <r>
    <x v="117"/>
    <d v="2022-05-29T00:00:00"/>
    <n v="1"/>
    <n v="23.27"/>
    <n v="28"/>
  </r>
  <r>
    <x v="117"/>
    <d v="2022-05-29T00:00:00"/>
    <n v="1"/>
    <n v="23.27"/>
    <n v="28"/>
  </r>
  <r>
    <x v="20"/>
    <d v="2022-05-29T00:00:00"/>
    <n v="1"/>
    <n v="148.52000000000001"/>
    <n v="178"/>
  </r>
  <r>
    <x v="20"/>
    <d v="2022-05-29T00:00:00"/>
    <n v="1"/>
    <n v="147.18"/>
    <n v="177"/>
  </r>
  <r>
    <x v="20"/>
    <d v="2022-05-29T00:00:00"/>
    <n v="1"/>
    <n v="147.18"/>
    <n v="177"/>
  </r>
  <r>
    <x v="65"/>
    <d v="2022-05-29T00:00:00"/>
    <n v="1"/>
    <n v="166.31"/>
    <n v="200"/>
  </r>
  <r>
    <x v="65"/>
    <d v="2022-05-29T00:00:00"/>
    <n v="1"/>
    <n v="166.31"/>
    <n v="200"/>
  </r>
  <r>
    <x v="65"/>
    <d v="2022-05-29T00:00:00"/>
    <n v="1"/>
    <n v="165.06"/>
    <n v="199"/>
  </r>
  <r>
    <x v="151"/>
    <d v="2022-05-29T00:00:00"/>
    <n v="1"/>
    <n v="248.25"/>
    <n v="341"/>
  </r>
  <r>
    <x v="120"/>
    <d v="2022-05-29T00:00:00"/>
    <n v="1"/>
    <n v="337.24"/>
    <n v="446"/>
  </r>
  <r>
    <x v="19"/>
    <d v="2022-05-29T00:00:00"/>
    <n v="1"/>
    <n v="102.47"/>
    <n v="121"/>
  </r>
  <r>
    <x v="19"/>
    <d v="2022-05-29T00:00:00"/>
    <n v="1"/>
    <n v="102.47"/>
    <n v="121"/>
  </r>
  <r>
    <x v="42"/>
    <d v="2022-05-29T00:00:00"/>
    <n v="1"/>
    <n v="43"/>
    <n v="66"/>
  </r>
  <r>
    <x v="117"/>
    <d v="2022-05-29T00:00:00"/>
    <n v="1"/>
    <n v="20.39"/>
    <n v="25"/>
  </r>
  <r>
    <x v="151"/>
    <d v="2022-05-29T00:00:00"/>
    <n v="1"/>
    <n v="251.37"/>
    <n v="335"/>
  </r>
  <r>
    <x v="90"/>
    <d v="2022-05-29T00:00:00"/>
    <n v="0.2"/>
    <n v="133.25"/>
    <n v="204"/>
  </r>
  <r>
    <x v="21"/>
    <d v="2022-05-29T00:00:00"/>
    <n v="0.1"/>
    <n v="984.92"/>
    <n v="1330"/>
  </r>
  <r>
    <x v="97"/>
    <d v="2022-05-29T00:00:00"/>
    <n v="1"/>
    <n v="26.11"/>
    <n v="32"/>
  </r>
  <r>
    <x v="52"/>
    <d v="2022-05-29T00:00:00"/>
    <n v="1"/>
    <n v="233.74"/>
    <n v="274"/>
  </r>
  <r>
    <x v="124"/>
    <d v="2022-05-29T00:00:00"/>
    <n v="0.12"/>
    <n v="491.72"/>
    <n v="592"/>
  </r>
  <r>
    <x v="86"/>
    <d v="2022-05-29T00:00:00"/>
    <n v="1"/>
    <n v="31.28"/>
    <n v="51"/>
  </r>
  <r>
    <x v="60"/>
    <d v="2022-05-29T00:00:00"/>
    <n v="1"/>
    <n v="187.33"/>
    <n v="220"/>
  </r>
  <r>
    <x v="16"/>
    <d v="2022-05-29T00:00:00"/>
    <n v="1"/>
    <n v="184.57"/>
    <n v="253"/>
  </r>
  <r>
    <x v="123"/>
    <d v="2022-05-28T00:00:00"/>
    <n v="1"/>
    <n v="269.2"/>
    <n v="359"/>
  </r>
  <r>
    <x v="19"/>
    <d v="2022-05-28T00:00:00"/>
    <n v="1"/>
    <n v="103.46"/>
    <n v="121"/>
  </r>
  <r>
    <x v="19"/>
    <d v="2022-05-28T00:00:00"/>
    <n v="1"/>
    <n v="103.46"/>
    <n v="121"/>
  </r>
  <r>
    <x v="51"/>
    <d v="2022-05-28T00:00:00"/>
    <n v="1"/>
    <n v="45.36"/>
    <n v="71"/>
  </r>
  <r>
    <x v="47"/>
    <d v="2022-05-28T00:00:00"/>
    <n v="1"/>
    <n v="205"/>
    <n v="250"/>
  </r>
  <r>
    <x v="6"/>
    <d v="2022-05-28T00:00:00"/>
    <n v="1"/>
    <n v="24.2"/>
    <n v="39"/>
  </r>
  <r>
    <x v="101"/>
    <d v="2022-05-28T00:00:00"/>
    <n v="1"/>
    <n v="42.24"/>
    <n v="53"/>
  </r>
  <r>
    <x v="73"/>
    <d v="2022-05-28T00:00:00"/>
    <n v="1"/>
    <n v="69.599999999999994"/>
    <n v="90"/>
  </r>
  <r>
    <x v="93"/>
    <d v="2022-05-28T00:00:00"/>
    <n v="1"/>
    <n v="110.99"/>
    <n v="136"/>
  </r>
  <r>
    <x v="51"/>
    <d v="2022-05-28T00:00:00"/>
    <n v="1"/>
    <n v="43.97"/>
    <n v="70"/>
  </r>
  <r>
    <x v="17"/>
    <d v="2022-05-28T00:00:00"/>
    <n v="1"/>
    <n v="30.3"/>
    <n v="49"/>
  </r>
  <r>
    <x v="126"/>
    <d v="2022-05-28T00:00:00"/>
    <n v="1"/>
    <n v="350.97"/>
    <n v="404"/>
  </r>
  <r>
    <x v="150"/>
    <d v="2022-05-28T00:00:00"/>
    <n v="0.24"/>
    <n v="487.04"/>
    <n v="731"/>
  </r>
  <r>
    <x v="21"/>
    <d v="2022-05-28T00:00:00"/>
    <n v="0.1"/>
    <n v="984.79"/>
    <n v="1300"/>
  </r>
  <r>
    <x v="54"/>
    <d v="2022-05-28T00:00:00"/>
    <n v="2"/>
    <n v="14.14"/>
    <n v="23"/>
  </r>
  <r>
    <x v="11"/>
    <d v="2022-05-28T00:00:00"/>
    <n v="1"/>
    <n v="43.49"/>
    <n v="67"/>
  </r>
  <r>
    <x v="92"/>
    <d v="2022-05-28T00:00:00"/>
    <n v="1"/>
    <n v="426.66"/>
    <n v="564"/>
  </r>
  <r>
    <x v="117"/>
    <d v="2022-05-28T00:00:00"/>
    <n v="1"/>
    <n v="20.75"/>
    <n v="25"/>
  </r>
  <r>
    <x v="123"/>
    <d v="2022-05-28T00:00:00"/>
    <n v="1"/>
    <n v="261.16000000000003"/>
    <n v="345"/>
  </r>
  <r>
    <x v="88"/>
    <d v="2022-05-28T00:00:00"/>
    <n v="1"/>
    <n v="71.05"/>
    <n v="104"/>
  </r>
  <r>
    <x v="122"/>
    <d v="2022-05-28T00:00:00"/>
    <n v="1"/>
    <n v="121"/>
    <n v="169"/>
  </r>
  <r>
    <x v="19"/>
    <d v="2022-05-28T00:00:00"/>
    <n v="1"/>
    <n v="103.49"/>
    <n v="122"/>
  </r>
  <r>
    <x v="43"/>
    <d v="2022-05-28T00:00:00"/>
    <n v="1"/>
    <n v="39.83"/>
    <n v="63"/>
  </r>
  <r>
    <x v="2"/>
    <d v="2022-05-28T00:00:00"/>
    <n v="1"/>
    <n v="88.43"/>
    <n v="110"/>
  </r>
  <r>
    <x v="2"/>
    <d v="2022-05-28T00:00:00"/>
    <n v="1"/>
    <n v="88.43"/>
    <n v="110"/>
  </r>
  <r>
    <x v="129"/>
    <d v="2022-05-28T00:00:00"/>
    <n v="1"/>
    <n v="33"/>
    <n v="51"/>
  </r>
  <r>
    <x v="43"/>
    <d v="2022-05-28T00:00:00"/>
    <n v="1"/>
    <n v="35.200000000000003"/>
    <n v="55"/>
  </r>
  <r>
    <x v="95"/>
    <d v="2022-05-28T00:00:00"/>
    <n v="1"/>
    <n v="35.49"/>
    <n v="54"/>
  </r>
  <r>
    <x v="18"/>
    <d v="2022-05-28T00:00:00"/>
    <n v="1"/>
    <n v="109.41"/>
    <n v="123"/>
  </r>
  <r>
    <x v="143"/>
    <d v="2022-05-28T00:00:00"/>
    <n v="1"/>
    <n v="36.97"/>
    <n v="57"/>
  </r>
  <r>
    <x v="27"/>
    <d v="2022-05-28T00:00:00"/>
    <n v="1"/>
    <n v="125.73"/>
    <n v="192"/>
  </r>
  <r>
    <x v="44"/>
    <d v="2022-05-28T00:00:00"/>
    <n v="1"/>
    <n v="15.53"/>
    <n v="19"/>
  </r>
  <r>
    <x v="44"/>
    <d v="2022-05-28T00:00:00"/>
    <n v="1"/>
    <n v="15.53"/>
    <n v="19"/>
  </r>
  <r>
    <x v="95"/>
    <d v="2022-05-28T00:00:00"/>
    <n v="1"/>
    <n v="36.99"/>
    <n v="57"/>
  </r>
  <r>
    <x v="95"/>
    <d v="2022-05-28T00:00:00"/>
    <n v="1"/>
    <n v="36.99"/>
    <n v="57"/>
  </r>
  <r>
    <x v="6"/>
    <d v="2022-05-28T00:00:00"/>
    <n v="1"/>
    <n v="24.2"/>
    <n v="39"/>
  </r>
  <r>
    <x v="107"/>
    <d v="2022-05-28T00:00:00"/>
    <n v="1"/>
    <n v="281.47000000000003"/>
    <n v="334"/>
  </r>
  <r>
    <x v="71"/>
    <d v="2022-05-28T00:00:00"/>
    <n v="1"/>
    <n v="30.36"/>
    <n v="37"/>
  </r>
  <r>
    <x v="6"/>
    <d v="2022-05-28T00:00:00"/>
    <n v="1"/>
    <n v="24.2"/>
    <n v="39"/>
  </r>
  <r>
    <x v="89"/>
    <d v="2022-05-28T00:00:00"/>
    <n v="1"/>
    <n v="37.729999999999997"/>
    <n v="48"/>
  </r>
  <r>
    <x v="89"/>
    <d v="2022-05-28T00:00:00"/>
    <n v="1"/>
    <n v="27.31"/>
    <n v="39"/>
  </r>
  <r>
    <x v="89"/>
    <d v="2022-05-28T00:00:00"/>
    <n v="1"/>
    <n v="27.31"/>
    <n v="39"/>
  </r>
  <r>
    <x v="89"/>
    <d v="2022-05-28T00:00:00"/>
    <n v="1"/>
    <n v="27.31"/>
    <n v="39"/>
  </r>
  <r>
    <x v="89"/>
    <d v="2022-05-28T00:00:00"/>
    <n v="1"/>
    <n v="27.31"/>
    <n v="39"/>
  </r>
  <r>
    <x v="90"/>
    <d v="2022-05-28T00:00:00"/>
    <n v="0.5"/>
    <n v="130.65"/>
    <n v="199"/>
  </r>
  <r>
    <x v="154"/>
    <d v="2022-05-28T00:00:00"/>
    <n v="1"/>
    <n v="52.11"/>
    <n v="65"/>
  </r>
  <r>
    <x v="51"/>
    <d v="2022-05-28T00:00:00"/>
    <n v="1"/>
    <n v="45.42"/>
    <n v="70"/>
  </r>
  <r>
    <x v="3"/>
    <d v="2022-05-28T00:00:00"/>
    <n v="1"/>
    <n v="47.67"/>
    <n v="77"/>
  </r>
  <r>
    <x v="42"/>
    <d v="2022-05-28T00:00:00"/>
    <n v="1"/>
    <n v="42.85"/>
    <n v="67"/>
  </r>
  <r>
    <x v="117"/>
    <d v="2022-05-28T00:00:00"/>
    <n v="1"/>
    <n v="20.86"/>
    <n v="26"/>
  </r>
  <r>
    <x v="64"/>
    <d v="2022-05-28T00:00:00"/>
    <n v="1"/>
    <n v="19.989999999999998"/>
    <n v="24"/>
  </r>
  <r>
    <x v="64"/>
    <d v="2022-05-28T00:00:00"/>
    <n v="1"/>
    <n v="19.989999999999998"/>
    <n v="24"/>
  </r>
  <r>
    <x v="64"/>
    <d v="2022-05-28T00:00:00"/>
    <n v="1"/>
    <n v="19.989999999999998"/>
    <n v="24"/>
  </r>
  <r>
    <x v="64"/>
    <d v="2022-05-28T00:00:00"/>
    <n v="1"/>
    <n v="19.989999999999998"/>
    <n v="24"/>
  </r>
  <r>
    <x v="64"/>
    <d v="2022-05-28T00:00:00"/>
    <n v="1"/>
    <n v="19.989999999999998"/>
    <n v="24"/>
  </r>
  <r>
    <x v="64"/>
    <d v="2022-05-28T00:00:00"/>
    <n v="1"/>
    <n v="19.989999999999998"/>
    <n v="24"/>
  </r>
  <r>
    <x v="43"/>
    <d v="2022-05-28T00:00:00"/>
    <n v="1"/>
    <n v="39"/>
    <n v="60"/>
  </r>
  <r>
    <x v="21"/>
    <d v="2022-05-28T00:00:00"/>
    <n v="0.2"/>
    <n v="984.79"/>
    <n v="1300"/>
  </r>
  <r>
    <x v="21"/>
    <d v="2022-05-28T00:00:00"/>
    <n v="0.2"/>
    <n v="989.8"/>
    <n v="1307"/>
  </r>
  <r>
    <x v="65"/>
    <d v="2022-05-28T00:00:00"/>
    <n v="1"/>
    <n v="163.37"/>
    <n v="197"/>
  </r>
  <r>
    <x v="57"/>
    <d v="2022-05-28T00:00:00"/>
    <n v="1"/>
    <n v="25.29"/>
    <n v="30"/>
  </r>
  <r>
    <x v="57"/>
    <d v="2022-05-28T00:00:00"/>
    <n v="1"/>
    <n v="25.29"/>
    <n v="30"/>
  </r>
  <r>
    <x v="17"/>
    <d v="2022-05-28T00:00:00"/>
    <n v="1"/>
    <n v="30.3"/>
    <n v="49"/>
  </r>
  <r>
    <x v="112"/>
    <d v="2022-05-28T00:00:00"/>
    <n v="1"/>
    <n v="23.14"/>
    <n v="28"/>
  </r>
  <r>
    <x v="112"/>
    <d v="2022-05-28T00:00:00"/>
    <n v="1"/>
    <n v="23.14"/>
    <n v="28"/>
  </r>
  <r>
    <x v="19"/>
    <d v="2022-05-28T00:00:00"/>
    <n v="1"/>
    <n v="103.5"/>
    <n v="119"/>
  </r>
  <r>
    <x v="73"/>
    <d v="2022-05-28T00:00:00"/>
    <n v="1"/>
    <n v="69.7"/>
    <n v="88"/>
  </r>
  <r>
    <x v="2"/>
    <d v="2022-05-28T00:00:00"/>
    <n v="1"/>
    <n v="88.43"/>
    <n v="106"/>
  </r>
  <r>
    <x v="40"/>
    <d v="2022-05-28T00:00:00"/>
    <n v="2"/>
    <n v="29.26"/>
    <n v="48"/>
  </r>
  <r>
    <x v="9"/>
    <d v="2022-05-28T00:00:00"/>
    <n v="0.3"/>
    <n v="466.1"/>
    <n v="644"/>
  </r>
  <r>
    <x v="114"/>
    <d v="2022-05-28T00:00:00"/>
    <n v="3.5714299999999997E-2"/>
    <n v="656.19"/>
    <n v="722"/>
  </r>
  <r>
    <x v="19"/>
    <d v="2022-05-28T00:00:00"/>
    <n v="1"/>
    <n v="103.5"/>
    <n v="119"/>
  </r>
  <r>
    <x v="69"/>
    <d v="2022-05-28T00:00:00"/>
    <n v="1"/>
    <n v="86.64"/>
    <n v="108"/>
  </r>
  <r>
    <x v="40"/>
    <d v="2022-05-28T00:00:00"/>
    <n v="1"/>
    <n v="29.26"/>
    <n v="48"/>
  </r>
  <r>
    <x v="146"/>
    <d v="2022-05-28T00:00:00"/>
    <n v="1"/>
    <n v="23.23"/>
    <n v="29"/>
  </r>
  <r>
    <x v="91"/>
    <d v="2022-05-28T00:00:00"/>
    <n v="1"/>
    <n v="70.930000000000007"/>
    <n v="101"/>
  </r>
  <r>
    <x v="99"/>
    <d v="2022-05-28T00:00:00"/>
    <n v="1"/>
    <n v="45.44"/>
    <n v="57"/>
  </r>
  <r>
    <x v="99"/>
    <d v="2022-05-28T00:00:00"/>
    <n v="1"/>
    <n v="45.44"/>
    <n v="57"/>
  </r>
  <r>
    <x v="152"/>
    <d v="2022-05-28T00:00:00"/>
    <n v="1"/>
    <n v="12"/>
    <n v="20"/>
  </r>
  <r>
    <x v="113"/>
    <d v="2022-05-28T00:00:00"/>
    <n v="1"/>
    <n v="10.63"/>
    <n v="13"/>
  </r>
  <r>
    <x v="123"/>
    <d v="2022-05-28T00:00:00"/>
    <n v="1"/>
    <n v="282.82"/>
    <n v="396"/>
  </r>
  <r>
    <x v="30"/>
    <d v="2022-05-28T00:00:00"/>
    <n v="1"/>
    <n v="35"/>
    <n v="55"/>
  </r>
  <r>
    <x v="42"/>
    <d v="2022-05-28T00:00:00"/>
    <n v="1"/>
    <n v="42.67"/>
    <n v="67"/>
  </r>
  <r>
    <x v="21"/>
    <d v="2022-05-28T00:00:00"/>
    <n v="1"/>
    <n v="1080.31"/>
    <n v="1138"/>
  </r>
  <r>
    <x v="39"/>
    <d v="2022-05-28T00:00:00"/>
    <n v="1"/>
    <n v="65.010000000000005"/>
    <n v="101"/>
  </r>
  <r>
    <x v="122"/>
    <d v="2022-05-28T00:00:00"/>
    <n v="1"/>
    <n v="119.8"/>
    <n v="165"/>
  </r>
  <r>
    <x v="114"/>
    <d v="2022-05-28T00:00:00"/>
    <n v="3.5714299999999997E-2"/>
    <n v="656.19"/>
    <n v="722"/>
  </r>
  <r>
    <x v="86"/>
    <d v="2022-05-28T00:00:00"/>
    <n v="1"/>
    <n v="35.68"/>
    <n v="58"/>
  </r>
  <r>
    <x v="47"/>
    <d v="2022-05-28T00:00:00"/>
    <n v="1"/>
    <n v="205"/>
    <n v="250"/>
  </r>
  <r>
    <x v="133"/>
    <d v="2022-05-28T00:00:00"/>
    <n v="2"/>
    <n v="46.5"/>
    <n v="75"/>
  </r>
  <r>
    <x v="30"/>
    <d v="2022-05-28T00:00:00"/>
    <n v="1"/>
    <n v="33.11"/>
    <n v="51"/>
  </r>
  <r>
    <x v="115"/>
    <d v="2022-05-28T00:00:00"/>
    <n v="1"/>
    <n v="132.07"/>
    <n v="181"/>
  </r>
  <r>
    <x v="45"/>
    <d v="2022-05-28T00:00:00"/>
    <n v="1"/>
    <n v="43.86"/>
    <n v="55"/>
  </r>
  <r>
    <x v="136"/>
    <d v="2022-05-28T00:00:00"/>
    <n v="5"/>
    <n v="12.2"/>
    <n v="20"/>
  </r>
  <r>
    <x v="152"/>
    <d v="2022-05-28T00:00:00"/>
    <n v="5"/>
    <n v="12"/>
    <n v="20"/>
  </r>
  <r>
    <x v="43"/>
    <d v="2022-05-28T00:00:00"/>
    <n v="1"/>
    <n v="39.83"/>
    <n v="63"/>
  </r>
  <r>
    <x v="149"/>
    <d v="2022-05-28T00:00:00"/>
    <n v="1"/>
    <n v="124.03"/>
    <n v="151"/>
  </r>
  <r>
    <x v="18"/>
    <d v="2022-05-28T00:00:00"/>
    <n v="1"/>
    <n v="110.21"/>
    <n v="124"/>
  </r>
  <r>
    <x v="20"/>
    <d v="2022-05-28T00:00:00"/>
    <n v="1"/>
    <n v="147.4"/>
    <n v="177"/>
  </r>
  <r>
    <x v="7"/>
    <d v="2022-05-28T00:00:00"/>
    <n v="1"/>
    <n v="56.1"/>
    <n v="70"/>
  </r>
  <r>
    <x v="42"/>
    <d v="2022-05-28T00:00:00"/>
    <n v="1"/>
    <n v="43"/>
    <n v="66"/>
  </r>
  <r>
    <x v="7"/>
    <d v="2022-05-28T00:00:00"/>
    <n v="1"/>
    <n v="56.98"/>
    <n v="72"/>
  </r>
  <r>
    <x v="98"/>
    <d v="2022-05-28T00:00:00"/>
    <n v="1"/>
    <n v="46.32"/>
    <n v="72"/>
  </r>
  <r>
    <x v="95"/>
    <d v="2022-05-28T00:00:00"/>
    <n v="1"/>
    <n v="35.49"/>
    <n v="55"/>
  </r>
  <r>
    <x v="4"/>
    <d v="2022-05-28T00:00:00"/>
    <n v="1"/>
    <n v="80.69"/>
    <n v="100"/>
  </r>
  <r>
    <x v="110"/>
    <d v="2022-05-28T00:00:00"/>
    <n v="1"/>
    <n v="71.02"/>
    <n v="88"/>
  </r>
  <r>
    <x v="110"/>
    <d v="2022-05-28T00:00:00"/>
    <n v="1"/>
    <n v="71.31"/>
    <n v="88"/>
  </r>
  <r>
    <x v="136"/>
    <d v="2022-05-28T00:00:00"/>
    <n v="4"/>
    <n v="12.2"/>
    <n v="20"/>
  </r>
  <r>
    <x v="142"/>
    <d v="2022-05-28T00:00:00"/>
    <n v="1"/>
    <n v="136.94999999999999"/>
    <n v="194"/>
  </r>
  <r>
    <x v="72"/>
    <d v="2022-05-28T00:00:00"/>
    <n v="1"/>
    <n v="60.62"/>
    <n v="76"/>
  </r>
  <r>
    <x v="114"/>
    <d v="2022-05-28T00:00:00"/>
    <n v="3.5714299999999997E-2"/>
    <n v="656.19"/>
    <n v="722"/>
  </r>
  <r>
    <x v="51"/>
    <d v="2022-05-28T00:00:00"/>
    <n v="1"/>
    <n v="44.9"/>
    <n v="69"/>
  </r>
  <r>
    <x v="51"/>
    <d v="2022-05-28T00:00:00"/>
    <n v="1"/>
    <n v="43.97"/>
    <n v="67"/>
  </r>
  <r>
    <x v="82"/>
    <d v="2022-05-28T00:00:00"/>
    <n v="1"/>
    <n v="323.66000000000003"/>
    <n v="370"/>
  </r>
  <r>
    <x v="19"/>
    <d v="2022-05-28T00:00:00"/>
    <n v="1"/>
    <n v="107.76"/>
    <n v="127"/>
  </r>
  <r>
    <x v="12"/>
    <d v="2022-05-28T00:00:00"/>
    <n v="1"/>
    <n v="390.54"/>
    <n v="469"/>
  </r>
  <r>
    <x v="110"/>
    <d v="2022-05-28T00:00:00"/>
    <n v="1"/>
    <n v="71.31"/>
    <n v="88"/>
  </r>
  <r>
    <x v="40"/>
    <d v="2022-05-28T00:00:00"/>
    <n v="6"/>
    <n v="26.16"/>
    <n v="42"/>
  </r>
  <r>
    <x v="52"/>
    <d v="2022-05-28T00:00:00"/>
    <n v="1"/>
    <n v="233.74"/>
    <n v="274"/>
  </r>
  <r>
    <x v="60"/>
    <d v="2022-05-28T00:00:00"/>
    <n v="1"/>
    <n v="187.33"/>
    <n v="220"/>
  </r>
  <r>
    <x v="21"/>
    <d v="2022-05-28T00:00:00"/>
    <n v="0.2"/>
    <n v="986.58"/>
    <n v="1234"/>
  </r>
  <r>
    <x v="13"/>
    <d v="2022-05-28T00:00:00"/>
    <n v="1"/>
    <n v="42"/>
    <n v="64"/>
  </r>
  <r>
    <x v="43"/>
    <d v="2022-05-28T00:00:00"/>
    <n v="1"/>
    <n v="38.82"/>
    <n v="61"/>
  </r>
  <r>
    <x v="26"/>
    <d v="2022-05-28T00:00:00"/>
    <n v="1"/>
    <n v="13.05"/>
    <n v="18"/>
  </r>
  <r>
    <x v="39"/>
    <d v="2022-05-28T00:00:00"/>
    <n v="1"/>
    <n v="65.459999999999994"/>
    <n v="102"/>
  </r>
  <r>
    <x v="39"/>
    <d v="2022-05-28T00:00:00"/>
    <n v="1"/>
    <n v="65.459999999999994"/>
    <n v="102"/>
  </r>
  <r>
    <x v="17"/>
    <d v="2022-05-28T00:00:00"/>
    <n v="1"/>
    <n v="30.3"/>
    <n v="49"/>
  </r>
  <r>
    <x v="99"/>
    <d v="2022-05-28T00:00:00"/>
    <n v="1"/>
    <n v="45.33"/>
    <n v="58"/>
  </r>
  <r>
    <x v="99"/>
    <d v="2022-05-28T00:00:00"/>
    <n v="1"/>
    <n v="45.33"/>
    <n v="58"/>
  </r>
  <r>
    <x v="42"/>
    <d v="2022-05-28T00:00:00"/>
    <n v="1"/>
    <n v="43"/>
    <n v="66"/>
  </r>
  <r>
    <x v="42"/>
    <d v="2022-05-28T00:00:00"/>
    <n v="1"/>
    <n v="43"/>
    <n v="66"/>
  </r>
  <r>
    <x v="117"/>
    <d v="2022-05-28T00:00:00"/>
    <n v="1"/>
    <n v="20.39"/>
    <n v="25"/>
  </r>
  <r>
    <x v="117"/>
    <d v="2022-05-28T00:00:00"/>
    <n v="1"/>
    <n v="20.39"/>
    <n v="25"/>
  </r>
  <r>
    <x v="45"/>
    <d v="2022-05-28T00:00:00"/>
    <n v="1"/>
    <n v="44.86"/>
    <n v="56"/>
  </r>
  <r>
    <x v="45"/>
    <d v="2022-05-28T00:00:00"/>
    <n v="1"/>
    <n v="43.92"/>
    <n v="55"/>
  </r>
  <r>
    <x v="12"/>
    <d v="2022-05-28T00:00:00"/>
    <n v="1"/>
    <n v="390.54"/>
    <n v="469"/>
  </r>
  <r>
    <x v="87"/>
    <d v="2022-05-28T00:00:00"/>
    <n v="3"/>
    <n v="6.3"/>
    <n v="9"/>
  </r>
  <r>
    <x v="116"/>
    <d v="2022-05-28T00:00:00"/>
    <n v="1"/>
    <n v="11.41"/>
    <n v="19"/>
  </r>
  <r>
    <x v="102"/>
    <d v="2022-05-28T00:00:00"/>
    <n v="1"/>
    <n v="70.77"/>
    <n v="88"/>
  </r>
  <r>
    <x v="3"/>
    <d v="2022-05-28T00:00:00"/>
    <n v="2"/>
    <n v="47.67"/>
    <n v="77"/>
  </r>
  <r>
    <x v="141"/>
    <d v="2022-05-28T00:00:00"/>
    <n v="1"/>
    <n v="402.29"/>
    <n v="451"/>
  </r>
  <r>
    <x v="28"/>
    <d v="2022-05-28T00:00:00"/>
    <n v="1"/>
    <n v="20.8"/>
    <n v="25"/>
  </r>
  <r>
    <x v="28"/>
    <d v="2022-05-28T00:00:00"/>
    <n v="1"/>
    <n v="20.8"/>
    <n v="25"/>
  </r>
  <r>
    <x v="85"/>
    <d v="2022-05-28T00:00:00"/>
    <n v="1"/>
    <n v="383.81"/>
    <n v="480"/>
  </r>
  <r>
    <x v="28"/>
    <d v="2022-05-28T00:00:00"/>
    <n v="1"/>
    <n v="20.8"/>
    <n v="25"/>
  </r>
  <r>
    <x v="28"/>
    <d v="2022-05-28T00:00:00"/>
    <n v="1"/>
    <n v="20.8"/>
    <n v="25"/>
  </r>
  <r>
    <x v="28"/>
    <d v="2022-05-28T00:00:00"/>
    <n v="1"/>
    <n v="20.8"/>
    <n v="25"/>
  </r>
  <r>
    <x v="8"/>
    <d v="2022-05-28T00:00:00"/>
    <n v="1"/>
    <n v="119.06"/>
    <n v="143"/>
  </r>
  <r>
    <x v="138"/>
    <d v="2022-05-28T00:00:00"/>
    <n v="1"/>
    <n v="45.54"/>
    <n v="70"/>
  </r>
  <r>
    <x v="139"/>
    <d v="2022-05-28T00:00:00"/>
    <n v="1"/>
    <n v="51.32"/>
    <n v="73"/>
  </r>
  <r>
    <x v="139"/>
    <d v="2022-05-28T00:00:00"/>
    <n v="1"/>
    <n v="51.32"/>
    <n v="73"/>
  </r>
  <r>
    <x v="139"/>
    <d v="2022-05-28T00:00:00"/>
    <n v="1"/>
    <n v="51.32"/>
    <n v="73"/>
  </r>
  <r>
    <x v="139"/>
    <d v="2022-05-28T00:00:00"/>
    <n v="1"/>
    <n v="51.32"/>
    <n v="73"/>
  </r>
  <r>
    <x v="139"/>
    <d v="2022-05-28T00:00:00"/>
    <n v="1"/>
    <n v="51.32"/>
    <n v="73"/>
  </r>
  <r>
    <x v="1"/>
    <d v="2022-05-28T00:00:00"/>
    <n v="0.2"/>
    <n v="421.52"/>
    <n v="527"/>
  </r>
  <r>
    <x v="51"/>
    <d v="2022-05-28T00:00:00"/>
    <n v="1"/>
    <n v="43.97"/>
    <n v="67"/>
  </r>
  <r>
    <x v="18"/>
    <d v="2022-05-28T00:00:00"/>
    <n v="1"/>
    <n v="110.21"/>
    <n v="124"/>
  </r>
  <r>
    <x v="40"/>
    <d v="2022-05-28T00:00:00"/>
    <n v="1"/>
    <n v="28.85"/>
    <n v="47"/>
  </r>
  <r>
    <x v="15"/>
    <d v="2022-05-28T00:00:00"/>
    <n v="1"/>
    <n v="22.62"/>
    <n v="29"/>
  </r>
  <r>
    <x v="15"/>
    <d v="2022-05-28T00:00:00"/>
    <n v="1"/>
    <n v="22.62"/>
    <n v="29"/>
  </r>
  <r>
    <x v="15"/>
    <d v="2022-05-28T00:00:00"/>
    <n v="1"/>
    <n v="22.62"/>
    <n v="29"/>
  </r>
  <r>
    <x v="64"/>
    <d v="2022-05-28T00:00:00"/>
    <n v="1"/>
    <n v="19.989999999999998"/>
    <n v="24"/>
  </r>
  <r>
    <x v="55"/>
    <d v="2022-05-28T00:00:00"/>
    <n v="1"/>
    <n v="56.76"/>
    <n v="71"/>
  </r>
  <r>
    <x v="55"/>
    <d v="2022-05-28T00:00:00"/>
    <n v="1"/>
    <n v="56.76"/>
    <n v="71"/>
  </r>
  <r>
    <x v="4"/>
    <d v="2022-05-28T00:00:00"/>
    <n v="1"/>
    <n v="81.91"/>
    <n v="99"/>
  </r>
  <r>
    <x v="4"/>
    <d v="2022-05-28T00:00:00"/>
    <n v="1"/>
    <n v="81.91"/>
    <n v="99"/>
  </r>
  <r>
    <x v="117"/>
    <d v="2022-05-28T00:00:00"/>
    <n v="1"/>
    <n v="20.39"/>
    <n v="25"/>
  </r>
  <r>
    <x v="66"/>
    <d v="2022-05-28T00:00:00"/>
    <n v="1"/>
    <n v="57.59"/>
    <n v="82"/>
  </r>
  <r>
    <x v="66"/>
    <d v="2022-05-28T00:00:00"/>
    <n v="1"/>
    <n v="57.59"/>
    <n v="82"/>
  </r>
  <r>
    <x v="115"/>
    <d v="2022-05-28T00:00:00"/>
    <n v="1"/>
    <n v="132.07"/>
    <n v="181"/>
  </r>
  <r>
    <x v="93"/>
    <d v="2022-05-28T00:00:00"/>
    <n v="1"/>
    <n v="111.21"/>
    <n v="134"/>
  </r>
  <r>
    <x v="124"/>
    <d v="2022-05-28T00:00:00"/>
    <n v="0.2"/>
    <n v="495.41"/>
    <n v="596"/>
  </r>
  <r>
    <x v="117"/>
    <d v="2022-05-28T00:00:00"/>
    <n v="1"/>
    <n v="21.26"/>
    <n v="26"/>
  </r>
  <r>
    <x v="11"/>
    <d v="2022-05-28T00:00:00"/>
    <n v="1"/>
    <n v="45.71"/>
    <n v="72"/>
  </r>
  <r>
    <x v="83"/>
    <d v="2022-05-28T00:00:00"/>
    <n v="1"/>
    <n v="132"/>
    <n v="202"/>
  </r>
  <r>
    <x v="101"/>
    <d v="2022-05-28T00:00:00"/>
    <n v="1"/>
    <n v="41.14"/>
    <n v="51"/>
  </r>
  <r>
    <x v="50"/>
    <d v="2022-05-28T00:00:00"/>
    <n v="1"/>
    <n v="77.42"/>
    <n v="94"/>
  </r>
  <r>
    <x v="72"/>
    <d v="2022-05-28T00:00:00"/>
    <n v="1"/>
    <n v="60.68"/>
    <n v="76"/>
  </r>
  <r>
    <x v="61"/>
    <d v="2022-05-28T00:00:00"/>
    <n v="1"/>
    <n v="30.6"/>
    <n v="36"/>
  </r>
  <r>
    <x v="84"/>
    <d v="2022-05-28T00:00:00"/>
    <n v="1"/>
    <n v="80.69"/>
    <n v="117"/>
  </r>
  <r>
    <x v="42"/>
    <d v="2022-05-28T00:00:00"/>
    <n v="1"/>
    <n v="42.85"/>
    <n v="67"/>
  </r>
  <r>
    <x v="34"/>
    <d v="2022-05-28T00:00:00"/>
    <n v="2"/>
    <n v="9.9499999999999993"/>
    <n v="17"/>
  </r>
  <r>
    <x v="61"/>
    <d v="2022-05-28T00:00:00"/>
    <n v="1"/>
    <n v="31.08"/>
    <n v="36"/>
  </r>
  <r>
    <x v="42"/>
    <d v="2022-05-28T00:00:00"/>
    <n v="1"/>
    <n v="42.85"/>
    <n v="67"/>
  </r>
  <r>
    <x v="16"/>
    <d v="2022-05-28T00:00:00"/>
    <n v="1"/>
    <n v="184.57"/>
    <n v="253"/>
  </r>
  <r>
    <x v="117"/>
    <d v="2022-05-28T00:00:00"/>
    <n v="1"/>
    <n v="20.86"/>
    <n v="26"/>
  </r>
  <r>
    <x v="110"/>
    <d v="2022-05-28T00:00:00"/>
    <n v="1"/>
    <n v="69.849999999999994"/>
    <n v="88"/>
  </r>
  <r>
    <x v="67"/>
    <d v="2022-05-28T00:00:00"/>
    <n v="1"/>
    <n v="558.1"/>
    <n v="737"/>
  </r>
  <r>
    <x v="142"/>
    <d v="2022-05-28T00:00:00"/>
    <n v="1"/>
    <n v="135.37"/>
    <n v="189"/>
  </r>
  <r>
    <x v="64"/>
    <d v="2022-05-28T00:00:00"/>
    <n v="1"/>
    <n v="19.989999999999998"/>
    <n v="24"/>
  </r>
  <r>
    <x v="5"/>
    <d v="2022-05-28T00:00:00"/>
    <n v="1"/>
    <n v="11.33"/>
    <n v="13"/>
  </r>
  <r>
    <x v="5"/>
    <d v="2022-05-28T00:00:00"/>
    <n v="1"/>
    <n v="11.33"/>
    <n v="13"/>
  </r>
  <r>
    <x v="40"/>
    <d v="2022-05-28T00:00:00"/>
    <n v="3"/>
    <n v="28.85"/>
    <n v="47"/>
  </r>
  <r>
    <x v="15"/>
    <d v="2022-05-28T00:00:00"/>
    <n v="1"/>
    <n v="19.71"/>
    <n v="25"/>
  </r>
  <r>
    <x v="15"/>
    <d v="2022-05-28T00:00:00"/>
    <n v="1"/>
    <n v="19.71"/>
    <n v="25"/>
  </r>
  <r>
    <x v="15"/>
    <d v="2022-05-28T00:00:00"/>
    <n v="1"/>
    <n v="19.71"/>
    <n v="25"/>
  </r>
  <r>
    <x v="23"/>
    <d v="2022-05-28T00:00:00"/>
    <n v="1"/>
    <n v="122.75"/>
    <n v="174"/>
  </r>
  <r>
    <x v="134"/>
    <d v="2022-05-28T00:00:00"/>
    <n v="1"/>
    <n v="24.18"/>
    <n v="40"/>
  </r>
  <r>
    <x v="108"/>
    <d v="2022-05-28T00:00:00"/>
    <n v="1"/>
    <n v="125.56"/>
    <n v="175"/>
  </r>
  <r>
    <x v="18"/>
    <d v="2022-05-28T00:00:00"/>
    <n v="1"/>
    <n v="109.41"/>
    <n v="123"/>
  </r>
  <r>
    <x v="52"/>
    <d v="2022-05-28T00:00:00"/>
    <n v="1"/>
    <n v="225.2"/>
    <n v="264"/>
  </r>
  <r>
    <x v="20"/>
    <d v="2022-05-28T00:00:00"/>
    <n v="1"/>
    <n v="147.18"/>
    <n v="176"/>
  </r>
  <r>
    <x v="74"/>
    <d v="2022-05-28T00:00:00"/>
    <n v="1"/>
    <n v="148.5"/>
    <n v="177"/>
  </r>
  <r>
    <x v="148"/>
    <d v="2022-05-28T00:00:00"/>
    <n v="1"/>
    <n v="10.34"/>
    <n v="12"/>
  </r>
  <r>
    <x v="62"/>
    <d v="2022-05-28T00:00:00"/>
    <n v="1"/>
    <n v="55.04"/>
    <n v="79"/>
  </r>
  <r>
    <x v="117"/>
    <d v="2022-05-28T00:00:00"/>
    <n v="1"/>
    <n v="20.86"/>
    <n v="26"/>
  </r>
  <r>
    <x v="101"/>
    <d v="2022-05-28T00:00:00"/>
    <n v="1"/>
    <n v="41.66"/>
    <n v="51"/>
  </r>
  <r>
    <x v="60"/>
    <d v="2022-05-28T00:00:00"/>
    <n v="1"/>
    <n v="176.42"/>
    <n v="207"/>
  </r>
  <r>
    <x v="110"/>
    <d v="2022-05-28T00:00:00"/>
    <n v="1"/>
    <n v="69.849999999999994"/>
    <n v="88"/>
  </r>
  <r>
    <x v="94"/>
    <d v="2022-05-28T00:00:00"/>
    <n v="1"/>
    <n v="64.25"/>
    <n v="77"/>
  </r>
  <r>
    <x v="2"/>
    <d v="2022-05-28T00:00:00"/>
    <n v="1"/>
    <n v="88.43"/>
    <n v="110"/>
  </r>
  <r>
    <x v="88"/>
    <d v="2022-05-28T00:00:00"/>
    <n v="1"/>
    <n v="71.05"/>
    <n v="106"/>
  </r>
  <r>
    <x v="46"/>
    <d v="2022-05-28T00:00:00"/>
    <n v="4"/>
    <n v="2.0499999999999998"/>
    <n v="4"/>
  </r>
  <r>
    <x v="74"/>
    <d v="2022-05-28T00:00:00"/>
    <n v="1"/>
    <n v="148.5"/>
    <n v="180"/>
  </r>
  <r>
    <x v="42"/>
    <d v="2022-05-28T00:00:00"/>
    <n v="1"/>
    <n v="43.45"/>
    <n v="67"/>
  </r>
  <r>
    <x v="18"/>
    <d v="2022-05-28T00:00:00"/>
    <n v="1"/>
    <n v="110.21"/>
    <n v="124"/>
  </r>
  <r>
    <x v="2"/>
    <d v="2022-05-28T00:00:00"/>
    <n v="1"/>
    <n v="88.43"/>
    <n v="106"/>
  </r>
  <r>
    <x v="2"/>
    <d v="2022-05-28T00:00:00"/>
    <n v="1"/>
    <n v="88.43"/>
    <n v="106"/>
  </r>
  <r>
    <x v="60"/>
    <d v="2022-05-28T00:00:00"/>
    <n v="1"/>
    <n v="184.45"/>
    <n v="216"/>
  </r>
  <r>
    <x v="4"/>
    <d v="2022-05-28T00:00:00"/>
    <n v="1"/>
    <n v="80.69"/>
    <n v="100"/>
  </r>
  <r>
    <x v="127"/>
    <d v="2022-05-28T00:00:00"/>
    <n v="1"/>
    <n v="58.53"/>
    <n v="87"/>
  </r>
  <r>
    <x v="12"/>
    <d v="2022-05-28T00:00:00"/>
    <n v="1"/>
    <n v="387.42"/>
    <n v="465"/>
  </r>
  <r>
    <x v="17"/>
    <d v="2022-05-28T00:00:00"/>
    <n v="1"/>
    <n v="30.3"/>
    <n v="49"/>
  </r>
  <r>
    <x v="113"/>
    <d v="2022-05-28T00:00:00"/>
    <n v="1"/>
    <n v="10.66"/>
    <n v="13"/>
  </r>
  <r>
    <x v="98"/>
    <d v="2022-05-28T00:00:00"/>
    <n v="1"/>
    <n v="45.88"/>
    <n v="73"/>
  </r>
  <r>
    <x v="98"/>
    <d v="2022-05-28T00:00:00"/>
    <n v="1"/>
    <n v="46.32"/>
    <n v="72"/>
  </r>
  <r>
    <x v="98"/>
    <d v="2022-05-28T00:00:00"/>
    <n v="1"/>
    <n v="46.32"/>
    <n v="72"/>
  </r>
  <r>
    <x v="49"/>
    <d v="2022-05-28T00:00:00"/>
    <n v="1"/>
    <n v="731.05"/>
    <n v="944"/>
  </r>
  <r>
    <x v="137"/>
    <d v="2022-05-28T00:00:00"/>
    <n v="1"/>
    <n v="12.86"/>
    <n v="15"/>
  </r>
  <r>
    <x v="141"/>
    <d v="2022-05-28T00:00:00"/>
    <n v="1"/>
    <n v="411.54"/>
    <n v="461"/>
  </r>
  <r>
    <x v="5"/>
    <d v="2022-05-28T00:00:00"/>
    <n v="1"/>
    <n v="11.67"/>
    <n v="14"/>
  </r>
  <r>
    <x v="53"/>
    <d v="2022-05-28T00:00:00"/>
    <n v="1"/>
    <n v="76.739999999999995"/>
    <n v="93"/>
  </r>
  <r>
    <x v="53"/>
    <d v="2022-05-28T00:00:00"/>
    <n v="1"/>
    <n v="76.739999999999995"/>
    <n v="93"/>
  </r>
  <r>
    <x v="53"/>
    <d v="2022-05-28T00:00:00"/>
    <n v="1"/>
    <n v="76.739999999999995"/>
    <n v="93"/>
  </r>
  <r>
    <x v="53"/>
    <d v="2022-05-28T00:00:00"/>
    <n v="1"/>
    <n v="82.25"/>
    <n v="99"/>
  </r>
  <r>
    <x v="53"/>
    <d v="2022-05-28T00:00:00"/>
    <n v="1"/>
    <n v="82.25"/>
    <n v="99"/>
  </r>
  <r>
    <x v="46"/>
    <d v="2022-05-28T00:00:00"/>
    <n v="12"/>
    <n v="2.1800000000000002"/>
    <n v="4"/>
  </r>
  <r>
    <x v="49"/>
    <d v="2022-05-28T00:00:00"/>
    <n v="1"/>
    <n v="731.05"/>
    <n v="944"/>
  </r>
  <r>
    <x v="2"/>
    <d v="2022-05-28T00:00:00"/>
    <n v="1"/>
    <n v="88.07"/>
    <n v="104"/>
  </r>
  <r>
    <x v="3"/>
    <d v="2022-05-28T00:00:00"/>
    <n v="2"/>
    <n v="47.67"/>
    <n v="77"/>
  </r>
  <r>
    <x v="67"/>
    <d v="2022-05-28T00:00:00"/>
    <n v="1"/>
    <n v="558.1"/>
    <n v="737"/>
  </r>
  <r>
    <x v="49"/>
    <d v="2022-05-28T00:00:00"/>
    <n v="1"/>
    <n v="731.05"/>
    <n v="944"/>
  </r>
  <r>
    <x v="27"/>
    <d v="2022-05-28T00:00:00"/>
    <n v="1"/>
    <n v="105"/>
    <n v="161"/>
  </r>
  <r>
    <x v="46"/>
    <d v="2022-05-28T00:00:00"/>
    <n v="4"/>
    <n v="2.0499999999999998"/>
    <n v="4"/>
  </r>
  <r>
    <x v="95"/>
    <d v="2022-05-28T00:00:00"/>
    <n v="1"/>
    <n v="35.49"/>
    <n v="54"/>
  </r>
  <r>
    <x v="13"/>
    <d v="2022-05-28T00:00:00"/>
    <n v="1"/>
    <n v="44"/>
    <n v="69"/>
  </r>
  <r>
    <x v="13"/>
    <d v="2022-05-28T00:00:00"/>
    <n v="1"/>
    <n v="44"/>
    <n v="69"/>
  </r>
  <r>
    <x v="110"/>
    <d v="2022-05-28T00:00:00"/>
    <n v="1"/>
    <n v="69.849999999999994"/>
    <n v="88"/>
  </r>
  <r>
    <x v="110"/>
    <d v="2022-05-28T00:00:00"/>
    <n v="1"/>
    <n v="69.849999999999994"/>
    <n v="88"/>
  </r>
  <r>
    <x v="110"/>
    <d v="2022-05-28T00:00:00"/>
    <n v="1"/>
    <n v="69.849999999999994"/>
    <n v="88"/>
  </r>
  <r>
    <x v="24"/>
    <d v="2022-05-28T00:00:00"/>
    <n v="1"/>
    <n v="484.85"/>
    <n v="640"/>
  </r>
  <r>
    <x v="73"/>
    <d v="2022-05-28T00:00:00"/>
    <n v="1"/>
    <n v="69.7"/>
    <n v="88"/>
  </r>
  <r>
    <x v="87"/>
    <d v="2022-05-28T00:00:00"/>
    <n v="6"/>
    <n v="6.2"/>
    <n v="9"/>
  </r>
  <r>
    <x v="29"/>
    <d v="2022-05-28T00:00:00"/>
    <n v="1"/>
    <n v="199.32"/>
    <n v="230"/>
  </r>
  <r>
    <x v="12"/>
    <d v="2022-05-28T00:00:00"/>
    <n v="1"/>
    <n v="388.58"/>
    <n v="467"/>
  </r>
  <r>
    <x v="110"/>
    <d v="2022-05-28T00:00:00"/>
    <n v="1"/>
    <n v="69.849999999999994"/>
    <n v="88"/>
  </r>
  <r>
    <x v="94"/>
    <d v="2022-05-28T00:00:00"/>
    <n v="1"/>
    <n v="64.25"/>
    <n v="77"/>
  </r>
  <r>
    <x v="43"/>
    <d v="2022-05-28T00:00:00"/>
    <n v="1"/>
    <n v="38.82"/>
    <n v="61"/>
  </r>
  <r>
    <x v="46"/>
    <d v="2022-05-28T00:00:00"/>
    <n v="16"/>
    <n v="2.0099999999999998"/>
    <n v="4"/>
  </r>
  <r>
    <x v="26"/>
    <d v="2022-05-28T00:00:00"/>
    <n v="1"/>
    <n v="13.05"/>
    <n v="18"/>
  </r>
  <r>
    <x v="0"/>
    <d v="2022-05-28T00:00:00"/>
    <n v="1"/>
    <n v="145.6"/>
    <n v="172"/>
  </r>
  <r>
    <x v="42"/>
    <d v="2022-05-28T00:00:00"/>
    <n v="1"/>
    <n v="42.85"/>
    <n v="66"/>
  </r>
  <r>
    <x v="51"/>
    <d v="2022-05-28T00:00:00"/>
    <n v="1"/>
    <n v="44.7"/>
    <n v="68"/>
  </r>
  <r>
    <x v="51"/>
    <d v="2022-05-28T00:00:00"/>
    <n v="1"/>
    <n v="44.7"/>
    <n v="68"/>
  </r>
  <r>
    <x v="50"/>
    <d v="2022-05-28T00:00:00"/>
    <n v="1"/>
    <n v="77.510000000000005"/>
    <n v="95"/>
  </r>
  <r>
    <x v="120"/>
    <d v="2022-05-28T00:00:00"/>
    <n v="1"/>
    <n v="384.12"/>
    <n v="404.74"/>
  </r>
  <r>
    <x v="120"/>
    <d v="2022-05-28T00:00:00"/>
    <n v="1"/>
    <n v="384.12"/>
    <n v="404.74"/>
  </r>
  <r>
    <x v="120"/>
    <d v="2022-05-28T00:00:00"/>
    <n v="1"/>
    <n v="384.12"/>
    <n v="404.74"/>
  </r>
  <r>
    <x v="17"/>
    <d v="2022-05-28T00:00:00"/>
    <n v="1"/>
    <n v="30.3"/>
    <n v="49"/>
  </r>
  <r>
    <x v="15"/>
    <d v="2022-05-28T00:00:00"/>
    <n v="1"/>
    <n v="19.71"/>
    <n v="25"/>
  </r>
  <r>
    <x v="15"/>
    <d v="2022-05-28T00:00:00"/>
    <n v="1"/>
    <n v="19.71"/>
    <n v="25"/>
  </r>
  <r>
    <x v="74"/>
    <d v="2022-05-28T00:00:00"/>
    <n v="1"/>
    <n v="148.5"/>
    <n v="177"/>
  </r>
  <r>
    <x v="25"/>
    <d v="2022-05-28T00:00:00"/>
    <n v="1"/>
    <n v="156.19999999999999"/>
    <n v="189"/>
  </r>
  <r>
    <x v="90"/>
    <d v="2022-05-28T00:00:00"/>
    <n v="1"/>
    <n v="131.07"/>
    <n v="206"/>
  </r>
  <r>
    <x v="21"/>
    <d v="2022-05-28T00:00:00"/>
    <n v="0.4"/>
    <n v="994.36"/>
    <n v="1343"/>
  </r>
  <r>
    <x v="49"/>
    <d v="2022-05-28T00:00:00"/>
    <n v="1"/>
    <n v="731.05"/>
    <n v="944"/>
  </r>
  <r>
    <x v="42"/>
    <d v="2022-05-28T00:00:00"/>
    <n v="1"/>
    <n v="42.85"/>
    <n v="67"/>
  </r>
  <r>
    <x v="96"/>
    <d v="2022-05-28T00:00:00"/>
    <n v="1"/>
    <n v="33.06"/>
    <n v="52"/>
  </r>
  <r>
    <x v="78"/>
    <d v="2022-05-28T00:00:00"/>
    <n v="1"/>
    <n v="207.76"/>
    <n v="246"/>
  </r>
  <r>
    <x v="1"/>
    <d v="2022-05-28T00:00:00"/>
    <n v="0.4"/>
    <n v="472.13"/>
    <n v="591"/>
  </r>
  <r>
    <x v="110"/>
    <d v="2022-05-28T00:00:00"/>
    <n v="1"/>
    <n v="69.849999999999994"/>
    <n v="88"/>
  </r>
  <r>
    <x v="64"/>
    <d v="2022-05-28T00:00:00"/>
    <n v="1"/>
    <n v="19.989999999999998"/>
    <n v="24"/>
  </r>
  <r>
    <x v="14"/>
    <d v="2022-05-28T00:00:00"/>
    <n v="1"/>
    <n v="80.760000000000005"/>
    <n v="101"/>
  </r>
  <r>
    <x v="14"/>
    <d v="2022-05-28T00:00:00"/>
    <n v="1"/>
    <n v="80.760000000000005"/>
    <n v="101"/>
  </r>
  <r>
    <x v="85"/>
    <d v="2022-05-28T00:00:00"/>
    <n v="1"/>
    <n v="397.02"/>
    <n v="489"/>
  </r>
  <r>
    <x v="93"/>
    <d v="2022-05-28T00:00:00"/>
    <n v="1"/>
    <n v="112.66"/>
    <n v="136"/>
  </r>
  <r>
    <x v="61"/>
    <d v="2022-05-28T00:00:00"/>
    <n v="1"/>
    <n v="30.6"/>
    <n v="36"/>
  </r>
  <r>
    <x v="61"/>
    <d v="2022-05-28T00:00:00"/>
    <n v="1"/>
    <n v="30.6"/>
    <n v="36"/>
  </r>
  <r>
    <x v="96"/>
    <d v="2022-05-28T00:00:00"/>
    <n v="1"/>
    <n v="31.62"/>
    <n v="49"/>
  </r>
  <r>
    <x v="96"/>
    <d v="2022-05-28T00:00:00"/>
    <n v="1"/>
    <n v="31.62"/>
    <n v="49"/>
  </r>
  <r>
    <x v="122"/>
    <d v="2022-05-28T00:00:00"/>
    <n v="1"/>
    <n v="121"/>
    <n v="169"/>
  </r>
  <r>
    <x v="46"/>
    <d v="2022-05-28T00:00:00"/>
    <n v="8"/>
    <n v="2.1800000000000002"/>
    <n v="4"/>
  </r>
  <r>
    <x v="95"/>
    <d v="2022-05-28T00:00:00"/>
    <n v="1"/>
    <n v="37.42"/>
    <n v="57"/>
  </r>
  <r>
    <x v="9"/>
    <d v="2022-05-28T00:00:00"/>
    <n v="0.2"/>
    <n v="455.4"/>
    <n v="602"/>
  </r>
  <r>
    <x v="107"/>
    <d v="2022-05-28T00:00:00"/>
    <n v="1"/>
    <n v="291.3"/>
    <n v="345"/>
  </r>
  <r>
    <x v="86"/>
    <d v="2022-05-28T00:00:00"/>
    <n v="1"/>
    <n v="31.23"/>
    <n v="51"/>
  </r>
  <r>
    <x v="19"/>
    <d v="2022-05-28T00:00:00"/>
    <n v="1"/>
    <n v="107.3"/>
    <n v="126"/>
  </r>
  <r>
    <x v="88"/>
    <d v="2022-05-28T00:00:00"/>
    <n v="1"/>
    <n v="68.599999999999994"/>
    <n v="98"/>
  </r>
  <r>
    <x v="16"/>
    <d v="2022-05-28T00:00:00"/>
    <n v="1"/>
    <n v="184.39"/>
    <n v="257"/>
  </r>
  <r>
    <x v="60"/>
    <d v="2022-05-28T00:00:00"/>
    <n v="1"/>
    <n v="187.12"/>
    <n v="219"/>
  </r>
  <r>
    <x v="18"/>
    <d v="2022-05-28T00:00:00"/>
    <n v="1"/>
    <n v="109.41"/>
    <n v="123"/>
  </r>
  <r>
    <x v="2"/>
    <d v="2022-05-28T00:00:00"/>
    <n v="1"/>
    <n v="88.43"/>
    <n v="110"/>
  </r>
  <r>
    <x v="120"/>
    <d v="2022-05-28T00:00:00"/>
    <n v="1"/>
    <n v="329.97"/>
    <n v="426"/>
  </r>
  <r>
    <x v="81"/>
    <d v="2022-05-28T00:00:00"/>
    <n v="1"/>
    <n v="47.4"/>
    <n v="76"/>
  </r>
  <r>
    <x v="99"/>
    <d v="2022-05-28T00:00:00"/>
    <n v="1"/>
    <n v="45.33"/>
    <n v="58"/>
  </r>
  <r>
    <x v="21"/>
    <d v="2022-05-28T00:00:00"/>
    <n v="0.2"/>
    <n v="984.79"/>
    <n v="1350"/>
  </r>
  <r>
    <x v="81"/>
    <d v="2022-05-28T00:00:00"/>
    <n v="5"/>
    <n v="47.4"/>
    <n v="76"/>
  </r>
  <r>
    <x v="106"/>
    <d v="2022-05-28T00:00:00"/>
    <n v="1"/>
    <n v="177.79"/>
    <n v="193"/>
  </r>
  <r>
    <x v="147"/>
    <d v="2022-05-28T00:00:00"/>
    <n v="1"/>
    <n v="107.99"/>
    <n v="135"/>
  </r>
  <r>
    <x v="94"/>
    <d v="2022-05-28T00:00:00"/>
    <n v="1"/>
    <n v="64.25"/>
    <n v="77"/>
  </r>
  <r>
    <x v="145"/>
    <d v="2022-05-28T00:00:00"/>
    <n v="1"/>
    <n v="82.64"/>
    <n v="129"/>
  </r>
  <r>
    <x v="57"/>
    <d v="2022-05-28T00:00:00"/>
    <n v="1"/>
    <n v="25.15"/>
    <n v="30"/>
  </r>
  <r>
    <x v="88"/>
    <d v="2022-05-28T00:00:00"/>
    <n v="1"/>
    <n v="71.040000000000006"/>
    <n v="101"/>
  </r>
  <r>
    <x v="123"/>
    <d v="2022-05-28T00:00:00"/>
    <n v="1"/>
    <n v="294.18"/>
    <n v="406"/>
  </r>
  <r>
    <x v="139"/>
    <d v="2022-05-28T00:00:00"/>
    <n v="1"/>
    <n v="51.5"/>
    <n v="80"/>
  </r>
  <r>
    <x v="122"/>
    <d v="2022-05-28T00:00:00"/>
    <n v="1"/>
    <n v="118.82"/>
    <n v="161"/>
  </r>
  <r>
    <x v="52"/>
    <d v="2022-05-28T00:00:00"/>
    <n v="1"/>
    <n v="233.74"/>
    <n v="274"/>
  </r>
  <r>
    <x v="61"/>
    <d v="2022-05-28T00:00:00"/>
    <n v="1"/>
    <n v="30.6"/>
    <n v="36"/>
  </r>
  <r>
    <x v="61"/>
    <d v="2022-05-28T00:00:00"/>
    <n v="1"/>
    <n v="30.6"/>
    <n v="36"/>
  </r>
  <r>
    <x v="131"/>
    <d v="2022-05-28T00:00:00"/>
    <n v="1"/>
    <n v="289.58999999999997"/>
    <n v="386"/>
  </r>
  <r>
    <x v="135"/>
    <d v="2022-05-28T00:00:00"/>
    <n v="1"/>
    <n v="157.13"/>
    <n v="189"/>
  </r>
  <r>
    <x v="18"/>
    <d v="2022-05-28T00:00:00"/>
    <n v="1"/>
    <n v="109.41"/>
    <n v="123"/>
  </r>
  <r>
    <x v="99"/>
    <d v="2022-05-28T00:00:00"/>
    <n v="1"/>
    <n v="44.68"/>
    <n v="56"/>
  </r>
  <r>
    <x v="19"/>
    <d v="2022-05-28T00:00:00"/>
    <n v="1"/>
    <n v="102.47"/>
    <n v="121"/>
  </r>
  <r>
    <x v="87"/>
    <d v="2022-05-28T00:00:00"/>
    <n v="10"/>
    <n v="6.24"/>
    <n v="9"/>
  </r>
  <r>
    <x v="105"/>
    <d v="2022-05-28T00:00:00"/>
    <n v="1"/>
    <n v="267.8"/>
    <n v="375"/>
  </r>
  <r>
    <x v="70"/>
    <d v="2022-05-28T00:00:00"/>
    <n v="0.1"/>
    <n v="464.4"/>
    <n v="706"/>
  </r>
  <r>
    <x v="150"/>
    <d v="2022-05-28T00:00:00"/>
    <n v="0.2"/>
    <n v="448.8"/>
    <n v="683"/>
  </r>
  <r>
    <x v="56"/>
    <d v="2022-05-28T00:00:00"/>
    <n v="1"/>
    <n v="32.85"/>
    <n v="52"/>
  </r>
  <r>
    <x v="0"/>
    <d v="2022-05-28T00:00:00"/>
    <n v="1"/>
    <n v="145.6"/>
    <n v="172"/>
  </r>
  <r>
    <x v="0"/>
    <d v="2022-05-28T00:00:00"/>
    <n v="1"/>
    <n v="145.6"/>
    <n v="172"/>
  </r>
  <r>
    <x v="76"/>
    <d v="2022-05-27T00:00:00"/>
    <n v="1"/>
    <n v="43.63"/>
    <n v="54"/>
  </r>
  <r>
    <x v="23"/>
    <d v="2022-05-27T00:00:00"/>
    <n v="1"/>
    <n v="150.03"/>
    <n v="206"/>
  </r>
  <r>
    <x v="40"/>
    <d v="2022-05-27T00:00:00"/>
    <n v="1"/>
    <n v="26.16"/>
    <n v="42"/>
  </r>
  <r>
    <x v="10"/>
    <d v="2022-05-27T00:00:00"/>
    <n v="1"/>
    <n v="55.5"/>
    <n v="87"/>
  </r>
  <r>
    <x v="2"/>
    <d v="2022-05-27T00:00:00"/>
    <n v="1"/>
    <n v="88.43"/>
    <n v="110"/>
  </r>
  <r>
    <x v="104"/>
    <d v="2022-05-27T00:00:00"/>
    <n v="1"/>
    <n v="87.23"/>
    <n v="105"/>
  </r>
  <r>
    <x v="104"/>
    <d v="2022-05-27T00:00:00"/>
    <n v="1"/>
    <n v="87.23"/>
    <n v="105"/>
  </r>
  <r>
    <x v="104"/>
    <d v="2022-05-27T00:00:00"/>
    <n v="1"/>
    <n v="87.23"/>
    <n v="105"/>
  </r>
  <r>
    <x v="40"/>
    <d v="2022-05-27T00:00:00"/>
    <n v="1"/>
    <n v="28.21"/>
    <n v="46"/>
  </r>
  <r>
    <x v="116"/>
    <d v="2022-05-27T00:00:00"/>
    <n v="1"/>
    <n v="11.41"/>
    <n v="19"/>
  </r>
  <r>
    <x v="143"/>
    <d v="2022-05-27T00:00:00"/>
    <n v="1"/>
    <n v="36.97"/>
    <n v="57"/>
  </r>
  <r>
    <x v="117"/>
    <d v="2022-05-27T00:00:00"/>
    <n v="1"/>
    <n v="23.27"/>
    <n v="28"/>
  </r>
  <r>
    <x v="87"/>
    <d v="2022-05-27T00:00:00"/>
    <n v="12"/>
    <n v="6.24"/>
    <n v="9"/>
  </r>
  <r>
    <x v="87"/>
    <d v="2022-05-27T00:00:00"/>
    <n v="3"/>
    <n v="6.6"/>
    <n v="9"/>
  </r>
  <r>
    <x v="43"/>
    <d v="2022-05-27T00:00:00"/>
    <n v="1"/>
    <n v="38.82"/>
    <n v="59"/>
  </r>
  <r>
    <x v="104"/>
    <d v="2022-05-27T00:00:00"/>
    <n v="1"/>
    <n v="87.23"/>
    <n v="105"/>
  </r>
  <r>
    <x v="104"/>
    <d v="2022-05-27T00:00:00"/>
    <n v="1"/>
    <n v="87.23"/>
    <n v="105"/>
  </r>
  <r>
    <x v="104"/>
    <d v="2022-05-27T00:00:00"/>
    <n v="1"/>
    <n v="87.23"/>
    <n v="105"/>
  </r>
  <r>
    <x v="104"/>
    <d v="2022-05-27T00:00:00"/>
    <n v="1"/>
    <n v="87.23"/>
    <n v="105"/>
  </r>
  <r>
    <x v="104"/>
    <d v="2022-05-27T00:00:00"/>
    <n v="1"/>
    <n v="87.23"/>
    <n v="105"/>
  </r>
  <r>
    <x v="105"/>
    <d v="2022-05-27T00:00:00"/>
    <n v="1"/>
    <n v="267.8"/>
    <n v="375"/>
  </r>
  <r>
    <x v="129"/>
    <d v="2022-05-27T00:00:00"/>
    <n v="1"/>
    <n v="33"/>
    <n v="51"/>
  </r>
  <r>
    <x v="129"/>
    <d v="2022-05-27T00:00:00"/>
    <n v="1"/>
    <n v="26.86"/>
    <n v="41"/>
  </r>
  <r>
    <x v="39"/>
    <d v="2022-05-27T00:00:00"/>
    <n v="1"/>
    <n v="65.010000000000005"/>
    <n v="101"/>
  </r>
  <r>
    <x v="19"/>
    <d v="2022-05-27T00:00:00"/>
    <n v="1"/>
    <n v="102.47"/>
    <n v="121"/>
  </r>
  <r>
    <x v="112"/>
    <d v="2022-05-27T00:00:00"/>
    <n v="1"/>
    <n v="23.14"/>
    <n v="28"/>
  </r>
  <r>
    <x v="6"/>
    <d v="2022-05-27T00:00:00"/>
    <n v="1"/>
    <n v="24.2"/>
    <n v="39"/>
  </r>
  <r>
    <x v="19"/>
    <d v="2022-05-27T00:00:00"/>
    <n v="1"/>
    <n v="102.47"/>
    <n v="121"/>
  </r>
  <r>
    <x v="14"/>
    <d v="2022-05-27T00:00:00"/>
    <n v="1"/>
    <n v="80.760000000000005"/>
    <n v="101"/>
  </r>
  <r>
    <x v="14"/>
    <d v="2022-05-27T00:00:00"/>
    <n v="1"/>
    <n v="80.760000000000005"/>
    <n v="101"/>
  </r>
  <r>
    <x v="2"/>
    <d v="2022-05-27T00:00:00"/>
    <n v="1"/>
    <n v="88.43"/>
    <n v="106"/>
  </r>
  <r>
    <x v="13"/>
    <d v="2022-05-27T00:00:00"/>
    <n v="1"/>
    <n v="44"/>
    <n v="69"/>
  </r>
  <r>
    <x v="13"/>
    <d v="2022-05-27T00:00:00"/>
    <n v="1"/>
    <n v="46"/>
    <n v="72"/>
  </r>
  <r>
    <x v="20"/>
    <d v="2022-05-27T00:00:00"/>
    <n v="1"/>
    <n v="147.18"/>
    <n v="177"/>
  </r>
  <r>
    <x v="98"/>
    <d v="2022-05-27T00:00:00"/>
    <n v="1"/>
    <n v="45.88"/>
    <n v="73"/>
  </r>
  <r>
    <x v="34"/>
    <d v="2022-05-27T00:00:00"/>
    <n v="2"/>
    <n v="9.9499999999999993"/>
    <n v="17"/>
  </r>
  <r>
    <x v="4"/>
    <d v="2022-05-27T00:00:00"/>
    <n v="1"/>
    <n v="80.73"/>
    <n v="100"/>
  </r>
  <r>
    <x v="117"/>
    <d v="2022-05-27T00:00:00"/>
    <n v="1"/>
    <n v="21.23"/>
    <n v="26"/>
  </r>
  <r>
    <x v="21"/>
    <d v="2022-05-27T00:00:00"/>
    <n v="0.1"/>
    <n v="991.73"/>
    <n v="1280"/>
  </r>
  <r>
    <x v="71"/>
    <d v="2022-05-27T00:00:00"/>
    <n v="1"/>
    <n v="31.28"/>
    <n v="38"/>
  </r>
  <r>
    <x v="71"/>
    <d v="2022-05-27T00:00:00"/>
    <n v="1"/>
    <n v="31.28"/>
    <n v="38"/>
  </r>
  <r>
    <x v="71"/>
    <d v="2022-05-27T00:00:00"/>
    <n v="1"/>
    <n v="31.28"/>
    <n v="38"/>
  </r>
  <r>
    <x v="89"/>
    <d v="2022-05-27T00:00:00"/>
    <n v="1"/>
    <n v="38.97"/>
    <n v="50"/>
  </r>
  <r>
    <x v="89"/>
    <d v="2022-05-27T00:00:00"/>
    <n v="1"/>
    <n v="31.13"/>
    <n v="43"/>
  </r>
  <r>
    <x v="89"/>
    <d v="2022-05-27T00:00:00"/>
    <n v="1"/>
    <n v="31.13"/>
    <n v="43"/>
  </r>
  <r>
    <x v="89"/>
    <d v="2022-05-27T00:00:00"/>
    <n v="1"/>
    <n v="31.13"/>
    <n v="43"/>
  </r>
  <r>
    <x v="89"/>
    <d v="2022-05-27T00:00:00"/>
    <n v="1"/>
    <n v="31.13"/>
    <n v="43"/>
  </r>
  <r>
    <x v="89"/>
    <d v="2022-05-27T00:00:00"/>
    <n v="1"/>
    <n v="31.13"/>
    <n v="43"/>
  </r>
  <r>
    <x v="89"/>
    <d v="2022-05-27T00:00:00"/>
    <n v="1"/>
    <n v="31.13"/>
    <n v="43"/>
  </r>
  <r>
    <x v="89"/>
    <d v="2022-05-27T00:00:00"/>
    <n v="1"/>
    <n v="31.13"/>
    <n v="43"/>
  </r>
  <r>
    <x v="89"/>
    <d v="2022-05-27T00:00:00"/>
    <n v="1"/>
    <n v="31.13"/>
    <n v="43"/>
  </r>
  <r>
    <x v="89"/>
    <d v="2022-05-27T00:00:00"/>
    <n v="1"/>
    <n v="31.13"/>
    <n v="43"/>
  </r>
  <r>
    <x v="140"/>
    <d v="2022-05-27T00:00:00"/>
    <n v="1"/>
    <n v="25.3"/>
    <n v="31"/>
  </r>
  <r>
    <x v="140"/>
    <d v="2022-05-27T00:00:00"/>
    <n v="1"/>
    <n v="25.3"/>
    <n v="31"/>
  </r>
  <r>
    <x v="90"/>
    <d v="2022-05-27T00:00:00"/>
    <n v="1"/>
    <n v="103.49"/>
    <n v="161"/>
  </r>
  <r>
    <x v="43"/>
    <d v="2022-05-27T00:00:00"/>
    <n v="1"/>
    <n v="38.11"/>
    <n v="58"/>
  </r>
  <r>
    <x v="88"/>
    <d v="2022-05-27T00:00:00"/>
    <n v="1"/>
    <n v="68.599999999999994"/>
    <n v="98"/>
  </r>
  <r>
    <x v="132"/>
    <d v="2022-05-27T00:00:00"/>
    <n v="1"/>
    <n v="8.18"/>
    <n v="15"/>
  </r>
  <r>
    <x v="6"/>
    <d v="2022-05-27T00:00:00"/>
    <n v="1"/>
    <n v="24.2"/>
    <n v="39"/>
  </r>
  <r>
    <x v="19"/>
    <d v="2022-05-27T00:00:00"/>
    <n v="1"/>
    <n v="96.14"/>
    <n v="118"/>
  </r>
  <r>
    <x v="134"/>
    <d v="2022-05-27T00:00:00"/>
    <n v="2"/>
    <n v="24.18"/>
    <n v="39"/>
  </r>
  <r>
    <x v="73"/>
    <d v="2022-05-27T00:00:00"/>
    <n v="1"/>
    <n v="69.7"/>
    <n v="88"/>
  </r>
  <r>
    <x v="47"/>
    <d v="2022-05-27T00:00:00"/>
    <n v="1"/>
    <n v="220.88"/>
    <n v="262"/>
  </r>
  <r>
    <x v="24"/>
    <d v="2022-05-27T00:00:00"/>
    <n v="1"/>
    <n v="481.17"/>
    <n v="621"/>
  </r>
  <r>
    <x v="99"/>
    <d v="2022-05-27T00:00:00"/>
    <n v="1"/>
    <n v="44.68"/>
    <n v="56"/>
  </r>
  <r>
    <x v="1"/>
    <d v="2022-05-27T00:00:00"/>
    <n v="0.4"/>
    <n v="507.48"/>
    <n v="635"/>
  </r>
  <r>
    <x v="13"/>
    <d v="2022-05-27T00:00:00"/>
    <n v="1"/>
    <n v="46"/>
    <n v="72"/>
  </r>
  <r>
    <x v="43"/>
    <d v="2022-05-27T00:00:00"/>
    <n v="1"/>
    <n v="41.47"/>
    <n v="64"/>
  </r>
  <r>
    <x v="43"/>
    <d v="2022-05-27T00:00:00"/>
    <n v="1"/>
    <n v="41.47"/>
    <n v="64"/>
  </r>
  <r>
    <x v="43"/>
    <d v="2022-05-27T00:00:00"/>
    <n v="1"/>
    <n v="38.11"/>
    <n v="58"/>
  </r>
  <r>
    <x v="4"/>
    <d v="2022-05-27T00:00:00"/>
    <n v="1"/>
    <n v="81.91"/>
    <n v="99"/>
  </r>
  <r>
    <x v="80"/>
    <d v="2022-05-27T00:00:00"/>
    <n v="1"/>
    <n v="18.010000000000002"/>
    <n v="28"/>
  </r>
  <r>
    <x v="43"/>
    <d v="2022-05-27T00:00:00"/>
    <n v="1"/>
    <n v="38.82"/>
    <n v="59"/>
  </r>
  <r>
    <x v="2"/>
    <d v="2022-05-27T00:00:00"/>
    <n v="1"/>
    <n v="88.43"/>
    <n v="104"/>
  </r>
  <r>
    <x v="1"/>
    <d v="2022-05-27T00:00:00"/>
    <n v="0.4"/>
    <n v="421.52"/>
    <n v="527"/>
  </r>
  <r>
    <x v="83"/>
    <d v="2022-05-27T00:00:00"/>
    <n v="0.5"/>
    <n v="108"/>
    <n v="165"/>
  </r>
  <r>
    <x v="11"/>
    <d v="2022-05-27T00:00:00"/>
    <n v="1"/>
    <n v="44.03"/>
    <n v="70"/>
  </r>
  <r>
    <x v="27"/>
    <d v="2022-05-27T00:00:00"/>
    <n v="1"/>
    <n v="149.72999999999999"/>
    <n v="233"/>
  </r>
  <r>
    <x v="2"/>
    <d v="2022-05-27T00:00:00"/>
    <n v="1"/>
    <n v="88.43"/>
    <n v="106"/>
  </r>
  <r>
    <x v="54"/>
    <d v="2022-05-27T00:00:00"/>
    <n v="2"/>
    <n v="14.55"/>
    <n v="24"/>
  </r>
  <r>
    <x v="16"/>
    <d v="2022-05-27T00:00:00"/>
    <n v="1"/>
    <n v="182.55"/>
    <n v="251"/>
  </r>
  <r>
    <x v="47"/>
    <d v="2022-05-27T00:00:00"/>
    <n v="1"/>
    <n v="221.19"/>
    <n v="262"/>
  </r>
  <r>
    <x v="93"/>
    <d v="2022-05-27T00:00:00"/>
    <n v="1"/>
    <n v="111.48"/>
    <n v="134"/>
  </r>
  <r>
    <x v="31"/>
    <d v="2022-05-27T00:00:00"/>
    <n v="1"/>
    <n v="22"/>
    <n v="28"/>
  </r>
  <r>
    <x v="32"/>
    <d v="2022-05-27T00:00:00"/>
    <n v="1"/>
    <n v="51.84"/>
    <n v="65"/>
  </r>
  <r>
    <x v="117"/>
    <d v="2022-05-27T00:00:00"/>
    <n v="1"/>
    <n v="20.86"/>
    <n v="26"/>
  </r>
  <r>
    <x v="141"/>
    <d v="2022-05-27T00:00:00"/>
    <n v="1"/>
    <n v="402.29"/>
    <n v="451"/>
  </r>
  <r>
    <x v="126"/>
    <d v="2022-05-27T00:00:00"/>
    <n v="1"/>
    <n v="361.91"/>
    <n v="424"/>
  </r>
  <r>
    <x v="57"/>
    <d v="2022-05-27T00:00:00"/>
    <n v="1"/>
    <n v="25.62"/>
    <n v="31"/>
  </r>
  <r>
    <x v="45"/>
    <d v="2022-05-27T00:00:00"/>
    <n v="1"/>
    <n v="43.55"/>
    <n v="54"/>
  </r>
  <r>
    <x v="85"/>
    <d v="2022-05-27T00:00:00"/>
    <n v="1"/>
    <n v="384.2"/>
    <n v="462"/>
  </r>
  <r>
    <x v="39"/>
    <d v="2022-05-27T00:00:00"/>
    <n v="1"/>
    <n v="63.83"/>
    <n v="98"/>
  </r>
  <r>
    <x v="0"/>
    <d v="2022-05-27T00:00:00"/>
    <n v="1"/>
    <n v="131.57"/>
    <n v="158"/>
  </r>
  <r>
    <x v="34"/>
    <d v="2022-05-27T00:00:00"/>
    <n v="2"/>
    <n v="35.409999999999997"/>
    <n v="58"/>
  </r>
  <r>
    <x v="69"/>
    <d v="2022-05-27T00:00:00"/>
    <n v="1"/>
    <n v="89.27"/>
    <n v="111"/>
  </r>
  <r>
    <x v="19"/>
    <d v="2022-05-27T00:00:00"/>
    <n v="1"/>
    <n v="96.14"/>
    <n v="118"/>
  </r>
  <r>
    <x v="52"/>
    <d v="2022-05-27T00:00:00"/>
    <n v="1"/>
    <n v="233.74"/>
    <n v="274"/>
  </r>
  <r>
    <x v="90"/>
    <d v="2022-05-27T00:00:00"/>
    <n v="1"/>
    <n v="131.07"/>
    <n v="206"/>
  </r>
  <r>
    <x v="21"/>
    <d v="2022-05-27T00:00:00"/>
    <n v="0.1"/>
    <n v="989.8"/>
    <n v="1307"/>
  </r>
  <r>
    <x v="115"/>
    <d v="2022-05-27T00:00:00"/>
    <n v="1"/>
    <n v="132.07"/>
    <n v="192"/>
  </r>
  <r>
    <x v="134"/>
    <d v="2022-05-27T00:00:00"/>
    <n v="2"/>
    <n v="24.18"/>
    <n v="39"/>
  </r>
  <r>
    <x v="109"/>
    <d v="2022-05-27T00:00:00"/>
    <n v="1"/>
    <n v="74.8"/>
    <n v="92"/>
  </r>
  <r>
    <x v="17"/>
    <d v="2022-05-27T00:00:00"/>
    <n v="1"/>
    <n v="30.3"/>
    <n v="49"/>
  </r>
  <r>
    <x v="86"/>
    <d v="2022-05-27T00:00:00"/>
    <n v="1"/>
    <n v="35.68"/>
    <n v="58"/>
  </r>
  <r>
    <x v="19"/>
    <d v="2022-05-27T00:00:00"/>
    <n v="1"/>
    <n v="96.14"/>
    <n v="118"/>
  </r>
  <r>
    <x v="67"/>
    <d v="2022-05-27T00:00:00"/>
    <n v="1"/>
    <n v="556.51"/>
    <n v="735"/>
  </r>
  <r>
    <x v="92"/>
    <d v="2022-05-27T00:00:00"/>
    <n v="1"/>
    <n v="426.66"/>
    <n v="564"/>
  </r>
  <r>
    <x v="12"/>
    <d v="2022-05-27T00:00:00"/>
    <n v="1"/>
    <n v="388.58"/>
    <n v="467"/>
  </r>
  <r>
    <x v="8"/>
    <d v="2022-05-27T00:00:00"/>
    <n v="1"/>
    <n v="128.79"/>
    <n v="153"/>
  </r>
  <r>
    <x v="14"/>
    <d v="2022-05-27T00:00:00"/>
    <n v="1"/>
    <n v="81.69"/>
    <n v="102"/>
  </r>
  <r>
    <x v="3"/>
    <d v="2022-05-27T00:00:00"/>
    <n v="1"/>
    <n v="47.83"/>
    <n v="78"/>
  </r>
  <r>
    <x v="128"/>
    <d v="2022-05-27T00:00:00"/>
    <n v="2"/>
    <n v="6.19"/>
    <n v="11"/>
  </r>
  <r>
    <x v="128"/>
    <d v="2022-05-27T00:00:00"/>
    <n v="1"/>
    <n v="6.19"/>
    <n v="11"/>
  </r>
  <r>
    <x v="68"/>
    <d v="2022-05-27T00:00:00"/>
    <n v="4"/>
    <n v="8.07"/>
    <n v="14"/>
  </r>
  <r>
    <x v="40"/>
    <d v="2022-05-27T00:00:00"/>
    <n v="2"/>
    <n v="28.13"/>
    <n v="46"/>
  </r>
  <r>
    <x v="2"/>
    <d v="2022-05-27T00:00:00"/>
    <n v="1"/>
    <n v="88.43"/>
    <n v="104"/>
  </r>
  <r>
    <x v="126"/>
    <d v="2022-05-27T00:00:00"/>
    <n v="1"/>
    <n v="363"/>
    <n v="436"/>
  </r>
  <r>
    <x v="52"/>
    <d v="2022-05-27T00:00:00"/>
    <n v="1"/>
    <n v="233.74"/>
    <n v="274"/>
  </r>
  <r>
    <x v="54"/>
    <d v="2022-05-27T00:00:00"/>
    <n v="2"/>
    <n v="14.55"/>
    <n v="24"/>
  </r>
  <r>
    <x v="21"/>
    <d v="2022-05-27T00:00:00"/>
    <n v="3.3333300000000003E-2"/>
    <n v="1182.26"/>
    <n v="1537"/>
  </r>
  <r>
    <x v="112"/>
    <d v="2022-05-27T00:00:00"/>
    <n v="1"/>
    <n v="23.14"/>
    <n v="28"/>
  </r>
  <r>
    <x v="113"/>
    <d v="2022-05-27T00:00:00"/>
    <n v="1"/>
    <n v="10.63"/>
    <n v="13"/>
  </r>
  <r>
    <x v="36"/>
    <d v="2022-05-27T00:00:00"/>
    <n v="1"/>
    <n v="11.63"/>
    <n v="19"/>
  </r>
  <r>
    <x v="149"/>
    <d v="2022-05-27T00:00:00"/>
    <n v="1"/>
    <n v="124.5"/>
    <n v="149"/>
  </r>
  <r>
    <x v="149"/>
    <d v="2022-05-27T00:00:00"/>
    <n v="1"/>
    <n v="124.5"/>
    <n v="149"/>
  </r>
  <r>
    <x v="8"/>
    <d v="2022-05-27T00:00:00"/>
    <n v="1"/>
    <n v="120.36"/>
    <n v="145"/>
  </r>
  <r>
    <x v="110"/>
    <d v="2022-05-27T00:00:00"/>
    <n v="1"/>
    <n v="69.849999999999994"/>
    <n v="88"/>
  </r>
  <r>
    <x v="20"/>
    <d v="2022-05-27T00:00:00"/>
    <n v="1"/>
    <n v="151.22"/>
    <n v="181"/>
  </r>
  <r>
    <x v="135"/>
    <d v="2022-05-27T00:00:00"/>
    <n v="1"/>
    <n v="157.12"/>
    <n v="189"/>
  </r>
  <r>
    <x v="14"/>
    <d v="2022-05-27T00:00:00"/>
    <n v="1"/>
    <n v="81.290000000000006"/>
    <n v="103"/>
  </r>
  <r>
    <x v="134"/>
    <d v="2022-05-27T00:00:00"/>
    <n v="1"/>
    <n v="24.18"/>
    <n v="40"/>
  </r>
  <r>
    <x v="51"/>
    <d v="2022-05-27T00:00:00"/>
    <n v="1"/>
    <n v="45.36"/>
    <n v="71"/>
  </r>
  <r>
    <x v="122"/>
    <d v="2022-05-27T00:00:00"/>
    <n v="1"/>
    <n v="119.28"/>
    <n v="169"/>
  </r>
  <r>
    <x v="130"/>
    <d v="2022-05-27T00:00:00"/>
    <n v="1"/>
    <n v="72.88"/>
    <n v="90"/>
  </r>
  <r>
    <x v="26"/>
    <d v="2022-05-27T00:00:00"/>
    <n v="1"/>
    <n v="13.05"/>
    <n v="18"/>
  </r>
  <r>
    <x v="26"/>
    <d v="2022-05-27T00:00:00"/>
    <n v="1"/>
    <n v="13.05"/>
    <n v="18"/>
  </r>
  <r>
    <x v="105"/>
    <d v="2022-05-27T00:00:00"/>
    <n v="1"/>
    <n v="215.6"/>
    <n v="285"/>
  </r>
  <r>
    <x v="141"/>
    <d v="2022-05-27T00:00:00"/>
    <n v="1"/>
    <n v="407.84"/>
    <n v="457"/>
  </r>
  <r>
    <x v="131"/>
    <d v="2022-05-27T00:00:00"/>
    <n v="1"/>
    <n v="286.19"/>
    <n v="395"/>
  </r>
  <r>
    <x v="0"/>
    <d v="2022-05-27T00:00:00"/>
    <n v="1"/>
    <n v="130.75"/>
    <n v="160"/>
  </r>
  <r>
    <x v="6"/>
    <d v="2022-05-27T00:00:00"/>
    <n v="1"/>
    <n v="24.2"/>
    <n v="39"/>
  </r>
  <r>
    <x v="85"/>
    <d v="2022-05-27T00:00:00"/>
    <n v="1"/>
    <n v="397.02"/>
    <n v="489"/>
  </r>
  <r>
    <x v="117"/>
    <d v="2022-05-27T00:00:00"/>
    <n v="1"/>
    <n v="21.23"/>
    <n v="26"/>
  </r>
  <r>
    <x v="11"/>
    <d v="2022-05-27T00:00:00"/>
    <n v="1"/>
    <n v="44.03"/>
    <n v="70"/>
  </r>
  <r>
    <x v="110"/>
    <d v="2022-05-27T00:00:00"/>
    <n v="1"/>
    <n v="69.849999999999994"/>
    <n v="88"/>
  </r>
  <r>
    <x v="115"/>
    <d v="2022-05-27T00:00:00"/>
    <n v="1"/>
    <n v="130.35"/>
    <n v="182"/>
  </r>
  <r>
    <x v="57"/>
    <d v="2022-05-27T00:00:00"/>
    <n v="1"/>
    <n v="24.74"/>
    <n v="30"/>
  </r>
  <r>
    <x v="57"/>
    <d v="2022-05-27T00:00:00"/>
    <n v="1"/>
    <n v="24.74"/>
    <n v="30"/>
  </r>
  <r>
    <x v="82"/>
    <d v="2022-05-27T00:00:00"/>
    <n v="1"/>
    <n v="323.66000000000003"/>
    <n v="370"/>
  </r>
  <r>
    <x v="62"/>
    <d v="2022-05-27T00:00:00"/>
    <n v="1"/>
    <n v="55.64"/>
    <n v="79"/>
  </r>
  <r>
    <x v="93"/>
    <d v="2022-05-27T00:00:00"/>
    <n v="1"/>
    <n v="110.99"/>
    <n v="136"/>
  </r>
  <r>
    <x v="49"/>
    <d v="2022-05-27T00:00:00"/>
    <n v="1"/>
    <n v="731.05"/>
    <n v="944"/>
  </r>
  <r>
    <x v="49"/>
    <d v="2022-05-27T00:00:00"/>
    <n v="1"/>
    <n v="731.05"/>
    <n v="944"/>
  </r>
  <r>
    <x v="69"/>
    <d v="2022-05-27T00:00:00"/>
    <n v="1"/>
    <n v="87.52"/>
    <n v="109"/>
  </r>
  <r>
    <x v="111"/>
    <d v="2022-05-27T00:00:00"/>
    <n v="1"/>
    <n v="101.43"/>
    <n v="120"/>
  </r>
  <r>
    <x v="146"/>
    <d v="2022-05-27T00:00:00"/>
    <n v="1"/>
    <n v="24.03"/>
    <n v="29"/>
  </r>
  <r>
    <x v="27"/>
    <d v="2022-05-27T00:00:00"/>
    <n v="1"/>
    <n v="105"/>
    <n v="161"/>
  </r>
  <r>
    <x v="6"/>
    <d v="2022-05-27T00:00:00"/>
    <n v="2"/>
    <n v="24.2"/>
    <n v="39"/>
  </r>
  <r>
    <x v="20"/>
    <d v="2022-05-27T00:00:00"/>
    <n v="1"/>
    <n v="147.18"/>
    <n v="177"/>
  </r>
  <r>
    <x v="15"/>
    <d v="2022-05-27T00:00:00"/>
    <n v="1"/>
    <n v="22.62"/>
    <n v="29"/>
  </r>
  <r>
    <x v="15"/>
    <d v="2022-05-27T00:00:00"/>
    <n v="1"/>
    <n v="22.62"/>
    <n v="29"/>
  </r>
  <r>
    <x v="122"/>
    <d v="2022-05-27T00:00:00"/>
    <n v="1"/>
    <n v="118.82"/>
    <n v="168"/>
  </r>
  <r>
    <x v="72"/>
    <d v="2022-05-27T00:00:00"/>
    <n v="1"/>
    <n v="60.62"/>
    <n v="76"/>
  </r>
  <r>
    <x v="4"/>
    <d v="2022-05-27T00:00:00"/>
    <n v="1"/>
    <n v="81.17"/>
    <n v="99"/>
  </r>
  <r>
    <x v="56"/>
    <d v="2022-05-27T00:00:00"/>
    <n v="1"/>
    <n v="32.909999999999997"/>
    <n v="51"/>
  </r>
  <r>
    <x v="132"/>
    <d v="2022-05-27T00:00:00"/>
    <n v="1"/>
    <n v="10.53"/>
    <n v="18"/>
  </r>
  <r>
    <x v="67"/>
    <d v="2022-05-27T00:00:00"/>
    <n v="1"/>
    <n v="556.51"/>
    <n v="735"/>
  </r>
  <r>
    <x v="52"/>
    <d v="2022-05-27T00:00:00"/>
    <n v="1"/>
    <n v="233.74"/>
    <n v="274"/>
  </r>
  <r>
    <x v="78"/>
    <d v="2022-05-27T00:00:00"/>
    <n v="1"/>
    <n v="201.71"/>
    <n v="243"/>
  </r>
  <r>
    <x v="88"/>
    <d v="2022-05-27T00:00:00"/>
    <n v="1"/>
    <n v="71.040000000000006"/>
    <n v="101"/>
  </r>
  <r>
    <x v="86"/>
    <d v="2022-05-27T00:00:00"/>
    <n v="1"/>
    <n v="31.93"/>
    <n v="52"/>
  </r>
  <r>
    <x v="15"/>
    <d v="2022-05-27T00:00:00"/>
    <n v="1"/>
    <n v="19.71"/>
    <n v="25"/>
  </r>
  <r>
    <x v="15"/>
    <d v="2022-05-27T00:00:00"/>
    <n v="1"/>
    <n v="19.71"/>
    <n v="25"/>
  </r>
  <r>
    <x v="22"/>
    <d v="2022-05-27T00:00:00"/>
    <n v="1"/>
    <n v="102.34"/>
    <n v="157"/>
  </r>
  <r>
    <x v="83"/>
    <d v="2022-05-27T00:00:00"/>
    <n v="1"/>
    <n v="128.1"/>
    <n v="199"/>
  </r>
  <r>
    <x v="93"/>
    <d v="2022-05-27T00:00:00"/>
    <n v="1"/>
    <n v="110.99"/>
    <n v="136"/>
  </r>
  <r>
    <x v="117"/>
    <d v="2022-05-27T00:00:00"/>
    <n v="1"/>
    <n v="20.75"/>
    <n v="25"/>
  </r>
  <r>
    <x v="19"/>
    <d v="2022-05-27T00:00:00"/>
    <n v="1"/>
    <n v="96.43"/>
    <n v="113"/>
  </r>
  <r>
    <x v="42"/>
    <d v="2022-05-27T00:00:00"/>
    <n v="1"/>
    <n v="42.85"/>
    <n v="67"/>
  </r>
  <r>
    <x v="42"/>
    <d v="2022-05-27T00:00:00"/>
    <n v="1"/>
    <n v="42.85"/>
    <n v="67"/>
  </r>
  <r>
    <x v="147"/>
    <d v="2022-05-27T00:00:00"/>
    <n v="1"/>
    <n v="132.41"/>
    <n v="146"/>
  </r>
  <r>
    <x v="67"/>
    <d v="2022-05-27T00:00:00"/>
    <n v="1"/>
    <n v="556.51"/>
    <n v="735"/>
  </r>
  <r>
    <x v="30"/>
    <d v="2022-05-27T00:00:00"/>
    <n v="1"/>
    <n v="33.11"/>
    <n v="51"/>
  </r>
  <r>
    <x v="72"/>
    <d v="2022-05-27T00:00:00"/>
    <n v="1"/>
    <n v="60.68"/>
    <n v="76"/>
  </r>
  <r>
    <x v="42"/>
    <d v="2022-05-27T00:00:00"/>
    <n v="1"/>
    <n v="42.85"/>
    <n v="67"/>
  </r>
  <r>
    <x v="21"/>
    <d v="2022-05-27T00:00:00"/>
    <n v="0.1"/>
    <n v="986.58"/>
    <n v="1234"/>
  </r>
  <r>
    <x v="25"/>
    <d v="2022-05-27T00:00:00"/>
    <n v="1"/>
    <n v="156.19999999999999"/>
    <n v="186"/>
  </r>
  <r>
    <x v="17"/>
    <d v="2022-05-27T00:00:00"/>
    <n v="1"/>
    <n v="30.3"/>
    <n v="49"/>
  </r>
  <r>
    <x v="25"/>
    <d v="2022-05-27T00:00:00"/>
    <n v="1"/>
    <n v="156.19999999999999"/>
    <n v="189"/>
  </r>
  <r>
    <x v="31"/>
    <d v="2022-05-27T00:00:00"/>
    <n v="1"/>
    <n v="22.03"/>
    <n v="28"/>
  </r>
  <r>
    <x v="77"/>
    <d v="2022-05-27T00:00:00"/>
    <n v="1"/>
    <n v="38.07"/>
    <n v="48"/>
  </r>
  <r>
    <x v="123"/>
    <d v="2022-05-27T00:00:00"/>
    <n v="1"/>
    <n v="270.58999999999997"/>
    <n v="379"/>
  </r>
  <r>
    <x v="64"/>
    <d v="2022-05-27T00:00:00"/>
    <n v="1"/>
    <n v="19.989999999999998"/>
    <n v="24"/>
  </r>
  <r>
    <x v="85"/>
    <d v="2022-05-27T00:00:00"/>
    <n v="1"/>
    <n v="384.2"/>
    <n v="462"/>
  </r>
  <r>
    <x v="54"/>
    <d v="2022-05-27T00:00:00"/>
    <n v="1"/>
    <n v="14.55"/>
    <n v="24"/>
  </r>
  <r>
    <x v="119"/>
    <d v="2022-05-27T00:00:00"/>
    <n v="1"/>
    <n v="36.75"/>
    <n v="59"/>
  </r>
  <r>
    <x v="57"/>
    <d v="2022-05-27T00:00:00"/>
    <n v="1"/>
    <n v="25.62"/>
    <n v="31"/>
  </r>
  <r>
    <x v="31"/>
    <d v="2022-05-27T00:00:00"/>
    <n v="1"/>
    <n v="22"/>
    <n v="28"/>
  </r>
  <r>
    <x v="60"/>
    <d v="2022-05-27T00:00:00"/>
    <n v="1"/>
    <n v="187.95"/>
    <n v="220"/>
  </r>
  <r>
    <x v="19"/>
    <d v="2022-05-27T00:00:00"/>
    <n v="1"/>
    <n v="103.46"/>
    <n v="121"/>
  </r>
  <r>
    <x v="126"/>
    <d v="2022-05-27T00:00:00"/>
    <n v="1"/>
    <n v="347.89"/>
    <n v="460"/>
  </r>
  <r>
    <x v="52"/>
    <d v="2022-05-27T00:00:00"/>
    <n v="1"/>
    <n v="233.74"/>
    <n v="262"/>
  </r>
  <r>
    <x v="83"/>
    <d v="2022-05-27T00:00:00"/>
    <n v="0.5"/>
    <n v="132"/>
    <n v="202"/>
  </r>
  <r>
    <x v="60"/>
    <d v="2022-05-27T00:00:00"/>
    <n v="1"/>
    <n v="187.36"/>
    <n v="220"/>
  </r>
  <r>
    <x v="2"/>
    <d v="2022-05-27T00:00:00"/>
    <n v="1"/>
    <n v="87.6"/>
    <n v="103"/>
  </r>
  <r>
    <x v="119"/>
    <d v="2022-05-27T00:00:00"/>
    <n v="1"/>
    <n v="36.75"/>
    <n v="59"/>
  </r>
  <r>
    <x v="82"/>
    <d v="2022-05-27T00:00:00"/>
    <n v="1"/>
    <n v="323.66000000000003"/>
    <n v="389"/>
  </r>
  <r>
    <x v="137"/>
    <d v="2022-05-27T00:00:00"/>
    <n v="1"/>
    <n v="12.86"/>
    <n v="15"/>
  </r>
  <r>
    <x v="23"/>
    <d v="2022-05-27T00:00:00"/>
    <n v="1"/>
    <n v="122.75"/>
    <n v="174"/>
  </r>
  <r>
    <x v="134"/>
    <d v="2022-05-27T00:00:00"/>
    <n v="1"/>
    <n v="24.18"/>
    <n v="40"/>
  </r>
  <r>
    <x v="134"/>
    <d v="2022-05-27T00:00:00"/>
    <n v="1"/>
    <n v="24.18"/>
    <n v="40"/>
  </r>
  <r>
    <x v="117"/>
    <d v="2022-05-27T00:00:00"/>
    <n v="1"/>
    <n v="20.86"/>
    <n v="26"/>
  </r>
  <r>
    <x v="66"/>
    <d v="2022-05-27T00:00:00"/>
    <n v="1"/>
    <n v="54.1"/>
    <n v="77"/>
  </r>
  <r>
    <x v="66"/>
    <d v="2022-05-27T00:00:00"/>
    <n v="1"/>
    <n v="54.1"/>
    <n v="77"/>
  </r>
  <r>
    <x v="38"/>
    <d v="2022-05-27T00:00:00"/>
    <n v="1"/>
    <n v="146.88999999999999"/>
    <n v="174"/>
  </r>
  <r>
    <x v="132"/>
    <d v="2022-05-27T00:00:00"/>
    <n v="1"/>
    <n v="8.5"/>
    <n v="14"/>
  </r>
  <r>
    <x v="45"/>
    <d v="2022-05-27T00:00:00"/>
    <n v="1"/>
    <n v="43.86"/>
    <n v="55"/>
  </r>
  <r>
    <x v="139"/>
    <d v="2022-05-27T00:00:00"/>
    <n v="1"/>
    <n v="51.32"/>
    <n v="73"/>
  </r>
  <r>
    <x v="138"/>
    <d v="2022-05-27T00:00:00"/>
    <n v="1"/>
    <n v="42.74"/>
    <n v="68"/>
  </r>
  <r>
    <x v="60"/>
    <d v="2022-05-27T00:00:00"/>
    <n v="1"/>
    <n v="187.33"/>
    <n v="220"/>
  </r>
  <r>
    <x v="20"/>
    <d v="2022-05-27T00:00:00"/>
    <n v="1"/>
    <n v="147.18"/>
    <n v="177"/>
  </r>
  <r>
    <x v="149"/>
    <d v="2022-05-27T00:00:00"/>
    <n v="1"/>
    <n v="134.46"/>
    <n v="159"/>
  </r>
  <r>
    <x v="149"/>
    <d v="2022-05-27T00:00:00"/>
    <n v="1"/>
    <n v="134.46"/>
    <n v="159"/>
  </r>
  <r>
    <x v="88"/>
    <d v="2022-05-27T00:00:00"/>
    <n v="1"/>
    <n v="64.16"/>
    <n v="92"/>
  </r>
  <r>
    <x v="12"/>
    <d v="2022-05-27T00:00:00"/>
    <n v="1"/>
    <n v="392.26"/>
    <n v="471"/>
  </r>
  <r>
    <x v="11"/>
    <d v="2022-05-27T00:00:00"/>
    <n v="1"/>
    <n v="43.49"/>
    <n v="67"/>
  </r>
  <r>
    <x v="21"/>
    <d v="2022-05-27T00:00:00"/>
    <n v="0.1"/>
    <n v="986.58"/>
    <n v="1234"/>
  </r>
  <r>
    <x v="49"/>
    <d v="2022-05-27T00:00:00"/>
    <n v="1"/>
    <n v="731.05"/>
    <n v="944"/>
  </r>
  <r>
    <x v="133"/>
    <d v="2022-05-27T00:00:00"/>
    <n v="1"/>
    <n v="46.5"/>
    <n v="76"/>
  </r>
  <r>
    <x v="57"/>
    <d v="2022-05-27T00:00:00"/>
    <n v="1"/>
    <n v="25.62"/>
    <n v="31"/>
  </r>
  <r>
    <x v="27"/>
    <d v="2022-05-27T00:00:00"/>
    <n v="0.5"/>
    <n v="105"/>
    <n v="161"/>
  </r>
  <r>
    <x v="51"/>
    <d v="2022-05-27T00:00:00"/>
    <n v="1"/>
    <n v="45.42"/>
    <n v="70"/>
  </r>
  <r>
    <x v="51"/>
    <d v="2022-05-27T00:00:00"/>
    <n v="1"/>
    <n v="45.42"/>
    <n v="70"/>
  </r>
  <r>
    <x v="123"/>
    <d v="2022-05-27T00:00:00"/>
    <n v="1"/>
    <n v="269.2"/>
    <n v="359"/>
  </r>
  <r>
    <x v="83"/>
    <d v="2022-05-27T00:00:00"/>
    <n v="0.5"/>
    <n v="108"/>
    <n v="165"/>
  </r>
  <r>
    <x v="21"/>
    <d v="2022-05-27T00:00:00"/>
    <n v="1"/>
    <n v="984.92"/>
    <n v="1330"/>
  </r>
  <r>
    <x v="0"/>
    <d v="2022-05-27T00:00:00"/>
    <n v="1"/>
    <n v="130.75"/>
    <n v="157"/>
  </r>
  <r>
    <x v="19"/>
    <d v="2022-05-27T00:00:00"/>
    <n v="1"/>
    <n v="97.12"/>
    <n v="118"/>
  </r>
  <r>
    <x v="79"/>
    <d v="2022-05-27T00:00:00"/>
    <n v="1"/>
    <n v="153.22999999999999"/>
    <n v="177"/>
  </r>
  <r>
    <x v="79"/>
    <d v="2022-05-27T00:00:00"/>
    <n v="1"/>
    <n v="153.22999999999999"/>
    <n v="177"/>
  </r>
  <r>
    <x v="19"/>
    <d v="2022-05-27T00:00:00"/>
    <n v="1"/>
    <n v="103.46"/>
    <n v="121"/>
  </r>
  <r>
    <x v="35"/>
    <d v="2022-05-27T00:00:00"/>
    <n v="1"/>
    <n v="173.72"/>
    <n v="208"/>
  </r>
  <r>
    <x v="23"/>
    <d v="2022-05-27T00:00:00"/>
    <n v="1"/>
    <n v="147.96"/>
    <n v="200"/>
  </r>
  <r>
    <x v="0"/>
    <d v="2022-05-27T00:00:00"/>
    <n v="1"/>
    <n v="145.6"/>
    <n v="172"/>
  </r>
  <r>
    <x v="88"/>
    <d v="2022-05-27T00:00:00"/>
    <n v="1"/>
    <n v="70.97"/>
    <n v="106"/>
  </r>
  <r>
    <x v="83"/>
    <d v="2022-05-27T00:00:00"/>
    <n v="1"/>
    <n v="128.1"/>
    <n v="199"/>
  </r>
  <r>
    <x v="27"/>
    <d v="2022-05-27T00:00:00"/>
    <n v="1"/>
    <n v="150.1"/>
    <n v="233"/>
  </r>
  <r>
    <x v="50"/>
    <d v="2022-05-27T00:00:00"/>
    <n v="1"/>
    <n v="77.510000000000005"/>
    <n v="94"/>
  </r>
  <r>
    <x v="131"/>
    <d v="2022-05-27T00:00:00"/>
    <n v="1"/>
    <n v="286.72000000000003"/>
    <n v="402"/>
  </r>
  <r>
    <x v="31"/>
    <d v="2022-05-27T00:00:00"/>
    <n v="1"/>
    <n v="22"/>
    <n v="28"/>
  </r>
  <r>
    <x v="31"/>
    <d v="2022-05-27T00:00:00"/>
    <n v="1"/>
    <n v="22"/>
    <n v="28"/>
  </r>
  <r>
    <x v="31"/>
    <d v="2022-05-27T00:00:00"/>
    <n v="1"/>
    <n v="22"/>
    <n v="28"/>
  </r>
  <r>
    <x v="31"/>
    <d v="2022-05-27T00:00:00"/>
    <n v="1"/>
    <n v="22"/>
    <n v="28"/>
  </r>
  <r>
    <x v="31"/>
    <d v="2022-05-27T00:00:00"/>
    <n v="1"/>
    <n v="22"/>
    <n v="28"/>
  </r>
  <r>
    <x v="31"/>
    <d v="2022-05-27T00:00:00"/>
    <n v="1"/>
    <n v="22"/>
    <n v="28"/>
  </r>
  <r>
    <x v="35"/>
    <d v="2022-05-27T00:00:00"/>
    <n v="1"/>
    <n v="173.86"/>
    <n v="208"/>
  </r>
  <r>
    <x v="33"/>
    <d v="2022-05-27T00:00:00"/>
    <n v="1"/>
    <n v="28.91"/>
    <n v="45"/>
  </r>
  <r>
    <x v="33"/>
    <d v="2022-05-27T00:00:00"/>
    <n v="1"/>
    <n v="28.91"/>
    <n v="45"/>
  </r>
  <r>
    <x v="33"/>
    <d v="2022-05-27T00:00:00"/>
    <n v="1"/>
    <n v="28.91"/>
    <n v="45"/>
  </r>
  <r>
    <x v="33"/>
    <d v="2022-05-27T00:00:00"/>
    <n v="1"/>
    <n v="28.91"/>
    <n v="45"/>
  </r>
  <r>
    <x v="33"/>
    <d v="2022-05-27T00:00:00"/>
    <n v="1"/>
    <n v="28.91"/>
    <n v="45"/>
  </r>
  <r>
    <x v="33"/>
    <d v="2022-05-27T00:00:00"/>
    <n v="1"/>
    <n v="28.91"/>
    <n v="45"/>
  </r>
  <r>
    <x v="70"/>
    <d v="2022-05-27T00:00:00"/>
    <n v="0.08"/>
    <n v="466.1"/>
    <n v="709"/>
  </r>
  <r>
    <x v="23"/>
    <d v="2022-05-27T00:00:00"/>
    <n v="1"/>
    <n v="150.03"/>
    <n v="206"/>
  </r>
  <r>
    <x v="93"/>
    <d v="2022-05-27T00:00:00"/>
    <n v="1"/>
    <n v="111.32"/>
    <n v="134"/>
  </r>
  <r>
    <x v="146"/>
    <d v="2022-05-27T00:00:00"/>
    <n v="1"/>
    <n v="23.23"/>
    <n v="29"/>
  </r>
  <r>
    <x v="124"/>
    <d v="2022-05-27T00:00:00"/>
    <n v="0.04"/>
    <n v="491.7"/>
    <n v="592"/>
  </r>
  <r>
    <x v="97"/>
    <d v="2022-05-27T00:00:00"/>
    <n v="1"/>
    <n v="26.04"/>
    <n v="32"/>
  </r>
  <r>
    <x v="97"/>
    <d v="2022-05-27T00:00:00"/>
    <n v="1"/>
    <n v="26.04"/>
    <n v="32"/>
  </r>
  <r>
    <x v="97"/>
    <d v="2022-05-27T00:00:00"/>
    <n v="1"/>
    <n v="26.04"/>
    <n v="32"/>
  </r>
  <r>
    <x v="2"/>
    <d v="2022-05-27T00:00:00"/>
    <n v="1"/>
    <n v="88.43"/>
    <n v="106"/>
  </r>
  <r>
    <x v="124"/>
    <d v="2022-05-27T00:00:00"/>
    <n v="0.24"/>
    <n v="491.72"/>
    <n v="592"/>
  </r>
  <r>
    <x v="5"/>
    <d v="2022-05-27T00:00:00"/>
    <n v="1"/>
    <n v="11.33"/>
    <n v="13"/>
  </r>
  <r>
    <x v="126"/>
    <d v="2022-05-27T00:00:00"/>
    <n v="1"/>
    <n v="361.91"/>
    <n v="417"/>
  </r>
  <r>
    <x v="18"/>
    <d v="2022-05-27T00:00:00"/>
    <n v="1"/>
    <n v="109.41"/>
    <n v="123"/>
  </r>
  <r>
    <x v="60"/>
    <d v="2022-05-27T00:00:00"/>
    <n v="1"/>
    <n v="184.07"/>
    <n v="234"/>
  </r>
  <r>
    <x v="17"/>
    <d v="2022-05-27T00:00:00"/>
    <n v="4"/>
    <n v="30.3"/>
    <n v="49"/>
  </r>
  <r>
    <x v="136"/>
    <d v="2022-05-27T00:00:00"/>
    <n v="1"/>
    <n v="12.2"/>
    <n v="20"/>
  </r>
  <r>
    <x v="18"/>
    <d v="2022-05-27T00:00:00"/>
    <n v="1"/>
    <n v="109.41"/>
    <n v="123"/>
  </r>
  <r>
    <x v="50"/>
    <d v="2022-05-27T00:00:00"/>
    <n v="1"/>
    <n v="77.510000000000005"/>
    <n v="95"/>
  </r>
  <r>
    <x v="50"/>
    <d v="2022-05-27T00:00:00"/>
    <n v="1"/>
    <n v="77.510000000000005"/>
    <n v="95"/>
  </r>
  <r>
    <x v="57"/>
    <d v="2022-05-27T00:00:00"/>
    <n v="1"/>
    <n v="25.29"/>
    <n v="30"/>
  </r>
  <r>
    <x v="52"/>
    <d v="2022-05-27T00:00:00"/>
    <n v="1"/>
    <n v="227.82"/>
    <n v="267"/>
  </r>
  <r>
    <x v="25"/>
    <d v="2022-05-27T00:00:00"/>
    <n v="1"/>
    <n v="156.19999999999999"/>
    <n v="189"/>
  </r>
  <r>
    <x v="72"/>
    <d v="2022-05-27T00:00:00"/>
    <n v="1"/>
    <n v="60.68"/>
    <n v="76"/>
  </r>
  <r>
    <x v="138"/>
    <d v="2022-05-27T00:00:00"/>
    <n v="1"/>
    <n v="45.54"/>
    <n v="70"/>
  </r>
  <r>
    <x v="60"/>
    <d v="2022-05-27T00:00:00"/>
    <n v="1"/>
    <n v="185.56"/>
    <n v="218"/>
  </r>
  <r>
    <x v="61"/>
    <d v="2022-05-27T00:00:00"/>
    <n v="1"/>
    <n v="32"/>
    <n v="36"/>
  </r>
  <r>
    <x v="15"/>
    <d v="2022-05-27T00:00:00"/>
    <n v="1"/>
    <n v="19.66"/>
    <n v="25"/>
  </r>
  <r>
    <x v="15"/>
    <d v="2022-05-27T00:00:00"/>
    <n v="1"/>
    <n v="19.66"/>
    <n v="25"/>
  </r>
  <r>
    <x v="15"/>
    <d v="2022-05-27T00:00:00"/>
    <n v="1"/>
    <n v="22.62"/>
    <n v="29"/>
  </r>
  <r>
    <x v="15"/>
    <d v="2022-05-27T00:00:00"/>
    <n v="1"/>
    <n v="22.62"/>
    <n v="29"/>
  </r>
  <r>
    <x v="106"/>
    <d v="2022-05-27T00:00:00"/>
    <n v="1"/>
    <n v="159.58000000000001"/>
    <n v="193"/>
  </r>
  <r>
    <x v="16"/>
    <d v="2022-05-27T00:00:00"/>
    <n v="1"/>
    <n v="182.55"/>
    <n v="258"/>
  </r>
  <r>
    <x v="65"/>
    <d v="2022-05-27T00:00:00"/>
    <n v="1"/>
    <n v="163.37"/>
    <n v="197"/>
  </r>
  <r>
    <x v="16"/>
    <d v="2022-05-27T00:00:00"/>
    <n v="1"/>
    <n v="176.33"/>
    <n v="246"/>
  </r>
  <r>
    <x v="133"/>
    <d v="2022-05-27T00:00:00"/>
    <n v="6"/>
    <n v="46.5"/>
    <n v="76"/>
  </r>
  <r>
    <x v="151"/>
    <d v="2022-05-27T00:00:00"/>
    <n v="1"/>
    <n v="248.25"/>
    <n v="341"/>
  </r>
  <r>
    <x v="151"/>
    <d v="2022-05-27T00:00:00"/>
    <n v="1"/>
    <n v="248.25"/>
    <n v="341"/>
  </r>
  <r>
    <x v="1"/>
    <d v="2022-05-27T00:00:00"/>
    <n v="0.2"/>
    <n v="430.38"/>
    <n v="538"/>
  </r>
  <r>
    <x v="124"/>
    <d v="2022-05-27T00:00:00"/>
    <n v="0.08"/>
    <n v="495.5"/>
    <n v="596"/>
  </r>
  <r>
    <x v="83"/>
    <d v="2022-05-27T00:00:00"/>
    <n v="0.5"/>
    <n v="108"/>
    <n v="165"/>
  </r>
  <r>
    <x v="15"/>
    <d v="2022-05-27T00:00:00"/>
    <n v="1"/>
    <n v="19.71"/>
    <n v="25"/>
  </r>
  <r>
    <x v="5"/>
    <d v="2022-05-27T00:00:00"/>
    <n v="1"/>
    <n v="11.67"/>
    <n v="14"/>
  </r>
  <r>
    <x v="0"/>
    <d v="2022-05-27T00:00:00"/>
    <n v="1"/>
    <n v="137.13"/>
    <n v="164"/>
  </r>
  <r>
    <x v="56"/>
    <d v="2022-05-27T00:00:00"/>
    <n v="1"/>
    <n v="32.85"/>
    <n v="50"/>
  </r>
  <r>
    <x v="147"/>
    <d v="2022-05-27T00:00:00"/>
    <n v="1"/>
    <n v="107.99"/>
    <n v="135"/>
  </r>
  <r>
    <x v="68"/>
    <d v="2022-05-27T00:00:00"/>
    <n v="1"/>
    <n v="8.07"/>
    <n v="14"/>
  </r>
  <r>
    <x v="96"/>
    <d v="2022-05-27T00:00:00"/>
    <n v="1"/>
    <n v="31"/>
    <n v="48"/>
  </r>
  <r>
    <x v="91"/>
    <d v="2022-05-27T00:00:00"/>
    <n v="1"/>
    <n v="70.930000000000007"/>
    <n v="101"/>
  </r>
  <r>
    <x v="56"/>
    <d v="2022-05-27T00:00:00"/>
    <n v="1"/>
    <n v="32.85"/>
    <n v="50"/>
  </r>
  <r>
    <x v="60"/>
    <d v="2022-05-27T00:00:00"/>
    <n v="1"/>
    <n v="176.77"/>
    <n v="221"/>
  </r>
  <r>
    <x v="31"/>
    <d v="2022-05-27T00:00:00"/>
    <n v="1"/>
    <n v="22"/>
    <n v="28"/>
  </r>
  <r>
    <x v="31"/>
    <d v="2022-05-27T00:00:00"/>
    <n v="1"/>
    <n v="22"/>
    <n v="28"/>
  </r>
  <r>
    <x v="31"/>
    <d v="2022-05-27T00:00:00"/>
    <n v="1"/>
    <n v="22"/>
    <n v="28"/>
  </r>
  <r>
    <x v="32"/>
    <d v="2022-05-27T00:00:00"/>
    <n v="1"/>
    <n v="51.84"/>
    <n v="65"/>
  </r>
  <r>
    <x v="32"/>
    <d v="2022-05-27T00:00:00"/>
    <n v="1"/>
    <n v="51.84"/>
    <n v="65"/>
  </r>
  <r>
    <x v="21"/>
    <d v="2022-05-27T00:00:00"/>
    <n v="0.16666700000000001"/>
    <n v="984.79"/>
    <n v="1350"/>
  </r>
  <r>
    <x v="20"/>
    <d v="2022-05-27T00:00:00"/>
    <n v="1"/>
    <n v="147.4"/>
    <n v="177"/>
  </r>
  <r>
    <x v="37"/>
    <d v="2022-05-27T00:00:00"/>
    <n v="1"/>
    <n v="570.99"/>
    <n v="657"/>
  </r>
  <r>
    <x v="8"/>
    <d v="2022-05-27T00:00:00"/>
    <n v="1"/>
    <n v="120.36"/>
    <n v="145"/>
  </r>
  <r>
    <x v="4"/>
    <d v="2022-05-27T00:00:00"/>
    <n v="1"/>
    <n v="81.17"/>
    <n v="99"/>
  </r>
  <r>
    <x v="13"/>
    <d v="2022-05-26T00:00:00"/>
    <n v="1"/>
    <n v="42"/>
    <n v="64"/>
  </r>
  <r>
    <x v="17"/>
    <d v="2022-05-26T00:00:00"/>
    <n v="1"/>
    <n v="30.3"/>
    <n v="49"/>
  </r>
  <r>
    <x v="99"/>
    <d v="2022-05-26T00:00:00"/>
    <n v="1"/>
    <n v="45.33"/>
    <n v="58"/>
  </r>
  <r>
    <x v="129"/>
    <d v="2022-05-26T00:00:00"/>
    <n v="1"/>
    <n v="33"/>
    <n v="51"/>
  </r>
  <r>
    <x v="4"/>
    <d v="2022-05-26T00:00:00"/>
    <n v="1"/>
    <n v="80.73"/>
    <n v="100"/>
  </r>
  <r>
    <x v="19"/>
    <d v="2022-05-26T00:00:00"/>
    <n v="1"/>
    <n v="95.88"/>
    <n v="118"/>
  </r>
  <r>
    <x v="1"/>
    <d v="2022-05-26T00:00:00"/>
    <n v="0.2"/>
    <n v="431.48"/>
    <n v="540"/>
  </r>
  <r>
    <x v="117"/>
    <d v="2022-05-26T00:00:00"/>
    <n v="1"/>
    <n v="23.65"/>
    <n v="29"/>
  </r>
  <r>
    <x v="116"/>
    <d v="2022-05-26T00:00:00"/>
    <n v="4"/>
    <n v="11.41"/>
    <n v="19"/>
  </r>
  <r>
    <x v="116"/>
    <d v="2022-05-26T00:00:00"/>
    <n v="2"/>
    <n v="11.41"/>
    <n v="19"/>
  </r>
  <r>
    <x v="28"/>
    <d v="2022-05-26T00:00:00"/>
    <n v="1"/>
    <n v="20.76"/>
    <n v="25"/>
  </r>
  <r>
    <x v="28"/>
    <d v="2022-05-26T00:00:00"/>
    <n v="1"/>
    <n v="20.76"/>
    <n v="25"/>
  </r>
  <r>
    <x v="28"/>
    <d v="2022-05-26T00:00:00"/>
    <n v="1"/>
    <n v="20.76"/>
    <n v="25"/>
  </r>
  <r>
    <x v="29"/>
    <d v="2022-05-26T00:00:00"/>
    <n v="1"/>
    <n v="201.2"/>
    <n v="232"/>
  </r>
  <r>
    <x v="115"/>
    <d v="2022-05-26T00:00:00"/>
    <n v="1"/>
    <n v="133.72"/>
    <n v="189"/>
  </r>
  <r>
    <x v="53"/>
    <d v="2022-05-26T00:00:00"/>
    <n v="1"/>
    <n v="83.29"/>
    <n v="100"/>
  </r>
  <r>
    <x v="83"/>
    <d v="2022-05-26T00:00:00"/>
    <n v="1"/>
    <n v="128.1"/>
    <n v="199"/>
  </r>
  <r>
    <x v="86"/>
    <d v="2022-05-26T00:00:00"/>
    <n v="1"/>
    <n v="31.93"/>
    <n v="52"/>
  </r>
  <r>
    <x v="2"/>
    <d v="2022-05-26T00:00:00"/>
    <n v="1"/>
    <n v="88.43"/>
    <n v="110"/>
  </r>
  <r>
    <x v="19"/>
    <d v="2022-05-26T00:00:00"/>
    <n v="1"/>
    <n v="102.47"/>
    <n v="121"/>
  </r>
  <r>
    <x v="115"/>
    <d v="2022-05-26T00:00:00"/>
    <n v="1"/>
    <n v="133.72"/>
    <n v="189"/>
  </r>
  <r>
    <x v="119"/>
    <d v="2022-05-26T00:00:00"/>
    <n v="1"/>
    <n v="42.85"/>
    <n v="70"/>
  </r>
  <r>
    <x v="118"/>
    <d v="2022-05-26T00:00:00"/>
    <n v="1"/>
    <n v="63.69"/>
    <n v="79"/>
  </r>
  <r>
    <x v="118"/>
    <d v="2022-05-26T00:00:00"/>
    <n v="1"/>
    <n v="63.69"/>
    <n v="79"/>
  </r>
  <r>
    <x v="42"/>
    <d v="2022-05-26T00:00:00"/>
    <n v="1"/>
    <n v="43.08"/>
    <n v="66"/>
  </r>
  <r>
    <x v="42"/>
    <d v="2022-05-26T00:00:00"/>
    <n v="1"/>
    <n v="43.08"/>
    <n v="66"/>
  </r>
  <r>
    <x v="42"/>
    <d v="2022-05-26T00:00:00"/>
    <n v="1"/>
    <n v="43.08"/>
    <n v="66"/>
  </r>
  <r>
    <x v="15"/>
    <d v="2022-05-26T00:00:00"/>
    <n v="1"/>
    <n v="19.71"/>
    <n v="25"/>
  </r>
  <r>
    <x v="15"/>
    <d v="2022-05-26T00:00:00"/>
    <n v="1"/>
    <n v="19.71"/>
    <n v="25"/>
  </r>
  <r>
    <x v="15"/>
    <d v="2022-05-26T00:00:00"/>
    <n v="1"/>
    <n v="19.71"/>
    <n v="25"/>
  </r>
  <r>
    <x v="115"/>
    <d v="2022-05-26T00:00:00"/>
    <n v="1"/>
    <n v="133.72"/>
    <n v="189"/>
  </r>
  <r>
    <x v="44"/>
    <d v="2022-05-26T00:00:00"/>
    <n v="1"/>
    <n v="15.53"/>
    <n v="19"/>
  </r>
  <r>
    <x v="44"/>
    <d v="2022-05-26T00:00:00"/>
    <n v="1"/>
    <n v="15.8"/>
    <n v="19"/>
  </r>
  <r>
    <x v="44"/>
    <d v="2022-05-26T00:00:00"/>
    <n v="1"/>
    <n v="15.8"/>
    <n v="19"/>
  </r>
  <r>
    <x v="95"/>
    <d v="2022-05-26T00:00:00"/>
    <n v="1"/>
    <n v="36.99"/>
    <n v="57"/>
  </r>
  <r>
    <x v="95"/>
    <d v="2022-05-26T00:00:00"/>
    <n v="1"/>
    <n v="36.99"/>
    <n v="57"/>
  </r>
  <r>
    <x v="95"/>
    <d v="2022-05-26T00:00:00"/>
    <n v="1"/>
    <n v="36.99"/>
    <n v="57"/>
  </r>
  <r>
    <x v="36"/>
    <d v="2022-05-26T00:00:00"/>
    <n v="1"/>
    <n v="10.9"/>
    <n v="18"/>
  </r>
  <r>
    <x v="86"/>
    <d v="2022-05-26T00:00:00"/>
    <n v="1"/>
    <n v="37.18"/>
    <n v="64"/>
  </r>
  <r>
    <x v="1"/>
    <d v="2022-05-26T00:00:00"/>
    <n v="1"/>
    <n v="488.73"/>
    <n v="670"/>
  </r>
  <r>
    <x v="29"/>
    <d v="2022-05-26T00:00:00"/>
    <n v="1"/>
    <n v="201.2"/>
    <n v="232"/>
  </r>
  <r>
    <x v="2"/>
    <d v="2022-05-26T00:00:00"/>
    <n v="1"/>
    <n v="88.43"/>
    <n v="106"/>
  </r>
  <r>
    <x v="2"/>
    <d v="2022-05-26T00:00:00"/>
    <n v="1"/>
    <n v="88.43"/>
    <n v="106"/>
  </r>
  <r>
    <x v="18"/>
    <d v="2022-05-26T00:00:00"/>
    <n v="1"/>
    <n v="109.41"/>
    <n v="123"/>
  </r>
  <r>
    <x v="14"/>
    <d v="2022-05-26T00:00:00"/>
    <n v="1"/>
    <n v="82.68"/>
    <n v="103"/>
  </r>
  <r>
    <x v="115"/>
    <d v="2022-05-26T00:00:00"/>
    <n v="1"/>
    <n v="145.04"/>
    <n v="202"/>
  </r>
  <r>
    <x v="117"/>
    <d v="2022-05-26T00:00:00"/>
    <n v="1"/>
    <n v="20.86"/>
    <n v="26"/>
  </r>
  <r>
    <x v="115"/>
    <d v="2022-05-26T00:00:00"/>
    <n v="1"/>
    <n v="133.72"/>
    <n v="189"/>
  </r>
  <r>
    <x v="93"/>
    <d v="2022-05-26T00:00:00"/>
    <n v="1"/>
    <n v="111.32"/>
    <n v="134"/>
  </r>
  <r>
    <x v="148"/>
    <d v="2022-05-26T00:00:00"/>
    <n v="1"/>
    <n v="9.4600000000000009"/>
    <n v="11"/>
  </r>
  <r>
    <x v="148"/>
    <d v="2022-05-26T00:00:00"/>
    <n v="1"/>
    <n v="9.4600000000000009"/>
    <n v="11"/>
  </r>
  <r>
    <x v="9"/>
    <d v="2022-05-26T00:00:00"/>
    <n v="0.1"/>
    <n v="596.29"/>
    <n v="746"/>
  </r>
  <r>
    <x v="6"/>
    <d v="2022-05-26T00:00:00"/>
    <n v="1"/>
    <n v="24.2"/>
    <n v="39"/>
  </r>
  <r>
    <x v="14"/>
    <d v="2022-05-26T00:00:00"/>
    <n v="1"/>
    <n v="81.290000000000006"/>
    <n v="103"/>
  </r>
  <r>
    <x v="14"/>
    <d v="2022-05-26T00:00:00"/>
    <n v="1"/>
    <n v="81.290000000000006"/>
    <n v="103"/>
  </r>
  <r>
    <x v="78"/>
    <d v="2022-05-26T00:00:00"/>
    <n v="1"/>
    <n v="207.76"/>
    <n v="246"/>
  </r>
  <r>
    <x v="79"/>
    <d v="2022-05-26T00:00:00"/>
    <n v="1"/>
    <n v="175.74"/>
    <n v="220"/>
  </r>
  <r>
    <x v="115"/>
    <d v="2022-05-26T00:00:00"/>
    <n v="1"/>
    <n v="132.56"/>
    <n v="179"/>
  </r>
  <r>
    <x v="40"/>
    <d v="2022-05-26T00:00:00"/>
    <n v="1"/>
    <n v="28.85"/>
    <n v="47"/>
  </r>
  <r>
    <x v="36"/>
    <d v="2022-05-26T00:00:00"/>
    <n v="1"/>
    <n v="10.9"/>
    <n v="18"/>
  </r>
  <r>
    <x v="139"/>
    <d v="2022-05-26T00:00:00"/>
    <n v="1"/>
    <n v="51.98"/>
    <n v="81"/>
  </r>
  <r>
    <x v="1"/>
    <d v="2022-05-26T00:00:00"/>
    <n v="0.2"/>
    <n v="421.52"/>
    <n v="527"/>
  </r>
  <r>
    <x v="92"/>
    <d v="2022-05-26T00:00:00"/>
    <n v="1"/>
    <n v="426.66"/>
    <n v="564"/>
  </r>
  <r>
    <x v="110"/>
    <d v="2022-05-26T00:00:00"/>
    <n v="1"/>
    <n v="71.02"/>
    <n v="88"/>
  </r>
  <r>
    <x v="50"/>
    <d v="2022-05-26T00:00:00"/>
    <n v="1"/>
    <n v="77.510000000000005"/>
    <n v="94"/>
  </r>
  <r>
    <x v="19"/>
    <d v="2022-05-26T00:00:00"/>
    <n v="1"/>
    <n v="102.47"/>
    <n v="121"/>
  </r>
  <r>
    <x v="40"/>
    <d v="2022-05-26T00:00:00"/>
    <n v="2"/>
    <n v="29.26"/>
    <n v="48"/>
  </r>
  <r>
    <x v="8"/>
    <d v="2022-05-26T00:00:00"/>
    <n v="1"/>
    <n v="130.94999999999999"/>
    <n v="155"/>
  </r>
  <r>
    <x v="82"/>
    <d v="2022-05-26T00:00:00"/>
    <n v="1"/>
    <n v="323.66000000000003"/>
    <n v="370"/>
  </r>
  <r>
    <x v="40"/>
    <d v="2022-05-26T00:00:00"/>
    <n v="4"/>
    <n v="25.1"/>
    <n v="41"/>
  </r>
  <r>
    <x v="54"/>
    <d v="2022-05-26T00:00:00"/>
    <n v="3"/>
    <n v="16.78"/>
    <n v="28"/>
  </r>
  <r>
    <x v="1"/>
    <d v="2022-05-26T00:00:00"/>
    <n v="0.4"/>
    <n v="507.48"/>
    <n v="635"/>
  </r>
  <r>
    <x v="136"/>
    <d v="2022-05-26T00:00:00"/>
    <n v="2"/>
    <n v="12.2"/>
    <n v="20"/>
  </r>
  <r>
    <x v="137"/>
    <d v="2022-05-26T00:00:00"/>
    <n v="1"/>
    <n v="12.86"/>
    <n v="15"/>
  </r>
  <r>
    <x v="131"/>
    <d v="2022-05-26T00:00:00"/>
    <n v="1"/>
    <n v="287.61"/>
    <n v="403"/>
  </r>
  <r>
    <x v="24"/>
    <d v="2022-05-26T00:00:00"/>
    <n v="1"/>
    <n v="489.61"/>
    <n v="676"/>
  </r>
  <r>
    <x v="93"/>
    <d v="2022-05-26T00:00:00"/>
    <n v="1"/>
    <n v="112.66"/>
    <n v="136"/>
  </r>
  <r>
    <x v="21"/>
    <d v="2022-05-26T00:00:00"/>
    <n v="0.9"/>
    <n v="989.8"/>
    <n v="1238"/>
  </r>
  <r>
    <x v="88"/>
    <d v="2022-05-26T00:00:00"/>
    <n v="1"/>
    <n v="71.040000000000006"/>
    <n v="101"/>
  </r>
  <r>
    <x v="25"/>
    <d v="2022-05-26T00:00:00"/>
    <n v="1"/>
    <n v="156.19999999999999"/>
    <n v="186"/>
  </r>
  <r>
    <x v="90"/>
    <d v="2022-05-26T00:00:00"/>
    <n v="1"/>
    <n v="114.19"/>
    <n v="180"/>
  </r>
  <r>
    <x v="101"/>
    <d v="2022-05-26T00:00:00"/>
    <n v="1"/>
    <n v="40.17"/>
    <n v="50"/>
  </r>
  <r>
    <x v="152"/>
    <d v="2022-05-26T00:00:00"/>
    <n v="1"/>
    <n v="12"/>
    <n v="20"/>
  </r>
  <r>
    <x v="25"/>
    <d v="2022-05-26T00:00:00"/>
    <n v="1"/>
    <n v="156.19999999999999"/>
    <n v="186"/>
  </r>
  <r>
    <x v="42"/>
    <d v="2022-05-26T00:00:00"/>
    <n v="1"/>
    <n v="42.85"/>
    <n v="67"/>
  </r>
  <r>
    <x v="17"/>
    <d v="2022-05-26T00:00:00"/>
    <n v="1"/>
    <n v="30.3"/>
    <n v="49"/>
  </r>
  <r>
    <x v="49"/>
    <d v="2022-05-26T00:00:00"/>
    <n v="1"/>
    <n v="731.05"/>
    <n v="944"/>
  </r>
  <r>
    <x v="8"/>
    <d v="2022-05-26T00:00:00"/>
    <n v="1"/>
    <n v="66.959999999999994"/>
    <n v="73.87"/>
  </r>
  <r>
    <x v="43"/>
    <d v="2022-05-26T00:00:00"/>
    <n v="1"/>
    <n v="38.82"/>
    <n v="61"/>
  </r>
  <r>
    <x v="141"/>
    <d v="2022-05-26T00:00:00"/>
    <n v="1"/>
    <n v="402.29"/>
    <n v="451"/>
  </r>
  <r>
    <x v="87"/>
    <d v="2022-05-26T00:00:00"/>
    <n v="1"/>
    <n v="6.3"/>
    <n v="9"/>
  </r>
  <r>
    <x v="18"/>
    <d v="2022-05-26T00:00:00"/>
    <n v="1"/>
    <n v="109.41"/>
    <n v="123"/>
  </r>
  <r>
    <x v="4"/>
    <d v="2022-05-26T00:00:00"/>
    <n v="1"/>
    <n v="81.17"/>
    <n v="99"/>
  </r>
  <r>
    <x v="147"/>
    <d v="2022-05-26T00:00:00"/>
    <n v="1"/>
    <n v="107.99"/>
    <n v="135"/>
  </r>
  <r>
    <x v="86"/>
    <d v="2022-05-26T00:00:00"/>
    <n v="0.45652199999999998"/>
    <n v="37.18"/>
    <n v="64"/>
  </r>
  <r>
    <x v="86"/>
    <d v="2022-05-26T00:00:00"/>
    <n v="0.54347800000000002"/>
    <n v="37.18"/>
    <n v="64"/>
  </r>
  <r>
    <x v="92"/>
    <d v="2022-05-26T00:00:00"/>
    <n v="1"/>
    <n v="426.67"/>
    <n v="564"/>
  </r>
  <r>
    <x v="139"/>
    <d v="2022-05-26T00:00:00"/>
    <n v="1"/>
    <n v="51.32"/>
    <n v="73"/>
  </r>
  <r>
    <x v="44"/>
    <d v="2022-05-26T00:00:00"/>
    <n v="1"/>
    <n v="15.82"/>
    <n v="20"/>
  </r>
  <r>
    <x v="20"/>
    <d v="2022-05-26T00:00:00"/>
    <n v="1"/>
    <n v="147.18"/>
    <n v="173"/>
  </r>
  <r>
    <x v="64"/>
    <d v="2022-05-26T00:00:00"/>
    <n v="1"/>
    <n v="19.989999999999998"/>
    <n v="24"/>
  </r>
  <r>
    <x v="0"/>
    <d v="2022-05-26T00:00:00"/>
    <n v="1"/>
    <n v="130.75"/>
    <n v="157"/>
  </r>
  <r>
    <x v="12"/>
    <d v="2022-05-26T00:00:00"/>
    <n v="1"/>
    <n v="383.25"/>
    <n v="460"/>
  </r>
  <r>
    <x v="37"/>
    <d v="2022-05-26T00:00:00"/>
    <n v="1"/>
    <n v="570.99"/>
    <n v="657"/>
  </r>
  <r>
    <x v="14"/>
    <d v="2022-05-26T00:00:00"/>
    <n v="1"/>
    <n v="81.290000000000006"/>
    <n v="103"/>
  </r>
  <r>
    <x v="55"/>
    <d v="2022-05-26T00:00:00"/>
    <n v="1"/>
    <n v="58.08"/>
    <n v="73"/>
  </r>
  <r>
    <x v="114"/>
    <d v="2022-05-26T00:00:00"/>
    <n v="0.107143"/>
    <n v="656.19"/>
    <n v="722"/>
  </r>
  <r>
    <x v="100"/>
    <d v="2022-05-26T00:00:00"/>
    <n v="2"/>
    <n v="27.72"/>
    <n v="45"/>
  </r>
  <r>
    <x v="45"/>
    <d v="2022-05-26T00:00:00"/>
    <n v="1"/>
    <n v="44.86"/>
    <n v="56"/>
  </r>
  <r>
    <x v="51"/>
    <d v="2022-05-26T00:00:00"/>
    <n v="1"/>
    <n v="43.97"/>
    <n v="67"/>
  </r>
  <r>
    <x v="53"/>
    <d v="2022-05-26T00:00:00"/>
    <n v="1"/>
    <n v="84.36"/>
    <n v="102"/>
  </r>
  <r>
    <x v="20"/>
    <d v="2022-05-26T00:00:00"/>
    <n v="1"/>
    <n v="147.18"/>
    <n v="177"/>
  </r>
  <r>
    <x v="45"/>
    <d v="2022-05-26T00:00:00"/>
    <n v="1"/>
    <n v="43.86"/>
    <n v="55"/>
  </r>
  <r>
    <x v="9"/>
    <d v="2022-05-26T00:00:00"/>
    <n v="0.2"/>
    <n v="443.94"/>
    <n v="613"/>
  </r>
  <r>
    <x v="42"/>
    <d v="2022-05-26T00:00:00"/>
    <n v="1"/>
    <n v="43.08"/>
    <n v="66"/>
  </r>
  <r>
    <x v="58"/>
    <d v="2022-05-26T00:00:00"/>
    <n v="1"/>
    <n v="72.8"/>
    <n v="88"/>
  </r>
  <r>
    <x v="58"/>
    <d v="2022-05-26T00:00:00"/>
    <n v="1"/>
    <n v="72.8"/>
    <n v="88"/>
  </r>
  <r>
    <x v="61"/>
    <d v="2022-05-26T00:00:00"/>
    <n v="1"/>
    <n v="30.56"/>
    <n v="36"/>
  </r>
  <r>
    <x v="0"/>
    <d v="2022-05-26T00:00:00"/>
    <n v="1"/>
    <n v="146.1"/>
    <n v="173"/>
  </r>
  <r>
    <x v="84"/>
    <d v="2022-05-26T00:00:00"/>
    <n v="1"/>
    <n v="81.81"/>
    <n v="117"/>
  </r>
  <r>
    <x v="2"/>
    <d v="2022-05-26T00:00:00"/>
    <n v="1"/>
    <n v="88.43"/>
    <n v="110"/>
  </r>
  <r>
    <x v="57"/>
    <d v="2022-05-26T00:00:00"/>
    <n v="1"/>
    <n v="25.15"/>
    <n v="30"/>
  </r>
  <r>
    <x v="57"/>
    <d v="2022-05-26T00:00:00"/>
    <n v="1"/>
    <n v="25.15"/>
    <n v="30"/>
  </r>
  <r>
    <x v="0"/>
    <d v="2022-05-26T00:00:00"/>
    <n v="1"/>
    <n v="130.75"/>
    <n v="160"/>
  </r>
  <r>
    <x v="28"/>
    <d v="2022-05-26T00:00:00"/>
    <n v="1"/>
    <n v="21.52"/>
    <n v="26"/>
  </r>
  <r>
    <x v="28"/>
    <d v="2022-05-26T00:00:00"/>
    <n v="1"/>
    <n v="21.52"/>
    <n v="26"/>
  </r>
  <r>
    <x v="4"/>
    <d v="2022-05-26T00:00:00"/>
    <n v="1"/>
    <n v="81.87"/>
    <n v="99"/>
  </r>
  <r>
    <x v="78"/>
    <d v="2022-05-26T00:00:00"/>
    <n v="1"/>
    <n v="207.68"/>
    <n v="241"/>
  </r>
  <r>
    <x v="23"/>
    <d v="2022-05-26T00:00:00"/>
    <n v="1"/>
    <n v="148.83000000000001"/>
    <n v="207"/>
  </r>
  <r>
    <x v="86"/>
    <d v="2022-05-26T00:00:00"/>
    <n v="1"/>
    <n v="36.4"/>
    <n v="59"/>
  </r>
  <r>
    <x v="82"/>
    <d v="2022-05-26T00:00:00"/>
    <n v="1"/>
    <n v="323.66000000000003"/>
    <n v="370"/>
  </r>
  <r>
    <x v="4"/>
    <d v="2022-05-26T00:00:00"/>
    <n v="1"/>
    <n v="80.73"/>
    <n v="100"/>
  </r>
  <r>
    <x v="119"/>
    <d v="2022-05-26T00:00:00"/>
    <n v="1"/>
    <n v="36.75"/>
    <n v="59"/>
  </r>
  <r>
    <x v="139"/>
    <d v="2022-05-26T00:00:00"/>
    <n v="1"/>
    <n v="51.98"/>
    <n v="81"/>
  </r>
  <r>
    <x v="139"/>
    <d v="2022-05-26T00:00:00"/>
    <n v="1"/>
    <n v="51.98"/>
    <n v="81"/>
  </r>
  <r>
    <x v="30"/>
    <d v="2022-05-26T00:00:00"/>
    <n v="1"/>
    <n v="33.11"/>
    <n v="51"/>
  </r>
  <r>
    <x v="30"/>
    <d v="2022-05-26T00:00:00"/>
    <n v="1"/>
    <n v="33.11"/>
    <n v="51"/>
  </r>
  <r>
    <x v="30"/>
    <d v="2022-05-26T00:00:00"/>
    <n v="1"/>
    <n v="33.11"/>
    <n v="51"/>
  </r>
  <r>
    <x v="86"/>
    <d v="2022-05-26T00:00:00"/>
    <n v="1"/>
    <n v="36.4"/>
    <n v="59"/>
  </r>
  <r>
    <x v="4"/>
    <d v="2022-05-26T00:00:00"/>
    <n v="1"/>
    <n v="81.8"/>
    <n v="99"/>
  </r>
  <r>
    <x v="4"/>
    <d v="2022-05-26T00:00:00"/>
    <n v="1"/>
    <n v="81.8"/>
    <n v="99"/>
  </r>
  <r>
    <x v="45"/>
    <d v="2022-05-26T00:00:00"/>
    <n v="1"/>
    <n v="43.08"/>
    <n v="54"/>
  </r>
  <r>
    <x v="55"/>
    <d v="2022-05-26T00:00:00"/>
    <n v="1"/>
    <n v="58.15"/>
    <n v="72"/>
  </r>
  <r>
    <x v="87"/>
    <d v="2022-05-26T00:00:00"/>
    <n v="50"/>
    <n v="5.72"/>
    <n v="8"/>
  </r>
  <r>
    <x v="2"/>
    <d v="2022-05-26T00:00:00"/>
    <n v="1"/>
    <n v="87.6"/>
    <n v="103"/>
  </r>
  <r>
    <x v="49"/>
    <d v="2022-05-26T00:00:00"/>
    <n v="1"/>
    <n v="731.05"/>
    <n v="944"/>
  </r>
  <r>
    <x v="4"/>
    <d v="2022-05-26T00:00:00"/>
    <n v="1"/>
    <n v="80.73"/>
    <n v="100"/>
  </r>
  <r>
    <x v="147"/>
    <d v="2022-05-26T00:00:00"/>
    <n v="1"/>
    <n v="110.61"/>
    <n v="139"/>
  </r>
  <r>
    <x v="128"/>
    <d v="2022-05-26T00:00:00"/>
    <n v="10"/>
    <n v="6.13"/>
    <n v="10"/>
  </r>
  <r>
    <x v="93"/>
    <d v="2022-05-26T00:00:00"/>
    <n v="1"/>
    <n v="113.71"/>
    <n v="137"/>
  </r>
  <r>
    <x v="101"/>
    <d v="2022-05-26T00:00:00"/>
    <n v="1"/>
    <n v="41.43"/>
    <n v="51"/>
  </r>
  <r>
    <x v="86"/>
    <d v="2022-05-26T00:00:00"/>
    <n v="1"/>
    <n v="37.18"/>
    <n v="64"/>
  </r>
  <r>
    <x v="121"/>
    <d v="2022-05-26T00:00:00"/>
    <n v="1"/>
    <n v="27.79"/>
    <n v="35"/>
  </r>
  <r>
    <x v="121"/>
    <d v="2022-05-26T00:00:00"/>
    <n v="1"/>
    <n v="27.79"/>
    <n v="35"/>
  </r>
  <r>
    <x v="121"/>
    <d v="2022-05-26T00:00:00"/>
    <n v="1"/>
    <n v="27.79"/>
    <n v="35"/>
  </r>
  <r>
    <x v="121"/>
    <d v="2022-05-26T00:00:00"/>
    <n v="1"/>
    <n v="27.79"/>
    <n v="35"/>
  </r>
  <r>
    <x v="121"/>
    <d v="2022-05-26T00:00:00"/>
    <n v="1"/>
    <n v="27.79"/>
    <n v="35"/>
  </r>
  <r>
    <x v="121"/>
    <d v="2022-05-26T00:00:00"/>
    <n v="1"/>
    <n v="27.79"/>
    <n v="35"/>
  </r>
  <r>
    <x v="121"/>
    <d v="2022-05-26T00:00:00"/>
    <n v="1"/>
    <n v="27.79"/>
    <n v="35"/>
  </r>
  <r>
    <x v="121"/>
    <d v="2022-05-26T00:00:00"/>
    <n v="1"/>
    <n v="34.08"/>
    <n v="41"/>
  </r>
  <r>
    <x v="121"/>
    <d v="2022-05-26T00:00:00"/>
    <n v="1"/>
    <n v="34.08"/>
    <n v="41"/>
  </r>
  <r>
    <x v="121"/>
    <d v="2022-05-26T00:00:00"/>
    <n v="1"/>
    <n v="34.08"/>
    <n v="41"/>
  </r>
  <r>
    <x v="121"/>
    <d v="2022-05-26T00:00:00"/>
    <n v="1"/>
    <n v="34.08"/>
    <n v="41"/>
  </r>
  <r>
    <x v="121"/>
    <d v="2022-05-26T00:00:00"/>
    <n v="1"/>
    <n v="34.08"/>
    <n v="41"/>
  </r>
  <r>
    <x v="121"/>
    <d v="2022-05-26T00:00:00"/>
    <n v="1"/>
    <n v="34.08"/>
    <n v="41"/>
  </r>
  <r>
    <x v="121"/>
    <d v="2022-05-26T00:00:00"/>
    <n v="1"/>
    <n v="34.08"/>
    <n v="41"/>
  </r>
  <r>
    <x v="111"/>
    <d v="2022-05-26T00:00:00"/>
    <n v="1"/>
    <n v="108.68"/>
    <n v="128"/>
  </r>
  <r>
    <x v="18"/>
    <d v="2022-05-26T00:00:00"/>
    <n v="1"/>
    <n v="109.41"/>
    <n v="123"/>
  </r>
  <r>
    <x v="141"/>
    <d v="2022-05-26T00:00:00"/>
    <n v="1"/>
    <n v="402.29"/>
    <n v="451"/>
  </r>
  <r>
    <x v="13"/>
    <d v="2022-05-26T00:00:00"/>
    <n v="1"/>
    <n v="46"/>
    <n v="72"/>
  </r>
  <r>
    <x v="13"/>
    <d v="2022-05-26T00:00:00"/>
    <n v="1"/>
    <n v="46"/>
    <n v="72"/>
  </r>
  <r>
    <x v="85"/>
    <d v="2022-05-26T00:00:00"/>
    <n v="1"/>
    <n v="383.81"/>
    <n v="480"/>
  </r>
  <r>
    <x v="27"/>
    <d v="2022-05-26T00:00:00"/>
    <n v="0.3"/>
    <n v="150.1"/>
    <n v="229"/>
  </r>
  <r>
    <x v="113"/>
    <d v="2022-05-26T00:00:00"/>
    <n v="1"/>
    <n v="11.1"/>
    <n v="13"/>
  </r>
  <r>
    <x v="133"/>
    <d v="2022-05-26T00:00:00"/>
    <n v="1"/>
    <n v="46.5"/>
    <n v="75"/>
  </r>
  <r>
    <x v="61"/>
    <d v="2022-05-26T00:00:00"/>
    <n v="1"/>
    <n v="31.58"/>
    <n v="37"/>
  </r>
  <r>
    <x v="61"/>
    <d v="2022-05-26T00:00:00"/>
    <n v="1"/>
    <n v="30.6"/>
    <n v="36"/>
  </r>
  <r>
    <x v="85"/>
    <d v="2022-05-26T00:00:00"/>
    <n v="1"/>
    <n v="390.04"/>
    <n v="480"/>
  </r>
  <r>
    <x v="139"/>
    <d v="2022-05-26T00:00:00"/>
    <n v="1"/>
    <n v="53.93"/>
    <n v="77"/>
  </r>
  <r>
    <x v="124"/>
    <d v="2022-05-26T00:00:00"/>
    <n v="0.04"/>
    <n v="495.5"/>
    <n v="596"/>
  </r>
  <r>
    <x v="118"/>
    <d v="2022-05-26T00:00:00"/>
    <n v="1"/>
    <n v="62.7"/>
    <n v="78"/>
  </r>
  <r>
    <x v="118"/>
    <d v="2022-05-26T00:00:00"/>
    <n v="1"/>
    <n v="62.7"/>
    <n v="78"/>
  </r>
  <r>
    <x v="110"/>
    <d v="2022-05-26T00:00:00"/>
    <n v="1"/>
    <n v="71.23"/>
    <n v="88"/>
  </r>
  <r>
    <x v="123"/>
    <d v="2022-05-26T00:00:00"/>
    <n v="1"/>
    <n v="276.45999999999998"/>
    <n v="365"/>
  </r>
  <r>
    <x v="58"/>
    <d v="2022-05-26T00:00:00"/>
    <n v="1"/>
    <n v="71.45"/>
    <n v="86"/>
  </r>
  <r>
    <x v="26"/>
    <d v="2022-05-26T00:00:00"/>
    <n v="1"/>
    <n v="13.05"/>
    <n v="18"/>
  </r>
  <r>
    <x v="26"/>
    <d v="2022-05-26T00:00:00"/>
    <n v="1"/>
    <n v="13.05"/>
    <n v="18"/>
  </r>
  <r>
    <x v="26"/>
    <d v="2022-05-26T00:00:00"/>
    <n v="1"/>
    <n v="13.05"/>
    <n v="18"/>
  </r>
  <r>
    <x v="26"/>
    <d v="2022-05-26T00:00:00"/>
    <n v="1"/>
    <n v="13.05"/>
    <n v="18"/>
  </r>
  <r>
    <x v="26"/>
    <d v="2022-05-26T00:00:00"/>
    <n v="1"/>
    <n v="13.05"/>
    <n v="18"/>
  </r>
  <r>
    <x v="26"/>
    <d v="2022-05-26T00:00:00"/>
    <n v="1"/>
    <n v="13.05"/>
    <n v="18"/>
  </r>
  <r>
    <x v="26"/>
    <d v="2022-05-26T00:00:00"/>
    <n v="1"/>
    <n v="13.05"/>
    <n v="18"/>
  </r>
  <r>
    <x v="26"/>
    <d v="2022-05-26T00:00:00"/>
    <n v="1"/>
    <n v="13.05"/>
    <n v="18"/>
  </r>
  <r>
    <x v="26"/>
    <d v="2022-05-26T00:00:00"/>
    <n v="1"/>
    <n v="13.05"/>
    <n v="18"/>
  </r>
  <r>
    <x v="26"/>
    <d v="2022-05-26T00:00:00"/>
    <n v="1"/>
    <n v="13.05"/>
    <n v="18"/>
  </r>
  <r>
    <x v="119"/>
    <d v="2022-05-26T00:00:00"/>
    <n v="1"/>
    <n v="36.75"/>
    <n v="59"/>
  </r>
  <r>
    <x v="26"/>
    <d v="2022-05-26T00:00:00"/>
    <n v="1"/>
    <n v="13.05"/>
    <n v="18"/>
  </r>
  <r>
    <x v="26"/>
    <d v="2022-05-26T00:00:00"/>
    <n v="1"/>
    <n v="13.05"/>
    <n v="18"/>
  </r>
  <r>
    <x v="111"/>
    <d v="2022-05-26T00:00:00"/>
    <n v="1"/>
    <n v="101.43"/>
    <n v="120"/>
  </r>
  <r>
    <x v="56"/>
    <d v="2022-05-26T00:00:00"/>
    <n v="1"/>
    <n v="33.299999999999997"/>
    <n v="51"/>
  </r>
  <r>
    <x v="129"/>
    <d v="2022-05-26T00:00:00"/>
    <n v="1"/>
    <n v="33"/>
    <n v="51"/>
  </r>
  <r>
    <x v="129"/>
    <d v="2022-05-26T00:00:00"/>
    <n v="1"/>
    <n v="33"/>
    <n v="51"/>
  </r>
  <r>
    <x v="125"/>
    <d v="2022-05-26T00:00:00"/>
    <n v="1"/>
    <n v="23.37"/>
    <n v="29"/>
  </r>
  <r>
    <x v="125"/>
    <d v="2022-05-26T00:00:00"/>
    <n v="1"/>
    <n v="23.37"/>
    <n v="29"/>
  </r>
  <r>
    <x v="95"/>
    <d v="2022-05-26T00:00:00"/>
    <n v="1"/>
    <n v="36.99"/>
    <n v="59"/>
  </r>
  <r>
    <x v="37"/>
    <d v="2022-05-26T00:00:00"/>
    <n v="1"/>
    <n v="566.04"/>
    <n v="651"/>
  </r>
  <r>
    <x v="57"/>
    <d v="2022-05-26T00:00:00"/>
    <n v="1"/>
    <n v="25.29"/>
    <n v="30"/>
  </r>
  <r>
    <x v="51"/>
    <d v="2022-05-26T00:00:00"/>
    <n v="1"/>
    <n v="43.86"/>
    <n v="67"/>
  </r>
  <r>
    <x v="16"/>
    <d v="2022-05-26T00:00:00"/>
    <n v="1"/>
    <n v="176.33"/>
    <n v="246"/>
  </r>
  <r>
    <x v="16"/>
    <d v="2022-05-26T00:00:00"/>
    <n v="1"/>
    <n v="183.48"/>
    <n v="256"/>
  </r>
  <r>
    <x v="16"/>
    <d v="2022-05-26T00:00:00"/>
    <n v="1"/>
    <n v="183.48"/>
    <n v="256"/>
  </r>
  <r>
    <x v="16"/>
    <d v="2022-05-26T00:00:00"/>
    <n v="1"/>
    <n v="183.48"/>
    <n v="256"/>
  </r>
  <r>
    <x v="128"/>
    <d v="2022-05-26T00:00:00"/>
    <n v="4"/>
    <n v="4.63"/>
    <n v="8"/>
  </r>
  <r>
    <x v="46"/>
    <d v="2022-05-26T00:00:00"/>
    <n v="4"/>
    <n v="1.98"/>
    <n v="4"/>
  </r>
  <r>
    <x v="29"/>
    <d v="2022-05-26T00:00:00"/>
    <n v="1"/>
    <n v="200.35"/>
    <n v="235"/>
  </r>
  <r>
    <x v="147"/>
    <d v="2022-05-26T00:00:00"/>
    <n v="1"/>
    <n v="106.06"/>
    <n v="133"/>
  </r>
  <r>
    <x v="4"/>
    <d v="2022-05-26T00:00:00"/>
    <n v="1"/>
    <n v="81.17"/>
    <n v="99"/>
  </r>
  <r>
    <x v="93"/>
    <d v="2022-05-26T00:00:00"/>
    <n v="1"/>
    <n v="110.99"/>
    <n v="136"/>
  </r>
  <r>
    <x v="51"/>
    <d v="2022-05-26T00:00:00"/>
    <n v="1"/>
    <n v="43.97"/>
    <n v="70"/>
  </r>
  <r>
    <x v="69"/>
    <d v="2022-05-26T00:00:00"/>
    <n v="1"/>
    <n v="90.81"/>
    <n v="115"/>
  </r>
  <r>
    <x v="60"/>
    <d v="2022-05-26T00:00:00"/>
    <n v="1"/>
    <n v="184.07"/>
    <n v="234"/>
  </r>
  <r>
    <x v="93"/>
    <d v="2022-05-26T00:00:00"/>
    <n v="1"/>
    <n v="113.71"/>
    <n v="137"/>
  </r>
  <r>
    <x v="8"/>
    <d v="2022-05-26T00:00:00"/>
    <n v="1"/>
    <n v="133.38999999999999"/>
    <n v="158"/>
  </r>
  <r>
    <x v="31"/>
    <d v="2022-05-26T00:00:00"/>
    <n v="1"/>
    <n v="22.03"/>
    <n v="28"/>
  </r>
  <r>
    <x v="31"/>
    <d v="2022-05-26T00:00:00"/>
    <n v="1"/>
    <n v="22.03"/>
    <n v="28"/>
  </r>
  <r>
    <x v="77"/>
    <d v="2022-05-26T00:00:00"/>
    <n v="1"/>
    <n v="38.07"/>
    <n v="48"/>
  </r>
  <r>
    <x v="77"/>
    <d v="2022-05-26T00:00:00"/>
    <n v="1"/>
    <n v="38.07"/>
    <n v="48"/>
  </r>
  <r>
    <x v="2"/>
    <d v="2022-05-26T00:00:00"/>
    <n v="1"/>
    <n v="88.43"/>
    <n v="106"/>
  </r>
  <r>
    <x v="49"/>
    <d v="2022-05-26T00:00:00"/>
    <n v="1"/>
    <n v="731.05"/>
    <n v="944"/>
  </r>
  <r>
    <x v="88"/>
    <d v="2022-05-26T00:00:00"/>
    <n v="1"/>
    <n v="71.040000000000006"/>
    <n v="103"/>
  </r>
  <r>
    <x v="13"/>
    <d v="2022-05-26T00:00:00"/>
    <n v="1"/>
    <n v="42"/>
    <n v="64"/>
  </r>
  <r>
    <x v="13"/>
    <d v="2022-05-26T00:00:00"/>
    <n v="1"/>
    <n v="44"/>
    <n v="67"/>
  </r>
  <r>
    <x v="27"/>
    <d v="2022-05-26T00:00:00"/>
    <n v="1"/>
    <n v="105"/>
    <n v="165"/>
  </r>
  <r>
    <x v="93"/>
    <d v="2022-05-26T00:00:00"/>
    <n v="1"/>
    <n v="112.66"/>
    <n v="136"/>
  </r>
  <r>
    <x v="93"/>
    <d v="2022-05-26T00:00:00"/>
    <n v="1"/>
    <n v="112.66"/>
    <n v="136"/>
  </r>
  <r>
    <x v="31"/>
    <d v="2022-05-26T00:00:00"/>
    <n v="1"/>
    <n v="21.26"/>
    <n v="27"/>
  </r>
  <r>
    <x v="31"/>
    <d v="2022-05-26T00:00:00"/>
    <n v="1"/>
    <n v="21.26"/>
    <n v="27"/>
  </r>
  <r>
    <x v="43"/>
    <d v="2022-05-26T00:00:00"/>
    <n v="1"/>
    <n v="41.24"/>
    <n v="65"/>
  </r>
  <r>
    <x v="76"/>
    <d v="2022-05-26T00:00:00"/>
    <n v="1"/>
    <n v="40.14"/>
    <n v="49"/>
  </r>
  <r>
    <x v="67"/>
    <d v="2022-05-26T00:00:00"/>
    <n v="1"/>
    <n v="556.51"/>
    <n v="735"/>
  </r>
  <r>
    <x v="95"/>
    <d v="2022-05-26T00:00:00"/>
    <n v="1"/>
    <n v="37.479999999999997"/>
    <n v="57"/>
  </r>
  <r>
    <x v="60"/>
    <d v="2022-05-26T00:00:00"/>
    <n v="1"/>
    <n v="187.33"/>
    <n v="220"/>
  </r>
  <r>
    <x v="61"/>
    <d v="2022-05-26T00:00:00"/>
    <n v="1"/>
    <n v="30.56"/>
    <n v="36"/>
  </r>
  <r>
    <x v="61"/>
    <d v="2022-05-26T00:00:00"/>
    <n v="1"/>
    <n v="30.56"/>
    <n v="36"/>
  </r>
  <r>
    <x v="7"/>
    <d v="2022-05-26T00:00:00"/>
    <n v="1"/>
    <n v="56.08"/>
    <n v="70"/>
  </r>
  <r>
    <x v="94"/>
    <d v="2022-05-26T00:00:00"/>
    <n v="1"/>
    <n v="64.25"/>
    <n v="80"/>
  </r>
  <r>
    <x v="85"/>
    <d v="2022-05-26T00:00:00"/>
    <n v="1"/>
    <n v="384.2"/>
    <n v="462"/>
  </r>
  <r>
    <x v="145"/>
    <d v="2022-05-26T00:00:00"/>
    <n v="1"/>
    <n v="82.64"/>
    <n v="129"/>
  </r>
  <r>
    <x v="20"/>
    <d v="2022-05-26T00:00:00"/>
    <n v="1"/>
    <n v="147.18"/>
    <n v="177"/>
  </r>
  <r>
    <x v="76"/>
    <d v="2022-05-26T00:00:00"/>
    <n v="1"/>
    <n v="43.63"/>
    <n v="54"/>
  </r>
  <r>
    <x v="109"/>
    <d v="2022-05-26T00:00:00"/>
    <n v="1"/>
    <n v="74.8"/>
    <n v="94"/>
  </r>
  <r>
    <x v="38"/>
    <d v="2022-05-26T00:00:00"/>
    <n v="1"/>
    <n v="134.68"/>
    <n v="162"/>
  </r>
  <r>
    <x v="143"/>
    <d v="2022-05-26T00:00:00"/>
    <n v="1"/>
    <n v="36.97"/>
    <n v="57"/>
  </r>
  <r>
    <x v="143"/>
    <d v="2022-05-26T00:00:00"/>
    <n v="1"/>
    <n v="36.97"/>
    <n v="57"/>
  </r>
  <r>
    <x v="15"/>
    <d v="2022-05-26T00:00:00"/>
    <n v="1"/>
    <n v="19.71"/>
    <n v="25"/>
  </r>
  <r>
    <x v="15"/>
    <d v="2022-05-26T00:00:00"/>
    <n v="1"/>
    <n v="19.71"/>
    <n v="25"/>
  </r>
  <r>
    <x v="107"/>
    <d v="2022-05-26T00:00:00"/>
    <n v="1"/>
    <n v="251.13"/>
    <n v="295"/>
  </r>
  <r>
    <x v="97"/>
    <d v="2022-05-26T00:00:00"/>
    <n v="1"/>
    <n v="26"/>
    <n v="32"/>
  </r>
  <r>
    <x v="108"/>
    <d v="2022-05-26T00:00:00"/>
    <n v="1"/>
    <n v="170.01"/>
    <n v="240"/>
  </r>
  <r>
    <x v="86"/>
    <d v="2022-05-26T00:00:00"/>
    <n v="1"/>
    <n v="31.28"/>
    <n v="51"/>
  </r>
  <r>
    <x v="63"/>
    <d v="2022-05-26T00:00:00"/>
    <n v="1"/>
    <n v="69.41"/>
    <n v="104"/>
  </r>
  <r>
    <x v="15"/>
    <d v="2022-05-26T00:00:00"/>
    <n v="1"/>
    <n v="19.71"/>
    <n v="25"/>
  </r>
  <r>
    <x v="73"/>
    <d v="2022-05-26T00:00:00"/>
    <n v="1"/>
    <n v="69.290000000000006"/>
    <n v="88"/>
  </r>
  <r>
    <x v="79"/>
    <d v="2022-05-26T00:00:00"/>
    <n v="1"/>
    <n v="153.75"/>
    <n v="193"/>
  </r>
  <r>
    <x v="97"/>
    <d v="2022-05-26T00:00:00"/>
    <n v="1"/>
    <n v="26.8"/>
    <n v="33"/>
  </r>
  <r>
    <x v="94"/>
    <d v="2022-05-26T00:00:00"/>
    <n v="1"/>
    <n v="64.25"/>
    <n v="76"/>
  </r>
  <r>
    <x v="11"/>
    <d v="2022-05-26T00:00:00"/>
    <n v="1"/>
    <n v="34.51"/>
    <n v="54"/>
  </r>
  <r>
    <x v="11"/>
    <d v="2022-05-26T00:00:00"/>
    <n v="1"/>
    <n v="35.22"/>
    <n v="55"/>
  </r>
  <r>
    <x v="57"/>
    <d v="2022-05-26T00:00:00"/>
    <n v="1"/>
    <n v="25.15"/>
    <n v="30"/>
  </r>
  <r>
    <x v="4"/>
    <d v="2022-05-26T00:00:00"/>
    <n v="1"/>
    <n v="81.8"/>
    <n v="99"/>
  </r>
  <r>
    <x v="115"/>
    <d v="2022-05-26T00:00:00"/>
    <n v="1"/>
    <n v="159.74"/>
    <n v="219"/>
  </r>
  <r>
    <x v="70"/>
    <d v="2022-05-26T00:00:00"/>
    <n v="0.1"/>
    <n v="430.44"/>
    <n v="633"/>
  </r>
  <r>
    <x v="37"/>
    <d v="2022-05-26T00:00:00"/>
    <n v="1"/>
    <n v="566.04"/>
    <n v="651"/>
  </r>
  <r>
    <x v="55"/>
    <d v="2022-05-26T00:00:00"/>
    <n v="1"/>
    <n v="57.23"/>
    <n v="71"/>
  </r>
  <r>
    <x v="18"/>
    <d v="2022-05-26T00:00:00"/>
    <n v="1"/>
    <n v="109.41"/>
    <n v="123"/>
  </r>
  <r>
    <x v="3"/>
    <d v="2022-05-26T00:00:00"/>
    <n v="1"/>
    <n v="47.83"/>
    <n v="78"/>
  </r>
  <r>
    <x v="15"/>
    <d v="2022-05-26T00:00:00"/>
    <n v="1"/>
    <n v="19.71"/>
    <n v="25"/>
  </r>
  <r>
    <x v="15"/>
    <d v="2022-05-26T00:00:00"/>
    <n v="1"/>
    <n v="19.71"/>
    <n v="25"/>
  </r>
  <r>
    <x v="15"/>
    <d v="2022-05-26T00:00:00"/>
    <n v="1"/>
    <n v="19.71"/>
    <n v="25"/>
  </r>
  <r>
    <x v="117"/>
    <d v="2022-05-26T00:00:00"/>
    <n v="1"/>
    <n v="20.86"/>
    <n v="26"/>
  </r>
  <r>
    <x v="117"/>
    <d v="2022-05-26T00:00:00"/>
    <n v="1"/>
    <n v="20.86"/>
    <n v="26"/>
  </r>
  <r>
    <x v="44"/>
    <d v="2022-05-26T00:00:00"/>
    <n v="1"/>
    <n v="15.8"/>
    <n v="19"/>
  </r>
  <r>
    <x v="44"/>
    <d v="2022-05-26T00:00:00"/>
    <n v="1"/>
    <n v="16.02"/>
    <n v="19"/>
  </r>
  <r>
    <x v="6"/>
    <d v="2022-05-26T00:00:00"/>
    <n v="1"/>
    <n v="24.2"/>
    <n v="39"/>
  </r>
  <r>
    <x v="138"/>
    <d v="2022-05-26T00:00:00"/>
    <n v="1"/>
    <n v="46.92"/>
    <n v="72"/>
  </r>
  <r>
    <x v="150"/>
    <d v="2022-05-26T00:00:00"/>
    <n v="0.12"/>
    <n v="529.47"/>
    <n v="736"/>
  </r>
  <r>
    <x v="24"/>
    <d v="2022-05-26T00:00:00"/>
    <n v="1"/>
    <n v="484.85"/>
    <n v="640"/>
  </r>
  <r>
    <x v="7"/>
    <d v="2022-05-26T00:00:00"/>
    <n v="1"/>
    <n v="56.08"/>
    <n v="70"/>
  </r>
  <r>
    <x v="61"/>
    <d v="2022-05-26T00:00:00"/>
    <n v="1"/>
    <n v="30.6"/>
    <n v="36"/>
  </r>
  <r>
    <x v="61"/>
    <d v="2022-05-26T00:00:00"/>
    <n v="1"/>
    <n v="30.6"/>
    <n v="36"/>
  </r>
  <r>
    <x v="54"/>
    <d v="2022-05-26T00:00:00"/>
    <n v="2"/>
    <n v="13.11"/>
    <n v="21"/>
  </r>
  <r>
    <x v="29"/>
    <d v="2022-05-26T00:00:00"/>
    <n v="1"/>
    <n v="200.35"/>
    <n v="235"/>
  </r>
  <r>
    <x v="40"/>
    <d v="2022-05-26T00:00:00"/>
    <n v="1"/>
    <n v="33.07"/>
    <n v="54"/>
  </r>
  <r>
    <x v="107"/>
    <d v="2022-05-26T00:00:00"/>
    <n v="1"/>
    <n v="281.47000000000003"/>
    <n v="334"/>
  </r>
  <r>
    <x v="117"/>
    <d v="2022-05-26T00:00:00"/>
    <n v="1"/>
    <n v="20.75"/>
    <n v="25"/>
  </r>
  <r>
    <x v="14"/>
    <d v="2022-05-26T00:00:00"/>
    <n v="1"/>
    <n v="82.69"/>
    <n v="103"/>
  </r>
  <r>
    <x v="93"/>
    <d v="2022-05-26T00:00:00"/>
    <n v="1"/>
    <n v="112.66"/>
    <n v="136"/>
  </r>
  <r>
    <x v="18"/>
    <d v="2022-05-26T00:00:00"/>
    <n v="1"/>
    <n v="109.41"/>
    <n v="123"/>
  </r>
  <r>
    <x v="65"/>
    <d v="2022-05-26T00:00:00"/>
    <n v="1"/>
    <n v="167.24"/>
    <n v="201"/>
  </r>
  <r>
    <x v="21"/>
    <d v="2022-05-26T00:00:00"/>
    <n v="0.2"/>
    <n v="991.73"/>
    <n v="1280"/>
  </r>
  <r>
    <x v="138"/>
    <d v="2022-05-26T00:00:00"/>
    <n v="1"/>
    <n v="46.92"/>
    <n v="72"/>
  </r>
  <r>
    <x v="66"/>
    <d v="2022-05-26T00:00:00"/>
    <n v="1"/>
    <n v="54.1"/>
    <n v="77"/>
  </r>
  <r>
    <x v="100"/>
    <d v="2022-05-26T00:00:00"/>
    <n v="1"/>
    <n v="27.69"/>
    <n v="45"/>
  </r>
  <r>
    <x v="34"/>
    <d v="2022-05-26T00:00:00"/>
    <n v="10"/>
    <n v="11.94"/>
    <n v="20"/>
  </r>
  <r>
    <x v="95"/>
    <d v="2022-05-26T00:00:00"/>
    <n v="1"/>
    <n v="36.99"/>
    <n v="57"/>
  </r>
  <r>
    <x v="80"/>
    <d v="2022-05-26T00:00:00"/>
    <n v="3"/>
    <n v="17"/>
    <n v="26"/>
  </r>
  <r>
    <x v="4"/>
    <d v="2022-05-26T00:00:00"/>
    <n v="1"/>
    <n v="80.73"/>
    <n v="100"/>
  </r>
  <r>
    <x v="12"/>
    <d v="2022-05-26T00:00:00"/>
    <n v="1"/>
    <n v="378.06"/>
    <n v="454"/>
  </r>
  <r>
    <x v="127"/>
    <d v="2022-05-26T00:00:00"/>
    <n v="1"/>
    <n v="58.59"/>
    <n v="84"/>
  </r>
  <r>
    <x v="31"/>
    <d v="2022-05-26T00:00:00"/>
    <n v="1"/>
    <n v="22"/>
    <n v="28"/>
  </r>
  <r>
    <x v="31"/>
    <d v="2022-05-26T00:00:00"/>
    <n v="1"/>
    <n v="22"/>
    <n v="28"/>
  </r>
  <r>
    <x v="31"/>
    <d v="2022-05-26T00:00:00"/>
    <n v="1"/>
    <n v="22"/>
    <n v="28"/>
  </r>
  <r>
    <x v="31"/>
    <d v="2022-05-26T00:00:00"/>
    <n v="1"/>
    <n v="22"/>
    <n v="28"/>
  </r>
  <r>
    <x v="31"/>
    <d v="2022-05-26T00:00:00"/>
    <n v="1"/>
    <n v="22"/>
    <n v="28"/>
  </r>
  <r>
    <x v="31"/>
    <d v="2022-05-26T00:00:00"/>
    <n v="1"/>
    <n v="22"/>
    <n v="28"/>
  </r>
  <r>
    <x v="33"/>
    <d v="2022-05-26T00:00:00"/>
    <n v="1"/>
    <n v="28.8"/>
    <n v="45"/>
  </r>
  <r>
    <x v="33"/>
    <d v="2022-05-26T00:00:00"/>
    <n v="1"/>
    <n v="28.8"/>
    <n v="45"/>
  </r>
  <r>
    <x v="33"/>
    <d v="2022-05-26T00:00:00"/>
    <n v="1"/>
    <n v="28.8"/>
    <n v="45"/>
  </r>
  <r>
    <x v="33"/>
    <d v="2022-05-26T00:00:00"/>
    <n v="1"/>
    <n v="28.8"/>
    <n v="45"/>
  </r>
  <r>
    <x v="33"/>
    <d v="2022-05-26T00:00:00"/>
    <n v="1"/>
    <n v="28.8"/>
    <n v="45"/>
  </r>
  <r>
    <x v="33"/>
    <d v="2022-05-26T00:00:00"/>
    <n v="1"/>
    <n v="28.8"/>
    <n v="45"/>
  </r>
  <r>
    <x v="145"/>
    <d v="2022-05-26T00:00:00"/>
    <n v="1"/>
    <n v="77.400000000000006"/>
    <n v="118"/>
  </r>
  <r>
    <x v="151"/>
    <d v="2022-05-26T00:00:00"/>
    <n v="1"/>
    <n v="249.76"/>
    <n v="338"/>
  </r>
  <r>
    <x v="153"/>
    <d v="2022-05-26T00:00:00"/>
    <n v="1"/>
    <n v="24.52"/>
    <n v="32"/>
  </r>
  <r>
    <x v="153"/>
    <d v="2022-05-26T00:00:00"/>
    <n v="1"/>
    <n v="24.52"/>
    <n v="32"/>
  </r>
  <r>
    <x v="153"/>
    <d v="2022-05-26T00:00:00"/>
    <n v="1"/>
    <n v="24.52"/>
    <n v="32"/>
  </r>
  <r>
    <x v="153"/>
    <d v="2022-05-26T00:00:00"/>
    <n v="1"/>
    <n v="24.52"/>
    <n v="32"/>
  </r>
  <r>
    <x v="153"/>
    <d v="2022-05-26T00:00:00"/>
    <n v="1"/>
    <n v="24.52"/>
    <n v="32"/>
  </r>
  <r>
    <x v="153"/>
    <d v="2022-05-26T00:00:00"/>
    <n v="1"/>
    <n v="24.52"/>
    <n v="32"/>
  </r>
  <r>
    <x v="153"/>
    <d v="2022-05-26T00:00:00"/>
    <n v="1"/>
    <n v="24.52"/>
    <n v="32"/>
  </r>
  <r>
    <x v="153"/>
    <d v="2022-05-26T00:00:00"/>
    <n v="1"/>
    <n v="24.52"/>
    <n v="32"/>
  </r>
  <r>
    <x v="153"/>
    <d v="2022-05-26T00:00:00"/>
    <n v="1"/>
    <n v="24.52"/>
    <n v="32"/>
  </r>
  <r>
    <x v="153"/>
    <d v="2022-05-26T00:00:00"/>
    <n v="1"/>
    <n v="24.52"/>
    <n v="32"/>
  </r>
  <r>
    <x v="90"/>
    <d v="2022-05-26T00:00:00"/>
    <n v="1"/>
    <n v="131.07"/>
    <n v="206"/>
  </r>
  <r>
    <x v="63"/>
    <d v="2022-05-26T00:00:00"/>
    <n v="1"/>
    <n v="53.57"/>
    <n v="82"/>
  </r>
  <r>
    <x v="63"/>
    <d v="2022-05-26T00:00:00"/>
    <n v="1"/>
    <n v="53.57"/>
    <n v="82"/>
  </r>
  <r>
    <x v="51"/>
    <d v="2022-05-26T00:00:00"/>
    <n v="1"/>
    <n v="43.86"/>
    <n v="67"/>
  </r>
  <r>
    <x v="147"/>
    <d v="2022-05-26T00:00:00"/>
    <n v="1"/>
    <n v="107.99"/>
    <n v="135"/>
  </r>
  <r>
    <x v="68"/>
    <d v="2022-05-26T00:00:00"/>
    <n v="1"/>
    <n v="8.07"/>
    <n v="14"/>
  </r>
  <r>
    <x v="98"/>
    <d v="2022-05-26T00:00:00"/>
    <n v="1"/>
    <n v="45.88"/>
    <n v="73"/>
  </r>
  <r>
    <x v="34"/>
    <d v="2022-05-26T00:00:00"/>
    <n v="1"/>
    <n v="9.9499999999999993"/>
    <n v="17"/>
  </r>
  <r>
    <x v="10"/>
    <d v="2022-05-26T00:00:00"/>
    <n v="1"/>
    <n v="50.1"/>
    <n v="81"/>
  </r>
  <r>
    <x v="0"/>
    <d v="2022-05-26T00:00:00"/>
    <n v="1"/>
    <n v="145.6"/>
    <n v="172"/>
  </r>
  <r>
    <x v="115"/>
    <d v="2022-05-26T00:00:00"/>
    <n v="1"/>
    <n v="145.04"/>
    <n v="202"/>
  </r>
  <r>
    <x v="150"/>
    <d v="2022-05-26T00:00:00"/>
    <n v="0.72"/>
    <n v="508.78"/>
    <n v="687"/>
  </r>
  <r>
    <x v="29"/>
    <d v="2022-05-26T00:00:00"/>
    <n v="1"/>
    <n v="200.36"/>
    <n v="231"/>
  </r>
  <r>
    <x v="124"/>
    <d v="2022-05-26T00:00:00"/>
    <n v="0.16"/>
    <n v="493.92"/>
    <n v="595"/>
  </r>
  <r>
    <x v="88"/>
    <d v="2022-05-26T00:00:00"/>
    <n v="1"/>
    <n v="64.16"/>
    <n v="92"/>
  </r>
  <r>
    <x v="95"/>
    <d v="2022-05-26T00:00:00"/>
    <n v="1"/>
    <n v="35.49"/>
    <n v="54"/>
  </r>
  <r>
    <x v="8"/>
    <d v="2022-05-25T00:00:00"/>
    <n v="1"/>
    <n v="120.36"/>
    <n v="145"/>
  </r>
  <r>
    <x v="26"/>
    <d v="2022-05-25T00:00:00"/>
    <n v="1"/>
    <n v="13.05"/>
    <n v="18"/>
  </r>
  <r>
    <x v="13"/>
    <d v="2022-05-25T00:00:00"/>
    <n v="1"/>
    <n v="46"/>
    <n v="72"/>
  </r>
  <r>
    <x v="13"/>
    <d v="2022-05-25T00:00:00"/>
    <n v="1"/>
    <n v="46"/>
    <n v="72"/>
  </r>
  <r>
    <x v="117"/>
    <d v="2022-05-25T00:00:00"/>
    <n v="1"/>
    <n v="20.86"/>
    <n v="26"/>
  </r>
  <r>
    <x v="95"/>
    <d v="2022-05-25T00:00:00"/>
    <n v="1"/>
    <n v="35.49"/>
    <n v="55"/>
  </r>
  <r>
    <x v="2"/>
    <d v="2022-05-25T00:00:00"/>
    <n v="1"/>
    <n v="88.43"/>
    <n v="106"/>
  </r>
  <r>
    <x v="132"/>
    <d v="2022-05-25T00:00:00"/>
    <n v="1"/>
    <n v="9"/>
    <n v="15"/>
  </r>
  <r>
    <x v="115"/>
    <d v="2022-05-25T00:00:00"/>
    <n v="1"/>
    <n v="145.04"/>
    <n v="202"/>
  </r>
  <r>
    <x v="154"/>
    <d v="2022-05-25T00:00:00"/>
    <n v="1"/>
    <n v="52.11"/>
    <n v="65"/>
  </r>
  <r>
    <x v="134"/>
    <d v="2022-05-25T00:00:00"/>
    <n v="1"/>
    <n v="24.18"/>
    <n v="39"/>
  </r>
  <r>
    <x v="81"/>
    <d v="2022-05-25T00:00:00"/>
    <n v="2"/>
    <n v="47.4"/>
    <n v="77"/>
  </r>
  <r>
    <x v="43"/>
    <d v="2022-05-25T00:00:00"/>
    <n v="1"/>
    <n v="35.200000000000003"/>
    <n v="55"/>
  </r>
  <r>
    <x v="133"/>
    <d v="2022-05-25T00:00:00"/>
    <n v="1"/>
    <n v="39.6"/>
    <n v="69"/>
  </r>
  <r>
    <x v="127"/>
    <d v="2022-05-25T00:00:00"/>
    <n v="1"/>
    <n v="58.23"/>
    <n v="87"/>
  </r>
  <r>
    <x v="49"/>
    <d v="2022-05-25T00:00:00"/>
    <n v="1"/>
    <n v="731.05"/>
    <n v="944"/>
  </r>
  <r>
    <x v="119"/>
    <d v="2022-05-25T00:00:00"/>
    <n v="1"/>
    <n v="36.75"/>
    <n v="59"/>
  </r>
  <r>
    <x v="12"/>
    <d v="2022-05-25T00:00:00"/>
    <n v="1"/>
    <n v="378.06"/>
    <n v="454"/>
  </r>
  <r>
    <x v="86"/>
    <d v="2022-05-25T00:00:00"/>
    <n v="1"/>
    <n v="36.51"/>
    <n v="63"/>
  </r>
  <r>
    <x v="16"/>
    <d v="2022-05-25T00:00:00"/>
    <n v="1"/>
    <n v="183.48"/>
    <n v="256"/>
  </r>
  <r>
    <x v="48"/>
    <d v="2022-05-25T00:00:00"/>
    <n v="1"/>
    <n v="23.4"/>
    <n v="38"/>
  </r>
  <r>
    <x v="92"/>
    <d v="2022-05-25T00:00:00"/>
    <n v="1"/>
    <n v="426.66"/>
    <n v="564"/>
  </r>
  <r>
    <x v="39"/>
    <d v="2022-05-25T00:00:00"/>
    <n v="1"/>
    <n v="65.010000000000005"/>
    <n v="101"/>
  </r>
  <r>
    <x v="46"/>
    <d v="2022-05-25T00:00:00"/>
    <n v="4"/>
    <n v="1.98"/>
    <n v="4"/>
  </r>
  <r>
    <x v="17"/>
    <d v="2022-05-25T00:00:00"/>
    <n v="1"/>
    <n v="30.3"/>
    <n v="49"/>
  </r>
  <r>
    <x v="4"/>
    <d v="2022-05-25T00:00:00"/>
    <n v="1"/>
    <n v="77"/>
    <n v="94"/>
  </r>
  <r>
    <x v="4"/>
    <d v="2022-05-25T00:00:00"/>
    <n v="1"/>
    <n v="77"/>
    <n v="94"/>
  </r>
  <r>
    <x v="52"/>
    <d v="2022-05-25T00:00:00"/>
    <n v="1"/>
    <n v="233.48"/>
    <n v="274"/>
  </r>
  <r>
    <x v="68"/>
    <d v="2022-05-25T00:00:00"/>
    <n v="1"/>
    <n v="8.07"/>
    <n v="14"/>
  </r>
  <r>
    <x v="34"/>
    <d v="2022-05-25T00:00:00"/>
    <n v="3"/>
    <n v="9.9499999999999993"/>
    <n v="17"/>
  </r>
  <r>
    <x v="144"/>
    <d v="2022-05-25T00:00:00"/>
    <n v="1"/>
    <n v="220.76"/>
    <n v="303"/>
  </r>
  <r>
    <x v="95"/>
    <d v="2022-05-25T00:00:00"/>
    <n v="1"/>
    <n v="35.49"/>
    <n v="55"/>
  </r>
  <r>
    <x v="19"/>
    <d v="2022-05-25T00:00:00"/>
    <n v="1"/>
    <n v="102.47"/>
    <n v="121"/>
  </r>
  <r>
    <x v="127"/>
    <d v="2022-05-25T00:00:00"/>
    <n v="1"/>
    <n v="58.53"/>
    <n v="84"/>
  </r>
  <r>
    <x v="129"/>
    <d v="2022-05-25T00:00:00"/>
    <n v="1"/>
    <n v="27.28"/>
    <n v="43"/>
  </r>
  <r>
    <x v="136"/>
    <d v="2022-05-25T00:00:00"/>
    <n v="2"/>
    <n v="14.69"/>
    <n v="26"/>
  </r>
  <r>
    <x v="101"/>
    <d v="2022-05-25T00:00:00"/>
    <n v="1"/>
    <n v="40.54"/>
    <n v="50"/>
  </r>
  <r>
    <x v="17"/>
    <d v="2022-05-25T00:00:00"/>
    <n v="1"/>
    <n v="30.3"/>
    <n v="49"/>
  </r>
  <r>
    <x v="2"/>
    <d v="2022-05-25T00:00:00"/>
    <n v="1"/>
    <n v="88.43"/>
    <n v="106"/>
  </r>
  <r>
    <x v="2"/>
    <d v="2022-05-25T00:00:00"/>
    <n v="1"/>
    <n v="88.43"/>
    <n v="106"/>
  </r>
  <r>
    <x v="82"/>
    <d v="2022-05-25T00:00:00"/>
    <n v="1"/>
    <n v="323.66000000000003"/>
    <n v="370"/>
  </r>
  <r>
    <x v="17"/>
    <d v="2022-05-25T00:00:00"/>
    <n v="1"/>
    <n v="30.3"/>
    <n v="49"/>
  </r>
  <r>
    <x v="95"/>
    <d v="2022-05-25T00:00:00"/>
    <n v="1"/>
    <n v="35.49"/>
    <n v="55"/>
  </r>
  <r>
    <x v="6"/>
    <d v="2022-05-25T00:00:00"/>
    <n v="1"/>
    <n v="24.2"/>
    <n v="39"/>
  </r>
  <r>
    <x v="2"/>
    <d v="2022-05-25T00:00:00"/>
    <n v="1"/>
    <n v="89.27"/>
    <n v="105"/>
  </r>
  <r>
    <x v="24"/>
    <d v="2022-05-25T00:00:00"/>
    <n v="1"/>
    <n v="480.11"/>
    <n v="663"/>
  </r>
  <r>
    <x v="23"/>
    <d v="2022-05-25T00:00:00"/>
    <n v="1"/>
    <n v="148.83000000000001"/>
    <n v="207"/>
  </r>
  <r>
    <x v="60"/>
    <d v="2022-05-25T00:00:00"/>
    <n v="1"/>
    <n v="184.45"/>
    <n v="216"/>
  </r>
  <r>
    <x v="60"/>
    <d v="2022-05-25T00:00:00"/>
    <n v="1"/>
    <n v="184.45"/>
    <n v="216"/>
  </r>
  <r>
    <x v="29"/>
    <d v="2022-05-25T00:00:00"/>
    <n v="1"/>
    <n v="200.35"/>
    <n v="235"/>
  </r>
  <r>
    <x v="47"/>
    <d v="2022-05-25T00:00:00"/>
    <n v="1"/>
    <n v="206"/>
    <n v="251"/>
  </r>
  <r>
    <x v="16"/>
    <d v="2022-05-25T00:00:00"/>
    <n v="1"/>
    <n v="184.57"/>
    <n v="253"/>
  </r>
  <r>
    <x v="82"/>
    <d v="2022-05-25T00:00:00"/>
    <n v="1"/>
    <n v="323.66000000000003"/>
    <n v="370"/>
  </r>
  <r>
    <x v="115"/>
    <d v="2022-05-25T00:00:00"/>
    <n v="1"/>
    <n v="132.07"/>
    <n v="181"/>
  </r>
  <r>
    <x v="115"/>
    <d v="2022-05-25T00:00:00"/>
    <n v="1"/>
    <n v="132.07"/>
    <n v="181"/>
  </r>
  <r>
    <x v="81"/>
    <d v="2022-05-25T00:00:00"/>
    <n v="1"/>
    <n v="47.4"/>
    <n v="82"/>
  </r>
  <r>
    <x v="152"/>
    <d v="2022-05-25T00:00:00"/>
    <n v="1"/>
    <n v="12"/>
    <n v="20"/>
  </r>
  <r>
    <x v="73"/>
    <d v="2022-05-25T00:00:00"/>
    <n v="1"/>
    <n v="69.290000000000006"/>
    <n v="88"/>
  </r>
  <r>
    <x v="73"/>
    <d v="2022-05-25T00:00:00"/>
    <n v="1"/>
    <n v="69.290000000000006"/>
    <n v="88"/>
  </r>
  <r>
    <x v="18"/>
    <d v="2022-05-25T00:00:00"/>
    <n v="1"/>
    <n v="109.41"/>
    <n v="123"/>
  </r>
  <r>
    <x v="2"/>
    <d v="2022-05-25T00:00:00"/>
    <n v="1"/>
    <n v="88.43"/>
    <n v="104"/>
  </r>
  <r>
    <x v="148"/>
    <d v="2022-05-25T00:00:00"/>
    <n v="1"/>
    <n v="9.4600000000000009"/>
    <n v="11"/>
  </r>
  <r>
    <x v="19"/>
    <d v="2022-05-25T00:00:00"/>
    <n v="1"/>
    <n v="99.99"/>
    <n v="119"/>
  </r>
  <r>
    <x v="70"/>
    <d v="2022-05-25T00:00:00"/>
    <n v="0.06"/>
    <n v="463.1"/>
    <n v="649"/>
  </r>
  <r>
    <x v="106"/>
    <d v="2022-05-25T00:00:00"/>
    <n v="1"/>
    <n v="159.58000000000001"/>
    <n v="193"/>
  </r>
  <r>
    <x v="4"/>
    <d v="2022-05-25T00:00:00"/>
    <n v="1"/>
    <n v="80.73"/>
    <n v="100"/>
  </r>
  <r>
    <x v="61"/>
    <d v="2022-05-25T00:00:00"/>
    <n v="1"/>
    <n v="30.56"/>
    <n v="36"/>
  </r>
  <r>
    <x v="95"/>
    <d v="2022-05-25T00:00:00"/>
    <n v="1"/>
    <n v="36.99"/>
    <n v="59"/>
  </r>
  <r>
    <x v="85"/>
    <d v="2022-05-25T00:00:00"/>
    <n v="1"/>
    <n v="384.59"/>
    <n v="474"/>
  </r>
  <r>
    <x v="20"/>
    <d v="2022-05-25T00:00:00"/>
    <n v="1"/>
    <n v="147.18"/>
    <n v="177"/>
  </r>
  <r>
    <x v="52"/>
    <d v="2022-05-25T00:00:00"/>
    <n v="1"/>
    <n v="233.74"/>
    <n v="274"/>
  </r>
  <r>
    <x v="134"/>
    <d v="2022-05-25T00:00:00"/>
    <n v="1"/>
    <n v="24.18"/>
    <n v="39"/>
  </r>
  <r>
    <x v="14"/>
    <d v="2022-05-25T00:00:00"/>
    <n v="1"/>
    <n v="82.34"/>
    <n v="103"/>
  </r>
  <r>
    <x v="14"/>
    <d v="2022-05-25T00:00:00"/>
    <n v="1"/>
    <n v="82.34"/>
    <n v="103"/>
  </r>
  <r>
    <x v="14"/>
    <d v="2022-05-25T00:00:00"/>
    <n v="1"/>
    <n v="82.34"/>
    <n v="103"/>
  </r>
  <r>
    <x v="126"/>
    <d v="2022-05-25T00:00:00"/>
    <n v="1"/>
    <n v="361.9"/>
    <n v="424"/>
  </r>
  <r>
    <x v="14"/>
    <d v="2022-05-25T00:00:00"/>
    <n v="1"/>
    <n v="81.73"/>
    <n v="102"/>
  </r>
  <r>
    <x v="20"/>
    <d v="2022-05-25T00:00:00"/>
    <n v="1"/>
    <n v="147.18"/>
    <n v="177"/>
  </r>
  <r>
    <x v="43"/>
    <d v="2022-05-25T00:00:00"/>
    <n v="1"/>
    <n v="38.11"/>
    <n v="58"/>
  </r>
  <r>
    <x v="36"/>
    <d v="2022-05-25T00:00:00"/>
    <n v="1"/>
    <n v="11.63"/>
    <n v="19"/>
  </r>
  <r>
    <x v="138"/>
    <d v="2022-05-25T00:00:00"/>
    <n v="1"/>
    <n v="50.45"/>
    <n v="77"/>
  </r>
  <r>
    <x v="0"/>
    <d v="2022-05-25T00:00:00"/>
    <n v="1"/>
    <n v="145.6"/>
    <n v="172"/>
  </r>
  <r>
    <x v="41"/>
    <d v="2022-05-25T00:00:00"/>
    <n v="1"/>
    <n v="19.43"/>
    <n v="24"/>
  </r>
  <r>
    <x v="152"/>
    <d v="2022-05-25T00:00:00"/>
    <n v="1"/>
    <n v="12"/>
    <n v="21"/>
  </r>
  <r>
    <x v="125"/>
    <d v="2022-05-25T00:00:00"/>
    <n v="1"/>
    <n v="23.6"/>
    <n v="29"/>
  </r>
  <r>
    <x v="125"/>
    <d v="2022-05-25T00:00:00"/>
    <n v="1"/>
    <n v="23.6"/>
    <n v="29"/>
  </r>
  <r>
    <x v="125"/>
    <d v="2022-05-25T00:00:00"/>
    <n v="1"/>
    <n v="23.6"/>
    <n v="29"/>
  </r>
  <r>
    <x v="125"/>
    <d v="2022-05-25T00:00:00"/>
    <n v="1"/>
    <n v="23.6"/>
    <n v="29"/>
  </r>
  <r>
    <x v="125"/>
    <d v="2022-05-25T00:00:00"/>
    <n v="1"/>
    <n v="23.6"/>
    <n v="29"/>
  </r>
  <r>
    <x v="125"/>
    <d v="2022-05-25T00:00:00"/>
    <n v="1"/>
    <n v="23.6"/>
    <n v="29"/>
  </r>
  <r>
    <x v="125"/>
    <d v="2022-05-25T00:00:00"/>
    <n v="1"/>
    <n v="23.12"/>
    <n v="29"/>
  </r>
  <r>
    <x v="125"/>
    <d v="2022-05-25T00:00:00"/>
    <n v="1"/>
    <n v="23.12"/>
    <n v="29"/>
  </r>
  <r>
    <x v="53"/>
    <d v="2022-05-25T00:00:00"/>
    <n v="1"/>
    <n v="76.02"/>
    <n v="92"/>
  </r>
  <r>
    <x v="148"/>
    <d v="2022-05-25T00:00:00"/>
    <n v="1"/>
    <n v="10.34"/>
    <n v="12"/>
  </r>
  <r>
    <x v="148"/>
    <d v="2022-05-25T00:00:00"/>
    <n v="1"/>
    <n v="10.34"/>
    <n v="12"/>
  </r>
  <r>
    <x v="148"/>
    <d v="2022-05-25T00:00:00"/>
    <n v="1"/>
    <n v="10.34"/>
    <n v="12"/>
  </r>
  <r>
    <x v="99"/>
    <d v="2022-05-25T00:00:00"/>
    <n v="1"/>
    <n v="45.55"/>
    <n v="57"/>
  </r>
  <r>
    <x v="58"/>
    <d v="2022-05-25T00:00:00"/>
    <n v="1"/>
    <n v="71.45"/>
    <n v="86"/>
  </r>
  <r>
    <x v="58"/>
    <d v="2022-05-25T00:00:00"/>
    <n v="1"/>
    <n v="71.45"/>
    <n v="86"/>
  </r>
  <r>
    <x v="61"/>
    <d v="2022-05-25T00:00:00"/>
    <n v="1"/>
    <n v="30.56"/>
    <n v="36"/>
  </r>
  <r>
    <x v="61"/>
    <d v="2022-05-25T00:00:00"/>
    <n v="1"/>
    <n v="30.56"/>
    <n v="36"/>
  </r>
  <r>
    <x v="61"/>
    <d v="2022-05-25T00:00:00"/>
    <n v="1"/>
    <n v="30.56"/>
    <n v="36"/>
  </r>
  <r>
    <x v="67"/>
    <d v="2022-05-25T00:00:00"/>
    <n v="1"/>
    <n v="556.51"/>
    <n v="735"/>
  </r>
  <r>
    <x v="67"/>
    <d v="2022-05-25T00:00:00"/>
    <n v="1"/>
    <n v="556.51"/>
    <n v="735"/>
  </r>
  <r>
    <x v="19"/>
    <d v="2022-05-25T00:00:00"/>
    <n v="1"/>
    <n v="102.47"/>
    <n v="121"/>
  </r>
  <r>
    <x v="31"/>
    <d v="2022-05-25T00:00:00"/>
    <n v="1"/>
    <n v="22"/>
    <n v="28"/>
  </r>
  <r>
    <x v="31"/>
    <d v="2022-05-25T00:00:00"/>
    <n v="1"/>
    <n v="22"/>
    <n v="28"/>
  </r>
  <r>
    <x v="15"/>
    <d v="2022-05-25T00:00:00"/>
    <n v="1"/>
    <n v="22.66"/>
    <n v="30"/>
  </r>
  <r>
    <x v="15"/>
    <d v="2022-05-25T00:00:00"/>
    <n v="1"/>
    <n v="22.66"/>
    <n v="30"/>
  </r>
  <r>
    <x v="32"/>
    <d v="2022-05-25T00:00:00"/>
    <n v="1"/>
    <n v="51.84"/>
    <n v="65"/>
  </r>
  <r>
    <x v="32"/>
    <d v="2022-05-25T00:00:00"/>
    <n v="1"/>
    <n v="51.84"/>
    <n v="65"/>
  </r>
  <r>
    <x v="47"/>
    <d v="2022-05-25T00:00:00"/>
    <n v="1"/>
    <n v="202.48"/>
    <n v="243"/>
  </r>
  <r>
    <x v="40"/>
    <d v="2022-05-25T00:00:00"/>
    <n v="1"/>
    <n v="29.26"/>
    <n v="48"/>
  </r>
  <r>
    <x v="59"/>
    <d v="2022-05-25T00:00:00"/>
    <n v="1"/>
    <n v="200.39"/>
    <n v="265"/>
  </r>
  <r>
    <x v="59"/>
    <d v="2022-05-25T00:00:00"/>
    <n v="1"/>
    <n v="200.39"/>
    <n v="265"/>
  </r>
  <r>
    <x v="60"/>
    <d v="2022-05-25T00:00:00"/>
    <n v="1"/>
    <n v="184.07"/>
    <n v="234"/>
  </r>
  <r>
    <x v="60"/>
    <d v="2022-05-25T00:00:00"/>
    <n v="1"/>
    <n v="184.45"/>
    <n v="216"/>
  </r>
  <r>
    <x v="13"/>
    <d v="2022-05-25T00:00:00"/>
    <n v="1"/>
    <n v="46"/>
    <n v="70"/>
  </r>
  <r>
    <x v="13"/>
    <d v="2022-05-25T00:00:00"/>
    <n v="1"/>
    <n v="46"/>
    <n v="70"/>
  </r>
  <r>
    <x v="154"/>
    <d v="2022-05-25T00:00:00"/>
    <n v="1"/>
    <n v="50.53"/>
    <n v="63"/>
  </r>
  <r>
    <x v="94"/>
    <d v="2022-05-25T00:00:00"/>
    <n v="1"/>
    <n v="64.25"/>
    <n v="80"/>
  </r>
  <r>
    <x v="29"/>
    <d v="2022-05-25T00:00:00"/>
    <n v="1"/>
    <n v="201.2"/>
    <n v="232"/>
  </r>
  <r>
    <x v="6"/>
    <d v="2022-05-25T00:00:00"/>
    <n v="1"/>
    <n v="24.2"/>
    <n v="39"/>
  </r>
  <r>
    <x v="14"/>
    <d v="2022-05-25T00:00:00"/>
    <n v="1"/>
    <n v="81.58"/>
    <n v="102"/>
  </r>
  <r>
    <x v="66"/>
    <d v="2022-05-25T00:00:00"/>
    <n v="1"/>
    <n v="54.1"/>
    <n v="77"/>
  </r>
  <r>
    <x v="66"/>
    <d v="2022-05-25T00:00:00"/>
    <n v="1"/>
    <n v="54.1"/>
    <n v="77"/>
  </r>
  <r>
    <x v="29"/>
    <d v="2022-05-25T00:00:00"/>
    <n v="1"/>
    <n v="199.32"/>
    <n v="230"/>
  </r>
  <r>
    <x v="84"/>
    <d v="2022-05-25T00:00:00"/>
    <n v="1"/>
    <n v="80.62"/>
    <n v="115"/>
  </r>
  <r>
    <x v="148"/>
    <d v="2022-05-25T00:00:00"/>
    <n v="1"/>
    <n v="9.4600000000000009"/>
    <n v="11"/>
  </r>
  <r>
    <x v="52"/>
    <d v="2022-05-25T00:00:00"/>
    <n v="1"/>
    <n v="233.74"/>
    <n v="274"/>
  </r>
  <r>
    <x v="42"/>
    <d v="2022-05-25T00:00:00"/>
    <n v="1"/>
    <n v="43.08"/>
    <n v="66"/>
  </r>
  <r>
    <x v="41"/>
    <d v="2022-05-25T00:00:00"/>
    <n v="1"/>
    <n v="19.7"/>
    <n v="24"/>
  </r>
  <r>
    <x v="25"/>
    <d v="2022-05-25T00:00:00"/>
    <n v="1"/>
    <n v="156.19999999999999"/>
    <n v="186"/>
  </r>
  <r>
    <x v="35"/>
    <d v="2022-05-25T00:00:00"/>
    <n v="1"/>
    <n v="173.86"/>
    <n v="212"/>
  </r>
  <r>
    <x v="86"/>
    <d v="2022-05-25T00:00:00"/>
    <n v="1"/>
    <n v="35.68"/>
    <n v="58"/>
  </r>
  <r>
    <x v="72"/>
    <d v="2022-05-25T00:00:00"/>
    <n v="1"/>
    <n v="60.68"/>
    <n v="76"/>
  </r>
  <r>
    <x v="57"/>
    <d v="2022-05-25T00:00:00"/>
    <n v="1"/>
    <n v="23.82"/>
    <n v="29"/>
  </r>
  <r>
    <x v="2"/>
    <d v="2022-05-25T00:00:00"/>
    <n v="1"/>
    <n v="88.43"/>
    <n v="106"/>
  </r>
  <r>
    <x v="88"/>
    <d v="2022-05-25T00:00:00"/>
    <n v="1"/>
    <n v="71.040000000000006"/>
    <n v="101"/>
  </r>
  <r>
    <x v="148"/>
    <d v="2022-05-25T00:00:00"/>
    <n v="1"/>
    <n v="10.34"/>
    <n v="12"/>
  </r>
  <r>
    <x v="67"/>
    <d v="2022-05-25T00:00:00"/>
    <n v="1"/>
    <n v="556.51"/>
    <n v="735"/>
  </r>
  <r>
    <x v="114"/>
    <d v="2022-05-25T00:00:00"/>
    <n v="3.5714299999999997E-2"/>
    <n v="628.24"/>
    <n v="694"/>
  </r>
  <r>
    <x v="2"/>
    <d v="2022-05-25T00:00:00"/>
    <n v="1"/>
    <n v="89.27"/>
    <n v="105"/>
  </r>
  <r>
    <x v="91"/>
    <d v="2022-05-25T00:00:00"/>
    <n v="1"/>
    <n v="71.650000000000006"/>
    <n v="102"/>
  </r>
  <r>
    <x v="0"/>
    <d v="2022-05-25T00:00:00"/>
    <n v="1"/>
    <n v="146.1"/>
    <n v="173"/>
  </r>
  <r>
    <x v="95"/>
    <d v="2022-05-25T00:00:00"/>
    <n v="1"/>
    <n v="37.479999999999997"/>
    <n v="57"/>
  </r>
  <r>
    <x v="129"/>
    <d v="2022-05-25T00:00:00"/>
    <n v="1"/>
    <n v="35.200000000000003"/>
    <n v="54"/>
  </r>
  <r>
    <x v="17"/>
    <d v="2022-05-25T00:00:00"/>
    <n v="1"/>
    <n v="30.3"/>
    <n v="49"/>
  </r>
  <r>
    <x v="108"/>
    <d v="2022-05-25T00:00:00"/>
    <n v="1"/>
    <n v="160.82"/>
    <n v="221"/>
  </r>
  <r>
    <x v="70"/>
    <d v="2022-05-25T00:00:00"/>
    <n v="0.04"/>
    <n v="466.1"/>
    <n v="709"/>
  </r>
  <r>
    <x v="35"/>
    <d v="2022-05-25T00:00:00"/>
    <n v="1"/>
    <n v="173.61"/>
    <n v="208"/>
  </r>
  <r>
    <x v="107"/>
    <d v="2022-05-25T00:00:00"/>
    <n v="1"/>
    <n v="291.01"/>
    <n v="309"/>
  </r>
  <r>
    <x v="14"/>
    <d v="2022-05-25T00:00:00"/>
    <n v="1"/>
    <n v="82.34"/>
    <n v="103"/>
  </r>
  <r>
    <x v="18"/>
    <d v="2022-05-25T00:00:00"/>
    <n v="1"/>
    <n v="109.41"/>
    <n v="123"/>
  </r>
  <r>
    <x v="23"/>
    <d v="2022-05-25T00:00:00"/>
    <n v="1"/>
    <n v="148.83000000000001"/>
    <n v="207"/>
  </r>
  <r>
    <x v="90"/>
    <d v="2022-05-25T00:00:00"/>
    <n v="1"/>
    <n v="129.69"/>
    <n v="204"/>
  </r>
  <r>
    <x v="113"/>
    <d v="2022-05-25T00:00:00"/>
    <n v="1"/>
    <n v="10.66"/>
    <n v="13"/>
  </r>
  <r>
    <x v="113"/>
    <d v="2022-05-25T00:00:00"/>
    <n v="1"/>
    <n v="10.66"/>
    <n v="13"/>
  </r>
  <r>
    <x v="0"/>
    <d v="2022-05-25T00:00:00"/>
    <n v="1"/>
    <n v="145.6"/>
    <n v="169"/>
  </r>
  <r>
    <x v="7"/>
    <d v="2022-05-25T00:00:00"/>
    <n v="1"/>
    <n v="56.08"/>
    <n v="70"/>
  </r>
  <r>
    <x v="115"/>
    <d v="2022-05-25T00:00:00"/>
    <n v="1"/>
    <n v="132.07"/>
    <n v="192"/>
  </r>
  <r>
    <x v="19"/>
    <d v="2022-05-25T00:00:00"/>
    <n v="1"/>
    <n v="107.3"/>
    <n v="126"/>
  </r>
  <r>
    <x v="94"/>
    <d v="2022-05-25T00:00:00"/>
    <n v="1"/>
    <n v="65.52"/>
    <n v="77"/>
  </r>
  <r>
    <x v="71"/>
    <d v="2022-05-25T00:00:00"/>
    <n v="1"/>
    <n v="30.9"/>
    <n v="39"/>
  </r>
  <r>
    <x v="71"/>
    <d v="2022-05-25T00:00:00"/>
    <n v="1"/>
    <n v="30.9"/>
    <n v="39"/>
  </r>
  <r>
    <x v="71"/>
    <d v="2022-05-25T00:00:00"/>
    <n v="1"/>
    <n v="30.9"/>
    <n v="39"/>
  </r>
  <r>
    <x v="71"/>
    <d v="2022-05-25T00:00:00"/>
    <n v="1"/>
    <n v="30.9"/>
    <n v="39"/>
  </r>
  <r>
    <x v="34"/>
    <d v="2022-05-25T00:00:00"/>
    <n v="3"/>
    <n v="11.38"/>
    <n v="19"/>
  </r>
  <r>
    <x v="90"/>
    <d v="2022-05-25T00:00:00"/>
    <n v="0.1"/>
    <n v="129.69"/>
    <n v="204"/>
  </r>
  <r>
    <x v="136"/>
    <d v="2022-05-25T00:00:00"/>
    <n v="1"/>
    <n v="12.2"/>
    <n v="21"/>
  </r>
  <r>
    <x v="94"/>
    <d v="2022-05-25T00:00:00"/>
    <n v="1"/>
    <n v="64.25"/>
    <n v="79"/>
  </r>
  <r>
    <x v="74"/>
    <d v="2022-05-25T00:00:00"/>
    <n v="1"/>
    <n v="148.5"/>
    <n v="177"/>
  </r>
  <r>
    <x v="62"/>
    <d v="2022-05-25T00:00:00"/>
    <n v="1"/>
    <n v="55.04"/>
    <n v="80"/>
  </r>
  <r>
    <x v="62"/>
    <d v="2022-05-25T00:00:00"/>
    <n v="1"/>
    <n v="55.04"/>
    <n v="80"/>
  </r>
  <r>
    <x v="7"/>
    <d v="2022-05-25T00:00:00"/>
    <n v="1"/>
    <n v="56.84"/>
    <n v="70"/>
  </r>
  <r>
    <x v="18"/>
    <d v="2022-05-25T00:00:00"/>
    <n v="1"/>
    <n v="109.41"/>
    <n v="123"/>
  </r>
  <r>
    <x v="74"/>
    <d v="2022-05-25T00:00:00"/>
    <n v="1"/>
    <n v="152.93"/>
    <n v="181"/>
  </r>
  <r>
    <x v="2"/>
    <d v="2022-05-25T00:00:00"/>
    <n v="1"/>
    <n v="88.43"/>
    <n v="106"/>
  </r>
  <r>
    <x v="105"/>
    <d v="2022-05-25T00:00:00"/>
    <n v="1"/>
    <n v="232.26"/>
    <n v="326"/>
  </r>
  <r>
    <x v="53"/>
    <d v="2022-05-25T00:00:00"/>
    <n v="1"/>
    <n v="76.739999999999995"/>
    <n v="93"/>
  </r>
  <r>
    <x v="53"/>
    <d v="2022-05-25T00:00:00"/>
    <n v="1"/>
    <n v="76.739999999999995"/>
    <n v="93"/>
  </r>
  <r>
    <x v="74"/>
    <d v="2022-05-25T00:00:00"/>
    <n v="1"/>
    <n v="148.5"/>
    <n v="180"/>
  </r>
  <r>
    <x v="40"/>
    <d v="2022-05-25T00:00:00"/>
    <n v="1"/>
    <n v="28.85"/>
    <n v="47"/>
  </r>
  <r>
    <x v="90"/>
    <d v="2022-05-25T00:00:00"/>
    <n v="0.3"/>
    <n v="129.4"/>
    <n v="197"/>
  </r>
  <r>
    <x v="141"/>
    <d v="2022-05-25T00:00:00"/>
    <n v="1"/>
    <n v="402.29"/>
    <n v="451"/>
  </r>
  <r>
    <x v="102"/>
    <d v="2022-05-25T00:00:00"/>
    <n v="1"/>
    <n v="71"/>
    <n v="88"/>
  </r>
  <r>
    <x v="18"/>
    <d v="2022-05-25T00:00:00"/>
    <n v="1"/>
    <n v="109.41"/>
    <n v="123"/>
  </r>
  <r>
    <x v="18"/>
    <d v="2022-05-25T00:00:00"/>
    <n v="1"/>
    <n v="109.41"/>
    <n v="123"/>
  </r>
  <r>
    <x v="10"/>
    <d v="2022-05-25T00:00:00"/>
    <n v="1"/>
    <n v="55.5"/>
    <n v="87"/>
  </r>
  <r>
    <x v="131"/>
    <d v="2022-05-25T00:00:00"/>
    <n v="1"/>
    <n v="286.11"/>
    <n v="401"/>
  </r>
  <r>
    <x v="51"/>
    <d v="2022-05-25T00:00:00"/>
    <n v="1"/>
    <n v="43.97"/>
    <n v="70"/>
  </r>
  <r>
    <x v="112"/>
    <d v="2022-05-25T00:00:00"/>
    <n v="1"/>
    <n v="23.14"/>
    <n v="28"/>
  </r>
  <r>
    <x v="112"/>
    <d v="2022-05-25T00:00:00"/>
    <n v="1"/>
    <n v="23.14"/>
    <n v="28"/>
  </r>
  <r>
    <x v="42"/>
    <d v="2022-05-25T00:00:00"/>
    <n v="1"/>
    <n v="42.85"/>
    <n v="67"/>
  </r>
  <r>
    <x v="30"/>
    <d v="2022-05-25T00:00:00"/>
    <n v="1"/>
    <n v="33.11"/>
    <n v="51"/>
  </r>
  <r>
    <x v="1"/>
    <d v="2022-05-25T00:00:00"/>
    <n v="0.2"/>
    <n v="433.76"/>
    <n v="543"/>
  </r>
  <r>
    <x v="0"/>
    <d v="2022-05-25T00:00:00"/>
    <n v="1"/>
    <n v="145.6"/>
    <n v="172"/>
  </r>
  <r>
    <x v="25"/>
    <d v="2022-05-25T00:00:00"/>
    <n v="1"/>
    <n v="156.19999999999999"/>
    <n v="186"/>
  </r>
  <r>
    <x v="80"/>
    <d v="2022-05-25T00:00:00"/>
    <n v="1"/>
    <n v="18.010000000000002"/>
    <n v="28"/>
  </r>
  <r>
    <x v="80"/>
    <d v="2022-05-25T00:00:00"/>
    <n v="1"/>
    <n v="18.010000000000002"/>
    <n v="28"/>
  </r>
  <r>
    <x v="80"/>
    <d v="2022-05-25T00:00:00"/>
    <n v="1"/>
    <n v="18.010000000000002"/>
    <n v="28"/>
  </r>
  <r>
    <x v="112"/>
    <d v="2022-05-25T00:00:00"/>
    <n v="1"/>
    <n v="23.14"/>
    <n v="28"/>
  </r>
  <r>
    <x v="112"/>
    <d v="2022-05-25T00:00:00"/>
    <n v="1"/>
    <n v="23.14"/>
    <n v="28"/>
  </r>
  <r>
    <x v="112"/>
    <d v="2022-05-25T00:00:00"/>
    <n v="1"/>
    <n v="23.14"/>
    <n v="28"/>
  </r>
  <r>
    <x v="2"/>
    <d v="2022-05-25T00:00:00"/>
    <n v="1"/>
    <n v="89.27"/>
    <n v="111"/>
  </r>
  <r>
    <x v="64"/>
    <d v="2022-05-25T00:00:00"/>
    <n v="1"/>
    <n v="19.989999999999998"/>
    <n v="24"/>
  </r>
  <r>
    <x v="64"/>
    <d v="2022-05-25T00:00:00"/>
    <n v="1"/>
    <n v="19.989999999999998"/>
    <n v="24"/>
  </r>
  <r>
    <x v="100"/>
    <d v="2022-05-25T00:00:00"/>
    <n v="4"/>
    <n v="27.72"/>
    <n v="45"/>
  </r>
  <r>
    <x v="94"/>
    <d v="2022-05-25T00:00:00"/>
    <n v="1"/>
    <n v="64.25"/>
    <n v="77"/>
  </r>
  <r>
    <x v="19"/>
    <d v="2022-05-25T00:00:00"/>
    <n v="1"/>
    <n v="96.14"/>
    <n v="118"/>
  </r>
  <r>
    <x v="129"/>
    <d v="2022-05-25T00:00:00"/>
    <n v="1"/>
    <n v="26.86"/>
    <n v="43"/>
  </r>
  <r>
    <x v="129"/>
    <d v="2022-05-25T00:00:00"/>
    <n v="1"/>
    <n v="27.28"/>
    <n v="43"/>
  </r>
  <r>
    <x v="27"/>
    <d v="2022-05-25T00:00:00"/>
    <n v="1"/>
    <n v="105"/>
    <n v="165"/>
  </r>
  <r>
    <x v="21"/>
    <d v="2022-05-25T00:00:00"/>
    <n v="0.1"/>
    <n v="984.79"/>
    <n v="1350"/>
  </r>
  <r>
    <x v="10"/>
    <d v="2022-05-25T00:00:00"/>
    <n v="1"/>
    <n v="55.5"/>
    <n v="89"/>
  </r>
  <r>
    <x v="9"/>
    <d v="2022-05-25T00:00:00"/>
    <n v="0.3"/>
    <n v="466.1"/>
    <n v="644"/>
  </r>
  <r>
    <x v="21"/>
    <d v="2022-05-25T00:00:00"/>
    <n v="0.4"/>
    <n v="984.79"/>
    <n v="1271"/>
  </r>
  <r>
    <x v="31"/>
    <d v="2022-05-25T00:00:00"/>
    <n v="1"/>
    <n v="22.03"/>
    <n v="28"/>
  </r>
  <r>
    <x v="0"/>
    <d v="2022-05-25T00:00:00"/>
    <n v="1"/>
    <n v="130.75"/>
    <n v="157"/>
  </r>
  <r>
    <x v="37"/>
    <d v="2022-05-25T00:00:00"/>
    <n v="1"/>
    <n v="559.34"/>
    <n v="644"/>
  </r>
  <r>
    <x v="93"/>
    <d v="2022-05-25T00:00:00"/>
    <n v="1"/>
    <n v="111.32"/>
    <n v="134"/>
  </r>
  <r>
    <x v="105"/>
    <d v="2022-05-25T00:00:00"/>
    <n v="1"/>
    <n v="232.26"/>
    <n v="321"/>
  </r>
  <r>
    <x v="20"/>
    <d v="2022-05-25T00:00:00"/>
    <n v="1"/>
    <n v="147.4"/>
    <n v="177"/>
  </r>
  <r>
    <x v="102"/>
    <d v="2022-05-25T00:00:00"/>
    <n v="1"/>
    <n v="71.010000000000005"/>
    <n v="88"/>
  </r>
  <r>
    <x v="17"/>
    <d v="2022-05-25T00:00:00"/>
    <n v="1"/>
    <n v="30.3"/>
    <n v="49"/>
  </r>
  <r>
    <x v="2"/>
    <d v="2022-05-25T00:00:00"/>
    <n v="1"/>
    <n v="88.43"/>
    <n v="106"/>
  </r>
  <r>
    <x v="143"/>
    <d v="2022-05-25T00:00:00"/>
    <n v="1"/>
    <n v="36.97"/>
    <n v="57"/>
  </r>
  <r>
    <x v="53"/>
    <d v="2022-05-25T00:00:00"/>
    <n v="1"/>
    <n v="78.08"/>
    <n v="94"/>
  </r>
  <r>
    <x v="50"/>
    <d v="2022-05-25T00:00:00"/>
    <n v="1"/>
    <n v="88.02"/>
    <n v="104.27"/>
  </r>
  <r>
    <x v="67"/>
    <d v="2022-05-25T00:00:00"/>
    <n v="1"/>
    <n v="556.51"/>
    <n v="735"/>
  </r>
  <r>
    <x v="67"/>
    <d v="2022-05-25T00:00:00"/>
    <n v="1"/>
    <n v="556.51"/>
    <n v="735"/>
  </r>
  <r>
    <x v="42"/>
    <d v="2022-05-25T00:00:00"/>
    <n v="1"/>
    <n v="42.85"/>
    <n v="67"/>
  </r>
  <r>
    <x v="113"/>
    <d v="2022-05-25T00:00:00"/>
    <n v="1"/>
    <n v="10.66"/>
    <n v="13"/>
  </r>
  <r>
    <x v="76"/>
    <d v="2022-05-25T00:00:00"/>
    <n v="1"/>
    <n v="42.48"/>
    <n v="52"/>
  </r>
  <r>
    <x v="15"/>
    <d v="2022-05-25T00:00:00"/>
    <n v="1"/>
    <n v="19.71"/>
    <n v="26"/>
  </r>
  <r>
    <x v="15"/>
    <d v="2022-05-25T00:00:00"/>
    <n v="1"/>
    <n v="19.71"/>
    <n v="26"/>
  </r>
  <r>
    <x v="15"/>
    <d v="2022-05-25T00:00:00"/>
    <n v="1"/>
    <n v="19.71"/>
    <n v="26"/>
  </r>
  <r>
    <x v="13"/>
    <d v="2022-05-25T00:00:00"/>
    <n v="1"/>
    <n v="46"/>
    <n v="73"/>
  </r>
  <r>
    <x v="13"/>
    <d v="2022-05-25T00:00:00"/>
    <n v="1"/>
    <n v="46"/>
    <n v="73"/>
  </r>
  <r>
    <x v="16"/>
    <d v="2022-05-25T00:00:00"/>
    <n v="1"/>
    <n v="182.55"/>
    <n v="258"/>
  </r>
  <r>
    <x v="117"/>
    <d v="2022-05-25T00:00:00"/>
    <n v="1"/>
    <n v="20.86"/>
    <n v="26"/>
  </r>
  <r>
    <x v="131"/>
    <d v="2022-05-25T00:00:00"/>
    <n v="1"/>
    <n v="287.61"/>
    <n v="380"/>
  </r>
  <r>
    <x v="132"/>
    <d v="2022-05-25T00:00:00"/>
    <n v="1"/>
    <n v="10.53"/>
    <n v="18"/>
  </r>
  <r>
    <x v="136"/>
    <d v="2022-05-25T00:00:00"/>
    <n v="2"/>
    <n v="12.2"/>
    <n v="20"/>
  </r>
  <r>
    <x v="56"/>
    <d v="2022-05-25T00:00:00"/>
    <n v="1"/>
    <n v="32.979999999999997"/>
    <n v="52"/>
  </r>
  <r>
    <x v="132"/>
    <d v="2022-05-25T00:00:00"/>
    <n v="1"/>
    <n v="9"/>
    <n v="16"/>
  </r>
  <r>
    <x v="21"/>
    <d v="2022-05-25T00:00:00"/>
    <n v="0.1"/>
    <n v="984.79"/>
    <n v="1350"/>
  </r>
  <r>
    <x v="80"/>
    <d v="2022-05-25T00:00:00"/>
    <n v="1"/>
    <n v="16.62"/>
    <n v="26"/>
  </r>
  <r>
    <x v="8"/>
    <d v="2022-05-25T00:00:00"/>
    <n v="1"/>
    <n v="119.72"/>
    <n v="147"/>
  </r>
  <r>
    <x v="2"/>
    <d v="2022-05-25T00:00:00"/>
    <n v="1"/>
    <n v="88.43"/>
    <n v="106"/>
  </r>
  <r>
    <x v="65"/>
    <d v="2022-05-25T00:00:00"/>
    <n v="1"/>
    <n v="165.32"/>
    <n v="203"/>
  </r>
  <r>
    <x v="143"/>
    <d v="2022-05-25T00:00:00"/>
    <n v="1"/>
    <n v="37.75"/>
    <n v="58"/>
  </r>
  <r>
    <x v="37"/>
    <d v="2022-05-25T00:00:00"/>
    <n v="1"/>
    <n v="570.99"/>
    <n v="657"/>
  </r>
  <r>
    <x v="117"/>
    <d v="2022-05-25T00:00:00"/>
    <n v="1"/>
    <n v="20.48"/>
    <n v="25"/>
  </r>
  <r>
    <x v="117"/>
    <d v="2022-05-25T00:00:00"/>
    <n v="1"/>
    <n v="21.23"/>
    <n v="26"/>
  </r>
  <r>
    <x v="44"/>
    <d v="2022-05-25T00:00:00"/>
    <n v="1"/>
    <n v="15.8"/>
    <n v="19"/>
  </r>
  <r>
    <x v="44"/>
    <d v="2022-05-25T00:00:00"/>
    <n v="1"/>
    <n v="15.8"/>
    <n v="19"/>
  </r>
  <r>
    <x v="44"/>
    <d v="2022-05-25T00:00:00"/>
    <n v="1"/>
    <n v="15.32"/>
    <n v="19"/>
  </r>
  <r>
    <x v="42"/>
    <d v="2022-05-25T00:00:00"/>
    <n v="1"/>
    <n v="42.85"/>
    <n v="67"/>
  </r>
  <r>
    <x v="119"/>
    <d v="2022-05-25T00:00:00"/>
    <n v="1"/>
    <n v="42.85"/>
    <n v="70"/>
  </r>
  <r>
    <x v="13"/>
    <d v="2022-05-25T00:00:00"/>
    <n v="1"/>
    <n v="46"/>
    <n v="72"/>
  </r>
  <r>
    <x v="13"/>
    <d v="2022-05-25T00:00:00"/>
    <n v="1"/>
    <n v="46"/>
    <n v="72"/>
  </r>
  <r>
    <x v="13"/>
    <d v="2022-05-25T00:00:00"/>
    <n v="1"/>
    <n v="46"/>
    <n v="72"/>
  </r>
  <r>
    <x v="85"/>
    <d v="2022-05-25T00:00:00"/>
    <n v="1"/>
    <n v="384.2"/>
    <n v="473"/>
  </r>
  <r>
    <x v="60"/>
    <d v="2022-05-25T00:00:00"/>
    <n v="1"/>
    <n v="184.45"/>
    <n v="216"/>
  </r>
  <r>
    <x v="57"/>
    <d v="2022-05-25T00:00:00"/>
    <n v="1"/>
    <n v="25.29"/>
    <n v="30"/>
  </r>
  <r>
    <x v="57"/>
    <d v="2022-05-25T00:00:00"/>
    <n v="1"/>
    <n v="25.29"/>
    <n v="30"/>
  </r>
  <r>
    <x v="19"/>
    <d v="2022-05-25T00:00:00"/>
    <n v="1"/>
    <n v="102.47"/>
    <n v="121"/>
  </r>
  <r>
    <x v="57"/>
    <d v="2022-05-25T00:00:00"/>
    <n v="1"/>
    <n v="24.97"/>
    <n v="30"/>
  </r>
  <r>
    <x v="46"/>
    <d v="2022-05-25T00:00:00"/>
    <n v="200"/>
    <n v="2.0099999999999998"/>
    <n v="4"/>
  </r>
  <r>
    <x v="24"/>
    <d v="2022-05-25T00:00:00"/>
    <n v="1"/>
    <n v="480.05"/>
    <n v="634"/>
  </r>
  <r>
    <x v="10"/>
    <d v="2022-05-25T00:00:00"/>
    <n v="1"/>
    <n v="55.5"/>
    <n v="87"/>
  </r>
  <r>
    <x v="58"/>
    <d v="2022-05-25T00:00:00"/>
    <n v="1"/>
    <n v="71.45"/>
    <n v="86"/>
  </r>
  <r>
    <x v="58"/>
    <d v="2022-05-25T00:00:00"/>
    <n v="1"/>
    <n v="71.45"/>
    <n v="86"/>
  </r>
  <r>
    <x v="53"/>
    <d v="2022-05-25T00:00:00"/>
    <n v="1"/>
    <n v="80.86"/>
    <n v="98"/>
  </r>
  <r>
    <x v="18"/>
    <d v="2022-05-25T00:00:00"/>
    <n v="1"/>
    <n v="109.41"/>
    <n v="123"/>
  </r>
  <r>
    <x v="153"/>
    <d v="2022-05-25T00:00:00"/>
    <n v="1"/>
    <n v="31.17"/>
    <n v="39"/>
  </r>
  <r>
    <x v="153"/>
    <d v="2022-05-25T00:00:00"/>
    <n v="1"/>
    <n v="31.17"/>
    <n v="39"/>
  </r>
  <r>
    <x v="153"/>
    <d v="2022-05-25T00:00:00"/>
    <n v="1"/>
    <n v="31.17"/>
    <n v="39"/>
  </r>
  <r>
    <x v="93"/>
    <d v="2022-05-25T00:00:00"/>
    <n v="1"/>
    <n v="111.32"/>
    <n v="134"/>
  </r>
  <r>
    <x v="108"/>
    <d v="2022-05-25T00:00:00"/>
    <n v="1"/>
    <n v="126.69"/>
    <n v="179"/>
  </r>
  <r>
    <x v="88"/>
    <d v="2022-05-25T00:00:00"/>
    <n v="1"/>
    <n v="71.040000000000006"/>
    <n v="103"/>
  </r>
  <r>
    <x v="126"/>
    <d v="2022-05-25T00:00:00"/>
    <n v="1"/>
    <n v="361.08"/>
    <n v="416"/>
  </r>
  <r>
    <x v="40"/>
    <d v="2022-05-25T00:00:00"/>
    <n v="1"/>
    <n v="28.13"/>
    <n v="46"/>
  </r>
  <r>
    <x v="100"/>
    <d v="2022-05-25T00:00:00"/>
    <n v="3"/>
    <n v="27.72"/>
    <n v="45"/>
  </r>
  <r>
    <x v="100"/>
    <d v="2022-05-25T00:00:00"/>
    <n v="2"/>
    <n v="26.75"/>
    <n v="44"/>
  </r>
  <r>
    <x v="113"/>
    <d v="2022-05-25T00:00:00"/>
    <n v="1"/>
    <n v="11.1"/>
    <n v="13"/>
  </r>
  <r>
    <x v="65"/>
    <d v="2022-05-25T00:00:00"/>
    <n v="1"/>
    <n v="163.37"/>
    <n v="197"/>
  </r>
  <r>
    <x v="58"/>
    <d v="2022-05-25T00:00:00"/>
    <n v="1"/>
    <n v="71.45"/>
    <n v="86"/>
  </r>
  <r>
    <x v="71"/>
    <d v="2022-05-25T00:00:00"/>
    <n v="1"/>
    <n v="32.36"/>
    <n v="39"/>
  </r>
  <r>
    <x v="124"/>
    <d v="2022-05-25T00:00:00"/>
    <n v="0.08"/>
    <n v="491.7"/>
    <n v="592"/>
  </r>
  <r>
    <x v="21"/>
    <d v="2022-05-25T00:00:00"/>
    <n v="0.2"/>
    <n v="991.65"/>
    <n v="1240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26"/>
    <d v="2022-05-25T00:00:00"/>
    <n v="1"/>
    <n v="13.05"/>
    <n v="18"/>
  </r>
  <r>
    <x v="114"/>
    <d v="2022-05-25T00:00:00"/>
    <n v="3.5714299999999997E-2"/>
    <n v="656.19"/>
    <n v="722"/>
  </r>
  <r>
    <x v="109"/>
    <d v="2022-05-25T00:00:00"/>
    <n v="1"/>
    <n v="74.8"/>
    <n v="92"/>
  </r>
  <r>
    <x v="123"/>
    <d v="2022-05-25T00:00:00"/>
    <n v="1"/>
    <n v="265.7"/>
    <n v="365"/>
  </r>
  <r>
    <x v="18"/>
    <d v="2022-05-25T00:00:00"/>
    <n v="1"/>
    <n v="109.41"/>
    <n v="123"/>
  </r>
  <r>
    <x v="12"/>
    <d v="2022-05-25T00:00:00"/>
    <n v="1"/>
    <n v="378.06"/>
    <n v="454"/>
  </r>
  <r>
    <x v="6"/>
    <d v="2022-05-25T00:00:00"/>
    <n v="1"/>
    <n v="24.2"/>
    <n v="39"/>
  </r>
  <r>
    <x v="57"/>
    <d v="2022-05-25T00:00:00"/>
    <n v="1"/>
    <n v="24.97"/>
    <n v="30"/>
  </r>
  <r>
    <x v="57"/>
    <d v="2022-05-25T00:00:00"/>
    <n v="1"/>
    <n v="25.62"/>
    <n v="31"/>
  </r>
  <r>
    <x v="57"/>
    <d v="2022-05-25T00:00:00"/>
    <n v="1"/>
    <n v="25.15"/>
    <n v="30"/>
  </r>
  <r>
    <x v="57"/>
    <d v="2022-05-25T00:00:00"/>
    <n v="1"/>
    <n v="25.15"/>
    <n v="30"/>
  </r>
  <r>
    <x v="24"/>
    <d v="2022-05-25T00:00:00"/>
    <n v="1"/>
    <n v="489.61"/>
    <n v="661"/>
  </r>
  <r>
    <x v="144"/>
    <d v="2022-05-25T00:00:00"/>
    <n v="1"/>
    <n v="199.99"/>
    <n v="270"/>
  </r>
  <r>
    <x v="52"/>
    <d v="2022-05-25T00:00:00"/>
    <n v="1"/>
    <n v="233.74"/>
    <n v="262"/>
  </r>
  <r>
    <x v="26"/>
    <d v="2022-05-25T00:00:00"/>
    <n v="1"/>
    <n v="13.05"/>
    <n v="18"/>
  </r>
  <r>
    <x v="88"/>
    <d v="2022-05-25T00:00:00"/>
    <n v="1"/>
    <n v="68.599999999999994"/>
    <n v="98"/>
  </r>
  <r>
    <x v="91"/>
    <d v="2022-05-25T00:00:00"/>
    <n v="1"/>
    <n v="70.930000000000007"/>
    <n v="101"/>
  </r>
  <r>
    <x v="108"/>
    <d v="2022-05-25T00:00:00"/>
    <n v="1"/>
    <n v="126.69"/>
    <n v="179"/>
  </r>
  <r>
    <x v="108"/>
    <d v="2022-05-25T00:00:00"/>
    <n v="1"/>
    <n v="126.69"/>
    <n v="179"/>
  </r>
  <r>
    <x v="38"/>
    <d v="2022-05-25T00:00:00"/>
    <n v="1"/>
    <n v="146.88999999999999"/>
    <n v="174"/>
  </r>
  <r>
    <x v="21"/>
    <d v="2022-05-25T00:00:00"/>
    <n v="0.1"/>
    <n v="989.8"/>
    <n v="1238"/>
  </r>
  <r>
    <x v="20"/>
    <d v="2022-05-25T00:00:00"/>
    <n v="1"/>
    <n v="147.4"/>
    <n v="177"/>
  </r>
  <r>
    <x v="149"/>
    <d v="2022-05-25T00:00:00"/>
    <n v="1"/>
    <n v="125.78"/>
    <n v="150"/>
  </r>
  <r>
    <x v="86"/>
    <d v="2022-05-25T00:00:00"/>
    <n v="1"/>
    <n v="35.68"/>
    <n v="58"/>
  </r>
  <r>
    <x v="4"/>
    <d v="2022-05-25T00:00:00"/>
    <n v="1"/>
    <n v="80.73"/>
    <n v="100"/>
  </r>
  <r>
    <x v="42"/>
    <d v="2022-05-25T00:00:00"/>
    <n v="1"/>
    <n v="43.08"/>
    <n v="66"/>
  </r>
  <r>
    <x v="42"/>
    <d v="2022-05-25T00:00:00"/>
    <n v="1"/>
    <n v="43.08"/>
    <n v="66"/>
  </r>
  <r>
    <x v="3"/>
    <d v="2022-05-25T00:00:00"/>
    <n v="10"/>
    <n v="47.83"/>
    <n v="78"/>
  </r>
  <r>
    <x v="81"/>
    <d v="2022-05-25T00:00:00"/>
    <n v="3"/>
    <n v="47.4"/>
    <n v="77"/>
  </r>
  <r>
    <x v="19"/>
    <d v="2022-05-25T00:00:00"/>
    <n v="1"/>
    <n v="99.99"/>
    <n v="119"/>
  </r>
  <r>
    <x v="60"/>
    <d v="2022-05-25T00:00:00"/>
    <n v="1"/>
    <n v="176.77"/>
    <n v="221"/>
  </r>
  <r>
    <x v="93"/>
    <d v="2022-05-25T00:00:00"/>
    <n v="1"/>
    <n v="111.32"/>
    <n v="134"/>
  </r>
  <r>
    <x v="26"/>
    <d v="2022-05-25T00:00:00"/>
    <n v="1"/>
    <n v="13.05"/>
    <n v="18"/>
  </r>
  <r>
    <x v="98"/>
    <d v="2022-05-25T00:00:00"/>
    <n v="1"/>
    <n v="45.88"/>
    <n v="73"/>
  </r>
  <r>
    <x v="95"/>
    <d v="2022-05-25T00:00:00"/>
    <n v="1"/>
    <n v="39.49"/>
    <n v="62"/>
  </r>
  <r>
    <x v="3"/>
    <d v="2022-05-25T00:00:00"/>
    <n v="1"/>
    <n v="47.82"/>
    <n v="83"/>
  </r>
  <r>
    <x v="59"/>
    <d v="2022-05-25T00:00:00"/>
    <n v="1"/>
    <n v="198.66"/>
    <n v="273"/>
  </r>
  <r>
    <x v="2"/>
    <d v="2022-05-25T00:00:00"/>
    <n v="1"/>
    <n v="89.27"/>
    <n v="111"/>
  </r>
  <r>
    <x v="14"/>
    <d v="2022-05-25T00:00:00"/>
    <n v="1"/>
    <n v="80.760000000000005"/>
    <n v="101"/>
  </r>
  <r>
    <x v="151"/>
    <d v="2022-05-25T00:00:00"/>
    <n v="1"/>
    <n v="249.76"/>
    <n v="338"/>
  </r>
  <r>
    <x v="2"/>
    <d v="2022-05-25T00:00:00"/>
    <n v="1"/>
    <n v="87.93"/>
    <n v="104"/>
  </r>
  <r>
    <x v="50"/>
    <d v="2022-05-25T00:00:00"/>
    <n v="1"/>
    <n v="77.510000000000005"/>
    <n v="95"/>
  </r>
  <r>
    <x v="62"/>
    <d v="2022-05-25T00:00:00"/>
    <n v="1"/>
    <n v="54.32"/>
    <n v="78"/>
  </r>
  <r>
    <x v="15"/>
    <d v="2022-05-25T00:00:00"/>
    <n v="1"/>
    <n v="19.71"/>
    <n v="25"/>
  </r>
  <r>
    <x v="15"/>
    <d v="2022-05-25T00:00:00"/>
    <n v="1"/>
    <n v="19.71"/>
    <n v="25"/>
  </r>
  <r>
    <x v="31"/>
    <d v="2022-05-25T00:00:00"/>
    <n v="1"/>
    <n v="21.26"/>
    <n v="27"/>
  </r>
  <r>
    <x v="15"/>
    <d v="2022-05-25T00:00:00"/>
    <n v="1"/>
    <n v="19.71"/>
    <n v="23"/>
  </r>
  <r>
    <x v="47"/>
    <d v="2022-05-25T00:00:00"/>
    <n v="1"/>
    <n v="202.48"/>
    <n v="243"/>
  </r>
  <r>
    <x v="94"/>
    <d v="2022-05-25T00:00:00"/>
    <n v="1"/>
    <n v="65.52"/>
    <n v="77"/>
  </r>
  <r>
    <x v="74"/>
    <d v="2022-05-25T00:00:00"/>
    <n v="1"/>
    <n v="148.5"/>
    <n v="177"/>
  </r>
  <r>
    <x v="13"/>
    <d v="2022-05-25T00:00:00"/>
    <n v="1"/>
    <n v="46"/>
    <n v="72"/>
  </r>
  <r>
    <x v="7"/>
    <d v="2022-05-25T00:00:00"/>
    <n v="1"/>
    <n v="56.08"/>
    <n v="70"/>
  </r>
  <r>
    <x v="79"/>
    <d v="2022-05-25T00:00:00"/>
    <n v="1"/>
    <n v="153.22999999999999"/>
    <n v="192"/>
  </r>
  <r>
    <x v="20"/>
    <d v="2022-05-25T00:00:00"/>
    <n v="1"/>
    <n v="147.18"/>
    <n v="177"/>
  </r>
  <r>
    <x v="74"/>
    <d v="2022-05-25T00:00:00"/>
    <n v="1"/>
    <n v="148.5"/>
    <n v="180"/>
  </r>
  <r>
    <x v="87"/>
    <d v="2022-05-25T00:00:00"/>
    <n v="2"/>
    <n v="6.2"/>
    <n v="9"/>
  </r>
  <r>
    <x v="142"/>
    <d v="2022-05-25T00:00:00"/>
    <n v="1"/>
    <n v="135.72999999999999"/>
    <n v="189"/>
  </r>
  <r>
    <x v="57"/>
    <d v="2022-05-25T00:00:00"/>
    <n v="1"/>
    <n v="25.15"/>
    <n v="30"/>
  </r>
  <r>
    <x v="98"/>
    <d v="2022-05-25T00:00:00"/>
    <n v="1"/>
    <n v="45.88"/>
    <n v="73"/>
  </r>
  <r>
    <x v="96"/>
    <d v="2022-05-25T00:00:00"/>
    <n v="1"/>
    <n v="27.84"/>
    <n v="44"/>
  </r>
  <r>
    <x v="115"/>
    <d v="2022-05-25T00:00:00"/>
    <n v="1"/>
    <n v="149.15"/>
    <n v="162.96"/>
  </r>
  <r>
    <x v="115"/>
    <d v="2022-05-25T00:00:00"/>
    <n v="1"/>
    <n v="149.15"/>
    <n v="162.96"/>
  </r>
  <r>
    <x v="134"/>
    <d v="2022-05-25T00:00:00"/>
    <n v="1"/>
    <n v="24.18"/>
    <n v="40"/>
  </r>
  <r>
    <x v="119"/>
    <d v="2022-05-25T00:00:00"/>
    <n v="2"/>
    <n v="42.85"/>
    <n v="70"/>
  </r>
  <r>
    <x v="43"/>
    <d v="2022-05-25T00:00:00"/>
    <n v="1"/>
    <n v="38.11"/>
    <n v="60"/>
  </r>
  <r>
    <x v="13"/>
    <d v="2022-05-25T00:00:00"/>
    <n v="1"/>
    <n v="46"/>
    <n v="73"/>
  </r>
  <r>
    <x v="13"/>
    <d v="2022-05-25T00:00:00"/>
    <n v="1"/>
    <n v="46"/>
    <n v="73"/>
  </r>
  <r>
    <x v="46"/>
    <d v="2022-05-25T00:00:00"/>
    <n v="4"/>
    <n v="1.98"/>
    <n v="4"/>
  </r>
  <r>
    <x v="109"/>
    <d v="2022-05-25T00:00:00"/>
    <n v="1"/>
    <n v="74.8"/>
    <n v="92"/>
  </r>
  <r>
    <x v="15"/>
    <d v="2022-05-25T00:00:00"/>
    <n v="1"/>
    <n v="19.71"/>
    <n v="26"/>
  </r>
  <r>
    <x v="15"/>
    <d v="2022-05-25T00:00:00"/>
    <n v="1"/>
    <n v="19.71"/>
    <n v="26"/>
  </r>
  <r>
    <x v="15"/>
    <d v="2022-05-25T00:00:00"/>
    <n v="1"/>
    <n v="19.71"/>
    <n v="26"/>
  </r>
  <r>
    <x v="98"/>
    <d v="2022-05-25T00:00:00"/>
    <n v="1"/>
    <n v="45.88"/>
    <n v="73"/>
  </r>
  <r>
    <x v="98"/>
    <d v="2022-05-25T00:00:00"/>
    <n v="1"/>
    <n v="45.88"/>
    <n v="73"/>
  </r>
  <r>
    <x v="98"/>
    <d v="2022-05-25T00:00:00"/>
    <n v="1"/>
    <n v="45.88"/>
    <n v="73"/>
  </r>
  <r>
    <x v="117"/>
    <d v="2022-05-25T00:00:00"/>
    <n v="1"/>
    <n v="20.86"/>
    <n v="26"/>
  </r>
  <r>
    <x v="68"/>
    <d v="2022-05-24T00:00:00"/>
    <n v="4"/>
    <n v="8.07"/>
    <n v="14"/>
  </r>
  <r>
    <x v="2"/>
    <d v="2022-05-24T00:00:00"/>
    <n v="1"/>
    <n v="88.43"/>
    <n v="106"/>
  </r>
  <r>
    <x v="4"/>
    <d v="2022-05-24T00:00:00"/>
    <n v="1"/>
    <n v="80.73"/>
    <n v="100"/>
  </r>
  <r>
    <x v="21"/>
    <d v="2022-05-24T00:00:00"/>
    <n v="0.1"/>
    <n v="989.8"/>
    <n v="1307"/>
  </r>
  <r>
    <x v="15"/>
    <d v="2022-05-24T00:00:00"/>
    <n v="1"/>
    <n v="19.66"/>
    <n v="23"/>
  </r>
  <r>
    <x v="85"/>
    <d v="2022-05-24T00:00:00"/>
    <n v="1"/>
    <n v="391.02"/>
    <n v="470"/>
  </r>
  <r>
    <x v="40"/>
    <d v="2022-05-24T00:00:00"/>
    <n v="1"/>
    <n v="26.16"/>
    <n v="42"/>
  </r>
  <r>
    <x v="5"/>
    <d v="2022-05-24T00:00:00"/>
    <n v="1"/>
    <n v="10.34"/>
    <n v="13"/>
  </r>
  <r>
    <x v="127"/>
    <d v="2022-05-24T00:00:00"/>
    <n v="1"/>
    <n v="58.59"/>
    <n v="84"/>
  </r>
  <r>
    <x v="19"/>
    <d v="2022-05-24T00:00:00"/>
    <n v="1"/>
    <n v="95.88"/>
    <n v="118"/>
  </r>
  <r>
    <x v="69"/>
    <d v="2022-05-24T00:00:00"/>
    <n v="1"/>
    <n v="90.81"/>
    <n v="115"/>
  </r>
  <r>
    <x v="120"/>
    <d v="2022-05-24T00:00:00"/>
    <n v="1"/>
    <n v="336.92"/>
    <n v="445"/>
  </r>
  <r>
    <x v="96"/>
    <d v="2022-05-24T00:00:00"/>
    <n v="1"/>
    <n v="27.84"/>
    <n v="44"/>
  </r>
  <r>
    <x v="10"/>
    <d v="2022-05-24T00:00:00"/>
    <n v="1"/>
    <n v="37.85"/>
    <n v="62"/>
  </r>
  <r>
    <x v="15"/>
    <d v="2022-05-24T00:00:00"/>
    <n v="1"/>
    <n v="19.71"/>
    <n v="25"/>
  </r>
  <r>
    <x v="68"/>
    <d v="2022-05-24T00:00:00"/>
    <n v="1"/>
    <n v="8.07"/>
    <n v="14"/>
  </r>
  <r>
    <x v="69"/>
    <d v="2022-05-24T00:00:00"/>
    <n v="1"/>
    <n v="88.04"/>
    <n v="110"/>
  </r>
  <r>
    <x v="93"/>
    <d v="2022-05-24T00:00:00"/>
    <n v="1"/>
    <n v="110.84"/>
    <n v="134"/>
  </r>
  <r>
    <x v="131"/>
    <d v="2022-05-24T00:00:00"/>
    <n v="1"/>
    <n v="285.86"/>
    <n v="378"/>
  </r>
  <r>
    <x v="146"/>
    <d v="2022-05-24T00:00:00"/>
    <n v="1"/>
    <n v="23.23"/>
    <n v="29"/>
  </r>
  <r>
    <x v="152"/>
    <d v="2022-05-24T00:00:00"/>
    <n v="1"/>
    <n v="12"/>
    <n v="20"/>
  </r>
  <r>
    <x v="18"/>
    <d v="2022-05-24T00:00:00"/>
    <n v="1"/>
    <n v="155.43"/>
    <n v="162.82"/>
  </r>
  <r>
    <x v="18"/>
    <d v="2022-05-24T00:00:00"/>
    <n v="1"/>
    <n v="155.43"/>
    <n v="162.82"/>
  </r>
  <r>
    <x v="65"/>
    <d v="2022-05-24T00:00:00"/>
    <n v="1"/>
    <n v="185.13"/>
    <n v="196.66"/>
  </r>
  <r>
    <x v="7"/>
    <d v="2022-05-24T00:00:00"/>
    <n v="1"/>
    <n v="59.4"/>
    <n v="62.2"/>
  </r>
  <r>
    <x v="21"/>
    <d v="2022-05-24T00:00:00"/>
    <n v="0.1"/>
    <n v="991.65"/>
    <n v="1240"/>
  </r>
  <r>
    <x v="27"/>
    <d v="2022-05-24T00:00:00"/>
    <n v="0.1"/>
    <n v="103.53"/>
    <n v="159"/>
  </r>
  <r>
    <x v="86"/>
    <d v="2022-05-24T00:00:00"/>
    <n v="1"/>
    <n v="31.93"/>
    <n v="52"/>
  </r>
  <r>
    <x v="109"/>
    <d v="2022-05-24T00:00:00"/>
    <n v="1"/>
    <n v="74.8"/>
    <n v="94"/>
  </r>
  <r>
    <x v="42"/>
    <d v="2022-05-24T00:00:00"/>
    <n v="1"/>
    <n v="43.08"/>
    <n v="66"/>
  </r>
  <r>
    <x v="85"/>
    <d v="2022-05-24T00:00:00"/>
    <n v="1"/>
    <n v="397.76"/>
    <n v="490"/>
  </r>
  <r>
    <x v="31"/>
    <d v="2022-05-24T00:00:00"/>
    <n v="1"/>
    <n v="32.67"/>
    <n v="41"/>
  </r>
  <r>
    <x v="43"/>
    <d v="2022-05-24T00:00:00"/>
    <n v="1"/>
    <n v="38.11"/>
    <n v="58"/>
  </r>
  <r>
    <x v="23"/>
    <d v="2022-05-24T00:00:00"/>
    <n v="1"/>
    <n v="150.03"/>
    <n v="206"/>
  </r>
  <r>
    <x v="14"/>
    <d v="2022-05-24T00:00:00"/>
    <n v="1"/>
    <n v="82.34"/>
    <n v="103"/>
  </r>
  <r>
    <x v="26"/>
    <d v="2022-05-24T00:00:00"/>
    <n v="1"/>
    <n v="13.05"/>
    <n v="18"/>
  </r>
  <r>
    <x v="26"/>
    <d v="2022-05-24T00:00:00"/>
    <n v="1"/>
    <n v="13.05"/>
    <n v="18"/>
  </r>
  <r>
    <x v="26"/>
    <d v="2022-05-24T00:00:00"/>
    <n v="1"/>
    <n v="13.1"/>
    <n v="18"/>
  </r>
  <r>
    <x v="54"/>
    <d v="2022-05-24T00:00:00"/>
    <n v="1"/>
    <n v="11.59"/>
    <n v="19"/>
  </r>
  <r>
    <x v="128"/>
    <d v="2022-05-24T00:00:00"/>
    <n v="10"/>
    <n v="8.58"/>
    <n v="9"/>
  </r>
  <r>
    <x v="4"/>
    <d v="2022-05-24T00:00:00"/>
    <n v="1"/>
    <n v="81.8"/>
    <n v="99"/>
  </r>
  <r>
    <x v="4"/>
    <d v="2022-05-24T00:00:00"/>
    <n v="1"/>
    <n v="81.8"/>
    <n v="99"/>
  </r>
  <r>
    <x v="122"/>
    <d v="2022-05-24T00:00:00"/>
    <n v="1"/>
    <n v="119.8"/>
    <n v="165"/>
  </r>
  <r>
    <x v="36"/>
    <d v="2022-05-24T00:00:00"/>
    <n v="2"/>
    <n v="11.63"/>
    <n v="19"/>
  </r>
  <r>
    <x v="43"/>
    <d v="2022-05-24T00:00:00"/>
    <n v="1"/>
    <n v="39"/>
    <n v="60"/>
  </r>
  <r>
    <x v="122"/>
    <d v="2022-05-24T00:00:00"/>
    <n v="1"/>
    <n v="119.63"/>
    <n v="164"/>
  </r>
  <r>
    <x v="44"/>
    <d v="2022-05-24T00:00:00"/>
    <n v="1"/>
    <n v="15.32"/>
    <n v="19"/>
  </r>
  <r>
    <x v="124"/>
    <d v="2022-05-24T00:00:00"/>
    <n v="0.08"/>
    <n v="491.7"/>
    <n v="592"/>
  </r>
  <r>
    <x v="124"/>
    <d v="2022-05-24T00:00:00"/>
    <n v="0.08"/>
    <n v="495.17"/>
    <n v="596"/>
  </r>
  <r>
    <x v="57"/>
    <d v="2022-05-24T00:00:00"/>
    <n v="1"/>
    <n v="25.62"/>
    <n v="31"/>
  </r>
  <r>
    <x v="57"/>
    <d v="2022-05-24T00:00:00"/>
    <n v="1"/>
    <n v="25.62"/>
    <n v="31"/>
  </r>
  <r>
    <x v="86"/>
    <d v="2022-05-24T00:00:00"/>
    <n v="1"/>
    <n v="36.51"/>
    <n v="63"/>
  </r>
  <r>
    <x v="134"/>
    <d v="2022-05-24T00:00:00"/>
    <n v="1"/>
    <n v="24.18"/>
    <n v="40"/>
  </r>
  <r>
    <x v="154"/>
    <d v="2022-05-24T00:00:00"/>
    <n v="1"/>
    <n v="52.11"/>
    <n v="65"/>
  </r>
  <r>
    <x v="43"/>
    <d v="2022-05-24T00:00:00"/>
    <n v="1"/>
    <n v="38.67"/>
    <n v="59"/>
  </r>
  <r>
    <x v="113"/>
    <d v="2022-05-24T00:00:00"/>
    <n v="1"/>
    <n v="10.63"/>
    <n v="13"/>
  </r>
  <r>
    <x v="113"/>
    <d v="2022-05-24T00:00:00"/>
    <n v="1"/>
    <n v="10.63"/>
    <n v="13"/>
  </r>
  <r>
    <x v="45"/>
    <d v="2022-05-24T00:00:00"/>
    <n v="1"/>
    <n v="44.86"/>
    <n v="56"/>
  </r>
  <r>
    <x v="45"/>
    <d v="2022-05-24T00:00:00"/>
    <n v="1"/>
    <n v="44.86"/>
    <n v="56"/>
  </r>
  <r>
    <x v="88"/>
    <d v="2022-05-24T00:00:00"/>
    <n v="1"/>
    <n v="68.599999999999994"/>
    <n v="98"/>
  </r>
  <r>
    <x v="90"/>
    <d v="2022-05-24T00:00:00"/>
    <n v="1"/>
    <n v="131.07"/>
    <n v="206"/>
  </r>
  <r>
    <x v="61"/>
    <d v="2022-05-24T00:00:00"/>
    <n v="1"/>
    <n v="30.6"/>
    <n v="36"/>
  </r>
  <r>
    <x v="6"/>
    <d v="2022-05-24T00:00:00"/>
    <n v="2"/>
    <n v="24.2"/>
    <n v="39"/>
  </r>
  <r>
    <x v="49"/>
    <d v="2022-05-24T00:00:00"/>
    <n v="1"/>
    <n v="731.05"/>
    <n v="944"/>
  </r>
  <r>
    <x v="3"/>
    <d v="2022-05-24T00:00:00"/>
    <n v="1"/>
    <n v="47.03"/>
    <n v="77"/>
  </r>
  <r>
    <x v="20"/>
    <d v="2022-05-24T00:00:00"/>
    <n v="1"/>
    <n v="147.4"/>
    <n v="177"/>
  </r>
  <r>
    <x v="64"/>
    <d v="2022-05-24T00:00:00"/>
    <n v="1"/>
    <n v="19.989999999999998"/>
    <n v="24"/>
  </r>
  <r>
    <x v="136"/>
    <d v="2022-05-24T00:00:00"/>
    <n v="1"/>
    <n v="14.69"/>
    <n v="26"/>
  </r>
  <r>
    <x v="2"/>
    <d v="2022-05-24T00:00:00"/>
    <n v="1"/>
    <n v="87.6"/>
    <n v="109"/>
  </r>
  <r>
    <x v="2"/>
    <d v="2022-05-24T00:00:00"/>
    <n v="1"/>
    <n v="87.6"/>
    <n v="109"/>
  </r>
  <r>
    <x v="117"/>
    <d v="2022-05-24T00:00:00"/>
    <n v="1"/>
    <n v="20.86"/>
    <n v="26"/>
  </r>
  <r>
    <x v="122"/>
    <d v="2022-05-24T00:00:00"/>
    <n v="1"/>
    <n v="121.2"/>
    <n v="171"/>
  </r>
  <r>
    <x v="36"/>
    <d v="2022-05-24T00:00:00"/>
    <n v="5"/>
    <n v="11.63"/>
    <n v="19"/>
  </r>
  <r>
    <x v="20"/>
    <d v="2022-05-24T00:00:00"/>
    <n v="1"/>
    <n v="162.91"/>
    <n v="185.47"/>
  </r>
  <r>
    <x v="107"/>
    <d v="2022-05-24T00:00:00"/>
    <n v="1"/>
    <n v="281.47000000000003"/>
    <n v="334"/>
  </r>
  <r>
    <x v="137"/>
    <d v="2022-05-24T00:00:00"/>
    <n v="1"/>
    <n v="12.86"/>
    <n v="15"/>
  </r>
  <r>
    <x v="21"/>
    <d v="2022-05-24T00:00:00"/>
    <n v="0.2"/>
    <n v="991.65"/>
    <n v="1240"/>
  </r>
  <r>
    <x v="36"/>
    <d v="2022-05-24T00:00:00"/>
    <n v="1"/>
    <n v="11.63"/>
    <n v="19"/>
  </r>
  <r>
    <x v="36"/>
    <d v="2022-05-24T00:00:00"/>
    <n v="1"/>
    <n v="10.92"/>
    <n v="18"/>
  </r>
  <r>
    <x v="136"/>
    <d v="2022-05-24T00:00:00"/>
    <n v="1"/>
    <n v="12.2"/>
    <n v="20"/>
  </r>
  <r>
    <x v="82"/>
    <d v="2022-05-24T00:00:00"/>
    <n v="1"/>
    <n v="347.96"/>
    <n v="394"/>
  </r>
  <r>
    <x v="110"/>
    <d v="2022-05-24T00:00:00"/>
    <n v="1"/>
    <n v="71.31"/>
    <n v="88"/>
  </r>
  <r>
    <x v="2"/>
    <d v="2022-05-24T00:00:00"/>
    <n v="1"/>
    <n v="88.36"/>
    <n v="110"/>
  </r>
  <r>
    <x v="140"/>
    <d v="2022-05-24T00:00:00"/>
    <n v="1"/>
    <n v="25.3"/>
    <n v="31"/>
  </r>
  <r>
    <x v="129"/>
    <d v="2022-05-24T00:00:00"/>
    <n v="1"/>
    <n v="30.95"/>
    <n v="48"/>
  </r>
  <r>
    <x v="95"/>
    <d v="2022-05-24T00:00:00"/>
    <n v="1"/>
    <n v="35.99"/>
    <n v="55"/>
  </r>
  <r>
    <x v="42"/>
    <d v="2022-05-24T00:00:00"/>
    <n v="1"/>
    <n v="42.85"/>
    <n v="67"/>
  </r>
  <r>
    <x v="5"/>
    <d v="2022-05-24T00:00:00"/>
    <n v="1"/>
    <n v="10.34"/>
    <n v="13"/>
  </r>
  <r>
    <x v="5"/>
    <d v="2022-05-24T00:00:00"/>
    <n v="1"/>
    <n v="10.34"/>
    <n v="13"/>
  </r>
  <r>
    <x v="14"/>
    <d v="2022-05-24T00:00:00"/>
    <n v="1"/>
    <n v="80.760000000000005"/>
    <n v="101"/>
  </r>
  <r>
    <x v="123"/>
    <d v="2022-05-24T00:00:00"/>
    <n v="1"/>
    <n v="269.2"/>
    <n v="359"/>
  </r>
  <r>
    <x v="119"/>
    <d v="2022-05-24T00:00:00"/>
    <n v="2"/>
    <n v="42.85"/>
    <n v="70"/>
  </r>
  <r>
    <x v="126"/>
    <d v="2022-05-24T00:00:00"/>
    <n v="1"/>
    <n v="361.91"/>
    <n v="417"/>
  </r>
  <r>
    <x v="26"/>
    <d v="2022-05-24T00:00:00"/>
    <n v="1"/>
    <n v="13.19"/>
    <n v="18"/>
  </r>
  <r>
    <x v="26"/>
    <d v="2022-05-24T00:00:00"/>
    <n v="1"/>
    <n v="13.19"/>
    <n v="18"/>
  </r>
  <r>
    <x v="26"/>
    <d v="2022-05-24T00:00:00"/>
    <n v="1"/>
    <n v="13.19"/>
    <n v="18"/>
  </r>
  <r>
    <x v="26"/>
    <d v="2022-05-24T00:00:00"/>
    <n v="1"/>
    <n v="13.19"/>
    <n v="18"/>
  </r>
  <r>
    <x v="26"/>
    <d v="2022-05-24T00:00:00"/>
    <n v="1"/>
    <n v="13.19"/>
    <n v="18"/>
  </r>
  <r>
    <x v="26"/>
    <d v="2022-05-24T00:00:00"/>
    <n v="1"/>
    <n v="13.19"/>
    <n v="18"/>
  </r>
  <r>
    <x v="26"/>
    <d v="2022-05-24T00:00:00"/>
    <n v="1"/>
    <n v="13.19"/>
    <n v="18"/>
  </r>
  <r>
    <x v="26"/>
    <d v="2022-05-24T00:00:00"/>
    <n v="1"/>
    <n v="13.19"/>
    <n v="18"/>
  </r>
  <r>
    <x v="26"/>
    <d v="2022-05-24T00:00:00"/>
    <n v="1"/>
    <n v="13.19"/>
    <n v="18"/>
  </r>
  <r>
    <x v="26"/>
    <d v="2022-05-24T00:00:00"/>
    <n v="1"/>
    <n v="13.19"/>
    <n v="18"/>
  </r>
  <r>
    <x v="4"/>
    <d v="2022-05-24T00:00:00"/>
    <n v="1"/>
    <n v="80.73"/>
    <n v="100"/>
  </r>
  <r>
    <x v="36"/>
    <d v="2022-05-24T00:00:00"/>
    <n v="1"/>
    <n v="10.9"/>
    <n v="18"/>
  </r>
  <r>
    <x v="18"/>
    <d v="2022-05-24T00:00:00"/>
    <n v="1"/>
    <n v="109.41"/>
    <n v="123"/>
  </r>
  <r>
    <x v="123"/>
    <d v="2022-05-24T00:00:00"/>
    <n v="1"/>
    <n v="265.69"/>
    <n v="372"/>
  </r>
  <r>
    <x v="44"/>
    <d v="2022-05-24T00:00:00"/>
    <n v="1"/>
    <n v="16.02"/>
    <n v="19"/>
  </r>
  <r>
    <x v="115"/>
    <d v="2022-05-24T00:00:00"/>
    <n v="1"/>
    <n v="132.07"/>
    <n v="192"/>
  </r>
  <r>
    <x v="25"/>
    <d v="2022-05-24T00:00:00"/>
    <n v="1"/>
    <n v="156.19999999999999"/>
    <n v="186"/>
  </r>
  <r>
    <x v="14"/>
    <d v="2022-05-24T00:00:00"/>
    <n v="1"/>
    <n v="80.760000000000005"/>
    <n v="101"/>
  </r>
  <r>
    <x v="14"/>
    <d v="2022-05-24T00:00:00"/>
    <n v="1"/>
    <n v="81.69"/>
    <n v="102"/>
  </r>
  <r>
    <x v="14"/>
    <d v="2022-05-24T00:00:00"/>
    <n v="1"/>
    <n v="81.69"/>
    <n v="102"/>
  </r>
  <r>
    <x v="61"/>
    <d v="2022-05-24T00:00:00"/>
    <n v="1"/>
    <n v="30.6"/>
    <n v="37"/>
  </r>
  <r>
    <x v="61"/>
    <d v="2022-05-24T00:00:00"/>
    <n v="1"/>
    <n v="30.6"/>
    <n v="37"/>
  </r>
  <r>
    <x v="34"/>
    <d v="2022-05-24T00:00:00"/>
    <n v="2"/>
    <n v="9.9499999999999993"/>
    <n v="17"/>
  </r>
  <r>
    <x v="40"/>
    <d v="2022-05-24T00:00:00"/>
    <n v="2"/>
    <n v="28.85"/>
    <n v="47"/>
  </r>
  <r>
    <x v="5"/>
    <d v="2022-05-24T00:00:00"/>
    <n v="1"/>
    <n v="10.34"/>
    <n v="13"/>
  </r>
  <r>
    <x v="5"/>
    <d v="2022-05-24T00:00:00"/>
    <n v="1"/>
    <n v="10.34"/>
    <n v="13"/>
  </r>
  <r>
    <x v="45"/>
    <d v="2022-05-24T00:00:00"/>
    <n v="1"/>
    <n v="43.86"/>
    <n v="55"/>
  </r>
  <r>
    <x v="1"/>
    <d v="2022-05-24T00:00:00"/>
    <n v="1"/>
    <n v="438.89"/>
    <n v="549"/>
  </r>
  <r>
    <x v="21"/>
    <d v="2022-05-24T00:00:00"/>
    <n v="0.2"/>
    <n v="989.8"/>
    <n v="1307"/>
  </r>
  <r>
    <x v="21"/>
    <d v="2022-05-24T00:00:00"/>
    <n v="0.2"/>
    <n v="989.8"/>
    <n v="1307"/>
  </r>
  <r>
    <x v="2"/>
    <d v="2022-05-24T00:00:00"/>
    <n v="1"/>
    <n v="89.53"/>
    <n v="108"/>
  </r>
  <r>
    <x v="2"/>
    <d v="2022-05-24T00:00:00"/>
    <n v="1"/>
    <n v="88.43"/>
    <n v="106"/>
  </r>
  <r>
    <x v="2"/>
    <d v="2022-05-24T00:00:00"/>
    <n v="1"/>
    <n v="88.43"/>
    <n v="106"/>
  </r>
  <r>
    <x v="2"/>
    <d v="2022-05-24T00:00:00"/>
    <n v="1"/>
    <n v="88.43"/>
    <n v="106"/>
  </r>
  <r>
    <x v="2"/>
    <d v="2022-05-24T00:00:00"/>
    <n v="1"/>
    <n v="88.43"/>
    <n v="106"/>
  </r>
  <r>
    <x v="2"/>
    <d v="2022-05-24T00:00:00"/>
    <n v="1"/>
    <n v="88.43"/>
    <n v="106"/>
  </r>
  <r>
    <x v="2"/>
    <d v="2022-05-24T00:00:00"/>
    <n v="1"/>
    <n v="88.43"/>
    <n v="106"/>
  </r>
  <r>
    <x v="117"/>
    <d v="2022-05-24T00:00:00"/>
    <n v="1"/>
    <n v="21.23"/>
    <n v="26"/>
  </r>
  <r>
    <x v="46"/>
    <d v="2022-05-24T00:00:00"/>
    <n v="4"/>
    <n v="2.0499999999999998"/>
    <n v="4"/>
  </r>
  <r>
    <x v="46"/>
    <d v="2022-05-24T00:00:00"/>
    <n v="4"/>
    <n v="2.0499999999999998"/>
    <n v="4"/>
  </r>
  <r>
    <x v="12"/>
    <d v="2022-05-24T00:00:00"/>
    <n v="1"/>
    <n v="388.58"/>
    <n v="467"/>
  </r>
  <r>
    <x v="51"/>
    <d v="2022-05-24T00:00:00"/>
    <n v="1"/>
    <n v="43.97"/>
    <n v="67"/>
  </r>
  <r>
    <x v="101"/>
    <d v="2022-05-24T00:00:00"/>
    <n v="1"/>
    <n v="41.74"/>
    <n v="51"/>
  </r>
  <r>
    <x v="44"/>
    <d v="2022-05-24T00:00:00"/>
    <n v="1"/>
    <n v="15.82"/>
    <n v="20"/>
  </r>
  <r>
    <x v="19"/>
    <d v="2022-05-24T00:00:00"/>
    <n v="1"/>
    <n v="96.14"/>
    <n v="118"/>
  </r>
  <r>
    <x v="110"/>
    <d v="2022-05-24T00:00:00"/>
    <n v="1"/>
    <n v="71.23"/>
    <n v="88"/>
  </r>
  <r>
    <x v="38"/>
    <d v="2022-05-24T00:00:00"/>
    <n v="1"/>
    <n v="134.68"/>
    <n v="162"/>
  </r>
  <r>
    <x v="113"/>
    <d v="2022-05-24T00:00:00"/>
    <n v="1"/>
    <n v="10.66"/>
    <n v="13"/>
  </r>
  <r>
    <x v="46"/>
    <d v="2022-05-24T00:00:00"/>
    <n v="4"/>
    <n v="2.1800000000000002"/>
    <n v="4"/>
  </r>
  <r>
    <x v="88"/>
    <d v="2022-05-24T00:00:00"/>
    <n v="1"/>
    <n v="71.040000000000006"/>
    <n v="101"/>
  </r>
  <r>
    <x v="117"/>
    <d v="2022-05-24T00:00:00"/>
    <n v="1"/>
    <n v="23.9"/>
    <n v="29"/>
  </r>
  <r>
    <x v="39"/>
    <d v="2022-05-24T00:00:00"/>
    <n v="1"/>
    <n v="69.959999999999994"/>
    <n v="112"/>
  </r>
  <r>
    <x v="135"/>
    <d v="2022-05-24T00:00:00"/>
    <n v="1"/>
    <n v="159.22"/>
    <n v="191"/>
  </r>
  <r>
    <x v="88"/>
    <d v="2022-05-24T00:00:00"/>
    <n v="1"/>
    <n v="71.040000000000006"/>
    <n v="103"/>
  </r>
  <r>
    <x v="88"/>
    <d v="2022-05-24T00:00:00"/>
    <n v="1"/>
    <n v="71.040000000000006"/>
    <n v="103"/>
  </r>
  <r>
    <x v="88"/>
    <d v="2022-05-24T00:00:00"/>
    <n v="1"/>
    <n v="71.040000000000006"/>
    <n v="103"/>
  </r>
  <r>
    <x v="4"/>
    <d v="2022-05-24T00:00:00"/>
    <n v="1"/>
    <n v="77"/>
    <n v="94"/>
  </r>
  <r>
    <x v="5"/>
    <d v="2022-05-24T00:00:00"/>
    <n v="1"/>
    <n v="10.34"/>
    <n v="13"/>
  </r>
  <r>
    <x v="5"/>
    <d v="2022-05-24T00:00:00"/>
    <n v="1"/>
    <n v="10.34"/>
    <n v="13"/>
  </r>
  <r>
    <x v="20"/>
    <d v="2022-05-24T00:00:00"/>
    <n v="1"/>
    <n v="147.4"/>
    <n v="177"/>
  </r>
  <r>
    <x v="92"/>
    <d v="2022-05-24T00:00:00"/>
    <n v="1"/>
    <n v="426.67"/>
    <n v="564"/>
  </r>
  <r>
    <x v="15"/>
    <d v="2022-05-24T00:00:00"/>
    <n v="1"/>
    <n v="22.66"/>
    <n v="30"/>
  </r>
  <r>
    <x v="120"/>
    <d v="2022-05-24T00:00:00"/>
    <n v="1"/>
    <n v="327.48"/>
    <n v="433"/>
  </r>
  <r>
    <x v="130"/>
    <d v="2022-05-24T00:00:00"/>
    <n v="1"/>
    <n v="72.31"/>
    <n v="90"/>
  </r>
  <r>
    <x v="130"/>
    <d v="2022-05-24T00:00:00"/>
    <n v="1"/>
    <n v="72.31"/>
    <n v="90"/>
  </r>
  <r>
    <x v="130"/>
    <d v="2022-05-24T00:00:00"/>
    <n v="1"/>
    <n v="72.31"/>
    <n v="90"/>
  </r>
  <r>
    <x v="130"/>
    <d v="2022-05-24T00:00:00"/>
    <n v="1"/>
    <n v="72.31"/>
    <n v="90"/>
  </r>
  <r>
    <x v="130"/>
    <d v="2022-05-24T00:00:00"/>
    <n v="1"/>
    <n v="72.31"/>
    <n v="90"/>
  </r>
  <r>
    <x v="130"/>
    <d v="2022-05-24T00:00:00"/>
    <n v="1"/>
    <n v="72.31"/>
    <n v="90"/>
  </r>
  <r>
    <x v="93"/>
    <d v="2022-05-24T00:00:00"/>
    <n v="1"/>
    <n v="111.21"/>
    <n v="131"/>
  </r>
  <r>
    <x v="20"/>
    <d v="2022-05-24T00:00:00"/>
    <n v="1"/>
    <n v="147.18"/>
    <n v="176"/>
  </r>
  <r>
    <x v="3"/>
    <d v="2022-05-24T00:00:00"/>
    <n v="1"/>
    <n v="47.03"/>
    <n v="77"/>
  </r>
  <r>
    <x v="20"/>
    <d v="2022-05-24T00:00:00"/>
    <n v="1"/>
    <n v="147.18"/>
    <n v="176"/>
  </r>
  <r>
    <x v="20"/>
    <d v="2022-05-24T00:00:00"/>
    <n v="1"/>
    <n v="147.18"/>
    <n v="176"/>
  </r>
  <r>
    <x v="99"/>
    <d v="2022-05-24T00:00:00"/>
    <n v="1"/>
    <n v="44.37"/>
    <n v="56"/>
  </r>
  <r>
    <x v="109"/>
    <d v="2022-05-24T00:00:00"/>
    <n v="1"/>
    <n v="74.8"/>
    <n v="92"/>
  </r>
  <r>
    <x v="99"/>
    <d v="2022-05-24T00:00:00"/>
    <n v="1"/>
    <n v="44.37"/>
    <n v="56"/>
  </r>
  <r>
    <x v="71"/>
    <d v="2022-05-24T00:00:00"/>
    <n v="1"/>
    <n v="34.07"/>
    <n v="41"/>
  </r>
  <r>
    <x v="6"/>
    <d v="2022-05-24T00:00:00"/>
    <n v="1"/>
    <n v="24.2"/>
    <n v="39"/>
  </r>
  <r>
    <x v="2"/>
    <d v="2022-05-24T00:00:00"/>
    <n v="1"/>
    <n v="88.74"/>
    <n v="104"/>
  </r>
  <r>
    <x v="73"/>
    <d v="2022-05-24T00:00:00"/>
    <n v="1"/>
    <n v="69.290000000000006"/>
    <n v="88"/>
  </r>
  <r>
    <x v="93"/>
    <d v="2022-05-24T00:00:00"/>
    <n v="1"/>
    <n v="112.37"/>
    <n v="135"/>
  </r>
  <r>
    <x v="21"/>
    <d v="2022-05-24T00:00:00"/>
    <n v="0.3"/>
    <n v="989.8"/>
    <n v="1238"/>
  </r>
  <r>
    <x v="93"/>
    <d v="2022-05-24T00:00:00"/>
    <n v="1"/>
    <n v="111.32"/>
    <n v="134"/>
  </r>
  <r>
    <x v="21"/>
    <d v="2022-05-24T00:00:00"/>
    <n v="0.1"/>
    <n v="994.36"/>
    <n v="1343"/>
  </r>
  <r>
    <x v="93"/>
    <d v="2022-05-24T00:00:00"/>
    <n v="1"/>
    <n v="112.37"/>
    <n v="135"/>
  </r>
  <r>
    <x v="20"/>
    <d v="2022-05-24T00:00:00"/>
    <n v="1"/>
    <n v="147.18"/>
    <n v="177"/>
  </r>
  <r>
    <x v="18"/>
    <d v="2022-05-24T00:00:00"/>
    <n v="1"/>
    <n v="109.41"/>
    <n v="123"/>
  </r>
  <r>
    <x v="109"/>
    <d v="2022-05-24T00:00:00"/>
    <n v="1"/>
    <n v="74.8"/>
    <n v="92"/>
  </r>
  <r>
    <x v="109"/>
    <d v="2022-05-24T00:00:00"/>
    <n v="1"/>
    <n v="74.8"/>
    <n v="92"/>
  </r>
  <r>
    <x v="148"/>
    <d v="2022-05-24T00:00:00"/>
    <n v="1"/>
    <n v="10.34"/>
    <n v="12"/>
  </r>
  <r>
    <x v="23"/>
    <d v="2022-05-24T00:00:00"/>
    <n v="1"/>
    <n v="122.75"/>
    <n v="174"/>
  </r>
  <r>
    <x v="151"/>
    <d v="2022-05-24T00:00:00"/>
    <n v="1"/>
    <n v="249.76"/>
    <n v="338"/>
  </r>
  <r>
    <x v="151"/>
    <d v="2022-05-24T00:00:00"/>
    <n v="1"/>
    <n v="249.76"/>
    <n v="338"/>
  </r>
  <r>
    <x v="74"/>
    <d v="2022-05-24T00:00:00"/>
    <n v="1"/>
    <n v="148.5"/>
    <n v="177"/>
  </r>
  <r>
    <x v="91"/>
    <d v="2022-05-24T00:00:00"/>
    <n v="1"/>
    <n v="72.42"/>
    <n v="103"/>
  </r>
  <r>
    <x v="18"/>
    <d v="2022-05-24T00:00:00"/>
    <n v="1"/>
    <n v="109.41"/>
    <n v="123"/>
  </r>
  <r>
    <x v="18"/>
    <d v="2022-05-24T00:00:00"/>
    <n v="1"/>
    <n v="109.41"/>
    <n v="123"/>
  </r>
  <r>
    <x v="124"/>
    <d v="2022-05-24T00:00:00"/>
    <n v="0.2"/>
    <n v="495.41"/>
    <n v="596"/>
  </r>
  <r>
    <x v="124"/>
    <d v="2022-05-24T00:00:00"/>
    <n v="0.2"/>
    <n v="495.19"/>
    <n v="596"/>
  </r>
  <r>
    <x v="15"/>
    <d v="2022-05-24T00:00:00"/>
    <n v="1"/>
    <n v="19.66"/>
    <n v="25"/>
  </r>
  <r>
    <x v="15"/>
    <d v="2022-05-24T00:00:00"/>
    <n v="1"/>
    <n v="19.66"/>
    <n v="25"/>
  </r>
  <r>
    <x v="48"/>
    <d v="2022-05-24T00:00:00"/>
    <n v="1"/>
    <n v="24.6"/>
    <n v="40"/>
  </r>
  <r>
    <x v="147"/>
    <d v="2022-05-24T00:00:00"/>
    <n v="1"/>
    <n v="107.99"/>
    <n v="135"/>
  </r>
  <r>
    <x v="11"/>
    <d v="2022-05-24T00:00:00"/>
    <n v="1"/>
    <n v="43.49"/>
    <n v="67"/>
  </r>
  <r>
    <x v="1"/>
    <d v="2022-05-24T00:00:00"/>
    <n v="0.4"/>
    <n v="431.48"/>
    <n v="540"/>
  </r>
  <r>
    <x v="137"/>
    <d v="2022-05-24T00:00:00"/>
    <n v="1"/>
    <n v="12.86"/>
    <n v="15"/>
  </r>
  <r>
    <x v="137"/>
    <d v="2022-05-24T00:00:00"/>
    <n v="1"/>
    <n v="12.86"/>
    <n v="15"/>
  </r>
  <r>
    <x v="137"/>
    <d v="2022-05-24T00:00:00"/>
    <n v="1"/>
    <n v="12.86"/>
    <n v="15"/>
  </r>
  <r>
    <x v="137"/>
    <d v="2022-05-24T00:00:00"/>
    <n v="1"/>
    <n v="12.86"/>
    <n v="15"/>
  </r>
  <r>
    <x v="137"/>
    <d v="2022-05-24T00:00:00"/>
    <n v="1"/>
    <n v="12.86"/>
    <n v="15"/>
  </r>
  <r>
    <x v="137"/>
    <d v="2022-05-24T00:00:00"/>
    <n v="1"/>
    <n v="12.86"/>
    <n v="15"/>
  </r>
  <r>
    <x v="3"/>
    <d v="2022-05-24T00:00:00"/>
    <n v="2"/>
    <n v="58.34"/>
    <n v="92"/>
  </r>
  <r>
    <x v="4"/>
    <d v="2022-05-24T00:00:00"/>
    <n v="1"/>
    <n v="80.73"/>
    <n v="98"/>
  </r>
  <r>
    <x v="5"/>
    <d v="2022-05-24T00:00:00"/>
    <n v="1"/>
    <n v="10.34"/>
    <n v="13"/>
  </r>
  <r>
    <x v="148"/>
    <d v="2022-05-24T00:00:00"/>
    <n v="1"/>
    <n v="9.4600000000000009"/>
    <n v="11"/>
  </r>
  <r>
    <x v="122"/>
    <d v="2022-05-24T00:00:00"/>
    <n v="1"/>
    <n v="119.8"/>
    <n v="169"/>
  </r>
  <r>
    <x v="61"/>
    <d v="2022-05-24T00:00:00"/>
    <n v="1"/>
    <n v="30.56"/>
    <n v="36"/>
  </r>
  <r>
    <x v="97"/>
    <d v="2022-05-24T00:00:00"/>
    <n v="1"/>
    <n v="26.11"/>
    <n v="32"/>
  </r>
  <r>
    <x v="97"/>
    <d v="2022-05-24T00:00:00"/>
    <n v="1"/>
    <n v="26.11"/>
    <n v="32"/>
  </r>
  <r>
    <x v="97"/>
    <d v="2022-05-24T00:00:00"/>
    <n v="1"/>
    <n v="26.11"/>
    <n v="32"/>
  </r>
  <r>
    <x v="97"/>
    <d v="2022-05-24T00:00:00"/>
    <n v="1"/>
    <n v="26.11"/>
    <n v="32"/>
  </r>
  <r>
    <x v="97"/>
    <d v="2022-05-24T00:00:00"/>
    <n v="1"/>
    <n v="26.11"/>
    <n v="32"/>
  </r>
  <r>
    <x v="97"/>
    <d v="2022-05-24T00:00:00"/>
    <n v="1"/>
    <n v="26.11"/>
    <n v="32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61"/>
    <d v="2022-05-24T00:00:00"/>
    <n v="1"/>
    <n v="33"/>
    <n v="38"/>
  </r>
  <r>
    <x v="29"/>
    <d v="2022-05-24T00:00:00"/>
    <n v="1"/>
    <n v="202.19"/>
    <n v="233"/>
  </r>
  <r>
    <x v="51"/>
    <d v="2022-05-24T00:00:00"/>
    <n v="1"/>
    <n v="43.86"/>
    <n v="67"/>
  </r>
  <r>
    <x v="60"/>
    <d v="2022-05-24T00:00:00"/>
    <n v="1"/>
    <n v="184.07"/>
    <n v="234"/>
  </r>
  <r>
    <x v="31"/>
    <d v="2022-05-24T00:00:00"/>
    <n v="1"/>
    <n v="22.03"/>
    <n v="28"/>
  </r>
  <r>
    <x v="31"/>
    <d v="2022-05-24T00:00:00"/>
    <n v="1"/>
    <n v="22.03"/>
    <n v="28"/>
  </r>
  <r>
    <x v="31"/>
    <d v="2022-05-24T00:00:00"/>
    <n v="1"/>
    <n v="22.03"/>
    <n v="28"/>
  </r>
  <r>
    <x v="145"/>
    <d v="2022-05-24T00:00:00"/>
    <n v="2"/>
    <n v="82.64"/>
    <n v="129"/>
  </r>
  <r>
    <x v="34"/>
    <d v="2022-05-24T00:00:00"/>
    <n v="1"/>
    <n v="9.9499999999999993"/>
    <n v="17"/>
  </r>
  <r>
    <x v="90"/>
    <d v="2022-05-24T00:00:00"/>
    <n v="1"/>
    <n v="113.11"/>
    <n v="174"/>
  </r>
  <r>
    <x v="50"/>
    <d v="2022-05-24T00:00:00"/>
    <n v="1"/>
    <n v="77.78"/>
    <n v="97"/>
  </r>
  <r>
    <x v="88"/>
    <d v="2022-05-24T00:00:00"/>
    <n v="1"/>
    <n v="70.97"/>
    <n v="106"/>
  </r>
  <r>
    <x v="88"/>
    <d v="2022-05-24T00:00:00"/>
    <n v="1"/>
    <n v="70.97"/>
    <n v="106"/>
  </r>
  <r>
    <x v="88"/>
    <d v="2022-05-24T00:00:00"/>
    <n v="1"/>
    <n v="70.97"/>
    <n v="106"/>
  </r>
  <r>
    <x v="54"/>
    <d v="2022-05-24T00:00:00"/>
    <n v="1"/>
    <n v="13.11"/>
    <n v="21"/>
  </r>
  <r>
    <x v="60"/>
    <d v="2022-05-24T00:00:00"/>
    <n v="1"/>
    <n v="184.45"/>
    <n v="235"/>
  </r>
  <r>
    <x v="2"/>
    <d v="2022-05-24T00:00:00"/>
    <n v="1"/>
    <n v="88.43"/>
    <n v="106"/>
  </r>
  <r>
    <x v="72"/>
    <d v="2022-05-24T00:00:00"/>
    <n v="1"/>
    <n v="60.68"/>
    <n v="76"/>
  </r>
  <r>
    <x v="72"/>
    <d v="2022-05-24T00:00:00"/>
    <n v="1"/>
    <n v="60.68"/>
    <n v="76"/>
  </r>
  <r>
    <x v="45"/>
    <d v="2022-05-24T00:00:00"/>
    <n v="1"/>
    <n v="42.99"/>
    <n v="54"/>
  </r>
  <r>
    <x v="108"/>
    <d v="2022-05-24T00:00:00"/>
    <n v="1"/>
    <n v="159.4"/>
    <n v="216"/>
  </r>
  <r>
    <x v="2"/>
    <d v="2022-05-24T00:00:00"/>
    <n v="1"/>
    <n v="89.27"/>
    <n v="111"/>
  </r>
  <r>
    <x v="19"/>
    <d v="2022-05-24T00:00:00"/>
    <n v="1"/>
    <n v="107.3"/>
    <n v="126"/>
  </r>
  <r>
    <x v="93"/>
    <d v="2022-05-24T00:00:00"/>
    <n v="1"/>
    <n v="111.85"/>
    <n v="135"/>
  </r>
  <r>
    <x v="93"/>
    <d v="2022-05-24T00:00:00"/>
    <n v="1"/>
    <n v="111.85"/>
    <n v="135"/>
  </r>
  <r>
    <x v="93"/>
    <d v="2022-05-24T00:00:00"/>
    <n v="1"/>
    <n v="111.85"/>
    <n v="135"/>
  </r>
  <r>
    <x v="93"/>
    <d v="2022-05-24T00:00:00"/>
    <n v="1"/>
    <n v="111.85"/>
    <n v="135"/>
  </r>
  <r>
    <x v="88"/>
    <d v="2022-05-24T00:00:00"/>
    <n v="1"/>
    <n v="68.599999999999994"/>
    <n v="98"/>
  </r>
  <r>
    <x v="101"/>
    <d v="2022-05-24T00:00:00"/>
    <n v="1"/>
    <n v="42.02"/>
    <n v="52"/>
  </r>
  <r>
    <x v="49"/>
    <d v="2022-05-24T00:00:00"/>
    <n v="1"/>
    <n v="723.11"/>
    <n v="933"/>
  </r>
  <r>
    <x v="52"/>
    <d v="2022-05-24T00:00:00"/>
    <n v="1"/>
    <n v="225.2"/>
    <n v="264"/>
  </r>
  <r>
    <x v="120"/>
    <d v="2022-05-24T00:00:00"/>
    <n v="1"/>
    <n v="334.02"/>
    <n v="441"/>
  </r>
  <r>
    <x v="18"/>
    <d v="2022-05-24T00:00:00"/>
    <n v="1"/>
    <n v="109.41"/>
    <n v="123"/>
  </r>
  <r>
    <x v="13"/>
    <d v="2022-05-24T00:00:00"/>
    <n v="1"/>
    <n v="46"/>
    <n v="73"/>
  </r>
  <r>
    <x v="13"/>
    <d v="2022-05-24T00:00:00"/>
    <n v="1"/>
    <n v="46"/>
    <n v="73"/>
  </r>
  <r>
    <x v="139"/>
    <d v="2022-05-24T00:00:00"/>
    <n v="1"/>
    <n v="51.62"/>
    <n v="75"/>
  </r>
  <r>
    <x v="80"/>
    <d v="2022-05-24T00:00:00"/>
    <n v="1"/>
    <n v="16.62"/>
    <n v="26"/>
  </r>
  <r>
    <x v="80"/>
    <d v="2022-05-24T00:00:00"/>
    <n v="1"/>
    <n v="16.62"/>
    <n v="26"/>
  </r>
  <r>
    <x v="136"/>
    <d v="2022-05-24T00:00:00"/>
    <n v="2"/>
    <n v="10.76"/>
    <n v="18"/>
  </r>
  <r>
    <x v="109"/>
    <d v="2022-05-24T00:00:00"/>
    <n v="1"/>
    <n v="74.8"/>
    <n v="92"/>
  </r>
  <r>
    <x v="117"/>
    <d v="2022-05-24T00:00:00"/>
    <n v="1"/>
    <n v="20.78"/>
    <n v="26"/>
  </r>
  <r>
    <x v="71"/>
    <d v="2022-05-24T00:00:00"/>
    <n v="1"/>
    <n v="30.9"/>
    <n v="39"/>
  </r>
  <r>
    <x v="120"/>
    <d v="2022-05-24T00:00:00"/>
    <n v="1"/>
    <n v="341.96"/>
    <n v="442"/>
  </r>
  <r>
    <x v="95"/>
    <d v="2022-05-24T00:00:00"/>
    <n v="1"/>
    <n v="36.29"/>
    <n v="57"/>
  </r>
  <r>
    <x v="147"/>
    <d v="2022-05-24T00:00:00"/>
    <n v="1"/>
    <n v="107.99"/>
    <n v="135"/>
  </r>
  <r>
    <x v="2"/>
    <d v="2022-05-24T00:00:00"/>
    <n v="1"/>
    <n v="87.6"/>
    <n v="108"/>
  </r>
  <r>
    <x v="54"/>
    <d v="2022-05-24T00:00:00"/>
    <n v="1"/>
    <n v="13.11"/>
    <n v="21"/>
  </r>
  <r>
    <x v="0"/>
    <d v="2022-05-24T00:00:00"/>
    <n v="1"/>
    <n v="145.6"/>
    <n v="172"/>
  </r>
  <r>
    <x v="48"/>
    <d v="2022-05-24T00:00:00"/>
    <n v="1"/>
    <n v="24.6"/>
    <n v="40"/>
  </r>
  <r>
    <x v="52"/>
    <d v="2022-05-24T00:00:00"/>
    <n v="1"/>
    <n v="233.74"/>
    <n v="274"/>
  </r>
  <r>
    <x v="38"/>
    <d v="2022-05-24T00:00:00"/>
    <n v="1"/>
    <n v="134.09"/>
    <n v="161"/>
  </r>
  <r>
    <x v="20"/>
    <d v="2022-05-24T00:00:00"/>
    <n v="1"/>
    <n v="147.18"/>
    <n v="177"/>
  </r>
  <r>
    <x v="13"/>
    <d v="2022-05-24T00:00:00"/>
    <n v="1"/>
    <n v="46"/>
    <n v="70"/>
  </r>
  <r>
    <x v="52"/>
    <d v="2022-05-24T00:00:00"/>
    <n v="1"/>
    <n v="227.82"/>
    <n v="267"/>
  </r>
  <r>
    <x v="25"/>
    <d v="2022-05-24T00:00:00"/>
    <n v="1"/>
    <n v="156.19999999999999"/>
    <n v="186"/>
  </r>
  <r>
    <x v="13"/>
    <d v="2022-05-24T00:00:00"/>
    <n v="1"/>
    <n v="46"/>
    <n v="73"/>
  </r>
  <r>
    <x v="146"/>
    <d v="2022-05-24T00:00:00"/>
    <n v="1"/>
    <n v="23.23"/>
    <n v="29"/>
  </r>
  <r>
    <x v="51"/>
    <d v="2022-05-24T00:00:00"/>
    <n v="1"/>
    <n v="43.97"/>
    <n v="67"/>
  </r>
  <r>
    <x v="51"/>
    <d v="2022-05-24T00:00:00"/>
    <n v="1"/>
    <n v="43.97"/>
    <n v="67"/>
  </r>
  <r>
    <x v="103"/>
    <d v="2022-05-24T00:00:00"/>
    <n v="1"/>
    <n v="29.56"/>
    <n v="45"/>
  </r>
  <r>
    <x v="103"/>
    <d v="2022-05-24T00:00:00"/>
    <n v="1"/>
    <n v="29.56"/>
    <n v="45"/>
  </r>
  <r>
    <x v="103"/>
    <d v="2022-05-24T00:00:00"/>
    <n v="1"/>
    <n v="29.56"/>
    <n v="45"/>
  </r>
  <r>
    <x v="40"/>
    <d v="2022-05-24T00:00:00"/>
    <n v="2"/>
    <n v="26.71"/>
    <n v="46"/>
  </r>
  <r>
    <x v="140"/>
    <d v="2022-05-24T00:00:00"/>
    <n v="1"/>
    <n v="25.3"/>
    <n v="31"/>
  </r>
  <r>
    <x v="28"/>
    <d v="2022-05-24T00:00:00"/>
    <n v="1"/>
    <n v="21.14"/>
    <n v="25"/>
  </r>
  <r>
    <x v="28"/>
    <d v="2022-05-24T00:00:00"/>
    <n v="1"/>
    <n v="21.14"/>
    <n v="25"/>
  </r>
  <r>
    <x v="28"/>
    <d v="2022-05-24T00:00:00"/>
    <n v="1"/>
    <n v="21.14"/>
    <n v="25"/>
  </r>
  <r>
    <x v="2"/>
    <d v="2022-05-24T00:00:00"/>
    <n v="1"/>
    <n v="89.27"/>
    <n v="111"/>
  </r>
  <r>
    <x v="2"/>
    <d v="2022-05-24T00:00:00"/>
    <n v="1"/>
    <n v="89.27"/>
    <n v="111"/>
  </r>
  <r>
    <x v="29"/>
    <d v="2022-05-24T00:00:00"/>
    <n v="1"/>
    <n v="199.32"/>
    <n v="230"/>
  </r>
  <r>
    <x v="114"/>
    <d v="2022-05-24T00:00:00"/>
    <n v="3.5714299999999997E-2"/>
    <n v="632.12"/>
    <n v="698"/>
  </r>
  <r>
    <x v="31"/>
    <d v="2022-05-24T00:00:00"/>
    <n v="1"/>
    <n v="22"/>
    <n v="28"/>
  </r>
  <r>
    <x v="31"/>
    <d v="2022-05-24T00:00:00"/>
    <n v="1"/>
    <n v="22"/>
    <n v="28"/>
  </r>
  <r>
    <x v="31"/>
    <d v="2022-05-24T00:00:00"/>
    <n v="1"/>
    <n v="22"/>
    <n v="28"/>
  </r>
  <r>
    <x v="31"/>
    <d v="2022-05-24T00:00:00"/>
    <n v="1"/>
    <n v="22"/>
    <n v="28"/>
  </r>
  <r>
    <x v="93"/>
    <d v="2022-05-24T00:00:00"/>
    <n v="1"/>
    <n v="111.85"/>
    <n v="135"/>
  </r>
  <r>
    <x v="88"/>
    <d v="2022-05-24T00:00:00"/>
    <n v="1"/>
    <n v="68.599999999999994"/>
    <n v="98"/>
  </r>
  <r>
    <x v="67"/>
    <d v="2022-05-24T00:00:00"/>
    <n v="1"/>
    <n v="556.51"/>
    <n v="735"/>
  </r>
  <r>
    <x v="102"/>
    <d v="2022-05-24T00:00:00"/>
    <n v="1"/>
    <n v="69.41"/>
    <n v="86"/>
  </r>
  <r>
    <x v="27"/>
    <d v="2022-05-24T00:00:00"/>
    <n v="0.5"/>
    <n v="105"/>
    <n v="161"/>
  </r>
  <r>
    <x v="119"/>
    <d v="2022-05-24T00:00:00"/>
    <n v="1"/>
    <n v="36.75"/>
    <n v="59"/>
  </r>
  <r>
    <x v="127"/>
    <d v="2022-05-24T00:00:00"/>
    <n v="1"/>
    <n v="60.02"/>
    <n v="88"/>
  </r>
  <r>
    <x v="2"/>
    <d v="2022-05-24T00:00:00"/>
    <n v="1"/>
    <n v="87.6"/>
    <n v="103"/>
  </r>
  <r>
    <x v="18"/>
    <d v="2022-05-24T00:00:00"/>
    <n v="1"/>
    <n v="109.41"/>
    <n v="123"/>
  </r>
  <r>
    <x v="52"/>
    <d v="2022-05-24T00:00:00"/>
    <n v="1"/>
    <n v="233.74"/>
    <n v="262"/>
  </r>
  <r>
    <x v="135"/>
    <d v="2022-05-24T00:00:00"/>
    <n v="1"/>
    <n v="155.13"/>
    <n v="187"/>
  </r>
  <r>
    <x v="19"/>
    <d v="2022-05-24T00:00:00"/>
    <n v="1"/>
    <n v="102.47"/>
    <n v="121"/>
  </r>
  <r>
    <x v="51"/>
    <d v="2022-05-24T00:00:00"/>
    <n v="1"/>
    <n v="43.97"/>
    <n v="70"/>
  </r>
  <r>
    <x v="52"/>
    <d v="2022-05-24T00:00:00"/>
    <n v="1"/>
    <n v="232.7"/>
    <n v="291"/>
  </r>
  <r>
    <x v="52"/>
    <d v="2022-05-24T00:00:00"/>
    <n v="1"/>
    <n v="233.76"/>
    <n v="274"/>
  </r>
  <r>
    <x v="18"/>
    <d v="2022-05-24T00:00:00"/>
    <n v="1"/>
    <n v="110.07"/>
    <n v="124"/>
  </r>
  <r>
    <x v="81"/>
    <d v="2022-05-24T00:00:00"/>
    <n v="4"/>
    <n v="39.619999999999997"/>
    <n v="69"/>
  </r>
  <r>
    <x v="18"/>
    <d v="2022-05-24T00:00:00"/>
    <n v="1"/>
    <n v="109.41"/>
    <n v="123"/>
  </r>
  <r>
    <x v="93"/>
    <d v="2022-05-24T00:00:00"/>
    <n v="1"/>
    <n v="111.32"/>
    <n v="134"/>
  </r>
  <r>
    <x v="110"/>
    <d v="2022-05-24T00:00:00"/>
    <n v="1"/>
    <n v="71.02"/>
    <n v="88"/>
  </r>
  <r>
    <x v="86"/>
    <d v="2022-05-24T00:00:00"/>
    <n v="1"/>
    <n v="36.51"/>
    <n v="63"/>
  </r>
  <r>
    <x v="51"/>
    <d v="2022-05-24T00:00:00"/>
    <n v="1"/>
    <n v="43.97"/>
    <n v="67"/>
  </r>
  <r>
    <x v="19"/>
    <d v="2022-05-24T00:00:00"/>
    <n v="1"/>
    <n v="97.12"/>
    <n v="118"/>
  </r>
  <r>
    <x v="120"/>
    <d v="2022-05-24T00:00:00"/>
    <n v="1"/>
    <n v="337.24"/>
    <n v="446"/>
  </r>
  <r>
    <x v="64"/>
    <d v="2022-05-24T00:00:00"/>
    <n v="1"/>
    <n v="19.989999999999998"/>
    <n v="24"/>
  </r>
  <r>
    <x v="20"/>
    <d v="2022-05-24T00:00:00"/>
    <n v="1"/>
    <n v="147.18"/>
    <n v="177"/>
  </r>
  <r>
    <x v="60"/>
    <d v="2022-05-24T00:00:00"/>
    <n v="1"/>
    <n v="184.45"/>
    <n v="235"/>
  </r>
  <r>
    <x v="108"/>
    <d v="2022-05-24T00:00:00"/>
    <n v="1"/>
    <n v="170.01"/>
    <n v="240"/>
  </r>
  <r>
    <x v="15"/>
    <d v="2022-05-24T00:00:00"/>
    <n v="1"/>
    <n v="19.66"/>
    <n v="25"/>
  </r>
  <r>
    <x v="61"/>
    <d v="2022-05-24T00:00:00"/>
    <n v="1"/>
    <n v="30.6"/>
    <n v="36"/>
  </r>
  <r>
    <x v="61"/>
    <d v="2022-05-24T00:00:00"/>
    <n v="1"/>
    <n v="30.6"/>
    <n v="36"/>
  </r>
  <r>
    <x v="62"/>
    <d v="2022-05-24T00:00:00"/>
    <n v="1"/>
    <n v="55.98"/>
    <n v="80"/>
  </r>
  <r>
    <x v="21"/>
    <d v="2022-05-24T00:00:00"/>
    <n v="0.1"/>
    <n v="989.8"/>
    <n v="1307"/>
  </r>
  <r>
    <x v="18"/>
    <d v="2022-05-24T00:00:00"/>
    <n v="1"/>
    <n v="109.41"/>
    <n v="123"/>
  </r>
  <r>
    <x v="114"/>
    <d v="2022-05-24T00:00:00"/>
    <n v="0.17857100000000001"/>
    <n v="656.19"/>
    <n v="722"/>
  </r>
  <r>
    <x v="86"/>
    <d v="2022-05-24T00:00:00"/>
    <n v="1"/>
    <n v="35.68"/>
    <n v="58"/>
  </r>
  <r>
    <x v="45"/>
    <d v="2022-05-24T00:00:00"/>
    <n v="1"/>
    <n v="43.08"/>
    <n v="54"/>
  </r>
  <r>
    <x v="45"/>
    <d v="2022-05-24T00:00:00"/>
    <n v="1"/>
    <n v="43.08"/>
    <n v="54"/>
  </r>
  <r>
    <x v="19"/>
    <d v="2022-05-24T00:00:00"/>
    <n v="1"/>
    <n v="96.14"/>
    <n v="112"/>
  </r>
  <r>
    <x v="130"/>
    <d v="2022-05-24T00:00:00"/>
    <n v="1"/>
    <n v="72.31"/>
    <n v="90"/>
  </r>
  <r>
    <x v="123"/>
    <d v="2022-05-24T00:00:00"/>
    <n v="1"/>
    <n v="265.69"/>
    <n v="372"/>
  </r>
  <r>
    <x v="31"/>
    <d v="2022-05-24T00:00:00"/>
    <n v="1"/>
    <n v="32.67"/>
    <n v="41"/>
  </r>
  <r>
    <x v="143"/>
    <d v="2022-05-24T00:00:00"/>
    <n v="1"/>
    <n v="37.75"/>
    <n v="58"/>
  </r>
  <r>
    <x v="69"/>
    <d v="2022-05-24T00:00:00"/>
    <n v="1"/>
    <n v="89.61"/>
    <n v="111"/>
  </r>
  <r>
    <x v="123"/>
    <d v="2022-05-24T00:00:00"/>
    <n v="1"/>
    <n v="279"/>
    <n v="391"/>
  </r>
  <r>
    <x v="36"/>
    <d v="2022-05-24T00:00:00"/>
    <n v="1"/>
    <n v="10.92"/>
    <n v="18"/>
  </r>
  <r>
    <x v="30"/>
    <d v="2022-05-23T00:00:00"/>
    <n v="1"/>
    <n v="31.85"/>
    <n v="49"/>
  </r>
  <r>
    <x v="133"/>
    <d v="2022-05-23T00:00:00"/>
    <n v="2"/>
    <n v="46.5"/>
    <n v="75"/>
  </r>
  <r>
    <x v="6"/>
    <d v="2022-05-23T00:00:00"/>
    <n v="1"/>
    <n v="24.2"/>
    <n v="39"/>
  </r>
  <r>
    <x v="4"/>
    <d v="2022-05-23T00:00:00"/>
    <n v="1"/>
    <n v="80.73"/>
    <n v="100"/>
  </r>
  <r>
    <x v="88"/>
    <d v="2022-05-23T00:00:00"/>
    <n v="1"/>
    <n v="71.040000000000006"/>
    <n v="103"/>
  </r>
  <r>
    <x v="17"/>
    <d v="2022-05-23T00:00:00"/>
    <n v="1"/>
    <n v="30.3"/>
    <n v="49"/>
  </r>
  <r>
    <x v="6"/>
    <d v="2022-05-23T00:00:00"/>
    <n v="1"/>
    <n v="24.2"/>
    <n v="39"/>
  </r>
  <r>
    <x v="17"/>
    <d v="2022-05-23T00:00:00"/>
    <n v="1"/>
    <n v="30.3"/>
    <n v="49"/>
  </r>
  <r>
    <x v="16"/>
    <d v="2022-05-23T00:00:00"/>
    <n v="1"/>
    <n v="182.55"/>
    <n v="258"/>
  </r>
  <r>
    <x v="24"/>
    <d v="2022-05-23T00:00:00"/>
    <n v="1"/>
    <n v="480.05"/>
    <n v="658"/>
  </r>
  <r>
    <x v="122"/>
    <d v="2022-05-23T00:00:00"/>
    <n v="1"/>
    <n v="121.2"/>
    <n v="171"/>
  </r>
  <r>
    <x v="37"/>
    <d v="2022-05-23T00:00:00"/>
    <n v="1"/>
    <n v="566.04"/>
    <n v="634"/>
  </r>
  <r>
    <x v="118"/>
    <d v="2022-05-23T00:00:00"/>
    <n v="1"/>
    <n v="62.79"/>
    <n v="78"/>
  </r>
  <r>
    <x v="6"/>
    <d v="2022-05-23T00:00:00"/>
    <n v="1"/>
    <n v="24.2"/>
    <n v="39"/>
  </r>
  <r>
    <x v="9"/>
    <d v="2022-05-23T00:00:00"/>
    <n v="0.1"/>
    <n v="501.97"/>
    <n v="673"/>
  </r>
  <r>
    <x v="21"/>
    <d v="2022-05-23T00:00:00"/>
    <n v="0.1"/>
    <n v="989.8"/>
    <n v="1307"/>
  </r>
  <r>
    <x v="133"/>
    <d v="2022-05-23T00:00:00"/>
    <n v="1"/>
    <n v="46.5"/>
    <n v="75"/>
  </r>
  <r>
    <x v="148"/>
    <d v="2022-05-23T00:00:00"/>
    <n v="1"/>
    <n v="9.4600000000000009"/>
    <n v="11"/>
  </r>
  <r>
    <x v="42"/>
    <d v="2022-05-23T00:00:00"/>
    <n v="1"/>
    <n v="43.08"/>
    <n v="66"/>
  </r>
  <r>
    <x v="118"/>
    <d v="2022-05-23T00:00:00"/>
    <n v="1"/>
    <n v="63.69"/>
    <n v="79"/>
  </r>
  <r>
    <x v="7"/>
    <d v="2022-05-23T00:00:00"/>
    <n v="1"/>
    <n v="56.24"/>
    <n v="70"/>
  </r>
  <r>
    <x v="7"/>
    <d v="2022-05-23T00:00:00"/>
    <n v="1"/>
    <n v="60.55"/>
    <n v="74"/>
  </r>
  <r>
    <x v="7"/>
    <d v="2022-05-23T00:00:00"/>
    <n v="1"/>
    <n v="60.55"/>
    <n v="74"/>
  </r>
  <r>
    <x v="7"/>
    <d v="2022-05-23T00:00:00"/>
    <n v="1"/>
    <n v="60.55"/>
    <n v="74"/>
  </r>
  <r>
    <x v="88"/>
    <d v="2022-05-23T00:00:00"/>
    <n v="1"/>
    <n v="65.400000000000006"/>
    <n v="93"/>
  </r>
  <r>
    <x v="44"/>
    <d v="2022-05-23T00:00:00"/>
    <n v="1"/>
    <n v="15.82"/>
    <n v="20"/>
  </r>
  <r>
    <x v="20"/>
    <d v="2022-05-23T00:00:00"/>
    <n v="1"/>
    <n v="147.18"/>
    <n v="176"/>
  </r>
  <r>
    <x v="3"/>
    <d v="2022-05-23T00:00:00"/>
    <n v="1"/>
    <n v="47.03"/>
    <n v="77"/>
  </r>
  <r>
    <x v="14"/>
    <d v="2022-05-23T00:00:00"/>
    <n v="1"/>
    <n v="80.760000000000005"/>
    <n v="101"/>
  </r>
  <r>
    <x v="70"/>
    <d v="2022-05-23T00:00:00"/>
    <n v="0.22"/>
    <n v="463.1"/>
    <n v="704"/>
  </r>
  <r>
    <x v="150"/>
    <d v="2022-05-23T00:00:00"/>
    <n v="0.08"/>
    <n v="495.72"/>
    <n v="754"/>
  </r>
  <r>
    <x v="19"/>
    <d v="2022-05-23T00:00:00"/>
    <n v="1"/>
    <n v="96.14"/>
    <n v="112"/>
  </r>
  <r>
    <x v="21"/>
    <d v="2022-05-23T00:00:00"/>
    <n v="0.2"/>
    <n v="991.65"/>
    <n v="1240"/>
  </r>
  <r>
    <x v="13"/>
    <d v="2022-05-23T00:00:00"/>
    <n v="1"/>
    <n v="44"/>
    <n v="70"/>
  </r>
  <r>
    <x v="32"/>
    <d v="2022-05-23T00:00:00"/>
    <n v="1"/>
    <n v="36.86"/>
    <n v="47"/>
  </r>
  <r>
    <x v="47"/>
    <d v="2022-05-23T00:00:00"/>
    <n v="1"/>
    <n v="206"/>
    <n v="251"/>
  </r>
  <r>
    <x v="102"/>
    <d v="2022-05-23T00:00:00"/>
    <n v="1"/>
    <n v="71.03"/>
    <n v="88"/>
  </r>
  <r>
    <x v="8"/>
    <d v="2022-05-23T00:00:00"/>
    <n v="1"/>
    <n v="119.06"/>
    <n v="143"/>
  </r>
  <r>
    <x v="135"/>
    <d v="2022-05-23T00:00:00"/>
    <n v="1"/>
    <n v="154.78"/>
    <n v="187"/>
  </r>
  <r>
    <x v="28"/>
    <d v="2022-05-23T00:00:00"/>
    <n v="1"/>
    <n v="21.13"/>
    <n v="25"/>
  </r>
  <r>
    <x v="28"/>
    <d v="2022-05-23T00:00:00"/>
    <n v="1"/>
    <n v="21.13"/>
    <n v="25"/>
  </r>
  <r>
    <x v="28"/>
    <d v="2022-05-23T00:00:00"/>
    <n v="1"/>
    <n v="21.13"/>
    <n v="25"/>
  </r>
  <r>
    <x v="28"/>
    <d v="2022-05-23T00:00:00"/>
    <n v="1"/>
    <n v="21.13"/>
    <n v="25"/>
  </r>
  <r>
    <x v="28"/>
    <d v="2022-05-23T00:00:00"/>
    <n v="1"/>
    <n v="21.13"/>
    <n v="25"/>
  </r>
  <r>
    <x v="71"/>
    <d v="2022-05-23T00:00:00"/>
    <n v="1"/>
    <n v="30.9"/>
    <n v="39"/>
  </r>
  <r>
    <x v="71"/>
    <d v="2022-05-23T00:00:00"/>
    <n v="1"/>
    <n v="30.9"/>
    <n v="39"/>
  </r>
  <r>
    <x v="13"/>
    <d v="2022-05-23T00:00:00"/>
    <n v="1"/>
    <n v="46"/>
    <n v="72"/>
  </r>
  <r>
    <x v="13"/>
    <d v="2022-05-23T00:00:00"/>
    <n v="1"/>
    <n v="46"/>
    <n v="72"/>
  </r>
  <r>
    <x v="13"/>
    <d v="2022-05-23T00:00:00"/>
    <n v="1"/>
    <n v="44"/>
    <n v="69"/>
  </r>
  <r>
    <x v="72"/>
    <d v="2022-05-23T00:00:00"/>
    <n v="1"/>
    <n v="57.35"/>
    <n v="72"/>
  </r>
  <r>
    <x v="45"/>
    <d v="2022-05-23T00:00:00"/>
    <n v="1"/>
    <n v="43.86"/>
    <n v="55"/>
  </r>
  <r>
    <x v="0"/>
    <d v="2022-05-23T00:00:00"/>
    <n v="1"/>
    <n v="145.6"/>
    <n v="172"/>
  </r>
  <r>
    <x v="27"/>
    <d v="2022-05-23T00:00:00"/>
    <n v="1"/>
    <n v="105"/>
    <n v="165"/>
  </r>
  <r>
    <x v="36"/>
    <d v="2022-05-23T00:00:00"/>
    <n v="1"/>
    <n v="10.92"/>
    <n v="18"/>
  </r>
  <r>
    <x v="36"/>
    <d v="2022-05-23T00:00:00"/>
    <n v="1"/>
    <n v="10.92"/>
    <n v="18"/>
  </r>
  <r>
    <x v="60"/>
    <d v="2022-05-23T00:00:00"/>
    <n v="1"/>
    <n v="184.07"/>
    <n v="234"/>
  </r>
  <r>
    <x v="23"/>
    <d v="2022-05-23T00:00:00"/>
    <n v="1"/>
    <n v="147.96"/>
    <n v="200"/>
  </r>
  <r>
    <x v="4"/>
    <d v="2022-05-23T00:00:00"/>
    <n v="1"/>
    <n v="80.73"/>
    <n v="100"/>
  </r>
  <r>
    <x v="61"/>
    <d v="2022-05-23T00:00:00"/>
    <n v="1"/>
    <n v="30.56"/>
    <n v="36"/>
  </r>
  <r>
    <x v="41"/>
    <d v="2022-05-23T00:00:00"/>
    <n v="1"/>
    <n v="19.600000000000001"/>
    <n v="24"/>
  </r>
  <r>
    <x v="141"/>
    <d v="2022-05-23T00:00:00"/>
    <n v="1"/>
    <n v="412.35"/>
    <n v="462"/>
  </r>
  <r>
    <x v="141"/>
    <d v="2022-05-23T00:00:00"/>
    <n v="1"/>
    <n v="412.35"/>
    <n v="462"/>
  </r>
  <r>
    <x v="34"/>
    <d v="2022-05-23T00:00:00"/>
    <n v="2"/>
    <n v="11.94"/>
    <n v="20"/>
  </r>
  <r>
    <x v="126"/>
    <d v="2022-05-23T00:00:00"/>
    <n v="1"/>
    <n v="361.08"/>
    <n v="416"/>
  </r>
  <r>
    <x v="80"/>
    <d v="2022-05-23T00:00:00"/>
    <n v="1"/>
    <n v="18.010000000000002"/>
    <n v="28"/>
  </r>
  <r>
    <x v="4"/>
    <d v="2022-05-23T00:00:00"/>
    <n v="1"/>
    <n v="80.73"/>
    <n v="100"/>
  </r>
  <r>
    <x v="112"/>
    <d v="2022-05-23T00:00:00"/>
    <n v="1"/>
    <n v="23.14"/>
    <n v="28"/>
  </r>
  <r>
    <x v="112"/>
    <d v="2022-05-23T00:00:00"/>
    <n v="1"/>
    <n v="23.14"/>
    <n v="28"/>
  </r>
  <r>
    <x v="112"/>
    <d v="2022-05-23T00:00:00"/>
    <n v="1"/>
    <n v="23.14"/>
    <n v="28"/>
  </r>
  <r>
    <x v="112"/>
    <d v="2022-05-23T00:00:00"/>
    <n v="1"/>
    <n v="23.14"/>
    <n v="28"/>
  </r>
  <r>
    <x v="112"/>
    <d v="2022-05-23T00:00:00"/>
    <n v="1"/>
    <n v="23.14"/>
    <n v="28"/>
  </r>
  <r>
    <x v="42"/>
    <d v="2022-05-23T00:00:00"/>
    <n v="1"/>
    <n v="42.85"/>
    <n v="67"/>
  </r>
  <r>
    <x v="99"/>
    <d v="2022-05-23T00:00:00"/>
    <n v="1"/>
    <n v="44.68"/>
    <n v="56"/>
  </r>
  <r>
    <x v="25"/>
    <d v="2022-05-23T00:00:00"/>
    <n v="1"/>
    <n v="156.19999999999999"/>
    <n v="186"/>
  </r>
  <r>
    <x v="15"/>
    <d v="2022-05-23T00:00:00"/>
    <n v="1"/>
    <n v="19.66"/>
    <n v="25"/>
  </r>
  <r>
    <x v="41"/>
    <d v="2022-05-23T00:00:00"/>
    <n v="1"/>
    <n v="19.7"/>
    <n v="24"/>
  </r>
  <r>
    <x v="10"/>
    <d v="2022-05-23T00:00:00"/>
    <n v="1"/>
    <n v="55.5"/>
    <n v="87"/>
  </r>
  <r>
    <x v="147"/>
    <d v="2022-05-23T00:00:00"/>
    <n v="1"/>
    <n v="114.52"/>
    <n v="144"/>
  </r>
  <r>
    <x v="67"/>
    <d v="2022-05-23T00:00:00"/>
    <n v="1"/>
    <n v="556.51"/>
    <n v="735"/>
  </r>
  <r>
    <x v="43"/>
    <d v="2022-05-23T00:00:00"/>
    <n v="1"/>
    <n v="38.11"/>
    <n v="60"/>
  </r>
  <r>
    <x v="80"/>
    <d v="2022-05-23T00:00:00"/>
    <n v="1"/>
    <n v="15.51"/>
    <n v="25"/>
  </r>
  <r>
    <x v="80"/>
    <d v="2022-05-23T00:00:00"/>
    <n v="1"/>
    <n v="15.51"/>
    <n v="25"/>
  </r>
  <r>
    <x v="20"/>
    <d v="2022-05-23T00:00:00"/>
    <n v="1"/>
    <n v="151.22"/>
    <n v="181"/>
  </r>
  <r>
    <x v="69"/>
    <d v="2022-05-23T00:00:00"/>
    <n v="1"/>
    <n v="90.81"/>
    <n v="115"/>
  </r>
  <r>
    <x v="72"/>
    <d v="2022-05-23T00:00:00"/>
    <n v="1"/>
    <n v="57.35"/>
    <n v="72"/>
  </r>
  <r>
    <x v="24"/>
    <d v="2022-05-23T00:00:00"/>
    <n v="1"/>
    <n v="489.61"/>
    <n v="661"/>
  </r>
  <r>
    <x v="87"/>
    <d v="2022-05-23T00:00:00"/>
    <n v="1"/>
    <n v="15"/>
    <n v="20"/>
  </r>
  <r>
    <x v="45"/>
    <d v="2022-05-23T00:00:00"/>
    <n v="1"/>
    <n v="44.86"/>
    <n v="56"/>
  </r>
  <r>
    <x v="51"/>
    <d v="2022-05-23T00:00:00"/>
    <n v="1"/>
    <n v="43.97"/>
    <n v="69"/>
  </r>
  <r>
    <x v="62"/>
    <d v="2022-05-23T00:00:00"/>
    <n v="1"/>
    <n v="54.32"/>
    <n v="78"/>
  </r>
  <r>
    <x v="14"/>
    <d v="2022-05-23T00:00:00"/>
    <n v="1"/>
    <n v="81.95"/>
    <n v="104"/>
  </r>
  <r>
    <x v="141"/>
    <d v="2022-05-23T00:00:00"/>
    <n v="1"/>
    <n v="412.85"/>
    <n v="463"/>
  </r>
  <r>
    <x v="123"/>
    <d v="2022-05-23T00:00:00"/>
    <n v="1"/>
    <n v="330.34"/>
    <n v="456"/>
  </r>
  <r>
    <x v="15"/>
    <d v="2022-05-23T00:00:00"/>
    <n v="1"/>
    <n v="19.71"/>
    <n v="26"/>
  </r>
  <r>
    <x v="98"/>
    <d v="2022-05-23T00:00:00"/>
    <n v="1"/>
    <n v="45.88"/>
    <n v="73"/>
  </r>
  <r>
    <x v="122"/>
    <d v="2022-05-23T00:00:00"/>
    <n v="1"/>
    <n v="119.8"/>
    <n v="169"/>
  </r>
  <r>
    <x v="94"/>
    <d v="2022-05-23T00:00:00"/>
    <n v="1"/>
    <n v="64.25"/>
    <n v="80"/>
  </r>
  <r>
    <x v="0"/>
    <d v="2022-05-23T00:00:00"/>
    <n v="1"/>
    <n v="130.75"/>
    <n v="157"/>
  </r>
  <r>
    <x v="67"/>
    <d v="2022-05-23T00:00:00"/>
    <n v="1"/>
    <n v="556.51"/>
    <n v="735"/>
  </r>
  <r>
    <x v="110"/>
    <d v="2022-05-23T00:00:00"/>
    <n v="1"/>
    <n v="71.02"/>
    <n v="88"/>
  </r>
  <r>
    <x v="54"/>
    <d v="2022-05-23T00:00:00"/>
    <n v="1"/>
    <n v="13.11"/>
    <n v="21"/>
  </r>
  <r>
    <x v="19"/>
    <d v="2022-05-23T00:00:00"/>
    <n v="1"/>
    <n v="95.88"/>
    <n v="118"/>
  </r>
  <r>
    <x v="42"/>
    <d v="2022-05-23T00:00:00"/>
    <n v="1"/>
    <n v="43"/>
    <n v="68"/>
  </r>
  <r>
    <x v="82"/>
    <d v="2022-05-23T00:00:00"/>
    <n v="1"/>
    <n v="323.66000000000003"/>
    <n v="389"/>
  </r>
  <r>
    <x v="52"/>
    <d v="2022-05-23T00:00:00"/>
    <n v="1"/>
    <n v="233.74"/>
    <n v="274"/>
  </r>
  <r>
    <x v="151"/>
    <d v="2022-05-23T00:00:00"/>
    <n v="1"/>
    <n v="251.37"/>
    <n v="352"/>
  </r>
  <r>
    <x v="55"/>
    <d v="2022-05-23T00:00:00"/>
    <n v="1"/>
    <n v="57.64"/>
    <n v="72"/>
  </r>
  <r>
    <x v="55"/>
    <d v="2022-05-23T00:00:00"/>
    <n v="1"/>
    <n v="57.64"/>
    <n v="72"/>
  </r>
  <r>
    <x v="106"/>
    <d v="2022-05-23T00:00:00"/>
    <n v="1"/>
    <n v="174.23"/>
    <n v="189.14"/>
  </r>
  <r>
    <x v="38"/>
    <d v="2022-05-23T00:00:00"/>
    <n v="1"/>
    <n v="134.09"/>
    <n v="161"/>
  </r>
  <r>
    <x v="88"/>
    <d v="2022-05-23T00:00:00"/>
    <n v="1"/>
    <n v="68.599999999999994"/>
    <n v="98"/>
  </r>
  <r>
    <x v="141"/>
    <d v="2022-05-23T00:00:00"/>
    <n v="1"/>
    <n v="407.84"/>
    <n v="457"/>
  </r>
  <r>
    <x v="126"/>
    <d v="2022-05-23T00:00:00"/>
    <n v="1"/>
    <n v="361.08"/>
    <n v="416"/>
  </r>
  <r>
    <x v="116"/>
    <d v="2022-05-23T00:00:00"/>
    <n v="3"/>
    <n v="11.41"/>
    <n v="19"/>
  </r>
  <r>
    <x v="36"/>
    <d v="2022-05-23T00:00:00"/>
    <n v="1"/>
    <n v="10.9"/>
    <n v="18"/>
  </r>
  <r>
    <x v="17"/>
    <d v="2022-05-23T00:00:00"/>
    <n v="1"/>
    <n v="30.3"/>
    <n v="49"/>
  </r>
  <r>
    <x v="54"/>
    <d v="2022-05-23T00:00:00"/>
    <n v="1"/>
    <n v="14.55"/>
    <n v="24"/>
  </r>
  <r>
    <x v="42"/>
    <d v="2022-05-23T00:00:00"/>
    <n v="1"/>
    <n v="42.85"/>
    <n v="67"/>
  </r>
  <r>
    <x v="6"/>
    <d v="2022-05-23T00:00:00"/>
    <n v="1"/>
    <n v="24.2"/>
    <n v="39"/>
  </r>
  <r>
    <x v="4"/>
    <d v="2022-05-23T00:00:00"/>
    <n v="1"/>
    <n v="80.73"/>
    <n v="100"/>
  </r>
  <r>
    <x v="22"/>
    <d v="2022-05-23T00:00:00"/>
    <n v="1"/>
    <n v="106.88"/>
    <n v="164"/>
  </r>
  <r>
    <x v="136"/>
    <d v="2022-05-23T00:00:00"/>
    <n v="1"/>
    <n v="12.2"/>
    <n v="20"/>
  </r>
  <r>
    <x v="2"/>
    <d v="2022-05-23T00:00:00"/>
    <n v="1"/>
    <n v="88.43"/>
    <n v="106"/>
  </r>
  <r>
    <x v="2"/>
    <d v="2022-05-23T00:00:00"/>
    <n v="1"/>
    <n v="88.43"/>
    <n v="106"/>
  </r>
  <r>
    <x v="5"/>
    <d v="2022-05-23T00:00:00"/>
    <n v="1"/>
    <n v="10.34"/>
    <n v="13"/>
  </r>
  <r>
    <x v="86"/>
    <d v="2022-05-23T00:00:00"/>
    <n v="1"/>
    <n v="35.68"/>
    <n v="58"/>
  </r>
  <r>
    <x v="18"/>
    <d v="2022-05-23T00:00:00"/>
    <n v="1"/>
    <n v="109.41"/>
    <n v="123"/>
  </r>
  <r>
    <x v="0"/>
    <d v="2022-05-23T00:00:00"/>
    <n v="1"/>
    <n v="131.57"/>
    <n v="158"/>
  </r>
  <r>
    <x v="50"/>
    <d v="2022-05-23T00:00:00"/>
    <n v="1"/>
    <n v="77.78"/>
    <n v="97"/>
  </r>
  <r>
    <x v="60"/>
    <d v="2022-05-23T00:00:00"/>
    <n v="1"/>
    <n v="184.45"/>
    <n v="216"/>
  </r>
  <r>
    <x v="66"/>
    <d v="2022-05-23T00:00:00"/>
    <n v="1"/>
    <n v="57.59"/>
    <n v="82"/>
  </r>
  <r>
    <x v="70"/>
    <d v="2022-05-23T00:00:00"/>
    <n v="0.1"/>
    <n v="463.1"/>
    <n v="649"/>
  </r>
  <r>
    <x v="87"/>
    <d v="2022-05-23T00:00:00"/>
    <n v="1"/>
    <n v="15"/>
    <n v="20"/>
  </r>
  <r>
    <x v="15"/>
    <d v="2022-05-23T00:00:00"/>
    <n v="1"/>
    <n v="19.66"/>
    <n v="25"/>
  </r>
  <r>
    <x v="141"/>
    <d v="2022-05-23T00:00:00"/>
    <n v="1"/>
    <n v="407.84"/>
    <n v="457"/>
  </r>
  <r>
    <x v="13"/>
    <d v="2022-05-23T00:00:00"/>
    <n v="1"/>
    <n v="46"/>
    <n v="70"/>
  </r>
  <r>
    <x v="2"/>
    <d v="2022-05-23T00:00:00"/>
    <n v="1"/>
    <n v="89.27"/>
    <n v="105"/>
  </r>
  <r>
    <x v="40"/>
    <d v="2022-05-23T00:00:00"/>
    <n v="1"/>
    <n v="29.82"/>
    <n v="49"/>
  </r>
  <r>
    <x v="19"/>
    <d v="2022-05-23T00:00:00"/>
    <n v="1"/>
    <n v="96.14"/>
    <n v="112"/>
  </r>
  <r>
    <x v="42"/>
    <d v="2022-05-23T00:00:00"/>
    <n v="1"/>
    <n v="43.08"/>
    <n v="66"/>
  </r>
  <r>
    <x v="117"/>
    <d v="2022-05-23T00:00:00"/>
    <n v="1"/>
    <n v="20.86"/>
    <n v="26"/>
  </r>
  <r>
    <x v="21"/>
    <d v="2022-05-23T00:00:00"/>
    <n v="0.5"/>
    <n v="984.79"/>
    <n v="1350"/>
  </r>
  <r>
    <x v="60"/>
    <d v="2022-05-23T00:00:00"/>
    <n v="1"/>
    <n v="184.45"/>
    <n v="235"/>
  </r>
  <r>
    <x v="7"/>
    <d v="2022-05-23T00:00:00"/>
    <n v="1"/>
    <n v="64.23"/>
    <n v="76"/>
  </r>
  <r>
    <x v="45"/>
    <d v="2022-05-23T00:00:00"/>
    <n v="1"/>
    <n v="42.99"/>
    <n v="54"/>
  </r>
  <r>
    <x v="14"/>
    <d v="2022-05-23T00:00:00"/>
    <n v="1"/>
    <n v="82.34"/>
    <n v="103"/>
  </r>
  <r>
    <x v="4"/>
    <d v="2022-05-23T00:00:00"/>
    <n v="1"/>
    <n v="80.73"/>
    <n v="100"/>
  </r>
  <r>
    <x v="49"/>
    <d v="2022-05-23T00:00:00"/>
    <n v="1"/>
    <n v="723.11"/>
    <n v="933"/>
  </r>
  <r>
    <x v="42"/>
    <d v="2022-05-23T00:00:00"/>
    <n v="1"/>
    <n v="43"/>
    <n v="68"/>
  </r>
  <r>
    <x v="43"/>
    <d v="2022-05-23T00:00:00"/>
    <n v="1"/>
    <n v="38.11"/>
    <n v="60"/>
  </r>
  <r>
    <x v="36"/>
    <d v="2022-05-23T00:00:00"/>
    <n v="2"/>
    <n v="11.52"/>
    <n v="20"/>
  </r>
  <r>
    <x v="88"/>
    <d v="2022-05-23T00:00:00"/>
    <n v="1"/>
    <n v="71.040000000000006"/>
    <n v="103"/>
  </r>
  <r>
    <x v="17"/>
    <d v="2022-05-23T00:00:00"/>
    <n v="1"/>
    <n v="30.3"/>
    <n v="49"/>
  </r>
  <r>
    <x v="25"/>
    <d v="2022-05-23T00:00:00"/>
    <n v="1"/>
    <n v="156.19999999999999"/>
    <n v="186"/>
  </r>
  <r>
    <x v="60"/>
    <d v="2022-05-23T00:00:00"/>
    <n v="1"/>
    <n v="187.12"/>
    <n v="219"/>
  </r>
  <r>
    <x v="71"/>
    <d v="2022-05-23T00:00:00"/>
    <n v="1"/>
    <n v="30.56"/>
    <n v="37"/>
  </r>
  <r>
    <x v="98"/>
    <d v="2022-05-23T00:00:00"/>
    <n v="1"/>
    <n v="45.88"/>
    <n v="73"/>
  </r>
  <r>
    <x v="18"/>
    <d v="2022-05-23T00:00:00"/>
    <n v="1"/>
    <n v="109.41"/>
    <n v="123"/>
  </r>
  <r>
    <x v="87"/>
    <d v="2022-05-23T00:00:00"/>
    <n v="10"/>
    <n v="6.2"/>
    <n v="9"/>
  </r>
  <r>
    <x v="37"/>
    <d v="2022-05-23T00:00:00"/>
    <n v="1"/>
    <n v="570.99"/>
    <n v="657"/>
  </r>
  <r>
    <x v="79"/>
    <d v="2022-05-23T00:00:00"/>
    <n v="1"/>
    <n v="153.22999999999999"/>
    <n v="192"/>
  </r>
  <r>
    <x v="79"/>
    <d v="2022-05-23T00:00:00"/>
    <n v="1"/>
    <n v="153.75"/>
    <n v="193"/>
  </r>
  <r>
    <x v="20"/>
    <d v="2022-05-23T00:00:00"/>
    <n v="1"/>
    <n v="147.18"/>
    <n v="180"/>
  </r>
  <r>
    <x v="23"/>
    <d v="2022-05-23T00:00:00"/>
    <n v="1"/>
    <n v="122.75"/>
    <n v="174"/>
  </r>
  <r>
    <x v="53"/>
    <d v="2022-05-23T00:00:00"/>
    <n v="1"/>
    <n v="88.35"/>
    <n v="107"/>
  </r>
  <r>
    <x v="51"/>
    <d v="2022-05-23T00:00:00"/>
    <n v="1"/>
    <n v="43.97"/>
    <n v="69"/>
  </r>
  <r>
    <x v="106"/>
    <d v="2022-05-23T00:00:00"/>
    <n v="1"/>
    <n v="163.29"/>
    <n v="196"/>
  </r>
  <r>
    <x v="142"/>
    <d v="2022-05-23T00:00:00"/>
    <n v="1"/>
    <n v="135.47"/>
    <n v="183"/>
  </r>
  <r>
    <x v="51"/>
    <d v="2022-05-23T00:00:00"/>
    <n v="1"/>
    <n v="43.97"/>
    <n v="69"/>
  </r>
  <r>
    <x v="78"/>
    <d v="2022-05-23T00:00:00"/>
    <n v="1"/>
    <n v="201.63"/>
    <n v="240"/>
  </r>
  <r>
    <x v="87"/>
    <d v="2022-05-23T00:00:00"/>
    <n v="5"/>
    <n v="6.6"/>
    <n v="9"/>
  </r>
  <r>
    <x v="87"/>
    <d v="2022-05-23T00:00:00"/>
    <n v="1"/>
    <n v="6.6"/>
    <n v="9"/>
  </r>
  <r>
    <x v="38"/>
    <d v="2022-05-23T00:00:00"/>
    <n v="1"/>
    <n v="135.04"/>
    <n v="162"/>
  </r>
  <r>
    <x v="142"/>
    <d v="2022-05-23T00:00:00"/>
    <n v="1"/>
    <n v="136.94999999999999"/>
    <n v="188"/>
  </r>
  <r>
    <x v="49"/>
    <d v="2022-05-23T00:00:00"/>
    <n v="1"/>
    <n v="723.11"/>
    <n v="933"/>
  </r>
  <r>
    <x v="34"/>
    <d v="2022-05-23T00:00:00"/>
    <n v="3"/>
    <n v="9.9499999999999993"/>
    <n v="17"/>
  </r>
  <r>
    <x v="1"/>
    <d v="2022-05-23T00:00:00"/>
    <n v="1"/>
    <n v="438.89"/>
    <n v="549"/>
  </r>
  <r>
    <x v="97"/>
    <d v="2022-05-23T00:00:00"/>
    <n v="1"/>
    <n v="26.11"/>
    <n v="32"/>
  </r>
  <r>
    <x v="97"/>
    <d v="2022-05-23T00:00:00"/>
    <n v="1"/>
    <n v="26.54"/>
    <n v="33"/>
  </r>
  <r>
    <x v="109"/>
    <d v="2022-05-23T00:00:00"/>
    <n v="1"/>
    <n v="74.36"/>
    <n v="91"/>
  </r>
  <r>
    <x v="30"/>
    <d v="2022-05-23T00:00:00"/>
    <n v="1"/>
    <n v="35"/>
    <n v="55"/>
  </r>
  <r>
    <x v="117"/>
    <d v="2022-05-23T00:00:00"/>
    <n v="1"/>
    <n v="20.78"/>
    <n v="26"/>
  </r>
  <r>
    <x v="85"/>
    <d v="2022-05-23T00:00:00"/>
    <n v="1"/>
    <n v="478.39"/>
    <n v="501"/>
  </r>
  <r>
    <x v="94"/>
    <d v="2022-05-23T00:00:00"/>
    <n v="1"/>
    <n v="64.25"/>
    <n v="76"/>
  </r>
  <r>
    <x v="141"/>
    <d v="2022-05-23T00:00:00"/>
    <n v="1"/>
    <n v="407.84"/>
    <n v="457"/>
  </r>
  <r>
    <x v="123"/>
    <d v="2022-05-23T00:00:00"/>
    <n v="1"/>
    <n v="300.88"/>
    <n v="398"/>
  </r>
  <r>
    <x v="32"/>
    <d v="2022-05-23T00:00:00"/>
    <n v="1"/>
    <n v="36.86"/>
    <n v="47"/>
  </r>
  <r>
    <x v="32"/>
    <d v="2022-05-23T00:00:00"/>
    <n v="1"/>
    <n v="36.86"/>
    <n v="47"/>
  </r>
  <r>
    <x v="32"/>
    <d v="2022-05-23T00:00:00"/>
    <n v="1"/>
    <n v="36.86"/>
    <n v="47"/>
  </r>
  <r>
    <x v="32"/>
    <d v="2022-05-23T00:00:00"/>
    <n v="1"/>
    <n v="36.86"/>
    <n v="47"/>
  </r>
  <r>
    <x v="32"/>
    <d v="2022-05-23T00:00:00"/>
    <n v="1"/>
    <n v="36.86"/>
    <n v="47"/>
  </r>
  <r>
    <x v="32"/>
    <d v="2022-05-23T00:00:00"/>
    <n v="1"/>
    <n v="36.86"/>
    <n v="47"/>
  </r>
  <r>
    <x v="33"/>
    <d v="2022-05-23T00:00:00"/>
    <n v="1"/>
    <n v="22.31"/>
    <n v="35"/>
  </r>
  <r>
    <x v="33"/>
    <d v="2022-05-23T00:00:00"/>
    <n v="1"/>
    <n v="28.8"/>
    <n v="45"/>
  </r>
  <r>
    <x v="33"/>
    <d v="2022-05-23T00:00:00"/>
    <n v="1"/>
    <n v="28.8"/>
    <n v="45"/>
  </r>
  <r>
    <x v="33"/>
    <d v="2022-05-23T00:00:00"/>
    <n v="1"/>
    <n v="28.8"/>
    <n v="45"/>
  </r>
  <r>
    <x v="33"/>
    <d v="2022-05-23T00:00:00"/>
    <n v="1"/>
    <n v="28.8"/>
    <n v="45"/>
  </r>
  <r>
    <x v="33"/>
    <d v="2022-05-23T00:00:00"/>
    <n v="1"/>
    <n v="28.8"/>
    <n v="45"/>
  </r>
  <r>
    <x v="23"/>
    <d v="2022-05-23T00:00:00"/>
    <n v="1"/>
    <n v="150.03"/>
    <n v="209"/>
  </r>
  <r>
    <x v="30"/>
    <d v="2022-05-23T00:00:00"/>
    <n v="1"/>
    <n v="31.85"/>
    <n v="49"/>
  </r>
  <r>
    <x v="127"/>
    <d v="2022-05-23T00:00:00"/>
    <n v="1"/>
    <n v="58.23"/>
    <n v="87"/>
  </r>
  <r>
    <x v="127"/>
    <d v="2022-05-23T00:00:00"/>
    <n v="1"/>
    <n v="58.59"/>
    <n v="84"/>
  </r>
  <r>
    <x v="115"/>
    <d v="2022-05-23T00:00:00"/>
    <n v="1"/>
    <n v="145.04"/>
    <n v="202"/>
  </r>
  <r>
    <x v="2"/>
    <d v="2022-05-23T00:00:00"/>
    <n v="1"/>
    <n v="88.11"/>
    <n v="104"/>
  </r>
  <r>
    <x v="2"/>
    <d v="2022-05-23T00:00:00"/>
    <n v="1"/>
    <n v="87.6"/>
    <n v="109"/>
  </r>
  <r>
    <x v="27"/>
    <d v="2022-05-23T00:00:00"/>
    <n v="0.1"/>
    <n v="105"/>
    <n v="161"/>
  </r>
  <r>
    <x v="97"/>
    <d v="2022-05-23T00:00:00"/>
    <n v="1"/>
    <n v="26.18"/>
    <n v="33"/>
  </r>
  <r>
    <x v="123"/>
    <d v="2022-05-23T00:00:00"/>
    <n v="1"/>
    <n v="279.55"/>
    <n v="392"/>
  </r>
  <r>
    <x v="7"/>
    <d v="2022-05-23T00:00:00"/>
    <n v="1"/>
    <n v="60.55"/>
    <n v="74"/>
  </r>
  <r>
    <x v="106"/>
    <d v="2022-05-23T00:00:00"/>
    <n v="1"/>
    <n v="163.29"/>
    <n v="196"/>
  </r>
  <r>
    <x v="72"/>
    <d v="2022-05-23T00:00:00"/>
    <n v="1"/>
    <n v="57.35"/>
    <n v="72"/>
  </r>
  <r>
    <x v="144"/>
    <d v="2022-05-23T00:00:00"/>
    <n v="1"/>
    <n v="223.14"/>
    <n v="313"/>
  </r>
  <r>
    <x v="96"/>
    <d v="2022-05-23T00:00:00"/>
    <n v="1"/>
    <n v="38.01"/>
    <n v="60"/>
  </r>
  <r>
    <x v="96"/>
    <d v="2022-05-23T00:00:00"/>
    <n v="1"/>
    <n v="38.01"/>
    <n v="60"/>
  </r>
  <r>
    <x v="96"/>
    <d v="2022-05-23T00:00:00"/>
    <n v="1"/>
    <n v="38.01"/>
    <n v="60"/>
  </r>
  <r>
    <x v="55"/>
    <d v="2022-05-23T00:00:00"/>
    <n v="1"/>
    <n v="58.15"/>
    <n v="72"/>
  </r>
  <r>
    <x v="92"/>
    <d v="2022-05-23T00:00:00"/>
    <n v="1"/>
    <n v="426.66"/>
    <n v="564"/>
  </r>
  <r>
    <x v="36"/>
    <d v="2022-05-23T00:00:00"/>
    <n v="1"/>
    <n v="12.35"/>
    <n v="22"/>
  </r>
  <r>
    <x v="95"/>
    <d v="2022-05-23T00:00:00"/>
    <n v="1"/>
    <n v="36.99"/>
    <n v="57"/>
  </r>
  <r>
    <x v="18"/>
    <d v="2022-05-23T00:00:00"/>
    <n v="1"/>
    <n v="109.41"/>
    <n v="123"/>
  </r>
  <r>
    <x v="62"/>
    <d v="2022-05-23T00:00:00"/>
    <n v="1"/>
    <n v="64.91"/>
    <n v="93"/>
  </r>
  <r>
    <x v="90"/>
    <d v="2022-05-23T00:00:00"/>
    <n v="3"/>
    <n v="131.07"/>
    <n v="206"/>
  </r>
  <r>
    <x v="67"/>
    <d v="2022-05-23T00:00:00"/>
    <n v="1"/>
    <n v="556.51"/>
    <n v="735"/>
  </r>
  <r>
    <x v="14"/>
    <d v="2022-05-23T00:00:00"/>
    <n v="1"/>
    <n v="81.95"/>
    <n v="104"/>
  </r>
  <r>
    <x v="18"/>
    <d v="2022-05-23T00:00:00"/>
    <n v="1"/>
    <n v="109.41"/>
    <n v="123"/>
  </r>
  <r>
    <x v="73"/>
    <d v="2022-05-23T00:00:00"/>
    <n v="1"/>
    <n v="69.290000000000006"/>
    <n v="88"/>
  </r>
  <r>
    <x v="31"/>
    <d v="2022-05-23T00:00:00"/>
    <n v="1"/>
    <n v="22"/>
    <n v="28"/>
  </r>
  <r>
    <x v="31"/>
    <d v="2022-05-23T00:00:00"/>
    <n v="1"/>
    <n v="22"/>
    <n v="28"/>
  </r>
  <r>
    <x v="31"/>
    <d v="2022-05-23T00:00:00"/>
    <n v="1"/>
    <n v="22"/>
    <n v="28"/>
  </r>
  <r>
    <x v="15"/>
    <d v="2022-05-23T00:00:00"/>
    <n v="1"/>
    <n v="22.66"/>
    <n v="30"/>
  </r>
  <r>
    <x v="32"/>
    <d v="2022-05-23T00:00:00"/>
    <n v="1"/>
    <n v="51.84"/>
    <n v="65"/>
  </r>
  <r>
    <x v="32"/>
    <d v="2022-05-23T00:00:00"/>
    <n v="1"/>
    <n v="51.84"/>
    <n v="65"/>
  </r>
  <r>
    <x v="32"/>
    <d v="2022-05-23T00:00:00"/>
    <n v="1"/>
    <n v="51.84"/>
    <n v="65"/>
  </r>
  <r>
    <x v="32"/>
    <d v="2022-05-23T00:00:00"/>
    <n v="1"/>
    <n v="36.86"/>
    <n v="47"/>
  </r>
  <r>
    <x v="35"/>
    <d v="2022-05-23T00:00:00"/>
    <n v="1"/>
    <n v="172.76"/>
    <n v="207"/>
  </r>
  <r>
    <x v="129"/>
    <d v="2022-05-23T00:00:00"/>
    <n v="1"/>
    <n v="35.200000000000003"/>
    <n v="54"/>
  </r>
  <r>
    <x v="129"/>
    <d v="2022-05-23T00:00:00"/>
    <n v="1"/>
    <n v="30.95"/>
    <n v="48"/>
  </r>
  <r>
    <x v="129"/>
    <d v="2022-05-23T00:00:00"/>
    <n v="1"/>
    <n v="30.95"/>
    <n v="48"/>
  </r>
  <r>
    <x v="129"/>
    <d v="2022-05-23T00:00:00"/>
    <n v="1"/>
    <n v="30.95"/>
    <n v="48"/>
  </r>
  <r>
    <x v="129"/>
    <d v="2022-05-23T00:00:00"/>
    <n v="1"/>
    <n v="30.95"/>
    <n v="48"/>
  </r>
  <r>
    <x v="58"/>
    <d v="2022-05-23T00:00:00"/>
    <n v="1"/>
    <n v="71.45"/>
    <n v="86"/>
  </r>
  <r>
    <x v="58"/>
    <d v="2022-05-23T00:00:00"/>
    <n v="1"/>
    <n v="71.45"/>
    <n v="86"/>
  </r>
  <r>
    <x v="37"/>
    <d v="2022-05-23T00:00:00"/>
    <n v="1"/>
    <n v="568.22"/>
    <n v="711"/>
  </r>
  <r>
    <x v="6"/>
    <d v="2022-05-23T00:00:00"/>
    <n v="2"/>
    <n v="24.2"/>
    <n v="39"/>
  </r>
  <r>
    <x v="59"/>
    <d v="2022-05-23T00:00:00"/>
    <n v="1"/>
    <n v="201.41"/>
    <n v="278"/>
  </r>
  <r>
    <x v="129"/>
    <d v="2022-05-23T00:00:00"/>
    <n v="1"/>
    <n v="26.86"/>
    <n v="41"/>
  </r>
  <r>
    <x v="129"/>
    <d v="2022-05-23T00:00:00"/>
    <n v="1"/>
    <n v="26.86"/>
    <n v="41"/>
  </r>
  <r>
    <x v="100"/>
    <d v="2022-05-23T00:00:00"/>
    <n v="1"/>
    <n v="26.9"/>
    <n v="44"/>
  </r>
  <r>
    <x v="85"/>
    <d v="2022-05-23T00:00:00"/>
    <n v="1"/>
    <n v="397.02"/>
    <n v="489"/>
  </r>
  <r>
    <x v="2"/>
    <d v="2022-05-23T00:00:00"/>
    <n v="1"/>
    <n v="87.6"/>
    <n v="109"/>
  </r>
  <r>
    <x v="82"/>
    <d v="2022-05-23T00:00:00"/>
    <n v="1"/>
    <n v="347.96"/>
    <n v="394"/>
  </r>
  <r>
    <x v="7"/>
    <d v="2022-05-23T00:00:00"/>
    <n v="1"/>
    <n v="60.55"/>
    <n v="74"/>
  </r>
  <r>
    <x v="27"/>
    <d v="2022-05-23T00:00:00"/>
    <n v="1"/>
    <n v="125.73"/>
    <n v="192"/>
  </r>
  <r>
    <x v="19"/>
    <d v="2022-05-23T00:00:00"/>
    <n v="1"/>
    <n v="107.3"/>
    <n v="126"/>
  </r>
  <r>
    <x v="69"/>
    <d v="2022-05-23T00:00:00"/>
    <n v="1"/>
    <n v="89.28"/>
    <n v="111"/>
  </r>
  <r>
    <x v="31"/>
    <d v="2022-05-23T00:00:00"/>
    <n v="1"/>
    <n v="32.67"/>
    <n v="41"/>
  </r>
  <r>
    <x v="15"/>
    <d v="2022-05-23T00:00:00"/>
    <n v="1"/>
    <n v="19.66"/>
    <n v="25"/>
  </r>
  <r>
    <x v="44"/>
    <d v="2022-05-23T00:00:00"/>
    <n v="1"/>
    <n v="15.32"/>
    <n v="19"/>
  </r>
  <r>
    <x v="100"/>
    <d v="2022-05-23T00:00:00"/>
    <n v="1"/>
    <n v="26.9"/>
    <n v="44"/>
  </r>
  <r>
    <x v="10"/>
    <d v="2022-05-23T00:00:00"/>
    <n v="1"/>
    <n v="34.18"/>
    <n v="56"/>
  </r>
  <r>
    <x v="30"/>
    <d v="2022-05-23T00:00:00"/>
    <n v="1"/>
    <n v="35"/>
    <n v="55"/>
  </r>
  <r>
    <x v="49"/>
    <d v="2022-05-23T00:00:00"/>
    <n v="1"/>
    <n v="723.11"/>
    <n v="933"/>
  </r>
  <r>
    <x v="27"/>
    <d v="2022-05-23T00:00:00"/>
    <n v="1"/>
    <n v="105"/>
    <n v="165"/>
  </r>
  <r>
    <x v="60"/>
    <d v="2022-05-23T00:00:00"/>
    <n v="1"/>
    <n v="184.07"/>
    <n v="216"/>
  </r>
  <r>
    <x v="85"/>
    <d v="2022-05-23T00:00:00"/>
    <n v="1"/>
    <n v="383.81"/>
    <n v="480"/>
  </r>
  <r>
    <x v="151"/>
    <d v="2022-05-23T00:00:00"/>
    <n v="1"/>
    <n v="249.63"/>
    <n v="350"/>
  </r>
  <r>
    <x v="117"/>
    <d v="2022-05-23T00:00:00"/>
    <n v="1"/>
    <n v="20.78"/>
    <n v="26"/>
  </r>
  <r>
    <x v="87"/>
    <d v="2022-05-23T00:00:00"/>
    <n v="2"/>
    <n v="6.2"/>
    <n v="9"/>
  </r>
  <r>
    <x v="24"/>
    <d v="2022-05-23T00:00:00"/>
    <n v="1"/>
    <n v="480.05"/>
    <n v="625"/>
  </r>
  <r>
    <x v="153"/>
    <d v="2022-05-23T00:00:00"/>
    <n v="1"/>
    <n v="31.75"/>
    <n v="39"/>
  </r>
  <r>
    <x v="153"/>
    <d v="2022-05-23T00:00:00"/>
    <n v="1"/>
    <n v="31.75"/>
    <n v="39"/>
  </r>
  <r>
    <x v="153"/>
    <d v="2022-05-23T00:00:00"/>
    <n v="1"/>
    <n v="31.75"/>
    <n v="39"/>
  </r>
  <r>
    <x v="153"/>
    <d v="2022-05-23T00:00:00"/>
    <n v="1"/>
    <n v="31.75"/>
    <n v="39"/>
  </r>
  <r>
    <x v="153"/>
    <d v="2022-05-23T00:00:00"/>
    <n v="1"/>
    <n v="31.75"/>
    <n v="39"/>
  </r>
  <r>
    <x v="153"/>
    <d v="2022-05-23T00:00:00"/>
    <n v="1"/>
    <n v="31.75"/>
    <n v="39"/>
  </r>
  <r>
    <x v="153"/>
    <d v="2022-05-23T00:00:00"/>
    <n v="1"/>
    <n v="31.75"/>
    <n v="39"/>
  </r>
  <r>
    <x v="153"/>
    <d v="2022-05-23T00:00:00"/>
    <n v="1"/>
    <n v="31.75"/>
    <n v="39"/>
  </r>
  <r>
    <x v="153"/>
    <d v="2022-05-23T00:00:00"/>
    <n v="1"/>
    <n v="31.75"/>
    <n v="39"/>
  </r>
  <r>
    <x v="153"/>
    <d v="2022-05-23T00:00:00"/>
    <n v="1"/>
    <n v="31.75"/>
    <n v="39"/>
  </r>
  <r>
    <x v="153"/>
    <d v="2022-05-23T00:00:00"/>
    <n v="1"/>
    <n v="31.75"/>
    <n v="39"/>
  </r>
  <r>
    <x v="153"/>
    <d v="2022-05-23T00:00:00"/>
    <n v="1"/>
    <n v="31.75"/>
    <n v="39"/>
  </r>
  <r>
    <x v="109"/>
    <d v="2022-05-23T00:00:00"/>
    <n v="1"/>
    <n v="74.8"/>
    <n v="92"/>
  </r>
  <r>
    <x v="70"/>
    <d v="2022-05-23T00:00:00"/>
    <n v="0.1"/>
    <n v="466.1"/>
    <n v="709"/>
  </r>
  <r>
    <x v="23"/>
    <d v="2022-05-23T00:00:00"/>
    <n v="1"/>
    <n v="122.75"/>
    <n v="174"/>
  </r>
  <r>
    <x v="68"/>
    <d v="2022-05-23T00:00:00"/>
    <n v="1"/>
    <n v="7.97"/>
    <n v="13"/>
  </r>
  <r>
    <x v="21"/>
    <d v="2022-05-23T00:00:00"/>
    <n v="0.4"/>
    <n v="1026.1199999999999"/>
    <n v="1283"/>
  </r>
  <r>
    <x v="53"/>
    <d v="2022-05-23T00:00:00"/>
    <n v="1"/>
    <n v="76.739999999999995"/>
    <n v="93"/>
  </r>
  <r>
    <x v="2"/>
    <d v="2022-05-23T00:00:00"/>
    <n v="1"/>
    <n v="89.27"/>
    <n v="105"/>
  </r>
  <r>
    <x v="27"/>
    <d v="2022-05-23T00:00:00"/>
    <n v="1"/>
    <n v="125.73"/>
    <n v="192"/>
  </r>
  <r>
    <x v="110"/>
    <d v="2022-05-23T00:00:00"/>
    <n v="1"/>
    <n v="71.02"/>
    <n v="88"/>
  </r>
  <r>
    <x v="53"/>
    <d v="2022-05-23T00:00:00"/>
    <n v="1"/>
    <n v="88.35"/>
    <n v="107"/>
  </r>
  <r>
    <x v="24"/>
    <d v="2022-05-23T00:00:00"/>
    <n v="1"/>
    <n v="489.61"/>
    <n v="661"/>
  </r>
  <r>
    <x v="5"/>
    <d v="2022-05-23T00:00:00"/>
    <n v="1"/>
    <n v="11.55"/>
    <n v="14"/>
  </r>
  <r>
    <x v="48"/>
    <d v="2022-05-23T00:00:00"/>
    <n v="2"/>
    <n v="23.4"/>
    <n v="38"/>
  </r>
  <r>
    <x v="15"/>
    <d v="2022-05-23T00:00:00"/>
    <n v="1"/>
    <n v="19.66"/>
    <n v="25"/>
  </r>
  <r>
    <x v="91"/>
    <d v="2022-05-23T00:00:00"/>
    <n v="1"/>
    <n v="71.650000000000006"/>
    <n v="102"/>
  </r>
  <r>
    <x v="21"/>
    <d v="2022-05-23T00:00:00"/>
    <n v="0.1"/>
    <n v="989.8"/>
    <n v="1238"/>
  </r>
  <r>
    <x v="129"/>
    <d v="2022-05-23T00:00:00"/>
    <n v="1"/>
    <n v="27.41"/>
    <n v="42"/>
  </r>
  <r>
    <x v="61"/>
    <d v="2022-05-23T00:00:00"/>
    <n v="1"/>
    <n v="31.08"/>
    <n v="36"/>
  </r>
  <r>
    <x v="61"/>
    <d v="2022-05-23T00:00:00"/>
    <n v="1"/>
    <n v="31.08"/>
    <n v="36"/>
  </r>
  <r>
    <x v="110"/>
    <d v="2022-05-23T00:00:00"/>
    <n v="1"/>
    <n v="78.12"/>
    <n v="90.16"/>
  </r>
  <r>
    <x v="117"/>
    <d v="2022-05-23T00:00:00"/>
    <n v="1"/>
    <n v="20.78"/>
    <n v="26"/>
  </r>
  <r>
    <x v="53"/>
    <d v="2022-05-23T00:00:00"/>
    <n v="1"/>
    <n v="76.739999999999995"/>
    <n v="93"/>
  </r>
  <r>
    <x v="80"/>
    <d v="2022-05-23T00:00:00"/>
    <n v="1"/>
    <n v="17"/>
    <n v="26"/>
  </r>
  <r>
    <x v="135"/>
    <d v="2022-05-23T00:00:00"/>
    <n v="1"/>
    <n v="156.07"/>
    <n v="188"/>
  </r>
  <r>
    <x v="2"/>
    <d v="2022-05-23T00:00:00"/>
    <n v="1"/>
    <n v="87.6"/>
    <n v="109"/>
  </r>
  <r>
    <x v="74"/>
    <d v="2022-05-23T00:00:00"/>
    <n v="1"/>
    <n v="148.5"/>
    <n v="177"/>
  </r>
  <r>
    <x v="25"/>
    <d v="2022-05-23T00:00:00"/>
    <n v="1"/>
    <n v="155.94"/>
    <n v="185"/>
  </r>
  <r>
    <x v="65"/>
    <d v="2022-05-23T00:00:00"/>
    <n v="1"/>
    <n v="165.32"/>
    <n v="203"/>
  </r>
  <r>
    <x v="22"/>
    <d v="2022-05-23T00:00:00"/>
    <n v="1"/>
    <n v="106.88"/>
    <n v="164"/>
  </r>
  <r>
    <x v="45"/>
    <d v="2022-05-23T00:00:00"/>
    <n v="1"/>
    <n v="43.86"/>
    <n v="56"/>
  </r>
  <r>
    <x v="20"/>
    <d v="2022-05-23T00:00:00"/>
    <n v="1"/>
    <n v="147.18"/>
    <n v="177"/>
  </r>
  <r>
    <x v="27"/>
    <d v="2022-05-23T00:00:00"/>
    <n v="0.5"/>
    <n v="125.73"/>
    <n v="192"/>
  </r>
  <r>
    <x v="130"/>
    <d v="2022-05-23T00:00:00"/>
    <n v="1"/>
    <n v="83.16"/>
    <n v="101"/>
  </r>
  <r>
    <x v="130"/>
    <d v="2022-05-23T00:00:00"/>
    <n v="1"/>
    <n v="83.16"/>
    <n v="101"/>
  </r>
  <r>
    <x v="25"/>
    <d v="2022-05-23T00:00:00"/>
    <n v="1"/>
    <n v="156.19999999999999"/>
    <n v="186"/>
  </r>
  <r>
    <x v="25"/>
    <d v="2022-05-23T00:00:00"/>
    <n v="1"/>
    <n v="156.19999999999999"/>
    <n v="186"/>
  </r>
  <r>
    <x v="93"/>
    <d v="2022-05-23T00:00:00"/>
    <n v="1"/>
    <n v="110.84"/>
    <n v="134"/>
  </r>
  <r>
    <x v="61"/>
    <d v="2022-05-23T00:00:00"/>
    <n v="1"/>
    <n v="30.6"/>
    <n v="36"/>
  </r>
  <r>
    <x v="138"/>
    <d v="2022-05-23T00:00:00"/>
    <n v="1"/>
    <n v="46.59"/>
    <n v="71"/>
  </r>
  <r>
    <x v="24"/>
    <d v="2022-05-23T00:00:00"/>
    <n v="1"/>
    <n v="480.11"/>
    <n v="663"/>
  </r>
  <r>
    <x v="91"/>
    <d v="2022-05-23T00:00:00"/>
    <n v="1"/>
    <n v="70.930000000000007"/>
    <n v="106"/>
  </r>
  <r>
    <x v="60"/>
    <d v="2022-05-23T00:00:00"/>
    <n v="1"/>
    <n v="184.45"/>
    <n v="216"/>
  </r>
  <r>
    <x v="73"/>
    <d v="2022-05-23T00:00:00"/>
    <n v="1"/>
    <n v="69.290000000000006"/>
    <n v="88"/>
  </r>
  <r>
    <x v="75"/>
    <d v="2022-05-23T00:00:00"/>
    <n v="1"/>
    <n v="22.17"/>
    <n v="34"/>
  </r>
  <r>
    <x v="75"/>
    <d v="2022-05-23T00:00:00"/>
    <n v="1"/>
    <n v="22.17"/>
    <n v="34"/>
  </r>
  <r>
    <x v="75"/>
    <d v="2022-05-23T00:00:00"/>
    <n v="1"/>
    <n v="22.17"/>
    <n v="34"/>
  </r>
  <r>
    <x v="75"/>
    <d v="2022-05-23T00:00:00"/>
    <n v="1"/>
    <n v="22.17"/>
    <n v="34"/>
  </r>
  <r>
    <x v="45"/>
    <d v="2022-05-23T00:00:00"/>
    <n v="1"/>
    <n v="42.99"/>
    <n v="54"/>
  </r>
  <r>
    <x v="45"/>
    <d v="2022-05-23T00:00:00"/>
    <n v="1"/>
    <n v="42.99"/>
    <n v="54"/>
  </r>
  <r>
    <x v="113"/>
    <d v="2022-05-23T00:00:00"/>
    <n v="1"/>
    <n v="10.66"/>
    <n v="13"/>
  </r>
  <r>
    <x v="23"/>
    <d v="2022-05-23T00:00:00"/>
    <n v="1"/>
    <n v="150.03"/>
    <n v="212"/>
  </r>
  <r>
    <x v="0"/>
    <d v="2022-05-23T00:00:00"/>
    <n v="1"/>
    <n v="146.1"/>
    <n v="173"/>
  </r>
  <r>
    <x v="150"/>
    <d v="2022-05-23T00:00:00"/>
    <n v="0.08"/>
    <n v="508.78"/>
    <n v="687"/>
  </r>
  <r>
    <x v="150"/>
    <d v="2022-05-23T00:00:00"/>
    <n v="0.16"/>
    <n v="495.54"/>
    <n v="694"/>
  </r>
  <r>
    <x v="110"/>
    <d v="2022-05-23T00:00:00"/>
    <n v="1"/>
    <n v="71.02"/>
    <n v="88"/>
  </r>
  <r>
    <x v="70"/>
    <d v="2022-05-23T00:00:00"/>
    <n v="0.1"/>
    <n v="433.37"/>
    <n v="607"/>
  </r>
  <r>
    <x v="117"/>
    <d v="2022-05-23T00:00:00"/>
    <n v="1"/>
    <n v="23.42"/>
    <n v="28"/>
  </r>
  <r>
    <x v="61"/>
    <d v="2022-05-23T00:00:00"/>
    <n v="1"/>
    <n v="30.6"/>
    <n v="36"/>
  </r>
  <r>
    <x v="31"/>
    <d v="2022-05-23T00:00:00"/>
    <n v="1"/>
    <n v="21.26"/>
    <n v="27"/>
  </r>
  <r>
    <x v="31"/>
    <d v="2022-05-23T00:00:00"/>
    <n v="1"/>
    <n v="21.26"/>
    <n v="27"/>
  </r>
  <r>
    <x v="31"/>
    <d v="2022-05-23T00:00:00"/>
    <n v="1"/>
    <n v="21.26"/>
    <n v="27"/>
  </r>
  <r>
    <x v="31"/>
    <d v="2022-05-23T00:00:00"/>
    <n v="1"/>
    <n v="21.26"/>
    <n v="27"/>
  </r>
  <r>
    <x v="31"/>
    <d v="2022-05-23T00:00:00"/>
    <n v="1"/>
    <n v="21.26"/>
    <n v="27"/>
  </r>
  <r>
    <x v="31"/>
    <d v="2022-05-23T00:00:00"/>
    <n v="1"/>
    <n v="21.26"/>
    <n v="27"/>
  </r>
  <r>
    <x v="33"/>
    <d v="2022-05-23T00:00:00"/>
    <n v="1"/>
    <n v="27.64"/>
    <n v="43"/>
  </r>
  <r>
    <x v="33"/>
    <d v="2022-05-23T00:00:00"/>
    <n v="1"/>
    <n v="27.64"/>
    <n v="43"/>
  </r>
  <r>
    <x v="33"/>
    <d v="2022-05-23T00:00:00"/>
    <n v="1"/>
    <n v="27.64"/>
    <n v="43"/>
  </r>
  <r>
    <x v="43"/>
    <d v="2022-05-23T00:00:00"/>
    <n v="1"/>
    <n v="41.54"/>
    <n v="65"/>
  </r>
  <r>
    <x v="47"/>
    <d v="2022-05-23T00:00:00"/>
    <n v="1"/>
    <n v="205"/>
    <n v="250"/>
  </r>
  <r>
    <x v="0"/>
    <d v="2022-05-23T00:00:00"/>
    <n v="1"/>
    <n v="131.57"/>
    <n v="158"/>
  </r>
  <r>
    <x v="78"/>
    <d v="2022-05-23T00:00:00"/>
    <n v="1"/>
    <n v="207.77"/>
    <n v="241"/>
  </r>
  <r>
    <x v="61"/>
    <d v="2022-05-23T00:00:00"/>
    <n v="1"/>
    <n v="30.6"/>
    <n v="36"/>
  </r>
  <r>
    <x v="144"/>
    <d v="2022-05-23T00:00:00"/>
    <n v="1"/>
    <n v="220"/>
    <n v="308"/>
  </r>
  <r>
    <x v="144"/>
    <d v="2022-05-23T00:00:00"/>
    <n v="1"/>
    <n v="220"/>
    <n v="308"/>
  </r>
  <r>
    <x v="144"/>
    <d v="2022-05-23T00:00:00"/>
    <n v="1"/>
    <n v="220"/>
    <n v="308"/>
  </r>
  <r>
    <x v="52"/>
    <d v="2022-05-23T00:00:00"/>
    <n v="1"/>
    <n v="233.74"/>
    <n v="274"/>
  </r>
  <r>
    <x v="78"/>
    <d v="2022-05-23T00:00:00"/>
    <n v="1"/>
    <n v="201.71"/>
    <n v="239"/>
  </r>
  <r>
    <x v="24"/>
    <d v="2022-05-23T00:00:00"/>
    <n v="1"/>
    <n v="480.11"/>
    <n v="663"/>
  </r>
  <r>
    <x v="42"/>
    <d v="2022-05-23T00:00:00"/>
    <n v="1"/>
    <n v="43.08"/>
    <n v="66"/>
  </r>
  <r>
    <x v="92"/>
    <d v="2022-05-23T00:00:00"/>
    <n v="1"/>
    <n v="421.97"/>
    <n v="545"/>
  </r>
  <r>
    <x v="18"/>
    <d v="2022-05-23T00:00:00"/>
    <n v="1"/>
    <n v="110.08"/>
    <n v="124"/>
  </r>
  <r>
    <x v="57"/>
    <d v="2022-05-23T00:00:00"/>
    <n v="1"/>
    <n v="25.62"/>
    <n v="31"/>
  </r>
  <r>
    <x v="42"/>
    <d v="2022-05-23T00:00:00"/>
    <n v="1"/>
    <n v="43.08"/>
    <n v="66"/>
  </r>
  <r>
    <x v="2"/>
    <d v="2022-05-23T00:00:00"/>
    <n v="1"/>
    <n v="87.6"/>
    <n v="109"/>
  </r>
  <r>
    <x v="20"/>
    <d v="2022-05-23T00:00:00"/>
    <n v="1"/>
    <n v="147.18"/>
    <n v="177"/>
  </r>
  <r>
    <x v="78"/>
    <d v="2022-05-23T00:00:00"/>
    <n v="1"/>
    <n v="201.71"/>
    <n v="239"/>
  </r>
  <r>
    <x v="138"/>
    <d v="2022-05-23T00:00:00"/>
    <n v="1"/>
    <n v="45.54"/>
    <n v="70"/>
  </r>
  <r>
    <x v="138"/>
    <d v="2022-05-23T00:00:00"/>
    <n v="1"/>
    <n v="45.54"/>
    <n v="70"/>
  </r>
  <r>
    <x v="82"/>
    <d v="2022-05-23T00:00:00"/>
    <n v="1"/>
    <n v="347.96"/>
    <n v="394"/>
  </r>
  <r>
    <x v="0"/>
    <d v="2022-05-23T00:00:00"/>
    <n v="1"/>
    <n v="145.6"/>
    <n v="169"/>
  </r>
  <r>
    <x v="13"/>
    <d v="2022-05-23T00:00:00"/>
    <n v="1"/>
    <n v="46"/>
    <n v="73"/>
  </r>
  <r>
    <x v="2"/>
    <d v="2022-05-23T00:00:00"/>
    <n v="1"/>
    <n v="87.6"/>
    <n v="109"/>
  </r>
  <r>
    <x v="93"/>
    <d v="2022-05-23T00:00:00"/>
    <n v="1"/>
    <n v="112.37"/>
    <n v="135"/>
  </r>
  <r>
    <x v="21"/>
    <d v="2022-05-23T00:00:00"/>
    <n v="0.1"/>
    <n v="989.8"/>
    <n v="1307"/>
  </r>
  <r>
    <x v="151"/>
    <d v="2022-05-23T00:00:00"/>
    <n v="1"/>
    <n v="251.37"/>
    <n v="347"/>
  </r>
  <r>
    <x v="45"/>
    <d v="2022-05-23T00:00:00"/>
    <n v="1"/>
    <n v="42.99"/>
    <n v="54"/>
  </r>
  <r>
    <x v="74"/>
    <d v="2022-05-23T00:00:00"/>
    <n v="1"/>
    <n v="148.5"/>
    <n v="177"/>
  </r>
  <r>
    <x v="90"/>
    <d v="2022-05-23T00:00:00"/>
    <n v="1"/>
    <n v="131.07"/>
    <n v="206"/>
  </r>
  <r>
    <x v="119"/>
    <d v="2022-05-23T00:00:00"/>
    <n v="1"/>
    <n v="42.85"/>
    <n v="70"/>
  </r>
  <r>
    <x v="64"/>
    <d v="2022-05-23T00:00:00"/>
    <n v="1"/>
    <n v="19.989999999999998"/>
    <n v="24"/>
  </r>
  <r>
    <x v="52"/>
    <d v="2022-05-23T00:00:00"/>
    <n v="1"/>
    <n v="225.2"/>
    <n v="264"/>
  </r>
  <r>
    <x v="73"/>
    <d v="2022-05-23T00:00:00"/>
    <n v="1"/>
    <n v="69.290000000000006"/>
    <n v="88"/>
  </r>
  <r>
    <x v="105"/>
    <d v="2022-05-23T00:00:00"/>
    <n v="1"/>
    <n v="215.6"/>
    <n v="302"/>
  </r>
  <r>
    <x v="144"/>
    <d v="2022-05-23T00:00:00"/>
    <n v="1"/>
    <n v="218.9"/>
    <n v="296"/>
  </r>
  <r>
    <x v="144"/>
    <d v="2022-05-23T00:00:00"/>
    <n v="1"/>
    <n v="218.9"/>
    <n v="296"/>
  </r>
  <r>
    <x v="93"/>
    <d v="2022-05-23T00:00:00"/>
    <n v="1"/>
    <n v="111.85"/>
    <n v="135"/>
  </r>
  <r>
    <x v="88"/>
    <d v="2022-05-23T00:00:00"/>
    <n v="1"/>
    <n v="68.599999999999994"/>
    <n v="98"/>
  </r>
  <r>
    <x v="150"/>
    <d v="2022-05-23T00:00:00"/>
    <n v="0.16"/>
    <n v="495.54"/>
    <n v="694"/>
  </r>
  <r>
    <x v="65"/>
    <d v="2022-05-23T00:00:00"/>
    <n v="1"/>
    <n v="163.37"/>
    <n v="197"/>
  </r>
  <r>
    <x v="127"/>
    <d v="2022-05-23T00:00:00"/>
    <n v="1"/>
    <n v="58.23"/>
    <n v="87"/>
  </r>
  <r>
    <x v="44"/>
    <d v="2022-05-23T00:00:00"/>
    <n v="1"/>
    <n v="15.8"/>
    <n v="19"/>
  </r>
  <r>
    <x v="97"/>
    <d v="2022-05-23T00:00:00"/>
    <n v="1"/>
    <n v="26"/>
    <n v="32"/>
  </r>
  <r>
    <x v="142"/>
    <d v="2022-05-23T00:00:00"/>
    <n v="1"/>
    <n v="135.47"/>
    <n v="183"/>
  </r>
  <r>
    <x v="80"/>
    <d v="2022-05-23T00:00:00"/>
    <n v="1"/>
    <n v="15.51"/>
    <n v="25"/>
  </r>
  <r>
    <x v="80"/>
    <d v="2022-05-23T00:00:00"/>
    <n v="1"/>
    <n v="15.51"/>
    <n v="25"/>
  </r>
  <r>
    <x v="80"/>
    <d v="2022-05-23T00:00:00"/>
    <n v="1"/>
    <n v="15.51"/>
    <n v="25"/>
  </r>
  <r>
    <x v="26"/>
    <d v="2022-05-23T00:00:00"/>
    <n v="1"/>
    <n v="13.05"/>
    <n v="18"/>
  </r>
  <r>
    <x v="26"/>
    <d v="2022-05-23T00:00:00"/>
    <n v="1"/>
    <n v="13.05"/>
    <n v="18"/>
  </r>
  <r>
    <x v="26"/>
    <d v="2022-05-23T00:00:00"/>
    <n v="1"/>
    <n v="13.05"/>
    <n v="18"/>
  </r>
  <r>
    <x v="26"/>
    <d v="2022-05-23T00:00:00"/>
    <n v="1"/>
    <n v="13.05"/>
    <n v="18"/>
  </r>
  <r>
    <x v="26"/>
    <d v="2022-05-23T00:00:00"/>
    <n v="1"/>
    <n v="13.05"/>
    <n v="18"/>
  </r>
  <r>
    <x v="40"/>
    <d v="2022-05-23T00:00:00"/>
    <n v="1"/>
    <n v="26.71"/>
    <n v="46"/>
  </r>
  <r>
    <x v="50"/>
    <d v="2022-05-23T00:00:00"/>
    <n v="1"/>
    <n v="77.510000000000005"/>
    <n v="94"/>
  </r>
  <r>
    <x v="30"/>
    <d v="2022-05-23T00:00:00"/>
    <n v="1"/>
    <n v="35"/>
    <n v="54"/>
  </r>
  <r>
    <x v="30"/>
    <d v="2022-05-23T00:00:00"/>
    <n v="1"/>
    <n v="35"/>
    <n v="54"/>
  </r>
  <r>
    <x v="110"/>
    <d v="2022-05-23T00:00:00"/>
    <n v="1"/>
    <n v="71.02"/>
    <n v="88"/>
  </r>
  <r>
    <x v="87"/>
    <d v="2022-05-23T00:00:00"/>
    <n v="2"/>
    <n v="6.2"/>
    <n v="9"/>
  </r>
  <r>
    <x v="15"/>
    <d v="2022-05-23T00:00:00"/>
    <n v="1"/>
    <n v="19.66"/>
    <n v="25"/>
  </r>
  <r>
    <x v="15"/>
    <d v="2022-05-23T00:00:00"/>
    <n v="1"/>
    <n v="19.66"/>
    <n v="25"/>
  </r>
  <r>
    <x v="0"/>
    <d v="2022-05-23T00:00:00"/>
    <n v="1"/>
    <n v="132.94"/>
    <n v="160"/>
  </r>
  <r>
    <x v="117"/>
    <d v="2022-05-23T00:00:00"/>
    <n v="1"/>
    <n v="22.5"/>
    <n v="27"/>
  </r>
  <r>
    <x v="122"/>
    <d v="2022-05-23T00:00:00"/>
    <n v="1"/>
    <n v="119.8"/>
    <n v="169"/>
  </r>
  <r>
    <x v="35"/>
    <d v="2022-05-23T00:00:00"/>
    <n v="1"/>
    <n v="172.76"/>
    <n v="207"/>
  </r>
  <r>
    <x v="130"/>
    <d v="2022-05-23T00:00:00"/>
    <n v="1"/>
    <n v="73.5"/>
    <n v="91"/>
  </r>
  <r>
    <x v="117"/>
    <d v="2022-05-23T00:00:00"/>
    <n v="1"/>
    <n v="22.5"/>
    <n v="27"/>
  </r>
  <r>
    <x v="95"/>
    <d v="2022-05-23T00:00:00"/>
    <n v="1"/>
    <n v="39.49"/>
    <n v="62"/>
  </r>
  <r>
    <x v="72"/>
    <d v="2022-05-23T00:00:00"/>
    <n v="1"/>
    <n v="60.3"/>
    <n v="75"/>
  </r>
  <r>
    <x v="34"/>
    <d v="2022-05-23T00:00:00"/>
    <n v="2"/>
    <n v="9.9499999999999993"/>
    <n v="17"/>
  </r>
  <r>
    <x v="62"/>
    <d v="2022-05-23T00:00:00"/>
    <n v="1"/>
    <n v="55.46"/>
    <n v="79"/>
  </r>
  <r>
    <x v="92"/>
    <d v="2022-05-23T00:00:00"/>
    <n v="1"/>
    <n v="487.96"/>
    <n v="511"/>
  </r>
  <r>
    <x v="51"/>
    <d v="2022-05-23T00:00:00"/>
    <n v="1"/>
    <n v="43.97"/>
    <n v="67"/>
  </r>
  <r>
    <x v="51"/>
    <d v="2022-05-23T00:00:00"/>
    <n v="1"/>
    <n v="43.97"/>
    <n v="67"/>
  </r>
  <r>
    <x v="65"/>
    <d v="2022-05-23T00:00:00"/>
    <n v="1"/>
    <n v="184.39"/>
    <n v="218"/>
  </r>
  <r>
    <x v="149"/>
    <d v="2022-05-23T00:00:00"/>
    <n v="1"/>
    <n v="124.78"/>
    <n v="149"/>
  </r>
  <r>
    <x v="149"/>
    <d v="2022-05-23T00:00:00"/>
    <n v="1"/>
    <n v="124.78"/>
    <n v="149"/>
  </r>
  <r>
    <x v="149"/>
    <d v="2022-05-23T00:00:00"/>
    <n v="1"/>
    <n v="124.78"/>
    <n v="149"/>
  </r>
  <r>
    <x v="149"/>
    <d v="2022-05-23T00:00:00"/>
    <n v="1"/>
    <n v="125.78"/>
    <n v="150"/>
  </r>
  <r>
    <x v="69"/>
    <d v="2022-05-23T00:00:00"/>
    <n v="1"/>
    <n v="88.33"/>
    <n v="110"/>
  </r>
  <r>
    <x v="94"/>
    <d v="2022-05-23T00:00:00"/>
    <n v="1"/>
    <n v="64.25"/>
    <n v="76"/>
  </r>
  <r>
    <x v="57"/>
    <d v="2022-05-23T00:00:00"/>
    <n v="1"/>
    <n v="24.97"/>
    <n v="30"/>
  </r>
  <r>
    <x v="141"/>
    <d v="2022-05-23T00:00:00"/>
    <n v="1"/>
    <n v="407.84"/>
    <n v="457"/>
  </r>
  <r>
    <x v="46"/>
    <d v="2022-05-22T00:00:00"/>
    <n v="4"/>
    <n v="2.1800000000000002"/>
    <n v="4"/>
  </r>
  <r>
    <x v="155"/>
    <d v="2022-05-22T00:00:00"/>
    <n v="1"/>
    <n v="80.73"/>
    <n v="100"/>
  </r>
  <r>
    <x v="26"/>
    <d v="2022-05-22T00:00:00"/>
    <n v="1"/>
    <n v="13.05"/>
    <n v="18"/>
  </r>
  <r>
    <x v="26"/>
    <d v="2022-05-22T00:00:00"/>
    <n v="1"/>
    <n v="13.05"/>
    <n v="18"/>
  </r>
  <r>
    <x v="26"/>
    <d v="2022-05-22T00:00:00"/>
    <n v="1"/>
    <n v="13.05"/>
    <n v="18"/>
  </r>
  <r>
    <x v="26"/>
    <d v="2022-05-22T00:00:00"/>
    <n v="1"/>
    <n v="13.05"/>
    <n v="18"/>
  </r>
  <r>
    <x v="26"/>
    <d v="2022-05-22T00:00:00"/>
    <n v="1"/>
    <n v="13.05"/>
    <n v="18"/>
  </r>
  <r>
    <x v="109"/>
    <d v="2022-05-22T00:00:00"/>
    <n v="1"/>
    <n v="74.8"/>
    <n v="94"/>
  </r>
  <r>
    <x v="13"/>
    <d v="2022-05-22T00:00:00"/>
    <n v="1"/>
    <n v="46"/>
    <n v="72"/>
  </r>
  <r>
    <x v="47"/>
    <d v="2022-05-22T00:00:00"/>
    <n v="1"/>
    <n v="205"/>
    <n v="250"/>
  </r>
  <r>
    <x v="30"/>
    <d v="2022-05-22T00:00:00"/>
    <n v="1"/>
    <n v="35"/>
    <n v="54"/>
  </r>
  <r>
    <x v="146"/>
    <d v="2022-05-22T00:00:00"/>
    <n v="1"/>
    <n v="26.81"/>
    <n v="32"/>
  </r>
  <r>
    <x v="120"/>
    <d v="2022-05-22T00:00:00"/>
    <n v="1"/>
    <n v="332.31"/>
    <n v="439"/>
  </r>
  <r>
    <x v="31"/>
    <d v="2022-05-22T00:00:00"/>
    <n v="1"/>
    <n v="22"/>
    <n v="28"/>
  </r>
  <r>
    <x v="31"/>
    <d v="2022-05-22T00:00:00"/>
    <n v="1"/>
    <n v="22"/>
    <n v="28"/>
  </r>
  <r>
    <x v="15"/>
    <d v="2022-05-22T00:00:00"/>
    <n v="1"/>
    <n v="22.66"/>
    <n v="30"/>
  </r>
  <r>
    <x v="15"/>
    <d v="2022-05-22T00:00:00"/>
    <n v="1"/>
    <n v="22.66"/>
    <n v="30"/>
  </r>
  <r>
    <x v="126"/>
    <d v="2022-05-22T00:00:00"/>
    <n v="1"/>
    <n v="356.07"/>
    <n v="428"/>
  </r>
  <r>
    <x v="34"/>
    <d v="2022-05-22T00:00:00"/>
    <n v="2"/>
    <n v="9.9499999999999993"/>
    <n v="17"/>
  </r>
  <r>
    <x v="19"/>
    <d v="2022-05-22T00:00:00"/>
    <n v="1"/>
    <n v="96.43"/>
    <n v="113"/>
  </r>
  <r>
    <x v="22"/>
    <d v="2022-05-22T00:00:00"/>
    <n v="1"/>
    <n v="106.88"/>
    <n v="164"/>
  </r>
  <r>
    <x v="154"/>
    <d v="2022-05-22T00:00:00"/>
    <n v="1"/>
    <n v="50.63"/>
    <n v="65"/>
  </r>
  <r>
    <x v="129"/>
    <d v="2022-05-22T00:00:00"/>
    <n v="1"/>
    <n v="26.87"/>
    <n v="41"/>
  </r>
  <r>
    <x v="79"/>
    <d v="2022-05-22T00:00:00"/>
    <n v="1"/>
    <n v="175.74"/>
    <n v="220"/>
  </r>
  <r>
    <x v="40"/>
    <d v="2022-05-22T00:00:00"/>
    <n v="1"/>
    <n v="29.26"/>
    <n v="48"/>
  </r>
  <r>
    <x v="60"/>
    <d v="2022-05-22T00:00:00"/>
    <n v="1"/>
    <n v="185.56"/>
    <n v="218"/>
  </r>
  <r>
    <x v="110"/>
    <d v="2022-05-22T00:00:00"/>
    <n v="1"/>
    <n v="71.31"/>
    <n v="88"/>
  </r>
  <r>
    <x v="99"/>
    <d v="2022-05-22T00:00:00"/>
    <n v="1"/>
    <n v="45.33"/>
    <n v="58"/>
  </r>
  <r>
    <x v="64"/>
    <d v="2022-05-22T00:00:00"/>
    <n v="1"/>
    <n v="19.989999999999998"/>
    <n v="24"/>
  </r>
  <r>
    <x v="10"/>
    <d v="2022-05-22T00:00:00"/>
    <n v="1"/>
    <n v="55.5"/>
    <n v="87"/>
  </r>
  <r>
    <x v="59"/>
    <d v="2022-05-22T00:00:00"/>
    <n v="1"/>
    <n v="201.41"/>
    <n v="278"/>
  </r>
  <r>
    <x v="55"/>
    <d v="2022-05-22T00:00:00"/>
    <n v="1"/>
    <n v="57.64"/>
    <n v="72"/>
  </r>
  <r>
    <x v="117"/>
    <d v="2022-05-22T00:00:00"/>
    <n v="1"/>
    <n v="23.27"/>
    <n v="28"/>
  </r>
  <r>
    <x v="117"/>
    <d v="2022-05-22T00:00:00"/>
    <n v="1"/>
    <n v="23.27"/>
    <n v="28"/>
  </r>
  <r>
    <x v="117"/>
    <d v="2022-05-22T00:00:00"/>
    <n v="1"/>
    <n v="23.27"/>
    <n v="28"/>
  </r>
  <r>
    <x v="117"/>
    <d v="2022-05-22T00:00:00"/>
    <n v="1"/>
    <n v="23.27"/>
    <n v="28"/>
  </r>
  <r>
    <x v="23"/>
    <d v="2022-05-22T00:00:00"/>
    <n v="1"/>
    <n v="148.83000000000001"/>
    <n v="207"/>
  </r>
  <r>
    <x v="87"/>
    <d v="2022-05-22T00:00:00"/>
    <n v="1"/>
    <n v="15"/>
    <n v="20"/>
  </r>
  <r>
    <x v="2"/>
    <d v="2022-05-22T00:00:00"/>
    <n v="1"/>
    <n v="89.27"/>
    <n v="113"/>
  </r>
  <r>
    <x v="129"/>
    <d v="2022-05-22T00:00:00"/>
    <n v="1"/>
    <n v="27.41"/>
    <n v="42"/>
  </r>
  <r>
    <x v="129"/>
    <d v="2022-05-22T00:00:00"/>
    <n v="1"/>
    <n v="27.41"/>
    <n v="42"/>
  </r>
  <r>
    <x v="129"/>
    <d v="2022-05-22T00:00:00"/>
    <n v="1"/>
    <n v="27.41"/>
    <n v="42"/>
  </r>
  <r>
    <x v="19"/>
    <d v="2022-05-22T00:00:00"/>
    <n v="1"/>
    <n v="96.43"/>
    <n v="113"/>
  </r>
  <r>
    <x v="83"/>
    <d v="2022-05-22T00:00:00"/>
    <n v="0.2"/>
    <n v="106.51"/>
    <n v="163"/>
  </r>
  <r>
    <x v="57"/>
    <d v="2022-05-22T00:00:00"/>
    <n v="1"/>
    <n v="25.62"/>
    <n v="31"/>
  </r>
  <r>
    <x v="0"/>
    <d v="2022-05-22T00:00:00"/>
    <n v="1"/>
    <n v="132.94"/>
    <n v="160"/>
  </r>
  <r>
    <x v="31"/>
    <d v="2022-05-22T00:00:00"/>
    <n v="1"/>
    <n v="22"/>
    <n v="28"/>
  </r>
  <r>
    <x v="31"/>
    <d v="2022-05-22T00:00:00"/>
    <n v="1"/>
    <n v="22"/>
    <n v="28"/>
  </r>
  <r>
    <x v="113"/>
    <d v="2022-05-22T00:00:00"/>
    <n v="1"/>
    <n v="11.1"/>
    <n v="13"/>
  </r>
  <r>
    <x v="145"/>
    <d v="2022-05-22T00:00:00"/>
    <n v="1"/>
    <n v="82.64"/>
    <n v="129"/>
  </r>
  <r>
    <x v="151"/>
    <d v="2022-05-22T00:00:00"/>
    <n v="1"/>
    <n v="249.76"/>
    <n v="350"/>
  </r>
  <r>
    <x v="37"/>
    <d v="2022-05-22T00:00:00"/>
    <n v="1"/>
    <n v="566.04"/>
    <n v="634"/>
  </r>
  <r>
    <x v="86"/>
    <d v="2022-05-22T00:00:00"/>
    <n v="1"/>
    <n v="36.51"/>
    <n v="63"/>
  </r>
  <r>
    <x v="29"/>
    <d v="2022-05-22T00:00:00"/>
    <n v="1"/>
    <n v="199.32"/>
    <n v="230"/>
  </r>
  <r>
    <x v="124"/>
    <d v="2022-05-22T00:00:00"/>
    <n v="0.12"/>
    <n v="495.19"/>
    <n v="596"/>
  </r>
  <r>
    <x v="105"/>
    <d v="2022-05-22T00:00:00"/>
    <n v="1"/>
    <n v="215.6"/>
    <n v="302"/>
  </r>
  <r>
    <x v="91"/>
    <d v="2022-05-22T00:00:00"/>
    <n v="1"/>
    <n v="72.42"/>
    <n v="103"/>
  </r>
  <r>
    <x v="13"/>
    <d v="2022-05-22T00:00:00"/>
    <n v="1"/>
    <n v="46"/>
    <n v="70"/>
  </r>
  <r>
    <x v="49"/>
    <d v="2022-05-22T00:00:00"/>
    <n v="1"/>
    <n v="723.11"/>
    <n v="933"/>
  </r>
  <r>
    <x v="124"/>
    <d v="2022-05-22T00:00:00"/>
    <n v="0.12"/>
    <n v="495.19"/>
    <n v="596"/>
  </r>
  <r>
    <x v="45"/>
    <d v="2022-05-22T00:00:00"/>
    <n v="1"/>
    <n v="43.86"/>
    <n v="55"/>
  </r>
  <r>
    <x v="45"/>
    <d v="2022-05-22T00:00:00"/>
    <n v="1"/>
    <n v="43.86"/>
    <n v="55"/>
  </r>
  <r>
    <x v="26"/>
    <d v="2022-05-22T00:00:00"/>
    <n v="1"/>
    <n v="13.19"/>
    <n v="18"/>
  </r>
  <r>
    <x v="26"/>
    <d v="2022-05-22T00:00:00"/>
    <n v="1"/>
    <n v="13.19"/>
    <n v="18"/>
  </r>
  <r>
    <x v="88"/>
    <d v="2022-05-22T00:00:00"/>
    <n v="1"/>
    <n v="77.760000000000005"/>
    <n v="111"/>
  </r>
  <r>
    <x v="75"/>
    <d v="2022-05-22T00:00:00"/>
    <n v="1"/>
    <n v="28.19"/>
    <n v="45"/>
  </r>
  <r>
    <x v="90"/>
    <d v="2022-05-22T00:00:00"/>
    <n v="0.3"/>
    <n v="129.4"/>
    <n v="197"/>
  </r>
  <r>
    <x v="90"/>
    <d v="2022-05-22T00:00:00"/>
    <n v="0.2"/>
    <n v="130.65"/>
    <n v="199"/>
  </r>
  <r>
    <x v="47"/>
    <d v="2022-05-22T00:00:00"/>
    <n v="1"/>
    <n v="221.19"/>
    <n v="262"/>
  </r>
  <r>
    <x v="31"/>
    <d v="2022-05-22T00:00:00"/>
    <n v="1"/>
    <n v="22"/>
    <n v="28"/>
  </r>
  <r>
    <x v="24"/>
    <d v="2022-05-22T00:00:00"/>
    <n v="1"/>
    <n v="480.05"/>
    <n v="625"/>
  </r>
  <r>
    <x v="132"/>
    <d v="2022-05-22T00:00:00"/>
    <n v="1"/>
    <n v="9.6199999999999992"/>
    <n v="16"/>
  </r>
  <r>
    <x v="132"/>
    <d v="2022-05-22T00:00:00"/>
    <n v="2"/>
    <n v="9.6199999999999992"/>
    <n v="16"/>
  </r>
  <r>
    <x v="15"/>
    <d v="2022-05-22T00:00:00"/>
    <n v="1"/>
    <n v="19.71"/>
    <n v="25"/>
  </r>
  <r>
    <x v="82"/>
    <d v="2022-05-22T00:00:00"/>
    <n v="1"/>
    <n v="347.96"/>
    <n v="394"/>
  </r>
  <r>
    <x v="79"/>
    <d v="2022-05-22T00:00:00"/>
    <n v="1"/>
    <n v="153.22999999999999"/>
    <n v="177"/>
  </r>
  <r>
    <x v="95"/>
    <d v="2022-05-22T00:00:00"/>
    <n v="1"/>
    <n v="35.49"/>
    <n v="55"/>
  </r>
  <r>
    <x v="31"/>
    <d v="2022-05-22T00:00:00"/>
    <n v="1"/>
    <n v="22.93"/>
    <n v="29"/>
  </r>
  <r>
    <x v="15"/>
    <d v="2022-05-22T00:00:00"/>
    <n v="1"/>
    <n v="19.71"/>
    <n v="25"/>
  </r>
  <r>
    <x v="29"/>
    <d v="2022-05-22T00:00:00"/>
    <n v="1"/>
    <n v="199.32"/>
    <n v="230"/>
  </r>
  <r>
    <x v="23"/>
    <d v="2022-05-22T00:00:00"/>
    <n v="1"/>
    <n v="150.03"/>
    <n v="212"/>
  </r>
  <r>
    <x v="1"/>
    <d v="2022-05-22T00:00:00"/>
    <n v="0.2"/>
    <n v="433.76"/>
    <n v="543"/>
  </r>
  <r>
    <x v="51"/>
    <d v="2022-05-22T00:00:00"/>
    <n v="1"/>
    <n v="43.97"/>
    <n v="69"/>
  </r>
  <r>
    <x v="82"/>
    <d v="2022-05-22T00:00:00"/>
    <n v="1"/>
    <n v="323.66000000000003"/>
    <n v="389"/>
  </r>
  <r>
    <x v="155"/>
    <d v="2022-05-22T00:00:00"/>
    <n v="1"/>
    <n v="80.73"/>
    <n v="100"/>
  </r>
  <r>
    <x v="155"/>
    <d v="2022-05-22T00:00:00"/>
    <n v="1"/>
    <n v="80.73"/>
    <n v="100"/>
  </r>
  <r>
    <x v="29"/>
    <d v="2022-05-22T00:00:00"/>
    <n v="1"/>
    <n v="199.32"/>
    <n v="230"/>
  </r>
  <r>
    <x v="145"/>
    <d v="2022-05-22T00:00:00"/>
    <n v="1"/>
    <n v="82.64"/>
    <n v="129"/>
  </r>
  <r>
    <x v="144"/>
    <d v="2022-05-22T00:00:00"/>
    <n v="1"/>
    <n v="220"/>
    <n v="308"/>
  </r>
  <r>
    <x v="144"/>
    <d v="2022-05-22T00:00:00"/>
    <n v="1"/>
    <n v="220"/>
    <n v="308"/>
  </r>
  <r>
    <x v="130"/>
    <d v="2022-05-22T00:00:00"/>
    <n v="1"/>
    <n v="71.209999999999994"/>
    <n v="89"/>
  </r>
  <r>
    <x v="130"/>
    <d v="2022-05-22T00:00:00"/>
    <n v="1"/>
    <n v="71.209999999999994"/>
    <n v="89"/>
  </r>
  <r>
    <x v="20"/>
    <d v="2022-05-22T00:00:00"/>
    <n v="1"/>
    <n v="147.18"/>
    <n v="180"/>
  </r>
  <r>
    <x v="22"/>
    <d v="2022-05-22T00:00:00"/>
    <n v="1"/>
    <n v="106.88"/>
    <n v="164"/>
  </r>
  <r>
    <x v="135"/>
    <d v="2022-05-22T00:00:00"/>
    <n v="1"/>
    <n v="155.13"/>
    <n v="187"/>
  </r>
  <r>
    <x v="135"/>
    <d v="2022-05-22T00:00:00"/>
    <n v="1"/>
    <n v="155.13"/>
    <n v="187"/>
  </r>
  <r>
    <x v="108"/>
    <d v="2022-05-22T00:00:00"/>
    <n v="1"/>
    <n v="136.57"/>
    <n v="158"/>
  </r>
  <r>
    <x v="42"/>
    <d v="2022-05-22T00:00:00"/>
    <n v="1"/>
    <n v="43.08"/>
    <n v="66"/>
  </r>
  <r>
    <x v="26"/>
    <d v="2022-05-22T00:00:00"/>
    <n v="1"/>
    <n v="13.05"/>
    <n v="18"/>
  </r>
  <r>
    <x v="52"/>
    <d v="2022-05-22T00:00:00"/>
    <n v="1"/>
    <n v="225.2"/>
    <n v="264"/>
  </r>
  <r>
    <x v="155"/>
    <d v="2022-05-22T00:00:00"/>
    <n v="1"/>
    <n v="81.8"/>
    <n v="99"/>
  </r>
  <r>
    <x v="154"/>
    <d v="2022-05-22T00:00:00"/>
    <n v="1"/>
    <n v="52.24"/>
    <n v="64"/>
  </r>
  <r>
    <x v="154"/>
    <d v="2022-05-22T00:00:00"/>
    <n v="1"/>
    <n v="52.24"/>
    <n v="64"/>
  </r>
  <r>
    <x v="2"/>
    <d v="2022-05-22T00:00:00"/>
    <n v="1"/>
    <n v="87.6"/>
    <n v="109"/>
  </r>
  <r>
    <x v="155"/>
    <d v="2022-05-22T00:00:00"/>
    <n v="1"/>
    <n v="81.8"/>
    <n v="99"/>
  </r>
  <r>
    <x v="51"/>
    <d v="2022-05-22T00:00:00"/>
    <n v="1"/>
    <n v="43.97"/>
    <n v="67"/>
  </r>
  <r>
    <x v="52"/>
    <d v="2022-05-22T00:00:00"/>
    <n v="1"/>
    <n v="233.74"/>
    <n v="262"/>
  </r>
  <r>
    <x v="55"/>
    <d v="2022-05-22T00:00:00"/>
    <n v="1"/>
    <n v="58.08"/>
    <n v="73"/>
  </r>
  <r>
    <x v="51"/>
    <d v="2022-05-22T00:00:00"/>
    <n v="1"/>
    <n v="43.86"/>
    <n v="67"/>
  </r>
  <r>
    <x v="142"/>
    <d v="2022-05-22T00:00:00"/>
    <n v="1"/>
    <n v="136.72999999999999"/>
    <n v="185"/>
  </r>
  <r>
    <x v="90"/>
    <d v="2022-05-22T00:00:00"/>
    <n v="1"/>
    <n v="131.07"/>
    <n v="206"/>
  </r>
  <r>
    <x v="88"/>
    <d v="2022-05-22T00:00:00"/>
    <n v="1"/>
    <n v="84.22"/>
    <n v="124"/>
  </r>
  <r>
    <x v="19"/>
    <d v="2022-05-22T00:00:00"/>
    <n v="1"/>
    <n v="96.14"/>
    <n v="118"/>
  </r>
  <r>
    <x v="136"/>
    <d v="2022-05-22T00:00:00"/>
    <n v="1"/>
    <n v="10.76"/>
    <n v="18"/>
  </r>
  <r>
    <x v="150"/>
    <d v="2022-05-22T00:00:00"/>
    <n v="0.2"/>
    <n v="508.78"/>
    <n v="687"/>
  </r>
  <r>
    <x v="91"/>
    <d v="2022-05-22T00:00:00"/>
    <n v="1"/>
    <n v="72.42"/>
    <n v="103"/>
  </r>
  <r>
    <x v="48"/>
    <d v="2022-05-22T00:00:00"/>
    <n v="1"/>
    <n v="23.4"/>
    <n v="38"/>
  </r>
  <r>
    <x v="82"/>
    <d v="2022-05-22T00:00:00"/>
    <n v="1"/>
    <n v="323.66000000000003"/>
    <n v="389"/>
  </r>
  <r>
    <x v="154"/>
    <d v="2022-05-22T00:00:00"/>
    <n v="1"/>
    <n v="51.18"/>
    <n v="63"/>
  </r>
  <r>
    <x v="27"/>
    <d v="2022-05-22T00:00:00"/>
    <n v="1"/>
    <n v="105"/>
    <n v="165"/>
  </r>
  <r>
    <x v="26"/>
    <d v="2022-05-22T00:00:00"/>
    <n v="1"/>
    <n v="13.19"/>
    <n v="18"/>
  </r>
  <r>
    <x v="54"/>
    <d v="2022-05-22T00:00:00"/>
    <n v="4"/>
    <n v="14.14"/>
    <n v="23"/>
  </r>
  <r>
    <x v="25"/>
    <d v="2022-05-22T00:00:00"/>
    <n v="1"/>
    <n v="156.19999999999999"/>
    <n v="186"/>
  </r>
  <r>
    <x v="14"/>
    <d v="2022-05-22T00:00:00"/>
    <n v="1"/>
    <n v="81.73"/>
    <n v="102"/>
  </r>
  <r>
    <x v="94"/>
    <d v="2022-05-22T00:00:00"/>
    <n v="1"/>
    <n v="74.3"/>
    <n v="91"/>
  </r>
  <r>
    <x v="0"/>
    <d v="2022-05-22T00:00:00"/>
    <n v="1"/>
    <n v="145.6"/>
    <n v="172"/>
  </r>
  <r>
    <x v="2"/>
    <d v="2022-05-22T00:00:00"/>
    <n v="1"/>
    <n v="89.27"/>
    <n v="113"/>
  </r>
  <r>
    <x v="78"/>
    <d v="2022-05-22T00:00:00"/>
    <n v="1"/>
    <n v="207.77"/>
    <n v="241"/>
  </r>
  <r>
    <x v="26"/>
    <d v="2022-05-22T00:00:00"/>
    <n v="1"/>
    <n v="13.1"/>
    <n v="18"/>
  </r>
  <r>
    <x v="26"/>
    <d v="2022-05-22T00:00:00"/>
    <n v="1"/>
    <n v="13.1"/>
    <n v="18"/>
  </r>
  <r>
    <x v="26"/>
    <d v="2022-05-22T00:00:00"/>
    <n v="1"/>
    <n v="13.1"/>
    <n v="18"/>
  </r>
  <r>
    <x v="26"/>
    <d v="2022-05-22T00:00:00"/>
    <n v="1"/>
    <n v="13.1"/>
    <n v="18"/>
  </r>
  <r>
    <x v="26"/>
    <d v="2022-05-22T00:00:00"/>
    <n v="1"/>
    <n v="13.1"/>
    <n v="18"/>
  </r>
  <r>
    <x v="88"/>
    <d v="2022-05-22T00:00:00"/>
    <n v="1"/>
    <n v="84.22"/>
    <n v="124"/>
  </r>
  <r>
    <x v="126"/>
    <d v="2022-05-22T00:00:00"/>
    <n v="1"/>
    <n v="360"/>
    <n v="414"/>
  </r>
  <r>
    <x v="142"/>
    <d v="2022-05-22T00:00:00"/>
    <n v="1"/>
    <n v="137.55000000000001"/>
    <n v="189"/>
  </r>
  <r>
    <x v="31"/>
    <d v="2022-05-22T00:00:00"/>
    <n v="1"/>
    <n v="32.67"/>
    <n v="41"/>
  </r>
  <r>
    <x v="31"/>
    <d v="2022-05-22T00:00:00"/>
    <n v="1"/>
    <n v="32.67"/>
    <n v="41"/>
  </r>
  <r>
    <x v="31"/>
    <d v="2022-05-22T00:00:00"/>
    <n v="1"/>
    <n v="32.67"/>
    <n v="41"/>
  </r>
  <r>
    <x v="31"/>
    <d v="2022-05-22T00:00:00"/>
    <n v="1"/>
    <n v="32.67"/>
    <n v="41"/>
  </r>
  <r>
    <x v="31"/>
    <d v="2022-05-22T00:00:00"/>
    <n v="1"/>
    <n v="32.67"/>
    <n v="41"/>
  </r>
  <r>
    <x v="31"/>
    <d v="2022-05-22T00:00:00"/>
    <n v="1"/>
    <n v="32.67"/>
    <n v="41"/>
  </r>
  <r>
    <x v="94"/>
    <d v="2022-05-22T00:00:00"/>
    <n v="1"/>
    <n v="64.25"/>
    <n v="80"/>
  </r>
  <r>
    <x v="135"/>
    <d v="2022-05-22T00:00:00"/>
    <n v="1"/>
    <n v="156.22999999999999"/>
    <n v="188"/>
  </r>
  <r>
    <x v="12"/>
    <d v="2022-05-22T00:00:00"/>
    <n v="1"/>
    <n v="378.06"/>
    <n v="454"/>
  </r>
  <r>
    <x v="108"/>
    <d v="2022-05-22T00:00:00"/>
    <n v="1"/>
    <n v="125.56"/>
    <n v="175"/>
  </r>
  <r>
    <x v="48"/>
    <d v="2022-05-22T00:00:00"/>
    <n v="1"/>
    <n v="23.4"/>
    <n v="41"/>
  </r>
  <r>
    <x v="40"/>
    <d v="2022-05-22T00:00:00"/>
    <n v="1"/>
    <n v="28.13"/>
    <n v="46"/>
  </r>
  <r>
    <x v="45"/>
    <d v="2022-05-22T00:00:00"/>
    <n v="1"/>
    <n v="44.71"/>
    <n v="55"/>
  </r>
  <r>
    <x v="43"/>
    <d v="2022-05-22T00:00:00"/>
    <n v="1"/>
    <n v="38.67"/>
    <n v="59"/>
  </r>
  <r>
    <x v="19"/>
    <d v="2022-05-22T00:00:00"/>
    <n v="1"/>
    <n v="96.14"/>
    <n v="112"/>
  </r>
  <r>
    <x v="127"/>
    <d v="2022-05-22T00:00:00"/>
    <n v="1"/>
    <n v="58.53"/>
    <n v="84"/>
  </r>
  <r>
    <x v="52"/>
    <d v="2022-05-22T00:00:00"/>
    <n v="1"/>
    <n v="263.33"/>
    <n v="280.32"/>
  </r>
  <r>
    <x v="82"/>
    <d v="2022-05-22T00:00:00"/>
    <n v="1"/>
    <n v="333.63"/>
    <n v="399"/>
  </r>
  <r>
    <x v="93"/>
    <d v="2022-05-22T00:00:00"/>
    <n v="1"/>
    <n v="110.99"/>
    <n v="136"/>
  </r>
  <r>
    <x v="42"/>
    <d v="2022-05-22T00:00:00"/>
    <n v="1"/>
    <n v="43"/>
    <n v="68"/>
  </r>
  <r>
    <x v="45"/>
    <d v="2022-05-22T00:00:00"/>
    <n v="1"/>
    <n v="42.99"/>
    <n v="54"/>
  </r>
  <r>
    <x v="45"/>
    <d v="2022-05-22T00:00:00"/>
    <n v="1"/>
    <n v="42.99"/>
    <n v="54"/>
  </r>
  <r>
    <x v="155"/>
    <d v="2022-05-22T00:00:00"/>
    <n v="1"/>
    <n v="80.73"/>
    <n v="100"/>
  </r>
  <r>
    <x v="19"/>
    <d v="2022-05-22T00:00:00"/>
    <n v="1"/>
    <n v="107.3"/>
    <n v="126"/>
  </r>
  <r>
    <x v="70"/>
    <d v="2022-05-22T00:00:00"/>
    <n v="0.06"/>
    <n v="463.1"/>
    <n v="649"/>
  </r>
  <r>
    <x v="25"/>
    <d v="2022-05-22T00:00:00"/>
    <n v="1"/>
    <n v="156.19999999999999"/>
    <n v="189"/>
  </r>
  <r>
    <x v="120"/>
    <d v="2022-05-22T00:00:00"/>
    <n v="1"/>
    <n v="394.12"/>
    <n v="521"/>
  </r>
  <r>
    <x v="31"/>
    <d v="2022-05-22T00:00:00"/>
    <n v="1"/>
    <n v="22"/>
    <n v="28"/>
  </r>
  <r>
    <x v="31"/>
    <d v="2022-05-22T00:00:00"/>
    <n v="1"/>
    <n v="22"/>
    <n v="28"/>
  </r>
  <r>
    <x v="31"/>
    <d v="2022-05-22T00:00:00"/>
    <n v="1"/>
    <n v="22"/>
    <n v="28"/>
  </r>
  <r>
    <x v="15"/>
    <d v="2022-05-22T00:00:00"/>
    <n v="1"/>
    <n v="22.66"/>
    <n v="30"/>
  </r>
  <r>
    <x v="15"/>
    <d v="2022-05-22T00:00:00"/>
    <n v="1"/>
    <n v="22.66"/>
    <n v="30"/>
  </r>
  <r>
    <x v="32"/>
    <d v="2022-05-22T00:00:00"/>
    <n v="1"/>
    <n v="36.86"/>
    <n v="47"/>
  </r>
  <r>
    <x v="32"/>
    <d v="2022-05-22T00:00:00"/>
    <n v="1"/>
    <n v="36.86"/>
    <n v="47"/>
  </r>
  <r>
    <x v="35"/>
    <d v="2022-05-22T00:00:00"/>
    <n v="1"/>
    <n v="173.86"/>
    <n v="212"/>
  </r>
  <r>
    <x v="35"/>
    <d v="2022-05-22T00:00:00"/>
    <n v="1"/>
    <n v="173.86"/>
    <n v="212"/>
  </r>
  <r>
    <x v="65"/>
    <d v="2022-05-22T00:00:00"/>
    <n v="1"/>
    <n v="165.32"/>
    <n v="203"/>
  </r>
  <r>
    <x v="36"/>
    <d v="2022-05-22T00:00:00"/>
    <n v="3"/>
    <n v="10.9"/>
    <n v="18"/>
  </r>
  <r>
    <x v="2"/>
    <d v="2022-05-22T00:00:00"/>
    <n v="1"/>
    <n v="88.11"/>
    <n v="104"/>
  </r>
  <r>
    <x v="125"/>
    <d v="2022-05-22T00:00:00"/>
    <n v="1"/>
    <n v="23.6"/>
    <n v="29"/>
  </r>
  <r>
    <x v="21"/>
    <d v="2022-05-22T00:00:00"/>
    <n v="0.1"/>
    <n v="989.8"/>
    <n v="1307"/>
  </r>
  <r>
    <x v="2"/>
    <d v="2022-05-22T00:00:00"/>
    <n v="1"/>
    <n v="89.27"/>
    <n v="113"/>
  </r>
  <r>
    <x v="2"/>
    <d v="2022-05-22T00:00:00"/>
    <n v="1"/>
    <n v="89.27"/>
    <n v="113"/>
  </r>
  <r>
    <x v="15"/>
    <d v="2022-05-22T00:00:00"/>
    <n v="1"/>
    <n v="19.71"/>
    <n v="25"/>
  </r>
  <r>
    <x v="3"/>
    <d v="2022-05-22T00:00:00"/>
    <n v="1"/>
    <n v="47.83"/>
    <n v="78"/>
  </r>
  <r>
    <x v="2"/>
    <d v="2022-05-22T00:00:00"/>
    <n v="1"/>
    <n v="89.27"/>
    <n v="113"/>
  </r>
  <r>
    <x v="150"/>
    <d v="2022-05-22T00:00:00"/>
    <n v="0.08"/>
    <n v="495.72"/>
    <n v="719"/>
  </r>
  <r>
    <x v="10"/>
    <d v="2022-05-22T00:00:00"/>
    <n v="1"/>
    <n v="50.1"/>
    <n v="80"/>
  </r>
  <r>
    <x v="20"/>
    <d v="2022-05-22T00:00:00"/>
    <n v="1"/>
    <n v="147.18"/>
    <n v="177"/>
  </r>
  <r>
    <x v="92"/>
    <d v="2022-05-22T00:00:00"/>
    <n v="1"/>
    <n v="416.67"/>
    <n v="550"/>
  </r>
  <r>
    <x v="30"/>
    <d v="2022-05-22T00:00:00"/>
    <n v="1"/>
    <n v="35"/>
    <n v="55"/>
  </r>
  <r>
    <x v="30"/>
    <d v="2022-05-22T00:00:00"/>
    <n v="1"/>
    <n v="35"/>
    <n v="55"/>
  </r>
  <r>
    <x v="11"/>
    <d v="2022-05-22T00:00:00"/>
    <n v="1"/>
    <n v="43.49"/>
    <n v="67"/>
  </r>
  <r>
    <x v="45"/>
    <d v="2022-05-22T00:00:00"/>
    <n v="1"/>
    <n v="42.99"/>
    <n v="54"/>
  </r>
  <r>
    <x v="20"/>
    <d v="2022-05-22T00:00:00"/>
    <n v="1"/>
    <n v="147.18"/>
    <n v="180"/>
  </r>
  <r>
    <x v="14"/>
    <d v="2022-05-22T00:00:00"/>
    <n v="1"/>
    <n v="81.95"/>
    <n v="104"/>
  </r>
  <r>
    <x v="85"/>
    <d v="2022-05-22T00:00:00"/>
    <n v="1"/>
    <n v="390.04"/>
    <n v="480"/>
  </r>
  <r>
    <x v="58"/>
    <d v="2022-05-22T00:00:00"/>
    <n v="1"/>
    <n v="71.45"/>
    <n v="86"/>
  </r>
  <r>
    <x v="124"/>
    <d v="2022-05-22T00:00:00"/>
    <n v="0.6"/>
    <n v="495.17"/>
    <n v="596"/>
  </r>
  <r>
    <x v="20"/>
    <d v="2022-05-22T00:00:00"/>
    <n v="1"/>
    <n v="147.18"/>
    <n v="177"/>
  </r>
  <r>
    <x v="151"/>
    <d v="2022-05-22T00:00:00"/>
    <n v="1"/>
    <n v="249.76"/>
    <n v="350"/>
  </r>
  <r>
    <x v="151"/>
    <d v="2022-05-22T00:00:00"/>
    <n v="1"/>
    <n v="249.76"/>
    <n v="350"/>
  </r>
  <r>
    <x v="151"/>
    <d v="2022-05-22T00:00:00"/>
    <n v="1"/>
    <n v="249.76"/>
    <n v="350"/>
  </r>
  <r>
    <x v="15"/>
    <d v="2022-05-22T00:00:00"/>
    <n v="1"/>
    <n v="19.71"/>
    <n v="25"/>
  </r>
  <r>
    <x v="15"/>
    <d v="2022-05-22T00:00:00"/>
    <n v="1"/>
    <n v="19.71"/>
    <n v="25"/>
  </r>
  <r>
    <x v="131"/>
    <d v="2022-05-22T00:00:00"/>
    <n v="1"/>
    <n v="289.58999999999997"/>
    <n v="386"/>
  </r>
  <r>
    <x v="51"/>
    <d v="2022-05-22T00:00:00"/>
    <n v="1"/>
    <n v="43.97"/>
    <n v="70"/>
  </r>
  <r>
    <x v="51"/>
    <d v="2022-05-22T00:00:00"/>
    <n v="1"/>
    <n v="43.97"/>
    <n v="70"/>
  </r>
  <r>
    <x v="42"/>
    <d v="2022-05-22T00:00:00"/>
    <n v="1"/>
    <n v="43.08"/>
    <n v="66"/>
  </r>
  <r>
    <x v="47"/>
    <d v="2022-05-22T00:00:00"/>
    <n v="1"/>
    <n v="202.48"/>
    <n v="243"/>
  </r>
  <r>
    <x v="15"/>
    <d v="2022-05-22T00:00:00"/>
    <n v="1"/>
    <n v="19.71"/>
    <n v="25"/>
  </r>
  <r>
    <x v="15"/>
    <d v="2022-05-22T00:00:00"/>
    <n v="1"/>
    <n v="19.71"/>
    <n v="25"/>
  </r>
  <r>
    <x v="51"/>
    <d v="2022-05-22T00:00:00"/>
    <n v="1"/>
    <n v="43.97"/>
    <n v="67"/>
  </r>
  <r>
    <x v="1"/>
    <d v="2022-05-22T00:00:00"/>
    <n v="1"/>
    <n v="430.78"/>
    <n v="539"/>
  </r>
  <r>
    <x v="52"/>
    <d v="2022-05-22T00:00:00"/>
    <n v="1"/>
    <n v="227.82"/>
    <n v="267"/>
  </r>
  <r>
    <x v="52"/>
    <d v="2022-05-22T00:00:00"/>
    <n v="1"/>
    <n v="227.82"/>
    <n v="267"/>
  </r>
  <r>
    <x v="139"/>
    <d v="2022-05-22T00:00:00"/>
    <n v="1"/>
    <n v="53.93"/>
    <n v="77"/>
  </r>
  <r>
    <x v="52"/>
    <d v="2022-05-22T00:00:00"/>
    <n v="1"/>
    <n v="227.82"/>
    <n v="267"/>
  </r>
  <r>
    <x v="120"/>
    <d v="2022-05-22T00:00:00"/>
    <n v="1"/>
    <n v="331.43"/>
    <n v="431"/>
  </r>
  <r>
    <x v="45"/>
    <d v="2022-05-22T00:00:00"/>
    <n v="1"/>
    <n v="43.86"/>
    <n v="56"/>
  </r>
  <r>
    <x v="155"/>
    <d v="2022-05-22T00:00:00"/>
    <n v="1"/>
    <n v="80.73"/>
    <n v="98"/>
  </r>
  <r>
    <x v="148"/>
    <d v="2022-05-22T00:00:00"/>
    <n v="1"/>
    <n v="10.34"/>
    <n v="12"/>
  </r>
  <r>
    <x v="2"/>
    <d v="2022-05-22T00:00:00"/>
    <n v="1"/>
    <n v="89.27"/>
    <n v="113"/>
  </r>
  <r>
    <x v="65"/>
    <d v="2022-05-22T00:00:00"/>
    <n v="1"/>
    <n v="165.32"/>
    <n v="203"/>
  </r>
  <r>
    <x v="82"/>
    <d v="2022-05-22T00:00:00"/>
    <n v="1"/>
    <n v="323.67"/>
    <n v="389"/>
  </r>
  <r>
    <x v="128"/>
    <d v="2022-05-22T00:00:00"/>
    <n v="1"/>
    <n v="5.0999999999999996"/>
    <n v="9"/>
  </r>
  <r>
    <x v="19"/>
    <d v="2022-05-22T00:00:00"/>
    <n v="1"/>
    <n v="97.12"/>
    <n v="118"/>
  </r>
  <r>
    <x v="72"/>
    <d v="2022-05-22T00:00:00"/>
    <n v="1"/>
    <n v="61.89"/>
    <n v="77"/>
  </r>
  <r>
    <x v="53"/>
    <d v="2022-05-22T00:00:00"/>
    <n v="1"/>
    <n v="76.739999999999995"/>
    <n v="93"/>
  </r>
  <r>
    <x v="53"/>
    <d v="2022-05-22T00:00:00"/>
    <n v="1"/>
    <n v="76.739999999999995"/>
    <n v="93"/>
  </r>
  <r>
    <x v="53"/>
    <d v="2022-05-22T00:00:00"/>
    <n v="1"/>
    <n v="76.739999999999995"/>
    <n v="93"/>
  </r>
  <r>
    <x v="15"/>
    <d v="2022-05-22T00:00:00"/>
    <n v="1"/>
    <n v="19.66"/>
    <n v="25"/>
  </r>
  <r>
    <x v="15"/>
    <d v="2022-05-22T00:00:00"/>
    <n v="1"/>
    <n v="19.66"/>
    <n v="25"/>
  </r>
  <r>
    <x v="42"/>
    <d v="2022-05-22T00:00:00"/>
    <n v="1"/>
    <n v="43.08"/>
    <n v="67"/>
  </r>
  <r>
    <x v="53"/>
    <d v="2022-05-22T00:00:00"/>
    <n v="1"/>
    <n v="78"/>
    <n v="94"/>
  </r>
  <r>
    <x v="53"/>
    <d v="2022-05-22T00:00:00"/>
    <n v="1"/>
    <n v="76.739999999999995"/>
    <n v="93"/>
  </r>
  <r>
    <x v="64"/>
    <d v="2022-05-22T00:00:00"/>
    <n v="1"/>
    <n v="19.989999999999998"/>
    <n v="24"/>
  </r>
  <r>
    <x v="64"/>
    <d v="2022-05-22T00:00:00"/>
    <n v="1"/>
    <n v="19.989999999999998"/>
    <n v="24"/>
  </r>
  <r>
    <x v="64"/>
    <d v="2022-05-22T00:00:00"/>
    <n v="1"/>
    <n v="19.989999999999998"/>
    <n v="24"/>
  </r>
  <r>
    <x v="52"/>
    <d v="2022-05-22T00:00:00"/>
    <n v="1"/>
    <n v="233.76"/>
    <n v="274"/>
  </r>
  <r>
    <x v="15"/>
    <d v="2022-05-22T00:00:00"/>
    <n v="1"/>
    <n v="19.71"/>
    <n v="23"/>
  </r>
  <r>
    <x v="102"/>
    <d v="2022-05-22T00:00:00"/>
    <n v="1"/>
    <n v="70.319999999999993"/>
    <n v="87"/>
  </r>
  <r>
    <x v="42"/>
    <d v="2022-05-22T00:00:00"/>
    <n v="1"/>
    <n v="43.08"/>
    <n v="67"/>
  </r>
  <r>
    <x v="42"/>
    <d v="2022-05-22T00:00:00"/>
    <n v="1"/>
    <n v="43.08"/>
    <n v="67"/>
  </r>
  <r>
    <x v="83"/>
    <d v="2022-05-22T00:00:00"/>
    <n v="0.5"/>
    <n v="106.51"/>
    <n v="163"/>
  </r>
  <r>
    <x v="101"/>
    <d v="2022-05-22T00:00:00"/>
    <n v="1"/>
    <n v="42.24"/>
    <n v="53"/>
  </r>
  <r>
    <x v="2"/>
    <d v="2022-05-22T00:00:00"/>
    <n v="1"/>
    <n v="87.6"/>
    <n v="109"/>
  </r>
  <r>
    <x v="122"/>
    <d v="2022-05-22T00:00:00"/>
    <n v="1"/>
    <n v="120.97"/>
    <n v="166"/>
  </r>
  <r>
    <x v="51"/>
    <d v="2022-05-22T00:00:00"/>
    <n v="1"/>
    <n v="43.97"/>
    <n v="69"/>
  </r>
  <r>
    <x v="51"/>
    <d v="2022-05-22T00:00:00"/>
    <n v="1"/>
    <n v="43.97"/>
    <n v="69"/>
  </r>
  <r>
    <x v="95"/>
    <d v="2022-05-22T00:00:00"/>
    <n v="1"/>
    <n v="36.29"/>
    <n v="57"/>
  </r>
  <r>
    <x v="126"/>
    <d v="2022-05-22T00:00:00"/>
    <n v="1"/>
    <n v="360"/>
    <n v="414"/>
  </r>
  <r>
    <x v="18"/>
    <d v="2022-05-22T00:00:00"/>
    <n v="1"/>
    <n v="109.41"/>
    <n v="123"/>
  </r>
  <r>
    <x v="72"/>
    <d v="2022-05-22T00:00:00"/>
    <n v="1"/>
    <n v="58.22"/>
    <n v="73"/>
  </r>
  <r>
    <x v="20"/>
    <d v="2022-05-22T00:00:00"/>
    <n v="1"/>
    <n v="147.4"/>
    <n v="177"/>
  </r>
  <r>
    <x v="70"/>
    <d v="2022-05-22T00:00:00"/>
    <n v="0.2"/>
    <n v="463.1"/>
    <n v="649"/>
  </r>
  <r>
    <x v="10"/>
    <d v="2022-05-22T00:00:00"/>
    <n v="1"/>
    <n v="55.5"/>
    <n v="87"/>
  </r>
  <r>
    <x v="49"/>
    <d v="2022-05-22T00:00:00"/>
    <n v="1"/>
    <n v="723.11"/>
    <n v="933"/>
  </r>
  <r>
    <x v="137"/>
    <d v="2022-05-22T00:00:00"/>
    <n v="1"/>
    <n v="12.86"/>
    <n v="15"/>
  </r>
  <r>
    <x v="21"/>
    <d v="2022-05-22T00:00:00"/>
    <n v="0.2"/>
    <n v="984.79"/>
    <n v="1350"/>
  </r>
  <r>
    <x v="2"/>
    <d v="2022-05-22T00:00:00"/>
    <n v="1"/>
    <n v="89.27"/>
    <n v="113"/>
  </r>
  <r>
    <x v="2"/>
    <d v="2022-05-22T00:00:00"/>
    <n v="1"/>
    <n v="89.27"/>
    <n v="113"/>
  </r>
  <r>
    <x v="32"/>
    <d v="2022-05-22T00:00:00"/>
    <n v="1"/>
    <n v="36.86"/>
    <n v="47"/>
  </r>
  <r>
    <x v="106"/>
    <d v="2022-05-22T00:00:00"/>
    <n v="1"/>
    <n v="177.87"/>
    <n v="202"/>
  </r>
  <r>
    <x v="129"/>
    <d v="2022-05-22T00:00:00"/>
    <n v="1"/>
    <n v="27.28"/>
    <n v="43"/>
  </r>
  <r>
    <x v="129"/>
    <d v="2022-05-22T00:00:00"/>
    <n v="1"/>
    <n v="26.86"/>
    <n v="43"/>
  </r>
  <r>
    <x v="83"/>
    <d v="2022-05-22T00:00:00"/>
    <n v="1"/>
    <n v="128.1"/>
    <n v="199"/>
  </r>
  <r>
    <x v="127"/>
    <d v="2022-05-22T00:00:00"/>
    <n v="1"/>
    <n v="58.59"/>
    <n v="84"/>
  </r>
  <r>
    <x v="104"/>
    <d v="2022-05-22T00:00:00"/>
    <n v="1"/>
    <n v="87.23"/>
    <n v="105"/>
  </r>
  <r>
    <x v="54"/>
    <d v="2022-05-22T00:00:00"/>
    <n v="6"/>
    <n v="13.11"/>
    <n v="21"/>
  </r>
  <r>
    <x v="129"/>
    <d v="2022-05-22T00:00:00"/>
    <n v="1"/>
    <n v="26.87"/>
    <n v="41"/>
  </r>
  <r>
    <x v="129"/>
    <d v="2022-05-22T00:00:00"/>
    <n v="1"/>
    <n v="26.87"/>
    <n v="41"/>
  </r>
  <r>
    <x v="129"/>
    <d v="2022-05-22T00:00:00"/>
    <n v="1"/>
    <n v="26.87"/>
    <n v="41"/>
  </r>
  <r>
    <x v="129"/>
    <d v="2022-05-22T00:00:00"/>
    <n v="1"/>
    <n v="26.87"/>
    <n v="41"/>
  </r>
  <r>
    <x v="129"/>
    <d v="2022-05-22T00:00:00"/>
    <n v="1"/>
    <n v="26.87"/>
    <n v="41"/>
  </r>
  <r>
    <x v="20"/>
    <d v="2022-05-22T00:00:00"/>
    <n v="1"/>
    <n v="147.18"/>
    <n v="177"/>
  </r>
  <r>
    <x v="110"/>
    <d v="2022-05-22T00:00:00"/>
    <n v="1"/>
    <n v="70.95"/>
    <n v="89"/>
  </r>
  <r>
    <x v="86"/>
    <d v="2022-05-22T00:00:00"/>
    <n v="1"/>
    <n v="35.340000000000003"/>
    <n v="58"/>
  </r>
  <r>
    <x v="2"/>
    <d v="2022-05-22T00:00:00"/>
    <n v="1"/>
    <n v="89.27"/>
    <n v="113"/>
  </r>
  <r>
    <x v="57"/>
    <d v="2022-05-22T00:00:00"/>
    <n v="1"/>
    <n v="25.29"/>
    <n v="30"/>
  </r>
  <r>
    <x v="103"/>
    <d v="2022-05-22T00:00:00"/>
    <n v="1"/>
    <n v="29.56"/>
    <n v="45"/>
  </r>
  <r>
    <x v="103"/>
    <d v="2022-05-22T00:00:00"/>
    <n v="1"/>
    <n v="29.56"/>
    <n v="45"/>
  </r>
  <r>
    <x v="103"/>
    <d v="2022-05-22T00:00:00"/>
    <n v="1"/>
    <n v="29.56"/>
    <n v="45"/>
  </r>
  <r>
    <x v="103"/>
    <d v="2022-05-22T00:00:00"/>
    <n v="1"/>
    <n v="29.56"/>
    <n v="45"/>
  </r>
  <r>
    <x v="103"/>
    <d v="2022-05-22T00:00:00"/>
    <n v="1"/>
    <n v="16.37"/>
    <n v="27"/>
  </r>
  <r>
    <x v="103"/>
    <d v="2022-05-22T00:00:00"/>
    <n v="1"/>
    <n v="16.37"/>
    <n v="27"/>
  </r>
  <r>
    <x v="103"/>
    <d v="2022-05-22T00:00:00"/>
    <n v="1"/>
    <n v="16.37"/>
    <n v="27"/>
  </r>
  <r>
    <x v="103"/>
    <d v="2022-05-22T00:00:00"/>
    <n v="1"/>
    <n v="16.37"/>
    <n v="27"/>
  </r>
  <r>
    <x v="65"/>
    <d v="2022-05-22T00:00:00"/>
    <n v="1"/>
    <n v="165.32"/>
    <n v="203"/>
  </r>
  <r>
    <x v="151"/>
    <d v="2022-05-22T00:00:00"/>
    <n v="1"/>
    <n v="248.71"/>
    <n v="329"/>
  </r>
  <r>
    <x v="51"/>
    <d v="2022-05-22T00:00:00"/>
    <n v="1"/>
    <n v="43.97"/>
    <n v="69"/>
  </r>
  <r>
    <x v="47"/>
    <d v="2022-05-22T00:00:00"/>
    <n v="1"/>
    <n v="203.72"/>
    <n v="245"/>
  </r>
  <r>
    <x v="117"/>
    <d v="2022-05-22T00:00:00"/>
    <n v="1"/>
    <n v="21.23"/>
    <n v="26"/>
  </r>
  <r>
    <x v="27"/>
    <d v="2022-05-22T00:00:00"/>
    <n v="1"/>
    <n v="105"/>
    <n v="165"/>
  </r>
  <r>
    <x v="138"/>
    <d v="2022-05-22T00:00:00"/>
    <n v="1"/>
    <n v="50.45"/>
    <n v="77"/>
  </r>
  <r>
    <x v="105"/>
    <d v="2022-05-22T00:00:00"/>
    <n v="1"/>
    <n v="215.6"/>
    <n v="302"/>
  </r>
  <r>
    <x v="138"/>
    <d v="2022-05-22T00:00:00"/>
    <n v="1"/>
    <n v="50.45"/>
    <n v="77"/>
  </r>
  <r>
    <x v="26"/>
    <d v="2022-05-22T00:00:00"/>
    <n v="1"/>
    <n v="13.05"/>
    <n v="18"/>
  </r>
  <r>
    <x v="26"/>
    <d v="2022-05-22T00:00:00"/>
    <n v="1"/>
    <n v="13.05"/>
    <n v="18"/>
  </r>
  <r>
    <x v="26"/>
    <d v="2022-05-22T00:00:00"/>
    <n v="1"/>
    <n v="13.05"/>
    <n v="18"/>
  </r>
  <r>
    <x v="26"/>
    <d v="2022-05-22T00:00:00"/>
    <n v="1"/>
    <n v="13.05"/>
    <n v="18"/>
  </r>
  <r>
    <x v="112"/>
    <d v="2022-05-22T00:00:00"/>
    <n v="1"/>
    <n v="23.14"/>
    <n v="28"/>
  </r>
  <r>
    <x v="112"/>
    <d v="2022-05-22T00:00:00"/>
    <n v="1"/>
    <n v="23.14"/>
    <n v="28"/>
  </r>
  <r>
    <x v="27"/>
    <d v="2022-05-22T00:00:00"/>
    <n v="0.5"/>
    <n v="105"/>
    <n v="161"/>
  </r>
  <r>
    <x v="37"/>
    <d v="2022-05-22T00:00:00"/>
    <n v="1"/>
    <n v="566.04"/>
    <n v="634"/>
  </r>
  <r>
    <x v="7"/>
    <d v="2022-05-22T00:00:00"/>
    <n v="1"/>
    <n v="56.03"/>
    <n v="70"/>
  </r>
  <r>
    <x v="78"/>
    <d v="2022-05-22T00:00:00"/>
    <n v="1"/>
    <n v="207.76"/>
    <n v="246"/>
  </r>
  <r>
    <x v="91"/>
    <d v="2022-05-22T00:00:00"/>
    <n v="1"/>
    <n v="70.930000000000007"/>
    <n v="106"/>
  </r>
  <r>
    <x v="52"/>
    <d v="2022-05-22T00:00:00"/>
    <n v="1"/>
    <n v="233.76"/>
    <n v="274"/>
  </r>
  <r>
    <x v="72"/>
    <d v="2022-05-22T00:00:00"/>
    <n v="1"/>
    <n v="61.89"/>
    <n v="77"/>
  </r>
  <r>
    <x v="15"/>
    <d v="2022-05-22T00:00:00"/>
    <n v="1"/>
    <n v="19.66"/>
    <n v="25"/>
  </r>
  <r>
    <x v="15"/>
    <d v="2022-05-22T00:00:00"/>
    <n v="1"/>
    <n v="19.66"/>
    <n v="25"/>
  </r>
  <r>
    <x v="64"/>
    <d v="2022-05-22T00:00:00"/>
    <n v="1"/>
    <n v="19.989999999999998"/>
    <n v="24"/>
  </r>
  <r>
    <x v="39"/>
    <d v="2022-05-22T00:00:00"/>
    <n v="1"/>
    <n v="64.260000000000005"/>
    <n v="101"/>
  </r>
  <r>
    <x v="93"/>
    <d v="2022-05-22T00:00:00"/>
    <n v="1"/>
    <n v="110.99"/>
    <n v="136"/>
  </r>
  <r>
    <x v="3"/>
    <d v="2022-05-22T00:00:00"/>
    <n v="1"/>
    <n v="47.83"/>
    <n v="77"/>
  </r>
  <r>
    <x v="133"/>
    <d v="2022-05-22T00:00:00"/>
    <n v="1"/>
    <n v="46.5"/>
    <n v="75"/>
  </r>
  <r>
    <x v="152"/>
    <d v="2022-05-22T00:00:00"/>
    <n v="3"/>
    <n v="12"/>
    <n v="20"/>
  </r>
  <r>
    <x v="40"/>
    <d v="2022-05-22T00:00:00"/>
    <n v="1"/>
    <n v="29.26"/>
    <n v="48"/>
  </r>
  <r>
    <x v="15"/>
    <d v="2022-05-22T00:00:00"/>
    <n v="1"/>
    <n v="22.62"/>
    <n v="29"/>
  </r>
  <r>
    <x v="94"/>
    <d v="2022-05-22T00:00:00"/>
    <n v="1"/>
    <n v="64.25"/>
    <n v="80"/>
  </r>
  <r>
    <x v="18"/>
    <d v="2022-05-22T00:00:00"/>
    <n v="1"/>
    <n v="109.41"/>
    <n v="123"/>
  </r>
  <r>
    <x v="13"/>
    <d v="2022-05-22T00:00:00"/>
    <n v="1"/>
    <n v="46"/>
    <n v="70"/>
  </r>
  <r>
    <x v="92"/>
    <d v="2022-05-22T00:00:00"/>
    <n v="1"/>
    <n v="416.67"/>
    <n v="550"/>
  </r>
  <r>
    <x v="117"/>
    <d v="2022-05-22T00:00:00"/>
    <n v="1"/>
    <n v="20.78"/>
    <n v="26"/>
  </r>
  <r>
    <x v="51"/>
    <d v="2022-05-22T00:00:00"/>
    <n v="1"/>
    <n v="43.86"/>
    <n v="67"/>
  </r>
  <r>
    <x v="2"/>
    <d v="2022-05-22T00:00:00"/>
    <n v="1"/>
    <n v="88.74"/>
    <n v="104"/>
  </r>
  <r>
    <x v="19"/>
    <d v="2022-05-22T00:00:00"/>
    <n v="1"/>
    <n v="96.14"/>
    <n v="112"/>
  </r>
  <r>
    <x v="57"/>
    <d v="2022-05-22T00:00:00"/>
    <n v="1"/>
    <n v="24.97"/>
    <n v="30"/>
  </r>
  <r>
    <x v="73"/>
    <d v="2022-05-22T00:00:00"/>
    <n v="1"/>
    <n v="69.599999999999994"/>
    <n v="88"/>
  </r>
  <r>
    <x v="134"/>
    <d v="2022-05-22T00:00:00"/>
    <n v="2"/>
    <n v="24.18"/>
    <n v="40"/>
  </r>
  <r>
    <x v="116"/>
    <d v="2022-05-22T00:00:00"/>
    <n v="3"/>
    <n v="11.41"/>
    <n v="19"/>
  </r>
  <r>
    <x v="53"/>
    <d v="2022-05-22T00:00:00"/>
    <n v="1"/>
    <n v="83.29"/>
    <n v="100"/>
  </r>
  <r>
    <x v="53"/>
    <d v="2022-05-22T00:00:00"/>
    <n v="1"/>
    <n v="83.29"/>
    <n v="100"/>
  </r>
  <r>
    <x v="51"/>
    <d v="2022-05-21T00:00:00"/>
    <n v="1"/>
    <n v="43.97"/>
    <n v="70"/>
  </r>
  <r>
    <x v="30"/>
    <d v="2022-05-21T00:00:00"/>
    <n v="1"/>
    <n v="35"/>
    <n v="54"/>
  </r>
  <r>
    <x v="140"/>
    <d v="2022-05-21T00:00:00"/>
    <n v="1"/>
    <n v="25.3"/>
    <n v="31"/>
  </r>
  <r>
    <x v="80"/>
    <d v="2022-05-21T00:00:00"/>
    <n v="1"/>
    <n v="16.62"/>
    <n v="26"/>
  </r>
  <r>
    <x v="51"/>
    <d v="2022-05-21T00:00:00"/>
    <n v="1"/>
    <n v="43.97"/>
    <n v="67"/>
  </r>
  <r>
    <x v="45"/>
    <d v="2022-05-21T00:00:00"/>
    <n v="1"/>
    <n v="44.86"/>
    <n v="56"/>
  </r>
  <r>
    <x v="60"/>
    <d v="2022-05-21T00:00:00"/>
    <n v="1"/>
    <n v="184.45"/>
    <n v="216"/>
  </r>
  <r>
    <x v="105"/>
    <d v="2022-05-21T00:00:00"/>
    <n v="1"/>
    <n v="240.43"/>
    <n v="325"/>
  </r>
  <r>
    <x v="32"/>
    <d v="2022-05-21T00:00:00"/>
    <n v="1"/>
    <n v="36.86"/>
    <n v="47"/>
  </r>
  <r>
    <x v="32"/>
    <d v="2022-05-21T00:00:00"/>
    <n v="1"/>
    <n v="36.86"/>
    <n v="47"/>
  </r>
  <r>
    <x v="52"/>
    <d v="2022-05-21T00:00:00"/>
    <n v="1"/>
    <n v="225.2"/>
    <n v="264"/>
  </r>
  <r>
    <x v="50"/>
    <d v="2022-05-21T00:00:00"/>
    <n v="1"/>
    <n v="87.88"/>
    <n v="99.75"/>
  </r>
  <r>
    <x v="20"/>
    <d v="2022-05-21T00:00:00"/>
    <n v="1"/>
    <n v="155.13"/>
    <n v="169.1"/>
  </r>
  <r>
    <x v="20"/>
    <d v="2022-05-21T00:00:00"/>
    <n v="1"/>
    <n v="155.13"/>
    <n v="169.1"/>
  </r>
  <r>
    <x v="20"/>
    <d v="2022-05-21T00:00:00"/>
    <n v="1"/>
    <n v="155.13"/>
    <n v="169.1"/>
  </r>
  <r>
    <x v="101"/>
    <d v="2022-05-21T00:00:00"/>
    <n v="1"/>
    <n v="41.74"/>
    <n v="51"/>
  </r>
  <r>
    <x v="15"/>
    <d v="2022-05-21T00:00:00"/>
    <n v="1"/>
    <n v="22.66"/>
    <n v="30"/>
  </r>
  <r>
    <x v="40"/>
    <d v="2022-05-21T00:00:00"/>
    <n v="10"/>
    <n v="26.71"/>
    <n v="46"/>
  </r>
  <r>
    <x v="35"/>
    <d v="2022-05-21T00:00:00"/>
    <n v="1"/>
    <n v="172.76"/>
    <n v="207"/>
  </r>
  <r>
    <x v="24"/>
    <d v="2022-05-21T00:00:00"/>
    <n v="1"/>
    <n v="480.05"/>
    <n v="658"/>
  </r>
  <r>
    <x v="80"/>
    <d v="2022-05-21T00:00:00"/>
    <n v="1"/>
    <n v="15.95"/>
    <n v="26"/>
  </r>
  <r>
    <x v="80"/>
    <d v="2022-05-21T00:00:00"/>
    <n v="1"/>
    <n v="15.95"/>
    <n v="26"/>
  </r>
  <r>
    <x v="80"/>
    <d v="2022-05-21T00:00:00"/>
    <n v="1"/>
    <n v="15.95"/>
    <n v="26"/>
  </r>
  <r>
    <x v="52"/>
    <d v="2022-05-21T00:00:00"/>
    <n v="1"/>
    <n v="225.2"/>
    <n v="264"/>
  </r>
  <r>
    <x v="65"/>
    <d v="2022-05-21T00:00:00"/>
    <n v="1"/>
    <n v="168.94"/>
    <n v="203"/>
  </r>
  <r>
    <x v="20"/>
    <d v="2022-05-21T00:00:00"/>
    <n v="1"/>
    <n v="147.18"/>
    <n v="177"/>
  </r>
  <r>
    <x v="42"/>
    <d v="2022-05-21T00:00:00"/>
    <n v="1"/>
    <n v="43.08"/>
    <n v="66"/>
  </r>
  <r>
    <x v="75"/>
    <d v="2022-05-21T00:00:00"/>
    <n v="1"/>
    <n v="22.17"/>
    <n v="34"/>
  </r>
  <r>
    <x v="23"/>
    <d v="2022-05-21T00:00:00"/>
    <n v="1"/>
    <n v="122.75"/>
    <n v="174"/>
  </r>
  <r>
    <x v="122"/>
    <d v="2022-05-21T00:00:00"/>
    <n v="1"/>
    <n v="119.8"/>
    <n v="165"/>
  </r>
  <r>
    <x v="19"/>
    <d v="2022-05-21T00:00:00"/>
    <n v="1"/>
    <n v="103.96"/>
    <n v="125"/>
  </r>
  <r>
    <x v="42"/>
    <d v="2022-05-21T00:00:00"/>
    <n v="1"/>
    <n v="42.85"/>
    <n v="66"/>
  </r>
  <r>
    <x v="15"/>
    <d v="2022-05-21T00:00:00"/>
    <n v="1"/>
    <n v="20.3"/>
    <n v="27"/>
  </r>
  <r>
    <x v="15"/>
    <d v="2022-05-21T00:00:00"/>
    <n v="1"/>
    <n v="20.3"/>
    <n v="27"/>
  </r>
  <r>
    <x v="80"/>
    <d v="2022-05-21T00:00:00"/>
    <n v="1"/>
    <n v="17.23"/>
    <n v="28"/>
  </r>
  <r>
    <x v="80"/>
    <d v="2022-05-21T00:00:00"/>
    <n v="1"/>
    <n v="17.23"/>
    <n v="28"/>
  </r>
  <r>
    <x v="60"/>
    <d v="2022-05-21T00:00:00"/>
    <n v="1"/>
    <n v="184.45"/>
    <n v="216"/>
  </r>
  <r>
    <x v="33"/>
    <d v="2022-05-21T00:00:00"/>
    <n v="1"/>
    <n v="22.31"/>
    <n v="35"/>
  </r>
  <r>
    <x v="33"/>
    <d v="2022-05-21T00:00:00"/>
    <n v="1"/>
    <n v="28.8"/>
    <n v="45"/>
  </r>
  <r>
    <x v="33"/>
    <d v="2022-05-21T00:00:00"/>
    <n v="1"/>
    <n v="28.8"/>
    <n v="45"/>
  </r>
  <r>
    <x v="33"/>
    <d v="2022-05-21T00:00:00"/>
    <n v="1"/>
    <n v="28.8"/>
    <n v="45"/>
  </r>
  <r>
    <x v="33"/>
    <d v="2022-05-21T00:00:00"/>
    <n v="1"/>
    <n v="28.8"/>
    <n v="45"/>
  </r>
  <r>
    <x v="33"/>
    <d v="2022-05-21T00:00:00"/>
    <n v="1"/>
    <n v="28.8"/>
    <n v="45"/>
  </r>
  <r>
    <x v="32"/>
    <d v="2022-05-21T00:00:00"/>
    <n v="1"/>
    <n v="36.86"/>
    <n v="47"/>
  </r>
  <r>
    <x v="32"/>
    <d v="2022-05-21T00:00:00"/>
    <n v="1"/>
    <n v="36.86"/>
    <n v="47"/>
  </r>
  <r>
    <x v="32"/>
    <d v="2022-05-21T00:00:00"/>
    <n v="1"/>
    <n v="36.86"/>
    <n v="47"/>
  </r>
  <r>
    <x v="32"/>
    <d v="2022-05-21T00:00:00"/>
    <n v="1"/>
    <n v="36.86"/>
    <n v="47"/>
  </r>
  <r>
    <x v="32"/>
    <d v="2022-05-21T00:00:00"/>
    <n v="1"/>
    <n v="36.86"/>
    <n v="47"/>
  </r>
  <r>
    <x v="32"/>
    <d v="2022-05-21T00:00:00"/>
    <n v="1"/>
    <n v="36.86"/>
    <n v="47"/>
  </r>
  <r>
    <x v="54"/>
    <d v="2022-05-21T00:00:00"/>
    <n v="3"/>
    <n v="13.11"/>
    <n v="21"/>
  </r>
  <r>
    <x v="57"/>
    <d v="2022-05-21T00:00:00"/>
    <n v="1"/>
    <n v="24.97"/>
    <n v="30"/>
  </r>
  <r>
    <x v="76"/>
    <d v="2022-05-21T00:00:00"/>
    <n v="1"/>
    <n v="42.48"/>
    <n v="52"/>
  </r>
  <r>
    <x v="87"/>
    <d v="2022-05-21T00:00:00"/>
    <n v="2"/>
    <n v="6.2"/>
    <n v="9"/>
  </r>
  <r>
    <x v="14"/>
    <d v="2022-05-21T00:00:00"/>
    <n v="1"/>
    <n v="80.760000000000005"/>
    <n v="101"/>
  </r>
  <r>
    <x v="130"/>
    <d v="2022-05-21T00:00:00"/>
    <n v="1"/>
    <n v="79.53"/>
    <n v="95"/>
  </r>
  <r>
    <x v="130"/>
    <d v="2022-05-21T00:00:00"/>
    <n v="1"/>
    <n v="79.53"/>
    <n v="95"/>
  </r>
  <r>
    <x v="130"/>
    <d v="2022-05-21T00:00:00"/>
    <n v="1"/>
    <n v="79.53"/>
    <n v="95"/>
  </r>
  <r>
    <x v="130"/>
    <d v="2022-05-21T00:00:00"/>
    <n v="1"/>
    <n v="71.209999999999994"/>
    <n v="89"/>
  </r>
  <r>
    <x v="130"/>
    <d v="2022-05-21T00:00:00"/>
    <n v="1"/>
    <n v="71.209999999999994"/>
    <n v="89"/>
  </r>
  <r>
    <x v="50"/>
    <d v="2022-05-21T00:00:00"/>
    <n v="1"/>
    <n v="77.63"/>
    <n v="95"/>
  </r>
  <r>
    <x v="131"/>
    <d v="2022-05-21T00:00:00"/>
    <n v="1"/>
    <n v="313.95"/>
    <n v="424"/>
  </r>
  <r>
    <x v="19"/>
    <d v="2022-05-21T00:00:00"/>
    <n v="1"/>
    <n v="107.3"/>
    <n v="126"/>
  </r>
  <r>
    <x v="18"/>
    <d v="2022-05-21T00:00:00"/>
    <n v="1"/>
    <n v="109.41"/>
    <n v="123"/>
  </r>
  <r>
    <x v="18"/>
    <d v="2022-05-21T00:00:00"/>
    <n v="1"/>
    <n v="109.41"/>
    <n v="123"/>
  </r>
  <r>
    <x v="18"/>
    <d v="2022-05-21T00:00:00"/>
    <n v="1"/>
    <n v="109.41"/>
    <n v="123"/>
  </r>
  <r>
    <x v="18"/>
    <d v="2022-05-21T00:00:00"/>
    <n v="1"/>
    <n v="109.41"/>
    <n v="123"/>
  </r>
  <r>
    <x v="75"/>
    <d v="2022-05-21T00:00:00"/>
    <n v="1"/>
    <n v="22.17"/>
    <n v="34"/>
  </r>
  <r>
    <x v="75"/>
    <d v="2022-05-21T00:00:00"/>
    <n v="1"/>
    <n v="22.17"/>
    <n v="34"/>
  </r>
  <r>
    <x v="75"/>
    <d v="2022-05-21T00:00:00"/>
    <n v="1"/>
    <n v="22.17"/>
    <n v="34"/>
  </r>
  <r>
    <x v="75"/>
    <d v="2022-05-21T00:00:00"/>
    <n v="1"/>
    <n v="22.17"/>
    <n v="34"/>
  </r>
  <r>
    <x v="114"/>
    <d v="2022-05-21T00:00:00"/>
    <n v="3.5714299999999997E-2"/>
    <n v="628.24"/>
    <n v="694"/>
  </r>
  <r>
    <x v="46"/>
    <d v="2022-05-21T00:00:00"/>
    <n v="20"/>
    <n v="2.1800000000000002"/>
    <n v="4"/>
  </r>
  <r>
    <x v="54"/>
    <d v="2022-05-21T00:00:00"/>
    <n v="4"/>
    <n v="14.14"/>
    <n v="23"/>
  </r>
  <r>
    <x v="91"/>
    <d v="2022-05-21T00:00:00"/>
    <n v="1"/>
    <n v="72.84"/>
    <n v="104"/>
  </r>
  <r>
    <x v="88"/>
    <d v="2022-05-21T00:00:00"/>
    <n v="1"/>
    <n v="68.599999999999994"/>
    <n v="98"/>
  </r>
  <r>
    <x v="95"/>
    <d v="2022-05-21T00:00:00"/>
    <n v="1"/>
    <n v="35.99"/>
    <n v="55"/>
  </r>
  <r>
    <x v="134"/>
    <d v="2022-05-21T00:00:00"/>
    <n v="2"/>
    <n v="24.18"/>
    <n v="40"/>
  </r>
  <r>
    <x v="81"/>
    <d v="2022-05-21T00:00:00"/>
    <n v="1"/>
    <n v="47.4"/>
    <n v="77"/>
  </r>
  <r>
    <x v="81"/>
    <d v="2022-05-21T00:00:00"/>
    <n v="1"/>
    <n v="47.4"/>
    <n v="77"/>
  </r>
  <r>
    <x v="148"/>
    <d v="2022-05-21T00:00:00"/>
    <n v="1"/>
    <n v="10.34"/>
    <n v="12"/>
  </r>
  <r>
    <x v="148"/>
    <d v="2022-05-21T00:00:00"/>
    <n v="1"/>
    <n v="10.34"/>
    <n v="12"/>
  </r>
  <r>
    <x v="61"/>
    <d v="2022-05-21T00:00:00"/>
    <n v="1"/>
    <n v="30.35"/>
    <n v="35"/>
  </r>
  <r>
    <x v="61"/>
    <d v="2022-05-21T00:00:00"/>
    <n v="1"/>
    <n v="30.35"/>
    <n v="35"/>
  </r>
  <r>
    <x v="61"/>
    <d v="2022-05-21T00:00:00"/>
    <n v="1"/>
    <n v="30.35"/>
    <n v="35"/>
  </r>
  <r>
    <x v="91"/>
    <d v="2022-05-21T00:00:00"/>
    <n v="1"/>
    <n v="70.930000000000007"/>
    <n v="101"/>
  </r>
  <r>
    <x v="91"/>
    <d v="2022-05-21T00:00:00"/>
    <n v="1"/>
    <n v="70.930000000000007"/>
    <n v="101"/>
  </r>
  <r>
    <x v="15"/>
    <d v="2022-05-21T00:00:00"/>
    <n v="1"/>
    <n v="19.66"/>
    <n v="25"/>
  </r>
  <r>
    <x v="15"/>
    <d v="2022-05-21T00:00:00"/>
    <n v="1"/>
    <n v="19.66"/>
    <n v="25"/>
  </r>
  <r>
    <x v="110"/>
    <d v="2022-05-21T00:00:00"/>
    <n v="1"/>
    <n v="71.900000000000006"/>
    <n v="89"/>
  </r>
  <r>
    <x v="77"/>
    <d v="2022-05-21T00:00:00"/>
    <n v="1"/>
    <n v="38.07"/>
    <n v="48"/>
  </r>
  <r>
    <x v="15"/>
    <d v="2022-05-21T00:00:00"/>
    <n v="1"/>
    <n v="19.71"/>
    <n v="25"/>
  </r>
  <r>
    <x v="21"/>
    <d v="2022-05-21T00:00:00"/>
    <n v="0.1"/>
    <n v="989.67"/>
    <n v="1356"/>
  </r>
  <r>
    <x v="31"/>
    <d v="2022-05-21T00:00:00"/>
    <n v="1"/>
    <n v="22.03"/>
    <n v="28"/>
  </r>
  <r>
    <x v="138"/>
    <d v="2022-05-21T00:00:00"/>
    <n v="1"/>
    <n v="42.19"/>
    <n v="65"/>
  </r>
  <r>
    <x v="131"/>
    <d v="2022-05-21T00:00:00"/>
    <n v="1"/>
    <n v="285.86"/>
    <n v="392"/>
  </r>
  <r>
    <x v="115"/>
    <d v="2022-05-21T00:00:00"/>
    <n v="1"/>
    <n v="132.07"/>
    <n v="181"/>
  </r>
  <r>
    <x v="115"/>
    <d v="2022-05-21T00:00:00"/>
    <n v="1"/>
    <n v="132.07"/>
    <n v="181"/>
  </r>
  <r>
    <x v="13"/>
    <d v="2022-05-21T00:00:00"/>
    <n v="1"/>
    <n v="44"/>
    <n v="70"/>
  </r>
  <r>
    <x v="18"/>
    <d v="2022-05-21T00:00:00"/>
    <n v="1"/>
    <n v="110.07"/>
    <n v="124"/>
  </r>
  <r>
    <x v="45"/>
    <d v="2022-05-21T00:00:00"/>
    <n v="1"/>
    <n v="44.71"/>
    <n v="55"/>
  </r>
  <r>
    <x v="143"/>
    <d v="2022-05-21T00:00:00"/>
    <n v="1"/>
    <n v="37.75"/>
    <n v="58"/>
  </r>
  <r>
    <x v="21"/>
    <d v="2022-05-21T00:00:00"/>
    <n v="0.1"/>
    <n v="987.84"/>
    <n v="1304"/>
  </r>
  <r>
    <x v="117"/>
    <d v="2022-05-21T00:00:00"/>
    <n v="1"/>
    <n v="20.78"/>
    <n v="26"/>
  </r>
  <r>
    <x v="40"/>
    <d v="2022-05-21T00:00:00"/>
    <n v="1"/>
    <n v="27.54"/>
    <n v="45"/>
  </r>
  <r>
    <x v="60"/>
    <d v="2022-05-21T00:00:00"/>
    <n v="1"/>
    <n v="184.07"/>
    <n v="216"/>
  </r>
  <r>
    <x v="43"/>
    <d v="2022-05-21T00:00:00"/>
    <n v="1"/>
    <n v="38.82"/>
    <n v="61"/>
  </r>
  <r>
    <x v="15"/>
    <d v="2022-05-21T00:00:00"/>
    <n v="1"/>
    <n v="19.66"/>
    <n v="25"/>
  </r>
  <r>
    <x v="45"/>
    <d v="2022-05-21T00:00:00"/>
    <n v="1"/>
    <n v="43.86"/>
    <n v="55"/>
  </r>
  <r>
    <x v="59"/>
    <d v="2022-05-21T00:00:00"/>
    <n v="1"/>
    <n v="201"/>
    <n v="266"/>
  </r>
  <r>
    <x v="50"/>
    <d v="2022-05-21T00:00:00"/>
    <n v="1"/>
    <n v="77.67"/>
    <n v="95"/>
  </r>
  <r>
    <x v="107"/>
    <d v="2022-05-21T00:00:00"/>
    <n v="1"/>
    <n v="291.3"/>
    <n v="345"/>
  </r>
  <r>
    <x v="0"/>
    <d v="2022-05-21T00:00:00"/>
    <n v="1"/>
    <n v="146.1"/>
    <n v="173"/>
  </r>
  <r>
    <x v="38"/>
    <d v="2022-05-21T00:00:00"/>
    <n v="1"/>
    <n v="134.68"/>
    <n v="162"/>
  </r>
  <r>
    <x v="86"/>
    <d v="2022-05-21T00:00:00"/>
    <n v="3"/>
    <n v="35.340000000000003"/>
    <n v="58"/>
  </r>
  <r>
    <x v="22"/>
    <d v="2022-05-21T00:00:00"/>
    <n v="1"/>
    <n v="106.88"/>
    <n v="164"/>
  </r>
  <r>
    <x v="3"/>
    <d v="2022-05-21T00:00:00"/>
    <n v="1"/>
    <n v="47.01"/>
    <n v="77"/>
  </r>
  <r>
    <x v="82"/>
    <d v="2022-05-21T00:00:00"/>
    <n v="1"/>
    <n v="337.82"/>
    <n v="403"/>
  </r>
  <r>
    <x v="64"/>
    <d v="2022-05-21T00:00:00"/>
    <n v="1"/>
    <n v="19.989999999999998"/>
    <n v="24"/>
  </r>
  <r>
    <x v="120"/>
    <d v="2022-05-21T00:00:00"/>
    <n v="1"/>
    <n v="330"/>
    <n v="436"/>
  </r>
  <r>
    <x v="43"/>
    <d v="2022-05-21T00:00:00"/>
    <n v="1"/>
    <n v="42.76"/>
    <n v="65"/>
  </r>
  <r>
    <x v="10"/>
    <d v="2022-05-21T00:00:00"/>
    <n v="1"/>
    <n v="50.1"/>
    <n v="80"/>
  </r>
  <r>
    <x v="129"/>
    <d v="2022-05-21T00:00:00"/>
    <n v="1"/>
    <n v="26.87"/>
    <n v="41"/>
  </r>
  <r>
    <x v="21"/>
    <d v="2022-05-21T00:00:00"/>
    <n v="0.3"/>
    <n v="984.79"/>
    <n v="1350"/>
  </r>
  <r>
    <x v="60"/>
    <d v="2022-05-21T00:00:00"/>
    <n v="1"/>
    <n v="185.56"/>
    <n v="218"/>
  </r>
  <r>
    <x v="10"/>
    <d v="2022-05-21T00:00:00"/>
    <n v="1"/>
    <n v="55.5"/>
    <n v="87"/>
  </r>
  <r>
    <x v="128"/>
    <d v="2022-05-21T00:00:00"/>
    <n v="1"/>
    <n v="5.0999999999999996"/>
    <n v="9"/>
  </r>
  <r>
    <x v="47"/>
    <d v="2022-05-21T00:00:00"/>
    <n v="1"/>
    <n v="221.19"/>
    <n v="262"/>
  </r>
  <r>
    <x v="14"/>
    <d v="2022-05-21T00:00:00"/>
    <n v="1"/>
    <n v="81.95"/>
    <n v="104"/>
  </r>
  <r>
    <x v="14"/>
    <d v="2022-05-21T00:00:00"/>
    <n v="1"/>
    <n v="81.95"/>
    <n v="104"/>
  </r>
  <r>
    <x v="14"/>
    <d v="2022-05-21T00:00:00"/>
    <n v="1"/>
    <n v="81.95"/>
    <n v="104"/>
  </r>
  <r>
    <x v="95"/>
    <d v="2022-05-21T00:00:00"/>
    <n v="1"/>
    <n v="35.82"/>
    <n v="57"/>
  </r>
  <r>
    <x v="43"/>
    <d v="2022-05-21T00:00:00"/>
    <n v="1"/>
    <n v="41.24"/>
    <n v="65"/>
  </r>
  <r>
    <x v="40"/>
    <d v="2022-05-21T00:00:00"/>
    <n v="1"/>
    <n v="27.21"/>
    <n v="44"/>
  </r>
  <r>
    <x v="127"/>
    <d v="2022-05-21T00:00:00"/>
    <n v="1"/>
    <n v="58.53"/>
    <n v="87"/>
  </r>
  <r>
    <x v="13"/>
    <d v="2022-05-21T00:00:00"/>
    <n v="1"/>
    <n v="46"/>
    <n v="70"/>
  </r>
  <r>
    <x v="8"/>
    <d v="2022-05-21T00:00:00"/>
    <n v="1"/>
    <n v="120.36"/>
    <n v="145"/>
  </r>
  <r>
    <x v="8"/>
    <d v="2022-05-21T00:00:00"/>
    <n v="1"/>
    <n v="120.36"/>
    <n v="145"/>
  </r>
  <r>
    <x v="29"/>
    <d v="2022-05-21T00:00:00"/>
    <n v="1"/>
    <n v="201.97"/>
    <n v="233"/>
  </r>
  <r>
    <x v="16"/>
    <d v="2022-05-21T00:00:00"/>
    <n v="1"/>
    <n v="182.55"/>
    <n v="251"/>
  </r>
  <r>
    <x v="80"/>
    <d v="2022-05-21T00:00:00"/>
    <n v="1"/>
    <n v="18.010000000000002"/>
    <n v="28"/>
  </r>
  <r>
    <x v="13"/>
    <d v="2022-05-21T00:00:00"/>
    <n v="1"/>
    <n v="44"/>
    <n v="67"/>
  </r>
  <r>
    <x v="62"/>
    <d v="2022-05-21T00:00:00"/>
    <n v="1"/>
    <n v="53.95"/>
    <n v="77"/>
  </r>
  <r>
    <x v="62"/>
    <d v="2022-05-21T00:00:00"/>
    <n v="1"/>
    <n v="53.95"/>
    <n v="77"/>
  </r>
  <r>
    <x v="12"/>
    <d v="2022-05-21T00:00:00"/>
    <n v="1"/>
    <n v="398.87"/>
    <n v="479"/>
  </r>
  <r>
    <x v="15"/>
    <d v="2022-05-21T00:00:00"/>
    <n v="1"/>
    <n v="19.66"/>
    <n v="25"/>
  </r>
  <r>
    <x v="15"/>
    <d v="2022-05-21T00:00:00"/>
    <n v="1"/>
    <n v="19.66"/>
    <n v="25"/>
  </r>
  <r>
    <x v="52"/>
    <d v="2022-05-21T00:00:00"/>
    <n v="1"/>
    <n v="233.74"/>
    <n v="274"/>
  </r>
  <r>
    <x v="80"/>
    <d v="2022-05-21T00:00:00"/>
    <n v="1"/>
    <n v="15.51"/>
    <n v="25"/>
  </r>
  <r>
    <x v="80"/>
    <d v="2022-05-21T00:00:00"/>
    <n v="1"/>
    <n v="15.51"/>
    <n v="25"/>
  </r>
  <r>
    <x v="1"/>
    <d v="2022-05-21T00:00:00"/>
    <n v="0.2"/>
    <n v="421.52"/>
    <n v="527"/>
  </r>
  <r>
    <x v="80"/>
    <d v="2022-05-21T00:00:00"/>
    <n v="1"/>
    <n v="18.010000000000002"/>
    <n v="28"/>
  </r>
  <r>
    <x v="80"/>
    <d v="2022-05-21T00:00:00"/>
    <n v="1"/>
    <n v="18.010000000000002"/>
    <n v="28"/>
  </r>
  <r>
    <x v="80"/>
    <d v="2022-05-21T00:00:00"/>
    <n v="1"/>
    <n v="18.010000000000002"/>
    <n v="28"/>
  </r>
  <r>
    <x v="80"/>
    <d v="2022-05-21T00:00:00"/>
    <n v="1"/>
    <n v="18.010000000000002"/>
    <n v="28"/>
  </r>
  <r>
    <x v="80"/>
    <d v="2022-05-21T00:00:00"/>
    <n v="1"/>
    <n v="18.010000000000002"/>
    <n v="28"/>
  </r>
  <r>
    <x v="36"/>
    <d v="2022-05-21T00:00:00"/>
    <n v="1"/>
    <n v="10.92"/>
    <n v="18"/>
  </r>
  <r>
    <x v="60"/>
    <d v="2022-05-21T00:00:00"/>
    <n v="1"/>
    <n v="184.45"/>
    <n v="216"/>
  </r>
  <r>
    <x v="51"/>
    <d v="2022-05-21T00:00:00"/>
    <n v="1"/>
    <n v="43.97"/>
    <n v="69"/>
  </r>
  <r>
    <x v="45"/>
    <d v="2022-05-21T00:00:00"/>
    <n v="1"/>
    <n v="42.99"/>
    <n v="54"/>
  </r>
  <r>
    <x v="26"/>
    <d v="2022-05-21T00:00:00"/>
    <n v="1"/>
    <n v="13.1"/>
    <n v="18"/>
  </r>
  <r>
    <x v="26"/>
    <d v="2022-05-21T00:00:00"/>
    <n v="1"/>
    <n v="13.1"/>
    <n v="18"/>
  </r>
  <r>
    <x v="26"/>
    <d v="2022-05-21T00:00:00"/>
    <n v="1"/>
    <n v="13.1"/>
    <n v="18"/>
  </r>
  <r>
    <x v="26"/>
    <d v="2022-05-21T00:00:00"/>
    <n v="1"/>
    <n v="13.1"/>
    <n v="18"/>
  </r>
  <r>
    <x v="26"/>
    <d v="2022-05-21T00:00:00"/>
    <n v="1"/>
    <n v="13.1"/>
    <n v="18"/>
  </r>
  <r>
    <x v="43"/>
    <d v="2022-05-21T00:00:00"/>
    <n v="1"/>
    <n v="38.67"/>
    <n v="59"/>
  </r>
  <r>
    <x v="23"/>
    <d v="2022-05-21T00:00:00"/>
    <n v="1"/>
    <n v="141.08000000000001"/>
    <n v="205"/>
  </r>
  <r>
    <x v="70"/>
    <d v="2022-05-21T00:00:00"/>
    <n v="0.14000000000000001"/>
    <n v="438.6"/>
    <n v="623"/>
  </r>
  <r>
    <x v="2"/>
    <d v="2022-05-21T00:00:00"/>
    <n v="1"/>
    <n v="87.6"/>
    <n v="109"/>
  </r>
  <r>
    <x v="2"/>
    <d v="2022-05-21T00:00:00"/>
    <n v="1"/>
    <n v="87.6"/>
    <n v="109"/>
  </r>
  <r>
    <x v="46"/>
    <d v="2022-05-21T00:00:00"/>
    <n v="8"/>
    <n v="1.98"/>
    <n v="4"/>
  </r>
  <r>
    <x v="46"/>
    <d v="2022-05-21T00:00:00"/>
    <n v="8"/>
    <n v="2.2999999999999998"/>
    <n v="4"/>
  </r>
  <r>
    <x v="95"/>
    <d v="2022-05-21T00:00:00"/>
    <n v="1"/>
    <n v="35.82"/>
    <n v="57"/>
  </r>
  <r>
    <x v="32"/>
    <d v="2022-05-21T00:00:00"/>
    <n v="1"/>
    <n v="36.86"/>
    <n v="47"/>
  </r>
  <r>
    <x v="32"/>
    <d v="2022-05-21T00:00:00"/>
    <n v="1"/>
    <n v="36.86"/>
    <n v="47"/>
  </r>
  <r>
    <x v="32"/>
    <d v="2022-05-21T00:00:00"/>
    <n v="1"/>
    <n v="36.86"/>
    <n v="47"/>
  </r>
  <r>
    <x v="15"/>
    <d v="2022-05-21T00:00:00"/>
    <n v="1"/>
    <n v="22.66"/>
    <n v="30"/>
  </r>
  <r>
    <x v="15"/>
    <d v="2022-05-21T00:00:00"/>
    <n v="1"/>
    <n v="22.66"/>
    <n v="30"/>
  </r>
  <r>
    <x v="2"/>
    <d v="2022-05-21T00:00:00"/>
    <n v="1"/>
    <n v="88.74"/>
    <n v="104"/>
  </r>
  <r>
    <x v="2"/>
    <d v="2022-05-21T00:00:00"/>
    <n v="1"/>
    <n v="88.68"/>
    <n v="104"/>
  </r>
  <r>
    <x v="144"/>
    <d v="2022-05-21T00:00:00"/>
    <n v="1"/>
    <n v="199.99"/>
    <n v="270"/>
  </r>
  <r>
    <x v="3"/>
    <d v="2022-05-21T00:00:00"/>
    <n v="1"/>
    <n v="47.82"/>
    <n v="83"/>
  </r>
  <r>
    <x v="12"/>
    <d v="2022-05-21T00:00:00"/>
    <n v="1"/>
    <n v="398.87"/>
    <n v="479"/>
  </r>
  <r>
    <x v="52"/>
    <d v="2022-05-21T00:00:00"/>
    <n v="1"/>
    <n v="233.76"/>
    <n v="274"/>
  </r>
  <r>
    <x v="147"/>
    <d v="2022-05-21T00:00:00"/>
    <n v="1"/>
    <n v="127.93"/>
    <n v="160"/>
  </r>
  <r>
    <x v="82"/>
    <d v="2022-05-21T00:00:00"/>
    <n v="1"/>
    <n v="323.66000000000003"/>
    <n v="389"/>
  </r>
  <r>
    <x v="60"/>
    <d v="2022-05-21T00:00:00"/>
    <n v="1"/>
    <n v="184.45"/>
    <n v="216"/>
  </r>
  <r>
    <x v="136"/>
    <d v="2022-05-21T00:00:00"/>
    <n v="3"/>
    <n v="10.76"/>
    <n v="18"/>
  </r>
  <r>
    <x v="21"/>
    <d v="2022-05-21T00:00:00"/>
    <n v="0.3"/>
    <n v="994.36"/>
    <n v="1343"/>
  </r>
  <r>
    <x v="42"/>
    <d v="2022-05-21T00:00:00"/>
    <n v="1"/>
    <n v="43.08"/>
    <n v="67"/>
  </r>
  <r>
    <x v="26"/>
    <d v="2022-05-21T00:00:00"/>
    <n v="1"/>
    <n v="13.05"/>
    <n v="18"/>
  </r>
  <r>
    <x v="155"/>
    <d v="2022-05-21T00:00:00"/>
    <n v="1"/>
    <n v="81.8"/>
    <n v="99"/>
  </r>
  <r>
    <x v="155"/>
    <d v="2022-05-21T00:00:00"/>
    <n v="1"/>
    <n v="81.8"/>
    <n v="99"/>
  </r>
  <r>
    <x v="40"/>
    <d v="2022-05-21T00:00:00"/>
    <n v="2"/>
    <n v="29.26"/>
    <n v="48"/>
  </r>
  <r>
    <x v="114"/>
    <d v="2022-05-21T00:00:00"/>
    <n v="0.107143"/>
    <n v="628.24"/>
    <n v="694"/>
  </r>
  <r>
    <x v="148"/>
    <d v="2022-05-21T00:00:00"/>
    <n v="1"/>
    <n v="9.4600000000000009"/>
    <n v="11"/>
  </r>
  <r>
    <x v="148"/>
    <d v="2022-05-21T00:00:00"/>
    <n v="1"/>
    <n v="9.4600000000000009"/>
    <n v="11"/>
  </r>
  <r>
    <x v="135"/>
    <d v="2022-05-21T00:00:00"/>
    <n v="1"/>
    <n v="153.88999999999999"/>
    <n v="186"/>
  </r>
  <r>
    <x v="2"/>
    <d v="2022-05-21T00:00:00"/>
    <n v="1"/>
    <n v="97.92"/>
    <n v="114"/>
  </r>
  <r>
    <x v="120"/>
    <d v="2022-05-21T00:00:00"/>
    <n v="1"/>
    <n v="327.48"/>
    <n v="433"/>
  </r>
  <r>
    <x v="23"/>
    <d v="2022-05-21T00:00:00"/>
    <n v="1"/>
    <n v="150.03"/>
    <n v="206"/>
  </r>
  <r>
    <x v="29"/>
    <d v="2022-05-21T00:00:00"/>
    <n v="1"/>
    <n v="199.32"/>
    <n v="230"/>
  </r>
  <r>
    <x v="5"/>
    <d v="2022-05-21T00:00:00"/>
    <n v="1"/>
    <n v="10.34"/>
    <n v="13"/>
  </r>
  <r>
    <x v="111"/>
    <d v="2022-05-21T00:00:00"/>
    <n v="1"/>
    <n v="101.43"/>
    <n v="120"/>
  </r>
  <r>
    <x v="124"/>
    <d v="2022-05-21T00:00:00"/>
    <n v="0.08"/>
    <n v="493.92"/>
    <n v="595"/>
  </r>
  <r>
    <x v="152"/>
    <d v="2022-05-21T00:00:00"/>
    <n v="1"/>
    <n v="12"/>
    <n v="21"/>
  </r>
  <r>
    <x v="19"/>
    <d v="2022-05-21T00:00:00"/>
    <n v="1"/>
    <n v="97.12"/>
    <n v="118"/>
  </r>
  <r>
    <x v="19"/>
    <d v="2022-05-21T00:00:00"/>
    <n v="1"/>
    <n v="97.12"/>
    <n v="118"/>
  </r>
  <r>
    <x v="117"/>
    <d v="2022-05-21T00:00:00"/>
    <n v="1"/>
    <n v="20.78"/>
    <n v="26"/>
  </r>
  <r>
    <x v="27"/>
    <d v="2022-05-21T00:00:00"/>
    <n v="1"/>
    <n v="105"/>
    <n v="161"/>
  </r>
  <r>
    <x v="2"/>
    <d v="2022-05-21T00:00:00"/>
    <n v="1"/>
    <n v="87.75"/>
    <n v="109"/>
  </r>
  <r>
    <x v="60"/>
    <d v="2022-05-21T00:00:00"/>
    <n v="1"/>
    <n v="185.56"/>
    <n v="218"/>
  </r>
  <r>
    <x v="22"/>
    <d v="2022-05-21T00:00:00"/>
    <n v="1"/>
    <n v="106.88"/>
    <n v="164"/>
  </r>
  <r>
    <x v="86"/>
    <d v="2022-05-21T00:00:00"/>
    <n v="1"/>
    <n v="36.4"/>
    <n v="59"/>
  </r>
  <r>
    <x v="90"/>
    <d v="2022-05-21T00:00:00"/>
    <n v="0.5"/>
    <n v="129.4"/>
    <n v="197"/>
  </r>
  <r>
    <x v="61"/>
    <d v="2022-05-21T00:00:00"/>
    <n v="1"/>
    <n v="32"/>
    <n v="36"/>
  </r>
  <r>
    <x v="109"/>
    <d v="2022-05-21T00:00:00"/>
    <n v="1"/>
    <n v="74.8"/>
    <n v="92"/>
  </r>
  <r>
    <x v="155"/>
    <d v="2022-05-21T00:00:00"/>
    <n v="1"/>
    <n v="81.8"/>
    <n v="99"/>
  </r>
  <r>
    <x v="60"/>
    <d v="2022-05-21T00:00:00"/>
    <n v="1"/>
    <n v="176.42"/>
    <n v="207"/>
  </r>
  <r>
    <x v="13"/>
    <d v="2022-05-21T00:00:00"/>
    <n v="1"/>
    <n v="46"/>
    <n v="70"/>
  </r>
  <r>
    <x v="27"/>
    <d v="2022-05-21T00:00:00"/>
    <n v="1"/>
    <n v="105"/>
    <n v="165"/>
  </r>
  <r>
    <x v="93"/>
    <d v="2022-05-21T00:00:00"/>
    <n v="1"/>
    <n v="110.99"/>
    <n v="136"/>
  </r>
  <r>
    <x v="42"/>
    <d v="2022-05-21T00:00:00"/>
    <n v="1"/>
    <n v="43.08"/>
    <n v="67"/>
  </r>
  <r>
    <x v="42"/>
    <d v="2022-05-21T00:00:00"/>
    <n v="1"/>
    <n v="43.08"/>
    <n v="67"/>
  </r>
  <r>
    <x v="19"/>
    <d v="2022-05-21T00:00:00"/>
    <n v="1"/>
    <n v="96.14"/>
    <n v="118"/>
  </r>
  <r>
    <x v="40"/>
    <d v="2022-05-21T00:00:00"/>
    <n v="3"/>
    <n v="28.85"/>
    <n v="47"/>
  </r>
  <r>
    <x v="7"/>
    <d v="2022-05-21T00:00:00"/>
    <n v="1"/>
    <n v="56.18"/>
    <n v="70"/>
  </r>
  <r>
    <x v="150"/>
    <d v="2022-05-21T00:00:00"/>
    <n v="0.24"/>
    <n v="498.53"/>
    <n v="698"/>
  </r>
  <r>
    <x v="2"/>
    <d v="2022-05-21T00:00:00"/>
    <n v="1"/>
    <n v="87.6"/>
    <n v="109"/>
  </r>
  <r>
    <x v="83"/>
    <d v="2022-05-21T00:00:00"/>
    <n v="0.3"/>
    <n v="106.51"/>
    <n v="163"/>
  </r>
  <r>
    <x v="100"/>
    <d v="2022-05-21T00:00:00"/>
    <n v="2"/>
    <n v="35.79"/>
    <n v="58"/>
  </r>
  <r>
    <x v="29"/>
    <d v="2022-05-21T00:00:00"/>
    <n v="1"/>
    <n v="199.32"/>
    <n v="230"/>
  </r>
  <r>
    <x v="19"/>
    <d v="2022-05-21T00:00:00"/>
    <n v="1"/>
    <n v="103.96"/>
    <n v="125"/>
  </r>
  <r>
    <x v="26"/>
    <d v="2022-05-21T00:00:00"/>
    <n v="1"/>
    <n v="13.05"/>
    <n v="18"/>
  </r>
  <r>
    <x v="26"/>
    <d v="2022-05-21T00:00:00"/>
    <n v="1"/>
    <n v="13.05"/>
    <n v="18"/>
  </r>
  <r>
    <x v="26"/>
    <d v="2022-05-21T00:00:00"/>
    <n v="1"/>
    <n v="13.05"/>
    <n v="18"/>
  </r>
  <r>
    <x v="26"/>
    <d v="2022-05-21T00:00:00"/>
    <n v="1"/>
    <n v="13.05"/>
    <n v="18"/>
  </r>
  <r>
    <x v="26"/>
    <d v="2022-05-21T00:00:00"/>
    <n v="1"/>
    <n v="13.05"/>
    <n v="18"/>
  </r>
  <r>
    <x v="26"/>
    <d v="2022-05-21T00:00:00"/>
    <n v="1"/>
    <n v="13.05"/>
    <n v="18"/>
  </r>
  <r>
    <x v="26"/>
    <d v="2022-05-21T00:00:00"/>
    <n v="1"/>
    <n v="13.05"/>
    <n v="18"/>
  </r>
  <r>
    <x v="26"/>
    <d v="2022-05-21T00:00:00"/>
    <n v="1"/>
    <n v="13.05"/>
    <n v="18"/>
  </r>
  <r>
    <x v="26"/>
    <d v="2022-05-21T00:00:00"/>
    <n v="1"/>
    <n v="13.05"/>
    <n v="18"/>
  </r>
  <r>
    <x v="26"/>
    <d v="2022-05-21T00:00:00"/>
    <n v="1"/>
    <n v="13.05"/>
    <n v="18"/>
  </r>
  <r>
    <x v="132"/>
    <d v="2022-05-21T00:00:00"/>
    <n v="1"/>
    <n v="7.13"/>
    <n v="12"/>
  </r>
  <r>
    <x v="61"/>
    <d v="2022-05-21T00:00:00"/>
    <n v="1"/>
    <n v="30.56"/>
    <n v="36"/>
  </r>
  <r>
    <x v="61"/>
    <d v="2022-05-21T00:00:00"/>
    <n v="1"/>
    <n v="30.56"/>
    <n v="36"/>
  </r>
  <r>
    <x v="61"/>
    <d v="2022-05-21T00:00:00"/>
    <n v="1"/>
    <n v="30.56"/>
    <n v="36"/>
  </r>
  <r>
    <x v="52"/>
    <d v="2022-05-21T00:00:00"/>
    <n v="1"/>
    <n v="225.2"/>
    <n v="264"/>
  </r>
  <r>
    <x v="118"/>
    <d v="2022-05-21T00:00:00"/>
    <n v="1"/>
    <n v="63.69"/>
    <n v="79"/>
  </r>
  <r>
    <x v="57"/>
    <d v="2022-05-21T00:00:00"/>
    <n v="1"/>
    <n v="25.71"/>
    <n v="31"/>
  </r>
  <r>
    <x v="60"/>
    <d v="2022-05-21T00:00:00"/>
    <n v="1"/>
    <n v="184.07"/>
    <n v="216"/>
  </r>
  <r>
    <x v="60"/>
    <d v="2022-05-21T00:00:00"/>
    <n v="1"/>
    <n v="184.07"/>
    <n v="216"/>
  </r>
  <r>
    <x v="43"/>
    <d v="2022-05-21T00:00:00"/>
    <n v="1"/>
    <n v="41.24"/>
    <n v="65"/>
  </r>
  <r>
    <x v="54"/>
    <d v="2022-05-21T00:00:00"/>
    <n v="1"/>
    <n v="11.59"/>
    <n v="19"/>
  </r>
  <r>
    <x v="99"/>
    <d v="2022-05-21T00:00:00"/>
    <n v="1"/>
    <n v="46"/>
    <n v="58"/>
  </r>
  <r>
    <x v="3"/>
    <d v="2022-05-21T00:00:00"/>
    <n v="1"/>
    <n v="47.03"/>
    <n v="76"/>
  </r>
  <r>
    <x v="38"/>
    <d v="2022-05-21T00:00:00"/>
    <n v="1"/>
    <n v="134.09"/>
    <n v="161"/>
  </r>
  <r>
    <x v="14"/>
    <d v="2022-05-21T00:00:00"/>
    <n v="1"/>
    <n v="82.69"/>
    <n v="103"/>
  </r>
  <r>
    <x v="19"/>
    <d v="2022-05-21T00:00:00"/>
    <n v="1"/>
    <n v="96.14"/>
    <n v="118"/>
  </r>
  <r>
    <x v="83"/>
    <d v="2022-05-21T00:00:00"/>
    <n v="0.1"/>
    <n v="106.51"/>
    <n v="163"/>
  </r>
  <r>
    <x v="30"/>
    <d v="2022-05-21T00:00:00"/>
    <n v="1"/>
    <n v="35"/>
    <n v="54"/>
  </r>
  <r>
    <x v="21"/>
    <d v="2022-05-21T00:00:00"/>
    <n v="0.33333299999999999"/>
    <n v="987.81"/>
    <n v="1235"/>
  </r>
  <r>
    <x v="60"/>
    <d v="2022-05-21T00:00:00"/>
    <n v="1"/>
    <n v="184.07"/>
    <n v="216"/>
  </r>
  <r>
    <x v="120"/>
    <d v="2022-05-21T00:00:00"/>
    <n v="1"/>
    <n v="331.43"/>
    <n v="431"/>
  </r>
  <r>
    <x v="64"/>
    <d v="2022-05-21T00:00:00"/>
    <n v="1"/>
    <n v="19.989999999999998"/>
    <n v="24"/>
  </r>
  <r>
    <x v="64"/>
    <d v="2022-05-21T00:00:00"/>
    <n v="1"/>
    <n v="19.989999999999998"/>
    <n v="24"/>
  </r>
  <r>
    <x v="19"/>
    <d v="2022-05-21T00:00:00"/>
    <n v="1"/>
    <n v="103.96"/>
    <n v="125"/>
  </r>
  <r>
    <x v="21"/>
    <d v="2022-05-21T00:00:00"/>
    <n v="0.1"/>
    <n v="989.8"/>
    <n v="1238"/>
  </r>
  <r>
    <x v="85"/>
    <d v="2022-05-21T00:00:00"/>
    <n v="1"/>
    <n v="397.76"/>
    <n v="490"/>
  </r>
  <r>
    <x v="151"/>
    <d v="2022-05-21T00:00:00"/>
    <n v="1"/>
    <n v="270.24"/>
    <n v="371"/>
  </r>
  <r>
    <x v="42"/>
    <d v="2022-05-21T00:00:00"/>
    <n v="1"/>
    <n v="43.08"/>
    <n v="67"/>
  </r>
  <r>
    <x v="145"/>
    <d v="2022-05-21T00:00:00"/>
    <n v="1"/>
    <n v="94.8"/>
    <n v="151"/>
  </r>
  <r>
    <x v="26"/>
    <d v="2022-05-21T00:00:00"/>
    <n v="1"/>
    <n v="13.05"/>
    <n v="18"/>
  </r>
  <r>
    <x v="1"/>
    <d v="2022-05-21T00:00:00"/>
    <n v="0.2"/>
    <n v="433.76"/>
    <n v="543"/>
  </r>
  <r>
    <x v="134"/>
    <d v="2022-05-21T00:00:00"/>
    <n v="1"/>
    <n v="24.18"/>
    <n v="39"/>
  </r>
  <r>
    <x v="81"/>
    <d v="2022-05-21T00:00:00"/>
    <n v="2"/>
    <n v="47.4"/>
    <n v="76"/>
  </r>
  <r>
    <x v="124"/>
    <d v="2022-05-21T00:00:00"/>
    <n v="0.08"/>
    <n v="495.19"/>
    <n v="606"/>
  </r>
  <r>
    <x v="14"/>
    <d v="2022-05-21T00:00:00"/>
    <n v="1"/>
    <n v="81.95"/>
    <n v="104"/>
  </r>
  <r>
    <x v="125"/>
    <d v="2022-05-21T00:00:00"/>
    <n v="1"/>
    <n v="23.6"/>
    <n v="29"/>
  </r>
  <r>
    <x v="18"/>
    <d v="2022-05-21T00:00:00"/>
    <n v="1"/>
    <n v="109.41"/>
    <n v="123"/>
  </r>
  <r>
    <x v="18"/>
    <d v="2022-05-21T00:00:00"/>
    <n v="1"/>
    <n v="109.41"/>
    <n v="123"/>
  </r>
  <r>
    <x v="150"/>
    <d v="2022-05-21T00:00:00"/>
    <n v="0.4"/>
    <n v="498.53"/>
    <n v="698"/>
  </r>
  <r>
    <x v="14"/>
    <d v="2022-05-21T00:00:00"/>
    <n v="1"/>
    <n v="81.95"/>
    <n v="104"/>
  </r>
  <r>
    <x v="14"/>
    <d v="2022-05-21T00:00:00"/>
    <n v="1"/>
    <n v="81.95"/>
    <n v="104"/>
  </r>
  <r>
    <x v="130"/>
    <d v="2022-05-21T00:00:00"/>
    <n v="1"/>
    <n v="72.88"/>
    <n v="90"/>
  </r>
  <r>
    <x v="141"/>
    <d v="2022-05-21T00:00:00"/>
    <n v="1"/>
    <n v="411.54"/>
    <n v="461"/>
  </r>
  <r>
    <x v="19"/>
    <d v="2022-05-21T00:00:00"/>
    <n v="1"/>
    <n v="98.67"/>
    <n v="123"/>
  </r>
  <r>
    <x v="19"/>
    <d v="2022-05-21T00:00:00"/>
    <n v="1"/>
    <n v="98.67"/>
    <n v="123"/>
  </r>
  <r>
    <x v="20"/>
    <d v="2022-05-21T00:00:00"/>
    <n v="1"/>
    <n v="147.18"/>
    <n v="173"/>
  </r>
  <r>
    <x v="146"/>
    <d v="2022-05-21T00:00:00"/>
    <n v="1"/>
    <n v="23.23"/>
    <n v="29"/>
  </r>
  <r>
    <x v="3"/>
    <d v="2022-05-21T00:00:00"/>
    <n v="1"/>
    <n v="47.83"/>
    <n v="77"/>
  </r>
  <r>
    <x v="105"/>
    <d v="2022-05-21T00:00:00"/>
    <n v="1"/>
    <n v="215.6"/>
    <n v="302"/>
  </r>
  <r>
    <x v="65"/>
    <d v="2022-05-21T00:00:00"/>
    <n v="1"/>
    <n v="162.19"/>
    <n v="196"/>
  </r>
  <r>
    <x v="106"/>
    <d v="2022-05-21T00:00:00"/>
    <n v="1"/>
    <n v="163.29"/>
    <n v="196"/>
  </r>
  <r>
    <x v="60"/>
    <d v="2022-05-21T00:00:00"/>
    <n v="1"/>
    <n v="184.45"/>
    <n v="235"/>
  </r>
  <r>
    <x v="15"/>
    <d v="2022-05-21T00:00:00"/>
    <n v="1"/>
    <n v="22.62"/>
    <n v="29"/>
  </r>
  <r>
    <x v="15"/>
    <d v="2022-05-21T00:00:00"/>
    <n v="1"/>
    <n v="22.62"/>
    <n v="29"/>
  </r>
  <r>
    <x v="15"/>
    <d v="2022-05-21T00:00:00"/>
    <n v="1"/>
    <n v="22.62"/>
    <n v="29"/>
  </r>
  <r>
    <x v="15"/>
    <d v="2022-05-21T00:00:00"/>
    <n v="1"/>
    <n v="22.62"/>
    <n v="29"/>
  </r>
  <r>
    <x v="2"/>
    <d v="2022-05-21T00:00:00"/>
    <n v="1"/>
    <n v="87.6"/>
    <n v="109"/>
  </r>
  <r>
    <x v="87"/>
    <d v="2022-05-21T00:00:00"/>
    <n v="1"/>
    <n v="6.6"/>
    <n v="9"/>
  </r>
  <r>
    <x v="30"/>
    <d v="2022-05-21T00:00:00"/>
    <n v="1"/>
    <n v="35"/>
    <n v="54"/>
  </r>
  <r>
    <x v="30"/>
    <d v="2022-05-21T00:00:00"/>
    <n v="1"/>
    <n v="35"/>
    <n v="54"/>
  </r>
  <r>
    <x v="8"/>
    <d v="2022-05-21T00:00:00"/>
    <n v="1"/>
    <n v="119.06"/>
    <n v="143"/>
  </r>
  <r>
    <x v="82"/>
    <d v="2022-05-21T00:00:00"/>
    <n v="1"/>
    <n v="348.66"/>
    <n v="395"/>
  </r>
  <r>
    <x v="23"/>
    <d v="2022-05-21T00:00:00"/>
    <n v="1"/>
    <n v="150.03"/>
    <n v="206"/>
  </r>
  <r>
    <x v="58"/>
    <d v="2022-05-21T00:00:00"/>
    <n v="1"/>
    <n v="71.45"/>
    <n v="90"/>
  </r>
  <r>
    <x v="53"/>
    <d v="2022-05-21T00:00:00"/>
    <n v="1"/>
    <n v="78"/>
    <n v="94"/>
  </r>
  <r>
    <x v="119"/>
    <d v="2022-05-21T00:00:00"/>
    <n v="1"/>
    <n v="42.85"/>
    <n v="70"/>
  </r>
  <r>
    <x v="90"/>
    <d v="2022-05-21T00:00:00"/>
    <n v="2"/>
    <n v="130.88999999999999"/>
    <n v="206"/>
  </r>
  <r>
    <x v="20"/>
    <d v="2022-05-21T00:00:00"/>
    <n v="1"/>
    <n v="147.4"/>
    <n v="177"/>
  </r>
  <r>
    <x v="123"/>
    <d v="2022-05-21T00:00:00"/>
    <n v="1"/>
    <n v="282.82"/>
    <n v="396"/>
  </r>
  <r>
    <x v="2"/>
    <d v="2022-05-21T00:00:00"/>
    <n v="1"/>
    <n v="89.27"/>
    <n v="113"/>
  </r>
  <r>
    <x v="72"/>
    <d v="2022-05-21T00:00:00"/>
    <n v="1"/>
    <n v="61.89"/>
    <n v="77"/>
  </r>
  <r>
    <x v="136"/>
    <d v="2022-05-21T00:00:00"/>
    <n v="1"/>
    <n v="12.2"/>
    <n v="20"/>
  </r>
  <r>
    <x v="155"/>
    <d v="2022-05-21T00:00:00"/>
    <n v="1"/>
    <n v="81.8"/>
    <n v="99"/>
  </r>
  <r>
    <x v="27"/>
    <d v="2022-05-21T00:00:00"/>
    <n v="2"/>
    <n v="105"/>
    <n v="165"/>
  </r>
  <r>
    <x v="11"/>
    <d v="2022-05-21T00:00:00"/>
    <n v="1"/>
    <n v="35.22"/>
    <n v="55"/>
  </r>
  <r>
    <x v="28"/>
    <d v="2022-05-21T00:00:00"/>
    <n v="1"/>
    <n v="21.75"/>
    <n v="26"/>
  </r>
  <r>
    <x v="117"/>
    <d v="2022-05-21T00:00:00"/>
    <n v="1"/>
    <n v="21.23"/>
    <n v="26"/>
  </r>
  <r>
    <x v="90"/>
    <d v="2022-05-21T00:00:00"/>
    <n v="1"/>
    <n v="130.88999999999999"/>
    <n v="206"/>
  </r>
  <r>
    <x v="139"/>
    <d v="2022-05-21T00:00:00"/>
    <n v="1"/>
    <n v="51.32"/>
    <n v="73"/>
  </r>
  <r>
    <x v="153"/>
    <d v="2022-05-21T00:00:00"/>
    <n v="1"/>
    <n v="24.52"/>
    <n v="32"/>
  </r>
  <r>
    <x v="153"/>
    <d v="2022-05-21T00:00:00"/>
    <n v="1"/>
    <n v="24.52"/>
    <n v="32"/>
  </r>
  <r>
    <x v="153"/>
    <d v="2022-05-21T00:00:00"/>
    <n v="1"/>
    <n v="24.52"/>
    <n v="32"/>
  </r>
  <r>
    <x v="153"/>
    <d v="2022-05-21T00:00:00"/>
    <n v="1"/>
    <n v="24.52"/>
    <n v="32"/>
  </r>
  <r>
    <x v="153"/>
    <d v="2022-05-21T00:00:00"/>
    <n v="1"/>
    <n v="24.52"/>
    <n v="32"/>
  </r>
  <r>
    <x v="153"/>
    <d v="2022-05-21T00:00:00"/>
    <n v="1"/>
    <n v="24.52"/>
    <n v="32"/>
  </r>
  <r>
    <x v="153"/>
    <d v="2022-05-21T00:00:00"/>
    <n v="1"/>
    <n v="24.52"/>
    <n v="32"/>
  </r>
  <r>
    <x v="153"/>
    <d v="2022-05-21T00:00:00"/>
    <n v="1"/>
    <n v="24.52"/>
    <n v="32"/>
  </r>
  <r>
    <x v="153"/>
    <d v="2022-05-21T00:00:00"/>
    <n v="1"/>
    <n v="24.52"/>
    <n v="32"/>
  </r>
  <r>
    <x v="153"/>
    <d v="2022-05-21T00:00:00"/>
    <n v="1"/>
    <n v="24.52"/>
    <n v="32"/>
  </r>
  <r>
    <x v="20"/>
    <d v="2022-05-21T00:00:00"/>
    <n v="1"/>
    <n v="147.18"/>
    <n v="177"/>
  </r>
  <r>
    <x v="48"/>
    <d v="2022-05-21T00:00:00"/>
    <n v="1"/>
    <n v="23.4"/>
    <n v="38"/>
  </r>
  <r>
    <x v="145"/>
    <d v="2022-05-21T00:00:00"/>
    <n v="1"/>
    <n v="82.64"/>
    <n v="129"/>
  </r>
  <r>
    <x v="142"/>
    <d v="2022-05-21T00:00:00"/>
    <n v="1"/>
    <n v="136.94999999999999"/>
    <n v="188"/>
  </r>
  <r>
    <x v="5"/>
    <d v="2022-05-21T00:00:00"/>
    <n v="1"/>
    <n v="10.34"/>
    <n v="13"/>
  </r>
  <r>
    <x v="16"/>
    <d v="2022-05-21T00:00:00"/>
    <n v="1"/>
    <n v="182.55"/>
    <n v="251"/>
  </r>
  <r>
    <x v="49"/>
    <d v="2022-05-21T00:00:00"/>
    <n v="1"/>
    <n v="643.5"/>
    <n v="831"/>
  </r>
  <r>
    <x v="26"/>
    <d v="2022-05-21T00:00:00"/>
    <n v="1"/>
    <n v="13.05"/>
    <n v="18"/>
  </r>
  <r>
    <x v="82"/>
    <d v="2022-05-21T00:00:00"/>
    <n v="1"/>
    <n v="351.11"/>
    <n v="416"/>
  </r>
  <r>
    <x v="85"/>
    <d v="2022-05-21T00:00:00"/>
    <n v="1"/>
    <n v="384.2"/>
    <n v="481"/>
  </r>
  <r>
    <x v="139"/>
    <d v="2022-05-21T00:00:00"/>
    <n v="1"/>
    <n v="51.62"/>
    <n v="75"/>
  </r>
  <r>
    <x v="5"/>
    <d v="2022-05-21T00:00:00"/>
    <n v="1"/>
    <n v="10.34"/>
    <n v="13"/>
  </r>
  <r>
    <x v="57"/>
    <d v="2022-05-21T00:00:00"/>
    <n v="1"/>
    <n v="25.15"/>
    <n v="30"/>
  </r>
  <r>
    <x v="68"/>
    <d v="2022-05-21T00:00:00"/>
    <n v="2"/>
    <n v="8.07"/>
    <n v="14"/>
  </r>
  <r>
    <x v="134"/>
    <d v="2022-05-21T00:00:00"/>
    <n v="1"/>
    <n v="24.18"/>
    <n v="40"/>
  </r>
  <r>
    <x v="81"/>
    <d v="2022-05-21T00:00:00"/>
    <n v="1"/>
    <n v="47.4"/>
    <n v="77"/>
  </r>
  <r>
    <x v="10"/>
    <d v="2022-05-21T00:00:00"/>
    <n v="4"/>
    <n v="34.18"/>
    <n v="56"/>
  </r>
  <r>
    <x v="143"/>
    <d v="2022-05-21T00:00:00"/>
    <n v="1"/>
    <n v="37.75"/>
    <n v="58"/>
  </r>
  <r>
    <x v="20"/>
    <d v="2022-05-21T00:00:00"/>
    <n v="1"/>
    <n v="147.18"/>
    <n v="177"/>
  </r>
  <r>
    <x v="82"/>
    <d v="2022-05-21T00:00:00"/>
    <n v="1"/>
    <n v="348.66"/>
    <n v="395"/>
  </r>
  <r>
    <x v="152"/>
    <d v="2022-05-21T00:00:00"/>
    <n v="2"/>
    <n v="12"/>
    <n v="20"/>
  </r>
  <r>
    <x v="105"/>
    <d v="2022-05-21T00:00:00"/>
    <n v="1"/>
    <n v="209.32"/>
    <n v="287"/>
  </r>
  <r>
    <x v="115"/>
    <d v="2022-05-21T00:00:00"/>
    <n v="1"/>
    <n v="132.07"/>
    <n v="181"/>
  </r>
  <r>
    <x v="51"/>
    <d v="2022-05-21T00:00:00"/>
    <n v="1"/>
    <n v="43.97"/>
    <n v="69"/>
  </r>
  <r>
    <x v="147"/>
    <d v="2022-05-21T00:00:00"/>
    <n v="1"/>
    <n v="109.67"/>
    <n v="138"/>
  </r>
  <r>
    <x v="14"/>
    <d v="2022-05-21T00:00:00"/>
    <n v="1"/>
    <n v="81.95"/>
    <n v="104"/>
  </r>
  <r>
    <x v="14"/>
    <d v="2022-05-21T00:00:00"/>
    <n v="1"/>
    <n v="81.95"/>
    <n v="104"/>
  </r>
  <r>
    <x v="45"/>
    <d v="2022-05-21T00:00:00"/>
    <n v="1"/>
    <n v="43.86"/>
    <n v="56"/>
  </r>
  <r>
    <x v="14"/>
    <d v="2022-05-21T00:00:00"/>
    <n v="1"/>
    <n v="81.69"/>
    <n v="102"/>
  </r>
  <r>
    <x v="119"/>
    <d v="2022-05-21T00:00:00"/>
    <n v="1"/>
    <n v="42.85"/>
    <n v="70"/>
  </r>
  <r>
    <x v="101"/>
    <d v="2022-05-21T00:00:00"/>
    <n v="1"/>
    <n v="40.17"/>
    <n v="50"/>
  </r>
  <r>
    <x v="2"/>
    <d v="2022-05-21T00:00:00"/>
    <n v="1"/>
    <n v="88.4"/>
    <n v="109"/>
  </r>
  <r>
    <x v="65"/>
    <d v="2022-05-21T00:00:00"/>
    <n v="1"/>
    <n v="165.32"/>
    <n v="203"/>
  </r>
  <r>
    <x v="100"/>
    <d v="2022-05-21T00:00:00"/>
    <n v="2"/>
    <n v="26.72"/>
    <n v="43"/>
  </r>
  <r>
    <x v="110"/>
    <d v="2022-05-21T00:00:00"/>
    <n v="1"/>
    <n v="71.900000000000006"/>
    <n v="89"/>
  </r>
  <r>
    <x v="30"/>
    <d v="2022-05-21T00:00:00"/>
    <n v="1"/>
    <n v="35"/>
    <n v="54"/>
  </r>
  <r>
    <x v="38"/>
    <d v="2022-05-21T00:00:00"/>
    <n v="1"/>
    <n v="134.94999999999999"/>
    <n v="162"/>
  </r>
  <r>
    <x v="81"/>
    <d v="2022-05-21T00:00:00"/>
    <n v="5"/>
    <n v="47.4"/>
    <n v="76"/>
  </r>
  <r>
    <x v="132"/>
    <d v="2022-05-21T00:00:00"/>
    <n v="1"/>
    <n v="7.13"/>
    <n v="12"/>
  </r>
  <r>
    <x v="22"/>
    <d v="2022-05-21T00:00:00"/>
    <n v="1"/>
    <n v="106.88"/>
    <n v="164"/>
  </r>
  <r>
    <x v="51"/>
    <d v="2022-05-21T00:00:00"/>
    <n v="1"/>
    <n v="43.97"/>
    <n v="69"/>
  </r>
  <r>
    <x v="14"/>
    <d v="2022-05-21T00:00:00"/>
    <n v="1"/>
    <n v="81.95"/>
    <n v="104"/>
  </r>
  <r>
    <x v="22"/>
    <d v="2022-05-21T00:00:00"/>
    <n v="1"/>
    <n v="106.88"/>
    <n v="164"/>
  </r>
  <r>
    <x v="142"/>
    <d v="2022-05-21T00:00:00"/>
    <n v="1"/>
    <n v="143"/>
    <n v="196"/>
  </r>
  <r>
    <x v="115"/>
    <d v="2022-05-21T00:00:00"/>
    <n v="1"/>
    <n v="131.01"/>
    <n v="180"/>
  </r>
  <r>
    <x v="65"/>
    <d v="2022-05-21T00:00:00"/>
    <n v="1"/>
    <n v="165.32"/>
    <n v="203"/>
  </r>
  <r>
    <x v="54"/>
    <d v="2022-05-21T00:00:00"/>
    <n v="2"/>
    <n v="13.11"/>
    <n v="21"/>
  </r>
  <r>
    <x v="100"/>
    <d v="2022-05-20T00:00:00"/>
    <n v="1"/>
    <n v="35.79"/>
    <n v="58"/>
  </r>
  <r>
    <x v="102"/>
    <d v="2022-05-20T00:00:00"/>
    <n v="1"/>
    <n v="70.3"/>
    <n v="87"/>
  </r>
  <r>
    <x v="57"/>
    <d v="2022-05-20T00:00:00"/>
    <n v="1"/>
    <n v="24.97"/>
    <n v="30"/>
  </r>
  <r>
    <x v="111"/>
    <d v="2022-05-20T00:00:00"/>
    <n v="1"/>
    <n v="101.43"/>
    <n v="120"/>
  </r>
  <r>
    <x v="99"/>
    <d v="2022-05-20T00:00:00"/>
    <n v="1"/>
    <n v="45.47"/>
    <n v="57"/>
  </r>
  <r>
    <x v="87"/>
    <d v="2022-05-20T00:00:00"/>
    <n v="5"/>
    <n v="15"/>
    <n v="20"/>
  </r>
  <r>
    <x v="19"/>
    <d v="2022-05-20T00:00:00"/>
    <n v="1"/>
    <n v="103.96"/>
    <n v="125"/>
  </r>
  <r>
    <x v="35"/>
    <d v="2022-05-20T00:00:00"/>
    <n v="1"/>
    <n v="173.36"/>
    <n v="208"/>
  </r>
  <r>
    <x v="112"/>
    <d v="2022-05-20T00:00:00"/>
    <n v="1"/>
    <n v="23.14"/>
    <n v="28"/>
  </r>
  <r>
    <x v="52"/>
    <d v="2022-05-20T00:00:00"/>
    <n v="1"/>
    <n v="225.2"/>
    <n v="264"/>
  </r>
  <r>
    <x v="22"/>
    <d v="2022-05-20T00:00:00"/>
    <n v="1"/>
    <n v="106.88"/>
    <n v="164"/>
  </r>
  <r>
    <x v="112"/>
    <d v="2022-05-20T00:00:00"/>
    <n v="1"/>
    <n v="23.14"/>
    <n v="28"/>
  </r>
  <r>
    <x v="2"/>
    <d v="2022-05-20T00:00:00"/>
    <n v="1"/>
    <n v="89.27"/>
    <n v="113"/>
  </r>
  <r>
    <x v="134"/>
    <d v="2022-05-20T00:00:00"/>
    <n v="1"/>
    <n v="24.18"/>
    <n v="39"/>
  </r>
  <r>
    <x v="40"/>
    <d v="2022-05-20T00:00:00"/>
    <n v="1"/>
    <n v="26.71"/>
    <n v="46"/>
  </r>
  <r>
    <x v="1"/>
    <d v="2022-05-20T00:00:00"/>
    <n v="0.2"/>
    <n v="421.52"/>
    <n v="527"/>
  </r>
  <r>
    <x v="99"/>
    <d v="2022-05-20T00:00:00"/>
    <n v="1"/>
    <n v="45.47"/>
    <n v="57"/>
  </r>
  <r>
    <x v="152"/>
    <d v="2022-05-20T00:00:00"/>
    <n v="2"/>
    <n v="12"/>
    <n v="20"/>
  </r>
  <r>
    <x v="42"/>
    <d v="2022-05-20T00:00:00"/>
    <n v="1"/>
    <n v="43.08"/>
    <n v="67"/>
  </r>
  <r>
    <x v="118"/>
    <d v="2022-05-20T00:00:00"/>
    <n v="1"/>
    <n v="62.79"/>
    <n v="78"/>
  </r>
  <r>
    <x v="2"/>
    <d v="2022-05-20T00:00:00"/>
    <n v="1"/>
    <n v="89.27"/>
    <n v="113"/>
  </r>
  <r>
    <x v="2"/>
    <d v="2022-05-20T00:00:00"/>
    <n v="1"/>
    <n v="89.27"/>
    <n v="113"/>
  </r>
  <r>
    <x v="19"/>
    <d v="2022-05-20T00:00:00"/>
    <n v="2"/>
    <n v="103.96"/>
    <n v="125"/>
  </r>
  <r>
    <x v="3"/>
    <d v="2022-05-20T00:00:00"/>
    <n v="2"/>
    <n v="47.83"/>
    <n v="77"/>
  </r>
  <r>
    <x v="81"/>
    <d v="2022-05-20T00:00:00"/>
    <n v="1"/>
    <n v="47.4"/>
    <n v="82"/>
  </r>
  <r>
    <x v="3"/>
    <d v="2022-05-20T00:00:00"/>
    <n v="1"/>
    <n v="47.83"/>
    <n v="77"/>
  </r>
  <r>
    <x v="40"/>
    <d v="2022-05-20T00:00:00"/>
    <n v="1"/>
    <n v="29.26"/>
    <n v="48"/>
  </r>
  <r>
    <x v="83"/>
    <d v="2022-05-20T00:00:00"/>
    <n v="1"/>
    <n v="123.98"/>
    <n v="195"/>
  </r>
  <r>
    <x v="101"/>
    <d v="2022-05-20T00:00:00"/>
    <n v="1"/>
    <n v="40.17"/>
    <n v="50"/>
  </r>
  <r>
    <x v="119"/>
    <d v="2022-05-20T00:00:00"/>
    <n v="1"/>
    <n v="42.85"/>
    <n v="70"/>
  </r>
  <r>
    <x v="2"/>
    <d v="2022-05-20T00:00:00"/>
    <n v="1"/>
    <n v="87.6"/>
    <n v="108"/>
  </r>
  <r>
    <x v="111"/>
    <d v="2022-05-20T00:00:00"/>
    <n v="1"/>
    <n v="109.07"/>
    <n v="128"/>
  </r>
  <r>
    <x v="21"/>
    <d v="2022-05-20T00:00:00"/>
    <n v="0.4"/>
    <n v="991.73"/>
    <n v="1280"/>
  </r>
  <r>
    <x v="20"/>
    <d v="2022-05-20T00:00:00"/>
    <n v="1"/>
    <n v="147.18"/>
    <n v="177"/>
  </r>
  <r>
    <x v="144"/>
    <d v="2022-05-20T00:00:00"/>
    <n v="1"/>
    <n v="223.14"/>
    <n v="313"/>
  </r>
  <r>
    <x v="76"/>
    <d v="2022-05-20T00:00:00"/>
    <n v="1"/>
    <n v="40.130000000000003"/>
    <n v="49"/>
  </r>
  <r>
    <x v="78"/>
    <d v="2022-05-20T00:00:00"/>
    <n v="1"/>
    <n v="207.77"/>
    <n v="241"/>
  </r>
  <r>
    <x v="47"/>
    <d v="2022-05-20T00:00:00"/>
    <n v="1"/>
    <n v="204.8"/>
    <n v="246"/>
  </r>
  <r>
    <x v="40"/>
    <d v="2022-05-20T00:00:00"/>
    <n v="1"/>
    <n v="33.07"/>
    <n v="54"/>
  </r>
  <r>
    <x v="86"/>
    <d v="2022-05-20T00:00:00"/>
    <n v="1"/>
    <n v="35"/>
    <n v="57"/>
  </r>
  <r>
    <x v="31"/>
    <d v="2022-05-20T00:00:00"/>
    <n v="1"/>
    <n v="22.93"/>
    <n v="29"/>
  </r>
  <r>
    <x v="77"/>
    <d v="2022-05-20T00:00:00"/>
    <n v="1"/>
    <n v="40.1"/>
    <n v="51"/>
  </r>
  <r>
    <x v="83"/>
    <d v="2022-05-20T00:00:00"/>
    <n v="0.1"/>
    <n v="106.51"/>
    <n v="163"/>
  </r>
  <r>
    <x v="11"/>
    <d v="2022-05-20T00:00:00"/>
    <n v="1"/>
    <n v="44.03"/>
    <n v="67"/>
  </r>
  <r>
    <x v="24"/>
    <d v="2022-05-20T00:00:00"/>
    <n v="1"/>
    <n v="480.05"/>
    <n v="625"/>
  </r>
  <r>
    <x v="129"/>
    <d v="2022-05-20T00:00:00"/>
    <n v="1"/>
    <n v="26.87"/>
    <n v="41"/>
  </r>
  <r>
    <x v="68"/>
    <d v="2022-05-20T00:00:00"/>
    <n v="1"/>
    <n v="7.97"/>
    <n v="13"/>
  </r>
  <r>
    <x v="45"/>
    <d v="2022-05-20T00:00:00"/>
    <n v="1"/>
    <n v="43.86"/>
    <n v="56"/>
  </r>
  <r>
    <x v="45"/>
    <d v="2022-05-20T00:00:00"/>
    <n v="1"/>
    <n v="43.86"/>
    <n v="56"/>
  </r>
  <r>
    <x v="23"/>
    <d v="2022-05-20T00:00:00"/>
    <n v="1"/>
    <n v="122.75"/>
    <n v="174"/>
  </r>
  <r>
    <x v="94"/>
    <d v="2022-05-20T00:00:00"/>
    <n v="1"/>
    <n v="64.25"/>
    <n v="79"/>
  </r>
  <r>
    <x v="57"/>
    <d v="2022-05-20T00:00:00"/>
    <n v="1"/>
    <n v="24.97"/>
    <n v="30"/>
  </r>
  <r>
    <x v="58"/>
    <d v="2022-05-20T00:00:00"/>
    <n v="1"/>
    <n v="71.45"/>
    <n v="86"/>
  </r>
  <r>
    <x v="58"/>
    <d v="2022-05-20T00:00:00"/>
    <n v="1"/>
    <n v="71.45"/>
    <n v="86"/>
  </r>
  <r>
    <x v="114"/>
    <d v="2022-05-20T00:00:00"/>
    <n v="0.107143"/>
    <n v="628.24"/>
    <n v="694"/>
  </r>
  <r>
    <x v="38"/>
    <d v="2022-05-20T00:00:00"/>
    <n v="1"/>
    <n v="134.68"/>
    <n v="162"/>
  </r>
  <r>
    <x v="38"/>
    <d v="2022-05-20T00:00:00"/>
    <n v="1"/>
    <n v="134.09"/>
    <n v="161"/>
  </r>
  <r>
    <x v="43"/>
    <d v="2022-05-20T00:00:00"/>
    <n v="1"/>
    <n v="38.67"/>
    <n v="59"/>
  </r>
  <r>
    <x v="16"/>
    <d v="2022-05-20T00:00:00"/>
    <n v="1"/>
    <n v="176.33"/>
    <n v="246"/>
  </r>
  <r>
    <x v="117"/>
    <d v="2022-05-20T00:00:00"/>
    <n v="1"/>
    <n v="23.9"/>
    <n v="29"/>
  </r>
  <r>
    <x v="117"/>
    <d v="2022-05-20T00:00:00"/>
    <n v="1"/>
    <n v="23.9"/>
    <n v="29"/>
  </r>
  <r>
    <x v="94"/>
    <d v="2022-05-20T00:00:00"/>
    <n v="1"/>
    <n v="64.44"/>
    <n v="80"/>
  </r>
  <r>
    <x v="94"/>
    <d v="2022-05-20T00:00:00"/>
    <n v="1"/>
    <n v="64.44"/>
    <n v="80"/>
  </r>
  <r>
    <x v="45"/>
    <d v="2022-05-20T00:00:00"/>
    <n v="1"/>
    <n v="43.86"/>
    <n v="55"/>
  </r>
  <r>
    <x v="46"/>
    <d v="2022-05-20T00:00:00"/>
    <n v="8"/>
    <n v="1.98"/>
    <n v="4"/>
  </r>
  <r>
    <x v="46"/>
    <d v="2022-05-20T00:00:00"/>
    <n v="16"/>
    <n v="1.98"/>
    <n v="4"/>
  </r>
  <r>
    <x v="51"/>
    <d v="2022-05-20T00:00:00"/>
    <n v="1"/>
    <n v="43.97"/>
    <n v="67"/>
  </r>
  <r>
    <x v="51"/>
    <d v="2022-05-20T00:00:00"/>
    <n v="1"/>
    <n v="43.97"/>
    <n v="67"/>
  </r>
  <r>
    <x v="20"/>
    <d v="2022-05-20T00:00:00"/>
    <n v="1"/>
    <n v="147.18"/>
    <n v="177"/>
  </r>
  <r>
    <x v="95"/>
    <d v="2022-05-20T00:00:00"/>
    <n v="1"/>
    <n v="35.82"/>
    <n v="57"/>
  </r>
  <r>
    <x v="1"/>
    <d v="2022-05-20T00:00:00"/>
    <n v="0.2"/>
    <n v="442.51"/>
    <n v="554"/>
  </r>
  <r>
    <x v="119"/>
    <d v="2022-05-20T00:00:00"/>
    <n v="1"/>
    <n v="36.06"/>
    <n v="59"/>
  </r>
  <r>
    <x v="13"/>
    <d v="2022-05-20T00:00:00"/>
    <n v="1"/>
    <n v="44"/>
    <n v="70"/>
  </r>
  <r>
    <x v="19"/>
    <d v="2022-05-20T00:00:00"/>
    <n v="1"/>
    <n v="96.43"/>
    <n v="113"/>
  </r>
  <r>
    <x v="19"/>
    <d v="2022-05-20T00:00:00"/>
    <n v="1"/>
    <n v="96.43"/>
    <n v="113"/>
  </r>
  <r>
    <x v="152"/>
    <d v="2022-05-20T00:00:00"/>
    <n v="1"/>
    <n v="12"/>
    <n v="20"/>
  </r>
  <r>
    <x v="145"/>
    <d v="2022-05-20T00:00:00"/>
    <n v="1"/>
    <n v="82.64"/>
    <n v="129"/>
  </r>
  <r>
    <x v="29"/>
    <d v="2022-05-20T00:00:00"/>
    <n v="1"/>
    <n v="199.32"/>
    <n v="230"/>
  </r>
  <r>
    <x v="112"/>
    <d v="2022-05-20T00:00:00"/>
    <n v="1"/>
    <n v="23.14"/>
    <n v="28"/>
  </r>
  <r>
    <x v="23"/>
    <d v="2022-05-20T00:00:00"/>
    <n v="1"/>
    <n v="147.80000000000001"/>
    <n v="209"/>
  </r>
  <r>
    <x v="83"/>
    <d v="2022-05-20T00:00:00"/>
    <n v="0.6"/>
    <n v="106.51"/>
    <n v="163"/>
  </r>
  <r>
    <x v="43"/>
    <d v="2022-05-20T00:00:00"/>
    <n v="1"/>
    <n v="38.82"/>
    <n v="61"/>
  </r>
  <r>
    <x v="43"/>
    <d v="2022-05-20T00:00:00"/>
    <n v="1"/>
    <n v="38.82"/>
    <n v="61"/>
  </r>
  <r>
    <x v="7"/>
    <d v="2022-05-20T00:00:00"/>
    <n v="1"/>
    <n v="56.08"/>
    <n v="70"/>
  </r>
  <r>
    <x v="154"/>
    <d v="2022-05-20T00:00:00"/>
    <n v="1"/>
    <n v="50.53"/>
    <n v="63"/>
  </r>
  <r>
    <x v="24"/>
    <d v="2022-05-20T00:00:00"/>
    <n v="1"/>
    <n v="480.05"/>
    <n v="625"/>
  </r>
  <r>
    <x v="19"/>
    <d v="2022-05-20T00:00:00"/>
    <n v="1"/>
    <n v="97.12"/>
    <n v="118"/>
  </r>
  <r>
    <x v="93"/>
    <d v="2022-05-20T00:00:00"/>
    <n v="1"/>
    <n v="113.71"/>
    <n v="137"/>
  </r>
  <r>
    <x v="88"/>
    <d v="2022-05-20T00:00:00"/>
    <n v="1"/>
    <n v="65.400000000000006"/>
    <n v="93"/>
  </r>
  <r>
    <x v="122"/>
    <d v="2022-05-20T00:00:00"/>
    <n v="1"/>
    <n v="121.31"/>
    <n v="169"/>
  </r>
  <r>
    <x v="96"/>
    <d v="2022-05-20T00:00:00"/>
    <n v="1"/>
    <n v="27.78"/>
    <n v="43"/>
  </r>
  <r>
    <x v="95"/>
    <d v="2022-05-20T00:00:00"/>
    <n v="1"/>
    <n v="35.630000000000003"/>
    <n v="55"/>
  </r>
  <r>
    <x v="29"/>
    <d v="2022-05-20T00:00:00"/>
    <n v="1"/>
    <n v="201.08"/>
    <n v="232"/>
  </r>
  <r>
    <x v="42"/>
    <d v="2022-05-20T00:00:00"/>
    <n v="1"/>
    <n v="43.08"/>
    <n v="67"/>
  </r>
  <r>
    <x v="18"/>
    <d v="2022-05-20T00:00:00"/>
    <n v="1"/>
    <n v="109.41"/>
    <n v="123"/>
  </r>
  <r>
    <x v="3"/>
    <d v="2022-05-20T00:00:00"/>
    <n v="2"/>
    <n v="47.83"/>
    <n v="78"/>
  </r>
  <r>
    <x v="59"/>
    <d v="2022-05-20T00:00:00"/>
    <n v="1"/>
    <n v="205.33"/>
    <n v="278"/>
  </r>
  <r>
    <x v="40"/>
    <d v="2022-05-20T00:00:00"/>
    <n v="1"/>
    <n v="27.54"/>
    <n v="45"/>
  </r>
  <r>
    <x v="104"/>
    <d v="2022-05-20T00:00:00"/>
    <n v="1"/>
    <n v="88.25"/>
    <n v="106"/>
  </r>
  <r>
    <x v="104"/>
    <d v="2022-05-20T00:00:00"/>
    <n v="1"/>
    <n v="88.25"/>
    <n v="106"/>
  </r>
  <r>
    <x v="20"/>
    <d v="2022-05-20T00:00:00"/>
    <n v="1"/>
    <n v="151.22"/>
    <n v="181"/>
  </r>
  <r>
    <x v="39"/>
    <d v="2022-05-20T00:00:00"/>
    <n v="1"/>
    <n v="69.27"/>
    <n v="108"/>
  </r>
  <r>
    <x v="151"/>
    <d v="2022-05-20T00:00:00"/>
    <n v="1"/>
    <n v="248.25"/>
    <n v="331"/>
  </r>
  <r>
    <x v="54"/>
    <d v="2022-05-20T00:00:00"/>
    <n v="2"/>
    <n v="11.59"/>
    <n v="19"/>
  </r>
  <r>
    <x v="149"/>
    <d v="2022-05-20T00:00:00"/>
    <n v="1"/>
    <n v="122.39"/>
    <n v="147"/>
  </r>
  <r>
    <x v="149"/>
    <d v="2022-05-20T00:00:00"/>
    <n v="1"/>
    <n v="122.39"/>
    <n v="147"/>
  </r>
  <r>
    <x v="149"/>
    <d v="2022-05-20T00:00:00"/>
    <n v="1"/>
    <n v="122.39"/>
    <n v="147"/>
  </r>
  <r>
    <x v="149"/>
    <d v="2022-05-20T00:00:00"/>
    <n v="1"/>
    <n v="122.39"/>
    <n v="147"/>
  </r>
  <r>
    <x v="149"/>
    <d v="2022-05-20T00:00:00"/>
    <n v="1"/>
    <n v="122.39"/>
    <n v="147"/>
  </r>
  <r>
    <x v="55"/>
    <d v="2022-05-20T00:00:00"/>
    <n v="1"/>
    <n v="58.06"/>
    <n v="72"/>
  </r>
  <r>
    <x v="18"/>
    <d v="2022-05-20T00:00:00"/>
    <n v="1"/>
    <n v="109.41"/>
    <n v="123"/>
  </r>
  <r>
    <x v="21"/>
    <d v="2022-05-20T00:00:00"/>
    <n v="6.6666699999999995E-2"/>
    <n v="1182.26"/>
    <n v="1537"/>
  </r>
  <r>
    <x v="21"/>
    <d v="2022-05-20T00:00:00"/>
    <n v="3.3333300000000003E-2"/>
    <n v="1182.26"/>
    <n v="1537"/>
  </r>
  <r>
    <x v="40"/>
    <d v="2022-05-20T00:00:00"/>
    <n v="4"/>
    <n v="25.1"/>
    <n v="41"/>
  </r>
  <r>
    <x v="9"/>
    <d v="2022-05-20T00:00:00"/>
    <n v="1"/>
    <n v="470.4"/>
    <n v="650"/>
  </r>
  <r>
    <x v="2"/>
    <d v="2022-05-20T00:00:00"/>
    <n v="1"/>
    <n v="89.27"/>
    <n v="113"/>
  </r>
  <r>
    <x v="117"/>
    <d v="2022-05-20T00:00:00"/>
    <n v="1"/>
    <n v="20.78"/>
    <n v="26"/>
  </r>
  <r>
    <x v="117"/>
    <d v="2022-05-20T00:00:00"/>
    <n v="1"/>
    <n v="20.78"/>
    <n v="26"/>
  </r>
  <r>
    <x v="94"/>
    <d v="2022-05-20T00:00:00"/>
    <n v="1"/>
    <n v="64.25"/>
    <n v="77"/>
  </r>
  <r>
    <x v="87"/>
    <d v="2022-05-20T00:00:00"/>
    <n v="1"/>
    <n v="6.2"/>
    <n v="9"/>
  </r>
  <r>
    <x v="43"/>
    <d v="2022-05-20T00:00:00"/>
    <n v="1"/>
    <n v="38.11"/>
    <n v="60"/>
  </r>
  <r>
    <x v="43"/>
    <d v="2022-05-20T00:00:00"/>
    <n v="1"/>
    <n v="38.11"/>
    <n v="60"/>
  </r>
  <r>
    <x v="43"/>
    <d v="2022-05-20T00:00:00"/>
    <n v="1"/>
    <n v="38.11"/>
    <n v="60"/>
  </r>
  <r>
    <x v="90"/>
    <d v="2022-05-20T00:00:00"/>
    <n v="1"/>
    <n v="131.07"/>
    <n v="206"/>
  </r>
  <r>
    <x v="72"/>
    <d v="2022-05-20T00:00:00"/>
    <n v="1"/>
    <n v="60.3"/>
    <n v="75"/>
  </r>
  <r>
    <x v="34"/>
    <d v="2022-05-20T00:00:00"/>
    <n v="1"/>
    <n v="15"/>
    <n v="25"/>
  </r>
  <r>
    <x v="102"/>
    <d v="2022-05-20T00:00:00"/>
    <n v="1"/>
    <n v="75.790000000000006"/>
    <n v="85"/>
  </r>
  <r>
    <x v="102"/>
    <d v="2022-05-20T00:00:00"/>
    <n v="1"/>
    <n v="75.790000000000006"/>
    <n v="85"/>
  </r>
  <r>
    <x v="102"/>
    <d v="2022-05-20T00:00:00"/>
    <n v="1"/>
    <n v="75.790000000000006"/>
    <n v="85"/>
  </r>
  <r>
    <x v="2"/>
    <d v="2022-05-20T00:00:00"/>
    <n v="1"/>
    <n v="87.6"/>
    <n v="103"/>
  </r>
  <r>
    <x v="122"/>
    <d v="2022-05-20T00:00:00"/>
    <n v="1"/>
    <n v="121.2"/>
    <n v="171"/>
  </r>
  <r>
    <x v="122"/>
    <d v="2022-05-20T00:00:00"/>
    <n v="1"/>
    <n v="121.06"/>
    <n v="176"/>
  </r>
  <r>
    <x v="133"/>
    <d v="2022-05-20T00:00:00"/>
    <n v="1"/>
    <n v="46.5"/>
    <n v="76"/>
  </r>
  <r>
    <x v="152"/>
    <d v="2022-05-20T00:00:00"/>
    <n v="2"/>
    <n v="12"/>
    <n v="20"/>
  </r>
  <r>
    <x v="124"/>
    <d v="2022-05-20T00:00:00"/>
    <n v="0.08"/>
    <n v="495.19"/>
    <n v="596"/>
  </r>
  <r>
    <x v="129"/>
    <d v="2022-05-20T00:00:00"/>
    <n v="1"/>
    <n v="26.87"/>
    <n v="41"/>
  </r>
  <r>
    <x v="129"/>
    <d v="2022-05-20T00:00:00"/>
    <n v="1"/>
    <n v="26.87"/>
    <n v="41"/>
  </r>
  <r>
    <x v="102"/>
    <d v="2022-05-20T00:00:00"/>
    <n v="1"/>
    <n v="69.41"/>
    <n v="86"/>
  </r>
  <r>
    <x v="117"/>
    <d v="2022-05-20T00:00:00"/>
    <n v="1"/>
    <n v="22.5"/>
    <n v="27"/>
  </r>
  <r>
    <x v="72"/>
    <d v="2022-05-20T00:00:00"/>
    <n v="1"/>
    <n v="57.35"/>
    <n v="72"/>
  </r>
  <r>
    <x v="72"/>
    <d v="2022-05-20T00:00:00"/>
    <n v="1"/>
    <n v="60.3"/>
    <n v="75"/>
  </r>
  <r>
    <x v="7"/>
    <d v="2022-05-20T00:00:00"/>
    <n v="1"/>
    <n v="56.84"/>
    <n v="70"/>
  </r>
  <r>
    <x v="143"/>
    <d v="2022-05-20T00:00:00"/>
    <n v="1"/>
    <n v="37.75"/>
    <n v="58"/>
  </r>
  <r>
    <x v="22"/>
    <d v="2022-05-20T00:00:00"/>
    <n v="1"/>
    <n v="106.88"/>
    <n v="164"/>
  </r>
  <r>
    <x v="143"/>
    <d v="2022-05-20T00:00:00"/>
    <n v="1"/>
    <n v="37.75"/>
    <n v="58"/>
  </r>
  <r>
    <x v="93"/>
    <d v="2022-05-20T00:00:00"/>
    <n v="1"/>
    <n v="110.86"/>
    <n v="134"/>
  </r>
  <r>
    <x v="14"/>
    <d v="2022-05-20T00:00:00"/>
    <n v="1"/>
    <n v="81.95"/>
    <n v="104"/>
  </r>
  <r>
    <x v="40"/>
    <d v="2022-05-20T00:00:00"/>
    <n v="2"/>
    <n v="27.21"/>
    <n v="44"/>
  </r>
  <r>
    <x v="45"/>
    <d v="2022-05-20T00:00:00"/>
    <n v="1"/>
    <n v="44.86"/>
    <n v="56"/>
  </r>
  <r>
    <x v="95"/>
    <d v="2022-05-20T00:00:00"/>
    <n v="1"/>
    <n v="39.49"/>
    <n v="61"/>
  </r>
  <r>
    <x v="59"/>
    <d v="2022-05-20T00:00:00"/>
    <n v="1"/>
    <n v="201"/>
    <n v="266"/>
  </r>
  <r>
    <x v="155"/>
    <d v="2022-05-20T00:00:00"/>
    <n v="1"/>
    <n v="80.73"/>
    <n v="98"/>
  </r>
  <r>
    <x v="29"/>
    <d v="2022-05-20T00:00:00"/>
    <n v="1"/>
    <n v="199.32"/>
    <n v="230"/>
  </r>
  <r>
    <x v="84"/>
    <d v="2022-05-20T00:00:00"/>
    <n v="1"/>
    <n v="80.62"/>
    <n v="115"/>
  </r>
  <r>
    <x v="61"/>
    <d v="2022-05-20T00:00:00"/>
    <n v="1"/>
    <n v="30.56"/>
    <n v="36"/>
  </r>
  <r>
    <x v="61"/>
    <d v="2022-05-20T00:00:00"/>
    <n v="1"/>
    <n v="30.56"/>
    <n v="36"/>
  </r>
  <r>
    <x v="3"/>
    <d v="2022-05-20T00:00:00"/>
    <n v="1"/>
    <n v="47.83"/>
    <n v="77"/>
  </r>
  <r>
    <x v="61"/>
    <d v="2022-05-20T00:00:00"/>
    <n v="1"/>
    <n v="30.56"/>
    <n v="36"/>
  </r>
  <r>
    <x v="61"/>
    <d v="2022-05-20T00:00:00"/>
    <n v="1"/>
    <n v="30.56"/>
    <n v="36"/>
  </r>
  <r>
    <x v="61"/>
    <d v="2022-05-20T00:00:00"/>
    <n v="1"/>
    <n v="30.56"/>
    <n v="36"/>
  </r>
  <r>
    <x v="144"/>
    <d v="2022-05-20T00:00:00"/>
    <n v="1"/>
    <n v="223.14"/>
    <n v="313"/>
  </r>
  <r>
    <x v="144"/>
    <d v="2022-05-20T00:00:00"/>
    <n v="1"/>
    <n v="223.14"/>
    <n v="313"/>
  </r>
  <r>
    <x v="23"/>
    <d v="2022-05-20T00:00:00"/>
    <n v="1"/>
    <n v="150.03"/>
    <n v="209"/>
  </r>
  <r>
    <x v="86"/>
    <d v="2022-05-20T00:00:00"/>
    <n v="1"/>
    <n v="35.340000000000003"/>
    <n v="58"/>
  </r>
  <r>
    <x v="2"/>
    <d v="2022-05-20T00:00:00"/>
    <n v="1"/>
    <n v="89.27"/>
    <n v="113"/>
  </r>
  <r>
    <x v="40"/>
    <d v="2022-05-20T00:00:00"/>
    <n v="3"/>
    <n v="29.26"/>
    <n v="48"/>
  </r>
  <r>
    <x v="40"/>
    <d v="2022-05-20T00:00:00"/>
    <n v="7"/>
    <n v="25.36"/>
    <n v="42"/>
  </r>
  <r>
    <x v="143"/>
    <d v="2022-05-20T00:00:00"/>
    <n v="1"/>
    <n v="37.75"/>
    <n v="58"/>
  </r>
  <r>
    <x v="143"/>
    <d v="2022-05-20T00:00:00"/>
    <n v="1"/>
    <n v="37.75"/>
    <n v="58"/>
  </r>
  <r>
    <x v="146"/>
    <d v="2022-05-20T00:00:00"/>
    <n v="1"/>
    <n v="23.23"/>
    <n v="29"/>
  </r>
  <r>
    <x v="146"/>
    <d v="2022-05-20T00:00:00"/>
    <n v="1"/>
    <n v="23.23"/>
    <n v="29"/>
  </r>
  <r>
    <x v="146"/>
    <d v="2022-05-20T00:00:00"/>
    <n v="1"/>
    <n v="26.8"/>
    <n v="32"/>
  </r>
  <r>
    <x v="146"/>
    <d v="2022-05-20T00:00:00"/>
    <n v="1"/>
    <n v="26.8"/>
    <n v="32"/>
  </r>
  <r>
    <x v="146"/>
    <d v="2022-05-20T00:00:00"/>
    <n v="1"/>
    <n v="26.8"/>
    <n v="32"/>
  </r>
  <r>
    <x v="111"/>
    <d v="2022-05-20T00:00:00"/>
    <n v="1"/>
    <n v="109.07"/>
    <n v="128"/>
  </r>
  <r>
    <x v="107"/>
    <d v="2022-05-20T00:00:00"/>
    <n v="1"/>
    <n v="281.47000000000003"/>
    <n v="334"/>
  </r>
  <r>
    <x v="151"/>
    <d v="2022-05-20T00:00:00"/>
    <n v="1"/>
    <n v="279.88"/>
    <n v="392"/>
  </r>
  <r>
    <x v="52"/>
    <d v="2022-05-20T00:00:00"/>
    <n v="1"/>
    <n v="232.47"/>
    <n v="272"/>
  </r>
  <r>
    <x v="0"/>
    <d v="2022-05-20T00:00:00"/>
    <n v="1"/>
    <n v="145.6"/>
    <n v="172"/>
  </r>
  <r>
    <x v="0"/>
    <d v="2022-05-20T00:00:00"/>
    <n v="1"/>
    <n v="145.6"/>
    <n v="172"/>
  </r>
  <r>
    <x v="16"/>
    <d v="2022-05-20T00:00:00"/>
    <n v="1"/>
    <n v="182.55"/>
    <n v="251"/>
  </r>
  <r>
    <x v="85"/>
    <d v="2022-05-20T00:00:00"/>
    <n v="1"/>
    <n v="384.2"/>
    <n v="462"/>
  </r>
  <r>
    <x v="54"/>
    <d v="2022-05-20T00:00:00"/>
    <n v="1"/>
    <n v="13.11"/>
    <n v="21"/>
  </r>
  <r>
    <x v="69"/>
    <d v="2022-05-20T00:00:00"/>
    <n v="1"/>
    <n v="88.04"/>
    <n v="110"/>
  </r>
  <r>
    <x v="38"/>
    <d v="2022-05-20T00:00:00"/>
    <n v="1"/>
    <n v="146.88999999999999"/>
    <n v="174"/>
  </r>
  <r>
    <x v="84"/>
    <d v="2022-05-20T00:00:00"/>
    <n v="1"/>
    <n v="80.62"/>
    <n v="115"/>
  </r>
  <r>
    <x v="51"/>
    <d v="2022-05-20T00:00:00"/>
    <n v="1"/>
    <n v="43.97"/>
    <n v="69"/>
  </r>
  <r>
    <x v="83"/>
    <d v="2022-05-20T00:00:00"/>
    <n v="1"/>
    <n v="108"/>
    <n v="165"/>
  </r>
  <r>
    <x v="2"/>
    <d v="2022-05-20T00:00:00"/>
    <n v="1"/>
    <n v="89.27"/>
    <n v="113"/>
  </r>
  <r>
    <x v="2"/>
    <d v="2022-05-20T00:00:00"/>
    <n v="1"/>
    <n v="89.27"/>
    <n v="113"/>
  </r>
  <r>
    <x v="2"/>
    <d v="2022-05-20T00:00:00"/>
    <n v="1"/>
    <n v="89.27"/>
    <n v="113"/>
  </r>
  <r>
    <x v="92"/>
    <d v="2022-05-20T00:00:00"/>
    <n v="1"/>
    <n v="416.67"/>
    <n v="550"/>
  </r>
  <r>
    <x v="62"/>
    <d v="2022-05-20T00:00:00"/>
    <n v="1"/>
    <n v="55.04"/>
    <n v="79"/>
  </r>
  <r>
    <x v="62"/>
    <d v="2022-05-20T00:00:00"/>
    <n v="1"/>
    <n v="55.04"/>
    <n v="79"/>
  </r>
  <r>
    <x v="62"/>
    <d v="2022-05-20T00:00:00"/>
    <n v="1"/>
    <n v="55.04"/>
    <n v="79"/>
  </r>
  <r>
    <x v="79"/>
    <d v="2022-05-20T00:00:00"/>
    <n v="1"/>
    <n v="175.74"/>
    <n v="220"/>
  </r>
  <r>
    <x v="25"/>
    <d v="2022-05-20T00:00:00"/>
    <n v="1"/>
    <n v="156.19999999999999"/>
    <n v="189"/>
  </r>
  <r>
    <x v="88"/>
    <d v="2022-05-20T00:00:00"/>
    <n v="1"/>
    <n v="65.400000000000006"/>
    <n v="93"/>
  </r>
  <r>
    <x v="114"/>
    <d v="2022-05-20T00:00:00"/>
    <n v="3.5714299999999997E-2"/>
    <n v="628.24"/>
    <n v="694"/>
  </r>
  <r>
    <x v="145"/>
    <d v="2022-05-20T00:00:00"/>
    <n v="1"/>
    <n v="82.64"/>
    <n v="129"/>
  </r>
  <r>
    <x v="112"/>
    <d v="2022-05-20T00:00:00"/>
    <n v="1"/>
    <n v="23.14"/>
    <n v="28"/>
  </r>
  <r>
    <x v="102"/>
    <d v="2022-05-20T00:00:00"/>
    <n v="1"/>
    <n v="77.989999999999995"/>
    <n v="95"/>
  </r>
  <r>
    <x v="131"/>
    <d v="2022-05-20T00:00:00"/>
    <n v="1"/>
    <n v="320.64999999999998"/>
    <n v="443"/>
  </r>
  <r>
    <x v="20"/>
    <d v="2022-05-20T00:00:00"/>
    <n v="1"/>
    <n v="147.18"/>
    <n v="177"/>
  </r>
  <r>
    <x v="21"/>
    <d v="2022-05-20T00:00:00"/>
    <n v="0.2"/>
    <n v="1026.1199999999999"/>
    <n v="1283"/>
  </r>
  <r>
    <x v="129"/>
    <d v="2022-05-20T00:00:00"/>
    <n v="1"/>
    <n v="30.95"/>
    <n v="48"/>
  </r>
  <r>
    <x v="129"/>
    <d v="2022-05-20T00:00:00"/>
    <n v="1"/>
    <n v="30.95"/>
    <n v="48"/>
  </r>
  <r>
    <x v="85"/>
    <d v="2022-05-20T00:00:00"/>
    <n v="1"/>
    <n v="391.02"/>
    <n v="481"/>
  </r>
  <r>
    <x v="73"/>
    <d v="2022-05-20T00:00:00"/>
    <n v="1"/>
    <n v="79.3"/>
    <n v="100"/>
  </r>
  <r>
    <x v="85"/>
    <d v="2022-05-20T00:00:00"/>
    <n v="1"/>
    <n v="384.2"/>
    <n v="473"/>
  </r>
  <r>
    <x v="61"/>
    <d v="2022-05-20T00:00:00"/>
    <n v="1"/>
    <n v="30.6"/>
    <n v="36"/>
  </r>
  <r>
    <x v="61"/>
    <d v="2022-05-20T00:00:00"/>
    <n v="1"/>
    <n v="30.6"/>
    <n v="36"/>
  </r>
  <r>
    <x v="61"/>
    <d v="2022-05-20T00:00:00"/>
    <n v="1"/>
    <n v="30.6"/>
    <n v="36"/>
  </r>
  <r>
    <x v="61"/>
    <d v="2022-05-20T00:00:00"/>
    <n v="1"/>
    <n v="30.6"/>
    <n v="36"/>
  </r>
  <r>
    <x v="61"/>
    <d v="2022-05-20T00:00:00"/>
    <n v="1"/>
    <n v="30.6"/>
    <n v="36"/>
  </r>
  <r>
    <x v="61"/>
    <d v="2022-05-20T00:00:00"/>
    <n v="1"/>
    <n v="30.6"/>
    <n v="36"/>
  </r>
  <r>
    <x v="61"/>
    <d v="2022-05-20T00:00:00"/>
    <n v="1"/>
    <n v="30.6"/>
    <n v="36"/>
  </r>
  <r>
    <x v="61"/>
    <d v="2022-05-20T00:00:00"/>
    <n v="1"/>
    <n v="30.6"/>
    <n v="36"/>
  </r>
  <r>
    <x v="61"/>
    <d v="2022-05-20T00:00:00"/>
    <n v="1"/>
    <n v="30.6"/>
    <n v="36"/>
  </r>
  <r>
    <x v="61"/>
    <d v="2022-05-20T00:00:00"/>
    <n v="1"/>
    <n v="30.6"/>
    <n v="36"/>
  </r>
  <r>
    <x v="2"/>
    <d v="2022-05-20T00:00:00"/>
    <n v="1"/>
    <n v="89.27"/>
    <n v="113"/>
  </r>
  <r>
    <x v="57"/>
    <d v="2022-05-20T00:00:00"/>
    <n v="1"/>
    <n v="24.97"/>
    <n v="30"/>
  </r>
  <r>
    <x v="57"/>
    <d v="2022-05-20T00:00:00"/>
    <n v="1"/>
    <n v="24.97"/>
    <n v="30"/>
  </r>
  <r>
    <x v="57"/>
    <d v="2022-05-20T00:00:00"/>
    <n v="1"/>
    <n v="24.97"/>
    <n v="30"/>
  </r>
  <r>
    <x v="57"/>
    <d v="2022-05-20T00:00:00"/>
    <n v="1"/>
    <n v="24.97"/>
    <n v="30"/>
  </r>
  <r>
    <x v="57"/>
    <d v="2022-05-20T00:00:00"/>
    <n v="1"/>
    <n v="24.97"/>
    <n v="30"/>
  </r>
  <r>
    <x v="41"/>
    <d v="2022-05-20T00:00:00"/>
    <n v="1"/>
    <n v="19.420000000000002"/>
    <n v="24"/>
  </r>
  <r>
    <x v="44"/>
    <d v="2022-05-20T00:00:00"/>
    <n v="1"/>
    <n v="16.25"/>
    <n v="20"/>
  </r>
  <r>
    <x v="31"/>
    <d v="2022-05-20T00:00:00"/>
    <n v="1"/>
    <n v="22.2"/>
    <n v="28"/>
  </r>
  <r>
    <x v="15"/>
    <d v="2022-05-20T00:00:00"/>
    <n v="1"/>
    <n v="22.66"/>
    <n v="30"/>
  </r>
  <r>
    <x v="15"/>
    <d v="2022-05-20T00:00:00"/>
    <n v="1"/>
    <n v="22.66"/>
    <n v="30"/>
  </r>
  <r>
    <x v="32"/>
    <d v="2022-05-20T00:00:00"/>
    <n v="1"/>
    <n v="36.86"/>
    <n v="47"/>
  </r>
  <r>
    <x v="32"/>
    <d v="2022-05-20T00:00:00"/>
    <n v="1"/>
    <n v="36.86"/>
    <n v="47"/>
  </r>
  <r>
    <x v="32"/>
    <d v="2022-05-20T00:00:00"/>
    <n v="1"/>
    <n v="36.86"/>
    <n v="47"/>
  </r>
  <r>
    <x v="45"/>
    <d v="2022-05-20T00:00:00"/>
    <n v="1"/>
    <n v="43.86"/>
    <n v="56"/>
  </r>
  <r>
    <x v="82"/>
    <d v="2022-05-20T00:00:00"/>
    <n v="1"/>
    <n v="348.66"/>
    <n v="414"/>
  </r>
  <r>
    <x v="58"/>
    <d v="2022-05-20T00:00:00"/>
    <n v="1"/>
    <n v="71.38"/>
    <n v="86"/>
  </r>
  <r>
    <x v="58"/>
    <d v="2022-05-20T00:00:00"/>
    <n v="1"/>
    <n v="71.38"/>
    <n v="86"/>
  </r>
  <r>
    <x v="44"/>
    <d v="2022-05-20T00:00:00"/>
    <n v="1"/>
    <n v="16.02"/>
    <n v="19"/>
  </r>
  <r>
    <x v="44"/>
    <d v="2022-05-20T00:00:00"/>
    <n v="1"/>
    <n v="16.02"/>
    <n v="19"/>
  </r>
  <r>
    <x v="20"/>
    <d v="2022-05-20T00:00:00"/>
    <n v="1"/>
    <n v="147.18"/>
    <n v="177"/>
  </r>
  <r>
    <x v="20"/>
    <d v="2022-05-20T00:00:00"/>
    <n v="1"/>
    <n v="147.18"/>
    <n v="177"/>
  </r>
  <r>
    <x v="50"/>
    <d v="2022-05-20T00:00:00"/>
    <n v="1"/>
    <n v="77.510000000000005"/>
    <n v="94"/>
  </r>
  <r>
    <x v="50"/>
    <d v="2022-05-20T00:00:00"/>
    <n v="1"/>
    <n v="77.510000000000005"/>
    <n v="94"/>
  </r>
  <r>
    <x v="25"/>
    <d v="2022-05-20T00:00:00"/>
    <n v="1"/>
    <n v="156.19999999999999"/>
    <n v="186"/>
  </r>
  <r>
    <x v="25"/>
    <d v="2022-05-20T00:00:00"/>
    <n v="1"/>
    <n v="156.19999999999999"/>
    <n v="186"/>
  </r>
  <r>
    <x v="15"/>
    <d v="2022-05-20T00:00:00"/>
    <n v="1"/>
    <n v="19.66"/>
    <n v="25"/>
  </r>
  <r>
    <x v="15"/>
    <d v="2022-05-20T00:00:00"/>
    <n v="1"/>
    <n v="19.66"/>
    <n v="25"/>
  </r>
  <r>
    <x v="14"/>
    <d v="2022-05-20T00:00:00"/>
    <n v="1"/>
    <n v="81.73"/>
    <n v="102"/>
  </r>
  <r>
    <x v="20"/>
    <d v="2022-05-20T00:00:00"/>
    <n v="1"/>
    <n v="147.18"/>
    <n v="177"/>
  </r>
  <r>
    <x v="108"/>
    <d v="2022-05-20T00:00:00"/>
    <n v="1"/>
    <n v="125.55"/>
    <n v="175"/>
  </r>
  <r>
    <x v="112"/>
    <d v="2022-05-20T00:00:00"/>
    <n v="1"/>
    <n v="23.14"/>
    <n v="28"/>
  </r>
  <r>
    <x v="70"/>
    <d v="2022-05-20T00:00:00"/>
    <n v="0.18"/>
    <n v="466.1"/>
    <n v="709"/>
  </r>
  <r>
    <x v="70"/>
    <d v="2022-05-20T00:00:00"/>
    <n v="0.12"/>
    <n v="438.6"/>
    <n v="667"/>
  </r>
  <r>
    <x v="131"/>
    <d v="2022-05-20T00:00:00"/>
    <n v="1"/>
    <n v="286.11"/>
    <n v="381"/>
  </r>
  <r>
    <x v="131"/>
    <d v="2022-05-20T00:00:00"/>
    <n v="1"/>
    <n v="286.11"/>
    <n v="381"/>
  </r>
  <r>
    <x v="19"/>
    <d v="2022-05-20T00:00:00"/>
    <n v="1"/>
    <n v="98.67"/>
    <n v="115"/>
  </r>
  <r>
    <x v="3"/>
    <d v="2022-05-20T00:00:00"/>
    <n v="1"/>
    <n v="47.01"/>
    <n v="77"/>
  </r>
  <r>
    <x v="31"/>
    <d v="2022-05-20T00:00:00"/>
    <n v="1"/>
    <n v="22.53"/>
    <n v="30"/>
  </r>
  <r>
    <x v="76"/>
    <d v="2022-05-20T00:00:00"/>
    <n v="1"/>
    <n v="42.48"/>
    <n v="52"/>
  </r>
  <r>
    <x v="15"/>
    <d v="2022-05-20T00:00:00"/>
    <n v="1"/>
    <n v="20.23"/>
    <n v="27"/>
  </r>
  <r>
    <x v="13"/>
    <d v="2022-05-20T00:00:00"/>
    <n v="1"/>
    <n v="44"/>
    <n v="70"/>
  </r>
  <r>
    <x v="20"/>
    <d v="2022-05-20T00:00:00"/>
    <n v="1"/>
    <n v="147.18"/>
    <n v="177"/>
  </r>
  <r>
    <x v="57"/>
    <d v="2022-05-20T00:00:00"/>
    <n v="1"/>
    <n v="25.29"/>
    <n v="30"/>
  </r>
  <r>
    <x v="124"/>
    <d v="2022-05-20T00:00:00"/>
    <n v="0.16"/>
    <n v="495.19"/>
    <n v="596"/>
  </r>
  <r>
    <x v="7"/>
    <d v="2022-05-20T00:00:00"/>
    <n v="1"/>
    <n v="56.18"/>
    <n v="70"/>
  </r>
  <r>
    <x v="7"/>
    <d v="2022-05-20T00:00:00"/>
    <n v="1"/>
    <n v="56.18"/>
    <n v="70"/>
  </r>
  <r>
    <x v="58"/>
    <d v="2022-05-20T00:00:00"/>
    <n v="1"/>
    <n v="71.38"/>
    <n v="86"/>
  </r>
  <r>
    <x v="58"/>
    <d v="2022-05-20T00:00:00"/>
    <n v="1"/>
    <n v="71.38"/>
    <n v="86"/>
  </r>
  <r>
    <x v="60"/>
    <d v="2022-05-20T00:00:00"/>
    <n v="1"/>
    <n v="184.45"/>
    <n v="216"/>
  </r>
  <r>
    <x v="128"/>
    <d v="2022-05-20T00:00:00"/>
    <n v="6"/>
    <n v="6.13"/>
    <n v="10"/>
  </r>
  <r>
    <x v="3"/>
    <d v="2022-05-20T00:00:00"/>
    <n v="1"/>
    <n v="47.83"/>
    <n v="77"/>
  </r>
  <r>
    <x v="68"/>
    <d v="2022-05-20T00:00:00"/>
    <n v="1"/>
    <n v="7.97"/>
    <n v="13"/>
  </r>
  <r>
    <x v="75"/>
    <d v="2022-05-20T00:00:00"/>
    <n v="1"/>
    <n v="28.19"/>
    <n v="45"/>
  </r>
  <r>
    <x v="75"/>
    <d v="2022-05-20T00:00:00"/>
    <n v="1"/>
    <n v="28.19"/>
    <n v="45"/>
  </r>
  <r>
    <x v="20"/>
    <d v="2022-05-20T00:00:00"/>
    <n v="1"/>
    <n v="147.18"/>
    <n v="177"/>
  </r>
  <r>
    <x v="78"/>
    <d v="2022-05-20T00:00:00"/>
    <n v="1"/>
    <n v="207.77"/>
    <n v="241"/>
  </r>
  <r>
    <x v="112"/>
    <d v="2022-05-20T00:00:00"/>
    <n v="1"/>
    <n v="23.14"/>
    <n v="28"/>
  </r>
  <r>
    <x v="112"/>
    <d v="2022-05-20T00:00:00"/>
    <n v="1"/>
    <n v="23.14"/>
    <n v="28"/>
  </r>
  <r>
    <x v="112"/>
    <d v="2022-05-20T00:00:00"/>
    <n v="1"/>
    <n v="23.14"/>
    <n v="28"/>
  </r>
  <r>
    <x v="112"/>
    <d v="2022-05-20T00:00:00"/>
    <n v="1"/>
    <n v="23.14"/>
    <n v="28"/>
  </r>
  <r>
    <x v="129"/>
    <d v="2022-05-20T00:00:00"/>
    <n v="1"/>
    <n v="30.95"/>
    <n v="48"/>
  </r>
  <r>
    <x v="129"/>
    <d v="2022-05-20T00:00:00"/>
    <n v="1"/>
    <n v="30.95"/>
    <n v="48"/>
  </r>
  <r>
    <x v="129"/>
    <d v="2022-05-20T00:00:00"/>
    <n v="1"/>
    <n v="30.95"/>
    <n v="48"/>
  </r>
  <r>
    <x v="129"/>
    <d v="2022-05-20T00:00:00"/>
    <n v="1"/>
    <n v="30.95"/>
    <n v="48"/>
  </r>
  <r>
    <x v="136"/>
    <d v="2022-05-20T00:00:00"/>
    <n v="2"/>
    <n v="10.76"/>
    <n v="18"/>
  </r>
  <r>
    <x v="136"/>
    <d v="2022-05-20T00:00:00"/>
    <n v="4"/>
    <n v="10.76"/>
    <n v="18"/>
  </r>
  <r>
    <x v="120"/>
    <d v="2022-05-20T00:00:00"/>
    <n v="1"/>
    <n v="334.02"/>
    <n v="441"/>
  </r>
  <r>
    <x v="7"/>
    <d v="2022-05-20T00:00:00"/>
    <n v="1"/>
    <n v="61.03"/>
    <n v="75"/>
  </r>
  <r>
    <x v="21"/>
    <d v="2022-05-20T00:00:00"/>
    <n v="0.2"/>
    <n v="989.8"/>
    <n v="1238"/>
  </r>
  <r>
    <x v="13"/>
    <d v="2022-05-20T00:00:00"/>
    <n v="1"/>
    <n v="46"/>
    <n v="70"/>
  </r>
  <r>
    <x v="23"/>
    <d v="2022-05-20T00:00:00"/>
    <n v="1"/>
    <n v="136.6"/>
    <n v="188"/>
  </r>
  <r>
    <x v="107"/>
    <d v="2022-05-20T00:00:00"/>
    <n v="1"/>
    <n v="255.77"/>
    <n v="310"/>
  </r>
  <r>
    <x v="72"/>
    <d v="2022-05-20T00:00:00"/>
    <n v="1"/>
    <n v="61.89"/>
    <n v="77"/>
  </r>
  <r>
    <x v="68"/>
    <d v="2022-05-20T00:00:00"/>
    <n v="1"/>
    <n v="7.97"/>
    <n v="13"/>
  </r>
  <r>
    <x v="43"/>
    <d v="2022-05-20T00:00:00"/>
    <n v="1"/>
    <n v="38.11"/>
    <n v="60"/>
  </r>
  <r>
    <x v="43"/>
    <d v="2022-05-20T00:00:00"/>
    <n v="1"/>
    <n v="38.11"/>
    <n v="60"/>
  </r>
  <r>
    <x v="43"/>
    <d v="2022-05-20T00:00:00"/>
    <n v="1"/>
    <n v="38.11"/>
    <n v="60"/>
  </r>
  <r>
    <x v="43"/>
    <d v="2022-05-20T00:00:00"/>
    <n v="1"/>
    <n v="38.11"/>
    <n v="60"/>
  </r>
  <r>
    <x v="43"/>
    <d v="2022-05-20T00:00:00"/>
    <n v="1"/>
    <n v="38.11"/>
    <n v="60"/>
  </r>
  <r>
    <x v="14"/>
    <d v="2022-05-20T00:00:00"/>
    <n v="1"/>
    <n v="82.69"/>
    <n v="103"/>
  </r>
  <r>
    <x v="26"/>
    <d v="2022-05-20T00:00:00"/>
    <n v="1"/>
    <n v="13.19"/>
    <n v="18"/>
  </r>
  <r>
    <x v="13"/>
    <d v="2022-05-20T00:00:00"/>
    <n v="1"/>
    <n v="44"/>
    <n v="69"/>
  </r>
  <r>
    <x v="130"/>
    <d v="2022-05-20T00:00:00"/>
    <n v="1"/>
    <n v="73.5"/>
    <n v="91"/>
  </r>
  <r>
    <x v="15"/>
    <d v="2022-05-20T00:00:00"/>
    <n v="1"/>
    <n v="19.71"/>
    <n v="25"/>
  </r>
  <r>
    <x v="15"/>
    <d v="2022-05-20T00:00:00"/>
    <n v="1"/>
    <n v="19.71"/>
    <n v="25"/>
  </r>
  <r>
    <x v="15"/>
    <d v="2022-05-20T00:00:00"/>
    <n v="1"/>
    <n v="19.71"/>
    <n v="25"/>
  </r>
  <r>
    <x v="107"/>
    <d v="2022-05-20T00:00:00"/>
    <n v="1"/>
    <n v="255.77"/>
    <n v="310"/>
  </r>
  <r>
    <x v="36"/>
    <d v="2022-05-20T00:00:00"/>
    <n v="1"/>
    <n v="10.92"/>
    <n v="18"/>
  </r>
  <r>
    <x v="63"/>
    <d v="2022-05-20T00:00:00"/>
    <n v="1"/>
    <n v="72.760000000000005"/>
    <n v="104"/>
  </r>
  <r>
    <x v="30"/>
    <d v="2022-05-20T00:00:00"/>
    <n v="1"/>
    <n v="35"/>
    <n v="54"/>
  </r>
  <r>
    <x v="30"/>
    <d v="2022-05-20T00:00:00"/>
    <n v="1"/>
    <n v="35"/>
    <n v="54"/>
  </r>
  <r>
    <x v="30"/>
    <d v="2022-05-20T00:00:00"/>
    <n v="1"/>
    <n v="35"/>
    <n v="54"/>
  </r>
  <r>
    <x v="23"/>
    <d v="2022-05-20T00:00:00"/>
    <n v="1"/>
    <n v="150.03"/>
    <n v="209"/>
  </r>
  <r>
    <x v="107"/>
    <d v="2022-05-20T00:00:00"/>
    <n v="1"/>
    <n v="291.3"/>
    <n v="345"/>
  </r>
  <r>
    <x v="42"/>
    <d v="2022-05-20T00:00:00"/>
    <n v="1"/>
    <n v="43"/>
    <n v="68"/>
  </r>
  <r>
    <x v="26"/>
    <d v="2022-05-20T00:00:00"/>
    <n v="1"/>
    <n v="13.19"/>
    <n v="18"/>
  </r>
  <r>
    <x v="26"/>
    <d v="2022-05-20T00:00:00"/>
    <n v="1"/>
    <n v="13.19"/>
    <n v="18"/>
  </r>
  <r>
    <x v="64"/>
    <d v="2022-05-20T00:00:00"/>
    <n v="1"/>
    <n v="19.989999999999998"/>
    <n v="24"/>
  </r>
  <r>
    <x v="64"/>
    <d v="2022-05-20T00:00:00"/>
    <n v="1"/>
    <n v="19.989999999999998"/>
    <n v="24"/>
  </r>
  <r>
    <x v="64"/>
    <d v="2022-05-20T00:00:00"/>
    <n v="1"/>
    <n v="19.989999999999998"/>
    <n v="24"/>
  </r>
  <r>
    <x v="64"/>
    <d v="2022-05-20T00:00:00"/>
    <n v="1"/>
    <n v="19.989999999999998"/>
    <n v="24"/>
  </r>
  <r>
    <x v="14"/>
    <d v="2022-05-20T00:00:00"/>
    <n v="1"/>
    <n v="81.69"/>
    <n v="102"/>
  </r>
  <r>
    <x v="22"/>
    <d v="2022-05-20T00:00:00"/>
    <n v="1"/>
    <n v="106.88"/>
    <n v="164"/>
  </r>
  <r>
    <x v="38"/>
    <d v="2022-05-20T00:00:00"/>
    <n v="1"/>
    <n v="134.09"/>
    <n v="161"/>
  </r>
  <r>
    <x v="142"/>
    <d v="2022-05-20T00:00:00"/>
    <n v="1"/>
    <n v="135.72999999999999"/>
    <n v="189"/>
  </r>
  <r>
    <x v="88"/>
    <d v="2022-05-20T00:00:00"/>
    <n v="1"/>
    <n v="66.180000000000007"/>
    <n v="94"/>
  </r>
  <r>
    <x v="88"/>
    <d v="2022-05-20T00:00:00"/>
    <n v="1"/>
    <n v="66.180000000000007"/>
    <n v="94"/>
  </r>
  <r>
    <x v="39"/>
    <d v="2022-05-20T00:00:00"/>
    <n v="1"/>
    <n v="69.27"/>
    <n v="108"/>
  </r>
  <r>
    <x v="61"/>
    <d v="2022-05-20T00:00:00"/>
    <n v="1"/>
    <n v="30.6"/>
    <n v="37"/>
  </r>
  <r>
    <x v="61"/>
    <d v="2022-05-20T00:00:00"/>
    <n v="1"/>
    <n v="30.6"/>
    <n v="37"/>
  </r>
  <r>
    <x v="61"/>
    <d v="2022-05-20T00:00:00"/>
    <n v="1"/>
    <n v="30.6"/>
    <n v="37"/>
  </r>
  <r>
    <x v="2"/>
    <d v="2022-05-20T00:00:00"/>
    <n v="1"/>
    <n v="88.36"/>
    <n v="110"/>
  </r>
  <r>
    <x v="45"/>
    <d v="2022-05-20T00:00:00"/>
    <n v="1"/>
    <n v="44.71"/>
    <n v="55"/>
  </r>
  <r>
    <x v="13"/>
    <d v="2022-05-20T00:00:00"/>
    <n v="1"/>
    <n v="44"/>
    <n v="70"/>
  </r>
  <r>
    <x v="13"/>
    <d v="2022-05-20T00:00:00"/>
    <n v="1"/>
    <n v="44"/>
    <n v="70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153"/>
    <d v="2022-05-20T00:00:00"/>
    <n v="1"/>
    <n v="33.979999999999997"/>
    <n v="42"/>
  </r>
  <r>
    <x v="63"/>
    <d v="2022-05-20T00:00:00"/>
    <n v="1"/>
    <n v="62.36"/>
    <n v="92"/>
  </r>
  <r>
    <x v="63"/>
    <d v="2022-05-20T00:00:00"/>
    <n v="1"/>
    <n v="62.36"/>
    <n v="92"/>
  </r>
  <r>
    <x v="98"/>
    <d v="2022-05-20T00:00:00"/>
    <n v="1"/>
    <n v="24.84"/>
    <n v="38"/>
  </r>
  <r>
    <x v="98"/>
    <d v="2022-05-20T00:00:00"/>
    <n v="1"/>
    <n v="24.84"/>
    <n v="38"/>
  </r>
  <r>
    <x v="98"/>
    <d v="2022-05-20T00:00:00"/>
    <n v="1"/>
    <n v="24.84"/>
    <n v="38"/>
  </r>
  <r>
    <x v="98"/>
    <d v="2022-05-20T00:00:00"/>
    <n v="1"/>
    <n v="24.84"/>
    <n v="38"/>
  </r>
  <r>
    <x v="98"/>
    <d v="2022-05-20T00:00:00"/>
    <n v="1"/>
    <n v="24.84"/>
    <n v="38"/>
  </r>
  <r>
    <x v="151"/>
    <d v="2022-05-20T00:00:00"/>
    <n v="1"/>
    <n v="249.63"/>
    <n v="350"/>
  </r>
  <r>
    <x v="18"/>
    <d v="2022-05-20T00:00:00"/>
    <n v="1"/>
    <n v="110.08"/>
    <n v="124"/>
  </r>
  <r>
    <x v="43"/>
    <d v="2022-05-20T00:00:00"/>
    <n v="1"/>
    <n v="38.67"/>
    <n v="59"/>
  </r>
  <r>
    <x v="43"/>
    <d v="2022-05-20T00:00:00"/>
    <n v="1"/>
    <n v="38.67"/>
    <n v="59"/>
  </r>
  <r>
    <x v="7"/>
    <d v="2022-05-20T00:00:00"/>
    <n v="1"/>
    <n v="56.08"/>
    <n v="70"/>
  </r>
  <r>
    <x v="52"/>
    <d v="2022-05-20T00:00:00"/>
    <n v="1"/>
    <n v="232.47"/>
    <n v="272"/>
  </r>
  <r>
    <x v="7"/>
    <d v="2022-05-20T00:00:00"/>
    <n v="1"/>
    <n v="56.84"/>
    <n v="72"/>
  </r>
  <r>
    <x v="7"/>
    <d v="2022-05-20T00:00:00"/>
    <n v="1"/>
    <n v="56.84"/>
    <n v="72"/>
  </r>
  <r>
    <x v="7"/>
    <d v="2022-05-20T00:00:00"/>
    <n v="1"/>
    <n v="56.84"/>
    <n v="72"/>
  </r>
  <r>
    <x v="40"/>
    <d v="2022-05-20T00:00:00"/>
    <n v="1"/>
    <n v="28.13"/>
    <n v="46"/>
  </r>
  <r>
    <x v="32"/>
    <d v="2022-05-20T00:00:00"/>
    <n v="1"/>
    <n v="36.86"/>
    <n v="47"/>
  </r>
  <r>
    <x v="32"/>
    <d v="2022-05-20T00:00:00"/>
    <n v="1"/>
    <n v="36.86"/>
    <n v="47"/>
  </r>
  <r>
    <x v="32"/>
    <d v="2022-05-20T00:00:00"/>
    <n v="1"/>
    <n v="36.86"/>
    <n v="47"/>
  </r>
  <r>
    <x v="32"/>
    <d v="2022-05-20T00:00:00"/>
    <n v="1"/>
    <n v="36.86"/>
    <n v="47"/>
  </r>
  <r>
    <x v="32"/>
    <d v="2022-05-20T00:00:00"/>
    <n v="1"/>
    <n v="36.86"/>
    <n v="47"/>
  </r>
  <r>
    <x v="32"/>
    <d v="2022-05-20T00:00:00"/>
    <n v="1"/>
    <n v="36.86"/>
    <n v="47"/>
  </r>
  <r>
    <x v="33"/>
    <d v="2022-05-20T00:00:00"/>
    <n v="1"/>
    <n v="22.31"/>
    <n v="35"/>
  </r>
  <r>
    <x v="33"/>
    <d v="2022-05-20T00:00:00"/>
    <n v="1"/>
    <n v="22.31"/>
    <n v="35"/>
  </r>
  <r>
    <x v="33"/>
    <d v="2022-05-20T00:00:00"/>
    <n v="1"/>
    <n v="22.31"/>
    <n v="35"/>
  </r>
  <r>
    <x v="33"/>
    <d v="2022-05-20T00:00:00"/>
    <n v="1"/>
    <n v="22.31"/>
    <n v="35"/>
  </r>
  <r>
    <x v="33"/>
    <d v="2022-05-20T00:00:00"/>
    <n v="1"/>
    <n v="22.31"/>
    <n v="35"/>
  </r>
  <r>
    <x v="33"/>
    <d v="2022-05-20T00:00:00"/>
    <n v="1"/>
    <n v="22.31"/>
    <n v="35"/>
  </r>
  <r>
    <x v="24"/>
    <d v="2022-05-20T00:00:00"/>
    <n v="1"/>
    <n v="480.05"/>
    <n v="658"/>
  </r>
  <r>
    <x v="0"/>
    <d v="2022-05-20T00:00:00"/>
    <n v="1"/>
    <n v="132.94"/>
    <n v="160"/>
  </r>
  <r>
    <x v="42"/>
    <d v="2022-05-20T00:00:00"/>
    <n v="1"/>
    <n v="43.08"/>
    <n v="67"/>
  </r>
  <r>
    <x v="93"/>
    <d v="2022-05-20T00:00:00"/>
    <n v="1"/>
    <n v="110.84"/>
    <n v="134"/>
  </r>
  <r>
    <x v="19"/>
    <d v="2022-05-20T00:00:00"/>
    <n v="1"/>
    <n v="103.96"/>
    <n v="125"/>
  </r>
  <r>
    <x v="20"/>
    <d v="2022-05-20T00:00:00"/>
    <n v="1"/>
    <n v="147.18"/>
    <n v="177"/>
  </r>
  <r>
    <x v="138"/>
    <d v="2022-05-20T00:00:00"/>
    <n v="1"/>
    <n v="72.31"/>
    <n v="84"/>
  </r>
  <r>
    <x v="46"/>
    <d v="2022-05-20T00:00:00"/>
    <n v="24"/>
    <n v="2.1800000000000002"/>
    <n v="4"/>
  </r>
  <r>
    <x v="9"/>
    <d v="2022-05-20T00:00:00"/>
    <n v="0.3"/>
    <n v="460.86"/>
    <n v="636"/>
  </r>
  <r>
    <x v="154"/>
    <d v="2022-05-20T00:00:00"/>
    <n v="1"/>
    <n v="51.18"/>
    <n v="63"/>
  </r>
  <r>
    <x v="80"/>
    <d v="2022-05-20T00:00:00"/>
    <n v="1"/>
    <n v="18.010000000000002"/>
    <n v="28"/>
  </r>
  <r>
    <x v="80"/>
    <d v="2022-05-20T00:00:00"/>
    <n v="1"/>
    <n v="18.010000000000002"/>
    <n v="28"/>
  </r>
  <r>
    <x v="80"/>
    <d v="2022-05-20T00:00:00"/>
    <n v="1"/>
    <n v="18.010000000000002"/>
    <n v="28"/>
  </r>
  <r>
    <x v="80"/>
    <d v="2022-05-20T00:00:00"/>
    <n v="1"/>
    <n v="18.010000000000002"/>
    <n v="28"/>
  </r>
  <r>
    <x v="80"/>
    <d v="2022-05-20T00:00:00"/>
    <n v="1"/>
    <n v="15.95"/>
    <n v="25"/>
  </r>
  <r>
    <x v="55"/>
    <d v="2022-05-20T00:00:00"/>
    <n v="1"/>
    <n v="58.15"/>
    <n v="72"/>
  </r>
  <r>
    <x v="15"/>
    <d v="2022-05-20T00:00:00"/>
    <n v="1"/>
    <n v="19.71"/>
    <n v="25"/>
  </r>
  <r>
    <x v="75"/>
    <d v="2022-05-20T00:00:00"/>
    <n v="1"/>
    <n v="23.57"/>
    <n v="36"/>
  </r>
  <r>
    <x v="75"/>
    <d v="2022-05-20T00:00:00"/>
    <n v="1"/>
    <n v="23.57"/>
    <n v="36"/>
  </r>
  <r>
    <x v="29"/>
    <d v="2022-05-20T00:00:00"/>
    <n v="1"/>
    <n v="201.2"/>
    <n v="232"/>
  </r>
  <r>
    <x v="7"/>
    <d v="2022-05-20T00:00:00"/>
    <n v="1"/>
    <n v="56.08"/>
    <n v="70"/>
  </r>
  <r>
    <x v="37"/>
    <d v="2022-05-19T00:00:00"/>
    <n v="1"/>
    <n v="634.73"/>
    <n v="794"/>
  </r>
  <r>
    <x v="8"/>
    <d v="2022-05-19T00:00:00"/>
    <n v="1"/>
    <n v="119.72"/>
    <n v="147"/>
  </r>
  <r>
    <x v="30"/>
    <d v="2022-05-19T00:00:00"/>
    <n v="1"/>
    <n v="35"/>
    <n v="55"/>
  </r>
  <r>
    <x v="117"/>
    <d v="2022-05-19T00:00:00"/>
    <n v="1"/>
    <n v="20.78"/>
    <n v="26"/>
  </r>
  <r>
    <x v="14"/>
    <d v="2022-05-19T00:00:00"/>
    <n v="1"/>
    <n v="81.95"/>
    <n v="104"/>
  </r>
  <r>
    <x v="142"/>
    <d v="2022-05-19T00:00:00"/>
    <n v="1"/>
    <n v="136.94999999999999"/>
    <n v="188"/>
  </r>
  <r>
    <x v="97"/>
    <d v="2022-05-19T00:00:00"/>
    <n v="1"/>
    <n v="26.18"/>
    <n v="33"/>
  </r>
  <r>
    <x v="97"/>
    <d v="2022-05-19T00:00:00"/>
    <n v="1"/>
    <n v="26.18"/>
    <n v="33"/>
  </r>
  <r>
    <x v="97"/>
    <d v="2022-05-19T00:00:00"/>
    <n v="1"/>
    <n v="26.18"/>
    <n v="33"/>
  </r>
  <r>
    <x v="97"/>
    <d v="2022-05-19T00:00:00"/>
    <n v="1"/>
    <n v="26.18"/>
    <n v="33"/>
  </r>
  <r>
    <x v="97"/>
    <d v="2022-05-19T00:00:00"/>
    <n v="1"/>
    <n v="26.18"/>
    <n v="33"/>
  </r>
  <r>
    <x v="97"/>
    <d v="2022-05-19T00:00:00"/>
    <n v="1"/>
    <n v="26.18"/>
    <n v="33"/>
  </r>
  <r>
    <x v="97"/>
    <d v="2022-05-19T00:00:00"/>
    <n v="1"/>
    <n v="26.18"/>
    <n v="33"/>
  </r>
  <r>
    <x v="97"/>
    <d v="2022-05-19T00:00:00"/>
    <n v="1"/>
    <n v="26.18"/>
    <n v="33"/>
  </r>
  <r>
    <x v="97"/>
    <d v="2022-05-19T00:00:00"/>
    <n v="1"/>
    <n v="26.18"/>
    <n v="33"/>
  </r>
  <r>
    <x v="97"/>
    <d v="2022-05-19T00:00:00"/>
    <n v="1"/>
    <n v="26.18"/>
    <n v="33"/>
  </r>
  <r>
    <x v="51"/>
    <d v="2022-05-19T00:00:00"/>
    <n v="1"/>
    <n v="43.97"/>
    <n v="69"/>
  </r>
  <r>
    <x v="155"/>
    <d v="2022-05-19T00:00:00"/>
    <n v="1"/>
    <n v="80.73"/>
    <n v="100"/>
  </r>
  <r>
    <x v="99"/>
    <d v="2022-05-19T00:00:00"/>
    <n v="1"/>
    <n v="45.33"/>
    <n v="58"/>
  </r>
  <r>
    <x v="99"/>
    <d v="2022-05-19T00:00:00"/>
    <n v="1"/>
    <n v="45.33"/>
    <n v="58"/>
  </r>
  <r>
    <x v="110"/>
    <d v="2022-05-19T00:00:00"/>
    <n v="1"/>
    <n v="70.95"/>
    <n v="89"/>
  </r>
  <r>
    <x v="23"/>
    <d v="2022-05-19T00:00:00"/>
    <n v="1"/>
    <n v="136.6"/>
    <n v="188"/>
  </r>
  <r>
    <x v="95"/>
    <d v="2022-05-19T00:00:00"/>
    <n v="1"/>
    <n v="35.82"/>
    <n v="57"/>
  </r>
  <r>
    <x v="20"/>
    <d v="2022-05-19T00:00:00"/>
    <n v="1"/>
    <n v="147.18"/>
    <n v="177"/>
  </r>
  <r>
    <x v="119"/>
    <d v="2022-05-19T00:00:00"/>
    <n v="1"/>
    <n v="36.75"/>
    <n v="59"/>
  </r>
  <r>
    <x v="35"/>
    <d v="2022-05-19T00:00:00"/>
    <n v="1"/>
    <n v="173.86"/>
    <n v="212"/>
  </r>
  <r>
    <x v="2"/>
    <d v="2022-05-19T00:00:00"/>
    <n v="1"/>
    <n v="88.68"/>
    <n v="104"/>
  </r>
  <r>
    <x v="9"/>
    <d v="2022-05-19T00:00:00"/>
    <n v="0.3"/>
    <n v="446.41"/>
    <n v="576"/>
  </r>
  <r>
    <x v="132"/>
    <d v="2022-05-19T00:00:00"/>
    <n v="1"/>
    <n v="8.5"/>
    <n v="14"/>
  </r>
  <r>
    <x v="21"/>
    <d v="2022-05-19T00:00:00"/>
    <n v="0.1"/>
    <n v="987.81"/>
    <n v="1235"/>
  </r>
  <r>
    <x v="21"/>
    <d v="2022-05-19T00:00:00"/>
    <n v="6.6666699999999995E-2"/>
    <n v="987.81"/>
    <n v="1235"/>
  </r>
  <r>
    <x v="34"/>
    <d v="2022-05-19T00:00:00"/>
    <n v="2"/>
    <n v="8.76"/>
    <n v="15"/>
  </r>
  <r>
    <x v="34"/>
    <d v="2022-05-19T00:00:00"/>
    <n v="5"/>
    <n v="14.89"/>
    <n v="24"/>
  </r>
  <r>
    <x v="116"/>
    <d v="2022-05-19T00:00:00"/>
    <n v="2"/>
    <n v="11.41"/>
    <n v="19"/>
  </r>
  <r>
    <x v="105"/>
    <d v="2022-05-19T00:00:00"/>
    <n v="1"/>
    <n v="215.6"/>
    <n v="302"/>
  </r>
  <r>
    <x v="56"/>
    <d v="2022-05-19T00:00:00"/>
    <n v="1"/>
    <n v="33.11"/>
    <n v="51"/>
  </r>
  <r>
    <x v="41"/>
    <d v="2022-05-19T00:00:00"/>
    <n v="1"/>
    <n v="19.420000000000002"/>
    <n v="24"/>
  </r>
  <r>
    <x v="155"/>
    <d v="2022-05-19T00:00:00"/>
    <n v="1"/>
    <n v="80.73"/>
    <n v="98"/>
  </r>
  <r>
    <x v="155"/>
    <d v="2022-05-19T00:00:00"/>
    <n v="1"/>
    <n v="80.73"/>
    <n v="98"/>
  </r>
  <r>
    <x v="117"/>
    <d v="2022-05-19T00:00:00"/>
    <n v="1"/>
    <n v="21.23"/>
    <n v="26"/>
  </r>
  <r>
    <x v="36"/>
    <d v="2022-05-19T00:00:00"/>
    <n v="1"/>
    <n v="10.92"/>
    <n v="18"/>
  </r>
  <r>
    <x v="10"/>
    <d v="2022-05-19T00:00:00"/>
    <n v="1"/>
    <n v="55.5"/>
    <n v="87"/>
  </r>
  <r>
    <x v="124"/>
    <d v="2022-05-19T00:00:00"/>
    <n v="0.08"/>
    <n v="495.19"/>
    <n v="596"/>
  </r>
  <r>
    <x v="124"/>
    <d v="2022-05-19T00:00:00"/>
    <n v="0.04"/>
    <n v="496.39"/>
    <n v="597"/>
  </r>
  <r>
    <x v="19"/>
    <d v="2022-05-19T00:00:00"/>
    <n v="1"/>
    <n v="95.88"/>
    <n v="118"/>
  </r>
  <r>
    <x v="0"/>
    <d v="2022-05-19T00:00:00"/>
    <n v="1"/>
    <n v="145.6"/>
    <n v="172"/>
  </r>
  <r>
    <x v="3"/>
    <d v="2022-05-19T00:00:00"/>
    <n v="1"/>
    <n v="47.83"/>
    <n v="78"/>
  </r>
  <r>
    <x v="144"/>
    <d v="2022-05-19T00:00:00"/>
    <n v="1"/>
    <n v="223.14"/>
    <n v="313"/>
  </r>
  <r>
    <x v="98"/>
    <d v="2022-05-19T00:00:00"/>
    <n v="1"/>
    <n v="41.33"/>
    <n v="65"/>
  </r>
  <r>
    <x v="3"/>
    <d v="2022-05-19T00:00:00"/>
    <n v="1"/>
    <n v="47.83"/>
    <n v="77"/>
  </r>
  <r>
    <x v="15"/>
    <d v="2022-05-19T00:00:00"/>
    <n v="1"/>
    <n v="19.71"/>
    <n v="25"/>
  </r>
  <r>
    <x v="15"/>
    <d v="2022-05-19T00:00:00"/>
    <n v="1"/>
    <n v="19.71"/>
    <n v="25"/>
  </r>
  <r>
    <x v="15"/>
    <d v="2022-05-19T00:00:00"/>
    <n v="1"/>
    <n v="19.71"/>
    <n v="25"/>
  </r>
  <r>
    <x v="61"/>
    <d v="2022-05-19T00:00:00"/>
    <n v="1"/>
    <n v="30.6"/>
    <n v="36"/>
  </r>
  <r>
    <x v="155"/>
    <d v="2022-05-19T00:00:00"/>
    <n v="1"/>
    <n v="80.73"/>
    <n v="98"/>
  </r>
  <r>
    <x v="155"/>
    <d v="2022-05-19T00:00:00"/>
    <n v="1"/>
    <n v="80.73"/>
    <n v="98"/>
  </r>
  <r>
    <x v="65"/>
    <d v="2022-05-19T00:00:00"/>
    <n v="1"/>
    <n v="163.37"/>
    <n v="197"/>
  </r>
  <r>
    <x v="94"/>
    <d v="2022-05-19T00:00:00"/>
    <n v="1"/>
    <n v="64.44"/>
    <n v="80"/>
  </r>
  <r>
    <x v="134"/>
    <d v="2022-05-19T00:00:00"/>
    <n v="1"/>
    <n v="24.18"/>
    <n v="40"/>
  </r>
  <r>
    <x v="27"/>
    <d v="2022-05-19T00:00:00"/>
    <n v="1"/>
    <n v="125.73"/>
    <n v="192"/>
  </r>
  <r>
    <x v="78"/>
    <d v="2022-05-19T00:00:00"/>
    <n v="1"/>
    <n v="207.76"/>
    <n v="246"/>
  </r>
  <r>
    <x v="55"/>
    <d v="2022-05-19T00:00:00"/>
    <n v="1"/>
    <n v="58.08"/>
    <n v="73"/>
  </r>
  <r>
    <x v="81"/>
    <d v="2022-05-19T00:00:00"/>
    <n v="1"/>
    <n v="47.4"/>
    <n v="76"/>
  </r>
  <r>
    <x v="132"/>
    <d v="2022-05-19T00:00:00"/>
    <n v="1"/>
    <n v="8.5"/>
    <n v="14"/>
  </r>
  <r>
    <x v="132"/>
    <d v="2022-05-19T00:00:00"/>
    <n v="1"/>
    <n v="8.5"/>
    <n v="14"/>
  </r>
  <r>
    <x v="65"/>
    <d v="2022-05-19T00:00:00"/>
    <n v="1"/>
    <n v="185.19"/>
    <n v="219"/>
  </r>
  <r>
    <x v="36"/>
    <d v="2022-05-19T00:00:00"/>
    <n v="1"/>
    <n v="12.75"/>
    <n v="21"/>
  </r>
  <r>
    <x v="130"/>
    <d v="2022-05-19T00:00:00"/>
    <n v="1"/>
    <n v="71.209999999999994"/>
    <n v="89"/>
  </r>
  <r>
    <x v="61"/>
    <d v="2022-05-19T00:00:00"/>
    <n v="1"/>
    <n v="31.08"/>
    <n v="36"/>
  </r>
  <r>
    <x v="94"/>
    <d v="2022-05-19T00:00:00"/>
    <n v="1"/>
    <n v="64.25"/>
    <n v="77"/>
  </r>
  <r>
    <x v="15"/>
    <d v="2022-05-19T00:00:00"/>
    <n v="1"/>
    <n v="19.71"/>
    <n v="25"/>
  </r>
  <r>
    <x v="79"/>
    <d v="2022-05-19T00:00:00"/>
    <n v="1"/>
    <n v="153.74"/>
    <n v="193"/>
  </r>
  <r>
    <x v="122"/>
    <d v="2022-05-19T00:00:00"/>
    <n v="1"/>
    <n v="121.2"/>
    <n v="164"/>
  </r>
  <r>
    <x v="129"/>
    <d v="2022-05-19T00:00:00"/>
    <n v="1"/>
    <n v="27.41"/>
    <n v="42"/>
  </r>
  <r>
    <x v="92"/>
    <d v="2022-05-19T00:00:00"/>
    <n v="1"/>
    <n v="411.88"/>
    <n v="544"/>
  </r>
  <r>
    <x v="92"/>
    <d v="2022-05-19T00:00:00"/>
    <n v="1"/>
    <n v="411.88"/>
    <n v="544"/>
  </r>
  <r>
    <x v="25"/>
    <d v="2022-05-19T00:00:00"/>
    <n v="1"/>
    <n v="156.19999999999999"/>
    <n v="189"/>
  </r>
  <r>
    <x v="92"/>
    <d v="2022-05-19T00:00:00"/>
    <n v="1"/>
    <n v="411.88"/>
    <n v="544"/>
  </r>
  <r>
    <x v="92"/>
    <d v="2022-05-19T00:00:00"/>
    <n v="1"/>
    <n v="411.88"/>
    <n v="544"/>
  </r>
  <r>
    <x v="92"/>
    <d v="2022-05-19T00:00:00"/>
    <n v="1"/>
    <n v="411.88"/>
    <n v="544"/>
  </r>
  <r>
    <x v="23"/>
    <d v="2022-05-19T00:00:00"/>
    <n v="1"/>
    <n v="147.80000000000001"/>
    <n v="209"/>
  </r>
  <r>
    <x v="155"/>
    <d v="2022-05-19T00:00:00"/>
    <n v="1"/>
    <n v="80.73"/>
    <n v="98"/>
  </r>
  <r>
    <x v="155"/>
    <d v="2022-05-19T00:00:00"/>
    <n v="1"/>
    <n v="80.73"/>
    <n v="98"/>
  </r>
  <r>
    <x v="138"/>
    <d v="2022-05-19T00:00:00"/>
    <n v="1"/>
    <n v="46.59"/>
    <n v="71"/>
  </r>
  <r>
    <x v="45"/>
    <d v="2022-05-19T00:00:00"/>
    <n v="1"/>
    <n v="43.86"/>
    <n v="55"/>
  </r>
  <r>
    <x v="52"/>
    <d v="2022-05-19T00:00:00"/>
    <n v="1"/>
    <n v="225.2"/>
    <n v="264"/>
  </r>
  <r>
    <x v="127"/>
    <d v="2022-05-19T00:00:00"/>
    <n v="1"/>
    <n v="58.53"/>
    <n v="84"/>
  </r>
  <r>
    <x v="51"/>
    <d v="2022-05-19T00:00:00"/>
    <n v="1"/>
    <n v="43.86"/>
    <n v="67"/>
  </r>
  <r>
    <x v="46"/>
    <d v="2022-05-19T00:00:00"/>
    <n v="20"/>
    <n v="1.98"/>
    <n v="4"/>
  </r>
  <r>
    <x v="59"/>
    <d v="2022-05-19T00:00:00"/>
    <n v="1"/>
    <n v="198.66"/>
    <n v="277"/>
  </r>
  <r>
    <x v="0"/>
    <d v="2022-05-19T00:00:00"/>
    <n v="1"/>
    <n v="146.1"/>
    <n v="173"/>
  </r>
  <r>
    <x v="73"/>
    <d v="2022-05-19T00:00:00"/>
    <n v="1"/>
    <n v="70.540000000000006"/>
    <n v="89"/>
  </r>
  <r>
    <x v="38"/>
    <d v="2022-05-19T00:00:00"/>
    <n v="1"/>
    <n v="134.68"/>
    <n v="162"/>
  </r>
  <r>
    <x v="113"/>
    <d v="2022-05-19T00:00:00"/>
    <n v="1"/>
    <n v="11.1"/>
    <n v="13"/>
  </r>
  <r>
    <x v="74"/>
    <d v="2022-05-19T00:00:00"/>
    <n v="1"/>
    <n v="148.5"/>
    <n v="177"/>
  </r>
  <r>
    <x v="80"/>
    <d v="2022-05-19T00:00:00"/>
    <n v="1"/>
    <n v="16.62"/>
    <n v="26"/>
  </r>
  <r>
    <x v="0"/>
    <d v="2022-05-19T00:00:00"/>
    <n v="1"/>
    <n v="132.94"/>
    <n v="160"/>
  </r>
  <r>
    <x v="134"/>
    <d v="2022-05-19T00:00:00"/>
    <n v="1"/>
    <n v="24.18"/>
    <n v="40"/>
  </r>
  <r>
    <x v="13"/>
    <d v="2022-05-19T00:00:00"/>
    <n v="1"/>
    <n v="46"/>
    <n v="70"/>
  </r>
  <r>
    <x v="63"/>
    <d v="2022-05-19T00:00:00"/>
    <n v="1"/>
    <n v="69.41"/>
    <n v="104"/>
  </r>
  <r>
    <x v="0"/>
    <d v="2022-05-19T00:00:00"/>
    <n v="1"/>
    <n v="145.53"/>
    <n v="161"/>
  </r>
  <r>
    <x v="30"/>
    <d v="2022-05-19T00:00:00"/>
    <n v="1"/>
    <n v="35"/>
    <n v="54"/>
  </r>
  <r>
    <x v="87"/>
    <d v="2022-05-19T00:00:00"/>
    <n v="1"/>
    <n v="6.2"/>
    <n v="9"/>
  </r>
  <r>
    <x v="9"/>
    <d v="2022-05-19T00:00:00"/>
    <n v="0.2"/>
    <n v="513"/>
    <n v="678"/>
  </r>
  <r>
    <x v="12"/>
    <d v="2022-05-19T00:00:00"/>
    <n v="1"/>
    <n v="378.06"/>
    <n v="454"/>
  </r>
  <r>
    <x v="29"/>
    <d v="2022-05-19T00:00:00"/>
    <n v="1"/>
    <n v="201.97"/>
    <n v="233"/>
  </r>
  <r>
    <x v="67"/>
    <d v="2022-05-19T00:00:00"/>
    <n v="1"/>
    <n v="556.51"/>
    <n v="735"/>
  </r>
  <r>
    <x v="155"/>
    <d v="2022-05-19T00:00:00"/>
    <n v="1"/>
    <n v="81.87"/>
    <n v="99"/>
  </r>
  <r>
    <x v="155"/>
    <d v="2022-05-19T00:00:00"/>
    <n v="1"/>
    <n v="81.87"/>
    <n v="99"/>
  </r>
  <r>
    <x v="139"/>
    <d v="2022-05-19T00:00:00"/>
    <n v="1"/>
    <n v="51.32"/>
    <n v="73"/>
  </r>
  <r>
    <x v="134"/>
    <d v="2022-05-19T00:00:00"/>
    <n v="5"/>
    <n v="24.18"/>
    <n v="40"/>
  </r>
  <r>
    <x v="114"/>
    <d v="2022-05-19T00:00:00"/>
    <n v="3.5714299999999997E-2"/>
    <n v="628.24"/>
    <n v="694"/>
  </r>
  <r>
    <x v="3"/>
    <d v="2022-05-19T00:00:00"/>
    <n v="1"/>
    <n v="47.03"/>
    <n v="76"/>
  </r>
  <r>
    <x v="90"/>
    <d v="2022-05-19T00:00:00"/>
    <n v="1"/>
    <n v="130.88999999999999"/>
    <n v="206"/>
  </r>
  <r>
    <x v="101"/>
    <d v="2022-05-19T00:00:00"/>
    <n v="1"/>
    <n v="41.48"/>
    <n v="51"/>
  </r>
  <r>
    <x v="115"/>
    <d v="2022-05-19T00:00:00"/>
    <n v="1"/>
    <n v="145.04"/>
    <n v="202"/>
  </r>
  <r>
    <x v="110"/>
    <d v="2022-05-19T00:00:00"/>
    <n v="1"/>
    <n v="71.02"/>
    <n v="88"/>
  </r>
  <r>
    <x v="127"/>
    <d v="2022-05-19T00:00:00"/>
    <n v="1"/>
    <n v="58.53"/>
    <n v="84"/>
  </r>
  <r>
    <x v="127"/>
    <d v="2022-05-19T00:00:00"/>
    <n v="1"/>
    <n v="58.53"/>
    <n v="84"/>
  </r>
  <r>
    <x v="109"/>
    <d v="2022-05-19T00:00:00"/>
    <n v="1"/>
    <n v="74.8"/>
    <n v="92"/>
  </r>
  <r>
    <x v="41"/>
    <d v="2022-05-19T00:00:00"/>
    <n v="1"/>
    <n v="19.89"/>
    <n v="24"/>
  </r>
  <r>
    <x v="0"/>
    <d v="2022-05-19T00:00:00"/>
    <n v="1"/>
    <n v="145.6"/>
    <n v="172"/>
  </r>
  <r>
    <x v="26"/>
    <d v="2022-05-19T00:00:00"/>
    <n v="1"/>
    <n v="13.19"/>
    <n v="18"/>
  </r>
  <r>
    <x v="134"/>
    <d v="2022-05-19T00:00:00"/>
    <n v="1"/>
    <n v="24.18"/>
    <n v="39"/>
  </r>
  <r>
    <x v="134"/>
    <d v="2022-05-19T00:00:00"/>
    <n v="1"/>
    <n v="24.18"/>
    <n v="39"/>
  </r>
  <r>
    <x v="61"/>
    <d v="2022-05-19T00:00:00"/>
    <n v="1"/>
    <n v="32"/>
    <n v="36"/>
  </r>
  <r>
    <x v="92"/>
    <d v="2022-05-19T00:00:00"/>
    <n v="1"/>
    <n v="499.24"/>
    <n v="659"/>
  </r>
  <r>
    <x v="51"/>
    <d v="2022-05-19T00:00:00"/>
    <n v="1"/>
    <n v="43.97"/>
    <n v="69"/>
  </r>
  <r>
    <x v="51"/>
    <d v="2022-05-19T00:00:00"/>
    <n v="1"/>
    <n v="43.97"/>
    <n v="69"/>
  </r>
  <r>
    <x v="105"/>
    <d v="2022-05-19T00:00:00"/>
    <n v="1"/>
    <n v="206.53"/>
    <n v="290"/>
  </r>
  <r>
    <x v="3"/>
    <d v="2022-05-19T00:00:00"/>
    <n v="1"/>
    <n v="47.53"/>
    <n v="77"/>
  </r>
  <r>
    <x v="68"/>
    <d v="2022-05-19T00:00:00"/>
    <n v="1"/>
    <n v="7.97"/>
    <n v="13"/>
  </r>
  <r>
    <x v="79"/>
    <d v="2022-05-19T00:00:00"/>
    <n v="1"/>
    <n v="175.74"/>
    <n v="220"/>
  </r>
  <r>
    <x v="79"/>
    <d v="2022-05-19T00:00:00"/>
    <n v="1"/>
    <n v="175.74"/>
    <n v="220"/>
  </r>
  <r>
    <x v="13"/>
    <d v="2022-05-19T00:00:00"/>
    <n v="1"/>
    <n v="46"/>
    <n v="70"/>
  </r>
  <r>
    <x v="11"/>
    <d v="2022-05-19T00:00:00"/>
    <n v="1"/>
    <n v="44.03"/>
    <n v="67"/>
  </r>
  <r>
    <x v="80"/>
    <d v="2022-05-19T00:00:00"/>
    <n v="1"/>
    <n v="18.010000000000002"/>
    <n v="28"/>
  </r>
  <r>
    <x v="43"/>
    <d v="2022-05-19T00:00:00"/>
    <n v="1"/>
    <n v="42.76"/>
    <n v="65"/>
  </r>
  <r>
    <x v="150"/>
    <d v="2022-05-19T00:00:00"/>
    <n v="0.48"/>
    <n v="498.53"/>
    <n v="698"/>
  </r>
  <r>
    <x v="139"/>
    <d v="2022-05-19T00:00:00"/>
    <n v="1"/>
    <n v="51.32"/>
    <n v="80"/>
  </r>
  <r>
    <x v="88"/>
    <d v="2022-05-19T00:00:00"/>
    <n v="1"/>
    <n v="68.599999999999994"/>
    <n v="98"/>
  </r>
  <r>
    <x v="88"/>
    <d v="2022-05-19T00:00:00"/>
    <n v="1"/>
    <n v="68.599999999999994"/>
    <n v="98"/>
  </r>
  <r>
    <x v="122"/>
    <d v="2022-05-19T00:00:00"/>
    <n v="1"/>
    <n v="120.04"/>
    <n v="163"/>
  </r>
  <r>
    <x v="155"/>
    <d v="2022-05-19T00:00:00"/>
    <n v="1"/>
    <n v="81.8"/>
    <n v="99"/>
  </r>
  <r>
    <x v="51"/>
    <d v="2022-05-19T00:00:00"/>
    <n v="1"/>
    <n v="43.79"/>
    <n v="68"/>
  </r>
  <r>
    <x v="25"/>
    <d v="2022-05-19T00:00:00"/>
    <n v="1"/>
    <n v="156.19999999999999"/>
    <n v="186"/>
  </r>
  <r>
    <x v="52"/>
    <d v="2022-05-19T00:00:00"/>
    <n v="1"/>
    <n v="328.46"/>
    <n v="344"/>
  </r>
  <r>
    <x v="134"/>
    <d v="2022-05-19T00:00:00"/>
    <n v="1"/>
    <n v="24.18"/>
    <n v="40"/>
  </r>
  <r>
    <x v="3"/>
    <d v="2022-05-19T00:00:00"/>
    <n v="1"/>
    <n v="47.82"/>
    <n v="83"/>
  </r>
  <r>
    <x v="52"/>
    <d v="2022-05-19T00:00:00"/>
    <n v="1"/>
    <n v="232.47"/>
    <n v="272"/>
  </r>
  <r>
    <x v="13"/>
    <d v="2022-05-19T00:00:00"/>
    <n v="1"/>
    <n v="46"/>
    <n v="70"/>
  </r>
  <r>
    <x v="15"/>
    <d v="2022-05-19T00:00:00"/>
    <n v="1"/>
    <n v="19.66"/>
    <n v="25"/>
  </r>
  <r>
    <x v="42"/>
    <d v="2022-05-19T00:00:00"/>
    <n v="1"/>
    <n v="42.85"/>
    <n v="67"/>
  </r>
  <r>
    <x v="42"/>
    <d v="2022-05-19T00:00:00"/>
    <n v="1"/>
    <n v="42.85"/>
    <n v="67"/>
  </r>
  <r>
    <x v="117"/>
    <d v="2022-05-19T00:00:00"/>
    <n v="1"/>
    <n v="20.48"/>
    <n v="25"/>
  </r>
  <r>
    <x v="110"/>
    <d v="2022-05-19T00:00:00"/>
    <n v="1"/>
    <n v="71.23"/>
    <n v="88"/>
  </r>
  <r>
    <x v="110"/>
    <d v="2022-05-19T00:00:00"/>
    <n v="1"/>
    <n v="71.23"/>
    <n v="88"/>
  </r>
  <r>
    <x v="7"/>
    <d v="2022-05-19T00:00:00"/>
    <n v="1"/>
    <n v="62.48"/>
    <n v="67"/>
  </r>
  <r>
    <x v="7"/>
    <d v="2022-05-19T00:00:00"/>
    <n v="1"/>
    <n v="62.48"/>
    <n v="67"/>
  </r>
  <r>
    <x v="8"/>
    <d v="2022-05-19T00:00:00"/>
    <n v="1"/>
    <n v="119.72"/>
    <n v="147"/>
  </r>
  <r>
    <x v="14"/>
    <d v="2022-05-19T00:00:00"/>
    <n v="1"/>
    <n v="81.69"/>
    <n v="102"/>
  </r>
  <r>
    <x v="124"/>
    <d v="2022-05-19T00:00:00"/>
    <n v="0.2"/>
    <n v="495.19"/>
    <n v="596"/>
  </r>
  <r>
    <x v="2"/>
    <d v="2022-05-19T00:00:00"/>
    <n v="1"/>
    <n v="89.27"/>
    <n v="113"/>
  </r>
  <r>
    <x v="2"/>
    <d v="2022-05-19T00:00:00"/>
    <n v="1"/>
    <n v="89.27"/>
    <n v="113"/>
  </r>
  <r>
    <x v="2"/>
    <d v="2022-05-19T00:00:00"/>
    <n v="1"/>
    <n v="89.27"/>
    <n v="113"/>
  </r>
  <r>
    <x v="2"/>
    <d v="2022-05-19T00:00:00"/>
    <n v="1"/>
    <n v="89.27"/>
    <n v="113"/>
  </r>
  <r>
    <x v="2"/>
    <d v="2022-05-19T00:00:00"/>
    <n v="1"/>
    <n v="89.27"/>
    <n v="113"/>
  </r>
  <r>
    <x v="14"/>
    <d v="2022-05-19T00:00:00"/>
    <n v="1"/>
    <n v="81.95"/>
    <n v="104"/>
  </r>
  <r>
    <x v="14"/>
    <d v="2022-05-19T00:00:00"/>
    <n v="1"/>
    <n v="81.95"/>
    <n v="104"/>
  </r>
  <r>
    <x v="14"/>
    <d v="2022-05-19T00:00:00"/>
    <n v="1"/>
    <n v="81.95"/>
    <n v="104"/>
  </r>
  <r>
    <x v="14"/>
    <d v="2022-05-19T00:00:00"/>
    <n v="1"/>
    <n v="81.95"/>
    <n v="104"/>
  </r>
  <r>
    <x v="14"/>
    <d v="2022-05-19T00:00:00"/>
    <n v="1"/>
    <n v="81.95"/>
    <n v="104"/>
  </r>
  <r>
    <x v="51"/>
    <d v="2022-05-19T00:00:00"/>
    <n v="1"/>
    <n v="43.97"/>
    <n v="70"/>
  </r>
  <r>
    <x v="88"/>
    <d v="2022-05-19T00:00:00"/>
    <n v="1"/>
    <n v="71.040000000000006"/>
    <n v="103"/>
  </r>
  <r>
    <x v="85"/>
    <d v="2022-05-19T00:00:00"/>
    <n v="1"/>
    <n v="391.02"/>
    <n v="470"/>
  </r>
  <r>
    <x v="65"/>
    <d v="2022-05-19T00:00:00"/>
    <n v="1"/>
    <n v="171.37"/>
    <n v="205"/>
  </r>
  <r>
    <x v="65"/>
    <d v="2022-05-19T00:00:00"/>
    <n v="1"/>
    <n v="169.17"/>
    <n v="203"/>
  </r>
  <r>
    <x v="65"/>
    <d v="2022-05-19T00:00:00"/>
    <n v="1"/>
    <n v="169.17"/>
    <n v="203"/>
  </r>
  <r>
    <x v="15"/>
    <d v="2022-05-19T00:00:00"/>
    <n v="1"/>
    <n v="20.23"/>
    <n v="27"/>
  </r>
  <r>
    <x v="15"/>
    <d v="2022-05-19T00:00:00"/>
    <n v="1"/>
    <n v="20.23"/>
    <n v="27"/>
  </r>
  <r>
    <x v="15"/>
    <d v="2022-05-19T00:00:00"/>
    <n v="1"/>
    <n v="20.23"/>
    <n v="27"/>
  </r>
  <r>
    <x v="15"/>
    <d v="2022-05-19T00:00:00"/>
    <n v="1"/>
    <n v="20.23"/>
    <n v="27"/>
  </r>
  <r>
    <x v="117"/>
    <d v="2022-05-19T00:00:00"/>
    <n v="1"/>
    <n v="20.78"/>
    <n v="26"/>
  </r>
  <r>
    <x v="16"/>
    <d v="2022-05-19T00:00:00"/>
    <n v="1"/>
    <n v="182.17"/>
    <n v="257"/>
  </r>
  <r>
    <x v="86"/>
    <d v="2022-05-19T00:00:00"/>
    <n v="2"/>
    <n v="35"/>
    <n v="57"/>
  </r>
  <r>
    <x v="82"/>
    <d v="2022-05-19T00:00:00"/>
    <n v="1"/>
    <n v="351.11"/>
    <n v="416"/>
  </r>
  <r>
    <x v="65"/>
    <d v="2022-05-19T00:00:00"/>
    <n v="1"/>
    <n v="168.94"/>
    <n v="203"/>
  </r>
  <r>
    <x v="70"/>
    <d v="2022-05-19T00:00:00"/>
    <n v="0.08"/>
    <n v="463.1"/>
    <n v="704"/>
  </r>
  <r>
    <x v="125"/>
    <d v="2022-05-19T00:00:00"/>
    <n v="1"/>
    <n v="23.37"/>
    <n v="29"/>
  </r>
  <r>
    <x v="125"/>
    <d v="2022-05-19T00:00:00"/>
    <n v="1"/>
    <n v="23.37"/>
    <n v="29"/>
  </r>
  <r>
    <x v="125"/>
    <d v="2022-05-19T00:00:00"/>
    <n v="1"/>
    <n v="23.37"/>
    <n v="29"/>
  </r>
  <r>
    <x v="125"/>
    <d v="2022-05-19T00:00:00"/>
    <n v="1"/>
    <n v="23.37"/>
    <n v="29"/>
  </r>
  <r>
    <x v="125"/>
    <d v="2022-05-19T00:00:00"/>
    <n v="1"/>
    <n v="23.41"/>
    <n v="29"/>
  </r>
  <r>
    <x v="145"/>
    <d v="2022-05-19T00:00:00"/>
    <n v="1"/>
    <n v="94.8"/>
    <n v="151"/>
  </r>
  <r>
    <x v="5"/>
    <d v="2022-05-19T00:00:00"/>
    <n v="1"/>
    <n v="10.34"/>
    <n v="13"/>
  </r>
  <r>
    <x v="63"/>
    <d v="2022-05-19T00:00:00"/>
    <n v="1"/>
    <n v="53.57"/>
    <n v="82"/>
  </r>
  <r>
    <x v="63"/>
    <d v="2022-05-19T00:00:00"/>
    <n v="1"/>
    <n v="53.57"/>
    <n v="82"/>
  </r>
  <r>
    <x v="63"/>
    <d v="2022-05-19T00:00:00"/>
    <n v="1"/>
    <n v="53.57"/>
    <n v="82"/>
  </r>
  <r>
    <x v="63"/>
    <d v="2022-05-19T00:00:00"/>
    <n v="1"/>
    <n v="53.57"/>
    <n v="82"/>
  </r>
  <r>
    <x v="58"/>
    <d v="2022-05-19T00:00:00"/>
    <n v="1"/>
    <n v="71.790000000000006"/>
    <n v="87"/>
  </r>
  <r>
    <x v="40"/>
    <d v="2022-05-19T00:00:00"/>
    <n v="1"/>
    <n v="27.94"/>
    <n v="45"/>
  </r>
  <r>
    <x v="82"/>
    <d v="2022-05-19T00:00:00"/>
    <n v="1"/>
    <n v="348.66"/>
    <n v="395"/>
  </r>
  <r>
    <x v="135"/>
    <d v="2022-05-19T00:00:00"/>
    <n v="1"/>
    <n v="155.13"/>
    <n v="191"/>
  </r>
  <r>
    <x v="47"/>
    <d v="2022-05-19T00:00:00"/>
    <n v="1"/>
    <n v="214.9"/>
    <n v="230.86"/>
  </r>
  <r>
    <x v="71"/>
    <d v="2022-05-19T00:00:00"/>
    <n v="1"/>
    <n v="34.06"/>
    <n v="39.76"/>
  </r>
  <r>
    <x v="71"/>
    <d v="2022-05-19T00:00:00"/>
    <n v="1"/>
    <n v="34.06"/>
    <n v="39.76"/>
  </r>
  <r>
    <x v="19"/>
    <d v="2022-05-19T00:00:00"/>
    <n v="1"/>
    <n v="98.67"/>
    <n v="115"/>
  </r>
  <r>
    <x v="106"/>
    <d v="2022-05-19T00:00:00"/>
    <n v="1"/>
    <n v="159.58000000000001"/>
    <n v="193"/>
  </r>
  <r>
    <x v="50"/>
    <d v="2022-05-19T00:00:00"/>
    <n v="1"/>
    <n v="77.63"/>
    <n v="95"/>
  </r>
  <r>
    <x v="29"/>
    <d v="2022-05-19T00:00:00"/>
    <n v="1"/>
    <n v="201.97"/>
    <n v="233"/>
  </r>
  <r>
    <x v="80"/>
    <d v="2022-05-19T00:00:00"/>
    <n v="1"/>
    <n v="15.95"/>
    <n v="26"/>
  </r>
  <r>
    <x v="44"/>
    <d v="2022-05-19T00:00:00"/>
    <n v="1"/>
    <n v="16.02"/>
    <n v="19"/>
  </r>
  <r>
    <x v="133"/>
    <d v="2022-05-19T00:00:00"/>
    <n v="3"/>
    <n v="46.5"/>
    <n v="76"/>
  </r>
  <r>
    <x v="51"/>
    <d v="2022-05-19T00:00:00"/>
    <n v="1"/>
    <n v="43.97"/>
    <n v="67"/>
  </r>
  <r>
    <x v="45"/>
    <d v="2022-05-19T00:00:00"/>
    <n v="1"/>
    <n v="42.99"/>
    <n v="54"/>
  </r>
  <r>
    <x v="45"/>
    <d v="2022-05-19T00:00:00"/>
    <n v="1"/>
    <n v="44.71"/>
    <n v="55"/>
  </r>
  <r>
    <x v="90"/>
    <d v="2022-05-19T00:00:00"/>
    <n v="1"/>
    <n v="133.25"/>
    <n v="204"/>
  </r>
  <r>
    <x v="90"/>
    <d v="2022-05-19T00:00:00"/>
    <n v="2"/>
    <n v="133.25"/>
    <n v="204"/>
  </r>
  <r>
    <x v="98"/>
    <d v="2022-05-19T00:00:00"/>
    <n v="1"/>
    <n v="41.33"/>
    <n v="65"/>
  </r>
  <r>
    <x v="133"/>
    <d v="2022-05-19T00:00:00"/>
    <n v="1"/>
    <n v="46.5"/>
    <n v="76"/>
  </r>
  <r>
    <x v="98"/>
    <d v="2022-05-19T00:00:00"/>
    <n v="1"/>
    <n v="41.33"/>
    <n v="65"/>
  </r>
  <r>
    <x v="34"/>
    <d v="2022-05-19T00:00:00"/>
    <n v="4"/>
    <n v="13.72"/>
    <n v="23"/>
  </r>
  <r>
    <x v="13"/>
    <d v="2022-05-19T00:00:00"/>
    <n v="1"/>
    <n v="44"/>
    <n v="70"/>
  </r>
  <r>
    <x v="41"/>
    <d v="2022-05-19T00:00:00"/>
    <n v="1"/>
    <n v="19.420000000000002"/>
    <n v="24"/>
  </r>
  <r>
    <x v="90"/>
    <d v="2022-05-19T00:00:00"/>
    <n v="1"/>
    <n v="133.25"/>
    <n v="204"/>
  </r>
  <r>
    <x v="37"/>
    <d v="2022-05-19T00:00:00"/>
    <n v="1"/>
    <n v="566.04"/>
    <n v="634"/>
  </r>
  <r>
    <x v="20"/>
    <d v="2022-05-19T00:00:00"/>
    <n v="1"/>
    <n v="147.18"/>
    <n v="177"/>
  </r>
  <r>
    <x v="116"/>
    <d v="2022-05-19T00:00:00"/>
    <n v="1"/>
    <n v="11.41"/>
    <n v="19"/>
  </r>
  <r>
    <x v="57"/>
    <d v="2022-05-19T00:00:00"/>
    <n v="1"/>
    <n v="25.29"/>
    <n v="30"/>
  </r>
  <r>
    <x v="57"/>
    <d v="2022-05-19T00:00:00"/>
    <n v="1"/>
    <n v="24.97"/>
    <n v="30"/>
  </r>
  <r>
    <x v="7"/>
    <d v="2022-05-19T00:00:00"/>
    <n v="1"/>
    <n v="56.08"/>
    <n v="70"/>
  </r>
  <r>
    <x v="29"/>
    <d v="2022-05-19T00:00:00"/>
    <n v="1"/>
    <n v="200.35"/>
    <n v="235"/>
  </r>
  <r>
    <x v="25"/>
    <d v="2022-05-19T00:00:00"/>
    <n v="1"/>
    <n v="156.19999999999999"/>
    <n v="186"/>
  </r>
  <r>
    <x v="27"/>
    <d v="2022-05-19T00:00:00"/>
    <n v="1"/>
    <n v="103.92"/>
    <n v="159"/>
  </r>
  <r>
    <x v="18"/>
    <d v="2022-05-19T00:00:00"/>
    <n v="1"/>
    <n v="109.41"/>
    <n v="123"/>
  </r>
  <r>
    <x v="131"/>
    <d v="2022-05-19T00:00:00"/>
    <n v="1"/>
    <n v="289.58999999999997"/>
    <n v="386"/>
  </r>
  <r>
    <x v="149"/>
    <d v="2022-05-19T00:00:00"/>
    <n v="1"/>
    <n v="124.88"/>
    <n v="152"/>
  </r>
  <r>
    <x v="153"/>
    <d v="2022-05-19T00:00:00"/>
    <n v="1"/>
    <n v="31.21"/>
    <n v="39"/>
  </r>
  <r>
    <x v="153"/>
    <d v="2022-05-19T00:00:00"/>
    <n v="1"/>
    <n v="31.21"/>
    <n v="39"/>
  </r>
  <r>
    <x v="153"/>
    <d v="2022-05-19T00:00:00"/>
    <n v="1"/>
    <n v="31.21"/>
    <n v="39"/>
  </r>
  <r>
    <x v="153"/>
    <d v="2022-05-19T00:00:00"/>
    <n v="1"/>
    <n v="31.21"/>
    <n v="39"/>
  </r>
  <r>
    <x v="153"/>
    <d v="2022-05-19T00:00:00"/>
    <n v="1"/>
    <n v="31.21"/>
    <n v="39"/>
  </r>
  <r>
    <x v="7"/>
    <d v="2022-05-19T00:00:00"/>
    <n v="1"/>
    <n v="60.55"/>
    <n v="74"/>
  </r>
  <r>
    <x v="18"/>
    <d v="2022-05-19T00:00:00"/>
    <n v="1"/>
    <n v="109.41"/>
    <n v="123"/>
  </r>
  <r>
    <x v="31"/>
    <d v="2022-05-19T00:00:00"/>
    <n v="1"/>
    <n v="32.67"/>
    <n v="41"/>
  </r>
  <r>
    <x v="31"/>
    <d v="2022-05-19T00:00:00"/>
    <n v="1"/>
    <n v="32.67"/>
    <n v="41"/>
  </r>
  <r>
    <x v="152"/>
    <d v="2022-05-19T00:00:00"/>
    <n v="1"/>
    <n v="12"/>
    <n v="20"/>
  </r>
  <r>
    <x v="42"/>
    <d v="2022-05-19T00:00:00"/>
    <n v="1"/>
    <n v="42.85"/>
    <n v="67"/>
  </r>
  <r>
    <x v="68"/>
    <d v="2022-05-19T00:00:00"/>
    <n v="2"/>
    <n v="7.97"/>
    <n v="13"/>
  </r>
  <r>
    <x v="19"/>
    <d v="2022-05-19T00:00:00"/>
    <n v="4"/>
    <n v="103.96"/>
    <n v="125"/>
  </r>
  <r>
    <x v="23"/>
    <d v="2022-05-19T00:00:00"/>
    <n v="1"/>
    <n v="136.6"/>
    <n v="188"/>
  </r>
  <r>
    <x v="42"/>
    <d v="2022-05-19T00:00:00"/>
    <n v="1"/>
    <n v="43"/>
    <n v="68"/>
  </r>
  <r>
    <x v="125"/>
    <d v="2022-05-19T00:00:00"/>
    <n v="1"/>
    <n v="23.41"/>
    <n v="29"/>
  </r>
  <r>
    <x v="98"/>
    <d v="2022-05-19T00:00:00"/>
    <n v="1"/>
    <n v="24.84"/>
    <n v="38"/>
  </r>
  <r>
    <x v="98"/>
    <d v="2022-05-19T00:00:00"/>
    <n v="1"/>
    <n v="24.84"/>
    <n v="38"/>
  </r>
  <r>
    <x v="124"/>
    <d v="2022-05-19T00:00:00"/>
    <n v="0.12"/>
    <n v="495.5"/>
    <n v="596"/>
  </r>
  <r>
    <x v="61"/>
    <d v="2022-05-19T00:00:00"/>
    <n v="1"/>
    <n v="30.6"/>
    <n v="37"/>
  </r>
  <r>
    <x v="61"/>
    <d v="2022-05-19T00:00:00"/>
    <n v="1"/>
    <n v="30.6"/>
    <n v="37"/>
  </r>
  <r>
    <x v="37"/>
    <d v="2022-05-19T00:00:00"/>
    <n v="1"/>
    <n v="559.34"/>
    <n v="644"/>
  </r>
  <r>
    <x v="18"/>
    <d v="2022-05-19T00:00:00"/>
    <n v="1"/>
    <n v="109.41"/>
    <n v="123"/>
  </r>
  <r>
    <x v="7"/>
    <d v="2022-05-19T00:00:00"/>
    <n v="1"/>
    <n v="56.08"/>
    <n v="70"/>
  </r>
  <r>
    <x v="21"/>
    <d v="2022-05-19T00:00:00"/>
    <n v="0.1"/>
    <n v="987.84"/>
    <n v="1304"/>
  </r>
  <r>
    <x v="51"/>
    <d v="2022-05-19T00:00:00"/>
    <n v="1"/>
    <n v="43.97"/>
    <n v="67"/>
  </r>
  <r>
    <x v="38"/>
    <d v="2022-05-19T00:00:00"/>
    <n v="1"/>
    <n v="134.68"/>
    <n v="162"/>
  </r>
  <r>
    <x v="29"/>
    <d v="2022-05-19T00:00:00"/>
    <n v="1"/>
    <n v="201.2"/>
    <n v="232"/>
  </r>
  <r>
    <x v="37"/>
    <d v="2022-05-19T00:00:00"/>
    <n v="1"/>
    <n v="569.76"/>
    <n v="656"/>
  </r>
  <r>
    <x v="18"/>
    <d v="2022-05-19T00:00:00"/>
    <n v="1"/>
    <n v="110.08"/>
    <n v="124"/>
  </r>
  <r>
    <x v="18"/>
    <d v="2022-05-19T00:00:00"/>
    <n v="1"/>
    <n v="110.08"/>
    <n v="124"/>
  </r>
  <r>
    <x v="42"/>
    <d v="2022-05-19T00:00:00"/>
    <n v="1"/>
    <n v="42.85"/>
    <n v="67"/>
  </r>
  <r>
    <x v="80"/>
    <d v="2022-05-19T00:00:00"/>
    <n v="1"/>
    <n v="15.51"/>
    <n v="24"/>
  </r>
  <r>
    <x v="18"/>
    <d v="2022-05-19T00:00:00"/>
    <n v="1"/>
    <n v="109.41"/>
    <n v="123"/>
  </r>
  <r>
    <x v="70"/>
    <d v="2022-05-19T00:00:00"/>
    <n v="0.08"/>
    <n v="438.6"/>
    <n v="667"/>
  </r>
  <r>
    <x v="60"/>
    <d v="2022-05-19T00:00:00"/>
    <n v="1"/>
    <n v="184.45"/>
    <n v="216"/>
  </r>
  <r>
    <x v="42"/>
    <d v="2022-05-19T00:00:00"/>
    <n v="1"/>
    <n v="43"/>
    <n v="68"/>
  </r>
  <r>
    <x v="155"/>
    <d v="2022-05-19T00:00:00"/>
    <n v="1"/>
    <n v="81.8"/>
    <n v="99"/>
  </r>
  <r>
    <x v="49"/>
    <d v="2022-05-19T00:00:00"/>
    <n v="1"/>
    <n v="635.70000000000005"/>
    <n v="821"/>
  </r>
  <r>
    <x v="49"/>
    <d v="2022-05-19T00:00:00"/>
    <n v="1"/>
    <n v="635.70000000000005"/>
    <n v="821"/>
  </r>
  <r>
    <x v="23"/>
    <d v="2022-05-19T00:00:00"/>
    <n v="1"/>
    <n v="141.08000000000001"/>
    <n v="205"/>
  </r>
  <r>
    <x v="122"/>
    <d v="2022-05-19T00:00:00"/>
    <n v="1"/>
    <n v="120.97"/>
    <n v="166"/>
  </r>
  <r>
    <x v="124"/>
    <d v="2022-05-19T00:00:00"/>
    <n v="0.2"/>
    <n v="539.69000000000005"/>
    <n v="597"/>
  </r>
  <r>
    <x v="7"/>
    <d v="2022-05-19T00:00:00"/>
    <n v="1"/>
    <n v="56.84"/>
    <n v="72"/>
  </r>
  <r>
    <x v="7"/>
    <d v="2022-05-19T00:00:00"/>
    <n v="1"/>
    <n v="56.84"/>
    <n v="72"/>
  </r>
  <r>
    <x v="51"/>
    <d v="2022-05-19T00:00:00"/>
    <n v="1"/>
    <n v="43.97"/>
    <n v="67"/>
  </r>
  <r>
    <x v="116"/>
    <d v="2022-05-19T00:00:00"/>
    <n v="3"/>
    <n v="11.41"/>
    <n v="19"/>
  </r>
  <r>
    <x v="18"/>
    <d v="2022-05-19T00:00:00"/>
    <n v="1"/>
    <n v="112.85"/>
    <n v="127"/>
  </r>
  <r>
    <x v="18"/>
    <d v="2022-05-19T00:00:00"/>
    <n v="1"/>
    <n v="112.85"/>
    <n v="127"/>
  </r>
  <r>
    <x v="155"/>
    <d v="2022-05-19T00:00:00"/>
    <n v="1"/>
    <n v="77"/>
    <n v="94"/>
  </r>
  <r>
    <x v="127"/>
    <d v="2022-05-19T00:00:00"/>
    <n v="1"/>
    <n v="58.53"/>
    <n v="84"/>
  </r>
  <r>
    <x v="8"/>
    <d v="2022-05-19T00:00:00"/>
    <n v="1"/>
    <n v="120.36"/>
    <n v="145"/>
  </r>
  <r>
    <x v="26"/>
    <d v="2022-05-19T00:00:00"/>
    <n v="1"/>
    <n v="13.19"/>
    <n v="18"/>
  </r>
  <r>
    <x v="13"/>
    <d v="2022-05-19T00:00:00"/>
    <n v="1"/>
    <n v="44"/>
    <n v="67"/>
  </r>
  <r>
    <x v="9"/>
    <d v="2022-05-19T00:00:00"/>
    <n v="1"/>
    <n v="501.97"/>
    <n v="673"/>
  </r>
  <r>
    <x v="60"/>
    <d v="2022-05-19T00:00:00"/>
    <n v="1"/>
    <n v="184.07"/>
    <n v="216"/>
  </r>
  <r>
    <x v="129"/>
    <d v="2022-05-19T00:00:00"/>
    <n v="1"/>
    <n v="27.41"/>
    <n v="42"/>
  </r>
  <r>
    <x v="129"/>
    <d v="2022-05-19T00:00:00"/>
    <n v="1"/>
    <n v="27.41"/>
    <n v="42"/>
  </r>
  <r>
    <x v="129"/>
    <d v="2022-05-19T00:00:00"/>
    <n v="1"/>
    <n v="27.41"/>
    <n v="42"/>
  </r>
  <r>
    <x v="62"/>
    <d v="2022-05-19T00:00:00"/>
    <n v="1"/>
    <n v="54.32"/>
    <n v="83"/>
  </r>
  <r>
    <x v="62"/>
    <d v="2022-05-19T00:00:00"/>
    <n v="1"/>
    <n v="54.32"/>
    <n v="83"/>
  </r>
  <r>
    <x v="62"/>
    <d v="2022-05-19T00:00:00"/>
    <n v="1"/>
    <n v="54.32"/>
    <n v="83"/>
  </r>
  <r>
    <x v="21"/>
    <d v="2022-05-19T00:00:00"/>
    <n v="0.2"/>
    <n v="994.36"/>
    <n v="1343"/>
  </r>
  <r>
    <x v="105"/>
    <d v="2022-05-19T00:00:00"/>
    <n v="1"/>
    <n v="206.53"/>
    <n v="290"/>
  </r>
  <r>
    <x v="21"/>
    <d v="2022-05-19T00:00:00"/>
    <n v="0.1"/>
    <n v="989.8"/>
    <n v="1238"/>
  </r>
  <r>
    <x v="51"/>
    <d v="2022-05-19T00:00:00"/>
    <n v="1"/>
    <n v="43.97"/>
    <n v="69"/>
  </r>
  <r>
    <x v="66"/>
    <d v="2022-05-19T00:00:00"/>
    <n v="1"/>
    <n v="57.59"/>
    <n v="82"/>
  </r>
  <r>
    <x v="66"/>
    <d v="2022-05-19T00:00:00"/>
    <n v="1"/>
    <n v="57.59"/>
    <n v="82"/>
  </r>
  <r>
    <x v="146"/>
    <d v="2022-05-19T00:00:00"/>
    <n v="1"/>
    <n v="24.03"/>
    <n v="29"/>
  </r>
  <r>
    <x v="83"/>
    <d v="2022-05-19T00:00:00"/>
    <n v="1"/>
    <n v="106.51"/>
    <n v="163"/>
  </r>
  <r>
    <x v="119"/>
    <d v="2022-05-19T00:00:00"/>
    <n v="1"/>
    <n v="36.75"/>
    <n v="59"/>
  </r>
  <r>
    <x v="109"/>
    <d v="2022-05-19T00:00:00"/>
    <n v="1"/>
    <n v="74.8"/>
    <n v="92"/>
  </r>
  <r>
    <x v="54"/>
    <d v="2022-05-19T00:00:00"/>
    <n v="1"/>
    <n v="16.97"/>
    <n v="28"/>
  </r>
  <r>
    <x v="46"/>
    <d v="2022-05-19T00:00:00"/>
    <n v="8"/>
    <n v="1.98"/>
    <n v="4"/>
  </r>
  <r>
    <x v="76"/>
    <d v="2022-05-19T00:00:00"/>
    <n v="1"/>
    <n v="40.130000000000003"/>
    <n v="49"/>
  </r>
  <r>
    <x v="61"/>
    <d v="2022-05-19T00:00:00"/>
    <n v="1"/>
    <n v="30.6"/>
    <n v="37"/>
  </r>
  <r>
    <x v="42"/>
    <d v="2022-05-19T00:00:00"/>
    <n v="1"/>
    <n v="43.08"/>
    <n v="66"/>
  </r>
  <r>
    <x v="142"/>
    <d v="2022-05-19T00:00:00"/>
    <n v="1"/>
    <n v="135.01"/>
    <n v="191"/>
  </r>
  <r>
    <x v="73"/>
    <d v="2022-05-19T00:00:00"/>
    <n v="1"/>
    <n v="69.290000000000006"/>
    <n v="88"/>
  </r>
  <r>
    <x v="55"/>
    <d v="2022-05-19T00:00:00"/>
    <n v="1"/>
    <n v="58.08"/>
    <n v="73"/>
  </r>
  <r>
    <x v="55"/>
    <d v="2022-05-19T00:00:00"/>
    <n v="1"/>
    <n v="58.08"/>
    <n v="73"/>
  </r>
  <r>
    <x v="60"/>
    <d v="2022-05-19T00:00:00"/>
    <n v="1"/>
    <n v="184.07"/>
    <n v="216"/>
  </r>
  <r>
    <x v="7"/>
    <d v="2022-05-19T00:00:00"/>
    <n v="1"/>
    <n v="56.18"/>
    <n v="70"/>
  </r>
  <r>
    <x v="7"/>
    <d v="2022-05-19T00:00:00"/>
    <n v="1"/>
    <n v="55.81"/>
    <n v="69"/>
  </r>
  <r>
    <x v="132"/>
    <d v="2022-05-19T00:00:00"/>
    <n v="1"/>
    <n v="10.53"/>
    <n v="18"/>
  </r>
  <r>
    <x v="57"/>
    <d v="2022-05-19T00:00:00"/>
    <n v="1"/>
    <n v="24.97"/>
    <n v="30"/>
  </r>
  <r>
    <x v="57"/>
    <d v="2022-05-19T00:00:00"/>
    <n v="1"/>
    <n v="24.97"/>
    <n v="30"/>
  </r>
  <r>
    <x v="100"/>
    <d v="2022-05-19T00:00:00"/>
    <n v="3"/>
    <n v="26.9"/>
    <n v="44"/>
  </r>
  <r>
    <x v="61"/>
    <d v="2022-05-19T00:00:00"/>
    <n v="2"/>
    <n v="30.93"/>
    <n v="36"/>
  </r>
  <r>
    <x v="97"/>
    <d v="2022-05-19T00:00:00"/>
    <n v="1"/>
    <n v="26.18"/>
    <n v="33"/>
  </r>
  <r>
    <x v="97"/>
    <d v="2022-05-19T00:00:00"/>
    <n v="1"/>
    <n v="26.18"/>
    <n v="33"/>
  </r>
  <r>
    <x v="97"/>
    <d v="2022-05-19T00:00:00"/>
    <n v="1"/>
    <n v="26.18"/>
    <n v="33"/>
  </r>
  <r>
    <x v="30"/>
    <d v="2022-05-19T00:00:00"/>
    <n v="1"/>
    <n v="35"/>
    <n v="54"/>
  </r>
  <r>
    <x v="15"/>
    <d v="2022-05-19T00:00:00"/>
    <n v="1"/>
    <n v="19.71"/>
    <n v="25"/>
  </r>
  <r>
    <x v="47"/>
    <d v="2022-05-19T00:00:00"/>
    <n v="1"/>
    <n v="202.48"/>
    <n v="243"/>
  </r>
  <r>
    <x v="20"/>
    <d v="2022-05-19T00:00:00"/>
    <n v="1"/>
    <n v="147.18"/>
    <n v="177"/>
  </r>
  <r>
    <x v="94"/>
    <d v="2022-05-19T00:00:00"/>
    <n v="1"/>
    <n v="65.52"/>
    <n v="77"/>
  </r>
  <r>
    <x v="94"/>
    <d v="2022-05-19T00:00:00"/>
    <n v="1"/>
    <n v="65.52"/>
    <n v="77"/>
  </r>
  <r>
    <x v="15"/>
    <d v="2022-05-19T00:00:00"/>
    <n v="1"/>
    <n v="19.71"/>
    <n v="25"/>
  </r>
  <r>
    <x v="117"/>
    <d v="2022-05-19T00:00:00"/>
    <n v="1"/>
    <n v="23.42"/>
    <n v="28"/>
  </r>
  <r>
    <x v="117"/>
    <d v="2022-05-19T00:00:00"/>
    <n v="1"/>
    <n v="23.42"/>
    <n v="28"/>
  </r>
  <r>
    <x v="15"/>
    <d v="2022-05-19T00:00:00"/>
    <n v="1"/>
    <n v="19.71"/>
    <n v="25"/>
  </r>
  <r>
    <x v="107"/>
    <d v="2022-05-19T00:00:00"/>
    <n v="1"/>
    <n v="291.3"/>
    <n v="345"/>
  </r>
  <r>
    <x v="30"/>
    <d v="2022-05-19T00:00:00"/>
    <n v="1"/>
    <n v="35"/>
    <n v="54"/>
  </r>
  <r>
    <x v="30"/>
    <d v="2022-05-19T00:00:00"/>
    <n v="1"/>
    <n v="35"/>
    <n v="54"/>
  </r>
  <r>
    <x v="60"/>
    <d v="2022-05-19T00:00:00"/>
    <n v="1"/>
    <n v="184.07"/>
    <n v="216"/>
  </r>
  <r>
    <x v="60"/>
    <d v="2022-05-19T00:00:00"/>
    <n v="1"/>
    <n v="184.07"/>
    <n v="216"/>
  </r>
  <r>
    <x v="19"/>
    <d v="2022-05-19T00:00:00"/>
    <n v="1"/>
    <n v="96.14"/>
    <n v="118"/>
  </r>
  <r>
    <x v="26"/>
    <d v="2022-05-19T00:00:00"/>
    <n v="1"/>
    <n v="13.19"/>
    <n v="18"/>
  </r>
  <r>
    <x v="26"/>
    <d v="2022-05-19T00:00:00"/>
    <n v="1"/>
    <n v="13.19"/>
    <n v="18"/>
  </r>
  <r>
    <x v="26"/>
    <d v="2022-05-19T00:00:00"/>
    <n v="1"/>
    <n v="13.19"/>
    <n v="18"/>
  </r>
  <r>
    <x v="88"/>
    <d v="2022-05-19T00:00:00"/>
    <n v="1"/>
    <n v="66.180000000000007"/>
    <n v="94"/>
  </r>
  <r>
    <x v="60"/>
    <d v="2022-05-19T00:00:00"/>
    <n v="1"/>
    <n v="176.42"/>
    <n v="207"/>
  </r>
  <r>
    <x v="139"/>
    <d v="2022-05-19T00:00:00"/>
    <n v="1"/>
    <n v="52.23"/>
    <n v="81"/>
  </r>
  <r>
    <x v="108"/>
    <d v="2022-05-19T00:00:00"/>
    <n v="1"/>
    <n v="160.82"/>
    <n v="221"/>
  </r>
  <r>
    <x v="155"/>
    <d v="2022-05-18T00:00:00"/>
    <n v="1"/>
    <n v="80.73"/>
    <n v="100"/>
  </r>
  <r>
    <x v="70"/>
    <d v="2022-05-18T00:00:00"/>
    <n v="0.16"/>
    <n v="438.61"/>
    <n v="615"/>
  </r>
  <r>
    <x v="155"/>
    <d v="2022-05-18T00:00:00"/>
    <n v="1"/>
    <n v="80.73"/>
    <n v="100"/>
  </r>
  <r>
    <x v="48"/>
    <d v="2022-05-18T00:00:00"/>
    <n v="1"/>
    <n v="23.4"/>
    <n v="38"/>
  </r>
  <r>
    <x v="68"/>
    <d v="2022-05-18T00:00:00"/>
    <n v="1"/>
    <n v="7.97"/>
    <n v="13"/>
  </r>
  <r>
    <x v="42"/>
    <d v="2022-05-18T00:00:00"/>
    <n v="1"/>
    <n v="42.85"/>
    <n v="67"/>
  </r>
  <r>
    <x v="3"/>
    <d v="2022-05-18T00:00:00"/>
    <n v="1"/>
    <n v="47.03"/>
    <n v="76"/>
  </r>
  <r>
    <x v="81"/>
    <d v="2022-05-18T00:00:00"/>
    <n v="1"/>
    <n v="47.4"/>
    <n v="76"/>
  </r>
  <r>
    <x v="72"/>
    <d v="2022-05-18T00:00:00"/>
    <n v="1"/>
    <n v="60.3"/>
    <n v="75"/>
  </r>
  <r>
    <x v="99"/>
    <d v="2022-05-18T00:00:00"/>
    <n v="1"/>
    <n v="45.47"/>
    <n v="57"/>
  </r>
  <r>
    <x v="98"/>
    <d v="2022-05-18T00:00:00"/>
    <n v="1"/>
    <n v="41.33"/>
    <n v="65"/>
  </r>
  <r>
    <x v="59"/>
    <d v="2022-05-18T00:00:00"/>
    <n v="1"/>
    <n v="198.66"/>
    <n v="289"/>
  </r>
  <r>
    <x v="145"/>
    <d v="2022-05-18T00:00:00"/>
    <n v="1"/>
    <n v="80.14"/>
    <n v="126"/>
  </r>
  <r>
    <x v="131"/>
    <d v="2022-05-18T00:00:00"/>
    <n v="1"/>
    <n v="289.58999999999997"/>
    <n v="386"/>
  </r>
  <r>
    <x v="1"/>
    <d v="2022-05-18T00:00:00"/>
    <n v="0.2"/>
    <n v="430.38"/>
    <n v="538"/>
  </r>
  <r>
    <x v="1"/>
    <d v="2022-05-18T00:00:00"/>
    <n v="0.2"/>
    <n v="507.47"/>
    <n v="635"/>
  </r>
  <r>
    <x v="3"/>
    <d v="2022-05-18T00:00:00"/>
    <n v="1"/>
    <n v="47.82"/>
    <n v="83"/>
  </r>
  <r>
    <x v="3"/>
    <d v="2022-05-18T00:00:00"/>
    <n v="1"/>
    <n v="47.83"/>
    <n v="77"/>
  </r>
  <r>
    <x v="100"/>
    <d v="2022-05-18T00:00:00"/>
    <n v="5"/>
    <n v="26.72"/>
    <n v="43"/>
  </r>
  <r>
    <x v="118"/>
    <d v="2022-05-18T00:00:00"/>
    <n v="1"/>
    <n v="62.79"/>
    <n v="78"/>
  </r>
  <r>
    <x v="118"/>
    <d v="2022-05-18T00:00:00"/>
    <n v="1"/>
    <n v="62.79"/>
    <n v="78"/>
  </r>
  <r>
    <x v="133"/>
    <d v="2022-05-18T00:00:00"/>
    <n v="1"/>
    <n v="46.5"/>
    <n v="76"/>
  </r>
  <r>
    <x v="152"/>
    <d v="2022-05-18T00:00:00"/>
    <n v="2"/>
    <n v="12"/>
    <n v="20"/>
  </r>
  <r>
    <x v="70"/>
    <d v="2022-05-18T00:00:00"/>
    <n v="0.12"/>
    <n v="438.61"/>
    <n v="615"/>
  </r>
  <r>
    <x v="70"/>
    <d v="2022-05-18T00:00:00"/>
    <n v="0.06"/>
    <n v="438.61"/>
    <n v="615"/>
  </r>
  <r>
    <x v="128"/>
    <d v="2022-05-18T00:00:00"/>
    <n v="3"/>
    <n v="5.0999999999999996"/>
    <n v="9"/>
  </r>
  <r>
    <x v="70"/>
    <d v="2022-05-18T00:00:00"/>
    <n v="0.2"/>
    <n v="433.37"/>
    <n v="607"/>
  </r>
  <r>
    <x v="50"/>
    <d v="2022-05-18T00:00:00"/>
    <n v="1"/>
    <n v="77.63"/>
    <n v="95"/>
  </r>
  <r>
    <x v="2"/>
    <d v="2022-05-18T00:00:00"/>
    <n v="1"/>
    <n v="89.59"/>
    <n v="110"/>
  </r>
  <r>
    <x v="119"/>
    <d v="2022-05-18T00:00:00"/>
    <n v="1"/>
    <n v="36.75"/>
    <n v="59"/>
  </r>
  <r>
    <x v="154"/>
    <d v="2022-05-18T00:00:00"/>
    <n v="1"/>
    <n v="51.89"/>
    <n v="64"/>
  </r>
  <r>
    <x v="132"/>
    <d v="2022-05-18T00:00:00"/>
    <n v="1"/>
    <n v="7.13"/>
    <n v="12"/>
  </r>
  <r>
    <x v="155"/>
    <d v="2022-05-18T00:00:00"/>
    <n v="1"/>
    <n v="80.73"/>
    <n v="98"/>
  </r>
  <r>
    <x v="106"/>
    <d v="2022-05-18T00:00:00"/>
    <n v="1"/>
    <n v="119.16"/>
    <n v="129.34"/>
  </r>
  <r>
    <x v="106"/>
    <d v="2022-05-18T00:00:00"/>
    <n v="1"/>
    <n v="119.16"/>
    <n v="129.34"/>
  </r>
  <r>
    <x v="106"/>
    <d v="2022-05-18T00:00:00"/>
    <n v="1"/>
    <n v="119.16"/>
    <n v="129.34"/>
  </r>
  <r>
    <x v="3"/>
    <d v="2022-05-18T00:00:00"/>
    <n v="1"/>
    <n v="47.83"/>
    <n v="77"/>
  </r>
  <r>
    <x v="145"/>
    <d v="2022-05-18T00:00:00"/>
    <n v="1"/>
    <n v="82.64"/>
    <n v="129"/>
  </r>
  <r>
    <x v="154"/>
    <d v="2022-05-18T00:00:00"/>
    <n v="1"/>
    <n v="58.56"/>
    <n v="69.84"/>
  </r>
  <r>
    <x v="43"/>
    <d v="2022-05-18T00:00:00"/>
    <n v="1"/>
    <n v="42.76"/>
    <n v="65"/>
  </r>
  <r>
    <x v="40"/>
    <d v="2022-05-18T00:00:00"/>
    <n v="1"/>
    <n v="28.85"/>
    <n v="47"/>
  </r>
  <r>
    <x v="40"/>
    <d v="2022-05-18T00:00:00"/>
    <n v="1"/>
    <n v="25.2"/>
    <n v="41"/>
  </r>
  <r>
    <x v="69"/>
    <d v="2022-05-18T00:00:00"/>
    <n v="1"/>
    <n v="87.68"/>
    <n v="109"/>
  </r>
  <r>
    <x v="69"/>
    <d v="2022-05-18T00:00:00"/>
    <n v="1"/>
    <n v="88.11"/>
    <n v="110"/>
  </r>
  <r>
    <x v="1"/>
    <d v="2022-05-18T00:00:00"/>
    <n v="0.2"/>
    <n v="431.48"/>
    <n v="540"/>
  </r>
  <r>
    <x v="47"/>
    <d v="2022-05-18T00:00:00"/>
    <n v="1"/>
    <n v="220.88"/>
    <n v="262"/>
  </r>
  <r>
    <x v="19"/>
    <d v="2022-05-18T00:00:00"/>
    <n v="1"/>
    <n v="96.14"/>
    <n v="118"/>
  </r>
  <r>
    <x v="57"/>
    <d v="2022-05-18T00:00:00"/>
    <n v="1"/>
    <n v="25.19"/>
    <n v="30"/>
  </r>
  <r>
    <x v="19"/>
    <d v="2022-05-18T00:00:00"/>
    <n v="1"/>
    <n v="107.3"/>
    <n v="126"/>
  </r>
  <r>
    <x v="19"/>
    <d v="2022-05-18T00:00:00"/>
    <n v="1"/>
    <n v="107.3"/>
    <n v="126"/>
  </r>
  <r>
    <x v="73"/>
    <d v="2022-05-18T00:00:00"/>
    <n v="1"/>
    <n v="65.56"/>
    <n v="84"/>
  </r>
  <r>
    <x v="73"/>
    <d v="2022-05-18T00:00:00"/>
    <n v="1"/>
    <n v="65.56"/>
    <n v="84"/>
  </r>
  <r>
    <x v="93"/>
    <d v="2022-05-18T00:00:00"/>
    <n v="1"/>
    <n v="110.99"/>
    <n v="136"/>
  </r>
  <r>
    <x v="81"/>
    <d v="2022-05-18T00:00:00"/>
    <n v="1"/>
    <n v="47.4"/>
    <n v="77"/>
  </r>
  <r>
    <x v="142"/>
    <d v="2022-05-18T00:00:00"/>
    <n v="1"/>
    <n v="136.94999999999999"/>
    <n v="188"/>
  </r>
  <r>
    <x v="43"/>
    <d v="2022-05-18T00:00:00"/>
    <n v="1"/>
    <n v="38.67"/>
    <n v="59"/>
  </r>
  <r>
    <x v="84"/>
    <d v="2022-05-18T00:00:00"/>
    <n v="1"/>
    <n v="81.17"/>
    <n v="116"/>
  </r>
  <r>
    <x v="142"/>
    <d v="2022-05-18T00:00:00"/>
    <n v="1"/>
    <n v="137.55000000000001"/>
    <n v="189"/>
  </r>
  <r>
    <x v="94"/>
    <d v="2022-05-18T00:00:00"/>
    <n v="1"/>
    <n v="64.25"/>
    <n v="76"/>
  </r>
  <r>
    <x v="13"/>
    <d v="2022-05-18T00:00:00"/>
    <n v="1"/>
    <n v="46"/>
    <n v="70"/>
  </r>
  <r>
    <x v="19"/>
    <d v="2022-05-18T00:00:00"/>
    <n v="1"/>
    <n v="98.67"/>
    <n v="115"/>
  </r>
  <r>
    <x v="21"/>
    <d v="2022-05-18T00:00:00"/>
    <n v="3.3333300000000003E-2"/>
    <n v="987.81"/>
    <n v="1235"/>
  </r>
  <r>
    <x v="87"/>
    <d v="2022-05-18T00:00:00"/>
    <n v="8"/>
    <n v="6.45"/>
    <n v="9"/>
  </r>
  <r>
    <x v="87"/>
    <d v="2022-05-18T00:00:00"/>
    <n v="3"/>
    <n v="6.45"/>
    <n v="9"/>
  </r>
  <r>
    <x v="3"/>
    <d v="2022-05-18T00:00:00"/>
    <n v="1"/>
    <n v="47.03"/>
    <n v="76"/>
  </r>
  <r>
    <x v="88"/>
    <d v="2022-05-18T00:00:00"/>
    <n v="1"/>
    <n v="71.040000000000006"/>
    <n v="103"/>
  </r>
  <r>
    <x v="14"/>
    <d v="2022-05-18T00:00:00"/>
    <n v="1"/>
    <n v="81.73"/>
    <n v="102"/>
  </r>
  <r>
    <x v="120"/>
    <d v="2022-05-18T00:00:00"/>
    <n v="1"/>
    <n v="331.43"/>
    <n v="431"/>
  </r>
  <r>
    <x v="131"/>
    <d v="2022-05-18T00:00:00"/>
    <n v="1"/>
    <n v="286.11"/>
    <n v="401"/>
  </r>
  <r>
    <x v="47"/>
    <d v="2022-05-18T00:00:00"/>
    <n v="1"/>
    <n v="206"/>
    <n v="251"/>
  </r>
  <r>
    <x v="122"/>
    <d v="2022-05-18T00:00:00"/>
    <n v="1"/>
    <n v="121.2"/>
    <n v="171"/>
  </r>
  <r>
    <x v="145"/>
    <d v="2022-05-18T00:00:00"/>
    <n v="1"/>
    <n v="120.9"/>
    <n v="190"/>
  </r>
  <r>
    <x v="10"/>
    <d v="2022-05-18T00:00:00"/>
    <n v="1"/>
    <n v="55.5"/>
    <n v="87"/>
  </r>
  <r>
    <x v="2"/>
    <d v="2022-05-18T00:00:00"/>
    <n v="1"/>
    <n v="88.36"/>
    <n v="110"/>
  </r>
  <r>
    <x v="60"/>
    <d v="2022-05-18T00:00:00"/>
    <n v="1"/>
    <n v="184.07"/>
    <n v="216"/>
  </r>
  <r>
    <x v="31"/>
    <d v="2022-05-18T00:00:00"/>
    <n v="1"/>
    <n v="22.93"/>
    <n v="29"/>
  </r>
  <r>
    <x v="31"/>
    <d v="2022-05-18T00:00:00"/>
    <n v="1"/>
    <n v="22.93"/>
    <n v="29"/>
  </r>
  <r>
    <x v="31"/>
    <d v="2022-05-18T00:00:00"/>
    <n v="1"/>
    <n v="22.93"/>
    <n v="29"/>
  </r>
  <r>
    <x v="31"/>
    <d v="2022-05-18T00:00:00"/>
    <n v="1"/>
    <n v="22.93"/>
    <n v="29"/>
  </r>
  <r>
    <x v="31"/>
    <d v="2022-05-18T00:00:00"/>
    <n v="1"/>
    <n v="22.93"/>
    <n v="29"/>
  </r>
  <r>
    <x v="115"/>
    <d v="2022-05-18T00:00:00"/>
    <n v="1"/>
    <n v="132.56"/>
    <n v="187"/>
  </r>
  <r>
    <x v="77"/>
    <d v="2022-05-18T00:00:00"/>
    <n v="1"/>
    <n v="40.1"/>
    <n v="51"/>
  </r>
  <r>
    <x v="77"/>
    <d v="2022-05-18T00:00:00"/>
    <n v="1"/>
    <n v="40.1"/>
    <n v="51"/>
  </r>
  <r>
    <x v="77"/>
    <d v="2022-05-18T00:00:00"/>
    <n v="1"/>
    <n v="40.1"/>
    <n v="51"/>
  </r>
  <r>
    <x v="77"/>
    <d v="2022-05-18T00:00:00"/>
    <n v="1"/>
    <n v="40.1"/>
    <n v="51"/>
  </r>
  <r>
    <x v="77"/>
    <d v="2022-05-18T00:00:00"/>
    <n v="1"/>
    <n v="40.1"/>
    <n v="51"/>
  </r>
  <r>
    <x v="51"/>
    <d v="2022-05-18T00:00:00"/>
    <n v="1"/>
    <n v="43.86"/>
    <n v="67"/>
  </r>
  <r>
    <x v="96"/>
    <d v="2022-05-18T00:00:00"/>
    <n v="1"/>
    <n v="31"/>
    <n v="48"/>
  </r>
  <r>
    <x v="117"/>
    <d v="2022-05-18T00:00:00"/>
    <n v="1"/>
    <n v="14.52"/>
    <n v="15.21"/>
  </r>
  <r>
    <x v="2"/>
    <d v="2022-05-18T00:00:00"/>
    <n v="1"/>
    <n v="87.93"/>
    <n v="104"/>
  </r>
  <r>
    <x v="47"/>
    <d v="2022-05-18T00:00:00"/>
    <n v="1"/>
    <n v="206"/>
    <n v="251"/>
  </r>
  <r>
    <x v="149"/>
    <d v="2022-05-18T00:00:00"/>
    <n v="1"/>
    <n v="123.48"/>
    <n v="148"/>
  </r>
  <r>
    <x v="149"/>
    <d v="2022-05-18T00:00:00"/>
    <n v="1"/>
    <n v="123.48"/>
    <n v="148"/>
  </r>
  <r>
    <x v="149"/>
    <d v="2022-05-18T00:00:00"/>
    <n v="1"/>
    <n v="123.48"/>
    <n v="148"/>
  </r>
  <r>
    <x v="149"/>
    <d v="2022-05-18T00:00:00"/>
    <n v="1"/>
    <n v="123.48"/>
    <n v="148"/>
  </r>
  <r>
    <x v="50"/>
    <d v="2022-05-18T00:00:00"/>
    <n v="1"/>
    <n v="77.510000000000005"/>
    <n v="94"/>
  </r>
  <r>
    <x v="41"/>
    <d v="2022-05-18T00:00:00"/>
    <n v="1"/>
    <n v="19.420000000000002"/>
    <n v="24"/>
  </r>
  <r>
    <x v="41"/>
    <d v="2022-05-18T00:00:00"/>
    <n v="1"/>
    <n v="19.420000000000002"/>
    <n v="24"/>
  </r>
  <r>
    <x v="55"/>
    <d v="2022-05-18T00:00:00"/>
    <n v="1"/>
    <n v="58.08"/>
    <n v="72"/>
  </r>
  <r>
    <x v="150"/>
    <d v="2022-05-18T00:00:00"/>
    <n v="0.12"/>
    <n v="529.47"/>
    <n v="736"/>
  </r>
  <r>
    <x v="19"/>
    <d v="2022-05-18T00:00:00"/>
    <n v="1"/>
    <n v="106.05"/>
    <n v="125"/>
  </r>
  <r>
    <x v="101"/>
    <d v="2022-05-18T00:00:00"/>
    <n v="1"/>
    <n v="41.13"/>
    <n v="51"/>
  </r>
  <r>
    <x v="38"/>
    <d v="2022-05-18T00:00:00"/>
    <n v="1"/>
    <n v="135.9"/>
    <n v="163"/>
  </r>
  <r>
    <x v="40"/>
    <d v="2022-05-18T00:00:00"/>
    <n v="2"/>
    <n v="26.71"/>
    <n v="46"/>
  </r>
  <r>
    <x v="63"/>
    <d v="2022-05-18T00:00:00"/>
    <n v="1"/>
    <n v="59.86"/>
    <n v="94"/>
  </r>
  <r>
    <x v="1"/>
    <d v="2022-05-18T00:00:00"/>
    <n v="0.4"/>
    <n v="421.52"/>
    <n v="527"/>
  </r>
  <r>
    <x v="19"/>
    <d v="2022-05-18T00:00:00"/>
    <n v="1"/>
    <n v="107.3"/>
    <n v="126"/>
  </r>
  <r>
    <x v="80"/>
    <d v="2022-05-18T00:00:00"/>
    <n v="1"/>
    <n v="15.51"/>
    <n v="26"/>
  </r>
  <r>
    <x v="80"/>
    <d v="2022-05-18T00:00:00"/>
    <n v="1"/>
    <n v="15.51"/>
    <n v="26"/>
  </r>
  <r>
    <x v="14"/>
    <d v="2022-05-18T00:00:00"/>
    <n v="1"/>
    <n v="81.69"/>
    <n v="102"/>
  </r>
  <r>
    <x v="60"/>
    <d v="2022-05-18T00:00:00"/>
    <n v="1"/>
    <n v="184.45"/>
    <n v="216"/>
  </r>
  <r>
    <x v="13"/>
    <d v="2022-05-18T00:00:00"/>
    <n v="1"/>
    <n v="46"/>
    <n v="73"/>
  </r>
  <r>
    <x v="13"/>
    <d v="2022-05-18T00:00:00"/>
    <n v="1"/>
    <n v="46"/>
    <n v="73"/>
  </r>
  <r>
    <x v="13"/>
    <d v="2022-05-18T00:00:00"/>
    <n v="1"/>
    <n v="44"/>
    <n v="70"/>
  </r>
  <r>
    <x v="122"/>
    <d v="2022-05-18T00:00:00"/>
    <n v="1"/>
    <n v="119.8"/>
    <n v="165"/>
  </r>
  <r>
    <x v="0"/>
    <d v="2022-05-18T00:00:00"/>
    <n v="1"/>
    <n v="145.6"/>
    <n v="172"/>
  </r>
  <r>
    <x v="0"/>
    <d v="2022-05-18T00:00:00"/>
    <n v="1"/>
    <n v="145.6"/>
    <n v="169"/>
  </r>
  <r>
    <x v="56"/>
    <d v="2022-05-18T00:00:00"/>
    <n v="1"/>
    <n v="32.85"/>
    <n v="52"/>
  </r>
  <r>
    <x v="1"/>
    <d v="2022-05-18T00:00:00"/>
    <n v="0.4"/>
    <n v="421.52"/>
    <n v="527"/>
  </r>
  <r>
    <x v="42"/>
    <d v="2022-05-18T00:00:00"/>
    <n v="1"/>
    <n v="43.08"/>
    <n v="66"/>
  </r>
  <r>
    <x v="39"/>
    <d v="2022-05-18T00:00:00"/>
    <n v="1"/>
    <n v="68.88"/>
    <n v="109"/>
  </r>
  <r>
    <x v="90"/>
    <d v="2022-05-18T00:00:00"/>
    <n v="0.5"/>
    <n v="133.25"/>
    <n v="204"/>
  </r>
  <r>
    <x v="59"/>
    <d v="2022-05-18T00:00:00"/>
    <n v="1"/>
    <n v="199.69"/>
    <n v="270"/>
  </r>
  <r>
    <x v="109"/>
    <d v="2022-05-18T00:00:00"/>
    <n v="1"/>
    <n v="74.8"/>
    <n v="92"/>
  </r>
  <r>
    <x v="109"/>
    <d v="2022-05-18T00:00:00"/>
    <n v="1"/>
    <n v="74.8"/>
    <n v="92"/>
  </r>
  <r>
    <x v="25"/>
    <d v="2022-05-18T00:00:00"/>
    <n v="1"/>
    <n v="156.19999999999999"/>
    <n v="186"/>
  </r>
  <r>
    <x v="40"/>
    <d v="2022-05-18T00:00:00"/>
    <n v="1"/>
    <n v="27.94"/>
    <n v="45"/>
  </r>
  <r>
    <x v="49"/>
    <d v="2022-05-18T00:00:00"/>
    <n v="1"/>
    <n v="635.70000000000005"/>
    <n v="821"/>
  </r>
  <r>
    <x v="131"/>
    <d v="2022-05-18T00:00:00"/>
    <n v="1"/>
    <n v="320.64999999999998"/>
    <n v="443"/>
  </r>
  <r>
    <x v="11"/>
    <d v="2022-05-18T00:00:00"/>
    <n v="1"/>
    <n v="44.03"/>
    <n v="70"/>
  </r>
  <r>
    <x v="44"/>
    <d v="2022-05-18T00:00:00"/>
    <n v="1"/>
    <n v="16.25"/>
    <n v="20"/>
  </r>
  <r>
    <x v="44"/>
    <d v="2022-05-18T00:00:00"/>
    <n v="1"/>
    <n v="16.25"/>
    <n v="20"/>
  </r>
  <r>
    <x v="44"/>
    <d v="2022-05-18T00:00:00"/>
    <n v="1"/>
    <n v="16.25"/>
    <n v="20"/>
  </r>
  <r>
    <x v="44"/>
    <d v="2022-05-18T00:00:00"/>
    <n v="1"/>
    <n v="16.25"/>
    <n v="20"/>
  </r>
  <r>
    <x v="44"/>
    <d v="2022-05-18T00:00:00"/>
    <n v="1"/>
    <n v="16.25"/>
    <n v="20"/>
  </r>
  <r>
    <x v="44"/>
    <d v="2022-05-18T00:00:00"/>
    <n v="1"/>
    <n v="16.25"/>
    <n v="20"/>
  </r>
  <r>
    <x v="44"/>
    <d v="2022-05-18T00:00:00"/>
    <n v="1"/>
    <n v="16.25"/>
    <n v="20"/>
  </r>
  <r>
    <x v="44"/>
    <d v="2022-05-18T00:00:00"/>
    <n v="1"/>
    <n v="16.25"/>
    <n v="20"/>
  </r>
  <r>
    <x v="44"/>
    <d v="2022-05-18T00:00:00"/>
    <n v="1"/>
    <n v="16.25"/>
    <n v="20"/>
  </r>
  <r>
    <x v="44"/>
    <d v="2022-05-18T00:00:00"/>
    <n v="1"/>
    <n v="16.25"/>
    <n v="20"/>
  </r>
  <r>
    <x v="147"/>
    <d v="2022-05-18T00:00:00"/>
    <n v="1"/>
    <n v="109.67"/>
    <n v="138"/>
  </r>
  <r>
    <x v="105"/>
    <d v="2022-05-18T00:00:00"/>
    <n v="1"/>
    <n v="208.48"/>
    <n v="292"/>
  </r>
  <r>
    <x v="3"/>
    <d v="2022-05-18T00:00:00"/>
    <n v="1"/>
    <n v="47.83"/>
    <n v="77"/>
  </r>
  <r>
    <x v="151"/>
    <d v="2022-05-18T00:00:00"/>
    <n v="1"/>
    <n v="248.25"/>
    <n v="348"/>
  </r>
  <r>
    <x v="151"/>
    <d v="2022-05-18T00:00:00"/>
    <n v="1"/>
    <n v="248.25"/>
    <n v="348"/>
  </r>
  <r>
    <x v="140"/>
    <d v="2022-05-18T00:00:00"/>
    <n v="1"/>
    <n v="25.3"/>
    <n v="31"/>
  </r>
  <r>
    <x v="3"/>
    <d v="2022-05-18T00:00:00"/>
    <n v="1"/>
    <n v="47.03"/>
    <n v="76"/>
  </r>
  <r>
    <x v="42"/>
    <d v="2022-05-18T00:00:00"/>
    <n v="1"/>
    <n v="42.85"/>
    <n v="67"/>
  </r>
  <r>
    <x v="42"/>
    <d v="2022-05-18T00:00:00"/>
    <n v="1"/>
    <n v="42.85"/>
    <n v="67"/>
  </r>
  <r>
    <x v="111"/>
    <d v="2022-05-18T00:00:00"/>
    <n v="1"/>
    <n v="101.97"/>
    <n v="123"/>
  </r>
  <r>
    <x v="85"/>
    <d v="2022-05-18T00:00:00"/>
    <n v="1"/>
    <n v="384.2"/>
    <n v="473"/>
  </r>
  <r>
    <x v="61"/>
    <d v="2022-05-18T00:00:00"/>
    <n v="1"/>
    <n v="30.6"/>
    <n v="36"/>
  </r>
  <r>
    <x v="61"/>
    <d v="2022-05-18T00:00:00"/>
    <n v="1"/>
    <n v="30.6"/>
    <n v="36"/>
  </r>
  <r>
    <x v="61"/>
    <d v="2022-05-18T00:00:00"/>
    <n v="1"/>
    <n v="30.6"/>
    <n v="36"/>
  </r>
  <r>
    <x v="71"/>
    <d v="2022-05-18T00:00:00"/>
    <n v="1"/>
    <n v="30.9"/>
    <n v="39"/>
  </r>
  <r>
    <x v="47"/>
    <d v="2022-05-18T00:00:00"/>
    <n v="1"/>
    <n v="202.48"/>
    <n v="243"/>
  </r>
  <r>
    <x v="155"/>
    <d v="2022-05-18T00:00:00"/>
    <n v="1"/>
    <n v="80.73"/>
    <n v="100"/>
  </r>
  <r>
    <x v="35"/>
    <d v="2022-05-18T00:00:00"/>
    <n v="1"/>
    <n v="172.76"/>
    <n v="207"/>
  </r>
  <r>
    <x v="32"/>
    <d v="2022-05-18T00:00:00"/>
    <n v="1"/>
    <n v="36.86"/>
    <n v="47"/>
  </r>
  <r>
    <x v="32"/>
    <d v="2022-05-18T00:00:00"/>
    <n v="1"/>
    <n v="36.86"/>
    <n v="47"/>
  </r>
  <r>
    <x v="32"/>
    <d v="2022-05-18T00:00:00"/>
    <n v="1"/>
    <n v="36.86"/>
    <n v="47"/>
  </r>
  <r>
    <x v="32"/>
    <d v="2022-05-18T00:00:00"/>
    <n v="1"/>
    <n v="36.86"/>
    <n v="47"/>
  </r>
  <r>
    <x v="32"/>
    <d v="2022-05-18T00:00:00"/>
    <n v="1"/>
    <n v="36.86"/>
    <n v="47"/>
  </r>
  <r>
    <x v="32"/>
    <d v="2022-05-18T00:00:00"/>
    <n v="1"/>
    <n v="36.86"/>
    <n v="47"/>
  </r>
  <r>
    <x v="33"/>
    <d v="2022-05-18T00:00:00"/>
    <n v="1"/>
    <n v="22.31"/>
    <n v="35"/>
  </r>
  <r>
    <x v="33"/>
    <d v="2022-05-18T00:00:00"/>
    <n v="1"/>
    <n v="22.31"/>
    <n v="35"/>
  </r>
  <r>
    <x v="33"/>
    <d v="2022-05-18T00:00:00"/>
    <n v="1"/>
    <n v="22.31"/>
    <n v="35"/>
  </r>
  <r>
    <x v="33"/>
    <d v="2022-05-18T00:00:00"/>
    <n v="1"/>
    <n v="22.31"/>
    <n v="35"/>
  </r>
  <r>
    <x v="33"/>
    <d v="2022-05-18T00:00:00"/>
    <n v="1"/>
    <n v="22.31"/>
    <n v="35"/>
  </r>
  <r>
    <x v="33"/>
    <d v="2022-05-18T00:00:00"/>
    <n v="1"/>
    <n v="22.31"/>
    <n v="35"/>
  </r>
  <r>
    <x v="19"/>
    <d v="2022-05-18T00:00:00"/>
    <n v="1"/>
    <n v="103.96"/>
    <n v="125"/>
  </r>
  <r>
    <x v="73"/>
    <d v="2022-05-18T00:00:00"/>
    <n v="1"/>
    <n v="72.11"/>
    <n v="91"/>
  </r>
  <r>
    <x v="114"/>
    <d v="2022-05-18T00:00:00"/>
    <n v="3.5714299999999997E-2"/>
    <n v="642"/>
    <n v="708"/>
  </r>
  <r>
    <x v="73"/>
    <d v="2022-05-18T00:00:00"/>
    <n v="1"/>
    <n v="72.11"/>
    <n v="91"/>
  </r>
  <r>
    <x v="73"/>
    <d v="2022-05-18T00:00:00"/>
    <n v="1"/>
    <n v="72.11"/>
    <n v="91"/>
  </r>
  <r>
    <x v="74"/>
    <d v="2022-05-18T00:00:00"/>
    <n v="1"/>
    <n v="148.5"/>
    <n v="177"/>
  </r>
  <r>
    <x v="54"/>
    <d v="2022-05-18T00:00:00"/>
    <n v="2"/>
    <n v="14.14"/>
    <n v="23"/>
  </r>
  <r>
    <x v="53"/>
    <d v="2022-05-18T00:00:00"/>
    <n v="1"/>
    <n v="83.29"/>
    <n v="100"/>
  </r>
  <r>
    <x v="136"/>
    <d v="2022-05-18T00:00:00"/>
    <n v="3"/>
    <n v="14.69"/>
    <n v="26"/>
  </r>
  <r>
    <x v="86"/>
    <d v="2022-05-18T00:00:00"/>
    <n v="1"/>
    <n v="36.51"/>
    <n v="63"/>
  </r>
  <r>
    <x v="110"/>
    <d v="2022-05-18T00:00:00"/>
    <n v="1"/>
    <n v="71.02"/>
    <n v="88"/>
  </r>
  <r>
    <x v="94"/>
    <d v="2022-05-18T00:00:00"/>
    <n v="1"/>
    <n v="64.25"/>
    <n v="76"/>
  </r>
  <r>
    <x v="90"/>
    <d v="2022-05-18T00:00:00"/>
    <n v="1"/>
    <n v="130.65"/>
    <n v="199"/>
  </r>
  <r>
    <x v="86"/>
    <d v="2022-05-18T00:00:00"/>
    <n v="1"/>
    <n v="35.340000000000003"/>
    <n v="58"/>
  </r>
  <r>
    <x v="93"/>
    <d v="2022-05-18T00:00:00"/>
    <n v="1"/>
    <n v="110.84"/>
    <n v="134"/>
  </r>
  <r>
    <x v="20"/>
    <d v="2022-05-18T00:00:00"/>
    <n v="1"/>
    <n v="151.22"/>
    <n v="181"/>
  </r>
  <r>
    <x v="100"/>
    <d v="2022-05-18T00:00:00"/>
    <n v="1"/>
    <n v="27.69"/>
    <n v="45"/>
  </r>
  <r>
    <x v="144"/>
    <d v="2022-05-18T00:00:00"/>
    <n v="1"/>
    <n v="206.79"/>
    <n v="273"/>
  </r>
  <r>
    <x v="119"/>
    <d v="2022-05-18T00:00:00"/>
    <n v="1"/>
    <n v="42.85"/>
    <n v="70"/>
  </r>
  <r>
    <x v="150"/>
    <d v="2022-05-18T00:00:00"/>
    <n v="0.2"/>
    <n v="498.53"/>
    <n v="698"/>
  </r>
  <r>
    <x v="85"/>
    <d v="2022-05-18T00:00:00"/>
    <n v="1"/>
    <n v="384.2"/>
    <n v="462"/>
  </r>
  <r>
    <x v="119"/>
    <d v="2022-05-18T00:00:00"/>
    <n v="1"/>
    <n v="36.75"/>
    <n v="59"/>
  </r>
  <r>
    <x v="91"/>
    <d v="2022-05-18T00:00:00"/>
    <n v="1"/>
    <n v="96"/>
    <n v="96"/>
  </r>
  <r>
    <x v="142"/>
    <d v="2022-05-18T00:00:00"/>
    <n v="1"/>
    <n v="135.01"/>
    <n v="191"/>
  </r>
  <r>
    <x v="141"/>
    <d v="2022-05-18T00:00:00"/>
    <n v="1"/>
    <n v="402.2"/>
    <n v="451"/>
  </r>
  <r>
    <x v="33"/>
    <d v="2022-05-18T00:00:00"/>
    <n v="1"/>
    <n v="44.3"/>
    <n v="70"/>
  </r>
  <r>
    <x v="33"/>
    <d v="2022-05-18T00:00:00"/>
    <n v="1"/>
    <n v="44.3"/>
    <n v="70"/>
  </r>
  <r>
    <x v="33"/>
    <d v="2022-05-18T00:00:00"/>
    <n v="1"/>
    <n v="44.3"/>
    <n v="70"/>
  </r>
  <r>
    <x v="40"/>
    <d v="2022-05-18T00:00:00"/>
    <n v="5"/>
    <n v="27.94"/>
    <n v="45"/>
  </r>
  <r>
    <x v="117"/>
    <d v="2022-05-18T00:00:00"/>
    <n v="1"/>
    <n v="21.23"/>
    <n v="26"/>
  </r>
  <r>
    <x v="120"/>
    <d v="2022-05-18T00:00:00"/>
    <n v="1"/>
    <n v="334.02"/>
    <n v="441"/>
  </r>
  <r>
    <x v="126"/>
    <d v="2022-05-18T00:00:00"/>
    <n v="1"/>
    <n v="361.8"/>
    <n v="478"/>
  </r>
  <r>
    <x v="141"/>
    <d v="2022-05-18T00:00:00"/>
    <n v="1"/>
    <n v="406.36"/>
    <n v="456"/>
  </r>
  <r>
    <x v="152"/>
    <d v="2022-05-18T00:00:00"/>
    <n v="1"/>
    <n v="12"/>
    <n v="20"/>
  </r>
  <r>
    <x v="70"/>
    <d v="2022-05-18T00:00:00"/>
    <n v="0.2"/>
    <n v="438.61"/>
    <n v="615"/>
  </r>
  <r>
    <x v="3"/>
    <d v="2022-05-18T00:00:00"/>
    <n v="1"/>
    <n v="47.53"/>
    <n v="77"/>
  </r>
  <r>
    <x v="9"/>
    <d v="2022-05-18T00:00:00"/>
    <n v="0.2"/>
    <n v="596.29"/>
    <n v="746"/>
  </r>
  <r>
    <x v="72"/>
    <d v="2022-05-18T00:00:00"/>
    <n v="1"/>
    <n v="60.3"/>
    <n v="75"/>
  </r>
  <r>
    <x v="138"/>
    <d v="2022-05-18T00:00:00"/>
    <n v="1"/>
    <n v="46.01"/>
    <n v="70"/>
  </r>
  <r>
    <x v="40"/>
    <d v="2022-05-18T00:00:00"/>
    <n v="1"/>
    <n v="26.71"/>
    <n v="46"/>
  </r>
  <r>
    <x v="78"/>
    <d v="2022-05-18T00:00:00"/>
    <n v="1"/>
    <n v="207.76"/>
    <n v="246"/>
  </r>
  <r>
    <x v="52"/>
    <d v="2022-05-18T00:00:00"/>
    <n v="1"/>
    <n v="233.74"/>
    <n v="262"/>
  </r>
  <r>
    <x v="130"/>
    <d v="2022-05-18T00:00:00"/>
    <n v="1"/>
    <n v="73.5"/>
    <n v="91"/>
  </r>
  <r>
    <x v="98"/>
    <d v="2022-05-18T00:00:00"/>
    <n v="1"/>
    <n v="41.33"/>
    <n v="65"/>
  </r>
  <r>
    <x v="2"/>
    <d v="2022-05-18T00:00:00"/>
    <n v="1"/>
    <n v="89.27"/>
    <n v="113"/>
  </r>
  <r>
    <x v="133"/>
    <d v="2022-05-18T00:00:00"/>
    <n v="1"/>
    <n v="46.5"/>
    <n v="75"/>
  </r>
  <r>
    <x v="40"/>
    <d v="2022-05-18T00:00:00"/>
    <n v="1"/>
    <n v="27.94"/>
    <n v="45"/>
  </r>
  <r>
    <x v="128"/>
    <d v="2022-05-18T00:00:00"/>
    <n v="5"/>
    <n v="5.0999999999999996"/>
    <n v="9"/>
  </r>
  <r>
    <x v="128"/>
    <d v="2022-05-18T00:00:00"/>
    <n v="5"/>
    <n v="5.56"/>
    <n v="9"/>
  </r>
  <r>
    <x v="2"/>
    <d v="2022-05-18T00:00:00"/>
    <n v="1"/>
    <n v="87.75"/>
    <n v="109"/>
  </r>
  <r>
    <x v="40"/>
    <d v="2022-05-18T00:00:00"/>
    <n v="1"/>
    <n v="33.07"/>
    <n v="54"/>
  </r>
  <r>
    <x v="16"/>
    <d v="2022-05-18T00:00:00"/>
    <n v="1"/>
    <n v="185.31"/>
    <n v="269"/>
  </r>
  <r>
    <x v="16"/>
    <d v="2022-05-18T00:00:00"/>
    <n v="1"/>
    <n v="182.55"/>
    <n v="251"/>
  </r>
  <r>
    <x v="10"/>
    <d v="2022-05-18T00:00:00"/>
    <n v="1"/>
    <n v="55.5"/>
    <n v="87"/>
  </r>
  <r>
    <x v="43"/>
    <d v="2022-05-18T00:00:00"/>
    <n v="1"/>
    <n v="38.67"/>
    <n v="59"/>
  </r>
  <r>
    <x v="72"/>
    <d v="2022-05-18T00:00:00"/>
    <n v="1"/>
    <n v="60.3"/>
    <n v="75"/>
  </r>
  <r>
    <x v="136"/>
    <d v="2022-05-18T00:00:00"/>
    <n v="1"/>
    <n v="10.76"/>
    <n v="18"/>
  </r>
  <r>
    <x v="152"/>
    <d v="2022-05-18T00:00:00"/>
    <n v="1"/>
    <n v="12"/>
    <n v="20"/>
  </r>
  <r>
    <x v="75"/>
    <d v="2022-05-18T00:00:00"/>
    <n v="1"/>
    <n v="23.14"/>
    <n v="36"/>
  </r>
  <r>
    <x v="75"/>
    <d v="2022-05-18T00:00:00"/>
    <n v="1"/>
    <n v="23.14"/>
    <n v="36"/>
  </r>
  <r>
    <x v="75"/>
    <d v="2022-05-18T00:00:00"/>
    <n v="1"/>
    <n v="23.14"/>
    <n v="36"/>
  </r>
  <r>
    <x v="51"/>
    <d v="2022-05-18T00:00:00"/>
    <n v="1"/>
    <n v="43.97"/>
    <n v="69"/>
  </r>
  <r>
    <x v="19"/>
    <d v="2022-05-18T00:00:00"/>
    <n v="1"/>
    <n v="107.3"/>
    <n v="126"/>
  </r>
  <r>
    <x v="122"/>
    <d v="2022-05-18T00:00:00"/>
    <n v="1"/>
    <n v="127.08"/>
    <n v="180"/>
  </r>
  <r>
    <x v="102"/>
    <d v="2022-05-18T00:00:00"/>
    <n v="1"/>
    <n v="71.16"/>
    <n v="88"/>
  </r>
  <r>
    <x v="102"/>
    <d v="2022-05-18T00:00:00"/>
    <n v="1"/>
    <n v="71.16"/>
    <n v="88"/>
  </r>
  <r>
    <x v="24"/>
    <d v="2022-05-18T00:00:00"/>
    <n v="1"/>
    <n v="487.24"/>
    <n v="644"/>
  </r>
  <r>
    <x v="136"/>
    <d v="2022-05-18T00:00:00"/>
    <n v="1"/>
    <n v="10.76"/>
    <n v="18"/>
  </r>
  <r>
    <x v="23"/>
    <d v="2022-05-18T00:00:00"/>
    <n v="1"/>
    <n v="150.03"/>
    <n v="209"/>
  </r>
  <r>
    <x v="23"/>
    <d v="2022-05-18T00:00:00"/>
    <n v="1"/>
    <n v="147.69"/>
    <n v="203"/>
  </r>
  <r>
    <x v="40"/>
    <d v="2022-05-18T00:00:00"/>
    <n v="2"/>
    <n v="29.26"/>
    <n v="48"/>
  </r>
  <r>
    <x v="87"/>
    <d v="2022-05-18T00:00:00"/>
    <n v="2"/>
    <n v="6.2"/>
    <n v="9"/>
  </r>
  <r>
    <x v="142"/>
    <d v="2022-05-18T00:00:00"/>
    <n v="1"/>
    <n v="137.55000000000001"/>
    <n v="194"/>
  </r>
  <r>
    <x v="139"/>
    <d v="2022-05-18T00:00:00"/>
    <n v="1"/>
    <n v="51.32"/>
    <n v="73"/>
  </r>
  <r>
    <x v="7"/>
    <d v="2022-05-18T00:00:00"/>
    <n v="1"/>
    <n v="55.81"/>
    <n v="69"/>
  </r>
  <r>
    <x v="93"/>
    <d v="2022-05-18T00:00:00"/>
    <n v="1"/>
    <n v="113.71"/>
    <n v="137"/>
  </r>
  <r>
    <x v="20"/>
    <d v="2022-05-18T00:00:00"/>
    <n v="1"/>
    <n v="147.18"/>
    <n v="180"/>
  </r>
  <r>
    <x v="18"/>
    <d v="2022-05-18T00:00:00"/>
    <n v="1"/>
    <n v="110.18"/>
    <n v="124"/>
  </r>
  <r>
    <x v="74"/>
    <d v="2022-05-18T00:00:00"/>
    <n v="1"/>
    <n v="148.5"/>
    <n v="177"/>
  </r>
  <r>
    <x v="49"/>
    <d v="2022-05-18T00:00:00"/>
    <n v="1"/>
    <n v="635.70000000000005"/>
    <n v="821"/>
  </r>
  <r>
    <x v="133"/>
    <d v="2022-05-18T00:00:00"/>
    <n v="2"/>
    <n v="46.5"/>
    <n v="76"/>
  </r>
  <r>
    <x v="52"/>
    <d v="2022-05-18T00:00:00"/>
    <n v="1"/>
    <n v="296.88"/>
    <n v="348"/>
  </r>
  <r>
    <x v="72"/>
    <d v="2022-05-18T00:00:00"/>
    <n v="1"/>
    <n v="61.89"/>
    <n v="77"/>
  </r>
  <r>
    <x v="155"/>
    <d v="2022-05-18T00:00:00"/>
    <n v="1"/>
    <n v="81.8"/>
    <n v="99"/>
  </r>
  <r>
    <x v="155"/>
    <d v="2022-05-18T00:00:00"/>
    <n v="1"/>
    <n v="81.8"/>
    <n v="99"/>
  </r>
  <r>
    <x v="109"/>
    <d v="2022-05-18T00:00:00"/>
    <n v="1"/>
    <n v="74.8"/>
    <n v="92"/>
  </r>
  <r>
    <x v="88"/>
    <d v="2022-05-18T00:00:00"/>
    <n v="1"/>
    <n v="74.42"/>
    <n v="106"/>
  </r>
  <r>
    <x v="88"/>
    <d v="2022-05-18T00:00:00"/>
    <n v="1"/>
    <n v="74.42"/>
    <n v="106"/>
  </r>
  <r>
    <x v="88"/>
    <d v="2022-05-18T00:00:00"/>
    <n v="1"/>
    <n v="74.42"/>
    <n v="106"/>
  </r>
  <r>
    <x v="151"/>
    <d v="2022-05-18T00:00:00"/>
    <n v="1"/>
    <n v="247.83"/>
    <n v="342"/>
  </r>
  <r>
    <x v="117"/>
    <d v="2022-05-18T00:00:00"/>
    <n v="1"/>
    <n v="20.78"/>
    <n v="26"/>
  </r>
  <r>
    <x v="88"/>
    <d v="2022-05-18T00:00:00"/>
    <n v="1"/>
    <n v="84.22"/>
    <n v="124"/>
  </r>
  <r>
    <x v="144"/>
    <d v="2022-05-18T00:00:00"/>
    <n v="1"/>
    <n v="213.58"/>
    <n v="300"/>
  </r>
  <r>
    <x v="18"/>
    <d v="2022-05-18T00:00:00"/>
    <n v="1"/>
    <n v="109.41"/>
    <n v="123"/>
  </r>
  <r>
    <x v="60"/>
    <d v="2022-05-18T00:00:00"/>
    <n v="1"/>
    <n v="184.07"/>
    <n v="216"/>
  </r>
  <r>
    <x v="118"/>
    <d v="2022-05-18T00:00:00"/>
    <n v="1"/>
    <n v="68.680000000000007"/>
    <n v="84"/>
  </r>
  <r>
    <x v="49"/>
    <d v="2022-05-18T00:00:00"/>
    <n v="1"/>
    <n v="635.70000000000005"/>
    <n v="821"/>
  </r>
  <r>
    <x v="3"/>
    <d v="2022-05-18T00:00:00"/>
    <n v="1"/>
    <n v="47.83"/>
    <n v="77"/>
  </r>
  <r>
    <x v="16"/>
    <d v="2022-05-18T00:00:00"/>
    <n v="1"/>
    <n v="182.17"/>
    <n v="257"/>
  </r>
  <r>
    <x v="116"/>
    <d v="2022-05-18T00:00:00"/>
    <n v="2"/>
    <n v="7.96"/>
    <n v="13"/>
  </r>
  <r>
    <x v="34"/>
    <d v="2022-05-18T00:00:00"/>
    <n v="2"/>
    <n v="9.8800000000000008"/>
    <n v="16"/>
  </r>
  <r>
    <x v="34"/>
    <d v="2022-05-18T00:00:00"/>
    <n v="1"/>
    <n v="9.8800000000000008"/>
    <n v="16"/>
  </r>
  <r>
    <x v="15"/>
    <d v="2022-05-18T00:00:00"/>
    <n v="1"/>
    <n v="19.71"/>
    <n v="25"/>
  </r>
  <r>
    <x v="15"/>
    <d v="2022-05-18T00:00:00"/>
    <n v="1"/>
    <n v="19.71"/>
    <n v="25"/>
  </r>
  <r>
    <x v="3"/>
    <d v="2022-05-18T00:00:00"/>
    <n v="1"/>
    <n v="47.83"/>
    <n v="77"/>
  </r>
  <r>
    <x v="15"/>
    <d v="2022-05-18T00:00:00"/>
    <n v="1"/>
    <n v="19.71"/>
    <n v="25"/>
  </r>
  <r>
    <x v="154"/>
    <d v="2022-05-18T00:00:00"/>
    <n v="1"/>
    <n v="52.49"/>
    <n v="65"/>
  </r>
  <r>
    <x v="154"/>
    <d v="2022-05-18T00:00:00"/>
    <n v="1"/>
    <n v="52.49"/>
    <n v="65"/>
  </r>
  <r>
    <x v="18"/>
    <d v="2022-05-18T00:00:00"/>
    <n v="1"/>
    <n v="109.41"/>
    <n v="123"/>
  </r>
  <r>
    <x v="118"/>
    <d v="2022-05-18T00:00:00"/>
    <n v="1"/>
    <n v="62.79"/>
    <n v="78"/>
  </r>
  <r>
    <x v="118"/>
    <d v="2022-05-18T00:00:00"/>
    <n v="1"/>
    <n v="62.79"/>
    <n v="78"/>
  </r>
  <r>
    <x v="93"/>
    <d v="2022-05-18T00:00:00"/>
    <n v="1"/>
    <n v="110.84"/>
    <n v="134"/>
  </r>
  <r>
    <x v="115"/>
    <d v="2022-05-18T00:00:00"/>
    <n v="1"/>
    <n v="150.88999999999999"/>
    <n v="219"/>
  </r>
  <r>
    <x v="151"/>
    <d v="2022-05-18T00:00:00"/>
    <n v="1"/>
    <n v="248.71"/>
    <n v="349"/>
  </r>
  <r>
    <x v="111"/>
    <d v="2022-05-18T00:00:00"/>
    <n v="1"/>
    <n v="101.97"/>
    <n v="123"/>
  </r>
  <r>
    <x v="15"/>
    <d v="2022-05-18T00:00:00"/>
    <n v="1"/>
    <n v="19.71"/>
    <n v="25"/>
  </r>
  <r>
    <x v="152"/>
    <d v="2022-05-18T00:00:00"/>
    <n v="1"/>
    <n v="12"/>
    <n v="21"/>
  </r>
  <r>
    <x v="41"/>
    <d v="2022-05-18T00:00:00"/>
    <n v="1"/>
    <n v="19.420000000000002"/>
    <n v="24"/>
  </r>
  <r>
    <x v="27"/>
    <d v="2022-05-18T00:00:00"/>
    <n v="2"/>
    <n v="104.59"/>
    <n v="163"/>
  </r>
  <r>
    <x v="28"/>
    <d v="2022-05-18T00:00:00"/>
    <n v="1"/>
    <n v="21.13"/>
    <n v="25"/>
  </r>
  <r>
    <x v="28"/>
    <d v="2022-05-18T00:00:00"/>
    <n v="1"/>
    <n v="21.13"/>
    <n v="25"/>
  </r>
  <r>
    <x v="28"/>
    <d v="2022-05-18T00:00:00"/>
    <n v="1"/>
    <n v="21.13"/>
    <n v="25"/>
  </r>
  <r>
    <x v="28"/>
    <d v="2022-05-18T00:00:00"/>
    <n v="1"/>
    <n v="21.13"/>
    <n v="25"/>
  </r>
  <r>
    <x v="28"/>
    <d v="2022-05-18T00:00:00"/>
    <n v="1"/>
    <n v="21.13"/>
    <n v="25"/>
  </r>
  <r>
    <x v="28"/>
    <d v="2022-05-18T00:00:00"/>
    <n v="1"/>
    <n v="21.13"/>
    <n v="25"/>
  </r>
  <r>
    <x v="86"/>
    <d v="2022-05-18T00:00:00"/>
    <n v="1"/>
    <n v="31.93"/>
    <n v="52"/>
  </r>
  <r>
    <x v="146"/>
    <d v="2022-05-18T00:00:00"/>
    <n v="1"/>
    <n v="26.81"/>
    <n v="32"/>
  </r>
  <r>
    <x v="151"/>
    <d v="2022-05-18T00:00:00"/>
    <n v="1"/>
    <n v="249.76"/>
    <n v="345"/>
  </r>
  <r>
    <x v="94"/>
    <d v="2022-05-18T00:00:00"/>
    <n v="1"/>
    <n v="64.25"/>
    <n v="77"/>
  </r>
  <r>
    <x v="79"/>
    <d v="2022-05-18T00:00:00"/>
    <n v="1"/>
    <n v="153.22999999999999"/>
    <n v="192"/>
  </r>
  <r>
    <x v="61"/>
    <d v="2022-05-18T00:00:00"/>
    <n v="1"/>
    <n v="30.93"/>
    <n v="36"/>
  </r>
  <r>
    <x v="73"/>
    <d v="2022-05-18T00:00:00"/>
    <n v="1"/>
    <n v="70.540000000000006"/>
    <n v="89"/>
  </r>
  <r>
    <x v="110"/>
    <d v="2022-05-18T00:00:00"/>
    <n v="1"/>
    <n v="72.31"/>
    <n v="89"/>
  </r>
  <r>
    <x v="110"/>
    <d v="2022-05-18T00:00:00"/>
    <n v="1"/>
    <n v="72.42"/>
    <n v="89"/>
  </r>
  <r>
    <x v="110"/>
    <d v="2022-05-18T00:00:00"/>
    <n v="1"/>
    <n v="72.42"/>
    <n v="89"/>
  </r>
  <r>
    <x v="36"/>
    <d v="2022-05-18T00:00:00"/>
    <n v="1"/>
    <n v="10.9"/>
    <n v="18"/>
  </r>
  <r>
    <x v="42"/>
    <d v="2022-05-18T00:00:00"/>
    <n v="1"/>
    <n v="46.14"/>
    <n v="73"/>
  </r>
  <r>
    <x v="29"/>
    <d v="2022-05-18T00:00:00"/>
    <n v="1"/>
    <n v="200.35"/>
    <n v="235"/>
  </r>
  <r>
    <x v="51"/>
    <d v="2022-05-18T00:00:00"/>
    <n v="1"/>
    <n v="43.97"/>
    <n v="70"/>
  </r>
  <r>
    <x v="78"/>
    <d v="2022-05-18T00:00:00"/>
    <n v="1"/>
    <n v="207.76"/>
    <n v="246"/>
  </r>
  <r>
    <x v="153"/>
    <d v="2022-05-18T00:00:00"/>
    <n v="1"/>
    <n v="31.17"/>
    <n v="39"/>
  </r>
  <r>
    <x v="153"/>
    <d v="2022-05-18T00:00:00"/>
    <n v="1"/>
    <n v="31.17"/>
    <n v="39"/>
  </r>
  <r>
    <x v="153"/>
    <d v="2022-05-18T00:00:00"/>
    <n v="1"/>
    <n v="31.17"/>
    <n v="39"/>
  </r>
  <r>
    <x v="153"/>
    <d v="2022-05-18T00:00:00"/>
    <n v="1"/>
    <n v="31.17"/>
    <n v="39"/>
  </r>
  <r>
    <x v="88"/>
    <d v="2022-05-18T00:00:00"/>
    <n v="1"/>
    <n v="74.42"/>
    <n v="106"/>
  </r>
  <r>
    <x v="150"/>
    <d v="2022-05-18T00:00:00"/>
    <n v="0.16"/>
    <n v="495.72"/>
    <n v="719"/>
  </r>
  <r>
    <x v="109"/>
    <d v="2022-05-18T00:00:00"/>
    <n v="1"/>
    <n v="74.8"/>
    <n v="92"/>
  </r>
  <r>
    <x v="56"/>
    <d v="2022-05-18T00:00:00"/>
    <n v="1"/>
    <n v="33.11"/>
    <n v="51"/>
  </r>
  <r>
    <x v="107"/>
    <d v="2022-05-18T00:00:00"/>
    <n v="1"/>
    <n v="291.39"/>
    <n v="345"/>
  </r>
  <r>
    <x v="110"/>
    <d v="2022-05-18T00:00:00"/>
    <n v="1"/>
    <n v="71.02"/>
    <n v="88"/>
  </r>
  <r>
    <x v="18"/>
    <d v="2022-05-18T00:00:00"/>
    <n v="1"/>
    <n v="109.41"/>
    <n v="123"/>
  </r>
  <r>
    <x v="18"/>
    <d v="2022-05-18T00:00:00"/>
    <n v="1"/>
    <n v="109.41"/>
    <n v="123"/>
  </r>
  <r>
    <x v="117"/>
    <d v="2022-05-18T00:00:00"/>
    <n v="1"/>
    <n v="20.48"/>
    <n v="25"/>
  </r>
  <r>
    <x v="25"/>
    <d v="2022-05-18T00:00:00"/>
    <n v="1"/>
    <n v="156.19999999999999"/>
    <n v="186"/>
  </r>
  <r>
    <x v="3"/>
    <d v="2022-05-18T00:00:00"/>
    <n v="1"/>
    <n v="47.53"/>
    <n v="77"/>
  </r>
  <r>
    <x v="151"/>
    <d v="2022-05-18T00:00:00"/>
    <n v="1"/>
    <n v="249.76"/>
    <n v="345"/>
  </r>
  <r>
    <x v="90"/>
    <d v="2022-05-18T00:00:00"/>
    <n v="0.4"/>
    <n v="129.38"/>
    <n v="197"/>
  </r>
  <r>
    <x v="101"/>
    <d v="2022-05-18T00:00:00"/>
    <n v="1"/>
    <n v="41.74"/>
    <n v="51"/>
  </r>
  <r>
    <x v="86"/>
    <d v="2022-05-18T00:00:00"/>
    <n v="1"/>
    <n v="36.51"/>
    <n v="63"/>
  </r>
  <r>
    <x v="95"/>
    <d v="2022-05-18T00:00:00"/>
    <n v="1"/>
    <n v="35.630000000000003"/>
    <n v="55"/>
  </r>
  <r>
    <x v="42"/>
    <d v="2022-05-18T00:00:00"/>
    <n v="1"/>
    <n v="42.85"/>
    <n v="67"/>
  </r>
  <r>
    <x v="59"/>
    <d v="2022-05-18T00:00:00"/>
    <n v="1"/>
    <n v="202.51"/>
    <n v="270"/>
  </r>
  <r>
    <x v="60"/>
    <d v="2022-05-18T00:00:00"/>
    <n v="1"/>
    <n v="184.45"/>
    <n v="216"/>
  </r>
  <r>
    <x v="117"/>
    <d v="2022-05-18T00:00:00"/>
    <n v="1"/>
    <n v="20.78"/>
    <n v="26"/>
  </r>
  <r>
    <x v="52"/>
    <d v="2022-05-18T00:00:00"/>
    <n v="1"/>
    <n v="233.74"/>
    <n v="262"/>
  </r>
  <r>
    <x v="0"/>
    <d v="2022-05-18T00:00:00"/>
    <n v="1"/>
    <n v="145.6"/>
    <n v="172"/>
  </r>
  <r>
    <x v="51"/>
    <d v="2022-05-18T00:00:00"/>
    <n v="1"/>
    <n v="43.97"/>
    <n v="67"/>
  </r>
  <r>
    <x v="155"/>
    <d v="2022-05-18T00:00:00"/>
    <n v="1"/>
    <n v="80.73"/>
    <n v="98"/>
  </r>
  <r>
    <x v="155"/>
    <d v="2022-05-18T00:00:00"/>
    <n v="1"/>
    <n v="80.73"/>
    <n v="100"/>
  </r>
  <r>
    <x v="101"/>
    <d v="2022-05-18T00:00:00"/>
    <n v="1"/>
    <n v="40.54"/>
    <n v="50"/>
  </r>
  <r>
    <x v="101"/>
    <d v="2022-05-18T00:00:00"/>
    <n v="1"/>
    <n v="40.54"/>
    <n v="50"/>
  </r>
  <r>
    <x v="101"/>
    <d v="2022-05-18T00:00:00"/>
    <n v="1"/>
    <n v="40.54"/>
    <n v="50"/>
  </r>
  <r>
    <x v="46"/>
    <d v="2022-05-18T00:00:00"/>
    <n v="8"/>
    <n v="2.1800000000000002"/>
    <n v="4"/>
  </r>
  <r>
    <x v="15"/>
    <d v="2022-05-18T00:00:00"/>
    <n v="1"/>
    <n v="20.3"/>
    <n v="27"/>
  </r>
  <r>
    <x v="32"/>
    <d v="2022-05-18T00:00:00"/>
    <n v="1"/>
    <n v="36.86"/>
    <n v="47"/>
  </r>
  <r>
    <x v="57"/>
    <d v="2022-05-18T00:00:00"/>
    <n v="1"/>
    <n v="24.97"/>
    <n v="30"/>
  </r>
  <r>
    <x v="34"/>
    <d v="2022-05-18T00:00:00"/>
    <n v="4"/>
    <n v="11.83"/>
    <n v="20"/>
  </r>
  <r>
    <x v="43"/>
    <d v="2022-05-18T00:00:00"/>
    <n v="1"/>
    <n v="38.67"/>
    <n v="59"/>
  </r>
  <r>
    <x v="48"/>
    <d v="2022-05-18T00:00:00"/>
    <n v="1"/>
    <n v="23.4"/>
    <n v="38"/>
  </r>
  <r>
    <x v="13"/>
    <d v="2022-05-18T00:00:00"/>
    <n v="1"/>
    <n v="44"/>
    <n v="70"/>
  </r>
  <r>
    <x v="93"/>
    <d v="2022-05-18T00:00:00"/>
    <n v="1"/>
    <n v="112.36"/>
    <n v="135"/>
  </r>
  <r>
    <x v="67"/>
    <d v="2022-05-18T00:00:00"/>
    <n v="1"/>
    <n v="550.89"/>
    <n v="728"/>
  </r>
  <r>
    <x v="53"/>
    <d v="2022-05-18T00:00:00"/>
    <n v="1"/>
    <n v="78"/>
    <n v="94"/>
  </r>
  <r>
    <x v="53"/>
    <d v="2022-05-18T00:00:00"/>
    <n v="1"/>
    <n v="78"/>
    <n v="94"/>
  </r>
  <r>
    <x v="36"/>
    <d v="2022-05-18T00:00:00"/>
    <n v="1"/>
    <n v="12.75"/>
    <n v="21"/>
  </r>
  <r>
    <x v="61"/>
    <d v="2022-05-18T00:00:00"/>
    <n v="1"/>
    <n v="30.6"/>
    <n v="37"/>
  </r>
  <r>
    <x v="61"/>
    <d v="2022-05-18T00:00:00"/>
    <n v="1"/>
    <n v="30.6"/>
    <n v="37"/>
  </r>
  <r>
    <x v="13"/>
    <d v="2022-05-18T00:00:00"/>
    <n v="1"/>
    <n v="46"/>
    <n v="70"/>
  </r>
  <r>
    <x v="116"/>
    <d v="2022-05-18T00:00:00"/>
    <n v="1"/>
    <n v="7.96"/>
    <n v="13"/>
  </r>
  <r>
    <x v="22"/>
    <d v="2022-05-17T00:00:00"/>
    <n v="1"/>
    <n v="106.88"/>
    <n v="164"/>
  </r>
  <r>
    <x v="120"/>
    <d v="2022-05-17T00:00:00"/>
    <n v="1"/>
    <n v="331.43"/>
    <n v="431"/>
  </r>
  <r>
    <x v="151"/>
    <d v="2022-05-17T00:00:00"/>
    <n v="1"/>
    <n v="248.25"/>
    <n v="331"/>
  </r>
  <r>
    <x v="40"/>
    <d v="2022-05-17T00:00:00"/>
    <n v="1"/>
    <n v="27.94"/>
    <n v="45"/>
  </r>
  <r>
    <x v="22"/>
    <d v="2022-05-17T00:00:00"/>
    <n v="1"/>
    <n v="106.88"/>
    <n v="164"/>
  </r>
  <r>
    <x v="6"/>
    <d v="2022-05-17T00:00:00"/>
    <n v="1"/>
    <n v="24.2"/>
    <n v="39"/>
  </r>
  <r>
    <x v="14"/>
    <d v="2022-05-17T00:00:00"/>
    <n v="1"/>
    <n v="81.95"/>
    <n v="104"/>
  </r>
  <r>
    <x v="155"/>
    <d v="2022-05-17T00:00:00"/>
    <n v="1"/>
    <n v="80.73"/>
    <n v="100"/>
  </r>
  <r>
    <x v="23"/>
    <d v="2022-05-17T00:00:00"/>
    <n v="1"/>
    <n v="146.80000000000001"/>
    <n v="199"/>
  </r>
  <r>
    <x v="105"/>
    <d v="2022-05-17T00:00:00"/>
    <n v="1"/>
    <n v="206.53"/>
    <n v="290"/>
  </r>
  <r>
    <x v="6"/>
    <d v="2022-05-17T00:00:00"/>
    <n v="1"/>
    <n v="24.2"/>
    <n v="39"/>
  </r>
  <r>
    <x v="151"/>
    <d v="2022-05-17T00:00:00"/>
    <n v="1"/>
    <n v="248.25"/>
    <n v="343"/>
  </r>
  <r>
    <x v="87"/>
    <d v="2022-05-17T00:00:00"/>
    <n v="5"/>
    <n v="5.78"/>
    <n v="8"/>
  </r>
  <r>
    <x v="49"/>
    <d v="2022-05-17T00:00:00"/>
    <n v="1"/>
    <n v="635.70000000000005"/>
    <n v="821"/>
  </r>
  <r>
    <x v="73"/>
    <d v="2022-05-17T00:00:00"/>
    <n v="1"/>
    <n v="70.540000000000006"/>
    <n v="89"/>
  </r>
  <r>
    <x v="67"/>
    <d v="2022-05-17T00:00:00"/>
    <n v="1"/>
    <n v="550.89"/>
    <n v="728"/>
  </r>
  <r>
    <x v="67"/>
    <d v="2022-05-17T00:00:00"/>
    <n v="1"/>
    <n v="550.89"/>
    <n v="728"/>
  </r>
  <r>
    <x v="67"/>
    <d v="2022-05-17T00:00:00"/>
    <n v="1"/>
    <n v="550.89"/>
    <n v="728"/>
  </r>
  <r>
    <x v="20"/>
    <d v="2022-05-17T00:00:00"/>
    <n v="1"/>
    <n v="147.18"/>
    <n v="177"/>
  </r>
  <r>
    <x v="86"/>
    <d v="2022-05-17T00:00:00"/>
    <n v="1"/>
    <n v="38"/>
    <n v="66"/>
  </r>
  <r>
    <x v="5"/>
    <d v="2022-05-17T00:00:00"/>
    <n v="1"/>
    <n v="11.33"/>
    <n v="13"/>
  </r>
  <r>
    <x v="46"/>
    <d v="2022-05-17T00:00:00"/>
    <n v="8"/>
    <n v="2.04"/>
    <n v="4"/>
  </r>
  <r>
    <x v="101"/>
    <d v="2022-05-17T00:00:00"/>
    <n v="1"/>
    <n v="41.48"/>
    <n v="51"/>
  </r>
  <r>
    <x v="69"/>
    <d v="2022-05-17T00:00:00"/>
    <n v="1"/>
    <n v="88.49"/>
    <n v="110"/>
  </r>
  <r>
    <x v="151"/>
    <d v="2022-05-17T00:00:00"/>
    <n v="1"/>
    <n v="248.25"/>
    <n v="343"/>
  </r>
  <r>
    <x v="36"/>
    <d v="2022-05-17T00:00:00"/>
    <n v="3"/>
    <n v="12.75"/>
    <n v="21"/>
  </r>
  <r>
    <x v="34"/>
    <d v="2022-05-17T00:00:00"/>
    <n v="5"/>
    <n v="11.83"/>
    <n v="20"/>
  </r>
  <r>
    <x v="120"/>
    <d v="2022-05-17T00:00:00"/>
    <n v="1"/>
    <n v="331.43"/>
    <n v="431"/>
  </r>
  <r>
    <x v="6"/>
    <d v="2022-05-17T00:00:00"/>
    <n v="2"/>
    <n v="24.2"/>
    <n v="40"/>
  </r>
  <r>
    <x v="18"/>
    <d v="2022-05-17T00:00:00"/>
    <n v="1"/>
    <n v="109.41"/>
    <n v="123"/>
  </r>
  <r>
    <x v="63"/>
    <d v="2022-05-17T00:00:00"/>
    <n v="1"/>
    <n v="53.57"/>
    <n v="82"/>
  </r>
  <r>
    <x v="63"/>
    <d v="2022-05-17T00:00:00"/>
    <n v="1"/>
    <n v="53.57"/>
    <n v="82"/>
  </r>
  <r>
    <x v="129"/>
    <d v="2022-05-17T00:00:00"/>
    <n v="1"/>
    <n v="27.41"/>
    <n v="42"/>
  </r>
  <r>
    <x v="108"/>
    <d v="2022-05-17T00:00:00"/>
    <n v="1"/>
    <n v="159.4"/>
    <n v="216"/>
  </r>
  <r>
    <x v="61"/>
    <d v="2022-05-17T00:00:00"/>
    <n v="1"/>
    <n v="30.6"/>
    <n v="36"/>
  </r>
  <r>
    <x v="133"/>
    <d v="2022-05-17T00:00:00"/>
    <n v="2"/>
    <n v="44.4"/>
    <n v="77"/>
  </r>
  <r>
    <x v="116"/>
    <d v="2022-05-17T00:00:00"/>
    <n v="7"/>
    <n v="11.41"/>
    <n v="19"/>
  </r>
  <r>
    <x v="116"/>
    <d v="2022-05-17T00:00:00"/>
    <n v="3"/>
    <n v="7.24"/>
    <n v="12"/>
  </r>
  <r>
    <x v="27"/>
    <d v="2022-05-17T00:00:00"/>
    <n v="0.1"/>
    <n v="149.72999999999999"/>
    <n v="236"/>
  </r>
  <r>
    <x v="26"/>
    <d v="2022-05-17T00:00:00"/>
    <n v="1"/>
    <n v="13.19"/>
    <n v="18"/>
  </r>
  <r>
    <x v="5"/>
    <d v="2022-05-17T00:00:00"/>
    <n v="1"/>
    <n v="10.34"/>
    <n v="13"/>
  </r>
  <r>
    <x v="148"/>
    <d v="2022-05-17T00:00:00"/>
    <n v="1"/>
    <n v="9.4600000000000009"/>
    <n v="11"/>
  </r>
  <r>
    <x v="21"/>
    <d v="2022-05-17T00:00:00"/>
    <n v="0.1"/>
    <n v="994.36"/>
    <n v="1343"/>
  </r>
  <r>
    <x v="26"/>
    <d v="2022-05-17T00:00:00"/>
    <n v="1"/>
    <n v="13.19"/>
    <n v="18"/>
  </r>
  <r>
    <x v="26"/>
    <d v="2022-05-17T00:00:00"/>
    <n v="1"/>
    <n v="13.19"/>
    <n v="18"/>
  </r>
  <r>
    <x v="26"/>
    <d v="2022-05-17T00:00:00"/>
    <n v="1"/>
    <n v="13.19"/>
    <n v="18"/>
  </r>
  <r>
    <x v="26"/>
    <d v="2022-05-17T00:00:00"/>
    <n v="1"/>
    <n v="13.19"/>
    <n v="18"/>
  </r>
  <r>
    <x v="26"/>
    <d v="2022-05-17T00:00:00"/>
    <n v="1"/>
    <n v="13.19"/>
    <n v="18"/>
  </r>
  <r>
    <x v="132"/>
    <d v="2022-05-17T00:00:00"/>
    <n v="1"/>
    <n v="7.13"/>
    <n v="12"/>
  </r>
  <r>
    <x v="90"/>
    <d v="2022-05-17T00:00:00"/>
    <n v="1"/>
    <n v="130.88999999999999"/>
    <n v="206"/>
  </r>
  <r>
    <x v="70"/>
    <d v="2022-05-17T00:00:00"/>
    <n v="0.1"/>
    <n v="433.37"/>
    <n v="607"/>
  </r>
  <r>
    <x v="14"/>
    <d v="2022-05-17T00:00:00"/>
    <n v="1"/>
    <n v="82.18"/>
    <n v="103"/>
  </r>
  <r>
    <x v="96"/>
    <d v="2022-05-17T00:00:00"/>
    <n v="1"/>
    <n v="33.9"/>
    <n v="54"/>
  </r>
  <r>
    <x v="136"/>
    <d v="2022-05-17T00:00:00"/>
    <n v="2"/>
    <n v="10.76"/>
    <n v="18"/>
  </r>
  <r>
    <x v="15"/>
    <d v="2022-05-17T00:00:00"/>
    <n v="1"/>
    <n v="19.71"/>
    <n v="23"/>
  </r>
  <r>
    <x v="61"/>
    <d v="2022-05-17T00:00:00"/>
    <n v="1"/>
    <n v="32"/>
    <n v="36"/>
  </r>
  <r>
    <x v="23"/>
    <d v="2022-05-17T00:00:00"/>
    <n v="1"/>
    <n v="172.24"/>
    <n v="192"/>
  </r>
  <r>
    <x v="140"/>
    <d v="2022-05-17T00:00:00"/>
    <n v="1"/>
    <n v="25.3"/>
    <n v="31"/>
  </r>
  <r>
    <x v="140"/>
    <d v="2022-05-17T00:00:00"/>
    <n v="1"/>
    <n v="25.3"/>
    <n v="31"/>
  </r>
  <r>
    <x v="140"/>
    <d v="2022-05-17T00:00:00"/>
    <n v="1"/>
    <n v="25.3"/>
    <n v="31"/>
  </r>
  <r>
    <x v="140"/>
    <d v="2022-05-17T00:00:00"/>
    <n v="1"/>
    <n v="25.3"/>
    <n v="31"/>
  </r>
  <r>
    <x v="140"/>
    <d v="2022-05-17T00:00:00"/>
    <n v="1"/>
    <n v="25.3"/>
    <n v="31"/>
  </r>
  <r>
    <x v="40"/>
    <d v="2022-05-17T00:00:00"/>
    <n v="10"/>
    <n v="54.42"/>
    <n v="57"/>
  </r>
  <r>
    <x v="155"/>
    <d v="2022-05-17T00:00:00"/>
    <n v="1"/>
    <n v="80.73"/>
    <n v="100"/>
  </r>
  <r>
    <x v="35"/>
    <d v="2022-05-17T00:00:00"/>
    <n v="1"/>
    <n v="173.86"/>
    <n v="212"/>
  </r>
  <r>
    <x v="88"/>
    <d v="2022-05-17T00:00:00"/>
    <n v="0.122807"/>
    <n v="80.27"/>
    <n v="114"/>
  </r>
  <r>
    <x v="88"/>
    <d v="2022-05-17T00:00:00"/>
    <n v="0.877193"/>
    <n v="80.27"/>
    <n v="114"/>
  </r>
  <r>
    <x v="142"/>
    <d v="2022-05-17T00:00:00"/>
    <n v="1"/>
    <n v="135.72999999999999"/>
    <n v="189"/>
  </r>
  <r>
    <x v="73"/>
    <d v="2022-05-17T00:00:00"/>
    <n v="1"/>
    <n v="70.540000000000006"/>
    <n v="91"/>
  </r>
  <r>
    <x v="59"/>
    <d v="2022-05-17T00:00:00"/>
    <n v="1"/>
    <n v="205.33"/>
    <n v="278"/>
  </r>
  <r>
    <x v="36"/>
    <d v="2022-05-17T00:00:00"/>
    <n v="1"/>
    <n v="10.92"/>
    <n v="18"/>
  </r>
  <r>
    <x v="68"/>
    <d v="2022-05-17T00:00:00"/>
    <n v="2"/>
    <n v="7.97"/>
    <n v="13"/>
  </r>
  <r>
    <x v="95"/>
    <d v="2022-05-17T00:00:00"/>
    <n v="1"/>
    <n v="35.49"/>
    <n v="55"/>
  </r>
  <r>
    <x v="51"/>
    <d v="2022-05-17T00:00:00"/>
    <n v="1"/>
    <n v="43.97"/>
    <n v="70"/>
  </r>
  <r>
    <x v="47"/>
    <d v="2022-05-17T00:00:00"/>
    <n v="1"/>
    <n v="202.33"/>
    <n v="243"/>
  </r>
  <r>
    <x v="88"/>
    <d v="2022-05-17T00:00:00"/>
    <n v="1"/>
    <n v="74.42"/>
    <n v="106"/>
  </r>
  <r>
    <x v="155"/>
    <d v="2022-05-17T00:00:00"/>
    <n v="1"/>
    <n v="81.819999999999993"/>
    <n v="99"/>
  </r>
  <r>
    <x v="82"/>
    <d v="2022-05-17T00:00:00"/>
    <n v="1"/>
    <n v="337.26"/>
    <n v="402"/>
  </r>
  <r>
    <x v="21"/>
    <d v="2022-05-17T00:00:00"/>
    <n v="0.2"/>
    <n v="987.84"/>
    <n v="1304"/>
  </r>
  <r>
    <x v="11"/>
    <d v="2022-05-17T00:00:00"/>
    <n v="1"/>
    <n v="46.01"/>
    <n v="72"/>
  </r>
  <r>
    <x v="11"/>
    <d v="2022-05-17T00:00:00"/>
    <n v="1"/>
    <n v="43.62"/>
    <n v="68"/>
  </r>
  <r>
    <x v="14"/>
    <d v="2022-05-17T00:00:00"/>
    <n v="1"/>
    <n v="81.69"/>
    <n v="102"/>
  </r>
  <r>
    <x v="7"/>
    <d v="2022-05-17T00:00:00"/>
    <n v="1"/>
    <n v="59.96"/>
    <n v="74"/>
  </r>
  <r>
    <x v="7"/>
    <d v="2022-05-17T00:00:00"/>
    <n v="1"/>
    <n v="59.96"/>
    <n v="74"/>
  </r>
  <r>
    <x v="40"/>
    <d v="2022-05-17T00:00:00"/>
    <n v="3"/>
    <n v="27.54"/>
    <n v="45"/>
  </r>
  <r>
    <x v="43"/>
    <d v="2022-05-17T00:00:00"/>
    <n v="1"/>
    <n v="41.54"/>
    <n v="65"/>
  </r>
  <r>
    <x v="43"/>
    <d v="2022-05-17T00:00:00"/>
    <n v="1"/>
    <n v="41.54"/>
    <n v="65"/>
  </r>
  <r>
    <x v="36"/>
    <d v="2022-05-17T00:00:00"/>
    <n v="2"/>
    <n v="12.75"/>
    <n v="21"/>
  </r>
  <r>
    <x v="22"/>
    <d v="2022-05-17T00:00:00"/>
    <n v="1"/>
    <n v="106.88"/>
    <n v="164"/>
  </r>
  <r>
    <x v="42"/>
    <d v="2022-05-17T00:00:00"/>
    <n v="1"/>
    <n v="42.85"/>
    <n v="67"/>
  </r>
  <r>
    <x v="63"/>
    <d v="2022-05-17T00:00:00"/>
    <n v="1"/>
    <n v="53.57"/>
    <n v="82"/>
  </r>
  <r>
    <x v="136"/>
    <d v="2022-05-17T00:00:00"/>
    <n v="2"/>
    <n v="10.76"/>
    <n v="18"/>
  </r>
  <r>
    <x v="136"/>
    <d v="2022-05-17T00:00:00"/>
    <n v="4"/>
    <n v="10.76"/>
    <n v="18"/>
  </r>
  <r>
    <x v="86"/>
    <d v="2022-05-17T00:00:00"/>
    <n v="1"/>
    <n v="35.68"/>
    <n v="58"/>
  </r>
  <r>
    <x v="5"/>
    <d v="2022-05-17T00:00:00"/>
    <n v="1"/>
    <n v="10.34"/>
    <n v="13"/>
  </r>
  <r>
    <x v="148"/>
    <d v="2022-05-17T00:00:00"/>
    <n v="1"/>
    <n v="9.4600000000000009"/>
    <n v="11"/>
  </r>
  <r>
    <x v="16"/>
    <d v="2022-05-17T00:00:00"/>
    <n v="1"/>
    <n v="182.55"/>
    <n v="258"/>
  </r>
  <r>
    <x v="91"/>
    <d v="2022-05-17T00:00:00"/>
    <n v="1"/>
    <n v="71.17"/>
    <n v="102"/>
  </r>
  <r>
    <x v="73"/>
    <d v="2022-05-17T00:00:00"/>
    <n v="1"/>
    <n v="66.77"/>
    <n v="85"/>
  </r>
  <r>
    <x v="74"/>
    <d v="2022-05-17T00:00:00"/>
    <n v="1"/>
    <n v="148.5"/>
    <n v="177"/>
  </r>
  <r>
    <x v="74"/>
    <d v="2022-05-17T00:00:00"/>
    <n v="1"/>
    <n v="148.5"/>
    <n v="177"/>
  </r>
  <r>
    <x v="18"/>
    <d v="2022-05-17T00:00:00"/>
    <n v="1"/>
    <n v="110.18"/>
    <n v="124"/>
  </r>
  <r>
    <x v="76"/>
    <d v="2022-05-17T00:00:00"/>
    <n v="1"/>
    <n v="44.33"/>
    <n v="51"/>
  </r>
  <r>
    <x v="79"/>
    <d v="2022-05-17T00:00:00"/>
    <n v="1"/>
    <n v="153.75"/>
    <n v="193"/>
  </r>
  <r>
    <x v="18"/>
    <d v="2022-05-17T00:00:00"/>
    <n v="1"/>
    <n v="109.41"/>
    <n v="123"/>
  </r>
  <r>
    <x v="71"/>
    <d v="2022-05-17T00:00:00"/>
    <n v="1"/>
    <n v="30.4"/>
    <n v="37"/>
  </r>
  <r>
    <x v="117"/>
    <d v="2022-05-17T00:00:00"/>
    <n v="1"/>
    <n v="23.42"/>
    <n v="28"/>
  </r>
  <r>
    <x v="19"/>
    <d v="2022-05-17T00:00:00"/>
    <n v="1"/>
    <n v="106.05"/>
    <n v="125"/>
  </r>
  <r>
    <x v="60"/>
    <d v="2022-05-17T00:00:00"/>
    <n v="1"/>
    <n v="184.07"/>
    <n v="216"/>
  </r>
  <r>
    <x v="146"/>
    <d v="2022-05-17T00:00:00"/>
    <n v="1"/>
    <n v="24.24"/>
    <n v="30"/>
  </r>
  <r>
    <x v="113"/>
    <d v="2022-05-17T00:00:00"/>
    <n v="2"/>
    <n v="11.1"/>
    <n v="13"/>
  </r>
  <r>
    <x v="113"/>
    <d v="2022-05-17T00:00:00"/>
    <n v="1"/>
    <n v="11.1"/>
    <n v="13"/>
  </r>
  <r>
    <x v="128"/>
    <d v="2022-05-17T00:00:00"/>
    <n v="1"/>
    <n v="6.13"/>
    <n v="10"/>
  </r>
  <r>
    <x v="46"/>
    <d v="2022-05-17T00:00:00"/>
    <n v="8"/>
    <n v="2.0499999999999998"/>
    <n v="4"/>
  </r>
  <r>
    <x v="46"/>
    <d v="2022-05-17T00:00:00"/>
    <n v="4"/>
    <n v="2.0499999999999998"/>
    <n v="4"/>
  </r>
  <r>
    <x v="113"/>
    <d v="2022-05-17T00:00:00"/>
    <n v="1"/>
    <n v="10.79"/>
    <n v="13"/>
  </r>
  <r>
    <x v="154"/>
    <d v="2022-05-17T00:00:00"/>
    <n v="1"/>
    <n v="51.18"/>
    <n v="63"/>
  </r>
  <r>
    <x v="9"/>
    <d v="2022-05-17T00:00:00"/>
    <n v="0.3"/>
    <n v="596.29"/>
    <n v="746"/>
  </r>
  <r>
    <x v="19"/>
    <d v="2022-05-17T00:00:00"/>
    <n v="1"/>
    <n v="103.96"/>
    <n v="125"/>
  </r>
  <r>
    <x v="45"/>
    <d v="2022-05-17T00:00:00"/>
    <n v="1"/>
    <n v="43.86"/>
    <n v="56"/>
  </r>
  <r>
    <x v="91"/>
    <d v="2022-05-17T00:00:00"/>
    <n v="1"/>
    <n v="70.930000000000007"/>
    <n v="106"/>
  </r>
  <r>
    <x v="108"/>
    <d v="2022-05-17T00:00:00"/>
    <n v="1"/>
    <n v="125.55"/>
    <n v="183"/>
  </r>
  <r>
    <x v="15"/>
    <d v="2022-05-17T00:00:00"/>
    <n v="1"/>
    <n v="20.3"/>
    <n v="27"/>
  </r>
  <r>
    <x v="144"/>
    <d v="2022-05-17T00:00:00"/>
    <n v="1"/>
    <n v="213.58"/>
    <n v="300"/>
  </r>
  <r>
    <x v="68"/>
    <d v="2022-05-17T00:00:00"/>
    <n v="1"/>
    <n v="8.24"/>
    <n v="14"/>
  </r>
  <r>
    <x v="131"/>
    <d v="2022-05-17T00:00:00"/>
    <n v="1"/>
    <n v="285.86"/>
    <n v="401"/>
  </r>
  <r>
    <x v="18"/>
    <d v="2022-05-17T00:00:00"/>
    <n v="1"/>
    <n v="109.41"/>
    <n v="123"/>
  </r>
  <r>
    <x v="18"/>
    <d v="2022-05-17T00:00:00"/>
    <n v="1"/>
    <n v="109.41"/>
    <n v="123"/>
  </r>
  <r>
    <x v="155"/>
    <d v="2022-05-17T00:00:00"/>
    <n v="1"/>
    <n v="81.8"/>
    <n v="99"/>
  </r>
  <r>
    <x v="114"/>
    <d v="2022-05-17T00:00:00"/>
    <n v="3.5714299999999997E-2"/>
    <n v="656.19"/>
    <n v="722"/>
  </r>
  <r>
    <x v="111"/>
    <d v="2022-05-17T00:00:00"/>
    <n v="1"/>
    <n v="101.97"/>
    <n v="123"/>
  </r>
  <r>
    <x v="155"/>
    <d v="2022-05-17T00:00:00"/>
    <n v="1"/>
    <n v="81.8"/>
    <n v="99"/>
  </r>
  <r>
    <x v="20"/>
    <d v="2022-05-17T00:00:00"/>
    <n v="1"/>
    <n v="147.18"/>
    <n v="177"/>
  </r>
  <r>
    <x v="40"/>
    <d v="2022-05-17T00:00:00"/>
    <n v="1"/>
    <n v="27.94"/>
    <n v="45"/>
  </r>
  <r>
    <x v="141"/>
    <d v="2022-05-17T00:00:00"/>
    <n v="1"/>
    <n v="402.2"/>
    <n v="451"/>
  </r>
  <r>
    <x v="114"/>
    <d v="2022-05-17T00:00:00"/>
    <n v="3.5714299999999997E-2"/>
    <n v="656.19"/>
    <n v="722"/>
  </r>
  <r>
    <x v="57"/>
    <d v="2022-05-17T00:00:00"/>
    <n v="1"/>
    <n v="25.71"/>
    <n v="29.13"/>
  </r>
  <r>
    <x v="107"/>
    <d v="2022-05-17T00:00:00"/>
    <n v="1"/>
    <n v="273.63"/>
    <n v="290.45999999999998"/>
  </r>
  <r>
    <x v="27"/>
    <d v="2022-05-17T00:00:00"/>
    <n v="1"/>
    <n v="105"/>
    <n v="165"/>
  </r>
  <r>
    <x v="119"/>
    <d v="2022-05-17T00:00:00"/>
    <n v="1"/>
    <n v="42.85"/>
    <n v="70"/>
  </r>
  <r>
    <x v="155"/>
    <d v="2022-05-17T00:00:00"/>
    <n v="1"/>
    <n v="81.8"/>
    <n v="99"/>
  </r>
  <r>
    <x v="20"/>
    <d v="2022-05-17T00:00:00"/>
    <n v="1"/>
    <n v="147.18"/>
    <n v="177"/>
  </r>
  <r>
    <x v="21"/>
    <d v="2022-05-17T00:00:00"/>
    <n v="0.1"/>
    <n v="1182.26"/>
    <n v="1537"/>
  </r>
  <r>
    <x v="140"/>
    <d v="2022-05-17T00:00:00"/>
    <n v="1"/>
    <n v="25.3"/>
    <n v="31"/>
  </r>
  <r>
    <x v="140"/>
    <d v="2022-05-17T00:00:00"/>
    <n v="1"/>
    <n v="25.3"/>
    <n v="31"/>
  </r>
  <r>
    <x v="37"/>
    <d v="2022-05-17T00:00:00"/>
    <n v="1"/>
    <n v="569.76"/>
    <n v="656"/>
  </r>
  <r>
    <x v="51"/>
    <d v="2022-05-17T00:00:00"/>
    <n v="1"/>
    <n v="43.97"/>
    <n v="67"/>
  </r>
  <r>
    <x v="20"/>
    <d v="2022-05-17T00:00:00"/>
    <n v="1"/>
    <n v="147.18"/>
    <n v="177"/>
  </r>
  <r>
    <x v="65"/>
    <d v="2022-05-17T00:00:00"/>
    <n v="1"/>
    <n v="184.39"/>
    <n v="218"/>
  </r>
  <r>
    <x v="51"/>
    <d v="2022-05-17T00:00:00"/>
    <n v="1"/>
    <n v="43.86"/>
    <n v="67"/>
  </r>
  <r>
    <x v="106"/>
    <d v="2022-05-17T00:00:00"/>
    <n v="1"/>
    <n v="164.96"/>
    <n v="198"/>
  </r>
  <r>
    <x v="26"/>
    <d v="2022-05-17T00:00:00"/>
    <n v="1"/>
    <n v="12.59"/>
    <n v="17"/>
  </r>
  <r>
    <x v="131"/>
    <d v="2022-05-17T00:00:00"/>
    <n v="1"/>
    <n v="287.61"/>
    <n v="389"/>
  </r>
  <r>
    <x v="155"/>
    <d v="2022-05-17T00:00:00"/>
    <n v="1"/>
    <n v="81.8"/>
    <n v="99"/>
  </r>
  <r>
    <x v="91"/>
    <d v="2022-05-17T00:00:00"/>
    <n v="1"/>
    <n v="71.89"/>
    <n v="103"/>
  </r>
  <r>
    <x v="56"/>
    <d v="2022-05-17T00:00:00"/>
    <n v="1"/>
    <n v="32.85"/>
    <n v="50"/>
  </r>
  <r>
    <x v="19"/>
    <d v="2022-05-17T00:00:00"/>
    <n v="1"/>
    <n v="98.67"/>
    <n v="123"/>
  </r>
  <r>
    <x v="126"/>
    <d v="2022-05-17T00:00:00"/>
    <n v="1"/>
    <n v="361.91"/>
    <n v="417"/>
  </r>
  <r>
    <x v="34"/>
    <d v="2022-05-17T00:00:00"/>
    <n v="5"/>
    <n v="13.72"/>
    <n v="23"/>
  </r>
  <r>
    <x v="115"/>
    <d v="2022-05-17T00:00:00"/>
    <n v="1"/>
    <n v="132.56"/>
    <n v="187"/>
  </r>
  <r>
    <x v="79"/>
    <d v="2022-05-17T00:00:00"/>
    <n v="1"/>
    <n v="153.75"/>
    <n v="193"/>
  </r>
  <r>
    <x v="25"/>
    <d v="2022-05-17T00:00:00"/>
    <n v="1"/>
    <n v="156.19999999999999"/>
    <n v="189"/>
  </r>
  <r>
    <x v="119"/>
    <d v="2022-05-17T00:00:00"/>
    <n v="1"/>
    <n v="36.75"/>
    <n v="59"/>
  </r>
  <r>
    <x v="85"/>
    <d v="2022-05-17T00:00:00"/>
    <n v="1"/>
    <n v="384.2"/>
    <n v="473"/>
  </r>
  <r>
    <x v="126"/>
    <d v="2022-05-17T00:00:00"/>
    <n v="1"/>
    <n v="356.07"/>
    <n v="417"/>
  </r>
  <r>
    <x v="44"/>
    <d v="2022-05-17T00:00:00"/>
    <n v="1"/>
    <n v="16.579999999999998"/>
    <n v="20"/>
  </r>
  <r>
    <x v="99"/>
    <d v="2022-05-17T00:00:00"/>
    <n v="1"/>
    <n v="44.71"/>
    <n v="56"/>
  </r>
  <r>
    <x v="36"/>
    <d v="2022-05-17T00:00:00"/>
    <n v="2"/>
    <n v="10.92"/>
    <n v="18"/>
  </r>
  <r>
    <x v="111"/>
    <d v="2022-05-17T00:00:00"/>
    <n v="1"/>
    <n v="101.97"/>
    <n v="123"/>
  </r>
  <r>
    <x v="142"/>
    <d v="2022-05-17T00:00:00"/>
    <n v="1"/>
    <n v="137.55000000000001"/>
    <n v="194"/>
  </r>
  <r>
    <x v="60"/>
    <d v="2022-05-17T00:00:00"/>
    <n v="1"/>
    <n v="184.45"/>
    <n v="235"/>
  </r>
  <r>
    <x v="26"/>
    <d v="2022-05-17T00:00:00"/>
    <n v="1"/>
    <n v="13.19"/>
    <n v="18"/>
  </r>
  <r>
    <x v="88"/>
    <d v="2022-05-17T00:00:00"/>
    <n v="1"/>
    <n v="65.400000000000006"/>
    <n v="93"/>
  </r>
  <r>
    <x v="2"/>
    <d v="2022-05-17T00:00:00"/>
    <n v="1"/>
    <n v="87.93"/>
    <n v="104"/>
  </r>
  <r>
    <x v="130"/>
    <d v="2022-05-17T00:00:00"/>
    <n v="1"/>
    <n v="74.38"/>
    <n v="92"/>
  </r>
  <r>
    <x v="144"/>
    <d v="2022-05-17T00:00:00"/>
    <n v="1"/>
    <n v="199.99"/>
    <n v="278"/>
  </r>
  <r>
    <x v="152"/>
    <d v="2022-05-17T00:00:00"/>
    <n v="1"/>
    <n v="12"/>
    <n v="20"/>
  </r>
  <r>
    <x v="42"/>
    <d v="2022-05-17T00:00:00"/>
    <n v="1"/>
    <n v="42.85"/>
    <n v="67"/>
  </r>
  <r>
    <x v="31"/>
    <d v="2022-05-17T00:00:00"/>
    <n v="1"/>
    <n v="22.93"/>
    <n v="29"/>
  </r>
  <r>
    <x v="31"/>
    <d v="2022-05-17T00:00:00"/>
    <n v="1"/>
    <n v="22.93"/>
    <n v="29"/>
  </r>
  <r>
    <x v="31"/>
    <d v="2022-05-17T00:00:00"/>
    <n v="1"/>
    <n v="22.93"/>
    <n v="29"/>
  </r>
  <r>
    <x v="31"/>
    <d v="2022-05-17T00:00:00"/>
    <n v="1"/>
    <n v="22.93"/>
    <n v="29"/>
  </r>
  <r>
    <x v="59"/>
    <d v="2022-05-17T00:00:00"/>
    <n v="1"/>
    <n v="198.66"/>
    <n v="273"/>
  </r>
  <r>
    <x v="115"/>
    <d v="2022-05-17T00:00:00"/>
    <n v="1"/>
    <n v="132.26"/>
    <n v="182"/>
  </r>
  <r>
    <x v="131"/>
    <d v="2022-05-17T00:00:00"/>
    <n v="1"/>
    <n v="285.86"/>
    <n v="392"/>
  </r>
  <r>
    <x v="13"/>
    <d v="2022-05-17T00:00:00"/>
    <n v="1"/>
    <n v="44"/>
    <n v="67"/>
  </r>
  <r>
    <x v="13"/>
    <d v="2022-05-17T00:00:00"/>
    <n v="1"/>
    <n v="44"/>
    <n v="70"/>
  </r>
  <r>
    <x v="20"/>
    <d v="2022-05-17T00:00:00"/>
    <n v="1"/>
    <n v="147.18"/>
    <n v="177"/>
  </r>
  <r>
    <x v="42"/>
    <d v="2022-05-17T00:00:00"/>
    <n v="1"/>
    <n v="42.85"/>
    <n v="67"/>
  </r>
  <r>
    <x v="40"/>
    <d v="2022-05-17T00:00:00"/>
    <n v="1"/>
    <n v="27.94"/>
    <n v="45"/>
  </r>
  <r>
    <x v="23"/>
    <d v="2022-05-17T00:00:00"/>
    <n v="1"/>
    <n v="136.6"/>
    <n v="188"/>
  </r>
  <r>
    <x v="82"/>
    <d v="2022-05-17T00:00:00"/>
    <n v="1"/>
    <n v="348.66"/>
    <n v="414"/>
  </r>
  <r>
    <x v="133"/>
    <d v="2022-05-17T00:00:00"/>
    <n v="2"/>
    <n v="46.5"/>
    <n v="76"/>
  </r>
  <r>
    <x v="26"/>
    <d v="2022-05-17T00:00:00"/>
    <n v="1"/>
    <n v="13.19"/>
    <n v="18"/>
  </r>
  <r>
    <x v="85"/>
    <d v="2022-05-17T00:00:00"/>
    <n v="1"/>
    <n v="384.2"/>
    <n v="481"/>
  </r>
  <r>
    <x v="47"/>
    <d v="2022-05-17T00:00:00"/>
    <n v="1"/>
    <n v="221.19"/>
    <n v="262"/>
  </r>
  <r>
    <x v="56"/>
    <d v="2022-05-17T00:00:00"/>
    <n v="1"/>
    <n v="33.11"/>
    <n v="51"/>
  </r>
  <r>
    <x v="143"/>
    <d v="2022-05-17T00:00:00"/>
    <n v="1"/>
    <n v="37.75"/>
    <n v="58"/>
  </r>
  <r>
    <x v="30"/>
    <d v="2022-05-17T00:00:00"/>
    <n v="1"/>
    <n v="35"/>
    <n v="54"/>
  </r>
  <r>
    <x v="85"/>
    <d v="2022-05-17T00:00:00"/>
    <n v="1"/>
    <n v="384.2"/>
    <n v="462"/>
  </r>
  <r>
    <x v="43"/>
    <d v="2022-05-17T00:00:00"/>
    <n v="1"/>
    <n v="35.200000000000003"/>
    <n v="55"/>
  </r>
  <r>
    <x v="40"/>
    <d v="2022-05-17T00:00:00"/>
    <n v="1"/>
    <n v="25.25"/>
    <n v="41"/>
  </r>
  <r>
    <x v="155"/>
    <d v="2022-05-17T00:00:00"/>
    <n v="1"/>
    <n v="81.8"/>
    <n v="99"/>
  </r>
  <r>
    <x v="42"/>
    <d v="2022-05-17T00:00:00"/>
    <n v="1"/>
    <n v="46.14"/>
    <n v="73"/>
  </r>
  <r>
    <x v="83"/>
    <d v="2022-05-17T00:00:00"/>
    <n v="1"/>
    <n v="106.51"/>
    <n v="163"/>
  </r>
  <r>
    <x v="129"/>
    <d v="2022-05-17T00:00:00"/>
    <n v="1"/>
    <n v="26.6"/>
    <n v="42"/>
  </r>
  <r>
    <x v="152"/>
    <d v="2022-05-17T00:00:00"/>
    <n v="1"/>
    <n v="12"/>
    <n v="20"/>
  </r>
  <r>
    <x v="117"/>
    <d v="2022-05-17T00:00:00"/>
    <n v="1"/>
    <n v="20.78"/>
    <n v="26"/>
  </r>
  <r>
    <x v="19"/>
    <d v="2022-05-17T00:00:00"/>
    <n v="1"/>
    <n v="98.67"/>
    <n v="123"/>
  </r>
  <r>
    <x v="42"/>
    <d v="2022-05-17T00:00:00"/>
    <n v="1"/>
    <n v="43.08"/>
    <n v="66"/>
  </r>
  <r>
    <x v="51"/>
    <d v="2022-05-17T00:00:00"/>
    <n v="1"/>
    <n v="43.97"/>
    <n v="67"/>
  </r>
  <r>
    <x v="61"/>
    <d v="2022-05-17T00:00:00"/>
    <n v="1"/>
    <n v="30.6"/>
    <n v="36"/>
  </r>
  <r>
    <x v="61"/>
    <d v="2022-05-17T00:00:00"/>
    <n v="1"/>
    <n v="30.6"/>
    <n v="36"/>
  </r>
  <r>
    <x v="44"/>
    <d v="2022-05-17T00:00:00"/>
    <n v="1"/>
    <n v="16.02"/>
    <n v="19"/>
  </r>
  <r>
    <x v="44"/>
    <d v="2022-05-17T00:00:00"/>
    <n v="1"/>
    <n v="16.02"/>
    <n v="19"/>
  </r>
  <r>
    <x v="128"/>
    <d v="2022-05-17T00:00:00"/>
    <n v="20"/>
    <n v="6.13"/>
    <n v="10"/>
  </r>
  <r>
    <x v="67"/>
    <d v="2022-05-17T00:00:00"/>
    <n v="1"/>
    <n v="560.02"/>
    <n v="740"/>
  </r>
  <r>
    <x v="113"/>
    <d v="2022-05-17T00:00:00"/>
    <n v="1"/>
    <n v="10.79"/>
    <n v="13"/>
  </r>
  <r>
    <x v="113"/>
    <d v="2022-05-17T00:00:00"/>
    <n v="1"/>
    <n v="10.79"/>
    <n v="13"/>
  </r>
  <r>
    <x v="34"/>
    <d v="2022-05-17T00:00:00"/>
    <n v="2"/>
    <n v="17.190000000000001"/>
    <n v="28"/>
  </r>
  <r>
    <x v="52"/>
    <d v="2022-05-17T00:00:00"/>
    <n v="1"/>
    <n v="225.2"/>
    <n v="264"/>
  </r>
  <r>
    <x v="150"/>
    <d v="2022-05-17T00:00:00"/>
    <n v="0.24"/>
    <n v="498.53"/>
    <n v="698"/>
  </r>
  <r>
    <x v="148"/>
    <d v="2022-05-17T00:00:00"/>
    <n v="1"/>
    <n v="9.4600000000000009"/>
    <n v="11"/>
  </r>
  <r>
    <x v="22"/>
    <d v="2022-05-17T00:00:00"/>
    <n v="1"/>
    <n v="106.88"/>
    <n v="164"/>
  </r>
  <r>
    <x v="14"/>
    <d v="2022-05-17T00:00:00"/>
    <n v="1"/>
    <n v="82.54"/>
    <n v="103"/>
  </r>
  <r>
    <x v="83"/>
    <d v="2022-05-17T00:00:00"/>
    <n v="1"/>
    <n v="106.51"/>
    <n v="163"/>
  </r>
  <r>
    <x v="83"/>
    <d v="2022-05-17T00:00:00"/>
    <n v="0.5"/>
    <n v="106.51"/>
    <n v="163"/>
  </r>
  <r>
    <x v="101"/>
    <d v="2022-05-17T00:00:00"/>
    <n v="1"/>
    <n v="42.24"/>
    <n v="53"/>
  </r>
  <r>
    <x v="76"/>
    <d v="2022-05-17T00:00:00"/>
    <n v="1"/>
    <n v="40.130000000000003"/>
    <n v="49"/>
  </r>
  <r>
    <x v="15"/>
    <d v="2022-05-17T00:00:00"/>
    <n v="1"/>
    <n v="19.71"/>
    <n v="25"/>
  </r>
  <r>
    <x v="15"/>
    <d v="2022-05-17T00:00:00"/>
    <n v="1"/>
    <n v="19.71"/>
    <n v="25"/>
  </r>
  <r>
    <x v="15"/>
    <d v="2022-05-17T00:00:00"/>
    <n v="1"/>
    <n v="19.71"/>
    <n v="25"/>
  </r>
  <r>
    <x v="17"/>
    <d v="2022-05-17T00:00:00"/>
    <n v="1"/>
    <n v="30.3"/>
    <n v="49"/>
  </r>
  <r>
    <x v="100"/>
    <d v="2022-05-17T00:00:00"/>
    <n v="2"/>
    <n v="28.33"/>
    <n v="46"/>
  </r>
  <r>
    <x v="58"/>
    <d v="2022-05-17T00:00:00"/>
    <n v="1"/>
    <n v="73.3"/>
    <n v="88"/>
  </r>
  <r>
    <x v="107"/>
    <d v="2022-05-17T00:00:00"/>
    <n v="1"/>
    <n v="255.77"/>
    <n v="310"/>
  </r>
  <r>
    <x v="42"/>
    <d v="2022-05-17T00:00:00"/>
    <n v="1"/>
    <n v="43.08"/>
    <n v="66"/>
  </r>
  <r>
    <x v="42"/>
    <d v="2022-05-17T00:00:00"/>
    <n v="1"/>
    <n v="43.08"/>
    <n v="66"/>
  </r>
  <r>
    <x v="51"/>
    <d v="2022-05-17T00:00:00"/>
    <n v="1"/>
    <n v="43.97"/>
    <n v="67"/>
  </r>
  <r>
    <x v="51"/>
    <d v="2022-05-17T00:00:00"/>
    <n v="1"/>
    <n v="43.97"/>
    <n v="67"/>
  </r>
  <r>
    <x v="0"/>
    <d v="2022-05-17T00:00:00"/>
    <n v="1"/>
    <n v="145.6"/>
    <n v="172"/>
  </r>
  <r>
    <x v="152"/>
    <d v="2022-05-17T00:00:00"/>
    <n v="1"/>
    <n v="12"/>
    <n v="20"/>
  </r>
  <r>
    <x v="3"/>
    <d v="2022-05-17T00:00:00"/>
    <n v="1"/>
    <n v="47.53"/>
    <n v="77"/>
  </r>
  <r>
    <x v="131"/>
    <d v="2022-05-17T00:00:00"/>
    <n v="1"/>
    <n v="287.61"/>
    <n v="403"/>
  </r>
  <r>
    <x v="19"/>
    <d v="2022-05-17T00:00:00"/>
    <n v="1"/>
    <n v="98.67"/>
    <n v="123"/>
  </r>
  <r>
    <x v="16"/>
    <d v="2022-05-17T00:00:00"/>
    <n v="1"/>
    <n v="185.31"/>
    <n v="269"/>
  </r>
  <r>
    <x v="21"/>
    <d v="2022-05-17T00:00:00"/>
    <n v="0.1"/>
    <n v="987.84"/>
    <n v="1304"/>
  </r>
  <r>
    <x v="21"/>
    <d v="2022-05-17T00:00:00"/>
    <n v="0.1"/>
    <n v="1086.5899999999999"/>
    <n v="1391"/>
  </r>
  <r>
    <x v="90"/>
    <d v="2022-05-17T00:00:00"/>
    <n v="1"/>
    <n v="130.88999999999999"/>
    <n v="206"/>
  </r>
  <r>
    <x v="119"/>
    <d v="2022-05-17T00:00:00"/>
    <n v="1"/>
    <n v="42.85"/>
    <n v="70"/>
  </r>
  <r>
    <x v="43"/>
    <d v="2022-05-17T00:00:00"/>
    <n v="1"/>
    <n v="35.200000000000003"/>
    <n v="55"/>
  </r>
  <r>
    <x v="15"/>
    <d v="2022-05-17T00:00:00"/>
    <n v="1"/>
    <n v="19.71"/>
    <n v="25"/>
  </r>
  <r>
    <x v="151"/>
    <d v="2022-05-17T00:00:00"/>
    <n v="1"/>
    <n v="251.44"/>
    <n v="353"/>
  </r>
  <r>
    <x v="90"/>
    <d v="2022-05-17T00:00:00"/>
    <n v="1"/>
    <n v="129.38"/>
    <n v="197"/>
  </r>
  <r>
    <x v="18"/>
    <d v="2022-05-17T00:00:00"/>
    <n v="1"/>
    <n v="109.41"/>
    <n v="123"/>
  </r>
  <r>
    <x v="31"/>
    <d v="2022-05-17T00:00:00"/>
    <n v="1"/>
    <n v="22.93"/>
    <n v="29"/>
  </r>
  <r>
    <x v="15"/>
    <d v="2022-05-17T00:00:00"/>
    <n v="1"/>
    <n v="19.71"/>
    <n v="25"/>
  </r>
  <r>
    <x v="52"/>
    <d v="2022-05-17T00:00:00"/>
    <n v="1"/>
    <n v="225.2"/>
    <n v="264"/>
  </r>
  <r>
    <x v="77"/>
    <d v="2022-05-17T00:00:00"/>
    <n v="1"/>
    <n v="40.1"/>
    <n v="51"/>
  </r>
  <r>
    <x v="141"/>
    <d v="2022-05-17T00:00:00"/>
    <n v="1"/>
    <n v="402.29"/>
    <n v="451"/>
  </r>
  <r>
    <x v="95"/>
    <d v="2022-05-17T00:00:00"/>
    <n v="1"/>
    <n v="35.82"/>
    <n v="57"/>
  </r>
  <r>
    <x v="0"/>
    <d v="2022-05-17T00:00:00"/>
    <n v="1"/>
    <n v="145.6"/>
    <n v="169"/>
  </r>
  <r>
    <x v="87"/>
    <d v="2022-05-17T00:00:00"/>
    <n v="10"/>
    <n v="6.45"/>
    <n v="9"/>
  </r>
  <r>
    <x v="8"/>
    <d v="2022-05-17T00:00:00"/>
    <n v="1"/>
    <n v="122.17"/>
    <n v="149"/>
  </r>
  <r>
    <x v="16"/>
    <d v="2022-05-17T00:00:00"/>
    <n v="1"/>
    <n v="182.55"/>
    <n v="251"/>
  </r>
  <r>
    <x v="117"/>
    <d v="2022-05-17T00:00:00"/>
    <n v="1"/>
    <n v="20.78"/>
    <n v="26"/>
  </r>
  <r>
    <x v="44"/>
    <d v="2022-05-17T00:00:00"/>
    <n v="1"/>
    <n v="16.309999999999999"/>
    <n v="20"/>
  </r>
  <r>
    <x v="103"/>
    <d v="2022-05-17T00:00:00"/>
    <n v="1"/>
    <n v="27.61"/>
    <n v="42"/>
  </r>
  <r>
    <x v="15"/>
    <d v="2022-05-17T00:00:00"/>
    <n v="1"/>
    <n v="20.23"/>
    <n v="27"/>
  </r>
  <r>
    <x v="15"/>
    <d v="2022-05-17T00:00:00"/>
    <n v="1"/>
    <n v="20.23"/>
    <n v="27"/>
  </r>
  <r>
    <x v="15"/>
    <d v="2022-05-17T00:00:00"/>
    <n v="1"/>
    <n v="20.23"/>
    <n v="27"/>
  </r>
  <r>
    <x v="14"/>
    <d v="2022-05-17T00:00:00"/>
    <n v="1"/>
    <n v="82.18"/>
    <n v="103"/>
  </r>
  <r>
    <x v="99"/>
    <d v="2022-05-17T00:00:00"/>
    <n v="1"/>
    <n v="45.47"/>
    <n v="57"/>
  </r>
  <r>
    <x v="99"/>
    <d v="2022-05-17T00:00:00"/>
    <n v="1"/>
    <n v="45.47"/>
    <n v="57"/>
  </r>
  <r>
    <x v="99"/>
    <d v="2022-05-17T00:00:00"/>
    <n v="1"/>
    <n v="45.47"/>
    <n v="57"/>
  </r>
  <r>
    <x v="125"/>
    <d v="2022-05-17T00:00:00"/>
    <n v="1"/>
    <n v="23.24"/>
    <n v="29"/>
  </r>
  <r>
    <x v="113"/>
    <d v="2022-05-17T00:00:00"/>
    <n v="1"/>
    <n v="10.79"/>
    <n v="13"/>
  </r>
  <r>
    <x v="113"/>
    <d v="2022-05-17T00:00:00"/>
    <n v="1"/>
    <n v="10.79"/>
    <n v="13"/>
  </r>
  <r>
    <x v="45"/>
    <d v="2022-05-17T00:00:00"/>
    <n v="1"/>
    <n v="44.86"/>
    <n v="56"/>
  </r>
  <r>
    <x v="61"/>
    <d v="2022-05-17T00:00:00"/>
    <n v="1"/>
    <n v="30.6"/>
    <n v="36"/>
  </r>
  <r>
    <x v="61"/>
    <d v="2022-05-17T00:00:00"/>
    <n v="1"/>
    <n v="30.6"/>
    <n v="36"/>
  </r>
  <r>
    <x v="61"/>
    <d v="2022-05-17T00:00:00"/>
    <n v="1"/>
    <n v="30.6"/>
    <n v="36"/>
  </r>
  <r>
    <x v="1"/>
    <d v="2022-05-17T00:00:00"/>
    <n v="0.2"/>
    <n v="431.48"/>
    <n v="540"/>
  </r>
  <r>
    <x v="14"/>
    <d v="2022-05-17T00:00:00"/>
    <n v="1"/>
    <n v="82.54"/>
    <n v="103"/>
  </r>
  <r>
    <x v="18"/>
    <d v="2022-05-17T00:00:00"/>
    <n v="1"/>
    <n v="109.41"/>
    <n v="123"/>
  </r>
  <r>
    <x v="43"/>
    <d v="2022-05-17T00:00:00"/>
    <n v="1"/>
    <n v="41.24"/>
    <n v="65"/>
  </r>
  <r>
    <x v="43"/>
    <d v="2022-05-17T00:00:00"/>
    <n v="1"/>
    <n v="39.11"/>
    <n v="62"/>
  </r>
  <r>
    <x v="45"/>
    <d v="2022-05-17T00:00:00"/>
    <n v="1"/>
    <n v="44.75"/>
    <n v="55"/>
  </r>
  <r>
    <x v="139"/>
    <d v="2022-05-17T00:00:00"/>
    <n v="1"/>
    <n v="53.93"/>
    <n v="77"/>
  </r>
  <r>
    <x v="27"/>
    <d v="2022-05-17T00:00:00"/>
    <n v="2"/>
    <n v="150.1"/>
    <n v="233"/>
  </r>
  <r>
    <x v="78"/>
    <d v="2022-05-17T00:00:00"/>
    <n v="1"/>
    <n v="207.76"/>
    <n v="241"/>
  </r>
  <r>
    <x v="26"/>
    <d v="2022-05-17T00:00:00"/>
    <n v="1"/>
    <n v="13.1"/>
    <n v="18"/>
  </r>
  <r>
    <x v="26"/>
    <d v="2022-05-17T00:00:00"/>
    <n v="1"/>
    <n v="13.1"/>
    <n v="18"/>
  </r>
  <r>
    <x v="8"/>
    <d v="2022-05-17T00:00:00"/>
    <n v="1"/>
    <n v="119.06"/>
    <n v="143"/>
  </r>
  <r>
    <x v="90"/>
    <d v="2022-05-17T00:00:00"/>
    <n v="1"/>
    <n v="130.88999999999999"/>
    <n v="206"/>
  </r>
  <r>
    <x v="119"/>
    <d v="2022-05-17T00:00:00"/>
    <n v="1"/>
    <n v="42.85"/>
    <n v="70"/>
  </r>
  <r>
    <x v="56"/>
    <d v="2022-05-17T00:00:00"/>
    <n v="1"/>
    <n v="32.85"/>
    <n v="50"/>
  </r>
  <r>
    <x v="44"/>
    <d v="2022-05-17T00:00:00"/>
    <n v="1"/>
    <n v="16.309999999999999"/>
    <n v="20"/>
  </r>
  <r>
    <x v="50"/>
    <d v="2022-05-17T00:00:00"/>
    <n v="1"/>
    <n v="77.63"/>
    <n v="95"/>
  </r>
  <r>
    <x v="52"/>
    <d v="2022-05-17T00:00:00"/>
    <n v="1"/>
    <n v="233.74"/>
    <n v="274"/>
  </r>
  <r>
    <x v="90"/>
    <d v="2022-05-17T00:00:00"/>
    <n v="1"/>
    <n v="129.38"/>
    <n v="197"/>
  </r>
  <r>
    <x v="110"/>
    <d v="2022-05-17T00:00:00"/>
    <n v="1"/>
    <n v="71.02"/>
    <n v="88"/>
  </r>
  <r>
    <x v="44"/>
    <d v="2022-05-17T00:00:00"/>
    <n v="1"/>
    <n v="16.25"/>
    <n v="20"/>
  </r>
  <r>
    <x v="44"/>
    <d v="2022-05-17T00:00:00"/>
    <n v="1"/>
    <n v="16.25"/>
    <n v="20"/>
  </r>
  <r>
    <x v="44"/>
    <d v="2022-05-17T00:00:00"/>
    <n v="1"/>
    <n v="16.25"/>
    <n v="20"/>
  </r>
  <r>
    <x v="44"/>
    <d v="2022-05-17T00:00:00"/>
    <n v="1"/>
    <n v="16.25"/>
    <n v="20"/>
  </r>
  <r>
    <x v="43"/>
    <d v="2022-05-17T00:00:00"/>
    <n v="1"/>
    <n v="35.200000000000003"/>
    <n v="55"/>
  </r>
  <r>
    <x v="57"/>
    <d v="2022-05-17T00:00:00"/>
    <n v="1"/>
    <n v="24.74"/>
    <n v="30"/>
  </r>
  <r>
    <x v="57"/>
    <d v="2022-05-17T00:00:00"/>
    <n v="1"/>
    <n v="24.74"/>
    <n v="30"/>
  </r>
  <r>
    <x v="109"/>
    <d v="2022-05-17T00:00:00"/>
    <n v="1"/>
    <n v="74.8"/>
    <n v="94"/>
  </r>
  <r>
    <x v="109"/>
    <d v="2022-05-17T00:00:00"/>
    <n v="1"/>
    <n v="74.8"/>
    <n v="94"/>
  </r>
  <r>
    <x v="113"/>
    <d v="2022-05-17T00:00:00"/>
    <n v="1"/>
    <n v="11.1"/>
    <n v="13"/>
  </r>
  <r>
    <x v="7"/>
    <d v="2022-05-17T00:00:00"/>
    <n v="1"/>
    <n v="64.680000000000007"/>
    <n v="78"/>
  </r>
  <r>
    <x v="25"/>
    <d v="2022-05-17T00:00:00"/>
    <n v="1"/>
    <n v="156.19999999999999"/>
    <n v="186"/>
  </r>
  <r>
    <x v="25"/>
    <d v="2022-05-17T00:00:00"/>
    <n v="1"/>
    <n v="156.19999999999999"/>
    <n v="186"/>
  </r>
  <r>
    <x v="91"/>
    <d v="2022-05-17T00:00:00"/>
    <n v="1"/>
    <n v="71.17"/>
    <n v="102"/>
  </r>
  <r>
    <x v="60"/>
    <d v="2022-05-17T00:00:00"/>
    <n v="1"/>
    <n v="184.45"/>
    <n v="216"/>
  </r>
  <r>
    <x v="17"/>
    <d v="2022-05-17T00:00:00"/>
    <n v="1"/>
    <n v="30.3"/>
    <n v="49"/>
  </r>
  <r>
    <x v="106"/>
    <d v="2022-05-17T00:00:00"/>
    <n v="1"/>
    <n v="164.96"/>
    <n v="198"/>
  </r>
  <r>
    <x v="21"/>
    <d v="2022-05-17T00:00:00"/>
    <n v="0.4"/>
    <n v="1086.5899999999999"/>
    <n v="1391"/>
  </r>
  <r>
    <x v="29"/>
    <d v="2022-05-17T00:00:00"/>
    <n v="1"/>
    <n v="199.58"/>
    <n v="230"/>
  </r>
  <r>
    <x v="61"/>
    <d v="2022-05-17T00:00:00"/>
    <n v="1"/>
    <n v="30.6"/>
    <n v="36"/>
  </r>
  <r>
    <x v="61"/>
    <d v="2022-05-17T00:00:00"/>
    <n v="1"/>
    <n v="30.6"/>
    <n v="36"/>
  </r>
  <r>
    <x v="61"/>
    <d v="2022-05-17T00:00:00"/>
    <n v="1"/>
    <n v="30.6"/>
    <n v="36"/>
  </r>
  <r>
    <x v="61"/>
    <d v="2022-05-17T00:00:00"/>
    <n v="1"/>
    <n v="30.6"/>
    <n v="36"/>
  </r>
  <r>
    <x v="119"/>
    <d v="2022-05-17T00:00:00"/>
    <n v="1"/>
    <n v="36.75"/>
    <n v="59"/>
  </r>
  <r>
    <x v="16"/>
    <d v="2022-05-17T00:00:00"/>
    <n v="1"/>
    <n v="182.17"/>
    <n v="257"/>
  </r>
  <r>
    <x v="101"/>
    <d v="2022-05-17T00:00:00"/>
    <n v="1"/>
    <n v="41.05"/>
    <n v="51"/>
  </r>
  <r>
    <x v="124"/>
    <d v="2022-05-17T00:00:00"/>
    <n v="0.08"/>
    <n v="496.39"/>
    <n v="597"/>
  </r>
  <r>
    <x v="123"/>
    <d v="2022-05-17T00:00:00"/>
    <n v="1"/>
    <n v="313.23"/>
    <n v="423"/>
  </r>
  <r>
    <x v="138"/>
    <d v="2022-05-17T00:00:00"/>
    <n v="1"/>
    <n v="43.73"/>
    <n v="67"/>
  </r>
  <r>
    <x v="53"/>
    <d v="2022-05-17T00:00:00"/>
    <n v="1"/>
    <n v="109.24"/>
    <n v="122"/>
  </r>
  <r>
    <x v="136"/>
    <d v="2022-05-17T00:00:00"/>
    <n v="2"/>
    <n v="10.76"/>
    <n v="18"/>
  </r>
  <r>
    <x v="144"/>
    <d v="2022-05-17T00:00:00"/>
    <n v="1"/>
    <n v="206.79"/>
    <n v="273"/>
  </r>
  <r>
    <x v="24"/>
    <d v="2022-05-17T00:00:00"/>
    <n v="1"/>
    <n v="487.24"/>
    <n v="644"/>
  </r>
  <r>
    <x v="117"/>
    <d v="2022-05-17T00:00:00"/>
    <n v="1"/>
    <n v="21.23"/>
    <n v="26"/>
  </r>
  <r>
    <x v="27"/>
    <d v="2022-05-17T00:00:00"/>
    <n v="1"/>
    <n v="105.24"/>
    <n v="111.55"/>
  </r>
  <r>
    <x v="15"/>
    <d v="2022-05-17T00:00:00"/>
    <n v="1"/>
    <n v="27.59"/>
    <n v="37.83"/>
  </r>
  <r>
    <x v="105"/>
    <d v="2022-05-17T00:00:00"/>
    <n v="1"/>
    <n v="206.53"/>
    <n v="290"/>
  </r>
  <r>
    <x v="30"/>
    <d v="2022-05-17T00:00:00"/>
    <n v="1"/>
    <n v="35"/>
    <n v="54"/>
  </r>
  <r>
    <x v="30"/>
    <d v="2022-05-17T00:00:00"/>
    <n v="1"/>
    <n v="35"/>
    <n v="54"/>
  </r>
  <r>
    <x v="18"/>
    <d v="2022-05-17T00:00:00"/>
    <n v="1"/>
    <n v="109.41"/>
    <n v="123"/>
  </r>
  <r>
    <x v="127"/>
    <d v="2022-05-17T00:00:00"/>
    <n v="1"/>
    <n v="58.59"/>
    <n v="84"/>
  </r>
  <r>
    <x v="41"/>
    <d v="2022-05-17T00:00:00"/>
    <n v="1"/>
    <n v="19.420000000000002"/>
    <n v="23"/>
  </r>
  <r>
    <x v="93"/>
    <d v="2022-05-17T00:00:00"/>
    <n v="1"/>
    <n v="110.86"/>
    <n v="134"/>
  </r>
  <r>
    <x v="8"/>
    <d v="2022-05-17T00:00:00"/>
    <n v="1"/>
    <n v="119.06"/>
    <n v="143"/>
  </r>
  <r>
    <x v="15"/>
    <d v="2022-05-16T00:00:00"/>
    <n v="1"/>
    <n v="19.71"/>
    <n v="25"/>
  </r>
  <r>
    <x v="93"/>
    <d v="2022-05-16T00:00:00"/>
    <n v="1"/>
    <n v="110.99"/>
    <n v="136"/>
  </r>
  <r>
    <x v="152"/>
    <d v="2022-05-16T00:00:00"/>
    <n v="1"/>
    <n v="12"/>
    <n v="20"/>
  </r>
  <r>
    <x v="26"/>
    <d v="2022-05-16T00:00:00"/>
    <n v="1"/>
    <n v="13.19"/>
    <n v="18"/>
  </r>
  <r>
    <x v="26"/>
    <d v="2022-05-16T00:00:00"/>
    <n v="1"/>
    <n v="13.19"/>
    <n v="18"/>
  </r>
  <r>
    <x v="26"/>
    <d v="2022-05-16T00:00:00"/>
    <n v="1"/>
    <n v="13.19"/>
    <n v="18"/>
  </r>
  <r>
    <x v="26"/>
    <d v="2022-05-16T00:00:00"/>
    <n v="1"/>
    <n v="13.19"/>
    <n v="18"/>
  </r>
  <r>
    <x v="26"/>
    <d v="2022-05-16T00:00:00"/>
    <n v="1"/>
    <n v="13.19"/>
    <n v="18"/>
  </r>
  <r>
    <x v="26"/>
    <d v="2022-05-16T00:00:00"/>
    <n v="1"/>
    <n v="13.19"/>
    <n v="18"/>
  </r>
  <r>
    <x v="26"/>
    <d v="2022-05-16T00:00:00"/>
    <n v="1"/>
    <n v="13.19"/>
    <n v="18"/>
  </r>
  <r>
    <x v="26"/>
    <d v="2022-05-16T00:00:00"/>
    <n v="1"/>
    <n v="13.19"/>
    <n v="18"/>
  </r>
  <r>
    <x v="141"/>
    <d v="2022-05-16T00:00:00"/>
    <n v="1"/>
    <n v="402.29"/>
    <n v="451"/>
  </r>
  <r>
    <x v="5"/>
    <d v="2022-05-16T00:00:00"/>
    <n v="1"/>
    <n v="10.34"/>
    <n v="13"/>
  </r>
  <r>
    <x v="118"/>
    <d v="2022-05-16T00:00:00"/>
    <n v="1"/>
    <n v="62.46"/>
    <n v="80"/>
  </r>
  <r>
    <x v="14"/>
    <d v="2022-05-16T00:00:00"/>
    <n v="1"/>
    <n v="82.69"/>
    <n v="103"/>
  </r>
  <r>
    <x v="59"/>
    <d v="2022-05-16T00:00:00"/>
    <n v="1"/>
    <n v="199.69"/>
    <n v="278"/>
  </r>
  <r>
    <x v="71"/>
    <d v="2022-05-16T00:00:00"/>
    <n v="1"/>
    <n v="30.36"/>
    <n v="37"/>
  </r>
  <r>
    <x v="71"/>
    <d v="2022-05-16T00:00:00"/>
    <n v="1"/>
    <n v="30.36"/>
    <n v="37"/>
  </r>
  <r>
    <x v="153"/>
    <d v="2022-05-16T00:00:00"/>
    <n v="1"/>
    <n v="33.979999999999997"/>
    <n v="42"/>
  </r>
  <r>
    <x v="153"/>
    <d v="2022-05-16T00:00:00"/>
    <n v="1"/>
    <n v="33.979999999999997"/>
    <n v="42"/>
  </r>
  <r>
    <x v="153"/>
    <d v="2022-05-16T00:00:00"/>
    <n v="1"/>
    <n v="33.979999999999997"/>
    <n v="42"/>
  </r>
  <r>
    <x v="153"/>
    <d v="2022-05-16T00:00:00"/>
    <n v="1"/>
    <n v="33.979999999999997"/>
    <n v="42"/>
  </r>
  <r>
    <x v="153"/>
    <d v="2022-05-16T00:00:00"/>
    <n v="1"/>
    <n v="33.979999999999997"/>
    <n v="42"/>
  </r>
  <r>
    <x v="153"/>
    <d v="2022-05-16T00:00:00"/>
    <n v="1"/>
    <n v="33.979999999999997"/>
    <n v="42"/>
  </r>
  <r>
    <x v="153"/>
    <d v="2022-05-16T00:00:00"/>
    <n v="1"/>
    <n v="33.979999999999997"/>
    <n v="42"/>
  </r>
  <r>
    <x v="153"/>
    <d v="2022-05-16T00:00:00"/>
    <n v="1"/>
    <n v="33.979999999999997"/>
    <n v="42"/>
  </r>
  <r>
    <x v="153"/>
    <d v="2022-05-16T00:00:00"/>
    <n v="1"/>
    <n v="33.979999999999997"/>
    <n v="42"/>
  </r>
  <r>
    <x v="153"/>
    <d v="2022-05-16T00:00:00"/>
    <n v="1"/>
    <n v="33.979999999999997"/>
    <n v="42"/>
  </r>
  <r>
    <x v="90"/>
    <d v="2022-05-16T00:00:00"/>
    <n v="1"/>
    <n v="129.38"/>
    <n v="197"/>
  </r>
  <r>
    <x v="152"/>
    <d v="2022-05-16T00:00:00"/>
    <n v="1"/>
    <n v="12"/>
    <n v="20"/>
  </r>
  <r>
    <x v="40"/>
    <d v="2022-05-16T00:00:00"/>
    <n v="1"/>
    <n v="27.94"/>
    <n v="45"/>
  </r>
  <r>
    <x v="27"/>
    <d v="2022-05-16T00:00:00"/>
    <n v="1"/>
    <n v="105"/>
    <n v="165"/>
  </r>
  <r>
    <x v="152"/>
    <d v="2022-05-16T00:00:00"/>
    <n v="1"/>
    <n v="12"/>
    <n v="20"/>
  </r>
  <r>
    <x v="102"/>
    <d v="2022-05-16T00:00:00"/>
    <n v="1"/>
    <n v="77.989999999999995"/>
    <n v="95"/>
  </r>
  <r>
    <x v="88"/>
    <d v="2022-05-16T00:00:00"/>
    <n v="1"/>
    <n v="65.400000000000006"/>
    <n v="93"/>
  </r>
  <r>
    <x v="40"/>
    <d v="2022-05-16T00:00:00"/>
    <n v="1"/>
    <n v="27.94"/>
    <n v="45"/>
  </r>
  <r>
    <x v="151"/>
    <d v="2022-05-16T00:00:00"/>
    <n v="1"/>
    <n v="248.25"/>
    <n v="331"/>
  </r>
  <r>
    <x v="73"/>
    <d v="2022-05-16T00:00:00"/>
    <n v="1"/>
    <n v="70.540000000000006"/>
    <n v="91"/>
  </r>
  <r>
    <x v="134"/>
    <d v="2022-05-16T00:00:00"/>
    <n v="1"/>
    <n v="24.18"/>
    <n v="40"/>
  </r>
  <r>
    <x v="35"/>
    <d v="2022-05-16T00:00:00"/>
    <n v="1"/>
    <n v="173.52"/>
    <n v="208"/>
  </r>
  <r>
    <x v="61"/>
    <d v="2022-05-16T00:00:00"/>
    <n v="1"/>
    <n v="30.93"/>
    <n v="36"/>
  </r>
  <r>
    <x v="24"/>
    <d v="2022-05-16T00:00:00"/>
    <n v="1"/>
    <n v="480.05"/>
    <n v="620"/>
  </r>
  <r>
    <x v="120"/>
    <d v="2022-05-16T00:00:00"/>
    <n v="1"/>
    <n v="334.02"/>
    <n v="441"/>
  </r>
  <r>
    <x v="87"/>
    <d v="2022-05-16T00:00:00"/>
    <n v="1"/>
    <n v="5.78"/>
    <n v="8"/>
  </r>
  <r>
    <x v="67"/>
    <d v="2022-05-16T00:00:00"/>
    <n v="1"/>
    <n v="560.02"/>
    <n v="740"/>
  </r>
  <r>
    <x v="92"/>
    <d v="2022-05-16T00:00:00"/>
    <n v="1"/>
    <n v="411.88"/>
    <n v="544"/>
  </r>
  <r>
    <x v="56"/>
    <d v="2022-05-16T00:00:00"/>
    <n v="1"/>
    <n v="33.17"/>
    <n v="53"/>
  </r>
  <r>
    <x v="56"/>
    <d v="2022-05-16T00:00:00"/>
    <n v="1"/>
    <n v="33.17"/>
    <n v="53"/>
  </r>
  <r>
    <x v="141"/>
    <d v="2022-05-16T00:00:00"/>
    <n v="1"/>
    <n v="402.2"/>
    <n v="451"/>
  </r>
  <r>
    <x v="6"/>
    <d v="2022-05-16T00:00:00"/>
    <n v="1"/>
    <n v="24.2"/>
    <n v="39"/>
  </r>
  <r>
    <x v="31"/>
    <d v="2022-05-16T00:00:00"/>
    <n v="1"/>
    <n v="22.4"/>
    <n v="28"/>
  </r>
  <r>
    <x v="31"/>
    <d v="2022-05-16T00:00:00"/>
    <n v="1"/>
    <n v="22.4"/>
    <n v="28"/>
  </r>
  <r>
    <x v="105"/>
    <d v="2022-05-16T00:00:00"/>
    <n v="1"/>
    <n v="208.48"/>
    <n v="292"/>
  </r>
  <r>
    <x v="60"/>
    <d v="2022-05-16T00:00:00"/>
    <n v="1"/>
    <n v="184.45"/>
    <n v="235"/>
  </r>
  <r>
    <x v="123"/>
    <d v="2022-05-16T00:00:00"/>
    <n v="1"/>
    <n v="257.48"/>
    <n v="343"/>
  </r>
  <r>
    <x v="88"/>
    <d v="2022-05-16T00:00:00"/>
    <n v="1"/>
    <n v="70.97"/>
    <n v="106"/>
  </r>
  <r>
    <x v="131"/>
    <d v="2022-05-16T00:00:00"/>
    <n v="1"/>
    <n v="320.64999999999998"/>
    <n v="443"/>
  </r>
  <r>
    <x v="35"/>
    <d v="2022-05-16T00:00:00"/>
    <n v="1"/>
    <n v="172.76"/>
    <n v="207"/>
  </r>
  <r>
    <x v="45"/>
    <d v="2022-05-16T00:00:00"/>
    <n v="1"/>
    <n v="44.43"/>
    <n v="55"/>
  </r>
  <r>
    <x v="45"/>
    <d v="2022-05-16T00:00:00"/>
    <n v="1"/>
    <n v="44.89"/>
    <n v="56"/>
  </r>
  <r>
    <x v="6"/>
    <d v="2022-05-16T00:00:00"/>
    <n v="1"/>
    <n v="24.2"/>
    <n v="39"/>
  </r>
  <r>
    <x v="27"/>
    <d v="2022-05-16T00:00:00"/>
    <n v="1"/>
    <n v="105"/>
    <n v="165"/>
  </r>
  <r>
    <x v="51"/>
    <d v="2022-05-16T00:00:00"/>
    <n v="1"/>
    <n v="43.97"/>
    <n v="67"/>
  </r>
  <r>
    <x v="61"/>
    <d v="2022-05-16T00:00:00"/>
    <n v="1"/>
    <n v="30.6"/>
    <n v="36"/>
  </r>
  <r>
    <x v="119"/>
    <d v="2022-05-16T00:00:00"/>
    <n v="1"/>
    <n v="42.85"/>
    <n v="70"/>
  </r>
  <r>
    <x v="36"/>
    <d v="2022-05-16T00:00:00"/>
    <n v="1"/>
    <n v="13.3"/>
    <n v="22"/>
  </r>
  <r>
    <x v="154"/>
    <d v="2022-05-16T00:00:00"/>
    <n v="1"/>
    <n v="51.18"/>
    <n v="63"/>
  </r>
  <r>
    <x v="105"/>
    <d v="2022-05-16T00:00:00"/>
    <n v="1"/>
    <n v="208.48"/>
    <n v="292"/>
  </r>
  <r>
    <x v="29"/>
    <d v="2022-05-16T00:00:00"/>
    <n v="1"/>
    <n v="201.08"/>
    <n v="232"/>
  </r>
  <r>
    <x v="12"/>
    <d v="2022-05-16T00:00:00"/>
    <n v="1"/>
    <n v="382.79"/>
    <n v="460"/>
  </r>
  <r>
    <x v="15"/>
    <d v="2022-05-16T00:00:00"/>
    <n v="1"/>
    <n v="19.66"/>
    <n v="23"/>
  </r>
  <r>
    <x v="81"/>
    <d v="2022-05-16T00:00:00"/>
    <n v="1"/>
    <n v="47.4"/>
    <n v="76"/>
  </r>
  <r>
    <x v="58"/>
    <d v="2022-05-16T00:00:00"/>
    <n v="1"/>
    <n v="71.38"/>
    <n v="86"/>
  </r>
  <r>
    <x v="58"/>
    <d v="2022-05-16T00:00:00"/>
    <n v="1"/>
    <n v="71.38"/>
    <n v="86"/>
  </r>
  <r>
    <x v="72"/>
    <d v="2022-05-16T00:00:00"/>
    <n v="1"/>
    <n v="57.37"/>
    <n v="72"/>
  </r>
  <r>
    <x v="72"/>
    <d v="2022-05-16T00:00:00"/>
    <n v="1"/>
    <n v="57.37"/>
    <n v="72"/>
  </r>
  <r>
    <x v="132"/>
    <d v="2022-05-16T00:00:00"/>
    <n v="10"/>
    <n v="7.13"/>
    <n v="12"/>
  </r>
  <r>
    <x v="57"/>
    <d v="2022-05-16T00:00:00"/>
    <n v="1"/>
    <n v="24.97"/>
    <n v="30"/>
  </r>
  <r>
    <x v="100"/>
    <d v="2022-05-16T00:00:00"/>
    <n v="1"/>
    <n v="26.75"/>
    <n v="44"/>
  </r>
  <r>
    <x v="36"/>
    <d v="2022-05-16T00:00:00"/>
    <n v="3"/>
    <n v="12.75"/>
    <n v="21"/>
  </r>
  <r>
    <x v="137"/>
    <d v="2022-05-16T00:00:00"/>
    <n v="1"/>
    <n v="12.86"/>
    <n v="15"/>
  </r>
  <r>
    <x v="137"/>
    <d v="2022-05-16T00:00:00"/>
    <n v="1"/>
    <n v="12.86"/>
    <n v="15"/>
  </r>
  <r>
    <x v="3"/>
    <d v="2022-05-16T00:00:00"/>
    <n v="1"/>
    <n v="47.83"/>
    <n v="77"/>
  </r>
  <r>
    <x v="17"/>
    <d v="2022-05-16T00:00:00"/>
    <n v="1"/>
    <n v="30.3"/>
    <n v="49"/>
  </r>
  <r>
    <x v="24"/>
    <d v="2022-05-16T00:00:00"/>
    <n v="1"/>
    <n v="482.21"/>
    <n v="651"/>
  </r>
  <r>
    <x v="83"/>
    <d v="2022-05-16T00:00:00"/>
    <n v="0.2"/>
    <n v="106.51"/>
    <n v="163"/>
  </r>
  <r>
    <x v="119"/>
    <d v="2022-05-16T00:00:00"/>
    <n v="1"/>
    <n v="36.75"/>
    <n v="59"/>
  </r>
  <r>
    <x v="30"/>
    <d v="2022-05-16T00:00:00"/>
    <n v="1"/>
    <n v="35"/>
    <n v="54"/>
  </r>
  <r>
    <x v="57"/>
    <d v="2022-05-16T00:00:00"/>
    <n v="1"/>
    <n v="25.19"/>
    <n v="30"/>
  </r>
  <r>
    <x v="100"/>
    <d v="2022-05-16T00:00:00"/>
    <n v="1"/>
    <n v="26.75"/>
    <n v="44"/>
  </r>
  <r>
    <x v="51"/>
    <d v="2022-05-16T00:00:00"/>
    <n v="1"/>
    <n v="43.97"/>
    <n v="69"/>
  </r>
  <r>
    <x v="129"/>
    <d v="2022-05-16T00:00:00"/>
    <n v="1"/>
    <n v="27.41"/>
    <n v="42"/>
  </r>
  <r>
    <x v="129"/>
    <d v="2022-05-16T00:00:00"/>
    <n v="1"/>
    <n v="27.41"/>
    <n v="42"/>
  </r>
  <r>
    <x v="40"/>
    <d v="2022-05-16T00:00:00"/>
    <n v="1"/>
    <n v="27.21"/>
    <n v="44"/>
  </r>
  <r>
    <x v="132"/>
    <d v="2022-05-16T00:00:00"/>
    <n v="3"/>
    <n v="8.5"/>
    <n v="14"/>
  </r>
  <r>
    <x v="132"/>
    <d v="2022-05-16T00:00:00"/>
    <n v="2"/>
    <n v="8.5"/>
    <n v="14"/>
  </r>
  <r>
    <x v="27"/>
    <d v="2022-05-16T00:00:00"/>
    <n v="0.1"/>
    <n v="105"/>
    <n v="161"/>
  </r>
  <r>
    <x v="24"/>
    <d v="2022-05-16T00:00:00"/>
    <n v="1"/>
    <n v="480.11"/>
    <n v="649"/>
  </r>
  <r>
    <x v="26"/>
    <d v="2022-05-16T00:00:00"/>
    <n v="1"/>
    <n v="13.19"/>
    <n v="18"/>
  </r>
  <r>
    <x v="26"/>
    <d v="2022-05-16T00:00:00"/>
    <n v="1"/>
    <n v="13.19"/>
    <n v="18"/>
  </r>
  <r>
    <x v="26"/>
    <d v="2022-05-16T00:00:00"/>
    <n v="1"/>
    <n v="13.19"/>
    <n v="18"/>
  </r>
  <r>
    <x v="26"/>
    <d v="2022-05-16T00:00:00"/>
    <n v="1"/>
    <n v="13.19"/>
    <n v="18"/>
  </r>
  <r>
    <x v="24"/>
    <d v="2022-05-16T00:00:00"/>
    <n v="1"/>
    <n v="522.39"/>
    <n v="547"/>
  </r>
  <r>
    <x v="155"/>
    <d v="2022-05-16T00:00:00"/>
    <n v="1"/>
    <n v="81.8"/>
    <n v="99"/>
  </r>
  <r>
    <x v="115"/>
    <d v="2022-05-16T00:00:00"/>
    <n v="1"/>
    <n v="132.15"/>
    <n v="179"/>
  </r>
  <r>
    <x v="53"/>
    <d v="2022-05-16T00:00:00"/>
    <n v="1"/>
    <n v="76.739999999999995"/>
    <n v="93"/>
  </r>
  <r>
    <x v="53"/>
    <d v="2022-05-16T00:00:00"/>
    <n v="1"/>
    <n v="89.15"/>
    <n v="107"/>
  </r>
  <r>
    <x v="3"/>
    <d v="2022-05-16T00:00:00"/>
    <n v="1"/>
    <n v="47.83"/>
    <n v="77"/>
  </r>
  <r>
    <x v="63"/>
    <d v="2022-05-16T00:00:00"/>
    <n v="1"/>
    <n v="69.41"/>
    <n v="104"/>
  </r>
  <r>
    <x v="63"/>
    <d v="2022-05-16T00:00:00"/>
    <n v="1"/>
    <n v="69.41"/>
    <n v="104"/>
  </r>
  <r>
    <x v="44"/>
    <d v="2022-05-16T00:00:00"/>
    <n v="1"/>
    <n v="16.25"/>
    <n v="20"/>
  </r>
  <r>
    <x v="44"/>
    <d v="2022-05-16T00:00:00"/>
    <n v="1"/>
    <n v="16.25"/>
    <n v="20"/>
  </r>
  <r>
    <x v="105"/>
    <d v="2022-05-16T00:00:00"/>
    <n v="1"/>
    <n v="240.43"/>
    <n v="325"/>
  </r>
  <r>
    <x v="40"/>
    <d v="2022-05-16T00:00:00"/>
    <n v="1"/>
    <n v="25.36"/>
    <n v="42"/>
  </r>
  <r>
    <x v="133"/>
    <d v="2022-05-16T00:00:00"/>
    <n v="1"/>
    <n v="46.5"/>
    <n v="76"/>
  </r>
  <r>
    <x v="54"/>
    <d v="2022-05-16T00:00:00"/>
    <n v="1"/>
    <n v="11.59"/>
    <n v="19"/>
  </r>
  <r>
    <x v="137"/>
    <d v="2022-05-16T00:00:00"/>
    <n v="1"/>
    <n v="12.86"/>
    <n v="15"/>
  </r>
  <r>
    <x v="42"/>
    <d v="2022-05-16T00:00:00"/>
    <n v="1"/>
    <n v="46.14"/>
    <n v="73"/>
  </r>
  <r>
    <x v="120"/>
    <d v="2022-05-16T00:00:00"/>
    <n v="1"/>
    <n v="332.31"/>
    <n v="439"/>
  </r>
  <r>
    <x v="15"/>
    <d v="2022-05-16T00:00:00"/>
    <n v="1"/>
    <n v="19.71"/>
    <n v="25"/>
  </r>
  <r>
    <x v="19"/>
    <d v="2022-05-16T00:00:00"/>
    <n v="1"/>
    <n v="103.96"/>
    <n v="125"/>
  </r>
  <r>
    <x v="131"/>
    <d v="2022-05-16T00:00:00"/>
    <n v="1"/>
    <n v="286.19"/>
    <n v="381"/>
  </r>
  <r>
    <x v="122"/>
    <d v="2022-05-16T00:00:00"/>
    <n v="1"/>
    <n v="127.08"/>
    <n v="180"/>
  </r>
  <r>
    <x v="38"/>
    <d v="2022-05-16T00:00:00"/>
    <n v="1"/>
    <n v="134.68"/>
    <n v="162"/>
  </r>
  <r>
    <x v="137"/>
    <d v="2022-05-16T00:00:00"/>
    <n v="1"/>
    <n v="12.86"/>
    <n v="15"/>
  </r>
  <r>
    <x v="154"/>
    <d v="2022-05-16T00:00:00"/>
    <n v="1"/>
    <n v="51.89"/>
    <n v="64"/>
  </r>
  <r>
    <x v="154"/>
    <d v="2022-05-16T00:00:00"/>
    <n v="1"/>
    <n v="51.89"/>
    <n v="64"/>
  </r>
  <r>
    <x v="119"/>
    <d v="2022-05-16T00:00:00"/>
    <n v="1"/>
    <n v="36.75"/>
    <n v="59"/>
  </r>
  <r>
    <x v="29"/>
    <d v="2022-05-16T00:00:00"/>
    <n v="1"/>
    <n v="202.75"/>
    <n v="238"/>
  </r>
  <r>
    <x v="150"/>
    <d v="2022-05-16T00:00:00"/>
    <n v="0.32"/>
    <n v="529.47"/>
    <n v="736"/>
  </r>
  <r>
    <x v="150"/>
    <d v="2022-05-16T00:00:00"/>
    <n v="0.08"/>
    <n v="495.72"/>
    <n v="704"/>
  </r>
  <r>
    <x v="31"/>
    <d v="2022-05-16T00:00:00"/>
    <n v="1"/>
    <n v="22.93"/>
    <n v="29"/>
  </r>
  <r>
    <x v="88"/>
    <d v="2022-05-16T00:00:00"/>
    <n v="1"/>
    <n v="66.180000000000007"/>
    <n v="94"/>
  </r>
  <r>
    <x v="21"/>
    <d v="2022-05-16T00:00:00"/>
    <n v="0.3"/>
    <n v="989.67"/>
    <n v="1356"/>
  </r>
  <r>
    <x v="144"/>
    <d v="2022-05-16T00:00:00"/>
    <n v="1"/>
    <n v="236.96"/>
    <n v="320"/>
  </r>
  <r>
    <x v="31"/>
    <d v="2022-05-16T00:00:00"/>
    <n v="1"/>
    <n v="32.67"/>
    <n v="41"/>
  </r>
  <r>
    <x v="15"/>
    <d v="2022-05-16T00:00:00"/>
    <n v="1"/>
    <n v="19.71"/>
    <n v="25"/>
  </r>
  <r>
    <x v="15"/>
    <d v="2022-05-16T00:00:00"/>
    <n v="1"/>
    <n v="19.71"/>
    <n v="25"/>
  </r>
  <r>
    <x v="26"/>
    <d v="2022-05-16T00:00:00"/>
    <n v="1"/>
    <n v="12.59"/>
    <n v="17"/>
  </r>
  <r>
    <x v="26"/>
    <d v="2022-05-16T00:00:00"/>
    <n v="1"/>
    <n v="12.59"/>
    <n v="17"/>
  </r>
  <r>
    <x v="26"/>
    <d v="2022-05-16T00:00:00"/>
    <n v="1"/>
    <n v="13.1"/>
    <n v="18"/>
  </r>
  <r>
    <x v="26"/>
    <d v="2022-05-16T00:00:00"/>
    <n v="1"/>
    <n v="13.1"/>
    <n v="18"/>
  </r>
  <r>
    <x v="84"/>
    <d v="2022-05-16T00:00:00"/>
    <n v="1"/>
    <n v="81.17"/>
    <n v="116"/>
  </r>
  <r>
    <x v="138"/>
    <d v="2022-05-16T00:00:00"/>
    <n v="1"/>
    <n v="45.97"/>
    <n v="73"/>
  </r>
  <r>
    <x v="20"/>
    <d v="2022-05-16T00:00:00"/>
    <n v="1"/>
    <n v="147.18"/>
    <n v="177"/>
  </r>
  <r>
    <x v="113"/>
    <d v="2022-05-16T00:00:00"/>
    <n v="1"/>
    <n v="11.1"/>
    <n v="13"/>
  </r>
  <r>
    <x v="128"/>
    <d v="2022-05-16T00:00:00"/>
    <n v="2"/>
    <n v="6.13"/>
    <n v="10"/>
  </r>
  <r>
    <x v="29"/>
    <d v="2022-05-16T00:00:00"/>
    <n v="1"/>
    <n v="199.58"/>
    <n v="230"/>
  </r>
  <r>
    <x v="149"/>
    <d v="2022-05-16T00:00:00"/>
    <n v="1"/>
    <n v="122.39"/>
    <n v="147"/>
  </r>
  <r>
    <x v="31"/>
    <d v="2022-05-16T00:00:00"/>
    <n v="1"/>
    <n v="22.93"/>
    <n v="29"/>
  </r>
  <r>
    <x v="77"/>
    <d v="2022-05-16T00:00:00"/>
    <n v="1"/>
    <n v="40.1"/>
    <n v="51"/>
  </r>
  <r>
    <x v="18"/>
    <d v="2022-05-16T00:00:00"/>
    <n v="1"/>
    <n v="173.8"/>
    <n v="182"/>
  </r>
  <r>
    <x v="61"/>
    <d v="2022-05-16T00:00:00"/>
    <n v="1"/>
    <n v="31.69"/>
    <n v="37"/>
  </r>
  <r>
    <x v="0"/>
    <d v="2022-05-16T00:00:00"/>
    <n v="1"/>
    <n v="145.53"/>
    <n v="161"/>
  </r>
  <r>
    <x v="0"/>
    <d v="2022-05-16T00:00:00"/>
    <n v="1"/>
    <n v="145.6"/>
    <n v="169"/>
  </r>
  <r>
    <x v="18"/>
    <d v="2022-05-16T00:00:00"/>
    <n v="1"/>
    <n v="109.41"/>
    <n v="123"/>
  </r>
  <r>
    <x v="15"/>
    <d v="2022-05-16T00:00:00"/>
    <n v="1"/>
    <n v="19.71"/>
    <n v="25"/>
  </r>
  <r>
    <x v="15"/>
    <d v="2022-05-16T00:00:00"/>
    <n v="1"/>
    <n v="19.71"/>
    <n v="25"/>
  </r>
  <r>
    <x v="97"/>
    <d v="2022-05-16T00:00:00"/>
    <n v="1"/>
    <n v="26.18"/>
    <n v="33"/>
  </r>
  <r>
    <x v="97"/>
    <d v="2022-05-16T00:00:00"/>
    <n v="1"/>
    <n v="26.18"/>
    <n v="33"/>
  </r>
  <r>
    <x v="116"/>
    <d v="2022-05-16T00:00:00"/>
    <n v="1"/>
    <n v="7.24"/>
    <n v="12"/>
  </r>
  <r>
    <x v="78"/>
    <d v="2022-05-16T00:00:00"/>
    <n v="1"/>
    <n v="207.76"/>
    <n v="246"/>
  </r>
  <r>
    <x v="153"/>
    <d v="2022-05-16T00:00:00"/>
    <n v="1"/>
    <n v="31.17"/>
    <n v="39"/>
  </r>
  <r>
    <x v="153"/>
    <d v="2022-05-16T00:00:00"/>
    <n v="1"/>
    <n v="31.17"/>
    <n v="39"/>
  </r>
  <r>
    <x v="153"/>
    <d v="2022-05-16T00:00:00"/>
    <n v="1"/>
    <n v="31.17"/>
    <n v="39"/>
  </r>
  <r>
    <x v="153"/>
    <d v="2022-05-16T00:00:00"/>
    <n v="1"/>
    <n v="31.17"/>
    <n v="39"/>
  </r>
  <r>
    <x v="153"/>
    <d v="2022-05-16T00:00:00"/>
    <n v="1"/>
    <n v="31.17"/>
    <n v="39"/>
  </r>
  <r>
    <x v="153"/>
    <d v="2022-05-16T00:00:00"/>
    <n v="1"/>
    <n v="31.17"/>
    <n v="39"/>
  </r>
  <r>
    <x v="153"/>
    <d v="2022-05-16T00:00:00"/>
    <n v="1"/>
    <n v="31.17"/>
    <n v="39"/>
  </r>
  <r>
    <x v="153"/>
    <d v="2022-05-16T00:00:00"/>
    <n v="1"/>
    <n v="31.17"/>
    <n v="39"/>
  </r>
  <r>
    <x v="153"/>
    <d v="2022-05-16T00:00:00"/>
    <n v="1"/>
    <n v="31.17"/>
    <n v="39"/>
  </r>
  <r>
    <x v="153"/>
    <d v="2022-05-16T00:00:00"/>
    <n v="1"/>
    <n v="31.17"/>
    <n v="39"/>
  </r>
  <r>
    <x v="90"/>
    <d v="2022-05-16T00:00:00"/>
    <n v="1"/>
    <n v="130.88999999999999"/>
    <n v="206"/>
  </r>
  <r>
    <x v="27"/>
    <d v="2022-05-16T00:00:00"/>
    <n v="1"/>
    <n v="125.73"/>
    <n v="198"/>
  </r>
  <r>
    <x v="149"/>
    <d v="2022-05-16T00:00:00"/>
    <n v="1"/>
    <n v="122.04"/>
    <n v="147"/>
  </r>
  <r>
    <x v="149"/>
    <d v="2022-05-16T00:00:00"/>
    <n v="1"/>
    <n v="122.04"/>
    <n v="147"/>
  </r>
  <r>
    <x v="20"/>
    <d v="2022-05-16T00:00:00"/>
    <n v="1"/>
    <n v="147.18"/>
    <n v="177"/>
  </r>
  <r>
    <x v="20"/>
    <d v="2022-05-16T00:00:00"/>
    <n v="1"/>
    <n v="147.18"/>
    <n v="177"/>
  </r>
  <r>
    <x v="25"/>
    <d v="2022-05-16T00:00:00"/>
    <n v="1"/>
    <n v="156.19999999999999"/>
    <n v="186"/>
  </r>
  <r>
    <x v="25"/>
    <d v="2022-05-16T00:00:00"/>
    <n v="1"/>
    <n v="156.19999999999999"/>
    <n v="186"/>
  </r>
  <r>
    <x v="79"/>
    <d v="2022-05-16T00:00:00"/>
    <n v="1"/>
    <n v="168.78"/>
    <n v="195"/>
  </r>
  <r>
    <x v="79"/>
    <d v="2022-05-16T00:00:00"/>
    <n v="1"/>
    <n v="153.75"/>
    <n v="177"/>
  </r>
  <r>
    <x v="122"/>
    <d v="2022-05-16T00:00:00"/>
    <n v="1"/>
    <n v="117.61"/>
    <n v="171"/>
  </r>
  <r>
    <x v="59"/>
    <d v="2022-05-16T00:00:00"/>
    <n v="1"/>
    <n v="204.19"/>
    <n v="286"/>
  </r>
  <r>
    <x v="3"/>
    <d v="2022-05-16T00:00:00"/>
    <n v="1"/>
    <n v="47.03"/>
    <n v="76"/>
  </r>
  <r>
    <x v="3"/>
    <d v="2022-05-16T00:00:00"/>
    <n v="1"/>
    <n v="47.83"/>
    <n v="77"/>
  </r>
  <r>
    <x v="87"/>
    <d v="2022-05-16T00:00:00"/>
    <n v="10"/>
    <n v="6.2"/>
    <n v="9"/>
  </r>
  <r>
    <x v="51"/>
    <d v="2022-05-16T00:00:00"/>
    <n v="1"/>
    <n v="43.97"/>
    <n v="67"/>
  </r>
  <r>
    <x v="155"/>
    <d v="2022-05-16T00:00:00"/>
    <n v="1"/>
    <n v="80.73"/>
    <n v="100"/>
  </r>
  <r>
    <x v="35"/>
    <d v="2022-05-16T00:00:00"/>
    <n v="1"/>
    <n v="186.56"/>
    <n v="213"/>
  </r>
  <r>
    <x v="110"/>
    <d v="2022-05-16T00:00:00"/>
    <n v="1"/>
    <n v="76.010000000000005"/>
    <n v="91"/>
  </r>
  <r>
    <x v="110"/>
    <d v="2022-05-16T00:00:00"/>
    <n v="1"/>
    <n v="76.010000000000005"/>
    <n v="91"/>
  </r>
  <r>
    <x v="15"/>
    <d v="2022-05-16T00:00:00"/>
    <n v="1"/>
    <n v="22.66"/>
    <n v="30"/>
  </r>
  <r>
    <x v="15"/>
    <d v="2022-05-16T00:00:00"/>
    <n v="1"/>
    <n v="22.66"/>
    <n v="30"/>
  </r>
  <r>
    <x v="136"/>
    <d v="2022-05-16T00:00:00"/>
    <n v="1"/>
    <n v="14.69"/>
    <n v="26"/>
  </r>
  <r>
    <x v="53"/>
    <d v="2022-05-16T00:00:00"/>
    <n v="1"/>
    <n v="90.1"/>
    <n v="107"/>
  </r>
  <r>
    <x v="53"/>
    <d v="2022-05-16T00:00:00"/>
    <n v="1"/>
    <n v="90.1"/>
    <n v="107"/>
  </r>
  <r>
    <x v="147"/>
    <d v="2022-05-16T00:00:00"/>
    <n v="1"/>
    <n v="104.76"/>
    <n v="131"/>
  </r>
  <r>
    <x v="0"/>
    <d v="2022-05-16T00:00:00"/>
    <n v="1"/>
    <n v="131.93"/>
    <n v="151"/>
  </r>
  <r>
    <x v="0"/>
    <d v="2022-05-16T00:00:00"/>
    <n v="1"/>
    <n v="131.93"/>
    <n v="151"/>
  </r>
  <r>
    <x v="138"/>
    <d v="2022-05-16T00:00:00"/>
    <n v="1"/>
    <n v="50.45"/>
    <n v="77"/>
  </r>
  <r>
    <x v="18"/>
    <d v="2022-05-16T00:00:00"/>
    <n v="1"/>
    <n v="109.41"/>
    <n v="123"/>
  </r>
  <r>
    <x v="95"/>
    <d v="2022-05-16T00:00:00"/>
    <n v="1"/>
    <n v="37.49"/>
    <n v="59"/>
  </r>
  <r>
    <x v="122"/>
    <d v="2022-05-16T00:00:00"/>
    <n v="1"/>
    <n v="120.97"/>
    <n v="166"/>
  </r>
  <r>
    <x v="15"/>
    <d v="2022-05-16T00:00:00"/>
    <n v="1"/>
    <n v="22.66"/>
    <n v="30"/>
  </r>
  <r>
    <x v="92"/>
    <d v="2022-05-16T00:00:00"/>
    <n v="1"/>
    <n v="411.88"/>
    <n v="544"/>
  </r>
  <r>
    <x v="155"/>
    <d v="2022-05-16T00:00:00"/>
    <n v="1"/>
    <n v="81.819999999999993"/>
    <n v="99"/>
  </r>
  <r>
    <x v="155"/>
    <d v="2022-05-16T00:00:00"/>
    <n v="1"/>
    <n v="81.819999999999993"/>
    <n v="99"/>
  </r>
  <r>
    <x v="148"/>
    <d v="2022-05-16T00:00:00"/>
    <n v="1"/>
    <n v="10.34"/>
    <n v="12"/>
  </r>
  <r>
    <x v="148"/>
    <d v="2022-05-16T00:00:00"/>
    <n v="1"/>
    <n v="10.34"/>
    <n v="12"/>
  </r>
  <r>
    <x v="148"/>
    <d v="2022-05-16T00:00:00"/>
    <n v="1"/>
    <n v="10.34"/>
    <n v="12"/>
  </r>
  <r>
    <x v="9"/>
    <d v="2022-05-16T00:00:00"/>
    <n v="0.2"/>
    <n v="455.4"/>
    <n v="602"/>
  </r>
  <r>
    <x v="64"/>
    <d v="2022-05-16T00:00:00"/>
    <n v="1"/>
    <n v="19.989999999999998"/>
    <n v="24"/>
  </r>
  <r>
    <x v="43"/>
    <d v="2022-05-16T00:00:00"/>
    <n v="1"/>
    <n v="38.67"/>
    <n v="59"/>
  </r>
  <r>
    <x v="101"/>
    <d v="2022-05-16T00:00:00"/>
    <n v="1"/>
    <n v="46.2"/>
    <n v="56"/>
  </r>
  <r>
    <x v="101"/>
    <d v="2022-05-16T00:00:00"/>
    <n v="1"/>
    <n v="46.2"/>
    <n v="56"/>
  </r>
  <r>
    <x v="51"/>
    <d v="2022-05-16T00:00:00"/>
    <n v="1"/>
    <n v="43.97"/>
    <n v="67"/>
  </r>
  <r>
    <x v="51"/>
    <d v="2022-05-16T00:00:00"/>
    <n v="1"/>
    <n v="43.97"/>
    <n v="67"/>
  </r>
  <r>
    <x v="17"/>
    <d v="2022-05-16T00:00:00"/>
    <n v="1"/>
    <n v="30.3"/>
    <n v="49"/>
  </r>
  <r>
    <x v="38"/>
    <d v="2022-05-16T00:00:00"/>
    <n v="1"/>
    <n v="134.94999999999999"/>
    <n v="162"/>
  </r>
  <r>
    <x v="112"/>
    <d v="2022-05-16T00:00:00"/>
    <n v="1"/>
    <n v="23.14"/>
    <n v="28"/>
  </r>
  <r>
    <x v="139"/>
    <d v="2022-05-16T00:00:00"/>
    <n v="1"/>
    <n v="51.32"/>
    <n v="73"/>
  </r>
  <r>
    <x v="139"/>
    <d v="2022-05-16T00:00:00"/>
    <n v="1"/>
    <n v="51.32"/>
    <n v="73"/>
  </r>
  <r>
    <x v="14"/>
    <d v="2022-05-16T00:00:00"/>
    <n v="1"/>
    <n v="81.58"/>
    <n v="102"/>
  </r>
  <r>
    <x v="42"/>
    <d v="2022-05-16T00:00:00"/>
    <n v="1"/>
    <n v="42.85"/>
    <n v="67"/>
  </r>
  <r>
    <x v="95"/>
    <d v="2022-05-16T00:00:00"/>
    <n v="1"/>
    <n v="36.29"/>
    <n v="57"/>
  </r>
  <r>
    <x v="2"/>
    <d v="2022-05-16T00:00:00"/>
    <n v="1"/>
    <n v="88.4"/>
    <n v="109"/>
  </r>
  <r>
    <x v="55"/>
    <d v="2022-05-16T00:00:00"/>
    <n v="1"/>
    <n v="58.06"/>
    <n v="72"/>
  </r>
  <r>
    <x v="92"/>
    <d v="2022-05-16T00:00:00"/>
    <n v="1"/>
    <n v="411.88"/>
    <n v="544"/>
  </r>
  <r>
    <x v="61"/>
    <d v="2022-05-16T00:00:00"/>
    <n v="1"/>
    <n v="30.6"/>
    <n v="36"/>
  </r>
  <r>
    <x v="61"/>
    <d v="2022-05-16T00:00:00"/>
    <n v="1"/>
    <n v="30.6"/>
    <n v="36"/>
  </r>
  <r>
    <x v="61"/>
    <d v="2022-05-16T00:00:00"/>
    <n v="1"/>
    <n v="30.6"/>
    <n v="36"/>
  </r>
  <r>
    <x v="20"/>
    <d v="2022-05-16T00:00:00"/>
    <n v="1"/>
    <n v="147.18"/>
    <n v="177"/>
  </r>
  <r>
    <x v="29"/>
    <d v="2022-05-16T00:00:00"/>
    <n v="1"/>
    <n v="202.75"/>
    <n v="234"/>
  </r>
  <r>
    <x v="13"/>
    <d v="2022-05-16T00:00:00"/>
    <n v="1"/>
    <n v="46"/>
    <n v="70"/>
  </r>
  <r>
    <x v="34"/>
    <d v="2022-05-16T00:00:00"/>
    <n v="1"/>
    <n v="9.76"/>
    <n v="16"/>
  </r>
  <r>
    <x v="68"/>
    <d v="2022-05-16T00:00:00"/>
    <n v="5"/>
    <n v="7.97"/>
    <n v="13"/>
  </r>
  <r>
    <x v="119"/>
    <d v="2022-05-16T00:00:00"/>
    <n v="1"/>
    <n v="37.869999999999997"/>
    <n v="62"/>
  </r>
  <r>
    <x v="144"/>
    <d v="2022-05-16T00:00:00"/>
    <n v="1"/>
    <n v="218.9"/>
    <n v="300"/>
  </r>
  <r>
    <x v="144"/>
    <d v="2022-05-16T00:00:00"/>
    <n v="1"/>
    <n v="218.9"/>
    <n v="300"/>
  </r>
  <r>
    <x v="144"/>
    <d v="2022-05-16T00:00:00"/>
    <n v="1"/>
    <n v="218.9"/>
    <n v="300"/>
  </r>
  <r>
    <x v="144"/>
    <d v="2022-05-16T00:00:00"/>
    <n v="1"/>
    <n v="218.9"/>
    <n v="300"/>
  </r>
  <r>
    <x v="13"/>
    <d v="2022-05-16T00:00:00"/>
    <n v="1"/>
    <n v="44"/>
    <n v="70"/>
  </r>
  <r>
    <x v="19"/>
    <d v="2022-05-16T00:00:00"/>
    <n v="1"/>
    <n v="95.88"/>
    <n v="118"/>
  </r>
  <r>
    <x v="19"/>
    <d v="2022-05-16T00:00:00"/>
    <n v="1"/>
    <n v="95.88"/>
    <n v="118"/>
  </r>
  <r>
    <x v="61"/>
    <d v="2022-05-16T00:00:00"/>
    <n v="1"/>
    <n v="31.69"/>
    <n v="37"/>
  </r>
  <r>
    <x v="61"/>
    <d v="2022-05-16T00:00:00"/>
    <n v="1"/>
    <n v="31.69"/>
    <n v="37"/>
  </r>
  <r>
    <x v="141"/>
    <d v="2022-05-16T00:00:00"/>
    <n v="1"/>
    <n v="411.54"/>
    <n v="461"/>
  </r>
  <r>
    <x v="63"/>
    <d v="2022-05-16T00:00:00"/>
    <n v="1"/>
    <n v="50.93"/>
    <n v="78"/>
  </r>
  <r>
    <x v="63"/>
    <d v="2022-05-16T00:00:00"/>
    <n v="1"/>
    <n v="50.93"/>
    <n v="78"/>
  </r>
  <r>
    <x v="63"/>
    <d v="2022-05-16T00:00:00"/>
    <n v="1"/>
    <n v="50.93"/>
    <n v="78"/>
  </r>
  <r>
    <x v="148"/>
    <d v="2022-05-16T00:00:00"/>
    <n v="1"/>
    <n v="10.34"/>
    <n v="12"/>
  </r>
  <r>
    <x v="14"/>
    <d v="2022-05-16T00:00:00"/>
    <n v="1"/>
    <n v="81.69"/>
    <n v="102"/>
  </r>
  <r>
    <x v="100"/>
    <d v="2022-05-16T00:00:00"/>
    <n v="1"/>
    <n v="26.75"/>
    <n v="44"/>
  </r>
  <r>
    <x v="80"/>
    <d v="2022-05-16T00:00:00"/>
    <n v="1"/>
    <n v="15.51"/>
    <n v="24"/>
  </r>
  <r>
    <x v="80"/>
    <d v="2022-05-16T00:00:00"/>
    <n v="1"/>
    <n v="15.51"/>
    <n v="24"/>
  </r>
  <r>
    <x v="137"/>
    <d v="2022-05-16T00:00:00"/>
    <n v="1"/>
    <n v="12.86"/>
    <n v="15"/>
  </r>
  <r>
    <x v="91"/>
    <d v="2022-05-16T00:00:00"/>
    <n v="1"/>
    <n v="71.17"/>
    <n v="102"/>
  </r>
  <r>
    <x v="45"/>
    <d v="2022-05-16T00:00:00"/>
    <n v="1"/>
    <n v="44.86"/>
    <n v="56"/>
  </r>
  <r>
    <x v="73"/>
    <d v="2022-05-16T00:00:00"/>
    <n v="1"/>
    <n v="65.56"/>
    <n v="84"/>
  </r>
  <r>
    <x v="122"/>
    <d v="2022-05-16T00:00:00"/>
    <n v="1"/>
    <n v="119.8"/>
    <n v="167"/>
  </r>
  <r>
    <x v="104"/>
    <d v="2022-05-16T00:00:00"/>
    <n v="1"/>
    <n v="87.23"/>
    <n v="105"/>
  </r>
  <r>
    <x v="104"/>
    <d v="2022-05-16T00:00:00"/>
    <n v="1"/>
    <n v="87.23"/>
    <n v="105"/>
  </r>
  <r>
    <x v="21"/>
    <d v="2022-05-16T00:00:00"/>
    <n v="0.1"/>
    <n v="987.81"/>
    <n v="1235"/>
  </r>
  <r>
    <x v="36"/>
    <d v="2022-05-16T00:00:00"/>
    <n v="1"/>
    <n v="13.3"/>
    <n v="22"/>
  </r>
  <r>
    <x v="61"/>
    <d v="2022-05-16T00:00:00"/>
    <n v="1"/>
    <n v="30.78"/>
    <n v="36"/>
  </r>
  <r>
    <x v="61"/>
    <d v="2022-05-16T00:00:00"/>
    <n v="1"/>
    <n v="30.78"/>
    <n v="36"/>
  </r>
  <r>
    <x v="85"/>
    <d v="2022-05-16T00:00:00"/>
    <n v="1"/>
    <n v="401.83"/>
    <n v="483"/>
  </r>
  <r>
    <x v="6"/>
    <d v="2022-05-16T00:00:00"/>
    <n v="1"/>
    <n v="24.2"/>
    <n v="39"/>
  </r>
  <r>
    <x v="58"/>
    <d v="2022-05-16T00:00:00"/>
    <n v="1"/>
    <n v="71.790000000000006"/>
    <n v="87"/>
  </r>
  <r>
    <x v="14"/>
    <d v="2022-05-16T00:00:00"/>
    <n v="1"/>
    <n v="82.54"/>
    <n v="103"/>
  </r>
  <r>
    <x v="46"/>
    <d v="2022-05-16T00:00:00"/>
    <n v="4"/>
    <n v="2.0499999999999998"/>
    <n v="4"/>
  </r>
  <r>
    <x v="46"/>
    <d v="2022-05-16T00:00:00"/>
    <n v="4"/>
    <n v="2.0499999999999998"/>
    <n v="4"/>
  </r>
  <r>
    <x v="43"/>
    <d v="2022-05-16T00:00:00"/>
    <n v="1"/>
    <n v="38.67"/>
    <n v="60"/>
  </r>
  <r>
    <x v="109"/>
    <d v="2022-05-16T00:00:00"/>
    <n v="1"/>
    <n v="74.8"/>
    <n v="94"/>
  </r>
  <r>
    <x v="38"/>
    <d v="2022-05-16T00:00:00"/>
    <n v="1"/>
    <n v="134.68"/>
    <n v="162"/>
  </r>
  <r>
    <x v="40"/>
    <d v="2022-05-16T00:00:00"/>
    <n v="1"/>
    <n v="25.2"/>
    <n v="41"/>
  </r>
  <r>
    <x v="144"/>
    <d v="2022-05-16T00:00:00"/>
    <n v="1"/>
    <n v="221.03"/>
    <n v="310"/>
  </r>
  <r>
    <x v="21"/>
    <d v="2022-05-16T00:00:00"/>
    <n v="0.2"/>
    <n v="989.8"/>
    <n v="1238"/>
  </r>
  <r>
    <x v="151"/>
    <d v="2022-05-16T00:00:00"/>
    <n v="1"/>
    <n v="248.25"/>
    <n v="336"/>
  </r>
  <r>
    <x v="95"/>
    <d v="2022-05-16T00:00:00"/>
    <n v="1"/>
    <n v="35.49"/>
    <n v="54"/>
  </r>
  <r>
    <x v="73"/>
    <d v="2022-05-16T00:00:00"/>
    <n v="1"/>
    <n v="72.11"/>
    <n v="91"/>
  </r>
  <r>
    <x v="88"/>
    <d v="2022-05-16T00:00:00"/>
    <n v="1"/>
    <n v="65.400000000000006"/>
    <n v="93"/>
  </r>
  <r>
    <x v="57"/>
    <d v="2022-05-16T00:00:00"/>
    <n v="1"/>
    <n v="24.97"/>
    <n v="30"/>
  </r>
  <r>
    <x v="57"/>
    <d v="2022-05-16T00:00:00"/>
    <n v="1"/>
    <n v="24.97"/>
    <n v="30"/>
  </r>
  <r>
    <x v="45"/>
    <d v="2022-05-16T00:00:00"/>
    <n v="1"/>
    <n v="43.86"/>
    <n v="55"/>
  </r>
  <r>
    <x v="45"/>
    <d v="2022-05-16T00:00:00"/>
    <n v="1"/>
    <n v="43.86"/>
    <n v="55"/>
  </r>
  <r>
    <x v="110"/>
    <d v="2022-05-16T00:00:00"/>
    <n v="1"/>
    <n v="70.95"/>
    <n v="89"/>
  </r>
  <r>
    <x v="133"/>
    <d v="2022-05-16T00:00:00"/>
    <n v="1"/>
    <n v="46.5"/>
    <n v="76"/>
  </r>
  <r>
    <x v="21"/>
    <d v="2022-05-16T00:00:00"/>
    <n v="0.1"/>
    <n v="1026.1199999999999"/>
    <n v="1283"/>
  </r>
  <r>
    <x v="61"/>
    <d v="2022-05-16T00:00:00"/>
    <n v="1"/>
    <n v="30.78"/>
    <n v="36"/>
  </r>
  <r>
    <x v="61"/>
    <d v="2022-05-16T00:00:00"/>
    <n v="1"/>
    <n v="30.78"/>
    <n v="36"/>
  </r>
  <r>
    <x v="61"/>
    <d v="2022-05-16T00:00:00"/>
    <n v="1"/>
    <n v="30.78"/>
    <n v="36"/>
  </r>
  <r>
    <x v="61"/>
    <d v="2022-05-16T00:00:00"/>
    <n v="1"/>
    <n v="30.78"/>
    <n v="36"/>
  </r>
  <r>
    <x v="55"/>
    <d v="2022-05-16T00:00:00"/>
    <n v="1"/>
    <n v="58.08"/>
    <n v="73"/>
  </r>
  <r>
    <x v="154"/>
    <d v="2022-05-16T00:00:00"/>
    <n v="1"/>
    <n v="50.63"/>
    <n v="65"/>
  </r>
  <r>
    <x v="44"/>
    <d v="2022-05-16T00:00:00"/>
    <n v="1"/>
    <n v="16.02"/>
    <n v="19"/>
  </r>
  <r>
    <x v="62"/>
    <d v="2022-05-16T00:00:00"/>
    <n v="1"/>
    <n v="55.04"/>
    <n v="79"/>
  </r>
  <r>
    <x v="62"/>
    <d v="2022-05-16T00:00:00"/>
    <n v="1"/>
    <n v="55.04"/>
    <n v="79"/>
  </r>
  <r>
    <x v="21"/>
    <d v="2022-05-16T00:00:00"/>
    <n v="0.2"/>
    <n v="1125.31"/>
    <n v="1407"/>
  </r>
  <r>
    <x v="25"/>
    <d v="2022-05-16T00:00:00"/>
    <n v="1"/>
    <n v="156.19999999999999"/>
    <n v="186"/>
  </r>
  <r>
    <x v="18"/>
    <d v="2022-05-16T00:00:00"/>
    <n v="1"/>
    <n v="112.85"/>
    <n v="127"/>
  </r>
  <r>
    <x v="56"/>
    <d v="2022-05-16T00:00:00"/>
    <n v="1"/>
    <n v="32.85"/>
    <n v="52"/>
  </r>
  <r>
    <x v="14"/>
    <d v="2022-05-16T00:00:00"/>
    <n v="1"/>
    <n v="81.95"/>
    <n v="104"/>
  </r>
  <r>
    <x v="140"/>
    <d v="2022-05-16T00:00:00"/>
    <n v="1"/>
    <n v="25.3"/>
    <n v="31"/>
  </r>
  <r>
    <x v="30"/>
    <d v="2022-05-16T00:00:00"/>
    <n v="1"/>
    <n v="39.6"/>
    <n v="61"/>
  </r>
  <r>
    <x v="9"/>
    <d v="2022-05-16T00:00:00"/>
    <n v="1"/>
    <n v="455.4"/>
    <n v="602"/>
  </r>
  <r>
    <x v="57"/>
    <d v="2022-05-16T00:00:00"/>
    <n v="1"/>
    <n v="24.97"/>
    <n v="30"/>
  </r>
  <r>
    <x v="78"/>
    <d v="2022-05-16T00:00:00"/>
    <n v="1"/>
    <n v="207.68"/>
    <n v="246"/>
  </r>
  <r>
    <x v="43"/>
    <d v="2022-05-16T00:00:00"/>
    <n v="1"/>
    <n v="46.72"/>
    <n v="74"/>
  </r>
  <r>
    <x v="155"/>
    <d v="2022-05-16T00:00:00"/>
    <n v="1"/>
    <n v="81.819999999999993"/>
    <n v="99"/>
  </r>
  <r>
    <x v="155"/>
    <d v="2022-05-16T00:00:00"/>
    <n v="1"/>
    <n v="81.819999999999993"/>
    <n v="99"/>
  </r>
  <r>
    <x v="25"/>
    <d v="2022-05-16T00:00:00"/>
    <n v="1"/>
    <n v="156.19999999999999"/>
    <n v="186"/>
  </r>
  <r>
    <x v="104"/>
    <d v="2022-05-16T00:00:00"/>
    <n v="1"/>
    <n v="87.23"/>
    <n v="105"/>
  </r>
  <r>
    <x v="34"/>
    <d v="2022-05-16T00:00:00"/>
    <n v="1"/>
    <n v="15"/>
    <n v="25"/>
  </r>
  <r>
    <x v="152"/>
    <d v="2022-05-16T00:00:00"/>
    <n v="1"/>
    <n v="12"/>
    <n v="20"/>
  </r>
  <r>
    <x v="30"/>
    <d v="2022-05-16T00:00:00"/>
    <n v="1"/>
    <n v="35"/>
    <n v="54"/>
  </r>
  <r>
    <x v="61"/>
    <d v="2022-05-16T00:00:00"/>
    <n v="1"/>
    <n v="31.69"/>
    <n v="37"/>
  </r>
  <r>
    <x v="61"/>
    <d v="2022-05-16T00:00:00"/>
    <n v="1"/>
    <n v="31.69"/>
    <n v="37"/>
  </r>
  <r>
    <x v="43"/>
    <d v="2022-05-16T00:00:00"/>
    <n v="1"/>
    <n v="46.72"/>
    <n v="72"/>
  </r>
  <r>
    <x v="43"/>
    <d v="2022-05-16T00:00:00"/>
    <n v="1"/>
    <n v="46.72"/>
    <n v="72"/>
  </r>
  <r>
    <x v="104"/>
    <d v="2022-05-16T00:00:00"/>
    <n v="1"/>
    <n v="87.23"/>
    <n v="103"/>
  </r>
  <r>
    <x v="86"/>
    <d v="2022-05-16T00:00:00"/>
    <n v="1"/>
    <n v="40.61"/>
    <n v="66"/>
  </r>
  <r>
    <x v="35"/>
    <d v="2022-05-16T00:00:00"/>
    <n v="1"/>
    <n v="173.52"/>
    <n v="208"/>
  </r>
  <r>
    <x v="80"/>
    <d v="2022-05-16T00:00:00"/>
    <n v="1"/>
    <n v="15.51"/>
    <n v="24"/>
  </r>
  <r>
    <x v="155"/>
    <d v="2022-05-16T00:00:00"/>
    <n v="1"/>
    <n v="80.73"/>
    <n v="100"/>
  </r>
  <r>
    <x v="126"/>
    <d v="2022-05-16T00:00:00"/>
    <n v="1"/>
    <n v="363.12"/>
    <n v="418"/>
  </r>
  <r>
    <x v="65"/>
    <d v="2022-05-16T00:00:00"/>
    <n v="1"/>
    <n v="184.39"/>
    <n v="218"/>
  </r>
  <r>
    <x v="101"/>
    <d v="2022-05-16T00:00:00"/>
    <n v="1"/>
    <n v="42.24"/>
    <n v="53"/>
  </r>
  <r>
    <x v="51"/>
    <d v="2022-05-16T00:00:00"/>
    <n v="1"/>
    <n v="43.97"/>
    <n v="67"/>
  </r>
  <r>
    <x v="51"/>
    <d v="2022-05-16T00:00:00"/>
    <n v="1"/>
    <n v="43.97"/>
    <n v="67"/>
  </r>
  <r>
    <x v="139"/>
    <d v="2022-05-16T00:00:00"/>
    <n v="1"/>
    <n v="52.47"/>
    <n v="75"/>
  </r>
  <r>
    <x v="18"/>
    <d v="2022-05-16T00:00:00"/>
    <n v="1"/>
    <n v="110.18"/>
    <n v="124"/>
  </r>
  <r>
    <x v="57"/>
    <d v="2022-05-16T00:00:00"/>
    <n v="1"/>
    <n v="24.97"/>
    <n v="30"/>
  </r>
  <r>
    <x v="63"/>
    <d v="2022-05-16T00:00:00"/>
    <n v="1"/>
    <n v="50.93"/>
    <n v="78"/>
  </r>
  <r>
    <x v="112"/>
    <d v="2022-05-16T00:00:00"/>
    <n v="1"/>
    <n v="23.14"/>
    <n v="28"/>
  </r>
  <r>
    <x v="112"/>
    <d v="2022-05-16T00:00:00"/>
    <n v="1"/>
    <n v="23.14"/>
    <n v="28"/>
  </r>
  <r>
    <x v="112"/>
    <d v="2022-05-16T00:00:00"/>
    <n v="1"/>
    <n v="23.14"/>
    <n v="28"/>
  </r>
  <r>
    <x v="112"/>
    <d v="2022-05-16T00:00:00"/>
    <n v="1"/>
    <n v="23.14"/>
    <n v="28"/>
  </r>
  <r>
    <x v="112"/>
    <d v="2022-05-16T00:00:00"/>
    <n v="1"/>
    <n v="23.14"/>
    <n v="28"/>
  </r>
  <r>
    <x v="47"/>
    <d v="2022-05-16T00:00:00"/>
    <n v="1"/>
    <n v="206"/>
    <n v="251"/>
  </r>
  <r>
    <x v="31"/>
    <d v="2022-05-16T00:00:00"/>
    <n v="1"/>
    <n v="22.93"/>
    <n v="29"/>
  </r>
  <r>
    <x v="61"/>
    <d v="2022-05-16T00:00:00"/>
    <n v="1"/>
    <n v="30.6"/>
    <n v="36"/>
  </r>
  <r>
    <x v="50"/>
    <d v="2022-05-16T00:00:00"/>
    <n v="1"/>
    <n v="77.510000000000005"/>
    <n v="94"/>
  </r>
  <r>
    <x v="117"/>
    <d v="2022-05-16T00:00:00"/>
    <n v="1"/>
    <n v="20.64"/>
    <n v="25"/>
  </r>
  <r>
    <x v="134"/>
    <d v="2022-05-16T00:00:00"/>
    <n v="1"/>
    <n v="24.18"/>
    <n v="40"/>
  </r>
  <r>
    <x v="134"/>
    <d v="2022-05-16T00:00:00"/>
    <n v="2"/>
    <n v="24.18"/>
    <n v="40"/>
  </r>
  <r>
    <x v="14"/>
    <d v="2022-05-16T00:00:00"/>
    <n v="1"/>
    <n v="81.95"/>
    <n v="104"/>
  </r>
  <r>
    <x v="35"/>
    <d v="2022-05-16T00:00:00"/>
    <n v="1"/>
    <n v="173.09"/>
    <n v="207"/>
  </r>
  <r>
    <x v="93"/>
    <d v="2022-05-16T00:00:00"/>
    <n v="1"/>
    <n v="110.99"/>
    <n v="136"/>
  </r>
  <r>
    <x v="12"/>
    <d v="2022-05-16T00:00:00"/>
    <n v="1"/>
    <n v="383.25"/>
    <n v="460"/>
  </r>
  <r>
    <x v="20"/>
    <d v="2022-05-16T00:00:00"/>
    <n v="1"/>
    <n v="147.4"/>
    <n v="177"/>
  </r>
  <r>
    <x v="44"/>
    <d v="2022-05-16T00:00:00"/>
    <n v="1"/>
    <n v="15.32"/>
    <n v="19"/>
  </r>
  <r>
    <x v="44"/>
    <d v="2022-05-16T00:00:00"/>
    <n v="1"/>
    <n v="15.32"/>
    <n v="19"/>
  </r>
  <r>
    <x v="44"/>
    <d v="2022-05-16T00:00:00"/>
    <n v="1"/>
    <n v="15.32"/>
    <n v="19"/>
  </r>
  <r>
    <x v="44"/>
    <d v="2022-05-16T00:00:00"/>
    <n v="1"/>
    <n v="15.32"/>
    <n v="19"/>
  </r>
  <r>
    <x v="44"/>
    <d v="2022-05-16T00:00:00"/>
    <n v="1"/>
    <n v="15.32"/>
    <n v="19"/>
  </r>
  <r>
    <x v="29"/>
    <d v="2022-05-16T00:00:00"/>
    <n v="1"/>
    <n v="199.58"/>
    <n v="230"/>
  </r>
  <r>
    <x v="18"/>
    <d v="2022-05-16T00:00:00"/>
    <n v="1"/>
    <n v="110.08"/>
    <n v="124"/>
  </r>
  <r>
    <x v="149"/>
    <d v="2022-05-16T00:00:00"/>
    <n v="1"/>
    <n v="123.48"/>
    <n v="148"/>
  </r>
  <r>
    <x v="155"/>
    <d v="2022-05-16T00:00:00"/>
    <n v="1"/>
    <n v="81.87"/>
    <n v="99"/>
  </r>
  <r>
    <x v="124"/>
    <d v="2022-05-16T00:00:00"/>
    <n v="0.08"/>
    <n v="497.82"/>
    <n v="598"/>
  </r>
  <r>
    <x v="39"/>
    <d v="2022-05-16T00:00:00"/>
    <n v="1"/>
    <n v="59.84"/>
    <n v="93"/>
  </r>
  <r>
    <x v="124"/>
    <d v="2022-05-16T00:00:00"/>
    <n v="0.52"/>
    <n v="495.17"/>
    <n v="596"/>
  </r>
  <r>
    <x v="124"/>
    <d v="2022-05-16T00:00:00"/>
    <n v="0.08"/>
    <n v="500.48"/>
    <n v="553"/>
  </r>
  <r>
    <x v="45"/>
    <d v="2022-05-16T00:00:00"/>
    <n v="1"/>
    <n v="44.75"/>
    <n v="55"/>
  </r>
  <r>
    <x v="99"/>
    <d v="2022-05-16T00:00:00"/>
    <n v="1"/>
    <n v="44.71"/>
    <n v="56"/>
  </r>
  <r>
    <x v="99"/>
    <d v="2022-05-16T00:00:00"/>
    <n v="1"/>
    <n v="44.71"/>
    <n v="56"/>
  </r>
  <r>
    <x v="155"/>
    <d v="2022-05-16T00:00:00"/>
    <n v="1"/>
    <n v="81.819999999999993"/>
    <n v="99"/>
  </r>
  <r>
    <x v="51"/>
    <d v="2022-05-16T00:00:00"/>
    <n v="1"/>
    <n v="43.97"/>
    <n v="67"/>
  </r>
  <r>
    <x v="18"/>
    <d v="2022-05-16T00:00:00"/>
    <n v="1"/>
    <n v="109.41"/>
    <n v="123"/>
  </r>
  <r>
    <x v="110"/>
    <d v="2022-05-16T00:00:00"/>
    <n v="1"/>
    <n v="71.09"/>
    <n v="86"/>
  </r>
  <r>
    <x v="127"/>
    <d v="2022-05-16T00:00:00"/>
    <n v="1"/>
    <n v="61.44"/>
    <n v="88"/>
  </r>
  <r>
    <x v="45"/>
    <d v="2022-05-16T00:00:00"/>
    <n v="1"/>
    <n v="43.86"/>
    <n v="55"/>
  </r>
  <r>
    <x v="143"/>
    <d v="2022-05-16T00:00:00"/>
    <n v="1"/>
    <n v="38.520000000000003"/>
    <n v="61"/>
  </r>
  <r>
    <x v="95"/>
    <d v="2022-05-16T00:00:00"/>
    <n v="1"/>
    <n v="39.49"/>
    <n v="62"/>
  </r>
  <r>
    <x v="117"/>
    <d v="2022-05-16T00:00:00"/>
    <n v="1"/>
    <n v="22.5"/>
    <n v="27"/>
  </r>
  <r>
    <x v="117"/>
    <d v="2022-05-16T00:00:00"/>
    <n v="1"/>
    <n v="22.5"/>
    <n v="27"/>
  </r>
  <r>
    <x v="87"/>
    <d v="2022-05-16T00:00:00"/>
    <n v="1"/>
    <n v="15"/>
    <n v="20"/>
  </r>
  <r>
    <x v="46"/>
    <d v="2022-05-16T00:00:00"/>
    <n v="4"/>
    <n v="2.0499999999999998"/>
    <n v="4"/>
  </r>
  <r>
    <x v="45"/>
    <d v="2022-05-16T00:00:00"/>
    <n v="1"/>
    <n v="43.86"/>
    <n v="55"/>
  </r>
  <r>
    <x v="113"/>
    <d v="2022-05-16T00:00:00"/>
    <n v="2"/>
    <n v="11.1"/>
    <n v="13"/>
  </r>
  <r>
    <x v="128"/>
    <d v="2022-05-16T00:00:00"/>
    <n v="2"/>
    <n v="6.13"/>
    <n v="10"/>
  </r>
  <r>
    <x v="84"/>
    <d v="2022-05-16T00:00:00"/>
    <n v="1"/>
    <n v="74.13"/>
    <n v="106"/>
  </r>
  <r>
    <x v="58"/>
    <d v="2022-05-16T00:00:00"/>
    <n v="1"/>
    <n v="71.790000000000006"/>
    <n v="87"/>
  </r>
  <r>
    <x v="79"/>
    <d v="2022-05-16T00:00:00"/>
    <n v="1"/>
    <n v="153.75"/>
    <n v="193"/>
  </r>
  <r>
    <x v="145"/>
    <d v="2022-05-16T00:00:00"/>
    <n v="1"/>
    <n v="80.14"/>
    <n v="126"/>
  </r>
  <r>
    <x v="86"/>
    <d v="2022-05-16T00:00:00"/>
    <n v="1"/>
    <n v="35"/>
    <n v="57"/>
  </r>
  <r>
    <x v="113"/>
    <d v="2022-05-15T00:00:00"/>
    <n v="1"/>
    <n v="10.79"/>
    <n v="13"/>
  </r>
  <r>
    <x v="34"/>
    <d v="2022-05-15T00:00:00"/>
    <n v="2"/>
    <n v="9.76"/>
    <n v="16"/>
  </r>
  <r>
    <x v="47"/>
    <d v="2022-05-15T00:00:00"/>
    <n v="1"/>
    <n v="221.19"/>
    <n v="262"/>
  </r>
  <r>
    <x v="110"/>
    <d v="2022-05-15T00:00:00"/>
    <n v="1"/>
    <n v="71.02"/>
    <n v="88"/>
  </r>
  <r>
    <x v="110"/>
    <d v="2022-05-15T00:00:00"/>
    <n v="1"/>
    <n v="71.02"/>
    <n v="88"/>
  </r>
  <r>
    <x v="75"/>
    <d v="2022-05-15T00:00:00"/>
    <n v="1"/>
    <n v="22.96"/>
    <n v="37"/>
  </r>
  <r>
    <x v="75"/>
    <d v="2022-05-15T00:00:00"/>
    <n v="1"/>
    <n v="22.96"/>
    <n v="37"/>
  </r>
  <r>
    <x v="75"/>
    <d v="2022-05-15T00:00:00"/>
    <n v="1"/>
    <n v="22.96"/>
    <n v="37"/>
  </r>
  <r>
    <x v="75"/>
    <d v="2022-05-15T00:00:00"/>
    <n v="1"/>
    <n v="22.96"/>
    <n v="37"/>
  </r>
  <r>
    <x v="90"/>
    <d v="2022-05-15T00:00:00"/>
    <n v="0.1"/>
    <n v="130.65"/>
    <n v="199"/>
  </r>
  <r>
    <x v="83"/>
    <d v="2022-05-15T00:00:00"/>
    <n v="1"/>
    <n v="106.51"/>
    <n v="163"/>
  </r>
  <r>
    <x v="119"/>
    <d v="2022-05-15T00:00:00"/>
    <n v="1"/>
    <n v="36.75"/>
    <n v="59"/>
  </r>
  <r>
    <x v="148"/>
    <d v="2022-05-15T00:00:00"/>
    <n v="1"/>
    <n v="9.4600000000000009"/>
    <n v="11"/>
  </r>
  <r>
    <x v="85"/>
    <d v="2022-05-15T00:00:00"/>
    <n v="1"/>
    <n v="384.2"/>
    <n v="462"/>
  </r>
  <r>
    <x v="13"/>
    <d v="2022-05-15T00:00:00"/>
    <n v="1"/>
    <n v="42"/>
    <n v="64"/>
  </r>
  <r>
    <x v="13"/>
    <d v="2022-05-15T00:00:00"/>
    <n v="1"/>
    <n v="42"/>
    <n v="64"/>
  </r>
  <r>
    <x v="136"/>
    <d v="2022-05-15T00:00:00"/>
    <n v="1"/>
    <n v="13.44"/>
    <n v="22"/>
  </r>
  <r>
    <x v="136"/>
    <d v="2022-05-15T00:00:00"/>
    <n v="3"/>
    <n v="13.44"/>
    <n v="22"/>
  </r>
  <r>
    <x v="132"/>
    <d v="2022-05-15T00:00:00"/>
    <n v="2"/>
    <n v="10.53"/>
    <n v="18"/>
  </r>
  <r>
    <x v="97"/>
    <d v="2022-05-15T00:00:00"/>
    <n v="1"/>
    <n v="26.54"/>
    <n v="33"/>
  </r>
  <r>
    <x v="97"/>
    <d v="2022-05-15T00:00:00"/>
    <n v="1"/>
    <n v="26.54"/>
    <n v="33"/>
  </r>
  <r>
    <x v="5"/>
    <d v="2022-05-15T00:00:00"/>
    <n v="1"/>
    <n v="10.34"/>
    <n v="13"/>
  </r>
  <r>
    <x v="5"/>
    <d v="2022-05-15T00:00:00"/>
    <n v="1"/>
    <n v="10.34"/>
    <n v="13"/>
  </r>
  <r>
    <x v="5"/>
    <d v="2022-05-15T00:00:00"/>
    <n v="1"/>
    <n v="10.34"/>
    <n v="13"/>
  </r>
  <r>
    <x v="67"/>
    <d v="2022-05-15T00:00:00"/>
    <n v="1"/>
    <n v="550.89"/>
    <n v="728"/>
  </r>
  <r>
    <x v="67"/>
    <d v="2022-05-15T00:00:00"/>
    <n v="1"/>
    <n v="550.89"/>
    <n v="728"/>
  </r>
  <r>
    <x v="67"/>
    <d v="2022-05-15T00:00:00"/>
    <n v="1"/>
    <n v="550.89"/>
    <n v="728"/>
  </r>
  <r>
    <x v="87"/>
    <d v="2022-05-15T00:00:00"/>
    <n v="1"/>
    <n v="6.45"/>
    <n v="9"/>
  </r>
  <r>
    <x v="1"/>
    <d v="2022-05-15T00:00:00"/>
    <n v="0.2"/>
    <n v="421.52"/>
    <n v="527"/>
  </r>
  <r>
    <x v="9"/>
    <d v="2022-05-15T00:00:00"/>
    <n v="0.2"/>
    <n v="596.29"/>
    <n v="746"/>
  </r>
  <r>
    <x v="40"/>
    <d v="2022-05-15T00:00:00"/>
    <n v="1"/>
    <n v="27.94"/>
    <n v="45"/>
  </r>
  <r>
    <x v="155"/>
    <d v="2022-05-15T00:00:00"/>
    <n v="1"/>
    <n v="81.8"/>
    <n v="99"/>
  </r>
  <r>
    <x v="155"/>
    <d v="2022-05-15T00:00:00"/>
    <n v="1"/>
    <n v="81.8"/>
    <n v="99"/>
  </r>
  <r>
    <x v="79"/>
    <d v="2022-05-15T00:00:00"/>
    <n v="1"/>
    <n v="153.74"/>
    <n v="193"/>
  </r>
  <r>
    <x v="79"/>
    <d v="2022-05-15T00:00:00"/>
    <n v="1"/>
    <n v="160.57"/>
    <n v="201"/>
  </r>
  <r>
    <x v="16"/>
    <d v="2022-05-15T00:00:00"/>
    <n v="1"/>
    <n v="198.61"/>
    <n v="277"/>
  </r>
  <r>
    <x v="1"/>
    <d v="2022-05-15T00:00:00"/>
    <n v="1"/>
    <n v="488.73"/>
    <n v="670"/>
  </r>
  <r>
    <x v="141"/>
    <d v="2022-05-15T00:00:00"/>
    <n v="1"/>
    <n v="402.2"/>
    <n v="451"/>
  </r>
  <r>
    <x v="52"/>
    <d v="2022-05-15T00:00:00"/>
    <n v="1"/>
    <n v="233.74"/>
    <n v="274"/>
  </r>
  <r>
    <x v="142"/>
    <d v="2022-05-15T00:00:00"/>
    <n v="1"/>
    <n v="138.07"/>
    <n v="201"/>
  </r>
  <r>
    <x v="14"/>
    <d v="2022-05-15T00:00:00"/>
    <n v="1"/>
    <n v="81.760000000000005"/>
    <n v="102"/>
  </r>
  <r>
    <x v="127"/>
    <d v="2022-05-15T00:00:00"/>
    <n v="1"/>
    <n v="58.23"/>
    <n v="83"/>
  </r>
  <r>
    <x v="21"/>
    <d v="2022-05-15T00:00:00"/>
    <n v="1"/>
    <n v="989.8"/>
    <n v="1238"/>
  </r>
  <r>
    <x v="19"/>
    <d v="2022-05-15T00:00:00"/>
    <n v="1"/>
    <n v="98.67"/>
    <n v="123"/>
  </r>
  <r>
    <x v="43"/>
    <d v="2022-05-15T00:00:00"/>
    <n v="1"/>
    <n v="38.67"/>
    <n v="59"/>
  </r>
  <r>
    <x v="47"/>
    <d v="2022-05-15T00:00:00"/>
    <n v="1"/>
    <n v="202.33"/>
    <n v="243"/>
  </r>
  <r>
    <x v="34"/>
    <d v="2022-05-15T00:00:00"/>
    <n v="3"/>
    <n v="11.38"/>
    <n v="19"/>
  </r>
  <r>
    <x v="80"/>
    <d v="2022-05-15T00:00:00"/>
    <n v="1"/>
    <n v="15.51"/>
    <n v="26"/>
  </r>
  <r>
    <x v="28"/>
    <d v="2022-05-15T00:00:00"/>
    <n v="1"/>
    <n v="21.75"/>
    <n v="26"/>
  </r>
  <r>
    <x v="28"/>
    <d v="2022-05-15T00:00:00"/>
    <n v="1"/>
    <n v="21.75"/>
    <n v="26"/>
  </r>
  <r>
    <x v="2"/>
    <d v="2022-05-15T00:00:00"/>
    <n v="1"/>
    <n v="91.19"/>
    <n v="112"/>
  </r>
  <r>
    <x v="2"/>
    <d v="2022-05-15T00:00:00"/>
    <n v="1"/>
    <n v="91.19"/>
    <n v="112"/>
  </r>
  <r>
    <x v="15"/>
    <d v="2022-05-15T00:00:00"/>
    <n v="1"/>
    <n v="22.66"/>
    <n v="30"/>
  </r>
  <r>
    <x v="15"/>
    <d v="2022-05-15T00:00:00"/>
    <n v="1"/>
    <n v="22.66"/>
    <n v="30"/>
  </r>
  <r>
    <x v="15"/>
    <d v="2022-05-15T00:00:00"/>
    <n v="1"/>
    <n v="22.66"/>
    <n v="30"/>
  </r>
  <r>
    <x v="15"/>
    <d v="2022-05-15T00:00:00"/>
    <n v="1"/>
    <n v="22.66"/>
    <n v="30"/>
  </r>
  <r>
    <x v="56"/>
    <d v="2022-05-15T00:00:00"/>
    <n v="1"/>
    <n v="33.28"/>
    <n v="51"/>
  </r>
  <r>
    <x v="122"/>
    <d v="2022-05-15T00:00:00"/>
    <n v="1"/>
    <n v="128.72999999999999"/>
    <n v="182"/>
  </r>
  <r>
    <x v="14"/>
    <d v="2022-05-15T00:00:00"/>
    <n v="1"/>
    <n v="81.95"/>
    <n v="104"/>
  </r>
  <r>
    <x v="19"/>
    <d v="2022-05-15T00:00:00"/>
    <n v="1"/>
    <n v="107.3"/>
    <n v="126"/>
  </r>
  <r>
    <x v="2"/>
    <d v="2022-05-15T00:00:00"/>
    <n v="1"/>
    <n v="90.31"/>
    <n v="106"/>
  </r>
  <r>
    <x v="147"/>
    <d v="2022-05-15T00:00:00"/>
    <n v="1"/>
    <n v="106.17"/>
    <n v="133"/>
  </r>
  <r>
    <x v="146"/>
    <d v="2022-05-15T00:00:00"/>
    <n v="1"/>
    <n v="24.24"/>
    <n v="30"/>
  </r>
  <r>
    <x v="150"/>
    <d v="2022-05-15T00:00:00"/>
    <n v="0.44"/>
    <n v="487.04"/>
    <n v="731"/>
  </r>
  <r>
    <x v="43"/>
    <d v="2022-05-15T00:00:00"/>
    <n v="1"/>
    <n v="38.67"/>
    <n v="59"/>
  </r>
  <r>
    <x v="155"/>
    <d v="2022-05-15T00:00:00"/>
    <n v="1"/>
    <n v="80.73"/>
    <n v="100"/>
  </r>
  <r>
    <x v="119"/>
    <d v="2022-05-15T00:00:00"/>
    <n v="1"/>
    <n v="36.75"/>
    <n v="59"/>
  </r>
  <r>
    <x v="13"/>
    <d v="2022-05-15T00:00:00"/>
    <n v="1"/>
    <n v="44"/>
    <n v="69"/>
  </r>
  <r>
    <x v="26"/>
    <d v="2022-05-15T00:00:00"/>
    <n v="1"/>
    <n v="13.73"/>
    <n v="19"/>
  </r>
  <r>
    <x v="138"/>
    <d v="2022-05-15T00:00:00"/>
    <n v="1"/>
    <n v="50.45"/>
    <n v="77"/>
  </r>
  <r>
    <x v="25"/>
    <d v="2022-05-15T00:00:00"/>
    <n v="1"/>
    <n v="156.19999999999999"/>
    <n v="186"/>
  </r>
  <r>
    <x v="60"/>
    <d v="2022-05-15T00:00:00"/>
    <n v="1"/>
    <n v="184.45"/>
    <n v="235"/>
  </r>
  <r>
    <x v="115"/>
    <d v="2022-05-15T00:00:00"/>
    <n v="1"/>
    <n v="132.26"/>
    <n v="182"/>
  </r>
  <r>
    <x v="19"/>
    <d v="2022-05-15T00:00:00"/>
    <n v="1"/>
    <n v="95.88"/>
    <n v="118"/>
  </r>
  <r>
    <x v="25"/>
    <d v="2022-05-15T00:00:00"/>
    <n v="1"/>
    <n v="156.19999999999999"/>
    <n v="189"/>
  </r>
  <r>
    <x v="49"/>
    <d v="2022-05-15T00:00:00"/>
    <n v="1"/>
    <n v="635.70000000000005"/>
    <n v="821"/>
  </r>
  <r>
    <x v="0"/>
    <d v="2022-05-15T00:00:00"/>
    <n v="1"/>
    <n v="145.6"/>
    <n v="169"/>
  </r>
  <r>
    <x v="23"/>
    <d v="2022-05-15T00:00:00"/>
    <n v="1"/>
    <n v="149.01"/>
    <n v="205"/>
  </r>
  <r>
    <x v="14"/>
    <d v="2022-05-15T00:00:00"/>
    <n v="1"/>
    <n v="81.95"/>
    <n v="104"/>
  </r>
  <r>
    <x v="68"/>
    <d v="2022-05-15T00:00:00"/>
    <n v="1"/>
    <n v="12"/>
    <n v="20"/>
  </r>
  <r>
    <x v="94"/>
    <d v="2022-05-15T00:00:00"/>
    <n v="1"/>
    <n v="65.52"/>
    <n v="77"/>
  </r>
  <r>
    <x v="94"/>
    <d v="2022-05-15T00:00:00"/>
    <n v="1"/>
    <n v="65.52"/>
    <n v="77"/>
  </r>
  <r>
    <x v="111"/>
    <d v="2022-05-15T00:00:00"/>
    <n v="1"/>
    <n v="101.97"/>
    <n v="123"/>
  </r>
  <r>
    <x v="152"/>
    <d v="2022-05-15T00:00:00"/>
    <n v="1"/>
    <n v="12"/>
    <n v="20"/>
  </r>
  <r>
    <x v="86"/>
    <d v="2022-05-15T00:00:00"/>
    <n v="2"/>
    <n v="31.93"/>
    <n v="52"/>
  </r>
  <r>
    <x v="93"/>
    <d v="2022-05-15T00:00:00"/>
    <n v="1"/>
    <n v="113.71"/>
    <n v="137"/>
  </r>
  <r>
    <x v="88"/>
    <d v="2022-05-15T00:00:00"/>
    <n v="1"/>
    <n v="65.400000000000006"/>
    <n v="93"/>
  </r>
  <r>
    <x v="3"/>
    <d v="2022-05-15T00:00:00"/>
    <n v="1"/>
    <n v="47.83"/>
    <n v="77"/>
  </r>
  <r>
    <x v="30"/>
    <d v="2022-05-15T00:00:00"/>
    <n v="1"/>
    <n v="30.35"/>
    <n v="48"/>
  </r>
  <r>
    <x v="27"/>
    <d v="2022-05-15T00:00:00"/>
    <n v="1"/>
    <n v="46.96"/>
    <n v="81"/>
  </r>
  <r>
    <x v="17"/>
    <d v="2022-05-15T00:00:00"/>
    <n v="1"/>
    <n v="30.3"/>
    <n v="49"/>
  </r>
  <r>
    <x v="0"/>
    <d v="2022-05-15T00:00:00"/>
    <n v="1"/>
    <n v="134.49"/>
    <n v="161"/>
  </r>
  <r>
    <x v="0"/>
    <d v="2022-05-15T00:00:00"/>
    <n v="1"/>
    <n v="134.49"/>
    <n v="161"/>
  </r>
  <r>
    <x v="73"/>
    <d v="2022-05-15T00:00:00"/>
    <n v="1"/>
    <n v="70.42"/>
    <n v="89"/>
  </r>
  <r>
    <x v="19"/>
    <d v="2022-05-15T00:00:00"/>
    <n v="1"/>
    <n v="98.67"/>
    <n v="123"/>
  </r>
  <r>
    <x v="105"/>
    <d v="2022-05-15T00:00:00"/>
    <n v="1"/>
    <n v="208.49"/>
    <n v="288"/>
  </r>
  <r>
    <x v="72"/>
    <d v="2022-05-15T00:00:00"/>
    <n v="1"/>
    <n v="60.3"/>
    <n v="75"/>
  </r>
  <r>
    <x v="83"/>
    <d v="2022-05-15T00:00:00"/>
    <n v="0.5"/>
    <n v="123.98"/>
    <n v="189"/>
  </r>
  <r>
    <x v="24"/>
    <d v="2022-05-15T00:00:00"/>
    <n v="1"/>
    <n v="480.05"/>
    <n v="625"/>
  </r>
  <r>
    <x v="155"/>
    <d v="2022-05-15T00:00:00"/>
    <n v="1"/>
    <n v="80.73"/>
    <n v="100"/>
  </r>
  <r>
    <x v="94"/>
    <d v="2022-05-15T00:00:00"/>
    <n v="1"/>
    <n v="64.25"/>
    <n v="76"/>
  </r>
  <r>
    <x v="6"/>
    <d v="2022-05-15T00:00:00"/>
    <n v="1"/>
    <n v="24.2"/>
    <n v="39"/>
  </r>
  <r>
    <x v="44"/>
    <d v="2022-05-15T00:00:00"/>
    <n v="1"/>
    <n v="16.309999999999999"/>
    <n v="20"/>
  </r>
  <r>
    <x v="70"/>
    <d v="2022-05-15T00:00:00"/>
    <n v="0.2"/>
    <n v="429.66"/>
    <n v="654"/>
  </r>
  <r>
    <x v="150"/>
    <d v="2022-05-15T00:00:00"/>
    <n v="0.4"/>
    <n v="495.72"/>
    <n v="754"/>
  </r>
  <r>
    <x v="63"/>
    <d v="2022-05-15T00:00:00"/>
    <n v="1"/>
    <n v="69.41"/>
    <n v="104"/>
  </r>
  <r>
    <x v="47"/>
    <d v="2022-05-15T00:00:00"/>
    <n v="1"/>
    <n v="206"/>
    <n v="251"/>
  </r>
  <r>
    <x v="117"/>
    <d v="2022-05-15T00:00:00"/>
    <n v="1"/>
    <n v="20.82"/>
    <n v="26"/>
  </r>
  <r>
    <x v="82"/>
    <d v="2022-05-15T00:00:00"/>
    <n v="1"/>
    <n v="347.96"/>
    <n v="394"/>
  </r>
  <r>
    <x v="23"/>
    <d v="2022-05-15T00:00:00"/>
    <n v="1"/>
    <n v="136.6"/>
    <n v="188"/>
  </r>
  <r>
    <x v="60"/>
    <d v="2022-05-15T00:00:00"/>
    <n v="1"/>
    <n v="184.45"/>
    <n v="235"/>
  </r>
  <r>
    <x v="41"/>
    <d v="2022-05-15T00:00:00"/>
    <n v="1"/>
    <n v="19.260000000000002"/>
    <n v="23"/>
  </r>
  <r>
    <x v="118"/>
    <d v="2022-05-15T00:00:00"/>
    <n v="1"/>
    <n v="62.79"/>
    <n v="78"/>
  </r>
  <r>
    <x v="92"/>
    <d v="2022-05-15T00:00:00"/>
    <n v="1"/>
    <n v="411.88"/>
    <n v="544"/>
  </r>
  <r>
    <x v="110"/>
    <d v="2022-05-15T00:00:00"/>
    <n v="1"/>
    <n v="72.41"/>
    <n v="89"/>
  </r>
  <r>
    <x v="45"/>
    <d v="2022-05-15T00:00:00"/>
    <n v="1"/>
    <n v="43.86"/>
    <n v="56"/>
  </r>
  <r>
    <x v="13"/>
    <d v="2022-05-15T00:00:00"/>
    <n v="1"/>
    <n v="46"/>
    <n v="70"/>
  </r>
  <r>
    <x v="72"/>
    <d v="2022-05-15T00:00:00"/>
    <n v="1"/>
    <n v="57.37"/>
    <n v="72"/>
  </r>
  <r>
    <x v="61"/>
    <d v="2022-05-15T00:00:00"/>
    <n v="1"/>
    <n v="30.78"/>
    <n v="36"/>
  </r>
  <r>
    <x v="40"/>
    <d v="2022-05-15T00:00:00"/>
    <n v="1"/>
    <n v="27.94"/>
    <n v="45"/>
  </r>
  <r>
    <x v="17"/>
    <d v="2022-05-15T00:00:00"/>
    <n v="1"/>
    <n v="30.3"/>
    <n v="49"/>
  </r>
  <r>
    <x v="155"/>
    <d v="2022-05-15T00:00:00"/>
    <n v="1"/>
    <n v="81.819999999999993"/>
    <n v="99"/>
  </r>
  <r>
    <x v="126"/>
    <d v="2022-05-15T00:00:00"/>
    <n v="1"/>
    <n v="361.9"/>
    <n v="424"/>
  </r>
  <r>
    <x v="19"/>
    <d v="2022-05-15T00:00:00"/>
    <n v="1"/>
    <n v="107.3"/>
    <n v="126"/>
  </r>
  <r>
    <x v="19"/>
    <d v="2022-05-15T00:00:00"/>
    <n v="1"/>
    <n v="107.3"/>
    <n v="126"/>
  </r>
  <r>
    <x v="21"/>
    <d v="2022-05-15T00:00:00"/>
    <n v="0.1"/>
    <n v="1026.1199999999999"/>
    <n v="1283"/>
  </r>
  <r>
    <x v="63"/>
    <d v="2022-05-15T00:00:00"/>
    <n v="1"/>
    <n v="59.86"/>
    <n v="94"/>
  </r>
  <r>
    <x v="0"/>
    <d v="2022-05-15T00:00:00"/>
    <n v="1"/>
    <n v="134.49"/>
    <n v="161"/>
  </r>
  <r>
    <x v="117"/>
    <d v="2022-05-15T00:00:00"/>
    <n v="1"/>
    <n v="20.82"/>
    <n v="26"/>
  </r>
  <r>
    <x v="60"/>
    <d v="2022-05-15T00:00:00"/>
    <n v="1"/>
    <n v="176.42"/>
    <n v="207"/>
  </r>
  <r>
    <x v="21"/>
    <d v="2022-05-15T00:00:00"/>
    <n v="0.3"/>
    <n v="989.8"/>
    <n v="1238"/>
  </r>
  <r>
    <x v="111"/>
    <d v="2022-05-15T00:00:00"/>
    <n v="1"/>
    <n v="101.97"/>
    <n v="123"/>
  </r>
  <r>
    <x v="6"/>
    <d v="2022-05-15T00:00:00"/>
    <n v="1"/>
    <n v="24.2"/>
    <n v="39"/>
  </r>
  <r>
    <x v="42"/>
    <d v="2022-05-15T00:00:00"/>
    <n v="1"/>
    <n v="46.14"/>
    <n v="73"/>
  </r>
  <r>
    <x v="43"/>
    <d v="2022-05-15T00:00:00"/>
    <n v="1"/>
    <n v="46.72"/>
    <n v="74"/>
  </r>
  <r>
    <x v="43"/>
    <d v="2022-05-15T00:00:00"/>
    <n v="1"/>
    <n v="46.72"/>
    <n v="74"/>
  </r>
  <r>
    <x v="57"/>
    <d v="2022-05-15T00:00:00"/>
    <n v="1"/>
    <n v="25.71"/>
    <n v="31"/>
  </r>
  <r>
    <x v="57"/>
    <d v="2022-05-15T00:00:00"/>
    <n v="1"/>
    <n v="25.71"/>
    <n v="31"/>
  </r>
  <r>
    <x v="36"/>
    <d v="2022-05-15T00:00:00"/>
    <n v="1"/>
    <n v="13.3"/>
    <n v="22"/>
  </r>
  <r>
    <x v="149"/>
    <d v="2022-05-15T00:00:00"/>
    <n v="1"/>
    <n v="123.48"/>
    <n v="148"/>
  </r>
  <r>
    <x v="149"/>
    <d v="2022-05-15T00:00:00"/>
    <n v="1"/>
    <n v="134.51"/>
    <n v="159"/>
  </r>
  <r>
    <x v="60"/>
    <d v="2022-05-15T00:00:00"/>
    <n v="1"/>
    <n v="184.07"/>
    <n v="216"/>
  </r>
  <r>
    <x v="61"/>
    <d v="2022-05-15T00:00:00"/>
    <n v="2"/>
    <n v="32"/>
    <n v="36"/>
  </r>
  <r>
    <x v="81"/>
    <d v="2022-05-15T00:00:00"/>
    <n v="2"/>
    <n v="47.4"/>
    <n v="76"/>
  </r>
  <r>
    <x v="141"/>
    <d v="2022-05-15T00:00:00"/>
    <n v="1"/>
    <n v="411.54"/>
    <n v="461"/>
  </r>
  <r>
    <x v="151"/>
    <d v="2022-05-15T00:00:00"/>
    <n v="1"/>
    <n v="251.44"/>
    <n v="353"/>
  </r>
  <r>
    <x v="16"/>
    <d v="2022-05-15T00:00:00"/>
    <n v="1"/>
    <n v="181.44"/>
    <n v="245"/>
  </r>
  <r>
    <x v="133"/>
    <d v="2022-05-15T00:00:00"/>
    <n v="1"/>
    <n v="46.5"/>
    <n v="76"/>
  </r>
  <r>
    <x v="18"/>
    <d v="2022-05-15T00:00:00"/>
    <n v="1"/>
    <n v="109.41"/>
    <n v="123"/>
  </r>
  <r>
    <x v="129"/>
    <d v="2022-05-15T00:00:00"/>
    <n v="1"/>
    <n v="26.87"/>
    <n v="41"/>
  </r>
  <r>
    <x v="129"/>
    <d v="2022-05-15T00:00:00"/>
    <n v="1"/>
    <n v="26.87"/>
    <n v="41"/>
  </r>
  <r>
    <x v="84"/>
    <d v="2022-05-15T00:00:00"/>
    <n v="1"/>
    <n v="80.62"/>
    <n v="115"/>
  </r>
  <r>
    <x v="19"/>
    <d v="2022-05-15T00:00:00"/>
    <n v="1"/>
    <n v="95.88"/>
    <n v="118"/>
  </r>
  <r>
    <x v="7"/>
    <d v="2022-05-15T00:00:00"/>
    <n v="1"/>
    <n v="56.84"/>
    <n v="72"/>
  </r>
  <r>
    <x v="18"/>
    <d v="2022-05-15T00:00:00"/>
    <n v="1"/>
    <n v="112.85"/>
    <n v="127"/>
  </r>
  <r>
    <x v="18"/>
    <d v="2022-05-15T00:00:00"/>
    <n v="1"/>
    <n v="112.85"/>
    <n v="127"/>
  </r>
  <r>
    <x v="29"/>
    <d v="2022-05-15T00:00:00"/>
    <n v="1"/>
    <n v="202.75"/>
    <n v="234"/>
  </r>
  <r>
    <x v="61"/>
    <d v="2022-05-15T00:00:00"/>
    <n v="1"/>
    <n v="31.69"/>
    <n v="37"/>
  </r>
  <r>
    <x v="61"/>
    <d v="2022-05-15T00:00:00"/>
    <n v="1"/>
    <n v="31.69"/>
    <n v="37"/>
  </r>
  <r>
    <x v="141"/>
    <d v="2022-05-15T00:00:00"/>
    <n v="1"/>
    <n v="402.29"/>
    <n v="451"/>
  </r>
  <r>
    <x v="67"/>
    <d v="2022-05-15T00:00:00"/>
    <n v="1"/>
    <n v="550.89"/>
    <n v="728"/>
  </r>
  <r>
    <x v="67"/>
    <d v="2022-05-15T00:00:00"/>
    <n v="1"/>
    <n v="550.89"/>
    <n v="728"/>
  </r>
  <r>
    <x v="18"/>
    <d v="2022-05-15T00:00:00"/>
    <n v="1"/>
    <n v="110.18"/>
    <n v="124"/>
  </r>
  <r>
    <x v="76"/>
    <d v="2022-05-15T00:00:00"/>
    <n v="1"/>
    <n v="40.130000000000003"/>
    <n v="49"/>
  </r>
  <r>
    <x v="46"/>
    <d v="2022-05-15T00:00:00"/>
    <n v="4"/>
    <n v="2.0499999999999998"/>
    <n v="4"/>
  </r>
  <r>
    <x v="34"/>
    <d v="2022-05-15T00:00:00"/>
    <n v="2"/>
    <n v="9.8800000000000008"/>
    <n v="16"/>
  </r>
  <r>
    <x v="34"/>
    <d v="2022-05-15T00:00:00"/>
    <n v="1"/>
    <n v="9.8800000000000008"/>
    <n v="16"/>
  </r>
  <r>
    <x v="80"/>
    <d v="2022-05-15T00:00:00"/>
    <n v="1"/>
    <n v="14.63"/>
    <n v="23"/>
  </r>
  <r>
    <x v="80"/>
    <d v="2022-05-15T00:00:00"/>
    <n v="1"/>
    <n v="14.63"/>
    <n v="23"/>
  </r>
  <r>
    <x v="155"/>
    <d v="2022-05-15T00:00:00"/>
    <n v="1"/>
    <n v="80.73"/>
    <n v="100"/>
  </r>
  <r>
    <x v="19"/>
    <d v="2022-05-15T00:00:00"/>
    <n v="1"/>
    <n v="103.96"/>
    <n v="125"/>
  </r>
  <r>
    <x v="44"/>
    <d v="2022-05-15T00:00:00"/>
    <n v="1"/>
    <n v="16.579999999999998"/>
    <n v="20"/>
  </r>
  <r>
    <x v="138"/>
    <d v="2022-05-15T00:00:00"/>
    <n v="1"/>
    <n v="42.19"/>
    <n v="65"/>
  </r>
  <r>
    <x v="56"/>
    <d v="2022-05-15T00:00:00"/>
    <n v="1"/>
    <n v="32.85"/>
    <n v="50"/>
  </r>
  <r>
    <x v="113"/>
    <d v="2022-05-15T00:00:00"/>
    <n v="1"/>
    <n v="11.1"/>
    <n v="13"/>
  </r>
  <r>
    <x v="66"/>
    <d v="2022-05-15T00:00:00"/>
    <n v="1"/>
    <n v="34.75"/>
    <n v="53"/>
  </r>
  <r>
    <x v="102"/>
    <d v="2022-05-15T00:00:00"/>
    <n v="1"/>
    <n v="71.16"/>
    <n v="88"/>
  </r>
  <r>
    <x v="102"/>
    <d v="2022-05-15T00:00:00"/>
    <n v="1"/>
    <n v="71.16"/>
    <n v="88"/>
  </r>
  <r>
    <x v="131"/>
    <d v="2022-05-15T00:00:00"/>
    <n v="1"/>
    <n v="286.19"/>
    <n v="381"/>
  </r>
  <r>
    <x v="141"/>
    <d v="2022-05-15T00:00:00"/>
    <n v="1"/>
    <n v="402.2"/>
    <n v="451"/>
  </r>
  <r>
    <x v="81"/>
    <d v="2022-05-15T00:00:00"/>
    <n v="1"/>
    <n v="47.4"/>
    <n v="77"/>
  </r>
  <r>
    <x v="54"/>
    <d v="2022-05-15T00:00:00"/>
    <n v="1"/>
    <n v="16.97"/>
    <n v="28"/>
  </r>
  <r>
    <x v="54"/>
    <d v="2022-05-15T00:00:00"/>
    <n v="1"/>
    <n v="16.97"/>
    <n v="28"/>
  </r>
  <r>
    <x v="72"/>
    <d v="2022-05-15T00:00:00"/>
    <n v="1"/>
    <n v="60.3"/>
    <n v="75"/>
  </r>
  <r>
    <x v="1"/>
    <d v="2022-05-15T00:00:00"/>
    <n v="0.4"/>
    <n v="421.52"/>
    <n v="527"/>
  </r>
  <r>
    <x v="19"/>
    <d v="2022-05-15T00:00:00"/>
    <n v="1"/>
    <n v="106.05"/>
    <n v="125"/>
  </r>
  <r>
    <x v="12"/>
    <d v="2022-05-15T00:00:00"/>
    <n v="1"/>
    <n v="385.8"/>
    <n v="463"/>
  </r>
  <r>
    <x v="20"/>
    <d v="2022-05-15T00:00:00"/>
    <n v="1"/>
    <n v="147.18"/>
    <n v="180"/>
  </r>
  <r>
    <x v="47"/>
    <d v="2022-05-15T00:00:00"/>
    <n v="1"/>
    <n v="221.19"/>
    <n v="262"/>
  </r>
  <r>
    <x v="15"/>
    <d v="2022-05-15T00:00:00"/>
    <n v="1"/>
    <n v="19.66"/>
    <n v="25"/>
  </r>
  <r>
    <x v="127"/>
    <d v="2022-05-15T00:00:00"/>
    <n v="1"/>
    <n v="58.75"/>
    <n v="86"/>
  </r>
  <r>
    <x v="15"/>
    <d v="2022-05-15T00:00:00"/>
    <n v="1"/>
    <n v="19.71"/>
    <n v="25"/>
  </r>
  <r>
    <x v="15"/>
    <d v="2022-05-15T00:00:00"/>
    <n v="1"/>
    <n v="19.71"/>
    <n v="25"/>
  </r>
  <r>
    <x v="58"/>
    <d v="2022-05-15T00:00:00"/>
    <n v="1"/>
    <n v="71.790000000000006"/>
    <n v="87"/>
  </r>
  <r>
    <x v="58"/>
    <d v="2022-05-15T00:00:00"/>
    <n v="1"/>
    <n v="71.790000000000006"/>
    <n v="87"/>
  </r>
  <r>
    <x v="155"/>
    <d v="2022-05-15T00:00:00"/>
    <n v="1"/>
    <n v="80.73"/>
    <n v="100"/>
  </r>
  <r>
    <x v="3"/>
    <d v="2022-05-15T00:00:00"/>
    <n v="1"/>
    <n v="47.83"/>
    <n v="77"/>
  </r>
  <r>
    <x v="40"/>
    <d v="2022-05-15T00:00:00"/>
    <n v="5"/>
    <n v="25.36"/>
    <n v="42"/>
  </r>
  <r>
    <x v="72"/>
    <d v="2022-05-15T00:00:00"/>
    <n v="1"/>
    <n v="60.3"/>
    <n v="75"/>
  </r>
  <r>
    <x v="57"/>
    <d v="2022-05-15T00:00:00"/>
    <n v="1"/>
    <n v="25.71"/>
    <n v="30.99"/>
  </r>
  <r>
    <x v="57"/>
    <d v="2022-05-15T00:00:00"/>
    <n v="1"/>
    <n v="25.72"/>
    <n v="30.99"/>
  </r>
  <r>
    <x v="57"/>
    <d v="2022-05-15T00:00:00"/>
    <n v="1"/>
    <n v="25.72"/>
    <n v="30.99"/>
  </r>
  <r>
    <x v="99"/>
    <d v="2022-05-15T00:00:00"/>
    <n v="1"/>
    <n v="45.14"/>
    <n v="57"/>
  </r>
  <r>
    <x v="20"/>
    <d v="2022-05-15T00:00:00"/>
    <n v="1"/>
    <n v="147.18"/>
    <n v="177"/>
  </r>
  <r>
    <x v="20"/>
    <d v="2022-05-15T00:00:00"/>
    <n v="1"/>
    <n v="147.18"/>
    <n v="177"/>
  </r>
  <r>
    <x v="19"/>
    <d v="2022-05-15T00:00:00"/>
    <n v="1"/>
    <n v="98.67"/>
    <n v="120"/>
  </r>
  <r>
    <x v="9"/>
    <d v="2022-05-15T00:00:00"/>
    <n v="0.3"/>
    <n v="596.29"/>
    <n v="746"/>
  </r>
  <r>
    <x v="155"/>
    <d v="2022-05-15T00:00:00"/>
    <n v="1"/>
    <n v="80.73"/>
    <n v="100"/>
  </r>
  <r>
    <x v="34"/>
    <d v="2022-05-15T00:00:00"/>
    <n v="8"/>
    <n v="11.38"/>
    <n v="19"/>
  </r>
  <r>
    <x v="27"/>
    <d v="2022-05-15T00:00:00"/>
    <n v="1"/>
    <n v="103.53"/>
    <n v="159"/>
  </r>
  <r>
    <x v="119"/>
    <d v="2022-05-15T00:00:00"/>
    <n v="1"/>
    <n v="36.75"/>
    <n v="59"/>
  </r>
  <r>
    <x v="87"/>
    <d v="2022-05-15T00:00:00"/>
    <n v="2"/>
    <n v="6.2"/>
    <n v="9"/>
  </r>
  <r>
    <x v="87"/>
    <d v="2022-05-15T00:00:00"/>
    <n v="1"/>
    <n v="6.2"/>
    <n v="9"/>
  </r>
  <r>
    <x v="55"/>
    <d v="2022-05-15T00:00:00"/>
    <n v="1"/>
    <n v="58.08"/>
    <n v="73"/>
  </r>
  <r>
    <x v="105"/>
    <d v="2022-05-15T00:00:00"/>
    <n v="1"/>
    <n v="208.48"/>
    <n v="292"/>
  </r>
  <r>
    <x v="20"/>
    <d v="2022-05-15T00:00:00"/>
    <n v="1"/>
    <n v="147.18"/>
    <n v="177"/>
  </r>
  <r>
    <x v="94"/>
    <d v="2022-05-15T00:00:00"/>
    <n v="1"/>
    <n v="64.44"/>
    <n v="76"/>
  </r>
  <r>
    <x v="50"/>
    <d v="2022-05-15T00:00:00"/>
    <n v="1"/>
    <n v="85.58"/>
    <n v="96"/>
  </r>
  <r>
    <x v="50"/>
    <d v="2022-05-15T00:00:00"/>
    <n v="1"/>
    <n v="85.58"/>
    <n v="96"/>
  </r>
  <r>
    <x v="83"/>
    <d v="2022-05-15T00:00:00"/>
    <n v="1"/>
    <n v="106.51"/>
    <n v="163"/>
  </r>
  <r>
    <x v="18"/>
    <d v="2022-05-15T00:00:00"/>
    <n v="1"/>
    <n v="110.18"/>
    <n v="124"/>
  </r>
  <r>
    <x v="0"/>
    <d v="2022-05-15T00:00:00"/>
    <n v="1"/>
    <n v="146.1"/>
    <n v="173"/>
  </r>
  <r>
    <x v="75"/>
    <d v="2022-05-15T00:00:00"/>
    <n v="1"/>
    <n v="23.57"/>
    <n v="36"/>
  </r>
  <r>
    <x v="21"/>
    <d v="2022-05-15T00:00:00"/>
    <n v="0.1"/>
    <n v="989.8"/>
    <n v="1238"/>
  </r>
  <r>
    <x v="65"/>
    <d v="2022-05-15T00:00:00"/>
    <n v="1"/>
    <n v="184.39"/>
    <n v="218"/>
  </r>
  <r>
    <x v="62"/>
    <d v="2022-05-15T00:00:00"/>
    <n v="1"/>
    <n v="63.59"/>
    <n v="95"/>
  </r>
  <r>
    <x v="119"/>
    <d v="2022-05-15T00:00:00"/>
    <n v="1"/>
    <n v="37.869999999999997"/>
    <n v="62"/>
  </r>
  <r>
    <x v="57"/>
    <d v="2022-05-15T00:00:00"/>
    <n v="1"/>
    <n v="25.71"/>
    <n v="31"/>
  </r>
  <r>
    <x v="95"/>
    <d v="2022-05-15T00:00:00"/>
    <n v="1"/>
    <n v="39.49"/>
    <n v="61"/>
  </r>
  <r>
    <x v="21"/>
    <d v="2022-05-15T00:00:00"/>
    <n v="0.2"/>
    <n v="989.8"/>
    <n v="1238"/>
  </r>
  <r>
    <x v="9"/>
    <d v="2022-05-15T00:00:00"/>
    <n v="0.1"/>
    <n v="498.84"/>
    <n v="659"/>
  </r>
  <r>
    <x v="102"/>
    <d v="2022-05-15T00:00:00"/>
    <n v="1"/>
    <n v="77.05"/>
    <n v="94"/>
  </r>
  <r>
    <x v="68"/>
    <d v="2022-05-15T00:00:00"/>
    <n v="1"/>
    <n v="12"/>
    <n v="20"/>
  </r>
  <r>
    <x v="19"/>
    <d v="2022-05-15T00:00:00"/>
    <n v="1"/>
    <n v="107.3"/>
    <n v="126"/>
  </r>
  <r>
    <x v="152"/>
    <d v="2022-05-15T00:00:00"/>
    <n v="1"/>
    <n v="12"/>
    <n v="20"/>
  </r>
  <r>
    <x v="30"/>
    <d v="2022-05-15T00:00:00"/>
    <n v="1"/>
    <n v="39.6"/>
    <n v="61"/>
  </r>
  <r>
    <x v="78"/>
    <d v="2022-05-15T00:00:00"/>
    <n v="1"/>
    <n v="207.76"/>
    <n v="246"/>
  </r>
  <r>
    <x v="97"/>
    <d v="2022-05-15T00:00:00"/>
    <n v="1"/>
    <n v="30.22"/>
    <n v="36"/>
  </r>
  <r>
    <x v="109"/>
    <d v="2022-05-15T00:00:00"/>
    <n v="1"/>
    <n v="74.8"/>
    <n v="92"/>
  </r>
  <r>
    <x v="0"/>
    <d v="2022-05-15T00:00:00"/>
    <n v="1"/>
    <n v="134.49"/>
    <n v="161"/>
  </r>
  <r>
    <x v="153"/>
    <d v="2022-05-15T00:00:00"/>
    <n v="1"/>
    <n v="24.24"/>
    <n v="32"/>
  </r>
  <r>
    <x v="153"/>
    <d v="2022-05-15T00:00:00"/>
    <n v="1"/>
    <n v="25.57"/>
    <n v="33"/>
  </r>
  <r>
    <x v="153"/>
    <d v="2022-05-15T00:00:00"/>
    <n v="1"/>
    <n v="25.57"/>
    <n v="33"/>
  </r>
  <r>
    <x v="153"/>
    <d v="2022-05-15T00:00:00"/>
    <n v="1"/>
    <n v="25.57"/>
    <n v="33"/>
  </r>
  <r>
    <x v="153"/>
    <d v="2022-05-15T00:00:00"/>
    <n v="1"/>
    <n v="25.57"/>
    <n v="33"/>
  </r>
  <r>
    <x v="115"/>
    <d v="2022-05-15T00:00:00"/>
    <n v="1"/>
    <n v="132.26"/>
    <n v="182"/>
  </r>
  <r>
    <x v="153"/>
    <d v="2022-05-15T00:00:00"/>
    <n v="1"/>
    <n v="25.57"/>
    <n v="33"/>
  </r>
  <r>
    <x v="153"/>
    <d v="2022-05-15T00:00:00"/>
    <n v="1"/>
    <n v="25.57"/>
    <n v="33"/>
  </r>
  <r>
    <x v="153"/>
    <d v="2022-05-15T00:00:00"/>
    <n v="1"/>
    <n v="25.57"/>
    <n v="33"/>
  </r>
  <r>
    <x v="153"/>
    <d v="2022-05-15T00:00:00"/>
    <n v="1"/>
    <n v="25.57"/>
    <n v="33"/>
  </r>
  <r>
    <x v="153"/>
    <d v="2022-05-15T00:00:00"/>
    <n v="1"/>
    <n v="25.57"/>
    <n v="33"/>
  </r>
  <r>
    <x v="153"/>
    <d v="2022-05-15T00:00:00"/>
    <n v="1"/>
    <n v="25.57"/>
    <n v="33"/>
  </r>
  <r>
    <x v="153"/>
    <d v="2022-05-15T00:00:00"/>
    <n v="1"/>
    <n v="25.57"/>
    <n v="33"/>
  </r>
  <r>
    <x v="153"/>
    <d v="2022-05-15T00:00:00"/>
    <n v="1"/>
    <n v="25.57"/>
    <n v="33"/>
  </r>
  <r>
    <x v="153"/>
    <d v="2022-05-15T00:00:00"/>
    <n v="1"/>
    <n v="25.57"/>
    <n v="33"/>
  </r>
  <r>
    <x v="139"/>
    <d v="2022-05-15T00:00:00"/>
    <n v="1"/>
    <n v="52.47"/>
    <n v="75"/>
  </r>
  <r>
    <x v="139"/>
    <d v="2022-05-15T00:00:00"/>
    <n v="1"/>
    <n v="52.47"/>
    <n v="75"/>
  </r>
  <r>
    <x v="90"/>
    <d v="2022-05-15T00:00:00"/>
    <n v="1"/>
    <n v="130.88999999999999"/>
    <n v="206"/>
  </r>
  <r>
    <x v="81"/>
    <d v="2022-05-15T00:00:00"/>
    <n v="1"/>
    <n v="47.4"/>
    <n v="77"/>
  </r>
  <r>
    <x v="77"/>
    <d v="2022-05-15T00:00:00"/>
    <n v="1"/>
    <n v="40.1"/>
    <n v="51"/>
  </r>
  <r>
    <x v="77"/>
    <d v="2022-05-15T00:00:00"/>
    <n v="1"/>
    <n v="40.1"/>
    <n v="51"/>
  </r>
  <r>
    <x v="77"/>
    <d v="2022-05-15T00:00:00"/>
    <n v="1"/>
    <n v="40.1"/>
    <n v="51"/>
  </r>
  <r>
    <x v="77"/>
    <d v="2022-05-15T00:00:00"/>
    <n v="1"/>
    <n v="40.1"/>
    <n v="51"/>
  </r>
  <r>
    <x v="77"/>
    <d v="2022-05-15T00:00:00"/>
    <n v="1"/>
    <n v="40.1"/>
    <n v="51"/>
  </r>
  <r>
    <x v="119"/>
    <d v="2022-05-15T00:00:00"/>
    <n v="1"/>
    <n v="37.869999999999997"/>
    <n v="62"/>
  </r>
  <r>
    <x v="3"/>
    <d v="2022-05-15T00:00:00"/>
    <n v="1"/>
    <n v="47.83"/>
    <n v="77"/>
  </r>
  <r>
    <x v="50"/>
    <d v="2022-05-15T00:00:00"/>
    <n v="1"/>
    <n v="77.78"/>
    <n v="97"/>
  </r>
  <r>
    <x v="74"/>
    <d v="2022-05-15T00:00:00"/>
    <n v="1"/>
    <n v="148.5"/>
    <n v="177"/>
  </r>
  <r>
    <x v="111"/>
    <d v="2022-05-15T00:00:00"/>
    <n v="1"/>
    <n v="101.97"/>
    <n v="121"/>
  </r>
  <r>
    <x v="79"/>
    <d v="2022-05-15T00:00:00"/>
    <n v="1"/>
    <n v="153.75"/>
    <n v="193"/>
  </r>
  <r>
    <x v="79"/>
    <d v="2022-05-15T00:00:00"/>
    <n v="1"/>
    <n v="153.75"/>
    <n v="193"/>
  </r>
  <r>
    <x v="68"/>
    <d v="2022-05-15T00:00:00"/>
    <n v="1"/>
    <n v="8.24"/>
    <n v="14"/>
  </r>
  <r>
    <x v="83"/>
    <d v="2022-05-15T00:00:00"/>
    <n v="0.5"/>
    <n v="123.98"/>
    <n v="189"/>
  </r>
  <r>
    <x v="65"/>
    <d v="2022-05-15T00:00:00"/>
    <n v="1"/>
    <n v="164.69"/>
    <n v="202"/>
  </r>
  <r>
    <x v="110"/>
    <d v="2022-05-15T00:00:00"/>
    <n v="1"/>
    <n v="71.349999999999994"/>
    <n v="90"/>
  </r>
  <r>
    <x v="11"/>
    <d v="2022-05-15T00:00:00"/>
    <n v="1"/>
    <n v="44.03"/>
    <n v="67"/>
  </r>
  <r>
    <x v="96"/>
    <d v="2022-05-15T00:00:00"/>
    <n v="1"/>
    <n v="28.66"/>
    <n v="44"/>
  </r>
  <r>
    <x v="61"/>
    <d v="2022-05-15T00:00:00"/>
    <n v="1"/>
    <n v="31.69"/>
    <n v="37"/>
  </r>
  <r>
    <x v="61"/>
    <d v="2022-05-15T00:00:00"/>
    <n v="1"/>
    <n v="31.69"/>
    <n v="37"/>
  </r>
  <r>
    <x v="61"/>
    <d v="2022-05-15T00:00:00"/>
    <n v="1"/>
    <n v="31.69"/>
    <n v="37"/>
  </r>
  <r>
    <x v="13"/>
    <d v="2022-05-15T00:00:00"/>
    <n v="1"/>
    <n v="46"/>
    <n v="70"/>
  </r>
  <r>
    <x v="65"/>
    <d v="2022-05-15T00:00:00"/>
    <n v="1"/>
    <n v="168.41"/>
    <n v="203"/>
  </r>
  <r>
    <x v="136"/>
    <d v="2022-05-15T00:00:00"/>
    <n v="2"/>
    <n v="10.76"/>
    <n v="18"/>
  </r>
  <r>
    <x v="57"/>
    <d v="2022-05-15T00:00:00"/>
    <n v="1"/>
    <n v="25.71"/>
    <n v="31"/>
  </r>
  <r>
    <x v="15"/>
    <d v="2022-05-15T00:00:00"/>
    <n v="1"/>
    <n v="20.23"/>
    <n v="27"/>
  </r>
  <r>
    <x v="73"/>
    <d v="2022-05-15T00:00:00"/>
    <n v="1"/>
    <n v="65.56"/>
    <n v="84"/>
  </r>
  <r>
    <x v="73"/>
    <d v="2022-05-15T00:00:00"/>
    <n v="1"/>
    <n v="79.3"/>
    <n v="100"/>
  </r>
  <r>
    <x v="34"/>
    <d v="2022-05-15T00:00:00"/>
    <n v="10"/>
    <n v="9.8800000000000008"/>
    <n v="16"/>
  </r>
  <r>
    <x v="85"/>
    <d v="2022-05-15T00:00:00"/>
    <n v="1"/>
    <n v="384.59"/>
    <n v="462"/>
  </r>
  <r>
    <x v="20"/>
    <d v="2022-05-15T00:00:00"/>
    <n v="1"/>
    <n v="147.18"/>
    <n v="177"/>
  </r>
  <r>
    <x v="29"/>
    <d v="2022-05-15T00:00:00"/>
    <n v="1"/>
    <n v="199.58"/>
    <n v="230"/>
  </r>
  <r>
    <x v="14"/>
    <d v="2022-05-15T00:00:00"/>
    <n v="1"/>
    <n v="81.69"/>
    <n v="102"/>
  </r>
  <r>
    <x v="91"/>
    <d v="2022-05-15T00:00:00"/>
    <n v="1"/>
    <n v="70.930000000000007"/>
    <n v="106"/>
  </r>
  <r>
    <x v="80"/>
    <d v="2022-05-15T00:00:00"/>
    <n v="1"/>
    <n v="14.63"/>
    <n v="23"/>
  </r>
  <r>
    <x v="80"/>
    <d v="2022-05-15T00:00:00"/>
    <n v="1"/>
    <n v="14.63"/>
    <n v="23"/>
  </r>
  <r>
    <x v="80"/>
    <d v="2022-05-15T00:00:00"/>
    <n v="1"/>
    <n v="14.63"/>
    <n v="23"/>
  </r>
  <r>
    <x v="37"/>
    <d v="2022-05-15T00:00:00"/>
    <n v="1"/>
    <n v="568.6"/>
    <n v="654"/>
  </r>
  <r>
    <x v="9"/>
    <d v="2022-05-15T00:00:00"/>
    <n v="0.1"/>
    <n v="498.84"/>
    <n v="659"/>
  </r>
  <r>
    <x v="72"/>
    <d v="2022-05-15T00:00:00"/>
    <n v="1"/>
    <n v="60.3"/>
    <n v="75"/>
  </r>
  <r>
    <x v="21"/>
    <d v="2022-05-15T00:00:00"/>
    <n v="0.1"/>
    <n v="1182.26"/>
    <n v="1537"/>
  </r>
  <r>
    <x v="3"/>
    <d v="2022-05-15T00:00:00"/>
    <n v="1"/>
    <n v="47.82"/>
    <n v="83"/>
  </r>
  <r>
    <x v="136"/>
    <d v="2022-05-15T00:00:00"/>
    <n v="1"/>
    <n v="16.38"/>
    <n v="27"/>
  </r>
  <r>
    <x v="18"/>
    <d v="2022-05-15T00:00:00"/>
    <n v="1"/>
    <n v="109.41"/>
    <n v="123"/>
  </r>
  <r>
    <x v="20"/>
    <d v="2022-05-15T00:00:00"/>
    <n v="1"/>
    <n v="147.18"/>
    <n v="177"/>
  </r>
  <r>
    <x v="147"/>
    <d v="2022-05-15T00:00:00"/>
    <n v="1"/>
    <n v="104.76"/>
    <n v="131"/>
  </r>
  <r>
    <x v="57"/>
    <d v="2022-05-15T00:00:00"/>
    <n v="1"/>
    <n v="25.19"/>
    <n v="30"/>
  </r>
  <r>
    <x v="57"/>
    <d v="2022-05-15T00:00:00"/>
    <n v="1"/>
    <n v="25.19"/>
    <n v="30"/>
  </r>
  <r>
    <x v="116"/>
    <d v="2022-05-15T00:00:00"/>
    <n v="1"/>
    <n v="7.24"/>
    <n v="12"/>
  </r>
  <r>
    <x v="88"/>
    <d v="2022-05-15T00:00:00"/>
    <n v="1"/>
    <n v="74.42"/>
    <n v="106"/>
  </r>
  <r>
    <x v="57"/>
    <d v="2022-05-15T00:00:00"/>
    <n v="1"/>
    <n v="25.71"/>
    <n v="31"/>
  </r>
  <r>
    <x v="40"/>
    <d v="2022-05-15T00:00:00"/>
    <n v="4"/>
    <n v="25.36"/>
    <n v="42"/>
  </r>
  <r>
    <x v="99"/>
    <d v="2022-05-15T00:00:00"/>
    <n v="1"/>
    <n v="44.4"/>
    <n v="57"/>
  </r>
  <r>
    <x v="81"/>
    <d v="2022-05-15T00:00:00"/>
    <n v="1"/>
    <n v="47.4"/>
    <n v="76"/>
  </r>
  <r>
    <x v="134"/>
    <d v="2022-05-15T00:00:00"/>
    <n v="1"/>
    <n v="24.18"/>
    <n v="39"/>
  </r>
  <r>
    <x v="155"/>
    <d v="2022-05-15T00:00:00"/>
    <n v="1"/>
    <n v="80.73"/>
    <n v="100"/>
  </r>
  <r>
    <x v="109"/>
    <d v="2022-05-15T00:00:00"/>
    <n v="1"/>
    <n v="74.8"/>
    <n v="94"/>
  </r>
  <r>
    <x v="113"/>
    <d v="2022-05-15T00:00:00"/>
    <n v="1"/>
    <n v="10.79"/>
    <n v="13"/>
  </r>
  <r>
    <x v="113"/>
    <d v="2022-05-15T00:00:00"/>
    <n v="1"/>
    <n v="10.79"/>
    <n v="13"/>
  </r>
  <r>
    <x v="38"/>
    <d v="2022-05-15T00:00:00"/>
    <n v="1"/>
    <n v="133.71"/>
    <n v="164"/>
  </r>
  <r>
    <x v="90"/>
    <d v="2022-05-15T00:00:00"/>
    <n v="1"/>
    <n v="130.88999999999999"/>
    <n v="206"/>
  </r>
  <r>
    <x v="119"/>
    <d v="2022-05-15T00:00:00"/>
    <n v="1"/>
    <n v="37.869999999999997"/>
    <n v="62"/>
  </r>
  <r>
    <x v="0"/>
    <d v="2022-05-15T00:00:00"/>
    <n v="1"/>
    <n v="131.93"/>
    <n v="151"/>
  </r>
  <r>
    <x v="5"/>
    <d v="2022-05-15T00:00:00"/>
    <n v="1"/>
    <n v="10.34"/>
    <n v="13"/>
  </r>
  <r>
    <x v="5"/>
    <d v="2022-05-15T00:00:00"/>
    <n v="1"/>
    <n v="10.34"/>
    <n v="13"/>
  </r>
  <r>
    <x v="5"/>
    <d v="2022-05-15T00:00:00"/>
    <n v="1"/>
    <n v="10.34"/>
    <n v="13"/>
  </r>
  <r>
    <x v="119"/>
    <d v="2022-05-15T00:00:00"/>
    <n v="1"/>
    <n v="36.75"/>
    <n v="59"/>
  </r>
  <r>
    <x v="43"/>
    <d v="2022-05-15T00:00:00"/>
    <n v="1"/>
    <n v="41.54"/>
    <n v="64"/>
  </r>
  <r>
    <x v="19"/>
    <d v="2022-05-15T00:00:00"/>
    <n v="1"/>
    <n v="98.67"/>
    <n v="115"/>
  </r>
  <r>
    <x v="113"/>
    <d v="2022-05-15T00:00:00"/>
    <n v="1"/>
    <n v="10.79"/>
    <n v="13"/>
  </r>
  <r>
    <x v="145"/>
    <d v="2022-05-15T00:00:00"/>
    <n v="2"/>
    <n v="82.64"/>
    <n v="129"/>
  </r>
  <r>
    <x v="89"/>
    <d v="2022-05-14T00:00:00"/>
    <n v="1"/>
    <n v="31.13"/>
    <n v="43"/>
  </r>
  <r>
    <x v="89"/>
    <d v="2022-05-14T00:00:00"/>
    <n v="1"/>
    <n v="31.13"/>
    <n v="43"/>
  </r>
  <r>
    <x v="72"/>
    <d v="2022-05-14T00:00:00"/>
    <n v="1"/>
    <n v="60.3"/>
    <n v="75"/>
  </r>
  <r>
    <x v="122"/>
    <d v="2022-05-14T00:00:00"/>
    <n v="1"/>
    <n v="118.82"/>
    <n v="168"/>
  </r>
  <r>
    <x v="7"/>
    <d v="2022-05-14T00:00:00"/>
    <n v="1"/>
    <n v="55.81"/>
    <n v="69"/>
  </r>
  <r>
    <x v="144"/>
    <d v="2022-05-14T00:00:00"/>
    <n v="1"/>
    <n v="221.03"/>
    <n v="310"/>
  </r>
  <r>
    <x v="74"/>
    <d v="2022-05-14T00:00:00"/>
    <n v="1"/>
    <n v="153.44999999999999"/>
    <n v="169"/>
  </r>
  <r>
    <x v="7"/>
    <d v="2022-05-14T00:00:00"/>
    <n v="1"/>
    <n v="56.84"/>
    <n v="70"/>
  </r>
  <r>
    <x v="145"/>
    <d v="2022-05-14T00:00:00"/>
    <n v="1"/>
    <n v="77.400000000000006"/>
    <n v="120"/>
  </r>
  <r>
    <x v="2"/>
    <d v="2022-05-14T00:00:00"/>
    <n v="1"/>
    <n v="88.4"/>
    <n v="109"/>
  </r>
  <r>
    <x v="2"/>
    <d v="2022-05-14T00:00:00"/>
    <n v="1"/>
    <n v="88.4"/>
    <n v="109"/>
  </r>
  <r>
    <x v="24"/>
    <d v="2022-05-14T00:00:00"/>
    <n v="1"/>
    <n v="480.05"/>
    <n v="658"/>
  </r>
  <r>
    <x v="24"/>
    <d v="2022-05-14T00:00:00"/>
    <n v="1"/>
    <n v="480.05"/>
    <n v="658"/>
  </r>
  <r>
    <x v="124"/>
    <d v="2022-05-14T00:00:00"/>
    <n v="0.04"/>
    <n v="500.48"/>
    <n v="553"/>
  </r>
  <r>
    <x v="117"/>
    <d v="2022-05-14T00:00:00"/>
    <n v="1"/>
    <n v="20.48"/>
    <n v="25"/>
  </r>
  <r>
    <x v="44"/>
    <d v="2022-05-14T00:00:00"/>
    <n v="1"/>
    <n v="15.32"/>
    <n v="19"/>
  </r>
  <r>
    <x v="0"/>
    <d v="2022-05-14T00:00:00"/>
    <n v="1"/>
    <n v="134.49"/>
    <n v="161"/>
  </r>
  <r>
    <x v="61"/>
    <d v="2022-05-14T00:00:00"/>
    <n v="1"/>
    <n v="30.78"/>
    <n v="36"/>
  </r>
  <r>
    <x v="5"/>
    <d v="2022-05-14T00:00:00"/>
    <n v="1"/>
    <n v="10.34"/>
    <n v="13"/>
  </r>
  <r>
    <x v="5"/>
    <d v="2022-05-14T00:00:00"/>
    <n v="1"/>
    <n v="10.34"/>
    <n v="13"/>
  </r>
  <r>
    <x v="82"/>
    <d v="2022-05-14T00:00:00"/>
    <n v="1"/>
    <n v="347.96"/>
    <n v="394"/>
  </r>
  <r>
    <x v="59"/>
    <d v="2022-05-14T00:00:00"/>
    <n v="1"/>
    <n v="198.66"/>
    <n v="273"/>
  </r>
  <r>
    <x v="98"/>
    <d v="2022-05-14T00:00:00"/>
    <n v="1"/>
    <n v="41.33"/>
    <n v="65"/>
  </r>
  <r>
    <x v="154"/>
    <d v="2022-05-14T00:00:00"/>
    <n v="1"/>
    <n v="50.63"/>
    <n v="65"/>
  </r>
  <r>
    <x v="20"/>
    <d v="2022-05-14T00:00:00"/>
    <n v="1"/>
    <n v="147.18"/>
    <n v="173"/>
  </r>
  <r>
    <x v="152"/>
    <d v="2022-05-14T00:00:00"/>
    <n v="1"/>
    <n v="12"/>
    <n v="21"/>
  </r>
  <r>
    <x v="117"/>
    <d v="2022-05-14T00:00:00"/>
    <n v="1"/>
    <n v="20.64"/>
    <n v="25"/>
  </r>
  <r>
    <x v="33"/>
    <d v="2022-05-14T00:00:00"/>
    <n v="1"/>
    <n v="27.64"/>
    <n v="43"/>
  </r>
  <r>
    <x v="27"/>
    <d v="2022-05-14T00:00:00"/>
    <n v="1"/>
    <n v="105"/>
    <n v="165"/>
  </r>
  <r>
    <x v="21"/>
    <d v="2022-05-14T00:00:00"/>
    <n v="0.4"/>
    <n v="1086.5899999999999"/>
    <n v="1467"/>
  </r>
  <r>
    <x v="88"/>
    <d v="2022-05-14T00:00:00"/>
    <n v="1"/>
    <n v="70.97"/>
    <n v="106"/>
  </r>
  <r>
    <x v="31"/>
    <d v="2022-05-14T00:00:00"/>
    <n v="1"/>
    <n v="22.4"/>
    <n v="28"/>
  </r>
  <r>
    <x v="33"/>
    <d v="2022-05-14T00:00:00"/>
    <n v="1"/>
    <n v="22.31"/>
    <n v="35"/>
  </r>
  <r>
    <x v="152"/>
    <d v="2022-05-14T00:00:00"/>
    <n v="3"/>
    <n v="12"/>
    <n v="20"/>
  </r>
  <r>
    <x v="40"/>
    <d v="2022-05-14T00:00:00"/>
    <n v="10"/>
    <n v="25.59"/>
    <n v="45"/>
  </r>
  <r>
    <x v="86"/>
    <d v="2022-05-14T00:00:00"/>
    <n v="1"/>
    <n v="38"/>
    <n v="66"/>
  </r>
  <r>
    <x v="33"/>
    <d v="2022-05-14T00:00:00"/>
    <n v="1"/>
    <n v="27.64"/>
    <n v="43"/>
  </r>
  <r>
    <x v="52"/>
    <d v="2022-05-14T00:00:00"/>
    <n v="1"/>
    <n v="233.74"/>
    <n v="274"/>
  </r>
  <r>
    <x v="41"/>
    <d v="2022-05-14T00:00:00"/>
    <n v="1"/>
    <n v="19.600000000000001"/>
    <n v="24"/>
  </r>
  <r>
    <x v="134"/>
    <d v="2022-05-14T00:00:00"/>
    <n v="1"/>
    <n v="24.18"/>
    <n v="40"/>
  </r>
  <r>
    <x v="23"/>
    <d v="2022-05-14T00:00:00"/>
    <n v="1"/>
    <n v="136.6"/>
    <n v="188"/>
  </r>
  <r>
    <x v="27"/>
    <d v="2022-05-14T00:00:00"/>
    <n v="1"/>
    <n v="105"/>
    <n v="165"/>
  </r>
  <r>
    <x v="119"/>
    <d v="2022-05-14T00:00:00"/>
    <n v="1"/>
    <n v="37.869999999999997"/>
    <n v="62"/>
  </r>
  <r>
    <x v="52"/>
    <d v="2022-05-14T00:00:00"/>
    <n v="1"/>
    <n v="239.87"/>
    <n v="269"/>
  </r>
  <r>
    <x v="43"/>
    <d v="2022-05-14T00:00:00"/>
    <n v="1"/>
    <n v="38.67"/>
    <n v="60"/>
  </r>
  <r>
    <x v="155"/>
    <d v="2022-05-14T00:00:00"/>
    <n v="1"/>
    <n v="80.73"/>
    <n v="100"/>
  </r>
  <r>
    <x v="29"/>
    <d v="2022-05-14T00:00:00"/>
    <n v="1"/>
    <n v="199.59"/>
    <n v="230"/>
  </r>
  <r>
    <x v="19"/>
    <d v="2022-05-14T00:00:00"/>
    <n v="1"/>
    <n v="98.67"/>
    <n v="120"/>
  </r>
  <r>
    <x v="136"/>
    <d v="2022-05-14T00:00:00"/>
    <n v="3"/>
    <n v="14.69"/>
    <n v="26"/>
  </r>
  <r>
    <x v="86"/>
    <d v="2022-05-14T00:00:00"/>
    <n v="1"/>
    <n v="38"/>
    <n v="66"/>
  </r>
  <r>
    <x v="86"/>
    <d v="2022-05-14T00:00:00"/>
    <n v="2"/>
    <n v="38"/>
    <n v="66"/>
  </r>
  <r>
    <x v="38"/>
    <d v="2022-05-14T00:00:00"/>
    <n v="1"/>
    <n v="134.68"/>
    <n v="162"/>
  </r>
  <r>
    <x v="135"/>
    <d v="2022-05-14T00:00:00"/>
    <n v="1"/>
    <n v="155.13999999999999"/>
    <n v="187"/>
  </r>
  <r>
    <x v="151"/>
    <d v="2022-05-14T00:00:00"/>
    <n v="1"/>
    <n v="248.25"/>
    <n v="331"/>
  </r>
  <r>
    <x v="20"/>
    <d v="2022-05-14T00:00:00"/>
    <n v="1"/>
    <n v="147.18"/>
    <n v="180"/>
  </r>
  <r>
    <x v="8"/>
    <d v="2022-05-14T00:00:00"/>
    <n v="1"/>
    <n v="119.36"/>
    <n v="144"/>
  </r>
  <r>
    <x v="5"/>
    <d v="2022-05-14T00:00:00"/>
    <n v="1"/>
    <n v="10.34"/>
    <n v="13"/>
  </r>
  <r>
    <x v="49"/>
    <d v="2022-05-14T00:00:00"/>
    <n v="1"/>
    <n v="635.70000000000005"/>
    <n v="821"/>
  </r>
  <r>
    <x v="95"/>
    <d v="2022-05-14T00:00:00"/>
    <n v="1"/>
    <n v="35.49"/>
    <n v="55"/>
  </r>
  <r>
    <x v="93"/>
    <d v="2022-05-14T00:00:00"/>
    <n v="1"/>
    <n v="110.86"/>
    <n v="134"/>
  </r>
  <r>
    <x v="93"/>
    <d v="2022-05-14T00:00:00"/>
    <n v="1"/>
    <n v="110.86"/>
    <n v="134"/>
  </r>
  <r>
    <x v="40"/>
    <d v="2022-05-14T00:00:00"/>
    <n v="1"/>
    <n v="27.94"/>
    <n v="45"/>
  </r>
  <r>
    <x v="8"/>
    <d v="2022-05-14T00:00:00"/>
    <n v="1"/>
    <n v="122.17"/>
    <n v="149"/>
  </r>
  <r>
    <x v="14"/>
    <d v="2022-05-14T00:00:00"/>
    <n v="1"/>
    <n v="81.95"/>
    <n v="104"/>
  </r>
  <r>
    <x v="14"/>
    <d v="2022-05-14T00:00:00"/>
    <n v="1"/>
    <n v="81.95"/>
    <n v="104"/>
  </r>
  <r>
    <x v="6"/>
    <d v="2022-05-14T00:00:00"/>
    <n v="1"/>
    <n v="24.2"/>
    <n v="39"/>
  </r>
  <r>
    <x v="72"/>
    <d v="2022-05-14T00:00:00"/>
    <n v="1"/>
    <n v="60.3"/>
    <n v="75"/>
  </r>
  <r>
    <x v="93"/>
    <d v="2022-05-14T00:00:00"/>
    <n v="1"/>
    <n v="110.99"/>
    <n v="136"/>
  </r>
  <r>
    <x v="89"/>
    <d v="2022-05-14T00:00:00"/>
    <n v="1"/>
    <n v="38.97"/>
    <n v="50"/>
  </r>
  <r>
    <x v="89"/>
    <d v="2022-05-14T00:00:00"/>
    <n v="1"/>
    <n v="38.97"/>
    <n v="50"/>
  </r>
  <r>
    <x v="155"/>
    <d v="2022-05-14T00:00:00"/>
    <n v="1"/>
    <n v="80.73"/>
    <n v="100"/>
  </r>
  <r>
    <x v="24"/>
    <d v="2022-05-14T00:00:00"/>
    <n v="1"/>
    <n v="526.89"/>
    <n v="712"/>
  </r>
  <r>
    <x v="112"/>
    <d v="2022-05-14T00:00:00"/>
    <n v="1"/>
    <n v="23.14"/>
    <n v="28"/>
  </r>
  <r>
    <x v="112"/>
    <d v="2022-05-14T00:00:00"/>
    <n v="1"/>
    <n v="23.14"/>
    <n v="28"/>
  </r>
  <r>
    <x v="51"/>
    <d v="2022-05-14T00:00:00"/>
    <n v="1"/>
    <n v="43.97"/>
    <n v="69"/>
  </r>
  <r>
    <x v="97"/>
    <d v="2022-05-14T00:00:00"/>
    <n v="1"/>
    <n v="26.18"/>
    <n v="33"/>
  </r>
  <r>
    <x v="125"/>
    <d v="2022-05-14T00:00:00"/>
    <n v="1"/>
    <n v="23.12"/>
    <n v="29"/>
  </r>
  <r>
    <x v="125"/>
    <d v="2022-05-14T00:00:00"/>
    <n v="1"/>
    <n v="23.12"/>
    <n v="29"/>
  </r>
  <r>
    <x v="68"/>
    <d v="2022-05-14T00:00:00"/>
    <n v="1"/>
    <n v="8.6999999999999993"/>
    <n v="15"/>
  </r>
  <r>
    <x v="48"/>
    <d v="2022-05-14T00:00:00"/>
    <n v="1"/>
    <n v="23.4"/>
    <n v="38"/>
  </r>
  <r>
    <x v="67"/>
    <d v="2022-05-14T00:00:00"/>
    <n v="1"/>
    <n v="550.89"/>
    <n v="728"/>
  </r>
  <r>
    <x v="6"/>
    <d v="2022-05-14T00:00:00"/>
    <n v="1"/>
    <n v="24.2"/>
    <n v="39"/>
  </r>
  <r>
    <x v="130"/>
    <d v="2022-05-14T00:00:00"/>
    <n v="1"/>
    <n v="72.599999999999994"/>
    <n v="90"/>
  </r>
  <r>
    <x v="130"/>
    <d v="2022-05-14T00:00:00"/>
    <n v="1"/>
    <n v="72.599999999999994"/>
    <n v="90"/>
  </r>
  <r>
    <x v="130"/>
    <d v="2022-05-14T00:00:00"/>
    <n v="1"/>
    <n v="72.599999999999994"/>
    <n v="90"/>
  </r>
  <r>
    <x v="40"/>
    <d v="2022-05-14T00:00:00"/>
    <n v="1"/>
    <n v="33.07"/>
    <n v="54"/>
  </r>
  <r>
    <x v="3"/>
    <d v="2022-05-14T00:00:00"/>
    <n v="1"/>
    <n v="47.83"/>
    <n v="78"/>
  </r>
  <r>
    <x v="125"/>
    <d v="2022-05-14T00:00:00"/>
    <n v="1"/>
    <n v="23.12"/>
    <n v="29"/>
  </r>
  <r>
    <x v="19"/>
    <d v="2022-05-14T00:00:00"/>
    <n v="1"/>
    <n v="107.3"/>
    <n v="126"/>
  </r>
  <r>
    <x v="96"/>
    <d v="2022-05-14T00:00:00"/>
    <n v="1"/>
    <n v="33.9"/>
    <n v="54"/>
  </r>
  <r>
    <x v="129"/>
    <d v="2022-05-14T00:00:00"/>
    <n v="1"/>
    <n v="26.6"/>
    <n v="42"/>
  </r>
  <r>
    <x v="129"/>
    <d v="2022-05-14T00:00:00"/>
    <n v="1"/>
    <n v="26.6"/>
    <n v="42"/>
  </r>
  <r>
    <x v="77"/>
    <d v="2022-05-14T00:00:00"/>
    <n v="1"/>
    <n v="40.1"/>
    <n v="51"/>
  </r>
  <r>
    <x v="77"/>
    <d v="2022-05-14T00:00:00"/>
    <n v="1"/>
    <n v="40.1"/>
    <n v="51"/>
  </r>
  <r>
    <x v="77"/>
    <d v="2022-05-14T00:00:00"/>
    <n v="1"/>
    <n v="40.1"/>
    <n v="51"/>
  </r>
  <r>
    <x v="77"/>
    <d v="2022-05-14T00:00:00"/>
    <n v="1"/>
    <n v="40.1"/>
    <n v="51"/>
  </r>
  <r>
    <x v="77"/>
    <d v="2022-05-14T00:00:00"/>
    <n v="1"/>
    <n v="40.1"/>
    <n v="51"/>
  </r>
  <r>
    <x v="86"/>
    <d v="2022-05-14T00:00:00"/>
    <n v="1"/>
    <n v="31.28"/>
    <n v="51"/>
  </r>
  <r>
    <x v="140"/>
    <d v="2022-05-14T00:00:00"/>
    <n v="1"/>
    <n v="25.3"/>
    <n v="31"/>
  </r>
  <r>
    <x v="59"/>
    <d v="2022-05-14T00:00:00"/>
    <n v="1"/>
    <n v="200.65"/>
    <n v="281"/>
  </r>
  <r>
    <x v="85"/>
    <d v="2022-05-14T00:00:00"/>
    <n v="1"/>
    <n v="390.04"/>
    <n v="480"/>
  </r>
  <r>
    <x v="5"/>
    <d v="2022-05-14T00:00:00"/>
    <n v="1"/>
    <n v="10.34"/>
    <n v="13"/>
  </r>
  <r>
    <x v="148"/>
    <d v="2022-05-14T00:00:00"/>
    <n v="1"/>
    <n v="9.4600000000000009"/>
    <n v="11"/>
  </r>
  <r>
    <x v="111"/>
    <d v="2022-05-14T00:00:00"/>
    <n v="1"/>
    <n v="105.42"/>
    <n v="124"/>
  </r>
  <r>
    <x v="21"/>
    <d v="2022-05-14T00:00:00"/>
    <n v="0.1"/>
    <n v="1086.5899999999999"/>
    <n v="1359"/>
  </r>
  <r>
    <x v="5"/>
    <d v="2022-05-14T00:00:00"/>
    <n v="1"/>
    <n v="10.34"/>
    <n v="13"/>
  </r>
  <r>
    <x v="148"/>
    <d v="2022-05-14T00:00:00"/>
    <n v="1"/>
    <n v="9.4600000000000009"/>
    <n v="11"/>
  </r>
  <r>
    <x v="98"/>
    <d v="2022-05-14T00:00:00"/>
    <n v="1"/>
    <n v="41.33"/>
    <n v="65"/>
  </r>
  <r>
    <x v="18"/>
    <d v="2022-05-14T00:00:00"/>
    <n v="1"/>
    <n v="110.08"/>
    <n v="124"/>
  </r>
  <r>
    <x v="20"/>
    <d v="2022-05-14T00:00:00"/>
    <n v="1"/>
    <n v="147.18"/>
    <n v="180"/>
  </r>
  <r>
    <x v="9"/>
    <d v="2022-05-14T00:00:00"/>
    <n v="0.2"/>
    <n v="596.29"/>
    <n v="746"/>
  </r>
  <r>
    <x v="44"/>
    <d v="2022-05-14T00:00:00"/>
    <n v="1"/>
    <n v="16.309999999999999"/>
    <n v="20"/>
  </r>
  <r>
    <x v="151"/>
    <d v="2022-05-14T00:00:00"/>
    <n v="1"/>
    <n v="248.25"/>
    <n v="348"/>
  </r>
  <r>
    <x v="17"/>
    <d v="2022-05-14T00:00:00"/>
    <n v="1"/>
    <n v="30.3"/>
    <n v="49"/>
  </r>
  <r>
    <x v="93"/>
    <d v="2022-05-14T00:00:00"/>
    <n v="1"/>
    <n v="110.99"/>
    <n v="136"/>
  </r>
  <r>
    <x v="31"/>
    <d v="2022-05-14T00:00:00"/>
    <n v="1"/>
    <n v="22.31"/>
    <n v="28"/>
  </r>
  <r>
    <x v="58"/>
    <d v="2022-05-14T00:00:00"/>
    <n v="1"/>
    <n v="71.790000000000006"/>
    <n v="94"/>
  </r>
  <r>
    <x v="32"/>
    <d v="2022-05-14T00:00:00"/>
    <n v="1"/>
    <n v="36.86"/>
    <n v="47"/>
  </r>
  <r>
    <x v="110"/>
    <d v="2022-05-14T00:00:00"/>
    <n v="1"/>
    <n v="74.88"/>
    <n v="92"/>
  </r>
  <r>
    <x v="60"/>
    <d v="2022-05-14T00:00:00"/>
    <n v="1"/>
    <n v="184.45"/>
    <n v="235"/>
  </r>
  <r>
    <x v="6"/>
    <d v="2022-05-14T00:00:00"/>
    <n v="1"/>
    <n v="24.2"/>
    <n v="39"/>
  </r>
  <r>
    <x v="87"/>
    <d v="2022-05-14T00:00:00"/>
    <n v="20"/>
    <n v="6.2"/>
    <n v="9"/>
  </r>
  <r>
    <x v="8"/>
    <d v="2022-05-14T00:00:00"/>
    <n v="1"/>
    <n v="119.72"/>
    <n v="147"/>
  </r>
  <r>
    <x v="14"/>
    <d v="2022-05-14T00:00:00"/>
    <n v="1"/>
    <n v="80.52"/>
    <n v="103"/>
  </r>
  <r>
    <x v="50"/>
    <d v="2022-05-14T00:00:00"/>
    <n v="1"/>
    <n v="77.510000000000005"/>
    <n v="94"/>
  </r>
  <r>
    <x v="152"/>
    <d v="2022-05-14T00:00:00"/>
    <n v="1"/>
    <n v="12"/>
    <n v="20"/>
  </r>
  <r>
    <x v="52"/>
    <d v="2022-05-14T00:00:00"/>
    <n v="1"/>
    <n v="239.87"/>
    <n v="269"/>
  </r>
  <r>
    <x v="128"/>
    <d v="2022-05-14T00:00:00"/>
    <n v="2"/>
    <n v="5.56"/>
    <n v="9"/>
  </r>
  <r>
    <x v="13"/>
    <d v="2022-05-14T00:00:00"/>
    <n v="1"/>
    <n v="44"/>
    <n v="67"/>
  </r>
  <r>
    <x v="88"/>
    <d v="2022-05-14T00:00:00"/>
    <n v="1"/>
    <n v="67.84"/>
    <n v="99"/>
  </r>
  <r>
    <x v="42"/>
    <d v="2022-05-14T00:00:00"/>
    <n v="1"/>
    <n v="43.08"/>
    <n v="66"/>
  </r>
  <r>
    <x v="62"/>
    <d v="2022-05-14T00:00:00"/>
    <n v="1"/>
    <n v="55.04"/>
    <n v="79"/>
  </r>
  <r>
    <x v="49"/>
    <d v="2022-05-14T00:00:00"/>
    <n v="1"/>
    <n v="635.70000000000005"/>
    <n v="821"/>
  </r>
  <r>
    <x v="6"/>
    <d v="2022-05-14T00:00:00"/>
    <n v="1"/>
    <n v="24.2"/>
    <n v="39"/>
  </r>
  <r>
    <x v="90"/>
    <d v="2022-05-14T00:00:00"/>
    <n v="1"/>
    <n v="129.69"/>
    <n v="204"/>
  </r>
  <r>
    <x v="12"/>
    <d v="2022-05-14T00:00:00"/>
    <n v="1"/>
    <n v="383.25"/>
    <n v="460"/>
  </r>
  <r>
    <x v="43"/>
    <d v="2022-05-14T00:00:00"/>
    <n v="1"/>
    <n v="41.24"/>
    <n v="65"/>
  </r>
  <r>
    <x v="108"/>
    <d v="2022-05-14T00:00:00"/>
    <n v="1"/>
    <n v="125.55"/>
    <n v="178"/>
  </r>
  <r>
    <x v="31"/>
    <d v="2022-05-14T00:00:00"/>
    <n v="1"/>
    <n v="22.4"/>
    <n v="28"/>
  </r>
  <r>
    <x v="31"/>
    <d v="2022-05-14T00:00:00"/>
    <n v="1"/>
    <n v="22.4"/>
    <n v="28"/>
  </r>
  <r>
    <x v="31"/>
    <d v="2022-05-14T00:00:00"/>
    <n v="1"/>
    <n v="22.4"/>
    <n v="28"/>
  </r>
  <r>
    <x v="31"/>
    <d v="2022-05-14T00:00:00"/>
    <n v="1"/>
    <n v="22.4"/>
    <n v="28"/>
  </r>
  <r>
    <x v="31"/>
    <d v="2022-05-14T00:00:00"/>
    <n v="1"/>
    <n v="22.4"/>
    <n v="28"/>
  </r>
  <r>
    <x v="31"/>
    <d v="2022-05-14T00:00:00"/>
    <n v="1"/>
    <n v="22.4"/>
    <n v="28"/>
  </r>
  <r>
    <x v="33"/>
    <d v="2022-05-14T00:00:00"/>
    <n v="1"/>
    <n v="22.31"/>
    <n v="35"/>
  </r>
  <r>
    <x v="33"/>
    <d v="2022-05-14T00:00:00"/>
    <n v="1"/>
    <n v="22.31"/>
    <n v="35"/>
  </r>
  <r>
    <x v="33"/>
    <d v="2022-05-14T00:00:00"/>
    <n v="1"/>
    <n v="22.31"/>
    <n v="35"/>
  </r>
  <r>
    <x v="33"/>
    <d v="2022-05-14T00:00:00"/>
    <n v="1"/>
    <n v="22.31"/>
    <n v="35"/>
  </r>
  <r>
    <x v="33"/>
    <d v="2022-05-14T00:00:00"/>
    <n v="1"/>
    <n v="22.31"/>
    <n v="35"/>
  </r>
  <r>
    <x v="33"/>
    <d v="2022-05-14T00:00:00"/>
    <n v="1"/>
    <n v="22.31"/>
    <n v="35"/>
  </r>
  <r>
    <x v="41"/>
    <d v="2022-05-14T00:00:00"/>
    <n v="1"/>
    <n v="20.49"/>
    <n v="24"/>
  </r>
  <r>
    <x v="30"/>
    <d v="2022-05-14T00:00:00"/>
    <n v="1"/>
    <n v="39.6"/>
    <n v="61"/>
  </r>
  <r>
    <x v="146"/>
    <d v="2022-05-14T00:00:00"/>
    <n v="1"/>
    <n v="24.03"/>
    <n v="29"/>
  </r>
  <r>
    <x v="127"/>
    <d v="2022-05-14T00:00:00"/>
    <n v="1"/>
    <n v="57.84"/>
    <n v="83"/>
  </r>
  <r>
    <x v="127"/>
    <d v="2022-05-14T00:00:00"/>
    <n v="1"/>
    <n v="57.84"/>
    <n v="83"/>
  </r>
  <r>
    <x v="21"/>
    <d v="2022-05-14T00:00:00"/>
    <n v="0.1"/>
    <n v="1125.31"/>
    <n v="1407"/>
  </r>
  <r>
    <x v="7"/>
    <d v="2022-05-14T00:00:00"/>
    <n v="1"/>
    <n v="55.81"/>
    <n v="69"/>
  </r>
  <r>
    <x v="15"/>
    <d v="2022-05-14T00:00:00"/>
    <n v="1"/>
    <n v="19.66"/>
    <n v="23"/>
  </r>
  <r>
    <x v="15"/>
    <d v="2022-05-14T00:00:00"/>
    <n v="1"/>
    <n v="19.66"/>
    <n v="23"/>
  </r>
  <r>
    <x v="47"/>
    <d v="2022-05-14T00:00:00"/>
    <n v="1"/>
    <n v="206"/>
    <n v="251"/>
  </r>
  <r>
    <x v="49"/>
    <d v="2022-05-14T00:00:00"/>
    <n v="1"/>
    <n v="635.70000000000005"/>
    <n v="821"/>
  </r>
  <r>
    <x v="71"/>
    <d v="2022-05-14T00:00:00"/>
    <n v="1"/>
    <n v="31.41"/>
    <n v="38"/>
  </r>
  <r>
    <x v="19"/>
    <d v="2022-05-14T00:00:00"/>
    <n v="1"/>
    <n v="107.3"/>
    <n v="126"/>
  </r>
  <r>
    <x v="21"/>
    <d v="2022-05-14T00:00:00"/>
    <n v="0.1"/>
    <n v="1023"/>
    <n v="1330"/>
  </r>
  <r>
    <x v="154"/>
    <d v="2022-05-14T00:00:00"/>
    <n v="1"/>
    <n v="57.93"/>
    <n v="70"/>
  </r>
  <r>
    <x v="94"/>
    <d v="2022-05-14T00:00:00"/>
    <n v="1"/>
    <n v="64.25"/>
    <n v="77"/>
  </r>
  <r>
    <x v="51"/>
    <d v="2022-05-14T00:00:00"/>
    <n v="1"/>
    <n v="43.97"/>
    <n v="67"/>
  </r>
  <r>
    <x v="16"/>
    <d v="2022-05-14T00:00:00"/>
    <n v="1"/>
    <n v="182.55"/>
    <n v="251"/>
  </r>
  <r>
    <x v="145"/>
    <d v="2022-05-14T00:00:00"/>
    <n v="2"/>
    <n v="77.400000000000006"/>
    <n v="120"/>
  </r>
  <r>
    <x v="86"/>
    <d v="2022-05-14T00:00:00"/>
    <n v="1"/>
    <n v="38"/>
    <n v="66"/>
  </r>
  <r>
    <x v="30"/>
    <d v="2022-05-14T00:00:00"/>
    <n v="1"/>
    <n v="30.35"/>
    <n v="48"/>
  </r>
  <r>
    <x v="60"/>
    <d v="2022-05-14T00:00:00"/>
    <n v="1"/>
    <n v="176.42"/>
    <n v="207"/>
  </r>
  <r>
    <x v="17"/>
    <d v="2022-05-14T00:00:00"/>
    <n v="1"/>
    <n v="30.3"/>
    <n v="49"/>
  </r>
  <r>
    <x v="15"/>
    <d v="2022-05-14T00:00:00"/>
    <n v="1"/>
    <n v="22.66"/>
    <n v="30"/>
  </r>
  <r>
    <x v="140"/>
    <d v="2022-05-14T00:00:00"/>
    <n v="1"/>
    <n v="25.3"/>
    <n v="31"/>
  </r>
  <r>
    <x v="78"/>
    <d v="2022-05-14T00:00:00"/>
    <n v="1"/>
    <n v="207.68"/>
    <n v="246"/>
  </r>
  <r>
    <x v="81"/>
    <d v="2022-05-14T00:00:00"/>
    <n v="2"/>
    <n v="47.4"/>
    <n v="76"/>
  </r>
  <r>
    <x v="5"/>
    <d v="2022-05-14T00:00:00"/>
    <n v="1"/>
    <n v="10.34"/>
    <n v="13"/>
  </r>
  <r>
    <x v="59"/>
    <d v="2022-05-14T00:00:00"/>
    <n v="1"/>
    <n v="198.66"/>
    <n v="273"/>
  </r>
  <r>
    <x v="0"/>
    <d v="2022-05-14T00:00:00"/>
    <n v="1"/>
    <n v="145.6"/>
    <n v="172"/>
  </r>
  <r>
    <x v="149"/>
    <d v="2022-05-14T00:00:00"/>
    <n v="1"/>
    <n v="122.04"/>
    <n v="147"/>
  </r>
  <r>
    <x v="6"/>
    <d v="2022-05-14T00:00:00"/>
    <n v="1"/>
    <n v="24.2"/>
    <n v="39"/>
  </r>
  <r>
    <x v="52"/>
    <d v="2022-05-14T00:00:00"/>
    <n v="1"/>
    <n v="233.74"/>
    <n v="274"/>
  </r>
  <r>
    <x v="138"/>
    <d v="2022-05-14T00:00:00"/>
    <n v="1"/>
    <n v="50.45"/>
    <n v="77"/>
  </r>
  <r>
    <x v="14"/>
    <d v="2022-05-14T00:00:00"/>
    <n v="1"/>
    <n v="80.52"/>
    <n v="103"/>
  </r>
  <r>
    <x v="0"/>
    <d v="2022-05-14T00:00:00"/>
    <n v="1"/>
    <n v="134.9"/>
    <n v="156"/>
  </r>
  <r>
    <x v="0"/>
    <d v="2022-05-14T00:00:00"/>
    <n v="1"/>
    <n v="134.9"/>
    <n v="156"/>
  </r>
  <r>
    <x v="88"/>
    <d v="2022-05-14T00:00:00"/>
    <n v="1"/>
    <n v="74.42"/>
    <n v="106"/>
  </r>
  <r>
    <x v="6"/>
    <d v="2022-05-14T00:00:00"/>
    <n v="1"/>
    <n v="24.2"/>
    <n v="39"/>
  </r>
  <r>
    <x v="129"/>
    <d v="2022-05-14T00:00:00"/>
    <n v="1"/>
    <n v="27.39"/>
    <n v="42"/>
  </r>
  <r>
    <x v="129"/>
    <d v="2022-05-14T00:00:00"/>
    <n v="1"/>
    <n v="27.39"/>
    <n v="42"/>
  </r>
  <r>
    <x v="60"/>
    <d v="2022-05-14T00:00:00"/>
    <n v="1"/>
    <n v="184.45"/>
    <n v="216"/>
  </r>
  <r>
    <x v="6"/>
    <d v="2022-05-14T00:00:00"/>
    <n v="1"/>
    <n v="24.2"/>
    <n v="39"/>
  </r>
  <r>
    <x v="76"/>
    <d v="2022-05-14T00:00:00"/>
    <n v="1"/>
    <n v="38.79"/>
    <n v="49.5"/>
  </r>
  <r>
    <x v="76"/>
    <d v="2022-05-14T00:00:00"/>
    <n v="1"/>
    <n v="38.79"/>
    <n v="49.5"/>
  </r>
  <r>
    <x v="66"/>
    <d v="2022-05-14T00:00:00"/>
    <n v="1"/>
    <n v="34.75"/>
    <n v="53"/>
  </r>
  <r>
    <x v="66"/>
    <d v="2022-05-14T00:00:00"/>
    <n v="1"/>
    <n v="34.75"/>
    <n v="53"/>
  </r>
  <r>
    <x v="66"/>
    <d v="2022-05-14T00:00:00"/>
    <n v="1"/>
    <n v="34.75"/>
    <n v="53"/>
  </r>
  <r>
    <x v="78"/>
    <d v="2022-05-14T00:00:00"/>
    <n v="1"/>
    <n v="203.17"/>
    <n v="241"/>
  </r>
  <r>
    <x v="23"/>
    <d v="2022-05-14T00:00:00"/>
    <n v="1"/>
    <n v="141.08000000000001"/>
    <n v="205"/>
  </r>
  <r>
    <x v="17"/>
    <d v="2022-05-14T00:00:00"/>
    <n v="1"/>
    <n v="30.3"/>
    <n v="49"/>
  </r>
  <r>
    <x v="44"/>
    <d v="2022-05-14T00:00:00"/>
    <n v="1"/>
    <n v="15.32"/>
    <n v="19"/>
  </r>
  <r>
    <x v="44"/>
    <d v="2022-05-14T00:00:00"/>
    <n v="1"/>
    <n v="15.32"/>
    <n v="19"/>
  </r>
  <r>
    <x v="129"/>
    <d v="2022-05-14T00:00:00"/>
    <n v="1"/>
    <n v="27.39"/>
    <n v="42"/>
  </r>
  <r>
    <x v="129"/>
    <d v="2022-05-14T00:00:00"/>
    <n v="1"/>
    <n v="27.39"/>
    <n v="42"/>
  </r>
  <r>
    <x v="129"/>
    <d v="2022-05-14T00:00:00"/>
    <n v="1"/>
    <n v="27.39"/>
    <n v="42"/>
  </r>
  <r>
    <x v="129"/>
    <d v="2022-05-14T00:00:00"/>
    <n v="1"/>
    <n v="27.39"/>
    <n v="42"/>
  </r>
  <r>
    <x v="22"/>
    <d v="2022-05-14T00:00:00"/>
    <n v="1"/>
    <n v="106.88"/>
    <n v="164"/>
  </r>
  <r>
    <x v="101"/>
    <d v="2022-05-14T00:00:00"/>
    <n v="1"/>
    <n v="46.2"/>
    <n v="56"/>
  </r>
  <r>
    <x v="43"/>
    <d v="2022-05-14T00:00:00"/>
    <n v="1"/>
    <n v="38.67"/>
    <n v="59"/>
  </r>
  <r>
    <x v="43"/>
    <d v="2022-05-14T00:00:00"/>
    <n v="1"/>
    <n v="38.67"/>
    <n v="59"/>
  </r>
  <r>
    <x v="152"/>
    <d v="2022-05-14T00:00:00"/>
    <n v="1"/>
    <n v="12"/>
    <n v="20"/>
  </r>
  <r>
    <x v="19"/>
    <d v="2022-05-14T00:00:00"/>
    <n v="1"/>
    <n v="99.99"/>
    <n v="119"/>
  </r>
  <r>
    <x v="88"/>
    <d v="2022-05-14T00:00:00"/>
    <n v="1"/>
    <n v="74.42"/>
    <n v="106"/>
  </r>
  <r>
    <x v="50"/>
    <d v="2022-05-14T00:00:00"/>
    <n v="1"/>
    <n v="77.78"/>
    <n v="97"/>
  </r>
  <r>
    <x v="74"/>
    <d v="2022-05-14T00:00:00"/>
    <n v="1"/>
    <n v="148.5"/>
    <n v="180"/>
  </r>
  <r>
    <x v="39"/>
    <d v="2022-05-14T00:00:00"/>
    <n v="1"/>
    <n v="64.260000000000005"/>
    <n v="100"/>
  </r>
  <r>
    <x v="0"/>
    <d v="2022-05-14T00:00:00"/>
    <n v="1"/>
    <n v="134.49"/>
    <n v="161"/>
  </r>
  <r>
    <x v="51"/>
    <d v="2022-05-14T00:00:00"/>
    <n v="1"/>
    <n v="44.13"/>
    <n v="69"/>
  </r>
  <r>
    <x v="27"/>
    <d v="2022-05-14T00:00:00"/>
    <n v="0.2"/>
    <n v="150.1"/>
    <n v="229"/>
  </r>
  <r>
    <x v="10"/>
    <d v="2022-05-14T00:00:00"/>
    <n v="1"/>
    <n v="44.41"/>
    <n v="72"/>
  </r>
  <r>
    <x v="43"/>
    <d v="2022-05-14T00:00:00"/>
    <n v="1"/>
    <n v="38.67"/>
    <n v="60"/>
  </r>
  <r>
    <x v="59"/>
    <d v="2022-05-14T00:00:00"/>
    <n v="1"/>
    <n v="201.71"/>
    <n v="277"/>
  </r>
  <r>
    <x v="15"/>
    <d v="2022-05-14T00:00:00"/>
    <n v="1"/>
    <n v="19.71"/>
    <n v="25"/>
  </r>
  <r>
    <x v="14"/>
    <d v="2022-05-14T00:00:00"/>
    <n v="1"/>
    <n v="81.760000000000005"/>
    <n v="102"/>
  </r>
  <r>
    <x v="126"/>
    <d v="2022-05-14T00:00:00"/>
    <n v="1"/>
    <n v="361.44"/>
    <n v="434"/>
  </r>
  <r>
    <x v="80"/>
    <d v="2022-05-14T00:00:00"/>
    <n v="1"/>
    <n v="14.63"/>
    <n v="23"/>
  </r>
  <r>
    <x v="80"/>
    <d v="2022-05-14T00:00:00"/>
    <n v="1"/>
    <n v="14.63"/>
    <n v="23"/>
  </r>
  <r>
    <x v="8"/>
    <d v="2022-05-14T00:00:00"/>
    <n v="1"/>
    <n v="125.93"/>
    <n v="150"/>
  </r>
  <r>
    <x v="141"/>
    <d v="2022-05-14T00:00:00"/>
    <n v="1"/>
    <n v="406.36"/>
    <n v="456"/>
  </r>
  <r>
    <x v="49"/>
    <d v="2022-05-14T00:00:00"/>
    <n v="1"/>
    <n v="635.70000000000005"/>
    <n v="821"/>
  </r>
  <r>
    <x v="6"/>
    <d v="2022-05-14T00:00:00"/>
    <n v="1"/>
    <n v="24.2"/>
    <n v="39"/>
  </r>
  <r>
    <x v="148"/>
    <d v="2022-05-14T00:00:00"/>
    <n v="1"/>
    <n v="9.4600000000000009"/>
    <n v="11"/>
  </r>
  <r>
    <x v="148"/>
    <d v="2022-05-14T00:00:00"/>
    <n v="1"/>
    <n v="9.4600000000000009"/>
    <n v="11"/>
  </r>
  <r>
    <x v="148"/>
    <d v="2022-05-14T00:00:00"/>
    <n v="1"/>
    <n v="9.4600000000000009"/>
    <n v="11"/>
  </r>
  <r>
    <x v="87"/>
    <d v="2022-05-14T00:00:00"/>
    <n v="1"/>
    <n v="5.78"/>
    <n v="8"/>
  </r>
  <r>
    <x v="49"/>
    <d v="2022-05-14T00:00:00"/>
    <n v="1"/>
    <n v="635.70000000000005"/>
    <n v="821"/>
  </r>
  <r>
    <x v="147"/>
    <d v="2022-05-14T00:00:00"/>
    <n v="1"/>
    <n v="107.99"/>
    <n v="135"/>
  </r>
  <r>
    <x v="139"/>
    <d v="2022-05-14T00:00:00"/>
    <n v="1"/>
    <n v="52.47"/>
    <n v="75"/>
  </r>
  <r>
    <x v="139"/>
    <d v="2022-05-14T00:00:00"/>
    <n v="1"/>
    <n v="52.47"/>
    <n v="75"/>
  </r>
  <r>
    <x v="139"/>
    <d v="2022-05-14T00:00:00"/>
    <n v="1"/>
    <n v="52.47"/>
    <n v="75"/>
  </r>
  <r>
    <x v="139"/>
    <d v="2022-05-14T00:00:00"/>
    <n v="1"/>
    <n v="52.47"/>
    <n v="75"/>
  </r>
  <r>
    <x v="74"/>
    <d v="2022-05-14T00:00:00"/>
    <n v="1"/>
    <n v="148.5"/>
    <n v="177"/>
  </r>
  <r>
    <x v="81"/>
    <d v="2022-05-14T00:00:00"/>
    <n v="1"/>
    <n v="39.619999999999997"/>
    <n v="69"/>
  </r>
  <r>
    <x v="31"/>
    <d v="2022-05-14T00:00:00"/>
    <n v="1"/>
    <n v="22.93"/>
    <n v="29"/>
  </r>
  <r>
    <x v="77"/>
    <d v="2022-05-14T00:00:00"/>
    <n v="1"/>
    <n v="40.1"/>
    <n v="51"/>
  </r>
  <r>
    <x v="99"/>
    <d v="2022-05-14T00:00:00"/>
    <n v="1"/>
    <n v="44.4"/>
    <n v="57"/>
  </r>
  <r>
    <x v="57"/>
    <d v="2022-05-14T00:00:00"/>
    <n v="1"/>
    <n v="25.71"/>
    <n v="31"/>
  </r>
  <r>
    <x v="57"/>
    <d v="2022-05-14T00:00:00"/>
    <n v="1"/>
    <n v="25.71"/>
    <n v="31"/>
  </r>
  <r>
    <x v="57"/>
    <d v="2022-05-14T00:00:00"/>
    <n v="1"/>
    <n v="25.71"/>
    <n v="31"/>
  </r>
  <r>
    <x v="29"/>
    <d v="2022-05-14T00:00:00"/>
    <n v="1"/>
    <n v="202.75"/>
    <n v="238"/>
  </r>
  <r>
    <x v="23"/>
    <d v="2022-05-14T00:00:00"/>
    <n v="1"/>
    <n v="146.80000000000001"/>
    <n v="199"/>
  </r>
  <r>
    <x v="21"/>
    <d v="2022-05-14T00:00:00"/>
    <n v="0.3"/>
    <n v="1026.1199999999999"/>
    <n v="1283"/>
  </r>
  <r>
    <x v="137"/>
    <d v="2022-05-14T00:00:00"/>
    <n v="1"/>
    <n v="12.86"/>
    <n v="15"/>
  </r>
  <r>
    <x v="0"/>
    <d v="2022-05-14T00:00:00"/>
    <n v="1"/>
    <n v="131.93"/>
    <n v="151"/>
  </r>
  <r>
    <x v="19"/>
    <d v="2022-05-14T00:00:00"/>
    <n v="1"/>
    <n v="98.67"/>
    <n v="120"/>
  </r>
  <r>
    <x v="6"/>
    <d v="2022-05-14T00:00:00"/>
    <n v="1"/>
    <n v="24.2"/>
    <n v="39"/>
  </r>
  <r>
    <x v="29"/>
    <d v="2022-05-14T00:00:00"/>
    <n v="1"/>
    <n v="199.58"/>
    <n v="234"/>
  </r>
  <r>
    <x v="129"/>
    <d v="2022-05-14T00:00:00"/>
    <n v="1"/>
    <n v="27.39"/>
    <n v="42"/>
  </r>
  <r>
    <x v="123"/>
    <d v="2022-05-14T00:00:00"/>
    <n v="1"/>
    <n v="278.93"/>
    <n v="369"/>
  </r>
  <r>
    <x v="37"/>
    <d v="2022-05-14T00:00:00"/>
    <n v="1"/>
    <n v="634.73"/>
    <n v="794"/>
  </r>
  <r>
    <x v="34"/>
    <d v="2022-05-14T00:00:00"/>
    <n v="7"/>
    <n v="13.72"/>
    <n v="23"/>
  </r>
  <r>
    <x v="144"/>
    <d v="2022-05-14T00:00:00"/>
    <n v="1"/>
    <n v="218.9"/>
    <n v="296"/>
  </r>
  <r>
    <x v="154"/>
    <d v="2022-05-14T00:00:00"/>
    <n v="1"/>
    <n v="50.53"/>
    <n v="63"/>
  </r>
  <r>
    <x v="96"/>
    <d v="2022-05-14T00:00:00"/>
    <n v="1"/>
    <n v="28.66"/>
    <n v="44"/>
  </r>
  <r>
    <x v="3"/>
    <d v="2022-05-14T00:00:00"/>
    <n v="1"/>
    <n v="47.01"/>
    <n v="77"/>
  </r>
  <r>
    <x v="115"/>
    <d v="2022-05-14T00:00:00"/>
    <n v="1"/>
    <n v="131.01"/>
    <n v="180"/>
  </r>
  <r>
    <x v="126"/>
    <d v="2022-05-14T00:00:00"/>
    <n v="1"/>
    <n v="356.07"/>
    <n v="417"/>
  </r>
  <r>
    <x v="20"/>
    <d v="2022-05-14T00:00:00"/>
    <n v="1"/>
    <n v="151.22"/>
    <n v="177"/>
  </r>
  <r>
    <x v="130"/>
    <d v="2022-05-14T00:00:00"/>
    <n v="1"/>
    <n v="75.28"/>
    <n v="95"/>
  </r>
  <r>
    <x v="36"/>
    <d v="2022-05-14T00:00:00"/>
    <n v="2"/>
    <n v="11.45"/>
    <n v="19"/>
  </r>
  <r>
    <x v="135"/>
    <d v="2022-05-14T00:00:00"/>
    <n v="1"/>
    <n v="158.94"/>
    <n v="194"/>
  </r>
  <r>
    <x v="61"/>
    <d v="2022-05-14T00:00:00"/>
    <n v="1"/>
    <n v="30.6"/>
    <n v="37"/>
  </r>
  <r>
    <x v="61"/>
    <d v="2022-05-14T00:00:00"/>
    <n v="1"/>
    <n v="30.6"/>
    <n v="37"/>
  </r>
  <r>
    <x v="61"/>
    <d v="2022-05-14T00:00:00"/>
    <n v="1"/>
    <n v="30.6"/>
    <n v="37"/>
  </r>
  <r>
    <x v="61"/>
    <d v="2022-05-14T00:00:00"/>
    <n v="1"/>
    <n v="30.6"/>
    <n v="37"/>
  </r>
  <r>
    <x v="73"/>
    <d v="2022-05-14T00:00:00"/>
    <n v="1"/>
    <n v="70.53"/>
    <n v="89"/>
  </r>
  <r>
    <x v="90"/>
    <d v="2022-05-14T00:00:00"/>
    <n v="1"/>
    <n v="130.88999999999999"/>
    <n v="206"/>
  </r>
  <r>
    <x v="154"/>
    <d v="2022-05-14T00:00:00"/>
    <n v="1"/>
    <n v="51.13"/>
    <n v="63"/>
  </r>
  <r>
    <x v="30"/>
    <d v="2022-05-14T00:00:00"/>
    <n v="2"/>
    <n v="30.35"/>
    <n v="48"/>
  </r>
  <r>
    <x v="61"/>
    <d v="2022-05-14T00:00:00"/>
    <n v="1"/>
    <n v="30.78"/>
    <n v="36"/>
  </r>
  <r>
    <x v="61"/>
    <d v="2022-05-14T00:00:00"/>
    <n v="1"/>
    <n v="30.78"/>
    <n v="36"/>
  </r>
  <r>
    <x v="61"/>
    <d v="2022-05-14T00:00:00"/>
    <n v="1"/>
    <n v="30.78"/>
    <n v="36"/>
  </r>
  <r>
    <x v="18"/>
    <d v="2022-05-14T00:00:00"/>
    <n v="1"/>
    <n v="110.18"/>
    <n v="124"/>
  </r>
  <r>
    <x v="76"/>
    <d v="2022-05-14T00:00:00"/>
    <n v="1"/>
    <n v="40.450000000000003"/>
    <n v="50"/>
  </r>
  <r>
    <x v="76"/>
    <d v="2022-05-14T00:00:00"/>
    <n v="1"/>
    <n v="40.450000000000003"/>
    <n v="50"/>
  </r>
  <r>
    <x v="52"/>
    <d v="2022-05-14T00:00:00"/>
    <n v="1"/>
    <n v="233.76"/>
    <n v="274"/>
  </r>
  <r>
    <x v="46"/>
    <d v="2022-05-14T00:00:00"/>
    <n v="12"/>
    <n v="2.0499999999999998"/>
    <n v="4"/>
  </r>
  <r>
    <x v="130"/>
    <d v="2022-05-14T00:00:00"/>
    <n v="1"/>
    <n v="72.89"/>
    <n v="92"/>
  </r>
  <r>
    <x v="130"/>
    <d v="2022-05-14T00:00:00"/>
    <n v="1"/>
    <n v="75.28"/>
    <n v="95"/>
  </r>
  <r>
    <x v="145"/>
    <d v="2022-05-14T00:00:00"/>
    <n v="1"/>
    <n v="77.400000000000006"/>
    <n v="120"/>
  </r>
  <r>
    <x v="18"/>
    <d v="2022-05-14T00:00:00"/>
    <n v="1"/>
    <n v="109.41"/>
    <n v="123"/>
  </r>
  <r>
    <x v="50"/>
    <d v="2022-05-14T00:00:00"/>
    <n v="1"/>
    <n v="77.63"/>
    <n v="95"/>
  </r>
  <r>
    <x v="6"/>
    <d v="2022-05-14T00:00:00"/>
    <n v="1"/>
    <n v="24.2"/>
    <n v="39"/>
  </r>
  <r>
    <x v="151"/>
    <d v="2022-05-14T00:00:00"/>
    <n v="1"/>
    <n v="248.25"/>
    <n v="348"/>
  </r>
  <r>
    <x v="15"/>
    <d v="2022-05-14T00:00:00"/>
    <n v="1"/>
    <n v="19.66"/>
    <n v="25"/>
  </r>
  <r>
    <x v="15"/>
    <d v="2022-05-14T00:00:00"/>
    <n v="1"/>
    <n v="19.66"/>
    <n v="25"/>
  </r>
  <r>
    <x v="60"/>
    <d v="2022-05-14T00:00:00"/>
    <n v="1"/>
    <n v="184.45"/>
    <n v="216"/>
  </r>
  <r>
    <x v="136"/>
    <d v="2022-05-14T00:00:00"/>
    <n v="1"/>
    <n v="10.76"/>
    <n v="18"/>
  </r>
  <r>
    <x v="152"/>
    <d v="2022-05-14T00:00:00"/>
    <n v="1"/>
    <n v="12"/>
    <n v="20"/>
  </r>
  <r>
    <x v="98"/>
    <d v="2022-05-14T00:00:00"/>
    <n v="1"/>
    <n v="41.33"/>
    <n v="65"/>
  </r>
  <r>
    <x v="105"/>
    <d v="2022-05-14T00:00:00"/>
    <n v="1"/>
    <n v="208.48"/>
    <n v="292"/>
  </r>
  <r>
    <x v="41"/>
    <d v="2022-05-14T00:00:00"/>
    <n v="1"/>
    <n v="19.600000000000001"/>
    <n v="24"/>
  </r>
  <r>
    <x v="40"/>
    <d v="2022-05-14T00:00:00"/>
    <n v="1"/>
    <n v="27.94"/>
    <n v="45"/>
  </r>
  <r>
    <x v="104"/>
    <d v="2022-05-14T00:00:00"/>
    <n v="1"/>
    <n v="87.23"/>
    <n v="105"/>
  </r>
  <r>
    <x v="104"/>
    <d v="2022-05-14T00:00:00"/>
    <n v="1"/>
    <n v="87.23"/>
    <n v="105"/>
  </r>
  <r>
    <x v="104"/>
    <d v="2022-05-14T00:00:00"/>
    <n v="1"/>
    <n v="87.23"/>
    <n v="105"/>
  </r>
  <r>
    <x v="104"/>
    <d v="2022-05-14T00:00:00"/>
    <n v="1"/>
    <n v="87.23"/>
    <n v="105"/>
  </r>
  <r>
    <x v="104"/>
    <d v="2022-05-14T00:00:00"/>
    <n v="1"/>
    <n v="87.23"/>
    <n v="105"/>
  </r>
  <r>
    <x v="10"/>
    <d v="2022-05-14T00:00:00"/>
    <n v="1"/>
    <n v="50.1"/>
    <n v="80"/>
  </r>
  <r>
    <x v="113"/>
    <d v="2022-05-14T00:00:00"/>
    <n v="10"/>
    <n v="11.1"/>
    <n v="13"/>
  </r>
  <r>
    <x v="127"/>
    <d v="2022-05-14T00:00:00"/>
    <n v="1"/>
    <n v="58.23"/>
    <n v="86"/>
  </r>
  <r>
    <x v="154"/>
    <d v="2022-05-14T00:00:00"/>
    <n v="1"/>
    <n v="49.82"/>
    <n v="62"/>
  </r>
  <r>
    <x v="88"/>
    <d v="2022-05-14T00:00:00"/>
    <n v="1"/>
    <n v="65.349999999999994"/>
    <n v="93"/>
  </r>
  <r>
    <x v="54"/>
    <d v="2022-05-14T00:00:00"/>
    <n v="1"/>
    <n v="16.97"/>
    <n v="28"/>
  </r>
  <r>
    <x v="71"/>
    <d v="2022-05-14T00:00:00"/>
    <n v="1"/>
    <n v="30.36"/>
    <n v="37"/>
  </r>
  <r>
    <x v="155"/>
    <d v="2022-05-14T00:00:00"/>
    <n v="1"/>
    <n v="81.87"/>
    <n v="99"/>
  </r>
  <r>
    <x v="155"/>
    <d v="2022-05-14T00:00:00"/>
    <n v="1"/>
    <n v="81.87"/>
    <n v="99"/>
  </r>
  <r>
    <x v="155"/>
    <d v="2022-05-14T00:00:00"/>
    <n v="1"/>
    <n v="81.87"/>
    <n v="99"/>
  </r>
  <r>
    <x v="155"/>
    <d v="2022-05-14T00:00:00"/>
    <n v="1"/>
    <n v="81.87"/>
    <n v="99"/>
  </r>
  <r>
    <x v="155"/>
    <d v="2022-05-14T00:00:00"/>
    <n v="1"/>
    <n v="81.87"/>
    <n v="99"/>
  </r>
  <r>
    <x v="126"/>
    <d v="2022-05-14T00:00:00"/>
    <n v="1"/>
    <n v="356.07"/>
    <n v="417"/>
  </r>
  <r>
    <x v="148"/>
    <d v="2022-05-14T00:00:00"/>
    <n v="1"/>
    <n v="10.34"/>
    <n v="12"/>
  </r>
  <r>
    <x v="15"/>
    <d v="2022-05-14T00:00:00"/>
    <n v="1"/>
    <n v="19.66"/>
    <n v="25"/>
  </r>
  <r>
    <x v="15"/>
    <d v="2022-05-14T00:00:00"/>
    <n v="1"/>
    <n v="19.66"/>
    <n v="25"/>
  </r>
  <r>
    <x v="15"/>
    <d v="2022-05-14T00:00:00"/>
    <n v="1"/>
    <n v="19.66"/>
    <n v="25"/>
  </r>
  <r>
    <x v="51"/>
    <d v="2022-05-14T00:00:00"/>
    <n v="1"/>
    <n v="43.97"/>
    <n v="69"/>
  </r>
  <r>
    <x v="88"/>
    <d v="2022-05-14T00:00:00"/>
    <n v="1"/>
    <n v="65.349999999999994"/>
    <n v="93"/>
  </r>
  <r>
    <x v="57"/>
    <d v="2022-05-14T00:00:00"/>
    <n v="1"/>
    <n v="24.97"/>
    <n v="30"/>
  </r>
  <r>
    <x v="17"/>
    <d v="2022-05-14T00:00:00"/>
    <n v="1"/>
    <n v="30.3"/>
    <n v="50"/>
  </r>
  <r>
    <x v="94"/>
    <d v="2022-05-14T00:00:00"/>
    <n v="1"/>
    <n v="74.3"/>
    <n v="91"/>
  </r>
  <r>
    <x v="13"/>
    <d v="2022-05-14T00:00:00"/>
    <n v="1"/>
    <n v="44"/>
    <n v="67"/>
  </r>
  <r>
    <x v="91"/>
    <d v="2022-05-14T00:00:00"/>
    <n v="1"/>
    <n v="71.89"/>
    <n v="103"/>
  </r>
  <r>
    <x v="51"/>
    <d v="2022-05-14T00:00:00"/>
    <n v="1"/>
    <n v="43.97"/>
    <n v="69"/>
  </r>
  <r>
    <x v="152"/>
    <d v="2022-05-14T00:00:00"/>
    <n v="1"/>
    <n v="12"/>
    <n v="21"/>
  </r>
  <r>
    <x v="45"/>
    <d v="2022-05-14T00:00:00"/>
    <n v="1"/>
    <n v="44.75"/>
    <n v="55"/>
  </r>
  <r>
    <x v="66"/>
    <d v="2022-05-14T00:00:00"/>
    <n v="1"/>
    <n v="34.75"/>
    <n v="53"/>
  </r>
  <r>
    <x v="80"/>
    <d v="2022-05-14T00:00:00"/>
    <n v="1"/>
    <n v="14.63"/>
    <n v="23"/>
  </r>
  <r>
    <x v="80"/>
    <d v="2022-05-14T00:00:00"/>
    <n v="1"/>
    <n v="14.63"/>
    <n v="23"/>
  </r>
  <r>
    <x v="80"/>
    <d v="2022-05-14T00:00:00"/>
    <n v="1"/>
    <n v="20"/>
    <n v="31"/>
  </r>
  <r>
    <x v="80"/>
    <d v="2022-05-14T00:00:00"/>
    <n v="1"/>
    <n v="20"/>
    <n v="31"/>
  </r>
  <r>
    <x v="80"/>
    <d v="2022-05-14T00:00:00"/>
    <n v="1"/>
    <n v="20"/>
    <n v="31"/>
  </r>
  <r>
    <x v="87"/>
    <d v="2022-05-14T00:00:00"/>
    <n v="5"/>
    <n v="6.17"/>
    <n v="9"/>
  </r>
  <r>
    <x v="13"/>
    <d v="2022-05-14T00:00:00"/>
    <n v="1"/>
    <n v="44"/>
    <n v="70"/>
  </r>
  <r>
    <x v="51"/>
    <d v="2022-05-14T00:00:00"/>
    <n v="1"/>
    <n v="43.97"/>
    <n v="70"/>
  </r>
  <r>
    <x v="43"/>
    <d v="2022-05-14T00:00:00"/>
    <n v="1"/>
    <n v="41.54"/>
    <n v="65"/>
  </r>
  <r>
    <x v="39"/>
    <d v="2022-05-14T00:00:00"/>
    <n v="1"/>
    <n v="59.84"/>
    <n v="93"/>
  </r>
  <r>
    <x v="137"/>
    <d v="2022-05-13T00:00:00"/>
    <n v="1"/>
    <n v="12.86"/>
    <n v="15"/>
  </r>
  <r>
    <x v="148"/>
    <d v="2022-05-13T00:00:00"/>
    <n v="1"/>
    <n v="9.4600000000000009"/>
    <n v="11"/>
  </r>
  <r>
    <x v="148"/>
    <d v="2022-05-13T00:00:00"/>
    <n v="1"/>
    <n v="9.4600000000000009"/>
    <n v="11"/>
  </r>
  <r>
    <x v="148"/>
    <d v="2022-05-13T00:00:00"/>
    <n v="1"/>
    <n v="9.4600000000000009"/>
    <n v="11"/>
  </r>
  <r>
    <x v="39"/>
    <d v="2022-05-13T00:00:00"/>
    <n v="1"/>
    <n v="64.260000000000005"/>
    <n v="100"/>
  </r>
  <r>
    <x v="134"/>
    <d v="2022-05-13T00:00:00"/>
    <n v="1"/>
    <n v="24.18"/>
    <n v="39"/>
  </r>
  <r>
    <x v="19"/>
    <d v="2022-05-13T00:00:00"/>
    <n v="1"/>
    <n v="98.67"/>
    <n v="123"/>
  </r>
  <r>
    <x v="97"/>
    <d v="2022-05-13T00:00:00"/>
    <n v="1"/>
    <n v="26.59"/>
    <n v="33"/>
  </r>
  <r>
    <x v="15"/>
    <d v="2022-05-13T00:00:00"/>
    <n v="1"/>
    <n v="20.3"/>
    <n v="27"/>
  </r>
  <r>
    <x v="145"/>
    <d v="2022-05-13T00:00:00"/>
    <n v="1"/>
    <n v="77.400000000000006"/>
    <n v="120"/>
  </r>
  <r>
    <x v="155"/>
    <d v="2022-05-13T00:00:00"/>
    <n v="1"/>
    <n v="81.8"/>
    <n v="99"/>
  </r>
  <r>
    <x v="108"/>
    <d v="2022-05-13T00:00:00"/>
    <n v="1"/>
    <n v="153.63"/>
    <n v="214"/>
  </r>
  <r>
    <x v="52"/>
    <d v="2022-05-13T00:00:00"/>
    <n v="1"/>
    <n v="233.74"/>
    <n v="274"/>
  </r>
  <r>
    <x v="3"/>
    <d v="2022-05-13T00:00:00"/>
    <n v="1"/>
    <n v="47.03"/>
    <n v="76"/>
  </r>
  <r>
    <x v="128"/>
    <d v="2022-05-13T00:00:00"/>
    <n v="2"/>
    <n v="5.56"/>
    <n v="9"/>
  </r>
  <r>
    <x v="134"/>
    <d v="2022-05-13T00:00:00"/>
    <n v="1"/>
    <n v="24.18"/>
    <n v="39"/>
  </r>
  <r>
    <x v="87"/>
    <d v="2022-05-13T00:00:00"/>
    <n v="1"/>
    <n v="5.78"/>
    <n v="8"/>
  </r>
  <r>
    <x v="51"/>
    <d v="2022-05-13T00:00:00"/>
    <n v="1"/>
    <n v="43.97"/>
    <n v="67"/>
  </r>
  <r>
    <x v="78"/>
    <d v="2022-05-13T00:00:00"/>
    <n v="1"/>
    <n v="207.31"/>
    <n v="244"/>
  </r>
  <r>
    <x v="74"/>
    <d v="2022-05-13T00:00:00"/>
    <n v="1"/>
    <n v="148.5"/>
    <n v="180"/>
  </r>
  <r>
    <x v="9"/>
    <d v="2022-05-13T00:00:00"/>
    <n v="0.4"/>
    <n v="513"/>
    <n v="678"/>
  </r>
  <r>
    <x v="9"/>
    <d v="2022-05-13T00:00:00"/>
    <n v="0.1"/>
    <n v="513"/>
    <n v="678"/>
  </r>
  <r>
    <x v="6"/>
    <d v="2022-05-13T00:00:00"/>
    <n v="1"/>
    <n v="24.2"/>
    <n v="39"/>
  </r>
  <r>
    <x v="13"/>
    <d v="2022-05-13T00:00:00"/>
    <n v="1"/>
    <n v="46"/>
    <n v="72"/>
  </r>
  <r>
    <x v="19"/>
    <d v="2022-05-13T00:00:00"/>
    <n v="1"/>
    <n v="99.47"/>
    <n v="116"/>
  </r>
  <r>
    <x v="110"/>
    <d v="2022-05-13T00:00:00"/>
    <n v="1"/>
    <n v="71.349999999999994"/>
    <n v="90"/>
  </r>
  <r>
    <x v="96"/>
    <d v="2022-05-13T00:00:00"/>
    <n v="1"/>
    <n v="31"/>
    <n v="49"/>
  </r>
  <r>
    <x v="104"/>
    <d v="2022-05-13T00:00:00"/>
    <n v="1"/>
    <n v="87.23"/>
    <n v="105"/>
  </r>
  <r>
    <x v="104"/>
    <d v="2022-05-13T00:00:00"/>
    <n v="1"/>
    <n v="87.23"/>
    <n v="105"/>
  </r>
  <r>
    <x v="104"/>
    <d v="2022-05-13T00:00:00"/>
    <n v="1"/>
    <n v="87.23"/>
    <n v="105"/>
  </r>
  <r>
    <x v="104"/>
    <d v="2022-05-13T00:00:00"/>
    <n v="1"/>
    <n v="87.23"/>
    <n v="105"/>
  </r>
  <r>
    <x v="104"/>
    <d v="2022-05-13T00:00:00"/>
    <n v="1"/>
    <n v="87.23"/>
    <n v="105"/>
  </r>
  <r>
    <x v="113"/>
    <d v="2022-05-13T00:00:00"/>
    <n v="1"/>
    <n v="11.1"/>
    <n v="13"/>
  </r>
  <r>
    <x v="113"/>
    <d v="2022-05-13T00:00:00"/>
    <n v="1"/>
    <n v="11.1"/>
    <n v="13"/>
  </r>
  <r>
    <x v="7"/>
    <d v="2022-05-13T00:00:00"/>
    <n v="1"/>
    <n v="61.03"/>
    <n v="75"/>
  </r>
  <r>
    <x v="99"/>
    <d v="2022-05-13T00:00:00"/>
    <n v="1"/>
    <n v="44.4"/>
    <n v="57"/>
  </r>
  <r>
    <x v="99"/>
    <d v="2022-05-13T00:00:00"/>
    <n v="1"/>
    <n v="44.4"/>
    <n v="57"/>
  </r>
  <r>
    <x v="99"/>
    <d v="2022-05-13T00:00:00"/>
    <n v="1"/>
    <n v="44.4"/>
    <n v="57"/>
  </r>
  <r>
    <x v="155"/>
    <d v="2022-05-13T00:00:00"/>
    <n v="1"/>
    <n v="81.87"/>
    <n v="99"/>
  </r>
  <r>
    <x v="155"/>
    <d v="2022-05-13T00:00:00"/>
    <n v="1"/>
    <n v="81.87"/>
    <n v="99"/>
  </r>
  <r>
    <x v="152"/>
    <d v="2022-05-13T00:00:00"/>
    <n v="1"/>
    <n v="12"/>
    <n v="20"/>
  </r>
  <r>
    <x v="87"/>
    <d v="2022-05-13T00:00:00"/>
    <n v="9"/>
    <n v="6.48"/>
    <n v="9"/>
  </r>
  <r>
    <x v="95"/>
    <d v="2022-05-13T00:00:00"/>
    <n v="1"/>
    <n v="36.29"/>
    <n v="57"/>
  </r>
  <r>
    <x v="95"/>
    <d v="2022-05-13T00:00:00"/>
    <n v="1"/>
    <n v="36.29"/>
    <n v="57"/>
  </r>
  <r>
    <x v="95"/>
    <d v="2022-05-13T00:00:00"/>
    <n v="1"/>
    <n v="36.29"/>
    <n v="57"/>
  </r>
  <r>
    <x v="27"/>
    <d v="2022-05-13T00:00:00"/>
    <n v="1"/>
    <n v="125.73"/>
    <n v="198"/>
  </r>
  <r>
    <x v="136"/>
    <d v="2022-05-13T00:00:00"/>
    <n v="1"/>
    <n v="10.76"/>
    <n v="18"/>
  </r>
  <r>
    <x v="34"/>
    <d v="2022-05-13T00:00:00"/>
    <n v="3"/>
    <n v="12"/>
    <n v="20"/>
  </r>
  <r>
    <x v="18"/>
    <d v="2022-05-13T00:00:00"/>
    <n v="1"/>
    <n v="109.41"/>
    <n v="123"/>
  </r>
  <r>
    <x v="105"/>
    <d v="2022-05-13T00:00:00"/>
    <n v="1"/>
    <n v="208.45"/>
    <n v="276"/>
  </r>
  <r>
    <x v="17"/>
    <d v="2022-05-13T00:00:00"/>
    <n v="1"/>
    <n v="30.3"/>
    <n v="49"/>
  </r>
  <r>
    <x v="127"/>
    <d v="2022-05-13T00:00:00"/>
    <n v="1"/>
    <n v="64.28"/>
    <n v="92"/>
  </r>
  <r>
    <x v="110"/>
    <d v="2022-05-13T00:00:00"/>
    <n v="1"/>
    <n v="71.02"/>
    <n v="88"/>
  </r>
  <r>
    <x v="62"/>
    <d v="2022-05-13T00:00:00"/>
    <n v="1"/>
    <n v="55.04"/>
    <n v="80"/>
  </r>
  <r>
    <x v="18"/>
    <d v="2022-05-13T00:00:00"/>
    <n v="1"/>
    <n v="109.41"/>
    <n v="123"/>
  </r>
  <r>
    <x v="44"/>
    <d v="2022-05-13T00:00:00"/>
    <n v="1"/>
    <n v="15.8"/>
    <n v="19"/>
  </r>
  <r>
    <x v="44"/>
    <d v="2022-05-13T00:00:00"/>
    <n v="1"/>
    <n v="15.8"/>
    <n v="19"/>
  </r>
  <r>
    <x v="35"/>
    <d v="2022-05-13T00:00:00"/>
    <n v="1"/>
    <n v="172.76"/>
    <n v="207"/>
  </r>
  <r>
    <x v="100"/>
    <d v="2022-05-13T00:00:00"/>
    <n v="3"/>
    <n v="30.03"/>
    <n v="49"/>
  </r>
  <r>
    <x v="30"/>
    <d v="2022-05-13T00:00:00"/>
    <n v="1"/>
    <n v="30.35"/>
    <n v="48"/>
  </r>
  <r>
    <x v="21"/>
    <d v="2022-05-13T00:00:00"/>
    <n v="0.1"/>
    <n v="987.81"/>
    <n v="1235"/>
  </r>
  <r>
    <x v="61"/>
    <d v="2022-05-13T00:00:00"/>
    <n v="1"/>
    <n v="30.6"/>
    <n v="36"/>
  </r>
  <r>
    <x v="136"/>
    <d v="2022-05-13T00:00:00"/>
    <n v="1"/>
    <n v="10.67"/>
    <n v="18"/>
  </r>
  <r>
    <x v="132"/>
    <d v="2022-05-13T00:00:00"/>
    <n v="2"/>
    <n v="10.41"/>
    <n v="17"/>
  </r>
  <r>
    <x v="50"/>
    <d v="2022-05-13T00:00:00"/>
    <n v="1"/>
    <n v="77.48"/>
    <n v="95"/>
  </r>
  <r>
    <x v="68"/>
    <d v="2022-05-13T00:00:00"/>
    <n v="1"/>
    <n v="12"/>
    <n v="20"/>
  </r>
  <r>
    <x v="56"/>
    <d v="2022-05-13T00:00:00"/>
    <n v="1"/>
    <n v="32.85"/>
    <n v="52"/>
  </r>
  <r>
    <x v="127"/>
    <d v="2022-05-13T00:00:00"/>
    <n v="1"/>
    <n v="57.84"/>
    <n v="83"/>
  </r>
  <r>
    <x v="151"/>
    <d v="2022-05-13T00:00:00"/>
    <n v="1"/>
    <n v="248.25"/>
    <n v="336"/>
  </r>
  <r>
    <x v="5"/>
    <d v="2022-05-13T00:00:00"/>
    <n v="1"/>
    <n v="11.55"/>
    <n v="14"/>
  </r>
  <r>
    <x v="21"/>
    <d v="2022-05-13T00:00:00"/>
    <n v="0.2"/>
    <n v="989.8"/>
    <n v="1277"/>
  </r>
  <r>
    <x v="123"/>
    <d v="2022-05-13T00:00:00"/>
    <n v="1"/>
    <n v="257.48"/>
    <n v="343"/>
  </r>
  <r>
    <x v="43"/>
    <d v="2022-05-13T00:00:00"/>
    <n v="1"/>
    <n v="38.67"/>
    <n v="60"/>
  </r>
  <r>
    <x v="20"/>
    <d v="2022-05-13T00:00:00"/>
    <n v="1"/>
    <n v="147.4"/>
    <n v="180"/>
  </r>
  <r>
    <x v="119"/>
    <d v="2022-05-13T00:00:00"/>
    <n v="1"/>
    <n v="37.869999999999997"/>
    <n v="62"/>
  </r>
  <r>
    <x v="117"/>
    <d v="2022-05-13T00:00:00"/>
    <n v="1"/>
    <n v="20.64"/>
    <n v="25"/>
  </r>
  <r>
    <x v="94"/>
    <d v="2022-05-13T00:00:00"/>
    <n v="1"/>
    <n v="64.25"/>
    <n v="79"/>
  </r>
  <r>
    <x v="109"/>
    <d v="2022-05-13T00:00:00"/>
    <n v="1"/>
    <n v="74.8"/>
    <n v="92"/>
  </r>
  <r>
    <x v="40"/>
    <d v="2022-05-13T00:00:00"/>
    <n v="2"/>
    <n v="25.36"/>
    <n v="42"/>
  </r>
  <r>
    <x v="54"/>
    <d v="2022-05-13T00:00:00"/>
    <n v="1"/>
    <n v="11.59"/>
    <n v="19"/>
  </r>
  <r>
    <x v="115"/>
    <d v="2022-05-13T00:00:00"/>
    <n v="1"/>
    <n v="131.01"/>
    <n v="180"/>
  </r>
  <r>
    <x v="113"/>
    <d v="2022-05-13T00:00:00"/>
    <n v="1"/>
    <n v="11.1"/>
    <n v="13"/>
  </r>
  <r>
    <x v="92"/>
    <d v="2022-05-13T00:00:00"/>
    <n v="1"/>
    <n v="487.96"/>
    <n v="511"/>
  </r>
  <r>
    <x v="25"/>
    <d v="2022-05-13T00:00:00"/>
    <n v="1"/>
    <n v="156.19999999999999"/>
    <n v="186"/>
  </r>
  <r>
    <x v="108"/>
    <d v="2022-05-13T00:00:00"/>
    <n v="1"/>
    <n v="125.55"/>
    <n v="178"/>
  </r>
  <r>
    <x v="62"/>
    <d v="2022-05-13T00:00:00"/>
    <n v="1"/>
    <n v="53.95"/>
    <n v="77"/>
  </r>
  <r>
    <x v="73"/>
    <d v="2022-05-13T00:00:00"/>
    <n v="1"/>
    <n v="69.13"/>
    <n v="88"/>
  </r>
  <r>
    <x v="93"/>
    <d v="2022-05-13T00:00:00"/>
    <n v="1"/>
    <n v="111.85"/>
    <n v="135"/>
  </r>
  <r>
    <x v="3"/>
    <d v="2022-05-13T00:00:00"/>
    <n v="1"/>
    <n v="58.34"/>
    <n v="92"/>
  </r>
  <r>
    <x v="50"/>
    <d v="2022-05-13T00:00:00"/>
    <n v="1"/>
    <n v="77.510000000000005"/>
    <n v="94"/>
  </r>
  <r>
    <x v="50"/>
    <d v="2022-05-13T00:00:00"/>
    <n v="1"/>
    <n v="77.510000000000005"/>
    <n v="94"/>
  </r>
  <r>
    <x v="25"/>
    <d v="2022-05-13T00:00:00"/>
    <n v="1"/>
    <n v="156.19999999999999"/>
    <n v="186"/>
  </r>
  <r>
    <x v="25"/>
    <d v="2022-05-13T00:00:00"/>
    <n v="1"/>
    <n v="156.19999999999999"/>
    <n v="186"/>
  </r>
  <r>
    <x v="29"/>
    <d v="2022-05-13T00:00:00"/>
    <n v="1"/>
    <n v="219.13"/>
    <n v="274"/>
  </r>
  <r>
    <x v="78"/>
    <d v="2022-05-13T00:00:00"/>
    <n v="1"/>
    <n v="203.17"/>
    <n v="241"/>
  </r>
  <r>
    <x v="0"/>
    <d v="2022-05-13T00:00:00"/>
    <n v="1"/>
    <n v="131.93"/>
    <n v="151"/>
  </r>
  <r>
    <x v="10"/>
    <d v="2022-05-13T00:00:00"/>
    <n v="1"/>
    <n v="50.1"/>
    <n v="80"/>
  </r>
  <r>
    <x v="109"/>
    <d v="2022-05-13T00:00:00"/>
    <n v="1"/>
    <n v="74.8"/>
    <n v="92"/>
  </r>
  <r>
    <x v="87"/>
    <d v="2022-05-13T00:00:00"/>
    <n v="10"/>
    <n v="6.05"/>
    <n v="8"/>
  </r>
  <r>
    <x v="87"/>
    <d v="2022-05-13T00:00:00"/>
    <n v="1"/>
    <n v="6.18"/>
    <n v="9"/>
  </r>
  <r>
    <x v="59"/>
    <d v="2022-05-13T00:00:00"/>
    <n v="1"/>
    <n v="200.65"/>
    <n v="281"/>
  </r>
  <r>
    <x v="6"/>
    <d v="2022-05-13T00:00:00"/>
    <n v="2"/>
    <n v="24.2"/>
    <n v="39"/>
  </r>
  <r>
    <x v="50"/>
    <d v="2022-05-13T00:00:00"/>
    <n v="1"/>
    <n v="77.510000000000005"/>
    <n v="94"/>
  </r>
  <r>
    <x v="40"/>
    <d v="2022-05-13T00:00:00"/>
    <n v="2"/>
    <n v="25.59"/>
    <n v="45"/>
  </r>
  <r>
    <x v="39"/>
    <d v="2022-05-13T00:00:00"/>
    <n v="1"/>
    <n v="64.260000000000005"/>
    <n v="100"/>
  </r>
  <r>
    <x v="129"/>
    <d v="2022-05-13T00:00:00"/>
    <n v="1"/>
    <n v="26.6"/>
    <n v="42"/>
  </r>
  <r>
    <x v="129"/>
    <d v="2022-05-13T00:00:00"/>
    <n v="1"/>
    <n v="26.6"/>
    <n v="42"/>
  </r>
  <r>
    <x v="129"/>
    <d v="2022-05-13T00:00:00"/>
    <n v="1"/>
    <n v="26.6"/>
    <n v="42"/>
  </r>
  <r>
    <x v="129"/>
    <d v="2022-05-13T00:00:00"/>
    <n v="1"/>
    <n v="26.6"/>
    <n v="42"/>
  </r>
  <r>
    <x v="129"/>
    <d v="2022-05-13T00:00:00"/>
    <n v="1"/>
    <n v="26.6"/>
    <n v="42"/>
  </r>
  <r>
    <x v="68"/>
    <d v="2022-05-13T00:00:00"/>
    <n v="1"/>
    <n v="12"/>
    <n v="20"/>
  </r>
  <r>
    <x v="31"/>
    <d v="2022-05-13T00:00:00"/>
    <n v="1"/>
    <n v="22.93"/>
    <n v="29"/>
  </r>
  <r>
    <x v="15"/>
    <d v="2022-05-13T00:00:00"/>
    <n v="1"/>
    <n v="19.71"/>
    <n v="25"/>
  </r>
  <r>
    <x v="155"/>
    <d v="2022-05-13T00:00:00"/>
    <n v="1"/>
    <n v="80.73"/>
    <n v="100"/>
  </r>
  <r>
    <x v="155"/>
    <d v="2022-05-13T00:00:00"/>
    <n v="1"/>
    <n v="80.73"/>
    <n v="100"/>
  </r>
  <r>
    <x v="152"/>
    <d v="2022-05-13T00:00:00"/>
    <n v="1"/>
    <n v="12"/>
    <n v="21"/>
  </r>
  <r>
    <x v="94"/>
    <d v="2022-05-13T00:00:00"/>
    <n v="1"/>
    <n v="64.25"/>
    <n v="76"/>
  </r>
  <r>
    <x v="18"/>
    <d v="2022-05-13T00:00:00"/>
    <n v="1"/>
    <n v="110.08"/>
    <n v="124"/>
  </r>
  <r>
    <x v="96"/>
    <d v="2022-05-13T00:00:00"/>
    <n v="1"/>
    <n v="32.46"/>
    <n v="51"/>
  </r>
  <r>
    <x v="7"/>
    <d v="2022-05-13T00:00:00"/>
    <n v="1"/>
    <n v="60.55"/>
    <n v="74"/>
  </r>
  <r>
    <x v="7"/>
    <d v="2022-05-13T00:00:00"/>
    <n v="1"/>
    <n v="60.55"/>
    <n v="74"/>
  </r>
  <r>
    <x v="52"/>
    <d v="2022-05-13T00:00:00"/>
    <n v="1"/>
    <n v="214.03"/>
    <n v="228"/>
  </r>
  <r>
    <x v="14"/>
    <d v="2022-05-13T00:00:00"/>
    <n v="1"/>
    <n v="81.69"/>
    <n v="102"/>
  </r>
  <r>
    <x v="15"/>
    <d v="2022-05-13T00:00:00"/>
    <n v="1"/>
    <n v="19.71"/>
    <n v="25"/>
  </r>
  <r>
    <x v="78"/>
    <d v="2022-05-13T00:00:00"/>
    <n v="1"/>
    <n v="207.76"/>
    <n v="246"/>
  </r>
  <r>
    <x v="50"/>
    <d v="2022-05-13T00:00:00"/>
    <n v="1"/>
    <n v="77.510000000000005"/>
    <n v="94"/>
  </r>
  <r>
    <x v="50"/>
    <d v="2022-05-13T00:00:00"/>
    <n v="1"/>
    <n v="77.510000000000005"/>
    <n v="94"/>
  </r>
  <r>
    <x v="74"/>
    <d v="2022-05-13T00:00:00"/>
    <n v="1"/>
    <n v="148.5"/>
    <n v="177"/>
  </r>
  <r>
    <x v="34"/>
    <d v="2022-05-13T00:00:00"/>
    <n v="1"/>
    <n v="13.72"/>
    <n v="23"/>
  </r>
  <r>
    <x v="51"/>
    <d v="2022-05-13T00:00:00"/>
    <n v="1"/>
    <n v="44.13"/>
    <n v="69"/>
  </r>
  <r>
    <x v="31"/>
    <d v="2022-05-13T00:00:00"/>
    <n v="1"/>
    <n v="22.31"/>
    <n v="28"/>
  </r>
  <r>
    <x v="31"/>
    <d v="2022-05-13T00:00:00"/>
    <n v="1"/>
    <n v="22.31"/>
    <n v="28"/>
  </r>
  <r>
    <x v="15"/>
    <d v="2022-05-13T00:00:00"/>
    <n v="1"/>
    <n v="22.66"/>
    <n v="30"/>
  </r>
  <r>
    <x v="15"/>
    <d v="2022-05-13T00:00:00"/>
    <n v="1"/>
    <n v="22.66"/>
    <n v="30"/>
  </r>
  <r>
    <x v="32"/>
    <d v="2022-05-13T00:00:00"/>
    <n v="1"/>
    <n v="36.86"/>
    <n v="47"/>
  </r>
  <r>
    <x v="57"/>
    <d v="2022-05-13T00:00:00"/>
    <n v="1"/>
    <n v="24.97"/>
    <n v="30"/>
  </r>
  <r>
    <x v="17"/>
    <d v="2022-05-13T00:00:00"/>
    <n v="1"/>
    <n v="30.3"/>
    <n v="49"/>
  </r>
  <r>
    <x v="67"/>
    <d v="2022-05-13T00:00:00"/>
    <n v="1"/>
    <n v="561.91"/>
    <n v="742"/>
  </r>
  <r>
    <x v="76"/>
    <d v="2022-05-13T00:00:00"/>
    <n v="1"/>
    <n v="45.21"/>
    <n v="51"/>
  </r>
  <r>
    <x v="60"/>
    <d v="2022-05-13T00:00:00"/>
    <n v="1"/>
    <n v="176.42"/>
    <n v="207"/>
  </r>
  <r>
    <x v="20"/>
    <d v="2022-05-13T00:00:00"/>
    <n v="1"/>
    <n v="149.16999999999999"/>
    <n v="179"/>
  </r>
  <r>
    <x v="3"/>
    <d v="2022-05-13T00:00:00"/>
    <n v="1"/>
    <n v="47.01"/>
    <n v="77"/>
  </r>
  <r>
    <x v="15"/>
    <d v="2022-05-13T00:00:00"/>
    <n v="1"/>
    <n v="19.71"/>
    <n v="25"/>
  </r>
  <r>
    <x v="15"/>
    <d v="2022-05-13T00:00:00"/>
    <n v="1"/>
    <n v="19.71"/>
    <n v="25"/>
  </r>
  <r>
    <x v="39"/>
    <d v="2022-05-13T00:00:00"/>
    <n v="1"/>
    <n v="64.260000000000005"/>
    <n v="100"/>
  </r>
  <r>
    <x v="146"/>
    <d v="2022-05-13T00:00:00"/>
    <n v="1"/>
    <n v="24.24"/>
    <n v="30"/>
  </r>
  <r>
    <x v="146"/>
    <d v="2022-05-13T00:00:00"/>
    <n v="1"/>
    <n v="24.24"/>
    <n v="30"/>
  </r>
  <r>
    <x v="8"/>
    <d v="2022-05-13T00:00:00"/>
    <n v="1"/>
    <n v="119.36"/>
    <n v="144"/>
  </r>
  <r>
    <x v="109"/>
    <d v="2022-05-13T00:00:00"/>
    <n v="1"/>
    <n v="74.8"/>
    <n v="92"/>
  </r>
  <r>
    <x v="61"/>
    <d v="2022-05-13T00:00:00"/>
    <n v="1"/>
    <n v="30.78"/>
    <n v="36"/>
  </r>
  <r>
    <x v="44"/>
    <d v="2022-05-13T00:00:00"/>
    <n v="1"/>
    <n v="16.579999999999998"/>
    <n v="20"/>
  </r>
  <r>
    <x v="95"/>
    <d v="2022-05-13T00:00:00"/>
    <n v="1"/>
    <n v="39.49"/>
    <n v="61"/>
  </r>
  <r>
    <x v="124"/>
    <d v="2022-05-13T00:00:00"/>
    <n v="0.08"/>
    <n v="500.48"/>
    <n v="553"/>
  </r>
  <r>
    <x v="117"/>
    <d v="2022-05-13T00:00:00"/>
    <n v="1"/>
    <n v="20.48"/>
    <n v="25"/>
  </r>
  <r>
    <x v="125"/>
    <d v="2022-05-13T00:00:00"/>
    <n v="1"/>
    <n v="27.6"/>
    <n v="33"/>
  </r>
  <r>
    <x v="51"/>
    <d v="2022-05-13T00:00:00"/>
    <n v="1"/>
    <n v="43.97"/>
    <n v="67"/>
  </r>
  <r>
    <x v="51"/>
    <d v="2022-05-13T00:00:00"/>
    <n v="1"/>
    <n v="43.97"/>
    <n v="67"/>
  </r>
  <r>
    <x v="51"/>
    <d v="2022-05-13T00:00:00"/>
    <n v="1"/>
    <n v="43.97"/>
    <n v="67"/>
  </r>
  <r>
    <x v="51"/>
    <d v="2022-05-13T00:00:00"/>
    <n v="1"/>
    <n v="43.97"/>
    <n v="67"/>
  </r>
  <r>
    <x v="51"/>
    <d v="2022-05-13T00:00:00"/>
    <n v="1"/>
    <n v="43.97"/>
    <n v="67"/>
  </r>
  <r>
    <x v="61"/>
    <d v="2022-05-13T00:00:00"/>
    <n v="1"/>
    <n v="31.69"/>
    <n v="37"/>
  </r>
  <r>
    <x v="150"/>
    <d v="2022-05-13T00:00:00"/>
    <n v="0.56000000000000005"/>
    <n v="495.54"/>
    <n v="694"/>
  </r>
  <r>
    <x v="114"/>
    <d v="2022-05-13T00:00:00"/>
    <n v="3.5714299999999997E-2"/>
    <n v="656.19"/>
    <n v="722"/>
  </r>
  <r>
    <x v="86"/>
    <d v="2022-05-13T00:00:00"/>
    <n v="1"/>
    <n v="31.93"/>
    <n v="52"/>
  </r>
  <r>
    <x v="42"/>
    <d v="2022-05-13T00:00:00"/>
    <n v="1"/>
    <n v="43.08"/>
    <n v="66"/>
  </r>
  <r>
    <x v="8"/>
    <d v="2022-05-13T00:00:00"/>
    <n v="1"/>
    <n v="119.72"/>
    <n v="147"/>
  </r>
  <r>
    <x v="152"/>
    <d v="2022-05-13T00:00:00"/>
    <n v="1"/>
    <n v="12"/>
    <n v="20"/>
  </r>
  <r>
    <x v="21"/>
    <d v="2022-05-13T00:00:00"/>
    <n v="0.1"/>
    <n v="1086.5899999999999"/>
    <n v="1467"/>
  </r>
  <r>
    <x v="21"/>
    <d v="2022-05-13T00:00:00"/>
    <n v="0.1"/>
    <n v="989.8"/>
    <n v="1357"/>
  </r>
  <r>
    <x v="13"/>
    <d v="2022-05-13T00:00:00"/>
    <n v="1"/>
    <n v="44"/>
    <n v="67"/>
  </r>
  <r>
    <x v="90"/>
    <d v="2022-05-13T00:00:00"/>
    <n v="1"/>
    <n v="130.88999999999999"/>
    <n v="206"/>
  </r>
  <r>
    <x v="88"/>
    <d v="2022-05-13T00:00:00"/>
    <n v="1"/>
    <n v="65.349999999999994"/>
    <n v="93"/>
  </r>
  <r>
    <x v="146"/>
    <d v="2022-05-13T00:00:00"/>
    <n v="1"/>
    <n v="24.03"/>
    <n v="29"/>
  </r>
  <r>
    <x v="94"/>
    <d v="2022-05-13T00:00:00"/>
    <n v="1"/>
    <n v="65.45"/>
    <n v="77"/>
  </r>
  <r>
    <x v="152"/>
    <d v="2022-05-13T00:00:00"/>
    <n v="2"/>
    <n v="12"/>
    <n v="20"/>
  </r>
  <r>
    <x v="6"/>
    <d v="2022-05-13T00:00:00"/>
    <n v="1"/>
    <n v="24.2"/>
    <n v="39"/>
  </r>
  <r>
    <x v="43"/>
    <d v="2022-05-13T00:00:00"/>
    <n v="1"/>
    <n v="41.54"/>
    <n v="65"/>
  </r>
  <r>
    <x v="155"/>
    <d v="2022-05-13T00:00:00"/>
    <n v="1"/>
    <n v="80.73"/>
    <n v="100"/>
  </r>
  <r>
    <x v="38"/>
    <d v="2022-05-13T00:00:00"/>
    <n v="1"/>
    <n v="134.68"/>
    <n v="162"/>
  </r>
  <r>
    <x v="79"/>
    <d v="2022-05-13T00:00:00"/>
    <n v="1"/>
    <n v="153.75"/>
    <n v="177"/>
  </r>
  <r>
    <x v="18"/>
    <d v="2022-05-13T00:00:00"/>
    <n v="1"/>
    <n v="109.41"/>
    <n v="123"/>
  </r>
  <r>
    <x v="21"/>
    <d v="2022-05-13T00:00:00"/>
    <n v="0.1"/>
    <n v="1212.6300000000001"/>
    <n v="1589"/>
  </r>
  <r>
    <x v="32"/>
    <d v="2022-05-13T00:00:00"/>
    <n v="1"/>
    <n v="36.86"/>
    <n v="47"/>
  </r>
  <r>
    <x v="32"/>
    <d v="2022-05-13T00:00:00"/>
    <n v="1"/>
    <n v="36.86"/>
    <n v="47"/>
  </r>
  <r>
    <x v="53"/>
    <d v="2022-05-13T00:00:00"/>
    <n v="1"/>
    <n v="82.25"/>
    <n v="99"/>
  </r>
  <r>
    <x v="57"/>
    <d v="2022-05-13T00:00:00"/>
    <n v="1"/>
    <n v="24.97"/>
    <n v="30"/>
  </r>
  <r>
    <x v="137"/>
    <d v="2022-05-13T00:00:00"/>
    <n v="1"/>
    <n v="12.86"/>
    <n v="15"/>
  </r>
  <r>
    <x v="137"/>
    <d v="2022-05-13T00:00:00"/>
    <n v="1"/>
    <n v="12.86"/>
    <n v="15"/>
  </r>
  <r>
    <x v="137"/>
    <d v="2022-05-13T00:00:00"/>
    <n v="1"/>
    <n v="12.86"/>
    <n v="15"/>
  </r>
  <r>
    <x v="137"/>
    <d v="2022-05-13T00:00:00"/>
    <n v="1"/>
    <n v="12.86"/>
    <n v="15"/>
  </r>
  <r>
    <x v="137"/>
    <d v="2022-05-13T00:00:00"/>
    <n v="1"/>
    <n v="12.86"/>
    <n v="15"/>
  </r>
  <r>
    <x v="137"/>
    <d v="2022-05-13T00:00:00"/>
    <n v="1"/>
    <n v="12.86"/>
    <n v="15"/>
  </r>
  <r>
    <x v="137"/>
    <d v="2022-05-13T00:00:00"/>
    <n v="1"/>
    <n v="12.86"/>
    <n v="15"/>
  </r>
  <r>
    <x v="137"/>
    <d v="2022-05-13T00:00:00"/>
    <n v="1"/>
    <n v="12.86"/>
    <n v="15"/>
  </r>
  <r>
    <x v="137"/>
    <d v="2022-05-13T00:00:00"/>
    <n v="1"/>
    <n v="12.86"/>
    <n v="15"/>
  </r>
  <r>
    <x v="51"/>
    <d v="2022-05-13T00:00:00"/>
    <n v="1"/>
    <n v="43.97"/>
    <n v="67"/>
  </r>
  <r>
    <x v="51"/>
    <d v="2022-05-13T00:00:00"/>
    <n v="1"/>
    <n v="43.97"/>
    <n v="67"/>
  </r>
  <r>
    <x v="51"/>
    <d v="2022-05-13T00:00:00"/>
    <n v="1"/>
    <n v="43.97"/>
    <n v="67"/>
  </r>
  <r>
    <x v="51"/>
    <d v="2022-05-13T00:00:00"/>
    <n v="1"/>
    <n v="43.97"/>
    <n v="67"/>
  </r>
  <r>
    <x v="51"/>
    <d v="2022-05-13T00:00:00"/>
    <n v="1"/>
    <n v="43.97"/>
    <n v="67"/>
  </r>
  <r>
    <x v="18"/>
    <d v="2022-05-13T00:00:00"/>
    <n v="1"/>
    <n v="109.41"/>
    <n v="123"/>
  </r>
  <r>
    <x v="14"/>
    <d v="2022-05-13T00:00:00"/>
    <n v="1"/>
    <n v="81.540000000000006"/>
    <n v="102"/>
  </r>
  <r>
    <x v="54"/>
    <d v="2022-05-13T00:00:00"/>
    <n v="1"/>
    <n v="11.59"/>
    <n v="19"/>
  </r>
  <r>
    <x v="42"/>
    <d v="2022-05-13T00:00:00"/>
    <n v="1"/>
    <n v="42.85"/>
    <n v="67"/>
  </r>
  <r>
    <x v="44"/>
    <d v="2022-05-13T00:00:00"/>
    <n v="1"/>
    <n v="16.25"/>
    <n v="20"/>
  </r>
  <r>
    <x v="144"/>
    <d v="2022-05-13T00:00:00"/>
    <n v="1"/>
    <n v="233.92"/>
    <n v="312"/>
  </r>
  <r>
    <x v="71"/>
    <d v="2022-05-13T00:00:00"/>
    <n v="1"/>
    <n v="30.9"/>
    <n v="39"/>
  </r>
  <r>
    <x v="71"/>
    <d v="2022-05-13T00:00:00"/>
    <n v="1"/>
    <n v="30.9"/>
    <n v="39"/>
  </r>
  <r>
    <x v="71"/>
    <d v="2022-05-13T00:00:00"/>
    <n v="1"/>
    <n v="30.9"/>
    <n v="39"/>
  </r>
  <r>
    <x v="71"/>
    <d v="2022-05-13T00:00:00"/>
    <n v="1"/>
    <n v="30.9"/>
    <n v="39"/>
  </r>
  <r>
    <x v="127"/>
    <d v="2022-05-13T00:00:00"/>
    <n v="1"/>
    <n v="58.23"/>
    <n v="87"/>
  </r>
  <r>
    <x v="129"/>
    <d v="2022-05-13T00:00:00"/>
    <n v="1"/>
    <n v="27.28"/>
    <n v="43"/>
  </r>
  <r>
    <x v="129"/>
    <d v="2022-05-13T00:00:00"/>
    <n v="1"/>
    <n v="27.28"/>
    <n v="43"/>
  </r>
  <r>
    <x v="97"/>
    <d v="2022-05-13T00:00:00"/>
    <n v="1"/>
    <n v="26.59"/>
    <n v="33"/>
  </r>
  <r>
    <x v="97"/>
    <d v="2022-05-13T00:00:00"/>
    <n v="1"/>
    <n v="26.59"/>
    <n v="33"/>
  </r>
  <r>
    <x v="97"/>
    <d v="2022-05-13T00:00:00"/>
    <n v="1"/>
    <n v="26.59"/>
    <n v="33"/>
  </r>
  <r>
    <x v="113"/>
    <d v="2022-05-13T00:00:00"/>
    <n v="1"/>
    <n v="11.1"/>
    <n v="13"/>
  </r>
  <r>
    <x v="137"/>
    <d v="2022-05-13T00:00:00"/>
    <n v="1"/>
    <n v="12.86"/>
    <n v="15"/>
  </r>
  <r>
    <x v="54"/>
    <d v="2022-05-13T00:00:00"/>
    <n v="8"/>
    <n v="16.97"/>
    <n v="28"/>
  </r>
  <r>
    <x v="51"/>
    <d v="2022-05-13T00:00:00"/>
    <n v="1"/>
    <n v="43.97"/>
    <n v="67"/>
  </r>
  <r>
    <x v="51"/>
    <d v="2022-05-13T00:00:00"/>
    <n v="1"/>
    <n v="43.97"/>
    <n v="67"/>
  </r>
  <r>
    <x v="19"/>
    <d v="2022-05-13T00:00:00"/>
    <n v="1"/>
    <n v="98.67"/>
    <n v="123"/>
  </r>
  <r>
    <x v="29"/>
    <d v="2022-05-13T00:00:00"/>
    <n v="1"/>
    <n v="199.32"/>
    <n v="230"/>
  </r>
  <r>
    <x v="141"/>
    <d v="2022-05-13T00:00:00"/>
    <n v="1"/>
    <n v="402.29"/>
    <n v="451"/>
  </r>
  <r>
    <x v="27"/>
    <d v="2022-05-13T00:00:00"/>
    <n v="2"/>
    <n v="125.73"/>
    <n v="198"/>
  </r>
  <r>
    <x v="119"/>
    <d v="2022-05-13T00:00:00"/>
    <n v="1"/>
    <n v="37.869999999999997"/>
    <n v="62"/>
  </r>
  <r>
    <x v="18"/>
    <d v="2022-05-13T00:00:00"/>
    <n v="1"/>
    <n v="109.41"/>
    <n v="123"/>
  </r>
  <r>
    <x v="47"/>
    <d v="2022-05-13T00:00:00"/>
    <n v="1"/>
    <n v="206"/>
    <n v="251"/>
  </r>
  <r>
    <x v="109"/>
    <d v="2022-05-13T00:00:00"/>
    <n v="1"/>
    <n v="74.8"/>
    <n v="94"/>
  </r>
  <r>
    <x v="145"/>
    <d v="2022-05-13T00:00:00"/>
    <n v="3"/>
    <n v="80.14"/>
    <n v="126"/>
  </r>
  <r>
    <x v="152"/>
    <d v="2022-05-13T00:00:00"/>
    <n v="1"/>
    <n v="12"/>
    <n v="20"/>
  </r>
  <r>
    <x v="66"/>
    <d v="2022-05-13T00:00:00"/>
    <n v="1"/>
    <n v="34.75"/>
    <n v="53"/>
  </r>
  <r>
    <x v="66"/>
    <d v="2022-05-13T00:00:00"/>
    <n v="1"/>
    <n v="34.75"/>
    <n v="53"/>
  </r>
  <r>
    <x v="88"/>
    <d v="2022-05-13T00:00:00"/>
    <n v="1"/>
    <n v="65.349999999999994"/>
    <n v="93"/>
  </r>
  <r>
    <x v="148"/>
    <d v="2022-05-13T00:00:00"/>
    <n v="1"/>
    <n v="10.34"/>
    <n v="12"/>
  </r>
  <r>
    <x v="151"/>
    <d v="2022-05-13T00:00:00"/>
    <n v="1"/>
    <n v="249.63"/>
    <n v="350"/>
  </r>
  <r>
    <x v="40"/>
    <d v="2022-05-13T00:00:00"/>
    <n v="1"/>
    <n v="25.36"/>
    <n v="42"/>
  </r>
  <r>
    <x v="148"/>
    <d v="2022-05-13T00:00:00"/>
    <n v="1"/>
    <n v="9.4600000000000009"/>
    <n v="11"/>
  </r>
  <r>
    <x v="60"/>
    <d v="2022-05-13T00:00:00"/>
    <n v="1"/>
    <n v="176.42"/>
    <n v="207"/>
  </r>
  <r>
    <x v="11"/>
    <d v="2022-05-13T00:00:00"/>
    <n v="1"/>
    <n v="35.22"/>
    <n v="55"/>
  </r>
  <r>
    <x v="29"/>
    <d v="2022-05-13T00:00:00"/>
    <n v="1"/>
    <n v="199.58"/>
    <n v="230"/>
  </r>
  <r>
    <x v="115"/>
    <d v="2022-05-13T00:00:00"/>
    <n v="1"/>
    <n v="132.56"/>
    <n v="187"/>
  </r>
  <r>
    <x v="35"/>
    <d v="2022-05-13T00:00:00"/>
    <n v="1"/>
    <n v="172.76"/>
    <n v="207"/>
  </r>
  <r>
    <x v="135"/>
    <d v="2022-05-13T00:00:00"/>
    <n v="1"/>
    <n v="158.72999999999999"/>
    <n v="191"/>
  </r>
  <r>
    <x v="11"/>
    <d v="2022-05-13T00:00:00"/>
    <n v="1"/>
    <n v="49.13"/>
    <n v="75"/>
  </r>
  <r>
    <x v="140"/>
    <d v="2022-05-13T00:00:00"/>
    <n v="1"/>
    <n v="25.3"/>
    <n v="31"/>
  </r>
  <r>
    <x v="140"/>
    <d v="2022-05-13T00:00:00"/>
    <n v="1"/>
    <n v="25.3"/>
    <n v="31"/>
  </r>
  <r>
    <x v="47"/>
    <d v="2022-05-13T00:00:00"/>
    <n v="1"/>
    <n v="202.07"/>
    <n v="243"/>
  </r>
  <r>
    <x v="79"/>
    <d v="2022-05-13T00:00:00"/>
    <n v="1"/>
    <n v="168.78"/>
    <n v="195"/>
  </r>
  <r>
    <x v="103"/>
    <d v="2022-05-13T00:00:00"/>
    <n v="1"/>
    <n v="16.37"/>
    <n v="27"/>
  </r>
  <r>
    <x v="141"/>
    <d v="2022-05-13T00:00:00"/>
    <n v="1"/>
    <n v="402.29"/>
    <n v="451"/>
  </r>
  <r>
    <x v="76"/>
    <d v="2022-05-13T00:00:00"/>
    <n v="1"/>
    <n v="39.68"/>
    <n v="49"/>
  </r>
  <r>
    <x v="92"/>
    <d v="2022-05-13T00:00:00"/>
    <n v="1"/>
    <n v="423.25"/>
    <n v="559"/>
  </r>
  <r>
    <x v="113"/>
    <d v="2022-05-13T00:00:00"/>
    <n v="1"/>
    <n v="11.1"/>
    <n v="13"/>
  </r>
  <r>
    <x v="122"/>
    <d v="2022-05-13T00:00:00"/>
    <n v="1"/>
    <n v="118.82"/>
    <n v="168"/>
  </r>
  <r>
    <x v="42"/>
    <d v="2022-05-13T00:00:00"/>
    <n v="1"/>
    <n v="43.08"/>
    <n v="66"/>
  </r>
  <r>
    <x v="7"/>
    <d v="2022-05-13T00:00:00"/>
    <n v="1"/>
    <n v="64.680000000000007"/>
    <n v="78"/>
  </r>
  <r>
    <x v="20"/>
    <d v="2022-05-13T00:00:00"/>
    <n v="1"/>
    <n v="147.4"/>
    <n v="177"/>
  </r>
  <r>
    <x v="20"/>
    <d v="2022-05-13T00:00:00"/>
    <n v="1"/>
    <n v="147.4"/>
    <n v="177"/>
  </r>
  <r>
    <x v="145"/>
    <d v="2022-05-13T00:00:00"/>
    <n v="1"/>
    <n v="80.14"/>
    <n v="126"/>
  </r>
  <r>
    <x v="68"/>
    <d v="2022-05-13T00:00:00"/>
    <n v="1"/>
    <n v="12"/>
    <n v="20"/>
  </r>
  <r>
    <x v="111"/>
    <d v="2022-05-13T00:00:00"/>
    <n v="1"/>
    <n v="101.97"/>
    <n v="123"/>
  </r>
  <r>
    <x v="150"/>
    <d v="2022-05-13T00:00:00"/>
    <n v="0.08"/>
    <n v="529.47"/>
    <n v="752"/>
  </r>
  <r>
    <x v="61"/>
    <d v="2022-05-13T00:00:00"/>
    <n v="1"/>
    <n v="31.69"/>
    <n v="37"/>
  </r>
  <r>
    <x v="61"/>
    <d v="2022-05-13T00:00:00"/>
    <n v="1"/>
    <n v="31.69"/>
    <n v="37"/>
  </r>
  <r>
    <x v="61"/>
    <d v="2022-05-13T00:00:00"/>
    <n v="1"/>
    <n v="31.69"/>
    <n v="37"/>
  </r>
  <r>
    <x v="61"/>
    <d v="2022-05-13T00:00:00"/>
    <n v="1"/>
    <n v="31.69"/>
    <n v="37"/>
  </r>
  <r>
    <x v="61"/>
    <d v="2022-05-13T00:00:00"/>
    <n v="1"/>
    <n v="31.69"/>
    <n v="37"/>
  </r>
  <r>
    <x v="20"/>
    <d v="2022-05-13T00:00:00"/>
    <n v="1"/>
    <n v="147.18"/>
    <n v="177"/>
  </r>
  <r>
    <x v="20"/>
    <d v="2022-05-13T00:00:00"/>
    <n v="1"/>
    <n v="147.18"/>
    <n v="177"/>
  </r>
  <r>
    <x v="81"/>
    <d v="2022-05-13T00:00:00"/>
    <n v="3"/>
    <n v="47.4"/>
    <n v="77"/>
  </r>
  <r>
    <x v="93"/>
    <d v="2022-05-13T00:00:00"/>
    <n v="1"/>
    <n v="110.84"/>
    <n v="134"/>
  </r>
  <r>
    <x v="13"/>
    <d v="2022-05-13T00:00:00"/>
    <n v="1"/>
    <n v="44"/>
    <n v="70"/>
  </r>
  <r>
    <x v="94"/>
    <d v="2022-05-13T00:00:00"/>
    <n v="1"/>
    <n v="64.25"/>
    <n v="76"/>
  </r>
  <r>
    <x v="133"/>
    <d v="2022-05-13T00:00:00"/>
    <n v="1"/>
    <n v="46.5"/>
    <n v="75"/>
  </r>
  <r>
    <x v="155"/>
    <d v="2022-05-13T00:00:00"/>
    <n v="1"/>
    <n v="81.819999999999993"/>
    <n v="99"/>
  </r>
  <r>
    <x v="155"/>
    <d v="2022-05-13T00:00:00"/>
    <n v="1"/>
    <n v="81.819999999999993"/>
    <n v="99"/>
  </r>
  <r>
    <x v="28"/>
    <d v="2022-05-13T00:00:00"/>
    <n v="1"/>
    <n v="21.76"/>
    <n v="26"/>
  </r>
  <r>
    <x v="28"/>
    <d v="2022-05-13T00:00:00"/>
    <n v="1"/>
    <n v="21.76"/>
    <n v="26"/>
  </r>
  <r>
    <x v="28"/>
    <d v="2022-05-13T00:00:00"/>
    <n v="1"/>
    <n v="21.76"/>
    <n v="26"/>
  </r>
  <r>
    <x v="28"/>
    <d v="2022-05-13T00:00:00"/>
    <n v="1"/>
    <n v="21.76"/>
    <n v="26"/>
  </r>
  <r>
    <x v="28"/>
    <d v="2022-05-13T00:00:00"/>
    <n v="1"/>
    <n v="21.1"/>
    <n v="25"/>
  </r>
  <r>
    <x v="1"/>
    <d v="2022-05-13T00:00:00"/>
    <n v="0.1"/>
    <n v="460.48"/>
    <n v="576"/>
  </r>
  <r>
    <x v="15"/>
    <d v="2022-05-13T00:00:00"/>
    <n v="1"/>
    <n v="20.72"/>
    <n v="24"/>
  </r>
  <r>
    <x v="73"/>
    <d v="2022-05-13T00:00:00"/>
    <n v="1"/>
    <n v="70.540000000000006"/>
    <n v="91"/>
  </r>
  <r>
    <x v="96"/>
    <d v="2022-05-13T00:00:00"/>
    <n v="1"/>
    <n v="33.89"/>
    <n v="54"/>
  </r>
  <r>
    <x v="78"/>
    <d v="2022-05-13T00:00:00"/>
    <n v="1"/>
    <n v="207.31"/>
    <n v="244"/>
  </r>
  <r>
    <x v="111"/>
    <d v="2022-05-13T00:00:00"/>
    <n v="1"/>
    <n v="109.02"/>
    <n v="128"/>
  </r>
  <r>
    <x v="8"/>
    <d v="2022-05-13T00:00:00"/>
    <n v="1"/>
    <n v="122.17"/>
    <n v="147"/>
  </r>
  <r>
    <x v="42"/>
    <d v="2022-05-13T00:00:00"/>
    <n v="1"/>
    <n v="42.85"/>
    <n v="67"/>
  </r>
  <r>
    <x v="22"/>
    <d v="2022-05-13T00:00:00"/>
    <n v="1"/>
    <n v="106.88"/>
    <n v="164"/>
  </r>
  <r>
    <x v="60"/>
    <d v="2022-05-13T00:00:00"/>
    <n v="1"/>
    <n v="181.12"/>
    <n v="212"/>
  </r>
  <r>
    <x v="91"/>
    <d v="2022-05-13T00:00:00"/>
    <n v="1"/>
    <n v="72.73"/>
    <n v="109"/>
  </r>
  <r>
    <x v="108"/>
    <d v="2022-05-13T00:00:00"/>
    <n v="1"/>
    <n v="125.55"/>
    <n v="183"/>
  </r>
  <r>
    <x v="20"/>
    <d v="2022-05-13T00:00:00"/>
    <n v="1"/>
    <n v="147.4"/>
    <n v="180"/>
  </r>
  <r>
    <x v="9"/>
    <d v="2022-05-13T00:00:00"/>
    <n v="1"/>
    <n v="446.41"/>
    <n v="576"/>
  </r>
  <r>
    <x v="51"/>
    <d v="2022-05-13T00:00:00"/>
    <n v="1"/>
    <n v="43.97"/>
    <n v="67"/>
  </r>
  <r>
    <x v="131"/>
    <d v="2022-05-13T00:00:00"/>
    <n v="1"/>
    <n v="286.19"/>
    <n v="381"/>
  </r>
  <r>
    <x v="7"/>
    <d v="2022-05-13T00:00:00"/>
    <n v="1"/>
    <n v="56.84"/>
    <n v="72"/>
  </r>
  <r>
    <x v="13"/>
    <d v="2022-05-13T00:00:00"/>
    <n v="1"/>
    <n v="46"/>
    <n v="72"/>
  </r>
  <r>
    <x v="53"/>
    <d v="2022-05-13T00:00:00"/>
    <n v="1"/>
    <n v="82.25"/>
    <n v="99"/>
  </r>
  <r>
    <x v="147"/>
    <d v="2022-05-13T00:00:00"/>
    <n v="1"/>
    <n v="127.93"/>
    <n v="160"/>
  </r>
  <r>
    <x v="57"/>
    <d v="2022-05-13T00:00:00"/>
    <n v="1"/>
    <n v="24.97"/>
    <n v="30"/>
  </r>
  <r>
    <x v="10"/>
    <d v="2022-05-13T00:00:00"/>
    <n v="1"/>
    <n v="55.5"/>
    <n v="87"/>
  </r>
  <r>
    <x v="1"/>
    <d v="2022-05-13T00:00:00"/>
    <n v="0.4"/>
    <n v="442.51"/>
    <n v="554"/>
  </r>
  <r>
    <x v="92"/>
    <d v="2022-05-13T00:00:00"/>
    <n v="1"/>
    <n v="423.25"/>
    <n v="559"/>
  </r>
  <r>
    <x v="92"/>
    <d v="2022-05-13T00:00:00"/>
    <n v="1"/>
    <n v="423.25"/>
    <n v="559"/>
  </r>
  <r>
    <x v="119"/>
    <d v="2022-05-13T00:00:00"/>
    <n v="2"/>
    <n v="37.869999999999997"/>
    <n v="62"/>
  </r>
  <r>
    <x v="20"/>
    <d v="2022-05-13T00:00:00"/>
    <n v="1"/>
    <n v="147.18"/>
    <n v="177"/>
  </r>
  <r>
    <x v="15"/>
    <d v="2022-05-13T00:00:00"/>
    <n v="1"/>
    <n v="22.66"/>
    <n v="30"/>
  </r>
  <r>
    <x v="15"/>
    <d v="2022-05-13T00:00:00"/>
    <n v="1"/>
    <n v="22.66"/>
    <n v="30"/>
  </r>
  <r>
    <x v="15"/>
    <d v="2022-05-13T00:00:00"/>
    <n v="1"/>
    <n v="22.66"/>
    <n v="30"/>
  </r>
  <r>
    <x v="15"/>
    <d v="2022-05-13T00:00:00"/>
    <n v="1"/>
    <n v="22.66"/>
    <n v="30"/>
  </r>
  <r>
    <x v="60"/>
    <d v="2022-05-13T00:00:00"/>
    <n v="1"/>
    <n v="184.45"/>
    <n v="216"/>
  </r>
  <r>
    <x v="15"/>
    <d v="2022-05-13T00:00:00"/>
    <n v="1"/>
    <n v="19.66"/>
    <n v="25"/>
  </r>
  <r>
    <x v="15"/>
    <d v="2022-05-13T00:00:00"/>
    <n v="1"/>
    <n v="19.66"/>
    <n v="25"/>
  </r>
  <r>
    <x v="20"/>
    <d v="2022-05-13T00:00:00"/>
    <n v="1"/>
    <n v="150.25"/>
    <n v="180"/>
  </r>
  <r>
    <x v="47"/>
    <d v="2022-05-13T00:00:00"/>
    <n v="1"/>
    <n v="202.33"/>
    <n v="243"/>
  </r>
  <r>
    <x v="65"/>
    <d v="2022-05-13T00:00:00"/>
    <n v="1"/>
    <n v="165.86"/>
    <n v="200"/>
  </r>
  <r>
    <x v="13"/>
    <d v="2022-05-13T00:00:00"/>
    <n v="1"/>
    <n v="44"/>
    <n v="70"/>
  </r>
  <r>
    <x v="90"/>
    <d v="2022-05-13T00:00:00"/>
    <n v="2"/>
    <n v="103.49"/>
    <n v="161"/>
  </r>
  <r>
    <x v="86"/>
    <d v="2022-05-13T00:00:00"/>
    <n v="1"/>
    <n v="31.93"/>
    <n v="52"/>
  </r>
  <r>
    <x v="3"/>
    <d v="2022-05-13T00:00:00"/>
    <n v="1"/>
    <n v="47.53"/>
    <n v="77"/>
  </r>
  <r>
    <x v="78"/>
    <d v="2022-05-13T00:00:00"/>
    <n v="1"/>
    <n v="207.76"/>
    <n v="246"/>
  </r>
  <r>
    <x v="17"/>
    <d v="2022-05-13T00:00:00"/>
    <n v="1"/>
    <n v="30.3"/>
    <n v="49"/>
  </r>
  <r>
    <x v="115"/>
    <d v="2022-05-13T00:00:00"/>
    <n v="1"/>
    <n v="131.01"/>
    <n v="180"/>
  </r>
  <r>
    <x v="66"/>
    <d v="2022-05-13T00:00:00"/>
    <n v="1"/>
    <n v="34.75"/>
    <n v="53"/>
  </r>
  <r>
    <x v="66"/>
    <d v="2022-05-13T00:00:00"/>
    <n v="1"/>
    <n v="34.75"/>
    <n v="53"/>
  </r>
  <r>
    <x v="131"/>
    <d v="2022-05-13T00:00:00"/>
    <n v="1"/>
    <n v="289.64"/>
    <n v="406"/>
  </r>
  <r>
    <x v="100"/>
    <d v="2022-05-13T00:00:00"/>
    <n v="1"/>
    <n v="27.51"/>
    <n v="48"/>
  </r>
  <r>
    <x v="100"/>
    <d v="2022-05-13T00:00:00"/>
    <n v="2"/>
    <n v="27.51"/>
    <n v="48"/>
  </r>
  <r>
    <x v="18"/>
    <d v="2022-05-13T00:00:00"/>
    <n v="1"/>
    <n v="112.85"/>
    <n v="127"/>
  </r>
  <r>
    <x v="87"/>
    <d v="2022-05-13T00:00:00"/>
    <n v="10"/>
    <n v="15"/>
    <n v="20"/>
  </r>
  <r>
    <x v="15"/>
    <d v="2022-05-13T00:00:00"/>
    <n v="1"/>
    <n v="22.66"/>
    <n v="30"/>
  </r>
  <r>
    <x v="15"/>
    <d v="2022-05-13T00:00:00"/>
    <n v="1"/>
    <n v="22.66"/>
    <n v="30"/>
  </r>
  <r>
    <x v="36"/>
    <d v="2022-05-13T00:00:00"/>
    <n v="4"/>
    <n v="11.45"/>
    <n v="19"/>
  </r>
  <r>
    <x v="50"/>
    <d v="2022-05-13T00:00:00"/>
    <n v="1"/>
    <n v="80.05"/>
    <n v="98"/>
  </r>
  <r>
    <x v="116"/>
    <d v="2022-05-13T00:00:00"/>
    <n v="1"/>
    <n v="7.96"/>
    <n v="13"/>
  </r>
  <r>
    <x v="20"/>
    <d v="2022-05-13T00:00:00"/>
    <n v="1"/>
    <n v="147.18"/>
    <n v="177"/>
  </r>
  <r>
    <x v="86"/>
    <d v="2022-05-13T00:00:00"/>
    <n v="1"/>
    <n v="34.299999999999997"/>
    <n v="56"/>
  </r>
  <r>
    <x v="40"/>
    <d v="2022-05-12T00:00:00"/>
    <n v="1"/>
    <n v="27.94"/>
    <n v="45"/>
  </r>
  <r>
    <x v="21"/>
    <d v="2022-05-12T00:00:00"/>
    <n v="0.1"/>
    <n v="1086.5899999999999"/>
    <n v="1391"/>
  </r>
  <r>
    <x v="47"/>
    <d v="2022-05-12T00:00:00"/>
    <n v="1"/>
    <n v="206"/>
    <n v="251"/>
  </r>
  <r>
    <x v="94"/>
    <d v="2022-05-12T00:00:00"/>
    <n v="1"/>
    <n v="64.44"/>
    <n v="76"/>
  </r>
  <r>
    <x v="39"/>
    <d v="2022-05-12T00:00:00"/>
    <n v="1"/>
    <n v="64.260000000000005"/>
    <n v="100"/>
  </r>
  <r>
    <x v="35"/>
    <d v="2022-05-12T00:00:00"/>
    <n v="1"/>
    <n v="173.51"/>
    <n v="208"/>
  </r>
  <r>
    <x v="96"/>
    <d v="2022-05-12T00:00:00"/>
    <n v="1"/>
    <n v="31"/>
    <n v="49"/>
  </r>
  <r>
    <x v="96"/>
    <d v="2022-05-12T00:00:00"/>
    <n v="1"/>
    <n v="28.74"/>
    <n v="45"/>
  </r>
  <r>
    <x v="27"/>
    <d v="2022-05-12T00:00:00"/>
    <n v="1"/>
    <n v="125.73"/>
    <n v="198"/>
  </r>
  <r>
    <x v="26"/>
    <d v="2022-05-12T00:00:00"/>
    <n v="1"/>
    <n v="13.04"/>
    <n v="18"/>
  </r>
  <r>
    <x v="26"/>
    <d v="2022-05-12T00:00:00"/>
    <n v="1"/>
    <n v="13.04"/>
    <n v="18"/>
  </r>
  <r>
    <x v="26"/>
    <d v="2022-05-12T00:00:00"/>
    <n v="1"/>
    <n v="13.04"/>
    <n v="18"/>
  </r>
  <r>
    <x v="26"/>
    <d v="2022-05-12T00:00:00"/>
    <n v="1"/>
    <n v="13.04"/>
    <n v="18"/>
  </r>
  <r>
    <x v="26"/>
    <d v="2022-05-12T00:00:00"/>
    <n v="1"/>
    <n v="13.04"/>
    <n v="18"/>
  </r>
  <r>
    <x v="51"/>
    <d v="2022-05-12T00:00:00"/>
    <n v="1"/>
    <n v="43.97"/>
    <n v="67"/>
  </r>
  <r>
    <x v="54"/>
    <d v="2022-05-12T00:00:00"/>
    <n v="2"/>
    <n v="11.59"/>
    <n v="19"/>
  </r>
  <r>
    <x v="19"/>
    <d v="2022-05-12T00:00:00"/>
    <n v="1"/>
    <n v="98.67"/>
    <n v="123"/>
  </r>
  <r>
    <x v="51"/>
    <d v="2022-05-12T00:00:00"/>
    <n v="1"/>
    <n v="43.97"/>
    <n v="67"/>
  </r>
  <r>
    <x v="23"/>
    <d v="2022-05-12T00:00:00"/>
    <n v="1"/>
    <n v="135.44999999999999"/>
    <n v="189"/>
  </r>
  <r>
    <x v="69"/>
    <d v="2022-05-12T00:00:00"/>
    <n v="1"/>
    <n v="87.36"/>
    <n v="109"/>
  </r>
  <r>
    <x v="93"/>
    <d v="2022-05-12T00:00:00"/>
    <n v="1"/>
    <n v="110.99"/>
    <n v="136"/>
  </r>
  <r>
    <x v="154"/>
    <d v="2022-05-12T00:00:00"/>
    <n v="1"/>
    <n v="50.63"/>
    <n v="65"/>
  </r>
  <r>
    <x v="154"/>
    <d v="2022-05-12T00:00:00"/>
    <n v="1"/>
    <n v="50.63"/>
    <n v="65"/>
  </r>
  <r>
    <x v="86"/>
    <d v="2022-05-12T00:00:00"/>
    <n v="1"/>
    <n v="34.299999999999997"/>
    <n v="56"/>
  </r>
  <r>
    <x v="43"/>
    <d v="2022-05-12T00:00:00"/>
    <n v="1"/>
    <n v="38.67"/>
    <n v="60"/>
  </r>
  <r>
    <x v="119"/>
    <d v="2022-05-12T00:00:00"/>
    <n v="1"/>
    <n v="36.75"/>
    <n v="59"/>
  </r>
  <r>
    <x v="141"/>
    <d v="2022-05-12T00:00:00"/>
    <n v="1"/>
    <n v="398.18"/>
    <n v="446"/>
  </r>
  <r>
    <x v="40"/>
    <d v="2022-05-12T00:00:00"/>
    <n v="1"/>
    <n v="25.59"/>
    <n v="45"/>
  </r>
  <r>
    <x v="19"/>
    <d v="2022-05-12T00:00:00"/>
    <n v="1"/>
    <n v="98.67"/>
    <n v="120"/>
  </r>
  <r>
    <x v="27"/>
    <d v="2022-05-12T00:00:00"/>
    <n v="1"/>
    <n v="70.44"/>
    <n v="117"/>
  </r>
  <r>
    <x v="86"/>
    <d v="2022-05-12T00:00:00"/>
    <n v="1"/>
    <n v="34.299999999999997"/>
    <n v="56"/>
  </r>
  <r>
    <x v="57"/>
    <d v="2022-05-12T00:00:00"/>
    <n v="1"/>
    <n v="25.71"/>
    <n v="31"/>
  </r>
  <r>
    <x v="40"/>
    <d v="2022-05-12T00:00:00"/>
    <n v="1"/>
    <n v="27.94"/>
    <n v="45"/>
  </r>
  <r>
    <x v="67"/>
    <d v="2022-05-12T00:00:00"/>
    <n v="1"/>
    <n v="561.91"/>
    <n v="742"/>
  </r>
  <r>
    <x v="84"/>
    <d v="2022-05-12T00:00:00"/>
    <n v="1"/>
    <n v="76.77"/>
    <n v="110"/>
  </r>
  <r>
    <x v="78"/>
    <d v="2022-05-12T00:00:00"/>
    <n v="1"/>
    <n v="207.76"/>
    <n v="246"/>
  </r>
  <r>
    <x v="8"/>
    <d v="2022-05-12T00:00:00"/>
    <n v="1"/>
    <n v="122.17"/>
    <n v="147"/>
  </r>
  <r>
    <x v="155"/>
    <d v="2022-05-12T00:00:00"/>
    <n v="1"/>
    <n v="81.819999999999993"/>
    <n v="99"/>
  </r>
  <r>
    <x v="155"/>
    <d v="2022-05-12T00:00:00"/>
    <n v="1"/>
    <n v="81.819999999999993"/>
    <n v="99"/>
  </r>
  <r>
    <x v="96"/>
    <d v="2022-05-12T00:00:00"/>
    <n v="1"/>
    <n v="33.89"/>
    <n v="54"/>
  </r>
  <r>
    <x v="52"/>
    <d v="2022-05-12T00:00:00"/>
    <n v="1"/>
    <n v="268.47000000000003"/>
    <n v="286"/>
  </r>
  <r>
    <x v="111"/>
    <d v="2022-05-12T00:00:00"/>
    <n v="1"/>
    <n v="101.97"/>
    <n v="123"/>
  </r>
  <r>
    <x v="20"/>
    <d v="2022-05-12T00:00:00"/>
    <n v="1"/>
    <n v="147.4"/>
    <n v="180"/>
  </r>
  <r>
    <x v="123"/>
    <d v="2022-05-12T00:00:00"/>
    <n v="1"/>
    <n v="257.48"/>
    <n v="343"/>
  </r>
  <r>
    <x v="154"/>
    <d v="2022-05-12T00:00:00"/>
    <n v="1"/>
    <n v="57.86"/>
    <n v="70"/>
  </r>
  <r>
    <x v="43"/>
    <d v="2022-05-12T00:00:00"/>
    <n v="1"/>
    <n v="46.72"/>
    <n v="74"/>
  </r>
  <r>
    <x v="97"/>
    <d v="2022-05-12T00:00:00"/>
    <n v="1"/>
    <n v="27.76"/>
    <n v="34"/>
  </r>
  <r>
    <x v="90"/>
    <d v="2022-05-12T00:00:00"/>
    <n v="0.5"/>
    <n v="129.69"/>
    <n v="204"/>
  </r>
  <r>
    <x v="27"/>
    <d v="2022-05-12T00:00:00"/>
    <n v="0.1"/>
    <n v="149.72999999999999"/>
    <n v="236"/>
  </r>
  <r>
    <x v="27"/>
    <d v="2022-05-12T00:00:00"/>
    <n v="0.4"/>
    <n v="156.87"/>
    <n v="247"/>
  </r>
  <r>
    <x v="43"/>
    <d v="2022-05-12T00:00:00"/>
    <n v="1"/>
    <n v="46.72"/>
    <n v="73"/>
  </r>
  <r>
    <x v="92"/>
    <d v="2022-05-12T00:00:00"/>
    <n v="1"/>
    <n v="423.25"/>
    <n v="559"/>
  </r>
  <r>
    <x v="150"/>
    <d v="2022-05-12T00:00:00"/>
    <n v="0.16"/>
    <n v="485.1"/>
    <n v="738"/>
  </r>
  <r>
    <x v="36"/>
    <d v="2022-05-12T00:00:00"/>
    <n v="2"/>
    <n v="13.3"/>
    <n v="22"/>
  </r>
  <r>
    <x v="101"/>
    <d v="2022-05-12T00:00:00"/>
    <n v="1"/>
    <n v="41.48"/>
    <n v="51"/>
  </r>
  <r>
    <x v="29"/>
    <d v="2022-05-12T00:00:00"/>
    <n v="1"/>
    <n v="229.65"/>
    <n v="246"/>
  </r>
  <r>
    <x v="46"/>
    <d v="2022-05-12T00:00:00"/>
    <n v="4"/>
    <n v="1.98"/>
    <n v="3.2"/>
  </r>
  <r>
    <x v="153"/>
    <d v="2022-05-12T00:00:00"/>
    <n v="1"/>
    <n v="25.57"/>
    <n v="33"/>
  </r>
  <r>
    <x v="153"/>
    <d v="2022-05-12T00:00:00"/>
    <n v="1"/>
    <n v="25.57"/>
    <n v="33"/>
  </r>
  <r>
    <x v="153"/>
    <d v="2022-05-12T00:00:00"/>
    <n v="1"/>
    <n v="25.57"/>
    <n v="33"/>
  </r>
  <r>
    <x v="153"/>
    <d v="2022-05-12T00:00:00"/>
    <n v="1"/>
    <n v="25.57"/>
    <n v="33"/>
  </r>
  <r>
    <x v="153"/>
    <d v="2022-05-12T00:00:00"/>
    <n v="1"/>
    <n v="25.57"/>
    <n v="33"/>
  </r>
  <r>
    <x v="153"/>
    <d v="2022-05-12T00:00:00"/>
    <n v="1"/>
    <n v="25.57"/>
    <n v="33"/>
  </r>
  <r>
    <x v="153"/>
    <d v="2022-05-12T00:00:00"/>
    <n v="1"/>
    <n v="25.57"/>
    <n v="33"/>
  </r>
  <r>
    <x v="153"/>
    <d v="2022-05-12T00:00:00"/>
    <n v="1"/>
    <n v="25.57"/>
    <n v="33"/>
  </r>
  <r>
    <x v="153"/>
    <d v="2022-05-12T00:00:00"/>
    <n v="1"/>
    <n v="25.57"/>
    <n v="33"/>
  </r>
  <r>
    <x v="153"/>
    <d v="2022-05-12T00:00:00"/>
    <n v="1"/>
    <n v="25.57"/>
    <n v="33"/>
  </r>
  <r>
    <x v="90"/>
    <d v="2022-05-12T00:00:00"/>
    <n v="2"/>
    <n v="129.25"/>
    <n v="203"/>
  </r>
  <r>
    <x v="119"/>
    <d v="2022-05-12T00:00:00"/>
    <n v="1"/>
    <n v="37.869999999999997"/>
    <n v="62"/>
  </r>
  <r>
    <x v="23"/>
    <d v="2022-05-12T00:00:00"/>
    <n v="1"/>
    <n v="147.80000000000001"/>
    <n v="206"/>
  </r>
  <r>
    <x v="151"/>
    <d v="2022-05-12T00:00:00"/>
    <n v="1"/>
    <n v="247.74"/>
    <n v="335"/>
  </r>
  <r>
    <x v="80"/>
    <d v="2022-05-12T00:00:00"/>
    <n v="1"/>
    <n v="15.51"/>
    <n v="24"/>
  </r>
  <r>
    <x v="80"/>
    <d v="2022-05-12T00:00:00"/>
    <n v="1"/>
    <n v="15.51"/>
    <n v="24"/>
  </r>
  <r>
    <x v="118"/>
    <d v="2022-05-12T00:00:00"/>
    <n v="1"/>
    <n v="62.7"/>
    <n v="78"/>
  </r>
  <r>
    <x v="118"/>
    <d v="2022-05-12T00:00:00"/>
    <n v="1"/>
    <n v="62.7"/>
    <n v="78"/>
  </r>
  <r>
    <x v="147"/>
    <d v="2022-05-12T00:00:00"/>
    <n v="1"/>
    <n v="127.93"/>
    <n v="160"/>
  </r>
  <r>
    <x v="60"/>
    <d v="2022-05-12T00:00:00"/>
    <n v="1"/>
    <n v="184.45"/>
    <n v="216"/>
  </r>
  <r>
    <x v="29"/>
    <d v="2022-05-12T00:00:00"/>
    <n v="1"/>
    <n v="199.58"/>
    <n v="230"/>
  </r>
  <r>
    <x v="55"/>
    <d v="2022-05-12T00:00:00"/>
    <n v="1"/>
    <n v="64.48"/>
    <n v="78"/>
  </r>
  <r>
    <x v="71"/>
    <d v="2022-05-12T00:00:00"/>
    <n v="1"/>
    <n v="30.8"/>
    <n v="38"/>
  </r>
  <r>
    <x v="9"/>
    <d v="2022-05-12T00:00:00"/>
    <n v="0.1"/>
    <n v="445.83"/>
    <n v="616"/>
  </r>
  <r>
    <x v="14"/>
    <d v="2022-05-12T00:00:00"/>
    <n v="1"/>
    <n v="81.760000000000005"/>
    <n v="102"/>
  </r>
  <r>
    <x v="25"/>
    <d v="2022-05-12T00:00:00"/>
    <n v="1"/>
    <n v="156.19999999999999"/>
    <n v="186"/>
  </r>
  <r>
    <x v="40"/>
    <d v="2022-05-12T00:00:00"/>
    <n v="1"/>
    <n v="25.59"/>
    <n v="45"/>
  </r>
  <r>
    <x v="27"/>
    <d v="2022-05-12T00:00:00"/>
    <n v="1"/>
    <n v="150.1"/>
    <n v="229"/>
  </r>
  <r>
    <x v="83"/>
    <d v="2022-05-12T00:00:00"/>
    <n v="0.5"/>
    <n v="123.98"/>
    <n v="189"/>
  </r>
  <r>
    <x v="144"/>
    <d v="2022-05-12T00:00:00"/>
    <n v="1"/>
    <n v="248.06"/>
    <n v="343"/>
  </r>
  <r>
    <x v="83"/>
    <d v="2022-05-12T00:00:00"/>
    <n v="1"/>
    <n v="123.98"/>
    <n v="189"/>
  </r>
  <r>
    <x v="13"/>
    <d v="2022-05-12T00:00:00"/>
    <n v="1"/>
    <n v="44"/>
    <n v="67"/>
  </r>
  <r>
    <x v="13"/>
    <d v="2022-05-12T00:00:00"/>
    <n v="1"/>
    <n v="44"/>
    <n v="67"/>
  </r>
  <r>
    <x v="16"/>
    <d v="2022-05-12T00:00:00"/>
    <n v="1"/>
    <n v="182.55"/>
    <n v="251"/>
  </r>
  <r>
    <x v="17"/>
    <d v="2022-05-12T00:00:00"/>
    <n v="1"/>
    <n v="30.3"/>
    <n v="49"/>
  </r>
  <r>
    <x v="31"/>
    <d v="2022-05-12T00:00:00"/>
    <n v="1"/>
    <n v="22.4"/>
    <n v="28"/>
  </r>
  <r>
    <x v="31"/>
    <d v="2022-05-12T00:00:00"/>
    <n v="1"/>
    <n v="22.4"/>
    <n v="28"/>
  </r>
  <r>
    <x v="31"/>
    <d v="2022-05-12T00:00:00"/>
    <n v="1"/>
    <n v="22.4"/>
    <n v="28"/>
  </r>
  <r>
    <x v="31"/>
    <d v="2022-05-12T00:00:00"/>
    <n v="1"/>
    <n v="22.4"/>
    <n v="28"/>
  </r>
  <r>
    <x v="31"/>
    <d v="2022-05-12T00:00:00"/>
    <n v="1"/>
    <n v="22.4"/>
    <n v="28"/>
  </r>
  <r>
    <x v="103"/>
    <d v="2022-05-12T00:00:00"/>
    <n v="1"/>
    <n v="25.47"/>
    <n v="40"/>
  </r>
  <r>
    <x v="103"/>
    <d v="2022-05-12T00:00:00"/>
    <n v="1"/>
    <n v="25.47"/>
    <n v="40"/>
  </r>
  <r>
    <x v="103"/>
    <d v="2022-05-12T00:00:00"/>
    <n v="1"/>
    <n v="25.47"/>
    <n v="40"/>
  </r>
  <r>
    <x v="103"/>
    <d v="2022-05-12T00:00:00"/>
    <n v="1"/>
    <n v="25.47"/>
    <n v="40"/>
  </r>
  <r>
    <x v="103"/>
    <d v="2022-05-12T00:00:00"/>
    <n v="1"/>
    <n v="25.47"/>
    <n v="40"/>
  </r>
  <r>
    <x v="103"/>
    <d v="2022-05-12T00:00:00"/>
    <n v="1"/>
    <n v="25.47"/>
    <n v="40"/>
  </r>
  <r>
    <x v="60"/>
    <d v="2022-05-12T00:00:00"/>
    <n v="1"/>
    <n v="176.42"/>
    <n v="207"/>
  </r>
  <r>
    <x v="117"/>
    <d v="2022-05-12T00:00:00"/>
    <n v="1"/>
    <n v="20.82"/>
    <n v="26"/>
  </r>
  <r>
    <x v="95"/>
    <d v="2022-05-12T00:00:00"/>
    <n v="1"/>
    <n v="35.49"/>
    <n v="55"/>
  </r>
  <r>
    <x v="31"/>
    <d v="2022-05-12T00:00:00"/>
    <n v="1"/>
    <n v="22.4"/>
    <n v="28"/>
  </r>
  <r>
    <x v="134"/>
    <d v="2022-05-12T00:00:00"/>
    <n v="2"/>
    <n v="24.18"/>
    <n v="40"/>
  </r>
  <r>
    <x v="51"/>
    <d v="2022-05-12T00:00:00"/>
    <n v="1"/>
    <n v="43.97"/>
    <n v="67"/>
  </r>
  <r>
    <x v="76"/>
    <d v="2022-05-12T00:00:00"/>
    <n v="1"/>
    <n v="40.14"/>
    <n v="49"/>
  </r>
  <r>
    <x v="73"/>
    <d v="2022-05-12T00:00:00"/>
    <n v="1"/>
    <n v="69.13"/>
    <n v="88"/>
  </r>
  <r>
    <x v="20"/>
    <d v="2022-05-12T00:00:00"/>
    <n v="1"/>
    <n v="147.4"/>
    <n v="180"/>
  </r>
  <r>
    <x v="111"/>
    <d v="2022-05-12T00:00:00"/>
    <n v="1"/>
    <n v="109.07"/>
    <n v="130"/>
  </r>
  <r>
    <x v="14"/>
    <d v="2022-05-12T00:00:00"/>
    <n v="1"/>
    <n v="81.69"/>
    <n v="102"/>
  </r>
  <r>
    <x v="14"/>
    <d v="2022-05-12T00:00:00"/>
    <n v="1"/>
    <n v="81.58"/>
    <n v="102"/>
  </r>
  <r>
    <x v="28"/>
    <d v="2022-05-12T00:00:00"/>
    <n v="1"/>
    <n v="21.1"/>
    <n v="25"/>
  </r>
  <r>
    <x v="88"/>
    <d v="2022-05-12T00:00:00"/>
    <n v="1"/>
    <n v="70.97"/>
    <n v="101"/>
  </r>
  <r>
    <x v="60"/>
    <d v="2022-05-12T00:00:00"/>
    <n v="1"/>
    <n v="176.42"/>
    <n v="207"/>
  </r>
  <r>
    <x v="20"/>
    <d v="2022-05-12T00:00:00"/>
    <n v="1"/>
    <n v="147.18"/>
    <n v="177"/>
  </r>
  <r>
    <x v="100"/>
    <d v="2022-05-12T00:00:00"/>
    <n v="1"/>
    <n v="30.03"/>
    <n v="49"/>
  </r>
  <r>
    <x v="90"/>
    <d v="2022-05-12T00:00:00"/>
    <n v="1"/>
    <n v="129.25"/>
    <n v="203"/>
  </r>
  <r>
    <x v="28"/>
    <d v="2022-05-12T00:00:00"/>
    <n v="1"/>
    <n v="21.75"/>
    <n v="26"/>
  </r>
  <r>
    <x v="28"/>
    <d v="2022-05-12T00:00:00"/>
    <n v="1"/>
    <n v="21.75"/>
    <n v="26"/>
  </r>
  <r>
    <x v="28"/>
    <d v="2022-05-12T00:00:00"/>
    <n v="1"/>
    <n v="21.75"/>
    <n v="26"/>
  </r>
  <r>
    <x v="113"/>
    <d v="2022-05-12T00:00:00"/>
    <n v="1"/>
    <n v="11.1"/>
    <n v="13"/>
  </r>
  <r>
    <x v="113"/>
    <d v="2022-05-12T00:00:00"/>
    <n v="1"/>
    <n v="11.1"/>
    <n v="13"/>
  </r>
  <r>
    <x v="113"/>
    <d v="2022-05-12T00:00:00"/>
    <n v="1"/>
    <n v="11.1"/>
    <n v="13"/>
  </r>
  <r>
    <x v="113"/>
    <d v="2022-05-12T00:00:00"/>
    <n v="1"/>
    <n v="11.1"/>
    <n v="13"/>
  </r>
  <r>
    <x v="43"/>
    <d v="2022-05-12T00:00:00"/>
    <n v="1"/>
    <n v="38.67"/>
    <n v="60"/>
  </r>
  <r>
    <x v="78"/>
    <d v="2022-05-12T00:00:00"/>
    <n v="1"/>
    <n v="207.76"/>
    <n v="246"/>
  </r>
  <r>
    <x v="18"/>
    <d v="2022-05-12T00:00:00"/>
    <n v="1"/>
    <n v="109.41"/>
    <n v="123"/>
  </r>
  <r>
    <x v="18"/>
    <d v="2022-05-12T00:00:00"/>
    <n v="1"/>
    <n v="110.18"/>
    <n v="124"/>
  </r>
  <r>
    <x v="0"/>
    <d v="2022-05-12T00:00:00"/>
    <n v="1"/>
    <n v="141.04"/>
    <n v="168"/>
  </r>
  <r>
    <x v="136"/>
    <d v="2022-05-12T00:00:00"/>
    <n v="1"/>
    <n v="10.76"/>
    <n v="18"/>
  </r>
  <r>
    <x v="152"/>
    <d v="2022-05-12T00:00:00"/>
    <n v="1"/>
    <n v="12"/>
    <n v="20"/>
  </r>
  <r>
    <x v="75"/>
    <d v="2022-05-12T00:00:00"/>
    <n v="1"/>
    <n v="28.19"/>
    <n v="45"/>
  </r>
  <r>
    <x v="75"/>
    <d v="2022-05-12T00:00:00"/>
    <n v="1"/>
    <n v="28.19"/>
    <n v="45"/>
  </r>
  <r>
    <x v="75"/>
    <d v="2022-05-12T00:00:00"/>
    <n v="1"/>
    <n v="28.19"/>
    <n v="45"/>
  </r>
  <r>
    <x v="0"/>
    <d v="2022-05-12T00:00:00"/>
    <n v="1"/>
    <n v="145.6"/>
    <n v="169"/>
  </r>
  <r>
    <x v="58"/>
    <d v="2022-05-12T00:00:00"/>
    <n v="1"/>
    <n v="73.3"/>
    <n v="88"/>
  </r>
  <r>
    <x v="58"/>
    <d v="2022-05-12T00:00:00"/>
    <n v="1"/>
    <n v="73.3"/>
    <n v="88"/>
  </r>
  <r>
    <x v="80"/>
    <d v="2022-05-12T00:00:00"/>
    <n v="1"/>
    <n v="18.010000000000002"/>
    <n v="28"/>
  </r>
  <r>
    <x v="69"/>
    <d v="2022-05-12T00:00:00"/>
    <n v="1"/>
    <n v="87.36"/>
    <n v="109"/>
  </r>
  <r>
    <x v="27"/>
    <d v="2022-05-12T00:00:00"/>
    <n v="1"/>
    <n v="105"/>
    <n v="161"/>
  </r>
  <r>
    <x v="52"/>
    <d v="2022-05-12T00:00:00"/>
    <n v="1"/>
    <n v="239.87"/>
    <n v="269"/>
  </r>
  <r>
    <x v="152"/>
    <d v="2022-05-12T00:00:00"/>
    <n v="1"/>
    <n v="12"/>
    <n v="20"/>
  </r>
  <r>
    <x v="65"/>
    <d v="2022-05-12T00:00:00"/>
    <n v="1"/>
    <n v="164.69"/>
    <n v="202"/>
  </r>
  <r>
    <x v="148"/>
    <d v="2022-05-12T00:00:00"/>
    <n v="1"/>
    <n v="10.34"/>
    <n v="12"/>
  </r>
  <r>
    <x v="148"/>
    <d v="2022-05-12T00:00:00"/>
    <n v="1"/>
    <n v="10.34"/>
    <n v="12"/>
  </r>
  <r>
    <x v="60"/>
    <d v="2022-05-12T00:00:00"/>
    <n v="1"/>
    <n v="184.45"/>
    <n v="216"/>
  </r>
  <r>
    <x v="19"/>
    <d v="2022-05-12T00:00:00"/>
    <n v="1"/>
    <n v="103.96"/>
    <n v="125"/>
  </r>
  <r>
    <x v="88"/>
    <d v="2022-05-12T00:00:00"/>
    <n v="1"/>
    <n v="67.84"/>
    <n v="99"/>
  </r>
  <r>
    <x v="131"/>
    <d v="2022-05-12T00:00:00"/>
    <n v="1"/>
    <n v="286.19"/>
    <n v="381"/>
  </r>
  <r>
    <x v="109"/>
    <d v="2022-05-12T00:00:00"/>
    <n v="1"/>
    <n v="74.8"/>
    <n v="94"/>
  </r>
  <r>
    <x v="15"/>
    <d v="2022-05-12T00:00:00"/>
    <n v="1"/>
    <n v="19.71"/>
    <n v="25"/>
  </r>
  <r>
    <x v="137"/>
    <d v="2022-05-12T00:00:00"/>
    <n v="1"/>
    <n v="12.86"/>
    <n v="15"/>
  </r>
  <r>
    <x v="137"/>
    <d v="2022-05-12T00:00:00"/>
    <n v="1"/>
    <n v="12.86"/>
    <n v="15"/>
  </r>
  <r>
    <x v="54"/>
    <d v="2022-05-12T00:00:00"/>
    <n v="1"/>
    <n v="16.97"/>
    <n v="28"/>
  </r>
  <r>
    <x v="95"/>
    <d v="2022-05-12T00:00:00"/>
    <n v="1"/>
    <n v="35.49"/>
    <n v="55"/>
  </r>
  <r>
    <x v="117"/>
    <d v="2022-05-12T00:00:00"/>
    <n v="1"/>
    <n v="22.5"/>
    <n v="27"/>
  </r>
  <r>
    <x v="93"/>
    <d v="2022-05-12T00:00:00"/>
    <n v="1"/>
    <n v="110.86"/>
    <n v="134"/>
  </r>
  <r>
    <x v="50"/>
    <d v="2022-05-12T00:00:00"/>
    <n v="1"/>
    <n v="77.48"/>
    <n v="95"/>
  </r>
  <r>
    <x v="21"/>
    <d v="2022-05-12T00:00:00"/>
    <n v="6.6666699999999995E-2"/>
    <n v="1182.26"/>
    <n v="1537"/>
  </r>
  <r>
    <x v="113"/>
    <d v="2022-05-12T00:00:00"/>
    <n v="1"/>
    <n v="11.1"/>
    <n v="13"/>
  </r>
  <r>
    <x v="113"/>
    <d v="2022-05-12T00:00:00"/>
    <n v="1"/>
    <n v="11.1"/>
    <n v="13"/>
  </r>
  <r>
    <x v="72"/>
    <d v="2022-05-12T00:00:00"/>
    <n v="1"/>
    <n v="60.3"/>
    <n v="75"/>
  </r>
  <r>
    <x v="150"/>
    <d v="2022-05-12T00:00:00"/>
    <n v="0.4"/>
    <n v="487.04"/>
    <n v="731"/>
  </r>
  <r>
    <x v="65"/>
    <d v="2022-05-12T00:00:00"/>
    <n v="1"/>
    <n v="163.79"/>
    <n v="198"/>
  </r>
  <r>
    <x v="146"/>
    <d v="2022-05-12T00:00:00"/>
    <n v="1"/>
    <n v="23.2"/>
    <n v="29"/>
  </r>
  <r>
    <x v="146"/>
    <d v="2022-05-12T00:00:00"/>
    <n v="1"/>
    <n v="23.2"/>
    <n v="29"/>
  </r>
  <r>
    <x v="93"/>
    <d v="2022-05-12T00:00:00"/>
    <n v="1"/>
    <n v="125.08"/>
    <n v="148"/>
  </r>
  <r>
    <x v="92"/>
    <d v="2022-05-12T00:00:00"/>
    <n v="1"/>
    <n v="423.25"/>
    <n v="559"/>
  </r>
  <r>
    <x v="133"/>
    <d v="2022-05-12T00:00:00"/>
    <n v="1"/>
    <n v="46.5"/>
    <n v="75"/>
  </r>
  <r>
    <x v="95"/>
    <d v="2022-05-12T00:00:00"/>
    <n v="1"/>
    <n v="36.03"/>
    <n v="57"/>
  </r>
  <r>
    <x v="62"/>
    <d v="2022-05-12T00:00:00"/>
    <n v="1"/>
    <n v="54.32"/>
    <n v="78"/>
  </r>
  <r>
    <x v="19"/>
    <d v="2022-05-12T00:00:00"/>
    <n v="2"/>
    <n v="103.96"/>
    <n v="125"/>
  </r>
  <r>
    <x v="88"/>
    <d v="2022-05-12T00:00:00"/>
    <n v="1"/>
    <n v="70.97"/>
    <n v="106"/>
  </r>
  <r>
    <x v="137"/>
    <d v="2022-05-12T00:00:00"/>
    <n v="1"/>
    <n v="12.86"/>
    <n v="15"/>
  </r>
  <r>
    <x v="70"/>
    <d v="2022-05-12T00:00:00"/>
    <n v="0.24"/>
    <n v="438.6"/>
    <n v="667"/>
  </r>
  <r>
    <x v="21"/>
    <d v="2022-05-12T00:00:00"/>
    <n v="0.2"/>
    <n v="1125.31"/>
    <n v="1407"/>
  </r>
  <r>
    <x v="47"/>
    <d v="2022-05-12T00:00:00"/>
    <n v="1"/>
    <n v="206"/>
    <n v="251"/>
  </r>
  <r>
    <x v="17"/>
    <d v="2022-05-12T00:00:00"/>
    <n v="1"/>
    <n v="30.3"/>
    <n v="49"/>
  </r>
  <r>
    <x v="51"/>
    <d v="2022-05-12T00:00:00"/>
    <n v="1"/>
    <n v="43.97"/>
    <n v="69"/>
  </r>
  <r>
    <x v="93"/>
    <d v="2022-05-12T00:00:00"/>
    <n v="1"/>
    <n v="112.37"/>
    <n v="135"/>
  </r>
  <r>
    <x v="85"/>
    <d v="2022-05-12T00:00:00"/>
    <n v="1"/>
    <n v="384.2"/>
    <n v="462"/>
  </r>
  <r>
    <x v="43"/>
    <d v="2022-05-12T00:00:00"/>
    <n v="1"/>
    <n v="46.72"/>
    <n v="74"/>
  </r>
  <r>
    <x v="129"/>
    <d v="2022-05-12T00:00:00"/>
    <n v="1"/>
    <n v="27.39"/>
    <n v="42"/>
  </r>
  <r>
    <x v="129"/>
    <d v="2022-05-12T00:00:00"/>
    <n v="1"/>
    <n v="27.39"/>
    <n v="42"/>
  </r>
  <r>
    <x v="129"/>
    <d v="2022-05-12T00:00:00"/>
    <n v="1"/>
    <n v="27.39"/>
    <n v="42"/>
  </r>
  <r>
    <x v="50"/>
    <d v="2022-05-12T00:00:00"/>
    <n v="1"/>
    <n v="77.78"/>
    <n v="95"/>
  </r>
  <r>
    <x v="50"/>
    <d v="2022-05-12T00:00:00"/>
    <n v="1"/>
    <n v="77.78"/>
    <n v="95"/>
  </r>
  <r>
    <x v="27"/>
    <d v="2022-05-12T00:00:00"/>
    <n v="1"/>
    <n v="105"/>
    <n v="161"/>
  </r>
  <r>
    <x v="88"/>
    <d v="2022-05-12T00:00:00"/>
    <n v="1"/>
    <n v="70.97"/>
    <n v="106"/>
  </r>
  <r>
    <x v="17"/>
    <d v="2022-05-12T00:00:00"/>
    <n v="1"/>
    <n v="30.3"/>
    <n v="49"/>
  </r>
  <r>
    <x v="66"/>
    <d v="2022-05-12T00:00:00"/>
    <n v="1"/>
    <n v="57.59"/>
    <n v="82"/>
  </r>
  <r>
    <x v="66"/>
    <d v="2022-05-12T00:00:00"/>
    <n v="1"/>
    <n v="57.59"/>
    <n v="82"/>
  </r>
  <r>
    <x v="66"/>
    <d v="2022-05-12T00:00:00"/>
    <n v="1"/>
    <n v="57.59"/>
    <n v="82"/>
  </r>
  <r>
    <x v="66"/>
    <d v="2022-05-12T00:00:00"/>
    <n v="1"/>
    <n v="57.59"/>
    <n v="82"/>
  </r>
  <r>
    <x v="120"/>
    <d v="2022-05-12T00:00:00"/>
    <n v="1"/>
    <n v="330"/>
    <n v="436"/>
  </r>
  <r>
    <x v="9"/>
    <d v="2022-05-12T00:00:00"/>
    <n v="0.3"/>
    <n v="516.22"/>
    <n v="708"/>
  </r>
  <r>
    <x v="52"/>
    <d v="2022-05-12T00:00:00"/>
    <n v="1"/>
    <n v="232.47"/>
    <n v="291"/>
  </r>
  <r>
    <x v="73"/>
    <d v="2022-05-12T00:00:00"/>
    <n v="1"/>
    <n v="69.010000000000005"/>
    <n v="87"/>
  </r>
  <r>
    <x v="19"/>
    <d v="2022-05-12T00:00:00"/>
    <n v="1"/>
    <n v="98.67"/>
    <n v="115"/>
  </r>
  <r>
    <x v="72"/>
    <d v="2022-05-12T00:00:00"/>
    <n v="1"/>
    <n v="60.3"/>
    <n v="75"/>
  </r>
  <r>
    <x v="57"/>
    <d v="2022-05-12T00:00:00"/>
    <n v="1"/>
    <n v="25.19"/>
    <n v="30"/>
  </r>
  <r>
    <x v="71"/>
    <d v="2022-05-12T00:00:00"/>
    <n v="1"/>
    <n v="30.36"/>
    <n v="37"/>
  </r>
  <r>
    <x v="71"/>
    <d v="2022-05-12T00:00:00"/>
    <n v="1"/>
    <n v="30.36"/>
    <n v="37"/>
  </r>
  <r>
    <x v="71"/>
    <d v="2022-05-12T00:00:00"/>
    <n v="1"/>
    <n v="30.8"/>
    <n v="38"/>
  </r>
  <r>
    <x v="71"/>
    <d v="2022-05-12T00:00:00"/>
    <n v="1"/>
    <n v="30.8"/>
    <n v="38"/>
  </r>
  <r>
    <x v="53"/>
    <d v="2022-05-12T00:00:00"/>
    <n v="1"/>
    <n v="78.08"/>
    <n v="94"/>
  </r>
  <r>
    <x v="2"/>
    <d v="2022-05-12T00:00:00"/>
    <n v="1"/>
    <n v="88.36"/>
    <n v="110"/>
  </r>
  <r>
    <x v="2"/>
    <d v="2022-05-12T00:00:00"/>
    <n v="1"/>
    <n v="88.36"/>
    <n v="110"/>
  </r>
  <r>
    <x v="42"/>
    <d v="2022-05-12T00:00:00"/>
    <n v="1"/>
    <n v="43.08"/>
    <n v="66"/>
  </r>
  <r>
    <x v="48"/>
    <d v="2022-05-12T00:00:00"/>
    <n v="1"/>
    <n v="24.6"/>
    <n v="40"/>
  </r>
  <r>
    <x v="113"/>
    <d v="2022-05-12T00:00:00"/>
    <n v="2"/>
    <n v="11.1"/>
    <n v="13"/>
  </r>
  <r>
    <x v="66"/>
    <d v="2022-05-12T00:00:00"/>
    <n v="1"/>
    <n v="34.75"/>
    <n v="53"/>
  </r>
  <r>
    <x v="60"/>
    <d v="2022-05-12T00:00:00"/>
    <n v="1"/>
    <n v="176.42"/>
    <n v="207"/>
  </r>
  <r>
    <x v="60"/>
    <d v="2022-05-12T00:00:00"/>
    <n v="1"/>
    <n v="176.42"/>
    <n v="207"/>
  </r>
  <r>
    <x v="152"/>
    <d v="2022-05-12T00:00:00"/>
    <n v="1"/>
    <n v="12"/>
    <n v="20"/>
  </r>
  <r>
    <x v="106"/>
    <d v="2022-05-12T00:00:00"/>
    <n v="1"/>
    <n v="168.56"/>
    <n v="205"/>
  </r>
  <r>
    <x v="67"/>
    <d v="2022-05-12T00:00:00"/>
    <n v="1"/>
    <n v="561.91"/>
    <n v="742"/>
  </r>
  <r>
    <x v="105"/>
    <d v="2022-05-12T00:00:00"/>
    <n v="1"/>
    <n v="208.48"/>
    <n v="292"/>
  </r>
  <r>
    <x v="96"/>
    <d v="2022-05-12T00:00:00"/>
    <n v="1"/>
    <n v="31"/>
    <n v="48"/>
  </r>
  <r>
    <x v="30"/>
    <d v="2022-05-12T00:00:00"/>
    <n v="1"/>
    <n v="30.35"/>
    <n v="48"/>
  </r>
  <r>
    <x v="6"/>
    <d v="2022-05-12T00:00:00"/>
    <n v="1"/>
    <n v="24.2"/>
    <n v="39"/>
  </r>
  <r>
    <x v="151"/>
    <d v="2022-05-12T00:00:00"/>
    <n v="1"/>
    <n v="247.74"/>
    <n v="335"/>
  </r>
  <r>
    <x v="15"/>
    <d v="2022-05-12T00:00:00"/>
    <n v="1"/>
    <n v="19.71"/>
    <n v="25"/>
  </r>
  <r>
    <x v="108"/>
    <d v="2022-05-12T00:00:00"/>
    <n v="1"/>
    <n v="132.19999999999999"/>
    <n v="184"/>
  </r>
  <r>
    <x v="130"/>
    <d v="2022-05-12T00:00:00"/>
    <n v="1"/>
    <n v="73.48"/>
    <n v="91"/>
  </r>
  <r>
    <x v="130"/>
    <d v="2022-05-12T00:00:00"/>
    <n v="1"/>
    <n v="73.48"/>
    <n v="91"/>
  </r>
  <r>
    <x v="130"/>
    <d v="2022-05-12T00:00:00"/>
    <n v="1"/>
    <n v="73.48"/>
    <n v="91"/>
  </r>
  <r>
    <x v="61"/>
    <d v="2022-05-12T00:00:00"/>
    <n v="1"/>
    <n v="31.69"/>
    <n v="37"/>
  </r>
  <r>
    <x v="117"/>
    <d v="2022-05-12T00:00:00"/>
    <n v="1"/>
    <n v="20.64"/>
    <n v="25"/>
  </r>
  <r>
    <x v="2"/>
    <d v="2022-05-12T00:00:00"/>
    <n v="1"/>
    <n v="88.11"/>
    <n v="104"/>
  </r>
  <r>
    <x v="2"/>
    <d v="2022-05-12T00:00:00"/>
    <n v="1"/>
    <n v="88.11"/>
    <n v="104"/>
  </r>
  <r>
    <x v="58"/>
    <d v="2022-05-12T00:00:00"/>
    <n v="1"/>
    <n v="74.599999999999994"/>
    <n v="94"/>
  </r>
  <r>
    <x v="58"/>
    <d v="2022-05-12T00:00:00"/>
    <n v="1"/>
    <n v="74.599999999999994"/>
    <n v="94"/>
  </r>
  <r>
    <x v="8"/>
    <d v="2022-05-12T00:00:00"/>
    <n v="1"/>
    <n v="125.93"/>
    <n v="150"/>
  </r>
  <r>
    <x v="141"/>
    <d v="2022-05-12T00:00:00"/>
    <n v="1"/>
    <n v="418.73"/>
    <n v="469"/>
  </r>
  <r>
    <x v="15"/>
    <d v="2022-05-12T00:00:00"/>
    <n v="1"/>
    <n v="20.3"/>
    <n v="27"/>
  </r>
  <r>
    <x v="50"/>
    <d v="2022-05-12T00:00:00"/>
    <n v="1"/>
    <n v="77.48"/>
    <n v="95"/>
  </r>
  <r>
    <x v="139"/>
    <d v="2022-05-12T00:00:00"/>
    <n v="1"/>
    <n v="51.62"/>
    <n v="75"/>
  </r>
  <r>
    <x v="93"/>
    <d v="2022-05-12T00:00:00"/>
    <n v="1"/>
    <n v="125.05"/>
    <n v="148"/>
  </r>
  <r>
    <x v="78"/>
    <d v="2022-05-12T00:00:00"/>
    <n v="1"/>
    <n v="207.68"/>
    <n v="246"/>
  </r>
  <r>
    <x v="27"/>
    <d v="2022-05-12T00:00:00"/>
    <n v="1"/>
    <n v="103.53"/>
    <n v="159"/>
  </r>
  <r>
    <x v="148"/>
    <d v="2022-05-12T00:00:00"/>
    <n v="1"/>
    <n v="10.34"/>
    <n v="12"/>
  </r>
  <r>
    <x v="18"/>
    <d v="2022-05-12T00:00:00"/>
    <n v="1"/>
    <n v="109.41"/>
    <n v="123"/>
  </r>
  <r>
    <x v="60"/>
    <d v="2022-05-12T00:00:00"/>
    <n v="1"/>
    <n v="186.78"/>
    <n v="219"/>
  </r>
  <r>
    <x v="135"/>
    <d v="2022-05-12T00:00:00"/>
    <n v="1"/>
    <n v="156.51"/>
    <n v="189"/>
  </r>
  <r>
    <x v="106"/>
    <d v="2022-05-12T00:00:00"/>
    <n v="1"/>
    <n v="166.45"/>
    <n v="199"/>
  </r>
  <r>
    <x v="0"/>
    <d v="2022-05-12T00:00:00"/>
    <n v="1"/>
    <n v="134.9"/>
    <n v="156"/>
  </r>
  <r>
    <x v="0"/>
    <d v="2022-05-12T00:00:00"/>
    <n v="1"/>
    <n v="134.9"/>
    <n v="156"/>
  </r>
  <r>
    <x v="21"/>
    <d v="2022-05-12T00:00:00"/>
    <n v="0.2"/>
    <n v="1125.31"/>
    <n v="1407"/>
  </r>
  <r>
    <x v="95"/>
    <d v="2022-05-12T00:00:00"/>
    <n v="1"/>
    <n v="35.49"/>
    <n v="54"/>
  </r>
  <r>
    <x v="52"/>
    <d v="2022-05-12T00:00:00"/>
    <n v="1"/>
    <n v="233.76"/>
    <n v="274"/>
  </r>
  <r>
    <x v="82"/>
    <d v="2022-05-12T00:00:00"/>
    <n v="1"/>
    <n v="348.66"/>
    <n v="395"/>
  </r>
  <r>
    <x v="52"/>
    <d v="2022-05-12T00:00:00"/>
    <n v="1"/>
    <n v="333.3"/>
    <n v="349"/>
  </r>
  <r>
    <x v="74"/>
    <d v="2022-05-12T00:00:00"/>
    <n v="1"/>
    <n v="153.44999999999999"/>
    <n v="169"/>
  </r>
  <r>
    <x v="23"/>
    <d v="2022-05-12T00:00:00"/>
    <n v="1"/>
    <n v="180.03"/>
    <n v="254"/>
  </r>
  <r>
    <x v="51"/>
    <d v="2022-05-12T00:00:00"/>
    <n v="1"/>
    <n v="43.97"/>
    <n v="67"/>
  </r>
  <r>
    <x v="51"/>
    <d v="2022-05-12T00:00:00"/>
    <n v="1"/>
    <n v="43.97"/>
    <n v="67"/>
  </r>
  <r>
    <x v="86"/>
    <d v="2022-05-12T00:00:00"/>
    <n v="1"/>
    <n v="34.299999999999997"/>
    <n v="56"/>
  </r>
  <r>
    <x v="107"/>
    <d v="2022-05-12T00:00:00"/>
    <n v="1"/>
    <n v="291.42"/>
    <n v="335"/>
  </r>
  <r>
    <x v="50"/>
    <d v="2022-05-12T00:00:00"/>
    <n v="1"/>
    <n v="77.78"/>
    <n v="97"/>
  </r>
  <r>
    <x v="108"/>
    <d v="2022-05-12T00:00:00"/>
    <n v="1"/>
    <n v="125.55"/>
    <n v="178"/>
  </r>
  <r>
    <x v="103"/>
    <d v="2022-05-12T00:00:00"/>
    <n v="1"/>
    <n v="27.61"/>
    <n v="42"/>
  </r>
  <r>
    <x v="88"/>
    <d v="2022-05-12T00:00:00"/>
    <n v="1"/>
    <n v="70.97"/>
    <n v="101"/>
  </r>
  <r>
    <x v="106"/>
    <d v="2022-05-12T00:00:00"/>
    <n v="1"/>
    <n v="168.56"/>
    <n v="205"/>
  </r>
  <r>
    <x v="133"/>
    <d v="2022-05-12T00:00:00"/>
    <n v="1"/>
    <n v="46.5"/>
    <n v="75"/>
  </r>
  <r>
    <x v="87"/>
    <d v="2022-05-12T00:00:00"/>
    <n v="1"/>
    <n v="6.24"/>
    <n v="9"/>
  </r>
  <r>
    <x v="107"/>
    <d v="2022-05-12T00:00:00"/>
    <n v="1"/>
    <n v="291.3"/>
    <n v="331"/>
  </r>
  <r>
    <x v="143"/>
    <d v="2022-05-12T00:00:00"/>
    <n v="1"/>
    <n v="38.520000000000003"/>
    <n v="61"/>
  </r>
  <r>
    <x v="60"/>
    <d v="2022-05-12T00:00:00"/>
    <n v="1"/>
    <n v="184.45"/>
    <n v="216"/>
  </r>
  <r>
    <x v="60"/>
    <d v="2022-05-12T00:00:00"/>
    <n v="1"/>
    <n v="184.45"/>
    <n v="216"/>
  </r>
  <r>
    <x v="94"/>
    <d v="2022-05-12T00:00:00"/>
    <n v="1"/>
    <n v="65.52"/>
    <n v="77"/>
  </r>
  <r>
    <x v="7"/>
    <d v="2022-05-12T00:00:00"/>
    <n v="1"/>
    <n v="60.55"/>
    <n v="74"/>
  </r>
  <r>
    <x v="100"/>
    <d v="2022-05-12T00:00:00"/>
    <n v="2"/>
    <n v="30.03"/>
    <n v="49"/>
  </r>
  <r>
    <x v="25"/>
    <d v="2022-05-12T00:00:00"/>
    <n v="1"/>
    <n v="156.19999999999999"/>
    <n v="186"/>
  </r>
  <r>
    <x v="18"/>
    <d v="2022-05-12T00:00:00"/>
    <n v="1"/>
    <n v="109.41"/>
    <n v="123"/>
  </r>
  <r>
    <x v="152"/>
    <d v="2022-05-12T00:00:00"/>
    <n v="1"/>
    <n v="12"/>
    <n v="20"/>
  </r>
  <r>
    <x v="26"/>
    <d v="2022-05-12T00:00:00"/>
    <n v="1"/>
    <n v="13.19"/>
    <n v="18"/>
  </r>
  <r>
    <x v="26"/>
    <d v="2022-05-12T00:00:00"/>
    <n v="1"/>
    <n v="13.19"/>
    <n v="18"/>
  </r>
  <r>
    <x v="26"/>
    <d v="2022-05-12T00:00:00"/>
    <n v="1"/>
    <n v="13.19"/>
    <n v="18"/>
  </r>
  <r>
    <x v="18"/>
    <d v="2022-05-12T00:00:00"/>
    <n v="1"/>
    <n v="110.18"/>
    <n v="124"/>
  </r>
  <r>
    <x v="93"/>
    <d v="2022-05-12T00:00:00"/>
    <n v="1"/>
    <n v="111.85"/>
    <n v="135"/>
  </r>
  <r>
    <x v="2"/>
    <d v="2022-05-12T00:00:00"/>
    <n v="1"/>
    <n v="88.11"/>
    <n v="105"/>
  </r>
  <r>
    <x v="2"/>
    <d v="2022-05-12T00:00:00"/>
    <n v="1"/>
    <n v="89.27"/>
    <n v="111"/>
  </r>
  <r>
    <x v="20"/>
    <d v="2022-05-12T00:00:00"/>
    <n v="1"/>
    <n v="151.22"/>
    <n v="181"/>
  </r>
  <r>
    <x v="31"/>
    <d v="2022-05-12T00:00:00"/>
    <n v="1"/>
    <n v="32.67"/>
    <n v="41"/>
  </r>
  <r>
    <x v="31"/>
    <d v="2022-05-12T00:00:00"/>
    <n v="1"/>
    <n v="32.67"/>
    <n v="41"/>
  </r>
  <r>
    <x v="31"/>
    <d v="2022-05-12T00:00:00"/>
    <n v="1"/>
    <n v="32.67"/>
    <n v="41"/>
  </r>
  <r>
    <x v="61"/>
    <d v="2022-05-12T00:00:00"/>
    <n v="1"/>
    <n v="31.69"/>
    <n v="37"/>
  </r>
  <r>
    <x v="61"/>
    <d v="2022-05-12T00:00:00"/>
    <n v="1"/>
    <n v="31.69"/>
    <n v="37"/>
  </r>
  <r>
    <x v="40"/>
    <d v="2022-05-12T00:00:00"/>
    <n v="2"/>
    <n v="25.59"/>
    <n v="45"/>
  </r>
  <r>
    <x v="14"/>
    <d v="2022-05-12T00:00:00"/>
    <n v="0.54545500000000002"/>
    <n v="80.52"/>
    <n v="103"/>
  </r>
  <r>
    <x v="14"/>
    <d v="2022-05-12T00:00:00"/>
    <n v="0.45454499999999998"/>
    <n v="80.52"/>
    <n v="103"/>
  </r>
  <r>
    <x v="88"/>
    <d v="2022-05-12T00:00:00"/>
    <n v="1"/>
    <n v="67.540000000000006"/>
    <n v="96"/>
  </r>
  <r>
    <x v="57"/>
    <d v="2022-05-12T00:00:00"/>
    <n v="1"/>
    <n v="25.71"/>
    <n v="31"/>
  </r>
  <r>
    <x v="57"/>
    <d v="2022-05-12T00:00:00"/>
    <n v="1"/>
    <n v="25.71"/>
    <n v="31"/>
  </r>
  <r>
    <x v="127"/>
    <d v="2022-05-12T00:00:00"/>
    <n v="1"/>
    <n v="58.23"/>
    <n v="86"/>
  </r>
  <r>
    <x v="26"/>
    <d v="2022-05-12T00:00:00"/>
    <n v="1"/>
    <n v="13.43"/>
    <n v="18"/>
  </r>
  <r>
    <x v="26"/>
    <d v="2022-05-12T00:00:00"/>
    <n v="1"/>
    <n v="13.43"/>
    <n v="18"/>
  </r>
  <r>
    <x v="26"/>
    <d v="2022-05-12T00:00:00"/>
    <n v="1"/>
    <n v="13.43"/>
    <n v="18"/>
  </r>
  <r>
    <x v="26"/>
    <d v="2022-05-12T00:00:00"/>
    <n v="1"/>
    <n v="13.43"/>
    <n v="18"/>
  </r>
  <r>
    <x v="26"/>
    <d v="2022-05-12T00:00:00"/>
    <n v="1"/>
    <n v="13.43"/>
    <n v="18"/>
  </r>
  <r>
    <x v="20"/>
    <d v="2022-05-12T00:00:00"/>
    <n v="1"/>
    <n v="150.25"/>
    <n v="180"/>
  </r>
  <r>
    <x v="43"/>
    <d v="2022-05-12T00:00:00"/>
    <n v="1"/>
    <n v="38.67"/>
    <n v="60"/>
  </r>
  <r>
    <x v="15"/>
    <d v="2022-05-12T00:00:00"/>
    <n v="1"/>
    <n v="19.71"/>
    <n v="25"/>
  </r>
  <r>
    <x v="15"/>
    <d v="2022-05-12T00:00:00"/>
    <n v="1"/>
    <n v="19.71"/>
    <n v="25"/>
  </r>
  <r>
    <x v="88"/>
    <d v="2022-05-12T00:00:00"/>
    <n v="1"/>
    <n v="70.97"/>
    <n v="106"/>
  </r>
  <r>
    <x v="57"/>
    <d v="2022-05-12T00:00:00"/>
    <n v="1"/>
    <n v="24.74"/>
    <n v="30"/>
  </r>
  <r>
    <x v="57"/>
    <d v="2022-05-12T00:00:00"/>
    <n v="1"/>
    <n v="24.74"/>
    <n v="30"/>
  </r>
  <r>
    <x v="94"/>
    <d v="2022-05-12T00:00:00"/>
    <n v="1"/>
    <n v="64.25"/>
    <n v="79"/>
  </r>
  <r>
    <x v="57"/>
    <d v="2022-05-12T00:00:00"/>
    <n v="1"/>
    <n v="25.71"/>
    <n v="31"/>
  </r>
  <r>
    <x v="155"/>
    <d v="2022-05-12T00:00:00"/>
    <n v="1"/>
    <n v="81.819999999999993"/>
    <n v="99"/>
  </r>
  <r>
    <x v="43"/>
    <d v="2022-05-12T00:00:00"/>
    <n v="1"/>
    <n v="38.67"/>
    <n v="60"/>
  </r>
  <r>
    <x v="117"/>
    <d v="2022-05-12T00:00:00"/>
    <n v="1"/>
    <n v="21.64"/>
    <n v="27"/>
  </r>
  <r>
    <x v="44"/>
    <d v="2022-05-12T00:00:00"/>
    <n v="1"/>
    <n v="16.309999999999999"/>
    <n v="20"/>
  </r>
  <r>
    <x v="131"/>
    <d v="2022-05-12T00:00:00"/>
    <n v="1"/>
    <n v="290.68"/>
    <n v="399"/>
  </r>
  <r>
    <x v="43"/>
    <d v="2022-05-12T00:00:00"/>
    <n v="1"/>
    <n v="46.72"/>
    <n v="72"/>
  </r>
  <r>
    <x v="43"/>
    <d v="2022-05-12T00:00:00"/>
    <n v="1"/>
    <n v="46.72"/>
    <n v="72"/>
  </r>
  <r>
    <x v="113"/>
    <d v="2022-05-12T00:00:00"/>
    <n v="1"/>
    <n v="11.1"/>
    <n v="13"/>
  </r>
  <r>
    <x v="134"/>
    <d v="2022-05-12T00:00:00"/>
    <n v="1"/>
    <n v="24.18"/>
    <n v="40"/>
  </r>
  <r>
    <x v="2"/>
    <d v="2022-05-12T00:00:00"/>
    <n v="1"/>
    <n v="87.93"/>
    <n v="104"/>
  </r>
  <r>
    <x v="2"/>
    <d v="2022-05-12T00:00:00"/>
    <n v="1"/>
    <n v="87.93"/>
    <n v="104"/>
  </r>
  <r>
    <x v="127"/>
    <d v="2022-05-12T00:00:00"/>
    <n v="1"/>
    <n v="58.23"/>
    <n v="87"/>
  </r>
  <r>
    <x v="13"/>
    <d v="2022-05-12T00:00:00"/>
    <n v="1"/>
    <n v="44"/>
    <n v="70"/>
  </r>
  <r>
    <x v="44"/>
    <d v="2022-05-12T00:00:00"/>
    <n v="1"/>
    <n v="15.8"/>
    <n v="19"/>
  </r>
  <r>
    <x v="88"/>
    <d v="2022-05-12T00:00:00"/>
    <n v="1"/>
    <n v="70.97"/>
    <n v="101"/>
  </r>
  <r>
    <x v="88"/>
    <d v="2022-05-12T00:00:00"/>
    <n v="1"/>
    <n v="70.97"/>
    <n v="101"/>
  </r>
  <r>
    <x v="155"/>
    <d v="2022-05-12T00:00:00"/>
    <n v="1"/>
    <n v="81.819999999999993"/>
    <n v="99"/>
  </r>
  <r>
    <x v="129"/>
    <d v="2022-05-12T00:00:00"/>
    <n v="1"/>
    <n v="27.39"/>
    <n v="42"/>
  </r>
  <r>
    <x v="84"/>
    <d v="2022-05-12T00:00:00"/>
    <n v="1"/>
    <n v="81.17"/>
    <n v="116"/>
  </r>
  <r>
    <x v="148"/>
    <d v="2022-05-12T00:00:00"/>
    <n v="1"/>
    <n v="10.34"/>
    <n v="12"/>
  </r>
  <r>
    <x v="148"/>
    <d v="2022-05-12T00:00:00"/>
    <n v="1"/>
    <n v="10.34"/>
    <n v="12"/>
  </r>
  <r>
    <x v="134"/>
    <d v="2022-05-12T00:00:00"/>
    <n v="2"/>
    <n v="24.18"/>
    <n v="40"/>
  </r>
  <r>
    <x v="21"/>
    <d v="2022-05-12T00:00:00"/>
    <n v="0.1"/>
    <n v="1086.5899999999999"/>
    <n v="1391"/>
  </r>
  <r>
    <x v="86"/>
    <d v="2022-05-12T00:00:00"/>
    <n v="1"/>
    <n v="38"/>
    <n v="66"/>
  </r>
  <r>
    <x v="16"/>
    <d v="2022-05-12T00:00:00"/>
    <n v="1"/>
    <n v="182.55"/>
    <n v="251"/>
  </r>
  <r>
    <x v="148"/>
    <d v="2022-05-12T00:00:00"/>
    <n v="1"/>
    <n v="9.4600000000000009"/>
    <n v="11"/>
  </r>
  <r>
    <x v="148"/>
    <d v="2022-05-12T00:00:00"/>
    <n v="1"/>
    <n v="9.4600000000000009"/>
    <n v="11"/>
  </r>
  <r>
    <x v="117"/>
    <d v="2022-05-12T00:00:00"/>
    <n v="1"/>
    <n v="20.82"/>
    <n v="26"/>
  </r>
  <r>
    <x v="147"/>
    <d v="2022-05-12T00:00:00"/>
    <n v="1"/>
    <n v="104.76"/>
    <n v="131"/>
  </r>
  <r>
    <x v="76"/>
    <d v="2022-05-12T00:00:00"/>
    <n v="1"/>
    <n v="39.68"/>
    <n v="49"/>
  </r>
  <r>
    <x v="15"/>
    <d v="2022-05-12T00:00:00"/>
    <n v="1"/>
    <n v="20.23"/>
    <n v="27"/>
  </r>
  <r>
    <x v="15"/>
    <d v="2022-05-12T00:00:00"/>
    <n v="1"/>
    <n v="20.23"/>
    <n v="27"/>
  </r>
  <r>
    <x v="51"/>
    <d v="2022-05-12T00:00:00"/>
    <n v="1"/>
    <n v="43.97"/>
    <n v="70"/>
  </r>
  <r>
    <x v="61"/>
    <d v="2022-05-12T00:00:00"/>
    <n v="1"/>
    <n v="30.6"/>
    <n v="37"/>
  </r>
  <r>
    <x v="61"/>
    <d v="2022-05-12T00:00:00"/>
    <n v="1"/>
    <n v="30.6"/>
    <n v="37"/>
  </r>
  <r>
    <x v="61"/>
    <d v="2022-05-12T00:00:00"/>
    <n v="1"/>
    <n v="30.6"/>
    <n v="37"/>
  </r>
  <r>
    <x v="138"/>
    <d v="2022-05-12T00:00:00"/>
    <n v="1"/>
    <n v="48.79"/>
    <n v="77"/>
  </r>
  <r>
    <x v="54"/>
    <d v="2022-05-12T00:00:00"/>
    <n v="2"/>
    <n v="16.97"/>
    <n v="28"/>
  </r>
  <r>
    <x v="115"/>
    <d v="2022-05-12T00:00:00"/>
    <n v="1"/>
    <n v="132.56"/>
    <n v="187"/>
  </r>
  <r>
    <x v="39"/>
    <d v="2022-05-12T00:00:00"/>
    <n v="1"/>
    <n v="64.260000000000005"/>
    <n v="100"/>
  </r>
  <r>
    <x v="19"/>
    <d v="2022-05-12T00:00:00"/>
    <n v="1"/>
    <n v="98.67"/>
    <n v="120"/>
  </r>
  <r>
    <x v="14"/>
    <d v="2022-05-12T00:00:00"/>
    <n v="1"/>
    <n v="82.54"/>
    <n v="103"/>
  </r>
  <r>
    <x v="78"/>
    <d v="2022-05-12T00:00:00"/>
    <n v="1"/>
    <n v="207.76"/>
    <n v="246"/>
  </r>
  <r>
    <x v="59"/>
    <d v="2022-05-12T00:00:00"/>
    <n v="1"/>
    <n v="199.69"/>
    <n v="282"/>
  </r>
  <r>
    <x v="143"/>
    <d v="2022-05-12T00:00:00"/>
    <n v="1"/>
    <n v="36.840000000000003"/>
    <n v="56"/>
  </r>
  <r>
    <x v="38"/>
    <d v="2022-05-12T00:00:00"/>
    <n v="1"/>
    <n v="134.94999999999999"/>
    <n v="162"/>
  </r>
  <r>
    <x v="25"/>
    <d v="2022-05-12T00:00:00"/>
    <n v="1"/>
    <n v="156.19999999999999"/>
    <n v="186"/>
  </r>
  <r>
    <x v="87"/>
    <d v="2022-05-12T00:00:00"/>
    <n v="2"/>
    <n v="6.17"/>
    <n v="9"/>
  </r>
  <r>
    <x v="52"/>
    <d v="2022-05-12T00:00:00"/>
    <n v="1"/>
    <n v="232.47"/>
    <n v="272"/>
  </r>
  <r>
    <x v="118"/>
    <d v="2022-05-12T00:00:00"/>
    <n v="1"/>
    <n v="65.28"/>
    <n v="81"/>
  </r>
  <r>
    <x v="118"/>
    <d v="2022-05-12T00:00:00"/>
    <n v="1"/>
    <n v="65.28"/>
    <n v="81"/>
  </r>
  <r>
    <x v="71"/>
    <d v="2022-05-12T00:00:00"/>
    <n v="1"/>
    <n v="30.8"/>
    <n v="38"/>
  </r>
  <r>
    <x v="90"/>
    <d v="2022-05-12T00:00:00"/>
    <n v="1"/>
    <n v="133.25"/>
    <n v="204"/>
  </r>
  <r>
    <x v="61"/>
    <d v="2022-05-12T00:00:00"/>
    <n v="1"/>
    <n v="31.08"/>
    <n v="36"/>
  </r>
  <r>
    <x v="61"/>
    <d v="2022-05-12T00:00:00"/>
    <n v="1"/>
    <n v="31.08"/>
    <n v="36"/>
  </r>
  <r>
    <x v="44"/>
    <d v="2022-05-12T00:00:00"/>
    <n v="1"/>
    <n v="16.02"/>
    <n v="19"/>
  </r>
  <r>
    <x v="155"/>
    <d v="2022-05-11T00:00:00"/>
    <n v="1"/>
    <n v="81.819999999999993"/>
    <n v="99"/>
  </r>
  <r>
    <x v="123"/>
    <d v="2022-05-11T00:00:00"/>
    <n v="1"/>
    <n v="257.48"/>
    <n v="343"/>
  </r>
  <r>
    <x v="115"/>
    <d v="2022-05-11T00:00:00"/>
    <n v="1"/>
    <n v="132.26"/>
    <n v="182"/>
  </r>
  <r>
    <x v="10"/>
    <d v="2022-05-11T00:00:00"/>
    <n v="2"/>
    <n v="44.41"/>
    <n v="72"/>
  </r>
  <r>
    <x v="45"/>
    <d v="2022-05-11T00:00:00"/>
    <n v="1"/>
    <n v="44.75"/>
    <n v="55"/>
  </r>
  <r>
    <x v="1"/>
    <d v="2022-05-11T00:00:00"/>
    <n v="1"/>
    <n v="421.52"/>
    <n v="527"/>
  </r>
  <r>
    <x v="20"/>
    <d v="2022-05-11T00:00:00"/>
    <n v="1"/>
    <n v="147.4"/>
    <n v="177"/>
  </r>
  <r>
    <x v="29"/>
    <d v="2022-05-11T00:00:00"/>
    <n v="1"/>
    <n v="202.73"/>
    <n v="234"/>
  </r>
  <r>
    <x v="36"/>
    <d v="2022-05-11T00:00:00"/>
    <n v="1"/>
    <n v="11.45"/>
    <n v="19"/>
  </r>
  <r>
    <x v="131"/>
    <d v="2022-05-11T00:00:00"/>
    <n v="1"/>
    <n v="286.19"/>
    <n v="381"/>
  </r>
  <r>
    <x v="54"/>
    <d v="2022-05-11T00:00:00"/>
    <n v="2"/>
    <n v="12.02"/>
    <n v="20"/>
  </r>
  <r>
    <x v="60"/>
    <d v="2022-05-11T00:00:00"/>
    <n v="1"/>
    <n v="186.78"/>
    <n v="219"/>
  </r>
  <r>
    <x v="12"/>
    <d v="2022-05-11T00:00:00"/>
    <n v="1"/>
    <n v="454.55"/>
    <n v="546"/>
  </r>
  <r>
    <x v="155"/>
    <d v="2022-05-11T00:00:00"/>
    <n v="1"/>
    <n v="81.819999999999993"/>
    <n v="99"/>
  </r>
  <r>
    <x v="1"/>
    <d v="2022-05-11T00:00:00"/>
    <n v="0.4"/>
    <n v="421.52"/>
    <n v="527"/>
  </r>
  <r>
    <x v="83"/>
    <d v="2022-05-11T00:00:00"/>
    <n v="2"/>
    <n v="128.1"/>
    <n v="195"/>
  </r>
  <r>
    <x v="86"/>
    <d v="2022-05-11T00:00:00"/>
    <n v="1"/>
    <n v="34.299999999999997"/>
    <n v="56"/>
  </r>
  <r>
    <x v="60"/>
    <d v="2022-05-11T00:00:00"/>
    <n v="1"/>
    <n v="176.42"/>
    <n v="207"/>
  </r>
  <r>
    <x v="139"/>
    <d v="2022-05-11T00:00:00"/>
    <n v="1"/>
    <n v="81.180000000000007"/>
    <n v="85"/>
  </r>
  <r>
    <x v="23"/>
    <d v="2022-05-11T00:00:00"/>
    <n v="1"/>
    <n v="136.6"/>
    <n v="188"/>
  </r>
  <r>
    <x v="16"/>
    <d v="2022-05-11T00:00:00"/>
    <n v="1"/>
    <n v="181.44"/>
    <n v="245"/>
  </r>
  <r>
    <x v="108"/>
    <d v="2022-05-11T00:00:00"/>
    <n v="1"/>
    <n v="153.63"/>
    <n v="214"/>
  </r>
  <r>
    <x v="131"/>
    <d v="2022-05-11T00:00:00"/>
    <n v="1"/>
    <n v="281.83999999999997"/>
    <n v="373"/>
  </r>
  <r>
    <x v="71"/>
    <d v="2022-05-11T00:00:00"/>
    <n v="1"/>
    <n v="31.41"/>
    <n v="38"/>
  </r>
  <r>
    <x v="30"/>
    <d v="2022-05-11T00:00:00"/>
    <n v="1"/>
    <n v="35"/>
    <n v="54"/>
  </r>
  <r>
    <x v="54"/>
    <d v="2022-05-11T00:00:00"/>
    <n v="1"/>
    <n v="12.58"/>
    <n v="21"/>
  </r>
  <r>
    <x v="23"/>
    <d v="2022-05-11T00:00:00"/>
    <n v="1"/>
    <n v="136.6"/>
    <n v="188"/>
  </r>
  <r>
    <x v="133"/>
    <d v="2022-05-11T00:00:00"/>
    <n v="1"/>
    <n v="46.5"/>
    <n v="75"/>
  </r>
  <r>
    <x v="19"/>
    <d v="2022-05-11T00:00:00"/>
    <n v="2"/>
    <n v="103.96"/>
    <n v="125"/>
  </r>
  <r>
    <x v="51"/>
    <d v="2022-05-11T00:00:00"/>
    <n v="1"/>
    <n v="43.97"/>
    <n v="69"/>
  </r>
  <r>
    <x v="141"/>
    <d v="2022-05-11T00:00:00"/>
    <n v="1"/>
    <n v="402.2"/>
    <n v="451"/>
  </r>
  <r>
    <x v="84"/>
    <d v="2022-05-11T00:00:00"/>
    <n v="1"/>
    <n v="81.17"/>
    <n v="116"/>
  </r>
  <r>
    <x v="19"/>
    <d v="2022-05-11T00:00:00"/>
    <n v="1"/>
    <n v="98.67"/>
    <n v="120"/>
  </r>
  <r>
    <x v="60"/>
    <d v="2022-05-11T00:00:00"/>
    <n v="1"/>
    <n v="181.12"/>
    <n v="227"/>
  </r>
  <r>
    <x v="65"/>
    <d v="2022-05-11T00:00:00"/>
    <n v="1"/>
    <n v="163.79"/>
    <n v="198"/>
  </r>
  <r>
    <x v="36"/>
    <d v="2022-05-11T00:00:00"/>
    <n v="1"/>
    <n v="11.45"/>
    <n v="19"/>
  </r>
  <r>
    <x v="36"/>
    <d v="2022-05-11T00:00:00"/>
    <n v="2"/>
    <n v="11.45"/>
    <n v="19"/>
  </r>
  <r>
    <x v="111"/>
    <d v="2022-05-11T00:00:00"/>
    <n v="1"/>
    <n v="109.02"/>
    <n v="128"/>
  </r>
  <r>
    <x v="88"/>
    <d v="2022-05-11T00:00:00"/>
    <n v="1"/>
    <n v="70.97"/>
    <n v="101"/>
  </r>
  <r>
    <x v="122"/>
    <d v="2022-05-11T00:00:00"/>
    <n v="1"/>
    <n v="117.61"/>
    <n v="171"/>
  </r>
  <r>
    <x v="155"/>
    <d v="2022-05-11T00:00:00"/>
    <n v="1"/>
    <n v="81.8"/>
    <n v="99"/>
  </r>
  <r>
    <x v="116"/>
    <d v="2022-05-11T00:00:00"/>
    <n v="1"/>
    <n v="7.24"/>
    <n v="12"/>
  </r>
  <r>
    <x v="9"/>
    <d v="2022-05-11T00:00:00"/>
    <n v="1"/>
    <n v="501.97"/>
    <n v="673"/>
  </r>
  <r>
    <x v="51"/>
    <d v="2022-05-11T00:00:00"/>
    <n v="1"/>
    <n v="43.97"/>
    <n v="67"/>
  </r>
  <r>
    <x v="90"/>
    <d v="2022-05-11T00:00:00"/>
    <n v="0.1"/>
    <n v="130.65"/>
    <n v="199"/>
  </r>
  <r>
    <x v="37"/>
    <d v="2022-05-11T00:00:00"/>
    <n v="1"/>
    <n v="559.34"/>
    <n v="644"/>
  </r>
  <r>
    <x v="37"/>
    <d v="2022-05-11T00:00:00"/>
    <n v="1"/>
    <n v="559.34"/>
    <n v="644"/>
  </r>
  <r>
    <x v="37"/>
    <d v="2022-05-11T00:00:00"/>
    <n v="1"/>
    <n v="559.34"/>
    <n v="644"/>
  </r>
  <r>
    <x v="97"/>
    <d v="2022-05-11T00:00:00"/>
    <n v="1"/>
    <n v="26.54"/>
    <n v="33"/>
  </r>
  <r>
    <x v="47"/>
    <d v="2022-05-11T00:00:00"/>
    <n v="1"/>
    <n v="221.19"/>
    <n v="262"/>
  </r>
  <r>
    <x v="69"/>
    <d v="2022-05-11T00:00:00"/>
    <n v="1"/>
    <n v="90.81"/>
    <n v="115"/>
  </r>
  <r>
    <x v="88"/>
    <d v="2022-05-11T00:00:00"/>
    <n v="1"/>
    <n v="70.97"/>
    <n v="106"/>
  </r>
  <r>
    <x v="9"/>
    <d v="2022-05-11T00:00:00"/>
    <n v="1"/>
    <n v="455"/>
    <n v="624"/>
  </r>
  <r>
    <x v="36"/>
    <d v="2022-05-11T00:00:00"/>
    <n v="1"/>
    <n v="11.45"/>
    <n v="19"/>
  </r>
  <r>
    <x v="36"/>
    <d v="2022-05-11T00:00:00"/>
    <n v="1"/>
    <n v="10.73"/>
    <n v="18"/>
  </r>
  <r>
    <x v="2"/>
    <d v="2022-05-11T00:00:00"/>
    <n v="1"/>
    <n v="88.07"/>
    <n v="104"/>
  </r>
  <r>
    <x v="2"/>
    <d v="2022-05-11T00:00:00"/>
    <n v="1"/>
    <n v="88.07"/>
    <n v="104"/>
  </r>
  <r>
    <x v="46"/>
    <d v="2022-05-11T00:00:00"/>
    <n v="10"/>
    <n v="3.74"/>
    <n v="4"/>
  </r>
  <r>
    <x v="13"/>
    <d v="2022-05-11T00:00:00"/>
    <n v="1"/>
    <n v="44"/>
    <n v="70"/>
  </r>
  <r>
    <x v="19"/>
    <d v="2022-05-11T00:00:00"/>
    <n v="2"/>
    <n v="103.96"/>
    <n v="125"/>
  </r>
  <r>
    <x v="21"/>
    <d v="2022-05-11T00:00:00"/>
    <n v="0.2"/>
    <n v="986.87"/>
    <n v="1234"/>
  </r>
  <r>
    <x v="45"/>
    <d v="2022-05-11T00:00:00"/>
    <n v="1"/>
    <n v="43.86"/>
    <n v="56"/>
  </r>
  <r>
    <x v="90"/>
    <d v="2022-05-11T00:00:00"/>
    <n v="1"/>
    <n v="129.25"/>
    <n v="203"/>
  </r>
  <r>
    <x v="84"/>
    <d v="2022-05-11T00:00:00"/>
    <n v="1"/>
    <n v="80.62"/>
    <n v="115"/>
  </r>
  <r>
    <x v="43"/>
    <d v="2022-05-11T00:00:00"/>
    <n v="1"/>
    <n v="38.67"/>
    <n v="60"/>
  </r>
  <r>
    <x v="26"/>
    <d v="2022-05-11T00:00:00"/>
    <n v="1"/>
    <n v="13.43"/>
    <n v="18"/>
  </r>
  <r>
    <x v="26"/>
    <d v="2022-05-11T00:00:00"/>
    <n v="1"/>
    <n v="13.43"/>
    <n v="18"/>
  </r>
  <r>
    <x v="2"/>
    <d v="2022-05-11T00:00:00"/>
    <n v="1"/>
    <n v="87.82"/>
    <n v="103"/>
  </r>
  <r>
    <x v="1"/>
    <d v="2022-05-11T00:00:00"/>
    <n v="0.1"/>
    <n v="415.15"/>
    <n v="519"/>
  </r>
  <r>
    <x v="133"/>
    <d v="2022-05-11T00:00:00"/>
    <n v="1"/>
    <n v="42.3"/>
    <n v="69"/>
  </r>
  <r>
    <x v="133"/>
    <d v="2022-05-11T00:00:00"/>
    <n v="2"/>
    <n v="46.5"/>
    <n v="76"/>
  </r>
  <r>
    <x v="24"/>
    <d v="2022-05-11T00:00:00"/>
    <n v="1"/>
    <n v="487.24"/>
    <n v="658"/>
  </r>
  <r>
    <x v="141"/>
    <d v="2022-05-11T00:00:00"/>
    <n v="1"/>
    <n v="402.2"/>
    <n v="451"/>
  </r>
  <r>
    <x v="144"/>
    <d v="2022-05-11T00:00:00"/>
    <n v="1"/>
    <n v="203.47"/>
    <n v="269"/>
  </r>
  <r>
    <x v="30"/>
    <d v="2022-05-11T00:00:00"/>
    <n v="1"/>
    <n v="35"/>
    <n v="54"/>
  </r>
  <r>
    <x v="91"/>
    <d v="2022-05-11T00:00:00"/>
    <n v="1"/>
    <n v="71.89"/>
    <n v="103"/>
  </r>
  <r>
    <x v="56"/>
    <d v="2022-05-11T00:00:00"/>
    <n v="1"/>
    <n v="33.28"/>
    <n v="51"/>
  </r>
  <r>
    <x v="123"/>
    <d v="2022-05-11T00:00:00"/>
    <n v="1"/>
    <n v="369.64"/>
    <n v="390"/>
  </r>
  <r>
    <x v="17"/>
    <d v="2022-05-11T00:00:00"/>
    <n v="1"/>
    <n v="30.3"/>
    <n v="49"/>
  </r>
  <r>
    <x v="140"/>
    <d v="2022-05-11T00:00:00"/>
    <n v="1"/>
    <n v="25.3"/>
    <n v="31"/>
  </r>
  <r>
    <x v="25"/>
    <d v="2022-05-11T00:00:00"/>
    <n v="1"/>
    <n v="156.19999999999999"/>
    <n v="186"/>
  </r>
  <r>
    <x v="106"/>
    <d v="2022-05-11T00:00:00"/>
    <n v="1"/>
    <n v="168.56"/>
    <n v="205"/>
  </r>
  <r>
    <x v="125"/>
    <d v="2022-05-11T00:00:00"/>
    <n v="1"/>
    <n v="23.6"/>
    <n v="29"/>
  </r>
  <r>
    <x v="152"/>
    <d v="2022-05-11T00:00:00"/>
    <n v="2"/>
    <n v="12"/>
    <n v="20"/>
  </r>
  <r>
    <x v="51"/>
    <d v="2022-05-11T00:00:00"/>
    <n v="1"/>
    <n v="43.97"/>
    <n v="70"/>
  </r>
  <r>
    <x v="27"/>
    <d v="2022-05-11T00:00:00"/>
    <n v="0.1"/>
    <n v="156.87"/>
    <n v="247"/>
  </r>
  <r>
    <x v="123"/>
    <d v="2022-05-11T00:00:00"/>
    <n v="1"/>
    <n v="265.69"/>
    <n v="351"/>
  </r>
  <r>
    <x v="123"/>
    <d v="2022-05-11T00:00:00"/>
    <n v="1"/>
    <n v="265.69"/>
    <n v="351"/>
  </r>
  <r>
    <x v="123"/>
    <d v="2022-05-11T00:00:00"/>
    <n v="1"/>
    <n v="271.01"/>
    <n v="358"/>
  </r>
  <r>
    <x v="26"/>
    <d v="2022-05-11T00:00:00"/>
    <n v="1"/>
    <n v="13.19"/>
    <n v="18"/>
  </r>
  <r>
    <x v="26"/>
    <d v="2022-05-11T00:00:00"/>
    <n v="1"/>
    <n v="13.19"/>
    <n v="18"/>
  </r>
  <r>
    <x v="26"/>
    <d v="2022-05-11T00:00:00"/>
    <n v="1"/>
    <n v="13.19"/>
    <n v="18"/>
  </r>
  <r>
    <x v="7"/>
    <d v="2022-05-11T00:00:00"/>
    <n v="1"/>
    <n v="60.29"/>
    <n v="75"/>
  </r>
  <r>
    <x v="54"/>
    <d v="2022-05-11T00:00:00"/>
    <n v="1"/>
    <n v="12.02"/>
    <n v="20"/>
  </r>
  <r>
    <x v="136"/>
    <d v="2022-05-11T00:00:00"/>
    <n v="3"/>
    <n v="14.69"/>
    <n v="26"/>
  </r>
  <r>
    <x v="59"/>
    <d v="2022-05-11T00:00:00"/>
    <n v="1"/>
    <n v="201.41"/>
    <n v="278"/>
  </r>
  <r>
    <x v="59"/>
    <d v="2022-05-11T00:00:00"/>
    <n v="1"/>
    <n v="201.26"/>
    <n v="282"/>
  </r>
  <r>
    <x v="59"/>
    <d v="2022-05-11T00:00:00"/>
    <n v="1"/>
    <n v="198.66"/>
    <n v="289"/>
  </r>
  <r>
    <x v="29"/>
    <d v="2022-05-11T00:00:00"/>
    <n v="1"/>
    <n v="199.59"/>
    <n v="230"/>
  </r>
  <r>
    <x v="97"/>
    <d v="2022-05-11T00:00:00"/>
    <n v="1"/>
    <n v="26.23"/>
    <n v="32"/>
  </r>
  <r>
    <x v="97"/>
    <d v="2022-05-11T00:00:00"/>
    <n v="1"/>
    <n v="26.23"/>
    <n v="32"/>
  </r>
  <r>
    <x v="97"/>
    <d v="2022-05-11T00:00:00"/>
    <n v="1"/>
    <n v="26.23"/>
    <n v="32"/>
  </r>
  <r>
    <x v="97"/>
    <d v="2022-05-11T00:00:00"/>
    <n v="1"/>
    <n v="26.23"/>
    <n v="32"/>
  </r>
  <r>
    <x v="97"/>
    <d v="2022-05-11T00:00:00"/>
    <n v="1"/>
    <n v="26.23"/>
    <n v="32"/>
  </r>
  <r>
    <x v="97"/>
    <d v="2022-05-11T00:00:00"/>
    <n v="1"/>
    <n v="26.23"/>
    <n v="32"/>
  </r>
  <r>
    <x v="155"/>
    <d v="2022-05-11T00:00:00"/>
    <n v="1"/>
    <n v="81.819999999999993"/>
    <n v="99"/>
  </r>
  <r>
    <x v="80"/>
    <d v="2022-05-11T00:00:00"/>
    <n v="1"/>
    <n v="15.95"/>
    <n v="26"/>
  </r>
  <r>
    <x v="12"/>
    <d v="2022-05-11T00:00:00"/>
    <n v="1"/>
    <n v="383.25"/>
    <n v="460"/>
  </r>
  <r>
    <x v="35"/>
    <d v="2022-05-11T00:00:00"/>
    <n v="1"/>
    <n v="173.51"/>
    <n v="208"/>
  </r>
  <r>
    <x v="79"/>
    <d v="2022-05-11T00:00:00"/>
    <n v="1"/>
    <n v="153.75"/>
    <n v="193"/>
  </r>
  <r>
    <x v="26"/>
    <d v="2022-05-11T00:00:00"/>
    <n v="1"/>
    <n v="13.04"/>
    <n v="18"/>
  </r>
  <r>
    <x v="51"/>
    <d v="2022-05-11T00:00:00"/>
    <n v="1"/>
    <n v="43.97"/>
    <n v="69"/>
  </r>
  <r>
    <x v="133"/>
    <d v="2022-05-11T00:00:00"/>
    <n v="1"/>
    <n v="46.5"/>
    <n v="76"/>
  </r>
  <r>
    <x v="121"/>
    <d v="2022-05-11T00:00:00"/>
    <n v="1"/>
    <n v="29.36"/>
    <n v="37"/>
  </r>
  <r>
    <x v="121"/>
    <d v="2022-05-11T00:00:00"/>
    <n v="1"/>
    <n v="29.36"/>
    <n v="37"/>
  </r>
  <r>
    <x v="121"/>
    <d v="2022-05-11T00:00:00"/>
    <n v="1"/>
    <n v="29.36"/>
    <n v="37"/>
  </r>
  <r>
    <x v="26"/>
    <d v="2022-05-11T00:00:00"/>
    <n v="1"/>
    <n v="13.19"/>
    <n v="18"/>
  </r>
  <r>
    <x v="106"/>
    <d v="2022-05-11T00:00:00"/>
    <n v="1"/>
    <n v="160.62"/>
    <n v="194"/>
  </r>
  <r>
    <x v="34"/>
    <d v="2022-05-11T00:00:00"/>
    <n v="10"/>
    <n v="9.8800000000000008"/>
    <n v="16"/>
  </r>
  <r>
    <x v="109"/>
    <d v="2022-05-11T00:00:00"/>
    <n v="1"/>
    <n v="74.8"/>
    <n v="92"/>
  </r>
  <r>
    <x v="19"/>
    <d v="2022-05-11T00:00:00"/>
    <n v="1"/>
    <n v="98.67"/>
    <n v="115"/>
  </r>
  <r>
    <x v="115"/>
    <d v="2022-05-11T00:00:00"/>
    <n v="1"/>
    <n v="159.74"/>
    <n v="219"/>
  </r>
  <r>
    <x v="43"/>
    <d v="2022-05-11T00:00:00"/>
    <n v="1"/>
    <n v="42.13"/>
    <n v="60"/>
  </r>
  <r>
    <x v="117"/>
    <d v="2022-05-11T00:00:00"/>
    <n v="1"/>
    <n v="20.48"/>
    <n v="25"/>
  </r>
  <r>
    <x v="44"/>
    <d v="2022-05-11T00:00:00"/>
    <n v="1"/>
    <n v="15.32"/>
    <n v="19"/>
  </r>
  <r>
    <x v="152"/>
    <d v="2022-05-11T00:00:00"/>
    <n v="5"/>
    <n v="12"/>
    <n v="20"/>
  </r>
  <r>
    <x v="95"/>
    <d v="2022-05-11T00:00:00"/>
    <n v="1"/>
    <n v="35.49"/>
    <n v="54"/>
  </r>
  <r>
    <x v="81"/>
    <d v="2022-05-11T00:00:00"/>
    <n v="2"/>
    <n v="47.4"/>
    <n v="77"/>
  </r>
  <r>
    <x v="51"/>
    <d v="2022-05-11T00:00:00"/>
    <n v="1"/>
    <n v="43.97"/>
    <n v="69"/>
  </r>
  <r>
    <x v="132"/>
    <d v="2022-05-11T00:00:00"/>
    <n v="1"/>
    <n v="7.7"/>
    <n v="13"/>
  </r>
  <r>
    <x v="113"/>
    <d v="2022-05-11T00:00:00"/>
    <n v="1"/>
    <n v="11.1"/>
    <n v="13"/>
  </r>
  <r>
    <x v="80"/>
    <d v="2022-05-11T00:00:00"/>
    <n v="1"/>
    <n v="20"/>
    <n v="31"/>
  </r>
  <r>
    <x v="137"/>
    <d v="2022-05-11T00:00:00"/>
    <n v="1"/>
    <n v="12.86"/>
    <n v="15"/>
  </r>
  <r>
    <x v="134"/>
    <d v="2022-05-11T00:00:00"/>
    <n v="1"/>
    <n v="24.18"/>
    <n v="40"/>
  </r>
  <r>
    <x v="134"/>
    <d v="2022-05-11T00:00:00"/>
    <n v="1"/>
    <n v="24.18"/>
    <n v="40"/>
  </r>
  <r>
    <x v="81"/>
    <d v="2022-05-11T00:00:00"/>
    <n v="1"/>
    <n v="47.4"/>
    <n v="77"/>
  </r>
  <r>
    <x v="40"/>
    <d v="2022-05-11T00:00:00"/>
    <n v="1"/>
    <n v="25.77"/>
    <n v="42"/>
  </r>
  <r>
    <x v="40"/>
    <d v="2022-05-11T00:00:00"/>
    <n v="1"/>
    <n v="25.2"/>
    <n v="41"/>
  </r>
  <r>
    <x v="72"/>
    <d v="2022-05-11T00:00:00"/>
    <n v="1"/>
    <n v="60.3"/>
    <n v="75"/>
  </r>
  <r>
    <x v="46"/>
    <d v="2022-05-11T00:00:00"/>
    <n v="20"/>
    <n v="1.98"/>
    <n v="3.2"/>
  </r>
  <r>
    <x v="129"/>
    <d v="2022-05-11T00:00:00"/>
    <n v="1"/>
    <n v="26.49"/>
    <n v="42"/>
  </r>
  <r>
    <x v="129"/>
    <d v="2022-05-11T00:00:00"/>
    <n v="1"/>
    <n v="26.49"/>
    <n v="42"/>
  </r>
  <r>
    <x v="50"/>
    <d v="2022-05-11T00:00:00"/>
    <n v="1"/>
    <n v="88.76"/>
    <n v="106"/>
  </r>
  <r>
    <x v="99"/>
    <d v="2022-05-11T00:00:00"/>
    <n v="1"/>
    <n v="44.4"/>
    <n v="57"/>
  </r>
  <r>
    <x v="0"/>
    <d v="2022-05-11T00:00:00"/>
    <n v="1"/>
    <n v="134.9"/>
    <n v="156"/>
  </r>
  <r>
    <x v="152"/>
    <d v="2022-05-11T00:00:00"/>
    <n v="1"/>
    <n v="12"/>
    <n v="20"/>
  </r>
  <r>
    <x v="0"/>
    <d v="2022-05-11T00:00:00"/>
    <n v="1"/>
    <n v="141.04"/>
    <n v="168"/>
  </r>
  <r>
    <x v="99"/>
    <d v="2022-05-11T00:00:00"/>
    <n v="1"/>
    <n v="46"/>
    <n v="58"/>
  </r>
  <r>
    <x v="99"/>
    <d v="2022-05-11T00:00:00"/>
    <n v="1"/>
    <n v="46"/>
    <n v="58"/>
  </r>
  <r>
    <x v="149"/>
    <d v="2022-05-11T00:00:00"/>
    <n v="1"/>
    <n v="123.48"/>
    <n v="148"/>
  </r>
  <r>
    <x v="149"/>
    <d v="2022-05-11T00:00:00"/>
    <n v="1"/>
    <n v="123.48"/>
    <n v="148"/>
  </r>
  <r>
    <x v="149"/>
    <d v="2022-05-11T00:00:00"/>
    <n v="1"/>
    <n v="123.48"/>
    <n v="148"/>
  </r>
  <r>
    <x v="70"/>
    <d v="2022-05-11T00:00:00"/>
    <n v="0.2"/>
    <n v="404.09"/>
    <n v="594"/>
  </r>
  <r>
    <x v="16"/>
    <d v="2022-05-11T00:00:00"/>
    <n v="1"/>
    <n v="182.55"/>
    <n v="251"/>
  </r>
  <r>
    <x v="52"/>
    <d v="2022-05-11T00:00:00"/>
    <n v="1"/>
    <n v="233.74"/>
    <n v="274"/>
  </r>
  <r>
    <x v="56"/>
    <d v="2022-05-11T00:00:00"/>
    <n v="1"/>
    <n v="32.85"/>
    <n v="52"/>
  </r>
  <r>
    <x v="61"/>
    <d v="2022-05-11T00:00:00"/>
    <n v="1"/>
    <n v="31.08"/>
    <n v="36"/>
  </r>
  <r>
    <x v="61"/>
    <d v="2022-05-11T00:00:00"/>
    <n v="1"/>
    <n v="31.08"/>
    <n v="36"/>
  </r>
  <r>
    <x v="132"/>
    <d v="2022-05-11T00:00:00"/>
    <n v="1"/>
    <n v="10.41"/>
    <n v="17"/>
  </r>
  <r>
    <x v="134"/>
    <d v="2022-05-11T00:00:00"/>
    <n v="2"/>
    <n v="24.18"/>
    <n v="40"/>
  </r>
  <r>
    <x v="49"/>
    <d v="2022-05-11T00:00:00"/>
    <n v="1"/>
    <n v="643.16999999999996"/>
    <n v="830"/>
  </r>
  <r>
    <x v="107"/>
    <d v="2022-05-11T00:00:00"/>
    <n v="1"/>
    <n v="291.39"/>
    <n v="345"/>
  </r>
  <r>
    <x v="125"/>
    <d v="2022-05-11T00:00:00"/>
    <n v="1"/>
    <n v="23.12"/>
    <n v="29"/>
  </r>
  <r>
    <x v="125"/>
    <d v="2022-05-11T00:00:00"/>
    <n v="1"/>
    <n v="23.12"/>
    <n v="29"/>
  </r>
  <r>
    <x v="13"/>
    <d v="2022-05-11T00:00:00"/>
    <n v="1"/>
    <n v="44"/>
    <n v="69"/>
  </r>
  <r>
    <x v="143"/>
    <d v="2022-05-11T00:00:00"/>
    <n v="1"/>
    <n v="36.840000000000003"/>
    <n v="56"/>
  </r>
  <r>
    <x v="140"/>
    <d v="2022-05-11T00:00:00"/>
    <n v="1"/>
    <n v="25.3"/>
    <n v="31"/>
  </r>
  <r>
    <x v="61"/>
    <d v="2022-05-11T00:00:00"/>
    <n v="1"/>
    <n v="31.08"/>
    <n v="36"/>
  </r>
  <r>
    <x v="61"/>
    <d v="2022-05-11T00:00:00"/>
    <n v="1"/>
    <n v="31.08"/>
    <n v="36"/>
  </r>
  <r>
    <x v="61"/>
    <d v="2022-05-11T00:00:00"/>
    <n v="1"/>
    <n v="31.08"/>
    <n v="36"/>
  </r>
  <r>
    <x v="61"/>
    <d v="2022-05-11T00:00:00"/>
    <n v="1"/>
    <n v="31.08"/>
    <n v="36"/>
  </r>
  <r>
    <x v="61"/>
    <d v="2022-05-11T00:00:00"/>
    <n v="1"/>
    <n v="31.08"/>
    <n v="36"/>
  </r>
  <r>
    <x v="11"/>
    <d v="2022-05-11T00:00:00"/>
    <n v="1"/>
    <n v="44.03"/>
    <n v="67"/>
  </r>
  <r>
    <x v="11"/>
    <d v="2022-05-11T00:00:00"/>
    <n v="1"/>
    <n v="44.03"/>
    <n v="67"/>
  </r>
  <r>
    <x v="60"/>
    <d v="2022-05-11T00:00:00"/>
    <n v="1"/>
    <n v="192.99"/>
    <n v="246"/>
  </r>
  <r>
    <x v="126"/>
    <d v="2022-05-11T00:00:00"/>
    <n v="1"/>
    <n v="371"/>
    <n v="446"/>
  </r>
  <r>
    <x v="146"/>
    <d v="2022-05-11T00:00:00"/>
    <n v="1"/>
    <n v="23.2"/>
    <n v="29"/>
  </r>
  <r>
    <x v="155"/>
    <d v="2022-05-11T00:00:00"/>
    <n v="1"/>
    <n v="81.87"/>
    <n v="99"/>
  </r>
  <r>
    <x v="155"/>
    <d v="2022-05-11T00:00:00"/>
    <n v="1"/>
    <n v="81.87"/>
    <n v="99"/>
  </r>
  <r>
    <x v="27"/>
    <d v="2022-05-11T00:00:00"/>
    <n v="1"/>
    <n v="103.92"/>
    <n v="159"/>
  </r>
  <r>
    <x v="0"/>
    <d v="2022-05-11T00:00:00"/>
    <n v="1"/>
    <n v="145.6"/>
    <n v="169"/>
  </r>
  <r>
    <x v="2"/>
    <d v="2022-05-11T00:00:00"/>
    <n v="1"/>
    <n v="88.11"/>
    <n v="105"/>
  </r>
  <r>
    <x v="23"/>
    <d v="2022-05-11T00:00:00"/>
    <n v="1"/>
    <n v="147.80000000000001"/>
    <n v="209"/>
  </r>
  <r>
    <x v="30"/>
    <d v="2022-05-11T00:00:00"/>
    <n v="1"/>
    <n v="30.35"/>
    <n v="48"/>
  </r>
  <r>
    <x v="95"/>
    <d v="2022-05-11T00:00:00"/>
    <n v="1"/>
    <n v="35.630000000000003"/>
    <n v="55"/>
  </r>
  <r>
    <x v="61"/>
    <d v="2022-05-11T00:00:00"/>
    <n v="1"/>
    <n v="31.08"/>
    <n v="36"/>
  </r>
  <r>
    <x v="118"/>
    <d v="2022-05-11T00:00:00"/>
    <n v="1"/>
    <n v="64.709999999999994"/>
    <n v="80"/>
  </r>
  <r>
    <x v="129"/>
    <d v="2022-05-11T00:00:00"/>
    <n v="1"/>
    <n v="30.8"/>
    <n v="47"/>
  </r>
  <r>
    <x v="51"/>
    <d v="2022-05-11T00:00:00"/>
    <n v="1"/>
    <n v="43.97"/>
    <n v="67"/>
  </r>
  <r>
    <x v="51"/>
    <d v="2022-05-11T00:00:00"/>
    <n v="1"/>
    <n v="43.97"/>
    <n v="67"/>
  </r>
  <r>
    <x v="152"/>
    <d v="2022-05-11T00:00:00"/>
    <n v="1"/>
    <n v="12"/>
    <n v="20"/>
  </r>
  <r>
    <x v="2"/>
    <d v="2022-05-11T00:00:00"/>
    <n v="1"/>
    <n v="88.11"/>
    <n v="105"/>
  </r>
  <r>
    <x v="61"/>
    <d v="2022-05-11T00:00:00"/>
    <n v="1"/>
    <n v="32.619999999999997"/>
    <n v="38"/>
  </r>
  <r>
    <x v="61"/>
    <d v="2022-05-11T00:00:00"/>
    <n v="1"/>
    <n v="32.619999999999997"/>
    <n v="38"/>
  </r>
  <r>
    <x v="85"/>
    <d v="2022-05-11T00:00:00"/>
    <n v="1"/>
    <n v="401.83"/>
    <n v="495"/>
  </r>
  <r>
    <x v="155"/>
    <d v="2022-05-11T00:00:00"/>
    <n v="1"/>
    <n v="80.73"/>
    <n v="100"/>
  </r>
  <r>
    <x v="15"/>
    <d v="2022-05-11T00:00:00"/>
    <n v="1"/>
    <n v="22.66"/>
    <n v="30"/>
  </r>
  <r>
    <x v="19"/>
    <d v="2022-05-11T00:00:00"/>
    <n v="1"/>
    <n v="107.3"/>
    <n v="126"/>
  </r>
  <r>
    <x v="83"/>
    <d v="2022-05-11T00:00:00"/>
    <n v="0.1"/>
    <n v="76.069999999999993"/>
    <n v="120"/>
  </r>
  <r>
    <x v="87"/>
    <d v="2022-05-11T00:00:00"/>
    <n v="5"/>
    <n v="15"/>
    <n v="20"/>
  </r>
  <r>
    <x v="101"/>
    <d v="2022-05-11T00:00:00"/>
    <n v="1"/>
    <n v="41.05"/>
    <n v="51"/>
  </r>
  <r>
    <x v="101"/>
    <d v="2022-05-11T00:00:00"/>
    <n v="1"/>
    <n v="41.05"/>
    <n v="51"/>
  </r>
  <r>
    <x v="34"/>
    <d v="2022-05-11T00:00:00"/>
    <n v="1"/>
    <n v="17.190000000000001"/>
    <n v="28"/>
  </r>
  <r>
    <x v="32"/>
    <d v="2022-05-11T00:00:00"/>
    <n v="1"/>
    <n v="38"/>
    <n v="48"/>
  </r>
  <r>
    <x v="13"/>
    <d v="2022-05-11T00:00:00"/>
    <n v="1"/>
    <n v="44"/>
    <n v="69"/>
  </r>
  <r>
    <x v="13"/>
    <d v="2022-05-11T00:00:00"/>
    <n v="1"/>
    <n v="44"/>
    <n v="67"/>
  </r>
  <r>
    <x v="13"/>
    <d v="2022-05-11T00:00:00"/>
    <n v="1"/>
    <n v="44"/>
    <n v="67"/>
  </r>
  <r>
    <x v="155"/>
    <d v="2022-05-11T00:00:00"/>
    <n v="1"/>
    <n v="80.73"/>
    <n v="100"/>
  </r>
  <r>
    <x v="110"/>
    <d v="2022-05-11T00:00:00"/>
    <n v="1"/>
    <n v="72.31"/>
    <n v="89"/>
  </r>
  <r>
    <x v="129"/>
    <d v="2022-05-11T00:00:00"/>
    <n v="1"/>
    <n v="30.8"/>
    <n v="47"/>
  </r>
  <r>
    <x v="129"/>
    <d v="2022-05-11T00:00:00"/>
    <n v="1"/>
    <n v="30.8"/>
    <n v="47"/>
  </r>
  <r>
    <x v="15"/>
    <d v="2022-05-11T00:00:00"/>
    <n v="1"/>
    <n v="19.71"/>
    <n v="25"/>
  </r>
  <r>
    <x v="80"/>
    <d v="2022-05-11T00:00:00"/>
    <n v="1"/>
    <n v="16.739999999999998"/>
    <n v="26"/>
  </r>
  <r>
    <x v="80"/>
    <d v="2022-05-11T00:00:00"/>
    <n v="1"/>
    <n v="20"/>
    <n v="31"/>
  </r>
  <r>
    <x v="52"/>
    <d v="2022-05-11T00:00:00"/>
    <n v="1"/>
    <n v="232.47"/>
    <n v="291"/>
  </r>
  <r>
    <x v="18"/>
    <d v="2022-05-11T00:00:00"/>
    <n v="1"/>
    <n v="112.85"/>
    <n v="127"/>
  </r>
  <r>
    <x v="18"/>
    <d v="2022-05-11T00:00:00"/>
    <n v="1"/>
    <n v="112.85"/>
    <n v="127"/>
  </r>
  <r>
    <x v="2"/>
    <d v="2022-05-11T00:00:00"/>
    <n v="1"/>
    <n v="88.11"/>
    <n v="105"/>
  </r>
  <r>
    <x v="2"/>
    <d v="2022-05-11T00:00:00"/>
    <n v="1"/>
    <n v="88.11"/>
    <n v="105"/>
  </r>
  <r>
    <x v="57"/>
    <d v="2022-05-11T00:00:00"/>
    <n v="1"/>
    <n v="23.94"/>
    <n v="29"/>
  </r>
  <r>
    <x v="52"/>
    <d v="2022-05-11T00:00:00"/>
    <n v="1"/>
    <n v="239.87"/>
    <n v="269"/>
  </r>
  <r>
    <x v="109"/>
    <d v="2022-05-11T00:00:00"/>
    <n v="1"/>
    <n v="74.8"/>
    <n v="92"/>
  </r>
  <r>
    <x v="57"/>
    <d v="2022-05-11T00:00:00"/>
    <n v="1"/>
    <n v="23.94"/>
    <n v="29"/>
  </r>
  <r>
    <x v="57"/>
    <d v="2022-05-11T00:00:00"/>
    <n v="1"/>
    <n v="23.94"/>
    <n v="29"/>
  </r>
  <r>
    <x v="57"/>
    <d v="2022-05-11T00:00:00"/>
    <n v="1"/>
    <n v="23.94"/>
    <n v="29"/>
  </r>
  <r>
    <x v="57"/>
    <d v="2022-05-11T00:00:00"/>
    <n v="1"/>
    <n v="23.94"/>
    <n v="29"/>
  </r>
  <r>
    <x v="94"/>
    <d v="2022-05-11T00:00:00"/>
    <n v="1"/>
    <n v="65.52"/>
    <n v="77"/>
  </r>
  <r>
    <x v="115"/>
    <d v="2022-05-11T00:00:00"/>
    <n v="1"/>
    <n v="132.56"/>
    <n v="187"/>
  </r>
  <r>
    <x v="117"/>
    <d v="2022-05-11T00:00:00"/>
    <n v="1"/>
    <n v="20.82"/>
    <n v="26"/>
  </r>
  <r>
    <x v="19"/>
    <d v="2022-05-11T00:00:00"/>
    <n v="1"/>
    <n v="107.41"/>
    <n v="126"/>
  </r>
  <r>
    <x v="80"/>
    <d v="2022-05-11T00:00:00"/>
    <n v="1"/>
    <n v="16.649999999999999"/>
    <n v="26"/>
  </r>
  <r>
    <x v="80"/>
    <d v="2022-05-11T00:00:00"/>
    <n v="1"/>
    <n v="16.649999999999999"/>
    <n v="26"/>
  </r>
  <r>
    <x v="80"/>
    <d v="2022-05-11T00:00:00"/>
    <n v="1"/>
    <n v="16.649999999999999"/>
    <n v="26"/>
  </r>
  <r>
    <x v="13"/>
    <d v="2022-05-11T00:00:00"/>
    <n v="1"/>
    <n v="44"/>
    <n v="67"/>
  </r>
  <r>
    <x v="85"/>
    <d v="2022-05-11T00:00:00"/>
    <n v="1"/>
    <n v="384.2"/>
    <n v="481"/>
  </r>
  <r>
    <x v="94"/>
    <d v="2022-05-11T00:00:00"/>
    <n v="1"/>
    <n v="64.25"/>
    <n v="77"/>
  </r>
  <r>
    <x v="13"/>
    <d v="2022-05-11T00:00:00"/>
    <n v="1"/>
    <n v="44"/>
    <n v="67"/>
  </r>
  <r>
    <x v="81"/>
    <d v="2022-05-11T00:00:00"/>
    <n v="3"/>
    <n v="39.619999999999997"/>
    <n v="69"/>
  </r>
  <r>
    <x v="111"/>
    <d v="2022-05-11T00:00:00"/>
    <n v="1"/>
    <n v="109.07"/>
    <n v="128"/>
  </r>
  <r>
    <x v="18"/>
    <d v="2022-05-11T00:00:00"/>
    <n v="1"/>
    <n v="112.85"/>
    <n v="127"/>
  </r>
  <r>
    <x v="12"/>
    <d v="2022-05-11T00:00:00"/>
    <n v="1"/>
    <n v="383.25"/>
    <n v="460"/>
  </r>
  <r>
    <x v="57"/>
    <d v="2022-05-11T00:00:00"/>
    <n v="1"/>
    <n v="25.19"/>
    <n v="30"/>
  </r>
  <r>
    <x v="30"/>
    <d v="2022-05-11T00:00:00"/>
    <n v="1"/>
    <n v="35"/>
    <n v="54"/>
  </r>
  <r>
    <x v="30"/>
    <d v="2022-05-11T00:00:00"/>
    <n v="1"/>
    <n v="35"/>
    <n v="54"/>
  </r>
  <r>
    <x v="30"/>
    <d v="2022-05-11T00:00:00"/>
    <n v="1"/>
    <n v="35"/>
    <n v="54"/>
  </r>
  <r>
    <x v="127"/>
    <d v="2022-05-11T00:00:00"/>
    <n v="1"/>
    <n v="61.44"/>
    <n v="88"/>
  </r>
  <r>
    <x v="15"/>
    <d v="2022-05-11T00:00:00"/>
    <n v="1"/>
    <n v="20.3"/>
    <n v="26"/>
  </r>
  <r>
    <x v="18"/>
    <d v="2022-05-11T00:00:00"/>
    <n v="1"/>
    <n v="126.41"/>
    <n v="142"/>
  </r>
  <r>
    <x v="136"/>
    <d v="2022-05-11T00:00:00"/>
    <n v="2"/>
    <n v="10.91"/>
    <n v="19"/>
  </r>
  <r>
    <x v="97"/>
    <d v="2022-05-11T00:00:00"/>
    <n v="1"/>
    <n v="27.2"/>
    <n v="33"/>
  </r>
  <r>
    <x v="61"/>
    <d v="2022-05-11T00:00:00"/>
    <n v="1"/>
    <n v="31.08"/>
    <n v="36"/>
  </r>
  <r>
    <x v="61"/>
    <d v="2022-05-11T00:00:00"/>
    <n v="1"/>
    <n v="31.08"/>
    <n v="36"/>
  </r>
  <r>
    <x v="141"/>
    <d v="2022-05-11T00:00:00"/>
    <n v="1"/>
    <n v="406.36"/>
    <n v="456"/>
  </r>
  <r>
    <x v="154"/>
    <d v="2022-05-11T00:00:00"/>
    <n v="1"/>
    <n v="50.45"/>
    <n v="63"/>
  </r>
  <r>
    <x v="96"/>
    <d v="2022-05-11T00:00:00"/>
    <n v="1"/>
    <n v="32.46"/>
    <n v="51"/>
  </r>
  <r>
    <x v="21"/>
    <d v="2022-05-11T00:00:00"/>
    <n v="0.1"/>
    <n v="1212.6300000000001"/>
    <n v="1589"/>
  </r>
  <r>
    <x v="143"/>
    <d v="2022-05-11T00:00:00"/>
    <n v="1"/>
    <n v="36.840000000000003"/>
    <n v="56"/>
  </r>
  <r>
    <x v="60"/>
    <d v="2022-05-11T00:00:00"/>
    <n v="1"/>
    <n v="186.78"/>
    <n v="219"/>
  </r>
  <r>
    <x v="110"/>
    <d v="2022-05-11T00:00:00"/>
    <n v="1"/>
    <n v="71.02"/>
    <n v="88"/>
  </r>
  <r>
    <x v="86"/>
    <d v="2022-05-11T00:00:00"/>
    <n v="1"/>
    <n v="34.299999999999997"/>
    <n v="56"/>
  </r>
  <r>
    <x v="117"/>
    <d v="2022-05-11T00:00:00"/>
    <n v="1"/>
    <n v="20.48"/>
    <n v="25"/>
  </r>
  <r>
    <x v="36"/>
    <d v="2022-05-11T00:00:00"/>
    <n v="1"/>
    <n v="10.73"/>
    <n v="18"/>
  </r>
  <r>
    <x v="20"/>
    <d v="2022-05-11T00:00:00"/>
    <n v="1"/>
    <n v="151.22"/>
    <n v="177"/>
  </r>
  <r>
    <x v="110"/>
    <d v="2022-05-11T00:00:00"/>
    <n v="1"/>
    <n v="71.150000000000006"/>
    <n v="88"/>
  </r>
  <r>
    <x v="52"/>
    <d v="2022-05-11T00:00:00"/>
    <n v="1"/>
    <n v="233.76"/>
    <n v="274"/>
  </r>
  <r>
    <x v="50"/>
    <d v="2022-05-11T00:00:00"/>
    <n v="1"/>
    <n v="89.4"/>
    <n v="106"/>
  </r>
  <r>
    <x v="53"/>
    <d v="2022-05-11T00:00:00"/>
    <n v="1"/>
    <n v="84.36"/>
    <n v="102"/>
  </r>
  <r>
    <x v="53"/>
    <d v="2022-05-11T00:00:00"/>
    <n v="1"/>
    <n v="84.36"/>
    <n v="102"/>
  </r>
  <r>
    <x v="13"/>
    <d v="2022-05-11T00:00:00"/>
    <n v="1"/>
    <n v="44"/>
    <n v="70"/>
  </r>
  <r>
    <x v="12"/>
    <d v="2022-05-11T00:00:00"/>
    <n v="1"/>
    <n v="385.8"/>
    <n v="463"/>
  </r>
  <r>
    <x v="129"/>
    <d v="2022-05-11T00:00:00"/>
    <n v="1"/>
    <n v="27.39"/>
    <n v="42"/>
  </r>
  <r>
    <x v="129"/>
    <d v="2022-05-11T00:00:00"/>
    <n v="1"/>
    <n v="27.39"/>
    <n v="42"/>
  </r>
  <r>
    <x v="0"/>
    <d v="2022-05-11T00:00:00"/>
    <n v="1"/>
    <n v="134.41"/>
    <n v="162"/>
  </r>
  <r>
    <x v="52"/>
    <d v="2022-05-11T00:00:00"/>
    <n v="1"/>
    <n v="233.74"/>
    <n v="274"/>
  </r>
  <r>
    <x v="52"/>
    <d v="2022-05-11T00:00:00"/>
    <n v="1"/>
    <n v="233.74"/>
    <n v="274"/>
  </r>
  <r>
    <x v="114"/>
    <d v="2022-05-11T00:00:00"/>
    <n v="3.5714299999999997E-2"/>
    <n v="642"/>
    <n v="708"/>
  </r>
  <r>
    <x v="114"/>
    <d v="2022-05-11T00:00:00"/>
    <n v="3.5714299999999997E-2"/>
    <n v="632.12"/>
    <n v="698"/>
  </r>
  <r>
    <x v="58"/>
    <d v="2022-05-11T00:00:00"/>
    <n v="1"/>
    <n v="71.53"/>
    <n v="83"/>
  </r>
  <r>
    <x v="58"/>
    <d v="2022-05-11T00:00:00"/>
    <n v="1"/>
    <n v="71.53"/>
    <n v="83"/>
  </r>
  <r>
    <x v="90"/>
    <d v="2022-05-11T00:00:00"/>
    <n v="1"/>
    <n v="129.25"/>
    <n v="203"/>
  </r>
  <r>
    <x v="86"/>
    <d v="2022-05-11T00:00:00"/>
    <n v="1"/>
    <n v="40.44"/>
    <n v="66"/>
  </r>
  <r>
    <x v="73"/>
    <d v="2022-05-11T00:00:00"/>
    <n v="1"/>
    <n v="70.099999999999994"/>
    <n v="89"/>
  </r>
  <r>
    <x v="20"/>
    <d v="2022-05-11T00:00:00"/>
    <n v="1"/>
    <n v="148.52000000000001"/>
    <n v="178"/>
  </r>
  <r>
    <x v="42"/>
    <d v="2022-05-11T00:00:00"/>
    <n v="1"/>
    <n v="46.14"/>
    <n v="71"/>
  </r>
  <r>
    <x v="16"/>
    <d v="2022-05-11T00:00:00"/>
    <n v="1"/>
    <n v="182.17"/>
    <n v="257"/>
  </r>
  <r>
    <x v="147"/>
    <d v="2022-05-11T00:00:00"/>
    <n v="1"/>
    <n v="105.12"/>
    <n v="132"/>
  </r>
  <r>
    <x v="51"/>
    <d v="2022-05-11T00:00:00"/>
    <n v="1"/>
    <n v="43.97"/>
    <n v="67"/>
  </r>
  <r>
    <x v="51"/>
    <d v="2022-05-11T00:00:00"/>
    <n v="1"/>
    <n v="43.97"/>
    <n v="67"/>
  </r>
  <r>
    <x v="51"/>
    <d v="2022-05-11T00:00:00"/>
    <n v="1"/>
    <n v="43.97"/>
    <n v="67"/>
  </r>
  <r>
    <x v="30"/>
    <d v="2022-05-11T00:00:00"/>
    <n v="1"/>
    <n v="30.35"/>
    <n v="48"/>
  </r>
  <r>
    <x v="45"/>
    <d v="2022-05-11T00:00:00"/>
    <n v="1"/>
    <n v="44.71"/>
    <n v="55"/>
  </r>
  <r>
    <x v="98"/>
    <d v="2022-05-11T00:00:00"/>
    <n v="1"/>
    <n v="52.65"/>
    <n v="83"/>
  </r>
  <r>
    <x v="98"/>
    <d v="2022-05-11T00:00:00"/>
    <n v="1"/>
    <n v="52.65"/>
    <n v="83"/>
  </r>
  <r>
    <x v="98"/>
    <d v="2022-05-11T00:00:00"/>
    <n v="1"/>
    <n v="52.65"/>
    <n v="83"/>
  </r>
  <r>
    <x v="60"/>
    <d v="2022-05-11T00:00:00"/>
    <n v="1"/>
    <n v="181.12"/>
    <n v="227"/>
  </r>
  <r>
    <x v="84"/>
    <d v="2022-05-11T00:00:00"/>
    <n v="1"/>
    <n v="74.13"/>
    <n v="111"/>
  </r>
  <r>
    <x v="115"/>
    <d v="2022-05-11T00:00:00"/>
    <n v="1"/>
    <n v="132.15"/>
    <n v="179"/>
  </r>
  <r>
    <x v="115"/>
    <d v="2022-05-11T00:00:00"/>
    <n v="1"/>
    <n v="132.22"/>
    <n v="179"/>
  </r>
  <r>
    <x v="115"/>
    <d v="2022-05-11T00:00:00"/>
    <n v="1"/>
    <n v="132.22"/>
    <n v="179"/>
  </r>
  <r>
    <x v="96"/>
    <d v="2022-05-11T00:00:00"/>
    <n v="1"/>
    <n v="32.46"/>
    <n v="51"/>
  </r>
  <r>
    <x v="106"/>
    <d v="2022-05-11T00:00:00"/>
    <n v="1"/>
    <n v="175.42"/>
    <n v="208"/>
  </r>
  <r>
    <x v="90"/>
    <d v="2022-05-11T00:00:00"/>
    <n v="0.5"/>
    <n v="130.65"/>
    <n v="199"/>
  </r>
  <r>
    <x v="101"/>
    <d v="2022-05-11T00:00:00"/>
    <n v="1"/>
    <n v="46.2"/>
    <n v="56"/>
  </r>
  <r>
    <x v="94"/>
    <d v="2022-05-11T00:00:00"/>
    <n v="1"/>
    <n v="65.45"/>
    <n v="77"/>
  </r>
  <r>
    <x v="60"/>
    <d v="2022-05-11T00:00:00"/>
    <n v="1"/>
    <n v="176.42"/>
    <n v="207"/>
  </r>
  <r>
    <x v="46"/>
    <d v="2022-05-11T00:00:00"/>
    <n v="8"/>
    <n v="1.98"/>
    <n v="3.2"/>
  </r>
  <r>
    <x v="105"/>
    <d v="2022-05-11T00:00:00"/>
    <n v="1"/>
    <n v="208.45"/>
    <n v="276"/>
  </r>
  <r>
    <x v="27"/>
    <d v="2022-05-11T00:00:00"/>
    <n v="1"/>
    <n v="125.73"/>
    <n v="198"/>
  </r>
  <r>
    <x v="29"/>
    <d v="2022-05-11T00:00:00"/>
    <n v="1"/>
    <n v="202.73"/>
    <n v="234"/>
  </r>
  <r>
    <x v="29"/>
    <d v="2022-05-11T00:00:00"/>
    <n v="1"/>
    <n v="202.73"/>
    <n v="234"/>
  </r>
  <r>
    <x v="38"/>
    <d v="2022-05-11T00:00:00"/>
    <n v="1"/>
    <n v="135.9"/>
    <n v="163"/>
  </r>
  <r>
    <x v="52"/>
    <d v="2022-05-11T00:00:00"/>
    <n v="1"/>
    <n v="233.76"/>
    <n v="274"/>
  </r>
  <r>
    <x v="147"/>
    <d v="2022-05-11T00:00:00"/>
    <n v="0.22480600000000001"/>
    <n v="116.19"/>
    <n v="146"/>
  </r>
  <r>
    <x v="147"/>
    <d v="2022-05-11T00:00:00"/>
    <n v="0.77519400000000005"/>
    <n v="116.19"/>
    <n v="146"/>
  </r>
  <r>
    <x v="138"/>
    <d v="2022-05-11T00:00:00"/>
    <n v="1"/>
    <n v="42.21"/>
    <n v="66"/>
  </r>
  <r>
    <x v="47"/>
    <d v="2022-05-11T00:00:00"/>
    <n v="1"/>
    <n v="202.33"/>
    <n v="243"/>
  </r>
  <r>
    <x v="12"/>
    <d v="2022-05-11T00:00:00"/>
    <n v="1"/>
    <n v="385.03"/>
    <n v="463"/>
  </r>
  <r>
    <x v="3"/>
    <d v="2022-05-11T00:00:00"/>
    <n v="2"/>
    <n v="47.03"/>
    <n v="76"/>
  </r>
  <r>
    <x v="30"/>
    <d v="2022-05-11T00:00:00"/>
    <n v="1"/>
    <n v="35"/>
    <n v="54"/>
  </r>
  <r>
    <x v="88"/>
    <d v="2022-05-11T00:00:00"/>
    <n v="1"/>
    <n v="70.97"/>
    <n v="101"/>
  </r>
  <r>
    <x v="46"/>
    <d v="2022-05-11T00:00:00"/>
    <n v="4"/>
    <n v="2.04"/>
    <n v="4"/>
  </r>
  <r>
    <x v="45"/>
    <d v="2022-05-11T00:00:00"/>
    <n v="1"/>
    <n v="45.28"/>
    <n v="56"/>
  </r>
  <r>
    <x v="19"/>
    <d v="2022-05-10T00:00:00"/>
    <n v="1"/>
    <n v="101.42"/>
    <n v="120"/>
  </r>
  <r>
    <x v="19"/>
    <d v="2022-05-10T00:00:00"/>
    <n v="1"/>
    <n v="101.42"/>
    <n v="120"/>
  </r>
  <r>
    <x v="21"/>
    <d v="2022-05-10T00:00:00"/>
    <n v="0.2"/>
    <n v="989.8"/>
    <n v="1357"/>
  </r>
  <r>
    <x v="7"/>
    <d v="2022-05-10T00:00:00"/>
    <n v="1"/>
    <n v="61.03"/>
    <n v="75"/>
  </r>
  <r>
    <x v="81"/>
    <d v="2022-05-10T00:00:00"/>
    <n v="1"/>
    <n v="47.4"/>
    <n v="76"/>
  </r>
  <r>
    <x v="23"/>
    <d v="2022-05-10T00:00:00"/>
    <n v="1"/>
    <n v="180.03"/>
    <n v="254"/>
  </r>
  <r>
    <x v="5"/>
    <d v="2022-05-10T00:00:00"/>
    <n v="1"/>
    <n v="10.34"/>
    <n v="13"/>
  </r>
  <r>
    <x v="105"/>
    <d v="2022-05-10T00:00:00"/>
    <n v="1"/>
    <n v="206.94"/>
    <n v="276"/>
  </r>
  <r>
    <x v="123"/>
    <d v="2022-05-10T00:00:00"/>
    <n v="1"/>
    <n v="271.01"/>
    <n v="358"/>
  </r>
  <r>
    <x v="55"/>
    <d v="2022-05-10T00:00:00"/>
    <n v="1"/>
    <n v="58.15"/>
    <n v="72"/>
  </r>
  <r>
    <x v="41"/>
    <d v="2022-05-10T00:00:00"/>
    <n v="1"/>
    <n v="20.49"/>
    <n v="24"/>
  </r>
  <r>
    <x v="78"/>
    <d v="2022-05-10T00:00:00"/>
    <n v="1"/>
    <n v="207.68"/>
    <n v="246"/>
  </r>
  <r>
    <x v="34"/>
    <d v="2022-05-10T00:00:00"/>
    <n v="3"/>
    <n v="17.190000000000001"/>
    <n v="28"/>
  </r>
  <r>
    <x v="14"/>
    <d v="2022-05-10T00:00:00"/>
    <n v="1"/>
    <n v="81.58"/>
    <n v="102"/>
  </r>
  <r>
    <x v="152"/>
    <d v="2022-05-10T00:00:00"/>
    <n v="2"/>
    <n v="12"/>
    <n v="21"/>
  </r>
  <r>
    <x v="155"/>
    <d v="2022-05-10T00:00:00"/>
    <n v="1"/>
    <n v="81.819999999999993"/>
    <n v="99"/>
  </r>
  <r>
    <x v="116"/>
    <d v="2022-05-10T00:00:00"/>
    <n v="2"/>
    <n v="7.96"/>
    <n v="13"/>
  </r>
  <r>
    <x v="111"/>
    <d v="2022-05-10T00:00:00"/>
    <n v="1"/>
    <n v="109.02"/>
    <n v="128"/>
  </r>
  <r>
    <x v="153"/>
    <d v="2022-05-10T00:00:00"/>
    <n v="1"/>
    <n v="34.6"/>
    <n v="43"/>
  </r>
  <r>
    <x v="19"/>
    <d v="2022-05-10T00:00:00"/>
    <n v="1"/>
    <n v="98.67"/>
    <n v="120"/>
  </r>
  <r>
    <x v="19"/>
    <d v="2022-05-10T00:00:00"/>
    <n v="1"/>
    <n v="99.48"/>
    <n v="116"/>
  </r>
  <r>
    <x v="40"/>
    <d v="2022-05-10T00:00:00"/>
    <n v="1"/>
    <n v="25.59"/>
    <n v="45"/>
  </r>
  <r>
    <x v="19"/>
    <d v="2022-05-10T00:00:00"/>
    <n v="1"/>
    <n v="101.42"/>
    <n v="120"/>
  </r>
  <r>
    <x v="43"/>
    <d v="2022-05-10T00:00:00"/>
    <n v="1"/>
    <n v="46.72"/>
    <n v="73"/>
  </r>
  <r>
    <x v="43"/>
    <d v="2022-05-10T00:00:00"/>
    <n v="1"/>
    <n v="38.67"/>
    <n v="60"/>
  </r>
  <r>
    <x v="43"/>
    <d v="2022-05-10T00:00:00"/>
    <n v="1"/>
    <n v="38.67"/>
    <n v="60"/>
  </r>
  <r>
    <x v="45"/>
    <d v="2022-05-10T00:00:00"/>
    <n v="1"/>
    <n v="51.6"/>
    <n v="61.99"/>
  </r>
  <r>
    <x v="101"/>
    <d v="2022-05-10T00:00:00"/>
    <n v="1"/>
    <n v="41.48"/>
    <n v="51"/>
  </r>
  <r>
    <x v="119"/>
    <d v="2022-05-10T00:00:00"/>
    <n v="1"/>
    <n v="36.06"/>
    <n v="59"/>
  </r>
  <r>
    <x v="40"/>
    <d v="2022-05-10T00:00:00"/>
    <n v="1"/>
    <n v="27.94"/>
    <n v="45"/>
  </r>
  <r>
    <x v="1"/>
    <d v="2022-05-10T00:00:00"/>
    <n v="0.1"/>
    <n v="415.15"/>
    <n v="519"/>
  </r>
  <r>
    <x v="155"/>
    <d v="2022-05-10T00:00:00"/>
    <n v="1"/>
    <n v="81.819999999999993"/>
    <n v="99"/>
  </r>
  <r>
    <x v="67"/>
    <d v="2022-05-10T00:00:00"/>
    <n v="1"/>
    <n v="561.91"/>
    <n v="742"/>
  </r>
  <r>
    <x v="53"/>
    <d v="2022-05-10T00:00:00"/>
    <n v="1"/>
    <n v="89.15"/>
    <n v="107"/>
  </r>
  <r>
    <x v="30"/>
    <d v="2022-05-10T00:00:00"/>
    <n v="1"/>
    <n v="30.35"/>
    <n v="48"/>
  </r>
  <r>
    <x v="39"/>
    <d v="2022-05-10T00:00:00"/>
    <n v="1"/>
    <n v="65.03"/>
    <n v="103"/>
  </r>
  <r>
    <x v="51"/>
    <d v="2022-05-10T00:00:00"/>
    <n v="1"/>
    <n v="43.7"/>
    <n v="67"/>
  </r>
  <r>
    <x v="127"/>
    <d v="2022-05-10T00:00:00"/>
    <n v="1"/>
    <n v="61.44"/>
    <n v="88"/>
  </r>
  <r>
    <x v="96"/>
    <d v="2022-05-10T00:00:00"/>
    <n v="1"/>
    <n v="33.89"/>
    <n v="53"/>
  </r>
  <r>
    <x v="36"/>
    <d v="2022-05-10T00:00:00"/>
    <n v="1"/>
    <n v="10.73"/>
    <n v="18"/>
  </r>
  <r>
    <x v="2"/>
    <d v="2022-05-10T00:00:00"/>
    <n v="1"/>
    <n v="91.19"/>
    <n v="112"/>
  </r>
  <r>
    <x v="83"/>
    <d v="2022-05-10T00:00:00"/>
    <n v="1"/>
    <n v="128.1"/>
    <n v="195"/>
  </r>
  <r>
    <x v="28"/>
    <d v="2022-05-10T00:00:00"/>
    <n v="1"/>
    <n v="21.14"/>
    <n v="25"/>
  </r>
  <r>
    <x v="28"/>
    <d v="2022-05-10T00:00:00"/>
    <n v="1"/>
    <n v="21.14"/>
    <n v="25"/>
  </r>
  <r>
    <x v="28"/>
    <d v="2022-05-10T00:00:00"/>
    <n v="1"/>
    <n v="21.14"/>
    <n v="25"/>
  </r>
  <r>
    <x v="67"/>
    <d v="2022-05-10T00:00:00"/>
    <n v="1"/>
    <n v="561.91"/>
    <n v="742"/>
  </r>
  <r>
    <x v="67"/>
    <d v="2022-05-10T00:00:00"/>
    <n v="1"/>
    <n v="561.91"/>
    <n v="742"/>
  </r>
  <r>
    <x v="101"/>
    <d v="2022-05-10T00:00:00"/>
    <n v="1"/>
    <n v="41.56"/>
    <n v="51"/>
  </r>
  <r>
    <x v="85"/>
    <d v="2022-05-10T00:00:00"/>
    <n v="1"/>
    <n v="401.83"/>
    <n v="483"/>
  </r>
  <r>
    <x v="88"/>
    <d v="2022-05-10T00:00:00"/>
    <n v="1"/>
    <n v="65.400000000000006"/>
    <n v="93"/>
  </r>
  <r>
    <x v="128"/>
    <d v="2022-05-10T00:00:00"/>
    <n v="2"/>
    <n v="5.56"/>
    <n v="9"/>
  </r>
  <r>
    <x v="70"/>
    <d v="2022-05-10T00:00:00"/>
    <n v="0.06"/>
    <n v="438.6"/>
    <n v="623"/>
  </r>
  <r>
    <x v="90"/>
    <d v="2022-05-10T00:00:00"/>
    <n v="1"/>
    <n v="129.25"/>
    <n v="203"/>
  </r>
  <r>
    <x v="60"/>
    <d v="2022-05-10T00:00:00"/>
    <n v="1"/>
    <n v="176.42"/>
    <n v="207"/>
  </r>
  <r>
    <x v="136"/>
    <d v="2022-05-10T00:00:00"/>
    <n v="1"/>
    <n v="28.61"/>
    <n v="47"/>
  </r>
  <r>
    <x v="19"/>
    <d v="2022-05-10T00:00:00"/>
    <n v="1"/>
    <n v="101.42"/>
    <n v="120"/>
  </r>
  <r>
    <x v="2"/>
    <d v="2022-05-10T00:00:00"/>
    <n v="1"/>
    <n v="90.39"/>
    <n v="112"/>
  </r>
  <r>
    <x v="91"/>
    <d v="2022-05-10T00:00:00"/>
    <n v="1"/>
    <n v="70.430000000000007"/>
    <n v="101"/>
  </r>
  <r>
    <x v="101"/>
    <d v="2022-05-10T00:00:00"/>
    <n v="1"/>
    <n v="41.48"/>
    <n v="51"/>
  </r>
  <r>
    <x v="141"/>
    <d v="2022-05-10T00:00:00"/>
    <n v="1"/>
    <n v="402.2"/>
    <n v="451"/>
  </r>
  <r>
    <x v="14"/>
    <d v="2022-05-10T00:00:00"/>
    <n v="1"/>
    <n v="80.52"/>
    <n v="103"/>
  </r>
  <r>
    <x v="14"/>
    <d v="2022-05-10T00:00:00"/>
    <n v="1"/>
    <n v="80.52"/>
    <n v="103"/>
  </r>
  <r>
    <x v="30"/>
    <d v="2022-05-10T00:00:00"/>
    <n v="1"/>
    <n v="30.35"/>
    <n v="48"/>
  </r>
  <r>
    <x v="7"/>
    <d v="2022-05-10T00:00:00"/>
    <n v="1"/>
    <n v="60.29"/>
    <n v="75"/>
  </r>
  <r>
    <x v="75"/>
    <d v="2022-05-10T00:00:00"/>
    <n v="1"/>
    <n v="23.57"/>
    <n v="36"/>
  </r>
  <r>
    <x v="75"/>
    <d v="2022-05-10T00:00:00"/>
    <n v="1"/>
    <n v="23.57"/>
    <n v="36"/>
  </r>
  <r>
    <x v="95"/>
    <d v="2022-05-10T00:00:00"/>
    <n v="1"/>
    <n v="39.49"/>
    <n v="61"/>
  </r>
  <r>
    <x v="13"/>
    <d v="2022-05-10T00:00:00"/>
    <n v="1"/>
    <n v="42"/>
    <n v="64"/>
  </r>
  <r>
    <x v="27"/>
    <d v="2022-05-10T00:00:00"/>
    <n v="1"/>
    <n v="125.73"/>
    <n v="198"/>
  </r>
  <r>
    <x v="147"/>
    <d v="2022-05-10T00:00:00"/>
    <n v="1"/>
    <n v="105.12"/>
    <n v="132"/>
  </r>
  <r>
    <x v="36"/>
    <d v="2022-05-10T00:00:00"/>
    <n v="2"/>
    <n v="10.57"/>
    <n v="17"/>
  </r>
  <r>
    <x v="85"/>
    <d v="2022-05-10T00:00:00"/>
    <n v="1"/>
    <n v="384.2"/>
    <n v="462"/>
  </r>
  <r>
    <x v="43"/>
    <d v="2022-05-10T00:00:00"/>
    <n v="1"/>
    <n v="42.23"/>
    <n v="67"/>
  </r>
  <r>
    <x v="15"/>
    <d v="2022-05-10T00:00:00"/>
    <n v="1"/>
    <n v="20.23"/>
    <n v="27"/>
  </r>
  <r>
    <x v="15"/>
    <d v="2022-05-10T00:00:00"/>
    <n v="1"/>
    <n v="20.23"/>
    <n v="27"/>
  </r>
  <r>
    <x v="15"/>
    <d v="2022-05-10T00:00:00"/>
    <n v="1"/>
    <n v="20.23"/>
    <n v="27"/>
  </r>
  <r>
    <x v="13"/>
    <d v="2022-05-10T00:00:00"/>
    <n v="1"/>
    <n v="44"/>
    <n v="70"/>
  </r>
  <r>
    <x v="13"/>
    <d v="2022-05-10T00:00:00"/>
    <n v="1"/>
    <n v="44"/>
    <n v="70"/>
  </r>
  <r>
    <x v="41"/>
    <d v="2022-05-10T00:00:00"/>
    <n v="1"/>
    <n v="20.149999999999999"/>
    <n v="24"/>
  </r>
  <r>
    <x v="19"/>
    <d v="2022-05-10T00:00:00"/>
    <n v="1"/>
    <n v="98.67"/>
    <n v="115"/>
  </r>
  <r>
    <x v="105"/>
    <d v="2022-05-10T00:00:00"/>
    <n v="1"/>
    <n v="204.29"/>
    <n v="270"/>
  </r>
  <r>
    <x v="51"/>
    <d v="2022-05-10T00:00:00"/>
    <n v="1"/>
    <n v="43.97"/>
    <n v="67"/>
  </r>
  <r>
    <x v="61"/>
    <d v="2022-05-10T00:00:00"/>
    <n v="1"/>
    <n v="32.01"/>
    <n v="39"/>
  </r>
  <r>
    <x v="95"/>
    <d v="2022-05-10T00:00:00"/>
    <n v="1"/>
    <n v="36.03"/>
    <n v="57"/>
  </r>
  <r>
    <x v="127"/>
    <d v="2022-05-10T00:00:00"/>
    <n v="1"/>
    <n v="61.44"/>
    <n v="88"/>
  </r>
  <r>
    <x v="73"/>
    <d v="2022-05-10T00:00:00"/>
    <n v="1"/>
    <n v="86.92"/>
    <n v="105"/>
  </r>
  <r>
    <x v="69"/>
    <d v="2022-05-10T00:00:00"/>
    <n v="1"/>
    <n v="89.28"/>
    <n v="111"/>
  </r>
  <r>
    <x v="69"/>
    <d v="2022-05-10T00:00:00"/>
    <n v="1"/>
    <n v="89.28"/>
    <n v="111"/>
  </r>
  <r>
    <x v="155"/>
    <d v="2022-05-10T00:00:00"/>
    <n v="1"/>
    <n v="81.819999999999993"/>
    <n v="99"/>
  </r>
  <r>
    <x v="23"/>
    <d v="2022-05-10T00:00:00"/>
    <n v="1"/>
    <n v="180.03"/>
    <n v="254"/>
  </r>
  <r>
    <x v="13"/>
    <d v="2022-05-10T00:00:00"/>
    <n v="1"/>
    <n v="44"/>
    <n v="67"/>
  </r>
  <r>
    <x v="30"/>
    <d v="2022-05-10T00:00:00"/>
    <n v="1"/>
    <n v="35"/>
    <n v="54"/>
  </r>
  <r>
    <x v="138"/>
    <d v="2022-05-10T00:00:00"/>
    <n v="1"/>
    <n v="54.92"/>
    <n v="84"/>
  </r>
  <r>
    <x v="3"/>
    <d v="2022-05-10T00:00:00"/>
    <n v="1"/>
    <n v="47.53"/>
    <n v="77"/>
  </r>
  <r>
    <x v="54"/>
    <d v="2022-05-10T00:00:00"/>
    <n v="1"/>
    <n v="12.02"/>
    <n v="20"/>
  </r>
  <r>
    <x v="21"/>
    <d v="2022-05-10T00:00:00"/>
    <n v="1"/>
    <n v="987.81"/>
    <n v="1334"/>
  </r>
  <r>
    <x v="30"/>
    <d v="2022-05-10T00:00:00"/>
    <n v="1"/>
    <n v="30.35"/>
    <n v="48"/>
  </r>
  <r>
    <x v="119"/>
    <d v="2022-05-10T00:00:00"/>
    <n v="1"/>
    <n v="36.69"/>
    <n v="59"/>
  </r>
  <r>
    <x v="7"/>
    <d v="2022-05-10T00:00:00"/>
    <n v="1"/>
    <n v="56.84"/>
    <n v="70"/>
  </r>
  <r>
    <x v="61"/>
    <d v="2022-05-10T00:00:00"/>
    <n v="1"/>
    <n v="32.01"/>
    <n v="39"/>
  </r>
  <r>
    <x v="61"/>
    <d v="2022-05-10T00:00:00"/>
    <n v="1"/>
    <n v="32.01"/>
    <n v="39"/>
  </r>
  <r>
    <x v="61"/>
    <d v="2022-05-10T00:00:00"/>
    <n v="1"/>
    <n v="32.01"/>
    <n v="39"/>
  </r>
  <r>
    <x v="13"/>
    <d v="2022-05-10T00:00:00"/>
    <n v="1"/>
    <n v="44"/>
    <n v="70"/>
  </r>
  <r>
    <x v="0"/>
    <d v="2022-05-10T00:00:00"/>
    <n v="1"/>
    <n v="134.41"/>
    <n v="162"/>
  </r>
  <r>
    <x v="0"/>
    <d v="2022-05-10T00:00:00"/>
    <n v="1"/>
    <n v="134.41"/>
    <n v="162"/>
  </r>
  <r>
    <x v="0"/>
    <d v="2022-05-10T00:00:00"/>
    <n v="1"/>
    <n v="134.41"/>
    <n v="162"/>
  </r>
  <r>
    <x v="0"/>
    <d v="2022-05-10T00:00:00"/>
    <n v="1"/>
    <n v="134.41"/>
    <n v="162"/>
  </r>
  <r>
    <x v="35"/>
    <d v="2022-05-10T00:00:00"/>
    <n v="1"/>
    <n v="182.57"/>
    <n v="217"/>
  </r>
  <r>
    <x v="80"/>
    <d v="2022-05-10T00:00:00"/>
    <n v="1"/>
    <n v="10.75"/>
    <n v="18"/>
  </r>
  <r>
    <x v="42"/>
    <d v="2022-05-10T00:00:00"/>
    <n v="1"/>
    <n v="43.49"/>
    <n v="69"/>
  </r>
  <r>
    <x v="152"/>
    <d v="2022-05-10T00:00:00"/>
    <n v="1"/>
    <n v="12"/>
    <n v="20"/>
  </r>
  <r>
    <x v="30"/>
    <d v="2022-05-10T00:00:00"/>
    <n v="1"/>
    <n v="35"/>
    <n v="54"/>
  </r>
  <r>
    <x v="30"/>
    <d v="2022-05-10T00:00:00"/>
    <n v="1"/>
    <n v="35"/>
    <n v="54"/>
  </r>
  <r>
    <x v="30"/>
    <d v="2022-05-10T00:00:00"/>
    <n v="1"/>
    <n v="35"/>
    <n v="54"/>
  </r>
  <r>
    <x v="97"/>
    <d v="2022-05-10T00:00:00"/>
    <n v="1"/>
    <n v="30.22"/>
    <n v="36"/>
  </r>
  <r>
    <x v="155"/>
    <d v="2022-05-10T00:00:00"/>
    <n v="1"/>
    <n v="81.819999999999993"/>
    <n v="99"/>
  </r>
  <r>
    <x v="155"/>
    <d v="2022-05-10T00:00:00"/>
    <n v="1"/>
    <n v="81.819999999999993"/>
    <n v="99"/>
  </r>
  <r>
    <x v="155"/>
    <d v="2022-05-10T00:00:00"/>
    <n v="1"/>
    <n v="81.819999999999993"/>
    <n v="99"/>
  </r>
  <r>
    <x v="155"/>
    <d v="2022-05-10T00:00:00"/>
    <n v="1"/>
    <n v="81.819999999999993"/>
    <n v="99"/>
  </r>
  <r>
    <x v="155"/>
    <d v="2022-05-10T00:00:00"/>
    <n v="1"/>
    <n v="81.819999999999993"/>
    <n v="99"/>
  </r>
  <r>
    <x v="43"/>
    <d v="2022-05-10T00:00:00"/>
    <n v="1"/>
    <n v="41.24"/>
    <n v="65"/>
  </r>
  <r>
    <x v="116"/>
    <d v="2022-05-10T00:00:00"/>
    <n v="1"/>
    <n v="7.96"/>
    <n v="13"/>
  </r>
  <r>
    <x v="136"/>
    <d v="2022-05-10T00:00:00"/>
    <n v="2"/>
    <n v="16.38"/>
    <n v="27"/>
  </r>
  <r>
    <x v="57"/>
    <d v="2022-05-10T00:00:00"/>
    <n v="1"/>
    <n v="25.71"/>
    <n v="31"/>
  </r>
  <r>
    <x v="57"/>
    <d v="2022-05-10T00:00:00"/>
    <n v="1"/>
    <n v="25.71"/>
    <n v="31"/>
  </r>
  <r>
    <x v="40"/>
    <d v="2022-05-10T00:00:00"/>
    <n v="1"/>
    <n v="27.94"/>
    <n v="45"/>
  </r>
  <r>
    <x v="7"/>
    <d v="2022-05-10T00:00:00"/>
    <n v="1"/>
    <n v="60.29"/>
    <n v="75"/>
  </r>
  <r>
    <x v="13"/>
    <d v="2022-05-10T00:00:00"/>
    <n v="1"/>
    <n v="46"/>
    <n v="72"/>
  </r>
  <r>
    <x v="89"/>
    <d v="2022-05-10T00:00:00"/>
    <n v="1"/>
    <n v="27.31"/>
    <n v="38"/>
  </r>
  <r>
    <x v="89"/>
    <d v="2022-05-10T00:00:00"/>
    <n v="1"/>
    <n v="27.31"/>
    <n v="38"/>
  </r>
  <r>
    <x v="9"/>
    <d v="2022-05-10T00:00:00"/>
    <n v="0.1"/>
    <n v="596.29"/>
    <n v="746"/>
  </r>
  <r>
    <x v="126"/>
    <d v="2022-05-10T00:00:00"/>
    <n v="1"/>
    <n v="361.91"/>
    <n v="435"/>
  </r>
  <r>
    <x v="129"/>
    <d v="2022-05-10T00:00:00"/>
    <n v="1"/>
    <n v="28.66"/>
    <n v="44"/>
  </r>
  <r>
    <x v="53"/>
    <d v="2022-05-10T00:00:00"/>
    <n v="1"/>
    <n v="82.25"/>
    <n v="99"/>
  </r>
  <r>
    <x v="53"/>
    <d v="2022-05-10T00:00:00"/>
    <n v="1"/>
    <n v="89.15"/>
    <n v="107"/>
  </r>
  <r>
    <x v="122"/>
    <d v="2022-05-10T00:00:00"/>
    <n v="1"/>
    <n v="128.07"/>
    <n v="179"/>
  </r>
  <r>
    <x v="54"/>
    <d v="2022-05-10T00:00:00"/>
    <n v="5"/>
    <n v="12.02"/>
    <n v="20"/>
  </r>
  <r>
    <x v="23"/>
    <d v="2022-05-10T00:00:00"/>
    <n v="1"/>
    <n v="147.80000000000001"/>
    <n v="209"/>
  </r>
  <r>
    <x v="15"/>
    <d v="2022-05-10T00:00:00"/>
    <n v="1"/>
    <n v="19.66"/>
    <n v="25"/>
  </r>
  <r>
    <x v="115"/>
    <d v="2022-05-10T00:00:00"/>
    <n v="1"/>
    <n v="132.26"/>
    <n v="182"/>
  </r>
  <r>
    <x v="126"/>
    <d v="2022-05-10T00:00:00"/>
    <n v="1"/>
    <n v="361.9"/>
    <n v="424"/>
  </r>
  <r>
    <x v="47"/>
    <d v="2022-05-10T00:00:00"/>
    <n v="1"/>
    <n v="202.07"/>
    <n v="243"/>
  </r>
  <r>
    <x v="60"/>
    <d v="2022-05-10T00:00:00"/>
    <n v="1"/>
    <n v="184.45"/>
    <n v="216"/>
  </r>
  <r>
    <x v="99"/>
    <d v="2022-05-10T00:00:00"/>
    <n v="1"/>
    <n v="45.14"/>
    <n v="57"/>
  </r>
  <r>
    <x v="21"/>
    <d v="2022-05-10T00:00:00"/>
    <n v="0.1"/>
    <n v="1086.5899999999999"/>
    <n v="1359"/>
  </r>
  <r>
    <x v="143"/>
    <d v="2022-05-10T00:00:00"/>
    <n v="1"/>
    <n v="36.840000000000003"/>
    <n v="56"/>
  </r>
  <r>
    <x v="60"/>
    <d v="2022-05-10T00:00:00"/>
    <n v="1"/>
    <n v="186.78"/>
    <n v="219"/>
  </r>
  <r>
    <x v="98"/>
    <d v="2022-05-10T00:00:00"/>
    <n v="1"/>
    <n v="41.33"/>
    <n v="65"/>
  </r>
  <r>
    <x v="93"/>
    <d v="2022-05-10T00:00:00"/>
    <n v="1"/>
    <n v="111.85"/>
    <n v="135"/>
  </r>
  <r>
    <x v="65"/>
    <d v="2022-05-10T00:00:00"/>
    <n v="1"/>
    <n v="163.79"/>
    <n v="198"/>
  </r>
  <r>
    <x v="73"/>
    <d v="2022-05-10T00:00:00"/>
    <n v="1"/>
    <n v="72.11"/>
    <n v="91"/>
  </r>
  <r>
    <x v="43"/>
    <d v="2022-05-10T00:00:00"/>
    <n v="1"/>
    <n v="38.67"/>
    <n v="60"/>
  </r>
  <r>
    <x v="148"/>
    <d v="2022-05-10T00:00:00"/>
    <n v="1"/>
    <n v="10.34"/>
    <n v="12"/>
  </r>
  <r>
    <x v="90"/>
    <d v="2022-05-10T00:00:00"/>
    <n v="1"/>
    <n v="129.38"/>
    <n v="197"/>
  </r>
  <r>
    <x v="75"/>
    <d v="2022-05-10T00:00:00"/>
    <n v="1"/>
    <n v="28.19"/>
    <n v="45"/>
  </r>
  <r>
    <x v="75"/>
    <d v="2022-05-10T00:00:00"/>
    <n v="1"/>
    <n v="28.19"/>
    <n v="45"/>
  </r>
  <r>
    <x v="20"/>
    <d v="2022-05-10T00:00:00"/>
    <n v="1"/>
    <n v="147.47"/>
    <n v="177"/>
  </r>
  <r>
    <x v="128"/>
    <d v="2022-05-10T00:00:00"/>
    <n v="5"/>
    <n v="6.13"/>
    <n v="10"/>
  </r>
  <r>
    <x v="144"/>
    <d v="2022-05-10T00:00:00"/>
    <n v="1"/>
    <n v="221.03"/>
    <n v="310"/>
  </r>
  <r>
    <x v="18"/>
    <d v="2022-05-10T00:00:00"/>
    <n v="1"/>
    <n v="110.36"/>
    <n v="124"/>
  </r>
  <r>
    <x v="129"/>
    <d v="2022-05-10T00:00:00"/>
    <n v="1"/>
    <n v="27.39"/>
    <n v="42"/>
  </r>
  <r>
    <x v="43"/>
    <d v="2022-05-10T00:00:00"/>
    <n v="1"/>
    <n v="31.52"/>
    <n v="48"/>
  </r>
  <r>
    <x v="58"/>
    <d v="2022-05-10T00:00:00"/>
    <n v="1"/>
    <n v="73.3"/>
    <n v="88"/>
  </r>
  <r>
    <x v="15"/>
    <d v="2022-05-10T00:00:00"/>
    <n v="1"/>
    <n v="20"/>
    <n v="25"/>
  </r>
  <r>
    <x v="15"/>
    <d v="2022-05-10T00:00:00"/>
    <n v="1"/>
    <n v="20"/>
    <n v="25"/>
  </r>
  <r>
    <x v="15"/>
    <d v="2022-05-10T00:00:00"/>
    <n v="1"/>
    <n v="20"/>
    <n v="25"/>
  </r>
  <r>
    <x v="15"/>
    <d v="2022-05-10T00:00:00"/>
    <n v="1"/>
    <n v="20"/>
    <n v="25"/>
  </r>
  <r>
    <x v="15"/>
    <d v="2022-05-10T00:00:00"/>
    <n v="1"/>
    <n v="20"/>
    <n v="25"/>
  </r>
  <r>
    <x v="15"/>
    <d v="2022-05-10T00:00:00"/>
    <n v="1"/>
    <n v="20"/>
    <n v="25"/>
  </r>
  <r>
    <x v="15"/>
    <d v="2022-05-10T00:00:00"/>
    <n v="1"/>
    <n v="20"/>
    <n v="25"/>
  </r>
  <r>
    <x v="15"/>
    <d v="2022-05-10T00:00:00"/>
    <n v="1"/>
    <n v="20"/>
    <n v="25"/>
  </r>
  <r>
    <x v="15"/>
    <d v="2022-05-10T00:00:00"/>
    <n v="1"/>
    <n v="20"/>
    <n v="25"/>
  </r>
  <r>
    <x v="15"/>
    <d v="2022-05-10T00:00:00"/>
    <n v="1"/>
    <n v="20"/>
    <n v="25"/>
  </r>
  <r>
    <x v="130"/>
    <d v="2022-05-10T00:00:00"/>
    <n v="1"/>
    <n v="72.599999999999994"/>
    <n v="90"/>
  </r>
  <r>
    <x v="18"/>
    <d v="2022-05-10T00:00:00"/>
    <n v="1"/>
    <n v="110.23"/>
    <n v="124"/>
  </r>
  <r>
    <x v="5"/>
    <d v="2022-05-10T00:00:00"/>
    <n v="1"/>
    <n v="10.34"/>
    <n v="13"/>
  </r>
  <r>
    <x v="69"/>
    <d v="2022-05-10T00:00:00"/>
    <n v="1"/>
    <n v="87.36"/>
    <n v="109"/>
  </r>
  <r>
    <x v="126"/>
    <d v="2022-05-10T00:00:00"/>
    <n v="1"/>
    <n v="363"/>
    <n v="436"/>
  </r>
  <r>
    <x v="45"/>
    <d v="2022-05-10T00:00:00"/>
    <n v="1"/>
    <n v="45.28"/>
    <n v="56"/>
  </r>
  <r>
    <x v="125"/>
    <d v="2022-05-10T00:00:00"/>
    <n v="1"/>
    <n v="27.6"/>
    <n v="33"/>
  </r>
  <r>
    <x v="125"/>
    <d v="2022-05-10T00:00:00"/>
    <n v="1"/>
    <n v="27.6"/>
    <n v="33"/>
  </r>
  <r>
    <x v="125"/>
    <d v="2022-05-10T00:00:00"/>
    <n v="1"/>
    <n v="27.6"/>
    <n v="33"/>
  </r>
  <r>
    <x v="125"/>
    <d v="2022-05-10T00:00:00"/>
    <n v="1"/>
    <n v="27.6"/>
    <n v="33"/>
  </r>
  <r>
    <x v="60"/>
    <d v="2022-05-10T00:00:00"/>
    <n v="1"/>
    <n v="192.99"/>
    <n v="246"/>
  </r>
  <r>
    <x v="118"/>
    <d v="2022-05-10T00:00:00"/>
    <n v="1"/>
    <n v="64.709999999999994"/>
    <n v="80"/>
  </r>
  <r>
    <x v="66"/>
    <d v="2022-05-10T00:00:00"/>
    <n v="1"/>
    <n v="57.59"/>
    <n v="82"/>
  </r>
  <r>
    <x v="148"/>
    <d v="2022-05-10T00:00:00"/>
    <n v="1"/>
    <n v="9.4600000000000009"/>
    <n v="11"/>
  </r>
  <r>
    <x v="125"/>
    <d v="2022-05-10T00:00:00"/>
    <n v="1"/>
    <n v="23.6"/>
    <n v="29"/>
  </r>
  <r>
    <x v="125"/>
    <d v="2022-05-10T00:00:00"/>
    <n v="1"/>
    <n v="23.6"/>
    <n v="29"/>
  </r>
  <r>
    <x v="91"/>
    <d v="2022-05-10T00:00:00"/>
    <n v="1"/>
    <n v="72.73"/>
    <n v="109"/>
  </r>
  <r>
    <x v="42"/>
    <d v="2022-05-10T00:00:00"/>
    <n v="1"/>
    <n v="43.49"/>
    <n v="69"/>
  </r>
  <r>
    <x v="46"/>
    <d v="2022-05-10T00:00:00"/>
    <n v="20"/>
    <n v="1.98"/>
    <n v="3.2"/>
  </r>
  <r>
    <x v="49"/>
    <d v="2022-05-10T00:00:00"/>
    <n v="1"/>
    <n v="678.27"/>
    <n v="875"/>
  </r>
  <r>
    <x v="140"/>
    <d v="2022-05-10T00:00:00"/>
    <n v="1"/>
    <n v="25.3"/>
    <n v="31"/>
  </r>
  <r>
    <x v="140"/>
    <d v="2022-05-10T00:00:00"/>
    <n v="1"/>
    <n v="25.3"/>
    <n v="31"/>
  </r>
  <r>
    <x v="59"/>
    <d v="2022-05-10T00:00:00"/>
    <n v="1"/>
    <n v="198.66"/>
    <n v="273"/>
  </r>
  <r>
    <x v="115"/>
    <d v="2022-05-10T00:00:00"/>
    <n v="1"/>
    <n v="132.56"/>
    <n v="185"/>
  </r>
  <r>
    <x v="138"/>
    <d v="2022-05-10T00:00:00"/>
    <n v="1"/>
    <n v="45.99"/>
    <n v="70"/>
  </r>
  <r>
    <x v="61"/>
    <d v="2022-05-10T00:00:00"/>
    <n v="1"/>
    <n v="32.01"/>
    <n v="39"/>
  </r>
  <r>
    <x v="61"/>
    <d v="2022-05-10T00:00:00"/>
    <n v="1"/>
    <n v="32.01"/>
    <n v="39"/>
  </r>
  <r>
    <x v="61"/>
    <d v="2022-05-10T00:00:00"/>
    <n v="1"/>
    <n v="32.01"/>
    <n v="39"/>
  </r>
  <r>
    <x v="61"/>
    <d v="2022-05-10T00:00:00"/>
    <n v="1"/>
    <n v="32.01"/>
    <n v="39"/>
  </r>
  <r>
    <x v="61"/>
    <d v="2022-05-10T00:00:00"/>
    <n v="1"/>
    <n v="32.01"/>
    <n v="39"/>
  </r>
  <r>
    <x v="0"/>
    <d v="2022-05-10T00:00:00"/>
    <n v="1"/>
    <n v="134.41"/>
    <n v="162"/>
  </r>
  <r>
    <x v="57"/>
    <d v="2022-05-10T00:00:00"/>
    <n v="1"/>
    <n v="25.71"/>
    <n v="31"/>
  </r>
  <r>
    <x v="47"/>
    <d v="2022-05-10T00:00:00"/>
    <n v="1"/>
    <n v="202.33"/>
    <n v="243"/>
  </r>
  <r>
    <x v="155"/>
    <d v="2022-05-10T00:00:00"/>
    <n v="1"/>
    <n v="81.819999999999993"/>
    <n v="99"/>
  </r>
  <r>
    <x v="155"/>
    <d v="2022-05-10T00:00:00"/>
    <n v="1"/>
    <n v="81.819999999999993"/>
    <n v="99"/>
  </r>
  <r>
    <x v="131"/>
    <d v="2022-05-10T00:00:00"/>
    <n v="1"/>
    <n v="292.33999999999997"/>
    <n v="410"/>
  </r>
  <r>
    <x v="51"/>
    <d v="2022-05-10T00:00:00"/>
    <n v="1"/>
    <n v="43.97"/>
    <n v="67"/>
  </r>
  <r>
    <x v="126"/>
    <d v="2022-05-10T00:00:00"/>
    <n v="1"/>
    <n v="365.29"/>
    <n v="421"/>
  </r>
  <r>
    <x v="0"/>
    <d v="2022-05-10T00:00:00"/>
    <n v="1"/>
    <n v="145.6"/>
    <n v="172"/>
  </r>
  <r>
    <x v="124"/>
    <d v="2022-05-10T00:00:00"/>
    <n v="0.04"/>
    <n v="513.71"/>
    <n v="566"/>
  </r>
  <r>
    <x v="60"/>
    <d v="2022-05-10T00:00:00"/>
    <n v="1"/>
    <n v="176.42"/>
    <n v="207"/>
  </r>
  <r>
    <x v="18"/>
    <d v="2022-05-10T00:00:00"/>
    <n v="1"/>
    <n v="110.36"/>
    <n v="124"/>
  </r>
  <r>
    <x v="72"/>
    <d v="2022-05-10T00:00:00"/>
    <n v="1"/>
    <n v="60.3"/>
    <n v="75"/>
  </r>
  <r>
    <x v="55"/>
    <d v="2022-05-10T00:00:00"/>
    <n v="1"/>
    <n v="58.15"/>
    <n v="72"/>
  </r>
  <r>
    <x v="148"/>
    <d v="2022-05-10T00:00:00"/>
    <n v="1"/>
    <n v="10.34"/>
    <n v="12"/>
  </r>
  <r>
    <x v="113"/>
    <d v="2022-05-10T00:00:00"/>
    <n v="1"/>
    <n v="10.79"/>
    <n v="13"/>
  </r>
  <r>
    <x v="113"/>
    <d v="2022-05-10T00:00:00"/>
    <n v="1"/>
    <n v="10.79"/>
    <n v="13"/>
  </r>
  <r>
    <x v="80"/>
    <d v="2022-05-10T00:00:00"/>
    <n v="1"/>
    <n v="15.95"/>
    <n v="25"/>
  </r>
  <r>
    <x v="80"/>
    <d v="2022-05-10T00:00:00"/>
    <n v="1"/>
    <n v="15.95"/>
    <n v="25"/>
  </r>
  <r>
    <x v="80"/>
    <d v="2022-05-10T00:00:00"/>
    <n v="1"/>
    <n v="15.95"/>
    <n v="25"/>
  </r>
  <r>
    <x v="56"/>
    <d v="2022-05-10T00:00:00"/>
    <n v="1"/>
    <n v="32.799999999999997"/>
    <n v="50"/>
  </r>
  <r>
    <x v="133"/>
    <d v="2022-05-10T00:00:00"/>
    <n v="2"/>
    <n v="46.5"/>
    <n v="76"/>
  </r>
  <r>
    <x v="59"/>
    <d v="2022-05-10T00:00:00"/>
    <n v="1"/>
    <n v="198.66"/>
    <n v="273"/>
  </r>
  <r>
    <x v="0"/>
    <d v="2022-05-10T00:00:00"/>
    <n v="1"/>
    <n v="146.1"/>
    <n v="173"/>
  </r>
  <r>
    <x v="116"/>
    <d v="2022-05-10T00:00:00"/>
    <n v="1"/>
    <n v="7.24"/>
    <n v="12"/>
  </r>
  <r>
    <x v="23"/>
    <d v="2022-05-10T00:00:00"/>
    <n v="1"/>
    <n v="149.01"/>
    <n v="205"/>
  </r>
  <r>
    <x v="7"/>
    <d v="2022-05-10T00:00:00"/>
    <n v="1"/>
    <n v="61.03"/>
    <n v="75"/>
  </r>
  <r>
    <x v="20"/>
    <d v="2022-05-10T00:00:00"/>
    <n v="1"/>
    <n v="149.91999999999999"/>
    <n v="180"/>
  </r>
  <r>
    <x v="145"/>
    <d v="2022-05-10T00:00:00"/>
    <n v="1"/>
    <n v="77.400000000000006"/>
    <n v="120"/>
  </r>
  <r>
    <x v="19"/>
    <d v="2022-05-10T00:00:00"/>
    <n v="1"/>
    <n v="98.67"/>
    <n v="115"/>
  </r>
  <r>
    <x v="107"/>
    <d v="2022-05-10T00:00:00"/>
    <n v="1"/>
    <n v="291.3"/>
    <n v="331"/>
  </r>
  <r>
    <x v="133"/>
    <d v="2022-05-10T00:00:00"/>
    <n v="1"/>
    <n v="46.5"/>
    <n v="75"/>
  </r>
  <r>
    <x v="21"/>
    <d v="2022-05-10T00:00:00"/>
    <n v="1"/>
    <n v="989.8"/>
    <n v="1238"/>
  </r>
  <r>
    <x v="66"/>
    <d v="2022-05-10T00:00:00"/>
    <n v="1"/>
    <n v="57.59"/>
    <n v="82"/>
  </r>
  <r>
    <x v="66"/>
    <d v="2022-05-10T00:00:00"/>
    <n v="1"/>
    <n v="57.59"/>
    <n v="82"/>
  </r>
  <r>
    <x v="14"/>
    <d v="2022-05-10T00:00:00"/>
    <n v="1"/>
    <n v="81.760000000000005"/>
    <n v="102"/>
  </r>
  <r>
    <x v="55"/>
    <d v="2022-05-10T00:00:00"/>
    <n v="1"/>
    <n v="65.63"/>
    <n v="79"/>
  </r>
  <r>
    <x v="19"/>
    <d v="2022-05-10T00:00:00"/>
    <n v="1"/>
    <n v="98.67"/>
    <n v="115"/>
  </r>
  <r>
    <x v="60"/>
    <d v="2022-05-10T00:00:00"/>
    <n v="1"/>
    <n v="176.42"/>
    <n v="207"/>
  </r>
  <r>
    <x v="20"/>
    <d v="2022-05-10T00:00:00"/>
    <n v="1"/>
    <n v="147.18"/>
    <n v="177"/>
  </r>
  <r>
    <x v="10"/>
    <d v="2022-05-10T00:00:00"/>
    <n v="1"/>
    <n v="44.41"/>
    <n v="72"/>
  </r>
  <r>
    <x v="124"/>
    <d v="2022-05-10T00:00:00"/>
    <n v="0.12"/>
    <n v="539.69000000000005"/>
    <n v="597"/>
  </r>
  <r>
    <x v="141"/>
    <d v="2022-05-10T00:00:00"/>
    <n v="1"/>
    <n v="402.2"/>
    <n v="451"/>
  </r>
  <r>
    <x v="155"/>
    <d v="2022-05-10T00:00:00"/>
    <n v="1"/>
    <n v="81.87"/>
    <n v="100"/>
  </r>
  <r>
    <x v="155"/>
    <d v="2022-05-10T00:00:00"/>
    <n v="1"/>
    <n v="81.87"/>
    <n v="100"/>
  </r>
  <r>
    <x v="19"/>
    <d v="2022-05-10T00:00:00"/>
    <n v="1"/>
    <n v="98.67"/>
    <n v="115"/>
  </r>
  <r>
    <x v="19"/>
    <d v="2022-05-10T00:00:00"/>
    <n v="1"/>
    <n v="98.67"/>
    <n v="115"/>
  </r>
  <r>
    <x v="19"/>
    <d v="2022-05-10T00:00:00"/>
    <n v="1"/>
    <n v="98.67"/>
    <n v="115"/>
  </r>
  <r>
    <x v="19"/>
    <d v="2022-05-10T00:00:00"/>
    <n v="1"/>
    <n v="98.67"/>
    <n v="115"/>
  </r>
  <r>
    <x v="138"/>
    <d v="2022-05-10T00:00:00"/>
    <n v="1"/>
    <n v="45.99"/>
    <n v="70"/>
  </r>
  <r>
    <x v="135"/>
    <d v="2022-05-10T00:00:00"/>
    <n v="1"/>
    <n v="173.54"/>
    <n v="206"/>
  </r>
  <r>
    <x v="152"/>
    <d v="2022-05-10T00:00:00"/>
    <n v="4"/>
    <n v="12"/>
    <n v="20"/>
  </r>
  <r>
    <x v="60"/>
    <d v="2022-05-10T00:00:00"/>
    <n v="1"/>
    <n v="176.42"/>
    <n v="207"/>
  </r>
  <r>
    <x v="87"/>
    <d v="2022-05-10T00:00:00"/>
    <n v="3"/>
    <n v="6.18"/>
    <n v="9"/>
  </r>
  <r>
    <x v="90"/>
    <d v="2022-05-10T00:00:00"/>
    <n v="0.5"/>
    <n v="166.31"/>
    <n v="262"/>
  </r>
  <r>
    <x v="155"/>
    <d v="2022-05-10T00:00:00"/>
    <n v="1"/>
    <n v="81.87"/>
    <n v="100"/>
  </r>
  <r>
    <x v="30"/>
    <d v="2022-05-10T00:00:00"/>
    <n v="1"/>
    <n v="35"/>
    <n v="54"/>
  </r>
  <r>
    <x v="43"/>
    <d v="2022-05-10T00:00:00"/>
    <n v="1"/>
    <n v="41.54"/>
    <n v="64"/>
  </r>
  <r>
    <x v="43"/>
    <d v="2022-05-10T00:00:00"/>
    <n v="1"/>
    <n v="41.54"/>
    <n v="64"/>
  </r>
  <r>
    <x v="60"/>
    <d v="2022-05-10T00:00:00"/>
    <n v="1"/>
    <n v="176.42"/>
    <n v="207"/>
  </r>
  <r>
    <x v="42"/>
    <d v="2022-05-10T00:00:00"/>
    <n v="1"/>
    <n v="43.49"/>
    <n v="69"/>
  </r>
  <r>
    <x v="50"/>
    <d v="2022-05-10T00:00:00"/>
    <n v="1"/>
    <n v="77.63"/>
    <n v="95"/>
  </r>
  <r>
    <x v="37"/>
    <d v="2022-05-10T00:00:00"/>
    <n v="1"/>
    <n v="559.34"/>
    <n v="644"/>
  </r>
  <r>
    <x v="70"/>
    <d v="2022-05-10T00:00:00"/>
    <n v="1"/>
    <n v="463.1"/>
    <n v="704"/>
  </r>
  <r>
    <x v="86"/>
    <d v="2022-05-10T00:00:00"/>
    <n v="2"/>
    <n v="34.299999999999997"/>
    <n v="56"/>
  </r>
  <r>
    <x v="86"/>
    <d v="2022-05-10T00:00:00"/>
    <n v="1"/>
    <n v="30.78"/>
    <n v="50"/>
  </r>
  <r>
    <x v="43"/>
    <d v="2022-05-10T00:00:00"/>
    <n v="1"/>
    <n v="38.67"/>
    <n v="60"/>
  </r>
  <r>
    <x v="110"/>
    <d v="2022-05-10T00:00:00"/>
    <n v="1"/>
    <n v="72"/>
    <n v="91"/>
  </r>
  <r>
    <x v="124"/>
    <d v="2022-05-10T00:00:00"/>
    <n v="0.04"/>
    <n v="497.82"/>
    <n v="598"/>
  </r>
  <r>
    <x v="110"/>
    <d v="2022-05-10T00:00:00"/>
    <n v="1"/>
    <n v="71.02"/>
    <n v="88"/>
  </r>
  <r>
    <x v="54"/>
    <d v="2022-05-10T00:00:00"/>
    <n v="1"/>
    <n v="12.02"/>
    <n v="20"/>
  </r>
  <r>
    <x v="90"/>
    <d v="2022-05-10T00:00:00"/>
    <n v="0.5"/>
    <n v="166.31"/>
    <n v="262"/>
  </r>
  <r>
    <x v="83"/>
    <d v="2022-05-10T00:00:00"/>
    <n v="0.5"/>
    <n v="136.57"/>
    <n v="215"/>
  </r>
  <r>
    <x v="3"/>
    <d v="2022-05-10T00:00:00"/>
    <n v="1"/>
    <n v="59.15"/>
    <n v="93"/>
  </r>
  <r>
    <x v="16"/>
    <d v="2022-05-10T00:00:00"/>
    <n v="1"/>
    <n v="182.55"/>
    <n v="254"/>
  </r>
  <r>
    <x v="150"/>
    <d v="2022-05-10T00:00:00"/>
    <n v="0.4"/>
    <n v="495.72"/>
    <n v="704"/>
  </r>
  <r>
    <x v="21"/>
    <d v="2022-05-10T00:00:00"/>
    <n v="0.2"/>
    <n v="986.87"/>
    <n v="1234"/>
  </r>
  <r>
    <x v="51"/>
    <d v="2022-05-10T00:00:00"/>
    <n v="1"/>
    <n v="43.97"/>
    <n v="67"/>
  </r>
  <r>
    <x v="96"/>
    <d v="2022-05-10T00:00:00"/>
    <n v="1"/>
    <n v="33.89"/>
    <n v="53"/>
  </r>
  <r>
    <x v="46"/>
    <d v="2022-05-10T00:00:00"/>
    <n v="20"/>
    <n v="1.98"/>
    <n v="3.2"/>
  </r>
  <r>
    <x v="144"/>
    <d v="2022-05-10T00:00:00"/>
    <n v="1"/>
    <n v="221.03"/>
    <n v="303"/>
  </r>
  <r>
    <x v="117"/>
    <d v="2022-05-10T00:00:00"/>
    <n v="1"/>
    <n v="21.4"/>
    <n v="26"/>
  </r>
  <r>
    <x v="42"/>
    <d v="2022-05-10T00:00:00"/>
    <n v="1"/>
    <n v="43.93"/>
    <n v="67"/>
  </r>
  <r>
    <x v="47"/>
    <d v="2022-05-10T00:00:00"/>
    <n v="1"/>
    <n v="202.33"/>
    <n v="243"/>
  </r>
  <r>
    <x v="0"/>
    <d v="2022-05-10T00:00:00"/>
    <n v="1"/>
    <n v="145.6"/>
    <n v="172"/>
  </r>
  <r>
    <x v="18"/>
    <d v="2022-05-10T00:00:00"/>
    <n v="1"/>
    <n v="110.23"/>
    <n v="124"/>
  </r>
  <r>
    <x v="16"/>
    <d v="2022-05-10T00:00:00"/>
    <n v="1"/>
    <n v="181.56"/>
    <n v="256"/>
  </r>
  <r>
    <x v="155"/>
    <d v="2022-05-10T00:00:00"/>
    <n v="1"/>
    <n v="79.89"/>
    <n v="97"/>
  </r>
  <r>
    <x v="29"/>
    <d v="2022-05-10T00:00:00"/>
    <n v="1"/>
    <n v="202.73"/>
    <n v="234"/>
  </r>
  <r>
    <x v="143"/>
    <d v="2022-05-10T00:00:00"/>
    <n v="1"/>
    <n v="36.840000000000003"/>
    <n v="56"/>
  </r>
  <r>
    <x v="47"/>
    <d v="2022-05-10T00:00:00"/>
    <n v="1"/>
    <n v="202.33"/>
    <n v="243"/>
  </r>
  <r>
    <x v="148"/>
    <d v="2022-05-10T00:00:00"/>
    <n v="1"/>
    <n v="10.34"/>
    <n v="12"/>
  </r>
  <r>
    <x v="148"/>
    <d v="2022-05-10T00:00:00"/>
    <n v="1"/>
    <n v="10.34"/>
    <n v="12"/>
  </r>
  <r>
    <x v="94"/>
    <d v="2022-05-10T00:00:00"/>
    <n v="1"/>
    <n v="65.52"/>
    <n v="77"/>
  </r>
  <r>
    <x v="7"/>
    <d v="2022-05-10T00:00:00"/>
    <n v="1"/>
    <n v="60.29"/>
    <n v="75"/>
  </r>
  <r>
    <x v="7"/>
    <d v="2022-05-10T00:00:00"/>
    <n v="1"/>
    <n v="60.29"/>
    <n v="75"/>
  </r>
  <r>
    <x v="7"/>
    <d v="2022-05-10T00:00:00"/>
    <n v="1"/>
    <n v="60.29"/>
    <n v="75"/>
  </r>
  <r>
    <x v="98"/>
    <d v="2022-05-10T00:00:00"/>
    <n v="1"/>
    <n v="41.33"/>
    <n v="65"/>
  </r>
  <r>
    <x v="13"/>
    <d v="2022-05-10T00:00:00"/>
    <n v="1"/>
    <n v="44"/>
    <n v="69"/>
  </r>
  <r>
    <x v="5"/>
    <d v="2022-05-10T00:00:00"/>
    <n v="1"/>
    <n v="10.34"/>
    <n v="13"/>
  </r>
  <r>
    <x v="79"/>
    <d v="2022-05-10T00:00:00"/>
    <n v="1"/>
    <n v="152"/>
    <n v="175"/>
  </r>
  <r>
    <x v="115"/>
    <d v="2022-05-10T00:00:00"/>
    <n v="1"/>
    <n v="132.26"/>
    <n v="182"/>
  </r>
  <r>
    <x v="95"/>
    <d v="2022-05-10T00:00:00"/>
    <n v="1"/>
    <n v="36.03"/>
    <n v="56"/>
  </r>
  <r>
    <x v="95"/>
    <d v="2022-05-10T00:00:00"/>
    <n v="1"/>
    <n v="36.03"/>
    <n v="56"/>
  </r>
  <r>
    <x v="23"/>
    <d v="2022-05-10T00:00:00"/>
    <n v="1"/>
    <n v="135.44999999999999"/>
    <n v="189"/>
  </r>
  <r>
    <x v="3"/>
    <d v="2022-05-10T00:00:00"/>
    <n v="1"/>
    <n v="50.12"/>
    <n v="79"/>
  </r>
  <r>
    <x v="6"/>
    <d v="2022-05-10T00:00:00"/>
    <n v="1"/>
    <n v="24.2"/>
    <n v="39"/>
  </r>
  <r>
    <x v="40"/>
    <d v="2022-05-10T00:00:00"/>
    <n v="1"/>
    <n v="27.94"/>
    <n v="45"/>
  </r>
  <r>
    <x v="6"/>
    <d v="2022-05-10T00:00:00"/>
    <n v="1"/>
    <n v="24.2"/>
    <n v="39"/>
  </r>
  <r>
    <x v="72"/>
    <d v="2022-05-10T00:00:00"/>
    <n v="1"/>
    <n v="60.3"/>
    <n v="75"/>
  </r>
  <r>
    <x v="129"/>
    <d v="2022-05-10T00:00:00"/>
    <n v="1"/>
    <n v="28.66"/>
    <n v="44"/>
  </r>
  <r>
    <x v="129"/>
    <d v="2022-05-10T00:00:00"/>
    <n v="1"/>
    <n v="28.66"/>
    <n v="44"/>
  </r>
  <r>
    <x v="83"/>
    <d v="2022-05-10T00:00:00"/>
    <n v="0.5"/>
    <n v="106.51"/>
    <n v="163"/>
  </r>
  <r>
    <x v="19"/>
    <d v="2022-05-10T00:00:00"/>
    <n v="1"/>
    <n v="106.05"/>
    <n v="125"/>
  </r>
  <r>
    <x v="15"/>
    <d v="2022-05-08T00:00:00"/>
    <n v="1"/>
    <n v="20.23"/>
    <n v="27"/>
  </r>
  <r>
    <x v="145"/>
    <d v="2022-05-08T00:00:00"/>
    <n v="2"/>
    <n v="94.8"/>
    <n v="151"/>
  </r>
  <r>
    <x v="44"/>
    <d v="2022-05-08T00:00:00"/>
    <n v="1"/>
    <n v="16.02"/>
    <n v="19"/>
  </r>
  <r>
    <x v="44"/>
    <d v="2022-05-08T00:00:00"/>
    <n v="1"/>
    <n v="16.02"/>
    <n v="19"/>
  </r>
  <r>
    <x v="2"/>
    <d v="2022-05-08T00:00:00"/>
    <n v="1"/>
    <n v="90.39"/>
    <n v="112"/>
  </r>
  <r>
    <x v="98"/>
    <d v="2022-05-08T00:00:00"/>
    <n v="1"/>
    <n v="24.84"/>
    <n v="38"/>
  </r>
  <r>
    <x v="98"/>
    <d v="2022-05-08T00:00:00"/>
    <n v="1"/>
    <n v="24.84"/>
    <n v="38"/>
  </r>
  <r>
    <x v="98"/>
    <d v="2022-05-08T00:00:00"/>
    <n v="1"/>
    <n v="24.84"/>
    <n v="38"/>
  </r>
  <r>
    <x v="98"/>
    <d v="2022-05-08T00:00:00"/>
    <n v="1"/>
    <n v="24.84"/>
    <n v="38"/>
  </r>
  <r>
    <x v="98"/>
    <d v="2022-05-08T00:00:00"/>
    <n v="1"/>
    <n v="24.84"/>
    <n v="38"/>
  </r>
  <r>
    <x v="86"/>
    <d v="2022-05-08T00:00:00"/>
    <n v="1"/>
    <n v="31.23"/>
    <n v="51"/>
  </r>
  <r>
    <x v="31"/>
    <d v="2022-05-08T00:00:00"/>
    <n v="1"/>
    <n v="22.53"/>
    <n v="30"/>
  </r>
  <r>
    <x v="15"/>
    <d v="2022-05-08T00:00:00"/>
    <n v="1"/>
    <n v="20.23"/>
    <n v="27"/>
  </r>
  <r>
    <x v="70"/>
    <d v="2022-05-08T00:00:00"/>
    <n v="0.04"/>
    <n v="431.37"/>
    <n v="635"/>
  </r>
  <r>
    <x v="18"/>
    <d v="2022-05-08T00:00:00"/>
    <n v="1"/>
    <n v="110.07"/>
    <n v="124"/>
  </r>
  <r>
    <x v="7"/>
    <d v="2022-05-08T00:00:00"/>
    <n v="1"/>
    <n v="57.21"/>
    <n v="71"/>
  </r>
  <r>
    <x v="113"/>
    <d v="2022-05-08T00:00:00"/>
    <n v="1"/>
    <n v="11.1"/>
    <n v="13"/>
  </r>
  <r>
    <x v="3"/>
    <d v="2022-05-08T00:00:00"/>
    <n v="1"/>
    <n v="58.34"/>
    <n v="92"/>
  </r>
  <r>
    <x v="131"/>
    <d v="2022-05-08T00:00:00"/>
    <n v="1"/>
    <n v="292.33999999999997"/>
    <n v="410"/>
  </r>
  <r>
    <x v="9"/>
    <d v="2022-05-08T00:00:00"/>
    <n v="0.5"/>
    <n v="445.83"/>
    <n v="616"/>
  </r>
  <r>
    <x v="155"/>
    <d v="2022-05-08T00:00:00"/>
    <n v="1"/>
    <n v="81.819999999999993"/>
    <n v="99"/>
  </r>
  <r>
    <x v="72"/>
    <d v="2022-05-08T00:00:00"/>
    <n v="1"/>
    <n v="60.3"/>
    <n v="75"/>
  </r>
  <r>
    <x v="83"/>
    <d v="2022-05-08T00:00:00"/>
    <n v="1"/>
    <n v="128.1"/>
    <n v="199"/>
  </r>
  <r>
    <x v="101"/>
    <d v="2022-05-08T00:00:00"/>
    <n v="1"/>
    <n v="41.38"/>
    <n v="51"/>
  </r>
  <r>
    <x v="86"/>
    <d v="2022-05-08T00:00:00"/>
    <n v="1"/>
    <n v="31.23"/>
    <n v="51"/>
  </r>
  <r>
    <x v="20"/>
    <d v="2022-05-08T00:00:00"/>
    <n v="1"/>
    <n v="147.18"/>
    <n v="177"/>
  </r>
  <r>
    <x v="23"/>
    <d v="2022-05-08T00:00:00"/>
    <n v="1"/>
    <n v="146.80000000000001"/>
    <n v="202"/>
  </r>
  <r>
    <x v="18"/>
    <d v="2022-05-08T00:00:00"/>
    <n v="1"/>
    <n v="109.41"/>
    <n v="123"/>
  </r>
  <r>
    <x v="22"/>
    <d v="2022-05-08T00:00:00"/>
    <n v="1"/>
    <n v="105.23"/>
    <n v="161"/>
  </r>
  <r>
    <x v="97"/>
    <d v="2022-05-08T00:00:00"/>
    <n v="1"/>
    <n v="27.2"/>
    <n v="33"/>
  </r>
  <r>
    <x v="155"/>
    <d v="2022-05-08T00:00:00"/>
    <n v="1"/>
    <n v="77.989999999999995"/>
    <n v="95"/>
  </r>
  <r>
    <x v="72"/>
    <d v="2022-05-08T00:00:00"/>
    <n v="1"/>
    <n v="60.3"/>
    <n v="75"/>
  </r>
  <r>
    <x v="110"/>
    <d v="2022-05-08T00:00:00"/>
    <n v="1"/>
    <n v="71.150000000000006"/>
    <n v="88"/>
  </r>
  <r>
    <x v="99"/>
    <d v="2022-05-08T00:00:00"/>
    <n v="1"/>
    <n v="45.14"/>
    <n v="57"/>
  </r>
  <r>
    <x v="6"/>
    <d v="2022-05-08T00:00:00"/>
    <n v="1"/>
    <n v="24.2"/>
    <n v="39"/>
  </r>
  <r>
    <x v="139"/>
    <d v="2022-05-08T00:00:00"/>
    <n v="1"/>
    <n v="51.62"/>
    <n v="75"/>
  </r>
  <r>
    <x v="20"/>
    <d v="2022-05-08T00:00:00"/>
    <n v="1"/>
    <n v="147.4"/>
    <n v="180"/>
  </r>
  <r>
    <x v="147"/>
    <d v="2022-05-08T00:00:00"/>
    <n v="1"/>
    <n v="106.17"/>
    <n v="133"/>
  </r>
  <r>
    <x v="99"/>
    <d v="2022-05-08T00:00:00"/>
    <n v="1"/>
    <n v="44.4"/>
    <n v="57"/>
  </r>
  <r>
    <x v="5"/>
    <d v="2022-05-08T00:00:00"/>
    <n v="1"/>
    <n v="10.34"/>
    <n v="13"/>
  </r>
  <r>
    <x v="51"/>
    <d v="2022-05-08T00:00:00"/>
    <n v="1"/>
    <n v="43.97"/>
    <n v="69"/>
  </r>
  <r>
    <x v="75"/>
    <d v="2022-05-08T00:00:00"/>
    <n v="1"/>
    <n v="23.57"/>
    <n v="36"/>
  </r>
  <r>
    <x v="75"/>
    <d v="2022-05-08T00:00:00"/>
    <n v="1"/>
    <n v="23.57"/>
    <n v="36"/>
  </r>
  <r>
    <x v="75"/>
    <d v="2022-05-08T00:00:00"/>
    <n v="1"/>
    <n v="23.57"/>
    <n v="36"/>
  </r>
  <r>
    <x v="75"/>
    <d v="2022-05-08T00:00:00"/>
    <n v="1"/>
    <n v="23.57"/>
    <n v="36"/>
  </r>
  <r>
    <x v="75"/>
    <d v="2022-05-08T00:00:00"/>
    <n v="1"/>
    <n v="23.57"/>
    <n v="36"/>
  </r>
  <r>
    <x v="75"/>
    <d v="2022-05-08T00:00:00"/>
    <n v="1"/>
    <n v="23.57"/>
    <n v="36"/>
  </r>
  <r>
    <x v="92"/>
    <d v="2022-05-08T00:00:00"/>
    <n v="1"/>
    <n v="425.96"/>
    <n v="563"/>
  </r>
  <r>
    <x v="127"/>
    <d v="2022-05-08T00:00:00"/>
    <n v="1"/>
    <n v="57.93"/>
    <n v="83"/>
  </r>
  <r>
    <x v="46"/>
    <d v="2022-05-08T00:00:00"/>
    <n v="8"/>
    <n v="2.04"/>
    <n v="4"/>
  </r>
  <r>
    <x v="5"/>
    <d v="2022-05-08T00:00:00"/>
    <n v="1"/>
    <n v="10.34"/>
    <n v="13"/>
  </r>
  <r>
    <x v="5"/>
    <d v="2022-05-08T00:00:00"/>
    <n v="1"/>
    <n v="10.34"/>
    <n v="13"/>
  </r>
  <r>
    <x v="5"/>
    <d v="2022-05-08T00:00:00"/>
    <n v="1"/>
    <n v="10.34"/>
    <n v="13"/>
  </r>
  <r>
    <x v="2"/>
    <d v="2022-05-08T00:00:00"/>
    <n v="1"/>
    <n v="88.11"/>
    <n v="105"/>
  </r>
  <r>
    <x v="17"/>
    <d v="2022-05-08T00:00:00"/>
    <n v="1"/>
    <n v="30.3"/>
    <n v="49"/>
  </r>
  <r>
    <x v="30"/>
    <d v="2022-05-08T00:00:00"/>
    <n v="1"/>
    <n v="35"/>
    <n v="54"/>
  </r>
  <r>
    <x v="43"/>
    <d v="2022-05-08T00:00:00"/>
    <n v="1"/>
    <n v="41.54"/>
    <n v="64"/>
  </r>
  <r>
    <x v="117"/>
    <d v="2022-05-08T00:00:00"/>
    <n v="1"/>
    <n v="23.9"/>
    <n v="29"/>
  </r>
  <r>
    <x v="84"/>
    <d v="2022-05-08T00:00:00"/>
    <n v="1"/>
    <n v="74.37"/>
    <n v="106"/>
  </r>
  <r>
    <x v="43"/>
    <d v="2022-05-08T00:00:00"/>
    <n v="1"/>
    <n v="41.54"/>
    <n v="64"/>
  </r>
  <r>
    <x v="113"/>
    <d v="2022-05-08T00:00:00"/>
    <n v="1"/>
    <n v="10.79"/>
    <n v="13"/>
  </r>
  <r>
    <x v="60"/>
    <d v="2022-05-08T00:00:00"/>
    <n v="1"/>
    <n v="176.42"/>
    <n v="207"/>
  </r>
  <r>
    <x v="60"/>
    <d v="2022-05-08T00:00:00"/>
    <n v="1"/>
    <n v="182.87"/>
    <n v="233"/>
  </r>
  <r>
    <x v="21"/>
    <d v="2022-05-08T00:00:00"/>
    <n v="0.1"/>
    <n v="1086.5899999999999"/>
    <n v="1359"/>
  </r>
  <r>
    <x v="88"/>
    <d v="2022-05-08T00:00:00"/>
    <n v="1"/>
    <n v="65.400000000000006"/>
    <n v="93"/>
  </r>
  <r>
    <x v="129"/>
    <d v="2022-05-08T00:00:00"/>
    <n v="1"/>
    <n v="26.98"/>
    <n v="42"/>
  </r>
  <r>
    <x v="1"/>
    <d v="2022-05-08T00:00:00"/>
    <n v="0.2"/>
    <n v="352.67"/>
    <n v="477"/>
  </r>
  <r>
    <x v="114"/>
    <d v="2022-05-08T00:00:00"/>
    <n v="3.5714000000000003E-2"/>
    <n v="631.39"/>
    <n v="697"/>
  </r>
  <r>
    <x v="67"/>
    <d v="2022-05-08T00:00:00"/>
    <n v="1"/>
    <n v="561.70000000000005"/>
    <n v="742"/>
  </r>
  <r>
    <x v="82"/>
    <d v="2022-05-08T00:00:00"/>
    <n v="1"/>
    <n v="348.66"/>
    <n v="395"/>
  </r>
  <r>
    <x v="127"/>
    <d v="2022-05-08T00:00:00"/>
    <n v="1"/>
    <n v="58.75"/>
    <n v="86"/>
  </r>
  <r>
    <x v="19"/>
    <d v="2022-05-08T00:00:00"/>
    <n v="1"/>
    <n v="103.96"/>
    <n v="123"/>
  </r>
  <r>
    <x v="38"/>
    <d v="2022-05-08T00:00:00"/>
    <n v="1"/>
    <n v="138.69"/>
    <n v="169"/>
  </r>
  <r>
    <x v="99"/>
    <d v="2022-05-08T00:00:00"/>
    <n v="1"/>
    <n v="45.14"/>
    <n v="57"/>
  </r>
  <r>
    <x v="77"/>
    <d v="2022-05-08T00:00:00"/>
    <n v="1"/>
    <n v="33.299999999999997"/>
    <n v="42"/>
  </r>
  <r>
    <x v="16"/>
    <d v="2022-05-08T00:00:00"/>
    <n v="1"/>
    <n v="181.44"/>
    <n v="245"/>
  </r>
  <r>
    <x v="19"/>
    <d v="2022-05-08T00:00:00"/>
    <n v="1"/>
    <n v="99.47"/>
    <n v="116"/>
  </r>
  <r>
    <x v="19"/>
    <d v="2022-05-08T00:00:00"/>
    <n v="1"/>
    <n v="99.47"/>
    <n v="116"/>
  </r>
  <r>
    <x v="26"/>
    <d v="2022-05-08T00:00:00"/>
    <n v="1"/>
    <n v="13.19"/>
    <n v="18"/>
  </r>
  <r>
    <x v="26"/>
    <d v="2022-05-08T00:00:00"/>
    <n v="1"/>
    <n v="13.19"/>
    <n v="18"/>
  </r>
  <r>
    <x v="26"/>
    <d v="2022-05-08T00:00:00"/>
    <n v="1"/>
    <n v="13.19"/>
    <n v="18"/>
  </r>
  <r>
    <x v="26"/>
    <d v="2022-05-08T00:00:00"/>
    <n v="1"/>
    <n v="13.19"/>
    <n v="18"/>
  </r>
  <r>
    <x v="26"/>
    <d v="2022-05-08T00:00:00"/>
    <n v="1"/>
    <n v="13.19"/>
    <n v="18"/>
  </r>
  <r>
    <x v="2"/>
    <d v="2022-05-08T00:00:00"/>
    <n v="1"/>
    <n v="88.4"/>
    <n v="104"/>
  </r>
  <r>
    <x v="20"/>
    <d v="2022-05-08T00:00:00"/>
    <n v="1"/>
    <n v="147.47"/>
    <n v="177"/>
  </r>
  <r>
    <x v="135"/>
    <d v="2022-05-08T00:00:00"/>
    <n v="1"/>
    <n v="158.94"/>
    <n v="194"/>
  </r>
  <r>
    <x v="117"/>
    <d v="2022-05-08T00:00:00"/>
    <n v="1"/>
    <n v="20.82"/>
    <n v="26"/>
  </r>
  <r>
    <x v="22"/>
    <d v="2022-05-08T00:00:00"/>
    <n v="1"/>
    <n v="105.23"/>
    <n v="161"/>
  </r>
  <r>
    <x v="21"/>
    <d v="2022-05-08T00:00:00"/>
    <n v="1"/>
    <n v="987.81"/>
    <n v="1275"/>
  </r>
  <r>
    <x v="20"/>
    <d v="2022-05-08T00:00:00"/>
    <n v="1"/>
    <n v="149.91999999999999"/>
    <n v="180"/>
  </r>
  <r>
    <x v="6"/>
    <d v="2022-05-08T00:00:00"/>
    <n v="1"/>
    <n v="24.2"/>
    <n v="39"/>
  </r>
  <r>
    <x v="8"/>
    <d v="2022-05-08T00:00:00"/>
    <n v="1"/>
    <n v="119.72"/>
    <n v="147"/>
  </r>
  <r>
    <x v="117"/>
    <d v="2022-05-08T00:00:00"/>
    <n v="1"/>
    <n v="22.5"/>
    <n v="27"/>
  </r>
  <r>
    <x v="110"/>
    <d v="2022-05-08T00:00:00"/>
    <n v="1"/>
    <n v="71.09"/>
    <n v="86"/>
  </r>
  <r>
    <x v="58"/>
    <d v="2022-05-08T00:00:00"/>
    <n v="1"/>
    <n v="71.53"/>
    <n v="86"/>
  </r>
  <r>
    <x v="61"/>
    <d v="2022-05-08T00:00:00"/>
    <n v="1"/>
    <n v="31.08"/>
    <n v="36"/>
  </r>
  <r>
    <x v="44"/>
    <d v="2022-05-08T00:00:00"/>
    <n v="1"/>
    <n v="16.02"/>
    <n v="19"/>
  </r>
  <r>
    <x v="106"/>
    <d v="2022-05-08T00:00:00"/>
    <n v="1"/>
    <n v="166.45"/>
    <n v="199"/>
  </r>
  <r>
    <x v="30"/>
    <d v="2022-05-08T00:00:00"/>
    <n v="1"/>
    <n v="35"/>
    <n v="54"/>
  </r>
  <r>
    <x v="17"/>
    <d v="2022-05-08T00:00:00"/>
    <n v="1"/>
    <n v="30.3"/>
    <n v="49"/>
  </r>
  <r>
    <x v="67"/>
    <d v="2022-05-08T00:00:00"/>
    <n v="1"/>
    <n v="561.70000000000005"/>
    <n v="742"/>
  </r>
  <r>
    <x v="105"/>
    <d v="2022-05-08T00:00:00"/>
    <n v="1"/>
    <n v="240.43"/>
    <n v="325"/>
  </r>
  <r>
    <x v="87"/>
    <d v="2022-05-08T00:00:00"/>
    <n v="1"/>
    <n v="6.18"/>
    <n v="9"/>
  </r>
  <r>
    <x v="136"/>
    <d v="2022-05-08T00:00:00"/>
    <n v="1"/>
    <n v="16.38"/>
    <n v="27"/>
  </r>
  <r>
    <x v="124"/>
    <d v="2022-05-08T00:00:00"/>
    <n v="0.04"/>
    <n v="513.71"/>
    <n v="566"/>
  </r>
  <r>
    <x v="21"/>
    <d v="2022-05-08T00:00:00"/>
    <n v="0.1"/>
    <n v="989.8"/>
    <n v="1277"/>
  </r>
  <r>
    <x v="57"/>
    <d v="2022-05-08T00:00:00"/>
    <n v="1"/>
    <n v="25.48"/>
    <n v="31"/>
  </r>
  <r>
    <x v="99"/>
    <d v="2022-05-08T00:00:00"/>
    <n v="1"/>
    <n v="46"/>
    <n v="58"/>
  </r>
  <r>
    <x v="71"/>
    <d v="2022-05-08T00:00:00"/>
    <n v="1"/>
    <n v="30.8"/>
    <n v="38"/>
  </r>
  <r>
    <x v="71"/>
    <d v="2022-05-08T00:00:00"/>
    <n v="1"/>
    <n v="30.8"/>
    <n v="38"/>
  </r>
  <r>
    <x v="18"/>
    <d v="2022-05-08T00:00:00"/>
    <n v="1"/>
    <n v="109.41"/>
    <n v="123"/>
  </r>
  <r>
    <x v="15"/>
    <d v="2022-05-08T00:00:00"/>
    <n v="1"/>
    <n v="22.66"/>
    <n v="30"/>
  </r>
  <r>
    <x v="50"/>
    <d v="2022-05-08T00:00:00"/>
    <n v="1"/>
    <n v="77.63"/>
    <n v="95"/>
  </r>
  <r>
    <x v="35"/>
    <d v="2022-05-08T00:00:00"/>
    <n v="1"/>
    <n v="173.09"/>
    <n v="211"/>
  </r>
  <r>
    <x v="148"/>
    <d v="2022-05-08T00:00:00"/>
    <n v="1"/>
    <n v="9.4600000000000009"/>
    <n v="11"/>
  </r>
  <r>
    <x v="148"/>
    <d v="2022-05-08T00:00:00"/>
    <n v="1"/>
    <n v="9.4600000000000009"/>
    <n v="11"/>
  </r>
  <r>
    <x v="98"/>
    <d v="2022-05-08T00:00:00"/>
    <n v="1"/>
    <n v="41.33"/>
    <n v="65"/>
  </r>
  <r>
    <x v="18"/>
    <d v="2022-05-08T00:00:00"/>
    <n v="1"/>
    <n v="109.41"/>
    <n v="123"/>
  </r>
  <r>
    <x v="61"/>
    <d v="2022-05-08T00:00:00"/>
    <n v="1"/>
    <n v="32.619999999999997"/>
    <n v="38"/>
  </r>
  <r>
    <x v="40"/>
    <d v="2022-05-08T00:00:00"/>
    <n v="1"/>
    <n v="25.36"/>
    <n v="42"/>
  </r>
  <r>
    <x v="26"/>
    <d v="2022-05-08T00:00:00"/>
    <n v="1"/>
    <n v="13.43"/>
    <n v="18"/>
  </r>
  <r>
    <x v="32"/>
    <d v="2022-05-08T00:00:00"/>
    <n v="1"/>
    <n v="38"/>
    <n v="48"/>
  </r>
  <r>
    <x v="88"/>
    <d v="2022-05-08T00:00:00"/>
    <n v="1"/>
    <n v="66.52"/>
    <n v="95"/>
  </r>
  <r>
    <x v="87"/>
    <d v="2022-05-08T00:00:00"/>
    <n v="19"/>
    <n v="5.78"/>
    <n v="8"/>
  </r>
  <r>
    <x v="88"/>
    <d v="2022-05-08T00:00:00"/>
    <n v="1"/>
    <n v="74.42"/>
    <n v="106"/>
  </r>
  <r>
    <x v="90"/>
    <d v="2022-05-08T00:00:00"/>
    <n v="0.6"/>
    <n v="130.65"/>
    <n v="199"/>
  </r>
  <r>
    <x v="71"/>
    <d v="2022-05-08T00:00:00"/>
    <n v="1"/>
    <n v="30.8"/>
    <n v="38"/>
  </r>
  <r>
    <x v="71"/>
    <d v="2022-05-08T00:00:00"/>
    <n v="1"/>
    <n v="30.99"/>
    <n v="38"/>
  </r>
  <r>
    <x v="71"/>
    <d v="2022-05-08T00:00:00"/>
    <n v="1"/>
    <n v="30.99"/>
    <n v="38"/>
  </r>
  <r>
    <x v="56"/>
    <d v="2022-05-08T00:00:00"/>
    <n v="1"/>
    <n v="33.17"/>
    <n v="53"/>
  </r>
  <r>
    <x v="21"/>
    <d v="2022-05-08T00:00:00"/>
    <n v="0.3"/>
    <n v="1086.5899999999999"/>
    <n v="1359"/>
  </r>
  <r>
    <x v="31"/>
    <d v="2022-05-08T00:00:00"/>
    <n v="1"/>
    <n v="21.28"/>
    <n v="27"/>
  </r>
  <r>
    <x v="31"/>
    <d v="2022-05-08T00:00:00"/>
    <n v="1"/>
    <n v="21.28"/>
    <n v="27"/>
  </r>
  <r>
    <x v="31"/>
    <d v="2022-05-08T00:00:00"/>
    <n v="1"/>
    <n v="21.28"/>
    <n v="27"/>
  </r>
  <r>
    <x v="35"/>
    <d v="2022-05-08T00:00:00"/>
    <n v="1"/>
    <n v="173.51"/>
    <n v="208"/>
  </r>
  <r>
    <x v="33"/>
    <d v="2022-05-08T00:00:00"/>
    <n v="1"/>
    <n v="22.31"/>
    <n v="35"/>
  </r>
  <r>
    <x v="33"/>
    <d v="2022-05-08T00:00:00"/>
    <n v="1"/>
    <n v="22.31"/>
    <n v="35"/>
  </r>
  <r>
    <x v="33"/>
    <d v="2022-05-08T00:00:00"/>
    <n v="1"/>
    <n v="22.31"/>
    <n v="35"/>
  </r>
  <r>
    <x v="33"/>
    <d v="2022-05-08T00:00:00"/>
    <n v="1"/>
    <n v="22.31"/>
    <n v="35"/>
  </r>
  <r>
    <x v="33"/>
    <d v="2022-05-08T00:00:00"/>
    <n v="1"/>
    <n v="22.31"/>
    <n v="35"/>
  </r>
  <r>
    <x v="33"/>
    <d v="2022-05-08T00:00:00"/>
    <n v="1"/>
    <n v="22.31"/>
    <n v="35"/>
  </r>
  <r>
    <x v="35"/>
    <d v="2022-05-08T00:00:00"/>
    <n v="1"/>
    <n v="186.52"/>
    <n v="221"/>
  </r>
  <r>
    <x v="2"/>
    <d v="2022-05-08T00:00:00"/>
    <n v="1"/>
    <n v="90.39"/>
    <n v="112"/>
  </r>
  <r>
    <x v="111"/>
    <d v="2022-05-08T00:00:00"/>
    <n v="1"/>
    <n v="109.07"/>
    <n v="128"/>
  </r>
  <r>
    <x v="125"/>
    <d v="2022-05-08T00:00:00"/>
    <n v="1"/>
    <n v="23.16"/>
    <n v="29"/>
  </r>
  <r>
    <x v="125"/>
    <d v="2022-05-08T00:00:00"/>
    <n v="1"/>
    <n v="23.16"/>
    <n v="29"/>
  </r>
  <r>
    <x v="125"/>
    <d v="2022-05-08T00:00:00"/>
    <n v="1"/>
    <n v="23.16"/>
    <n v="29"/>
  </r>
  <r>
    <x v="125"/>
    <d v="2022-05-08T00:00:00"/>
    <n v="1"/>
    <n v="23.16"/>
    <n v="29"/>
  </r>
  <r>
    <x v="125"/>
    <d v="2022-05-08T00:00:00"/>
    <n v="1"/>
    <n v="23.16"/>
    <n v="29"/>
  </r>
  <r>
    <x v="125"/>
    <d v="2022-05-08T00:00:00"/>
    <n v="1"/>
    <n v="23.16"/>
    <n v="29"/>
  </r>
  <r>
    <x v="125"/>
    <d v="2022-05-08T00:00:00"/>
    <n v="1"/>
    <n v="23.12"/>
    <n v="29"/>
  </r>
  <r>
    <x v="125"/>
    <d v="2022-05-08T00:00:00"/>
    <n v="1"/>
    <n v="23.12"/>
    <n v="29"/>
  </r>
  <r>
    <x v="80"/>
    <d v="2022-05-08T00:00:00"/>
    <n v="1"/>
    <n v="15.95"/>
    <n v="26"/>
  </r>
  <r>
    <x v="60"/>
    <d v="2022-05-08T00:00:00"/>
    <n v="1"/>
    <n v="176.42"/>
    <n v="207"/>
  </r>
  <r>
    <x v="48"/>
    <d v="2022-05-08T00:00:00"/>
    <n v="2"/>
    <n v="23.4"/>
    <n v="38"/>
  </r>
  <r>
    <x v="21"/>
    <d v="2022-05-08T00:00:00"/>
    <n v="0.16666700000000001"/>
    <n v="989.8"/>
    <n v="1238"/>
  </r>
  <r>
    <x v="16"/>
    <d v="2022-05-08T00:00:00"/>
    <n v="1"/>
    <n v="182.55"/>
    <n v="254"/>
  </r>
  <r>
    <x v="14"/>
    <d v="2022-05-08T00:00:00"/>
    <n v="1"/>
    <n v="82.18"/>
    <n v="103"/>
  </r>
  <r>
    <x v="113"/>
    <d v="2022-05-08T00:00:00"/>
    <n v="1"/>
    <n v="10.79"/>
    <n v="13"/>
  </r>
  <r>
    <x v="34"/>
    <d v="2022-05-08T00:00:00"/>
    <n v="1"/>
    <n v="9.76"/>
    <n v="16"/>
  </r>
  <r>
    <x v="110"/>
    <d v="2022-05-08T00:00:00"/>
    <n v="1"/>
    <n v="71.09"/>
    <n v="86"/>
  </r>
  <r>
    <x v="21"/>
    <d v="2022-05-08T00:00:00"/>
    <n v="0.33333299999999999"/>
    <n v="989.8"/>
    <n v="1357"/>
  </r>
  <r>
    <x v="20"/>
    <d v="2022-05-08T00:00:00"/>
    <n v="1"/>
    <n v="147.4"/>
    <n v="177"/>
  </r>
  <r>
    <x v="21"/>
    <d v="2022-05-08T00:00:00"/>
    <n v="0.2"/>
    <n v="1086.5899999999999"/>
    <n v="1391"/>
  </r>
  <r>
    <x v="140"/>
    <d v="2022-05-08T00:00:00"/>
    <n v="1"/>
    <n v="25.3"/>
    <n v="31"/>
  </r>
  <r>
    <x v="113"/>
    <d v="2022-05-08T00:00:00"/>
    <n v="1"/>
    <n v="11.1"/>
    <n v="13"/>
  </r>
  <r>
    <x v="113"/>
    <d v="2022-05-08T00:00:00"/>
    <n v="1"/>
    <n v="11.1"/>
    <n v="13"/>
  </r>
  <r>
    <x v="113"/>
    <d v="2022-05-08T00:00:00"/>
    <n v="1"/>
    <n v="11.1"/>
    <n v="13"/>
  </r>
  <r>
    <x v="113"/>
    <d v="2022-05-08T00:00:00"/>
    <n v="1"/>
    <n v="11.1"/>
    <n v="13"/>
  </r>
  <r>
    <x v="147"/>
    <d v="2022-05-08T00:00:00"/>
    <n v="1"/>
    <n v="104.76"/>
    <n v="131"/>
  </r>
  <r>
    <x v="42"/>
    <d v="2022-05-08T00:00:00"/>
    <n v="1"/>
    <n v="43.93"/>
    <n v="67"/>
  </r>
  <r>
    <x v="146"/>
    <d v="2022-05-08T00:00:00"/>
    <n v="1"/>
    <n v="26.8"/>
    <n v="32"/>
  </r>
  <r>
    <x v="107"/>
    <d v="2022-05-08T00:00:00"/>
    <n v="1"/>
    <n v="291.43"/>
    <n v="345"/>
  </r>
  <r>
    <x v="84"/>
    <d v="2022-05-08T00:00:00"/>
    <n v="1"/>
    <n v="80.69"/>
    <n v="117"/>
  </r>
  <r>
    <x v="19"/>
    <d v="2022-05-08T00:00:00"/>
    <n v="1"/>
    <n v="98.67"/>
    <n v="115"/>
  </r>
  <r>
    <x v="52"/>
    <d v="2022-05-08T00:00:00"/>
    <n v="1"/>
    <n v="239.87"/>
    <n v="269"/>
  </r>
  <r>
    <x v="14"/>
    <d v="2022-05-08T00:00:00"/>
    <n v="1"/>
    <n v="82.07"/>
    <n v="103"/>
  </r>
  <r>
    <x v="152"/>
    <d v="2022-05-08T00:00:00"/>
    <n v="2"/>
    <n v="12"/>
    <n v="20"/>
  </r>
  <r>
    <x v="17"/>
    <d v="2022-05-08T00:00:00"/>
    <n v="1"/>
    <n v="30.3"/>
    <n v="49"/>
  </r>
  <r>
    <x v="23"/>
    <d v="2022-05-08T00:00:00"/>
    <n v="1"/>
    <n v="135.44999999999999"/>
    <n v="189"/>
  </r>
  <r>
    <x v="19"/>
    <d v="2022-05-08T00:00:00"/>
    <n v="1"/>
    <n v="99.48"/>
    <n v="117"/>
  </r>
  <r>
    <x v="154"/>
    <d v="2022-05-08T00:00:00"/>
    <n v="1"/>
    <n v="57.92"/>
    <n v="70"/>
  </r>
  <r>
    <x v="154"/>
    <d v="2022-05-08T00:00:00"/>
    <n v="1"/>
    <n v="57.92"/>
    <n v="70"/>
  </r>
  <r>
    <x v="154"/>
    <d v="2022-05-08T00:00:00"/>
    <n v="1"/>
    <n v="57.92"/>
    <n v="70"/>
  </r>
  <r>
    <x v="154"/>
    <d v="2022-05-08T00:00:00"/>
    <n v="1"/>
    <n v="57.92"/>
    <n v="70"/>
  </r>
  <r>
    <x v="154"/>
    <d v="2022-05-08T00:00:00"/>
    <n v="1"/>
    <n v="57.92"/>
    <n v="70"/>
  </r>
  <r>
    <x v="85"/>
    <d v="2022-05-08T00:00:00"/>
    <n v="1"/>
    <n v="384.2"/>
    <n v="462"/>
  </r>
  <r>
    <x v="128"/>
    <d v="2022-05-08T00:00:00"/>
    <n v="1"/>
    <n v="6.13"/>
    <n v="10"/>
  </r>
  <r>
    <x v="155"/>
    <d v="2022-05-08T00:00:00"/>
    <n v="1"/>
    <n v="81.87"/>
    <n v="100"/>
  </r>
  <r>
    <x v="96"/>
    <d v="2022-05-08T00:00:00"/>
    <n v="1"/>
    <n v="32.46"/>
    <n v="51"/>
  </r>
  <r>
    <x v="20"/>
    <d v="2022-05-08T00:00:00"/>
    <n v="1"/>
    <n v="147.4"/>
    <n v="177"/>
  </r>
  <r>
    <x v="60"/>
    <d v="2022-05-08T00:00:00"/>
    <n v="1"/>
    <n v="176.42"/>
    <n v="207"/>
  </r>
  <r>
    <x v="155"/>
    <d v="2022-05-08T00:00:00"/>
    <n v="1"/>
    <n v="77.989999999999995"/>
    <n v="95"/>
  </r>
  <r>
    <x v="21"/>
    <d v="2022-05-08T00:00:00"/>
    <n v="0.1"/>
    <n v="987.84"/>
    <n v="1304"/>
  </r>
  <r>
    <x v="87"/>
    <d v="2022-05-08T00:00:00"/>
    <n v="2"/>
    <n v="6.6"/>
    <n v="9"/>
  </r>
  <r>
    <x v="20"/>
    <d v="2022-05-08T00:00:00"/>
    <n v="1"/>
    <n v="148.52000000000001"/>
    <n v="178"/>
  </r>
  <r>
    <x v="18"/>
    <d v="2022-05-08T00:00:00"/>
    <n v="1"/>
    <n v="109.41"/>
    <n v="123"/>
  </r>
  <r>
    <x v="3"/>
    <d v="2022-05-08T00:00:00"/>
    <n v="1"/>
    <n v="47.03"/>
    <n v="77"/>
  </r>
  <r>
    <x v="43"/>
    <d v="2022-05-08T00:00:00"/>
    <n v="1"/>
    <n v="42.23"/>
    <n v="67"/>
  </r>
  <r>
    <x v="43"/>
    <d v="2022-05-08T00:00:00"/>
    <n v="1"/>
    <n v="42.23"/>
    <n v="67"/>
  </r>
  <r>
    <x v="93"/>
    <d v="2022-05-08T00:00:00"/>
    <n v="1"/>
    <n v="125.08"/>
    <n v="148"/>
  </r>
  <r>
    <x v="142"/>
    <d v="2022-05-08T00:00:00"/>
    <n v="1"/>
    <n v="136.72999999999999"/>
    <n v="185"/>
  </r>
  <r>
    <x v="2"/>
    <d v="2022-05-08T00:00:00"/>
    <n v="1"/>
    <n v="88.11"/>
    <n v="105"/>
  </r>
  <r>
    <x v="2"/>
    <d v="2022-05-08T00:00:00"/>
    <n v="1"/>
    <n v="88.11"/>
    <n v="105"/>
  </r>
  <r>
    <x v="131"/>
    <d v="2022-05-08T00:00:00"/>
    <n v="1"/>
    <n v="312.91000000000003"/>
    <n v="407"/>
  </r>
  <r>
    <x v="35"/>
    <d v="2022-05-08T00:00:00"/>
    <n v="1"/>
    <n v="182.57"/>
    <n v="217"/>
  </r>
  <r>
    <x v="55"/>
    <d v="2022-05-08T00:00:00"/>
    <n v="1"/>
    <n v="58.41"/>
    <n v="72"/>
  </r>
  <r>
    <x v="122"/>
    <d v="2022-05-08T00:00:00"/>
    <n v="1"/>
    <n v="117.96"/>
    <n v="164"/>
  </r>
  <r>
    <x v="126"/>
    <d v="2022-05-08T00:00:00"/>
    <n v="1"/>
    <n v="361.44"/>
    <n v="423"/>
  </r>
  <r>
    <x v="143"/>
    <d v="2022-05-08T00:00:00"/>
    <n v="1"/>
    <n v="38.520000000000003"/>
    <n v="61"/>
  </r>
  <r>
    <x v="51"/>
    <d v="2022-05-08T00:00:00"/>
    <n v="1"/>
    <n v="43.97"/>
    <n v="69"/>
  </r>
  <r>
    <x v="1"/>
    <d v="2022-05-08T00:00:00"/>
    <n v="1"/>
    <n v="508.11"/>
    <n v="681"/>
  </r>
  <r>
    <x v="30"/>
    <d v="2022-05-08T00:00:00"/>
    <n v="1"/>
    <n v="35"/>
    <n v="54"/>
  </r>
  <r>
    <x v="105"/>
    <d v="2022-05-08T00:00:00"/>
    <n v="1"/>
    <n v="206.94"/>
    <n v="276"/>
  </r>
  <r>
    <x v="6"/>
    <d v="2022-05-08T00:00:00"/>
    <n v="1"/>
    <n v="24.2"/>
    <n v="39"/>
  </r>
  <r>
    <x v="80"/>
    <d v="2022-05-08T00:00:00"/>
    <n v="1"/>
    <n v="16.739999999999998"/>
    <n v="26"/>
  </r>
  <r>
    <x v="51"/>
    <d v="2022-05-08T00:00:00"/>
    <n v="1"/>
    <n v="44.84"/>
    <n v="70"/>
  </r>
  <r>
    <x v="7"/>
    <d v="2022-05-08T00:00:00"/>
    <n v="1"/>
    <n v="60.29"/>
    <n v="75"/>
  </r>
  <r>
    <x v="87"/>
    <d v="2022-05-08T00:00:00"/>
    <n v="10"/>
    <n v="6.6"/>
    <n v="9"/>
  </r>
  <r>
    <x v="40"/>
    <d v="2022-05-08T00:00:00"/>
    <n v="2"/>
    <n v="27.54"/>
    <n v="45"/>
  </r>
  <r>
    <x v="49"/>
    <d v="2022-05-08T00:00:00"/>
    <n v="1"/>
    <n v="643.38"/>
    <n v="830"/>
  </r>
  <r>
    <x v="26"/>
    <d v="2022-05-08T00:00:00"/>
    <n v="1"/>
    <n v="13.19"/>
    <n v="18"/>
  </r>
  <r>
    <x v="14"/>
    <d v="2022-05-08T00:00:00"/>
    <n v="1"/>
    <n v="80.52"/>
    <n v="103"/>
  </r>
  <r>
    <x v="132"/>
    <d v="2022-05-08T00:00:00"/>
    <n v="3"/>
    <n v="10.41"/>
    <n v="17"/>
  </r>
  <r>
    <x v="67"/>
    <d v="2022-05-08T00:00:00"/>
    <n v="1"/>
    <n v="558.65"/>
    <n v="738"/>
  </r>
  <r>
    <x v="155"/>
    <d v="2022-05-08T00:00:00"/>
    <n v="1"/>
    <n v="81.87"/>
    <n v="100"/>
  </r>
  <r>
    <x v="17"/>
    <d v="2022-05-08T00:00:00"/>
    <n v="1"/>
    <n v="30.3"/>
    <n v="49"/>
  </r>
  <r>
    <x v="45"/>
    <d v="2022-05-08T00:00:00"/>
    <n v="1"/>
    <n v="44.71"/>
    <n v="55"/>
  </r>
  <r>
    <x v="18"/>
    <d v="2022-05-08T00:00:00"/>
    <n v="1"/>
    <n v="110.08"/>
    <n v="124"/>
  </r>
  <r>
    <x v="108"/>
    <d v="2022-05-08T00:00:00"/>
    <n v="1"/>
    <n v="160.82"/>
    <n v="221"/>
  </r>
  <r>
    <x v="7"/>
    <d v="2022-05-08T00:00:00"/>
    <n v="1"/>
    <n v="55.81"/>
    <n v="69"/>
  </r>
  <r>
    <x v="3"/>
    <d v="2022-05-08T00:00:00"/>
    <n v="1"/>
    <n v="47.01"/>
    <n v="77"/>
  </r>
  <r>
    <x v="40"/>
    <d v="2022-05-08T00:00:00"/>
    <n v="1"/>
    <n v="25.25"/>
    <n v="41"/>
  </r>
  <r>
    <x v="155"/>
    <d v="2022-05-08T00:00:00"/>
    <n v="1"/>
    <n v="81.87"/>
    <n v="100"/>
  </r>
  <r>
    <x v="122"/>
    <d v="2022-05-08T00:00:00"/>
    <n v="1"/>
    <n v="121"/>
    <n v="169"/>
  </r>
  <r>
    <x v="20"/>
    <d v="2022-05-08T00:00:00"/>
    <n v="1"/>
    <n v="150.25"/>
    <n v="180"/>
  </r>
  <r>
    <x v="1"/>
    <d v="2022-05-08T00:00:00"/>
    <n v="0.1"/>
    <n v="409.63"/>
    <n v="513"/>
  </r>
  <r>
    <x v="1"/>
    <d v="2022-05-08T00:00:00"/>
    <n v="0.3"/>
    <n v="460.48"/>
    <n v="576"/>
  </r>
  <r>
    <x v="40"/>
    <d v="2022-05-08T00:00:00"/>
    <n v="5"/>
    <n v="25.2"/>
    <n v="41"/>
  </r>
  <r>
    <x v="93"/>
    <d v="2022-05-08T00:00:00"/>
    <n v="1"/>
    <n v="111.85"/>
    <n v="135"/>
  </r>
  <r>
    <x v="19"/>
    <d v="2022-05-08T00:00:00"/>
    <n v="1"/>
    <n v="107.41"/>
    <n v="126"/>
  </r>
  <r>
    <x v="20"/>
    <d v="2022-05-08T00:00:00"/>
    <n v="1"/>
    <n v="148.58000000000001"/>
    <n v="179"/>
  </r>
  <r>
    <x v="70"/>
    <d v="2022-05-08T00:00:00"/>
    <n v="0.2"/>
    <n v="431.37"/>
    <n v="635"/>
  </r>
  <r>
    <x v="76"/>
    <d v="2022-05-08T00:00:00"/>
    <n v="1"/>
    <n v="40.14"/>
    <n v="49"/>
  </r>
  <r>
    <x v="43"/>
    <d v="2022-05-08T00:00:00"/>
    <n v="1"/>
    <n v="38.67"/>
    <n v="60"/>
  </r>
  <r>
    <x v="5"/>
    <d v="2022-05-08T00:00:00"/>
    <n v="1"/>
    <n v="10.34"/>
    <n v="13"/>
  </r>
  <r>
    <x v="50"/>
    <d v="2022-05-08T00:00:00"/>
    <n v="1"/>
    <n v="77.63"/>
    <n v="95"/>
  </r>
  <r>
    <x v="6"/>
    <d v="2022-05-08T00:00:00"/>
    <n v="1"/>
    <n v="24.2"/>
    <n v="39"/>
  </r>
  <r>
    <x v="21"/>
    <d v="2022-05-08T00:00:00"/>
    <n v="0.1"/>
    <n v="989.8"/>
    <n v="1238"/>
  </r>
  <r>
    <x v="84"/>
    <d v="2022-05-08T00:00:00"/>
    <n v="1"/>
    <n v="65.64"/>
    <n v="98"/>
  </r>
  <r>
    <x v="84"/>
    <d v="2022-05-08T00:00:00"/>
    <n v="1"/>
    <n v="65.64"/>
    <n v="98"/>
  </r>
  <r>
    <x v="70"/>
    <d v="2022-05-08T00:00:00"/>
    <n v="0.24"/>
    <n v="438.6"/>
    <n v="667"/>
  </r>
  <r>
    <x v="70"/>
    <d v="2022-05-08T00:00:00"/>
    <n v="0.16"/>
    <n v="438.6"/>
    <n v="667"/>
  </r>
  <r>
    <x v="68"/>
    <d v="2022-05-08T00:00:00"/>
    <n v="1"/>
    <n v="12"/>
    <n v="20"/>
  </r>
  <r>
    <x v="9"/>
    <d v="2022-05-08T00:00:00"/>
    <n v="0.3"/>
    <n v="503.58"/>
    <n v="675"/>
  </r>
  <r>
    <x v="8"/>
    <d v="2022-05-08T00:00:00"/>
    <n v="1"/>
    <n v="119.72"/>
    <n v="147"/>
  </r>
  <r>
    <x v="108"/>
    <d v="2022-05-08T00:00:00"/>
    <n v="1"/>
    <n v="125.55"/>
    <n v="178"/>
  </r>
  <r>
    <x v="21"/>
    <d v="2022-05-08T00:00:00"/>
    <n v="0.1"/>
    <n v="1262.29"/>
    <n v="1578"/>
  </r>
  <r>
    <x v="80"/>
    <d v="2022-05-08T00:00:00"/>
    <n v="1"/>
    <n v="15.84"/>
    <n v="25"/>
  </r>
  <r>
    <x v="39"/>
    <d v="2022-05-08T00:00:00"/>
    <n v="1"/>
    <n v="64.23"/>
    <n v="100"/>
  </r>
  <r>
    <x v="53"/>
    <d v="2022-05-08T00:00:00"/>
    <n v="1"/>
    <n v="83.29"/>
    <n v="100"/>
  </r>
  <r>
    <x v="56"/>
    <d v="2022-05-08T00:00:00"/>
    <n v="1"/>
    <n v="33.17"/>
    <n v="53"/>
  </r>
  <r>
    <x v="127"/>
    <d v="2022-05-08T00:00:00"/>
    <n v="1"/>
    <n v="58.97"/>
    <n v="88"/>
  </r>
  <r>
    <x v="50"/>
    <d v="2022-05-08T00:00:00"/>
    <n v="1"/>
    <n v="77.63"/>
    <n v="95"/>
  </r>
  <r>
    <x v="126"/>
    <d v="2022-05-08T00:00:00"/>
    <n v="1"/>
    <n v="361.91"/>
    <n v="435"/>
  </r>
  <r>
    <x v="60"/>
    <d v="2022-05-08T00:00:00"/>
    <n v="1"/>
    <n v="176.42"/>
    <n v="207"/>
  </r>
  <r>
    <x v="60"/>
    <d v="2022-05-08T00:00:00"/>
    <n v="1"/>
    <n v="176.42"/>
    <n v="207"/>
  </r>
  <r>
    <x v="12"/>
    <d v="2022-05-08T00:00:00"/>
    <n v="1"/>
    <n v="454.55"/>
    <n v="546"/>
  </r>
  <r>
    <x v="8"/>
    <d v="2022-05-08T00:00:00"/>
    <n v="1"/>
    <n v="119.72"/>
    <n v="147"/>
  </r>
  <r>
    <x v="96"/>
    <d v="2022-05-08T00:00:00"/>
    <n v="1"/>
    <n v="32.46"/>
    <n v="51"/>
  </r>
  <r>
    <x v="120"/>
    <d v="2022-05-08T00:00:00"/>
    <n v="1"/>
    <n v="394.12"/>
    <n v="521"/>
  </r>
  <r>
    <x v="118"/>
    <d v="2022-05-08T00:00:00"/>
    <n v="1"/>
    <n v="62.79"/>
    <n v="78"/>
  </r>
  <r>
    <x v="10"/>
    <d v="2022-05-08T00:00:00"/>
    <n v="1"/>
    <n v="37.85"/>
    <n v="62"/>
  </r>
  <r>
    <x v="130"/>
    <d v="2022-05-08T00:00:00"/>
    <n v="1"/>
    <n v="72.97"/>
    <n v="91"/>
  </r>
  <r>
    <x v="130"/>
    <d v="2022-05-08T00:00:00"/>
    <n v="1"/>
    <n v="72.97"/>
    <n v="91"/>
  </r>
  <r>
    <x v="129"/>
    <d v="2022-05-08T00:00:00"/>
    <n v="1"/>
    <n v="28.66"/>
    <n v="44"/>
  </r>
  <r>
    <x v="80"/>
    <d v="2022-05-08T00:00:00"/>
    <n v="1"/>
    <n v="15.95"/>
    <n v="26"/>
  </r>
  <r>
    <x v="80"/>
    <d v="2022-05-08T00:00:00"/>
    <n v="1"/>
    <n v="15.95"/>
    <n v="26"/>
  </r>
  <r>
    <x v="46"/>
    <d v="2022-05-08T00:00:00"/>
    <n v="4"/>
    <n v="1.98"/>
    <n v="3.2"/>
  </r>
  <r>
    <x v="14"/>
    <d v="2022-05-08T00:00:00"/>
    <n v="1"/>
    <n v="80.52"/>
    <n v="103"/>
  </r>
  <r>
    <x v="19"/>
    <d v="2022-05-08T00:00:00"/>
    <n v="1"/>
    <n v="103.96"/>
    <n v="123"/>
  </r>
  <r>
    <x v="108"/>
    <d v="2022-05-08T00:00:00"/>
    <n v="1"/>
    <n v="153.63"/>
    <n v="214"/>
  </r>
  <r>
    <x v="128"/>
    <d v="2022-05-08T00:00:00"/>
    <n v="1"/>
    <n v="5.98"/>
    <n v="11"/>
  </r>
  <r>
    <x v="47"/>
    <d v="2022-05-08T00:00:00"/>
    <n v="1"/>
    <n v="202.33"/>
    <n v="243"/>
  </r>
  <r>
    <x v="15"/>
    <d v="2022-05-08T00:00:00"/>
    <n v="1"/>
    <n v="20"/>
    <n v="25"/>
  </r>
  <r>
    <x v="80"/>
    <d v="2022-05-08T00:00:00"/>
    <n v="1"/>
    <n v="16.649999999999999"/>
    <n v="26"/>
  </r>
  <r>
    <x v="60"/>
    <d v="2022-05-08T00:00:00"/>
    <n v="1"/>
    <n v="176.42"/>
    <n v="207"/>
  </r>
  <r>
    <x v="38"/>
    <d v="2022-05-08T00:00:00"/>
    <n v="1"/>
    <n v="138.69"/>
    <n v="169"/>
  </r>
  <r>
    <x v="9"/>
    <d v="2022-05-08T00:00:00"/>
    <n v="0.5"/>
    <n v="596.29"/>
    <n v="746"/>
  </r>
  <r>
    <x v="82"/>
    <d v="2022-05-08T00:00:00"/>
    <n v="1"/>
    <n v="348.66"/>
    <n v="395"/>
  </r>
  <r>
    <x v="142"/>
    <d v="2022-05-08T00:00:00"/>
    <n v="1"/>
    <n v="136.72999999999999"/>
    <n v="191"/>
  </r>
  <r>
    <x v="51"/>
    <d v="2022-05-08T00:00:00"/>
    <n v="1"/>
    <n v="45.42"/>
    <n v="70"/>
  </r>
  <r>
    <x v="14"/>
    <d v="2022-05-08T00:00:00"/>
    <n v="1"/>
    <n v="80.52"/>
    <n v="103"/>
  </r>
  <r>
    <x v="7"/>
    <d v="2022-05-08T00:00:00"/>
    <n v="1"/>
    <n v="59.39"/>
    <n v="73"/>
  </r>
  <r>
    <x v="7"/>
    <d v="2022-05-08T00:00:00"/>
    <n v="1"/>
    <n v="55.81"/>
    <n v="69"/>
  </r>
  <r>
    <x v="102"/>
    <d v="2022-05-08T00:00:00"/>
    <n v="1"/>
    <n v="79.16"/>
    <n v="96"/>
  </r>
  <r>
    <x v="50"/>
    <d v="2022-05-08T00:00:00"/>
    <n v="1"/>
    <n v="89.4"/>
    <n v="106"/>
  </r>
  <r>
    <x v="105"/>
    <d v="2022-05-08T00:00:00"/>
    <n v="1"/>
    <n v="206.94"/>
    <n v="276"/>
  </r>
  <r>
    <x v="21"/>
    <d v="2022-05-08T00:00:00"/>
    <n v="0.2"/>
    <n v="1086.5899999999999"/>
    <n v="1359"/>
  </r>
  <r>
    <x v="141"/>
    <d v="2022-05-08T00:00:00"/>
    <n v="1"/>
    <n v="402.2"/>
    <n v="451"/>
  </r>
  <r>
    <x v="125"/>
    <d v="2022-05-08T00:00:00"/>
    <n v="1"/>
    <n v="23.54"/>
    <n v="29"/>
  </r>
  <r>
    <x v="125"/>
    <d v="2022-05-08T00:00:00"/>
    <n v="1"/>
    <n v="23.54"/>
    <n v="29"/>
  </r>
  <r>
    <x v="125"/>
    <d v="2022-05-08T00:00:00"/>
    <n v="1"/>
    <n v="23.54"/>
    <n v="29"/>
  </r>
  <r>
    <x v="125"/>
    <d v="2022-05-08T00:00:00"/>
    <n v="1"/>
    <n v="23.12"/>
    <n v="29"/>
  </r>
  <r>
    <x v="125"/>
    <d v="2022-05-08T00:00:00"/>
    <n v="1"/>
    <n v="23.12"/>
    <n v="29"/>
  </r>
  <r>
    <x v="60"/>
    <d v="2022-05-08T00:00:00"/>
    <n v="1"/>
    <n v="176.77"/>
    <n v="225"/>
  </r>
  <r>
    <x v="60"/>
    <d v="2022-05-08T00:00:00"/>
    <n v="1"/>
    <n v="176.42"/>
    <n v="207"/>
  </r>
  <r>
    <x v="99"/>
    <d v="2022-05-08T00:00:00"/>
    <n v="1"/>
    <n v="45.33"/>
    <n v="57"/>
  </r>
  <r>
    <x v="155"/>
    <d v="2022-05-08T00:00:00"/>
    <n v="1"/>
    <n v="81.819999999999993"/>
    <n v="99"/>
  </r>
  <r>
    <x v="131"/>
    <d v="2022-05-08T00:00:00"/>
    <n v="1"/>
    <n v="357.97"/>
    <n v="473"/>
  </r>
  <r>
    <x v="141"/>
    <d v="2022-05-08T00:00:00"/>
    <n v="1"/>
    <n v="402.2"/>
    <n v="451"/>
  </r>
  <r>
    <x v="129"/>
    <d v="2022-05-08T00:00:00"/>
    <n v="1"/>
    <n v="27.39"/>
    <n v="42"/>
  </r>
  <r>
    <x v="84"/>
    <d v="2022-05-08T00:00:00"/>
    <n v="1"/>
    <n v="74.37"/>
    <n v="106"/>
  </r>
  <r>
    <x v="73"/>
    <d v="2022-05-08T00:00:00"/>
    <n v="1"/>
    <n v="72.790000000000006"/>
    <n v="91"/>
  </r>
  <r>
    <x v="89"/>
    <d v="2022-05-08T00:00:00"/>
    <n v="1"/>
    <n v="27.31"/>
    <n v="38"/>
  </r>
  <r>
    <x v="89"/>
    <d v="2022-05-08T00:00:00"/>
    <n v="1"/>
    <n v="27.31"/>
    <n v="38"/>
  </r>
  <r>
    <x v="89"/>
    <d v="2022-05-08T00:00:00"/>
    <n v="1"/>
    <n v="27.31"/>
    <n v="38"/>
  </r>
  <r>
    <x v="90"/>
    <d v="2022-05-08T00:00:00"/>
    <n v="0.2"/>
    <n v="128.82"/>
    <n v="196"/>
  </r>
  <r>
    <x v="90"/>
    <d v="2022-05-08T00:00:00"/>
    <n v="0.3"/>
    <n v="130.65"/>
    <n v="199"/>
  </r>
  <r>
    <x v="76"/>
    <d v="2022-05-08T00:00:00"/>
    <n v="1"/>
    <n v="39.68"/>
    <n v="49"/>
  </r>
  <r>
    <x v="2"/>
    <d v="2022-05-08T00:00:00"/>
    <n v="1"/>
    <n v="88.07"/>
    <n v="104"/>
  </r>
  <r>
    <x v="29"/>
    <d v="2022-05-08T00:00:00"/>
    <n v="1"/>
    <n v="205.48"/>
    <n v="237"/>
  </r>
  <r>
    <x v="2"/>
    <d v="2022-05-08T00:00:00"/>
    <n v="1"/>
    <n v="88.07"/>
    <n v="104"/>
  </r>
  <r>
    <x v="2"/>
    <d v="2022-05-08T00:00:00"/>
    <n v="1"/>
    <n v="88.07"/>
    <n v="104"/>
  </r>
  <r>
    <x v="56"/>
    <d v="2022-05-08T00:00:00"/>
    <n v="1"/>
    <n v="33.17"/>
    <n v="53"/>
  </r>
  <r>
    <x v="56"/>
    <d v="2022-05-08T00:00:00"/>
    <n v="1"/>
    <n v="33.17"/>
    <n v="53"/>
  </r>
  <r>
    <x v="42"/>
    <d v="2022-05-08T00:00:00"/>
    <n v="1"/>
    <n v="46.14"/>
    <n v="71"/>
  </r>
  <r>
    <x v="42"/>
    <d v="2022-05-08T00:00:00"/>
    <n v="1"/>
    <n v="46.14"/>
    <n v="71"/>
  </r>
  <r>
    <x v="0"/>
    <d v="2022-05-08T00:00:00"/>
    <n v="1"/>
    <n v="134.41"/>
    <n v="162"/>
  </r>
  <r>
    <x v="107"/>
    <d v="2022-05-08T00:00:00"/>
    <n v="1"/>
    <n v="291.3"/>
    <n v="331"/>
  </r>
  <r>
    <x v="15"/>
    <d v="2022-05-08T00:00:00"/>
    <n v="1"/>
    <n v="25.61"/>
    <n v="35.1"/>
  </r>
  <r>
    <x v="15"/>
    <d v="2022-05-08T00:00:00"/>
    <n v="1"/>
    <n v="25.61"/>
    <n v="35.1"/>
  </r>
  <r>
    <x v="149"/>
    <d v="2022-05-08T00:00:00"/>
    <n v="1"/>
    <n v="120.68"/>
    <n v="133.19999999999999"/>
  </r>
  <r>
    <x v="149"/>
    <d v="2022-05-08T00:00:00"/>
    <n v="1"/>
    <n v="120.68"/>
    <n v="133.19999999999999"/>
  </r>
  <r>
    <x v="79"/>
    <d v="2022-05-08T00:00:00"/>
    <n v="1"/>
    <n v="161.47999999999999"/>
    <n v="202"/>
  </r>
  <r>
    <x v="80"/>
    <d v="2022-05-08T00:00:00"/>
    <n v="1"/>
    <n v="16.739999999999998"/>
    <n v="26"/>
  </r>
  <r>
    <x v="104"/>
    <d v="2022-05-08T00:00:00"/>
    <n v="1"/>
    <n v="86.93"/>
    <n v="97"/>
  </r>
  <r>
    <x v="104"/>
    <d v="2022-05-08T00:00:00"/>
    <n v="1"/>
    <n v="86.93"/>
    <n v="97"/>
  </r>
  <r>
    <x v="104"/>
    <d v="2022-05-08T00:00:00"/>
    <n v="1"/>
    <n v="86.93"/>
    <n v="97"/>
  </r>
  <r>
    <x v="30"/>
    <d v="2022-05-08T00:00:00"/>
    <n v="1"/>
    <n v="30.35"/>
    <n v="48"/>
  </r>
  <r>
    <x v="95"/>
    <d v="2022-05-08T00:00:00"/>
    <n v="1"/>
    <n v="35.49"/>
    <n v="55"/>
  </r>
  <r>
    <x v="119"/>
    <d v="2022-05-08T00:00:00"/>
    <n v="1"/>
    <n v="36.69"/>
    <n v="59"/>
  </r>
  <r>
    <x v="20"/>
    <d v="2022-05-08T00:00:00"/>
    <n v="1"/>
    <n v="151.22"/>
    <n v="181"/>
  </r>
  <r>
    <x v="15"/>
    <d v="2022-05-08T00:00:00"/>
    <n v="1"/>
    <n v="20.23"/>
    <n v="27"/>
  </r>
  <r>
    <x v="155"/>
    <d v="2022-05-07T00:00:00"/>
    <n v="1"/>
    <n v="79.89"/>
    <n v="97"/>
  </r>
  <r>
    <x v="105"/>
    <d v="2022-05-07T00:00:00"/>
    <n v="1"/>
    <n v="206.94"/>
    <n v="276"/>
  </r>
  <r>
    <x v="115"/>
    <d v="2022-05-07T00:00:00"/>
    <n v="1"/>
    <n v="132.26"/>
    <n v="182"/>
  </r>
  <r>
    <x v="1"/>
    <d v="2022-05-07T00:00:00"/>
    <n v="1"/>
    <n v="421.52"/>
    <n v="527"/>
  </r>
  <r>
    <x v="133"/>
    <d v="2022-05-07T00:00:00"/>
    <n v="1"/>
    <n v="46.5"/>
    <n v="75"/>
  </r>
  <r>
    <x v="81"/>
    <d v="2022-05-07T00:00:00"/>
    <n v="2"/>
    <n v="47.4"/>
    <n v="76"/>
  </r>
  <r>
    <x v="51"/>
    <d v="2022-05-07T00:00:00"/>
    <n v="1"/>
    <n v="43.97"/>
    <n v="69"/>
  </r>
  <r>
    <x v="37"/>
    <d v="2022-05-07T00:00:00"/>
    <n v="1"/>
    <n v="588.37"/>
    <n v="659"/>
  </r>
  <r>
    <x v="133"/>
    <d v="2022-05-07T00:00:00"/>
    <n v="2"/>
    <n v="46.5"/>
    <n v="75"/>
  </r>
  <r>
    <x v="54"/>
    <d v="2022-05-07T00:00:00"/>
    <n v="2"/>
    <n v="16.97"/>
    <n v="28"/>
  </r>
  <r>
    <x v="14"/>
    <d v="2022-05-07T00:00:00"/>
    <n v="1"/>
    <n v="81.58"/>
    <n v="102"/>
  </r>
  <r>
    <x v="83"/>
    <d v="2022-05-07T00:00:00"/>
    <n v="1"/>
    <n v="128.1"/>
    <n v="195"/>
  </r>
  <r>
    <x v="90"/>
    <d v="2022-05-07T00:00:00"/>
    <n v="1"/>
    <n v="130.65"/>
    <n v="199"/>
  </r>
  <r>
    <x v="12"/>
    <d v="2022-05-07T00:00:00"/>
    <n v="1"/>
    <n v="385.8"/>
    <n v="463"/>
  </r>
  <r>
    <x v="27"/>
    <d v="2022-05-07T00:00:00"/>
    <n v="1"/>
    <n v="105"/>
    <n v="161"/>
  </r>
  <r>
    <x v="40"/>
    <d v="2022-05-07T00:00:00"/>
    <n v="2"/>
    <n v="27.94"/>
    <n v="45"/>
  </r>
  <r>
    <x v="152"/>
    <d v="2022-05-07T00:00:00"/>
    <n v="3"/>
    <n v="12"/>
    <n v="20"/>
  </r>
  <r>
    <x v="14"/>
    <d v="2022-05-07T00:00:00"/>
    <n v="1"/>
    <n v="82.18"/>
    <n v="103"/>
  </r>
  <r>
    <x v="47"/>
    <d v="2022-05-07T00:00:00"/>
    <n v="1"/>
    <n v="202.33"/>
    <n v="243"/>
  </r>
  <r>
    <x v="130"/>
    <d v="2022-05-07T00:00:00"/>
    <n v="1"/>
    <n v="73.5"/>
    <n v="91"/>
  </r>
  <r>
    <x v="130"/>
    <d v="2022-05-07T00:00:00"/>
    <n v="1"/>
    <n v="73.5"/>
    <n v="91"/>
  </r>
  <r>
    <x v="112"/>
    <d v="2022-05-07T00:00:00"/>
    <n v="1"/>
    <n v="23.14"/>
    <n v="28"/>
  </r>
  <r>
    <x v="112"/>
    <d v="2022-05-07T00:00:00"/>
    <n v="1"/>
    <n v="23.14"/>
    <n v="28"/>
  </r>
  <r>
    <x v="112"/>
    <d v="2022-05-07T00:00:00"/>
    <n v="1"/>
    <n v="23.14"/>
    <n v="28"/>
  </r>
  <r>
    <x v="112"/>
    <d v="2022-05-07T00:00:00"/>
    <n v="1"/>
    <n v="23.14"/>
    <n v="28"/>
  </r>
  <r>
    <x v="112"/>
    <d v="2022-05-07T00:00:00"/>
    <n v="1"/>
    <n v="23.14"/>
    <n v="28"/>
  </r>
  <r>
    <x v="112"/>
    <d v="2022-05-07T00:00:00"/>
    <n v="1"/>
    <n v="23.14"/>
    <n v="28"/>
  </r>
  <r>
    <x v="112"/>
    <d v="2022-05-07T00:00:00"/>
    <n v="1"/>
    <n v="23.14"/>
    <n v="28"/>
  </r>
  <r>
    <x v="112"/>
    <d v="2022-05-07T00:00:00"/>
    <n v="1"/>
    <n v="23.14"/>
    <n v="28"/>
  </r>
  <r>
    <x v="112"/>
    <d v="2022-05-07T00:00:00"/>
    <n v="1"/>
    <n v="23.14"/>
    <n v="28"/>
  </r>
  <r>
    <x v="23"/>
    <d v="2022-05-07T00:00:00"/>
    <n v="1"/>
    <n v="147.80000000000001"/>
    <n v="206"/>
  </r>
  <r>
    <x v="23"/>
    <d v="2022-05-07T00:00:00"/>
    <n v="1"/>
    <n v="149.72999999999999"/>
    <n v="209"/>
  </r>
  <r>
    <x v="23"/>
    <d v="2022-05-07T00:00:00"/>
    <n v="1"/>
    <n v="149.72999999999999"/>
    <n v="209"/>
  </r>
  <r>
    <x v="23"/>
    <d v="2022-05-07T00:00:00"/>
    <n v="1"/>
    <n v="149.72999999999999"/>
    <n v="209"/>
  </r>
  <r>
    <x v="23"/>
    <d v="2022-05-07T00:00:00"/>
    <n v="1"/>
    <n v="149.72999999999999"/>
    <n v="209"/>
  </r>
  <r>
    <x v="35"/>
    <d v="2022-05-07T00:00:00"/>
    <n v="1"/>
    <n v="173.51"/>
    <n v="208"/>
  </r>
  <r>
    <x v="87"/>
    <d v="2022-05-07T00:00:00"/>
    <n v="2"/>
    <n v="6.6"/>
    <n v="9"/>
  </r>
  <r>
    <x v="32"/>
    <d v="2022-05-07T00:00:00"/>
    <n v="1"/>
    <n v="38"/>
    <n v="48"/>
  </r>
  <r>
    <x v="42"/>
    <d v="2022-05-07T00:00:00"/>
    <n v="1"/>
    <n v="43.08"/>
    <n v="67"/>
  </r>
  <r>
    <x v="93"/>
    <d v="2022-05-07T00:00:00"/>
    <n v="1"/>
    <n v="110.73"/>
    <n v="136"/>
  </r>
  <r>
    <x v="35"/>
    <d v="2022-05-07T00:00:00"/>
    <n v="1"/>
    <n v="179.63"/>
    <n v="214"/>
  </r>
  <r>
    <x v="46"/>
    <d v="2022-05-07T00:00:00"/>
    <n v="20"/>
    <n v="2.04"/>
    <n v="4"/>
  </r>
  <r>
    <x v="7"/>
    <d v="2022-05-07T00:00:00"/>
    <n v="1"/>
    <n v="59.39"/>
    <n v="73"/>
  </r>
  <r>
    <x v="61"/>
    <d v="2022-05-07T00:00:00"/>
    <n v="1"/>
    <n v="31.08"/>
    <n v="36"/>
  </r>
  <r>
    <x v="61"/>
    <d v="2022-05-07T00:00:00"/>
    <n v="1"/>
    <n v="31.08"/>
    <n v="36"/>
  </r>
  <r>
    <x v="61"/>
    <d v="2022-05-07T00:00:00"/>
    <n v="1"/>
    <n v="31.08"/>
    <n v="36"/>
  </r>
  <r>
    <x v="23"/>
    <d v="2022-05-07T00:00:00"/>
    <n v="1"/>
    <n v="146.80000000000001"/>
    <n v="213"/>
  </r>
  <r>
    <x v="43"/>
    <d v="2022-05-07T00:00:00"/>
    <n v="1"/>
    <n v="35.200000000000003"/>
    <n v="55"/>
  </r>
  <r>
    <x v="88"/>
    <d v="2022-05-07T00:00:00"/>
    <n v="1"/>
    <n v="67.540000000000006"/>
    <n v="96"/>
  </r>
  <r>
    <x v="114"/>
    <d v="2022-05-07T00:00:00"/>
    <n v="0.17857100000000001"/>
    <n v="632.12"/>
    <n v="698"/>
  </r>
  <r>
    <x v="86"/>
    <d v="2022-05-07T00:00:00"/>
    <n v="1"/>
    <n v="31.28"/>
    <n v="51"/>
  </r>
  <r>
    <x v="69"/>
    <d v="2022-05-07T00:00:00"/>
    <n v="1"/>
    <n v="88.48"/>
    <n v="110"/>
  </r>
  <r>
    <x v="90"/>
    <d v="2022-05-07T00:00:00"/>
    <n v="1"/>
    <n v="129.25"/>
    <n v="203"/>
  </r>
  <r>
    <x v="119"/>
    <d v="2022-05-07T00:00:00"/>
    <n v="1"/>
    <n v="36.06"/>
    <n v="59"/>
  </r>
  <r>
    <x v="153"/>
    <d v="2022-05-07T00:00:00"/>
    <n v="1"/>
    <n v="23.88"/>
    <n v="32"/>
  </r>
  <r>
    <x v="153"/>
    <d v="2022-05-07T00:00:00"/>
    <n v="1"/>
    <n v="23.88"/>
    <n v="32"/>
  </r>
  <r>
    <x v="8"/>
    <d v="2022-05-07T00:00:00"/>
    <n v="1"/>
    <n v="122.17"/>
    <n v="149"/>
  </r>
  <r>
    <x v="109"/>
    <d v="2022-05-07T00:00:00"/>
    <n v="1"/>
    <n v="74.8"/>
    <n v="92"/>
  </r>
  <r>
    <x v="113"/>
    <d v="2022-05-07T00:00:00"/>
    <n v="1"/>
    <n v="10.58"/>
    <n v="13"/>
  </r>
  <r>
    <x v="113"/>
    <d v="2022-05-07T00:00:00"/>
    <n v="1"/>
    <n v="10.79"/>
    <n v="13"/>
  </r>
  <r>
    <x v="113"/>
    <d v="2022-05-07T00:00:00"/>
    <n v="1"/>
    <n v="10.79"/>
    <n v="13"/>
  </r>
  <r>
    <x v="19"/>
    <d v="2022-05-07T00:00:00"/>
    <n v="1"/>
    <n v="106.05"/>
    <n v="125"/>
  </r>
  <r>
    <x v="155"/>
    <d v="2022-05-07T00:00:00"/>
    <n v="1"/>
    <n v="77.989999999999995"/>
    <n v="95"/>
  </r>
  <r>
    <x v="6"/>
    <d v="2022-05-07T00:00:00"/>
    <n v="1"/>
    <n v="24.2"/>
    <n v="39"/>
  </r>
  <r>
    <x v="34"/>
    <d v="2022-05-07T00:00:00"/>
    <n v="4"/>
    <n v="15"/>
    <n v="25"/>
  </r>
  <r>
    <x v="133"/>
    <d v="2022-05-07T00:00:00"/>
    <n v="3"/>
    <n v="46.5"/>
    <n v="76"/>
  </r>
  <r>
    <x v="142"/>
    <d v="2022-05-07T00:00:00"/>
    <n v="1"/>
    <n v="136.07"/>
    <n v="190"/>
  </r>
  <r>
    <x v="127"/>
    <d v="2022-05-07T00:00:00"/>
    <n v="1"/>
    <n v="58.53"/>
    <n v="84"/>
  </r>
  <r>
    <x v="48"/>
    <d v="2022-05-07T00:00:00"/>
    <n v="1"/>
    <n v="23.4"/>
    <n v="38"/>
  </r>
  <r>
    <x v="67"/>
    <d v="2022-05-07T00:00:00"/>
    <n v="1"/>
    <n v="561.70000000000005"/>
    <n v="742"/>
  </r>
  <r>
    <x v="78"/>
    <d v="2022-05-07T00:00:00"/>
    <n v="1"/>
    <n v="207.79"/>
    <n v="244"/>
  </r>
  <r>
    <x v="78"/>
    <d v="2022-05-07T00:00:00"/>
    <n v="1"/>
    <n v="207.31"/>
    <n v="244"/>
  </r>
  <r>
    <x v="57"/>
    <d v="2022-05-07T00:00:00"/>
    <n v="1"/>
    <n v="25.71"/>
    <n v="31"/>
  </r>
  <r>
    <x v="10"/>
    <d v="2022-05-07T00:00:00"/>
    <n v="1"/>
    <n v="48"/>
    <n v="78"/>
  </r>
  <r>
    <x v="26"/>
    <d v="2022-05-07T00:00:00"/>
    <n v="1"/>
    <n v="13.73"/>
    <n v="19"/>
  </r>
  <r>
    <x v="135"/>
    <d v="2022-05-07T00:00:00"/>
    <n v="1"/>
    <n v="158.08000000000001"/>
    <n v="190"/>
  </r>
  <r>
    <x v="2"/>
    <d v="2022-05-07T00:00:00"/>
    <n v="1"/>
    <n v="88.4"/>
    <n v="109"/>
  </r>
  <r>
    <x v="60"/>
    <d v="2022-05-07T00:00:00"/>
    <n v="1"/>
    <n v="176.42"/>
    <n v="207"/>
  </r>
  <r>
    <x v="60"/>
    <d v="2022-05-07T00:00:00"/>
    <n v="1"/>
    <n v="176.42"/>
    <n v="207"/>
  </r>
  <r>
    <x v="110"/>
    <d v="2022-05-07T00:00:00"/>
    <n v="1"/>
    <n v="72.41"/>
    <n v="89"/>
  </r>
  <r>
    <x v="65"/>
    <d v="2022-05-07T00:00:00"/>
    <n v="1"/>
    <n v="163.79"/>
    <n v="198"/>
  </r>
  <r>
    <x v="94"/>
    <d v="2022-05-07T00:00:00"/>
    <n v="1"/>
    <n v="64.25"/>
    <n v="79"/>
  </r>
  <r>
    <x v="21"/>
    <d v="2022-05-07T00:00:00"/>
    <n v="0.1"/>
    <n v="986.87"/>
    <n v="1234"/>
  </r>
  <r>
    <x v="85"/>
    <d v="2022-05-07T00:00:00"/>
    <n v="1"/>
    <n v="383.81"/>
    <n v="461"/>
  </r>
  <r>
    <x v="19"/>
    <d v="2022-05-07T00:00:00"/>
    <n v="1"/>
    <n v="103.96"/>
    <n v="123"/>
  </r>
  <r>
    <x v="60"/>
    <d v="2022-05-07T00:00:00"/>
    <n v="1"/>
    <n v="181.12"/>
    <n v="231"/>
  </r>
  <r>
    <x v="146"/>
    <d v="2022-05-07T00:00:00"/>
    <n v="1"/>
    <n v="26.81"/>
    <n v="32"/>
  </r>
  <r>
    <x v="42"/>
    <d v="2022-05-07T00:00:00"/>
    <n v="1"/>
    <n v="46.14"/>
    <n v="71"/>
  </r>
  <r>
    <x v="16"/>
    <d v="2022-05-07T00:00:00"/>
    <n v="1"/>
    <n v="182.17"/>
    <n v="250"/>
  </r>
  <r>
    <x v="55"/>
    <d v="2022-05-07T00:00:00"/>
    <n v="1"/>
    <n v="64.680000000000007"/>
    <n v="78"/>
  </r>
  <r>
    <x v="80"/>
    <d v="2022-05-07T00:00:00"/>
    <n v="1"/>
    <n v="16.18"/>
    <n v="27"/>
  </r>
  <r>
    <x v="80"/>
    <d v="2022-05-07T00:00:00"/>
    <n v="1"/>
    <n v="16.18"/>
    <n v="27"/>
  </r>
  <r>
    <x v="80"/>
    <d v="2022-05-07T00:00:00"/>
    <n v="1"/>
    <n v="15.95"/>
    <n v="26"/>
  </r>
  <r>
    <x v="80"/>
    <d v="2022-05-07T00:00:00"/>
    <n v="1"/>
    <n v="15.95"/>
    <n v="26"/>
  </r>
  <r>
    <x v="80"/>
    <d v="2022-05-07T00:00:00"/>
    <n v="1"/>
    <n v="15.95"/>
    <n v="26"/>
  </r>
  <r>
    <x v="115"/>
    <d v="2022-05-07T00:00:00"/>
    <n v="1"/>
    <n v="132.56"/>
    <n v="187"/>
  </r>
  <r>
    <x v="54"/>
    <d v="2022-05-07T00:00:00"/>
    <n v="2"/>
    <n v="13.1"/>
    <n v="21"/>
  </r>
  <r>
    <x v="147"/>
    <d v="2022-05-07T00:00:00"/>
    <n v="1"/>
    <n v="104.76"/>
    <n v="131"/>
  </r>
  <r>
    <x v="14"/>
    <d v="2022-05-07T00:00:00"/>
    <n v="1"/>
    <n v="82.18"/>
    <n v="103"/>
  </r>
  <r>
    <x v="14"/>
    <d v="2022-05-07T00:00:00"/>
    <n v="1"/>
    <n v="82.18"/>
    <n v="103"/>
  </r>
  <r>
    <x v="14"/>
    <d v="2022-05-07T00:00:00"/>
    <n v="1"/>
    <n v="82.18"/>
    <n v="103"/>
  </r>
  <r>
    <x v="30"/>
    <d v="2022-05-07T00:00:00"/>
    <n v="1"/>
    <n v="30.35"/>
    <n v="48"/>
  </r>
  <r>
    <x v="43"/>
    <d v="2022-05-07T00:00:00"/>
    <n v="1"/>
    <n v="38.67"/>
    <n v="60"/>
  </r>
  <r>
    <x v="41"/>
    <d v="2022-05-07T00:00:00"/>
    <n v="1"/>
    <n v="19.89"/>
    <n v="24"/>
  </r>
  <r>
    <x v="136"/>
    <d v="2022-05-07T00:00:00"/>
    <n v="5"/>
    <n v="16.38"/>
    <n v="27"/>
  </r>
  <r>
    <x v="40"/>
    <d v="2022-05-07T00:00:00"/>
    <n v="1"/>
    <n v="25.1"/>
    <n v="41"/>
  </r>
  <r>
    <x v="40"/>
    <d v="2022-05-07T00:00:00"/>
    <n v="2"/>
    <n v="26.62"/>
    <n v="44"/>
  </r>
  <r>
    <x v="75"/>
    <d v="2022-05-07T00:00:00"/>
    <n v="1"/>
    <n v="28.19"/>
    <n v="45"/>
  </r>
  <r>
    <x v="75"/>
    <d v="2022-05-07T00:00:00"/>
    <n v="1"/>
    <n v="28.19"/>
    <n v="45"/>
  </r>
  <r>
    <x v="75"/>
    <d v="2022-05-07T00:00:00"/>
    <n v="1"/>
    <n v="28.19"/>
    <n v="45"/>
  </r>
  <r>
    <x v="155"/>
    <d v="2022-05-07T00:00:00"/>
    <n v="1"/>
    <n v="81.87"/>
    <n v="100"/>
  </r>
  <r>
    <x v="149"/>
    <d v="2022-05-07T00:00:00"/>
    <n v="1"/>
    <n v="122.04"/>
    <n v="147"/>
  </r>
  <r>
    <x v="43"/>
    <d v="2022-05-07T00:00:00"/>
    <n v="1"/>
    <n v="39.24"/>
    <n v="60"/>
  </r>
  <r>
    <x v="77"/>
    <d v="2022-05-07T00:00:00"/>
    <n v="1"/>
    <n v="40.1"/>
    <n v="51"/>
  </r>
  <r>
    <x v="55"/>
    <d v="2022-05-07T00:00:00"/>
    <n v="1"/>
    <n v="59.29"/>
    <n v="73"/>
  </r>
  <r>
    <x v="79"/>
    <d v="2022-05-07T00:00:00"/>
    <n v="1"/>
    <n v="168.78"/>
    <n v="195"/>
  </r>
  <r>
    <x v="104"/>
    <d v="2022-05-07T00:00:00"/>
    <n v="1"/>
    <n v="86.93"/>
    <n v="97"/>
  </r>
  <r>
    <x v="60"/>
    <d v="2022-05-07T00:00:00"/>
    <n v="1"/>
    <n v="183.88"/>
    <n v="216"/>
  </r>
  <r>
    <x v="20"/>
    <d v="2022-05-07T00:00:00"/>
    <n v="1"/>
    <n v="147.18"/>
    <n v="177"/>
  </r>
  <r>
    <x v="3"/>
    <d v="2022-05-07T00:00:00"/>
    <n v="1"/>
    <n v="47.03"/>
    <n v="77"/>
  </r>
  <r>
    <x v="98"/>
    <d v="2022-05-07T00:00:00"/>
    <n v="1"/>
    <n v="24.84"/>
    <n v="38"/>
  </r>
  <r>
    <x v="129"/>
    <d v="2022-05-07T00:00:00"/>
    <n v="1"/>
    <n v="28.66"/>
    <n v="44"/>
  </r>
  <r>
    <x v="129"/>
    <d v="2022-05-07T00:00:00"/>
    <n v="1"/>
    <n v="28.66"/>
    <n v="44"/>
  </r>
  <r>
    <x v="35"/>
    <d v="2022-05-07T00:00:00"/>
    <n v="1"/>
    <n v="173.09"/>
    <n v="211"/>
  </r>
  <r>
    <x v="60"/>
    <d v="2022-05-07T00:00:00"/>
    <n v="1"/>
    <n v="176.42"/>
    <n v="207"/>
  </r>
  <r>
    <x v="135"/>
    <d v="2022-05-07T00:00:00"/>
    <n v="1"/>
    <n v="158.29"/>
    <n v="190"/>
  </r>
  <r>
    <x v="24"/>
    <d v="2022-05-07T00:00:00"/>
    <n v="1"/>
    <n v="542.21"/>
    <n v="700"/>
  </r>
  <r>
    <x v="135"/>
    <d v="2022-05-07T00:00:00"/>
    <n v="1"/>
    <n v="158.29"/>
    <n v="190"/>
  </r>
  <r>
    <x v="93"/>
    <d v="2022-05-07T00:00:00"/>
    <n v="1"/>
    <n v="112.36"/>
    <n v="135"/>
  </r>
  <r>
    <x v="92"/>
    <d v="2022-05-07T00:00:00"/>
    <n v="1"/>
    <n v="423.2"/>
    <n v="559"/>
  </r>
  <r>
    <x v="94"/>
    <d v="2022-05-07T00:00:00"/>
    <n v="1"/>
    <n v="64.25"/>
    <n v="76"/>
  </r>
  <r>
    <x v="13"/>
    <d v="2022-05-07T00:00:00"/>
    <n v="1"/>
    <n v="44"/>
    <n v="67"/>
  </r>
  <r>
    <x v="54"/>
    <d v="2022-05-07T00:00:00"/>
    <n v="1"/>
    <n v="13.1"/>
    <n v="21"/>
  </r>
  <r>
    <x v="90"/>
    <d v="2022-05-07T00:00:00"/>
    <n v="0.2"/>
    <n v="130.65"/>
    <n v="199"/>
  </r>
  <r>
    <x v="5"/>
    <d v="2022-05-07T00:00:00"/>
    <n v="1"/>
    <n v="10.34"/>
    <n v="13"/>
  </r>
  <r>
    <x v="30"/>
    <d v="2022-05-07T00:00:00"/>
    <n v="1"/>
    <n v="35"/>
    <n v="54"/>
  </r>
  <r>
    <x v="2"/>
    <d v="2022-05-07T00:00:00"/>
    <n v="1"/>
    <n v="90.39"/>
    <n v="112"/>
  </r>
  <r>
    <x v="155"/>
    <d v="2022-05-07T00:00:00"/>
    <n v="1"/>
    <n v="81.819999999999993"/>
    <n v="99"/>
  </r>
  <r>
    <x v="133"/>
    <d v="2022-05-07T00:00:00"/>
    <n v="1"/>
    <n v="46.5"/>
    <n v="75"/>
  </r>
  <r>
    <x v="2"/>
    <d v="2022-05-07T00:00:00"/>
    <n v="1"/>
    <n v="88.11"/>
    <n v="105"/>
  </r>
  <r>
    <x v="133"/>
    <d v="2022-05-07T00:00:00"/>
    <n v="1"/>
    <n v="46.5"/>
    <n v="76"/>
  </r>
  <r>
    <x v="89"/>
    <d v="2022-05-07T00:00:00"/>
    <n v="1"/>
    <n v="27.31"/>
    <n v="38"/>
  </r>
  <r>
    <x v="89"/>
    <d v="2022-05-07T00:00:00"/>
    <n v="1"/>
    <n v="27.31"/>
    <n v="38"/>
  </r>
  <r>
    <x v="89"/>
    <d v="2022-05-07T00:00:00"/>
    <n v="1"/>
    <n v="27.31"/>
    <n v="38"/>
  </r>
  <r>
    <x v="89"/>
    <d v="2022-05-07T00:00:00"/>
    <n v="1"/>
    <n v="27.31"/>
    <n v="38"/>
  </r>
  <r>
    <x v="89"/>
    <d v="2022-05-07T00:00:00"/>
    <n v="1"/>
    <n v="27.31"/>
    <n v="38"/>
  </r>
  <r>
    <x v="89"/>
    <d v="2022-05-07T00:00:00"/>
    <n v="1"/>
    <n v="27.31"/>
    <n v="38"/>
  </r>
  <r>
    <x v="89"/>
    <d v="2022-05-07T00:00:00"/>
    <n v="1"/>
    <n v="27.31"/>
    <n v="38"/>
  </r>
  <r>
    <x v="89"/>
    <d v="2022-05-07T00:00:00"/>
    <n v="1"/>
    <n v="27.31"/>
    <n v="38"/>
  </r>
  <r>
    <x v="89"/>
    <d v="2022-05-07T00:00:00"/>
    <n v="1"/>
    <n v="27.31"/>
    <n v="38"/>
  </r>
  <r>
    <x v="89"/>
    <d v="2022-05-07T00:00:00"/>
    <n v="1"/>
    <n v="27.31"/>
    <n v="38"/>
  </r>
  <r>
    <x v="90"/>
    <d v="2022-05-07T00:00:00"/>
    <n v="1"/>
    <n v="130.65"/>
    <n v="199"/>
  </r>
  <r>
    <x v="86"/>
    <d v="2022-05-07T00:00:00"/>
    <n v="1"/>
    <n v="34.299999999999997"/>
    <n v="56"/>
  </r>
  <r>
    <x v="152"/>
    <d v="2022-05-07T00:00:00"/>
    <n v="2"/>
    <n v="12"/>
    <n v="20"/>
  </r>
  <r>
    <x v="23"/>
    <d v="2022-05-07T00:00:00"/>
    <n v="1"/>
    <n v="146.80000000000001"/>
    <n v="213"/>
  </r>
  <r>
    <x v="95"/>
    <d v="2022-05-07T00:00:00"/>
    <n v="1"/>
    <n v="35.630000000000003"/>
    <n v="55"/>
  </r>
  <r>
    <x v="95"/>
    <d v="2022-05-07T00:00:00"/>
    <n v="1"/>
    <n v="35.630000000000003"/>
    <n v="55"/>
  </r>
  <r>
    <x v="29"/>
    <d v="2022-05-07T00:00:00"/>
    <n v="1"/>
    <n v="202.75"/>
    <n v="234"/>
  </r>
  <r>
    <x v="133"/>
    <d v="2022-05-07T00:00:00"/>
    <n v="2"/>
    <n v="46.5"/>
    <n v="75"/>
  </r>
  <r>
    <x v="38"/>
    <d v="2022-05-07T00:00:00"/>
    <n v="1"/>
    <n v="146.88999999999999"/>
    <n v="174"/>
  </r>
  <r>
    <x v="13"/>
    <d v="2022-05-07T00:00:00"/>
    <n v="1"/>
    <n v="44"/>
    <n v="67"/>
  </r>
  <r>
    <x v="6"/>
    <d v="2022-05-07T00:00:00"/>
    <n v="1"/>
    <n v="24.2"/>
    <n v="39"/>
  </r>
  <r>
    <x v="43"/>
    <d v="2022-05-07T00:00:00"/>
    <n v="1"/>
    <n v="39.24"/>
    <n v="60"/>
  </r>
  <r>
    <x v="146"/>
    <d v="2022-05-07T00:00:00"/>
    <n v="1"/>
    <n v="23.2"/>
    <n v="29"/>
  </r>
  <r>
    <x v="129"/>
    <d v="2022-05-07T00:00:00"/>
    <n v="1"/>
    <n v="26.49"/>
    <n v="42"/>
  </r>
  <r>
    <x v="93"/>
    <d v="2022-05-07T00:00:00"/>
    <n v="1"/>
    <n v="110.99"/>
    <n v="134"/>
  </r>
  <r>
    <x v="93"/>
    <d v="2022-05-07T00:00:00"/>
    <n v="1"/>
    <n v="110.99"/>
    <n v="134"/>
  </r>
  <r>
    <x v="141"/>
    <d v="2022-05-07T00:00:00"/>
    <n v="1"/>
    <n v="402.79"/>
    <n v="452"/>
  </r>
  <r>
    <x v="80"/>
    <d v="2022-05-07T00:00:00"/>
    <n v="1"/>
    <n v="15.95"/>
    <n v="26"/>
  </r>
  <r>
    <x v="18"/>
    <d v="2022-05-07T00:00:00"/>
    <n v="1"/>
    <n v="110.07"/>
    <n v="124"/>
  </r>
  <r>
    <x v="138"/>
    <d v="2022-05-07T00:00:00"/>
    <n v="1"/>
    <n v="46.01"/>
    <n v="70"/>
  </r>
  <r>
    <x v="38"/>
    <d v="2022-05-07T00:00:00"/>
    <n v="1"/>
    <n v="146.88999999999999"/>
    <n v="174"/>
  </r>
  <r>
    <x v="102"/>
    <d v="2022-05-07T00:00:00"/>
    <n v="1"/>
    <n v="71.16"/>
    <n v="88"/>
  </r>
  <r>
    <x v="20"/>
    <d v="2022-05-07T00:00:00"/>
    <n v="1"/>
    <n v="148.58000000000001"/>
    <n v="179"/>
  </r>
  <r>
    <x v="94"/>
    <d v="2022-05-07T00:00:00"/>
    <n v="1"/>
    <n v="65.31"/>
    <n v="81"/>
  </r>
  <r>
    <x v="20"/>
    <d v="2022-05-07T00:00:00"/>
    <n v="1"/>
    <n v="148.58000000000001"/>
    <n v="179"/>
  </r>
  <r>
    <x v="20"/>
    <d v="2022-05-07T00:00:00"/>
    <n v="1"/>
    <n v="147.47"/>
    <n v="177"/>
  </r>
  <r>
    <x v="33"/>
    <d v="2022-05-07T00:00:00"/>
    <n v="1"/>
    <n v="22.31"/>
    <n v="35"/>
  </r>
  <r>
    <x v="33"/>
    <d v="2022-05-07T00:00:00"/>
    <n v="1"/>
    <n v="22.31"/>
    <n v="35"/>
  </r>
  <r>
    <x v="33"/>
    <d v="2022-05-07T00:00:00"/>
    <n v="1"/>
    <n v="22.31"/>
    <n v="35"/>
  </r>
  <r>
    <x v="17"/>
    <d v="2022-05-07T00:00:00"/>
    <n v="1"/>
    <n v="30.3"/>
    <n v="49"/>
  </r>
  <r>
    <x v="14"/>
    <d v="2022-05-07T00:00:00"/>
    <n v="1"/>
    <n v="80.52"/>
    <n v="103"/>
  </r>
  <r>
    <x v="117"/>
    <d v="2022-05-07T00:00:00"/>
    <n v="1"/>
    <n v="20.82"/>
    <n v="26"/>
  </r>
  <r>
    <x v="135"/>
    <d v="2022-05-07T00:00:00"/>
    <n v="1"/>
    <n v="158.94"/>
    <n v="194"/>
  </r>
  <r>
    <x v="20"/>
    <d v="2022-05-07T00:00:00"/>
    <n v="1"/>
    <n v="147.18"/>
    <n v="177"/>
  </r>
  <r>
    <x v="2"/>
    <d v="2022-05-07T00:00:00"/>
    <n v="1"/>
    <n v="88.11"/>
    <n v="105"/>
  </r>
  <r>
    <x v="152"/>
    <d v="2022-05-07T00:00:00"/>
    <n v="2"/>
    <n v="12"/>
    <n v="20"/>
  </r>
  <r>
    <x v="155"/>
    <d v="2022-05-07T00:00:00"/>
    <n v="1"/>
    <n v="77.989999999999995"/>
    <n v="95"/>
  </r>
  <r>
    <x v="155"/>
    <d v="2022-05-07T00:00:00"/>
    <n v="1"/>
    <n v="77.989999999999995"/>
    <n v="95"/>
  </r>
  <r>
    <x v="155"/>
    <d v="2022-05-07T00:00:00"/>
    <n v="1"/>
    <n v="77.989999999999995"/>
    <n v="95"/>
  </r>
  <r>
    <x v="35"/>
    <d v="2022-05-07T00:00:00"/>
    <n v="1"/>
    <n v="173.51"/>
    <n v="208"/>
  </r>
  <r>
    <x v="38"/>
    <d v="2022-05-07T00:00:00"/>
    <n v="1"/>
    <n v="135.04"/>
    <n v="162"/>
  </r>
  <r>
    <x v="39"/>
    <d v="2022-05-07T00:00:00"/>
    <n v="1"/>
    <n v="64.23"/>
    <n v="100"/>
  </r>
  <r>
    <x v="27"/>
    <d v="2022-05-07T00:00:00"/>
    <n v="0.5"/>
    <n v="150.1"/>
    <n v="229"/>
  </r>
  <r>
    <x v="124"/>
    <d v="2022-05-07T00:00:00"/>
    <n v="0.08"/>
    <n v="496.39"/>
    <n v="597"/>
  </r>
  <r>
    <x v="55"/>
    <d v="2022-05-07T00:00:00"/>
    <n v="1"/>
    <n v="64.680000000000007"/>
    <n v="78"/>
  </r>
  <r>
    <x v="59"/>
    <d v="2022-05-07T00:00:00"/>
    <n v="1"/>
    <n v="198.66"/>
    <n v="273"/>
  </r>
  <r>
    <x v="9"/>
    <d v="2022-05-07T00:00:00"/>
    <n v="0.3"/>
    <n v="596.29"/>
    <n v="746"/>
  </r>
  <r>
    <x v="30"/>
    <d v="2022-05-07T00:00:00"/>
    <n v="1"/>
    <n v="35"/>
    <n v="54"/>
  </r>
  <r>
    <x v="88"/>
    <d v="2022-05-07T00:00:00"/>
    <n v="1"/>
    <n v="65.400000000000006"/>
    <n v="93"/>
  </r>
  <r>
    <x v="78"/>
    <d v="2022-05-07T00:00:00"/>
    <n v="1"/>
    <n v="206.86"/>
    <n v="245"/>
  </r>
  <r>
    <x v="38"/>
    <d v="2022-05-07T00:00:00"/>
    <n v="1"/>
    <n v="135.96"/>
    <n v="163"/>
  </r>
  <r>
    <x v="77"/>
    <d v="2022-05-07T00:00:00"/>
    <n v="1"/>
    <n v="22.32"/>
    <n v="28"/>
  </r>
  <r>
    <x v="30"/>
    <d v="2022-05-07T00:00:00"/>
    <n v="1"/>
    <n v="35"/>
    <n v="54"/>
  </r>
  <r>
    <x v="101"/>
    <d v="2022-05-07T00:00:00"/>
    <n v="1"/>
    <n v="41.1"/>
    <n v="51"/>
  </r>
  <r>
    <x v="18"/>
    <d v="2022-05-07T00:00:00"/>
    <n v="1"/>
    <n v="110.23"/>
    <n v="124"/>
  </r>
  <r>
    <x v="113"/>
    <d v="2022-05-07T00:00:00"/>
    <n v="1"/>
    <n v="10.79"/>
    <n v="13"/>
  </r>
  <r>
    <x v="98"/>
    <d v="2022-05-07T00:00:00"/>
    <n v="1"/>
    <n v="24.84"/>
    <n v="38"/>
  </r>
  <r>
    <x v="46"/>
    <d v="2022-05-07T00:00:00"/>
    <n v="4"/>
    <n v="1.98"/>
    <n v="3.2"/>
  </r>
  <r>
    <x v="155"/>
    <d v="2022-05-07T00:00:00"/>
    <n v="1"/>
    <n v="77.989999999999995"/>
    <n v="95"/>
  </r>
  <r>
    <x v="155"/>
    <d v="2022-05-07T00:00:00"/>
    <n v="1"/>
    <n v="77.989999999999995"/>
    <n v="95"/>
  </r>
  <r>
    <x v="155"/>
    <d v="2022-05-07T00:00:00"/>
    <n v="1"/>
    <n v="77.989999999999995"/>
    <n v="95"/>
  </r>
  <r>
    <x v="155"/>
    <d v="2022-05-07T00:00:00"/>
    <n v="1"/>
    <n v="77.989999999999995"/>
    <n v="95"/>
  </r>
  <r>
    <x v="60"/>
    <d v="2022-05-07T00:00:00"/>
    <n v="1"/>
    <n v="176.42"/>
    <n v="207"/>
  </r>
  <r>
    <x v="30"/>
    <d v="2022-05-07T00:00:00"/>
    <n v="1"/>
    <n v="30.35"/>
    <n v="48"/>
  </r>
  <r>
    <x v="155"/>
    <d v="2022-05-07T00:00:00"/>
    <n v="1"/>
    <n v="81.87"/>
    <n v="100"/>
  </r>
  <r>
    <x v="155"/>
    <d v="2022-05-07T00:00:00"/>
    <n v="1"/>
    <n v="81.819999999999993"/>
    <n v="99"/>
  </r>
  <r>
    <x v="57"/>
    <d v="2022-05-07T00:00:00"/>
    <n v="1"/>
    <n v="24.74"/>
    <n v="30"/>
  </r>
  <r>
    <x v="131"/>
    <d v="2022-05-07T00:00:00"/>
    <n v="1"/>
    <n v="333.53"/>
    <n v="451"/>
  </r>
  <r>
    <x v="26"/>
    <d v="2022-05-07T00:00:00"/>
    <n v="1"/>
    <n v="13.19"/>
    <n v="18"/>
  </r>
  <r>
    <x v="29"/>
    <d v="2022-05-07T00:00:00"/>
    <n v="1"/>
    <n v="200.94"/>
    <n v="232"/>
  </r>
  <r>
    <x v="61"/>
    <d v="2022-05-07T00:00:00"/>
    <n v="2"/>
    <n v="30.93"/>
    <n v="36"/>
  </r>
  <r>
    <x v="3"/>
    <d v="2022-05-07T00:00:00"/>
    <n v="5"/>
    <n v="47.03"/>
    <n v="76"/>
  </r>
  <r>
    <x v="67"/>
    <d v="2022-05-07T00:00:00"/>
    <n v="1"/>
    <n v="558.65"/>
    <n v="738"/>
  </r>
  <r>
    <x v="93"/>
    <d v="2022-05-07T00:00:00"/>
    <n v="1"/>
    <n v="110.73"/>
    <n v="136"/>
  </r>
  <r>
    <x v="17"/>
    <d v="2022-05-07T00:00:00"/>
    <n v="1"/>
    <n v="30.3"/>
    <n v="49"/>
  </r>
  <r>
    <x v="51"/>
    <d v="2022-05-07T00:00:00"/>
    <n v="1"/>
    <n v="43.7"/>
    <n v="67"/>
  </r>
  <r>
    <x v="155"/>
    <d v="2022-05-07T00:00:00"/>
    <n v="1"/>
    <n v="81.87"/>
    <n v="100"/>
  </r>
  <r>
    <x v="117"/>
    <d v="2022-05-07T00:00:00"/>
    <n v="1"/>
    <n v="20.82"/>
    <n v="26"/>
  </r>
  <r>
    <x v="95"/>
    <d v="2022-05-07T00:00:00"/>
    <n v="1"/>
    <n v="37.49"/>
    <n v="59"/>
  </r>
  <r>
    <x v="29"/>
    <d v="2022-05-07T00:00:00"/>
    <n v="1"/>
    <n v="200.94"/>
    <n v="232"/>
  </r>
  <r>
    <x v="94"/>
    <d v="2022-05-07T00:00:00"/>
    <n v="1"/>
    <n v="65.31"/>
    <n v="81"/>
  </r>
  <r>
    <x v="29"/>
    <d v="2022-05-07T00:00:00"/>
    <n v="1"/>
    <n v="205.48"/>
    <n v="237"/>
  </r>
  <r>
    <x v="56"/>
    <d v="2022-05-07T00:00:00"/>
    <n v="1"/>
    <n v="33.28"/>
    <n v="51"/>
  </r>
  <r>
    <x v="48"/>
    <d v="2022-05-07T00:00:00"/>
    <n v="1"/>
    <n v="23.4"/>
    <n v="38"/>
  </r>
  <r>
    <x v="21"/>
    <d v="2022-05-07T00:00:00"/>
    <n v="0.1"/>
    <n v="989.8"/>
    <n v="1238"/>
  </r>
  <r>
    <x v="47"/>
    <d v="2022-05-07T00:00:00"/>
    <n v="1"/>
    <n v="203.72"/>
    <n v="245"/>
  </r>
  <r>
    <x v="10"/>
    <d v="2022-05-07T00:00:00"/>
    <n v="1"/>
    <n v="50.1"/>
    <n v="81"/>
  </r>
  <r>
    <x v="145"/>
    <d v="2022-05-07T00:00:00"/>
    <n v="1"/>
    <n v="77.400000000000006"/>
    <n v="120"/>
  </r>
  <r>
    <x v="122"/>
    <d v="2022-05-07T00:00:00"/>
    <n v="1"/>
    <n v="121"/>
    <n v="169"/>
  </r>
  <r>
    <x v="111"/>
    <d v="2022-05-07T00:00:00"/>
    <n v="1"/>
    <n v="105.41"/>
    <n v="131"/>
  </r>
  <r>
    <x v="42"/>
    <d v="2022-05-07T00:00:00"/>
    <n v="1"/>
    <n v="43.08"/>
    <n v="67"/>
  </r>
  <r>
    <x v="135"/>
    <d v="2022-05-07T00:00:00"/>
    <n v="1"/>
    <n v="158.94"/>
    <n v="194"/>
  </r>
  <r>
    <x v="93"/>
    <d v="2022-05-07T00:00:00"/>
    <n v="1"/>
    <n v="110.73"/>
    <n v="136"/>
  </r>
  <r>
    <x v="12"/>
    <d v="2022-05-07T00:00:00"/>
    <n v="1"/>
    <n v="385.8"/>
    <n v="463"/>
  </r>
  <r>
    <x v="133"/>
    <d v="2022-05-07T00:00:00"/>
    <n v="2"/>
    <n v="46.5"/>
    <n v="75"/>
  </r>
  <r>
    <x v="17"/>
    <d v="2022-05-07T00:00:00"/>
    <n v="1"/>
    <n v="30.3"/>
    <n v="49"/>
  </r>
  <r>
    <x v="141"/>
    <d v="2022-05-07T00:00:00"/>
    <n v="1"/>
    <n v="402.29"/>
    <n v="451"/>
  </r>
  <r>
    <x v="147"/>
    <d v="2022-05-07T00:00:00"/>
    <n v="1"/>
    <n v="106.17"/>
    <n v="133"/>
  </r>
  <r>
    <x v="86"/>
    <d v="2022-05-07T00:00:00"/>
    <n v="1"/>
    <n v="34.299999999999997"/>
    <n v="59"/>
  </r>
  <r>
    <x v="73"/>
    <d v="2022-05-07T00:00:00"/>
    <n v="1"/>
    <n v="83.31"/>
    <n v="101"/>
  </r>
  <r>
    <x v="92"/>
    <d v="2022-05-07T00:00:00"/>
    <n v="1"/>
    <n v="423.61"/>
    <n v="572"/>
  </r>
  <r>
    <x v="9"/>
    <d v="2022-05-07T00:00:00"/>
    <n v="0.2"/>
    <n v="446.41"/>
    <n v="576"/>
  </r>
  <r>
    <x v="15"/>
    <d v="2022-05-07T00:00:00"/>
    <n v="1"/>
    <n v="20"/>
    <n v="25"/>
  </r>
  <r>
    <x v="2"/>
    <d v="2022-05-07T00:00:00"/>
    <n v="1"/>
    <n v="102.85"/>
    <n v="121"/>
  </r>
  <r>
    <x v="93"/>
    <d v="2022-05-07T00:00:00"/>
    <n v="1"/>
    <n v="125.05"/>
    <n v="148"/>
  </r>
  <r>
    <x v="1"/>
    <d v="2022-05-07T00:00:00"/>
    <n v="0.6"/>
    <n v="483.01"/>
    <n v="604"/>
  </r>
  <r>
    <x v="48"/>
    <d v="2022-05-07T00:00:00"/>
    <n v="2"/>
    <n v="23.4"/>
    <n v="38"/>
  </r>
  <r>
    <x v="24"/>
    <d v="2022-05-07T00:00:00"/>
    <n v="1"/>
    <n v="487.23"/>
    <n v="629"/>
  </r>
  <r>
    <x v="1"/>
    <d v="2022-05-07T00:00:00"/>
    <n v="0.2"/>
    <n v="442.51"/>
    <n v="554"/>
  </r>
  <r>
    <x v="155"/>
    <d v="2022-05-07T00:00:00"/>
    <n v="1"/>
    <n v="79.89"/>
    <n v="97"/>
  </r>
  <r>
    <x v="141"/>
    <d v="2022-05-07T00:00:00"/>
    <n v="1"/>
    <n v="423.26"/>
    <n v="559"/>
  </r>
  <r>
    <x v="108"/>
    <d v="2022-05-07T00:00:00"/>
    <n v="1"/>
    <n v="136.57"/>
    <n v="158"/>
  </r>
  <r>
    <x v="89"/>
    <d v="2022-05-07T00:00:00"/>
    <n v="1"/>
    <n v="38.97"/>
    <n v="50"/>
  </r>
  <r>
    <x v="89"/>
    <d v="2022-05-07T00:00:00"/>
    <n v="1"/>
    <n v="38.97"/>
    <n v="50"/>
  </r>
  <r>
    <x v="89"/>
    <d v="2022-05-07T00:00:00"/>
    <n v="1"/>
    <n v="38.97"/>
    <n v="50"/>
  </r>
  <r>
    <x v="89"/>
    <d v="2022-05-07T00:00:00"/>
    <n v="1"/>
    <n v="38.97"/>
    <n v="50"/>
  </r>
  <r>
    <x v="89"/>
    <d v="2022-05-07T00:00:00"/>
    <n v="1"/>
    <n v="38.97"/>
    <n v="50"/>
  </r>
  <r>
    <x v="89"/>
    <d v="2022-05-07T00:00:00"/>
    <n v="1"/>
    <n v="38.97"/>
    <n v="50"/>
  </r>
  <r>
    <x v="126"/>
    <d v="2022-05-07T00:00:00"/>
    <n v="1"/>
    <n v="360"/>
    <n v="476"/>
  </r>
  <r>
    <x v="93"/>
    <d v="2022-05-07T00:00:00"/>
    <n v="1"/>
    <n v="111.85"/>
    <n v="135"/>
  </r>
  <r>
    <x v="101"/>
    <d v="2022-05-07T00:00:00"/>
    <n v="1"/>
    <n v="41.56"/>
    <n v="51"/>
  </r>
  <r>
    <x v="7"/>
    <d v="2022-05-07T00:00:00"/>
    <n v="1"/>
    <n v="64.680000000000007"/>
    <n v="78"/>
  </r>
  <r>
    <x v="43"/>
    <d v="2022-05-07T00:00:00"/>
    <n v="1"/>
    <n v="38.67"/>
    <n v="60"/>
  </r>
  <r>
    <x v="43"/>
    <d v="2022-05-07T00:00:00"/>
    <n v="1"/>
    <n v="38.67"/>
    <n v="60"/>
  </r>
  <r>
    <x v="41"/>
    <d v="2022-05-07T00:00:00"/>
    <n v="1"/>
    <n v="19.89"/>
    <n v="24"/>
  </r>
  <r>
    <x v="92"/>
    <d v="2022-05-07T00:00:00"/>
    <n v="1"/>
    <n v="423.61"/>
    <n v="572"/>
  </r>
  <r>
    <x v="17"/>
    <d v="2022-05-07T00:00:00"/>
    <n v="1"/>
    <n v="30.3"/>
    <n v="49"/>
  </r>
  <r>
    <x v="61"/>
    <d v="2022-05-07T00:00:00"/>
    <n v="1"/>
    <n v="31.08"/>
    <n v="36"/>
  </r>
  <r>
    <x v="57"/>
    <d v="2022-05-07T00:00:00"/>
    <n v="1"/>
    <n v="25.19"/>
    <n v="30"/>
  </r>
  <r>
    <x v="57"/>
    <d v="2022-05-07T00:00:00"/>
    <n v="1"/>
    <n v="25.19"/>
    <n v="30"/>
  </r>
  <r>
    <x v="114"/>
    <d v="2022-05-07T00:00:00"/>
    <n v="3.5714299999999997E-2"/>
    <n v="642"/>
    <n v="708"/>
  </r>
  <r>
    <x v="60"/>
    <d v="2022-05-07T00:00:00"/>
    <n v="1"/>
    <n v="176.77"/>
    <n v="207"/>
  </r>
  <r>
    <x v="90"/>
    <d v="2022-05-07T00:00:00"/>
    <n v="1"/>
    <n v="129.25"/>
    <n v="203"/>
  </r>
  <r>
    <x v="126"/>
    <d v="2022-05-07T00:00:00"/>
    <n v="1"/>
    <n v="361.44"/>
    <n v="416"/>
  </r>
  <r>
    <x v="120"/>
    <d v="2022-05-07T00:00:00"/>
    <n v="1"/>
    <n v="334.02"/>
    <n v="441"/>
  </r>
  <r>
    <x v="88"/>
    <d v="2022-05-07T00:00:00"/>
    <n v="1"/>
    <n v="67.540000000000006"/>
    <n v="101"/>
  </r>
  <r>
    <x v="107"/>
    <d v="2022-05-07T00:00:00"/>
    <n v="1"/>
    <n v="291.42"/>
    <n v="335"/>
  </r>
  <r>
    <x v="140"/>
    <d v="2022-05-07T00:00:00"/>
    <n v="1"/>
    <n v="25.3"/>
    <n v="31"/>
  </r>
  <r>
    <x v="93"/>
    <d v="2022-05-07T00:00:00"/>
    <n v="1"/>
    <n v="110.73"/>
    <n v="134"/>
  </r>
  <r>
    <x v="43"/>
    <d v="2022-05-07T00:00:00"/>
    <n v="1"/>
    <n v="46.72"/>
    <n v="73"/>
  </r>
  <r>
    <x v="13"/>
    <d v="2022-05-07T00:00:00"/>
    <n v="1"/>
    <n v="46"/>
    <n v="72"/>
  </r>
  <r>
    <x v="13"/>
    <d v="2022-05-07T00:00:00"/>
    <n v="1"/>
    <n v="46"/>
    <n v="72"/>
  </r>
  <r>
    <x v="13"/>
    <d v="2022-05-07T00:00:00"/>
    <n v="1"/>
    <n v="46"/>
    <n v="72"/>
  </r>
  <r>
    <x v="13"/>
    <d v="2022-05-07T00:00:00"/>
    <n v="1"/>
    <n v="46"/>
    <n v="72"/>
  </r>
  <r>
    <x v="1"/>
    <d v="2022-05-07T00:00:00"/>
    <n v="0.2"/>
    <n v="409.63"/>
    <n v="513"/>
  </r>
  <r>
    <x v="51"/>
    <d v="2022-05-07T00:00:00"/>
    <n v="1"/>
    <n v="43.97"/>
    <n v="67"/>
  </r>
  <r>
    <x v="111"/>
    <d v="2022-05-07T00:00:00"/>
    <n v="1"/>
    <n v="105.41"/>
    <n v="131"/>
  </r>
  <r>
    <x v="141"/>
    <d v="2022-05-07T00:00:00"/>
    <n v="1"/>
    <n v="406.36"/>
    <n v="456"/>
  </r>
  <r>
    <x v="37"/>
    <d v="2022-05-07T00:00:00"/>
    <n v="1"/>
    <n v="570.19000000000005"/>
    <n v="656"/>
  </r>
  <r>
    <x v="98"/>
    <d v="2022-05-07T00:00:00"/>
    <n v="1"/>
    <n v="41.33"/>
    <n v="65"/>
  </r>
  <r>
    <x v="18"/>
    <d v="2022-05-07T00:00:00"/>
    <n v="1"/>
    <n v="110.08"/>
    <n v="124"/>
  </r>
  <r>
    <x v="97"/>
    <d v="2022-05-07T00:00:00"/>
    <n v="1"/>
    <n v="26.23"/>
    <n v="32"/>
  </r>
  <r>
    <x v="97"/>
    <d v="2022-05-07T00:00:00"/>
    <n v="1"/>
    <n v="26.23"/>
    <n v="32"/>
  </r>
  <r>
    <x v="97"/>
    <d v="2022-05-07T00:00:00"/>
    <n v="1"/>
    <n v="26.23"/>
    <n v="32"/>
  </r>
  <r>
    <x v="97"/>
    <d v="2022-05-07T00:00:00"/>
    <n v="1"/>
    <n v="26.23"/>
    <n v="32"/>
  </r>
  <r>
    <x v="19"/>
    <d v="2022-05-07T00:00:00"/>
    <n v="1"/>
    <n v="101.42"/>
    <n v="119"/>
  </r>
  <r>
    <x v="27"/>
    <d v="2022-05-07T00:00:00"/>
    <n v="0.5"/>
    <n v="103.53"/>
    <n v="159"/>
  </r>
  <r>
    <x v="83"/>
    <d v="2022-05-07T00:00:00"/>
    <n v="0.1"/>
    <n v="128.1"/>
    <n v="195"/>
  </r>
  <r>
    <x v="152"/>
    <d v="2022-05-07T00:00:00"/>
    <n v="1"/>
    <n v="12"/>
    <n v="20"/>
  </r>
  <r>
    <x v="152"/>
    <d v="2022-05-07T00:00:00"/>
    <n v="2"/>
    <n v="12"/>
    <n v="20"/>
  </r>
  <r>
    <x v="129"/>
    <d v="2022-05-07T00:00:00"/>
    <n v="1"/>
    <n v="27.28"/>
    <n v="43"/>
  </r>
  <r>
    <x v="129"/>
    <d v="2022-05-07T00:00:00"/>
    <n v="1"/>
    <n v="27.28"/>
    <n v="43"/>
  </r>
  <r>
    <x v="129"/>
    <d v="2022-05-07T00:00:00"/>
    <n v="1"/>
    <n v="27.28"/>
    <n v="43"/>
  </r>
  <r>
    <x v="87"/>
    <d v="2022-05-07T00:00:00"/>
    <n v="2"/>
    <n v="15"/>
    <n v="20"/>
  </r>
  <r>
    <x v="109"/>
    <d v="2022-05-07T00:00:00"/>
    <n v="1"/>
    <n v="78.099999999999994"/>
    <n v="95"/>
  </r>
  <r>
    <x v="80"/>
    <d v="2022-05-07T00:00:00"/>
    <n v="1"/>
    <n v="16.649999999999999"/>
    <n v="26"/>
  </r>
  <r>
    <x v="122"/>
    <d v="2022-05-07T00:00:00"/>
    <n v="1"/>
    <n v="121"/>
    <n v="169"/>
  </r>
  <r>
    <x v="0"/>
    <d v="2022-05-07T00:00:00"/>
    <n v="1"/>
    <n v="139.6"/>
    <n v="167"/>
  </r>
  <r>
    <x v="19"/>
    <d v="2022-05-07T00:00:00"/>
    <n v="1"/>
    <n v="99.48"/>
    <n v="117"/>
  </r>
  <r>
    <x v="19"/>
    <d v="2022-05-07T00:00:00"/>
    <n v="1"/>
    <n v="99.48"/>
    <n v="117"/>
  </r>
  <r>
    <x v="78"/>
    <d v="2022-05-07T00:00:00"/>
    <n v="1"/>
    <n v="203.17"/>
    <n v="241"/>
  </r>
  <r>
    <x v="60"/>
    <d v="2022-05-07T00:00:00"/>
    <n v="1"/>
    <n v="186.78"/>
    <n v="219"/>
  </r>
  <r>
    <x v="17"/>
    <d v="2022-05-07T00:00:00"/>
    <n v="1"/>
    <n v="30.3"/>
    <n v="49"/>
  </r>
  <r>
    <x v="153"/>
    <d v="2022-05-07T00:00:00"/>
    <n v="1"/>
    <n v="31.12"/>
    <n v="40.26"/>
  </r>
  <r>
    <x v="153"/>
    <d v="2022-05-07T00:00:00"/>
    <n v="1"/>
    <n v="33.770000000000003"/>
    <n v="42.5"/>
  </r>
  <r>
    <x v="153"/>
    <d v="2022-05-07T00:00:00"/>
    <n v="1"/>
    <n v="31.21"/>
    <n v="39"/>
  </r>
  <r>
    <x v="153"/>
    <d v="2022-05-07T00:00:00"/>
    <n v="1"/>
    <n v="31.21"/>
    <n v="39"/>
  </r>
  <r>
    <x v="153"/>
    <d v="2022-05-07T00:00:00"/>
    <n v="1"/>
    <n v="31.21"/>
    <n v="39"/>
  </r>
  <r>
    <x v="18"/>
    <d v="2022-05-07T00:00:00"/>
    <n v="1"/>
    <n v="109.41"/>
    <n v="123"/>
  </r>
  <r>
    <x v="51"/>
    <d v="2022-05-07T00:00:00"/>
    <n v="1"/>
    <n v="43.97"/>
    <n v="67"/>
  </r>
  <r>
    <x v="79"/>
    <d v="2022-05-07T00:00:00"/>
    <n v="1"/>
    <n v="160.66999999999999"/>
    <n v="201"/>
  </r>
  <r>
    <x v="94"/>
    <d v="2022-05-07T00:00:00"/>
    <n v="1"/>
    <n v="64.25"/>
    <n v="76"/>
  </r>
  <r>
    <x v="33"/>
    <d v="2022-05-07T00:00:00"/>
    <n v="1"/>
    <n v="16.760000000000002"/>
    <n v="28"/>
  </r>
  <r>
    <x v="128"/>
    <d v="2022-05-07T00:00:00"/>
    <n v="1"/>
    <n v="6.19"/>
    <n v="11"/>
  </r>
  <r>
    <x v="142"/>
    <d v="2022-05-07T00:00:00"/>
    <n v="1"/>
    <n v="144.71"/>
    <n v="202"/>
  </r>
  <r>
    <x v="60"/>
    <d v="2022-05-07T00:00:00"/>
    <n v="1"/>
    <n v="176.77"/>
    <n v="207"/>
  </r>
  <r>
    <x v="20"/>
    <d v="2022-05-07T00:00:00"/>
    <n v="1"/>
    <n v="147.18"/>
    <n v="177"/>
  </r>
  <r>
    <x v="20"/>
    <d v="2022-05-07T00:00:00"/>
    <n v="1"/>
    <n v="147.18"/>
    <n v="177"/>
  </r>
  <r>
    <x v="141"/>
    <d v="2022-05-07T00:00:00"/>
    <n v="1"/>
    <n v="403.31"/>
    <n v="452"/>
  </r>
  <r>
    <x v="34"/>
    <d v="2022-05-07T00:00:00"/>
    <n v="5"/>
    <n v="9.8800000000000008"/>
    <n v="16"/>
  </r>
  <r>
    <x v="30"/>
    <d v="2022-05-07T00:00:00"/>
    <n v="2"/>
    <n v="30.35"/>
    <n v="48"/>
  </r>
  <r>
    <x v="148"/>
    <d v="2022-05-07T00:00:00"/>
    <n v="1"/>
    <n v="9.4600000000000009"/>
    <n v="11"/>
  </r>
  <r>
    <x v="60"/>
    <d v="2022-05-07T00:00:00"/>
    <n v="1"/>
    <n v="176.42"/>
    <n v="207"/>
  </r>
  <r>
    <x v="60"/>
    <d v="2022-05-07T00:00:00"/>
    <n v="1"/>
    <n v="176.42"/>
    <n v="207"/>
  </r>
  <r>
    <x v="110"/>
    <d v="2022-05-07T00:00:00"/>
    <n v="1"/>
    <n v="71.349999999999994"/>
    <n v="90"/>
  </r>
  <r>
    <x v="119"/>
    <d v="2022-05-07T00:00:00"/>
    <n v="1"/>
    <n v="36.69"/>
    <n v="59"/>
  </r>
  <r>
    <x v="94"/>
    <d v="2022-05-07T00:00:00"/>
    <n v="1"/>
    <n v="64.25"/>
    <n v="79"/>
  </r>
  <r>
    <x v="52"/>
    <d v="2022-05-07T00:00:00"/>
    <n v="1"/>
    <n v="233.76"/>
    <n v="274"/>
  </r>
  <r>
    <x v="2"/>
    <d v="2022-05-07T00:00:00"/>
    <n v="1"/>
    <n v="90.39"/>
    <n v="112"/>
  </r>
  <r>
    <x v="2"/>
    <d v="2022-05-07T00:00:00"/>
    <n v="1"/>
    <n v="90.39"/>
    <n v="112"/>
  </r>
  <r>
    <x v="2"/>
    <d v="2022-05-07T00:00:00"/>
    <n v="1"/>
    <n v="90.39"/>
    <n v="112"/>
  </r>
  <r>
    <x v="2"/>
    <d v="2022-05-07T00:00:00"/>
    <n v="1"/>
    <n v="90.39"/>
    <n v="112"/>
  </r>
  <r>
    <x v="79"/>
    <d v="2022-05-07T00:00:00"/>
    <n v="1"/>
    <n v="160.66999999999999"/>
    <n v="201"/>
  </r>
  <r>
    <x v="11"/>
    <d v="2022-05-07T00:00:00"/>
    <n v="1"/>
    <n v="44.34"/>
    <n v="68"/>
  </r>
  <r>
    <x v="97"/>
    <d v="2022-05-07T00:00:00"/>
    <n v="1"/>
    <n v="27.23"/>
    <n v="33"/>
  </r>
  <r>
    <x v="97"/>
    <d v="2022-05-07T00:00:00"/>
    <n v="1"/>
    <n v="27.23"/>
    <n v="33"/>
  </r>
  <r>
    <x v="97"/>
    <d v="2022-05-07T00:00:00"/>
    <n v="1"/>
    <n v="27.23"/>
    <n v="33"/>
  </r>
  <r>
    <x v="97"/>
    <d v="2022-05-07T00:00:00"/>
    <n v="1"/>
    <n v="27.23"/>
    <n v="33"/>
  </r>
  <r>
    <x v="97"/>
    <d v="2022-05-07T00:00:00"/>
    <n v="1"/>
    <n v="27.23"/>
    <n v="33"/>
  </r>
  <r>
    <x v="97"/>
    <d v="2022-05-07T00:00:00"/>
    <n v="1"/>
    <n v="27.23"/>
    <n v="33"/>
  </r>
  <r>
    <x v="97"/>
    <d v="2022-05-07T00:00:00"/>
    <n v="1"/>
    <n v="27.23"/>
    <n v="33"/>
  </r>
  <r>
    <x v="97"/>
    <d v="2022-05-07T00:00:00"/>
    <n v="1"/>
    <n v="27.23"/>
    <n v="33"/>
  </r>
  <r>
    <x v="97"/>
    <d v="2022-05-07T00:00:00"/>
    <n v="1"/>
    <n v="27.23"/>
    <n v="33"/>
  </r>
  <r>
    <x v="97"/>
    <d v="2022-05-07T00:00:00"/>
    <n v="1"/>
    <n v="27.23"/>
    <n v="33"/>
  </r>
  <r>
    <x v="132"/>
    <d v="2022-05-07T00:00:00"/>
    <n v="1"/>
    <n v="9.42"/>
    <n v="16"/>
  </r>
  <r>
    <x v="80"/>
    <d v="2022-05-07T00:00:00"/>
    <n v="1"/>
    <n v="15.95"/>
    <n v="26"/>
  </r>
  <r>
    <x v="60"/>
    <d v="2022-05-07T00:00:00"/>
    <n v="1"/>
    <n v="181.12"/>
    <n v="227"/>
  </r>
  <r>
    <x v="117"/>
    <d v="2022-05-07T00:00:00"/>
    <n v="1"/>
    <n v="20.46"/>
    <n v="25"/>
  </r>
  <r>
    <x v="2"/>
    <d v="2022-05-07T00:00:00"/>
    <n v="1"/>
    <n v="88.4"/>
    <n v="104"/>
  </r>
  <r>
    <x v="144"/>
    <d v="2022-05-07T00:00:00"/>
    <n v="1"/>
    <n v="225.97"/>
    <n v="317"/>
  </r>
  <r>
    <x v="144"/>
    <d v="2022-05-07T00:00:00"/>
    <n v="1"/>
    <n v="225.97"/>
    <n v="317"/>
  </r>
  <r>
    <x v="144"/>
    <d v="2022-05-07T00:00:00"/>
    <n v="1"/>
    <n v="225.97"/>
    <n v="317"/>
  </r>
  <r>
    <x v="115"/>
    <d v="2022-05-07T00:00:00"/>
    <n v="1"/>
    <n v="132.56"/>
    <n v="187"/>
  </r>
  <r>
    <x v="20"/>
    <d v="2022-05-07T00:00:00"/>
    <n v="1"/>
    <n v="148.58000000000001"/>
    <n v="179"/>
  </r>
  <r>
    <x v="138"/>
    <d v="2022-05-07T00:00:00"/>
    <n v="1"/>
    <n v="51.43"/>
    <n v="81"/>
  </r>
  <r>
    <x v="30"/>
    <d v="2022-05-07T00:00:00"/>
    <n v="1"/>
    <n v="35"/>
    <n v="54"/>
  </r>
  <r>
    <x v="18"/>
    <d v="2022-05-07T00:00:00"/>
    <n v="1"/>
    <n v="110.36"/>
    <n v="124"/>
  </r>
  <r>
    <x v="15"/>
    <d v="2022-05-07T00:00:00"/>
    <n v="1"/>
    <n v="19.71"/>
    <n v="25"/>
  </r>
  <r>
    <x v="15"/>
    <d v="2022-05-07T00:00:00"/>
    <n v="1"/>
    <n v="19.71"/>
    <n v="25"/>
  </r>
  <r>
    <x v="50"/>
    <d v="2022-05-07T00:00:00"/>
    <n v="1"/>
    <n v="78.510000000000005"/>
    <n v="95"/>
  </r>
  <r>
    <x v="50"/>
    <d v="2022-05-07T00:00:00"/>
    <n v="1"/>
    <n v="77.63"/>
    <n v="95"/>
  </r>
  <r>
    <x v="127"/>
    <d v="2022-05-07T00:00:00"/>
    <n v="1"/>
    <n v="67.25"/>
    <n v="99"/>
  </r>
  <r>
    <x v="133"/>
    <d v="2022-05-07T00:00:00"/>
    <n v="2"/>
    <n v="46.5"/>
    <n v="76"/>
  </r>
  <r>
    <x v="133"/>
    <d v="2022-05-07T00:00:00"/>
    <n v="1"/>
    <n v="46.5"/>
    <n v="76"/>
  </r>
  <r>
    <x v="25"/>
    <d v="2022-05-07T00:00:00"/>
    <n v="1"/>
    <n v="156.19999999999999"/>
    <n v="186"/>
  </r>
  <r>
    <x v="2"/>
    <d v="2022-05-07T00:00:00"/>
    <n v="1"/>
    <n v="88.36"/>
    <n v="110"/>
  </r>
  <r>
    <x v="50"/>
    <d v="2022-05-07T00:00:00"/>
    <n v="1"/>
    <n v="78.510000000000005"/>
    <n v="95"/>
  </r>
  <r>
    <x v="135"/>
    <d v="2022-05-07T00:00:00"/>
    <n v="1"/>
    <n v="158.08000000000001"/>
    <n v="190"/>
  </r>
  <r>
    <x v="37"/>
    <d v="2022-05-07T00:00:00"/>
    <n v="1"/>
    <n v="658.64"/>
    <n v="758"/>
  </r>
  <r>
    <x v="51"/>
    <d v="2022-05-07T00:00:00"/>
    <n v="1"/>
    <n v="45.42"/>
    <n v="70"/>
  </r>
  <r>
    <x v="97"/>
    <d v="2022-05-07T00:00:00"/>
    <n v="1"/>
    <n v="27.2"/>
    <n v="33"/>
  </r>
  <r>
    <x v="94"/>
    <d v="2022-05-07T00:00:00"/>
    <n v="1"/>
    <n v="64.25"/>
    <n v="76"/>
  </r>
  <r>
    <x v="19"/>
    <d v="2022-05-06T00:00:00"/>
    <n v="1"/>
    <n v="99.48"/>
    <n v="117"/>
  </r>
  <r>
    <x v="21"/>
    <d v="2022-05-06T00:00:00"/>
    <n v="0.1"/>
    <n v="989.8"/>
    <n v="1238"/>
  </r>
  <r>
    <x v="155"/>
    <d v="2022-05-06T00:00:00"/>
    <n v="1"/>
    <n v="81.87"/>
    <n v="100"/>
  </r>
  <r>
    <x v="43"/>
    <d v="2022-05-06T00:00:00"/>
    <n v="1"/>
    <n v="38.67"/>
    <n v="60"/>
  </r>
  <r>
    <x v="82"/>
    <d v="2022-05-06T00:00:00"/>
    <n v="1"/>
    <n v="348.66"/>
    <n v="395"/>
  </r>
  <r>
    <x v="13"/>
    <d v="2022-05-06T00:00:00"/>
    <n v="1"/>
    <n v="46"/>
    <n v="72"/>
  </r>
  <r>
    <x v="13"/>
    <d v="2022-05-06T00:00:00"/>
    <n v="1"/>
    <n v="46"/>
    <n v="72"/>
  </r>
  <r>
    <x v="98"/>
    <d v="2022-05-06T00:00:00"/>
    <n v="1"/>
    <n v="41.33"/>
    <n v="65"/>
  </r>
  <r>
    <x v="17"/>
    <d v="2022-05-06T00:00:00"/>
    <n v="1"/>
    <n v="30.3"/>
    <n v="49"/>
  </r>
  <r>
    <x v="60"/>
    <d v="2022-05-06T00:00:00"/>
    <n v="1"/>
    <n v="176.42"/>
    <n v="207"/>
  </r>
  <r>
    <x v="10"/>
    <d v="2022-05-06T00:00:00"/>
    <n v="1"/>
    <n v="44.41"/>
    <n v="72"/>
  </r>
  <r>
    <x v="30"/>
    <d v="2022-05-06T00:00:00"/>
    <n v="1"/>
    <n v="30.35"/>
    <n v="48"/>
  </r>
  <r>
    <x v="17"/>
    <d v="2022-05-06T00:00:00"/>
    <n v="1"/>
    <n v="30.3"/>
    <n v="49"/>
  </r>
  <r>
    <x v="106"/>
    <d v="2022-05-06T00:00:00"/>
    <n v="1"/>
    <n v="168.56"/>
    <n v="205"/>
  </r>
  <r>
    <x v="95"/>
    <d v="2022-05-06T00:00:00"/>
    <n v="1"/>
    <n v="35.49"/>
    <n v="54"/>
  </r>
  <r>
    <x v="122"/>
    <d v="2022-05-06T00:00:00"/>
    <n v="1"/>
    <n v="118.82"/>
    <n v="168"/>
  </r>
  <r>
    <x v="26"/>
    <d v="2022-05-06T00:00:00"/>
    <n v="1"/>
    <n v="13.19"/>
    <n v="18"/>
  </r>
  <r>
    <x v="26"/>
    <d v="2022-05-06T00:00:00"/>
    <n v="1"/>
    <n v="13.19"/>
    <n v="18"/>
  </r>
  <r>
    <x v="26"/>
    <d v="2022-05-06T00:00:00"/>
    <n v="1"/>
    <n v="13.19"/>
    <n v="18"/>
  </r>
  <r>
    <x v="26"/>
    <d v="2022-05-06T00:00:00"/>
    <n v="1"/>
    <n v="13.19"/>
    <n v="18"/>
  </r>
  <r>
    <x v="86"/>
    <d v="2022-05-06T00:00:00"/>
    <n v="1"/>
    <n v="30.78"/>
    <n v="50"/>
  </r>
  <r>
    <x v="9"/>
    <d v="2022-05-06T00:00:00"/>
    <n v="1"/>
    <n v="516.22"/>
    <n v="708"/>
  </r>
  <r>
    <x v="43"/>
    <d v="2022-05-06T00:00:00"/>
    <n v="1"/>
    <n v="38.67"/>
    <n v="59"/>
  </r>
  <r>
    <x v="24"/>
    <d v="2022-05-06T00:00:00"/>
    <n v="1"/>
    <n v="484.95"/>
    <n v="626"/>
  </r>
  <r>
    <x v="97"/>
    <d v="2022-05-06T00:00:00"/>
    <n v="1"/>
    <n v="27.5"/>
    <n v="34"/>
  </r>
  <r>
    <x v="97"/>
    <d v="2022-05-06T00:00:00"/>
    <n v="1"/>
    <n v="27.5"/>
    <n v="34"/>
  </r>
  <r>
    <x v="97"/>
    <d v="2022-05-06T00:00:00"/>
    <n v="1"/>
    <n v="27.5"/>
    <n v="34"/>
  </r>
  <r>
    <x v="135"/>
    <d v="2022-05-06T00:00:00"/>
    <n v="1"/>
    <n v="159.22"/>
    <n v="191"/>
  </r>
  <r>
    <x v="19"/>
    <d v="2022-05-06T00:00:00"/>
    <n v="1"/>
    <n v="99.48"/>
    <n v="117"/>
  </r>
  <r>
    <x v="81"/>
    <d v="2022-05-06T00:00:00"/>
    <n v="1"/>
    <n v="47.4"/>
    <n v="76"/>
  </r>
  <r>
    <x v="30"/>
    <d v="2022-05-06T00:00:00"/>
    <n v="1"/>
    <n v="35"/>
    <n v="54"/>
  </r>
  <r>
    <x v="19"/>
    <d v="2022-05-06T00:00:00"/>
    <n v="1"/>
    <n v="99.84"/>
    <n v="122"/>
  </r>
  <r>
    <x v="122"/>
    <d v="2022-05-06T00:00:00"/>
    <n v="1"/>
    <n v="118.8"/>
    <n v="166"/>
  </r>
  <r>
    <x v="88"/>
    <d v="2022-05-06T00:00:00"/>
    <n v="1"/>
    <n v="66.52"/>
    <n v="95"/>
  </r>
  <r>
    <x v="43"/>
    <d v="2022-05-06T00:00:00"/>
    <n v="1"/>
    <n v="38.67"/>
    <n v="60"/>
  </r>
  <r>
    <x v="81"/>
    <d v="2022-05-06T00:00:00"/>
    <n v="2"/>
    <n v="47.4"/>
    <n v="77"/>
  </r>
  <r>
    <x v="59"/>
    <d v="2022-05-06T00:00:00"/>
    <n v="1"/>
    <n v="201.26"/>
    <n v="266"/>
  </r>
  <r>
    <x v="129"/>
    <d v="2022-05-06T00:00:00"/>
    <n v="1"/>
    <n v="26.98"/>
    <n v="42"/>
  </r>
  <r>
    <x v="19"/>
    <d v="2022-05-06T00:00:00"/>
    <n v="1"/>
    <n v="99.47"/>
    <n v="116"/>
  </r>
  <r>
    <x v="94"/>
    <d v="2022-05-06T00:00:00"/>
    <n v="1"/>
    <n v="64.25"/>
    <n v="76"/>
  </r>
  <r>
    <x v="117"/>
    <d v="2022-05-06T00:00:00"/>
    <n v="1"/>
    <n v="20.47"/>
    <n v="25"/>
  </r>
  <r>
    <x v="35"/>
    <d v="2022-05-06T00:00:00"/>
    <n v="1"/>
    <n v="179.63"/>
    <n v="214"/>
  </r>
  <r>
    <x v="21"/>
    <d v="2022-05-06T00:00:00"/>
    <n v="0.33333299999999999"/>
    <n v="986.87"/>
    <n v="1234"/>
  </r>
  <r>
    <x v="17"/>
    <d v="2022-05-06T00:00:00"/>
    <n v="2"/>
    <n v="30.3"/>
    <n v="49"/>
  </r>
  <r>
    <x v="48"/>
    <d v="2022-05-06T00:00:00"/>
    <n v="2"/>
    <n v="23.4"/>
    <n v="38"/>
  </r>
  <r>
    <x v="21"/>
    <d v="2022-05-06T00:00:00"/>
    <n v="0.1"/>
    <n v="987.84"/>
    <n v="1304"/>
  </r>
  <r>
    <x v="3"/>
    <d v="2022-05-06T00:00:00"/>
    <n v="1"/>
    <n v="47.53"/>
    <n v="77"/>
  </r>
  <r>
    <x v="57"/>
    <d v="2022-05-06T00:00:00"/>
    <n v="1"/>
    <n v="25.71"/>
    <n v="31"/>
  </r>
  <r>
    <x v="26"/>
    <d v="2022-05-06T00:00:00"/>
    <n v="1"/>
    <n v="13.73"/>
    <n v="19"/>
  </r>
  <r>
    <x v="51"/>
    <d v="2022-05-06T00:00:00"/>
    <n v="1"/>
    <n v="43.97"/>
    <n v="69"/>
  </r>
  <r>
    <x v="93"/>
    <d v="2022-05-06T00:00:00"/>
    <n v="1"/>
    <n v="111.85"/>
    <n v="135"/>
  </r>
  <r>
    <x v="10"/>
    <d v="2022-05-06T00:00:00"/>
    <n v="1"/>
    <n v="37.85"/>
    <n v="62"/>
  </r>
  <r>
    <x v="13"/>
    <d v="2022-05-06T00:00:00"/>
    <n v="1"/>
    <n v="42"/>
    <n v="64"/>
  </r>
  <r>
    <x v="35"/>
    <d v="2022-05-06T00:00:00"/>
    <n v="1"/>
    <n v="186.52"/>
    <n v="221"/>
  </r>
  <r>
    <x v="117"/>
    <d v="2022-05-06T00:00:00"/>
    <n v="1"/>
    <n v="20.82"/>
    <n v="26"/>
  </r>
  <r>
    <x v="43"/>
    <d v="2022-05-06T00:00:00"/>
    <n v="1"/>
    <n v="42.13"/>
    <n v="60"/>
  </r>
  <r>
    <x v="146"/>
    <d v="2022-05-06T00:00:00"/>
    <n v="1"/>
    <n v="23.2"/>
    <n v="29"/>
  </r>
  <r>
    <x v="146"/>
    <d v="2022-05-06T00:00:00"/>
    <n v="1"/>
    <n v="23.2"/>
    <n v="29"/>
  </r>
  <r>
    <x v="21"/>
    <d v="2022-05-06T00:00:00"/>
    <n v="0.2"/>
    <n v="1086.5899999999999"/>
    <n v="1359"/>
  </r>
  <r>
    <x v="137"/>
    <d v="2022-05-06T00:00:00"/>
    <n v="1"/>
    <n v="12.86"/>
    <n v="15"/>
  </r>
  <r>
    <x v="137"/>
    <d v="2022-05-06T00:00:00"/>
    <n v="1"/>
    <n v="12.86"/>
    <n v="15"/>
  </r>
  <r>
    <x v="23"/>
    <d v="2022-05-06T00:00:00"/>
    <n v="1"/>
    <n v="135.44999999999999"/>
    <n v="191"/>
  </r>
  <r>
    <x v="134"/>
    <d v="2022-05-06T00:00:00"/>
    <n v="1"/>
    <n v="24.18"/>
    <n v="40"/>
  </r>
  <r>
    <x v="19"/>
    <d v="2022-05-06T00:00:00"/>
    <n v="1"/>
    <n v="99.48"/>
    <n v="117"/>
  </r>
  <r>
    <x v="27"/>
    <d v="2022-05-06T00:00:00"/>
    <n v="1"/>
    <n v="150.1"/>
    <n v="229"/>
  </r>
  <r>
    <x v="27"/>
    <d v="2022-05-06T00:00:00"/>
    <n v="1"/>
    <n v="105"/>
    <n v="161"/>
  </r>
  <r>
    <x v="119"/>
    <d v="2022-05-06T00:00:00"/>
    <n v="1"/>
    <n v="36.69"/>
    <n v="59"/>
  </r>
  <r>
    <x v="155"/>
    <d v="2022-05-06T00:00:00"/>
    <n v="1"/>
    <n v="81.819999999999993"/>
    <n v="99"/>
  </r>
  <r>
    <x v="103"/>
    <d v="2022-05-06T00:00:00"/>
    <n v="1"/>
    <n v="29.37"/>
    <n v="45"/>
  </r>
  <r>
    <x v="19"/>
    <d v="2022-05-06T00:00:00"/>
    <n v="1"/>
    <n v="99.48"/>
    <n v="116"/>
  </r>
  <r>
    <x v="19"/>
    <d v="2022-05-06T00:00:00"/>
    <n v="1"/>
    <n v="99.84"/>
    <n v="122"/>
  </r>
  <r>
    <x v="19"/>
    <d v="2022-05-06T00:00:00"/>
    <n v="1"/>
    <n v="99.84"/>
    <n v="122"/>
  </r>
  <r>
    <x v="51"/>
    <d v="2022-05-06T00:00:00"/>
    <n v="1"/>
    <n v="43.7"/>
    <n v="67"/>
  </r>
  <r>
    <x v="122"/>
    <d v="2022-05-06T00:00:00"/>
    <n v="1"/>
    <n v="118.8"/>
    <n v="166"/>
  </r>
  <r>
    <x v="61"/>
    <d v="2022-05-06T00:00:00"/>
    <n v="1"/>
    <n v="30.93"/>
    <n v="36"/>
  </r>
  <r>
    <x v="42"/>
    <d v="2022-05-06T00:00:00"/>
    <n v="1"/>
    <n v="41.58"/>
    <n v="65"/>
  </r>
  <r>
    <x v="19"/>
    <d v="2022-05-06T00:00:00"/>
    <n v="1"/>
    <n v="99.48"/>
    <n v="117"/>
  </r>
  <r>
    <x v="117"/>
    <d v="2022-05-06T00:00:00"/>
    <n v="1"/>
    <n v="21.64"/>
    <n v="27"/>
  </r>
  <r>
    <x v="3"/>
    <d v="2022-05-06T00:00:00"/>
    <n v="1"/>
    <n v="50.12"/>
    <n v="79"/>
  </r>
  <r>
    <x v="65"/>
    <d v="2022-05-06T00:00:00"/>
    <n v="1"/>
    <n v="184.39"/>
    <n v="218"/>
  </r>
  <r>
    <x v="67"/>
    <d v="2022-05-06T00:00:00"/>
    <n v="1"/>
    <n v="561.70000000000005"/>
    <n v="742"/>
  </r>
  <r>
    <x v="67"/>
    <d v="2022-05-06T00:00:00"/>
    <n v="1"/>
    <n v="561.70000000000005"/>
    <n v="742"/>
  </r>
  <r>
    <x v="3"/>
    <d v="2022-05-06T00:00:00"/>
    <n v="1"/>
    <n v="47.53"/>
    <n v="77"/>
  </r>
  <r>
    <x v="129"/>
    <d v="2022-05-06T00:00:00"/>
    <n v="1"/>
    <n v="26.98"/>
    <n v="42"/>
  </r>
  <r>
    <x v="35"/>
    <d v="2022-05-06T00:00:00"/>
    <n v="1"/>
    <n v="173.51"/>
    <n v="208"/>
  </r>
  <r>
    <x v="20"/>
    <d v="2022-05-06T00:00:00"/>
    <n v="1"/>
    <n v="147.18"/>
    <n v="177"/>
  </r>
  <r>
    <x v="90"/>
    <d v="2022-05-06T00:00:00"/>
    <n v="1"/>
    <n v="129.25"/>
    <n v="203"/>
  </r>
  <r>
    <x v="40"/>
    <d v="2022-05-06T00:00:00"/>
    <n v="1"/>
    <n v="27.94"/>
    <n v="45"/>
  </r>
  <r>
    <x v="118"/>
    <d v="2022-05-06T00:00:00"/>
    <n v="1"/>
    <n v="62.29"/>
    <n v="77"/>
  </r>
  <r>
    <x v="118"/>
    <d v="2022-05-06T00:00:00"/>
    <n v="1"/>
    <n v="62.29"/>
    <n v="77"/>
  </r>
  <r>
    <x v="118"/>
    <d v="2022-05-06T00:00:00"/>
    <n v="1"/>
    <n v="62.29"/>
    <n v="77"/>
  </r>
  <r>
    <x v="151"/>
    <d v="2022-05-06T00:00:00"/>
    <n v="1"/>
    <n v="247.83"/>
    <n v="342"/>
  </r>
  <r>
    <x v="87"/>
    <d v="2022-05-06T00:00:00"/>
    <n v="5"/>
    <n v="6.45"/>
    <n v="9"/>
  </r>
  <r>
    <x v="140"/>
    <d v="2022-05-06T00:00:00"/>
    <n v="1"/>
    <n v="25.3"/>
    <n v="31"/>
  </r>
  <r>
    <x v="140"/>
    <d v="2022-05-06T00:00:00"/>
    <n v="1"/>
    <n v="25.3"/>
    <n v="31"/>
  </r>
  <r>
    <x v="120"/>
    <d v="2022-05-06T00:00:00"/>
    <n v="1"/>
    <n v="329.31"/>
    <n v="435"/>
  </r>
  <r>
    <x v="11"/>
    <d v="2022-05-06T00:00:00"/>
    <n v="1"/>
    <n v="44.34"/>
    <n v="68"/>
  </r>
  <r>
    <x v="155"/>
    <d v="2022-05-06T00:00:00"/>
    <n v="1"/>
    <n v="81.87"/>
    <n v="100"/>
  </r>
  <r>
    <x v="155"/>
    <d v="2022-05-06T00:00:00"/>
    <n v="1"/>
    <n v="81.87"/>
    <n v="100"/>
  </r>
  <r>
    <x v="155"/>
    <d v="2022-05-06T00:00:00"/>
    <n v="1"/>
    <n v="81.87"/>
    <n v="100"/>
  </r>
  <r>
    <x v="155"/>
    <d v="2022-05-06T00:00:00"/>
    <n v="1"/>
    <n v="81.87"/>
    <n v="100"/>
  </r>
  <r>
    <x v="155"/>
    <d v="2022-05-06T00:00:00"/>
    <n v="1"/>
    <n v="81.87"/>
    <n v="100"/>
  </r>
  <r>
    <x v="155"/>
    <d v="2022-05-06T00:00:00"/>
    <n v="1"/>
    <n v="81.87"/>
    <n v="100"/>
  </r>
  <r>
    <x v="155"/>
    <d v="2022-05-06T00:00:00"/>
    <n v="1"/>
    <n v="81.87"/>
    <n v="100"/>
  </r>
  <r>
    <x v="155"/>
    <d v="2022-05-06T00:00:00"/>
    <n v="1"/>
    <n v="81.87"/>
    <n v="100"/>
  </r>
  <r>
    <x v="155"/>
    <d v="2022-05-06T00:00:00"/>
    <n v="1"/>
    <n v="81.87"/>
    <n v="100"/>
  </r>
  <r>
    <x v="155"/>
    <d v="2022-05-06T00:00:00"/>
    <n v="1"/>
    <n v="81.87"/>
    <n v="100"/>
  </r>
  <r>
    <x v="48"/>
    <d v="2022-05-06T00:00:00"/>
    <n v="1"/>
    <n v="23.4"/>
    <n v="38"/>
  </r>
  <r>
    <x v="114"/>
    <d v="2022-05-06T00:00:00"/>
    <n v="3.5714299999999997E-2"/>
    <n v="656.19"/>
    <n v="722"/>
  </r>
  <r>
    <x v="136"/>
    <d v="2022-05-06T00:00:00"/>
    <n v="1"/>
    <n v="16.38"/>
    <n v="27"/>
  </r>
  <r>
    <x v="105"/>
    <d v="2022-05-06T00:00:00"/>
    <n v="1"/>
    <n v="209.55"/>
    <n v="294"/>
  </r>
  <r>
    <x v="147"/>
    <d v="2022-05-06T00:00:00"/>
    <n v="1"/>
    <n v="105.12"/>
    <n v="132"/>
  </r>
  <r>
    <x v="89"/>
    <d v="2022-05-06T00:00:00"/>
    <n v="1"/>
    <n v="33.799999999999997"/>
    <n v="46"/>
  </r>
  <r>
    <x v="18"/>
    <d v="2022-05-06T00:00:00"/>
    <n v="1"/>
    <n v="129.53"/>
    <n v="143"/>
  </r>
  <r>
    <x v="63"/>
    <d v="2022-05-06T00:00:00"/>
    <n v="1"/>
    <n v="62.36"/>
    <n v="93"/>
  </r>
  <r>
    <x v="63"/>
    <d v="2022-05-06T00:00:00"/>
    <n v="1"/>
    <n v="62.36"/>
    <n v="93"/>
  </r>
  <r>
    <x v="98"/>
    <d v="2022-05-06T00:00:00"/>
    <n v="1"/>
    <n v="52.65"/>
    <n v="83"/>
  </r>
  <r>
    <x v="98"/>
    <d v="2022-05-06T00:00:00"/>
    <n v="1"/>
    <n v="52.65"/>
    <n v="83"/>
  </r>
  <r>
    <x v="98"/>
    <d v="2022-05-06T00:00:00"/>
    <n v="1"/>
    <n v="52.65"/>
    <n v="83"/>
  </r>
  <r>
    <x v="3"/>
    <d v="2022-05-06T00:00:00"/>
    <n v="1"/>
    <n v="47.53"/>
    <n v="77"/>
  </r>
  <r>
    <x v="152"/>
    <d v="2022-05-06T00:00:00"/>
    <n v="1"/>
    <n v="12"/>
    <n v="20"/>
  </r>
  <r>
    <x v="115"/>
    <d v="2022-05-06T00:00:00"/>
    <n v="1"/>
    <n v="132.56"/>
    <n v="185"/>
  </r>
  <r>
    <x v="8"/>
    <d v="2022-05-06T00:00:00"/>
    <n v="1"/>
    <n v="132.29"/>
    <n v="157"/>
  </r>
  <r>
    <x v="8"/>
    <d v="2022-05-06T00:00:00"/>
    <n v="1"/>
    <n v="122.17"/>
    <n v="149"/>
  </r>
  <r>
    <x v="93"/>
    <d v="2022-05-06T00:00:00"/>
    <n v="1"/>
    <n v="110.84"/>
    <n v="134"/>
  </r>
  <r>
    <x v="14"/>
    <d v="2022-05-06T00:00:00"/>
    <n v="1"/>
    <n v="81.83"/>
    <n v="102"/>
  </r>
  <r>
    <x v="56"/>
    <d v="2022-05-06T00:00:00"/>
    <n v="1"/>
    <n v="32.97"/>
    <n v="51"/>
  </r>
  <r>
    <x v="3"/>
    <d v="2022-05-06T00:00:00"/>
    <n v="1"/>
    <n v="47.53"/>
    <n v="77"/>
  </r>
  <r>
    <x v="46"/>
    <d v="2022-05-06T00:00:00"/>
    <n v="19"/>
    <n v="1.98"/>
    <n v="3.2"/>
  </r>
  <r>
    <x v="46"/>
    <d v="2022-05-06T00:00:00"/>
    <n v="1"/>
    <n v="1.98"/>
    <n v="3.2"/>
  </r>
  <r>
    <x v="21"/>
    <d v="2022-05-06T00:00:00"/>
    <n v="0.1"/>
    <n v="1086.5899999999999"/>
    <n v="1359"/>
  </r>
  <r>
    <x v="51"/>
    <d v="2022-05-06T00:00:00"/>
    <n v="1"/>
    <n v="45.42"/>
    <n v="70"/>
  </r>
  <r>
    <x v="52"/>
    <d v="2022-05-06T00:00:00"/>
    <n v="1"/>
    <n v="233.76"/>
    <n v="274"/>
  </r>
  <r>
    <x v="129"/>
    <d v="2022-05-06T00:00:00"/>
    <n v="1"/>
    <n v="27.39"/>
    <n v="42"/>
  </r>
  <r>
    <x v="129"/>
    <d v="2022-05-06T00:00:00"/>
    <n v="1"/>
    <n v="27.39"/>
    <n v="42"/>
  </r>
  <r>
    <x v="78"/>
    <d v="2022-05-06T00:00:00"/>
    <n v="1"/>
    <n v="207.68"/>
    <n v="246"/>
  </r>
  <r>
    <x v="41"/>
    <d v="2022-05-06T00:00:00"/>
    <n v="1"/>
    <n v="20.03"/>
    <n v="24"/>
  </r>
  <r>
    <x v="78"/>
    <d v="2022-05-06T00:00:00"/>
    <n v="1"/>
    <n v="203.17"/>
    <n v="241"/>
  </r>
  <r>
    <x v="19"/>
    <d v="2022-05-06T00:00:00"/>
    <n v="1"/>
    <n v="101.42"/>
    <n v="120"/>
  </r>
  <r>
    <x v="147"/>
    <d v="2022-05-06T00:00:00"/>
    <n v="1"/>
    <n v="105.12"/>
    <n v="132"/>
  </r>
  <r>
    <x v="62"/>
    <d v="2022-05-06T00:00:00"/>
    <n v="1"/>
    <n v="53.95"/>
    <n v="77"/>
  </r>
  <r>
    <x v="122"/>
    <d v="2022-05-06T00:00:00"/>
    <n v="1"/>
    <n v="117.61"/>
    <n v="164"/>
  </r>
  <r>
    <x v="136"/>
    <d v="2022-05-06T00:00:00"/>
    <n v="1"/>
    <n v="16.38"/>
    <n v="27"/>
  </r>
  <r>
    <x v="114"/>
    <d v="2022-05-06T00:00:00"/>
    <n v="3.5714299999999997E-2"/>
    <n v="642"/>
    <n v="708"/>
  </r>
  <r>
    <x v="85"/>
    <d v="2022-05-06T00:00:00"/>
    <n v="1"/>
    <n v="384.2"/>
    <n v="462"/>
  </r>
  <r>
    <x v="5"/>
    <d v="2022-05-06T00:00:00"/>
    <n v="1"/>
    <n v="10.34"/>
    <n v="13"/>
  </r>
  <r>
    <x v="5"/>
    <d v="2022-05-06T00:00:00"/>
    <n v="1"/>
    <n v="10.34"/>
    <n v="13"/>
  </r>
  <r>
    <x v="69"/>
    <d v="2022-05-06T00:00:00"/>
    <n v="1"/>
    <n v="89.28"/>
    <n v="111"/>
  </r>
  <r>
    <x v="18"/>
    <d v="2022-05-06T00:00:00"/>
    <n v="1"/>
    <n v="112.85"/>
    <n v="127"/>
  </r>
  <r>
    <x v="129"/>
    <d v="2022-05-06T00:00:00"/>
    <n v="1"/>
    <n v="28.66"/>
    <n v="44"/>
  </r>
  <r>
    <x v="129"/>
    <d v="2022-05-06T00:00:00"/>
    <n v="1"/>
    <n v="28.66"/>
    <n v="44"/>
  </r>
  <r>
    <x v="129"/>
    <d v="2022-05-06T00:00:00"/>
    <n v="1"/>
    <n v="28.66"/>
    <n v="44"/>
  </r>
  <r>
    <x v="37"/>
    <d v="2022-05-06T00:00:00"/>
    <n v="1"/>
    <n v="559.34"/>
    <n v="644"/>
  </r>
  <r>
    <x v="20"/>
    <d v="2022-05-06T00:00:00"/>
    <n v="1"/>
    <n v="147.4"/>
    <n v="180"/>
  </r>
  <r>
    <x v="135"/>
    <d v="2022-05-06T00:00:00"/>
    <n v="1"/>
    <n v="159.22"/>
    <n v="191"/>
  </r>
  <r>
    <x v="152"/>
    <d v="2022-05-06T00:00:00"/>
    <n v="2"/>
    <n v="12"/>
    <n v="20"/>
  </r>
  <r>
    <x v="14"/>
    <d v="2022-05-06T00:00:00"/>
    <n v="1"/>
    <n v="80.52"/>
    <n v="103"/>
  </r>
  <r>
    <x v="14"/>
    <d v="2022-05-06T00:00:00"/>
    <n v="1"/>
    <n v="80.52"/>
    <n v="103"/>
  </r>
  <r>
    <x v="34"/>
    <d v="2022-05-06T00:00:00"/>
    <n v="2"/>
    <n v="16"/>
    <n v="26"/>
  </r>
  <r>
    <x v="155"/>
    <d v="2022-05-06T00:00:00"/>
    <n v="1"/>
    <n v="81.819999999999993"/>
    <n v="99"/>
  </r>
  <r>
    <x v="155"/>
    <d v="2022-05-06T00:00:00"/>
    <n v="1"/>
    <n v="81.819999999999993"/>
    <n v="99"/>
  </r>
  <r>
    <x v="1"/>
    <d v="2022-05-06T00:00:00"/>
    <n v="1"/>
    <n v="442.51"/>
    <n v="554"/>
  </r>
  <r>
    <x v="20"/>
    <d v="2022-05-06T00:00:00"/>
    <n v="1"/>
    <n v="150.25"/>
    <n v="180"/>
  </r>
  <r>
    <x v="21"/>
    <d v="2022-05-06T00:00:00"/>
    <n v="0.3"/>
    <n v="1086.5899999999999"/>
    <n v="1359"/>
  </r>
  <r>
    <x v="39"/>
    <d v="2022-05-06T00:00:00"/>
    <n v="1"/>
    <n v="64.23"/>
    <n v="100"/>
  </r>
  <r>
    <x v="23"/>
    <d v="2022-05-06T00:00:00"/>
    <n v="1"/>
    <n v="147.80000000000001"/>
    <n v="206"/>
  </r>
  <r>
    <x v="52"/>
    <d v="2022-05-06T00:00:00"/>
    <n v="1"/>
    <n v="243.39"/>
    <n v="285"/>
  </r>
  <r>
    <x v="18"/>
    <d v="2022-05-06T00:00:00"/>
    <n v="1"/>
    <n v="109.41"/>
    <n v="123"/>
  </r>
  <r>
    <x v="55"/>
    <d v="2022-05-06T00:00:00"/>
    <n v="1"/>
    <n v="59.29"/>
    <n v="73"/>
  </r>
  <r>
    <x v="85"/>
    <d v="2022-05-06T00:00:00"/>
    <n v="1"/>
    <n v="384.2"/>
    <n v="462"/>
  </r>
  <r>
    <x v="19"/>
    <d v="2022-05-06T00:00:00"/>
    <n v="1"/>
    <n v="99.48"/>
    <n v="117"/>
  </r>
  <r>
    <x v="129"/>
    <d v="2022-05-06T00:00:00"/>
    <n v="1"/>
    <n v="26.98"/>
    <n v="42"/>
  </r>
  <r>
    <x v="129"/>
    <d v="2022-05-06T00:00:00"/>
    <n v="1"/>
    <n v="26.98"/>
    <n v="42"/>
  </r>
  <r>
    <x v="129"/>
    <d v="2022-05-06T00:00:00"/>
    <n v="1"/>
    <n v="26.98"/>
    <n v="42"/>
  </r>
  <r>
    <x v="13"/>
    <d v="2022-05-06T00:00:00"/>
    <n v="1"/>
    <n v="44"/>
    <n v="67"/>
  </r>
  <r>
    <x v="42"/>
    <d v="2022-05-06T00:00:00"/>
    <n v="1"/>
    <n v="41.58"/>
    <n v="65"/>
  </r>
  <r>
    <x v="16"/>
    <d v="2022-05-06T00:00:00"/>
    <n v="1"/>
    <n v="182.17"/>
    <n v="250"/>
  </r>
  <r>
    <x v="82"/>
    <d v="2022-05-06T00:00:00"/>
    <n v="1"/>
    <n v="348.66"/>
    <n v="395"/>
  </r>
  <r>
    <x v="19"/>
    <d v="2022-05-06T00:00:00"/>
    <n v="1"/>
    <n v="99.84"/>
    <n v="122"/>
  </r>
  <r>
    <x v="49"/>
    <d v="2022-05-06T00:00:00"/>
    <n v="1"/>
    <n v="651.07000000000005"/>
    <n v="840"/>
  </r>
  <r>
    <x v="60"/>
    <d v="2022-05-06T00:00:00"/>
    <n v="1"/>
    <n v="186.78"/>
    <n v="219"/>
  </r>
  <r>
    <x v="107"/>
    <d v="2022-05-06T00:00:00"/>
    <n v="1"/>
    <n v="291.3"/>
    <n v="345"/>
  </r>
  <r>
    <x v="9"/>
    <d v="2022-05-06T00:00:00"/>
    <n v="0.3"/>
    <n v="512.91"/>
    <n v="688"/>
  </r>
  <r>
    <x v="120"/>
    <d v="2022-05-06T00:00:00"/>
    <n v="1"/>
    <n v="334.02"/>
    <n v="441"/>
  </r>
  <r>
    <x v="149"/>
    <d v="2022-05-06T00:00:00"/>
    <n v="1"/>
    <n v="123.48"/>
    <n v="148"/>
  </r>
  <r>
    <x v="149"/>
    <d v="2022-05-06T00:00:00"/>
    <n v="1"/>
    <n v="123.48"/>
    <n v="148"/>
  </r>
  <r>
    <x v="19"/>
    <d v="2022-05-06T00:00:00"/>
    <n v="1"/>
    <n v="99.48"/>
    <n v="116"/>
  </r>
  <r>
    <x v="110"/>
    <d v="2022-05-06T00:00:00"/>
    <n v="1"/>
    <n v="71.150000000000006"/>
    <n v="88"/>
  </r>
  <r>
    <x v="3"/>
    <d v="2022-05-06T00:00:00"/>
    <n v="1"/>
    <n v="47.53"/>
    <n v="77"/>
  </r>
  <r>
    <x v="80"/>
    <d v="2022-05-06T00:00:00"/>
    <n v="1"/>
    <n v="15.95"/>
    <n v="25"/>
  </r>
  <r>
    <x v="80"/>
    <d v="2022-05-06T00:00:00"/>
    <n v="1"/>
    <n v="15.95"/>
    <n v="25"/>
  </r>
  <r>
    <x v="80"/>
    <d v="2022-05-06T00:00:00"/>
    <n v="1"/>
    <n v="15.95"/>
    <n v="25"/>
  </r>
  <r>
    <x v="16"/>
    <d v="2022-05-06T00:00:00"/>
    <n v="1"/>
    <n v="185.31"/>
    <n v="262"/>
  </r>
  <r>
    <x v="133"/>
    <d v="2022-05-06T00:00:00"/>
    <n v="6"/>
    <n v="46.5"/>
    <n v="75"/>
  </r>
  <r>
    <x v="95"/>
    <d v="2022-05-06T00:00:00"/>
    <n v="1"/>
    <n v="31.64"/>
    <n v="49"/>
  </r>
  <r>
    <x v="21"/>
    <d v="2022-05-06T00:00:00"/>
    <n v="0.1"/>
    <n v="987.84"/>
    <n v="1304"/>
  </r>
  <r>
    <x v="21"/>
    <d v="2022-05-06T00:00:00"/>
    <n v="0.2"/>
    <n v="989.8"/>
    <n v="1277"/>
  </r>
  <r>
    <x v="124"/>
    <d v="2022-05-06T00:00:00"/>
    <n v="0.04"/>
    <n v="513.71"/>
    <n v="566"/>
  </r>
  <r>
    <x v="82"/>
    <d v="2022-05-06T00:00:00"/>
    <n v="1"/>
    <n v="315.33"/>
    <n v="380"/>
  </r>
  <r>
    <x v="136"/>
    <d v="2022-05-06T00:00:00"/>
    <n v="1"/>
    <n v="10.67"/>
    <n v="18"/>
  </r>
  <r>
    <x v="80"/>
    <d v="2022-05-06T00:00:00"/>
    <n v="1"/>
    <n v="16.739999999999998"/>
    <n v="26"/>
  </r>
  <r>
    <x v="80"/>
    <d v="2022-05-06T00:00:00"/>
    <n v="1"/>
    <n v="16.739999999999998"/>
    <n v="26"/>
  </r>
  <r>
    <x v="80"/>
    <d v="2022-05-06T00:00:00"/>
    <n v="1"/>
    <n v="16.739999999999998"/>
    <n v="26"/>
  </r>
  <r>
    <x v="80"/>
    <d v="2022-05-06T00:00:00"/>
    <n v="1"/>
    <n v="16.739999999999998"/>
    <n v="26"/>
  </r>
  <r>
    <x v="65"/>
    <d v="2022-05-06T00:00:00"/>
    <n v="1"/>
    <n v="170.9"/>
    <n v="205"/>
  </r>
  <r>
    <x v="52"/>
    <d v="2022-05-06T00:00:00"/>
    <n v="1"/>
    <n v="276.29000000000002"/>
    <n v="307"/>
  </r>
  <r>
    <x v="40"/>
    <d v="2022-05-06T00:00:00"/>
    <n v="1"/>
    <n v="27.94"/>
    <n v="45"/>
  </r>
  <r>
    <x v="129"/>
    <d v="2022-05-06T00:00:00"/>
    <n v="1"/>
    <n v="27.39"/>
    <n v="42"/>
  </r>
  <r>
    <x v="129"/>
    <d v="2022-05-06T00:00:00"/>
    <n v="1"/>
    <n v="26.98"/>
    <n v="42"/>
  </r>
  <r>
    <x v="38"/>
    <d v="2022-05-06T00:00:00"/>
    <n v="1"/>
    <n v="135.96"/>
    <n v="163"/>
  </r>
  <r>
    <x v="19"/>
    <d v="2022-05-06T00:00:00"/>
    <n v="1"/>
    <n v="107.41"/>
    <n v="126"/>
  </r>
  <r>
    <x v="43"/>
    <d v="2022-05-06T00:00:00"/>
    <n v="1"/>
    <n v="38.67"/>
    <n v="59"/>
  </r>
  <r>
    <x v="43"/>
    <d v="2022-05-06T00:00:00"/>
    <n v="1"/>
    <n v="38.67"/>
    <n v="59"/>
  </r>
  <r>
    <x v="126"/>
    <d v="2022-05-06T00:00:00"/>
    <n v="1"/>
    <n v="361.08"/>
    <n v="416"/>
  </r>
  <r>
    <x v="21"/>
    <d v="2022-05-06T00:00:00"/>
    <n v="0.2"/>
    <n v="987.84"/>
    <n v="1354"/>
  </r>
  <r>
    <x v="40"/>
    <d v="2022-05-06T00:00:00"/>
    <n v="1"/>
    <n v="25.59"/>
    <n v="45"/>
  </r>
  <r>
    <x v="24"/>
    <d v="2022-05-06T00:00:00"/>
    <n v="1"/>
    <n v="480.05"/>
    <n v="658"/>
  </r>
  <r>
    <x v="93"/>
    <d v="2022-05-06T00:00:00"/>
    <n v="1"/>
    <n v="111.85"/>
    <n v="135"/>
  </r>
  <r>
    <x v="27"/>
    <d v="2022-05-06T00:00:00"/>
    <n v="1"/>
    <n v="125.73"/>
    <n v="198"/>
  </r>
  <r>
    <x v="145"/>
    <d v="2022-05-06T00:00:00"/>
    <n v="2"/>
    <n v="77.400000000000006"/>
    <n v="124"/>
  </r>
  <r>
    <x v="145"/>
    <d v="2022-05-06T00:00:00"/>
    <n v="1"/>
    <n v="77.400000000000006"/>
    <n v="124"/>
  </r>
  <r>
    <x v="61"/>
    <d v="2022-05-06T00:00:00"/>
    <n v="1"/>
    <n v="31.08"/>
    <n v="36"/>
  </r>
  <r>
    <x v="21"/>
    <d v="2022-05-06T00:00:00"/>
    <n v="0.16666700000000001"/>
    <n v="986.87"/>
    <n v="1234"/>
  </r>
  <r>
    <x v="33"/>
    <d v="2022-05-06T00:00:00"/>
    <n v="1"/>
    <n v="27.64"/>
    <n v="43"/>
  </r>
  <r>
    <x v="33"/>
    <d v="2022-05-06T00:00:00"/>
    <n v="1"/>
    <n v="27.64"/>
    <n v="43"/>
  </r>
  <r>
    <x v="85"/>
    <d v="2022-05-06T00:00:00"/>
    <n v="1"/>
    <n v="384.2"/>
    <n v="462"/>
  </r>
  <r>
    <x v="87"/>
    <d v="2022-05-06T00:00:00"/>
    <n v="10"/>
    <n v="6.18"/>
    <n v="9"/>
  </r>
  <r>
    <x v="45"/>
    <d v="2022-05-06T00:00:00"/>
    <n v="1"/>
    <n v="45.74"/>
    <n v="56"/>
  </r>
  <r>
    <x v="82"/>
    <d v="2022-05-06T00:00:00"/>
    <n v="1"/>
    <n v="348.66"/>
    <n v="395"/>
  </r>
  <r>
    <x v="118"/>
    <d v="2022-05-06T00:00:00"/>
    <n v="1"/>
    <n v="63.6"/>
    <n v="79"/>
  </r>
  <r>
    <x v="19"/>
    <d v="2022-05-06T00:00:00"/>
    <n v="1"/>
    <n v="102.96"/>
    <n v="119"/>
  </r>
  <r>
    <x v="24"/>
    <d v="2022-05-06T00:00:00"/>
    <n v="1"/>
    <n v="546.26"/>
    <n v="572"/>
  </r>
  <r>
    <x v="76"/>
    <d v="2022-05-06T00:00:00"/>
    <n v="1"/>
    <n v="39.68"/>
    <n v="49"/>
  </r>
  <r>
    <x v="13"/>
    <d v="2022-05-06T00:00:00"/>
    <n v="1"/>
    <n v="44"/>
    <n v="67"/>
  </r>
  <r>
    <x v="13"/>
    <d v="2022-05-06T00:00:00"/>
    <n v="1"/>
    <n v="44"/>
    <n v="67"/>
  </r>
  <r>
    <x v="1"/>
    <d v="2022-05-06T00:00:00"/>
    <n v="1"/>
    <n v="427.35"/>
    <n v="535"/>
  </r>
  <r>
    <x v="136"/>
    <d v="2022-05-06T00:00:00"/>
    <n v="1"/>
    <n v="16.38"/>
    <n v="27"/>
  </r>
  <r>
    <x v="136"/>
    <d v="2022-05-06T00:00:00"/>
    <n v="2"/>
    <n v="16.38"/>
    <n v="27"/>
  </r>
  <r>
    <x v="58"/>
    <d v="2022-05-06T00:00:00"/>
    <n v="1"/>
    <n v="73.3"/>
    <n v="88"/>
  </r>
  <r>
    <x v="42"/>
    <d v="2022-05-06T00:00:00"/>
    <n v="1"/>
    <n v="43.49"/>
    <n v="69"/>
  </r>
  <r>
    <x v="7"/>
    <d v="2022-05-06T00:00:00"/>
    <n v="1"/>
    <n v="56.84"/>
    <n v="70"/>
  </r>
  <r>
    <x v="7"/>
    <d v="2022-05-06T00:00:00"/>
    <n v="1"/>
    <n v="56.84"/>
    <n v="70"/>
  </r>
  <r>
    <x v="25"/>
    <d v="2022-05-06T00:00:00"/>
    <n v="1"/>
    <n v="156.19999999999999"/>
    <n v="186"/>
  </r>
  <r>
    <x v="25"/>
    <d v="2022-05-06T00:00:00"/>
    <n v="1"/>
    <n v="156.19999999999999"/>
    <n v="186"/>
  </r>
  <r>
    <x v="25"/>
    <d v="2022-05-06T00:00:00"/>
    <n v="1"/>
    <n v="156.19999999999999"/>
    <n v="186"/>
  </r>
  <r>
    <x v="129"/>
    <d v="2022-05-06T00:00:00"/>
    <n v="1"/>
    <n v="27.28"/>
    <n v="43"/>
  </r>
  <r>
    <x v="46"/>
    <d v="2022-05-06T00:00:00"/>
    <n v="12"/>
    <n v="2.0499999999999998"/>
    <n v="4"/>
  </r>
  <r>
    <x v="20"/>
    <d v="2022-05-06T00:00:00"/>
    <n v="1"/>
    <n v="147.4"/>
    <n v="180"/>
  </r>
  <r>
    <x v="60"/>
    <d v="2022-05-06T00:00:00"/>
    <n v="1"/>
    <n v="176.77"/>
    <n v="207"/>
  </r>
  <r>
    <x v="87"/>
    <d v="2022-05-06T00:00:00"/>
    <n v="10"/>
    <n v="6.18"/>
    <n v="9"/>
  </r>
  <r>
    <x v="62"/>
    <d v="2022-05-06T00:00:00"/>
    <n v="1"/>
    <n v="53.95"/>
    <n v="77"/>
  </r>
  <r>
    <x v="128"/>
    <d v="2022-05-06T00:00:00"/>
    <n v="3"/>
    <n v="6.19"/>
    <n v="11"/>
  </r>
  <r>
    <x v="87"/>
    <d v="2022-05-06T00:00:00"/>
    <n v="2"/>
    <n v="6.18"/>
    <n v="9"/>
  </r>
  <r>
    <x v="8"/>
    <d v="2022-05-06T00:00:00"/>
    <n v="1"/>
    <n v="119.72"/>
    <n v="147"/>
  </r>
  <r>
    <x v="145"/>
    <d v="2022-05-06T00:00:00"/>
    <n v="3"/>
    <n v="80.14"/>
    <n v="126"/>
  </r>
  <r>
    <x v="60"/>
    <d v="2022-05-06T00:00:00"/>
    <n v="1"/>
    <n v="181.12"/>
    <n v="231"/>
  </r>
  <r>
    <x v="129"/>
    <d v="2022-05-06T00:00:00"/>
    <n v="1"/>
    <n v="27.28"/>
    <n v="43"/>
  </r>
  <r>
    <x v="129"/>
    <d v="2022-05-06T00:00:00"/>
    <n v="1"/>
    <n v="33.18"/>
    <n v="53"/>
  </r>
  <r>
    <x v="48"/>
    <d v="2022-05-06T00:00:00"/>
    <n v="1"/>
    <n v="23.4"/>
    <n v="38"/>
  </r>
  <r>
    <x v="93"/>
    <d v="2022-05-06T00:00:00"/>
    <n v="1"/>
    <n v="110.73"/>
    <n v="136"/>
  </r>
  <r>
    <x v="15"/>
    <d v="2022-05-06T00:00:00"/>
    <n v="1"/>
    <n v="22.66"/>
    <n v="30"/>
  </r>
  <r>
    <x v="82"/>
    <d v="2022-05-06T00:00:00"/>
    <n v="1"/>
    <n v="351.11"/>
    <n v="413"/>
  </r>
  <r>
    <x v="148"/>
    <d v="2022-05-06T00:00:00"/>
    <n v="1"/>
    <n v="9.4600000000000009"/>
    <n v="11"/>
  </r>
  <r>
    <x v="148"/>
    <d v="2022-05-06T00:00:00"/>
    <n v="1"/>
    <n v="9.4600000000000009"/>
    <n v="11"/>
  </r>
  <r>
    <x v="148"/>
    <d v="2022-05-06T00:00:00"/>
    <n v="1"/>
    <n v="9.4600000000000009"/>
    <n v="11"/>
  </r>
  <r>
    <x v="148"/>
    <d v="2022-05-06T00:00:00"/>
    <n v="1"/>
    <n v="9.4600000000000009"/>
    <n v="11"/>
  </r>
  <r>
    <x v="148"/>
    <d v="2022-05-06T00:00:00"/>
    <n v="1"/>
    <n v="9.4600000000000009"/>
    <n v="11"/>
  </r>
  <r>
    <x v="148"/>
    <d v="2022-05-06T00:00:00"/>
    <n v="1"/>
    <n v="9.4600000000000009"/>
    <n v="11"/>
  </r>
  <r>
    <x v="148"/>
    <d v="2022-05-06T00:00:00"/>
    <n v="1"/>
    <n v="9.4600000000000009"/>
    <n v="11"/>
  </r>
  <r>
    <x v="148"/>
    <d v="2022-05-06T00:00:00"/>
    <n v="1"/>
    <n v="9.4600000000000009"/>
    <n v="11"/>
  </r>
  <r>
    <x v="148"/>
    <d v="2022-05-06T00:00:00"/>
    <n v="1"/>
    <n v="9.4600000000000009"/>
    <n v="11"/>
  </r>
  <r>
    <x v="148"/>
    <d v="2022-05-06T00:00:00"/>
    <n v="1"/>
    <n v="9.4600000000000009"/>
    <n v="11"/>
  </r>
  <r>
    <x v="107"/>
    <d v="2022-05-06T00:00:00"/>
    <n v="1"/>
    <n v="291.42"/>
    <n v="335"/>
  </r>
  <r>
    <x v="3"/>
    <d v="2022-05-06T00:00:00"/>
    <n v="1"/>
    <n v="50.12"/>
    <n v="79"/>
  </r>
  <r>
    <x v="115"/>
    <d v="2022-05-06T00:00:00"/>
    <n v="1"/>
    <n v="163.34"/>
    <n v="228"/>
  </r>
  <r>
    <x v="92"/>
    <d v="2022-05-06T00:00:00"/>
    <n v="1"/>
    <n v="423.61"/>
    <n v="572"/>
  </r>
  <r>
    <x v="95"/>
    <d v="2022-05-06T00:00:00"/>
    <n v="1"/>
    <n v="36.03"/>
    <n v="56"/>
  </r>
  <r>
    <x v="52"/>
    <d v="2022-05-06T00:00:00"/>
    <n v="1"/>
    <n v="233.76"/>
    <n v="274"/>
  </r>
  <r>
    <x v="138"/>
    <d v="2022-05-06T00:00:00"/>
    <n v="1"/>
    <n v="46.9"/>
    <n v="73"/>
  </r>
  <r>
    <x v="79"/>
    <d v="2022-05-06T00:00:00"/>
    <n v="1"/>
    <n v="161.47999999999999"/>
    <n v="202"/>
  </r>
  <r>
    <x v="25"/>
    <d v="2022-05-06T00:00:00"/>
    <n v="1"/>
    <n v="156.19999999999999"/>
    <n v="186"/>
  </r>
  <r>
    <x v="99"/>
    <d v="2022-05-06T00:00:00"/>
    <n v="1"/>
    <n v="45.2"/>
    <n v="57"/>
  </r>
  <r>
    <x v="93"/>
    <d v="2022-05-06T00:00:00"/>
    <n v="1"/>
    <n v="110.73"/>
    <n v="134"/>
  </r>
  <r>
    <x v="85"/>
    <d v="2022-05-06T00:00:00"/>
    <n v="1"/>
    <n v="401.83"/>
    <n v="495"/>
  </r>
  <r>
    <x v="142"/>
    <d v="2022-05-06T00:00:00"/>
    <n v="1"/>
    <n v="136.07"/>
    <n v="190"/>
  </r>
  <r>
    <x v="12"/>
    <d v="2022-05-06T00:00:00"/>
    <n v="1"/>
    <n v="388.41"/>
    <n v="467"/>
  </r>
  <r>
    <x v="117"/>
    <d v="2022-05-06T00:00:00"/>
    <n v="1"/>
    <n v="21.64"/>
    <n v="27"/>
  </r>
  <r>
    <x v="30"/>
    <d v="2022-05-06T00:00:00"/>
    <n v="1"/>
    <n v="35"/>
    <n v="54"/>
  </r>
  <r>
    <x v="117"/>
    <d v="2022-05-06T00:00:00"/>
    <n v="1"/>
    <n v="23.9"/>
    <n v="29"/>
  </r>
  <r>
    <x v="29"/>
    <d v="2022-05-06T00:00:00"/>
    <n v="1"/>
    <n v="200.94"/>
    <n v="232"/>
  </r>
  <r>
    <x v="50"/>
    <d v="2022-05-06T00:00:00"/>
    <n v="1"/>
    <n v="77.63"/>
    <n v="95"/>
  </r>
  <r>
    <x v="18"/>
    <d v="2022-05-06T00:00:00"/>
    <n v="1"/>
    <n v="109.12"/>
    <n v="123"/>
  </r>
  <r>
    <x v="50"/>
    <d v="2022-05-06T00:00:00"/>
    <n v="1"/>
    <n v="77.63"/>
    <n v="95"/>
  </r>
  <r>
    <x v="50"/>
    <d v="2022-05-06T00:00:00"/>
    <n v="1"/>
    <n v="77.63"/>
    <n v="95"/>
  </r>
  <r>
    <x v="50"/>
    <d v="2022-05-06T00:00:00"/>
    <n v="1"/>
    <n v="89.4"/>
    <n v="106"/>
  </r>
  <r>
    <x v="14"/>
    <d v="2022-05-06T00:00:00"/>
    <n v="1"/>
    <n v="80.52"/>
    <n v="103"/>
  </r>
  <r>
    <x v="14"/>
    <d v="2022-05-06T00:00:00"/>
    <n v="1"/>
    <n v="80.52"/>
    <n v="103"/>
  </r>
  <r>
    <x v="14"/>
    <d v="2022-05-06T00:00:00"/>
    <n v="1"/>
    <n v="80.52"/>
    <n v="103"/>
  </r>
  <r>
    <x v="110"/>
    <d v="2022-05-06T00:00:00"/>
    <n v="1"/>
    <n v="71.349999999999994"/>
    <n v="90"/>
  </r>
  <r>
    <x v="18"/>
    <d v="2022-05-06T00:00:00"/>
    <n v="1"/>
    <n v="112.85"/>
    <n v="127"/>
  </r>
  <r>
    <x v="7"/>
    <d v="2022-05-06T00:00:00"/>
    <n v="1"/>
    <n v="60.29"/>
    <n v="75"/>
  </r>
  <r>
    <x v="7"/>
    <d v="2022-05-06T00:00:00"/>
    <n v="1"/>
    <n v="60.29"/>
    <n v="75"/>
  </r>
  <r>
    <x v="117"/>
    <d v="2022-05-06T00:00:00"/>
    <n v="1"/>
    <n v="20.46"/>
    <n v="25"/>
  </r>
  <r>
    <x v="57"/>
    <d v="2022-05-06T00:00:00"/>
    <n v="1"/>
    <n v="25.48"/>
    <n v="31"/>
  </r>
  <r>
    <x v="93"/>
    <d v="2022-05-06T00:00:00"/>
    <n v="1"/>
    <n v="110.73"/>
    <n v="134"/>
  </r>
  <r>
    <x v="19"/>
    <d v="2022-05-06T00:00:00"/>
    <n v="1"/>
    <n v="99.84"/>
    <n v="122"/>
  </r>
  <r>
    <x v="60"/>
    <d v="2022-05-06T00:00:00"/>
    <n v="1"/>
    <n v="176.42"/>
    <n v="207"/>
  </r>
  <r>
    <x v="107"/>
    <d v="2022-05-06T00:00:00"/>
    <n v="1"/>
    <n v="291.43"/>
    <n v="345"/>
  </r>
  <r>
    <x v="83"/>
    <d v="2022-05-06T00:00:00"/>
    <n v="1"/>
    <n v="109.8"/>
    <n v="173"/>
  </r>
  <r>
    <x v="24"/>
    <d v="2022-05-06T00:00:00"/>
    <n v="1"/>
    <n v="487.23"/>
    <n v="668"/>
  </r>
  <r>
    <x v="20"/>
    <d v="2022-05-06T00:00:00"/>
    <n v="1"/>
    <n v="148.58000000000001"/>
    <n v="179"/>
  </r>
  <r>
    <x v="56"/>
    <d v="2022-05-06T00:00:00"/>
    <n v="1"/>
    <n v="32.85"/>
    <n v="52"/>
  </r>
  <r>
    <x v="46"/>
    <d v="2022-05-06T00:00:00"/>
    <n v="4"/>
    <n v="1.98"/>
    <n v="3.2"/>
  </r>
  <r>
    <x v="20"/>
    <d v="2022-05-06T00:00:00"/>
    <n v="1"/>
    <n v="147.4"/>
    <n v="177"/>
  </r>
  <r>
    <x v="14"/>
    <d v="2022-05-06T00:00:00"/>
    <n v="1"/>
    <n v="81.58"/>
    <n v="102"/>
  </r>
  <r>
    <x v="14"/>
    <d v="2022-05-06T00:00:00"/>
    <n v="1"/>
    <n v="81.58"/>
    <n v="102"/>
  </r>
  <r>
    <x v="22"/>
    <d v="2022-05-06T00:00:00"/>
    <n v="1"/>
    <n v="105.23"/>
    <n v="161"/>
  </r>
  <r>
    <x v="42"/>
    <d v="2022-05-06T00:00:00"/>
    <n v="1"/>
    <n v="41.58"/>
    <n v="65"/>
  </r>
  <r>
    <x v="144"/>
    <d v="2022-05-06T00:00:00"/>
    <n v="1"/>
    <n v="218.9"/>
    <n v="296"/>
  </r>
  <r>
    <x v="144"/>
    <d v="2022-05-06T00:00:00"/>
    <n v="1"/>
    <n v="218.9"/>
    <n v="296"/>
  </r>
  <r>
    <x v="155"/>
    <d v="2022-05-06T00:00:00"/>
    <n v="1"/>
    <n v="77.989999999999995"/>
    <n v="95"/>
  </r>
  <r>
    <x v="150"/>
    <d v="2022-05-06T00:00:00"/>
    <n v="0.24"/>
    <n v="491.7"/>
    <n v="748"/>
  </r>
  <r>
    <x v="42"/>
    <d v="2022-05-06T00:00:00"/>
    <n v="1"/>
    <n v="43.93"/>
    <n v="67"/>
  </r>
  <r>
    <x v="38"/>
    <d v="2022-05-06T00:00:00"/>
    <n v="1"/>
    <n v="134.68"/>
    <n v="162"/>
  </r>
  <r>
    <x v="7"/>
    <d v="2022-05-06T00:00:00"/>
    <n v="1"/>
    <n v="61.03"/>
    <n v="75"/>
  </r>
  <r>
    <x v="152"/>
    <d v="2022-05-06T00:00:00"/>
    <n v="1"/>
    <n v="12"/>
    <n v="20"/>
  </r>
  <r>
    <x v="63"/>
    <d v="2022-05-06T00:00:00"/>
    <n v="1"/>
    <n v="62.36"/>
    <n v="92"/>
  </r>
  <r>
    <x v="91"/>
    <d v="2022-05-06T00:00:00"/>
    <n v="1"/>
    <n v="70.430000000000007"/>
    <n v="101"/>
  </r>
  <r>
    <x v="124"/>
    <d v="2022-05-06T00:00:00"/>
    <n v="0.2"/>
    <n v="539.69000000000005"/>
    <n v="597"/>
  </r>
  <r>
    <x v="124"/>
    <d v="2022-05-06T00:00:00"/>
    <n v="0.8"/>
    <n v="540.89"/>
    <n v="598"/>
  </r>
  <r>
    <x v="152"/>
    <d v="2022-05-06T00:00:00"/>
    <n v="1"/>
    <n v="12"/>
    <n v="21"/>
  </r>
  <r>
    <x v="87"/>
    <d v="2022-05-06T00:00:00"/>
    <n v="10"/>
    <n v="15"/>
    <n v="20"/>
  </r>
  <r>
    <x v="135"/>
    <d v="2022-05-06T00:00:00"/>
    <n v="1"/>
    <n v="156.22999999999999"/>
    <n v="188"/>
  </r>
  <r>
    <x v="127"/>
    <d v="2022-05-06T00:00:00"/>
    <n v="1"/>
    <n v="58.97"/>
    <n v="88"/>
  </r>
  <r>
    <x v="127"/>
    <d v="2022-05-06T00:00:00"/>
    <n v="1"/>
    <n v="58.97"/>
    <n v="88"/>
  </r>
  <r>
    <x v="22"/>
    <d v="2022-05-06T00:00:00"/>
    <n v="1"/>
    <n v="105.23"/>
    <n v="161"/>
  </r>
  <r>
    <x v="20"/>
    <d v="2022-05-06T00:00:00"/>
    <n v="1"/>
    <n v="150.25"/>
    <n v="180"/>
  </r>
  <r>
    <x v="71"/>
    <d v="2022-05-06T00:00:00"/>
    <n v="1"/>
    <n v="31.34"/>
    <n v="38"/>
  </r>
  <r>
    <x v="71"/>
    <d v="2022-05-06T00:00:00"/>
    <n v="1"/>
    <n v="31.34"/>
    <n v="38"/>
  </r>
  <r>
    <x v="152"/>
    <d v="2022-05-06T00:00:00"/>
    <n v="1"/>
    <n v="12"/>
    <n v="20"/>
  </r>
  <r>
    <x v="83"/>
    <d v="2022-05-06T00:00:00"/>
    <n v="1"/>
    <n v="128.1"/>
    <n v="195"/>
  </r>
  <r>
    <x v="131"/>
    <d v="2022-05-06T00:00:00"/>
    <n v="0.35344799999999998"/>
    <n v="293.98"/>
    <n v="412"/>
  </r>
  <r>
    <x v="131"/>
    <d v="2022-05-06T00:00:00"/>
    <n v="0.64655200000000002"/>
    <n v="293.98"/>
    <n v="412"/>
  </r>
  <r>
    <x v="40"/>
    <d v="2022-05-06T00:00:00"/>
    <n v="1"/>
    <n v="27.94"/>
    <n v="45"/>
  </r>
  <r>
    <x v="65"/>
    <d v="2022-05-06T00:00:00"/>
    <n v="1"/>
    <n v="165.86"/>
    <n v="200"/>
  </r>
  <r>
    <x v="0"/>
    <d v="2022-05-06T00:00:00"/>
    <n v="1"/>
    <n v="136.47999999999999"/>
    <n v="163"/>
  </r>
  <r>
    <x v="0"/>
    <d v="2022-05-06T00:00:00"/>
    <n v="1"/>
    <n v="136.47999999999999"/>
    <n v="163"/>
  </r>
  <r>
    <x v="0"/>
    <d v="2022-05-06T00:00:00"/>
    <n v="1"/>
    <n v="136.47999999999999"/>
    <n v="163"/>
  </r>
  <r>
    <x v="152"/>
    <d v="2022-05-06T00:00:00"/>
    <n v="5"/>
    <n v="12"/>
    <n v="20"/>
  </r>
  <r>
    <x v="30"/>
    <d v="2022-05-06T00:00:00"/>
    <n v="1"/>
    <n v="39.6"/>
    <n v="61"/>
  </r>
  <r>
    <x v="0"/>
    <d v="2022-05-06T00:00:00"/>
    <n v="1"/>
    <n v="136.47999999999999"/>
    <n v="163"/>
  </r>
  <r>
    <x v="14"/>
    <d v="2022-05-06T00:00:00"/>
    <n v="1"/>
    <n v="80.52"/>
    <n v="103"/>
  </r>
  <r>
    <x v="25"/>
    <d v="2022-05-06T00:00:00"/>
    <n v="1"/>
    <n v="156.19999999999999"/>
    <n v="186"/>
  </r>
  <r>
    <x v="57"/>
    <d v="2022-05-06T00:00:00"/>
    <n v="1"/>
    <n v="24.74"/>
    <n v="30"/>
  </r>
  <r>
    <x v="74"/>
    <d v="2022-05-06T00:00:00"/>
    <n v="1"/>
    <n v="148.5"/>
    <n v="177"/>
  </r>
  <r>
    <x v="60"/>
    <d v="2022-05-06T00:00:00"/>
    <n v="1"/>
    <n v="176.77"/>
    <n v="207"/>
  </r>
  <r>
    <x v="57"/>
    <d v="2022-05-06T00:00:00"/>
    <n v="1"/>
    <n v="25.48"/>
    <n v="31"/>
  </r>
  <r>
    <x v="124"/>
    <d v="2022-05-06T00:00:00"/>
    <n v="0.08"/>
    <n v="539.69000000000005"/>
    <n v="597"/>
  </r>
  <r>
    <x v="26"/>
    <d v="2022-05-06T00:00:00"/>
    <n v="1"/>
    <n v="13.19"/>
    <n v="18"/>
  </r>
  <r>
    <x v="26"/>
    <d v="2022-05-06T00:00:00"/>
    <n v="1"/>
    <n v="13.19"/>
    <n v="18"/>
  </r>
  <r>
    <x v="26"/>
    <d v="2022-05-06T00:00:00"/>
    <n v="1"/>
    <n v="13.19"/>
    <n v="18"/>
  </r>
  <r>
    <x v="26"/>
    <d v="2022-05-06T00:00:00"/>
    <n v="1"/>
    <n v="13.19"/>
    <n v="18"/>
  </r>
  <r>
    <x v="26"/>
    <d v="2022-05-06T00:00:00"/>
    <n v="1"/>
    <n v="13.19"/>
    <n v="18"/>
  </r>
  <r>
    <x v="26"/>
    <d v="2022-05-06T00:00:00"/>
    <n v="1"/>
    <n v="13.19"/>
    <n v="18"/>
  </r>
  <r>
    <x v="53"/>
    <d v="2022-05-06T00:00:00"/>
    <n v="1"/>
    <n v="82.25"/>
    <n v="99"/>
  </r>
  <r>
    <x v="53"/>
    <d v="2022-05-06T00:00:00"/>
    <n v="1"/>
    <n v="82.25"/>
    <n v="99"/>
  </r>
  <r>
    <x v="65"/>
    <d v="2022-05-06T00:00:00"/>
    <n v="1"/>
    <n v="165.86"/>
    <n v="200"/>
  </r>
  <r>
    <x v="96"/>
    <d v="2022-05-06T00:00:00"/>
    <n v="1"/>
    <n v="38.07"/>
    <n v="59"/>
  </r>
  <r>
    <x v="96"/>
    <d v="2022-05-06T00:00:00"/>
    <n v="1"/>
    <n v="38.07"/>
    <n v="59"/>
  </r>
  <r>
    <x v="96"/>
    <d v="2022-05-06T00:00:00"/>
    <n v="1"/>
    <n v="38.07"/>
    <n v="59"/>
  </r>
  <r>
    <x v="19"/>
    <d v="2022-05-06T00:00:00"/>
    <n v="1"/>
    <n v="99.84"/>
    <n v="122"/>
  </r>
  <r>
    <x v="62"/>
    <d v="2022-05-06T00:00:00"/>
    <n v="1"/>
    <n v="53.95"/>
    <n v="77"/>
  </r>
  <r>
    <x v="147"/>
    <d v="2022-05-06T00:00:00"/>
    <n v="1"/>
    <n v="104.76"/>
    <n v="131"/>
  </r>
  <r>
    <x v="50"/>
    <d v="2022-05-06T00:00:00"/>
    <n v="1"/>
    <n v="78.48"/>
    <n v="96"/>
  </r>
  <r>
    <x v="7"/>
    <d v="2022-05-06T00:00:00"/>
    <n v="1"/>
    <n v="64.680000000000007"/>
    <n v="78"/>
  </r>
  <r>
    <x v="35"/>
    <d v="2022-05-06T00:00:00"/>
    <n v="1"/>
    <n v="182.71"/>
    <n v="217"/>
  </r>
  <r>
    <x v="32"/>
    <d v="2022-05-06T00:00:00"/>
    <n v="1"/>
    <n v="36.86"/>
    <n v="47"/>
  </r>
  <r>
    <x v="32"/>
    <d v="2022-05-06T00:00:00"/>
    <n v="1"/>
    <n v="36.86"/>
    <n v="47"/>
  </r>
  <r>
    <x v="32"/>
    <d v="2022-05-06T00:00:00"/>
    <n v="1"/>
    <n v="36.86"/>
    <n v="47"/>
  </r>
  <r>
    <x v="32"/>
    <d v="2022-05-06T00:00:00"/>
    <n v="1"/>
    <n v="36.86"/>
    <n v="47"/>
  </r>
  <r>
    <x v="32"/>
    <d v="2022-05-06T00:00:00"/>
    <n v="1"/>
    <n v="36.86"/>
    <n v="47"/>
  </r>
  <r>
    <x v="33"/>
    <d v="2022-05-06T00:00:00"/>
    <n v="1"/>
    <n v="22.31"/>
    <n v="35"/>
  </r>
  <r>
    <x v="33"/>
    <d v="2022-05-06T00:00:00"/>
    <n v="1"/>
    <n v="22.31"/>
    <n v="35"/>
  </r>
  <r>
    <x v="33"/>
    <d v="2022-05-06T00:00:00"/>
    <n v="1"/>
    <n v="22.31"/>
    <n v="35"/>
  </r>
  <r>
    <x v="33"/>
    <d v="2022-05-06T00:00:00"/>
    <n v="1"/>
    <n v="22.31"/>
    <n v="35"/>
  </r>
  <r>
    <x v="33"/>
    <d v="2022-05-06T00:00:00"/>
    <n v="1"/>
    <n v="22.31"/>
    <n v="35"/>
  </r>
  <r>
    <x v="33"/>
    <d v="2022-05-06T00:00:00"/>
    <n v="1"/>
    <n v="22.31"/>
    <n v="35"/>
  </r>
  <r>
    <x v="129"/>
    <d v="2022-05-06T00:00:00"/>
    <n v="1"/>
    <n v="28.66"/>
    <n v="44"/>
  </r>
  <r>
    <x v="129"/>
    <d v="2022-05-06T00:00:00"/>
    <n v="1"/>
    <n v="28.66"/>
    <n v="44"/>
  </r>
  <r>
    <x v="18"/>
    <d v="2022-05-06T00:00:00"/>
    <n v="1"/>
    <n v="174.68"/>
    <n v="183"/>
  </r>
  <r>
    <x v="50"/>
    <d v="2022-05-06T00:00:00"/>
    <n v="1"/>
    <n v="77.48"/>
    <n v="95"/>
  </r>
  <r>
    <x v="50"/>
    <d v="2022-05-06T00:00:00"/>
    <n v="1"/>
    <n v="77.48"/>
    <n v="95"/>
  </r>
  <r>
    <x v="18"/>
    <d v="2022-05-06T00:00:00"/>
    <n v="1"/>
    <n v="110.36"/>
    <n v="124"/>
  </r>
  <r>
    <x v="60"/>
    <d v="2022-05-06T00:00:00"/>
    <n v="1"/>
    <n v="176.77"/>
    <n v="207"/>
  </r>
  <r>
    <x v="115"/>
    <d v="2022-05-06T00:00:00"/>
    <n v="1"/>
    <n v="132.56"/>
    <n v="187"/>
  </r>
  <r>
    <x v="95"/>
    <d v="2022-05-06T00:00:00"/>
    <n v="1"/>
    <n v="36.03"/>
    <n v="55"/>
  </r>
  <r>
    <x v="88"/>
    <d v="2022-05-06T00:00:00"/>
    <n v="1"/>
    <n v="67.84"/>
    <n v="99"/>
  </r>
  <r>
    <x v="53"/>
    <d v="2022-05-06T00:00:00"/>
    <n v="1"/>
    <n v="82.25"/>
    <n v="99"/>
  </r>
  <r>
    <x v="124"/>
    <d v="2022-05-06T00:00:00"/>
    <n v="0.04"/>
    <n v="496.39"/>
    <n v="597"/>
  </r>
  <r>
    <x v="88"/>
    <d v="2022-05-06T00:00:00"/>
    <n v="1"/>
    <n v="67.540000000000006"/>
    <n v="96"/>
  </r>
  <r>
    <x v="60"/>
    <d v="2022-05-06T00:00:00"/>
    <n v="1"/>
    <n v="186.78"/>
    <n v="219"/>
  </r>
  <r>
    <x v="87"/>
    <d v="2022-05-06T00:00:00"/>
    <n v="2"/>
    <n v="15"/>
    <n v="20"/>
  </r>
  <r>
    <x v="95"/>
    <d v="2022-05-06T00:00:00"/>
    <n v="1"/>
    <n v="35.49"/>
    <n v="54"/>
  </r>
  <r>
    <x v="95"/>
    <d v="2022-05-06T00:00:00"/>
    <n v="1"/>
    <n v="35.49"/>
    <n v="54"/>
  </r>
  <r>
    <x v="9"/>
    <d v="2022-05-06T00:00:00"/>
    <n v="1"/>
    <n v="446.41"/>
    <n v="617"/>
  </r>
  <r>
    <x v="2"/>
    <d v="2022-05-06T00:00:00"/>
    <n v="1"/>
    <n v="91.19"/>
    <n v="112"/>
  </r>
  <r>
    <x v="85"/>
    <d v="2022-05-06T00:00:00"/>
    <n v="1"/>
    <n v="384.59"/>
    <n v="474"/>
  </r>
  <r>
    <x v="85"/>
    <d v="2022-05-06T00:00:00"/>
    <n v="1"/>
    <n v="383.43"/>
    <n v="472"/>
  </r>
  <r>
    <x v="85"/>
    <d v="2022-05-06T00:00:00"/>
    <n v="1"/>
    <n v="383.43"/>
    <n v="472"/>
  </r>
  <r>
    <x v="60"/>
    <d v="2022-05-06T00:00:00"/>
    <n v="1"/>
    <n v="176.42"/>
    <n v="207"/>
  </r>
  <r>
    <x v="88"/>
    <d v="2022-05-06T00:00:00"/>
    <n v="1"/>
    <n v="84.22"/>
    <n v="124"/>
  </r>
  <r>
    <x v="40"/>
    <d v="2022-05-06T00:00:00"/>
    <n v="1"/>
    <n v="25.59"/>
    <n v="45"/>
  </r>
  <r>
    <x v="53"/>
    <d v="2022-05-06T00:00:00"/>
    <n v="1"/>
    <n v="83.29"/>
    <n v="100"/>
  </r>
  <r>
    <x v="136"/>
    <d v="2022-05-06T00:00:00"/>
    <n v="1"/>
    <n v="14.69"/>
    <n v="26"/>
  </r>
  <r>
    <x v="51"/>
    <d v="2022-05-06T00:00:00"/>
    <n v="1"/>
    <n v="43.7"/>
    <n v="67"/>
  </r>
  <r>
    <x v="51"/>
    <d v="2022-05-06T00:00:00"/>
    <n v="1"/>
    <n v="43.7"/>
    <n v="67"/>
  </r>
  <r>
    <x v="119"/>
    <d v="2022-05-06T00:00:00"/>
    <n v="1"/>
    <n v="36.06"/>
    <n v="59"/>
  </r>
  <r>
    <x v="83"/>
    <d v="2022-05-06T00:00:00"/>
    <n v="0.5"/>
    <n v="128.1"/>
    <n v="195"/>
  </r>
  <r>
    <x v="138"/>
    <d v="2022-05-06T00:00:00"/>
    <n v="1"/>
    <n v="54.92"/>
    <n v="84"/>
  </r>
  <r>
    <x v="20"/>
    <d v="2022-05-06T00:00:00"/>
    <n v="1"/>
    <n v="148.58000000000001"/>
    <n v="179"/>
  </r>
  <r>
    <x v="50"/>
    <d v="2022-05-06T00:00:00"/>
    <n v="1"/>
    <n v="77.48"/>
    <n v="95"/>
  </r>
  <r>
    <x v="7"/>
    <d v="2022-05-06T00:00:00"/>
    <n v="1"/>
    <n v="62.48"/>
    <n v="72"/>
  </r>
  <r>
    <x v="136"/>
    <d v="2022-05-06T00:00:00"/>
    <n v="1"/>
    <n v="10.67"/>
    <n v="18"/>
  </r>
  <r>
    <x v="141"/>
    <d v="2022-05-05T00:00:00"/>
    <n v="1"/>
    <n v="422.45"/>
    <n v="474"/>
  </r>
  <r>
    <x v="27"/>
    <d v="2022-05-05T00:00:00"/>
    <n v="1"/>
    <n v="103.53"/>
    <n v="159"/>
  </r>
  <r>
    <x v="119"/>
    <d v="2022-05-05T00:00:00"/>
    <n v="1"/>
    <n v="36.69"/>
    <n v="59"/>
  </r>
  <r>
    <x v="21"/>
    <d v="2022-05-05T00:00:00"/>
    <n v="0.1"/>
    <n v="987.84"/>
    <n v="1354"/>
  </r>
  <r>
    <x v="23"/>
    <d v="2022-05-05T00:00:00"/>
    <n v="1"/>
    <n v="149.72999999999999"/>
    <n v="209"/>
  </r>
  <r>
    <x v="68"/>
    <d v="2022-05-05T00:00:00"/>
    <n v="2"/>
    <n v="7.77"/>
    <n v="13"/>
  </r>
  <r>
    <x v="68"/>
    <d v="2022-05-05T00:00:00"/>
    <n v="1"/>
    <n v="7.77"/>
    <n v="13"/>
  </r>
  <r>
    <x v="67"/>
    <d v="2022-05-05T00:00:00"/>
    <n v="1"/>
    <n v="557.09"/>
    <n v="736"/>
  </r>
  <r>
    <x v="49"/>
    <d v="2022-05-05T00:00:00"/>
    <n v="1"/>
    <n v="651.07000000000005"/>
    <n v="840"/>
  </r>
  <r>
    <x v="1"/>
    <d v="2022-05-05T00:00:00"/>
    <n v="0.4"/>
    <n v="483.01"/>
    <n v="604"/>
  </r>
  <r>
    <x v="19"/>
    <d v="2022-05-05T00:00:00"/>
    <n v="1"/>
    <n v="99.48"/>
    <n v="117"/>
  </r>
  <r>
    <x v="69"/>
    <d v="2022-05-05T00:00:00"/>
    <n v="1"/>
    <n v="88.11"/>
    <n v="110"/>
  </r>
  <r>
    <x v="60"/>
    <d v="2022-05-05T00:00:00"/>
    <n v="1"/>
    <n v="176.42"/>
    <n v="207"/>
  </r>
  <r>
    <x v="51"/>
    <d v="2022-05-05T00:00:00"/>
    <n v="1"/>
    <n v="43.7"/>
    <n v="67"/>
  </r>
  <r>
    <x v="120"/>
    <d v="2022-05-05T00:00:00"/>
    <n v="1"/>
    <n v="327.36"/>
    <n v="442"/>
  </r>
  <r>
    <x v="14"/>
    <d v="2022-05-05T00:00:00"/>
    <n v="1"/>
    <n v="82.18"/>
    <n v="103"/>
  </r>
  <r>
    <x v="42"/>
    <d v="2022-05-05T00:00:00"/>
    <n v="1"/>
    <n v="46.14"/>
    <n v="71"/>
  </r>
  <r>
    <x v="9"/>
    <d v="2022-05-05T00:00:00"/>
    <n v="0.2"/>
    <n v="514.38"/>
    <n v="664"/>
  </r>
  <r>
    <x v="57"/>
    <d v="2022-05-05T00:00:00"/>
    <n v="1"/>
    <n v="25.48"/>
    <n v="31"/>
  </r>
  <r>
    <x v="145"/>
    <d v="2022-05-05T00:00:00"/>
    <n v="1"/>
    <n v="120.9"/>
    <n v="188"/>
  </r>
  <r>
    <x v="109"/>
    <d v="2022-05-05T00:00:00"/>
    <n v="1"/>
    <n v="74.8"/>
    <n v="92"/>
  </r>
  <r>
    <x v="36"/>
    <d v="2022-05-05T00:00:00"/>
    <n v="1"/>
    <n v="10.57"/>
    <n v="17"/>
  </r>
  <r>
    <x v="154"/>
    <d v="2022-05-05T00:00:00"/>
    <n v="1"/>
    <n v="50.8"/>
    <n v="64"/>
  </r>
  <r>
    <x v="89"/>
    <d v="2022-05-05T00:00:00"/>
    <n v="1"/>
    <n v="27.31"/>
    <n v="38"/>
  </r>
  <r>
    <x v="89"/>
    <d v="2022-05-05T00:00:00"/>
    <n v="1"/>
    <n v="27.31"/>
    <n v="38"/>
  </r>
  <r>
    <x v="89"/>
    <d v="2022-05-05T00:00:00"/>
    <n v="1"/>
    <n v="28.46"/>
    <n v="39"/>
  </r>
  <r>
    <x v="89"/>
    <d v="2022-05-05T00:00:00"/>
    <n v="1"/>
    <n v="28.46"/>
    <n v="39"/>
  </r>
  <r>
    <x v="89"/>
    <d v="2022-05-05T00:00:00"/>
    <n v="1"/>
    <n v="28.46"/>
    <n v="39"/>
  </r>
  <r>
    <x v="89"/>
    <d v="2022-05-05T00:00:00"/>
    <n v="1"/>
    <n v="28.46"/>
    <n v="39"/>
  </r>
  <r>
    <x v="89"/>
    <d v="2022-05-05T00:00:00"/>
    <n v="1"/>
    <n v="28.46"/>
    <n v="39"/>
  </r>
  <r>
    <x v="89"/>
    <d v="2022-05-05T00:00:00"/>
    <n v="1"/>
    <n v="28.46"/>
    <n v="39"/>
  </r>
  <r>
    <x v="89"/>
    <d v="2022-05-05T00:00:00"/>
    <n v="1"/>
    <n v="28.46"/>
    <n v="39"/>
  </r>
  <r>
    <x v="89"/>
    <d v="2022-05-05T00:00:00"/>
    <n v="1"/>
    <n v="28.46"/>
    <n v="39"/>
  </r>
  <r>
    <x v="90"/>
    <d v="2022-05-05T00:00:00"/>
    <n v="1"/>
    <n v="130.65"/>
    <n v="199"/>
  </r>
  <r>
    <x v="86"/>
    <d v="2022-05-05T00:00:00"/>
    <n v="1"/>
    <n v="30.78"/>
    <n v="50"/>
  </r>
  <r>
    <x v="49"/>
    <d v="2022-05-05T00:00:00"/>
    <n v="1"/>
    <n v="651.07000000000005"/>
    <n v="840"/>
  </r>
  <r>
    <x v="98"/>
    <d v="2022-05-05T00:00:00"/>
    <n v="1"/>
    <n v="24.84"/>
    <n v="38"/>
  </r>
  <r>
    <x v="82"/>
    <d v="2022-05-05T00:00:00"/>
    <n v="1"/>
    <n v="348.66"/>
    <n v="414"/>
  </r>
  <r>
    <x v="48"/>
    <d v="2022-05-05T00:00:00"/>
    <n v="1"/>
    <n v="23.4"/>
    <n v="38"/>
  </r>
  <r>
    <x v="75"/>
    <d v="2022-05-05T00:00:00"/>
    <n v="1"/>
    <n v="29.23"/>
    <n v="46"/>
  </r>
  <r>
    <x v="52"/>
    <d v="2022-05-05T00:00:00"/>
    <n v="1"/>
    <n v="233.76"/>
    <n v="274"/>
  </r>
  <r>
    <x v="117"/>
    <d v="2022-05-05T00:00:00"/>
    <n v="1"/>
    <n v="21.64"/>
    <n v="27"/>
  </r>
  <r>
    <x v="47"/>
    <d v="2022-05-05T00:00:00"/>
    <n v="1"/>
    <n v="221.19"/>
    <n v="262"/>
  </r>
  <r>
    <x v="116"/>
    <d v="2022-05-05T00:00:00"/>
    <n v="1"/>
    <n v="7.24"/>
    <n v="12"/>
  </r>
  <r>
    <x v="148"/>
    <d v="2022-05-05T00:00:00"/>
    <n v="1"/>
    <n v="9.4600000000000009"/>
    <n v="11"/>
  </r>
  <r>
    <x v="39"/>
    <d v="2022-05-05T00:00:00"/>
    <n v="1"/>
    <n v="64.23"/>
    <n v="100"/>
  </r>
  <r>
    <x v="85"/>
    <d v="2022-05-05T00:00:00"/>
    <n v="1"/>
    <n v="468"/>
    <n v="576"/>
  </r>
  <r>
    <x v="45"/>
    <d v="2022-05-05T00:00:00"/>
    <n v="1"/>
    <n v="44.86"/>
    <n v="56"/>
  </r>
  <r>
    <x v="20"/>
    <d v="2022-05-05T00:00:00"/>
    <n v="1"/>
    <n v="148.58000000000001"/>
    <n v="179"/>
  </r>
  <r>
    <x v="38"/>
    <d v="2022-05-05T00:00:00"/>
    <n v="1"/>
    <n v="135.04"/>
    <n v="162"/>
  </r>
  <r>
    <x v="116"/>
    <d v="2022-05-05T00:00:00"/>
    <n v="2"/>
    <n v="7.24"/>
    <n v="12"/>
  </r>
  <r>
    <x v="44"/>
    <d v="2022-05-05T00:00:00"/>
    <n v="1"/>
    <n v="15.32"/>
    <n v="19"/>
  </r>
  <r>
    <x v="19"/>
    <d v="2022-05-05T00:00:00"/>
    <n v="1"/>
    <n v="99.48"/>
    <n v="117"/>
  </r>
  <r>
    <x v="106"/>
    <d v="2022-05-05T00:00:00"/>
    <n v="1"/>
    <n v="164.96"/>
    <n v="198"/>
  </r>
  <r>
    <x v="20"/>
    <d v="2022-05-05T00:00:00"/>
    <n v="1"/>
    <n v="148.58000000000001"/>
    <n v="179"/>
  </r>
  <r>
    <x v="41"/>
    <d v="2022-05-05T00:00:00"/>
    <n v="1"/>
    <n v="19.89"/>
    <n v="24"/>
  </r>
  <r>
    <x v="41"/>
    <d v="2022-05-05T00:00:00"/>
    <n v="1"/>
    <n v="19.89"/>
    <n v="24"/>
  </r>
  <r>
    <x v="40"/>
    <d v="2022-05-05T00:00:00"/>
    <n v="5"/>
    <n v="25.25"/>
    <n v="41"/>
  </r>
  <r>
    <x v="19"/>
    <d v="2022-05-05T00:00:00"/>
    <n v="1"/>
    <n v="99.48"/>
    <n v="116"/>
  </r>
  <r>
    <x v="19"/>
    <d v="2022-05-05T00:00:00"/>
    <n v="1"/>
    <n v="99.47"/>
    <n v="121"/>
  </r>
  <r>
    <x v="20"/>
    <d v="2022-05-05T00:00:00"/>
    <n v="1"/>
    <n v="148.52000000000001"/>
    <n v="178"/>
  </r>
  <r>
    <x v="59"/>
    <d v="2022-05-05T00:00:00"/>
    <n v="1"/>
    <n v="199.69"/>
    <n v="282"/>
  </r>
  <r>
    <x v="5"/>
    <d v="2022-05-05T00:00:00"/>
    <n v="1"/>
    <n v="10.34"/>
    <n v="13"/>
  </r>
  <r>
    <x v="139"/>
    <d v="2022-05-05T00:00:00"/>
    <n v="1"/>
    <n v="51.62"/>
    <n v="75"/>
  </r>
  <r>
    <x v="60"/>
    <d v="2022-05-05T00:00:00"/>
    <n v="1"/>
    <n v="176.42"/>
    <n v="207"/>
  </r>
  <r>
    <x v="91"/>
    <d v="2022-05-05T00:00:00"/>
    <n v="1"/>
    <n v="72.73"/>
    <n v="109"/>
  </r>
  <r>
    <x v="91"/>
    <d v="2022-05-05T00:00:00"/>
    <n v="1"/>
    <n v="72.73"/>
    <n v="109"/>
  </r>
  <r>
    <x v="123"/>
    <d v="2022-05-05T00:00:00"/>
    <n v="1"/>
    <n v="269.89"/>
    <n v="373"/>
  </r>
  <r>
    <x v="140"/>
    <d v="2022-05-05T00:00:00"/>
    <n v="1"/>
    <n v="25.3"/>
    <n v="31"/>
  </r>
  <r>
    <x v="140"/>
    <d v="2022-05-05T00:00:00"/>
    <n v="1"/>
    <n v="25.3"/>
    <n v="31"/>
  </r>
  <r>
    <x v="60"/>
    <d v="2022-05-05T00:00:00"/>
    <n v="1"/>
    <n v="186.78"/>
    <n v="219"/>
  </r>
  <r>
    <x v="98"/>
    <d v="2022-05-05T00:00:00"/>
    <n v="1"/>
    <n v="24.84"/>
    <n v="38"/>
  </r>
  <r>
    <x v="60"/>
    <d v="2022-05-05T00:00:00"/>
    <n v="1"/>
    <n v="192.99"/>
    <n v="246"/>
  </r>
  <r>
    <x v="127"/>
    <d v="2022-05-05T00:00:00"/>
    <n v="1"/>
    <n v="58.97"/>
    <n v="88"/>
  </r>
  <r>
    <x v="106"/>
    <d v="2022-05-05T00:00:00"/>
    <n v="1"/>
    <n v="164.96"/>
    <n v="198"/>
  </r>
  <r>
    <x v="82"/>
    <d v="2022-05-05T00:00:00"/>
    <n v="1"/>
    <n v="348.66"/>
    <n v="395"/>
  </r>
  <r>
    <x v="18"/>
    <d v="2022-05-05T00:00:00"/>
    <n v="1"/>
    <n v="109.12"/>
    <n v="123"/>
  </r>
  <r>
    <x v="74"/>
    <d v="2022-05-05T00:00:00"/>
    <n v="1"/>
    <n v="148.5"/>
    <n v="177"/>
  </r>
  <r>
    <x v="48"/>
    <d v="2022-05-05T00:00:00"/>
    <n v="1"/>
    <n v="23.4"/>
    <n v="38"/>
  </r>
  <r>
    <x v="137"/>
    <d v="2022-05-05T00:00:00"/>
    <n v="1"/>
    <n v="12.86"/>
    <n v="15"/>
  </r>
  <r>
    <x v="148"/>
    <d v="2022-05-05T00:00:00"/>
    <n v="1"/>
    <n v="10.34"/>
    <n v="12"/>
  </r>
  <r>
    <x v="23"/>
    <d v="2022-05-05T00:00:00"/>
    <n v="1"/>
    <n v="150.5"/>
    <n v="219"/>
  </r>
  <r>
    <x v="10"/>
    <d v="2022-05-05T00:00:00"/>
    <n v="1"/>
    <n v="44.41"/>
    <n v="72"/>
  </r>
  <r>
    <x v="16"/>
    <d v="2022-05-05T00:00:00"/>
    <n v="1"/>
    <n v="182.55"/>
    <n v="254"/>
  </r>
  <r>
    <x v="13"/>
    <d v="2022-05-05T00:00:00"/>
    <n v="1"/>
    <n v="42"/>
    <n v="64"/>
  </r>
  <r>
    <x v="13"/>
    <d v="2022-05-05T00:00:00"/>
    <n v="1"/>
    <n v="42"/>
    <n v="64"/>
  </r>
  <r>
    <x v="0"/>
    <d v="2022-05-05T00:00:00"/>
    <n v="1"/>
    <n v="145.6"/>
    <n v="172"/>
  </r>
  <r>
    <x v="0"/>
    <d v="2022-05-05T00:00:00"/>
    <n v="1"/>
    <n v="145.6"/>
    <n v="172"/>
  </r>
  <r>
    <x v="48"/>
    <d v="2022-05-05T00:00:00"/>
    <n v="1"/>
    <n v="23.4"/>
    <n v="38"/>
  </r>
  <r>
    <x v="137"/>
    <d v="2022-05-05T00:00:00"/>
    <n v="1"/>
    <n v="12.5"/>
    <n v="14.99"/>
  </r>
  <r>
    <x v="84"/>
    <d v="2022-05-05T00:00:00"/>
    <n v="1"/>
    <n v="83.81"/>
    <n v="119"/>
  </r>
  <r>
    <x v="43"/>
    <d v="2022-05-05T00:00:00"/>
    <n v="1"/>
    <n v="38.67"/>
    <n v="59"/>
  </r>
  <r>
    <x v="126"/>
    <d v="2022-05-05T00:00:00"/>
    <n v="1"/>
    <n v="363"/>
    <n v="391"/>
  </r>
  <r>
    <x v="8"/>
    <d v="2022-05-05T00:00:00"/>
    <n v="1"/>
    <n v="133.32"/>
    <n v="158"/>
  </r>
  <r>
    <x v="117"/>
    <d v="2022-05-05T00:00:00"/>
    <n v="1"/>
    <n v="21.4"/>
    <n v="26"/>
  </r>
  <r>
    <x v="133"/>
    <d v="2022-05-05T00:00:00"/>
    <n v="1"/>
    <n v="46.5"/>
    <n v="76"/>
  </r>
  <r>
    <x v="54"/>
    <d v="2022-05-05T00:00:00"/>
    <n v="1"/>
    <n v="16.78"/>
    <n v="28"/>
  </r>
  <r>
    <x v="1"/>
    <d v="2022-05-05T00:00:00"/>
    <n v="0.5"/>
    <n v="409.63"/>
    <n v="513"/>
  </r>
  <r>
    <x v="42"/>
    <d v="2022-05-05T00:00:00"/>
    <n v="1"/>
    <n v="43.49"/>
    <n v="69"/>
  </r>
  <r>
    <x v="117"/>
    <d v="2022-05-05T00:00:00"/>
    <n v="1"/>
    <n v="22.5"/>
    <n v="27"/>
  </r>
  <r>
    <x v="117"/>
    <d v="2022-05-05T00:00:00"/>
    <n v="1"/>
    <n v="22.5"/>
    <n v="27"/>
  </r>
  <r>
    <x v="122"/>
    <d v="2022-05-05T00:00:00"/>
    <n v="1"/>
    <n v="121.51"/>
    <n v="172"/>
  </r>
  <r>
    <x v="58"/>
    <d v="2022-05-05T00:00:00"/>
    <n v="1"/>
    <n v="77.349999999999994"/>
    <n v="93"/>
  </r>
  <r>
    <x v="58"/>
    <d v="2022-05-05T00:00:00"/>
    <n v="1"/>
    <n v="73.239999999999995"/>
    <n v="88"/>
  </r>
  <r>
    <x v="61"/>
    <d v="2022-05-05T00:00:00"/>
    <n v="1"/>
    <n v="32.619999999999997"/>
    <n v="38"/>
  </r>
  <r>
    <x v="61"/>
    <d v="2022-05-05T00:00:00"/>
    <n v="1"/>
    <n v="32.619999999999997"/>
    <n v="38"/>
  </r>
  <r>
    <x v="87"/>
    <d v="2022-05-05T00:00:00"/>
    <n v="39"/>
    <n v="6.24"/>
    <n v="9"/>
  </r>
  <r>
    <x v="87"/>
    <d v="2022-05-05T00:00:00"/>
    <n v="11"/>
    <n v="8.69"/>
    <n v="12"/>
  </r>
  <r>
    <x v="31"/>
    <d v="2022-05-05T00:00:00"/>
    <n v="1"/>
    <n v="25.27"/>
    <n v="32"/>
  </r>
  <r>
    <x v="58"/>
    <d v="2022-05-05T00:00:00"/>
    <n v="1"/>
    <n v="71.790000000000006"/>
    <n v="87"/>
  </r>
  <r>
    <x v="51"/>
    <d v="2022-05-05T00:00:00"/>
    <n v="1"/>
    <n v="43.7"/>
    <n v="67"/>
  </r>
  <r>
    <x v="60"/>
    <d v="2022-05-05T00:00:00"/>
    <n v="1"/>
    <n v="186.78"/>
    <n v="219"/>
  </r>
  <r>
    <x v="118"/>
    <d v="2022-05-05T00:00:00"/>
    <n v="1"/>
    <n v="68.680000000000007"/>
    <n v="84"/>
  </r>
  <r>
    <x v="85"/>
    <d v="2022-05-05T00:00:00"/>
    <n v="1"/>
    <n v="383.43"/>
    <n v="472"/>
  </r>
  <r>
    <x v="43"/>
    <d v="2022-05-05T00:00:00"/>
    <n v="1"/>
    <n v="38.67"/>
    <n v="59"/>
  </r>
  <r>
    <x v="43"/>
    <d v="2022-05-05T00:00:00"/>
    <n v="1"/>
    <n v="38.67"/>
    <n v="59"/>
  </r>
  <r>
    <x v="118"/>
    <d v="2022-05-05T00:00:00"/>
    <n v="1"/>
    <n v="62.71"/>
    <n v="78"/>
  </r>
  <r>
    <x v="118"/>
    <d v="2022-05-05T00:00:00"/>
    <n v="1"/>
    <n v="62.71"/>
    <n v="78"/>
  </r>
  <r>
    <x v="23"/>
    <d v="2022-05-05T00:00:00"/>
    <n v="1"/>
    <n v="146.02000000000001"/>
    <n v="201"/>
  </r>
  <r>
    <x v="13"/>
    <d v="2022-05-05T00:00:00"/>
    <n v="1"/>
    <n v="44"/>
    <n v="69"/>
  </r>
  <r>
    <x v="39"/>
    <d v="2022-05-05T00:00:00"/>
    <n v="1"/>
    <n v="64.23"/>
    <n v="100"/>
  </r>
  <r>
    <x v="40"/>
    <d v="2022-05-05T00:00:00"/>
    <n v="2"/>
    <n v="25.36"/>
    <n v="42"/>
  </r>
  <r>
    <x v="100"/>
    <d v="2022-05-05T00:00:00"/>
    <n v="2"/>
    <n v="30.03"/>
    <n v="49"/>
  </r>
  <r>
    <x v="100"/>
    <d v="2022-05-05T00:00:00"/>
    <n v="1"/>
    <n v="24.59"/>
    <n v="40"/>
  </r>
  <r>
    <x v="130"/>
    <d v="2022-05-05T00:00:00"/>
    <n v="1"/>
    <n v="73.260000000000005"/>
    <n v="91"/>
  </r>
  <r>
    <x v="130"/>
    <d v="2022-05-05T00:00:00"/>
    <n v="1"/>
    <n v="73.260000000000005"/>
    <n v="91"/>
  </r>
  <r>
    <x v="130"/>
    <d v="2022-05-05T00:00:00"/>
    <n v="1"/>
    <n v="73.260000000000005"/>
    <n v="91"/>
  </r>
  <r>
    <x v="152"/>
    <d v="2022-05-05T00:00:00"/>
    <n v="3"/>
    <n v="12"/>
    <n v="20"/>
  </r>
  <r>
    <x v="54"/>
    <d v="2022-05-05T00:00:00"/>
    <n v="1"/>
    <n v="13.1"/>
    <n v="21"/>
  </r>
  <r>
    <x v="88"/>
    <d v="2022-05-05T00:00:00"/>
    <n v="1"/>
    <n v="67.540000000000006"/>
    <n v="101"/>
  </r>
  <r>
    <x v="136"/>
    <d v="2022-05-05T00:00:00"/>
    <n v="2"/>
    <n v="14.69"/>
    <n v="26"/>
  </r>
  <r>
    <x v="26"/>
    <d v="2022-05-05T00:00:00"/>
    <n v="1"/>
    <n v="14.56"/>
    <n v="20"/>
  </r>
  <r>
    <x v="26"/>
    <d v="2022-05-05T00:00:00"/>
    <n v="1"/>
    <n v="14.56"/>
    <n v="20"/>
  </r>
  <r>
    <x v="26"/>
    <d v="2022-05-05T00:00:00"/>
    <n v="1"/>
    <n v="14.56"/>
    <n v="20"/>
  </r>
  <r>
    <x v="26"/>
    <d v="2022-05-05T00:00:00"/>
    <n v="1"/>
    <n v="14.56"/>
    <n v="20"/>
  </r>
  <r>
    <x v="26"/>
    <d v="2022-05-05T00:00:00"/>
    <n v="1"/>
    <n v="14.56"/>
    <n v="20"/>
  </r>
  <r>
    <x v="26"/>
    <d v="2022-05-05T00:00:00"/>
    <n v="1"/>
    <n v="14.56"/>
    <n v="20"/>
  </r>
  <r>
    <x v="26"/>
    <d v="2022-05-05T00:00:00"/>
    <n v="1"/>
    <n v="14.56"/>
    <n v="20"/>
  </r>
  <r>
    <x v="26"/>
    <d v="2022-05-05T00:00:00"/>
    <n v="1"/>
    <n v="14.56"/>
    <n v="20"/>
  </r>
  <r>
    <x v="26"/>
    <d v="2022-05-05T00:00:00"/>
    <n v="1"/>
    <n v="14.56"/>
    <n v="20"/>
  </r>
  <r>
    <x v="26"/>
    <d v="2022-05-05T00:00:00"/>
    <n v="1"/>
    <n v="14.56"/>
    <n v="20"/>
  </r>
  <r>
    <x v="0"/>
    <d v="2022-05-05T00:00:00"/>
    <n v="1"/>
    <n v="136.58000000000001"/>
    <n v="166"/>
  </r>
  <r>
    <x v="51"/>
    <d v="2022-05-05T00:00:00"/>
    <n v="1"/>
    <n v="44.84"/>
    <n v="70"/>
  </r>
  <r>
    <x v="54"/>
    <d v="2022-05-05T00:00:00"/>
    <n v="2"/>
    <n v="16.78"/>
    <n v="28"/>
  </r>
  <r>
    <x v="18"/>
    <d v="2022-05-05T00:00:00"/>
    <n v="1"/>
    <n v="110.36"/>
    <n v="124"/>
  </r>
  <r>
    <x v="18"/>
    <d v="2022-05-05T00:00:00"/>
    <n v="1"/>
    <n v="110.23"/>
    <n v="124"/>
  </r>
  <r>
    <x v="0"/>
    <d v="2022-05-05T00:00:00"/>
    <n v="1"/>
    <n v="139.6"/>
    <n v="167"/>
  </r>
  <r>
    <x v="2"/>
    <d v="2022-05-05T00:00:00"/>
    <n v="1"/>
    <n v="91.19"/>
    <n v="112"/>
  </r>
  <r>
    <x v="149"/>
    <d v="2022-05-05T00:00:00"/>
    <n v="1"/>
    <n v="134.51"/>
    <n v="159"/>
  </r>
  <r>
    <x v="40"/>
    <d v="2022-05-05T00:00:00"/>
    <n v="1"/>
    <n v="27.54"/>
    <n v="45"/>
  </r>
  <r>
    <x v="136"/>
    <d v="2022-05-05T00:00:00"/>
    <n v="1"/>
    <n v="10.67"/>
    <n v="18"/>
  </r>
  <r>
    <x v="31"/>
    <d v="2022-05-05T00:00:00"/>
    <n v="1"/>
    <n v="22.31"/>
    <n v="28"/>
  </r>
  <r>
    <x v="31"/>
    <d v="2022-05-05T00:00:00"/>
    <n v="1"/>
    <n v="22.31"/>
    <n v="28"/>
  </r>
  <r>
    <x v="81"/>
    <d v="2022-05-05T00:00:00"/>
    <n v="1"/>
    <n v="40.869999999999997"/>
    <n v="66"/>
  </r>
  <r>
    <x v="19"/>
    <d v="2022-05-05T00:00:00"/>
    <n v="1"/>
    <n v="101.42"/>
    <n v="120"/>
  </r>
  <r>
    <x v="114"/>
    <d v="2022-05-05T00:00:00"/>
    <n v="3.5714299999999997E-2"/>
    <n v="642"/>
    <n v="708"/>
  </r>
  <r>
    <x v="23"/>
    <d v="2022-05-05T00:00:00"/>
    <n v="1"/>
    <n v="150.5"/>
    <n v="219"/>
  </r>
  <r>
    <x v="60"/>
    <d v="2022-05-05T00:00:00"/>
    <n v="1"/>
    <n v="181.12"/>
    <n v="212"/>
  </r>
  <r>
    <x v="14"/>
    <d v="2022-05-05T00:00:00"/>
    <n v="1"/>
    <n v="80.52"/>
    <n v="103"/>
  </r>
  <r>
    <x v="110"/>
    <d v="2022-05-05T00:00:00"/>
    <n v="1"/>
    <n v="71.349999999999994"/>
    <n v="90"/>
  </r>
  <r>
    <x v="42"/>
    <d v="2022-05-05T00:00:00"/>
    <n v="1"/>
    <n v="46.14"/>
    <n v="71"/>
  </r>
  <r>
    <x v="42"/>
    <d v="2022-05-05T00:00:00"/>
    <n v="1"/>
    <n v="46.14"/>
    <n v="71"/>
  </r>
  <r>
    <x v="44"/>
    <d v="2022-05-05T00:00:00"/>
    <n v="1"/>
    <n v="16.39"/>
    <n v="20"/>
  </r>
  <r>
    <x v="50"/>
    <d v="2022-05-05T00:00:00"/>
    <n v="1"/>
    <n v="78.510000000000005"/>
    <n v="95"/>
  </r>
  <r>
    <x v="48"/>
    <d v="2022-05-05T00:00:00"/>
    <n v="1"/>
    <n v="23.4"/>
    <n v="38"/>
  </r>
  <r>
    <x v="45"/>
    <d v="2022-05-05T00:00:00"/>
    <n v="1"/>
    <n v="44.75"/>
    <n v="55"/>
  </r>
  <r>
    <x v="117"/>
    <d v="2022-05-05T00:00:00"/>
    <n v="1"/>
    <n v="20.46"/>
    <n v="25"/>
  </r>
  <r>
    <x v="91"/>
    <d v="2022-05-05T00:00:00"/>
    <n v="1"/>
    <n v="72.84"/>
    <n v="104"/>
  </r>
  <r>
    <x v="0"/>
    <d v="2022-05-05T00:00:00"/>
    <n v="1"/>
    <n v="139.6"/>
    <n v="167"/>
  </r>
  <r>
    <x v="61"/>
    <d v="2022-05-05T00:00:00"/>
    <n v="1"/>
    <n v="32.01"/>
    <n v="37"/>
  </r>
  <r>
    <x v="119"/>
    <d v="2022-05-05T00:00:00"/>
    <n v="1"/>
    <n v="36.06"/>
    <n v="59"/>
  </r>
  <r>
    <x v="119"/>
    <d v="2022-05-05T00:00:00"/>
    <n v="2"/>
    <n v="37.799999999999997"/>
    <n v="62"/>
  </r>
  <r>
    <x v="155"/>
    <d v="2022-05-05T00:00:00"/>
    <n v="1"/>
    <n v="81.87"/>
    <n v="99"/>
  </r>
  <r>
    <x v="52"/>
    <d v="2022-05-05T00:00:00"/>
    <n v="1"/>
    <n v="239.87"/>
    <n v="281"/>
  </r>
  <r>
    <x v="25"/>
    <d v="2022-05-05T00:00:00"/>
    <n v="1"/>
    <n v="156.19999999999999"/>
    <n v="186"/>
  </r>
  <r>
    <x v="0"/>
    <d v="2022-05-05T00:00:00"/>
    <n v="1"/>
    <n v="145.6"/>
    <n v="169"/>
  </r>
  <r>
    <x v="88"/>
    <d v="2022-05-05T00:00:00"/>
    <n v="1"/>
    <n v="80.27"/>
    <n v="114"/>
  </r>
  <r>
    <x v="40"/>
    <d v="2022-05-05T00:00:00"/>
    <n v="2"/>
    <n v="25.59"/>
    <n v="45"/>
  </r>
  <r>
    <x v="40"/>
    <d v="2022-05-05T00:00:00"/>
    <n v="3"/>
    <n v="25.2"/>
    <n v="41"/>
  </r>
  <r>
    <x v="58"/>
    <d v="2022-05-05T00:00:00"/>
    <n v="1"/>
    <n v="71.790000000000006"/>
    <n v="87"/>
  </r>
  <r>
    <x v="107"/>
    <d v="2022-05-05T00:00:00"/>
    <n v="1"/>
    <n v="291.43"/>
    <n v="345"/>
  </r>
  <r>
    <x v="14"/>
    <d v="2022-05-05T00:00:00"/>
    <n v="1"/>
    <n v="80.52"/>
    <n v="103"/>
  </r>
  <r>
    <x v="15"/>
    <d v="2022-05-05T00:00:00"/>
    <n v="1"/>
    <n v="20.72"/>
    <n v="24"/>
  </r>
  <r>
    <x v="2"/>
    <d v="2022-05-05T00:00:00"/>
    <n v="1"/>
    <n v="89.27"/>
    <n v="111"/>
  </r>
  <r>
    <x v="111"/>
    <d v="2022-05-05T00:00:00"/>
    <n v="1"/>
    <n v="109.07"/>
    <n v="128"/>
  </r>
  <r>
    <x v="0"/>
    <d v="2022-05-05T00:00:00"/>
    <n v="1"/>
    <n v="136.58000000000001"/>
    <n v="166"/>
  </r>
  <r>
    <x v="88"/>
    <d v="2022-05-05T00:00:00"/>
    <n v="1"/>
    <n v="67.540000000000006"/>
    <n v="96"/>
  </r>
  <r>
    <x v="113"/>
    <d v="2022-05-05T00:00:00"/>
    <n v="1"/>
    <n v="11.1"/>
    <n v="13"/>
  </r>
  <r>
    <x v="7"/>
    <d v="2022-05-05T00:00:00"/>
    <n v="1"/>
    <n v="56.06"/>
    <n v="70"/>
  </r>
  <r>
    <x v="51"/>
    <d v="2022-05-05T00:00:00"/>
    <n v="1"/>
    <n v="43.97"/>
    <n v="67"/>
  </r>
  <r>
    <x v="131"/>
    <d v="2022-05-05T00:00:00"/>
    <n v="1"/>
    <n v="307.56"/>
    <n v="400"/>
  </r>
  <r>
    <x v="1"/>
    <d v="2022-05-05T00:00:00"/>
    <n v="0.1"/>
    <n v="409.63"/>
    <n v="513"/>
  </r>
  <r>
    <x v="19"/>
    <d v="2022-05-05T00:00:00"/>
    <n v="1"/>
    <n v="99.48"/>
    <n v="117"/>
  </r>
  <r>
    <x v="65"/>
    <d v="2022-05-05T00:00:00"/>
    <n v="1"/>
    <n v="165.86"/>
    <n v="200"/>
  </r>
  <r>
    <x v="84"/>
    <d v="2022-05-05T00:00:00"/>
    <n v="1"/>
    <n v="75.5"/>
    <n v="108"/>
  </r>
  <r>
    <x v="65"/>
    <d v="2022-05-05T00:00:00"/>
    <n v="1"/>
    <n v="184.39"/>
    <n v="218"/>
  </r>
  <r>
    <x v="98"/>
    <d v="2022-05-05T00:00:00"/>
    <n v="1"/>
    <n v="52.65"/>
    <n v="83"/>
  </r>
  <r>
    <x v="98"/>
    <d v="2022-05-05T00:00:00"/>
    <n v="1"/>
    <n v="52.65"/>
    <n v="83"/>
  </r>
  <r>
    <x v="98"/>
    <d v="2022-05-05T00:00:00"/>
    <n v="1"/>
    <n v="52.65"/>
    <n v="83"/>
  </r>
  <r>
    <x v="97"/>
    <d v="2022-05-05T00:00:00"/>
    <n v="1"/>
    <n v="27.5"/>
    <n v="34"/>
  </r>
  <r>
    <x v="97"/>
    <d v="2022-05-05T00:00:00"/>
    <n v="1"/>
    <n v="27.5"/>
    <n v="34"/>
  </r>
  <r>
    <x v="25"/>
    <d v="2022-05-05T00:00:00"/>
    <n v="1"/>
    <n v="156.19999999999999"/>
    <n v="186"/>
  </r>
  <r>
    <x v="68"/>
    <d v="2022-05-05T00:00:00"/>
    <n v="1"/>
    <n v="12"/>
    <n v="20"/>
  </r>
  <r>
    <x v="152"/>
    <d v="2022-05-05T00:00:00"/>
    <n v="1"/>
    <n v="12"/>
    <n v="20"/>
  </r>
  <r>
    <x v="1"/>
    <d v="2022-05-05T00:00:00"/>
    <n v="0.1"/>
    <n v="409.63"/>
    <n v="513"/>
  </r>
  <r>
    <x v="43"/>
    <d v="2022-05-05T00:00:00"/>
    <n v="1"/>
    <n v="38.67"/>
    <n v="60"/>
  </r>
  <r>
    <x v="32"/>
    <d v="2022-05-05T00:00:00"/>
    <n v="1"/>
    <n v="36.86"/>
    <n v="47"/>
  </r>
  <r>
    <x v="32"/>
    <d v="2022-05-05T00:00:00"/>
    <n v="1"/>
    <n v="36.86"/>
    <n v="47"/>
  </r>
  <r>
    <x v="32"/>
    <d v="2022-05-05T00:00:00"/>
    <n v="1"/>
    <n v="36.86"/>
    <n v="47"/>
  </r>
  <r>
    <x v="32"/>
    <d v="2022-05-05T00:00:00"/>
    <n v="1"/>
    <n v="36.86"/>
    <n v="47"/>
  </r>
  <r>
    <x v="32"/>
    <d v="2022-05-05T00:00:00"/>
    <n v="1"/>
    <n v="36.86"/>
    <n v="47"/>
  </r>
  <r>
    <x v="32"/>
    <d v="2022-05-05T00:00:00"/>
    <n v="1"/>
    <n v="36.86"/>
    <n v="47"/>
  </r>
  <r>
    <x v="33"/>
    <d v="2022-05-05T00:00:00"/>
    <n v="1"/>
    <n v="22.31"/>
    <n v="35"/>
  </r>
  <r>
    <x v="33"/>
    <d v="2022-05-05T00:00:00"/>
    <n v="1"/>
    <n v="22.31"/>
    <n v="35"/>
  </r>
  <r>
    <x v="33"/>
    <d v="2022-05-05T00:00:00"/>
    <n v="1"/>
    <n v="22.31"/>
    <n v="35"/>
  </r>
  <r>
    <x v="33"/>
    <d v="2022-05-05T00:00:00"/>
    <n v="1"/>
    <n v="22.31"/>
    <n v="35"/>
  </r>
  <r>
    <x v="33"/>
    <d v="2022-05-05T00:00:00"/>
    <n v="1"/>
    <n v="22.31"/>
    <n v="35"/>
  </r>
  <r>
    <x v="33"/>
    <d v="2022-05-05T00:00:00"/>
    <n v="1"/>
    <n v="22.31"/>
    <n v="35"/>
  </r>
  <r>
    <x v="88"/>
    <d v="2022-05-05T00:00:00"/>
    <n v="1"/>
    <n v="77.98"/>
    <n v="111"/>
  </r>
  <r>
    <x v="110"/>
    <d v="2022-05-05T00:00:00"/>
    <n v="1"/>
    <n v="71.349999999999994"/>
    <n v="90"/>
  </r>
  <r>
    <x v="110"/>
    <d v="2022-05-05T00:00:00"/>
    <n v="1"/>
    <n v="71.349999999999994"/>
    <n v="90"/>
  </r>
  <r>
    <x v="110"/>
    <d v="2022-05-05T00:00:00"/>
    <n v="1"/>
    <n v="71.349999999999994"/>
    <n v="90"/>
  </r>
  <r>
    <x v="110"/>
    <d v="2022-05-05T00:00:00"/>
    <n v="1"/>
    <n v="71.349999999999994"/>
    <n v="90"/>
  </r>
  <r>
    <x v="75"/>
    <d v="2022-05-05T00:00:00"/>
    <n v="1"/>
    <n v="23.57"/>
    <n v="36"/>
  </r>
  <r>
    <x v="75"/>
    <d v="2022-05-05T00:00:00"/>
    <n v="1"/>
    <n v="23.57"/>
    <n v="36"/>
  </r>
  <r>
    <x v="11"/>
    <d v="2022-05-05T00:00:00"/>
    <n v="1"/>
    <n v="49.32"/>
    <n v="75"/>
  </r>
  <r>
    <x v="54"/>
    <d v="2022-05-05T00:00:00"/>
    <n v="1"/>
    <n v="13.1"/>
    <n v="21"/>
  </r>
  <r>
    <x v="136"/>
    <d v="2022-05-05T00:00:00"/>
    <n v="1"/>
    <n v="16.38"/>
    <n v="27"/>
  </r>
  <r>
    <x v="94"/>
    <d v="2022-05-05T00:00:00"/>
    <n v="1"/>
    <n v="64.25"/>
    <n v="79"/>
  </r>
  <r>
    <x v="84"/>
    <d v="2022-05-05T00:00:00"/>
    <n v="1"/>
    <n v="90.48"/>
    <n v="132"/>
  </r>
  <r>
    <x v="3"/>
    <d v="2022-05-05T00:00:00"/>
    <n v="1"/>
    <n v="47.53"/>
    <n v="77"/>
  </r>
  <r>
    <x v="79"/>
    <d v="2022-05-05T00:00:00"/>
    <n v="1"/>
    <n v="161.47999999999999"/>
    <n v="202"/>
  </r>
  <r>
    <x v="86"/>
    <d v="2022-05-05T00:00:00"/>
    <n v="1"/>
    <n v="31.28"/>
    <n v="51"/>
  </r>
  <r>
    <x v="30"/>
    <d v="2022-05-05T00:00:00"/>
    <n v="1"/>
    <n v="30.35"/>
    <n v="48"/>
  </r>
  <r>
    <x v="2"/>
    <d v="2022-05-05T00:00:00"/>
    <n v="1"/>
    <n v="88.4"/>
    <n v="104"/>
  </r>
  <r>
    <x v="155"/>
    <d v="2022-05-05T00:00:00"/>
    <n v="1"/>
    <n v="81.87"/>
    <n v="99"/>
  </r>
  <r>
    <x v="155"/>
    <d v="2022-05-05T00:00:00"/>
    <n v="1"/>
    <n v="81.87"/>
    <n v="99"/>
  </r>
  <r>
    <x v="36"/>
    <d v="2022-05-05T00:00:00"/>
    <n v="1"/>
    <n v="10.73"/>
    <n v="18"/>
  </r>
  <r>
    <x v="36"/>
    <d v="2022-05-05T00:00:00"/>
    <n v="3"/>
    <n v="11.45"/>
    <n v="19"/>
  </r>
  <r>
    <x v="150"/>
    <d v="2022-05-05T00:00:00"/>
    <n v="0.04"/>
    <n v="485.1"/>
    <n v="738"/>
  </r>
  <r>
    <x v="150"/>
    <d v="2022-05-05T00:00:00"/>
    <n v="0.04"/>
    <n v="384.6"/>
    <n v="585"/>
  </r>
  <r>
    <x v="150"/>
    <d v="2022-05-05T00:00:00"/>
    <n v="0.16"/>
    <n v="487.04"/>
    <n v="731"/>
  </r>
  <r>
    <x v="81"/>
    <d v="2022-05-05T00:00:00"/>
    <n v="2"/>
    <n v="47.4"/>
    <n v="76"/>
  </r>
  <r>
    <x v="14"/>
    <d v="2022-05-05T00:00:00"/>
    <n v="1"/>
    <n v="82.07"/>
    <n v="103"/>
  </r>
  <r>
    <x v="107"/>
    <d v="2022-05-05T00:00:00"/>
    <n v="1"/>
    <n v="291.43"/>
    <n v="331"/>
  </r>
  <r>
    <x v="130"/>
    <d v="2022-05-05T00:00:00"/>
    <n v="1"/>
    <n v="73.48"/>
    <n v="91"/>
  </r>
  <r>
    <x v="130"/>
    <d v="2022-05-05T00:00:00"/>
    <n v="1"/>
    <n v="73.48"/>
    <n v="91"/>
  </r>
  <r>
    <x v="21"/>
    <d v="2022-05-05T00:00:00"/>
    <n v="0.8"/>
    <n v="987.84"/>
    <n v="1275"/>
  </r>
  <r>
    <x v="107"/>
    <d v="2022-05-05T00:00:00"/>
    <n v="1"/>
    <n v="291.39"/>
    <n v="345"/>
  </r>
  <r>
    <x v="148"/>
    <d v="2022-05-05T00:00:00"/>
    <n v="1"/>
    <n v="10.34"/>
    <n v="12"/>
  </r>
  <r>
    <x v="148"/>
    <d v="2022-05-05T00:00:00"/>
    <n v="1"/>
    <n v="10.34"/>
    <n v="12"/>
  </r>
  <r>
    <x v="148"/>
    <d v="2022-05-05T00:00:00"/>
    <n v="1"/>
    <n v="10.34"/>
    <n v="12"/>
  </r>
  <r>
    <x v="12"/>
    <d v="2022-05-05T00:00:00"/>
    <n v="1"/>
    <n v="392.76"/>
    <n v="472"/>
  </r>
  <r>
    <x v="98"/>
    <d v="2022-05-05T00:00:00"/>
    <n v="1"/>
    <n v="41.33"/>
    <n v="65"/>
  </r>
  <r>
    <x v="98"/>
    <d v="2022-05-05T00:00:00"/>
    <n v="1"/>
    <n v="41.33"/>
    <n v="65"/>
  </r>
  <r>
    <x v="19"/>
    <d v="2022-05-05T00:00:00"/>
    <n v="1"/>
    <n v="100.98"/>
    <n v="120"/>
  </r>
  <r>
    <x v="19"/>
    <d v="2022-05-05T00:00:00"/>
    <n v="1"/>
    <n v="100.98"/>
    <n v="120"/>
  </r>
  <r>
    <x v="73"/>
    <d v="2022-05-05T00:00:00"/>
    <n v="1"/>
    <n v="79.3"/>
    <n v="100"/>
  </r>
  <r>
    <x v="135"/>
    <d v="2022-05-05T00:00:00"/>
    <n v="1"/>
    <n v="159.22"/>
    <n v="191"/>
  </r>
  <r>
    <x v="112"/>
    <d v="2022-05-05T00:00:00"/>
    <n v="1"/>
    <n v="23.14"/>
    <n v="28"/>
  </r>
  <r>
    <x v="60"/>
    <d v="2022-05-05T00:00:00"/>
    <n v="1"/>
    <n v="181.12"/>
    <n v="212"/>
  </r>
  <r>
    <x v="8"/>
    <d v="2022-05-05T00:00:00"/>
    <n v="1"/>
    <n v="125.93"/>
    <n v="150"/>
  </r>
  <r>
    <x v="3"/>
    <d v="2022-05-05T00:00:00"/>
    <n v="1"/>
    <n v="47.03"/>
    <n v="77"/>
  </r>
  <r>
    <x v="79"/>
    <d v="2022-05-05T00:00:00"/>
    <n v="1"/>
    <n v="165.15"/>
    <n v="207"/>
  </r>
  <r>
    <x v="37"/>
    <d v="2022-05-05T00:00:00"/>
    <n v="1"/>
    <n v="559.34"/>
    <n v="644"/>
  </r>
  <r>
    <x v="57"/>
    <d v="2022-05-05T00:00:00"/>
    <n v="1"/>
    <n v="25.2"/>
    <n v="30"/>
  </r>
  <r>
    <x v="57"/>
    <d v="2022-05-05T00:00:00"/>
    <n v="1"/>
    <n v="25.48"/>
    <n v="31"/>
  </r>
  <r>
    <x v="128"/>
    <d v="2022-05-05T00:00:00"/>
    <n v="10"/>
    <n v="5.56"/>
    <n v="9"/>
  </r>
  <r>
    <x v="82"/>
    <d v="2022-05-05T00:00:00"/>
    <n v="1"/>
    <n v="351.11"/>
    <n v="413"/>
  </r>
  <r>
    <x v="132"/>
    <d v="2022-05-05T00:00:00"/>
    <n v="2"/>
    <n v="9.42"/>
    <n v="16"/>
  </r>
  <r>
    <x v="113"/>
    <d v="2022-05-05T00:00:00"/>
    <n v="1"/>
    <n v="11.1"/>
    <n v="13"/>
  </r>
  <r>
    <x v="26"/>
    <d v="2022-05-05T00:00:00"/>
    <n v="1"/>
    <n v="14.56"/>
    <n v="20"/>
  </r>
  <r>
    <x v="75"/>
    <d v="2022-05-05T00:00:00"/>
    <n v="1"/>
    <n v="28.19"/>
    <n v="45"/>
  </r>
  <r>
    <x v="75"/>
    <d v="2022-05-05T00:00:00"/>
    <n v="1"/>
    <n v="28.19"/>
    <n v="45"/>
  </r>
  <r>
    <x v="11"/>
    <d v="2022-05-05T00:00:00"/>
    <n v="1"/>
    <n v="44.34"/>
    <n v="68"/>
  </r>
  <r>
    <x v="133"/>
    <d v="2022-05-05T00:00:00"/>
    <n v="1"/>
    <n v="46.5"/>
    <n v="76"/>
  </r>
  <r>
    <x v="124"/>
    <d v="2022-05-05T00:00:00"/>
    <n v="0.08"/>
    <n v="496.39"/>
    <n v="597"/>
  </r>
  <r>
    <x v="58"/>
    <d v="2022-05-05T00:00:00"/>
    <n v="1"/>
    <n v="71.790000000000006"/>
    <n v="87"/>
  </r>
  <r>
    <x v="21"/>
    <d v="2022-05-05T00:00:00"/>
    <n v="1"/>
    <n v="987.84"/>
    <n v="1354"/>
  </r>
  <r>
    <x v="43"/>
    <d v="2022-05-05T00:00:00"/>
    <n v="1"/>
    <n v="38.67"/>
    <n v="59"/>
  </r>
  <r>
    <x v="19"/>
    <d v="2022-05-05T00:00:00"/>
    <n v="1"/>
    <n v="99.47"/>
    <n v="116"/>
  </r>
  <r>
    <x v="19"/>
    <d v="2022-05-05T00:00:00"/>
    <n v="1"/>
    <n v="99.47"/>
    <n v="116"/>
  </r>
  <r>
    <x v="19"/>
    <d v="2022-05-05T00:00:00"/>
    <n v="1"/>
    <n v="99.47"/>
    <n v="116"/>
  </r>
  <r>
    <x v="19"/>
    <d v="2022-05-05T00:00:00"/>
    <n v="1"/>
    <n v="99.47"/>
    <n v="116"/>
  </r>
  <r>
    <x v="19"/>
    <d v="2022-05-05T00:00:00"/>
    <n v="1"/>
    <n v="99.47"/>
    <n v="116"/>
  </r>
  <r>
    <x v="119"/>
    <d v="2022-05-05T00:00:00"/>
    <n v="1"/>
    <n v="36.69"/>
    <n v="59"/>
  </r>
  <r>
    <x v="52"/>
    <d v="2022-05-05T00:00:00"/>
    <n v="1"/>
    <n v="232.47"/>
    <n v="272"/>
  </r>
  <r>
    <x v="87"/>
    <d v="2022-05-05T00:00:00"/>
    <n v="25"/>
    <n v="6.17"/>
    <n v="9"/>
  </r>
  <r>
    <x v="15"/>
    <d v="2022-05-05T00:00:00"/>
    <n v="1"/>
    <n v="21"/>
    <n v="27"/>
  </r>
  <r>
    <x v="15"/>
    <d v="2022-05-05T00:00:00"/>
    <n v="1"/>
    <n v="20"/>
    <n v="25"/>
  </r>
  <r>
    <x v="15"/>
    <d v="2022-05-05T00:00:00"/>
    <n v="1"/>
    <n v="20"/>
    <n v="25"/>
  </r>
  <r>
    <x v="60"/>
    <d v="2022-05-05T00:00:00"/>
    <n v="1"/>
    <n v="186.78"/>
    <n v="219"/>
  </r>
  <r>
    <x v="124"/>
    <d v="2022-05-05T00:00:00"/>
    <n v="0.04"/>
    <n v="496.39"/>
    <n v="597"/>
  </r>
  <r>
    <x v="60"/>
    <d v="2022-05-05T00:00:00"/>
    <n v="1"/>
    <n v="176.77"/>
    <n v="207"/>
  </r>
  <r>
    <x v="15"/>
    <d v="2022-05-05T00:00:00"/>
    <n v="1"/>
    <n v="21"/>
    <n v="27"/>
  </r>
  <r>
    <x v="15"/>
    <d v="2022-05-05T00:00:00"/>
    <n v="1"/>
    <n v="21"/>
    <n v="27"/>
  </r>
  <r>
    <x v="15"/>
    <d v="2022-05-05T00:00:00"/>
    <n v="1"/>
    <n v="21"/>
    <n v="27"/>
  </r>
  <r>
    <x v="52"/>
    <d v="2022-05-05T00:00:00"/>
    <n v="1"/>
    <n v="233.76"/>
    <n v="274"/>
  </r>
  <r>
    <x v="94"/>
    <d v="2022-05-05T00:00:00"/>
    <n v="1"/>
    <n v="64.25"/>
    <n v="77"/>
  </r>
  <r>
    <x v="36"/>
    <d v="2022-05-05T00:00:00"/>
    <n v="4"/>
    <n v="10.89"/>
    <n v="18"/>
  </r>
  <r>
    <x v="72"/>
    <d v="2022-05-05T00:00:00"/>
    <n v="1"/>
    <n v="60.3"/>
    <n v="75"/>
  </r>
  <r>
    <x v="129"/>
    <d v="2022-05-05T00:00:00"/>
    <n v="1"/>
    <n v="27.28"/>
    <n v="43"/>
  </r>
  <r>
    <x v="129"/>
    <d v="2022-05-05T00:00:00"/>
    <n v="1"/>
    <n v="27.28"/>
    <n v="43"/>
  </r>
  <r>
    <x v="57"/>
    <d v="2022-05-05T00:00:00"/>
    <n v="1"/>
    <n v="25.71"/>
    <n v="31"/>
  </r>
  <r>
    <x v="148"/>
    <d v="2022-05-05T00:00:00"/>
    <n v="1"/>
    <n v="10.34"/>
    <n v="12"/>
  </r>
  <r>
    <x v="148"/>
    <d v="2022-05-05T00:00:00"/>
    <n v="1"/>
    <n v="10.34"/>
    <n v="12"/>
  </r>
  <r>
    <x v="148"/>
    <d v="2022-05-05T00:00:00"/>
    <n v="1"/>
    <n v="10.34"/>
    <n v="12"/>
  </r>
  <r>
    <x v="29"/>
    <d v="2022-05-05T00:00:00"/>
    <n v="1"/>
    <n v="200.94"/>
    <n v="232"/>
  </r>
  <r>
    <x v="50"/>
    <d v="2022-05-05T00:00:00"/>
    <n v="1"/>
    <n v="77.78"/>
    <n v="97"/>
  </r>
  <r>
    <x v="20"/>
    <d v="2022-05-05T00:00:00"/>
    <n v="1"/>
    <n v="148.58000000000001"/>
    <n v="179"/>
  </r>
  <r>
    <x v="44"/>
    <d v="2022-05-05T00:00:00"/>
    <n v="1"/>
    <n v="16.25"/>
    <n v="20"/>
  </r>
  <r>
    <x v="44"/>
    <d v="2022-05-05T00:00:00"/>
    <n v="1"/>
    <n v="16.25"/>
    <n v="20"/>
  </r>
  <r>
    <x v="136"/>
    <d v="2022-05-05T00:00:00"/>
    <n v="1"/>
    <n v="10.67"/>
    <n v="18"/>
  </r>
  <r>
    <x v="69"/>
    <d v="2022-05-05T00:00:00"/>
    <n v="1"/>
    <n v="89.28"/>
    <n v="111"/>
  </r>
  <r>
    <x v="16"/>
    <d v="2022-05-05T00:00:00"/>
    <n v="1"/>
    <n v="184.02"/>
    <n v="253"/>
  </r>
  <r>
    <x v="137"/>
    <d v="2022-05-05T00:00:00"/>
    <n v="1"/>
    <n v="12.86"/>
    <n v="15"/>
  </r>
  <r>
    <x v="101"/>
    <d v="2022-05-05T00:00:00"/>
    <n v="1"/>
    <n v="41.48"/>
    <n v="51"/>
  </r>
  <r>
    <x v="32"/>
    <d v="2022-05-05T00:00:00"/>
    <n v="1"/>
    <n v="36.86"/>
    <n v="47"/>
  </r>
  <r>
    <x v="106"/>
    <d v="2022-05-05T00:00:00"/>
    <n v="1"/>
    <n v="176.65"/>
    <n v="210"/>
  </r>
  <r>
    <x v="55"/>
    <d v="2022-05-05T00:00:00"/>
    <n v="1"/>
    <n v="59.29"/>
    <n v="73"/>
  </r>
  <r>
    <x v="13"/>
    <d v="2022-05-05T00:00:00"/>
    <n v="1"/>
    <n v="44"/>
    <n v="69"/>
  </r>
  <r>
    <x v="60"/>
    <d v="2022-05-05T00:00:00"/>
    <n v="1"/>
    <n v="186.78"/>
    <n v="219"/>
  </r>
  <r>
    <x v="66"/>
    <d v="2022-05-05T00:00:00"/>
    <n v="1"/>
    <n v="34.75"/>
    <n v="53"/>
  </r>
  <r>
    <x v="66"/>
    <d v="2022-05-05T00:00:00"/>
    <n v="1"/>
    <n v="34.75"/>
    <n v="53"/>
  </r>
  <r>
    <x v="66"/>
    <d v="2022-05-05T00:00:00"/>
    <n v="1"/>
    <n v="34.75"/>
    <n v="53"/>
  </r>
  <r>
    <x v="0"/>
    <d v="2022-05-05T00:00:00"/>
    <n v="1"/>
    <n v="141.77000000000001"/>
    <n v="168"/>
  </r>
  <r>
    <x v="0"/>
    <d v="2022-05-05T00:00:00"/>
    <n v="1"/>
    <n v="141.77000000000001"/>
    <n v="168"/>
  </r>
  <r>
    <x v="88"/>
    <d v="2022-05-05T00:00:00"/>
    <n v="1"/>
    <n v="70.97"/>
    <n v="106"/>
  </r>
  <r>
    <x v="60"/>
    <d v="2022-05-05T00:00:00"/>
    <n v="1"/>
    <n v="186.78"/>
    <n v="219"/>
  </r>
  <r>
    <x v="20"/>
    <d v="2022-05-05T00:00:00"/>
    <n v="1"/>
    <n v="150.25"/>
    <n v="180"/>
  </r>
  <r>
    <x v="101"/>
    <d v="2022-05-05T00:00:00"/>
    <n v="1"/>
    <n v="41.82"/>
    <n v="51"/>
  </r>
  <r>
    <x v="101"/>
    <d v="2022-05-05T00:00:00"/>
    <n v="1"/>
    <n v="41.82"/>
    <n v="51"/>
  </r>
  <r>
    <x v="154"/>
    <d v="2022-05-05T00:00:00"/>
    <n v="1"/>
    <n v="57.92"/>
    <n v="70"/>
  </r>
  <r>
    <x v="154"/>
    <d v="2022-05-05T00:00:00"/>
    <n v="1"/>
    <n v="57.92"/>
    <n v="70"/>
  </r>
  <r>
    <x v="154"/>
    <d v="2022-05-05T00:00:00"/>
    <n v="1"/>
    <n v="57.92"/>
    <n v="70"/>
  </r>
  <r>
    <x v="154"/>
    <d v="2022-05-05T00:00:00"/>
    <n v="1"/>
    <n v="57.92"/>
    <n v="70"/>
  </r>
  <r>
    <x v="154"/>
    <d v="2022-05-05T00:00:00"/>
    <n v="1"/>
    <n v="57.92"/>
    <n v="70"/>
  </r>
  <r>
    <x v="18"/>
    <d v="2022-05-05T00:00:00"/>
    <n v="1"/>
    <n v="110.07"/>
    <n v="124"/>
  </r>
  <r>
    <x v="56"/>
    <d v="2022-05-05T00:00:00"/>
    <n v="1"/>
    <n v="33.17"/>
    <n v="53"/>
  </r>
  <r>
    <x v="51"/>
    <d v="2022-05-05T00:00:00"/>
    <n v="1"/>
    <n v="43.97"/>
    <n v="67"/>
  </r>
  <r>
    <x v="63"/>
    <d v="2022-05-05T00:00:00"/>
    <n v="1"/>
    <n v="62.36"/>
    <n v="93"/>
  </r>
  <r>
    <x v="15"/>
    <d v="2022-05-05T00:00:00"/>
    <n v="1"/>
    <n v="19.66"/>
    <n v="23"/>
  </r>
  <r>
    <x v="114"/>
    <d v="2022-05-05T00:00:00"/>
    <n v="3.5714299999999997E-2"/>
    <n v="631.39"/>
    <n v="697"/>
  </r>
  <r>
    <x v="57"/>
    <d v="2022-05-05T00:00:00"/>
    <n v="1"/>
    <n v="25.71"/>
    <n v="31"/>
  </r>
  <r>
    <x v="57"/>
    <d v="2022-05-05T00:00:00"/>
    <n v="1"/>
    <n v="25.71"/>
    <n v="31"/>
  </r>
  <r>
    <x v="128"/>
    <d v="2022-05-05T00:00:00"/>
    <n v="5"/>
    <n v="5.56"/>
    <n v="9"/>
  </r>
  <r>
    <x v="51"/>
    <d v="2022-05-05T00:00:00"/>
    <n v="1"/>
    <n v="43.62"/>
    <n v="67"/>
  </r>
  <r>
    <x v="78"/>
    <d v="2022-05-05T00:00:00"/>
    <n v="1"/>
    <n v="207.73"/>
    <n v="246"/>
  </r>
  <r>
    <x v="126"/>
    <d v="2022-05-05T00:00:00"/>
    <n v="1"/>
    <n v="361.91"/>
    <n v="417"/>
  </r>
  <r>
    <x v="51"/>
    <d v="2022-05-05T00:00:00"/>
    <n v="1"/>
    <n v="43.97"/>
    <n v="67"/>
  </r>
  <r>
    <x v="154"/>
    <d v="2022-05-05T00:00:00"/>
    <n v="1"/>
    <n v="50.8"/>
    <n v="64"/>
  </r>
  <r>
    <x v="18"/>
    <d v="2022-05-05T00:00:00"/>
    <n v="1"/>
    <n v="110.23"/>
    <n v="124"/>
  </r>
  <r>
    <x v="20"/>
    <d v="2022-05-05T00:00:00"/>
    <n v="1"/>
    <n v="148.58000000000001"/>
    <n v="179"/>
  </r>
  <r>
    <x v="117"/>
    <d v="2022-05-05T00:00:00"/>
    <n v="1"/>
    <n v="23.42"/>
    <n v="28"/>
  </r>
  <r>
    <x v="81"/>
    <d v="2022-05-05T00:00:00"/>
    <n v="2"/>
    <n v="39.619999999999997"/>
    <n v="69"/>
  </r>
  <r>
    <x v="43"/>
    <d v="2022-05-05T00:00:00"/>
    <n v="1"/>
    <n v="39.24"/>
    <n v="60"/>
  </r>
  <r>
    <x v="20"/>
    <d v="2022-05-05T00:00:00"/>
    <n v="1"/>
    <n v="148.58000000000001"/>
    <n v="179"/>
  </r>
  <r>
    <x v="15"/>
    <d v="2022-05-05T00:00:00"/>
    <n v="1"/>
    <n v="19.71"/>
    <n v="25"/>
  </r>
  <r>
    <x v="15"/>
    <d v="2022-05-05T00:00:00"/>
    <n v="1"/>
    <n v="19.71"/>
    <n v="25"/>
  </r>
  <r>
    <x v="55"/>
    <d v="2022-05-05T00:00:00"/>
    <n v="1"/>
    <n v="58.15"/>
    <n v="72"/>
  </r>
  <r>
    <x v="90"/>
    <d v="2022-05-05T00:00:00"/>
    <n v="2"/>
    <n v="129.25"/>
    <n v="203"/>
  </r>
  <r>
    <x v="119"/>
    <d v="2022-05-05T00:00:00"/>
    <n v="1"/>
    <n v="36.06"/>
    <n v="59"/>
  </r>
  <r>
    <x v="29"/>
    <d v="2022-05-05T00:00:00"/>
    <n v="1"/>
    <n v="202.75"/>
    <n v="238"/>
  </r>
  <r>
    <x v="116"/>
    <d v="2022-05-05T00:00:00"/>
    <n v="2"/>
    <n v="7.24"/>
    <n v="12"/>
  </r>
  <r>
    <x v="19"/>
    <d v="2022-05-05T00:00:00"/>
    <n v="1"/>
    <n v="100.98"/>
    <n v="120"/>
  </r>
  <r>
    <x v="57"/>
    <d v="2022-05-05T00:00:00"/>
    <n v="1"/>
    <n v="25.71"/>
    <n v="31"/>
  </r>
  <r>
    <x v="57"/>
    <d v="2022-05-05T00:00:00"/>
    <n v="1"/>
    <n v="25.71"/>
    <n v="31"/>
  </r>
  <r>
    <x v="25"/>
    <d v="2022-05-05T00:00:00"/>
    <n v="1"/>
    <n v="156.19999999999999"/>
    <n v="186"/>
  </r>
  <r>
    <x v="25"/>
    <d v="2022-05-05T00:00:00"/>
    <n v="1"/>
    <n v="156.19999999999999"/>
    <n v="186"/>
  </r>
  <r>
    <x v="107"/>
    <d v="2022-05-05T00:00:00"/>
    <n v="1"/>
    <n v="289.25"/>
    <n v="343"/>
  </r>
  <r>
    <x v="25"/>
    <d v="2022-05-05T00:00:00"/>
    <n v="1"/>
    <n v="156.19999999999999"/>
    <n v="186"/>
  </r>
  <r>
    <x v="47"/>
    <d v="2022-05-05T00:00:00"/>
    <n v="1"/>
    <n v="221.19"/>
    <n v="262"/>
  </r>
  <r>
    <x v="108"/>
    <d v="2022-05-05T00:00:00"/>
    <n v="1"/>
    <n v="170.01"/>
    <n v="240"/>
  </r>
  <r>
    <x v="109"/>
    <d v="2022-05-05T00:00:00"/>
    <n v="1"/>
    <n v="74.8"/>
    <n v="92"/>
  </r>
  <r>
    <x v="45"/>
    <d v="2022-05-05T00:00:00"/>
    <n v="1"/>
    <n v="45.28"/>
    <n v="56"/>
  </r>
  <r>
    <x v="147"/>
    <d v="2022-05-05T00:00:00"/>
    <n v="1"/>
    <n v="127.93"/>
    <n v="160"/>
  </r>
  <r>
    <x v="147"/>
    <d v="2022-05-05T00:00:00"/>
    <n v="1"/>
    <n v="127.93"/>
    <n v="160"/>
  </r>
  <r>
    <x v="147"/>
    <d v="2022-05-05T00:00:00"/>
    <n v="1"/>
    <n v="104.37"/>
    <n v="131"/>
  </r>
  <r>
    <x v="51"/>
    <d v="2022-05-05T00:00:00"/>
    <n v="1"/>
    <n v="43.98"/>
    <n v="67"/>
  </r>
  <r>
    <x v="14"/>
    <d v="2022-05-04T00:00:00"/>
    <n v="1"/>
    <n v="82.54"/>
    <n v="103"/>
  </r>
  <r>
    <x v="148"/>
    <d v="2022-05-04T00:00:00"/>
    <n v="1"/>
    <n v="9.4600000000000009"/>
    <n v="11"/>
  </r>
  <r>
    <x v="148"/>
    <d v="2022-05-04T00:00:00"/>
    <n v="1"/>
    <n v="9.4600000000000009"/>
    <n v="11"/>
  </r>
  <r>
    <x v="137"/>
    <d v="2022-05-04T00:00:00"/>
    <n v="1"/>
    <n v="12.86"/>
    <n v="15"/>
  </r>
  <r>
    <x v="137"/>
    <d v="2022-05-04T00:00:00"/>
    <n v="1"/>
    <n v="12.86"/>
    <n v="15"/>
  </r>
  <r>
    <x v="113"/>
    <d v="2022-05-04T00:00:00"/>
    <n v="1"/>
    <n v="10.42"/>
    <n v="13"/>
  </r>
  <r>
    <x v="93"/>
    <d v="2022-05-04T00:00:00"/>
    <n v="1"/>
    <n v="111.85"/>
    <n v="135"/>
  </r>
  <r>
    <x v="51"/>
    <d v="2022-05-04T00:00:00"/>
    <n v="1"/>
    <n v="43.7"/>
    <n v="67"/>
  </r>
  <r>
    <x v="72"/>
    <d v="2022-05-04T00:00:00"/>
    <n v="1"/>
    <n v="60.3"/>
    <n v="75"/>
  </r>
  <r>
    <x v="90"/>
    <d v="2022-05-04T00:00:00"/>
    <n v="2"/>
    <n v="129.25"/>
    <n v="197"/>
  </r>
  <r>
    <x v="36"/>
    <d v="2022-05-04T00:00:00"/>
    <n v="2"/>
    <n v="10.57"/>
    <n v="17"/>
  </r>
  <r>
    <x v="114"/>
    <d v="2022-05-04T00:00:00"/>
    <n v="3.5714299999999997E-2"/>
    <n v="642"/>
    <n v="708"/>
  </r>
  <r>
    <x v="102"/>
    <d v="2022-05-04T00:00:00"/>
    <n v="1"/>
    <n v="71.03"/>
    <n v="88"/>
  </r>
  <r>
    <x v="110"/>
    <d v="2022-05-04T00:00:00"/>
    <n v="1"/>
    <n v="71.150000000000006"/>
    <n v="88"/>
  </r>
  <r>
    <x v="14"/>
    <d v="2022-05-04T00:00:00"/>
    <n v="1"/>
    <n v="82.26"/>
    <n v="103"/>
  </r>
  <r>
    <x v="48"/>
    <d v="2022-05-04T00:00:00"/>
    <n v="1"/>
    <n v="23.4"/>
    <n v="38"/>
  </r>
  <r>
    <x v="5"/>
    <d v="2022-05-04T00:00:00"/>
    <n v="1"/>
    <n v="11.88"/>
    <n v="14"/>
  </r>
  <r>
    <x v="141"/>
    <d v="2022-05-04T00:00:00"/>
    <n v="1"/>
    <n v="402.29"/>
    <n v="451"/>
  </r>
  <r>
    <x v="23"/>
    <d v="2022-05-04T00:00:00"/>
    <n v="1"/>
    <n v="146.80000000000001"/>
    <n v="199"/>
  </r>
  <r>
    <x v="12"/>
    <d v="2022-05-04T00:00:00"/>
    <n v="1"/>
    <n v="385.8"/>
    <n v="463"/>
  </r>
  <r>
    <x v="116"/>
    <d v="2022-05-04T00:00:00"/>
    <n v="1"/>
    <n v="7.96"/>
    <n v="13"/>
  </r>
  <r>
    <x v="152"/>
    <d v="2022-05-04T00:00:00"/>
    <n v="1"/>
    <n v="12"/>
    <n v="20"/>
  </r>
  <r>
    <x v="48"/>
    <d v="2022-05-04T00:00:00"/>
    <n v="1"/>
    <n v="23.4"/>
    <n v="38"/>
  </r>
  <r>
    <x v="129"/>
    <d v="2022-05-04T00:00:00"/>
    <n v="1"/>
    <n v="26.49"/>
    <n v="42"/>
  </r>
  <r>
    <x v="129"/>
    <d v="2022-05-04T00:00:00"/>
    <n v="1"/>
    <n v="26.49"/>
    <n v="42"/>
  </r>
  <r>
    <x v="129"/>
    <d v="2022-05-04T00:00:00"/>
    <n v="1"/>
    <n v="26.49"/>
    <n v="42"/>
  </r>
  <r>
    <x v="56"/>
    <d v="2022-05-04T00:00:00"/>
    <n v="1"/>
    <n v="32.97"/>
    <n v="51"/>
  </r>
  <r>
    <x v="152"/>
    <d v="2022-05-04T00:00:00"/>
    <n v="1"/>
    <n v="12"/>
    <n v="20"/>
  </r>
  <r>
    <x v="90"/>
    <d v="2022-05-04T00:00:00"/>
    <n v="1"/>
    <n v="129.25"/>
    <n v="203"/>
  </r>
  <r>
    <x v="57"/>
    <d v="2022-05-04T00:00:00"/>
    <n v="1"/>
    <n v="25.2"/>
    <n v="30"/>
  </r>
  <r>
    <x v="92"/>
    <d v="2022-05-04T00:00:00"/>
    <n v="1"/>
    <n v="425.96"/>
    <n v="563"/>
  </r>
  <r>
    <x v="19"/>
    <d v="2022-05-04T00:00:00"/>
    <n v="1"/>
    <n v="100.98"/>
    <n v="120"/>
  </r>
  <r>
    <x v="60"/>
    <d v="2022-05-04T00:00:00"/>
    <n v="1"/>
    <n v="176.77"/>
    <n v="207"/>
  </r>
  <r>
    <x v="129"/>
    <d v="2022-05-04T00:00:00"/>
    <n v="1"/>
    <n v="26.98"/>
    <n v="42"/>
  </r>
  <r>
    <x v="30"/>
    <d v="2022-05-04T00:00:00"/>
    <n v="1"/>
    <n v="35"/>
    <n v="54"/>
  </r>
  <r>
    <x v="51"/>
    <d v="2022-05-04T00:00:00"/>
    <n v="1"/>
    <n v="45.42"/>
    <n v="70"/>
  </r>
  <r>
    <x v="13"/>
    <d v="2022-05-04T00:00:00"/>
    <n v="1"/>
    <n v="42"/>
    <n v="64"/>
  </r>
  <r>
    <x v="21"/>
    <d v="2022-05-04T00:00:00"/>
    <n v="0.1"/>
    <n v="989.8"/>
    <n v="1238"/>
  </r>
  <r>
    <x v="119"/>
    <d v="2022-05-04T00:00:00"/>
    <n v="2"/>
    <n v="37.799999999999997"/>
    <n v="62"/>
  </r>
  <r>
    <x v="31"/>
    <d v="2022-05-04T00:00:00"/>
    <n v="1"/>
    <n v="25.27"/>
    <n v="32"/>
  </r>
  <r>
    <x v="20"/>
    <d v="2022-05-04T00:00:00"/>
    <n v="1"/>
    <n v="148.58000000000001"/>
    <n v="179"/>
  </r>
  <r>
    <x v="20"/>
    <d v="2022-05-04T00:00:00"/>
    <n v="1"/>
    <n v="148.58000000000001"/>
    <n v="179"/>
  </r>
  <r>
    <x v="0"/>
    <d v="2022-05-04T00:00:00"/>
    <n v="1"/>
    <n v="141.77000000000001"/>
    <n v="168"/>
  </r>
  <r>
    <x v="0"/>
    <d v="2022-05-04T00:00:00"/>
    <n v="1"/>
    <n v="141.77000000000001"/>
    <n v="168"/>
  </r>
  <r>
    <x v="84"/>
    <d v="2022-05-04T00:00:00"/>
    <n v="1"/>
    <n v="74.37"/>
    <n v="106"/>
  </r>
  <r>
    <x v="89"/>
    <d v="2022-05-04T00:00:00"/>
    <n v="1"/>
    <n v="28.46"/>
    <n v="39"/>
  </r>
  <r>
    <x v="89"/>
    <d v="2022-05-04T00:00:00"/>
    <n v="1"/>
    <n v="28.46"/>
    <n v="39"/>
  </r>
  <r>
    <x v="89"/>
    <d v="2022-05-04T00:00:00"/>
    <n v="1"/>
    <n v="28.46"/>
    <n v="39"/>
  </r>
  <r>
    <x v="89"/>
    <d v="2022-05-04T00:00:00"/>
    <n v="1"/>
    <n v="28.46"/>
    <n v="39"/>
  </r>
  <r>
    <x v="89"/>
    <d v="2022-05-04T00:00:00"/>
    <n v="1"/>
    <n v="28.46"/>
    <n v="39"/>
  </r>
  <r>
    <x v="89"/>
    <d v="2022-05-04T00:00:00"/>
    <n v="1"/>
    <n v="28.46"/>
    <n v="39"/>
  </r>
  <r>
    <x v="89"/>
    <d v="2022-05-04T00:00:00"/>
    <n v="1"/>
    <n v="28.46"/>
    <n v="39"/>
  </r>
  <r>
    <x v="89"/>
    <d v="2022-05-04T00:00:00"/>
    <n v="1"/>
    <n v="28.46"/>
    <n v="39"/>
  </r>
  <r>
    <x v="89"/>
    <d v="2022-05-04T00:00:00"/>
    <n v="1"/>
    <n v="28.46"/>
    <n v="39"/>
  </r>
  <r>
    <x v="89"/>
    <d v="2022-05-04T00:00:00"/>
    <n v="1"/>
    <n v="28.46"/>
    <n v="39"/>
  </r>
  <r>
    <x v="90"/>
    <d v="2022-05-04T00:00:00"/>
    <n v="1"/>
    <n v="129.25"/>
    <n v="197"/>
  </r>
  <r>
    <x v="60"/>
    <d v="2022-05-04T00:00:00"/>
    <n v="1"/>
    <n v="181.12"/>
    <n v="212"/>
  </r>
  <r>
    <x v="60"/>
    <d v="2022-05-04T00:00:00"/>
    <n v="1"/>
    <n v="181.12"/>
    <n v="212"/>
  </r>
  <r>
    <x v="20"/>
    <d v="2022-05-04T00:00:00"/>
    <n v="1"/>
    <n v="148.58000000000001"/>
    <n v="179"/>
  </r>
  <r>
    <x v="36"/>
    <d v="2022-05-04T00:00:00"/>
    <n v="3"/>
    <n v="12.73"/>
    <n v="21.01"/>
  </r>
  <r>
    <x v="88"/>
    <d v="2022-05-04T00:00:00"/>
    <n v="1"/>
    <n v="67.84"/>
    <n v="99"/>
  </r>
  <r>
    <x v="45"/>
    <d v="2022-05-04T00:00:00"/>
    <n v="1"/>
    <n v="44.43"/>
    <n v="55"/>
  </r>
  <r>
    <x v="45"/>
    <d v="2022-05-04T00:00:00"/>
    <n v="1"/>
    <n v="44.43"/>
    <n v="55"/>
  </r>
  <r>
    <x v="139"/>
    <d v="2022-05-04T00:00:00"/>
    <n v="1"/>
    <n v="55.03"/>
    <n v="79"/>
  </r>
  <r>
    <x v="24"/>
    <d v="2022-05-04T00:00:00"/>
    <n v="1"/>
    <n v="496.93"/>
    <n v="646"/>
  </r>
  <r>
    <x v="109"/>
    <d v="2022-05-04T00:00:00"/>
    <n v="1"/>
    <n v="74.8"/>
    <n v="92"/>
  </r>
  <r>
    <x v="78"/>
    <d v="2022-05-04T00:00:00"/>
    <n v="1"/>
    <n v="207.68"/>
    <n v="246"/>
  </r>
  <r>
    <x v="38"/>
    <d v="2022-05-04T00:00:00"/>
    <n v="1"/>
    <n v="138.69"/>
    <n v="169"/>
  </r>
  <r>
    <x v="20"/>
    <d v="2022-05-04T00:00:00"/>
    <n v="1"/>
    <n v="151.22"/>
    <n v="181"/>
  </r>
  <r>
    <x v="7"/>
    <d v="2022-05-04T00:00:00"/>
    <n v="1"/>
    <n v="56.84"/>
    <n v="70"/>
  </r>
  <r>
    <x v="60"/>
    <d v="2022-05-04T00:00:00"/>
    <n v="1"/>
    <n v="186.78"/>
    <n v="219"/>
  </r>
  <r>
    <x v="130"/>
    <d v="2022-05-04T00:00:00"/>
    <n v="1"/>
    <n v="74.540000000000006"/>
    <n v="92"/>
  </r>
  <r>
    <x v="130"/>
    <d v="2022-05-04T00:00:00"/>
    <n v="1"/>
    <n v="74.540000000000006"/>
    <n v="92"/>
  </r>
  <r>
    <x v="14"/>
    <d v="2022-05-04T00:00:00"/>
    <n v="1"/>
    <n v="80.52"/>
    <n v="103"/>
  </r>
  <r>
    <x v="38"/>
    <d v="2022-05-04T00:00:00"/>
    <n v="1"/>
    <n v="143.36000000000001"/>
    <n v="170"/>
  </r>
  <r>
    <x v="126"/>
    <d v="2022-05-04T00:00:00"/>
    <n v="1"/>
    <n v="363"/>
    <n v="480"/>
  </r>
  <r>
    <x v="151"/>
    <d v="2022-05-04T00:00:00"/>
    <n v="1"/>
    <n v="248.98"/>
    <n v="349"/>
  </r>
  <r>
    <x v="151"/>
    <d v="2022-05-04T00:00:00"/>
    <n v="1"/>
    <n v="248.98"/>
    <n v="349"/>
  </r>
  <r>
    <x v="67"/>
    <d v="2022-05-04T00:00:00"/>
    <n v="1"/>
    <n v="557.09"/>
    <n v="736"/>
  </r>
  <r>
    <x v="42"/>
    <d v="2022-05-04T00:00:00"/>
    <n v="1"/>
    <n v="41.58"/>
    <n v="65"/>
  </r>
  <r>
    <x v="40"/>
    <d v="2022-05-04T00:00:00"/>
    <n v="1"/>
    <n v="27.94"/>
    <n v="45"/>
  </r>
  <r>
    <x v="24"/>
    <d v="2022-05-04T00:00:00"/>
    <n v="1"/>
    <n v="488.54"/>
    <n v="675"/>
  </r>
  <r>
    <x v="141"/>
    <d v="2022-05-04T00:00:00"/>
    <n v="1"/>
    <n v="402.29"/>
    <n v="451"/>
  </r>
  <r>
    <x v="57"/>
    <d v="2022-05-04T00:00:00"/>
    <n v="1"/>
    <n v="25.2"/>
    <n v="30"/>
  </r>
  <r>
    <x v="106"/>
    <d v="2022-05-04T00:00:00"/>
    <n v="1"/>
    <n v="177.87"/>
    <n v="211"/>
  </r>
  <r>
    <x v="106"/>
    <d v="2022-05-04T00:00:00"/>
    <n v="1"/>
    <n v="177.87"/>
    <n v="211"/>
  </r>
  <r>
    <x v="90"/>
    <d v="2022-05-04T00:00:00"/>
    <n v="0.3"/>
    <n v="212.67"/>
    <n v="328"/>
  </r>
  <r>
    <x v="129"/>
    <d v="2022-05-04T00:00:00"/>
    <n v="1"/>
    <n v="26.6"/>
    <n v="42"/>
  </r>
  <r>
    <x v="129"/>
    <d v="2022-05-04T00:00:00"/>
    <n v="1"/>
    <n v="26.6"/>
    <n v="42"/>
  </r>
  <r>
    <x v="47"/>
    <d v="2022-05-04T00:00:00"/>
    <n v="1"/>
    <n v="203.72"/>
    <n v="245"/>
  </r>
  <r>
    <x v="19"/>
    <d v="2022-05-04T00:00:00"/>
    <n v="1"/>
    <n v="100.98"/>
    <n v="120"/>
  </r>
  <r>
    <x v="26"/>
    <d v="2022-05-04T00:00:00"/>
    <n v="1"/>
    <n v="14.56"/>
    <n v="20"/>
  </r>
  <r>
    <x v="26"/>
    <d v="2022-05-04T00:00:00"/>
    <n v="1"/>
    <n v="14.56"/>
    <n v="20"/>
  </r>
  <r>
    <x v="44"/>
    <d v="2022-05-04T00:00:00"/>
    <n v="1"/>
    <n v="16.25"/>
    <n v="20"/>
  </r>
  <r>
    <x v="7"/>
    <d v="2022-05-04T00:00:00"/>
    <n v="1"/>
    <n v="59.39"/>
    <n v="73"/>
  </r>
  <r>
    <x v="61"/>
    <d v="2022-05-04T00:00:00"/>
    <n v="1"/>
    <n v="32.01"/>
    <n v="37"/>
  </r>
  <r>
    <x v="74"/>
    <d v="2022-05-04T00:00:00"/>
    <n v="1"/>
    <n v="148.5"/>
    <n v="177"/>
  </r>
  <r>
    <x v="45"/>
    <d v="2022-05-04T00:00:00"/>
    <n v="1"/>
    <n v="45.74"/>
    <n v="56"/>
  </r>
  <r>
    <x v="30"/>
    <d v="2022-05-04T00:00:00"/>
    <n v="1"/>
    <n v="35"/>
    <n v="54"/>
  </r>
  <r>
    <x v="43"/>
    <d v="2022-05-04T00:00:00"/>
    <n v="1"/>
    <n v="38.67"/>
    <n v="59"/>
  </r>
  <r>
    <x v="94"/>
    <d v="2022-05-04T00:00:00"/>
    <n v="1"/>
    <n v="64.25"/>
    <n v="79"/>
  </r>
  <r>
    <x v="44"/>
    <d v="2022-05-04T00:00:00"/>
    <n v="1"/>
    <n v="16.39"/>
    <n v="20"/>
  </r>
  <r>
    <x v="44"/>
    <d v="2022-05-04T00:00:00"/>
    <n v="1"/>
    <n v="16.39"/>
    <n v="20"/>
  </r>
  <r>
    <x v="19"/>
    <d v="2022-05-04T00:00:00"/>
    <n v="1"/>
    <n v="100.98"/>
    <n v="120"/>
  </r>
  <r>
    <x v="38"/>
    <d v="2022-05-04T00:00:00"/>
    <n v="1"/>
    <n v="143.36000000000001"/>
    <n v="170"/>
  </r>
  <r>
    <x v="44"/>
    <d v="2022-05-04T00:00:00"/>
    <n v="1"/>
    <n v="16.309999999999999"/>
    <n v="20"/>
  </r>
  <r>
    <x v="20"/>
    <d v="2022-05-04T00:00:00"/>
    <n v="1"/>
    <n v="147.47"/>
    <n v="177"/>
  </r>
  <r>
    <x v="12"/>
    <d v="2022-05-04T00:00:00"/>
    <n v="1"/>
    <n v="385.8"/>
    <n v="463"/>
  </r>
  <r>
    <x v="152"/>
    <d v="2022-05-04T00:00:00"/>
    <n v="1"/>
    <n v="12"/>
    <n v="21"/>
  </r>
  <r>
    <x v="132"/>
    <d v="2022-05-04T00:00:00"/>
    <n v="1"/>
    <n v="8.5"/>
    <n v="14"/>
  </r>
  <r>
    <x v="48"/>
    <d v="2022-05-04T00:00:00"/>
    <n v="1"/>
    <n v="23.4"/>
    <n v="38"/>
  </r>
  <r>
    <x v="2"/>
    <d v="2022-05-04T00:00:00"/>
    <n v="1"/>
    <n v="90.39"/>
    <n v="112"/>
  </r>
  <r>
    <x v="18"/>
    <d v="2022-05-04T00:00:00"/>
    <n v="1"/>
    <n v="110.08"/>
    <n v="124"/>
  </r>
  <r>
    <x v="15"/>
    <d v="2022-05-04T00:00:00"/>
    <n v="1"/>
    <n v="19.66"/>
    <n v="23"/>
  </r>
  <r>
    <x v="15"/>
    <d v="2022-05-04T00:00:00"/>
    <n v="1"/>
    <n v="19.66"/>
    <n v="23"/>
  </r>
  <r>
    <x v="32"/>
    <d v="2022-05-04T00:00:00"/>
    <n v="1"/>
    <n v="38"/>
    <n v="48"/>
  </r>
  <r>
    <x v="40"/>
    <d v="2022-05-04T00:00:00"/>
    <n v="1"/>
    <n v="25.59"/>
    <n v="45"/>
  </r>
  <r>
    <x v="14"/>
    <d v="2022-05-04T00:00:00"/>
    <n v="1"/>
    <n v="81.58"/>
    <n v="102"/>
  </r>
  <r>
    <x v="14"/>
    <d v="2022-05-04T00:00:00"/>
    <n v="1"/>
    <n v="81.58"/>
    <n v="102"/>
  </r>
  <r>
    <x v="117"/>
    <d v="2022-05-04T00:00:00"/>
    <n v="1"/>
    <n v="20.82"/>
    <n v="26"/>
  </r>
  <r>
    <x v="42"/>
    <d v="2022-05-04T00:00:00"/>
    <n v="1"/>
    <n v="41.58"/>
    <n v="65"/>
  </r>
  <r>
    <x v="21"/>
    <d v="2022-05-04T00:00:00"/>
    <n v="0.3"/>
    <n v="989.8"/>
    <n v="1238"/>
  </r>
  <r>
    <x v="29"/>
    <d v="2022-05-04T00:00:00"/>
    <n v="1"/>
    <n v="205.48"/>
    <n v="237"/>
  </r>
  <r>
    <x v="54"/>
    <d v="2022-05-04T00:00:00"/>
    <n v="3"/>
    <n v="13.1"/>
    <n v="21"/>
  </r>
  <r>
    <x v="130"/>
    <d v="2022-05-04T00:00:00"/>
    <n v="1"/>
    <n v="73.260000000000005"/>
    <n v="91"/>
  </r>
  <r>
    <x v="147"/>
    <d v="2022-05-04T00:00:00"/>
    <n v="1"/>
    <n v="106.17"/>
    <n v="133"/>
  </r>
  <r>
    <x v="60"/>
    <d v="2022-05-04T00:00:00"/>
    <n v="1"/>
    <n v="176.77"/>
    <n v="239"/>
  </r>
  <r>
    <x v="27"/>
    <d v="2022-05-04T00:00:00"/>
    <n v="1"/>
    <n v="125.73"/>
    <n v="192"/>
  </r>
  <r>
    <x v="21"/>
    <d v="2022-05-04T00:00:00"/>
    <n v="0.3"/>
    <n v="989.8"/>
    <n v="1238"/>
  </r>
  <r>
    <x v="142"/>
    <d v="2022-05-04T00:00:00"/>
    <n v="1"/>
    <n v="135.72999999999999"/>
    <n v="192"/>
  </r>
  <r>
    <x v="15"/>
    <d v="2022-05-04T00:00:00"/>
    <n v="1"/>
    <n v="19.66"/>
    <n v="23"/>
  </r>
  <r>
    <x v="52"/>
    <d v="2022-05-04T00:00:00"/>
    <n v="1"/>
    <n v="239.87"/>
    <n v="269"/>
  </r>
  <r>
    <x v="78"/>
    <d v="2022-05-04T00:00:00"/>
    <n v="1"/>
    <n v="207.31"/>
    <n v="244"/>
  </r>
  <r>
    <x v="61"/>
    <d v="2022-05-04T00:00:00"/>
    <n v="1"/>
    <n v="35.36"/>
    <n v="39"/>
  </r>
  <r>
    <x v="25"/>
    <d v="2022-05-04T00:00:00"/>
    <n v="1"/>
    <n v="156.19999999999999"/>
    <n v="186"/>
  </r>
  <r>
    <x v="42"/>
    <d v="2022-05-04T00:00:00"/>
    <n v="1"/>
    <n v="41.58"/>
    <n v="65"/>
  </r>
  <r>
    <x v="42"/>
    <d v="2022-05-04T00:00:00"/>
    <n v="1"/>
    <n v="41.58"/>
    <n v="65"/>
  </r>
  <r>
    <x v="124"/>
    <d v="2022-05-04T00:00:00"/>
    <n v="0.08"/>
    <n v="500.48"/>
    <n v="553"/>
  </r>
  <r>
    <x v="51"/>
    <d v="2022-05-04T00:00:00"/>
    <n v="1"/>
    <n v="44.84"/>
    <n v="70"/>
  </r>
  <r>
    <x v="51"/>
    <d v="2022-05-04T00:00:00"/>
    <n v="1"/>
    <n v="44.84"/>
    <n v="70"/>
  </r>
  <r>
    <x v="51"/>
    <d v="2022-05-04T00:00:00"/>
    <n v="1"/>
    <n v="44.84"/>
    <n v="70"/>
  </r>
  <r>
    <x v="78"/>
    <d v="2022-05-04T00:00:00"/>
    <n v="1"/>
    <n v="207.73"/>
    <n v="246"/>
  </r>
  <r>
    <x v="16"/>
    <d v="2022-05-04T00:00:00"/>
    <n v="1"/>
    <n v="182.17"/>
    <n v="254"/>
  </r>
  <r>
    <x v="43"/>
    <d v="2022-05-04T00:00:00"/>
    <n v="1"/>
    <n v="42.41"/>
    <n v="65"/>
  </r>
  <r>
    <x v="19"/>
    <d v="2022-05-04T00:00:00"/>
    <n v="1"/>
    <n v="99.99"/>
    <n v="119"/>
  </r>
  <r>
    <x v="40"/>
    <d v="2022-05-04T00:00:00"/>
    <n v="1"/>
    <n v="27.54"/>
    <n v="45"/>
  </r>
  <r>
    <x v="60"/>
    <d v="2022-05-04T00:00:00"/>
    <n v="1"/>
    <n v="186.78"/>
    <n v="219"/>
  </r>
  <r>
    <x v="141"/>
    <d v="2022-05-04T00:00:00"/>
    <n v="1"/>
    <n v="406.36"/>
    <n v="456"/>
  </r>
  <r>
    <x v="14"/>
    <d v="2022-05-04T00:00:00"/>
    <n v="1"/>
    <n v="80.52"/>
    <n v="103"/>
  </r>
  <r>
    <x v="130"/>
    <d v="2022-05-04T00:00:00"/>
    <n v="1"/>
    <n v="75.28"/>
    <n v="95"/>
  </r>
  <r>
    <x v="53"/>
    <d v="2022-05-04T00:00:00"/>
    <n v="1"/>
    <n v="82.25"/>
    <n v="99"/>
  </r>
  <r>
    <x v="26"/>
    <d v="2022-05-04T00:00:00"/>
    <n v="1"/>
    <n v="12.48"/>
    <n v="17"/>
  </r>
  <r>
    <x v="34"/>
    <d v="2022-05-04T00:00:00"/>
    <n v="4"/>
    <n v="15.43"/>
    <n v="25"/>
  </r>
  <r>
    <x v="152"/>
    <d v="2022-05-04T00:00:00"/>
    <n v="2"/>
    <n v="12"/>
    <n v="20"/>
  </r>
  <r>
    <x v="52"/>
    <d v="2022-05-04T00:00:00"/>
    <n v="1"/>
    <n v="233.76"/>
    <n v="274"/>
  </r>
  <r>
    <x v="122"/>
    <d v="2022-05-04T00:00:00"/>
    <n v="1"/>
    <n v="118.8"/>
    <n v="166"/>
  </r>
  <r>
    <x v="18"/>
    <d v="2022-05-04T00:00:00"/>
    <n v="1"/>
    <n v="109.41"/>
    <n v="123"/>
  </r>
  <r>
    <x v="57"/>
    <d v="2022-05-04T00:00:00"/>
    <n v="1"/>
    <n v="25.71"/>
    <n v="30.06"/>
  </r>
  <r>
    <x v="117"/>
    <d v="2022-05-04T00:00:00"/>
    <n v="1"/>
    <n v="21.64"/>
    <n v="27"/>
  </r>
  <r>
    <x v="99"/>
    <d v="2022-05-04T00:00:00"/>
    <n v="1"/>
    <n v="44.4"/>
    <n v="57"/>
  </r>
  <r>
    <x v="99"/>
    <d v="2022-05-04T00:00:00"/>
    <n v="1"/>
    <n v="44.4"/>
    <n v="57"/>
  </r>
  <r>
    <x v="26"/>
    <d v="2022-05-04T00:00:00"/>
    <n v="1"/>
    <n v="14.56"/>
    <n v="20"/>
  </r>
  <r>
    <x v="26"/>
    <d v="2022-05-04T00:00:00"/>
    <n v="1"/>
    <n v="14.56"/>
    <n v="20"/>
  </r>
  <r>
    <x v="135"/>
    <d v="2022-05-04T00:00:00"/>
    <n v="1"/>
    <n v="159.55000000000001"/>
    <n v="192"/>
  </r>
  <r>
    <x v="88"/>
    <d v="2022-05-04T00:00:00"/>
    <n v="1"/>
    <n v="65.400000000000006"/>
    <n v="93"/>
  </r>
  <r>
    <x v="88"/>
    <d v="2022-05-04T00:00:00"/>
    <n v="1"/>
    <n v="65.400000000000006"/>
    <n v="93"/>
  </r>
  <r>
    <x v="122"/>
    <d v="2022-05-04T00:00:00"/>
    <n v="1"/>
    <n v="117.96"/>
    <n v="164"/>
  </r>
  <r>
    <x v="35"/>
    <d v="2022-05-04T00:00:00"/>
    <n v="1"/>
    <n v="180.38"/>
    <n v="218"/>
  </r>
  <r>
    <x v="45"/>
    <d v="2022-05-04T00:00:00"/>
    <n v="1"/>
    <n v="44.43"/>
    <n v="55"/>
  </r>
  <r>
    <x v="23"/>
    <d v="2022-05-04T00:00:00"/>
    <n v="1"/>
    <n v="176.17"/>
    <n v="256"/>
  </r>
  <r>
    <x v="81"/>
    <d v="2022-05-04T00:00:00"/>
    <n v="1"/>
    <n v="39.619999999999997"/>
    <n v="69"/>
  </r>
  <r>
    <x v="80"/>
    <d v="2022-05-04T00:00:00"/>
    <n v="1"/>
    <n v="18.84"/>
    <n v="29"/>
  </r>
  <r>
    <x v="80"/>
    <d v="2022-05-04T00:00:00"/>
    <n v="1"/>
    <n v="18.84"/>
    <n v="29"/>
  </r>
  <r>
    <x v="80"/>
    <d v="2022-05-04T00:00:00"/>
    <n v="1"/>
    <n v="18.84"/>
    <n v="29"/>
  </r>
  <r>
    <x v="113"/>
    <d v="2022-05-04T00:00:00"/>
    <n v="1"/>
    <n v="10.42"/>
    <n v="13"/>
  </r>
  <r>
    <x v="102"/>
    <d v="2022-05-04T00:00:00"/>
    <n v="1"/>
    <n v="75.900000000000006"/>
    <n v="87"/>
  </r>
  <r>
    <x v="152"/>
    <d v="2022-05-04T00:00:00"/>
    <n v="1"/>
    <n v="12"/>
    <n v="21"/>
  </r>
  <r>
    <x v="38"/>
    <d v="2022-05-04T00:00:00"/>
    <n v="1"/>
    <n v="143.36000000000001"/>
    <n v="170"/>
  </r>
  <r>
    <x v="124"/>
    <d v="2022-05-04T00:00:00"/>
    <n v="0.2"/>
    <n v="497.82"/>
    <n v="598"/>
  </r>
  <r>
    <x v="79"/>
    <d v="2022-05-04T00:00:00"/>
    <n v="1"/>
    <n v="175.74"/>
    <n v="220"/>
  </r>
  <r>
    <x v="60"/>
    <d v="2022-05-04T00:00:00"/>
    <n v="1"/>
    <n v="186.78"/>
    <n v="219"/>
  </r>
  <r>
    <x v="21"/>
    <d v="2022-05-04T00:00:00"/>
    <n v="0.1"/>
    <n v="987.84"/>
    <n v="1304"/>
  </r>
  <r>
    <x v="15"/>
    <d v="2022-05-04T00:00:00"/>
    <n v="1"/>
    <n v="20.23"/>
    <n v="26"/>
  </r>
  <r>
    <x v="15"/>
    <d v="2022-05-04T00:00:00"/>
    <n v="1"/>
    <n v="20.23"/>
    <n v="26"/>
  </r>
  <r>
    <x v="0"/>
    <d v="2022-05-04T00:00:00"/>
    <n v="1"/>
    <n v="141.04"/>
    <n v="168"/>
  </r>
  <r>
    <x v="53"/>
    <d v="2022-05-04T00:00:00"/>
    <n v="1"/>
    <n v="82.25"/>
    <n v="99"/>
  </r>
  <r>
    <x v="98"/>
    <d v="2022-05-04T00:00:00"/>
    <n v="1"/>
    <n v="41.33"/>
    <n v="65"/>
  </r>
  <r>
    <x v="98"/>
    <d v="2022-05-04T00:00:00"/>
    <n v="1"/>
    <n v="41.33"/>
    <n v="65"/>
  </r>
  <r>
    <x v="98"/>
    <d v="2022-05-04T00:00:00"/>
    <n v="1"/>
    <n v="41.33"/>
    <n v="65"/>
  </r>
  <r>
    <x v="98"/>
    <d v="2022-05-04T00:00:00"/>
    <n v="1"/>
    <n v="41.33"/>
    <n v="65"/>
  </r>
  <r>
    <x v="155"/>
    <d v="2022-05-04T00:00:00"/>
    <n v="1"/>
    <n v="79.89"/>
    <n v="97"/>
  </r>
  <r>
    <x v="124"/>
    <d v="2022-05-04T00:00:00"/>
    <n v="0.04"/>
    <n v="496.39"/>
    <n v="597"/>
  </r>
  <r>
    <x v="116"/>
    <d v="2022-05-04T00:00:00"/>
    <n v="1"/>
    <n v="7.24"/>
    <n v="12"/>
  </r>
  <r>
    <x v="129"/>
    <d v="2022-05-04T00:00:00"/>
    <n v="1"/>
    <n v="26.98"/>
    <n v="42"/>
  </r>
  <r>
    <x v="7"/>
    <d v="2022-05-04T00:00:00"/>
    <n v="1"/>
    <n v="56.84"/>
    <n v="70"/>
  </r>
  <r>
    <x v="84"/>
    <d v="2022-05-04T00:00:00"/>
    <n v="1"/>
    <n v="74.13"/>
    <n v="111"/>
  </r>
  <r>
    <x v="84"/>
    <d v="2022-05-04T00:00:00"/>
    <n v="1"/>
    <n v="74.13"/>
    <n v="111"/>
  </r>
  <r>
    <x v="84"/>
    <d v="2022-05-04T00:00:00"/>
    <n v="1"/>
    <n v="74.13"/>
    <n v="111"/>
  </r>
  <r>
    <x v="80"/>
    <d v="2022-05-04T00:00:00"/>
    <n v="1"/>
    <n v="18.84"/>
    <n v="29"/>
  </r>
  <r>
    <x v="36"/>
    <d v="2022-05-04T00:00:00"/>
    <n v="3"/>
    <n v="11.45"/>
    <n v="19"/>
  </r>
  <r>
    <x v="94"/>
    <d v="2022-05-04T00:00:00"/>
    <n v="1"/>
    <n v="65.45"/>
    <n v="77"/>
  </r>
  <r>
    <x v="31"/>
    <d v="2022-05-04T00:00:00"/>
    <n v="1"/>
    <n v="22.53"/>
    <n v="30"/>
  </r>
  <r>
    <x v="29"/>
    <d v="2022-05-04T00:00:00"/>
    <n v="1"/>
    <n v="219.13"/>
    <n v="274"/>
  </r>
  <r>
    <x v="21"/>
    <d v="2022-05-04T00:00:00"/>
    <n v="0.1"/>
    <n v="989.8"/>
    <n v="1238"/>
  </r>
  <r>
    <x v="101"/>
    <d v="2022-05-04T00:00:00"/>
    <n v="1"/>
    <n v="41.82"/>
    <n v="51"/>
  </r>
  <r>
    <x v="25"/>
    <d v="2022-05-04T00:00:00"/>
    <n v="1"/>
    <n v="156.19999999999999"/>
    <n v="189"/>
  </r>
  <r>
    <x v="96"/>
    <d v="2022-05-04T00:00:00"/>
    <n v="1"/>
    <n v="27.79"/>
    <n v="44"/>
  </r>
  <r>
    <x v="74"/>
    <d v="2022-05-04T00:00:00"/>
    <n v="1"/>
    <n v="148.5"/>
    <n v="180"/>
  </r>
  <r>
    <x v="52"/>
    <d v="2022-05-04T00:00:00"/>
    <n v="1"/>
    <n v="232.47"/>
    <n v="272"/>
  </r>
  <r>
    <x v="19"/>
    <d v="2022-05-04T00:00:00"/>
    <n v="1"/>
    <n v="99.47"/>
    <n v="121"/>
  </r>
  <r>
    <x v="19"/>
    <d v="2022-05-04T00:00:00"/>
    <n v="1"/>
    <n v="99.47"/>
    <n v="121"/>
  </r>
  <r>
    <x v="19"/>
    <d v="2022-05-04T00:00:00"/>
    <n v="1"/>
    <n v="99.48"/>
    <n v="116"/>
  </r>
  <r>
    <x v="19"/>
    <d v="2022-05-04T00:00:00"/>
    <n v="1"/>
    <n v="99.48"/>
    <n v="116"/>
  </r>
  <r>
    <x v="73"/>
    <d v="2022-05-04T00:00:00"/>
    <n v="1"/>
    <n v="69.010000000000005"/>
    <n v="87"/>
  </r>
  <r>
    <x v="73"/>
    <d v="2022-05-04T00:00:00"/>
    <n v="1"/>
    <n v="69.010000000000005"/>
    <n v="87"/>
  </r>
  <r>
    <x v="73"/>
    <d v="2022-05-04T00:00:00"/>
    <n v="1"/>
    <n v="69.13"/>
    <n v="88"/>
  </r>
  <r>
    <x v="110"/>
    <d v="2022-05-04T00:00:00"/>
    <n v="1"/>
    <n v="71.349999999999994"/>
    <n v="90"/>
  </r>
  <r>
    <x v="30"/>
    <d v="2022-05-04T00:00:00"/>
    <n v="1"/>
    <n v="39.6"/>
    <n v="61"/>
  </r>
  <r>
    <x v="138"/>
    <d v="2022-05-04T00:00:00"/>
    <n v="1"/>
    <n v="50.45"/>
    <n v="77"/>
  </r>
  <r>
    <x v="43"/>
    <d v="2022-05-04T00:00:00"/>
    <n v="1"/>
    <n v="41.24"/>
    <n v="65"/>
  </r>
  <r>
    <x v="45"/>
    <d v="2022-05-04T00:00:00"/>
    <n v="1"/>
    <n v="44.89"/>
    <n v="56"/>
  </r>
  <r>
    <x v="93"/>
    <d v="2022-05-04T00:00:00"/>
    <n v="1"/>
    <n v="111.57"/>
    <n v="134"/>
  </r>
  <r>
    <x v="62"/>
    <d v="2022-05-04T00:00:00"/>
    <n v="1"/>
    <n v="55.46"/>
    <n v="79"/>
  </r>
  <r>
    <x v="0"/>
    <d v="2022-05-04T00:00:00"/>
    <n v="1"/>
    <n v="145.6"/>
    <n v="172"/>
  </r>
  <r>
    <x v="107"/>
    <d v="2022-05-04T00:00:00"/>
    <n v="1"/>
    <n v="257.88"/>
    <n v="312"/>
  </r>
  <r>
    <x v="42"/>
    <d v="2022-05-04T00:00:00"/>
    <n v="1"/>
    <n v="41.58"/>
    <n v="65"/>
  </r>
  <r>
    <x v="57"/>
    <d v="2022-05-04T00:00:00"/>
    <n v="1"/>
    <n v="25.19"/>
    <n v="30"/>
  </r>
  <r>
    <x v="57"/>
    <d v="2022-05-04T00:00:00"/>
    <n v="1"/>
    <n v="25.71"/>
    <n v="31"/>
  </r>
  <r>
    <x v="57"/>
    <d v="2022-05-04T00:00:00"/>
    <n v="1"/>
    <n v="25.71"/>
    <n v="31"/>
  </r>
  <r>
    <x v="43"/>
    <d v="2022-05-04T00:00:00"/>
    <n v="1"/>
    <n v="38.67"/>
    <n v="60"/>
  </r>
  <r>
    <x v="22"/>
    <d v="2022-05-04T00:00:00"/>
    <n v="2"/>
    <n v="105.23"/>
    <n v="161"/>
  </r>
  <r>
    <x v="129"/>
    <d v="2022-05-04T00:00:00"/>
    <n v="1"/>
    <n v="28.66"/>
    <n v="44"/>
  </r>
  <r>
    <x v="129"/>
    <d v="2022-05-04T00:00:00"/>
    <n v="1"/>
    <n v="28.66"/>
    <n v="44"/>
  </r>
  <r>
    <x v="51"/>
    <d v="2022-05-04T00:00:00"/>
    <n v="1"/>
    <n v="44.84"/>
    <n v="70"/>
  </r>
  <r>
    <x v="117"/>
    <d v="2022-05-04T00:00:00"/>
    <n v="1"/>
    <n v="20.82"/>
    <n v="26"/>
  </r>
  <r>
    <x v="141"/>
    <d v="2022-05-04T00:00:00"/>
    <n v="1"/>
    <n v="406.36"/>
    <n v="456"/>
  </r>
  <r>
    <x v="25"/>
    <d v="2022-05-04T00:00:00"/>
    <n v="1"/>
    <n v="156.19999999999999"/>
    <n v="186"/>
  </r>
  <r>
    <x v="93"/>
    <d v="2022-05-04T00:00:00"/>
    <n v="1"/>
    <n v="112.36"/>
    <n v="135"/>
  </r>
  <r>
    <x v="141"/>
    <d v="2022-05-04T00:00:00"/>
    <n v="1"/>
    <n v="402.2"/>
    <n v="451"/>
  </r>
  <r>
    <x v="119"/>
    <d v="2022-05-04T00:00:00"/>
    <n v="1"/>
    <n v="37.799999999999997"/>
    <n v="62"/>
  </r>
  <r>
    <x v="51"/>
    <d v="2022-05-04T00:00:00"/>
    <n v="1"/>
    <n v="50"/>
    <n v="79"/>
  </r>
  <r>
    <x v="51"/>
    <d v="2022-05-04T00:00:00"/>
    <n v="1"/>
    <n v="43.97"/>
    <n v="70"/>
  </r>
  <r>
    <x v="53"/>
    <d v="2022-05-04T00:00:00"/>
    <n v="1"/>
    <n v="82.25"/>
    <n v="99"/>
  </r>
  <r>
    <x v="92"/>
    <d v="2022-05-04T00:00:00"/>
    <n v="1"/>
    <n v="425.96"/>
    <n v="563"/>
  </r>
  <r>
    <x v="46"/>
    <d v="2022-05-04T00:00:00"/>
    <n v="8"/>
    <n v="2.04"/>
    <n v="4"/>
  </r>
  <r>
    <x v="23"/>
    <d v="2022-05-04T00:00:00"/>
    <n v="1"/>
    <n v="135.44999999999999"/>
    <n v="189"/>
  </r>
  <r>
    <x v="29"/>
    <d v="2022-05-04T00:00:00"/>
    <n v="1"/>
    <n v="219.13"/>
    <n v="252"/>
  </r>
  <r>
    <x v="85"/>
    <d v="2022-05-04T00:00:00"/>
    <n v="1"/>
    <n v="383.43"/>
    <n v="472"/>
  </r>
  <r>
    <x v="108"/>
    <d v="2022-05-04T00:00:00"/>
    <n v="1"/>
    <n v="128.46"/>
    <n v="179"/>
  </r>
  <r>
    <x v="95"/>
    <d v="2022-05-04T00:00:00"/>
    <n v="1"/>
    <n v="37.49"/>
    <n v="59"/>
  </r>
  <r>
    <x v="95"/>
    <d v="2022-05-04T00:00:00"/>
    <n v="1"/>
    <n v="37.49"/>
    <n v="59"/>
  </r>
  <r>
    <x v="78"/>
    <d v="2022-05-04T00:00:00"/>
    <n v="1"/>
    <n v="206.86"/>
    <n v="245"/>
  </r>
  <r>
    <x v="116"/>
    <d v="2022-05-04T00:00:00"/>
    <n v="1"/>
    <n v="7.24"/>
    <n v="12"/>
  </r>
  <r>
    <x v="94"/>
    <d v="2022-05-04T00:00:00"/>
    <n v="1"/>
    <n v="64.25"/>
    <n v="77"/>
  </r>
  <r>
    <x v="10"/>
    <d v="2022-05-04T00:00:00"/>
    <n v="2"/>
    <n v="50.1"/>
    <n v="81"/>
  </r>
  <r>
    <x v="43"/>
    <d v="2022-05-04T00:00:00"/>
    <n v="1"/>
    <n v="42.23"/>
    <n v="67"/>
  </r>
  <r>
    <x v="83"/>
    <d v="2022-05-04T00:00:00"/>
    <n v="1"/>
    <n v="136.57"/>
    <n v="215"/>
  </r>
  <r>
    <x v="113"/>
    <d v="2022-05-04T00:00:00"/>
    <n v="1"/>
    <n v="11.1"/>
    <n v="13"/>
  </r>
  <r>
    <x v="63"/>
    <d v="2022-05-04T00:00:00"/>
    <n v="1"/>
    <n v="62.36"/>
    <n v="92"/>
  </r>
  <r>
    <x v="51"/>
    <d v="2022-05-04T00:00:00"/>
    <n v="1"/>
    <n v="43.62"/>
    <n v="67"/>
  </r>
  <r>
    <x v="22"/>
    <d v="2022-05-04T00:00:00"/>
    <n v="1"/>
    <n v="105.23"/>
    <n v="161"/>
  </r>
  <r>
    <x v="47"/>
    <d v="2022-05-04T00:00:00"/>
    <n v="1"/>
    <n v="203.17"/>
    <n v="244"/>
  </r>
  <r>
    <x v="136"/>
    <d v="2022-05-04T00:00:00"/>
    <n v="2"/>
    <n v="16.38"/>
    <n v="27"/>
  </r>
  <r>
    <x v="85"/>
    <d v="2022-05-04T00:00:00"/>
    <n v="1"/>
    <n v="401.83"/>
    <n v="483"/>
  </r>
  <r>
    <x v="30"/>
    <d v="2022-05-04T00:00:00"/>
    <n v="1"/>
    <n v="35"/>
    <n v="54"/>
  </r>
  <r>
    <x v="45"/>
    <d v="2022-05-04T00:00:00"/>
    <n v="1"/>
    <n v="44.86"/>
    <n v="56"/>
  </r>
  <r>
    <x v="79"/>
    <d v="2022-05-04T00:00:00"/>
    <n v="1"/>
    <n v="163.76"/>
    <n v="205"/>
  </r>
  <r>
    <x v="53"/>
    <d v="2022-05-04T00:00:00"/>
    <n v="1"/>
    <n v="82.25"/>
    <n v="99"/>
  </r>
  <r>
    <x v="51"/>
    <d v="2022-05-04T00:00:00"/>
    <n v="1"/>
    <n v="43.97"/>
    <n v="67"/>
  </r>
  <r>
    <x v="51"/>
    <d v="2022-05-04T00:00:00"/>
    <n v="1"/>
    <n v="43.97"/>
    <n v="67"/>
  </r>
  <r>
    <x v="79"/>
    <d v="2022-05-04T00:00:00"/>
    <n v="1"/>
    <n v="165.15"/>
    <n v="207"/>
  </r>
  <r>
    <x v="67"/>
    <d v="2022-05-04T00:00:00"/>
    <n v="1"/>
    <n v="557.09"/>
    <n v="736"/>
  </r>
  <r>
    <x v="128"/>
    <d v="2022-05-04T00:00:00"/>
    <n v="11"/>
    <n v="5.56"/>
    <n v="9"/>
  </r>
  <r>
    <x v="138"/>
    <d v="2022-05-04T00:00:00"/>
    <n v="1"/>
    <n v="42.19"/>
    <n v="65"/>
  </r>
  <r>
    <x v="92"/>
    <d v="2022-05-04T00:00:00"/>
    <n v="1"/>
    <n v="425.96"/>
    <n v="576"/>
  </r>
  <r>
    <x v="139"/>
    <d v="2022-05-04T00:00:00"/>
    <n v="1"/>
    <n v="52.42"/>
    <n v="75"/>
  </r>
  <r>
    <x v="92"/>
    <d v="2022-05-04T00:00:00"/>
    <n v="1"/>
    <n v="425.96"/>
    <n v="563"/>
  </r>
  <r>
    <x v="150"/>
    <d v="2022-05-04T00:00:00"/>
    <n v="0.2"/>
    <n v="465.39"/>
    <n v="685"/>
  </r>
  <r>
    <x v="107"/>
    <d v="2022-05-04T00:00:00"/>
    <n v="1"/>
    <n v="291.3"/>
    <n v="331"/>
  </r>
  <r>
    <x v="88"/>
    <d v="2022-05-04T00:00:00"/>
    <n v="1"/>
    <n v="66.09"/>
    <n v="94"/>
  </r>
  <r>
    <x v="0"/>
    <d v="2022-05-04T00:00:00"/>
    <n v="1"/>
    <n v="141.04"/>
    <n v="168"/>
  </r>
  <r>
    <x v="73"/>
    <d v="2022-05-04T00:00:00"/>
    <n v="1"/>
    <n v="69.13"/>
    <n v="88"/>
  </r>
  <r>
    <x v="110"/>
    <d v="2022-05-04T00:00:00"/>
    <n v="1"/>
    <n v="71.349999999999994"/>
    <n v="90"/>
  </r>
  <r>
    <x v="19"/>
    <d v="2022-05-04T00:00:00"/>
    <n v="1"/>
    <n v="99.48"/>
    <n v="116"/>
  </r>
  <r>
    <x v="100"/>
    <d v="2022-05-04T00:00:00"/>
    <n v="2"/>
    <n v="25.88"/>
    <n v="42"/>
  </r>
  <r>
    <x v="49"/>
    <d v="2022-05-04T00:00:00"/>
    <n v="1"/>
    <n v="642.92999999999995"/>
    <n v="830"/>
  </r>
  <r>
    <x v="150"/>
    <d v="2022-05-04T00:00:00"/>
    <n v="0.2"/>
    <n v="371.91"/>
    <n v="529"/>
  </r>
  <r>
    <x v="21"/>
    <d v="2022-05-04T00:00:00"/>
    <n v="0.2"/>
    <n v="986.87"/>
    <n v="1234"/>
  </r>
  <r>
    <x v="21"/>
    <d v="2022-05-04T00:00:00"/>
    <n v="0.13333300000000001"/>
    <n v="1282.05"/>
    <n v="1577"/>
  </r>
  <r>
    <x v="74"/>
    <d v="2022-05-04T00:00:00"/>
    <n v="1"/>
    <n v="148.5"/>
    <n v="177"/>
  </r>
  <r>
    <x v="37"/>
    <d v="2022-05-04T00:00:00"/>
    <n v="1"/>
    <n v="559.34"/>
    <n v="644"/>
  </r>
  <r>
    <x v="138"/>
    <d v="2022-05-04T00:00:00"/>
    <n v="1"/>
    <n v="46.9"/>
    <n v="73"/>
  </r>
  <r>
    <x v="131"/>
    <d v="2022-05-04T00:00:00"/>
    <n v="1"/>
    <n v="293.81"/>
    <n v="412"/>
  </r>
  <r>
    <x v="59"/>
    <d v="2022-05-04T00:00:00"/>
    <n v="1"/>
    <n v="205.33"/>
    <n v="278"/>
  </r>
  <r>
    <x v="60"/>
    <d v="2022-05-04T00:00:00"/>
    <n v="1"/>
    <n v="176.42"/>
    <n v="207"/>
  </r>
  <r>
    <x v="20"/>
    <d v="2022-05-04T00:00:00"/>
    <n v="1"/>
    <n v="148.58000000000001"/>
    <n v="179"/>
  </r>
  <r>
    <x v="80"/>
    <d v="2022-05-04T00:00:00"/>
    <n v="1"/>
    <n v="15.84"/>
    <n v="25"/>
  </r>
  <r>
    <x v="80"/>
    <d v="2022-05-04T00:00:00"/>
    <n v="1"/>
    <n v="15.84"/>
    <n v="25"/>
  </r>
  <r>
    <x v="80"/>
    <d v="2022-05-04T00:00:00"/>
    <n v="1"/>
    <n v="15.84"/>
    <n v="25"/>
  </r>
  <r>
    <x v="143"/>
    <d v="2022-05-04T00:00:00"/>
    <n v="1"/>
    <n v="36.840000000000003"/>
    <n v="56"/>
  </r>
  <r>
    <x v="92"/>
    <d v="2022-05-04T00:00:00"/>
    <n v="1"/>
    <n v="425.96"/>
    <n v="563"/>
  </r>
  <r>
    <x v="0"/>
    <d v="2022-05-04T00:00:00"/>
    <n v="1"/>
    <n v="141.04"/>
    <n v="168"/>
  </r>
  <r>
    <x v="55"/>
    <d v="2022-05-04T00:00:00"/>
    <n v="1"/>
    <n v="62.22"/>
    <n v="76"/>
  </r>
  <r>
    <x v="117"/>
    <d v="2022-05-04T00:00:00"/>
    <n v="1"/>
    <n v="20.82"/>
    <n v="26"/>
  </r>
  <r>
    <x v="53"/>
    <d v="2022-05-04T00:00:00"/>
    <n v="1"/>
    <n v="84.36"/>
    <n v="102"/>
  </r>
  <r>
    <x v="53"/>
    <d v="2022-05-04T00:00:00"/>
    <n v="1"/>
    <n v="84.36"/>
    <n v="102"/>
  </r>
  <r>
    <x v="53"/>
    <d v="2022-05-04T00:00:00"/>
    <n v="1"/>
    <n v="80.28"/>
    <n v="97"/>
  </r>
  <r>
    <x v="57"/>
    <d v="2022-05-04T00:00:00"/>
    <n v="1"/>
    <n v="25.71"/>
    <n v="31"/>
  </r>
  <r>
    <x v="57"/>
    <d v="2022-05-04T00:00:00"/>
    <n v="1"/>
    <n v="25.71"/>
    <n v="31"/>
  </r>
  <r>
    <x v="0"/>
    <d v="2022-05-04T00:00:00"/>
    <n v="1"/>
    <n v="146.1"/>
    <n v="173"/>
  </r>
  <r>
    <x v="101"/>
    <d v="2022-05-04T00:00:00"/>
    <n v="1"/>
    <n v="41.74"/>
    <n v="51"/>
  </r>
  <r>
    <x v="79"/>
    <d v="2022-05-04T00:00:00"/>
    <n v="1"/>
    <n v="168.78"/>
    <n v="195"/>
  </r>
  <r>
    <x v="44"/>
    <d v="2022-05-04T00:00:00"/>
    <n v="1"/>
    <n v="16.309999999999999"/>
    <n v="20"/>
  </r>
  <r>
    <x v="57"/>
    <d v="2022-05-04T00:00:00"/>
    <n v="1"/>
    <n v="25.2"/>
    <n v="30"/>
  </r>
  <r>
    <x v="0"/>
    <d v="2022-05-04T00:00:00"/>
    <n v="1"/>
    <n v="137.13"/>
    <n v="164"/>
  </r>
  <r>
    <x v="93"/>
    <d v="2022-05-04T00:00:00"/>
    <n v="1"/>
    <n v="111.24"/>
    <n v="133"/>
  </r>
  <r>
    <x v="21"/>
    <d v="2022-05-04T00:00:00"/>
    <n v="0.1"/>
    <n v="1217.92"/>
    <n v="1596"/>
  </r>
  <r>
    <x v="60"/>
    <d v="2022-05-04T00:00:00"/>
    <n v="1"/>
    <n v="176.42"/>
    <n v="207"/>
  </r>
  <r>
    <x v="88"/>
    <d v="2022-05-04T00:00:00"/>
    <n v="1"/>
    <n v="67.540000000000006"/>
    <n v="96"/>
  </r>
  <r>
    <x v="51"/>
    <d v="2022-05-04T00:00:00"/>
    <n v="1"/>
    <n v="43.7"/>
    <n v="67"/>
  </r>
  <r>
    <x v="60"/>
    <d v="2022-05-04T00:00:00"/>
    <n v="1"/>
    <n v="181.12"/>
    <n v="212"/>
  </r>
  <r>
    <x v="20"/>
    <d v="2022-05-04T00:00:00"/>
    <n v="1"/>
    <n v="147.47"/>
    <n v="177"/>
  </r>
  <r>
    <x v="65"/>
    <d v="2022-05-04T00:00:00"/>
    <n v="1"/>
    <n v="184.78"/>
    <n v="219"/>
  </r>
  <r>
    <x v="90"/>
    <d v="2022-05-04T00:00:00"/>
    <n v="1"/>
    <n v="129.25"/>
    <n v="197"/>
  </r>
  <r>
    <x v="100"/>
    <d v="2022-05-04T00:00:00"/>
    <n v="4"/>
    <n v="24.59"/>
    <n v="40"/>
  </r>
  <r>
    <x v="43"/>
    <d v="2022-05-04T00:00:00"/>
    <n v="1"/>
    <n v="42.23"/>
    <n v="67"/>
  </r>
  <r>
    <x v="43"/>
    <d v="2022-05-04T00:00:00"/>
    <n v="1"/>
    <n v="42.23"/>
    <n v="67"/>
  </r>
  <r>
    <x v="26"/>
    <d v="2022-05-04T00:00:00"/>
    <n v="1"/>
    <n v="12.48"/>
    <n v="17"/>
  </r>
  <r>
    <x v="26"/>
    <d v="2022-05-04T00:00:00"/>
    <n v="1"/>
    <n v="12.48"/>
    <n v="17"/>
  </r>
  <r>
    <x v="26"/>
    <d v="2022-05-04T00:00:00"/>
    <n v="1"/>
    <n v="12.48"/>
    <n v="17"/>
  </r>
  <r>
    <x v="26"/>
    <d v="2022-05-04T00:00:00"/>
    <n v="1"/>
    <n v="12.48"/>
    <n v="17"/>
  </r>
  <r>
    <x v="26"/>
    <d v="2022-05-04T00:00:00"/>
    <n v="1"/>
    <n v="12.48"/>
    <n v="17"/>
  </r>
  <r>
    <x v="126"/>
    <d v="2022-05-04T00:00:00"/>
    <n v="1"/>
    <n v="361.44"/>
    <n v="423"/>
  </r>
  <r>
    <x v="38"/>
    <d v="2022-05-04T00:00:00"/>
    <n v="1"/>
    <n v="143.36000000000001"/>
    <n v="170"/>
  </r>
  <r>
    <x v="19"/>
    <d v="2022-05-04T00:00:00"/>
    <n v="1"/>
    <n v="99.48"/>
    <n v="116"/>
  </r>
  <r>
    <x v="142"/>
    <d v="2022-05-04T00:00:00"/>
    <n v="1"/>
    <n v="137.1"/>
    <n v="194"/>
  </r>
  <r>
    <x v="59"/>
    <d v="2022-05-04T00:00:00"/>
    <n v="1"/>
    <n v="205.33"/>
    <n v="278"/>
  </r>
  <r>
    <x v="127"/>
    <d v="2022-05-03T00:00:00"/>
    <n v="1"/>
    <n v="58.75"/>
    <n v="86"/>
  </r>
  <r>
    <x v="14"/>
    <d v="2022-05-03T00:00:00"/>
    <n v="1"/>
    <n v="80.52"/>
    <n v="103"/>
  </r>
  <r>
    <x v="29"/>
    <d v="2022-05-03T00:00:00"/>
    <n v="1"/>
    <n v="205.48"/>
    <n v="237"/>
  </r>
  <r>
    <x v="48"/>
    <d v="2022-05-03T00:00:00"/>
    <n v="1"/>
    <n v="23.4"/>
    <n v="38"/>
  </r>
  <r>
    <x v="48"/>
    <d v="2022-05-03T00:00:00"/>
    <n v="1"/>
    <n v="23.4"/>
    <n v="38"/>
  </r>
  <r>
    <x v="13"/>
    <d v="2022-05-03T00:00:00"/>
    <n v="1"/>
    <n v="44"/>
    <n v="69"/>
  </r>
  <r>
    <x v="97"/>
    <d v="2022-05-03T00:00:00"/>
    <n v="1"/>
    <n v="27.5"/>
    <n v="34"/>
  </r>
  <r>
    <x v="89"/>
    <d v="2022-05-03T00:00:00"/>
    <n v="0.28876200000000002"/>
    <n v="28.46"/>
    <n v="39"/>
  </r>
  <r>
    <x v="89"/>
    <d v="2022-05-03T00:00:00"/>
    <n v="0.71123800000000004"/>
    <n v="28.46"/>
    <n v="39"/>
  </r>
  <r>
    <x v="89"/>
    <d v="2022-05-03T00:00:00"/>
    <n v="0.28876200000000002"/>
    <n v="28.46"/>
    <n v="39"/>
  </r>
  <r>
    <x v="89"/>
    <d v="2022-05-03T00:00:00"/>
    <n v="0.71123800000000004"/>
    <n v="28.46"/>
    <n v="39"/>
  </r>
  <r>
    <x v="89"/>
    <d v="2022-05-03T00:00:00"/>
    <n v="0.28876200000000002"/>
    <n v="28.46"/>
    <n v="39"/>
  </r>
  <r>
    <x v="89"/>
    <d v="2022-05-03T00:00:00"/>
    <n v="0.71123800000000004"/>
    <n v="28.46"/>
    <n v="39"/>
  </r>
  <r>
    <x v="89"/>
    <d v="2022-05-03T00:00:00"/>
    <n v="0.28876200000000002"/>
    <n v="28.46"/>
    <n v="39"/>
  </r>
  <r>
    <x v="89"/>
    <d v="2022-05-03T00:00:00"/>
    <n v="0.71123800000000004"/>
    <n v="28.46"/>
    <n v="39"/>
  </r>
  <r>
    <x v="89"/>
    <d v="2022-05-03T00:00:00"/>
    <n v="0.28876200000000002"/>
    <n v="28.46"/>
    <n v="39"/>
  </r>
  <r>
    <x v="89"/>
    <d v="2022-05-03T00:00:00"/>
    <n v="0.71123800000000004"/>
    <n v="28.46"/>
    <n v="39"/>
  </r>
  <r>
    <x v="89"/>
    <d v="2022-05-03T00:00:00"/>
    <n v="0.28876200000000002"/>
    <n v="28.46"/>
    <n v="39"/>
  </r>
  <r>
    <x v="89"/>
    <d v="2022-05-03T00:00:00"/>
    <n v="0.71123800000000004"/>
    <n v="28.46"/>
    <n v="39"/>
  </r>
  <r>
    <x v="89"/>
    <d v="2022-05-03T00:00:00"/>
    <n v="0.28876200000000002"/>
    <n v="28.46"/>
    <n v="39"/>
  </r>
  <r>
    <x v="89"/>
    <d v="2022-05-03T00:00:00"/>
    <n v="0.71123800000000004"/>
    <n v="28.46"/>
    <n v="39"/>
  </r>
  <r>
    <x v="89"/>
    <d v="2022-05-03T00:00:00"/>
    <n v="0.28876200000000002"/>
    <n v="28.46"/>
    <n v="39"/>
  </r>
  <r>
    <x v="89"/>
    <d v="2022-05-03T00:00:00"/>
    <n v="0.71123800000000004"/>
    <n v="28.46"/>
    <n v="39"/>
  </r>
  <r>
    <x v="89"/>
    <d v="2022-05-03T00:00:00"/>
    <n v="0.28876200000000002"/>
    <n v="28.46"/>
    <n v="39"/>
  </r>
  <r>
    <x v="89"/>
    <d v="2022-05-03T00:00:00"/>
    <n v="0.71123800000000004"/>
    <n v="28.46"/>
    <n v="39"/>
  </r>
  <r>
    <x v="89"/>
    <d v="2022-05-03T00:00:00"/>
    <n v="0.28876200000000002"/>
    <n v="28.46"/>
    <n v="39"/>
  </r>
  <r>
    <x v="89"/>
    <d v="2022-05-03T00:00:00"/>
    <n v="0.71123800000000004"/>
    <n v="28.46"/>
    <n v="39"/>
  </r>
  <r>
    <x v="90"/>
    <d v="2022-05-03T00:00:00"/>
    <n v="0.28876200000000002"/>
    <n v="129.25"/>
    <n v="197"/>
  </r>
  <r>
    <x v="90"/>
    <d v="2022-05-03T00:00:00"/>
    <n v="0.71123800000000004"/>
    <n v="129.25"/>
    <n v="197"/>
  </r>
  <r>
    <x v="23"/>
    <d v="2022-05-03T00:00:00"/>
    <n v="0.28876200000000002"/>
    <n v="135.44999999999999"/>
    <n v="189"/>
  </r>
  <r>
    <x v="23"/>
    <d v="2022-05-03T00:00:00"/>
    <n v="0.71123800000000004"/>
    <n v="135.44999999999999"/>
    <n v="189"/>
  </r>
  <r>
    <x v="86"/>
    <d v="2022-05-03T00:00:00"/>
    <n v="0.28876200000000002"/>
    <n v="30.78"/>
    <n v="50"/>
  </r>
  <r>
    <x v="86"/>
    <d v="2022-05-03T00:00:00"/>
    <n v="0.71123800000000004"/>
    <n v="30.78"/>
    <n v="50"/>
  </r>
  <r>
    <x v="48"/>
    <d v="2022-05-03T00:00:00"/>
    <n v="1"/>
    <n v="23.4"/>
    <n v="38"/>
  </r>
  <r>
    <x v="42"/>
    <d v="2022-05-03T00:00:00"/>
    <n v="1"/>
    <n v="42.92"/>
    <n v="66"/>
  </r>
  <r>
    <x v="42"/>
    <d v="2022-05-03T00:00:00"/>
    <n v="1"/>
    <n v="42.92"/>
    <n v="66"/>
  </r>
  <r>
    <x v="67"/>
    <d v="2022-05-03T00:00:00"/>
    <n v="1"/>
    <n v="557.09"/>
    <n v="736"/>
  </r>
  <r>
    <x v="19"/>
    <d v="2022-05-03T00:00:00"/>
    <n v="1"/>
    <n v="99.48"/>
    <n v="116"/>
  </r>
  <r>
    <x v="19"/>
    <d v="2022-05-03T00:00:00"/>
    <n v="1"/>
    <n v="99.48"/>
    <n v="117"/>
  </r>
  <r>
    <x v="90"/>
    <d v="2022-05-03T00:00:00"/>
    <n v="1"/>
    <n v="133.25"/>
    <n v="204"/>
  </r>
  <r>
    <x v="90"/>
    <d v="2022-05-03T00:00:00"/>
    <n v="0.2"/>
    <n v="212.67"/>
    <n v="328"/>
  </r>
  <r>
    <x v="60"/>
    <d v="2022-05-03T00:00:00"/>
    <n v="1"/>
    <n v="186.78"/>
    <n v="219"/>
  </r>
  <r>
    <x v="126"/>
    <d v="2022-05-03T00:00:00"/>
    <n v="1"/>
    <n v="361.91"/>
    <n v="417"/>
  </r>
  <r>
    <x v="88"/>
    <d v="2022-05-03T00:00:00"/>
    <n v="1"/>
    <n v="67.84"/>
    <n v="99"/>
  </r>
  <r>
    <x v="70"/>
    <d v="2022-05-03T00:00:00"/>
    <n v="0.2"/>
    <n v="438.6"/>
    <n v="667"/>
  </r>
  <r>
    <x v="20"/>
    <d v="2022-05-03T00:00:00"/>
    <n v="1"/>
    <n v="148.58000000000001"/>
    <n v="179"/>
  </r>
  <r>
    <x v="99"/>
    <d v="2022-05-03T00:00:00"/>
    <n v="1"/>
    <n v="45.2"/>
    <n v="57"/>
  </r>
  <r>
    <x v="99"/>
    <d v="2022-05-03T00:00:00"/>
    <n v="1"/>
    <n v="45.2"/>
    <n v="57"/>
  </r>
  <r>
    <x v="133"/>
    <d v="2022-05-03T00:00:00"/>
    <n v="1"/>
    <n v="46.5"/>
    <n v="76"/>
  </r>
  <r>
    <x v="67"/>
    <d v="2022-05-03T00:00:00"/>
    <n v="1"/>
    <n v="557.09"/>
    <n v="736"/>
  </r>
  <r>
    <x v="19"/>
    <d v="2022-05-03T00:00:00"/>
    <n v="1"/>
    <n v="99.48"/>
    <n v="116"/>
  </r>
  <r>
    <x v="86"/>
    <d v="2022-05-03T00:00:00"/>
    <n v="1"/>
    <n v="32.6"/>
    <n v="57"/>
  </r>
  <r>
    <x v="113"/>
    <d v="2022-05-03T00:00:00"/>
    <n v="1"/>
    <n v="10.79"/>
    <n v="13"/>
  </r>
  <r>
    <x v="3"/>
    <d v="2022-05-03T00:00:00"/>
    <n v="1"/>
    <n v="49.12"/>
    <n v="85"/>
  </r>
  <r>
    <x v="19"/>
    <d v="2022-05-03T00:00:00"/>
    <n v="1"/>
    <n v="99.84"/>
    <n v="122"/>
  </r>
  <r>
    <x v="19"/>
    <d v="2022-05-03T00:00:00"/>
    <n v="1"/>
    <n v="99.84"/>
    <n v="122"/>
  </r>
  <r>
    <x v="19"/>
    <d v="2022-05-03T00:00:00"/>
    <n v="1"/>
    <n v="99.84"/>
    <n v="122"/>
  </r>
  <r>
    <x v="19"/>
    <d v="2022-05-03T00:00:00"/>
    <n v="1"/>
    <n v="101.4"/>
    <n v="120"/>
  </r>
  <r>
    <x v="20"/>
    <d v="2022-05-03T00:00:00"/>
    <n v="1"/>
    <n v="148.58000000000001"/>
    <n v="179"/>
  </r>
  <r>
    <x v="26"/>
    <d v="2022-05-03T00:00:00"/>
    <n v="1"/>
    <n v="13.73"/>
    <n v="19"/>
  </r>
  <r>
    <x v="150"/>
    <d v="2022-05-03T00:00:00"/>
    <n v="0.56000000000000005"/>
    <n v="491.7"/>
    <n v="713"/>
  </r>
  <r>
    <x v="83"/>
    <d v="2022-05-03T00:00:00"/>
    <n v="2"/>
    <n v="109.8"/>
    <n v="173"/>
  </r>
  <r>
    <x v="13"/>
    <d v="2022-05-03T00:00:00"/>
    <n v="1"/>
    <n v="46"/>
    <n v="73"/>
  </r>
  <r>
    <x v="13"/>
    <d v="2022-05-03T00:00:00"/>
    <n v="1"/>
    <n v="46"/>
    <n v="73"/>
  </r>
  <r>
    <x v="20"/>
    <d v="2022-05-03T00:00:00"/>
    <n v="1"/>
    <n v="148.58000000000001"/>
    <n v="179"/>
  </r>
  <r>
    <x v="30"/>
    <d v="2022-05-03T00:00:00"/>
    <n v="1"/>
    <n v="35"/>
    <n v="54"/>
  </r>
  <r>
    <x v="44"/>
    <d v="2022-05-03T00:00:00"/>
    <n v="3"/>
    <n v="16.309999999999999"/>
    <n v="20"/>
  </r>
  <r>
    <x v="49"/>
    <d v="2022-05-03T00:00:00"/>
    <n v="1"/>
    <n v="642.92999999999995"/>
    <n v="830"/>
  </r>
  <r>
    <x v="19"/>
    <d v="2022-05-03T00:00:00"/>
    <n v="1"/>
    <n v="99.84"/>
    <n v="122"/>
  </r>
  <r>
    <x v="19"/>
    <d v="2022-05-03T00:00:00"/>
    <n v="1"/>
    <n v="99.84"/>
    <n v="122"/>
  </r>
  <r>
    <x v="39"/>
    <d v="2022-05-03T00:00:00"/>
    <n v="1"/>
    <n v="64.23"/>
    <n v="100"/>
  </r>
  <r>
    <x v="124"/>
    <d v="2022-05-03T00:00:00"/>
    <n v="0.08"/>
    <n v="513.71"/>
    <n v="566"/>
  </r>
  <r>
    <x v="40"/>
    <d v="2022-05-03T00:00:00"/>
    <n v="1"/>
    <n v="27.94"/>
    <n v="45"/>
  </r>
  <r>
    <x v="152"/>
    <d v="2022-05-03T00:00:00"/>
    <n v="1"/>
    <n v="12"/>
    <n v="20"/>
  </r>
  <r>
    <x v="131"/>
    <d v="2022-05-03T00:00:00"/>
    <n v="1"/>
    <n v="292.33999999999997"/>
    <n v="410"/>
  </r>
  <r>
    <x v="73"/>
    <d v="2022-05-03T00:00:00"/>
    <n v="1"/>
    <n v="69.87"/>
    <n v="88"/>
  </r>
  <r>
    <x v="20"/>
    <d v="2022-05-03T00:00:00"/>
    <n v="1"/>
    <n v="148.58000000000001"/>
    <n v="179"/>
  </r>
  <r>
    <x v="67"/>
    <d v="2022-05-03T00:00:00"/>
    <n v="1"/>
    <n v="557.09"/>
    <n v="736"/>
  </r>
  <r>
    <x v="23"/>
    <d v="2022-05-03T00:00:00"/>
    <n v="1"/>
    <n v="148.74"/>
    <n v="201"/>
  </r>
  <r>
    <x v="72"/>
    <d v="2022-05-03T00:00:00"/>
    <n v="1"/>
    <n v="60.3"/>
    <n v="75"/>
  </r>
  <r>
    <x v="88"/>
    <d v="2022-05-03T00:00:00"/>
    <n v="1"/>
    <n v="67.84"/>
    <n v="99"/>
  </r>
  <r>
    <x v="152"/>
    <d v="2022-05-03T00:00:00"/>
    <n v="1"/>
    <n v="12"/>
    <n v="20"/>
  </r>
  <r>
    <x v="106"/>
    <d v="2022-05-03T00:00:00"/>
    <n v="1"/>
    <n v="177.87"/>
    <n v="189.65"/>
  </r>
  <r>
    <x v="29"/>
    <d v="2022-05-03T00:00:00"/>
    <n v="1"/>
    <n v="205.48"/>
    <n v="237"/>
  </r>
  <r>
    <x v="130"/>
    <d v="2022-05-03T00:00:00"/>
    <n v="1"/>
    <n v="72.97"/>
    <n v="91"/>
  </r>
  <r>
    <x v="130"/>
    <d v="2022-05-03T00:00:00"/>
    <n v="1"/>
    <n v="72.97"/>
    <n v="91"/>
  </r>
  <r>
    <x v="90"/>
    <d v="2022-05-03T00:00:00"/>
    <n v="1"/>
    <n v="133.25"/>
    <n v="204"/>
  </r>
  <r>
    <x v="80"/>
    <d v="2022-05-03T00:00:00"/>
    <n v="1"/>
    <n v="14.73"/>
    <n v="23"/>
  </r>
  <r>
    <x v="19"/>
    <d v="2022-05-03T00:00:00"/>
    <n v="1"/>
    <n v="97.99"/>
    <n v="117"/>
  </r>
  <r>
    <x v="117"/>
    <d v="2022-05-03T00:00:00"/>
    <n v="1"/>
    <n v="23.91"/>
    <n v="29"/>
  </r>
  <r>
    <x v="20"/>
    <d v="2022-05-03T00:00:00"/>
    <n v="1"/>
    <n v="148.58000000000001"/>
    <n v="179"/>
  </r>
  <r>
    <x v="152"/>
    <d v="2022-05-03T00:00:00"/>
    <n v="1"/>
    <n v="12"/>
    <n v="21"/>
  </r>
  <r>
    <x v="18"/>
    <d v="2022-05-03T00:00:00"/>
    <n v="1"/>
    <n v="110.23"/>
    <n v="124"/>
  </r>
  <r>
    <x v="19"/>
    <d v="2022-05-03T00:00:00"/>
    <n v="1"/>
    <n v="101.4"/>
    <n v="120"/>
  </r>
  <r>
    <x v="85"/>
    <d v="2022-05-03T00:00:00"/>
    <n v="1"/>
    <n v="401.83"/>
    <n v="483"/>
  </r>
  <r>
    <x v="3"/>
    <d v="2022-05-03T00:00:00"/>
    <n v="1"/>
    <n v="47.03"/>
    <n v="77"/>
  </r>
  <r>
    <x v="48"/>
    <d v="2022-05-03T00:00:00"/>
    <n v="1"/>
    <n v="23.4"/>
    <n v="38"/>
  </r>
  <r>
    <x v="19"/>
    <d v="2022-05-03T00:00:00"/>
    <n v="1"/>
    <n v="99.48"/>
    <n v="117"/>
  </r>
  <r>
    <x v="80"/>
    <d v="2022-05-03T00:00:00"/>
    <n v="1"/>
    <n v="18.84"/>
    <n v="29"/>
  </r>
  <r>
    <x v="80"/>
    <d v="2022-05-03T00:00:00"/>
    <n v="1"/>
    <n v="18.84"/>
    <n v="29"/>
  </r>
  <r>
    <x v="26"/>
    <d v="2022-05-03T00:00:00"/>
    <n v="1"/>
    <n v="13.73"/>
    <n v="19"/>
  </r>
  <r>
    <x v="26"/>
    <d v="2022-05-03T00:00:00"/>
    <n v="1"/>
    <n v="13.73"/>
    <n v="19"/>
  </r>
  <r>
    <x v="26"/>
    <d v="2022-05-03T00:00:00"/>
    <n v="1"/>
    <n v="13.73"/>
    <n v="19"/>
  </r>
  <r>
    <x v="26"/>
    <d v="2022-05-03T00:00:00"/>
    <n v="1"/>
    <n v="13.73"/>
    <n v="19"/>
  </r>
  <r>
    <x v="26"/>
    <d v="2022-05-03T00:00:00"/>
    <n v="1"/>
    <n v="13.73"/>
    <n v="19"/>
  </r>
  <r>
    <x v="93"/>
    <d v="2022-05-03T00:00:00"/>
    <n v="1"/>
    <n v="111.24"/>
    <n v="134"/>
  </r>
  <r>
    <x v="87"/>
    <d v="2022-05-03T00:00:00"/>
    <n v="1"/>
    <n v="6.48"/>
    <n v="9"/>
  </r>
  <r>
    <x v="139"/>
    <d v="2022-05-03T00:00:00"/>
    <n v="1"/>
    <n v="52.23"/>
    <n v="81"/>
  </r>
  <r>
    <x v="131"/>
    <d v="2022-05-03T00:00:00"/>
    <n v="1"/>
    <n v="292.33999999999997"/>
    <n v="386"/>
  </r>
  <r>
    <x v="19"/>
    <d v="2022-05-03T00:00:00"/>
    <n v="1"/>
    <n v="99.48"/>
    <n v="117"/>
  </r>
  <r>
    <x v="60"/>
    <d v="2022-05-03T00:00:00"/>
    <n v="1"/>
    <n v="186.78"/>
    <n v="219"/>
  </r>
  <r>
    <x v="118"/>
    <d v="2022-05-03T00:00:00"/>
    <n v="1"/>
    <n v="63.31"/>
    <n v="78"/>
  </r>
  <r>
    <x v="118"/>
    <d v="2022-05-03T00:00:00"/>
    <n v="1"/>
    <n v="63.31"/>
    <n v="78"/>
  </r>
  <r>
    <x v="3"/>
    <d v="2022-05-03T00:00:00"/>
    <n v="1"/>
    <n v="50.12"/>
    <n v="79"/>
  </r>
  <r>
    <x v="14"/>
    <d v="2022-05-03T00:00:00"/>
    <n v="1"/>
    <n v="81.58"/>
    <n v="102"/>
  </r>
  <r>
    <x v="14"/>
    <d v="2022-05-03T00:00:00"/>
    <n v="1"/>
    <n v="81.58"/>
    <n v="102"/>
  </r>
  <r>
    <x v="21"/>
    <d v="2022-05-03T00:00:00"/>
    <n v="0.2"/>
    <n v="1023"/>
    <n v="1330"/>
  </r>
  <r>
    <x v="90"/>
    <d v="2022-05-03T00:00:00"/>
    <n v="1"/>
    <n v="129.25"/>
    <n v="203"/>
  </r>
  <r>
    <x v="20"/>
    <d v="2022-05-03T00:00:00"/>
    <n v="1"/>
    <n v="148.58000000000001"/>
    <n v="179"/>
  </r>
  <r>
    <x v="129"/>
    <d v="2022-05-03T00:00:00"/>
    <n v="1"/>
    <n v="26.98"/>
    <n v="42"/>
  </r>
  <r>
    <x v="129"/>
    <d v="2022-05-03T00:00:00"/>
    <n v="1"/>
    <n v="26.98"/>
    <n v="42"/>
  </r>
  <r>
    <x v="73"/>
    <d v="2022-05-03T00:00:00"/>
    <n v="1"/>
    <n v="69.010000000000005"/>
    <n v="87"/>
  </r>
  <r>
    <x v="50"/>
    <d v="2022-05-03T00:00:00"/>
    <n v="1"/>
    <n v="78.510000000000005"/>
    <n v="95"/>
  </r>
  <r>
    <x v="119"/>
    <d v="2022-05-03T00:00:00"/>
    <n v="1"/>
    <n v="36.06"/>
    <n v="59"/>
  </r>
  <r>
    <x v="20"/>
    <d v="2022-05-03T00:00:00"/>
    <n v="1"/>
    <n v="148.58000000000001"/>
    <n v="179"/>
  </r>
  <r>
    <x v="45"/>
    <d v="2022-05-03T00:00:00"/>
    <n v="1"/>
    <n v="45.28"/>
    <n v="56"/>
  </r>
  <r>
    <x v="147"/>
    <d v="2022-05-03T00:00:00"/>
    <n v="1"/>
    <n v="106.17"/>
    <n v="133"/>
  </r>
  <r>
    <x v="57"/>
    <d v="2022-05-03T00:00:00"/>
    <n v="1"/>
    <n v="25.2"/>
    <n v="30"/>
  </r>
  <r>
    <x v="15"/>
    <d v="2022-05-03T00:00:00"/>
    <n v="1"/>
    <n v="21.33"/>
    <n v="27"/>
  </r>
  <r>
    <x v="57"/>
    <d v="2022-05-03T00:00:00"/>
    <n v="1"/>
    <n v="25.71"/>
    <n v="31"/>
  </r>
  <r>
    <x v="57"/>
    <d v="2022-05-03T00:00:00"/>
    <n v="1"/>
    <n v="25.2"/>
    <n v="30"/>
  </r>
  <r>
    <x v="19"/>
    <d v="2022-05-03T00:00:00"/>
    <n v="1"/>
    <n v="99.48"/>
    <n v="116"/>
  </r>
  <r>
    <x v="26"/>
    <d v="2022-05-03T00:00:00"/>
    <n v="1"/>
    <n v="13.31"/>
    <n v="18"/>
  </r>
  <r>
    <x v="107"/>
    <d v="2022-05-03T00:00:00"/>
    <n v="1"/>
    <n v="291.43"/>
    <n v="331"/>
  </r>
  <r>
    <x v="62"/>
    <d v="2022-05-03T00:00:00"/>
    <n v="1"/>
    <n v="54.32"/>
    <n v="78"/>
  </r>
  <r>
    <x v="20"/>
    <d v="2022-05-03T00:00:00"/>
    <n v="1"/>
    <n v="148.58000000000001"/>
    <n v="179"/>
  </r>
  <r>
    <x v="60"/>
    <d v="2022-05-03T00:00:00"/>
    <n v="1"/>
    <n v="186.78"/>
    <n v="219"/>
  </r>
  <r>
    <x v="42"/>
    <d v="2022-05-03T00:00:00"/>
    <n v="1"/>
    <n v="41.58"/>
    <n v="65"/>
  </r>
  <r>
    <x v="42"/>
    <d v="2022-05-03T00:00:00"/>
    <n v="1"/>
    <n v="41.58"/>
    <n v="65"/>
  </r>
  <r>
    <x v="138"/>
    <d v="2022-05-03T00:00:00"/>
    <n v="1"/>
    <n v="46.9"/>
    <n v="73"/>
  </r>
  <r>
    <x v="16"/>
    <d v="2022-05-03T00:00:00"/>
    <n v="1"/>
    <n v="184.02"/>
    <n v="256"/>
  </r>
  <r>
    <x v="82"/>
    <d v="2022-05-03T00:00:00"/>
    <n v="1"/>
    <n v="351.11"/>
    <n v="413"/>
  </r>
  <r>
    <x v="152"/>
    <d v="2022-05-03T00:00:00"/>
    <n v="1"/>
    <n v="12"/>
    <n v="20"/>
  </r>
  <r>
    <x v="90"/>
    <d v="2022-05-03T00:00:00"/>
    <n v="1"/>
    <n v="113.11"/>
    <n v="174"/>
  </r>
  <r>
    <x v="141"/>
    <d v="2022-05-03T00:00:00"/>
    <n v="1"/>
    <n v="406.36"/>
    <n v="456"/>
  </r>
  <r>
    <x v="21"/>
    <d v="2022-05-03T00:00:00"/>
    <n v="0.4"/>
    <n v="1262.29"/>
    <n v="1616"/>
  </r>
  <r>
    <x v="67"/>
    <d v="2022-05-03T00:00:00"/>
    <n v="1"/>
    <n v="557.09"/>
    <n v="736"/>
  </r>
  <r>
    <x v="93"/>
    <d v="2022-05-03T00:00:00"/>
    <n v="1"/>
    <n v="111.74"/>
    <n v="135"/>
  </r>
  <r>
    <x v="18"/>
    <d v="2022-05-03T00:00:00"/>
    <n v="1"/>
    <n v="110.23"/>
    <n v="124"/>
  </r>
  <r>
    <x v="29"/>
    <d v="2022-05-03T00:00:00"/>
    <n v="1"/>
    <n v="222.48"/>
    <n v="256"/>
  </r>
  <r>
    <x v="20"/>
    <d v="2022-05-03T00:00:00"/>
    <n v="1"/>
    <n v="148.58000000000001"/>
    <n v="179"/>
  </r>
  <r>
    <x v="20"/>
    <d v="2022-05-03T00:00:00"/>
    <n v="1"/>
    <n v="148.58000000000001"/>
    <n v="179"/>
  </r>
  <r>
    <x v="151"/>
    <d v="2022-05-03T00:00:00"/>
    <n v="1"/>
    <n v="257.69"/>
    <n v="361"/>
  </r>
  <r>
    <x v="151"/>
    <d v="2022-05-03T00:00:00"/>
    <n v="1"/>
    <n v="257.69"/>
    <n v="361"/>
  </r>
  <r>
    <x v="151"/>
    <d v="2022-05-03T00:00:00"/>
    <n v="1"/>
    <n v="251.44"/>
    <n v="353"/>
  </r>
  <r>
    <x v="63"/>
    <d v="2022-05-03T00:00:00"/>
    <n v="1"/>
    <n v="62.36"/>
    <n v="93"/>
  </r>
  <r>
    <x v="94"/>
    <d v="2022-05-03T00:00:00"/>
    <n v="1"/>
    <n v="64.25"/>
    <n v="76"/>
  </r>
  <r>
    <x v="146"/>
    <d v="2022-05-03T00:00:00"/>
    <n v="1"/>
    <n v="23.2"/>
    <n v="29"/>
  </r>
  <r>
    <x v="42"/>
    <d v="2022-05-03T00:00:00"/>
    <n v="1"/>
    <n v="42.92"/>
    <n v="66"/>
  </r>
  <r>
    <x v="117"/>
    <d v="2022-05-03T00:00:00"/>
    <n v="1"/>
    <n v="20.47"/>
    <n v="25"/>
  </r>
  <r>
    <x v="31"/>
    <d v="2022-05-03T00:00:00"/>
    <n v="1"/>
    <n v="22.53"/>
    <n v="30"/>
  </r>
  <r>
    <x v="31"/>
    <d v="2022-05-03T00:00:00"/>
    <n v="1"/>
    <n v="22.53"/>
    <n v="30"/>
  </r>
  <r>
    <x v="33"/>
    <d v="2022-05-03T00:00:00"/>
    <n v="1"/>
    <n v="44.3"/>
    <n v="70"/>
  </r>
  <r>
    <x v="33"/>
    <d v="2022-05-03T00:00:00"/>
    <n v="1"/>
    <n v="44.3"/>
    <n v="70"/>
  </r>
  <r>
    <x v="52"/>
    <d v="2022-05-03T00:00:00"/>
    <n v="1"/>
    <n v="232.47"/>
    <n v="272"/>
  </r>
  <r>
    <x v="78"/>
    <d v="2022-05-03T00:00:00"/>
    <n v="1"/>
    <n v="236.97"/>
    <n v="275"/>
  </r>
  <r>
    <x v="68"/>
    <d v="2022-05-03T00:00:00"/>
    <n v="1"/>
    <n v="7.77"/>
    <n v="13"/>
  </r>
  <r>
    <x v="151"/>
    <d v="2022-05-03T00:00:00"/>
    <n v="1"/>
    <n v="253.44"/>
    <n v="338"/>
  </r>
  <r>
    <x v="152"/>
    <d v="2022-05-03T00:00:00"/>
    <n v="1"/>
    <n v="12"/>
    <n v="20"/>
  </r>
  <r>
    <x v="20"/>
    <d v="2022-05-03T00:00:00"/>
    <n v="1"/>
    <n v="148.58000000000001"/>
    <n v="179"/>
  </r>
  <r>
    <x v="41"/>
    <d v="2022-05-03T00:00:00"/>
    <n v="1"/>
    <n v="19.89"/>
    <n v="24"/>
  </r>
  <r>
    <x v="19"/>
    <d v="2022-05-03T00:00:00"/>
    <n v="1"/>
    <n v="99.48"/>
    <n v="116"/>
  </r>
  <r>
    <x v="48"/>
    <d v="2022-05-03T00:00:00"/>
    <n v="1"/>
    <n v="23.4"/>
    <n v="38"/>
  </r>
  <r>
    <x v="9"/>
    <d v="2022-05-03T00:00:00"/>
    <n v="0.1"/>
    <n v="466.1"/>
    <n v="644"/>
  </r>
  <r>
    <x v="82"/>
    <d v="2022-05-03T00:00:00"/>
    <n v="1"/>
    <n v="348.66"/>
    <n v="395"/>
  </r>
  <r>
    <x v="36"/>
    <d v="2022-05-03T00:00:00"/>
    <n v="2"/>
    <n v="10.73"/>
    <n v="18"/>
  </r>
  <r>
    <x v="36"/>
    <d v="2022-05-03T00:00:00"/>
    <n v="3"/>
    <n v="11.45"/>
    <n v="19"/>
  </r>
  <r>
    <x v="67"/>
    <d v="2022-05-03T00:00:00"/>
    <n v="1"/>
    <n v="557.09"/>
    <n v="736"/>
  </r>
  <r>
    <x v="0"/>
    <d v="2022-05-03T00:00:00"/>
    <n v="1"/>
    <n v="141.04"/>
    <n v="168"/>
  </r>
  <r>
    <x v="57"/>
    <d v="2022-05-03T00:00:00"/>
    <n v="1"/>
    <n v="25.19"/>
    <n v="30"/>
  </r>
  <r>
    <x v="119"/>
    <d v="2022-05-03T00:00:00"/>
    <n v="1"/>
    <n v="36.69"/>
    <n v="59"/>
  </r>
  <r>
    <x v="45"/>
    <d v="2022-05-03T00:00:00"/>
    <n v="1"/>
    <n v="45.74"/>
    <n v="56"/>
  </r>
  <r>
    <x v="131"/>
    <d v="2022-05-03T00:00:00"/>
    <n v="1"/>
    <n v="292.33999999999997"/>
    <n v="410"/>
  </r>
  <r>
    <x v="99"/>
    <d v="2022-05-03T00:00:00"/>
    <n v="1"/>
    <n v="44.4"/>
    <n v="56"/>
  </r>
  <r>
    <x v="99"/>
    <d v="2022-05-03T00:00:00"/>
    <n v="1"/>
    <n v="44.4"/>
    <n v="56"/>
  </r>
  <r>
    <x v="99"/>
    <d v="2022-05-03T00:00:00"/>
    <n v="1"/>
    <n v="44.4"/>
    <n v="56"/>
  </r>
  <r>
    <x v="113"/>
    <d v="2022-05-03T00:00:00"/>
    <n v="1"/>
    <n v="10.42"/>
    <n v="13"/>
  </r>
  <r>
    <x v="13"/>
    <d v="2022-05-03T00:00:00"/>
    <n v="1"/>
    <n v="44"/>
    <n v="67"/>
  </r>
  <r>
    <x v="85"/>
    <d v="2022-05-03T00:00:00"/>
    <n v="1"/>
    <n v="390.94"/>
    <n v="470"/>
  </r>
  <r>
    <x v="38"/>
    <d v="2022-05-03T00:00:00"/>
    <n v="1"/>
    <n v="141.93"/>
    <n v="169"/>
  </r>
  <r>
    <x v="20"/>
    <d v="2022-05-03T00:00:00"/>
    <n v="1"/>
    <n v="150.08000000000001"/>
    <n v="180"/>
  </r>
  <r>
    <x v="147"/>
    <d v="2022-05-03T00:00:00"/>
    <n v="1"/>
    <n v="106.17"/>
    <n v="133"/>
  </r>
  <r>
    <x v="117"/>
    <d v="2022-05-03T00:00:00"/>
    <n v="1"/>
    <n v="20.46"/>
    <n v="25"/>
  </r>
  <r>
    <x v="117"/>
    <d v="2022-05-03T00:00:00"/>
    <n v="1"/>
    <n v="20.46"/>
    <n v="25"/>
  </r>
  <r>
    <x v="57"/>
    <d v="2022-05-03T00:00:00"/>
    <n v="1"/>
    <n v="25.2"/>
    <n v="30"/>
  </r>
  <r>
    <x v="57"/>
    <d v="2022-05-03T00:00:00"/>
    <n v="1"/>
    <n v="25.2"/>
    <n v="30"/>
  </r>
  <r>
    <x v="15"/>
    <d v="2022-05-03T00:00:00"/>
    <n v="1"/>
    <n v="19.71"/>
    <n v="25"/>
  </r>
  <r>
    <x v="141"/>
    <d v="2022-05-03T00:00:00"/>
    <n v="1"/>
    <n v="398.18"/>
    <n v="446"/>
  </r>
  <r>
    <x v="68"/>
    <d v="2022-05-03T00:00:00"/>
    <n v="1"/>
    <n v="12"/>
    <n v="20"/>
  </r>
  <r>
    <x v="152"/>
    <d v="2022-05-03T00:00:00"/>
    <n v="2"/>
    <n v="12"/>
    <n v="20"/>
  </r>
  <r>
    <x v="11"/>
    <d v="2022-05-03T00:00:00"/>
    <n v="1"/>
    <n v="44.1"/>
    <n v="68"/>
  </r>
  <r>
    <x v="11"/>
    <d v="2022-05-03T00:00:00"/>
    <n v="1"/>
    <n v="44.1"/>
    <n v="68"/>
  </r>
  <r>
    <x v="11"/>
    <d v="2022-05-03T00:00:00"/>
    <n v="1"/>
    <n v="44.1"/>
    <n v="68"/>
  </r>
  <r>
    <x v="11"/>
    <d v="2022-05-03T00:00:00"/>
    <n v="1"/>
    <n v="44.1"/>
    <n v="68"/>
  </r>
  <r>
    <x v="11"/>
    <d v="2022-05-03T00:00:00"/>
    <n v="1"/>
    <n v="44.1"/>
    <n v="68"/>
  </r>
  <r>
    <x v="43"/>
    <d v="2022-05-03T00:00:00"/>
    <n v="1"/>
    <n v="41.24"/>
    <n v="65"/>
  </r>
  <r>
    <x v="96"/>
    <d v="2022-05-03T00:00:00"/>
    <n v="1"/>
    <n v="27.84"/>
    <n v="44"/>
  </r>
  <r>
    <x v="110"/>
    <d v="2022-05-03T00:00:00"/>
    <n v="1"/>
    <n v="72.78"/>
    <n v="90"/>
  </r>
  <r>
    <x v="76"/>
    <d v="2022-05-03T00:00:00"/>
    <n v="1"/>
    <n v="41.22"/>
    <n v="52"/>
  </r>
  <r>
    <x v="76"/>
    <d v="2022-05-03T00:00:00"/>
    <n v="1"/>
    <n v="41.22"/>
    <n v="52"/>
  </r>
  <r>
    <x v="76"/>
    <d v="2022-05-03T00:00:00"/>
    <n v="1"/>
    <n v="41.22"/>
    <n v="52"/>
  </r>
  <r>
    <x v="56"/>
    <d v="2022-05-03T00:00:00"/>
    <n v="1"/>
    <n v="32.85"/>
    <n v="52"/>
  </r>
  <r>
    <x v="21"/>
    <d v="2022-05-03T00:00:00"/>
    <n v="0.1"/>
    <n v="992.79"/>
    <n v="1281"/>
  </r>
  <r>
    <x v="152"/>
    <d v="2022-05-03T00:00:00"/>
    <n v="1"/>
    <n v="12"/>
    <n v="20"/>
  </r>
  <r>
    <x v="126"/>
    <d v="2022-05-03T00:00:00"/>
    <n v="1"/>
    <n v="361.91"/>
    <n v="417"/>
  </r>
  <r>
    <x v="49"/>
    <d v="2022-05-03T00:00:00"/>
    <n v="1"/>
    <n v="642.92999999999995"/>
    <n v="830"/>
  </r>
  <r>
    <x v="87"/>
    <d v="2022-05-03T00:00:00"/>
    <n v="2"/>
    <n v="6.17"/>
    <n v="9"/>
  </r>
  <r>
    <x v="46"/>
    <d v="2022-05-03T00:00:00"/>
    <n v="4"/>
    <n v="2.29"/>
    <n v="4"/>
  </r>
  <r>
    <x v="46"/>
    <d v="2022-05-03T00:00:00"/>
    <n v="8"/>
    <n v="2.29"/>
    <n v="4"/>
  </r>
  <r>
    <x v="25"/>
    <d v="2022-05-03T00:00:00"/>
    <n v="1"/>
    <n v="156.19999999999999"/>
    <n v="186"/>
  </r>
  <r>
    <x v="42"/>
    <d v="2022-05-03T00:00:00"/>
    <n v="1"/>
    <n v="41.58"/>
    <n v="65"/>
  </r>
  <r>
    <x v="19"/>
    <d v="2022-05-03T00:00:00"/>
    <n v="1"/>
    <n v="99.48"/>
    <n v="117"/>
  </r>
  <r>
    <x v="85"/>
    <d v="2022-05-03T00:00:00"/>
    <n v="1"/>
    <n v="399.31"/>
    <n v="492"/>
  </r>
  <r>
    <x v="21"/>
    <d v="2022-05-03T00:00:00"/>
    <n v="0.2"/>
    <n v="1217.92"/>
    <n v="1596"/>
  </r>
  <r>
    <x v="15"/>
    <d v="2022-05-03T00:00:00"/>
    <n v="1"/>
    <n v="22.66"/>
    <n v="30"/>
  </r>
  <r>
    <x v="20"/>
    <d v="2022-05-03T00:00:00"/>
    <n v="1"/>
    <n v="148.58000000000001"/>
    <n v="179"/>
  </r>
  <r>
    <x v="113"/>
    <d v="2022-05-03T00:00:00"/>
    <n v="1"/>
    <n v="10.79"/>
    <n v="13"/>
  </r>
  <r>
    <x v="117"/>
    <d v="2022-05-03T00:00:00"/>
    <n v="1"/>
    <n v="23.9"/>
    <n v="29"/>
  </r>
  <r>
    <x v="26"/>
    <d v="2022-05-03T00:00:00"/>
    <n v="1"/>
    <n v="13.19"/>
    <n v="18"/>
  </r>
  <r>
    <x v="26"/>
    <d v="2022-05-03T00:00:00"/>
    <n v="1"/>
    <n v="13.19"/>
    <n v="18"/>
  </r>
  <r>
    <x v="26"/>
    <d v="2022-05-03T00:00:00"/>
    <n v="1"/>
    <n v="13.19"/>
    <n v="18"/>
  </r>
  <r>
    <x v="26"/>
    <d v="2022-05-03T00:00:00"/>
    <n v="1"/>
    <n v="13.19"/>
    <n v="18"/>
  </r>
  <r>
    <x v="26"/>
    <d v="2022-05-03T00:00:00"/>
    <n v="1"/>
    <n v="13.19"/>
    <n v="18"/>
  </r>
  <r>
    <x v="26"/>
    <d v="2022-05-03T00:00:00"/>
    <n v="1"/>
    <n v="13.19"/>
    <n v="18"/>
  </r>
  <r>
    <x v="26"/>
    <d v="2022-05-03T00:00:00"/>
    <n v="1"/>
    <n v="13.19"/>
    <n v="18"/>
  </r>
  <r>
    <x v="26"/>
    <d v="2022-05-03T00:00:00"/>
    <n v="1"/>
    <n v="13.19"/>
    <n v="18"/>
  </r>
  <r>
    <x v="26"/>
    <d v="2022-05-03T00:00:00"/>
    <n v="1"/>
    <n v="13.19"/>
    <n v="18"/>
  </r>
  <r>
    <x v="26"/>
    <d v="2022-05-03T00:00:00"/>
    <n v="1"/>
    <n v="13.19"/>
    <n v="18"/>
  </r>
  <r>
    <x v="88"/>
    <d v="2022-05-03T00:00:00"/>
    <n v="1"/>
    <n v="67.540000000000006"/>
    <n v="96"/>
  </r>
  <r>
    <x v="87"/>
    <d v="2022-05-03T00:00:00"/>
    <n v="2"/>
    <n v="6.17"/>
    <n v="9"/>
  </r>
  <r>
    <x v="0"/>
    <d v="2022-05-03T00:00:00"/>
    <n v="1"/>
    <n v="141.04"/>
    <n v="168"/>
  </r>
  <r>
    <x v="65"/>
    <d v="2022-05-03T00:00:00"/>
    <n v="1"/>
    <n v="184.78"/>
    <n v="222"/>
  </r>
  <r>
    <x v="14"/>
    <d v="2022-05-03T00:00:00"/>
    <n v="1"/>
    <n v="80.52"/>
    <n v="103"/>
  </r>
  <r>
    <x v="127"/>
    <d v="2022-05-03T00:00:00"/>
    <n v="1"/>
    <n v="58.23"/>
    <n v="86"/>
  </r>
  <r>
    <x v="127"/>
    <d v="2022-05-03T00:00:00"/>
    <n v="1"/>
    <n v="58.23"/>
    <n v="86"/>
  </r>
  <r>
    <x v="127"/>
    <d v="2022-05-03T00:00:00"/>
    <n v="1"/>
    <n v="58.23"/>
    <n v="86"/>
  </r>
  <r>
    <x v="35"/>
    <d v="2022-05-03T00:00:00"/>
    <n v="1"/>
    <n v="180.38"/>
    <n v="218"/>
  </r>
  <r>
    <x v="129"/>
    <d v="2022-05-03T00:00:00"/>
    <n v="1"/>
    <n v="27.28"/>
    <n v="43"/>
  </r>
  <r>
    <x v="109"/>
    <d v="2022-05-03T00:00:00"/>
    <n v="1"/>
    <n v="74.8"/>
    <n v="92"/>
  </r>
  <r>
    <x v="60"/>
    <d v="2022-05-03T00:00:00"/>
    <n v="1"/>
    <n v="176.77"/>
    <n v="207"/>
  </r>
  <r>
    <x v="122"/>
    <d v="2022-05-03T00:00:00"/>
    <n v="1"/>
    <n v="118.82"/>
    <n v="168"/>
  </r>
  <r>
    <x v="15"/>
    <d v="2022-05-03T00:00:00"/>
    <n v="1"/>
    <n v="20"/>
    <n v="25"/>
  </r>
  <r>
    <x v="15"/>
    <d v="2022-05-03T00:00:00"/>
    <n v="1"/>
    <n v="21"/>
    <n v="27"/>
  </r>
  <r>
    <x v="36"/>
    <d v="2022-05-03T00:00:00"/>
    <n v="1"/>
    <n v="10.73"/>
    <n v="18"/>
  </r>
  <r>
    <x v="36"/>
    <d v="2022-05-03T00:00:00"/>
    <n v="2"/>
    <n v="11.45"/>
    <n v="19"/>
  </r>
  <r>
    <x v="81"/>
    <d v="2022-05-03T00:00:00"/>
    <n v="2"/>
    <n v="47.4"/>
    <n v="76"/>
  </r>
  <r>
    <x v="32"/>
    <d v="2022-05-03T00:00:00"/>
    <n v="1"/>
    <n v="36.86"/>
    <n v="47"/>
  </r>
  <r>
    <x v="32"/>
    <d v="2022-05-03T00:00:00"/>
    <n v="1"/>
    <n v="36.86"/>
    <n v="47"/>
  </r>
  <r>
    <x v="87"/>
    <d v="2022-05-03T00:00:00"/>
    <n v="1"/>
    <n v="15"/>
    <n v="20"/>
  </r>
  <r>
    <x v="10"/>
    <d v="2022-05-03T00:00:00"/>
    <n v="1"/>
    <n v="50.1"/>
    <n v="81"/>
  </r>
  <r>
    <x v="19"/>
    <d v="2022-05-03T00:00:00"/>
    <n v="1"/>
    <n v="99.48"/>
    <n v="117"/>
  </r>
  <r>
    <x v="19"/>
    <d v="2022-05-03T00:00:00"/>
    <n v="1"/>
    <n v="99.48"/>
    <n v="117"/>
  </r>
  <r>
    <x v="19"/>
    <d v="2022-05-03T00:00:00"/>
    <n v="1"/>
    <n v="99.48"/>
    <n v="117"/>
  </r>
  <r>
    <x v="141"/>
    <d v="2022-05-03T00:00:00"/>
    <n v="1"/>
    <n v="406.36"/>
    <n v="456"/>
  </r>
  <r>
    <x v="78"/>
    <d v="2022-05-03T00:00:00"/>
    <n v="1"/>
    <n v="207.31"/>
    <n v="244"/>
  </r>
  <r>
    <x v="126"/>
    <d v="2022-05-03T00:00:00"/>
    <n v="1"/>
    <n v="361.9"/>
    <n v="424"/>
  </r>
  <r>
    <x v="43"/>
    <d v="2022-05-03T00:00:00"/>
    <n v="1"/>
    <n v="39.14"/>
    <n v="60"/>
  </r>
  <r>
    <x v="113"/>
    <d v="2022-05-03T00:00:00"/>
    <n v="1"/>
    <n v="10.79"/>
    <n v="13"/>
  </r>
  <r>
    <x v="113"/>
    <d v="2022-05-03T00:00:00"/>
    <n v="1"/>
    <n v="10.79"/>
    <n v="13"/>
  </r>
  <r>
    <x v="106"/>
    <d v="2022-05-03T00:00:00"/>
    <n v="1"/>
    <n v="170"/>
    <n v="203"/>
  </r>
  <r>
    <x v="140"/>
    <d v="2022-05-03T00:00:00"/>
    <n v="1"/>
    <n v="25.3"/>
    <n v="31"/>
  </r>
  <r>
    <x v="140"/>
    <d v="2022-05-03T00:00:00"/>
    <n v="1"/>
    <n v="25.3"/>
    <n v="31"/>
  </r>
  <r>
    <x v="140"/>
    <d v="2022-05-03T00:00:00"/>
    <n v="1"/>
    <n v="25.3"/>
    <n v="31"/>
  </r>
  <r>
    <x v="140"/>
    <d v="2022-05-03T00:00:00"/>
    <n v="1"/>
    <n v="25.3"/>
    <n v="31"/>
  </r>
  <r>
    <x v="18"/>
    <d v="2022-05-03T00:00:00"/>
    <n v="1"/>
    <n v="110.23"/>
    <n v="124"/>
  </r>
  <r>
    <x v="107"/>
    <d v="2022-05-03T00:00:00"/>
    <n v="1"/>
    <n v="291.3"/>
    <n v="331"/>
  </r>
  <r>
    <x v="139"/>
    <d v="2022-05-03T00:00:00"/>
    <n v="1"/>
    <n v="51.62"/>
    <n v="75"/>
  </r>
  <r>
    <x v="132"/>
    <d v="2022-05-03T00:00:00"/>
    <n v="2"/>
    <n v="7.7"/>
    <n v="14"/>
  </r>
  <r>
    <x v="152"/>
    <d v="2022-05-03T00:00:00"/>
    <n v="1"/>
    <n v="12"/>
    <n v="21"/>
  </r>
  <r>
    <x v="60"/>
    <d v="2022-05-03T00:00:00"/>
    <n v="1"/>
    <n v="181.12"/>
    <n v="212"/>
  </r>
  <r>
    <x v="52"/>
    <d v="2022-05-03T00:00:00"/>
    <n v="1"/>
    <n v="232.47"/>
    <n v="272"/>
  </r>
  <r>
    <x v="133"/>
    <d v="2022-05-03T00:00:00"/>
    <n v="1"/>
    <n v="46.5"/>
    <n v="76"/>
  </r>
  <r>
    <x v="152"/>
    <d v="2022-05-03T00:00:00"/>
    <n v="1"/>
    <n v="12"/>
    <n v="20"/>
  </r>
  <r>
    <x v="151"/>
    <d v="2022-05-03T00:00:00"/>
    <n v="1"/>
    <n v="253.44"/>
    <n v="338"/>
  </r>
  <r>
    <x v="36"/>
    <d v="2022-05-03T00:00:00"/>
    <n v="1"/>
    <n v="11.45"/>
    <n v="19"/>
  </r>
  <r>
    <x v="60"/>
    <d v="2022-05-03T00:00:00"/>
    <n v="1"/>
    <n v="176.78"/>
    <n v="225"/>
  </r>
  <r>
    <x v="152"/>
    <d v="2022-05-03T00:00:00"/>
    <n v="2"/>
    <n v="12"/>
    <n v="20"/>
  </r>
  <r>
    <x v="152"/>
    <d v="2022-05-03T00:00:00"/>
    <n v="1"/>
    <n v="12"/>
    <n v="20"/>
  </r>
  <r>
    <x v="60"/>
    <d v="2022-05-03T00:00:00"/>
    <n v="1"/>
    <n v="181.12"/>
    <n v="212"/>
  </r>
  <r>
    <x v="61"/>
    <d v="2022-05-03T00:00:00"/>
    <n v="1"/>
    <n v="32.619999999999997"/>
    <n v="38"/>
  </r>
  <r>
    <x v="61"/>
    <d v="2022-05-03T00:00:00"/>
    <n v="1"/>
    <n v="32.619999999999997"/>
    <n v="38"/>
  </r>
  <r>
    <x v="115"/>
    <d v="2022-05-03T00:00:00"/>
    <n v="1"/>
    <n v="137.47999999999999"/>
    <n v="192"/>
  </r>
  <r>
    <x v="108"/>
    <d v="2022-05-03T00:00:00"/>
    <n v="1"/>
    <n v="126.69"/>
    <n v="179"/>
  </r>
  <r>
    <x v="62"/>
    <d v="2022-05-03T00:00:00"/>
    <n v="1"/>
    <n v="53.95"/>
    <n v="77"/>
  </r>
  <r>
    <x v="38"/>
    <d v="2022-05-03T00:00:00"/>
    <n v="1"/>
    <n v="146.88999999999999"/>
    <n v="174"/>
  </r>
  <r>
    <x v="101"/>
    <d v="2022-05-03T00:00:00"/>
    <n v="1"/>
    <n v="46.2"/>
    <n v="56"/>
  </r>
  <r>
    <x v="86"/>
    <d v="2022-05-03T00:00:00"/>
    <n v="1"/>
    <n v="31.73"/>
    <n v="52"/>
  </r>
  <r>
    <x v="119"/>
    <d v="2022-05-03T00:00:00"/>
    <n v="1"/>
    <n v="36.69"/>
    <n v="59"/>
  </r>
  <r>
    <x v="19"/>
    <d v="2022-05-03T00:00:00"/>
    <n v="1"/>
    <n v="99.48"/>
    <n v="117"/>
  </r>
  <r>
    <x v="132"/>
    <d v="2022-05-03T00:00:00"/>
    <n v="2"/>
    <n v="6.4"/>
    <n v="11"/>
  </r>
  <r>
    <x v="60"/>
    <d v="2022-05-03T00:00:00"/>
    <n v="1"/>
    <n v="176.77"/>
    <n v="207"/>
  </r>
  <r>
    <x v="57"/>
    <d v="2022-05-03T00:00:00"/>
    <n v="1"/>
    <n v="25.71"/>
    <n v="31"/>
  </r>
  <r>
    <x v="57"/>
    <d v="2022-05-03T00:00:00"/>
    <n v="1"/>
    <n v="25.2"/>
    <n v="30"/>
  </r>
  <r>
    <x v="16"/>
    <d v="2022-05-03T00:00:00"/>
    <n v="1"/>
    <n v="184.02"/>
    <n v="260"/>
  </r>
  <r>
    <x v="113"/>
    <d v="2022-05-03T00:00:00"/>
    <n v="1"/>
    <n v="10.79"/>
    <n v="13"/>
  </r>
  <r>
    <x v="113"/>
    <d v="2022-05-03T00:00:00"/>
    <n v="1"/>
    <n v="10.79"/>
    <n v="13"/>
  </r>
  <r>
    <x v="50"/>
    <d v="2022-05-03T00:00:00"/>
    <n v="1"/>
    <n v="75.040000000000006"/>
    <n v="93.5"/>
  </r>
  <r>
    <x v="61"/>
    <d v="2022-05-03T00:00:00"/>
    <n v="1"/>
    <n v="31.52"/>
    <n v="37"/>
  </r>
  <r>
    <x v="20"/>
    <d v="2022-05-03T00:00:00"/>
    <n v="1"/>
    <n v="148.58000000000001"/>
    <n v="179"/>
  </r>
  <r>
    <x v="49"/>
    <d v="2022-05-03T00:00:00"/>
    <n v="1"/>
    <n v="642.92999999999995"/>
    <n v="830"/>
  </r>
  <r>
    <x v="97"/>
    <d v="2022-05-03T00:00:00"/>
    <n v="1"/>
    <n v="26.15"/>
    <n v="32"/>
  </r>
  <r>
    <x v="97"/>
    <d v="2022-05-03T00:00:00"/>
    <n v="1"/>
    <n v="26.15"/>
    <n v="32"/>
  </r>
  <r>
    <x v="61"/>
    <d v="2022-05-03T00:00:00"/>
    <n v="1"/>
    <n v="32.01"/>
    <n v="39"/>
  </r>
  <r>
    <x v="148"/>
    <d v="2022-05-03T00:00:00"/>
    <n v="1"/>
    <n v="46.68"/>
    <n v="65"/>
  </r>
  <r>
    <x v="152"/>
    <d v="2022-05-03T00:00:00"/>
    <n v="1"/>
    <n v="12"/>
    <n v="21"/>
  </r>
  <r>
    <x v="20"/>
    <d v="2022-05-03T00:00:00"/>
    <n v="1"/>
    <n v="148.58000000000001"/>
    <n v="179"/>
  </r>
  <r>
    <x v="20"/>
    <d v="2022-05-03T00:00:00"/>
    <n v="1"/>
    <n v="148.58000000000001"/>
    <n v="179"/>
  </r>
  <r>
    <x v="115"/>
    <d v="2022-05-03T00:00:00"/>
    <n v="1"/>
    <n v="133.72999999999999"/>
    <n v="194"/>
  </r>
  <r>
    <x v="58"/>
    <d v="2022-05-03T00:00:00"/>
    <n v="1"/>
    <n v="71.790000000000006"/>
    <n v="87"/>
  </r>
  <r>
    <x v="58"/>
    <d v="2022-05-03T00:00:00"/>
    <n v="1"/>
    <n v="71.790000000000006"/>
    <n v="87"/>
  </r>
  <r>
    <x v="143"/>
    <d v="2022-05-03T00:00:00"/>
    <n v="1"/>
    <n v="37.6"/>
    <n v="60"/>
  </r>
  <r>
    <x v="60"/>
    <d v="2022-05-03T00:00:00"/>
    <n v="1"/>
    <n v="176.77"/>
    <n v="207"/>
  </r>
  <r>
    <x v="51"/>
    <d v="2022-05-03T00:00:00"/>
    <n v="1"/>
    <n v="43.98"/>
    <n v="67"/>
  </r>
  <r>
    <x v="60"/>
    <d v="2022-05-03T00:00:00"/>
    <n v="1"/>
    <n v="181.12"/>
    <n v="212"/>
  </r>
  <r>
    <x v="58"/>
    <d v="2022-05-03T00:00:00"/>
    <n v="1"/>
    <n v="73.3"/>
    <n v="88"/>
  </r>
  <r>
    <x v="124"/>
    <d v="2022-05-03T00:00:00"/>
    <n v="0.04"/>
    <n v="496.39"/>
    <n v="597"/>
  </r>
  <r>
    <x v="84"/>
    <d v="2022-05-03T00:00:00"/>
    <n v="1"/>
    <n v="75.5"/>
    <n v="108"/>
  </r>
  <r>
    <x v="86"/>
    <d v="2022-05-03T00:00:00"/>
    <n v="1"/>
    <n v="31.81"/>
    <n v="52"/>
  </r>
  <r>
    <x v="9"/>
    <d v="2022-05-03T00:00:00"/>
    <n v="0.2"/>
    <n v="515.08000000000004"/>
    <n v="696"/>
  </r>
  <r>
    <x v="52"/>
    <d v="2022-05-03T00:00:00"/>
    <n v="1"/>
    <n v="232.47"/>
    <n v="291"/>
  </r>
  <r>
    <x v="43"/>
    <d v="2022-05-03T00:00:00"/>
    <n v="1"/>
    <n v="39.14"/>
    <n v="60"/>
  </r>
  <r>
    <x v="0"/>
    <d v="2022-05-02T00:00:00"/>
    <n v="1"/>
    <n v="136.47999999999999"/>
    <n v="163"/>
  </r>
  <r>
    <x v="90"/>
    <d v="2022-05-02T00:00:00"/>
    <n v="0.2"/>
    <n v="133.25"/>
    <n v="204"/>
  </r>
  <r>
    <x v="42"/>
    <d v="2022-05-02T00:00:00"/>
    <n v="1"/>
    <n v="41.58"/>
    <n v="65"/>
  </r>
  <r>
    <x v="13"/>
    <d v="2022-05-02T00:00:00"/>
    <n v="1"/>
    <n v="44"/>
    <n v="69"/>
  </r>
  <r>
    <x v="117"/>
    <d v="2022-05-02T00:00:00"/>
    <n v="1"/>
    <n v="21.64"/>
    <n v="27"/>
  </r>
  <r>
    <x v="122"/>
    <d v="2022-05-02T00:00:00"/>
    <n v="1"/>
    <n v="120.56"/>
    <n v="166"/>
  </r>
  <r>
    <x v="26"/>
    <d v="2022-05-02T00:00:00"/>
    <n v="1"/>
    <n v="12.9"/>
    <n v="18"/>
  </r>
  <r>
    <x v="42"/>
    <d v="2022-05-02T00:00:00"/>
    <n v="1"/>
    <n v="41.58"/>
    <n v="65"/>
  </r>
  <r>
    <x v="23"/>
    <d v="2022-05-02T00:00:00"/>
    <n v="1"/>
    <n v="135.44999999999999"/>
    <n v="189"/>
  </r>
  <r>
    <x v="81"/>
    <d v="2022-05-02T00:00:00"/>
    <n v="1"/>
    <n v="40.869999999999997"/>
    <n v="66"/>
  </r>
  <r>
    <x v="60"/>
    <d v="2022-05-02T00:00:00"/>
    <n v="1"/>
    <n v="181.12"/>
    <n v="212"/>
  </r>
  <r>
    <x v="150"/>
    <d v="2022-05-02T00:00:00"/>
    <n v="0.04"/>
    <n v="487.04"/>
    <n v="731"/>
  </r>
  <r>
    <x v="22"/>
    <d v="2022-05-02T00:00:00"/>
    <n v="1"/>
    <n v="105.23"/>
    <n v="161"/>
  </r>
  <r>
    <x v="60"/>
    <d v="2022-05-02T00:00:00"/>
    <n v="1"/>
    <n v="181.12"/>
    <n v="212"/>
  </r>
  <r>
    <x v="60"/>
    <d v="2022-05-02T00:00:00"/>
    <n v="1"/>
    <n v="181.12"/>
    <n v="212"/>
  </r>
  <r>
    <x v="7"/>
    <d v="2022-05-02T00:00:00"/>
    <n v="1"/>
    <n v="59.7"/>
    <n v="75"/>
  </r>
  <r>
    <x v="54"/>
    <d v="2022-05-02T00:00:00"/>
    <n v="1"/>
    <n v="13.1"/>
    <n v="21"/>
  </r>
  <r>
    <x v="147"/>
    <d v="2022-05-02T00:00:00"/>
    <n v="1"/>
    <n v="106.17"/>
    <n v="133"/>
  </r>
  <r>
    <x v="2"/>
    <d v="2022-05-02T00:00:00"/>
    <n v="1"/>
    <n v="90.07"/>
    <n v="107"/>
  </r>
  <r>
    <x v="70"/>
    <d v="2022-05-02T00:00:00"/>
    <n v="0.1"/>
    <n v="429.66"/>
    <n v="654"/>
  </r>
  <r>
    <x v="126"/>
    <d v="2022-05-02T00:00:00"/>
    <n v="1"/>
    <n v="363"/>
    <n v="480"/>
  </r>
  <r>
    <x v="151"/>
    <d v="2022-05-02T00:00:00"/>
    <n v="1"/>
    <n v="253.44"/>
    <n v="338"/>
  </r>
  <r>
    <x v="82"/>
    <d v="2022-05-02T00:00:00"/>
    <n v="1"/>
    <n v="351.11"/>
    <n v="413"/>
  </r>
  <r>
    <x v="113"/>
    <d v="2022-05-02T00:00:00"/>
    <n v="1"/>
    <n v="10.78"/>
    <n v="13"/>
  </r>
  <r>
    <x v="113"/>
    <d v="2022-05-02T00:00:00"/>
    <n v="1"/>
    <n v="10.78"/>
    <n v="13"/>
  </r>
  <r>
    <x v="113"/>
    <d v="2022-05-02T00:00:00"/>
    <n v="1"/>
    <n v="10.78"/>
    <n v="13"/>
  </r>
  <r>
    <x v="113"/>
    <d v="2022-05-02T00:00:00"/>
    <n v="1"/>
    <n v="10.78"/>
    <n v="13"/>
  </r>
  <r>
    <x v="113"/>
    <d v="2022-05-02T00:00:00"/>
    <n v="1"/>
    <n v="10.78"/>
    <n v="13"/>
  </r>
  <r>
    <x v="3"/>
    <d v="2022-05-02T00:00:00"/>
    <n v="1"/>
    <n v="50.12"/>
    <n v="79"/>
  </r>
  <r>
    <x v="60"/>
    <d v="2022-05-02T00:00:00"/>
    <n v="1"/>
    <n v="181.12"/>
    <n v="227"/>
  </r>
  <r>
    <x v="60"/>
    <d v="2022-05-02T00:00:00"/>
    <n v="1"/>
    <n v="181.12"/>
    <n v="212"/>
  </r>
  <r>
    <x v="117"/>
    <d v="2022-05-02T00:00:00"/>
    <n v="1"/>
    <n v="20.47"/>
    <n v="25"/>
  </r>
  <r>
    <x v="53"/>
    <d v="2022-05-02T00:00:00"/>
    <n v="1"/>
    <n v="81.64"/>
    <n v="98"/>
  </r>
  <r>
    <x v="15"/>
    <d v="2022-05-02T00:00:00"/>
    <n v="1"/>
    <n v="21.33"/>
    <n v="27"/>
  </r>
  <r>
    <x v="15"/>
    <d v="2022-05-02T00:00:00"/>
    <n v="1"/>
    <n v="21.33"/>
    <n v="27"/>
  </r>
  <r>
    <x v="60"/>
    <d v="2022-05-02T00:00:00"/>
    <n v="1"/>
    <n v="181.12"/>
    <n v="212"/>
  </r>
  <r>
    <x v="19"/>
    <d v="2022-05-02T00:00:00"/>
    <n v="1"/>
    <n v="99.48"/>
    <n v="116"/>
  </r>
  <r>
    <x v="143"/>
    <d v="2022-05-02T00:00:00"/>
    <n v="1"/>
    <n v="37.6"/>
    <n v="60"/>
  </r>
  <r>
    <x v="26"/>
    <d v="2022-05-02T00:00:00"/>
    <n v="1"/>
    <n v="13.19"/>
    <n v="18"/>
  </r>
  <r>
    <x v="26"/>
    <d v="2022-05-02T00:00:00"/>
    <n v="1"/>
    <n v="13.19"/>
    <n v="18"/>
  </r>
  <r>
    <x v="131"/>
    <d v="2022-05-02T00:00:00"/>
    <n v="1"/>
    <n v="295.88"/>
    <n v="400"/>
  </r>
  <r>
    <x v="152"/>
    <d v="2022-05-02T00:00:00"/>
    <n v="3"/>
    <n v="12"/>
    <n v="20"/>
  </r>
  <r>
    <x v="60"/>
    <d v="2022-05-02T00:00:00"/>
    <n v="1"/>
    <n v="176.77"/>
    <n v="207"/>
  </r>
  <r>
    <x v="100"/>
    <d v="2022-05-02T00:00:00"/>
    <n v="1"/>
    <n v="27.62"/>
    <n v="48"/>
  </r>
  <r>
    <x v="100"/>
    <d v="2022-05-02T00:00:00"/>
    <n v="2"/>
    <n v="27.62"/>
    <n v="48"/>
  </r>
  <r>
    <x v="134"/>
    <d v="2022-05-02T00:00:00"/>
    <n v="1"/>
    <n v="35.51"/>
    <n v="58"/>
  </r>
  <r>
    <x v="5"/>
    <d v="2022-05-02T00:00:00"/>
    <n v="1"/>
    <n v="11.65"/>
    <n v="14"/>
  </r>
  <r>
    <x v="5"/>
    <d v="2022-05-02T00:00:00"/>
    <n v="1"/>
    <n v="11.65"/>
    <n v="14"/>
  </r>
  <r>
    <x v="10"/>
    <d v="2022-05-02T00:00:00"/>
    <n v="1"/>
    <n v="44.41"/>
    <n v="72"/>
  </r>
  <r>
    <x v="142"/>
    <d v="2022-05-02T00:00:00"/>
    <n v="1"/>
    <n v="137.1"/>
    <n v="188"/>
  </r>
  <r>
    <x v="90"/>
    <d v="2022-05-02T00:00:00"/>
    <n v="0.1"/>
    <n v="135.38"/>
    <n v="208"/>
  </r>
  <r>
    <x v="85"/>
    <d v="2022-05-02T00:00:00"/>
    <n v="1"/>
    <n v="383.43"/>
    <n v="472"/>
  </r>
  <r>
    <x v="60"/>
    <d v="2022-05-02T00:00:00"/>
    <n v="1"/>
    <n v="176.77"/>
    <n v="207"/>
  </r>
  <r>
    <x v="85"/>
    <d v="2022-05-02T00:00:00"/>
    <n v="1"/>
    <n v="383.43"/>
    <n v="480"/>
  </r>
  <r>
    <x v="60"/>
    <d v="2022-05-02T00:00:00"/>
    <n v="1"/>
    <n v="181.12"/>
    <n v="212"/>
  </r>
  <r>
    <x v="21"/>
    <d v="2022-05-02T00:00:00"/>
    <n v="0.1"/>
    <n v="1283.8399999999999"/>
    <n v="1580"/>
  </r>
  <r>
    <x v="88"/>
    <d v="2022-05-02T00:00:00"/>
    <n v="1"/>
    <n v="66.09"/>
    <n v="98"/>
  </r>
  <r>
    <x v="152"/>
    <d v="2022-05-02T00:00:00"/>
    <n v="1"/>
    <n v="12"/>
    <n v="20"/>
  </r>
  <r>
    <x v="8"/>
    <d v="2022-05-02T00:00:00"/>
    <n v="1"/>
    <n v="122.17"/>
    <n v="147"/>
  </r>
  <r>
    <x v="93"/>
    <d v="2022-05-02T00:00:00"/>
    <n v="1"/>
    <n v="111.24"/>
    <n v="133"/>
  </r>
  <r>
    <x v="48"/>
    <d v="2022-05-02T00:00:00"/>
    <n v="1"/>
    <n v="23.4"/>
    <n v="38"/>
  </r>
  <r>
    <x v="59"/>
    <d v="2022-05-02T00:00:00"/>
    <n v="1"/>
    <n v="199.69"/>
    <n v="290"/>
  </r>
  <r>
    <x v="132"/>
    <d v="2022-05-02T00:00:00"/>
    <n v="1"/>
    <n v="7.7"/>
    <n v="14"/>
  </r>
  <r>
    <x v="51"/>
    <d v="2022-05-02T00:00:00"/>
    <n v="1"/>
    <n v="43.79"/>
    <n v="68"/>
  </r>
  <r>
    <x v="80"/>
    <d v="2022-05-02T00:00:00"/>
    <n v="1"/>
    <n v="15.95"/>
    <n v="25"/>
  </r>
  <r>
    <x v="151"/>
    <d v="2022-05-02T00:00:00"/>
    <n v="1"/>
    <n v="253.44"/>
    <n v="338"/>
  </r>
  <r>
    <x v="87"/>
    <d v="2022-05-02T00:00:00"/>
    <n v="1"/>
    <n v="6.17"/>
    <n v="9"/>
  </r>
  <r>
    <x v="99"/>
    <d v="2022-05-02T00:00:00"/>
    <n v="1"/>
    <n v="45.2"/>
    <n v="57"/>
  </r>
  <r>
    <x v="19"/>
    <d v="2022-05-02T00:00:00"/>
    <n v="1"/>
    <n v="99.48"/>
    <n v="116"/>
  </r>
  <r>
    <x v="106"/>
    <d v="2022-05-02T00:00:00"/>
    <n v="1"/>
    <n v="168.56"/>
    <n v="205"/>
  </r>
  <r>
    <x v="29"/>
    <d v="2022-05-02T00:00:00"/>
    <n v="1"/>
    <n v="200.94"/>
    <n v="232"/>
  </r>
  <r>
    <x v="102"/>
    <d v="2022-05-02T00:00:00"/>
    <n v="1"/>
    <n v="71.03"/>
    <n v="88"/>
  </r>
  <r>
    <x v="133"/>
    <d v="2022-05-02T00:00:00"/>
    <n v="1"/>
    <n v="46.5"/>
    <n v="76"/>
  </r>
  <r>
    <x v="91"/>
    <d v="2022-05-02T00:00:00"/>
    <n v="1"/>
    <n v="72.569999999999993"/>
    <n v="109"/>
  </r>
  <r>
    <x v="91"/>
    <d v="2022-05-02T00:00:00"/>
    <n v="1"/>
    <n v="73.44"/>
    <n v="110"/>
  </r>
  <r>
    <x v="91"/>
    <d v="2022-05-02T00:00:00"/>
    <n v="1"/>
    <n v="72.73"/>
    <n v="109"/>
  </r>
  <r>
    <x v="117"/>
    <d v="2022-05-02T00:00:00"/>
    <n v="1"/>
    <n v="21.64"/>
    <n v="27"/>
  </r>
  <r>
    <x v="30"/>
    <d v="2022-05-02T00:00:00"/>
    <n v="1"/>
    <n v="39.6"/>
    <n v="61"/>
  </r>
  <r>
    <x v="40"/>
    <d v="2022-05-02T00:00:00"/>
    <n v="1"/>
    <n v="25.25"/>
    <n v="41"/>
  </r>
  <r>
    <x v="40"/>
    <d v="2022-05-02T00:00:00"/>
    <n v="1"/>
    <n v="30.46"/>
    <n v="50"/>
  </r>
  <r>
    <x v="60"/>
    <d v="2022-05-02T00:00:00"/>
    <n v="1"/>
    <n v="176.77"/>
    <n v="207"/>
  </r>
  <r>
    <x v="2"/>
    <d v="2022-05-02T00:00:00"/>
    <n v="1"/>
    <n v="87.9"/>
    <n v="104"/>
  </r>
  <r>
    <x v="144"/>
    <d v="2022-05-02T00:00:00"/>
    <n v="1"/>
    <n v="221.03"/>
    <n v="303"/>
  </r>
  <r>
    <x v="144"/>
    <d v="2022-05-02T00:00:00"/>
    <n v="1"/>
    <n v="221.03"/>
    <n v="303"/>
  </r>
  <r>
    <x v="19"/>
    <d v="2022-05-02T00:00:00"/>
    <n v="1"/>
    <n v="99.47"/>
    <n v="116"/>
  </r>
  <r>
    <x v="133"/>
    <d v="2022-05-02T00:00:00"/>
    <n v="1"/>
    <n v="46.5"/>
    <n v="75"/>
  </r>
  <r>
    <x v="46"/>
    <d v="2022-05-02T00:00:00"/>
    <n v="4"/>
    <n v="1.98"/>
    <n v="3.2"/>
  </r>
  <r>
    <x v="152"/>
    <d v="2022-05-02T00:00:00"/>
    <n v="1"/>
    <n v="12"/>
    <n v="20"/>
  </r>
  <r>
    <x v="85"/>
    <d v="2022-05-02T00:00:00"/>
    <n v="1"/>
    <n v="399.31"/>
    <n v="492"/>
  </r>
  <r>
    <x v="108"/>
    <d v="2022-05-02T00:00:00"/>
    <n v="1"/>
    <n v="151.22999999999999"/>
    <n v="174"/>
  </r>
  <r>
    <x v="53"/>
    <d v="2022-05-02T00:00:00"/>
    <n v="1"/>
    <n v="82.25"/>
    <n v="99"/>
  </r>
  <r>
    <x v="19"/>
    <d v="2022-05-02T00:00:00"/>
    <n v="1"/>
    <n v="99.48"/>
    <n v="117"/>
  </r>
  <r>
    <x v="117"/>
    <d v="2022-05-02T00:00:00"/>
    <n v="1"/>
    <n v="20.82"/>
    <n v="26"/>
  </r>
  <r>
    <x v="40"/>
    <d v="2022-05-02T00:00:00"/>
    <n v="1"/>
    <n v="25.59"/>
    <n v="45"/>
  </r>
  <r>
    <x v="102"/>
    <d v="2022-05-02T00:00:00"/>
    <n v="1"/>
    <n v="71.16"/>
    <n v="88"/>
  </r>
  <r>
    <x v="138"/>
    <d v="2022-05-02T00:00:00"/>
    <n v="1"/>
    <n v="42.98"/>
    <n v="66"/>
  </r>
  <r>
    <x v="20"/>
    <d v="2022-05-02T00:00:00"/>
    <n v="1"/>
    <n v="148.58000000000001"/>
    <n v="179"/>
  </r>
  <r>
    <x v="0"/>
    <d v="2022-05-02T00:00:00"/>
    <n v="1"/>
    <n v="136.47999999999999"/>
    <n v="163"/>
  </r>
  <r>
    <x v="94"/>
    <d v="2022-05-02T00:00:00"/>
    <n v="1"/>
    <n v="65.45"/>
    <n v="77"/>
  </r>
  <r>
    <x v="69"/>
    <d v="2022-05-02T00:00:00"/>
    <n v="1"/>
    <n v="101.09"/>
    <n v="119"/>
  </r>
  <r>
    <x v="85"/>
    <d v="2022-05-02T00:00:00"/>
    <n v="1"/>
    <n v="390.94"/>
    <n v="470"/>
  </r>
  <r>
    <x v="60"/>
    <d v="2022-05-02T00:00:00"/>
    <n v="1"/>
    <n v="176.77"/>
    <n v="207"/>
  </r>
  <r>
    <x v="15"/>
    <d v="2022-05-02T00:00:00"/>
    <n v="1"/>
    <n v="20"/>
    <n v="25"/>
  </r>
  <r>
    <x v="15"/>
    <d v="2022-05-02T00:00:00"/>
    <n v="1"/>
    <n v="20"/>
    <n v="25"/>
  </r>
  <r>
    <x v="19"/>
    <d v="2022-05-02T00:00:00"/>
    <n v="1"/>
    <n v="99.48"/>
    <n v="117"/>
  </r>
  <r>
    <x v="126"/>
    <d v="2022-05-02T00:00:00"/>
    <n v="1"/>
    <n v="361.9"/>
    <n v="424"/>
  </r>
  <r>
    <x v="98"/>
    <d v="2022-05-02T00:00:00"/>
    <n v="1"/>
    <n v="41.33"/>
    <n v="65"/>
  </r>
  <r>
    <x v="98"/>
    <d v="2022-05-02T00:00:00"/>
    <n v="1"/>
    <n v="41.33"/>
    <n v="65"/>
  </r>
  <r>
    <x v="132"/>
    <d v="2022-05-02T00:00:00"/>
    <n v="2"/>
    <n v="9.42"/>
    <n v="16"/>
  </r>
  <r>
    <x v="85"/>
    <d v="2022-05-02T00:00:00"/>
    <n v="1"/>
    <n v="383.43"/>
    <n v="472"/>
  </r>
  <r>
    <x v="60"/>
    <d v="2022-05-02T00:00:00"/>
    <n v="1"/>
    <n v="181.12"/>
    <n v="212"/>
  </r>
  <r>
    <x v="20"/>
    <d v="2022-05-02T00:00:00"/>
    <n v="1"/>
    <n v="148.58000000000001"/>
    <n v="175"/>
  </r>
  <r>
    <x v="103"/>
    <d v="2022-05-02T00:00:00"/>
    <n v="1"/>
    <n v="29.37"/>
    <n v="45"/>
  </r>
  <r>
    <x v="103"/>
    <d v="2022-05-02T00:00:00"/>
    <n v="1"/>
    <n v="29.37"/>
    <n v="45"/>
  </r>
  <r>
    <x v="103"/>
    <d v="2022-05-02T00:00:00"/>
    <n v="1"/>
    <n v="29.37"/>
    <n v="45"/>
  </r>
  <r>
    <x v="103"/>
    <d v="2022-05-02T00:00:00"/>
    <n v="1"/>
    <n v="29.37"/>
    <n v="45"/>
  </r>
  <r>
    <x v="85"/>
    <d v="2022-05-02T00:00:00"/>
    <n v="1"/>
    <n v="412.35"/>
    <n v="508"/>
  </r>
  <r>
    <x v="53"/>
    <d v="2022-05-02T00:00:00"/>
    <n v="1"/>
    <n v="82.25"/>
    <n v="99"/>
  </r>
  <r>
    <x v="53"/>
    <d v="2022-05-02T00:00:00"/>
    <n v="1"/>
    <n v="82.25"/>
    <n v="99"/>
  </r>
  <r>
    <x v="109"/>
    <d v="2022-05-02T00:00:00"/>
    <n v="1"/>
    <n v="74.8"/>
    <n v="92"/>
  </r>
  <r>
    <x v="126"/>
    <d v="2022-05-02T00:00:00"/>
    <n v="1"/>
    <n v="361.44"/>
    <n v="416"/>
  </r>
  <r>
    <x v="2"/>
    <d v="2022-05-02T00:00:00"/>
    <n v="1"/>
    <n v="87.9"/>
    <n v="104"/>
  </r>
  <r>
    <x v="150"/>
    <d v="2022-05-02T00:00:00"/>
    <n v="0.2"/>
    <n v="487.04"/>
    <n v="731"/>
  </r>
  <r>
    <x v="76"/>
    <d v="2022-05-02T00:00:00"/>
    <n v="1"/>
    <n v="40.450000000000003"/>
    <n v="50"/>
  </r>
  <r>
    <x v="15"/>
    <d v="2022-05-02T00:00:00"/>
    <n v="1"/>
    <n v="19.71"/>
    <n v="25"/>
  </r>
  <r>
    <x v="15"/>
    <d v="2022-05-02T00:00:00"/>
    <n v="1"/>
    <n v="20.23"/>
    <n v="26"/>
  </r>
  <r>
    <x v="15"/>
    <d v="2022-05-02T00:00:00"/>
    <n v="1"/>
    <n v="20.23"/>
    <n v="26"/>
  </r>
  <r>
    <x v="57"/>
    <d v="2022-05-02T00:00:00"/>
    <n v="1"/>
    <n v="25.2"/>
    <n v="30"/>
  </r>
  <r>
    <x v="31"/>
    <d v="2022-05-02T00:00:00"/>
    <n v="1"/>
    <n v="25.27"/>
    <n v="32"/>
  </r>
  <r>
    <x v="31"/>
    <d v="2022-05-02T00:00:00"/>
    <n v="1"/>
    <n v="25.27"/>
    <n v="32"/>
  </r>
  <r>
    <x v="147"/>
    <d v="2022-05-02T00:00:00"/>
    <n v="1"/>
    <n v="105.81"/>
    <n v="133"/>
  </r>
  <r>
    <x v="77"/>
    <d v="2022-05-02T00:00:00"/>
    <n v="1"/>
    <n v="33.299999999999997"/>
    <n v="42"/>
  </r>
  <r>
    <x v="77"/>
    <d v="2022-05-02T00:00:00"/>
    <n v="1"/>
    <n v="33.299999999999997"/>
    <n v="42"/>
  </r>
  <r>
    <x v="69"/>
    <d v="2022-05-02T00:00:00"/>
    <n v="1"/>
    <n v="89.27"/>
    <n v="111"/>
  </r>
  <r>
    <x v="14"/>
    <d v="2022-05-02T00:00:00"/>
    <n v="1"/>
    <n v="81.83"/>
    <n v="102"/>
  </r>
  <r>
    <x v="150"/>
    <d v="2022-05-02T00:00:00"/>
    <n v="0.4"/>
    <n v="421.68"/>
    <n v="641"/>
  </r>
  <r>
    <x v="129"/>
    <d v="2022-05-02T00:00:00"/>
    <n v="1"/>
    <n v="26.98"/>
    <n v="42"/>
  </r>
  <r>
    <x v="129"/>
    <d v="2022-05-02T00:00:00"/>
    <n v="1"/>
    <n v="26.98"/>
    <n v="42"/>
  </r>
  <r>
    <x v="129"/>
    <d v="2022-05-02T00:00:00"/>
    <n v="1"/>
    <n v="26.98"/>
    <n v="42"/>
  </r>
  <r>
    <x v="84"/>
    <d v="2022-05-02T00:00:00"/>
    <n v="1"/>
    <n v="74.37"/>
    <n v="106"/>
  </r>
  <r>
    <x v="84"/>
    <d v="2022-05-02T00:00:00"/>
    <n v="1"/>
    <n v="74.37"/>
    <n v="106"/>
  </r>
  <r>
    <x v="84"/>
    <d v="2022-05-02T00:00:00"/>
    <n v="1"/>
    <n v="74.37"/>
    <n v="106"/>
  </r>
  <r>
    <x v="136"/>
    <d v="2022-05-02T00:00:00"/>
    <n v="1"/>
    <n v="28.61"/>
    <n v="47"/>
  </r>
  <r>
    <x v="86"/>
    <d v="2022-05-02T00:00:00"/>
    <n v="0.95"/>
    <n v="31.81"/>
    <n v="52"/>
  </r>
  <r>
    <x v="72"/>
    <d v="2022-05-02T00:00:00"/>
    <n v="1"/>
    <n v="60.3"/>
    <n v="75"/>
  </r>
  <r>
    <x v="113"/>
    <d v="2022-05-02T00:00:00"/>
    <n v="1"/>
    <n v="10.79"/>
    <n v="13"/>
  </r>
  <r>
    <x v="23"/>
    <d v="2022-05-02T00:00:00"/>
    <n v="1"/>
    <n v="135.44999999999999"/>
    <n v="189"/>
  </r>
  <r>
    <x v="20"/>
    <d v="2022-05-02T00:00:00"/>
    <n v="1"/>
    <n v="148.58000000000001"/>
    <n v="179"/>
  </r>
  <r>
    <x v="34"/>
    <d v="2022-05-02T00:00:00"/>
    <n v="1"/>
    <n v="16.8"/>
    <n v="28"/>
  </r>
  <r>
    <x v="48"/>
    <d v="2022-05-02T00:00:00"/>
    <n v="1"/>
    <n v="23.4"/>
    <n v="38"/>
  </r>
  <r>
    <x v="0"/>
    <d v="2022-05-02T00:00:00"/>
    <n v="1"/>
    <n v="136.47999999999999"/>
    <n v="163"/>
  </r>
  <r>
    <x v="136"/>
    <d v="2022-05-02T00:00:00"/>
    <n v="1"/>
    <n v="28.61"/>
    <n v="47"/>
  </r>
  <r>
    <x v="20"/>
    <d v="2022-05-02T00:00:00"/>
    <n v="1"/>
    <n v="149.86000000000001"/>
    <n v="178"/>
  </r>
  <r>
    <x v="52"/>
    <d v="2022-05-02T00:00:00"/>
    <n v="1"/>
    <n v="239.87"/>
    <n v="269"/>
  </r>
  <r>
    <x v="152"/>
    <d v="2022-05-02T00:00:00"/>
    <n v="1"/>
    <n v="12"/>
    <n v="20"/>
  </r>
  <r>
    <x v="15"/>
    <d v="2022-05-02T00:00:00"/>
    <n v="1"/>
    <n v="20.23"/>
    <n v="26"/>
  </r>
  <r>
    <x v="19"/>
    <d v="2022-05-02T00:00:00"/>
    <n v="1"/>
    <n v="99.47"/>
    <n v="116"/>
  </r>
  <r>
    <x v="90"/>
    <d v="2022-05-02T00:00:00"/>
    <n v="1"/>
    <n v="129.25"/>
    <n v="203"/>
  </r>
  <r>
    <x v="114"/>
    <d v="2022-05-02T00:00:00"/>
    <n v="3.5714299999999997E-2"/>
    <n v="631.39"/>
    <n v="697"/>
  </r>
  <r>
    <x v="132"/>
    <d v="2022-05-02T00:00:00"/>
    <n v="1"/>
    <n v="8.5"/>
    <n v="14"/>
  </r>
  <r>
    <x v="60"/>
    <d v="2022-05-02T00:00:00"/>
    <n v="1"/>
    <n v="176.77"/>
    <n v="207"/>
  </r>
  <r>
    <x v="127"/>
    <d v="2022-05-02T00:00:00"/>
    <n v="1"/>
    <n v="57.93"/>
    <n v="83"/>
  </r>
  <r>
    <x v="15"/>
    <d v="2022-05-02T00:00:00"/>
    <n v="1"/>
    <n v="21"/>
    <n v="27"/>
  </r>
  <r>
    <x v="80"/>
    <d v="2022-05-02T00:00:00"/>
    <n v="1"/>
    <n v="15.95"/>
    <n v="25"/>
  </r>
  <r>
    <x v="2"/>
    <d v="2022-05-02T00:00:00"/>
    <n v="1"/>
    <n v="89.24"/>
    <n v="110"/>
  </r>
  <r>
    <x v="15"/>
    <d v="2022-05-02T00:00:00"/>
    <n v="1"/>
    <n v="21"/>
    <n v="27"/>
  </r>
  <r>
    <x v="2"/>
    <d v="2022-05-02T00:00:00"/>
    <n v="1"/>
    <n v="90.07"/>
    <n v="107"/>
  </r>
  <r>
    <x v="2"/>
    <d v="2022-05-02T00:00:00"/>
    <n v="1"/>
    <n v="90.07"/>
    <n v="107"/>
  </r>
  <r>
    <x v="2"/>
    <d v="2022-05-02T00:00:00"/>
    <n v="1"/>
    <n v="90.07"/>
    <n v="107"/>
  </r>
  <r>
    <x v="60"/>
    <d v="2022-05-02T00:00:00"/>
    <n v="1"/>
    <n v="181.12"/>
    <n v="212"/>
  </r>
  <r>
    <x v="139"/>
    <d v="2022-05-02T00:00:00"/>
    <n v="1"/>
    <n v="52.42"/>
    <n v="75"/>
  </r>
  <r>
    <x v="88"/>
    <d v="2022-05-02T00:00:00"/>
    <n v="1"/>
    <n v="67.540000000000006"/>
    <n v="96"/>
  </r>
  <r>
    <x v="88"/>
    <d v="2022-05-02T00:00:00"/>
    <n v="1"/>
    <n v="67.540000000000006"/>
    <n v="96"/>
  </r>
  <r>
    <x v="138"/>
    <d v="2022-05-02T00:00:00"/>
    <n v="1"/>
    <n v="42.55"/>
    <n v="65"/>
  </r>
  <r>
    <x v="138"/>
    <d v="2022-05-02T00:00:00"/>
    <n v="1"/>
    <n v="42.55"/>
    <n v="65"/>
  </r>
  <r>
    <x v="152"/>
    <d v="2022-05-02T00:00:00"/>
    <n v="1"/>
    <n v="12"/>
    <n v="20"/>
  </r>
  <r>
    <x v="96"/>
    <d v="2022-05-02T00:00:00"/>
    <n v="1"/>
    <n v="28.66"/>
    <n v="44"/>
  </r>
  <r>
    <x v="2"/>
    <d v="2022-05-02T00:00:00"/>
    <n v="1"/>
    <n v="90.07"/>
    <n v="107"/>
  </r>
  <r>
    <x v="122"/>
    <d v="2022-05-02T00:00:00"/>
    <n v="1"/>
    <n v="120.56"/>
    <n v="166"/>
  </r>
  <r>
    <x v="154"/>
    <d v="2022-05-02T00:00:00"/>
    <n v="1"/>
    <n v="50.8"/>
    <n v="64"/>
  </r>
  <r>
    <x v="152"/>
    <d v="2022-05-02T00:00:00"/>
    <n v="1"/>
    <n v="12"/>
    <n v="20"/>
  </r>
  <r>
    <x v="152"/>
    <d v="2022-05-02T00:00:00"/>
    <n v="1"/>
    <n v="12"/>
    <n v="20"/>
  </r>
  <r>
    <x v="108"/>
    <d v="2022-05-02T00:00:00"/>
    <n v="1"/>
    <n v="153.63"/>
    <n v="214"/>
  </r>
  <r>
    <x v="2"/>
    <d v="2022-05-02T00:00:00"/>
    <n v="1"/>
    <n v="89.24"/>
    <n v="110"/>
  </r>
  <r>
    <x v="21"/>
    <d v="2022-05-02T00:00:00"/>
    <n v="0.1"/>
    <n v="1262.29"/>
    <n v="1616"/>
  </r>
  <r>
    <x v="42"/>
    <d v="2022-05-02T00:00:00"/>
    <n v="1"/>
    <n v="43.93"/>
    <n v="67"/>
  </r>
  <r>
    <x v="42"/>
    <d v="2022-05-02T00:00:00"/>
    <n v="1"/>
    <n v="43.93"/>
    <n v="67"/>
  </r>
  <r>
    <x v="60"/>
    <d v="2022-05-02T00:00:00"/>
    <n v="1"/>
    <n v="176.78"/>
    <n v="225"/>
  </r>
  <r>
    <x v="13"/>
    <d v="2022-05-02T00:00:00"/>
    <n v="1"/>
    <n v="44"/>
    <n v="69"/>
  </r>
  <r>
    <x v="111"/>
    <d v="2022-05-02T00:00:00"/>
    <n v="1"/>
    <n v="109.07"/>
    <n v="128"/>
  </r>
  <r>
    <x v="117"/>
    <d v="2022-05-02T00:00:00"/>
    <n v="1"/>
    <n v="20.47"/>
    <n v="25"/>
  </r>
  <r>
    <x v="111"/>
    <d v="2022-05-02T00:00:00"/>
    <n v="1"/>
    <n v="109.07"/>
    <n v="130"/>
  </r>
  <r>
    <x v="27"/>
    <d v="2022-05-02T00:00:00"/>
    <n v="1"/>
    <n v="125.73"/>
    <n v="198"/>
  </r>
  <r>
    <x v="3"/>
    <d v="2022-05-02T00:00:00"/>
    <n v="1"/>
    <n v="59.15"/>
    <n v="93"/>
  </r>
  <r>
    <x v="56"/>
    <d v="2022-05-02T00:00:00"/>
    <n v="1"/>
    <n v="33.17"/>
    <n v="53"/>
  </r>
  <r>
    <x v="23"/>
    <d v="2022-05-02T00:00:00"/>
    <n v="1"/>
    <n v="148.74"/>
    <n v="204"/>
  </r>
  <r>
    <x v="14"/>
    <d v="2022-05-02T00:00:00"/>
    <n v="1"/>
    <n v="80.52"/>
    <n v="103"/>
  </r>
  <r>
    <x v="87"/>
    <d v="2022-05-02T00:00:00"/>
    <n v="1"/>
    <n v="6.48"/>
    <n v="9"/>
  </r>
  <r>
    <x v="9"/>
    <d v="2022-05-02T00:00:00"/>
    <n v="0.4"/>
    <n v="501.97"/>
    <n v="628"/>
  </r>
  <r>
    <x v="9"/>
    <d v="2022-05-02T00:00:00"/>
    <n v="0.1"/>
    <n v="512.30999999999995"/>
    <n v="641"/>
  </r>
  <r>
    <x v="40"/>
    <d v="2022-05-02T00:00:00"/>
    <n v="2"/>
    <n v="25.59"/>
    <n v="45"/>
  </r>
  <r>
    <x v="40"/>
    <d v="2022-05-02T00:00:00"/>
    <n v="1"/>
    <n v="25.59"/>
    <n v="45"/>
  </r>
  <r>
    <x v="57"/>
    <d v="2022-05-02T00:00:00"/>
    <n v="1"/>
    <n v="25.71"/>
    <n v="31"/>
  </r>
  <r>
    <x v="67"/>
    <d v="2022-05-02T00:00:00"/>
    <n v="1"/>
    <n v="557.09"/>
    <n v="736"/>
  </r>
  <r>
    <x v="2"/>
    <d v="2022-05-02T00:00:00"/>
    <n v="1"/>
    <n v="90.07"/>
    <n v="107"/>
  </r>
  <r>
    <x v="2"/>
    <d v="2022-05-02T00:00:00"/>
    <n v="1"/>
    <n v="90.07"/>
    <n v="107"/>
  </r>
  <r>
    <x v="12"/>
    <d v="2022-05-02T00:00:00"/>
    <n v="1"/>
    <n v="387.48"/>
    <n v="465"/>
  </r>
  <r>
    <x v="42"/>
    <d v="2022-05-02T00:00:00"/>
    <n v="1"/>
    <n v="42.92"/>
    <n v="66"/>
  </r>
  <r>
    <x v="95"/>
    <d v="2022-05-02T00:00:00"/>
    <n v="1"/>
    <n v="36.03"/>
    <n v="55"/>
  </r>
  <r>
    <x v="61"/>
    <d v="2022-05-02T00:00:00"/>
    <n v="1"/>
    <n v="35.36"/>
    <n v="39"/>
  </r>
  <r>
    <x v="30"/>
    <d v="2022-05-02T00:00:00"/>
    <n v="1"/>
    <n v="39.6"/>
    <n v="61"/>
  </r>
  <r>
    <x v="19"/>
    <d v="2022-05-02T00:00:00"/>
    <n v="1"/>
    <n v="99.48"/>
    <n v="116"/>
  </r>
  <r>
    <x v="19"/>
    <d v="2022-05-02T00:00:00"/>
    <n v="1"/>
    <n v="99.48"/>
    <n v="116"/>
  </r>
  <r>
    <x v="19"/>
    <d v="2022-05-02T00:00:00"/>
    <n v="1"/>
    <n v="99.48"/>
    <n v="116"/>
  </r>
  <r>
    <x v="60"/>
    <d v="2022-05-02T00:00:00"/>
    <n v="1"/>
    <n v="181.12"/>
    <n v="212"/>
  </r>
  <r>
    <x v="126"/>
    <d v="2022-05-02T00:00:00"/>
    <n v="1"/>
    <n v="363"/>
    <n v="418"/>
  </r>
  <r>
    <x v="94"/>
    <d v="2022-05-02T00:00:00"/>
    <n v="1"/>
    <n v="65.31"/>
    <n v="81"/>
  </r>
  <r>
    <x v="18"/>
    <d v="2022-05-02T00:00:00"/>
    <n v="1"/>
    <n v="109.41"/>
    <n v="123"/>
  </r>
  <r>
    <x v="125"/>
    <d v="2022-05-02T00:00:00"/>
    <n v="1"/>
    <n v="25.19"/>
    <n v="31"/>
  </r>
  <r>
    <x v="125"/>
    <d v="2022-05-02T00:00:00"/>
    <n v="1"/>
    <n v="25.19"/>
    <n v="31"/>
  </r>
  <r>
    <x v="125"/>
    <d v="2022-05-02T00:00:00"/>
    <n v="1"/>
    <n v="25.19"/>
    <n v="31"/>
  </r>
  <r>
    <x v="60"/>
    <d v="2022-05-02T00:00:00"/>
    <n v="1"/>
    <n v="181.12"/>
    <n v="212"/>
  </r>
  <r>
    <x v="0"/>
    <d v="2022-05-02T00:00:00"/>
    <n v="1"/>
    <n v="145.6"/>
    <n v="169"/>
  </r>
  <r>
    <x v="60"/>
    <d v="2022-05-02T00:00:00"/>
    <n v="1"/>
    <n v="181.12"/>
    <n v="212"/>
  </r>
  <r>
    <x v="123"/>
    <d v="2022-05-02T00:00:00"/>
    <n v="1"/>
    <n v="289.20999999999998"/>
    <n v="405"/>
  </r>
  <r>
    <x v="126"/>
    <d v="2022-05-02T00:00:00"/>
    <n v="1"/>
    <n v="361.9"/>
    <n v="424"/>
  </r>
  <r>
    <x v="58"/>
    <d v="2022-05-02T00:00:00"/>
    <n v="1"/>
    <n v="74.599999999999994"/>
    <n v="90"/>
  </r>
  <r>
    <x v="58"/>
    <d v="2022-05-02T00:00:00"/>
    <n v="1"/>
    <n v="74.599999999999994"/>
    <n v="90"/>
  </r>
  <r>
    <x v="19"/>
    <d v="2022-05-02T00:00:00"/>
    <n v="1"/>
    <n v="99.48"/>
    <n v="117"/>
  </r>
  <r>
    <x v="125"/>
    <d v="2022-05-02T00:00:00"/>
    <n v="1"/>
    <n v="25.19"/>
    <n v="31"/>
  </r>
  <r>
    <x v="125"/>
    <d v="2022-05-02T00:00:00"/>
    <n v="1"/>
    <n v="25.19"/>
    <n v="31"/>
  </r>
  <r>
    <x v="125"/>
    <d v="2022-05-02T00:00:00"/>
    <n v="1"/>
    <n v="25.19"/>
    <n v="31"/>
  </r>
  <r>
    <x v="125"/>
    <d v="2022-05-02T00:00:00"/>
    <n v="1"/>
    <n v="25.19"/>
    <n v="31"/>
  </r>
  <r>
    <x v="125"/>
    <d v="2022-05-02T00:00:00"/>
    <n v="1"/>
    <n v="25.19"/>
    <n v="31"/>
  </r>
  <r>
    <x v="125"/>
    <d v="2022-05-02T00:00:00"/>
    <n v="1"/>
    <n v="25.19"/>
    <n v="31"/>
  </r>
  <r>
    <x v="49"/>
    <d v="2022-05-02T00:00:00"/>
    <n v="1"/>
    <n v="642.92999999999995"/>
    <n v="830"/>
  </r>
  <r>
    <x v="57"/>
    <d v="2022-05-02T00:00:00"/>
    <n v="1"/>
    <n v="24.68"/>
    <n v="30"/>
  </r>
  <r>
    <x v="57"/>
    <d v="2022-05-02T00:00:00"/>
    <n v="1"/>
    <n v="24.68"/>
    <n v="30"/>
  </r>
  <r>
    <x v="126"/>
    <d v="2022-05-02T00:00:00"/>
    <n v="1"/>
    <n v="361.44"/>
    <n v="423"/>
  </r>
  <r>
    <x v="143"/>
    <d v="2022-05-02T00:00:00"/>
    <n v="1"/>
    <n v="37.6"/>
    <n v="60"/>
  </r>
  <r>
    <x v="14"/>
    <d v="2022-05-02T00:00:00"/>
    <n v="1"/>
    <n v="82.07"/>
    <n v="103"/>
  </r>
  <r>
    <x v="83"/>
    <d v="2022-05-02T00:00:00"/>
    <n v="2"/>
    <n v="109.8"/>
    <n v="173"/>
  </r>
  <r>
    <x v="101"/>
    <d v="2022-05-02T00:00:00"/>
    <n v="1"/>
    <n v="41.48"/>
    <n v="51"/>
  </r>
  <r>
    <x v="85"/>
    <d v="2022-05-02T00:00:00"/>
    <n v="1"/>
    <n v="383.43"/>
    <n v="472"/>
  </r>
  <r>
    <x v="60"/>
    <d v="2022-05-02T00:00:00"/>
    <n v="1"/>
    <n v="181.12"/>
    <n v="212"/>
  </r>
  <r>
    <x v="88"/>
    <d v="2022-05-02T00:00:00"/>
    <n v="1"/>
    <n v="67.540000000000006"/>
    <n v="96"/>
  </r>
  <r>
    <x v="60"/>
    <d v="2022-05-02T00:00:00"/>
    <n v="1"/>
    <n v="176.77"/>
    <n v="207"/>
  </r>
  <r>
    <x v="133"/>
    <d v="2022-05-02T00:00:00"/>
    <n v="2"/>
    <n v="46.5"/>
    <n v="76"/>
  </r>
  <r>
    <x v="133"/>
    <d v="2022-05-02T00:00:00"/>
    <n v="4"/>
    <n v="46.5"/>
    <n v="76"/>
  </r>
  <r>
    <x v="113"/>
    <d v="2022-05-02T00:00:00"/>
    <n v="1"/>
    <n v="10.79"/>
    <n v="13"/>
  </r>
  <r>
    <x v="113"/>
    <d v="2022-05-02T00:00:00"/>
    <n v="1"/>
    <n v="10.79"/>
    <n v="13"/>
  </r>
  <r>
    <x v="48"/>
    <d v="2022-05-02T00:00:00"/>
    <n v="1"/>
    <n v="23.4"/>
    <n v="38"/>
  </r>
  <r>
    <x v="2"/>
    <d v="2022-05-02T00:00:00"/>
    <n v="1"/>
    <n v="90.07"/>
    <n v="107"/>
  </r>
  <r>
    <x v="21"/>
    <d v="2022-05-02T00:00:00"/>
    <n v="0.2"/>
    <n v="1182.26"/>
    <n v="1537"/>
  </r>
  <r>
    <x v="33"/>
    <d v="2022-05-02T00:00:00"/>
    <n v="1"/>
    <n v="34.450000000000003"/>
    <n v="55"/>
  </r>
  <r>
    <x v="52"/>
    <d v="2022-05-02T00:00:00"/>
    <n v="1"/>
    <n v="232.47"/>
    <n v="272"/>
  </r>
  <r>
    <x v="117"/>
    <d v="2022-05-02T00:00:00"/>
    <n v="1"/>
    <n v="23.91"/>
    <n v="29"/>
  </r>
  <r>
    <x v="152"/>
    <d v="2022-05-02T00:00:00"/>
    <n v="1"/>
    <n v="12"/>
    <n v="20"/>
  </r>
  <r>
    <x v="19"/>
    <d v="2022-05-02T00:00:00"/>
    <n v="1"/>
    <n v="100.98"/>
    <n v="120"/>
  </r>
  <r>
    <x v="118"/>
    <d v="2022-05-02T00:00:00"/>
    <n v="1"/>
    <n v="62.29"/>
    <n v="77"/>
  </r>
  <r>
    <x v="5"/>
    <d v="2022-05-02T00:00:00"/>
    <n v="1"/>
    <n v="11.65"/>
    <n v="14"/>
  </r>
  <r>
    <x v="48"/>
    <d v="2022-05-02T00:00:00"/>
    <n v="1"/>
    <n v="23.4"/>
    <n v="38"/>
  </r>
  <r>
    <x v="10"/>
    <d v="2022-05-02T00:00:00"/>
    <n v="1"/>
    <n v="44.41"/>
    <n v="72"/>
  </r>
  <r>
    <x v="35"/>
    <d v="2022-05-02T00:00:00"/>
    <n v="1"/>
    <n v="173.09"/>
    <n v="207"/>
  </r>
  <r>
    <x v="60"/>
    <d v="2022-05-02T00:00:00"/>
    <n v="1"/>
    <n v="181.12"/>
    <n v="212"/>
  </r>
  <r>
    <x v="12"/>
    <d v="2022-05-02T00:00:00"/>
    <n v="1"/>
    <n v="392.65"/>
    <n v="472"/>
  </r>
  <r>
    <x v="25"/>
    <d v="2022-05-02T00:00:00"/>
    <n v="1"/>
    <n v="156.19999999999999"/>
    <n v="186"/>
  </r>
  <r>
    <x v="106"/>
    <d v="2022-05-02T00:00:00"/>
    <n v="1"/>
    <n v="164.96"/>
    <n v="198"/>
  </r>
  <r>
    <x v="115"/>
    <d v="2022-05-02T00:00:00"/>
    <n v="1"/>
    <n v="132.26"/>
    <n v="182"/>
  </r>
  <r>
    <x v="86"/>
    <d v="2022-05-02T00:00:00"/>
    <n v="2"/>
    <n v="31.73"/>
    <n v="52"/>
  </r>
  <r>
    <x v="15"/>
    <d v="2022-05-02T00:00:00"/>
    <n v="1"/>
    <n v="20.72"/>
    <n v="24"/>
  </r>
  <r>
    <x v="15"/>
    <d v="2022-05-02T00:00:00"/>
    <n v="1"/>
    <n v="20.72"/>
    <n v="24"/>
  </r>
  <r>
    <x v="15"/>
    <d v="2022-05-02T00:00:00"/>
    <n v="1"/>
    <n v="20.72"/>
    <n v="24"/>
  </r>
  <r>
    <x v="15"/>
    <d v="2022-05-02T00:00:00"/>
    <n v="1"/>
    <n v="20.72"/>
    <n v="24"/>
  </r>
  <r>
    <x v="15"/>
    <d v="2022-05-02T00:00:00"/>
    <n v="1"/>
    <n v="20.72"/>
    <n v="24"/>
  </r>
  <r>
    <x v="15"/>
    <d v="2022-05-02T00:00:00"/>
    <n v="1"/>
    <n v="20.72"/>
    <n v="24"/>
  </r>
  <r>
    <x v="15"/>
    <d v="2022-05-02T00:00:00"/>
    <n v="1"/>
    <n v="20.72"/>
    <n v="24"/>
  </r>
  <r>
    <x v="15"/>
    <d v="2022-05-02T00:00:00"/>
    <n v="1"/>
    <n v="20.72"/>
    <n v="24"/>
  </r>
  <r>
    <x v="15"/>
    <d v="2022-05-02T00:00:00"/>
    <n v="1"/>
    <n v="20.72"/>
    <n v="24"/>
  </r>
  <r>
    <x v="15"/>
    <d v="2022-05-02T00:00:00"/>
    <n v="1"/>
    <n v="20.72"/>
    <n v="24"/>
  </r>
  <r>
    <x v="16"/>
    <d v="2022-05-02T00:00:00"/>
    <n v="1"/>
    <n v="184.02"/>
    <n v="260"/>
  </r>
  <r>
    <x v="47"/>
    <d v="2022-05-02T00:00:00"/>
    <n v="1"/>
    <n v="206.65"/>
    <n v="247"/>
  </r>
  <r>
    <x v="151"/>
    <d v="2022-05-02T00:00:00"/>
    <n v="1"/>
    <n v="248.98"/>
    <n v="344"/>
  </r>
  <r>
    <x v="17"/>
    <d v="2022-05-02T00:00:00"/>
    <n v="1"/>
    <n v="30.3"/>
    <n v="49"/>
  </r>
  <r>
    <x v="74"/>
    <d v="2022-05-02T00:00:00"/>
    <n v="1"/>
    <n v="148.5"/>
    <n v="180"/>
  </r>
  <r>
    <x v="35"/>
    <d v="2022-05-02T00:00:00"/>
    <n v="1"/>
    <n v="182.57"/>
    <n v="217"/>
  </r>
  <r>
    <x v="32"/>
    <d v="2022-05-02T00:00:00"/>
    <n v="1"/>
    <n v="36.86"/>
    <n v="47"/>
  </r>
  <r>
    <x v="32"/>
    <d v="2022-05-02T00:00:00"/>
    <n v="1"/>
    <n v="36.86"/>
    <n v="47"/>
  </r>
  <r>
    <x v="32"/>
    <d v="2022-05-02T00:00:00"/>
    <n v="1"/>
    <n v="36.86"/>
    <n v="47"/>
  </r>
  <r>
    <x v="33"/>
    <d v="2022-05-02T00:00:00"/>
    <n v="1"/>
    <n v="22.31"/>
    <n v="35"/>
  </r>
  <r>
    <x v="33"/>
    <d v="2022-05-02T00:00:00"/>
    <n v="1"/>
    <n v="22.31"/>
    <n v="35"/>
  </r>
  <r>
    <x v="33"/>
    <d v="2022-05-02T00:00:00"/>
    <n v="1"/>
    <n v="22.31"/>
    <n v="35"/>
  </r>
  <r>
    <x v="27"/>
    <d v="2022-05-02T00:00:00"/>
    <n v="1"/>
    <n v="104.59"/>
    <n v="163"/>
  </r>
  <r>
    <x v="0"/>
    <d v="2022-05-02T00:00:00"/>
    <n v="1"/>
    <n v="136.47999999999999"/>
    <n v="163"/>
  </r>
  <r>
    <x v="13"/>
    <d v="2022-05-02T00:00:00"/>
    <n v="1"/>
    <n v="44"/>
    <n v="67"/>
  </r>
  <r>
    <x v="80"/>
    <d v="2022-05-02T00:00:00"/>
    <n v="1"/>
    <n v="15.95"/>
    <n v="25"/>
  </r>
  <r>
    <x v="80"/>
    <d v="2022-05-02T00:00:00"/>
    <n v="1"/>
    <n v="15.95"/>
    <n v="25"/>
  </r>
  <r>
    <x v="80"/>
    <d v="2022-05-02T00:00:00"/>
    <n v="1"/>
    <n v="18.010000000000002"/>
    <n v="28"/>
  </r>
  <r>
    <x v="23"/>
    <d v="2022-05-02T00:00:00"/>
    <n v="1"/>
    <n v="146.80000000000001"/>
    <n v="207"/>
  </r>
  <r>
    <x v="23"/>
    <d v="2022-05-02T00:00:00"/>
    <n v="1"/>
    <n v="146.80000000000001"/>
    <n v="207"/>
  </r>
  <r>
    <x v="19"/>
    <d v="2022-05-02T00:00:00"/>
    <n v="1"/>
    <n v="97.99"/>
    <n v="117"/>
  </r>
  <r>
    <x v="19"/>
    <d v="2022-05-02T00:00:00"/>
    <n v="1"/>
    <n v="97.99"/>
    <n v="117"/>
  </r>
  <r>
    <x v="0"/>
    <d v="2022-05-02T00:00:00"/>
    <n v="1"/>
    <n v="136.47999999999999"/>
    <n v="163"/>
  </r>
  <r>
    <x v="30"/>
    <d v="2022-05-02T00:00:00"/>
    <n v="1"/>
    <n v="39.6"/>
    <n v="61"/>
  </r>
  <r>
    <x v="130"/>
    <d v="2022-05-02T00:00:00"/>
    <n v="1"/>
    <n v="74.540000000000006"/>
    <n v="92"/>
  </r>
  <r>
    <x v="65"/>
    <d v="2022-05-02T00:00:00"/>
    <n v="1"/>
    <n v="170.53"/>
    <n v="205"/>
  </r>
  <r>
    <x v="138"/>
    <d v="2022-05-02T00:00:00"/>
    <n v="1"/>
    <n v="46.89"/>
    <n v="72"/>
  </r>
  <r>
    <x v="19"/>
    <d v="2022-05-02T00:00:00"/>
    <n v="1"/>
    <n v="99.48"/>
    <n v="117"/>
  </r>
  <r>
    <x v="60"/>
    <d v="2022-05-02T00:00:00"/>
    <n v="1"/>
    <n v="176.77"/>
    <n v="207"/>
  </r>
  <r>
    <x v="60"/>
    <d v="2022-05-02T00:00:00"/>
    <n v="1"/>
    <n v="176.77"/>
    <n v="207"/>
  </r>
  <r>
    <x v="127"/>
    <d v="2022-05-02T00:00:00"/>
    <n v="1"/>
    <n v="57.93"/>
    <n v="83"/>
  </r>
  <r>
    <x v="19"/>
    <d v="2022-05-02T00:00:00"/>
    <n v="1"/>
    <n v="97.99"/>
    <n v="114"/>
  </r>
  <r>
    <x v="85"/>
    <d v="2022-05-02T00:00:00"/>
    <n v="1"/>
    <n v="374.07"/>
    <n v="449"/>
  </r>
  <r>
    <x v="19"/>
    <d v="2022-05-02T00:00:00"/>
    <n v="1"/>
    <n v="100.98"/>
    <n v="120"/>
  </r>
  <r>
    <x v="36"/>
    <d v="2022-05-02T00:00:00"/>
    <n v="5"/>
    <n v="10.89"/>
    <n v="18"/>
  </r>
  <r>
    <x v="80"/>
    <d v="2022-05-02T00:00:00"/>
    <n v="1"/>
    <n v="15.95"/>
    <n v="26"/>
  </r>
  <r>
    <x v="133"/>
    <d v="2022-05-02T00:00:00"/>
    <n v="1"/>
    <n v="46.5"/>
    <n v="75"/>
  </r>
  <r>
    <x v="61"/>
    <d v="2022-05-02T00:00:00"/>
    <n v="1"/>
    <n v="35.36"/>
    <n v="39"/>
  </r>
  <r>
    <x v="61"/>
    <d v="2022-05-02T00:00:00"/>
    <n v="1"/>
    <n v="35.36"/>
    <n v="39"/>
  </r>
  <r>
    <x v="61"/>
    <d v="2022-05-02T00:00:00"/>
    <n v="1"/>
    <n v="35.36"/>
    <n v="39"/>
  </r>
  <r>
    <x v="61"/>
    <d v="2022-05-02T00:00:00"/>
    <n v="1"/>
    <n v="35.36"/>
    <n v="39"/>
  </r>
  <r>
    <x v="61"/>
    <d v="2022-05-02T00:00:00"/>
    <n v="1"/>
    <n v="35.36"/>
    <n v="39"/>
  </r>
  <r>
    <x v="124"/>
    <d v="2022-05-02T00:00:00"/>
    <n v="0.2"/>
    <n v="496.39"/>
    <n v="597"/>
  </r>
  <r>
    <x v="124"/>
    <d v="2022-05-02T00:00:00"/>
    <n v="0.2"/>
    <n v="515.66"/>
    <n v="568"/>
  </r>
  <r>
    <x v="60"/>
    <d v="2022-05-02T00:00:00"/>
    <n v="1"/>
    <n v="176.77"/>
    <n v="207"/>
  </r>
  <r>
    <x v="13"/>
    <d v="2022-05-02T00:00:00"/>
    <n v="1"/>
    <n v="44"/>
    <n v="67"/>
  </r>
  <r>
    <x v="25"/>
    <d v="2022-05-02T00:00:00"/>
    <n v="1"/>
    <n v="156.19999999999999"/>
    <n v="186"/>
  </r>
  <r>
    <x v="87"/>
    <d v="2022-05-02T00:00:00"/>
    <n v="10"/>
    <n v="6.24"/>
    <n v="9"/>
  </r>
  <r>
    <x v="89"/>
    <d v="2022-05-02T00:00:00"/>
    <n v="1"/>
    <n v="27.31"/>
    <n v="39"/>
  </r>
  <r>
    <x v="89"/>
    <d v="2022-05-02T00:00:00"/>
    <n v="1"/>
    <n v="27.31"/>
    <n v="39"/>
  </r>
  <r>
    <x v="89"/>
    <d v="2022-05-02T00:00:00"/>
    <n v="1"/>
    <n v="27.31"/>
    <n v="39"/>
  </r>
  <r>
    <x v="89"/>
    <d v="2022-05-02T00:00:00"/>
    <n v="1"/>
    <n v="27.31"/>
    <n v="39"/>
  </r>
  <r>
    <x v="89"/>
    <d v="2022-05-02T00:00:00"/>
    <n v="1"/>
    <n v="27.31"/>
    <n v="39"/>
  </r>
  <r>
    <x v="89"/>
    <d v="2022-05-02T00:00:00"/>
    <n v="1"/>
    <n v="27.31"/>
    <n v="39"/>
  </r>
  <r>
    <x v="89"/>
    <d v="2022-05-02T00:00:00"/>
    <n v="1"/>
    <n v="27.31"/>
    <n v="39"/>
  </r>
  <r>
    <x v="89"/>
    <d v="2022-05-02T00:00:00"/>
    <n v="1"/>
    <n v="27.31"/>
    <n v="39"/>
  </r>
  <r>
    <x v="89"/>
    <d v="2022-05-02T00:00:00"/>
    <n v="1"/>
    <n v="27.31"/>
    <n v="39"/>
  </r>
  <r>
    <x v="89"/>
    <d v="2022-05-02T00:00:00"/>
    <n v="1"/>
    <n v="27.31"/>
    <n v="39"/>
  </r>
  <r>
    <x v="90"/>
    <d v="2022-05-02T00:00:00"/>
    <n v="1"/>
    <n v="135.38"/>
    <n v="210"/>
  </r>
  <r>
    <x v="114"/>
    <d v="2022-05-02T00:00:00"/>
    <n v="3.5714299999999997E-2"/>
    <n v="631.39"/>
    <n v="697"/>
  </r>
  <r>
    <x v="48"/>
    <d v="2022-05-02T00:00:00"/>
    <n v="1"/>
    <n v="23.4"/>
    <n v="38"/>
  </r>
  <r>
    <x v="33"/>
    <d v="2022-05-02T00:00:00"/>
    <n v="1"/>
    <n v="27.64"/>
    <n v="43"/>
  </r>
  <r>
    <x v="113"/>
    <d v="2022-05-02T00:00:00"/>
    <n v="1"/>
    <n v="10.79"/>
    <n v="13"/>
  </r>
  <r>
    <x v="74"/>
    <d v="2022-05-02T00:00:00"/>
    <n v="1"/>
    <n v="148.5"/>
    <n v="177"/>
  </r>
  <r>
    <x v="107"/>
    <d v="2022-05-02T00:00:00"/>
    <n v="1"/>
    <n v="291.39"/>
    <n v="345"/>
  </r>
  <r>
    <x v="42"/>
    <d v="2022-05-02T00:00:00"/>
    <n v="1"/>
    <n v="43.49"/>
    <n v="69"/>
  </r>
  <r>
    <x v="42"/>
    <d v="2022-05-02T00:00:00"/>
    <n v="1"/>
    <n v="43.49"/>
    <n v="69"/>
  </r>
  <r>
    <x v="101"/>
    <d v="2022-05-02T00:00:00"/>
    <n v="1"/>
    <n v="41.1"/>
    <n v="51"/>
  </r>
  <r>
    <x v="48"/>
    <d v="2022-05-02T00:00:00"/>
    <n v="1"/>
    <n v="23.4"/>
    <n v="38"/>
  </r>
  <r>
    <x v="37"/>
    <d v="2022-05-02T00:00:00"/>
    <n v="1"/>
    <n v="569.76"/>
    <n v="656"/>
  </r>
  <r>
    <x v="110"/>
    <d v="2022-05-02T00:00:00"/>
    <n v="1"/>
    <n v="72.78"/>
    <n v="90"/>
  </r>
  <r>
    <x v="141"/>
    <d v="2022-05-02T00:00:00"/>
    <n v="1"/>
    <n v="398.18"/>
    <n v="446"/>
  </r>
  <r>
    <x v="80"/>
    <d v="2022-05-02T00:00:00"/>
    <n v="1"/>
    <n v="18.84"/>
    <n v="29"/>
  </r>
  <r>
    <x v="80"/>
    <d v="2022-05-02T00:00:00"/>
    <n v="1"/>
    <n v="18.84"/>
    <n v="29"/>
  </r>
  <r>
    <x v="80"/>
    <d v="2022-05-02T00:00:00"/>
    <n v="1"/>
    <n v="18.84"/>
    <n v="29"/>
  </r>
  <r>
    <x v="85"/>
    <d v="2022-05-02T00:00:00"/>
    <n v="1"/>
    <n v="383.43"/>
    <n v="472"/>
  </r>
  <r>
    <x v="127"/>
    <d v="2022-05-02T00:00:00"/>
    <n v="1"/>
    <n v="58.97"/>
    <n v="88"/>
  </r>
  <r>
    <x v="18"/>
    <d v="2022-05-02T00:00:00"/>
    <n v="1"/>
    <n v="110.23"/>
    <n v="124"/>
  </r>
  <r>
    <x v="18"/>
    <d v="2022-05-02T00:00:00"/>
    <n v="1"/>
    <n v="110.23"/>
    <n v="124"/>
  </r>
  <r>
    <x v="18"/>
    <d v="2022-05-02T00:00:00"/>
    <n v="1"/>
    <n v="110.23"/>
    <n v="124"/>
  </r>
  <r>
    <x v="85"/>
    <d v="2022-05-02T00:00:00"/>
    <n v="1"/>
    <n v="384.59"/>
    <n v="462"/>
  </r>
  <r>
    <x v="117"/>
    <d v="2022-05-02T00:00:00"/>
    <n v="1"/>
    <n v="23.91"/>
    <n v="29"/>
  </r>
  <r>
    <x v="117"/>
    <d v="2022-05-02T00:00:00"/>
    <n v="1"/>
    <n v="23.91"/>
    <n v="29"/>
  </r>
  <r>
    <x v="117"/>
    <d v="2022-05-02T00:00:00"/>
    <n v="1"/>
    <n v="23.91"/>
    <n v="29"/>
  </r>
  <r>
    <x v="86"/>
    <d v="2022-05-02T00:00:00"/>
    <n v="1"/>
    <n v="31.73"/>
    <n v="52"/>
  </r>
  <r>
    <x v="87"/>
    <d v="2022-05-02T00:00:00"/>
    <n v="1"/>
    <n v="6.24"/>
    <n v="9"/>
  </r>
  <r>
    <x v="61"/>
    <d v="2022-05-01T00:00:00"/>
    <n v="1"/>
    <n v="32.01"/>
    <n v="37"/>
  </r>
  <r>
    <x v="61"/>
    <d v="2022-05-01T00:00:00"/>
    <n v="1"/>
    <n v="32.01"/>
    <n v="37"/>
  </r>
  <r>
    <x v="110"/>
    <d v="2022-05-01T00:00:00"/>
    <n v="1"/>
    <n v="72"/>
    <n v="91"/>
  </r>
  <r>
    <x v="2"/>
    <d v="2022-05-01T00:00:00"/>
    <n v="1"/>
    <n v="89.24"/>
    <n v="110"/>
  </r>
  <r>
    <x v="70"/>
    <d v="2022-05-01T00:00:00"/>
    <n v="0.1"/>
    <n v="429.66"/>
    <n v="602"/>
  </r>
  <r>
    <x v="87"/>
    <d v="2022-05-01T00:00:00"/>
    <n v="3"/>
    <n v="15"/>
    <n v="20"/>
  </r>
  <r>
    <x v="86"/>
    <d v="2022-05-01T00:00:00"/>
    <n v="1"/>
    <n v="32.6"/>
    <n v="57"/>
  </r>
  <r>
    <x v="23"/>
    <d v="2022-05-01T00:00:00"/>
    <n v="1"/>
    <n v="135.44999999999999"/>
    <n v="189"/>
  </r>
  <r>
    <x v="21"/>
    <d v="2022-05-01T00:00:00"/>
    <n v="0.2"/>
    <n v="1262.29"/>
    <n v="1616"/>
  </r>
  <r>
    <x v="46"/>
    <d v="2022-05-01T00:00:00"/>
    <n v="12"/>
    <n v="2.04"/>
    <n v="4"/>
  </r>
  <r>
    <x v="60"/>
    <d v="2022-05-01T00:00:00"/>
    <n v="1"/>
    <n v="176.77"/>
    <n v="207"/>
  </r>
  <r>
    <x v="51"/>
    <d v="2022-05-01T00:00:00"/>
    <n v="1"/>
    <n v="43.79"/>
    <n v="68"/>
  </r>
  <r>
    <x v="21"/>
    <d v="2022-05-01T00:00:00"/>
    <n v="0.2"/>
    <n v="1283.8399999999999"/>
    <n v="1580"/>
  </r>
  <r>
    <x v="70"/>
    <d v="2022-05-01T00:00:00"/>
    <n v="0.06"/>
    <n v="429.66"/>
    <n v="654"/>
  </r>
  <r>
    <x v="141"/>
    <d v="2022-05-01T00:00:00"/>
    <n v="1"/>
    <n v="406.36"/>
    <n v="456"/>
  </r>
  <r>
    <x v="23"/>
    <d v="2022-05-01T00:00:00"/>
    <n v="1"/>
    <n v="148.74"/>
    <n v="204"/>
  </r>
  <r>
    <x v="134"/>
    <d v="2022-05-01T00:00:00"/>
    <n v="1"/>
    <n v="35.51"/>
    <n v="58"/>
  </r>
  <r>
    <x v="88"/>
    <d v="2022-05-01T00:00:00"/>
    <n v="1"/>
    <n v="67.540000000000006"/>
    <n v="96"/>
  </r>
  <r>
    <x v="113"/>
    <d v="2022-05-01T00:00:00"/>
    <n v="1"/>
    <n v="10.78"/>
    <n v="13"/>
  </r>
  <r>
    <x v="16"/>
    <d v="2022-05-01T00:00:00"/>
    <n v="1"/>
    <n v="184.02"/>
    <n v="256"/>
  </r>
  <r>
    <x v="39"/>
    <d v="2022-05-01T00:00:00"/>
    <n v="1"/>
    <n v="68.040000000000006"/>
    <n v="107"/>
  </r>
  <r>
    <x v="113"/>
    <d v="2022-05-01T00:00:00"/>
    <n v="1"/>
    <n v="11.1"/>
    <n v="13"/>
  </r>
  <r>
    <x v="11"/>
    <d v="2022-05-01T00:00:00"/>
    <n v="1"/>
    <n v="46.01"/>
    <n v="72"/>
  </r>
  <r>
    <x v="2"/>
    <d v="2022-05-01T00:00:00"/>
    <n v="1"/>
    <n v="89.27"/>
    <n v="111"/>
  </r>
  <r>
    <x v="54"/>
    <d v="2022-05-01T00:00:00"/>
    <n v="2"/>
    <n v="12.02"/>
    <n v="20"/>
  </r>
  <r>
    <x v="15"/>
    <d v="2022-05-01T00:00:00"/>
    <n v="1"/>
    <n v="21.33"/>
    <n v="27"/>
  </r>
  <r>
    <x v="61"/>
    <d v="2022-05-01T00:00:00"/>
    <n v="2"/>
    <n v="30.93"/>
    <n v="36"/>
  </r>
  <r>
    <x v="153"/>
    <d v="2022-05-01T00:00:00"/>
    <n v="1"/>
    <n v="23.88"/>
    <n v="32"/>
  </r>
  <r>
    <x v="153"/>
    <d v="2022-05-01T00:00:00"/>
    <n v="1"/>
    <n v="23.88"/>
    <n v="32"/>
  </r>
  <r>
    <x v="153"/>
    <d v="2022-05-01T00:00:00"/>
    <n v="1"/>
    <n v="23.88"/>
    <n v="32"/>
  </r>
  <r>
    <x v="153"/>
    <d v="2022-05-01T00:00:00"/>
    <n v="1"/>
    <n v="23.88"/>
    <n v="32"/>
  </r>
  <r>
    <x v="153"/>
    <d v="2022-05-01T00:00:00"/>
    <n v="1"/>
    <n v="23.88"/>
    <n v="32"/>
  </r>
  <r>
    <x v="153"/>
    <d v="2022-05-01T00:00:00"/>
    <n v="1"/>
    <n v="23.88"/>
    <n v="32"/>
  </r>
  <r>
    <x v="153"/>
    <d v="2022-05-01T00:00:00"/>
    <n v="1"/>
    <n v="23.88"/>
    <n v="32"/>
  </r>
  <r>
    <x v="60"/>
    <d v="2022-05-01T00:00:00"/>
    <n v="1"/>
    <n v="181.12"/>
    <n v="212"/>
  </r>
  <r>
    <x v="85"/>
    <d v="2022-05-01T00:00:00"/>
    <n v="1"/>
    <n v="441.47"/>
    <n v="530"/>
  </r>
  <r>
    <x v="57"/>
    <d v="2022-05-01T00:00:00"/>
    <n v="1"/>
    <n v="25.19"/>
    <n v="30"/>
  </r>
  <r>
    <x v="8"/>
    <d v="2022-05-01T00:00:00"/>
    <n v="1"/>
    <n v="130.94999999999999"/>
    <n v="155"/>
  </r>
  <r>
    <x v="134"/>
    <d v="2022-05-01T00:00:00"/>
    <n v="1"/>
    <n v="35.51"/>
    <n v="58"/>
  </r>
  <r>
    <x v="143"/>
    <d v="2022-05-01T00:00:00"/>
    <n v="1"/>
    <n v="37.81"/>
    <n v="58"/>
  </r>
  <r>
    <x v="146"/>
    <d v="2022-05-01T00:00:00"/>
    <n v="1"/>
    <n v="23.2"/>
    <n v="29"/>
  </r>
  <r>
    <x v="20"/>
    <d v="2022-05-01T00:00:00"/>
    <n v="1"/>
    <n v="148.58000000000001"/>
    <n v="175"/>
  </r>
  <r>
    <x v="94"/>
    <d v="2022-05-01T00:00:00"/>
    <n v="1"/>
    <n v="66.099999999999994"/>
    <n v="79"/>
  </r>
  <r>
    <x v="129"/>
    <d v="2022-05-01T00:00:00"/>
    <n v="1"/>
    <n v="26.6"/>
    <n v="41"/>
  </r>
  <r>
    <x v="129"/>
    <d v="2022-05-01T00:00:00"/>
    <n v="1"/>
    <n v="26.98"/>
    <n v="42"/>
  </r>
  <r>
    <x v="8"/>
    <d v="2022-05-01T00:00:00"/>
    <n v="1"/>
    <n v="125.93"/>
    <n v="150"/>
  </r>
  <r>
    <x v="35"/>
    <d v="2022-05-01T00:00:00"/>
    <n v="1"/>
    <n v="173.09"/>
    <n v="207"/>
  </r>
  <r>
    <x v="91"/>
    <d v="2022-05-01T00:00:00"/>
    <n v="1"/>
    <n v="81.72"/>
    <n v="119"/>
  </r>
  <r>
    <x v="79"/>
    <d v="2022-05-01T00:00:00"/>
    <n v="1"/>
    <n v="175.74"/>
    <n v="220"/>
  </r>
  <r>
    <x v="79"/>
    <d v="2022-05-01T00:00:00"/>
    <n v="1"/>
    <n v="174.72"/>
    <n v="219"/>
  </r>
  <r>
    <x v="28"/>
    <d v="2022-05-01T00:00:00"/>
    <n v="1"/>
    <n v="21.57"/>
    <n v="26"/>
  </r>
  <r>
    <x v="28"/>
    <d v="2022-05-01T00:00:00"/>
    <n v="1"/>
    <n v="21.57"/>
    <n v="26"/>
  </r>
  <r>
    <x v="28"/>
    <d v="2022-05-01T00:00:00"/>
    <n v="1"/>
    <n v="21.57"/>
    <n v="26"/>
  </r>
  <r>
    <x v="28"/>
    <d v="2022-05-01T00:00:00"/>
    <n v="1"/>
    <n v="21.57"/>
    <n v="26"/>
  </r>
  <r>
    <x v="67"/>
    <d v="2022-05-01T00:00:00"/>
    <n v="1"/>
    <n v="558.75"/>
    <n v="738"/>
  </r>
  <r>
    <x v="16"/>
    <d v="2022-05-01T00:00:00"/>
    <n v="1"/>
    <n v="184.02"/>
    <n v="260"/>
  </r>
  <r>
    <x v="81"/>
    <d v="2022-05-01T00:00:00"/>
    <n v="1"/>
    <n v="47.4"/>
    <n v="77"/>
  </r>
  <r>
    <x v="88"/>
    <d v="2022-05-01T00:00:00"/>
    <n v="1"/>
    <n v="67.84"/>
    <n v="99"/>
  </r>
  <r>
    <x v="19"/>
    <d v="2022-05-01T00:00:00"/>
    <n v="1"/>
    <n v="100.98"/>
    <n v="120"/>
  </r>
  <r>
    <x v="138"/>
    <d v="2022-05-01T00:00:00"/>
    <n v="1"/>
    <n v="46.9"/>
    <n v="73"/>
  </r>
  <r>
    <x v="101"/>
    <d v="2022-05-01T00:00:00"/>
    <n v="1"/>
    <n v="46.16"/>
    <n v="56"/>
  </r>
  <r>
    <x v="15"/>
    <d v="2022-05-01T00:00:00"/>
    <n v="1"/>
    <n v="19.71"/>
    <n v="25"/>
  </r>
  <r>
    <x v="106"/>
    <d v="2022-05-01T00:00:00"/>
    <n v="1"/>
    <n v="168.56"/>
    <n v="205"/>
  </r>
  <r>
    <x v="67"/>
    <d v="2022-05-01T00:00:00"/>
    <n v="1"/>
    <n v="558.75"/>
    <n v="738"/>
  </r>
  <r>
    <x v="2"/>
    <d v="2022-05-01T00:00:00"/>
    <n v="1"/>
    <n v="87.9"/>
    <n v="108"/>
  </r>
  <r>
    <x v="122"/>
    <d v="2022-05-01T00:00:00"/>
    <n v="1"/>
    <n v="121.51"/>
    <n v="172"/>
  </r>
  <r>
    <x v="51"/>
    <d v="2022-05-01T00:00:00"/>
    <n v="1"/>
    <n v="43.97"/>
    <n v="67"/>
  </r>
  <r>
    <x v="60"/>
    <d v="2022-05-01T00:00:00"/>
    <n v="1"/>
    <n v="176.77"/>
    <n v="207"/>
  </r>
  <r>
    <x v="37"/>
    <d v="2022-05-01T00:00:00"/>
    <n v="1"/>
    <n v="594.54"/>
    <n v="621"/>
  </r>
  <r>
    <x v="118"/>
    <d v="2022-05-01T00:00:00"/>
    <n v="1"/>
    <n v="62.46"/>
    <n v="80"/>
  </r>
  <r>
    <x v="83"/>
    <d v="2022-05-01T00:00:00"/>
    <n v="0.1"/>
    <n v="121"/>
    <n v="186"/>
  </r>
  <r>
    <x v="88"/>
    <d v="2022-05-01T00:00:00"/>
    <n v="1"/>
    <n v="70.97"/>
    <n v="106"/>
  </r>
  <r>
    <x v="60"/>
    <d v="2022-05-01T00:00:00"/>
    <n v="1"/>
    <n v="181.12"/>
    <n v="212"/>
  </r>
  <r>
    <x v="84"/>
    <d v="2022-05-01T00:00:00"/>
    <n v="1"/>
    <n v="80.75"/>
    <n v="115"/>
  </r>
  <r>
    <x v="83"/>
    <d v="2022-05-01T00:00:00"/>
    <n v="1"/>
    <n v="121"/>
    <n v="186"/>
  </r>
  <r>
    <x v="107"/>
    <d v="2022-05-01T00:00:00"/>
    <n v="1"/>
    <n v="291.43"/>
    <n v="345"/>
  </r>
  <r>
    <x v="7"/>
    <d v="2022-05-01T00:00:00"/>
    <n v="1"/>
    <n v="56.84"/>
    <n v="70"/>
  </r>
  <r>
    <x v="60"/>
    <d v="2022-05-01T00:00:00"/>
    <n v="1"/>
    <n v="176.77"/>
    <n v="207"/>
  </r>
  <r>
    <x v="88"/>
    <d v="2022-05-01T00:00:00"/>
    <n v="1"/>
    <n v="76.959999999999994"/>
    <n v="110"/>
  </r>
  <r>
    <x v="88"/>
    <d v="2022-05-01T00:00:00"/>
    <n v="1"/>
    <n v="76.959999999999994"/>
    <n v="110"/>
  </r>
  <r>
    <x v="30"/>
    <d v="2022-05-01T00:00:00"/>
    <n v="1"/>
    <n v="39.6"/>
    <n v="61"/>
  </r>
  <r>
    <x v="42"/>
    <d v="2022-05-01T00:00:00"/>
    <n v="1"/>
    <n v="41.58"/>
    <n v="65"/>
  </r>
  <r>
    <x v="117"/>
    <d v="2022-05-01T00:00:00"/>
    <n v="1"/>
    <n v="21.64"/>
    <n v="27"/>
  </r>
  <r>
    <x v="87"/>
    <d v="2022-05-01T00:00:00"/>
    <n v="1"/>
    <n v="6.48"/>
    <n v="9"/>
  </r>
  <r>
    <x v="44"/>
    <d v="2022-05-01T00:00:00"/>
    <n v="1"/>
    <n v="16.309999999999999"/>
    <n v="20"/>
  </r>
  <r>
    <x v="95"/>
    <d v="2022-05-01T00:00:00"/>
    <n v="1"/>
    <n v="35.49"/>
    <n v="55"/>
  </r>
  <r>
    <x v="60"/>
    <d v="2022-05-01T00:00:00"/>
    <n v="1"/>
    <n v="181.12"/>
    <n v="212"/>
  </r>
  <r>
    <x v="110"/>
    <d v="2022-05-01T00:00:00"/>
    <n v="1"/>
    <n v="72"/>
    <n v="91"/>
  </r>
  <r>
    <x v="111"/>
    <d v="2022-05-01T00:00:00"/>
    <n v="1"/>
    <n v="109.02"/>
    <n v="128"/>
  </r>
  <r>
    <x v="18"/>
    <d v="2022-05-01T00:00:00"/>
    <n v="1"/>
    <n v="110.23"/>
    <n v="124"/>
  </r>
  <r>
    <x v="128"/>
    <d v="2022-05-01T00:00:00"/>
    <n v="2"/>
    <n v="4.63"/>
    <n v="8"/>
  </r>
  <r>
    <x v="17"/>
    <d v="2022-05-01T00:00:00"/>
    <n v="1"/>
    <n v="30.3"/>
    <n v="49"/>
  </r>
  <r>
    <x v="19"/>
    <d v="2022-05-01T00:00:00"/>
    <n v="1"/>
    <n v="99.48"/>
    <n v="117"/>
  </r>
  <r>
    <x v="37"/>
    <d v="2022-05-01T00:00:00"/>
    <n v="1"/>
    <n v="588.37"/>
    <n v="659"/>
  </r>
  <r>
    <x v="60"/>
    <d v="2022-05-01T00:00:00"/>
    <n v="1"/>
    <n v="176.78"/>
    <n v="225"/>
  </r>
  <r>
    <x v="15"/>
    <d v="2022-05-01T00:00:00"/>
    <n v="1"/>
    <n v="20.72"/>
    <n v="24"/>
  </r>
  <r>
    <x v="32"/>
    <d v="2022-05-01T00:00:00"/>
    <n v="1"/>
    <n v="38"/>
    <n v="48"/>
  </r>
  <r>
    <x v="49"/>
    <d v="2022-05-01T00:00:00"/>
    <n v="1"/>
    <n v="642.92999999999995"/>
    <n v="830"/>
  </r>
  <r>
    <x v="144"/>
    <d v="2022-05-01T00:00:00"/>
    <n v="1"/>
    <n v="203.47"/>
    <n v="269"/>
  </r>
  <r>
    <x v="71"/>
    <d v="2022-05-01T00:00:00"/>
    <n v="1"/>
    <n v="32.67"/>
    <n v="40"/>
  </r>
  <r>
    <x v="60"/>
    <d v="2022-05-01T00:00:00"/>
    <n v="1"/>
    <n v="176.78"/>
    <n v="225"/>
  </r>
  <r>
    <x v="85"/>
    <d v="2022-05-01T00:00:00"/>
    <n v="1"/>
    <n v="383.43"/>
    <n v="480"/>
  </r>
  <r>
    <x v="60"/>
    <d v="2022-05-01T00:00:00"/>
    <n v="1"/>
    <n v="176.77"/>
    <n v="207"/>
  </r>
  <r>
    <x v="16"/>
    <d v="2022-05-01T00:00:00"/>
    <n v="1"/>
    <n v="183.7"/>
    <n v="252"/>
  </r>
  <r>
    <x v="65"/>
    <d v="2022-05-01T00:00:00"/>
    <n v="1"/>
    <n v="184.78"/>
    <n v="222"/>
  </r>
  <r>
    <x v="47"/>
    <d v="2022-05-01T00:00:00"/>
    <n v="1"/>
    <n v="220.88"/>
    <n v="262"/>
  </r>
  <r>
    <x v="60"/>
    <d v="2022-05-01T00:00:00"/>
    <n v="1"/>
    <n v="181.12"/>
    <n v="212"/>
  </r>
  <r>
    <x v="2"/>
    <d v="2022-05-01T00:00:00"/>
    <n v="1"/>
    <n v="89.24"/>
    <n v="110"/>
  </r>
  <r>
    <x v="143"/>
    <d v="2022-05-01T00:00:00"/>
    <n v="1"/>
    <n v="37.81"/>
    <n v="58"/>
  </r>
  <r>
    <x v="19"/>
    <d v="2022-05-01T00:00:00"/>
    <n v="1"/>
    <n v="101.42"/>
    <n v="119"/>
  </r>
  <r>
    <x v="42"/>
    <d v="2022-05-01T00:00:00"/>
    <n v="1"/>
    <n v="41.58"/>
    <n v="65"/>
  </r>
  <r>
    <x v="19"/>
    <d v="2022-05-01T00:00:00"/>
    <n v="1"/>
    <n v="97.99"/>
    <n v="114"/>
  </r>
  <r>
    <x v="152"/>
    <d v="2022-05-01T00:00:00"/>
    <n v="2"/>
    <n v="12"/>
    <n v="21"/>
  </r>
  <r>
    <x v="19"/>
    <d v="2022-05-01T00:00:00"/>
    <n v="1"/>
    <n v="101.4"/>
    <n v="120"/>
  </r>
  <r>
    <x v="151"/>
    <d v="2022-05-01T00:00:00"/>
    <n v="1"/>
    <n v="251.44"/>
    <n v="347"/>
  </r>
  <r>
    <x v="60"/>
    <d v="2022-05-01T00:00:00"/>
    <n v="1"/>
    <n v="181.12"/>
    <n v="212"/>
  </r>
  <r>
    <x v="13"/>
    <d v="2022-05-01T00:00:00"/>
    <n v="1"/>
    <n v="44"/>
    <n v="69"/>
  </r>
  <r>
    <x v="26"/>
    <d v="2022-05-01T00:00:00"/>
    <n v="1"/>
    <n v="12.48"/>
    <n v="17"/>
  </r>
  <r>
    <x v="100"/>
    <d v="2022-05-01T00:00:00"/>
    <n v="6"/>
    <n v="20.04"/>
    <n v="33"/>
  </r>
  <r>
    <x v="129"/>
    <d v="2022-05-01T00:00:00"/>
    <n v="1"/>
    <n v="26.98"/>
    <n v="42"/>
  </r>
  <r>
    <x v="113"/>
    <d v="2022-05-01T00:00:00"/>
    <n v="1"/>
    <n v="10.78"/>
    <n v="13"/>
  </r>
  <r>
    <x v="113"/>
    <d v="2022-05-01T00:00:00"/>
    <n v="1"/>
    <n v="10.78"/>
    <n v="13"/>
  </r>
  <r>
    <x v="60"/>
    <d v="2022-05-01T00:00:00"/>
    <n v="1"/>
    <n v="176.77"/>
    <n v="207"/>
  </r>
  <r>
    <x v="90"/>
    <d v="2022-05-01T00:00:00"/>
    <n v="1"/>
    <n v="135.38"/>
    <n v="208"/>
  </r>
  <r>
    <x v="88"/>
    <d v="2022-05-01T00:00:00"/>
    <n v="1"/>
    <n v="67.84"/>
    <n v="99"/>
  </r>
  <r>
    <x v="14"/>
    <d v="2022-05-01T00:00:00"/>
    <n v="1"/>
    <n v="82.07"/>
    <n v="103"/>
  </r>
  <r>
    <x v="14"/>
    <d v="2022-05-01T00:00:00"/>
    <n v="1"/>
    <n v="82.07"/>
    <n v="103"/>
  </r>
  <r>
    <x v="57"/>
    <d v="2022-05-01T00:00:00"/>
    <n v="1"/>
    <n v="25.19"/>
    <n v="30"/>
  </r>
  <r>
    <x v="52"/>
    <d v="2022-05-01T00:00:00"/>
    <n v="1"/>
    <n v="232.47"/>
    <n v="272"/>
  </r>
  <r>
    <x v="138"/>
    <d v="2022-05-01T00:00:00"/>
    <n v="1"/>
    <n v="42.28"/>
    <n v="66"/>
  </r>
  <r>
    <x v="43"/>
    <d v="2022-05-01T00:00:00"/>
    <n v="1"/>
    <n v="38.67"/>
    <n v="60"/>
  </r>
  <r>
    <x v="43"/>
    <d v="2022-05-01T00:00:00"/>
    <n v="1"/>
    <n v="38.67"/>
    <n v="60"/>
  </r>
  <r>
    <x v="83"/>
    <d v="2022-05-01T00:00:00"/>
    <n v="0.1"/>
    <n v="121"/>
    <n v="186"/>
  </r>
  <r>
    <x v="42"/>
    <d v="2022-05-01T00:00:00"/>
    <n v="1"/>
    <n v="42.92"/>
    <n v="66"/>
  </r>
  <r>
    <x v="42"/>
    <d v="2022-05-01T00:00:00"/>
    <n v="1"/>
    <n v="42.92"/>
    <n v="66"/>
  </r>
  <r>
    <x v="6"/>
    <d v="2022-05-01T00:00:00"/>
    <n v="1"/>
    <n v="22"/>
    <n v="36"/>
  </r>
  <r>
    <x v="16"/>
    <d v="2022-05-01T00:00:00"/>
    <n v="1"/>
    <n v="184.02"/>
    <n v="256"/>
  </r>
  <r>
    <x v="86"/>
    <d v="2022-05-01T00:00:00"/>
    <n v="1"/>
    <n v="32.6"/>
    <n v="57"/>
  </r>
  <r>
    <x v="94"/>
    <d v="2022-05-01T00:00:00"/>
    <n v="1"/>
    <n v="64.25"/>
    <n v="79"/>
  </r>
  <r>
    <x v="17"/>
    <d v="2022-05-01T00:00:00"/>
    <n v="1"/>
    <n v="30.3"/>
    <n v="49"/>
  </r>
  <r>
    <x v="75"/>
    <d v="2022-05-01T00:00:00"/>
    <n v="1"/>
    <n v="29.7"/>
    <n v="47"/>
  </r>
  <r>
    <x v="75"/>
    <d v="2022-05-01T00:00:00"/>
    <n v="1"/>
    <n v="29.7"/>
    <n v="47"/>
  </r>
  <r>
    <x v="75"/>
    <d v="2022-05-01T00:00:00"/>
    <n v="1"/>
    <n v="29.7"/>
    <n v="47"/>
  </r>
  <r>
    <x v="42"/>
    <d v="2022-05-01T00:00:00"/>
    <n v="1"/>
    <n v="41.58"/>
    <n v="65"/>
  </r>
  <r>
    <x v="60"/>
    <d v="2022-05-01T00:00:00"/>
    <n v="1"/>
    <n v="176.77"/>
    <n v="207"/>
  </r>
  <r>
    <x v="106"/>
    <d v="2022-05-01T00:00:00"/>
    <n v="1"/>
    <n v="166.88"/>
    <n v="203"/>
  </r>
  <r>
    <x v="146"/>
    <d v="2022-05-01T00:00:00"/>
    <n v="1"/>
    <n v="26.8"/>
    <n v="32"/>
  </r>
  <r>
    <x v="18"/>
    <d v="2022-05-01T00:00:00"/>
    <n v="1"/>
    <n v="110.08"/>
    <n v="124"/>
  </r>
  <r>
    <x v="90"/>
    <d v="2022-05-01T00:00:00"/>
    <n v="1"/>
    <n v="135.38"/>
    <n v="208"/>
  </r>
  <r>
    <x v="27"/>
    <d v="2022-05-01T00:00:00"/>
    <n v="1"/>
    <n v="105"/>
    <n v="161"/>
  </r>
  <r>
    <x v="124"/>
    <d v="2022-05-01T00:00:00"/>
    <n v="0.08"/>
    <n v="539.69000000000005"/>
    <n v="597"/>
  </r>
  <r>
    <x v="83"/>
    <d v="2022-05-01T00:00:00"/>
    <n v="1"/>
    <n v="121"/>
    <n v="186"/>
  </r>
  <r>
    <x v="152"/>
    <d v="2022-05-01T00:00:00"/>
    <n v="1"/>
    <n v="12"/>
    <n v="21"/>
  </r>
  <r>
    <x v="18"/>
    <d v="2022-05-01T00:00:00"/>
    <n v="1"/>
    <n v="110.23"/>
    <n v="124"/>
  </r>
  <r>
    <x v="87"/>
    <d v="2022-05-01T00:00:00"/>
    <n v="2"/>
    <n v="15"/>
    <n v="20"/>
  </r>
  <r>
    <x v="67"/>
    <d v="2022-05-01T00:00:00"/>
    <n v="1"/>
    <n v="558.75"/>
    <n v="738"/>
  </r>
  <r>
    <x v="88"/>
    <d v="2022-05-01T00:00:00"/>
    <n v="1"/>
    <n v="66.09"/>
    <n v="98"/>
  </r>
  <r>
    <x v="141"/>
    <d v="2022-05-01T00:00:00"/>
    <n v="1"/>
    <n v="406.36"/>
    <n v="456"/>
  </r>
  <r>
    <x v="18"/>
    <d v="2022-05-01T00:00:00"/>
    <n v="1"/>
    <n v="128.47999999999999"/>
    <n v="142"/>
  </r>
  <r>
    <x v="107"/>
    <d v="2022-05-01T00:00:00"/>
    <n v="1"/>
    <n v="257.88"/>
    <n v="312"/>
  </r>
  <r>
    <x v="60"/>
    <d v="2022-05-01T00:00:00"/>
    <n v="1"/>
    <n v="176.77"/>
    <n v="207"/>
  </r>
  <r>
    <x v="117"/>
    <d v="2022-05-01T00:00:00"/>
    <n v="1"/>
    <n v="21.64"/>
    <n v="27"/>
  </r>
  <r>
    <x v="152"/>
    <d v="2022-05-01T00:00:00"/>
    <n v="2"/>
    <n v="12"/>
    <n v="20"/>
  </r>
  <r>
    <x v="151"/>
    <d v="2022-05-01T00:00:00"/>
    <n v="1"/>
    <n v="253.44"/>
    <n v="338"/>
  </r>
  <r>
    <x v="31"/>
    <d v="2022-05-01T00:00:00"/>
    <n v="1"/>
    <n v="25.27"/>
    <n v="32"/>
  </r>
  <r>
    <x v="31"/>
    <d v="2022-05-01T00:00:00"/>
    <n v="1"/>
    <n v="25.27"/>
    <n v="32"/>
  </r>
  <r>
    <x v="142"/>
    <d v="2022-05-01T00:00:00"/>
    <n v="1"/>
    <n v="136.72999999999999"/>
    <n v="191"/>
  </r>
  <r>
    <x v="16"/>
    <d v="2022-05-01T00:00:00"/>
    <n v="1"/>
    <n v="182.91"/>
    <n v="266"/>
  </r>
  <r>
    <x v="62"/>
    <d v="2022-05-01T00:00:00"/>
    <n v="1"/>
    <n v="63.59"/>
    <n v="95"/>
  </r>
  <r>
    <x v="30"/>
    <d v="2022-05-01T00:00:00"/>
    <n v="1"/>
    <n v="39.6"/>
    <n v="61"/>
  </r>
  <r>
    <x v="96"/>
    <d v="2022-05-01T00:00:00"/>
    <n v="1"/>
    <n v="28.74"/>
    <n v="45"/>
  </r>
  <r>
    <x v="61"/>
    <d v="2022-05-01T00:00:00"/>
    <n v="1"/>
    <n v="32.01"/>
    <n v="37"/>
  </r>
  <r>
    <x v="61"/>
    <d v="2022-05-01T00:00:00"/>
    <n v="1"/>
    <n v="32.01"/>
    <n v="37"/>
  </r>
  <r>
    <x v="119"/>
    <d v="2022-05-01T00:00:00"/>
    <n v="1"/>
    <n v="36.06"/>
    <n v="59"/>
  </r>
  <r>
    <x v="20"/>
    <d v="2022-05-01T00:00:00"/>
    <n v="1"/>
    <n v="148.58000000000001"/>
    <n v="179"/>
  </r>
  <r>
    <x v="15"/>
    <d v="2022-05-01T00:00:00"/>
    <n v="1"/>
    <n v="19.71"/>
    <n v="25"/>
  </r>
  <r>
    <x v="15"/>
    <d v="2022-05-01T00:00:00"/>
    <n v="1"/>
    <n v="19.71"/>
    <n v="25"/>
  </r>
  <r>
    <x v="61"/>
    <d v="2022-05-01T00:00:00"/>
    <n v="1"/>
    <n v="30.93"/>
    <n v="36"/>
  </r>
  <r>
    <x v="98"/>
    <d v="2022-05-01T00:00:00"/>
    <n v="1"/>
    <n v="24.84"/>
    <n v="38"/>
  </r>
  <r>
    <x v="37"/>
    <d v="2022-05-01T00:00:00"/>
    <n v="1"/>
    <n v="654.16999999999996"/>
    <n v="685"/>
  </r>
  <r>
    <x v="98"/>
    <d v="2022-05-01T00:00:00"/>
    <n v="1"/>
    <n v="24.84"/>
    <n v="38"/>
  </r>
  <r>
    <x v="83"/>
    <d v="2022-05-01T00:00:00"/>
    <n v="1"/>
    <n v="128.1"/>
    <n v="195"/>
  </r>
  <r>
    <x v="101"/>
    <d v="2022-05-01T00:00:00"/>
    <n v="1"/>
    <n v="40.950000000000003"/>
    <n v="51"/>
  </r>
  <r>
    <x v="42"/>
    <d v="2022-05-01T00:00:00"/>
    <n v="1"/>
    <n v="41.58"/>
    <n v="65"/>
  </r>
  <r>
    <x v="59"/>
    <d v="2022-05-01T00:00:00"/>
    <n v="1"/>
    <n v="224.24"/>
    <n v="314"/>
  </r>
  <r>
    <x v="122"/>
    <d v="2022-05-01T00:00:00"/>
    <n v="1"/>
    <n v="120.56"/>
    <n v="166"/>
  </r>
  <r>
    <x v="134"/>
    <d v="2022-05-01T00:00:00"/>
    <n v="1"/>
    <n v="35.51"/>
    <n v="58"/>
  </r>
  <r>
    <x v="111"/>
    <d v="2022-05-01T00:00:00"/>
    <n v="1"/>
    <n v="109.07"/>
    <n v="130"/>
  </r>
  <r>
    <x v="21"/>
    <d v="2022-05-01T00:00:00"/>
    <n v="0.1"/>
    <n v="1262.29"/>
    <n v="1616"/>
  </r>
  <r>
    <x v="17"/>
    <d v="2022-05-01T00:00:00"/>
    <n v="1"/>
    <n v="30.3"/>
    <n v="49"/>
  </r>
  <r>
    <x v="51"/>
    <d v="2022-05-01T00:00:00"/>
    <n v="1"/>
    <n v="43.6"/>
    <n v="68"/>
  </r>
  <r>
    <x v="108"/>
    <d v="2022-05-01T00:00:00"/>
    <n v="1"/>
    <n v="167.29"/>
    <n v="243"/>
  </r>
  <r>
    <x v="96"/>
    <d v="2022-05-01T00:00:00"/>
    <n v="1"/>
    <n v="27.84"/>
    <n v="44"/>
  </r>
  <r>
    <x v="60"/>
    <d v="2022-05-01T00:00:00"/>
    <n v="1"/>
    <n v="176.77"/>
    <n v="207"/>
  </r>
  <r>
    <x v="59"/>
    <d v="2022-05-01T00:00:00"/>
    <n v="1"/>
    <n v="201"/>
    <n v="282"/>
  </r>
  <r>
    <x v="59"/>
    <d v="2022-05-01T00:00:00"/>
    <n v="1"/>
    <n v="201"/>
    <n v="282"/>
  </r>
  <r>
    <x v="42"/>
    <d v="2022-05-01T00:00:00"/>
    <n v="1"/>
    <n v="41.58"/>
    <n v="65"/>
  </r>
  <r>
    <x v="45"/>
    <d v="2022-05-01T00:00:00"/>
    <n v="1"/>
    <n v="44.86"/>
    <n v="57"/>
  </r>
  <r>
    <x v="111"/>
    <d v="2022-05-01T00:00:00"/>
    <n v="1"/>
    <n v="109.07"/>
    <n v="130"/>
  </r>
  <r>
    <x v="126"/>
    <d v="2022-05-01T00:00:00"/>
    <n v="1"/>
    <n v="361.9"/>
    <n v="424"/>
  </r>
  <r>
    <x v="43"/>
    <d v="2022-05-01T00:00:00"/>
    <n v="1"/>
    <n v="42.23"/>
    <n v="67"/>
  </r>
  <r>
    <x v="43"/>
    <d v="2022-05-01T00:00:00"/>
    <n v="1"/>
    <n v="42.23"/>
    <n v="67"/>
  </r>
  <r>
    <x v="53"/>
    <d v="2022-05-01T00:00:00"/>
    <n v="1"/>
    <n v="82.25"/>
    <n v="99"/>
  </r>
  <r>
    <x v="53"/>
    <d v="2022-05-01T00:00:00"/>
    <n v="1"/>
    <n v="82.25"/>
    <n v="99"/>
  </r>
  <r>
    <x v="20"/>
    <d v="2022-05-01T00:00:00"/>
    <n v="1"/>
    <n v="148.58000000000001"/>
    <n v="179"/>
  </r>
  <r>
    <x v="151"/>
    <d v="2022-05-01T00:00:00"/>
    <n v="1"/>
    <n v="248.71"/>
    <n v="329"/>
  </r>
  <r>
    <x v="14"/>
    <d v="2022-05-01T00:00:00"/>
    <n v="1"/>
    <n v="80.52"/>
    <n v="103"/>
  </r>
  <r>
    <x v="108"/>
    <d v="2022-05-01T00:00:00"/>
    <n v="1"/>
    <n v="159.4"/>
    <n v="216"/>
  </r>
  <r>
    <x v="44"/>
    <d v="2022-05-01T00:00:00"/>
    <n v="3"/>
    <n v="16.309999999999999"/>
    <n v="20"/>
  </r>
  <r>
    <x v="85"/>
    <d v="2022-05-01T00:00:00"/>
    <n v="1"/>
    <n v="384.59"/>
    <n v="462"/>
  </r>
  <r>
    <x v="60"/>
    <d v="2022-05-01T00:00:00"/>
    <n v="1"/>
    <n v="176.78"/>
    <n v="225"/>
  </r>
  <r>
    <x v="85"/>
    <d v="2022-05-01T00:00:00"/>
    <n v="1"/>
    <n v="390.94"/>
    <n v="470"/>
  </r>
  <r>
    <x v="133"/>
    <d v="2022-05-01T00:00:00"/>
    <n v="2"/>
    <n v="46.5"/>
    <n v="75"/>
  </r>
  <r>
    <x v="152"/>
    <d v="2022-05-01T00:00:00"/>
    <n v="1"/>
    <n v="12"/>
    <n v="21"/>
  </r>
  <r>
    <x v="57"/>
    <d v="2022-05-01T00:00:00"/>
    <n v="1"/>
    <n v="25.71"/>
    <n v="31"/>
  </r>
  <r>
    <x v="57"/>
    <d v="2022-05-01T00:00:00"/>
    <n v="1"/>
    <n v="24.68"/>
    <n v="30"/>
  </r>
  <r>
    <x v="79"/>
    <d v="2022-05-01T00:00:00"/>
    <n v="1"/>
    <n v="175.62"/>
    <n v="220"/>
  </r>
  <r>
    <x v="86"/>
    <d v="2022-05-01T00:00:00"/>
    <n v="1"/>
    <n v="32.6"/>
    <n v="57"/>
  </r>
  <r>
    <x v="76"/>
    <d v="2022-05-01T00:00:00"/>
    <n v="1"/>
    <n v="41.22"/>
    <n v="52"/>
  </r>
  <r>
    <x v="61"/>
    <d v="2022-05-01T00:00:00"/>
    <n v="1"/>
    <n v="35.36"/>
    <n v="39"/>
  </r>
  <r>
    <x v="61"/>
    <d v="2022-05-01T00:00:00"/>
    <n v="1"/>
    <n v="35.36"/>
    <n v="39"/>
  </r>
  <r>
    <x v="61"/>
    <d v="2022-05-01T00:00:00"/>
    <n v="1"/>
    <n v="35.36"/>
    <n v="39"/>
  </r>
  <r>
    <x v="61"/>
    <d v="2022-05-01T00:00:00"/>
    <n v="1"/>
    <n v="35.36"/>
    <n v="39"/>
  </r>
  <r>
    <x v="60"/>
    <d v="2022-05-01T00:00:00"/>
    <n v="1"/>
    <n v="176.77"/>
    <n v="207"/>
  </r>
  <r>
    <x v="10"/>
    <d v="2022-05-01T00:00:00"/>
    <n v="1"/>
    <n v="44.41"/>
    <n v="72"/>
  </r>
  <r>
    <x v="60"/>
    <d v="2022-05-01T00:00:00"/>
    <n v="1"/>
    <n v="176.78"/>
    <n v="225"/>
  </r>
  <r>
    <x v="126"/>
    <d v="2022-05-01T00:00:00"/>
    <n v="1"/>
    <n v="363"/>
    <n v="436"/>
  </r>
  <r>
    <x v="152"/>
    <d v="2022-05-01T00:00:00"/>
    <n v="1"/>
    <n v="12"/>
    <n v="21"/>
  </r>
  <r>
    <x v="54"/>
    <d v="2022-05-01T00:00:00"/>
    <n v="1"/>
    <n v="11.59"/>
    <n v="19"/>
  </r>
  <r>
    <x v="95"/>
    <d v="2022-05-01T00:00:00"/>
    <n v="1"/>
    <n v="35.49"/>
    <n v="54"/>
  </r>
  <r>
    <x v="2"/>
    <d v="2022-05-01T00:00:00"/>
    <n v="1"/>
    <n v="89.24"/>
    <n v="110"/>
  </r>
  <r>
    <x v="108"/>
    <d v="2022-05-01T00:00:00"/>
    <n v="1"/>
    <n v="128.46"/>
    <n v="179"/>
  </r>
  <r>
    <x v="60"/>
    <d v="2022-05-01T00:00:00"/>
    <n v="1"/>
    <n v="176.77"/>
    <n v="207"/>
  </r>
  <r>
    <x v="25"/>
    <d v="2022-05-01T00:00:00"/>
    <n v="1"/>
    <n v="156.19999999999999"/>
    <n v="186"/>
  </r>
  <r>
    <x v="90"/>
    <d v="2022-05-01T00:00:00"/>
    <n v="0.1"/>
    <n v="128.82"/>
    <n v="196"/>
  </r>
  <r>
    <x v="61"/>
    <d v="2022-05-01T00:00:00"/>
    <n v="1"/>
    <n v="32.01"/>
    <n v="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8"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8"/>
  </r>
  <r>
    <x v="8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8"/>
  </r>
  <r>
    <x v="18"/>
  </r>
  <r>
    <x v="18"/>
  </r>
  <r>
    <x v="19"/>
  </r>
  <r>
    <x v="19"/>
  </r>
  <r>
    <x v="19"/>
  </r>
  <r>
    <x v="19"/>
  </r>
  <r>
    <x v="20"/>
  </r>
  <r>
    <x v="20"/>
  </r>
  <r>
    <x v="21"/>
  </r>
  <r>
    <x v="21"/>
  </r>
  <r>
    <x v="22"/>
  </r>
  <r>
    <x v="22"/>
  </r>
  <r>
    <x v="23"/>
  </r>
  <r>
    <x v="23"/>
  </r>
  <r>
    <x v="23"/>
  </r>
  <r>
    <x v="24"/>
  </r>
  <r>
    <x v="24"/>
  </r>
  <r>
    <x v="24"/>
  </r>
  <r>
    <x v="24"/>
  </r>
  <r>
    <x v="25"/>
  </r>
  <r>
    <x v="25"/>
  </r>
  <r>
    <x v="25"/>
  </r>
  <r>
    <x v="2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7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7"/>
  </r>
  <r>
    <x v="7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7"/>
  </r>
  <r>
    <x v="17"/>
  </r>
  <r>
    <x v="17"/>
  </r>
  <r>
    <x v="18"/>
  </r>
  <r>
    <x v="18"/>
  </r>
  <r>
    <x v="18"/>
  </r>
  <r>
    <x v="18"/>
  </r>
  <r>
    <x v="19"/>
  </r>
  <r>
    <x v="19"/>
  </r>
  <r>
    <x v="20"/>
  </r>
  <r>
    <x v="20"/>
  </r>
  <r>
    <x v="21"/>
  </r>
  <r>
    <x v="21"/>
  </r>
  <r>
    <x v="22"/>
  </r>
  <r>
    <x v="22"/>
  </r>
  <r>
    <x v="22"/>
  </r>
  <r>
    <x v="23"/>
  </r>
  <r>
    <x v="23"/>
  </r>
  <r>
    <x v="23"/>
  </r>
  <r>
    <x v="23"/>
  </r>
  <r>
    <x v="24"/>
  </r>
  <r>
    <x v="24"/>
  </r>
  <r>
    <x v="24"/>
  </r>
  <r>
    <x v="2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7"/>
  </r>
  <r>
    <x v="7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7"/>
  </r>
  <r>
    <x v="17"/>
  </r>
  <r>
    <x v="17"/>
  </r>
  <r>
    <x v="18"/>
  </r>
  <r>
    <x v="18"/>
  </r>
  <r>
    <x v="18"/>
  </r>
  <r>
    <x v="18"/>
  </r>
  <r>
    <x v="19"/>
  </r>
  <r>
    <x v="19"/>
  </r>
  <r>
    <x v="20"/>
  </r>
  <r>
    <x v="20"/>
  </r>
  <r>
    <x v="21"/>
  </r>
  <r>
    <x v="21"/>
  </r>
  <r>
    <x v="22"/>
  </r>
  <r>
    <x v="22"/>
  </r>
  <r>
    <x v="22"/>
  </r>
  <r>
    <x v="23"/>
  </r>
  <r>
    <x v="23"/>
  </r>
  <r>
    <x v="23"/>
  </r>
  <r>
    <x v="23"/>
  </r>
  <r>
    <x v="24"/>
  </r>
  <r>
    <x v="24"/>
  </r>
  <r>
    <x v="24"/>
  </r>
  <r>
    <x v="25"/>
  </r>
  <r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7AAF3-8905-42B2-8397-FA2143ED2390}" name="Сводная таблица1" cacheId="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160" firstHeaderRow="0" firstDataRow="1" firstDataCol="1"/>
  <pivotFields count="4">
    <pivotField axis="axisRow" allDrilled="1" subtotalTop="0" showAll="0" sortType="descending" defaultSubtotal="0" defaultAttributeDrillState="1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57">
    <i>
      <x v="66"/>
    </i>
    <i>
      <x v="86"/>
    </i>
    <i>
      <x v="62"/>
    </i>
    <i>
      <x v="114"/>
    </i>
    <i>
      <x v="85"/>
    </i>
    <i>
      <x v="28"/>
    </i>
    <i>
      <x v="137"/>
    </i>
    <i>
      <x v="21"/>
    </i>
    <i>
      <x v="100"/>
    </i>
    <i>
      <x v="131"/>
    </i>
    <i>
      <x v="67"/>
    </i>
    <i>
      <x v="91"/>
    </i>
    <i>
      <x v="106"/>
    </i>
    <i>
      <x v="54"/>
    </i>
    <i>
      <x v="128"/>
    </i>
    <i>
      <x v="150"/>
    </i>
    <i>
      <x v="111"/>
    </i>
    <i>
      <x v="135"/>
    </i>
    <i>
      <x v="97"/>
    </i>
    <i>
      <x v="153"/>
    </i>
    <i>
      <x v="92"/>
    </i>
    <i>
      <x v="3"/>
    </i>
    <i>
      <x v="59"/>
    </i>
    <i>
      <x v="75"/>
    </i>
    <i>
      <x v="25"/>
    </i>
    <i>
      <x v="72"/>
    </i>
    <i>
      <x v="60"/>
    </i>
    <i>
      <x v="112"/>
    </i>
    <i>
      <x v="8"/>
    </i>
    <i>
      <x v="109"/>
    </i>
    <i>
      <x v="35"/>
    </i>
    <i>
      <x v="53"/>
    </i>
    <i>
      <x v="36"/>
    </i>
    <i>
      <x v="14"/>
    </i>
    <i>
      <x v="110"/>
    </i>
    <i>
      <x v="101"/>
    </i>
    <i>
      <x v="152"/>
    </i>
    <i>
      <x v="65"/>
    </i>
    <i>
      <x v="123"/>
    </i>
    <i>
      <x v="70"/>
    </i>
    <i>
      <x v="126"/>
    </i>
    <i>
      <x v="4"/>
    </i>
    <i>
      <x v="38"/>
    </i>
    <i>
      <x v="121"/>
    </i>
    <i>
      <x v="108"/>
    </i>
    <i>
      <x v="31"/>
    </i>
    <i>
      <x v="93"/>
    </i>
    <i>
      <x v="23"/>
    </i>
    <i>
      <x v="5"/>
    </i>
    <i>
      <x v="149"/>
    </i>
    <i>
      <x v="138"/>
    </i>
    <i>
      <x v="134"/>
    </i>
    <i>
      <x v="61"/>
    </i>
    <i>
      <x v="30"/>
    </i>
    <i>
      <x v="41"/>
    </i>
    <i>
      <x v="6"/>
    </i>
    <i>
      <x v="120"/>
    </i>
    <i>
      <x v="155"/>
    </i>
    <i>
      <x v="27"/>
    </i>
    <i>
      <x v="49"/>
    </i>
    <i>
      <x v="102"/>
    </i>
    <i>
      <x v="144"/>
    </i>
    <i>
      <x v="82"/>
    </i>
    <i>
      <x v="56"/>
    </i>
    <i>
      <x v="18"/>
    </i>
    <i>
      <x v="55"/>
    </i>
    <i>
      <x v="117"/>
    </i>
    <i>
      <x v="57"/>
    </i>
    <i>
      <x v="74"/>
    </i>
    <i>
      <x v="124"/>
    </i>
    <i>
      <x v="64"/>
    </i>
    <i>
      <x v="79"/>
    </i>
    <i>
      <x v="40"/>
    </i>
    <i>
      <x v="47"/>
    </i>
    <i>
      <x v="147"/>
    </i>
    <i>
      <x v="104"/>
    </i>
    <i>
      <x v="10"/>
    </i>
    <i>
      <x v="115"/>
    </i>
    <i>
      <x v="88"/>
    </i>
    <i>
      <x v="46"/>
    </i>
    <i>
      <x v="39"/>
    </i>
    <i>
      <x v="119"/>
    </i>
    <i>
      <x v="48"/>
    </i>
    <i>
      <x v="26"/>
    </i>
    <i>
      <x v="95"/>
    </i>
    <i>
      <x v="83"/>
    </i>
    <i>
      <x v="63"/>
    </i>
    <i>
      <x v="22"/>
    </i>
    <i>
      <x v="145"/>
    </i>
    <i>
      <x v="136"/>
    </i>
    <i>
      <x v="78"/>
    </i>
    <i>
      <x v="32"/>
    </i>
    <i>
      <x v="143"/>
    </i>
    <i>
      <x v="76"/>
    </i>
    <i>
      <x v="20"/>
    </i>
    <i>
      <x v="73"/>
    </i>
    <i>
      <x v="29"/>
    </i>
    <i>
      <x v="89"/>
    </i>
    <i>
      <x v="42"/>
    </i>
    <i>
      <x v="148"/>
    </i>
    <i>
      <x v="90"/>
    </i>
    <i>
      <x v="125"/>
    </i>
    <i>
      <x v="77"/>
    </i>
    <i>
      <x v="118"/>
    </i>
    <i>
      <x v="33"/>
    </i>
    <i>
      <x v="105"/>
    </i>
    <i>
      <x v="58"/>
    </i>
    <i>
      <x v="71"/>
    </i>
    <i>
      <x v="122"/>
    </i>
    <i>
      <x v="52"/>
    </i>
    <i>
      <x v="107"/>
    </i>
    <i>
      <x v="9"/>
    </i>
    <i>
      <x v="16"/>
    </i>
    <i>
      <x v="98"/>
    </i>
    <i>
      <x v="81"/>
    </i>
    <i>
      <x v="44"/>
    </i>
    <i>
      <x v="146"/>
    </i>
    <i>
      <x v="94"/>
    </i>
    <i>
      <x v="34"/>
    </i>
    <i>
      <x v="140"/>
    </i>
    <i>
      <x v="80"/>
    </i>
    <i>
      <x v="99"/>
    </i>
    <i>
      <x v="2"/>
    </i>
    <i>
      <x v="69"/>
    </i>
    <i>
      <x v="17"/>
    </i>
    <i>
      <x v="116"/>
    </i>
    <i>
      <x v="11"/>
    </i>
    <i>
      <x v="43"/>
    </i>
    <i>
      <x v="13"/>
    </i>
    <i>
      <x/>
    </i>
    <i>
      <x v="7"/>
    </i>
    <i>
      <x v="103"/>
    </i>
    <i>
      <x v="37"/>
    </i>
    <i>
      <x v="1"/>
    </i>
    <i>
      <x v="15"/>
    </i>
    <i>
      <x v="68"/>
    </i>
    <i>
      <x v="127"/>
    </i>
    <i>
      <x v="132"/>
    </i>
    <i>
      <x v="130"/>
    </i>
    <i>
      <x v="151"/>
    </i>
    <i>
      <x v="19"/>
    </i>
    <i>
      <x v="154"/>
    </i>
    <i>
      <x v="133"/>
    </i>
    <i>
      <x v="96"/>
    </i>
    <i>
      <x v="87"/>
    </i>
    <i>
      <x v="24"/>
    </i>
    <i>
      <x v="45"/>
    </i>
    <i>
      <x v="12"/>
    </i>
    <i>
      <x v="50"/>
    </i>
    <i>
      <x v="51"/>
    </i>
    <i>
      <x v="129"/>
    </i>
    <i>
      <x v="139"/>
    </i>
    <i>
      <x v="142"/>
    </i>
    <i>
      <x v="141"/>
    </i>
    <i>
      <x v="113"/>
    </i>
    <i>
      <x v="8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столбцу dr_kol" fld="1" baseField="0" baseItem="0"/>
    <dataField name="Сумма по столбцу dr_czak" fld="2" baseField="0" baseItem="0"/>
    <dataField name="Сумма по столбцу dr_croz" fld="3" baseField="0" baseItem="0"/>
  </dataFields>
  <pivotHierarchies count="10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E$13764">
        <x15:activeTabTopLevelEntity name="[Диапазо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DB68B-1CCF-4462-9A78-5C47EADDA61B}" name="Сводная таблица3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30" firstHeaderRow="1" firstDataRow="1" firstDataCol="1"/>
  <pivotFields count="1">
    <pivotField axis="axisRow" dataField="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Количество по полю ABC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888D8-8335-43B4-B39F-4D298E086B97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5" indent="0" outline="1" outlineData="1" multipleFieldFilters="0">
  <location ref="A3:D160" firstHeaderRow="0" firstDataRow="1" firstDataCol="1"/>
  <pivotFields count="5">
    <pivotField axis="axisRow" showAll="0">
      <items count="157">
        <item x="104"/>
        <item x="106"/>
        <item x="138"/>
        <item x="80"/>
        <item x="95"/>
        <item x="86"/>
        <item x="119"/>
        <item x="96"/>
        <item x="152"/>
        <item x="41"/>
        <item x="68"/>
        <item x="11"/>
        <item x="62"/>
        <item x="12"/>
        <item x="44"/>
        <item x="154"/>
        <item x="55"/>
        <item x="149"/>
        <item x="25"/>
        <item x="74"/>
        <item x="145"/>
        <item x="34"/>
        <item x="103"/>
        <item x="33"/>
        <item x="108"/>
        <item x="13"/>
        <item x="77"/>
        <item x="32"/>
        <item x="61"/>
        <item x="79"/>
        <item x="58"/>
        <item x="50"/>
        <item x="49"/>
        <item x="92"/>
        <item x="71"/>
        <item x="54"/>
        <item x="136"/>
        <item x="84"/>
        <item x="7"/>
        <item x="126"/>
        <item x="101"/>
        <item x="100"/>
        <item x="78"/>
        <item x="10"/>
        <item x="118"/>
        <item x="135"/>
        <item x="115"/>
        <item x="122"/>
        <item x="73"/>
        <item x="98"/>
        <item x="63"/>
        <item x="66"/>
        <item x="37"/>
        <item x="52"/>
        <item x="51"/>
        <item x="134"/>
        <item x="81"/>
        <item x="67"/>
        <item x="107"/>
        <item x="0"/>
        <item x="36"/>
        <item x="116"/>
        <item x="15"/>
        <item x="125"/>
        <item x="99"/>
        <item x="23"/>
        <item x="46"/>
        <item x="128"/>
        <item x="39"/>
        <item x="123"/>
        <item x="45"/>
        <item x="109"/>
        <item x="3"/>
        <item x="22"/>
        <item x="94"/>
        <item x="129"/>
        <item x="28"/>
        <item x="131"/>
        <item x="8"/>
        <item x="141"/>
        <item x="75"/>
        <item x="91"/>
        <item x="29"/>
        <item x="151"/>
        <item x="114"/>
        <item x="26"/>
        <item x="87"/>
        <item x="21"/>
        <item x="127"/>
        <item x="65"/>
        <item x="82"/>
        <item x="20"/>
        <item x="57"/>
        <item x="110"/>
        <item x="35"/>
        <item x="72"/>
        <item x="76"/>
        <item x="117"/>
        <item x="146"/>
        <item x="147"/>
        <item x="60"/>
        <item x="113"/>
        <item x="148"/>
        <item x="64"/>
        <item x="132"/>
        <item x="24"/>
        <item x="31"/>
        <item x="59"/>
        <item x="4"/>
        <item x="155"/>
        <item x="97"/>
        <item x="14"/>
        <item x="88"/>
        <item x="124"/>
        <item x="19"/>
        <item x="130"/>
        <item x="142"/>
        <item x="16"/>
        <item x="48"/>
        <item x="6"/>
        <item x="17"/>
        <item x="133"/>
        <item x="56"/>
        <item x="93"/>
        <item x="27"/>
        <item x="83"/>
        <item x="90"/>
        <item x="120"/>
        <item x="18"/>
        <item x="1"/>
        <item x="105"/>
        <item x="2"/>
        <item x="111"/>
        <item x="102"/>
        <item x="53"/>
        <item x="43"/>
        <item x="144"/>
        <item x="40"/>
        <item x="140"/>
        <item x="9"/>
        <item x="139"/>
        <item x="150"/>
        <item x="70"/>
        <item x="137"/>
        <item x="5"/>
        <item x="112"/>
        <item x="38"/>
        <item x="47"/>
        <item x="121"/>
        <item x="89"/>
        <item x="153"/>
        <item x="69"/>
        <item x="30"/>
        <item x="42"/>
        <item x="143"/>
        <item x="85"/>
        <item t="default"/>
      </items>
    </pivotField>
    <pivotField numFmtId="14" showAll="0"/>
    <pivotField dataField="1" showAll="0"/>
    <pivotField dataField="1" showAll="0"/>
    <pivotField dataField="1" showAll="0"/>
  </pivotFields>
  <rowFields count="1">
    <field x="0"/>
  </rowFields>
  <rowItems count="1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dr_kol" fld="2" baseField="0" baseItem="0"/>
    <dataField name="Сумма по полю dr_czak" fld="3" baseField="0" baseItem="0"/>
    <dataField name="Сумма по полю dr_croz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Таблица2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D160" firstHeaderRow="0" firstDataRow="1" firstDataCol="1"/>
  <pivotFields count="5">
    <pivotField axis="axisRow" showAll="0">
      <items count="157">
        <item x="104"/>
        <item x="106"/>
        <item x="138"/>
        <item x="80"/>
        <item x="95"/>
        <item x="86"/>
        <item x="119"/>
        <item x="96"/>
        <item x="152"/>
        <item x="41"/>
        <item x="68"/>
        <item x="11"/>
        <item x="62"/>
        <item x="12"/>
        <item x="44"/>
        <item x="154"/>
        <item x="55"/>
        <item x="149"/>
        <item x="25"/>
        <item x="74"/>
        <item x="145"/>
        <item x="34"/>
        <item x="103"/>
        <item x="33"/>
        <item x="108"/>
        <item x="13"/>
        <item x="77"/>
        <item x="32"/>
        <item x="61"/>
        <item x="79"/>
        <item x="58"/>
        <item x="50"/>
        <item x="49"/>
        <item x="92"/>
        <item x="71"/>
        <item x="54"/>
        <item x="136"/>
        <item x="84"/>
        <item x="7"/>
        <item x="126"/>
        <item x="101"/>
        <item x="100"/>
        <item x="78"/>
        <item x="10"/>
        <item x="118"/>
        <item x="135"/>
        <item x="115"/>
        <item x="122"/>
        <item x="73"/>
        <item x="98"/>
        <item x="63"/>
        <item x="66"/>
        <item x="37"/>
        <item x="52"/>
        <item x="51"/>
        <item x="134"/>
        <item x="81"/>
        <item x="67"/>
        <item x="107"/>
        <item x="0"/>
        <item x="36"/>
        <item x="116"/>
        <item x="15"/>
        <item x="125"/>
        <item x="99"/>
        <item x="23"/>
        <item x="46"/>
        <item x="128"/>
        <item x="39"/>
        <item x="123"/>
        <item x="45"/>
        <item x="109"/>
        <item x="3"/>
        <item x="22"/>
        <item x="94"/>
        <item x="129"/>
        <item x="28"/>
        <item x="131"/>
        <item x="8"/>
        <item x="141"/>
        <item x="75"/>
        <item x="91"/>
        <item x="29"/>
        <item x="151"/>
        <item x="114"/>
        <item x="26"/>
        <item x="87"/>
        <item x="21"/>
        <item x="127"/>
        <item x="65"/>
        <item x="82"/>
        <item x="20"/>
        <item x="57"/>
        <item x="110"/>
        <item x="35"/>
        <item x="72"/>
        <item x="76"/>
        <item x="117"/>
        <item x="146"/>
        <item x="147"/>
        <item x="60"/>
        <item x="113"/>
        <item x="148"/>
        <item x="64"/>
        <item x="132"/>
        <item x="24"/>
        <item x="31"/>
        <item x="59"/>
        <item x="4"/>
        <item x="155"/>
        <item x="97"/>
        <item x="14"/>
        <item x="88"/>
        <item x="124"/>
        <item x="19"/>
        <item x="130"/>
        <item x="142"/>
        <item x="16"/>
        <item x="48"/>
        <item x="6"/>
        <item x="17"/>
        <item x="133"/>
        <item x="56"/>
        <item x="93"/>
        <item x="27"/>
        <item x="83"/>
        <item x="90"/>
        <item x="120"/>
        <item x="18"/>
        <item x="1"/>
        <item x="105"/>
        <item x="2"/>
        <item x="111"/>
        <item x="102"/>
        <item x="53"/>
        <item x="43"/>
        <item x="144"/>
        <item x="40"/>
        <item x="140"/>
        <item x="9"/>
        <item x="139"/>
        <item x="150"/>
        <item x="70"/>
        <item x="137"/>
        <item x="5"/>
        <item x="112"/>
        <item x="38"/>
        <item x="47"/>
        <item x="121"/>
        <item x="89"/>
        <item x="153"/>
        <item x="69"/>
        <item x="30"/>
        <item x="42"/>
        <item x="143"/>
        <item x="85"/>
        <item t="default"/>
      </items>
    </pivotField>
    <pivotField numFmtId="14" showAll="0"/>
    <pivotField dataField="1" showAll="0"/>
    <pivotField dataField="1" showAll="0"/>
    <pivotField dataField="1" showAll="0"/>
  </pivotFields>
  <rowFields count="1">
    <field x="0"/>
  </rowFields>
  <rowItems count="1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dr_kol" fld="2" baseField="0" baseItem="0"/>
    <dataField name="Сумма по полю dr_czak" fld="3" baseField="0" baseItem="0"/>
    <dataField name="Сумма по полю dr_croz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СводнаяТаблица4" cacheId="2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B30" firstHeaderRow="1" firstDataRow="1" firstDataCol="1"/>
  <pivotFields count="1">
    <pivotField axis="axisRow" dataField="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Количество по полю grou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СводнаяТаблица3" cacheId="1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B31" firstHeaderRow="1" firstDataRow="1" firstDataCol="1"/>
  <pivotFields count="1">
    <pivotField axis="axisRow" dataField="1" showAll="0">
      <items count="28">
        <item x="1"/>
        <item x="2"/>
        <item x="3"/>
        <item x="4"/>
        <item x="5"/>
        <item x="0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Количество по полю grou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19E8-DE48-42AE-972F-AE729A78E389}">
  <dimension ref="B1:T157"/>
  <sheetViews>
    <sheetView tabSelected="1" topLeftCell="C1" workbookViewId="0">
      <selection activeCell="U5" sqref="U5"/>
    </sheetView>
  </sheetViews>
  <sheetFormatPr defaultRowHeight="14.4" x14ac:dyDescent="0.3"/>
  <cols>
    <col min="2" max="2" width="60.44140625" customWidth="1"/>
    <col min="6" max="6" width="0" hidden="1" customWidth="1"/>
    <col min="7" max="7" width="11.77734375" hidden="1" customWidth="1"/>
    <col min="8" max="8" width="8.88671875" style="6"/>
    <col min="10" max="11" width="0" hidden="1" customWidth="1"/>
    <col min="13" max="13" width="0" style="6" hidden="1" customWidth="1"/>
    <col min="14" max="14" width="10.5546875" style="15" hidden="1" customWidth="1"/>
    <col min="15" max="15" width="13.6640625" hidden="1" customWidth="1"/>
    <col min="16" max="16" width="10.88671875" bestFit="1" customWidth="1"/>
  </cols>
  <sheetData>
    <row r="1" spans="2:20" x14ac:dyDescent="0.3">
      <c r="B1" s="5" t="s">
        <v>166</v>
      </c>
      <c r="C1" s="5" t="s">
        <v>167</v>
      </c>
      <c r="D1" s="5" t="s">
        <v>168</v>
      </c>
      <c r="E1" s="5" t="s">
        <v>169</v>
      </c>
      <c r="F1" s="5" t="s">
        <v>170</v>
      </c>
      <c r="G1" s="5" t="s">
        <v>171</v>
      </c>
      <c r="H1" s="12" t="s">
        <v>179</v>
      </c>
      <c r="I1" s="5" t="s">
        <v>172</v>
      </c>
      <c r="J1" s="5" t="s">
        <v>176</v>
      </c>
      <c r="K1" s="5" t="s">
        <v>177</v>
      </c>
      <c r="L1" s="5" t="s">
        <v>178</v>
      </c>
      <c r="M1" s="12" t="s">
        <v>179</v>
      </c>
      <c r="N1" s="16" t="s">
        <v>245</v>
      </c>
      <c r="O1" s="5" t="s">
        <v>246</v>
      </c>
      <c r="P1" s="5" t="s">
        <v>182</v>
      </c>
      <c r="Q1" s="5" t="s">
        <v>183</v>
      </c>
      <c r="R1" s="5" t="s">
        <v>213</v>
      </c>
      <c r="S1" s="5" t="s">
        <v>214</v>
      </c>
      <c r="T1" s="5" t="s">
        <v>249</v>
      </c>
    </row>
    <row r="2" spans="2:20" x14ac:dyDescent="0.3">
      <c r="B2" s="3" t="s">
        <v>8</v>
      </c>
      <c r="C2" s="4">
        <v>151</v>
      </c>
      <c r="D2" s="4">
        <v>5975.18</v>
      </c>
      <c r="E2" s="4">
        <v>9692</v>
      </c>
      <c r="F2" s="15">
        <v>9.6670265707445059E-3</v>
      </c>
      <c r="G2" s="7">
        <v>0.42502906890158609</v>
      </c>
      <c r="H2" s="6">
        <v>0.38349360297152285</v>
      </c>
      <c r="I2" t="s">
        <v>173</v>
      </c>
      <c r="J2" s="15">
        <v>4.8307582813162881E-3</v>
      </c>
      <c r="K2" s="8">
        <v>0.79458725098094007</v>
      </c>
      <c r="L2" t="s">
        <v>173</v>
      </c>
      <c r="M2" s="6">
        <v>0.38349360297152285</v>
      </c>
      <c r="N2" s="15">
        <v>9.7256526740278036E-3</v>
      </c>
      <c r="O2" s="8">
        <v>0.19150032952203588</v>
      </c>
      <c r="P2" t="s">
        <v>173</v>
      </c>
      <c r="Q2" t="s">
        <v>184</v>
      </c>
      <c r="R2" s="6">
        <v>0.84514712651704427</v>
      </c>
      <c r="S2" t="str">
        <f>IF(R2&lt;0.1,"X",IF(R2&lt;0.25,"Y","Z"))</f>
        <v>Z</v>
      </c>
      <c r="T2" t="str">
        <f>Q2&amp;S2</f>
        <v>AAAZ</v>
      </c>
    </row>
    <row r="3" spans="2:20" x14ac:dyDescent="0.3">
      <c r="B3" s="3" t="s">
        <v>48</v>
      </c>
      <c r="C3" s="4">
        <v>179</v>
      </c>
      <c r="D3" s="4">
        <v>7147.68</v>
      </c>
      <c r="E3" s="4">
        <v>11109</v>
      </c>
      <c r="F3" s="15">
        <v>1.1459587789160706E-2</v>
      </c>
      <c r="G3" s="7">
        <v>0.34103477180368208</v>
      </c>
      <c r="H3" s="6">
        <v>0.35658655144477447</v>
      </c>
      <c r="I3" t="s">
        <v>173</v>
      </c>
      <c r="J3" s="15">
        <v>5.5370298954955264E-3</v>
      </c>
      <c r="K3" s="8">
        <v>0.76418102687486611</v>
      </c>
      <c r="L3" t="s">
        <v>173</v>
      </c>
      <c r="M3" s="6">
        <v>0.35658655144477447</v>
      </c>
      <c r="N3" s="15">
        <v>9.0432719625801704E-3</v>
      </c>
      <c r="O3" s="8">
        <v>0.31183028378572947</v>
      </c>
      <c r="P3" t="s">
        <v>173</v>
      </c>
      <c r="Q3" t="s">
        <v>184</v>
      </c>
      <c r="R3" s="6">
        <v>0.63202543107970466</v>
      </c>
      <c r="S3" t="str">
        <f t="shared" ref="S3:S66" si="0">IF(R3&lt;0.1,"X",IF(R3&lt;0.25,"Y","Z"))</f>
        <v>Z</v>
      </c>
      <c r="T3" t="str">
        <f t="shared" ref="T3:T66" si="1">Q3&amp;S3</f>
        <v>AAAZ</v>
      </c>
    </row>
    <row r="4" spans="2:20" x14ac:dyDescent="0.3">
      <c r="B4" s="3" t="s">
        <v>47</v>
      </c>
      <c r="C4" s="4">
        <v>173</v>
      </c>
      <c r="D4" s="4">
        <v>7460.08</v>
      </c>
      <c r="E4" s="4">
        <v>11585</v>
      </c>
      <c r="F4" s="15">
        <v>1.1075467528071521E-2</v>
      </c>
      <c r="G4" s="7">
        <v>0.36350580708380148</v>
      </c>
      <c r="H4" s="6">
        <v>0.35605697022011223</v>
      </c>
      <c r="I4" t="s">
        <v>173</v>
      </c>
      <c r="J4" s="15">
        <v>5.7742813339918689E-3</v>
      </c>
      <c r="K4" s="8">
        <v>0.75292853007761096</v>
      </c>
      <c r="L4" t="s">
        <v>173</v>
      </c>
      <c r="M4" s="6">
        <v>0.35605697022011223</v>
      </c>
      <c r="N4" s="15">
        <v>9.0298414307177291E-3</v>
      </c>
      <c r="O4" s="8">
        <v>0.32086012521644719</v>
      </c>
      <c r="P4" t="s">
        <v>173</v>
      </c>
      <c r="Q4" t="s">
        <v>184</v>
      </c>
      <c r="R4" s="6">
        <v>0.61817081439201105</v>
      </c>
      <c r="S4" t="str">
        <f t="shared" si="0"/>
        <v>Z</v>
      </c>
      <c r="T4" t="str">
        <f t="shared" si="1"/>
        <v>AAAZ</v>
      </c>
    </row>
    <row r="5" spans="2:20" x14ac:dyDescent="0.3">
      <c r="B5" s="3" t="s">
        <v>18</v>
      </c>
      <c r="C5" s="4">
        <v>154</v>
      </c>
      <c r="D5" s="4">
        <v>6918.05</v>
      </c>
      <c r="E5" s="4">
        <v>10742</v>
      </c>
      <c r="F5" s="15">
        <v>9.8590867012890993E-3</v>
      </c>
      <c r="G5" s="7">
        <v>0.41536204233084156</v>
      </c>
      <c r="H5" s="6">
        <v>0.35598119530813627</v>
      </c>
      <c r="I5" t="s">
        <v>173</v>
      </c>
      <c r="J5" s="15">
        <v>5.3541070427052789E-3</v>
      </c>
      <c r="K5" s="8">
        <v>0.76953513391757133</v>
      </c>
      <c r="L5" t="s">
        <v>173</v>
      </c>
      <c r="M5" s="6">
        <v>0.35598119530813627</v>
      </c>
      <c r="N5" s="15">
        <v>9.0279197285835274E-3</v>
      </c>
      <c r="O5" s="8">
        <v>0.32988804494503071</v>
      </c>
      <c r="P5" t="s">
        <v>173</v>
      </c>
      <c r="Q5" t="s">
        <v>184</v>
      </c>
      <c r="R5" s="6">
        <v>0.61844536394814531</v>
      </c>
      <c r="S5" t="str">
        <f t="shared" si="0"/>
        <v>Z</v>
      </c>
      <c r="T5" t="str">
        <f t="shared" si="1"/>
        <v>AAAZ</v>
      </c>
    </row>
    <row r="6" spans="2:20" x14ac:dyDescent="0.3">
      <c r="B6" s="3" t="s">
        <v>32</v>
      </c>
      <c r="C6" s="4">
        <v>78.100000000000009</v>
      </c>
      <c r="D6" s="4">
        <v>10120.01</v>
      </c>
      <c r="E6" s="4">
        <v>15669.55</v>
      </c>
      <c r="F6" s="15">
        <v>4.9999653985109008E-3</v>
      </c>
      <c r="G6" s="7">
        <v>0.71809042110380639</v>
      </c>
      <c r="H6" s="6">
        <v>0.35416077679320718</v>
      </c>
      <c r="I6" t="s">
        <v>173</v>
      </c>
      <c r="J6" s="15">
        <v>7.8101329371646341E-3</v>
      </c>
      <c r="K6" s="8">
        <v>0.67375554193940534</v>
      </c>
      <c r="L6" t="s">
        <v>173</v>
      </c>
      <c r="M6" s="6">
        <v>0.35416077679320718</v>
      </c>
      <c r="N6" s="15">
        <v>8.9817527050389794E-3</v>
      </c>
      <c r="O6" s="8">
        <v>0.36588027524259448</v>
      </c>
      <c r="P6" t="s">
        <v>173</v>
      </c>
      <c r="Q6" t="s">
        <v>184</v>
      </c>
      <c r="R6" s="6">
        <v>0.7195565023841316</v>
      </c>
      <c r="S6" t="str">
        <f t="shared" si="0"/>
        <v>Z</v>
      </c>
      <c r="T6" t="str">
        <f t="shared" si="1"/>
        <v>AAAZ</v>
      </c>
    </row>
    <row r="7" spans="2:20" x14ac:dyDescent="0.3">
      <c r="B7" s="3" t="s">
        <v>95</v>
      </c>
      <c r="C7" s="4">
        <v>115.59999999999998</v>
      </c>
      <c r="D7" s="4">
        <v>17169.07</v>
      </c>
      <c r="E7" s="4">
        <v>26582</v>
      </c>
      <c r="F7" s="15">
        <v>7.4007170303183097E-3</v>
      </c>
      <c r="G7" s="7">
        <v>0.54869018496129984</v>
      </c>
      <c r="H7" s="6">
        <v>0.35410917161989319</v>
      </c>
      <c r="I7" t="s">
        <v>173</v>
      </c>
      <c r="J7" s="15">
        <v>1.3249196928802059E-2</v>
      </c>
      <c r="K7" s="8">
        <v>0.50313592073106461</v>
      </c>
      <c r="L7" t="s">
        <v>173</v>
      </c>
      <c r="M7" s="6">
        <v>0.35410917161989319</v>
      </c>
      <c r="N7" s="15">
        <v>8.9804439635425212E-3</v>
      </c>
      <c r="O7" s="8">
        <v>0.37486071920613701</v>
      </c>
      <c r="P7" t="s">
        <v>173</v>
      </c>
      <c r="Q7" t="s">
        <v>184</v>
      </c>
      <c r="R7" s="6">
        <v>0.52749727336081687</v>
      </c>
      <c r="S7" t="str">
        <f t="shared" si="0"/>
        <v>Z</v>
      </c>
      <c r="T7" t="str">
        <f t="shared" si="1"/>
        <v>AAAZ</v>
      </c>
    </row>
    <row r="8" spans="2:20" x14ac:dyDescent="0.3">
      <c r="B8" s="3" t="s">
        <v>56</v>
      </c>
      <c r="C8" s="4">
        <v>194</v>
      </c>
      <c r="D8" s="4">
        <v>8596.1</v>
      </c>
      <c r="E8" s="4">
        <v>13278</v>
      </c>
      <c r="F8" s="15">
        <v>1.2419888441883671E-2</v>
      </c>
      <c r="G8" s="7">
        <v>0.29385199973322707</v>
      </c>
      <c r="H8" s="6">
        <v>0.35260581412863379</v>
      </c>
      <c r="I8" t="s">
        <v>173</v>
      </c>
      <c r="J8" s="15">
        <v>6.6181189083076419E-3</v>
      </c>
      <c r="K8" s="8">
        <v>0.71609146617142394</v>
      </c>
      <c r="L8" t="s">
        <v>173</v>
      </c>
      <c r="M8" s="6">
        <v>0.35260581412863379</v>
      </c>
      <c r="N8" s="15">
        <v>8.9423178183041293E-3</v>
      </c>
      <c r="O8" s="8">
        <v>0.39277043798272077</v>
      </c>
      <c r="P8" t="s">
        <v>173</v>
      </c>
      <c r="Q8" t="s">
        <v>184</v>
      </c>
      <c r="R8" s="6">
        <v>0.68868480281801669</v>
      </c>
      <c r="S8" t="str">
        <f t="shared" si="0"/>
        <v>Z</v>
      </c>
      <c r="T8" t="str">
        <f t="shared" si="1"/>
        <v>AAAZ</v>
      </c>
    </row>
    <row r="9" spans="2:20" x14ac:dyDescent="0.3">
      <c r="B9" s="3" t="s">
        <v>93</v>
      </c>
      <c r="C9" s="4">
        <v>142</v>
      </c>
      <c r="D9" s="4">
        <v>10064.98</v>
      </c>
      <c r="E9" s="4">
        <v>14512</v>
      </c>
      <c r="F9" s="15">
        <v>9.0908461791107276E-3</v>
      </c>
      <c r="G9" s="7">
        <v>0.44353086147738185</v>
      </c>
      <c r="H9" s="6">
        <v>0.3064374310915105</v>
      </c>
      <c r="I9" t="s">
        <v>173</v>
      </c>
      <c r="J9" s="15">
        <v>7.2331783097876563E-3</v>
      </c>
      <c r="K9" s="8">
        <v>0.68860668450544948</v>
      </c>
      <c r="L9" t="s">
        <v>173</v>
      </c>
      <c r="M9" s="6">
        <v>0.3064374310915105</v>
      </c>
      <c r="N9" s="15">
        <v>7.771456937023977E-3</v>
      </c>
      <c r="O9" s="8">
        <v>0.49175546819742905</v>
      </c>
      <c r="P9" t="s">
        <v>173</v>
      </c>
      <c r="Q9" t="s">
        <v>184</v>
      </c>
      <c r="R9" s="6">
        <v>0.61168834844117792</v>
      </c>
      <c r="S9" t="str">
        <f t="shared" si="0"/>
        <v>Z</v>
      </c>
      <c r="T9" t="str">
        <f t="shared" si="1"/>
        <v>AAAZ</v>
      </c>
    </row>
    <row r="10" spans="2:20" x14ac:dyDescent="0.3">
      <c r="B10" s="3" t="s">
        <v>28</v>
      </c>
      <c r="C10" s="4">
        <v>118.00000009999999</v>
      </c>
      <c r="D10" s="4">
        <v>17345.099999999999</v>
      </c>
      <c r="E10" s="4">
        <v>24172</v>
      </c>
      <c r="F10" s="15">
        <v>7.5543651411559892E-3</v>
      </c>
      <c r="G10" s="7">
        <v>0.52630877774850338</v>
      </c>
      <c r="H10" s="6">
        <v>0.28243008439516804</v>
      </c>
      <c r="I10" t="s">
        <v>173</v>
      </c>
      <c r="J10" s="15">
        <v>1.2047986914566374E-2</v>
      </c>
      <c r="K10" s="8">
        <v>0.52784446182471834</v>
      </c>
      <c r="L10" t="s">
        <v>173</v>
      </c>
      <c r="M10" s="6">
        <v>0.28243008439516804</v>
      </c>
      <c r="N10" s="15">
        <v>7.1626146674674393E-3</v>
      </c>
      <c r="O10" s="8">
        <v>0.51425744734327572</v>
      </c>
      <c r="P10" t="s">
        <v>173</v>
      </c>
      <c r="Q10" t="s">
        <v>184</v>
      </c>
      <c r="R10" s="6">
        <v>0.69066763684902399</v>
      </c>
      <c r="S10" t="str">
        <f t="shared" si="0"/>
        <v>Z</v>
      </c>
      <c r="T10" t="str">
        <f t="shared" si="1"/>
        <v>AAAZ</v>
      </c>
    </row>
    <row r="11" spans="2:20" x14ac:dyDescent="0.3">
      <c r="B11" s="3" t="s">
        <v>127</v>
      </c>
      <c r="C11" s="4">
        <v>72</v>
      </c>
      <c r="D11" s="4">
        <v>8670.44</v>
      </c>
      <c r="E11" s="4">
        <v>12055</v>
      </c>
      <c r="F11" s="15">
        <v>4.609443133070228E-3</v>
      </c>
      <c r="G11" s="7">
        <v>0.73702754997550335</v>
      </c>
      <c r="H11" s="6">
        <v>0.28075985068436327</v>
      </c>
      <c r="I11" t="s">
        <v>173</v>
      </c>
      <c r="J11" s="15">
        <v>6.0085422081374174E-3</v>
      </c>
      <c r="K11" s="8">
        <v>0.74124755518872198</v>
      </c>
      <c r="L11" t="s">
        <v>173</v>
      </c>
      <c r="M11" s="6">
        <v>0.28075985068436327</v>
      </c>
      <c r="N11" s="15">
        <v>7.1202564303811588E-3</v>
      </c>
      <c r="O11" s="8">
        <v>0.52137770377365689</v>
      </c>
      <c r="P11" t="s">
        <v>173</v>
      </c>
      <c r="Q11" t="s">
        <v>184</v>
      </c>
      <c r="R11" s="6">
        <v>0.74641699800856143</v>
      </c>
      <c r="S11" t="str">
        <f t="shared" si="0"/>
        <v>Z</v>
      </c>
      <c r="T11" t="str">
        <f t="shared" si="1"/>
        <v>AAAZ</v>
      </c>
    </row>
    <row r="12" spans="2:20" x14ac:dyDescent="0.3">
      <c r="B12" s="3" t="s">
        <v>21</v>
      </c>
      <c r="C12" s="4">
        <v>81</v>
      </c>
      <c r="D12" s="4">
        <v>14922.95</v>
      </c>
      <c r="E12" s="4">
        <v>20729</v>
      </c>
      <c r="F12" s="15">
        <v>5.1856235247040071E-3</v>
      </c>
      <c r="G12" s="7">
        <v>0.70291126878643206</v>
      </c>
      <c r="H12" s="6">
        <v>0.28009310627623135</v>
      </c>
      <c r="I12" t="s">
        <v>173</v>
      </c>
      <c r="J12" s="15">
        <v>1.0331901404602283E-2</v>
      </c>
      <c r="K12" s="8">
        <v>0.59428864113680369</v>
      </c>
      <c r="L12" t="s">
        <v>173</v>
      </c>
      <c r="M12" s="6">
        <v>0.28009310627623135</v>
      </c>
      <c r="N12" s="15">
        <v>7.1033473490155364E-3</v>
      </c>
      <c r="O12" s="8">
        <v>0.53558654697626451</v>
      </c>
      <c r="P12" t="s">
        <v>173</v>
      </c>
      <c r="Q12" t="s">
        <v>184</v>
      </c>
      <c r="R12" s="6">
        <v>0.69377319744771959</v>
      </c>
      <c r="S12" t="str">
        <f t="shared" si="0"/>
        <v>Z</v>
      </c>
      <c r="T12" t="str">
        <f t="shared" si="1"/>
        <v>AAAZ</v>
      </c>
    </row>
    <row r="13" spans="2:20" x14ac:dyDescent="0.3">
      <c r="B13" s="3" t="s">
        <v>120</v>
      </c>
      <c r="C13" s="4">
        <v>69</v>
      </c>
      <c r="D13" s="4">
        <v>9379.31</v>
      </c>
      <c r="E13" s="4">
        <v>12954.92</v>
      </c>
      <c r="F13" s="15">
        <v>4.4173830025256355E-3</v>
      </c>
      <c r="G13" s="7">
        <v>0.76397998829526115</v>
      </c>
      <c r="H13" s="6">
        <v>0.27600402009429625</v>
      </c>
      <c r="I13" t="s">
        <v>173</v>
      </c>
      <c r="J13" s="15">
        <v>6.4570869865652088E-3</v>
      </c>
      <c r="K13" s="8">
        <v>0.72254855315798916</v>
      </c>
      <c r="L13" t="s">
        <v>173</v>
      </c>
      <c r="M13" s="6">
        <v>0.27600402009429625</v>
      </c>
      <c r="N13" s="15">
        <v>6.9996454054850193E-3</v>
      </c>
      <c r="O13" s="8">
        <v>0.54965908066477764</v>
      </c>
      <c r="P13" t="s">
        <v>173</v>
      </c>
      <c r="Q13" t="s">
        <v>184</v>
      </c>
      <c r="R13" s="6">
        <v>1.0418873871466634</v>
      </c>
      <c r="S13" t="str">
        <f t="shared" si="0"/>
        <v>Z</v>
      </c>
      <c r="T13" t="str">
        <f t="shared" si="1"/>
        <v>AAAZ</v>
      </c>
    </row>
    <row r="14" spans="2:20" x14ac:dyDescent="0.3">
      <c r="B14" s="3" t="s">
        <v>156</v>
      </c>
      <c r="C14" s="4">
        <v>65</v>
      </c>
      <c r="D14" s="4">
        <v>16324.06</v>
      </c>
      <c r="E14" s="4">
        <v>22398</v>
      </c>
      <c r="F14" s="15">
        <v>4.161302828466178E-3</v>
      </c>
      <c r="G14" s="7">
        <v>0.78939594557066228</v>
      </c>
      <c r="H14" s="6">
        <v>0.27118224841503707</v>
      </c>
      <c r="I14" t="s">
        <v>173</v>
      </c>
      <c r="J14" s="15">
        <v>1.1163776721514879E-2</v>
      </c>
      <c r="K14" s="8">
        <v>0.55098078349077695</v>
      </c>
      <c r="L14" t="s">
        <v>173</v>
      </c>
      <c r="M14" s="6">
        <v>0.27118224841503707</v>
      </c>
      <c r="N14" s="15">
        <v>6.8773620707368753E-3</v>
      </c>
      <c r="O14" s="8">
        <v>0.59115484203218893</v>
      </c>
      <c r="P14" t="s">
        <v>173</v>
      </c>
      <c r="Q14" t="s">
        <v>184</v>
      </c>
      <c r="R14" s="6">
        <v>1.0115401489400284</v>
      </c>
      <c r="S14" t="str">
        <f t="shared" si="0"/>
        <v>Z</v>
      </c>
      <c r="T14" t="str">
        <f t="shared" si="1"/>
        <v>AAAZ</v>
      </c>
    </row>
    <row r="15" spans="2:20" x14ac:dyDescent="0.3">
      <c r="B15" s="3" t="s">
        <v>72</v>
      </c>
      <c r="C15" s="4">
        <v>80</v>
      </c>
      <c r="D15" s="4">
        <v>44568.99</v>
      </c>
      <c r="E15" s="4">
        <v>58872</v>
      </c>
      <c r="F15" s="15">
        <v>5.121603481189143E-3</v>
      </c>
      <c r="G15" s="7">
        <v>0.70803287226762124</v>
      </c>
      <c r="H15" s="6">
        <v>0.24295097839380353</v>
      </c>
      <c r="I15" t="s">
        <v>173</v>
      </c>
      <c r="J15" s="15">
        <v>2.9343417409993033E-2</v>
      </c>
      <c r="K15" s="8">
        <v>0.15299577690445768</v>
      </c>
      <c r="L15" t="s">
        <v>173</v>
      </c>
      <c r="M15" s="6">
        <v>0.24295097839380353</v>
      </c>
      <c r="N15" s="15">
        <v>6.1613982980801528E-3</v>
      </c>
      <c r="O15" s="8">
        <v>0.62959591114475411</v>
      </c>
      <c r="P15" t="s">
        <v>174</v>
      </c>
      <c r="Q15" t="s">
        <v>185</v>
      </c>
      <c r="R15" s="6">
        <v>0.80064076902543568</v>
      </c>
      <c r="S15" t="str">
        <f t="shared" si="0"/>
        <v>Z</v>
      </c>
      <c r="T15" t="str">
        <f t="shared" si="1"/>
        <v>AABZ</v>
      </c>
    </row>
    <row r="16" spans="2:20" x14ac:dyDescent="0.3">
      <c r="B16" s="3" t="s">
        <v>20</v>
      </c>
      <c r="C16" s="4">
        <v>351</v>
      </c>
      <c r="D16" s="4">
        <v>7230.24</v>
      </c>
      <c r="E16" s="4">
        <v>9242.35</v>
      </c>
      <c r="F16" s="15">
        <v>2.2471035273717362E-2</v>
      </c>
      <c r="G16" s="7">
        <v>0.11491597810918139</v>
      </c>
      <c r="H16" s="6">
        <v>0.21770545369954616</v>
      </c>
      <c r="I16" t="s">
        <v>173</v>
      </c>
      <c r="J16" s="15">
        <v>4.6066404045938501E-3</v>
      </c>
      <c r="K16" s="8">
        <v>0.79919389138553387</v>
      </c>
      <c r="L16" t="s">
        <v>173</v>
      </c>
      <c r="M16" s="6">
        <v>0.21770545369954616</v>
      </c>
      <c r="N16" s="15">
        <v>5.5211550114974261E-3</v>
      </c>
      <c r="O16" s="8">
        <v>0.65820945227977579</v>
      </c>
      <c r="P16" t="s">
        <v>174</v>
      </c>
      <c r="Q16" t="s">
        <v>185</v>
      </c>
      <c r="R16" s="6">
        <v>0.53357721914695966</v>
      </c>
      <c r="S16" t="str">
        <f t="shared" si="0"/>
        <v>Z</v>
      </c>
      <c r="T16" t="str">
        <f t="shared" si="1"/>
        <v>AABZ</v>
      </c>
    </row>
    <row r="17" spans="2:20" x14ac:dyDescent="0.3">
      <c r="B17" s="3" t="s">
        <v>19</v>
      </c>
      <c r="C17" s="4">
        <v>180</v>
      </c>
      <c r="D17" s="4">
        <v>14766</v>
      </c>
      <c r="E17" s="4">
        <v>18583</v>
      </c>
      <c r="F17" s="15">
        <v>1.1523607832675571E-2</v>
      </c>
      <c r="G17" s="7">
        <v>0.32957518401452135</v>
      </c>
      <c r="H17" s="6">
        <v>0.20540278749394608</v>
      </c>
      <c r="I17" t="s">
        <v>173</v>
      </c>
      <c r="J17" s="15">
        <v>9.2622762218015457E-3</v>
      </c>
      <c r="K17" s="8">
        <v>0.6132403458551785</v>
      </c>
      <c r="L17" t="s">
        <v>173</v>
      </c>
      <c r="M17" s="6">
        <v>0.20540278749394608</v>
      </c>
      <c r="N17" s="15">
        <v>5.2091512191185189E-3</v>
      </c>
      <c r="O17" s="8">
        <v>0.69556196934785108</v>
      </c>
      <c r="P17" t="s">
        <v>174</v>
      </c>
      <c r="Q17" t="s">
        <v>185</v>
      </c>
      <c r="R17" s="6">
        <v>0.60597426649095931</v>
      </c>
      <c r="S17" t="str">
        <f t="shared" si="0"/>
        <v>Z</v>
      </c>
      <c r="T17" t="str">
        <f t="shared" si="1"/>
        <v>AABZ</v>
      </c>
    </row>
    <row r="18" spans="2:20" x14ac:dyDescent="0.3">
      <c r="B18" s="3" t="s">
        <v>9</v>
      </c>
      <c r="C18" s="4">
        <v>105</v>
      </c>
      <c r="D18" s="4">
        <v>8491.73</v>
      </c>
      <c r="E18" s="4">
        <v>10396</v>
      </c>
      <c r="F18" s="15">
        <v>6.7221045690607495E-3</v>
      </c>
      <c r="G18" s="7">
        <v>0.57679498406432528</v>
      </c>
      <c r="H18" s="6">
        <v>0.18317333589842252</v>
      </c>
      <c r="I18" t="s">
        <v>173</v>
      </c>
      <c r="J18" s="15">
        <v>5.1816511651428115E-3</v>
      </c>
      <c r="K18" s="8">
        <v>0.7799647270909662</v>
      </c>
      <c r="L18" t="s">
        <v>173</v>
      </c>
      <c r="M18" s="6">
        <v>0.18317333589842252</v>
      </c>
      <c r="N18" s="15">
        <v>4.6453975510599953E-3</v>
      </c>
      <c r="O18" s="8">
        <v>0.8120857923773287</v>
      </c>
      <c r="P18" t="s">
        <v>174</v>
      </c>
      <c r="Q18" t="s">
        <v>185</v>
      </c>
      <c r="R18" s="6">
        <v>1.255165500076898</v>
      </c>
      <c r="S18" t="str">
        <f t="shared" si="0"/>
        <v>Z</v>
      </c>
      <c r="T18" t="str">
        <f t="shared" si="1"/>
        <v>AABZ</v>
      </c>
    </row>
    <row r="19" spans="2:20" x14ac:dyDescent="0.3">
      <c r="B19" s="3" t="s">
        <v>90</v>
      </c>
      <c r="C19" s="4">
        <v>87</v>
      </c>
      <c r="D19" s="4">
        <v>34177.89</v>
      </c>
      <c r="E19" s="4">
        <v>41664</v>
      </c>
      <c r="F19" s="15">
        <v>5.5697437857931929E-3</v>
      </c>
      <c r="G19" s="7">
        <v>0.65470417601973929</v>
      </c>
      <c r="H19" s="6">
        <v>0.17967813940092167</v>
      </c>
      <c r="I19" t="s">
        <v>173</v>
      </c>
      <c r="J19" s="15">
        <v>2.0766478851915168E-2</v>
      </c>
      <c r="K19" s="8">
        <v>0.25078424061107835</v>
      </c>
      <c r="L19" t="s">
        <v>173</v>
      </c>
      <c r="M19" s="6">
        <v>0.17967813940092167</v>
      </c>
      <c r="N19" s="15">
        <v>4.5567570446766433E-3</v>
      </c>
      <c r="O19" s="8">
        <v>0.82583453381076533</v>
      </c>
      <c r="P19" t="s">
        <v>174</v>
      </c>
      <c r="Q19" t="s">
        <v>185</v>
      </c>
      <c r="R19" s="6">
        <v>0.81243290409852809</v>
      </c>
      <c r="S19" t="str">
        <f t="shared" si="0"/>
        <v>Z</v>
      </c>
      <c r="T19" t="str">
        <f t="shared" si="1"/>
        <v>AABZ</v>
      </c>
    </row>
    <row r="20" spans="2:20" x14ac:dyDescent="0.3">
      <c r="B20" s="3" t="s">
        <v>160</v>
      </c>
      <c r="C20" s="4">
        <v>140</v>
      </c>
      <c r="D20" s="4">
        <v>11362.24</v>
      </c>
      <c r="E20" s="4">
        <v>13839</v>
      </c>
      <c r="F20" s="15">
        <v>8.9628060920809993E-3</v>
      </c>
      <c r="G20" s="7">
        <v>0.46158451374857357</v>
      </c>
      <c r="H20" s="6">
        <v>0.17896957872678662</v>
      </c>
      <c r="I20" t="s">
        <v>173</v>
      </c>
      <c r="J20" s="15">
        <v>6.8977366751069033E-3</v>
      </c>
      <c r="K20" s="8">
        <v>0.70947334726311628</v>
      </c>
      <c r="L20" t="s">
        <v>173</v>
      </c>
      <c r="M20" s="6">
        <v>0.17896957872678662</v>
      </c>
      <c r="N20" s="15">
        <v>4.5387874750105117E-3</v>
      </c>
      <c r="O20" s="8">
        <v>0.83037332128577579</v>
      </c>
      <c r="P20" t="s">
        <v>174</v>
      </c>
      <c r="Q20" t="s">
        <v>185</v>
      </c>
      <c r="R20" s="6">
        <v>1.3786136568529013</v>
      </c>
      <c r="S20" t="str">
        <f t="shared" si="0"/>
        <v>Z</v>
      </c>
      <c r="T20" t="str">
        <f t="shared" si="1"/>
        <v>AABZ</v>
      </c>
    </row>
    <row r="21" spans="2:20" x14ac:dyDescent="0.3">
      <c r="B21" s="3" t="s">
        <v>55</v>
      </c>
      <c r="C21" s="4">
        <v>102</v>
      </c>
      <c r="D21" s="4">
        <v>8022.73</v>
      </c>
      <c r="E21" s="4">
        <v>9768.32</v>
      </c>
      <c r="F21" s="15">
        <v>6.530044438516157E-3</v>
      </c>
      <c r="G21" s="7">
        <v>0.5833250285028414</v>
      </c>
      <c r="H21" s="6">
        <v>0.17869910076655968</v>
      </c>
      <c r="I21" t="s">
        <v>173</v>
      </c>
      <c r="J21" s="15">
        <v>4.8687982598583906E-3</v>
      </c>
      <c r="K21" s="8">
        <v>0.78975649269962378</v>
      </c>
      <c r="L21" t="s">
        <v>173</v>
      </c>
      <c r="M21" s="6">
        <v>0.17869910076655968</v>
      </c>
      <c r="N21" s="15">
        <v>4.5319279741563552E-3</v>
      </c>
      <c r="O21" s="8">
        <v>0.83490524925993215</v>
      </c>
      <c r="P21" t="s">
        <v>174</v>
      </c>
      <c r="Q21" t="s">
        <v>185</v>
      </c>
      <c r="R21" s="6">
        <v>0.91840218508362648</v>
      </c>
      <c r="S21" t="str">
        <f t="shared" si="0"/>
        <v>Z</v>
      </c>
      <c r="T21" t="str">
        <f t="shared" si="1"/>
        <v>AABZ</v>
      </c>
    </row>
    <row r="22" spans="2:20" x14ac:dyDescent="0.3">
      <c r="B22" s="3" t="s">
        <v>7</v>
      </c>
      <c r="C22" s="4">
        <v>236</v>
      </c>
      <c r="D22" s="4">
        <v>20956.41</v>
      </c>
      <c r="E22" s="4">
        <v>25401</v>
      </c>
      <c r="F22" s="15">
        <v>1.5108730269507971E-2</v>
      </c>
      <c r="G22" s="7">
        <v>0.23860270217989921</v>
      </c>
      <c r="H22" s="6">
        <v>0.17497696941065313</v>
      </c>
      <c r="I22" t="s">
        <v>173</v>
      </c>
      <c r="J22" s="15">
        <v>1.2660554179087393E-2</v>
      </c>
      <c r="K22" s="8">
        <v>0.51579647491015201</v>
      </c>
      <c r="L22" t="s">
        <v>173</v>
      </c>
      <c r="M22" s="6">
        <v>0.17497696941065313</v>
      </c>
      <c r="N22" s="15">
        <v>4.437532248923506E-3</v>
      </c>
      <c r="O22" s="8">
        <v>0.84829264077512345</v>
      </c>
      <c r="P22" t="s">
        <v>174</v>
      </c>
      <c r="Q22" t="s">
        <v>185</v>
      </c>
      <c r="R22" s="6">
        <v>0.7480113072276332</v>
      </c>
      <c r="S22" t="str">
        <f t="shared" si="0"/>
        <v>Z</v>
      </c>
      <c r="T22" t="str">
        <f t="shared" si="1"/>
        <v>AABZ</v>
      </c>
    </row>
    <row r="23" spans="2:20" x14ac:dyDescent="0.3">
      <c r="B23" s="3" t="s">
        <v>98</v>
      </c>
      <c r="C23" s="4">
        <v>118</v>
      </c>
      <c r="D23" s="4">
        <v>13213.87</v>
      </c>
      <c r="E23" s="4">
        <v>15939</v>
      </c>
      <c r="F23" s="15">
        <v>7.5543651347539853E-3</v>
      </c>
      <c r="G23" s="7">
        <v>0.53386314288325731</v>
      </c>
      <c r="H23" s="6">
        <v>0.17097245749419657</v>
      </c>
      <c r="I23" t="s">
        <v>173</v>
      </c>
      <c r="J23" s="15">
        <v>7.9444341978848858E-3</v>
      </c>
      <c r="K23" s="8">
        <v>0.66594540900224075</v>
      </c>
      <c r="L23" t="s">
        <v>173</v>
      </c>
      <c r="M23" s="6">
        <v>0.17097245749419657</v>
      </c>
      <c r="N23" s="15">
        <v>4.3359751649808204E-3</v>
      </c>
      <c r="O23" s="8">
        <v>0.86138411924848335</v>
      </c>
      <c r="P23" t="s">
        <v>174</v>
      </c>
      <c r="Q23" t="s">
        <v>185</v>
      </c>
      <c r="R23" s="6">
        <v>0.8817904187627873</v>
      </c>
      <c r="S23" t="str">
        <f t="shared" si="0"/>
        <v>Z</v>
      </c>
      <c r="T23" t="str">
        <f t="shared" si="1"/>
        <v>AABZ</v>
      </c>
    </row>
    <row r="24" spans="2:20" x14ac:dyDescent="0.3">
      <c r="B24" s="3" t="s">
        <v>52</v>
      </c>
      <c r="C24" s="4">
        <v>72</v>
      </c>
      <c r="D24" s="4">
        <v>14937.05</v>
      </c>
      <c r="E24" s="4">
        <v>17955.86</v>
      </c>
      <c r="F24" s="15">
        <v>4.609443133070228E-3</v>
      </c>
      <c r="G24" s="7">
        <v>0.74163699310857356</v>
      </c>
      <c r="H24" s="6">
        <v>0.16812394393807933</v>
      </c>
      <c r="I24" t="s">
        <v>173</v>
      </c>
      <c r="J24" s="15">
        <v>8.9496924673086956E-3</v>
      </c>
      <c r="K24" s="8">
        <v>0.64047504157731772</v>
      </c>
      <c r="L24" t="s">
        <v>173</v>
      </c>
      <c r="M24" s="6">
        <v>0.16812394393807933</v>
      </c>
      <c r="N24" s="15">
        <v>4.2637349678317869E-3</v>
      </c>
      <c r="O24" s="8">
        <v>0.87426397505568776</v>
      </c>
      <c r="P24" t="s">
        <v>174</v>
      </c>
      <c r="Q24" t="s">
        <v>185</v>
      </c>
      <c r="R24" s="6">
        <v>0.72490188833039337</v>
      </c>
      <c r="S24" t="str">
        <f t="shared" si="0"/>
        <v>Z</v>
      </c>
      <c r="T24" t="str">
        <f t="shared" si="1"/>
        <v>AABZ</v>
      </c>
    </row>
    <row r="25" spans="2:20" x14ac:dyDescent="0.3">
      <c r="B25" s="3" t="s">
        <v>25</v>
      </c>
      <c r="C25" s="4">
        <v>225</v>
      </c>
      <c r="D25" s="4">
        <v>33284.620000000003</v>
      </c>
      <c r="E25" s="4">
        <v>39989.769999999997</v>
      </c>
      <c r="F25" s="15">
        <v>1.4404509790844464E-2</v>
      </c>
      <c r="G25" s="7">
        <v>0.26753976184861783</v>
      </c>
      <c r="H25" s="6">
        <v>0.16767163201988897</v>
      </c>
      <c r="I25" t="s">
        <v>173</v>
      </c>
      <c r="J25" s="15">
        <v>1.993199675974346E-2</v>
      </c>
      <c r="K25" s="8">
        <v>0.31079578080016612</v>
      </c>
      <c r="L25" t="s">
        <v>173</v>
      </c>
      <c r="M25" s="6">
        <v>0.16767163201988897</v>
      </c>
      <c r="N25" s="15">
        <v>4.2522640369412664E-3</v>
      </c>
      <c r="O25" s="8">
        <v>0.8870353359867994</v>
      </c>
      <c r="P25" t="s">
        <v>174</v>
      </c>
      <c r="Q25" t="s">
        <v>185</v>
      </c>
      <c r="R25" s="6">
        <v>0.51664292443074822</v>
      </c>
      <c r="S25" t="str">
        <f t="shared" si="0"/>
        <v>Z</v>
      </c>
      <c r="T25" t="str">
        <f t="shared" si="1"/>
        <v>AABZ</v>
      </c>
    </row>
    <row r="26" spans="2:20" x14ac:dyDescent="0.3">
      <c r="B26" s="3" t="s">
        <v>30</v>
      </c>
      <c r="C26" s="4">
        <v>82</v>
      </c>
      <c r="D26" s="4">
        <v>12809.3</v>
      </c>
      <c r="E26" s="4">
        <v>15284</v>
      </c>
      <c r="F26" s="15">
        <v>5.2496435682188713E-3</v>
      </c>
      <c r="G26" s="7">
        <v>0.69254002173702411</v>
      </c>
      <c r="H26" s="6">
        <v>0.16191442030881972</v>
      </c>
      <c r="I26" t="s">
        <v>173</v>
      </c>
      <c r="J26" s="15">
        <v>7.6179642562565148E-3</v>
      </c>
      <c r="K26" s="8">
        <v>0.68137350619566184</v>
      </c>
      <c r="L26" t="s">
        <v>173</v>
      </c>
      <c r="M26" s="6">
        <v>0.16191442030881972</v>
      </c>
      <c r="N26" s="15">
        <v>4.1062573212129142E-3</v>
      </c>
      <c r="O26" s="8">
        <v>0.91639189627771833</v>
      </c>
      <c r="P26" t="s">
        <v>175</v>
      </c>
      <c r="Q26" t="s">
        <v>186</v>
      </c>
      <c r="R26" s="6">
        <v>0.71547558076452034</v>
      </c>
      <c r="S26" t="str">
        <f t="shared" si="0"/>
        <v>Z</v>
      </c>
      <c r="T26" t="str">
        <f t="shared" si="1"/>
        <v>AACZ</v>
      </c>
    </row>
    <row r="27" spans="2:20" x14ac:dyDescent="0.3">
      <c r="B27" s="3" t="s">
        <v>65</v>
      </c>
      <c r="C27" s="4">
        <v>261</v>
      </c>
      <c r="D27" s="4">
        <v>47685.42</v>
      </c>
      <c r="E27" s="4">
        <v>56782</v>
      </c>
      <c r="F27" s="15">
        <v>1.6709231357379579E-2</v>
      </c>
      <c r="G27" s="7">
        <v>0.22349397191039125</v>
      </c>
      <c r="H27" s="6">
        <v>0.16020182452185555</v>
      </c>
      <c r="I27" t="s">
        <v>173</v>
      </c>
      <c r="J27" s="15">
        <v>2.8301704161133041E-2</v>
      </c>
      <c r="K27" s="8">
        <v>0.18129748106559071</v>
      </c>
      <c r="L27" t="s">
        <v>173</v>
      </c>
      <c r="M27" s="6">
        <v>0.16020182452185555</v>
      </c>
      <c r="N27" s="15">
        <v>4.0628247537177701E-3</v>
      </c>
      <c r="O27" s="8">
        <v>0.92452041097952375</v>
      </c>
      <c r="P27" t="s">
        <v>175</v>
      </c>
      <c r="Q27" t="s">
        <v>186</v>
      </c>
      <c r="R27" s="6">
        <v>0.72798486030598686</v>
      </c>
      <c r="S27" t="str">
        <f t="shared" si="0"/>
        <v>Z</v>
      </c>
      <c r="T27" t="str">
        <f t="shared" si="1"/>
        <v>AACZ</v>
      </c>
    </row>
    <row r="28" spans="2:20" x14ac:dyDescent="0.3">
      <c r="B28" s="3" t="s">
        <v>24</v>
      </c>
      <c r="C28" s="4">
        <v>319</v>
      </c>
      <c r="D28" s="4">
        <v>31551.9</v>
      </c>
      <c r="E28" s="4">
        <v>37411.68</v>
      </c>
      <c r="F28" s="15">
        <v>2.0422393881241705E-2</v>
      </c>
      <c r="G28" s="7">
        <v>0.13533837199042309</v>
      </c>
      <c r="H28" s="6">
        <v>0.1566296942559115</v>
      </c>
      <c r="I28" t="s">
        <v>173</v>
      </c>
      <c r="J28" s="15">
        <v>1.8647006085220279E-2</v>
      </c>
      <c r="K28" s="8">
        <v>0.32944278688538642</v>
      </c>
      <c r="L28" t="s">
        <v>173</v>
      </c>
      <c r="M28" s="6">
        <v>0.1566296942559115</v>
      </c>
      <c r="N28" s="15">
        <v>3.9722331558299318E-3</v>
      </c>
      <c r="O28" s="8">
        <v>0.93656301667777275</v>
      </c>
      <c r="P28" t="s">
        <v>175</v>
      </c>
      <c r="Q28" t="s">
        <v>186</v>
      </c>
      <c r="R28" s="6">
        <v>0.52779852480567169</v>
      </c>
      <c r="S28" t="str">
        <f t="shared" si="0"/>
        <v>Z</v>
      </c>
      <c r="T28" t="str">
        <f t="shared" si="1"/>
        <v>AACZ</v>
      </c>
    </row>
    <row r="29" spans="2:20" x14ac:dyDescent="0.3">
      <c r="B29" s="3" t="s">
        <v>5</v>
      </c>
      <c r="C29" s="4">
        <v>164</v>
      </c>
      <c r="D29" s="4">
        <v>22707.25</v>
      </c>
      <c r="E29" s="4">
        <v>26881</v>
      </c>
      <c r="F29" s="15">
        <v>1.0499287136437743E-2</v>
      </c>
      <c r="G29" s="7">
        <v>0.39538778875420388</v>
      </c>
      <c r="H29" s="6">
        <v>0.15526766117331944</v>
      </c>
      <c r="I29" t="s">
        <v>173</v>
      </c>
      <c r="J29" s="15">
        <v>1.3398226718949972E-2</v>
      </c>
      <c r="K29" s="8">
        <v>0.48988672380226256</v>
      </c>
      <c r="L29" t="s">
        <v>173</v>
      </c>
      <c r="M29" s="6">
        <v>0.15526766117331944</v>
      </c>
      <c r="N29" s="15">
        <v>3.93769109153164E-3</v>
      </c>
      <c r="O29" s="8">
        <v>0.94050070776930439</v>
      </c>
      <c r="P29" t="s">
        <v>175</v>
      </c>
      <c r="Q29" t="s">
        <v>186</v>
      </c>
      <c r="R29" s="6">
        <v>0.61206566979575661</v>
      </c>
      <c r="S29" t="str">
        <f t="shared" si="0"/>
        <v>Z</v>
      </c>
      <c r="T29" t="str">
        <f t="shared" si="1"/>
        <v>AACZ</v>
      </c>
    </row>
    <row r="30" spans="2:20" x14ac:dyDescent="0.3">
      <c r="B30" s="3" t="s">
        <v>131</v>
      </c>
      <c r="C30" s="4">
        <v>68</v>
      </c>
      <c r="D30" s="4">
        <v>24475.96</v>
      </c>
      <c r="E30" s="4">
        <v>28869</v>
      </c>
      <c r="F30" s="15">
        <v>4.3533629590107713E-3</v>
      </c>
      <c r="G30" s="7">
        <v>0.76833335125427193</v>
      </c>
      <c r="H30" s="6">
        <v>0.15217153347881815</v>
      </c>
      <c r="I30" t="s">
        <v>173</v>
      </c>
      <c r="J30" s="15">
        <v>1.4389100373846463E-2</v>
      </c>
      <c r="K30" s="8">
        <v>0.47648849708331259</v>
      </c>
      <c r="L30" t="s">
        <v>173</v>
      </c>
      <c r="M30" s="6">
        <v>0.15217153347881815</v>
      </c>
      <c r="N30" s="15">
        <v>3.8591712352476384E-3</v>
      </c>
      <c r="O30" s="8">
        <v>0.95602466922236817</v>
      </c>
      <c r="P30" t="s">
        <v>175</v>
      </c>
      <c r="Q30" t="s">
        <v>186</v>
      </c>
      <c r="R30" s="6">
        <v>0.86534641424373282</v>
      </c>
      <c r="S30" t="str">
        <f t="shared" si="0"/>
        <v>Z</v>
      </c>
      <c r="T30" t="str">
        <f t="shared" si="1"/>
        <v>AACZ</v>
      </c>
    </row>
    <row r="31" spans="2:20" x14ac:dyDescent="0.3">
      <c r="B31" s="3" t="s">
        <v>66</v>
      </c>
      <c r="C31" s="4">
        <v>276</v>
      </c>
      <c r="D31" s="4">
        <v>8445.27</v>
      </c>
      <c r="E31" s="4">
        <v>9877</v>
      </c>
      <c r="F31" s="15">
        <v>1.7669532010102542E-2</v>
      </c>
      <c r="G31" s="7">
        <v>0.17195783688092547</v>
      </c>
      <c r="H31" s="6">
        <v>0.1449559582869292</v>
      </c>
      <c r="I31" t="s">
        <v>173</v>
      </c>
      <c r="J31" s="15">
        <v>4.9229673487991097E-3</v>
      </c>
      <c r="K31" s="8">
        <v>0.78488769443976536</v>
      </c>
      <c r="L31" t="s">
        <v>173</v>
      </c>
      <c r="M31" s="6">
        <v>0.1449559582869292</v>
      </c>
      <c r="N31" s="15">
        <v>3.6761794522925145E-3</v>
      </c>
      <c r="O31" s="8">
        <v>0.97102669564448651</v>
      </c>
      <c r="P31" t="s">
        <v>175</v>
      </c>
      <c r="Q31" t="s">
        <v>186</v>
      </c>
      <c r="R31" s="6">
        <v>0.80712257546479482</v>
      </c>
      <c r="S31" t="str">
        <f t="shared" si="0"/>
        <v>Z</v>
      </c>
      <c r="T31" t="str">
        <f t="shared" si="1"/>
        <v>AACZ</v>
      </c>
    </row>
    <row r="32" spans="2:20" x14ac:dyDescent="0.3">
      <c r="B32" s="3" t="s">
        <v>57</v>
      </c>
      <c r="C32" s="4">
        <v>131</v>
      </c>
      <c r="D32" s="4">
        <v>31086.720000000001</v>
      </c>
      <c r="E32" s="4">
        <v>36183.32</v>
      </c>
      <c r="F32" s="15">
        <v>8.386625700447221E-3</v>
      </c>
      <c r="G32" s="7">
        <v>0.47867786536704232</v>
      </c>
      <c r="H32" s="6">
        <v>0.14085495747764434</v>
      </c>
      <c r="I32" t="s">
        <v>173</v>
      </c>
      <c r="J32" s="15">
        <v>1.8034757814230008E-2</v>
      </c>
      <c r="K32" s="8">
        <v>0.34747754469961645</v>
      </c>
      <c r="L32" t="s">
        <v>173</v>
      </c>
      <c r="M32" s="6">
        <v>0.14085495747764434</v>
      </c>
      <c r="N32" s="15">
        <v>3.5721753458929266E-3</v>
      </c>
      <c r="O32" s="8">
        <v>0.98189106694046024</v>
      </c>
      <c r="P32" t="s">
        <v>175</v>
      </c>
      <c r="Q32" t="s">
        <v>186</v>
      </c>
      <c r="R32" s="6">
        <v>0.68097202718559635</v>
      </c>
      <c r="S32" t="str">
        <f t="shared" si="0"/>
        <v>Z</v>
      </c>
      <c r="T32" t="str">
        <f t="shared" si="1"/>
        <v>AACZ</v>
      </c>
    </row>
    <row r="33" spans="2:20" x14ac:dyDescent="0.3">
      <c r="B33" s="3" t="s">
        <v>34</v>
      </c>
      <c r="C33" s="4">
        <v>83</v>
      </c>
      <c r="D33" s="4">
        <v>16796.88</v>
      </c>
      <c r="E33" s="4">
        <v>19440</v>
      </c>
      <c r="F33" s="15">
        <v>5.3136636117337354E-3</v>
      </c>
      <c r="G33" s="7">
        <v>0.68197671455707154</v>
      </c>
      <c r="H33" s="6">
        <v>0.13596296296296292</v>
      </c>
      <c r="I33" t="s">
        <v>173</v>
      </c>
      <c r="J33" s="15">
        <v>9.6894284965733223E-3</v>
      </c>
      <c r="K33" s="8">
        <v>0.60397806963337697</v>
      </c>
      <c r="L33" t="s">
        <v>173</v>
      </c>
      <c r="M33" s="6">
        <v>0.13596296296296292</v>
      </c>
      <c r="N33" s="15">
        <v>3.4481111133623683E-3</v>
      </c>
      <c r="O33" s="8">
        <v>0.98887092238656382</v>
      </c>
      <c r="P33" t="s">
        <v>175</v>
      </c>
      <c r="Q33" t="s">
        <v>186</v>
      </c>
      <c r="R33" s="6">
        <v>0.71886428386391787</v>
      </c>
      <c r="S33" t="str">
        <f t="shared" si="0"/>
        <v>Z</v>
      </c>
      <c r="T33" t="str">
        <f t="shared" si="1"/>
        <v>AACZ</v>
      </c>
    </row>
    <row r="34" spans="2:20" x14ac:dyDescent="0.3">
      <c r="B34" s="3" t="s">
        <v>146</v>
      </c>
      <c r="C34" s="4">
        <v>73</v>
      </c>
      <c r="D34" s="4">
        <v>29788.92</v>
      </c>
      <c r="E34" s="4">
        <v>33553</v>
      </c>
      <c r="F34" s="15">
        <v>4.673463176585093E-3</v>
      </c>
      <c r="G34" s="7">
        <v>0.72775744767455097</v>
      </c>
      <c r="H34" s="6">
        <v>0.11218311328346203</v>
      </c>
      <c r="I34" t="s">
        <v>173</v>
      </c>
      <c r="J34" s="15">
        <v>1.6723734277033161E-2</v>
      </c>
      <c r="K34" s="8">
        <v>0.41663285002955774</v>
      </c>
      <c r="L34" t="s">
        <v>173</v>
      </c>
      <c r="M34" s="6">
        <v>0.11218311328346203</v>
      </c>
      <c r="N34" s="15">
        <v>2.8450383193669208E-3</v>
      </c>
      <c r="O34" s="8">
        <v>0.99492908299690408</v>
      </c>
      <c r="P34" t="s">
        <v>175</v>
      </c>
      <c r="Q34" t="s">
        <v>186</v>
      </c>
      <c r="R34" s="6">
        <v>0.84966624281805725</v>
      </c>
      <c r="S34" t="str">
        <f t="shared" si="0"/>
        <v>Z</v>
      </c>
      <c r="T34" t="str">
        <f t="shared" si="1"/>
        <v>AACZ</v>
      </c>
    </row>
    <row r="35" spans="2:20" x14ac:dyDescent="0.3">
      <c r="B35" s="3" t="s">
        <v>23</v>
      </c>
      <c r="C35" s="4">
        <v>191</v>
      </c>
      <c r="D35" s="4">
        <v>21445.24</v>
      </c>
      <c r="E35" s="4">
        <v>24020.639999999999</v>
      </c>
      <c r="F35" s="15">
        <v>1.2227828311339077E-2</v>
      </c>
      <c r="G35" s="7">
        <v>0.30607982804456613</v>
      </c>
      <c r="H35" s="6">
        <v>0.10721612746371445</v>
      </c>
      <c r="I35" t="s">
        <v>173</v>
      </c>
      <c r="J35" s="15">
        <v>1.1972544944543672E-2</v>
      </c>
      <c r="K35" s="8">
        <v>0.53981700676926203</v>
      </c>
      <c r="L35" t="s">
        <v>173</v>
      </c>
      <c r="M35" s="6">
        <v>0.10721612746371445</v>
      </c>
      <c r="N35" s="15">
        <v>2.719072257494245E-3</v>
      </c>
      <c r="O35" s="8">
        <v>0.99764815525439832</v>
      </c>
      <c r="P35" t="s">
        <v>175</v>
      </c>
      <c r="Q35" t="s">
        <v>186</v>
      </c>
      <c r="R35" s="6">
        <v>0.48709067830751113</v>
      </c>
      <c r="S35" t="str">
        <f t="shared" si="0"/>
        <v>Z</v>
      </c>
      <c r="T35" t="str">
        <f t="shared" si="1"/>
        <v>AACZ</v>
      </c>
    </row>
    <row r="36" spans="2:20" x14ac:dyDescent="0.3">
      <c r="B36" s="3" t="s">
        <v>91</v>
      </c>
      <c r="C36" s="4">
        <v>97.95</v>
      </c>
      <c r="D36" s="4">
        <v>3180.74</v>
      </c>
      <c r="E36" s="4">
        <v>5289</v>
      </c>
      <c r="F36" s="15">
        <v>6.2707632622809569E-3</v>
      </c>
      <c r="G36" s="7">
        <v>0.60246382051161007</v>
      </c>
      <c r="H36" s="6">
        <v>0.39861221402911706</v>
      </c>
      <c r="I36" t="s">
        <v>173</v>
      </c>
      <c r="J36" s="15">
        <v>2.6361824752251183E-3</v>
      </c>
      <c r="K36" s="8">
        <v>0.91056594197384089</v>
      </c>
      <c r="L36" t="s">
        <v>174</v>
      </c>
      <c r="M36" s="6">
        <v>0.39861221402911706</v>
      </c>
      <c r="N36" s="15">
        <v>1.0109070699571234E-2</v>
      </c>
      <c r="O36" s="8">
        <v>7.2990068958613125E-2</v>
      </c>
      <c r="P36" t="s">
        <v>173</v>
      </c>
      <c r="Q36" t="s">
        <v>187</v>
      </c>
      <c r="R36" s="6">
        <v>0.61948996559736946</v>
      </c>
      <c r="S36" t="str">
        <f t="shared" si="0"/>
        <v>Z</v>
      </c>
      <c r="T36" t="str">
        <f t="shared" si="1"/>
        <v>ABAZ</v>
      </c>
    </row>
    <row r="37" spans="2:20" x14ac:dyDescent="0.3">
      <c r="B37" s="3" t="s">
        <v>138</v>
      </c>
      <c r="C37" s="4">
        <v>108</v>
      </c>
      <c r="D37" s="4">
        <v>3423.6</v>
      </c>
      <c r="E37" s="4">
        <v>5580</v>
      </c>
      <c r="F37" s="15">
        <v>6.9141646996053428E-3</v>
      </c>
      <c r="G37" s="7">
        <v>0.57007287949526453</v>
      </c>
      <c r="H37" s="6">
        <v>0.38645161290322583</v>
      </c>
      <c r="I37" t="s">
        <v>173</v>
      </c>
      <c r="J37" s="15">
        <v>2.7812248462386387E-3</v>
      </c>
      <c r="K37" s="8">
        <v>0.89718914763273827</v>
      </c>
      <c r="L37" t="s">
        <v>174</v>
      </c>
      <c r="M37" s="6">
        <v>0.38645161290322583</v>
      </c>
      <c r="N37" s="15">
        <v>9.8006697720423551E-3</v>
      </c>
      <c r="O37" s="8">
        <v>0.16229744477241062</v>
      </c>
      <c r="P37" t="s">
        <v>173</v>
      </c>
      <c r="Q37" t="s">
        <v>187</v>
      </c>
      <c r="R37" s="6">
        <v>1.1006151934015795</v>
      </c>
      <c r="S37" t="str">
        <f t="shared" si="0"/>
        <v>Z</v>
      </c>
      <c r="T37" t="str">
        <f t="shared" si="1"/>
        <v>ABAZ</v>
      </c>
    </row>
    <row r="38" spans="2:20" x14ac:dyDescent="0.3">
      <c r="B38" s="3" t="s">
        <v>45</v>
      </c>
      <c r="C38" s="4">
        <v>273</v>
      </c>
      <c r="D38" s="4">
        <v>4185.18</v>
      </c>
      <c r="E38" s="4">
        <v>6797</v>
      </c>
      <c r="F38" s="15">
        <v>1.7477471879557949E-2</v>
      </c>
      <c r="G38" s="7">
        <v>0.18943530876048342</v>
      </c>
      <c r="H38" s="6">
        <v>0.38426070325143441</v>
      </c>
      <c r="I38" t="s">
        <v>173</v>
      </c>
      <c r="J38" s="15">
        <v>3.3878109820580692E-3</v>
      </c>
      <c r="K38" s="8">
        <v>0.86296345947048647</v>
      </c>
      <c r="L38" t="s">
        <v>174</v>
      </c>
      <c r="M38" s="6">
        <v>0.38426070325143441</v>
      </c>
      <c r="N38" s="15">
        <v>9.7451068470068604E-3</v>
      </c>
      <c r="O38" s="8">
        <v>0.17204255161941748</v>
      </c>
      <c r="P38" t="s">
        <v>173</v>
      </c>
      <c r="Q38" t="s">
        <v>187</v>
      </c>
      <c r="R38" s="6">
        <v>0.76666372511116743</v>
      </c>
      <c r="S38" t="str">
        <f t="shared" si="0"/>
        <v>Z</v>
      </c>
      <c r="T38" t="str">
        <f t="shared" si="1"/>
        <v>ABAZ</v>
      </c>
    </row>
    <row r="39" spans="2:20" x14ac:dyDescent="0.3">
      <c r="B39" s="3" t="s">
        <v>124</v>
      </c>
      <c r="C39" s="4">
        <v>88</v>
      </c>
      <c r="D39" s="4">
        <v>3272.91</v>
      </c>
      <c r="E39" s="4">
        <v>5311</v>
      </c>
      <c r="F39" s="15">
        <v>5.6337638293080571E-3</v>
      </c>
      <c r="G39" s="7">
        <v>0.64350066840463804</v>
      </c>
      <c r="H39" s="6">
        <v>0.38374882319713804</v>
      </c>
      <c r="I39" t="s">
        <v>173</v>
      </c>
      <c r="J39" s="15">
        <v>2.647147877844697E-3</v>
      </c>
      <c r="K39" s="8">
        <v>0.90528560218512188</v>
      </c>
      <c r="L39" t="s">
        <v>174</v>
      </c>
      <c r="M39" s="6">
        <v>0.38374882319713804</v>
      </c>
      <c r="N39" s="15">
        <v>9.7321252285906112E-3</v>
      </c>
      <c r="O39" s="8">
        <v>0.18177467684800808</v>
      </c>
      <c r="P39" t="s">
        <v>173</v>
      </c>
      <c r="Q39" t="s">
        <v>187</v>
      </c>
      <c r="R39" s="6">
        <v>0.82475988144856061</v>
      </c>
      <c r="S39" t="str">
        <f t="shared" si="0"/>
        <v>Z</v>
      </c>
      <c r="T39" t="str">
        <f t="shared" si="1"/>
        <v>ABAZ</v>
      </c>
    </row>
    <row r="40" spans="2:20" x14ac:dyDescent="0.3">
      <c r="B40" s="3" t="s">
        <v>22</v>
      </c>
      <c r="C40" s="4">
        <v>88</v>
      </c>
      <c r="D40" s="4">
        <v>2484.6</v>
      </c>
      <c r="E40" s="4">
        <v>4026</v>
      </c>
      <c r="F40" s="15">
        <v>5.6337638293080571E-3</v>
      </c>
      <c r="G40" s="7">
        <v>0.64913443223394607</v>
      </c>
      <c r="H40" s="6">
        <v>0.3828614008941878</v>
      </c>
      <c r="I40" t="s">
        <v>173</v>
      </c>
      <c r="J40" s="15">
        <v>2.0066686793829315E-3</v>
      </c>
      <c r="K40" s="8">
        <v>0.94698920647508233</v>
      </c>
      <c r="L40" t="s">
        <v>174</v>
      </c>
      <c r="M40" s="6">
        <v>0.3828614008941878</v>
      </c>
      <c r="N40" s="15">
        <v>9.7096196091309792E-3</v>
      </c>
      <c r="O40" s="8">
        <v>0.20120994913116685</v>
      </c>
      <c r="P40" t="s">
        <v>173</v>
      </c>
      <c r="Q40" t="s">
        <v>187</v>
      </c>
      <c r="R40" s="6">
        <v>1.0043347456976455</v>
      </c>
      <c r="S40" t="str">
        <f t="shared" si="0"/>
        <v>Z</v>
      </c>
      <c r="T40" t="str">
        <f t="shared" si="1"/>
        <v>ABAZ</v>
      </c>
    </row>
    <row r="41" spans="2:20" x14ac:dyDescent="0.3">
      <c r="B41" s="3" t="s">
        <v>85</v>
      </c>
      <c r="C41" s="4">
        <v>165</v>
      </c>
      <c r="D41" s="4">
        <v>2645.2</v>
      </c>
      <c r="E41" s="4">
        <v>4177</v>
      </c>
      <c r="F41" s="15">
        <v>1.0563307179952606E-2</v>
      </c>
      <c r="G41" s="7">
        <v>0.38488850161776617</v>
      </c>
      <c r="H41" s="6">
        <v>0.36672252813023704</v>
      </c>
      <c r="I41" t="s">
        <v>173</v>
      </c>
      <c r="J41" s="15">
        <v>2.0819312155445865E-3</v>
      </c>
      <c r="K41" s="8">
        <v>0.94296041786717066</v>
      </c>
      <c r="L41" t="s">
        <v>174</v>
      </c>
      <c r="M41" s="6">
        <v>0.36672252813023704</v>
      </c>
      <c r="N41" s="15">
        <v>9.3003270685610984E-3</v>
      </c>
      <c r="O41" s="8">
        <v>0.22968963193829781</v>
      </c>
      <c r="P41" t="s">
        <v>173</v>
      </c>
      <c r="Q41" t="s">
        <v>187</v>
      </c>
      <c r="R41" s="6">
        <v>0.76304166480774971</v>
      </c>
      <c r="S41" t="str">
        <f t="shared" si="0"/>
        <v>Z</v>
      </c>
      <c r="T41" t="str">
        <f t="shared" si="1"/>
        <v>ABAZ</v>
      </c>
    </row>
    <row r="42" spans="2:20" x14ac:dyDescent="0.3">
      <c r="B42" s="3" t="s">
        <v>38</v>
      </c>
      <c r="C42" s="4">
        <v>100</v>
      </c>
      <c r="D42" s="4">
        <v>2673.31</v>
      </c>
      <c r="E42" s="4">
        <v>4190</v>
      </c>
      <c r="F42" s="15">
        <v>6.4020043514864278E-3</v>
      </c>
      <c r="G42" s="7">
        <v>0.59619305724932914</v>
      </c>
      <c r="H42" s="6">
        <v>0.36197852028639621</v>
      </c>
      <c r="I42" t="s">
        <v>173</v>
      </c>
      <c r="J42" s="15">
        <v>2.0884107716379742E-3</v>
      </c>
      <c r="K42" s="8">
        <v>0.9408784866516261</v>
      </c>
      <c r="L42" t="s">
        <v>174</v>
      </c>
      <c r="M42" s="6">
        <v>0.36197852028639621</v>
      </c>
      <c r="N42" s="15">
        <v>9.1800158763676639E-3</v>
      </c>
      <c r="O42" s="8">
        <v>0.24806308401687779</v>
      </c>
      <c r="P42" t="s">
        <v>173</v>
      </c>
      <c r="Q42" t="s">
        <v>187</v>
      </c>
      <c r="R42" s="6">
        <v>1.3126602466277872</v>
      </c>
      <c r="S42" t="str">
        <f t="shared" si="0"/>
        <v>Z</v>
      </c>
      <c r="T42" t="str">
        <f t="shared" si="1"/>
        <v>ABAZ</v>
      </c>
    </row>
    <row r="43" spans="2:20" x14ac:dyDescent="0.3">
      <c r="B43" s="3" t="s">
        <v>103</v>
      </c>
      <c r="C43" s="4">
        <v>86</v>
      </c>
      <c r="D43" s="4">
        <v>3540.86</v>
      </c>
      <c r="E43" s="4">
        <v>5540</v>
      </c>
      <c r="F43" s="15">
        <v>5.5057237422783279E-3</v>
      </c>
      <c r="G43" s="7">
        <v>0.66577964354781083</v>
      </c>
      <c r="H43" s="6">
        <v>0.36085559566787001</v>
      </c>
      <c r="I43" t="s">
        <v>173</v>
      </c>
      <c r="J43" s="15">
        <v>2.7612877505666768E-3</v>
      </c>
      <c r="K43" s="8">
        <v>0.89995043538330499</v>
      </c>
      <c r="L43" t="s">
        <v>174</v>
      </c>
      <c r="M43" s="6">
        <v>0.36085559566787001</v>
      </c>
      <c r="N43" s="15">
        <v>9.1515377616500308E-3</v>
      </c>
      <c r="O43" s="8">
        <v>0.2663679086890991</v>
      </c>
      <c r="P43" t="s">
        <v>173</v>
      </c>
      <c r="Q43" t="s">
        <v>187</v>
      </c>
      <c r="R43" s="6">
        <v>1.0132869418017421</v>
      </c>
      <c r="S43" t="str">
        <f t="shared" si="0"/>
        <v>Z</v>
      </c>
      <c r="T43" t="str">
        <f t="shared" si="1"/>
        <v>ABAZ</v>
      </c>
    </row>
    <row r="44" spans="2:20" x14ac:dyDescent="0.3">
      <c r="B44" s="3" t="s">
        <v>35</v>
      </c>
      <c r="C44" s="4">
        <v>121</v>
      </c>
      <c r="D44" s="4">
        <v>4097.97</v>
      </c>
      <c r="E44" s="4">
        <v>6351</v>
      </c>
      <c r="F44" s="15">
        <v>7.7464252652985786E-3</v>
      </c>
      <c r="G44" s="7">
        <v>0.51875441260734734</v>
      </c>
      <c r="H44" s="6">
        <v>0.35475200755786485</v>
      </c>
      <c r="I44" t="s">
        <v>173</v>
      </c>
      <c r="J44" s="15">
        <v>3.1655123653156979E-3</v>
      </c>
      <c r="K44" s="8">
        <v>0.88543922029846778</v>
      </c>
      <c r="L44" t="s">
        <v>174</v>
      </c>
      <c r="M44" s="6">
        <v>0.35475200755786485</v>
      </c>
      <c r="N44" s="15">
        <v>8.9967467102132648E-3</v>
      </c>
      <c r="O44" s="8">
        <v>0.34791173111800577</v>
      </c>
      <c r="P44" t="s">
        <v>173</v>
      </c>
      <c r="Q44" t="s">
        <v>187</v>
      </c>
      <c r="R44" s="6">
        <v>0.73914863974032174</v>
      </c>
      <c r="S44" t="str">
        <f t="shared" si="0"/>
        <v>Z</v>
      </c>
      <c r="T44" t="str">
        <f t="shared" si="1"/>
        <v>ABAZ</v>
      </c>
    </row>
    <row r="45" spans="2:20" x14ac:dyDescent="0.3">
      <c r="B45" s="3" t="s">
        <v>134</v>
      </c>
      <c r="C45" s="4">
        <v>158</v>
      </c>
      <c r="D45" s="4">
        <v>4440.07</v>
      </c>
      <c r="E45" s="4">
        <v>6877</v>
      </c>
      <c r="F45" s="15">
        <v>1.0115166875348556E-2</v>
      </c>
      <c r="G45" s="7">
        <v>0.40550295562955246</v>
      </c>
      <c r="H45" s="6">
        <v>0.35435945906645344</v>
      </c>
      <c r="I45" t="s">
        <v>173</v>
      </c>
      <c r="J45" s="15">
        <v>3.4276851734019922E-3</v>
      </c>
      <c r="K45" s="8">
        <v>0.85957564848842838</v>
      </c>
      <c r="L45" t="s">
        <v>174</v>
      </c>
      <c r="M45" s="6">
        <v>0.35435945906645344</v>
      </c>
      <c r="N45" s="15">
        <v>8.9867914195497483E-3</v>
      </c>
      <c r="O45" s="8">
        <v>0.3568985225375555</v>
      </c>
      <c r="P45" t="s">
        <v>173</v>
      </c>
      <c r="Q45" t="s">
        <v>187</v>
      </c>
      <c r="R45" s="6">
        <v>0.89910210022291293</v>
      </c>
      <c r="S45" t="str">
        <f t="shared" si="0"/>
        <v>Z</v>
      </c>
      <c r="T45" t="str">
        <f t="shared" si="1"/>
        <v>ABAZ</v>
      </c>
    </row>
    <row r="46" spans="2:20" x14ac:dyDescent="0.3">
      <c r="B46" s="3" t="s">
        <v>100</v>
      </c>
      <c r="C46" s="4">
        <v>115</v>
      </c>
      <c r="D46" s="4">
        <v>4234.6000000000004</v>
      </c>
      <c r="E46" s="4">
        <v>6551</v>
      </c>
      <c r="F46" s="15">
        <v>7.3623050042093928E-3</v>
      </c>
      <c r="G46" s="7">
        <v>0.55605248996550927</v>
      </c>
      <c r="H46" s="6">
        <v>0.35359487101205916</v>
      </c>
      <c r="I46" t="s">
        <v>173</v>
      </c>
      <c r="J46" s="15">
        <v>3.2651978436755058E-3</v>
      </c>
      <c r="K46" s="8">
        <v>0.86950200942996736</v>
      </c>
      <c r="L46" t="s">
        <v>174</v>
      </c>
      <c r="M46" s="6">
        <v>0.35359487101205916</v>
      </c>
      <c r="N46" s="15">
        <v>8.9674009582796504E-3</v>
      </c>
      <c r="O46" s="8">
        <v>0.38382812016441664</v>
      </c>
      <c r="P46" t="s">
        <v>173</v>
      </c>
      <c r="Q46" t="s">
        <v>187</v>
      </c>
      <c r="R46" s="6">
        <v>0.68752216950168143</v>
      </c>
      <c r="S46" t="str">
        <f t="shared" si="0"/>
        <v>Z</v>
      </c>
      <c r="T46" t="str">
        <f t="shared" si="1"/>
        <v>ABAZ</v>
      </c>
    </row>
    <row r="47" spans="2:20" x14ac:dyDescent="0.3">
      <c r="B47" s="3" t="s">
        <v>132</v>
      </c>
      <c r="C47" s="4">
        <v>69</v>
      </c>
      <c r="D47" s="4">
        <v>4075.73</v>
      </c>
      <c r="E47" s="4">
        <v>5944</v>
      </c>
      <c r="F47" s="15">
        <v>4.4173830025256355E-3</v>
      </c>
      <c r="G47" s="7">
        <v>0.75956260529273556</v>
      </c>
      <c r="H47" s="6">
        <v>0.31431191117092866</v>
      </c>
      <c r="I47" t="s">
        <v>173</v>
      </c>
      <c r="J47" s="15">
        <v>2.9626524168534889E-3</v>
      </c>
      <c r="K47" s="8">
        <v>0.89147417915837046</v>
      </c>
      <c r="L47" t="s">
        <v>174</v>
      </c>
      <c r="M47" s="6">
        <v>0.31431191117092866</v>
      </c>
      <c r="N47" s="15">
        <v>7.9711589858914231E-3</v>
      </c>
      <c r="O47" s="8">
        <v>0.45271869056502123</v>
      </c>
      <c r="P47" t="s">
        <v>173</v>
      </c>
      <c r="Q47" t="s">
        <v>187</v>
      </c>
      <c r="R47" s="6">
        <v>0.8706793308749966</v>
      </c>
      <c r="S47" t="str">
        <f t="shared" si="0"/>
        <v>Z</v>
      </c>
      <c r="T47" t="str">
        <f t="shared" si="1"/>
        <v>ABAZ</v>
      </c>
    </row>
    <row r="48" spans="2:20" x14ac:dyDescent="0.3">
      <c r="B48" s="3" t="s">
        <v>94</v>
      </c>
      <c r="C48" s="4">
        <v>95</v>
      </c>
      <c r="D48" s="4">
        <v>3089.19</v>
      </c>
      <c r="E48" s="4">
        <v>4248</v>
      </c>
      <c r="F48" s="15">
        <v>6.0819041339121071E-3</v>
      </c>
      <c r="G48" s="7">
        <v>0.60854572464552215</v>
      </c>
      <c r="H48" s="6">
        <v>0.27278954802259886</v>
      </c>
      <c r="I48" t="s">
        <v>173</v>
      </c>
      <c r="J48" s="15">
        <v>2.1173195603623185E-3</v>
      </c>
      <c r="K48" s="8">
        <v>0.93879007587998808</v>
      </c>
      <c r="L48" t="s">
        <v>174</v>
      </c>
      <c r="M48" s="6">
        <v>0.27278954802259886</v>
      </c>
      <c r="N48" s="15">
        <v>6.9181242571335231E-3</v>
      </c>
      <c r="O48" s="8">
        <v>0.57045311605234672</v>
      </c>
      <c r="P48" t="s">
        <v>173</v>
      </c>
      <c r="Q48" t="s">
        <v>187</v>
      </c>
      <c r="R48" s="6">
        <v>1.710157751219991</v>
      </c>
      <c r="S48" t="str">
        <f t="shared" si="0"/>
        <v>Z</v>
      </c>
      <c r="T48" t="str">
        <f t="shared" si="1"/>
        <v>ABAZ</v>
      </c>
    </row>
    <row r="49" spans="2:20" x14ac:dyDescent="0.3">
      <c r="B49" s="3" t="s">
        <v>31</v>
      </c>
      <c r="C49" s="4">
        <v>296</v>
      </c>
      <c r="D49" s="4">
        <v>3955.44</v>
      </c>
      <c r="E49" s="4">
        <v>5393</v>
      </c>
      <c r="F49" s="15">
        <v>1.8949932880399829E-2</v>
      </c>
      <c r="G49" s="7">
        <v>0.15428830487082301</v>
      </c>
      <c r="H49" s="6">
        <v>0.26656035601705913</v>
      </c>
      <c r="I49" t="s">
        <v>173</v>
      </c>
      <c r="J49" s="15">
        <v>2.6880189239722181E-3</v>
      </c>
      <c r="K49" s="8">
        <v>0.90263845430727718</v>
      </c>
      <c r="L49" t="s">
        <v>174</v>
      </c>
      <c r="M49" s="6">
        <v>0.26656035601705913</v>
      </c>
      <c r="N49" s="15">
        <v>6.760147807418901E-3</v>
      </c>
      <c r="O49" s="8">
        <v>0.59791498983960778</v>
      </c>
      <c r="P49" t="s">
        <v>173</v>
      </c>
      <c r="Q49" t="s">
        <v>187</v>
      </c>
      <c r="R49" s="6">
        <v>0.8708429910863793</v>
      </c>
      <c r="S49" t="str">
        <f t="shared" si="0"/>
        <v>Z</v>
      </c>
      <c r="T49" t="str">
        <f t="shared" si="1"/>
        <v>ABAZ</v>
      </c>
    </row>
    <row r="50" spans="2:20" x14ac:dyDescent="0.3">
      <c r="B50" s="3" t="s">
        <v>158</v>
      </c>
      <c r="C50" s="4">
        <v>187</v>
      </c>
      <c r="D50" s="4">
        <v>5156.4799999999996</v>
      </c>
      <c r="E50" s="4">
        <v>6567.3600000000006</v>
      </c>
      <c r="F50" s="15">
        <v>1.1971748137279621E-2</v>
      </c>
      <c r="G50" s="7">
        <v>0.31805157618184576</v>
      </c>
      <c r="H50" s="6">
        <v>0.21483213955074806</v>
      </c>
      <c r="I50" t="s">
        <v>173</v>
      </c>
      <c r="J50" s="15">
        <v>3.2733521158053382E-3</v>
      </c>
      <c r="K50" s="8">
        <v>0.86623681158629184</v>
      </c>
      <c r="L50" t="s">
        <v>174</v>
      </c>
      <c r="M50" s="6">
        <v>0.21483213955074806</v>
      </c>
      <c r="N50" s="15">
        <v>5.4482858548334087E-3</v>
      </c>
      <c r="O50" s="8">
        <v>0.66365773813460915</v>
      </c>
      <c r="P50" t="s">
        <v>174</v>
      </c>
      <c r="Q50" t="s">
        <v>188</v>
      </c>
      <c r="R50" s="6">
        <v>1.3330920721956032</v>
      </c>
      <c r="S50" t="str">
        <f t="shared" si="0"/>
        <v>Z</v>
      </c>
      <c r="T50" t="str">
        <f t="shared" si="1"/>
        <v>ABBZ</v>
      </c>
    </row>
    <row r="51" spans="2:20" x14ac:dyDescent="0.3">
      <c r="B51" s="3" t="s">
        <v>37</v>
      </c>
      <c r="C51" s="4">
        <v>87</v>
      </c>
      <c r="D51" s="4">
        <v>3510.9</v>
      </c>
      <c r="E51" s="4">
        <v>4460</v>
      </c>
      <c r="F51" s="15">
        <v>5.5697437857931929E-3</v>
      </c>
      <c r="G51" s="7">
        <v>0.66027391980553252</v>
      </c>
      <c r="H51" s="6">
        <v>0.21280269058295961</v>
      </c>
      <c r="I51" t="s">
        <v>173</v>
      </c>
      <c r="J51" s="15">
        <v>2.2229861674237148E-3</v>
      </c>
      <c r="K51" s="8">
        <v>0.93454247764707665</v>
      </c>
      <c r="L51" t="s">
        <v>174</v>
      </c>
      <c r="M51" s="6">
        <v>0.21280269058295961</v>
      </c>
      <c r="N51" s="15">
        <v>5.3968176800648186E-3</v>
      </c>
      <c r="O51" s="8">
        <v>0.66905455581467399</v>
      </c>
      <c r="P51" t="s">
        <v>174</v>
      </c>
      <c r="Q51" t="s">
        <v>188</v>
      </c>
      <c r="R51" s="6">
        <v>1.3925584419082149</v>
      </c>
      <c r="S51" t="str">
        <f t="shared" si="0"/>
        <v>Z</v>
      </c>
      <c r="T51" t="str">
        <f t="shared" si="1"/>
        <v>ABBZ</v>
      </c>
    </row>
    <row r="52" spans="2:20" x14ac:dyDescent="0.3">
      <c r="B52" s="3" t="s">
        <v>36</v>
      </c>
      <c r="C52" s="4">
        <v>217</v>
      </c>
      <c r="D52" s="4">
        <v>5074.17</v>
      </c>
      <c r="E52" s="4">
        <v>6439</v>
      </c>
      <c r="F52" s="15">
        <v>1.3892349442725549E-2</v>
      </c>
      <c r="G52" s="7">
        <v>0.28143211129134338</v>
      </c>
      <c r="H52" s="6">
        <v>0.21196303773877931</v>
      </c>
      <c r="I52" t="s">
        <v>173</v>
      </c>
      <c r="J52" s="15">
        <v>3.209373975794013E-3</v>
      </c>
      <c r="K52" s="8">
        <v>0.87271138340576138</v>
      </c>
      <c r="L52" t="s">
        <v>174</v>
      </c>
      <c r="M52" s="6">
        <v>0.21196303773877931</v>
      </c>
      <c r="N52" s="15">
        <v>5.3755235258312641E-3</v>
      </c>
      <c r="O52" s="8">
        <v>0.67443007934050525</v>
      </c>
      <c r="P52" t="s">
        <v>174</v>
      </c>
      <c r="Q52" t="s">
        <v>188</v>
      </c>
      <c r="R52" s="6">
        <v>0.88637408393317885</v>
      </c>
      <c r="S52" t="str">
        <f t="shared" si="0"/>
        <v>Z</v>
      </c>
      <c r="T52" t="str">
        <f t="shared" si="1"/>
        <v>ABBZ</v>
      </c>
    </row>
    <row r="53" spans="2:20" x14ac:dyDescent="0.3">
      <c r="B53" s="3" t="s">
        <v>78</v>
      </c>
      <c r="C53" s="4">
        <v>66</v>
      </c>
      <c r="D53" s="4">
        <v>4648.82</v>
      </c>
      <c r="E53" s="4">
        <v>5886</v>
      </c>
      <c r="F53" s="15">
        <v>4.225322871981043E-3</v>
      </c>
      <c r="G53" s="7">
        <v>0.77684801704174888</v>
      </c>
      <c r="H53" s="6">
        <v>0.21019028202514445</v>
      </c>
      <c r="I53" t="s">
        <v>173</v>
      </c>
      <c r="J53" s="15">
        <v>2.9337436281291446E-3</v>
      </c>
      <c r="K53" s="8">
        <v>0.89440792278649961</v>
      </c>
      <c r="L53" t="s">
        <v>174</v>
      </c>
      <c r="M53" s="6">
        <v>0.21019028202514445</v>
      </c>
      <c r="N53" s="15">
        <v>5.3305652626083142E-3</v>
      </c>
      <c r="O53" s="8">
        <v>0.67976064460311358</v>
      </c>
      <c r="P53" t="s">
        <v>174</v>
      </c>
      <c r="Q53" t="s">
        <v>188</v>
      </c>
      <c r="R53" s="6">
        <v>0.81831130806443364</v>
      </c>
      <c r="S53" t="str">
        <f t="shared" si="0"/>
        <v>Z</v>
      </c>
      <c r="T53" t="str">
        <f t="shared" si="1"/>
        <v>ABBZ</v>
      </c>
    </row>
    <row r="54" spans="2:20" x14ac:dyDescent="0.3">
      <c r="B54" s="3" t="s">
        <v>104</v>
      </c>
      <c r="C54" s="4">
        <v>78</v>
      </c>
      <c r="D54" s="4">
        <v>3533.51</v>
      </c>
      <c r="E54" s="4">
        <v>4461</v>
      </c>
      <c r="F54" s="15">
        <v>4.9935633941594138E-3</v>
      </c>
      <c r="G54" s="7">
        <v>0.72308398449796585</v>
      </c>
      <c r="H54" s="6">
        <v>0.2079107823357991</v>
      </c>
      <c r="I54" t="s">
        <v>173</v>
      </c>
      <c r="J54" s="15">
        <v>2.2234845948155136E-3</v>
      </c>
      <c r="K54" s="8">
        <v>0.93231949147965298</v>
      </c>
      <c r="L54" t="s">
        <v>174</v>
      </c>
      <c r="M54" s="6">
        <v>0.2079107823357991</v>
      </c>
      <c r="N54" s="15">
        <v>5.2727556353359311E-3</v>
      </c>
      <c r="O54" s="8">
        <v>0.69035281812873261</v>
      </c>
      <c r="P54" t="s">
        <v>174</v>
      </c>
      <c r="Q54" t="s">
        <v>188</v>
      </c>
      <c r="R54" s="6">
        <v>1.0318680135055918</v>
      </c>
      <c r="S54" t="str">
        <f t="shared" si="0"/>
        <v>Z</v>
      </c>
      <c r="T54" t="str">
        <f t="shared" si="1"/>
        <v>ABBZ</v>
      </c>
    </row>
    <row r="55" spans="2:20" x14ac:dyDescent="0.3">
      <c r="B55" s="3" t="s">
        <v>50</v>
      </c>
      <c r="C55" s="4">
        <v>116</v>
      </c>
      <c r="D55" s="4">
        <v>5120.67</v>
      </c>
      <c r="E55" s="4">
        <v>6392.99</v>
      </c>
      <c r="F55" s="15">
        <v>7.426325047724257E-3</v>
      </c>
      <c r="G55" s="7">
        <v>0.54128946793098154</v>
      </c>
      <c r="H55" s="6">
        <v>0.19901798688876407</v>
      </c>
      <c r="I55" t="s">
        <v>173</v>
      </c>
      <c r="J55" s="15">
        <v>3.1864413314973395E-3</v>
      </c>
      <c r="K55" s="8">
        <v>0.87908925532694804</v>
      </c>
      <c r="L55" t="s">
        <v>174</v>
      </c>
      <c r="M55" s="6">
        <v>0.19901798688876407</v>
      </c>
      <c r="N55" s="15">
        <v>5.0472284318861752E-3</v>
      </c>
      <c r="O55" s="8">
        <v>0.71085775158953057</v>
      </c>
      <c r="P55" t="s">
        <v>174</v>
      </c>
      <c r="Q55" t="s">
        <v>188</v>
      </c>
      <c r="R55" s="6">
        <v>0.88277519878332489</v>
      </c>
      <c r="S55" t="str">
        <f t="shared" si="0"/>
        <v>Z</v>
      </c>
      <c r="T55" t="str">
        <f t="shared" si="1"/>
        <v>ABBZ</v>
      </c>
    </row>
    <row r="56" spans="2:20" x14ac:dyDescent="0.3">
      <c r="B56" s="3" t="s">
        <v>77</v>
      </c>
      <c r="C56" s="4">
        <v>65</v>
      </c>
      <c r="D56" s="4">
        <v>3921.66</v>
      </c>
      <c r="E56" s="4">
        <v>4893</v>
      </c>
      <c r="F56" s="15">
        <v>4.161302828466178E-3</v>
      </c>
      <c r="G56" s="7">
        <v>0.78523464274219612</v>
      </c>
      <c r="H56" s="6">
        <v>0.19851624770079709</v>
      </c>
      <c r="I56" t="s">
        <v>173</v>
      </c>
      <c r="J56" s="15">
        <v>2.4388052280726988E-3</v>
      </c>
      <c r="K56" s="8">
        <v>0.92315829134863447</v>
      </c>
      <c r="L56" t="s">
        <v>174</v>
      </c>
      <c r="M56" s="6">
        <v>0.19851624770079709</v>
      </c>
      <c r="N56" s="15">
        <v>5.0345039925805265E-3</v>
      </c>
      <c r="O56" s="8">
        <v>0.71589225558211111</v>
      </c>
      <c r="P56" t="s">
        <v>174</v>
      </c>
      <c r="Q56" t="s">
        <v>188</v>
      </c>
      <c r="R56" s="6">
        <v>0.85551571938119853</v>
      </c>
      <c r="S56" t="str">
        <f t="shared" si="0"/>
        <v>Z</v>
      </c>
      <c r="T56" t="str">
        <f t="shared" si="1"/>
        <v>ABBZ</v>
      </c>
    </row>
    <row r="57" spans="2:20" x14ac:dyDescent="0.3">
      <c r="B57" s="3" t="s">
        <v>115</v>
      </c>
      <c r="C57" s="4">
        <v>101</v>
      </c>
      <c r="D57" s="4">
        <v>7221.9</v>
      </c>
      <c r="E57" s="4">
        <v>8960.64</v>
      </c>
      <c r="F57" s="15">
        <v>6.4660243950012929E-3</v>
      </c>
      <c r="G57" s="7">
        <v>0.58979105289784273</v>
      </c>
      <c r="H57" s="6">
        <v>0.19404194343261194</v>
      </c>
      <c r="I57" t="s">
        <v>173</v>
      </c>
      <c r="J57" s="15">
        <v>4.4662284240501423E-3</v>
      </c>
      <c r="K57" s="8">
        <v>0.80818584052711928</v>
      </c>
      <c r="L57" t="s">
        <v>174</v>
      </c>
      <c r="M57" s="6">
        <v>0.19404194343261194</v>
      </c>
      <c r="N57" s="15">
        <v>4.9210326623337994E-3</v>
      </c>
      <c r="O57" s="8">
        <v>0.73085271203398328</v>
      </c>
      <c r="P57" t="s">
        <v>174</v>
      </c>
      <c r="Q57" t="s">
        <v>188</v>
      </c>
      <c r="R57" s="6">
        <v>0.80710550284889526</v>
      </c>
      <c r="S57" t="str">
        <f t="shared" si="0"/>
        <v>Z</v>
      </c>
      <c r="T57" t="str">
        <f t="shared" si="1"/>
        <v>ABBZ</v>
      </c>
    </row>
    <row r="58" spans="2:20" x14ac:dyDescent="0.3">
      <c r="B58" s="3" t="s">
        <v>135</v>
      </c>
      <c r="C58" s="4">
        <v>70</v>
      </c>
      <c r="D58" s="4">
        <v>5157.3900000000003</v>
      </c>
      <c r="E58" s="4">
        <v>6389</v>
      </c>
      <c r="F58" s="15">
        <v>4.4814030460404997E-3</v>
      </c>
      <c r="G58" s="7">
        <v>0.75514522229020997</v>
      </c>
      <c r="H58" s="6">
        <v>0.1927703866019721</v>
      </c>
      <c r="I58" t="s">
        <v>173</v>
      </c>
      <c r="J58" s="15">
        <v>3.1844526062040613E-3</v>
      </c>
      <c r="K58" s="8">
        <v>0.88227370793315207</v>
      </c>
      <c r="L58" t="s">
        <v>174</v>
      </c>
      <c r="M58" s="6">
        <v>0.1927703866019721</v>
      </c>
      <c r="N58" s="15">
        <v>4.8887851359232766E-3</v>
      </c>
      <c r="O58" s="8">
        <v>0.74065327424875593</v>
      </c>
      <c r="P58" t="s">
        <v>174</v>
      </c>
      <c r="Q58" t="s">
        <v>188</v>
      </c>
      <c r="R58" s="6">
        <v>1.0807288662104833</v>
      </c>
      <c r="S58" t="str">
        <f t="shared" si="0"/>
        <v>Z</v>
      </c>
      <c r="T58" t="str">
        <f t="shared" si="1"/>
        <v>ABBZ</v>
      </c>
    </row>
    <row r="59" spans="2:20" x14ac:dyDescent="0.3">
      <c r="B59" s="3" t="s">
        <v>102</v>
      </c>
      <c r="C59" s="4">
        <v>124</v>
      </c>
      <c r="D59" s="4">
        <v>3278.09</v>
      </c>
      <c r="E59" s="4">
        <v>4057</v>
      </c>
      <c r="F59" s="15">
        <v>7.9384853958431711E-3</v>
      </c>
      <c r="G59" s="7">
        <v>0.50306950194620559</v>
      </c>
      <c r="H59" s="6">
        <v>0.1919916194232191</v>
      </c>
      <c r="I59" t="s">
        <v>173</v>
      </c>
      <c r="J59" s="15">
        <v>2.022119928528702E-3</v>
      </c>
      <c r="K59" s="8">
        <v>0.94498253779569941</v>
      </c>
      <c r="L59" t="s">
        <v>174</v>
      </c>
      <c r="M59" s="6">
        <v>0.1919916194232191</v>
      </c>
      <c r="N59" s="15">
        <v>4.8690350826347826E-3</v>
      </c>
      <c r="O59" s="8">
        <v>0.74552230933139074</v>
      </c>
      <c r="P59" t="s">
        <v>174</v>
      </c>
      <c r="Q59" t="s">
        <v>188</v>
      </c>
      <c r="R59" s="6">
        <v>1.1706269285076345</v>
      </c>
      <c r="S59" t="str">
        <f t="shared" si="0"/>
        <v>Z</v>
      </c>
      <c r="T59" t="str">
        <f t="shared" si="1"/>
        <v>ABBZ</v>
      </c>
    </row>
    <row r="60" spans="2:20" x14ac:dyDescent="0.3">
      <c r="B60" s="3" t="s">
        <v>12</v>
      </c>
      <c r="C60" s="4">
        <v>111</v>
      </c>
      <c r="D60" s="4">
        <v>6436</v>
      </c>
      <c r="E60" s="4">
        <v>7947.2</v>
      </c>
      <c r="F60" s="15">
        <v>7.1062248301499353E-3</v>
      </c>
      <c r="G60" s="7">
        <v>0.56315871479565915</v>
      </c>
      <c r="H60" s="6">
        <v>0.19015502315280852</v>
      </c>
      <c r="I60" t="s">
        <v>173</v>
      </c>
      <c r="J60" s="15">
        <v>3.9611021681053241E-3</v>
      </c>
      <c r="K60" s="8">
        <v>0.8336789511939301</v>
      </c>
      <c r="L60" t="s">
        <v>174</v>
      </c>
      <c r="M60" s="6">
        <v>0.19015502315280852</v>
      </c>
      <c r="N60" s="15">
        <v>4.8224577804581031E-3</v>
      </c>
      <c r="O60" s="8">
        <v>0.76487864787632809</v>
      </c>
      <c r="P60" t="s">
        <v>174</v>
      </c>
      <c r="Q60" t="s">
        <v>188</v>
      </c>
      <c r="R60" s="6">
        <v>0.98092283634252275</v>
      </c>
      <c r="S60" t="str">
        <f t="shared" si="0"/>
        <v>Z</v>
      </c>
      <c r="T60" t="str">
        <f t="shared" si="1"/>
        <v>ABBZ</v>
      </c>
    </row>
    <row r="61" spans="2:20" x14ac:dyDescent="0.3">
      <c r="B61" s="3" t="s">
        <v>122</v>
      </c>
      <c r="C61" s="4">
        <v>178.00000009999999</v>
      </c>
      <c r="D61" s="4">
        <v>3815.9</v>
      </c>
      <c r="E61" s="4">
        <v>4681.21</v>
      </c>
      <c r="F61" s="15">
        <v>1.1395567752047846E-2</v>
      </c>
      <c r="G61" s="7">
        <v>0.35243033955572994</v>
      </c>
      <c r="H61" s="6">
        <v>0.1848475073752299</v>
      </c>
      <c r="I61" t="s">
        <v>173</v>
      </c>
      <c r="J61" s="15">
        <v>2.3332432907635803E-3</v>
      </c>
      <c r="K61" s="8">
        <v>0.92549153463939804</v>
      </c>
      <c r="L61" t="s">
        <v>174</v>
      </c>
      <c r="M61" s="6">
        <v>0.1848475073752299</v>
      </c>
      <c r="N61" s="15">
        <v>4.6878556525094782E-3</v>
      </c>
      <c r="O61" s="8">
        <v>0.8027773048679514</v>
      </c>
      <c r="P61" t="s">
        <v>174</v>
      </c>
      <c r="Q61" t="s">
        <v>188</v>
      </c>
      <c r="R61" s="6">
        <v>0.52133142547346123</v>
      </c>
      <c r="S61" t="str">
        <f t="shared" si="0"/>
        <v>Z</v>
      </c>
      <c r="T61" t="str">
        <f t="shared" si="1"/>
        <v>ABBZ</v>
      </c>
    </row>
    <row r="62" spans="2:20" x14ac:dyDescent="0.3">
      <c r="B62" s="3" t="s">
        <v>63</v>
      </c>
      <c r="C62" s="4">
        <v>90</v>
      </c>
      <c r="D62" s="4">
        <v>6510.89</v>
      </c>
      <c r="E62" s="4">
        <v>7947</v>
      </c>
      <c r="F62" s="15">
        <v>5.7618039163377854E-3</v>
      </c>
      <c r="G62" s="7">
        <v>0.63216912070250708</v>
      </c>
      <c r="H62" s="6">
        <v>0.18071096011073357</v>
      </c>
      <c r="I62" t="s">
        <v>173</v>
      </c>
      <c r="J62" s="15">
        <v>3.9610024826269644E-3</v>
      </c>
      <c r="K62" s="8">
        <v>0.83763995367655708</v>
      </c>
      <c r="L62" t="s">
        <v>174</v>
      </c>
      <c r="M62" s="6">
        <v>0.18071096011073357</v>
      </c>
      <c r="N62" s="15">
        <v>4.5829500643785109E-3</v>
      </c>
      <c r="O62" s="8">
        <v>0.82127777676608871</v>
      </c>
      <c r="P62" t="s">
        <v>174</v>
      </c>
      <c r="Q62" t="s">
        <v>188</v>
      </c>
      <c r="R62" s="6">
        <v>1.0300947933649143</v>
      </c>
      <c r="S62" t="str">
        <f t="shared" si="0"/>
        <v>Z</v>
      </c>
      <c r="T62" t="str">
        <f t="shared" si="1"/>
        <v>ABBZ</v>
      </c>
    </row>
    <row r="63" spans="2:20" x14ac:dyDescent="0.3">
      <c r="B63" s="3" t="s">
        <v>58</v>
      </c>
      <c r="C63" s="4">
        <v>93</v>
      </c>
      <c r="D63" s="4">
        <v>7303.56</v>
      </c>
      <c r="E63" s="4">
        <v>8800</v>
      </c>
      <c r="F63" s="15">
        <v>5.9538640468823779E-3</v>
      </c>
      <c r="G63" s="7">
        <v>0.62051747278280178</v>
      </c>
      <c r="H63" s="6">
        <v>0.17004999999999995</v>
      </c>
      <c r="I63" t="s">
        <v>173</v>
      </c>
      <c r="J63" s="15">
        <v>4.3861610478315447E-3</v>
      </c>
      <c r="K63" s="8">
        <v>0.81702046604675727</v>
      </c>
      <c r="L63" t="s">
        <v>174</v>
      </c>
      <c r="M63" s="6">
        <v>0.17004999999999995</v>
      </c>
      <c r="N63" s="15">
        <v>4.3125810297837946E-3</v>
      </c>
      <c r="O63" s="8">
        <v>0.86569670027826717</v>
      </c>
      <c r="P63" t="s">
        <v>174</v>
      </c>
      <c r="Q63" t="s">
        <v>188</v>
      </c>
      <c r="R63" s="6">
        <v>1.0093379512970631</v>
      </c>
      <c r="S63" t="str">
        <f t="shared" si="0"/>
        <v>Z</v>
      </c>
      <c r="T63" t="str">
        <f t="shared" si="1"/>
        <v>ABBZ</v>
      </c>
    </row>
    <row r="64" spans="2:20" x14ac:dyDescent="0.3">
      <c r="B64" s="3" t="s">
        <v>99</v>
      </c>
      <c r="C64" s="4">
        <v>79</v>
      </c>
      <c r="D64" s="4">
        <v>5128.1099999999997</v>
      </c>
      <c r="E64" s="4">
        <v>6164</v>
      </c>
      <c r="F64" s="15">
        <v>5.0575834376742779E-3</v>
      </c>
      <c r="G64" s="7">
        <v>0.7130904557052955</v>
      </c>
      <c r="H64" s="6">
        <v>0.16805483452303704</v>
      </c>
      <c r="I64" t="s">
        <v>173</v>
      </c>
      <c r="J64" s="15">
        <v>3.0723064430492773E-3</v>
      </c>
      <c r="K64" s="8">
        <v>0.88851152674151701</v>
      </c>
      <c r="L64" t="s">
        <v>174</v>
      </c>
      <c r="M64" s="6">
        <v>0.16805483452303704</v>
      </c>
      <c r="N64" s="15">
        <v>4.2619823071302822E-3</v>
      </c>
      <c r="O64" s="8">
        <v>0.87852595736281802</v>
      </c>
      <c r="P64" t="s">
        <v>174</v>
      </c>
      <c r="Q64" t="s">
        <v>188</v>
      </c>
      <c r="R64" s="6">
        <v>0.84637735531310254</v>
      </c>
      <c r="S64" t="str">
        <f t="shared" si="0"/>
        <v>Z</v>
      </c>
      <c r="T64" t="str">
        <f t="shared" si="1"/>
        <v>ABBZ</v>
      </c>
    </row>
    <row r="65" spans="2:20" x14ac:dyDescent="0.3">
      <c r="B65" s="3" t="s">
        <v>62</v>
      </c>
      <c r="C65" s="4">
        <v>169</v>
      </c>
      <c r="D65" s="4">
        <v>4278.1499999999996</v>
      </c>
      <c r="E65" s="4">
        <v>5141.16</v>
      </c>
      <c r="F65" s="15">
        <v>1.0819387354012064E-2</v>
      </c>
      <c r="G65" s="7">
        <v>0.37432519443781354</v>
      </c>
      <c r="H65" s="6">
        <v>0.16786289475526928</v>
      </c>
      <c r="I65" t="s">
        <v>173</v>
      </c>
      <c r="J65" s="15">
        <v>2.5624949696215482E-3</v>
      </c>
      <c r="K65" s="8">
        <v>0.91575365401606801</v>
      </c>
      <c r="L65" t="s">
        <v>174</v>
      </c>
      <c r="M65" s="6">
        <v>0.16786289475526928</v>
      </c>
      <c r="N65" s="15">
        <v>4.2571145870400947E-3</v>
      </c>
      <c r="O65" s="8">
        <v>0.88278307194985817</v>
      </c>
      <c r="P65" t="s">
        <v>174</v>
      </c>
      <c r="Q65" t="s">
        <v>188</v>
      </c>
      <c r="R65" s="6">
        <v>0.66834964459743551</v>
      </c>
      <c r="S65" t="str">
        <f t="shared" si="0"/>
        <v>Z</v>
      </c>
      <c r="T65" t="str">
        <f t="shared" si="1"/>
        <v>ABBZ</v>
      </c>
    </row>
    <row r="66" spans="2:20" x14ac:dyDescent="0.3">
      <c r="B66" s="3" t="s">
        <v>51</v>
      </c>
      <c r="C66" s="4">
        <v>862</v>
      </c>
      <c r="D66" s="4">
        <v>184.92</v>
      </c>
      <c r="E66" s="4">
        <v>341.33999999999986</v>
      </c>
      <c r="F66" s="15">
        <v>5.5185277509813009E-2</v>
      </c>
      <c r="G66" s="8">
        <v>5.5185277509813009E-2</v>
      </c>
      <c r="H66" s="6">
        <v>0.45825276850061503</v>
      </c>
      <c r="I66" t="s">
        <v>173</v>
      </c>
      <c r="J66" s="15">
        <v>1.7013320591668395E-4</v>
      </c>
      <c r="K66" s="8">
        <v>0.99999999999999956</v>
      </c>
      <c r="L66" t="s">
        <v>175</v>
      </c>
      <c r="M66" s="6">
        <v>0.45825276850061503</v>
      </c>
      <c r="N66" s="15">
        <v>1.1621594803185285E-2</v>
      </c>
      <c r="O66" s="8">
        <v>1.1621594803185285E-2</v>
      </c>
      <c r="P66" t="s">
        <v>173</v>
      </c>
      <c r="Q66" t="s">
        <v>189</v>
      </c>
      <c r="R66" s="6">
        <v>1.5827208843490639</v>
      </c>
      <c r="S66" t="str">
        <f t="shared" si="0"/>
        <v>Z</v>
      </c>
      <c r="T66" t="str">
        <f t="shared" si="1"/>
        <v>ACAZ</v>
      </c>
    </row>
    <row r="67" spans="2:20" x14ac:dyDescent="0.3">
      <c r="B67" s="3" t="s">
        <v>137</v>
      </c>
      <c r="C67" s="4">
        <v>71</v>
      </c>
      <c r="D67" s="4">
        <v>386.37</v>
      </c>
      <c r="E67" s="4">
        <v>652</v>
      </c>
      <c r="F67" s="15">
        <v>4.5454230895553638E-3</v>
      </c>
      <c r="G67" s="7">
        <v>0.74618241619812897</v>
      </c>
      <c r="H67" s="6">
        <v>0.4074079754601227</v>
      </c>
      <c r="I67" t="s">
        <v>173</v>
      </c>
      <c r="J67" s="15">
        <v>3.2497465945297352E-4</v>
      </c>
      <c r="K67" s="8">
        <v>0.9996165398703929</v>
      </c>
      <c r="L67" t="s">
        <v>175</v>
      </c>
      <c r="M67" s="6">
        <v>0.4074079754601227</v>
      </c>
      <c r="N67" s="15">
        <v>1.0332137055877374E-2</v>
      </c>
      <c r="O67" s="8">
        <v>2.1953731859062658E-2</v>
      </c>
      <c r="P67" t="s">
        <v>173</v>
      </c>
      <c r="Q67" t="s">
        <v>189</v>
      </c>
      <c r="R67" s="6">
        <v>1.506787408038325</v>
      </c>
      <c r="S67" t="str">
        <f t="shared" ref="S67:S130" si="2">IF(R67&lt;0.1,"X",IF(R67&lt;0.25,"Y","Z"))</f>
        <v>Z</v>
      </c>
      <c r="T67" t="str">
        <f t="shared" ref="T67:T130" si="3">Q67&amp;S67</f>
        <v>ACAZ</v>
      </c>
    </row>
    <row r="68" spans="2:20" x14ac:dyDescent="0.3">
      <c r="B68" s="3" t="s">
        <v>133</v>
      </c>
      <c r="C68" s="4">
        <v>227</v>
      </c>
      <c r="D68" s="4">
        <v>254.28</v>
      </c>
      <c r="E68" s="4">
        <v>428</v>
      </c>
      <c r="F68" s="15">
        <v>1.4532549877874192E-2</v>
      </c>
      <c r="G68" s="7">
        <v>0.25313525205777337</v>
      </c>
      <c r="H68" s="6">
        <v>0.4058878504672897</v>
      </c>
      <c r="I68" t="s">
        <v>173</v>
      </c>
      <c r="J68" s="15">
        <v>2.1332692368998876E-4</v>
      </c>
      <c r="K68" s="8">
        <v>0.99982986679408292</v>
      </c>
      <c r="L68" t="s">
        <v>175</v>
      </c>
      <c r="M68" s="6">
        <v>0.4058878504672897</v>
      </c>
      <c r="N68" s="15">
        <v>1.0293585675653957E-2</v>
      </c>
      <c r="O68" s="8">
        <v>3.2247317534716616E-2</v>
      </c>
      <c r="P68" t="s">
        <v>173</v>
      </c>
      <c r="Q68" t="s">
        <v>189</v>
      </c>
      <c r="R68" s="6">
        <v>1.7104768755195745</v>
      </c>
      <c r="S68" t="str">
        <f t="shared" si="2"/>
        <v>Z</v>
      </c>
      <c r="T68" t="str">
        <f t="shared" si="3"/>
        <v>ACAZ</v>
      </c>
    </row>
    <row r="69" spans="2:20" x14ac:dyDescent="0.3">
      <c r="B69" s="3" t="s">
        <v>157</v>
      </c>
      <c r="C69" s="4">
        <v>142</v>
      </c>
      <c r="D69" s="4">
        <v>1188</v>
      </c>
      <c r="E69" s="4">
        <v>1997</v>
      </c>
      <c r="F69" s="15">
        <v>9.0908461791107276E-3</v>
      </c>
      <c r="G69" s="7">
        <v>0.45262170765649257</v>
      </c>
      <c r="H69" s="6">
        <v>0.40510766149223837</v>
      </c>
      <c r="I69" t="s">
        <v>173</v>
      </c>
      <c r="J69" s="15">
        <v>9.9535950142268128E-4</v>
      </c>
      <c r="K69" s="8">
        <v>0.98527901676304996</v>
      </c>
      <c r="L69" t="s">
        <v>175</v>
      </c>
      <c r="M69" s="6">
        <v>0.40510766149223837</v>
      </c>
      <c r="N69" s="15">
        <v>1.027379956466629E-2</v>
      </c>
      <c r="O69" s="8">
        <v>4.2521117099382902E-2</v>
      </c>
      <c r="P69" t="s">
        <v>173</v>
      </c>
      <c r="Q69" t="s">
        <v>189</v>
      </c>
      <c r="R69" s="6">
        <v>1.0324369583026074</v>
      </c>
      <c r="S69" t="str">
        <f t="shared" si="2"/>
        <v>Z</v>
      </c>
      <c r="T69" t="str">
        <f t="shared" si="3"/>
        <v>ACAZ</v>
      </c>
    </row>
    <row r="70" spans="2:20" x14ac:dyDescent="0.3">
      <c r="B70" s="3" t="s">
        <v>73</v>
      </c>
      <c r="C70" s="4">
        <v>70</v>
      </c>
      <c r="D70" s="4">
        <v>431.67</v>
      </c>
      <c r="E70" s="4">
        <v>722</v>
      </c>
      <c r="F70" s="15">
        <v>4.4814030460404997E-3</v>
      </c>
      <c r="G70" s="7">
        <v>0.75066381924416947</v>
      </c>
      <c r="H70" s="6">
        <v>0.40211911357340718</v>
      </c>
      <c r="I70" t="s">
        <v>173</v>
      </c>
      <c r="J70" s="15">
        <v>3.5986457687890629E-4</v>
      </c>
      <c r="K70" s="8">
        <v>0.99929156521093987</v>
      </c>
      <c r="L70" t="s">
        <v>175</v>
      </c>
      <c r="M70" s="6">
        <v>0.40211911357340718</v>
      </c>
      <c r="N70" s="15">
        <v>1.0198008003000008E-2</v>
      </c>
      <c r="O70" s="8">
        <v>5.2719125102382913E-2</v>
      </c>
      <c r="P70" t="s">
        <v>173</v>
      </c>
      <c r="Q70" t="s">
        <v>189</v>
      </c>
      <c r="R70" s="6">
        <v>1.0332008152565415</v>
      </c>
      <c r="S70" t="str">
        <f t="shared" si="2"/>
        <v>Z</v>
      </c>
      <c r="T70" t="str">
        <f t="shared" si="3"/>
        <v>ACAZ</v>
      </c>
    </row>
    <row r="71" spans="2:20" x14ac:dyDescent="0.3">
      <c r="B71" s="3" t="s">
        <v>141</v>
      </c>
      <c r="C71" s="4">
        <v>130</v>
      </c>
      <c r="D71" s="4">
        <v>984.06</v>
      </c>
      <c r="E71" s="4">
        <v>1642</v>
      </c>
      <c r="F71" s="15">
        <v>8.322605656932356E-3</v>
      </c>
      <c r="G71" s="7">
        <v>0.4870004710239747</v>
      </c>
      <c r="H71" s="6">
        <v>0.40069427527405604</v>
      </c>
      <c r="I71" t="s">
        <v>173</v>
      </c>
      <c r="J71" s="15">
        <v>8.1841777733402234E-4</v>
      </c>
      <c r="K71" s="8">
        <v>0.99160731011157421</v>
      </c>
      <c r="L71" t="s">
        <v>175</v>
      </c>
      <c r="M71" s="6">
        <v>0.40069427527405604</v>
      </c>
      <c r="N71" s="15">
        <v>1.0161873156658984E-2</v>
      </c>
      <c r="O71" s="8">
        <v>6.2880998259041893E-2</v>
      </c>
      <c r="P71" t="s">
        <v>173</v>
      </c>
      <c r="Q71" t="s">
        <v>189</v>
      </c>
      <c r="R71" s="6">
        <v>0.85834856064139287</v>
      </c>
      <c r="S71" t="str">
        <f t="shared" si="2"/>
        <v>Z</v>
      </c>
      <c r="T71" t="str">
        <f t="shared" si="3"/>
        <v>ACAZ</v>
      </c>
    </row>
    <row r="72" spans="2:20" x14ac:dyDescent="0.3">
      <c r="B72" s="3" t="s">
        <v>41</v>
      </c>
      <c r="C72" s="4">
        <v>147</v>
      </c>
      <c r="D72" s="4">
        <v>932.43</v>
      </c>
      <c r="E72" s="4">
        <v>1545.01</v>
      </c>
      <c r="F72" s="15">
        <v>9.4109463966850493E-3</v>
      </c>
      <c r="G72" s="7">
        <v>0.43444001529827114</v>
      </c>
      <c r="H72" s="6">
        <v>0.39648934311104783</v>
      </c>
      <c r="I72" t="s">
        <v>173</v>
      </c>
      <c r="J72" s="15">
        <v>7.7007530460343346E-4</v>
      </c>
      <c r="K72" s="8">
        <v>0.99318384093610845</v>
      </c>
      <c r="L72" t="s">
        <v>175</v>
      </c>
      <c r="M72" s="6">
        <v>0.39648934311104783</v>
      </c>
      <c r="N72" s="15">
        <v>1.0055233282047301E-2</v>
      </c>
      <c r="O72" s="8">
        <v>8.3045302240660424E-2</v>
      </c>
      <c r="P72" t="s">
        <v>173</v>
      </c>
      <c r="Q72" t="s">
        <v>189</v>
      </c>
      <c r="R72" s="6">
        <v>0.88095254931988021</v>
      </c>
      <c r="S72" t="str">
        <f t="shared" si="2"/>
        <v>Z</v>
      </c>
      <c r="T72" t="str">
        <f t="shared" si="3"/>
        <v>ACAZ</v>
      </c>
    </row>
    <row r="73" spans="2:20" x14ac:dyDescent="0.3">
      <c r="B73" s="3" t="s">
        <v>39</v>
      </c>
      <c r="C73" s="4">
        <v>271</v>
      </c>
      <c r="D73" s="4">
        <v>977.14</v>
      </c>
      <c r="E73" s="4">
        <v>1618</v>
      </c>
      <c r="F73" s="15">
        <v>1.7349431792528222E-2</v>
      </c>
      <c r="G73" s="7">
        <v>0.20678474055301166</v>
      </c>
      <c r="H73" s="6">
        <v>0.39608158220024725</v>
      </c>
      <c r="I73" t="s">
        <v>173</v>
      </c>
      <c r="J73" s="15">
        <v>8.0645551993084542E-4</v>
      </c>
      <c r="K73" s="8">
        <v>0.99241376563150507</v>
      </c>
      <c r="L73" t="s">
        <v>175</v>
      </c>
      <c r="M73" s="6">
        <v>0.39608158220024725</v>
      </c>
      <c r="N73" s="15">
        <v>1.0044892194316597E-2</v>
      </c>
      <c r="O73" s="8">
        <v>9.3090194434977014E-2</v>
      </c>
      <c r="P73" t="s">
        <v>173</v>
      </c>
      <c r="Q73" t="s">
        <v>189</v>
      </c>
      <c r="R73" s="6">
        <v>1.0168541688303643</v>
      </c>
      <c r="S73" t="str">
        <f t="shared" si="2"/>
        <v>Z</v>
      </c>
      <c r="T73" t="str">
        <f t="shared" si="3"/>
        <v>ACAZ</v>
      </c>
    </row>
    <row r="74" spans="2:20" x14ac:dyDescent="0.3">
      <c r="B74" s="3" t="s">
        <v>121</v>
      </c>
      <c r="C74" s="4">
        <v>92</v>
      </c>
      <c r="D74" s="4">
        <v>482.55</v>
      </c>
      <c r="E74" s="4">
        <v>797</v>
      </c>
      <c r="F74" s="15">
        <v>5.8898440033675137E-3</v>
      </c>
      <c r="G74" s="7">
        <v>0.62640731678616934</v>
      </c>
      <c r="H74" s="6">
        <v>0.39454203262233373</v>
      </c>
      <c r="I74" t="s">
        <v>173</v>
      </c>
      <c r="J74" s="15">
        <v>3.972466312638342E-4</v>
      </c>
      <c r="K74" s="8">
        <v>0.998931700634061</v>
      </c>
      <c r="L74" t="s">
        <v>175</v>
      </c>
      <c r="M74" s="6">
        <v>0.39454203262233373</v>
      </c>
      <c r="N74" s="15">
        <v>1.0005848193704299E-2</v>
      </c>
      <c r="O74" s="8">
        <v>0.10309604262868131</v>
      </c>
      <c r="P74" t="s">
        <v>173</v>
      </c>
      <c r="Q74" t="s">
        <v>189</v>
      </c>
      <c r="R74" s="6">
        <v>1.1823266763213043</v>
      </c>
      <c r="S74" t="str">
        <f t="shared" si="2"/>
        <v>Z</v>
      </c>
      <c r="T74" t="str">
        <f t="shared" si="3"/>
        <v>ACAZ</v>
      </c>
    </row>
    <row r="75" spans="2:20" x14ac:dyDescent="0.3">
      <c r="B75" s="3" t="s">
        <v>86</v>
      </c>
      <c r="C75" s="4">
        <v>83</v>
      </c>
      <c r="D75" s="4">
        <v>2318.04</v>
      </c>
      <c r="E75" s="4">
        <v>3805</v>
      </c>
      <c r="F75" s="15">
        <v>5.3136636117337354E-3</v>
      </c>
      <c r="G75" s="7">
        <v>0.68729037816880523</v>
      </c>
      <c r="H75" s="6">
        <v>0.39079106438896188</v>
      </c>
      <c r="I75" t="s">
        <v>173</v>
      </c>
      <c r="J75" s="15">
        <v>1.896516225795344E-3</v>
      </c>
      <c r="K75" s="8">
        <v>0.95469808388760291</v>
      </c>
      <c r="L75" t="s">
        <v>175</v>
      </c>
      <c r="M75" s="6">
        <v>0.39079106438896188</v>
      </c>
      <c r="N75" s="15">
        <v>9.9107211460914731E-3</v>
      </c>
      <c r="O75" s="8">
        <v>0.11300676377477278</v>
      </c>
      <c r="P75" t="s">
        <v>173</v>
      </c>
      <c r="Q75" t="s">
        <v>189</v>
      </c>
      <c r="R75" s="6">
        <v>1.082516577934916</v>
      </c>
      <c r="S75" t="str">
        <f t="shared" si="2"/>
        <v>Z</v>
      </c>
      <c r="T75" t="str">
        <f t="shared" si="3"/>
        <v>ACAZ</v>
      </c>
    </row>
    <row r="76" spans="2:20" x14ac:dyDescent="0.3">
      <c r="B76" s="3" t="s">
        <v>59</v>
      </c>
      <c r="C76" s="4">
        <v>136</v>
      </c>
      <c r="D76" s="4">
        <v>1001.6</v>
      </c>
      <c r="E76" s="4">
        <v>1643</v>
      </c>
      <c r="F76" s="15">
        <v>8.7067259180215427E-3</v>
      </c>
      <c r="G76" s="7">
        <v>0.47029123966659508</v>
      </c>
      <c r="H76" s="6">
        <v>0.39038344491783322</v>
      </c>
      <c r="I76" t="s">
        <v>173</v>
      </c>
      <c r="J76" s="15">
        <v>8.1891620472582141E-4</v>
      </c>
      <c r="K76" s="8">
        <v>0.99078889233424017</v>
      </c>
      <c r="L76" t="s">
        <v>175</v>
      </c>
      <c r="M76" s="6">
        <v>0.39038344491783322</v>
      </c>
      <c r="N76" s="15">
        <v>9.9003836453648627E-3</v>
      </c>
      <c r="O76" s="8">
        <v>0.12290714742013764</v>
      </c>
      <c r="P76" t="s">
        <v>173</v>
      </c>
      <c r="Q76" t="s">
        <v>189</v>
      </c>
      <c r="R76" s="6">
        <v>1.0940187113672131</v>
      </c>
      <c r="S76" t="str">
        <f t="shared" si="2"/>
        <v>Z</v>
      </c>
      <c r="T76" t="str">
        <f t="shared" si="3"/>
        <v>ACAZ</v>
      </c>
    </row>
    <row r="77" spans="2:20" x14ac:dyDescent="0.3">
      <c r="B77" s="3" t="s">
        <v>139</v>
      </c>
      <c r="C77" s="4">
        <v>81</v>
      </c>
      <c r="D77" s="4">
        <v>1302.67</v>
      </c>
      <c r="E77" s="4">
        <v>2135</v>
      </c>
      <c r="F77" s="15">
        <v>5.1856235247040071E-3</v>
      </c>
      <c r="G77" s="7">
        <v>0.69772564526172809</v>
      </c>
      <c r="H77" s="6">
        <v>0.38985011709601869</v>
      </c>
      <c r="I77" t="s">
        <v>173</v>
      </c>
      <c r="J77" s="15">
        <v>1.0641424814909486E-3</v>
      </c>
      <c r="K77" s="8">
        <v>0.98218777007911229</v>
      </c>
      <c r="L77" t="s">
        <v>175</v>
      </c>
      <c r="M77" s="6">
        <v>0.38985011709601869</v>
      </c>
      <c r="N77" s="15">
        <v>9.8868580973083299E-3</v>
      </c>
      <c r="O77" s="8">
        <v>0.13279400551744597</v>
      </c>
      <c r="P77" t="s">
        <v>173</v>
      </c>
      <c r="Q77" t="s">
        <v>189</v>
      </c>
      <c r="R77" s="6">
        <v>1.3718539576646767</v>
      </c>
      <c r="S77" t="str">
        <f t="shared" si="2"/>
        <v>Z</v>
      </c>
      <c r="T77" t="str">
        <f t="shared" si="3"/>
        <v>ACAZ</v>
      </c>
    </row>
    <row r="78" spans="2:20" x14ac:dyDescent="0.3">
      <c r="B78" s="3" t="s">
        <v>105</v>
      </c>
      <c r="C78" s="4">
        <v>89</v>
      </c>
      <c r="D78" s="4">
        <v>1384.05</v>
      </c>
      <c r="E78" s="4">
        <v>2268</v>
      </c>
      <c r="F78" s="15">
        <v>5.6977838728229212E-3</v>
      </c>
      <c r="G78" s="7">
        <v>0.63786690457533002</v>
      </c>
      <c r="H78" s="6">
        <v>0.38974867724867729</v>
      </c>
      <c r="I78" t="s">
        <v>173</v>
      </c>
      <c r="J78" s="15">
        <v>1.1304333246002207E-3</v>
      </c>
      <c r="K78" s="8">
        <v>0.98112362759762128</v>
      </c>
      <c r="L78" t="s">
        <v>175</v>
      </c>
      <c r="M78" s="6">
        <v>0.38974867724867729</v>
      </c>
      <c r="N78" s="15">
        <v>9.8842855153541478E-3</v>
      </c>
      <c r="O78" s="8">
        <v>0.14267829103280011</v>
      </c>
      <c r="P78" t="s">
        <v>173</v>
      </c>
      <c r="Q78" t="s">
        <v>189</v>
      </c>
      <c r="R78" s="6">
        <v>1.0937552963940478</v>
      </c>
      <c r="S78" t="str">
        <f t="shared" si="2"/>
        <v>Z</v>
      </c>
      <c r="T78" t="str">
        <f t="shared" si="3"/>
        <v>ACAZ</v>
      </c>
    </row>
    <row r="79" spans="2:20" x14ac:dyDescent="0.3">
      <c r="B79" s="3" t="s">
        <v>11</v>
      </c>
      <c r="C79" s="4">
        <v>67</v>
      </c>
      <c r="D79" s="4">
        <v>1498.2</v>
      </c>
      <c r="E79" s="4">
        <v>2419</v>
      </c>
      <c r="F79" s="15">
        <v>4.2893429154959072E-3</v>
      </c>
      <c r="G79" s="7">
        <v>0.77262269416976781</v>
      </c>
      <c r="H79" s="6">
        <v>0.38065316246382802</v>
      </c>
      <c r="I79" t="s">
        <v>173</v>
      </c>
      <c r="J79" s="15">
        <v>1.2056958607618757E-3</v>
      </c>
      <c r="K79" s="8">
        <v>0.97766254778896888</v>
      </c>
      <c r="L79" t="s">
        <v>175</v>
      </c>
      <c r="M79" s="6">
        <v>0.38065316246382802</v>
      </c>
      <c r="N79" s="15">
        <v>9.6536172147528021E-3</v>
      </c>
      <c r="O79" s="8">
        <v>0.21086356634591966</v>
      </c>
      <c r="P79" t="s">
        <v>173</v>
      </c>
      <c r="Q79" t="s">
        <v>189</v>
      </c>
      <c r="R79" s="6">
        <v>1.2853519780106399</v>
      </c>
      <c r="S79" t="str">
        <f t="shared" si="2"/>
        <v>Z</v>
      </c>
      <c r="T79" t="str">
        <f t="shared" si="3"/>
        <v>ACAZ</v>
      </c>
    </row>
    <row r="80" spans="2:20" x14ac:dyDescent="0.3">
      <c r="B80" s="3" t="s">
        <v>108</v>
      </c>
      <c r="C80" s="4">
        <v>65</v>
      </c>
      <c r="D80" s="4">
        <v>1636.55</v>
      </c>
      <c r="E80" s="4">
        <v>2541</v>
      </c>
      <c r="F80" s="15">
        <v>4.161302828466178E-3</v>
      </c>
      <c r="G80" s="8">
        <v>0.79771855122759461</v>
      </c>
      <c r="H80" s="6">
        <v>0.35594254230617867</v>
      </c>
      <c r="I80" t="s">
        <v>173</v>
      </c>
      <c r="J80" s="15">
        <v>1.2665040025613586E-3</v>
      </c>
      <c r="K80" s="8">
        <v>0.97524766707570254</v>
      </c>
      <c r="L80" t="s">
        <v>175</v>
      </c>
      <c r="M80" s="6">
        <v>0.35594254230617867</v>
      </c>
      <c r="N80" s="15">
        <v>9.0269394627617901E-3</v>
      </c>
      <c r="O80" s="8">
        <v>0.3389149844077925</v>
      </c>
      <c r="P80" t="s">
        <v>173</v>
      </c>
      <c r="Q80" t="s">
        <v>189</v>
      </c>
      <c r="R80" s="6">
        <v>1.6992863103365017</v>
      </c>
      <c r="S80" t="str">
        <f t="shared" si="2"/>
        <v>Z</v>
      </c>
      <c r="T80" t="str">
        <f t="shared" si="3"/>
        <v>ACAZ</v>
      </c>
    </row>
    <row r="81" spans="2:20" x14ac:dyDescent="0.3">
      <c r="B81" s="3" t="s">
        <v>92</v>
      </c>
      <c r="C81" s="4">
        <v>582</v>
      </c>
      <c r="D81" s="4">
        <v>688.15</v>
      </c>
      <c r="E81" s="4">
        <v>956</v>
      </c>
      <c r="F81" s="15">
        <v>3.725966532565101E-2</v>
      </c>
      <c r="G81" s="7">
        <v>9.244494283546402E-2</v>
      </c>
      <c r="H81" s="6">
        <v>0.28017782426778243</v>
      </c>
      <c r="I81" t="s">
        <v>173</v>
      </c>
      <c r="J81" s="15">
        <v>4.7649658655988148E-4</v>
      </c>
      <c r="K81" s="8">
        <v>0.9980933507453289</v>
      </c>
      <c r="L81" t="s">
        <v>175</v>
      </c>
      <c r="M81" s="6">
        <v>0.28017782426778243</v>
      </c>
      <c r="N81" s="15">
        <v>7.1054958535920996E-3</v>
      </c>
      <c r="O81" s="8">
        <v>0.52848319962724899</v>
      </c>
      <c r="P81" t="s">
        <v>173</v>
      </c>
      <c r="Q81" t="s">
        <v>189</v>
      </c>
      <c r="R81" s="6">
        <v>1.2492865994756921</v>
      </c>
      <c r="S81" t="str">
        <f t="shared" si="2"/>
        <v>Z</v>
      </c>
      <c r="T81" t="str">
        <f t="shared" si="3"/>
        <v>ACAZ</v>
      </c>
    </row>
    <row r="82" spans="2:20" x14ac:dyDescent="0.3">
      <c r="B82" s="3" t="s">
        <v>82</v>
      </c>
      <c r="C82" s="4">
        <v>66</v>
      </c>
      <c r="D82" s="4">
        <v>2441.08</v>
      </c>
      <c r="E82" s="4">
        <v>3089</v>
      </c>
      <c r="F82" s="15">
        <v>4.225322871981043E-3</v>
      </c>
      <c r="G82" s="7">
        <v>0.78107333991372996</v>
      </c>
      <c r="H82" s="6">
        <v>0.20975072839106509</v>
      </c>
      <c r="I82" t="s">
        <v>173</v>
      </c>
      <c r="J82" s="15">
        <v>1.5396422132672319E-3</v>
      </c>
      <c r="K82" s="8">
        <v>0.96833356204504906</v>
      </c>
      <c r="L82" t="s">
        <v>175</v>
      </c>
      <c r="M82" s="6">
        <v>0.20975072839106509</v>
      </c>
      <c r="N82" s="15">
        <v>5.319417890283098E-3</v>
      </c>
      <c r="O82" s="8">
        <v>0.6850800624933967</v>
      </c>
      <c r="P82" t="s">
        <v>174</v>
      </c>
      <c r="Q82" t="s">
        <v>190</v>
      </c>
      <c r="R82" s="6">
        <v>1.4943403702450293</v>
      </c>
      <c r="S82" t="str">
        <f t="shared" si="2"/>
        <v>Z</v>
      </c>
      <c r="T82" t="str">
        <f t="shared" si="3"/>
        <v>ACBZ</v>
      </c>
    </row>
    <row r="83" spans="2:20" x14ac:dyDescent="0.3">
      <c r="B83" s="3" t="s">
        <v>130</v>
      </c>
      <c r="C83" s="4">
        <v>65</v>
      </c>
      <c r="D83" s="4">
        <v>1557.37</v>
      </c>
      <c r="E83" s="4">
        <v>1923</v>
      </c>
      <c r="F83" s="15">
        <v>4.161302828466178E-3</v>
      </c>
      <c r="G83" s="7">
        <v>0.79355724839912845</v>
      </c>
      <c r="H83" s="6">
        <v>0.19013520540821638</v>
      </c>
      <c r="I83" t="s">
        <v>173</v>
      </c>
      <c r="J83" s="15">
        <v>9.5847587442955229E-4</v>
      </c>
      <c r="K83" s="8">
        <v>0.98816417368902643</v>
      </c>
      <c r="L83" t="s">
        <v>175</v>
      </c>
      <c r="M83" s="6">
        <v>0.19013520540821638</v>
      </c>
      <c r="N83" s="15">
        <v>4.8219551892826774E-3</v>
      </c>
      <c r="O83" s="8">
        <v>0.76970060306561072</v>
      </c>
      <c r="P83" t="s">
        <v>174</v>
      </c>
      <c r="Q83" t="s">
        <v>190</v>
      </c>
      <c r="R83" s="6">
        <v>1.9040877060718335</v>
      </c>
      <c r="S83" t="str">
        <f t="shared" si="2"/>
        <v>Z</v>
      </c>
      <c r="T83" t="str">
        <f t="shared" si="3"/>
        <v>ACBZ</v>
      </c>
    </row>
    <row r="84" spans="2:20" x14ac:dyDescent="0.3">
      <c r="B84" s="3" t="s">
        <v>106</v>
      </c>
      <c r="C84" s="4">
        <v>72.8</v>
      </c>
      <c r="D84" s="4">
        <v>3103.42</v>
      </c>
      <c r="E84" s="4">
        <v>3820</v>
      </c>
      <c r="F84" s="15">
        <v>4.6606591678821198E-3</v>
      </c>
      <c r="G84" s="7">
        <v>0.73241810684243314</v>
      </c>
      <c r="H84" s="6">
        <v>0.18758638743455494</v>
      </c>
      <c r="I84" t="s">
        <v>173</v>
      </c>
      <c r="J84" s="15">
        <v>1.9039926366723296E-3</v>
      </c>
      <c r="K84" s="8">
        <v>0.95280156766180757</v>
      </c>
      <c r="L84" t="s">
        <v>175</v>
      </c>
      <c r="M84" s="6">
        <v>0.18758638743455494</v>
      </c>
      <c r="N84" s="15">
        <v>4.7573154713080566E-3</v>
      </c>
      <c r="O84" s="8">
        <v>0.77445791853691881</v>
      </c>
      <c r="P84" t="s">
        <v>174</v>
      </c>
      <c r="Q84" t="s">
        <v>190</v>
      </c>
      <c r="R84" s="6">
        <v>0.77974539013049293</v>
      </c>
      <c r="S84" t="str">
        <f t="shared" si="2"/>
        <v>Z</v>
      </c>
      <c r="T84" t="str">
        <f t="shared" si="3"/>
        <v>ACBZ</v>
      </c>
    </row>
    <row r="85" spans="2:20" x14ac:dyDescent="0.3">
      <c r="B85" s="3" t="s">
        <v>145</v>
      </c>
      <c r="C85" s="4">
        <v>94</v>
      </c>
      <c r="D85" s="4">
        <v>2378.1999999999998</v>
      </c>
      <c r="E85" s="4">
        <v>2914</v>
      </c>
      <c r="F85" s="15">
        <v>6.0178840903972429E-3</v>
      </c>
      <c r="G85" s="7">
        <v>0.61456360873591942</v>
      </c>
      <c r="H85" s="6">
        <v>0.18387096774193554</v>
      </c>
      <c r="I85" t="s">
        <v>173</v>
      </c>
      <c r="J85" s="15">
        <v>1.4524174197024001E-3</v>
      </c>
      <c r="K85" s="8">
        <v>0.96978597946475142</v>
      </c>
      <c r="L85" t="s">
        <v>175</v>
      </c>
      <c r="M85" s="6">
        <v>0.18387096774193554</v>
      </c>
      <c r="N85" s="15">
        <v>4.6630899583173149E-3</v>
      </c>
      <c r="O85" s="8">
        <v>0.80744039482626873</v>
      </c>
      <c r="P85" t="s">
        <v>174</v>
      </c>
      <c r="Q85" t="s">
        <v>190</v>
      </c>
      <c r="R85" s="6">
        <v>3.3514037011897857</v>
      </c>
      <c r="S85" t="str">
        <f t="shared" si="2"/>
        <v>Z</v>
      </c>
      <c r="T85" t="str">
        <f t="shared" si="3"/>
        <v>ACBZ</v>
      </c>
    </row>
    <row r="86" spans="2:20" x14ac:dyDescent="0.3">
      <c r="B86" s="3" t="s">
        <v>49</v>
      </c>
      <c r="C86" s="4">
        <v>127</v>
      </c>
      <c r="D86" s="4">
        <v>1966.28</v>
      </c>
      <c r="E86" s="4">
        <v>2403</v>
      </c>
      <c r="F86" s="15">
        <v>8.1305455263877644E-3</v>
      </c>
      <c r="G86" s="7">
        <v>0.49513101655036246</v>
      </c>
      <c r="H86" s="6">
        <v>0.18173949230129008</v>
      </c>
      <c r="I86" t="s">
        <v>173</v>
      </c>
      <c r="J86" s="15">
        <v>1.1977210224930911E-3</v>
      </c>
      <c r="K86" s="8">
        <v>0.97886026881146193</v>
      </c>
      <c r="L86" t="s">
        <v>175</v>
      </c>
      <c r="M86" s="6">
        <v>0.18173949230129008</v>
      </c>
      <c r="N86" s="15">
        <v>4.6090343243815456E-3</v>
      </c>
      <c r="O86" s="8">
        <v>0.81669482670171023</v>
      </c>
      <c r="P86" t="s">
        <v>174</v>
      </c>
      <c r="Q86" t="s">
        <v>190</v>
      </c>
      <c r="R86" s="6">
        <v>0.85258185106533002</v>
      </c>
      <c r="S86" t="str">
        <f t="shared" si="2"/>
        <v>Z</v>
      </c>
      <c r="T86" t="str">
        <f t="shared" si="3"/>
        <v>ACBZ</v>
      </c>
    </row>
    <row r="87" spans="2:20" x14ac:dyDescent="0.3">
      <c r="B87" s="3" t="s">
        <v>10</v>
      </c>
      <c r="C87" s="4">
        <v>85</v>
      </c>
      <c r="D87" s="4">
        <v>932.3</v>
      </c>
      <c r="E87" s="4">
        <v>1134</v>
      </c>
      <c r="F87" s="15">
        <v>5.4417036987634637E-3</v>
      </c>
      <c r="G87" s="7">
        <v>0.67666305094533785</v>
      </c>
      <c r="H87" s="6">
        <v>0.17786596119929457</v>
      </c>
      <c r="I87" t="s">
        <v>173</v>
      </c>
      <c r="J87" s="15">
        <v>5.6521666230011037E-4</v>
      </c>
      <c r="K87" s="8">
        <v>0.99657763304686808</v>
      </c>
      <c r="L87" t="s">
        <v>175</v>
      </c>
      <c r="M87" s="6">
        <v>0.17786596119929457</v>
      </c>
      <c r="N87" s="15">
        <v>4.5107990009546515E-3</v>
      </c>
      <c r="O87" s="8">
        <v>0.83941604826088678</v>
      </c>
      <c r="P87" t="s">
        <v>174</v>
      </c>
      <c r="Q87" t="s">
        <v>190</v>
      </c>
      <c r="R87" s="6">
        <v>0.94831381206344201</v>
      </c>
      <c r="S87" t="str">
        <f t="shared" si="2"/>
        <v>Z</v>
      </c>
      <c r="T87" t="str">
        <f t="shared" si="3"/>
        <v>ACBZ</v>
      </c>
    </row>
    <row r="88" spans="2:20" x14ac:dyDescent="0.3">
      <c r="B88" s="3" t="s">
        <v>118</v>
      </c>
      <c r="C88" s="4">
        <v>124</v>
      </c>
      <c r="D88" s="4">
        <v>1215.67</v>
      </c>
      <c r="E88" s="4">
        <v>1456</v>
      </c>
      <c r="F88" s="15">
        <v>7.9384853958431711E-3</v>
      </c>
      <c r="G88" s="7">
        <v>0.51100798734204878</v>
      </c>
      <c r="H88" s="6">
        <v>0.16506181318681315</v>
      </c>
      <c r="I88" t="s">
        <v>173</v>
      </c>
      <c r="J88" s="15">
        <v>7.2571028245940099E-4</v>
      </c>
      <c r="K88" s="8">
        <v>0.99540981766788295</v>
      </c>
      <c r="L88" t="s">
        <v>175</v>
      </c>
      <c r="M88" s="6">
        <v>0.16506181318681315</v>
      </c>
      <c r="N88" s="15">
        <v>4.1860772966255053E-3</v>
      </c>
      <c r="O88" s="8">
        <v>0.90810450716989755</v>
      </c>
      <c r="P88" t="s">
        <v>175</v>
      </c>
      <c r="Q88" t="s">
        <v>191</v>
      </c>
      <c r="R88" s="6">
        <v>0.90593944244621516</v>
      </c>
      <c r="S88" t="str">
        <f t="shared" si="2"/>
        <v>Z</v>
      </c>
      <c r="T88" t="str">
        <f t="shared" si="3"/>
        <v>ACCZ</v>
      </c>
    </row>
    <row r="89" spans="2:20" x14ac:dyDescent="0.3">
      <c r="B89" s="3" t="s">
        <v>153</v>
      </c>
      <c r="C89" s="4">
        <v>85</v>
      </c>
      <c r="D89" s="4">
        <v>876.3</v>
      </c>
      <c r="E89" s="4">
        <v>1029</v>
      </c>
      <c r="F89" s="15">
        <v>5.4417036987634637E-3</v>
      </c>
      <c r="G89" s="7">
        <v>0.67122134724657434</v>
      </c>
      <c r="H89" s="6">
        <v>0.14839650145772598</v>
      </c>
      <c r="I89" t="s">
        <v>173</v>
      </c>
      <c r="J89" s="15">
        <v>5.128817861612113E-4</v>
      </c>
      <c r="K89" s="8">
        <v>0.997616854158769</v>
      </c>
      <c r="L89" t="s">
        <v>175</v>
      </c>
      <c r="M89" s="6">
        <v>0.14839650145772598</v>
      </c>
      <c r="N89" s="15">
        <v>3.7634339139833721E-3</v>
      </c>
      <c r="O89" s="8">
        <v>0.96363008967858366</v>
      </c>
      <c r="P89" t="s">
        <v>175</v>
      </c>
      <c r="Q89" t="s">
        <v>191</v>
      </c>
      <c r="R89" s="6">
        <v>1.2159295236617491</v>
      </c>
      <c r="S89" t="str">
        <f t="shared" si="2"/>
        <v>Z</v>
      </c>
      <c r="T89" t="str">
        <f t="shared" si="3"/>
        <v>ACCZ</v>
      </c>
    </row>
    <row r="90" spans="2:20" x14ac:dyDescent="0.3">
      <c r="B90" s="3" t="s">
        <v>88</v>
      </c>
      <c r="C90" s="4">
        <v>55.600000000000009</v>
      </c>
      <c r="D90" s="4">
        <v>8332.39</v>
      </c>
      <c r="E90" s="4">
        <v>12840</v>
      </c>
      <c r="F90" s="15">
        <v>3.5595144194264547E-3</v>
      </c>
      <c r="G90" s="7">
        <v>0.85006133880534773</v>
      </c>
      <c r="H90" s="6">
        <v>0.35105996884735208</v>
      </c>
      <c r="I90" t="s">
        <v>174</v>
      </c>
      <c r="J90" s="15">
        <v>6.3998077106996627E-3</v>
      </c>
      <c r="K90" s="8">
        <v>0.72894836086868886</v>
      </c>
      <c r="L90" t="s">
        <v>173</v>
      </c>
      <c r="M90" s="6">
        <v>0.35105996884735208</v>
      </c>
      <c r="N90" s="15">
        <v>8.9031141544697497E-3</v>
      </c>
      <c r="O90" s="8">
        <v>0.41060414399246487</v>
      </c>
      <c r="P90" t="s">
        <v>173</v>
      </c>
      <c r="Q90" t="s">
        <v>192</v>
      </c>
      <c r="R90" s="6">
        <v>0.98437803617943609</v>
      </c>
      <c r="S90" t="str">
        <f t="shared" si="2"/>
        <v>Z</v>
      </c>
      <c r="T90" t="str">
        <f t="shared" si="3"/>
        <v>BAAZ</v>
      </c>
    </row>
    <row r="91" spans="2:20" x14ac:dyDescent="0.3">
      <c r="B91" s="3" t="s">
        <v>149</v>
      </c>
      <c r="C91" s="4">
        <v>60</v>
      </c>
      <c r="D91" s="4">
        <v>12972.09</v>
      </c>
      <c r="E91" s="4">
        <v>17835</v>
      </c>
      <c r="F91" s="15">
        <v>3.8412026108918568E-3</v>
      </c>
      <c r="G91" s="7">
        <v>0.80546497649289317</v>
      </c>
      <c r="H91" s="6">
        <v>0.27266105971404542</v>
      </c>
      <c r="I91" t="s">
        <v>174</v>
      </c>
      <c r="J91" s="15">
        <v>8.8894525327358632E-3</v>
      </c>
      <c r="K91" s="8">
        <v>0.64936449411005359</v>
      </c>
      <c r="L91" t="s">
        <v>173</v>
      </c>
      <c r="M91" s="6">
        <v>0.27266105971404542</v>
      </c>
      <c r="N91" s="15">
        <v>6.9148657082242814E-3</v>
      </c>
      <c r="O91" s="8">
        <v>0.57736798176057103</v>
      </c>
      <c r="P91" t="s">
        <v>173</v>
      </c>
      <c r="Q91" t="s">
        <v>192</v>
      </c>
      <c r="R91" s="6">
        <v>1.1297580609817646</v>
      </c>
      <c r="S91" t="str">
        <f t="shared" si="2"/>
        <v>Z</v>
      </c>
      <c r="T91" t="str">
        <f t="shared" si="3"/>
        <v>BAAZ</v>
      </c>
    </row>
    <row r="92" spans="2:20" x14ac:dyDescent="0.3">
      <c r="B92" s="3" t="s">
        <v>64</v>
      </c>
      <c r="C92" s="4">
        <v>51</v>
      </c>
      <c r="D92" s="4">
        <v>10283.200000000001</v>
      </c>
      <c r="E92" s="4">
        <v>14134</v>
      </c>
      <c r="F92" s="15">
        <v>3.2650222192580785E-3</v>
      </c>
      <c r="G92" s="7">
        <v>0.88059889958114401</v>
      </c>
      <c r="H92" s="6">
        <v>0.27244941276354884</v>
      </c>
      <c r="I92" t="s">
        <v>174</v>
      </c>
      <c r="J92" s="15">
        <v>7.0447727556876196E-3</v>
      </c>
      <c r="K92" s="8">
        <v>0.69565145726113709</v>
      </c>
      <c r="L92" t="s">
        <v>173</v>
      </c>
      <c r="M92" s="6">
        <v>0.27244941276354884</v>
      </c>
      <c r="N92" s="15">
        <v>6.9094982008810106E-3</v>
      </c>
      <c r="O92" s="8">
        <v>0.58427747996145207</v>
      </c>
      <c r="P92" t="s">
        <v>173</v>
      </c>
      <c r="Q92" t="s">
        <v>192</v>
      </c>
      <c r="R92" s="6">
        <v>0.88783837607337535</v>
      </c>
      <c r="S92" t="str">
        <f t="shared" si="2"/>
        <v>Z</v>
      </c>
      <c r="T92" t="str">
        <f t="shared" si="3"/>
        <v>BAAZ</v>
      </c>
    </row>
    <row r="93" spans="2:20" x14ac:dyDescent="0.3">
      <c r="B93" s="3" t="s">
        <v>128</v>
      </c>
      <c r="C93" s="4">
        <v>48</v>
      </c>
      <c r="D93" s="4">
        <v>13435.91</v>
      </c>
      <c r="E93" s="4">
        <v>18104.169999999998</v>
      </c>
      <c r="F93" s="15">
        <v>3.0729620887134856E-3</v>
      </c>
      <c r="G93" s="7">
        <v>0.92227594792852674</v>
      </c>
      <c r="H93" s="6">
        <v>0.2578555106364997</v>
      </c>
      <c r="I93" t="s">
        <v>174</v>
      </c>
      <c r="J93" s="15">
        <v>9.0236142337864096E-3</v>
      </c>
      <c r="K93" s="8">
        <v>0.63152534911000902</v>
      </c>
      <c r="L93" t="s">
        <v>173</v>
      </c>
      <c r="M93" s="6">
        <v>0.2578555106364997</v>
      </c>
      <c r="N93" s="15">
        <v>6.539387142582666E-3</v>
      </c>
      <c r="O93" s="8">
        <v>0.6044543769821904</v>
      </c>
      <c r="P93" t="s">
        <v>174</v>
      </c>
      <c r="Q93" t="s">
        <v>193</v>
      </c>
      <c r="R93" s="6">
        <v>1.0708518322922398</v>
      </c>
      <c r="S93" t="str">
        <f t="shared" si="2"/>
        <v>Z</v>
      </c>
      <c r="T93" t="str">
        <f t="shared" si="3"/>
        <v>BABZ</v>
      </c>
    </row>
    <row r="94" spans="2:20" x14ac:dyDescent="0.3">
      <c r="B94" s="3" t="s">
        <v>136</v>
      </c>
      <c r="C94" s="4">
        <v>55</v>
      </c>
      <c r="D94" s="4">
        <v>16558.79</v>
      </c>
      <c r="E94" s="4">
        <v>22303</v>
      </c>
      <c r="F94" s="15">
        <v>3.5211023933175356E-3</v>
      </c>
      <c r="G94" s="7">
        <v>0.85358244119866522</v>
      </c>
      <c r="H94" s="6">
        <v>0.25755324395821189</v>
      </c>
      <c r="I94" t="s">
        <v>174</v>
      </c>
      <c r="J94" s="15">
        <v>1.1116426119293971E-2</v>
      </c>
      <c r="K94" s="8">
        <v>0.56209720961007092</v>
      </c>
      <c r="L94" t="s">
        <v>173</v>
      </c>
      <c r="M94" s="6">
        <v>0.25755324395821189</v>
      </c>
      <c r="N94" s="15">
        <v>6.531721458708983E-3</v>
      </c>
      <c r="O94" s="8">
        <v>0.61098609844089935</v>
      </c>
      <c r="P94" t="s">
        <v>174</v>
      </c>
      <c r="Q94" t="s">
        <v>193</v>
      </c>
      <c r="R94" s="6">
        <v>0.73076086588045497</v>
      </c>
      <c r="S94" t="str">
        <f t="shared" si="2"/>
        <v>Z</v>
      </c>
      <c r="T94" t="str">
        <f t="shared" si="3"/>
        <v>BABZ</v>
      </c>
    </row>
    <row r="95" spans="2:20" x14ac:dyDescent="0.3">
      <c r="B95" s="3" t="s">
        <v>29</v>
      </c>
      <c r="C95" s="4">
        <v>53.000000299999996</v>
      </c>
      <c r="D95" s="4">
        <v>26337.07</v>
      </c>
      <c r="E95" s="4">
        <v>34956</v>
      </c>
      <c r="F95" s="15">
        <v>3.3930623254938199E-3</v>
      </c>
      <c r="G95" s="7">
        <v>0.86388966822376445</v>
      </c>
      <c r="H95" s="6">
        <v>0.24656511042453372</v>
      </c>
      <c r="I95" t="s">
        <v>174</v>
      </c>
      <c r="J95" s="15">
        <v>1.7423027907727213E-2</v>
      </c>
      <c r="K95" s="8">
        <v>0.38275872762811142</v>
      </c>
      <c r="L95" t="s">
        <v>173</v>
      </c>
      <c r="M95" s="6">
        <v>0.24656511042453372</v>
      </c>
      <c r="N95" s="15">
        <v>6.2530550886409344E-3</v>
      </c>
      <c r="O95" s="8">
        <v>0.61723915352954029</v>
      </c>
      <c r="P95" t="s">
        <v>174</v>
      </c>
      <c r="Q95" t="s">
        <v>193</v>
      </c>
      <c r="R95" s="6">
        <v>1.072620330757762</v>
      </c>
      <c r="S95" t="str">
        <f t="shared" si="2"/>
        <v>Z</v>
      </c>
      <c r="T95" t="str">
        <f t="shared" si="3"/>
        <v>BABZ</v>
      </c>
    </row>
    <row r="96" spans="2:20" x14ac:dyDescent="0.3">
      <c r="B96" s="3" t="s">
        <v>97</v>
      </c>
      <c r="C96" s="4">
        <v>54</v>
      </c>
      <c r="D96" s="4">
        <v>23052.03</v>
      </c>
      <c r="E96" s="4">
        <v>30216</v>
      </c>
      <c r="F96" s="15">
        <v>3.4570823498026714E-3</v>
      </c>
      <c r="G96" s="7">
        <v>0.86049660589827059</v>
      </c>
      <c r="H96" s="6">
        <v>0.23709193804606835</v>
      </c>
      <c r="I96" t="s">
        <v>174</v>
      </c>
      <c r="J96" s="15">
        <v>1.5060482070599767E-2</v>
      </c>
      <c r="K96" s="8">
        <v>0.44759615646289769</v>
      </c>
      <c r="L96" t="s">
        <v>173</v>
      </c>
      <c r="M96" s="6">
        <v>0.23709193804606835</v>
      </c>
      <c r="N96" s="15">
        <v>6.0128091404419246E-3</v>
      </c>
      <c r="O96" s="8">
        <v>0.63560872028519599</v>
      </c>
      <c r="P96" t="s">
        <v>174</v>
      </c>
      <c r="Q96" t="s">
        <v>193</v>
      </c>
      <c r="R96" s="6">
        <v>1.0812707127872923</v>
      </c>
      <c r="S96" t="str">
        <f t="shared" si="2"/>
        <v>Z</v>
      </c>
      <c r="T96" t="str">
        <f t="shared" si="3"/>
        <v>BABZ</v>
      </c>
    </row>
    <row r="97" spans="2:20" x14ac:dyDescent="0.3">
      <c r="B97" s="3" t="s">
        <v>54</v>
      </c>
      <c r="C97" s="4">
        <v>60</v>
      </c>
      <c r="D97" s="4">
        <v>40916.019999999997</v>
      </c>
      <c r="E97" s="4">
        <v>52823</v>
      </c>
      <c r="F97" s="15">
        <v>3.8412026108918568E-3</v>
      </c>
      <c r="G97" s="7">
        <v>0.81314738171467682</v>
      </c>
      <c r="H97" s="6">
        <v>0.22541279366942438</v>
      </c>
      <c r="I97" t="s">
        <v>174</v>
      </c>
      <c r="J97" s="15">
        <v>2.6328430117000645E-2</v>
      </c>
      <c r="K97" s="8">
        <v>0.20762591118259136</v>
      </c>
      <c r="L97" t="s">
        <v>173</v>
      </c>
      <c r="M97" s="6">
        <v>0.22541279366942438</v>
      </c>
      <c r="N97" s="15">
        <v>5.716618276091317E-3</v>
      </c>
      <c r="O97" s="8">
        <v>0.64705395885947392</v>
      </c>
      <c r="P97" t="s">
        <v>174</v>
      </c>
      <c r="Q97" t="s">
        <v>193</v>
      </c>
      <c r="R97" s="6">
        <v>0.89315216940944486</v>
      </c>
      <c r="S97" t="str">
        <f t="shared" si="2"/>
        <v>Z</v>
      </c>
      <c r="T97" t="str">
        <f t="shared" si="3"/>
        <v>BABZ</v>
      </c>
    </row>
    <row r="98" spans="2:20" x14ac:dyDescent="0.3">
      <c r="B98" s="3" t="s">
        <v>84</v>
      </c>
      <c r="C98" s="4">
        <v>58</v>
      </c>
      <c r="D98" s="4">
        <v>9325.17</v>
      </c>
      <c r="E98" s="4">
        <v>11467</v>
      </c>
      <c r="F98" s="15">
        <v>3.7131625238621285E-3</v>
      </c>
      <c r="G98" s="7">
        <v>0.83190525446453212</v>
      </c>
      <c r="H98" s="6">
        <v>0.1867820702886544</v>
      </c>
      <c r="I98" t="s">
        <v>174</v>
      </c>
      <c r="J98" s="15">
        <v>5.7154669017595826E-3</v>
      </c>
      <c r="K98" s="8">
        <v>0.75864399697937057</v>
      </c>
      <c r="L98" t="s">
        <v>173</v>
      </c>
      <c r="M98" s="6">
        <v>0.1867820702886544</v>
      </c>
      <c r="N98" s="15">
        <v>4.736917453870006E-3</v>
      </c>
      <c r="O98" s="8">
        <v>0.78394481994406207</v>
      </c>
      <c r="P98" t="s">
        <v>174</v>
      </c>
      <c r="Q98" t="s">
        <v>193</v>
      </c>
      <c r="R98" s="6">
        <v>0.90998572881510298</v>
      </c>
      <c r="S98" t="str">
        <f t="shared" si="2"/>
        <v>Z</v>
      </c>
      <c r="T98" t="str">
        <f t="shared" si="3"/>
        <v>BABZ</v>
      </c>
    </row>
    <row r="99" spans="2:20" x14ac:dyDescent="0.3">
      <c r="B99" s="3" t="s">
        <v>70</v>
      </c>
      <c r="C99" s="4">
        <v>58</v>
      </c>
      <c r="D99" s="4">
        <v>9816.2800000000007</v>
      </c>
      <c r="E99" s="4">
        <v>11850.66</v>
      </c>
      <c r="F99" s="15">
        <v>3.7131625238621285E-3</v>
      </c>
      <c r="G99" s="7">
        <v>0.83561841698839423</v>
      </c>
      <c r="H99" s="6">
        <v>0.1716680758708797</v>
      </c>
      <c r="I99" t="s">
        <v>174</v>
      </c>
      <c r="J99" s="15">
        <v>5.9066935548972013E-3</v>
      </c>
      <c r="K99" s="8">
        <v>0.74715424874361913</v>
      </c>
      <c r="L99" t="s">
        <v>173</v>
      </c>
      <c r="M99" s="6">
        <v>0.1716680758708797</v>
      </c>
      <c r="N99" s="15">
        <v>4.3536165093810125E-3</v>
      </c>
      <c r="O99" s="8">
        <v>0.85704814408350249</v>
      </c>
      <c r="P99" t="s">
        <v>174</v>
      </c>
      <c r="Q99" t="s">
        <v>193</v>
      </c>
      <c r="R99" s="6">
        <v>0.92329031955136487</v>
      </c>
      <c r="S99" t="str">
        <f t="shared" si="2"/>
        <v>Z</v>
      </c>
      <c r="T99" t="str">
        <f t="shared" si="3"/>
        <v>BABZ</v>
      </c>
    </row>
    <row r="100" spans="2:20" x14ac:dyDescent="0.3">
      <c r="B100" s="3" t="s">
        <v>40</v>
      </c>
      <c r="C100" s="4">
        <v>50</v>
      </c>
      <c r="D100" s="4">
        <v>8780.7000000000007</v>
      </c>
      <c r="E100" s="4">
        <v>10529</v>
      </c>
      <c r="F100" s="15">
        <v>3.2010021757432139E-3</v>
      </c>
      <c r="G100" s="7">
        <v>0.90332601504812682</v>
      </c>
      <c r="H100" s="6">
        <v>0.16604615822965138</v>
      </c>
      <c r="I100" t="s">
        <v>174</v>
      </c>
      <c r="J100" s="15">
        <v>5.2479420082520833E-3</v>
      </c>
      <c r="K100" s="8">
        <v>0.77478307592582341</v>
      </c>
      <c r="L100" t="s">
        <v>173</v>
      </c>
      <c r="M100" s="6">
        <v>0.16604615822965138</v>
      </c>
      <c r="N100" s="15">
        <v>4.2110409411918442E-3</v>
      </c>
      <c r="O100" s="8">
        <v>0.90391842987327209</v>
      </c>
      <c r="P100" t="s">
        <v>175</v>
      </c>
      <c r="Q100" t="s">
        <v>194</v>
      </c>
      <c r="R100" s="6">
        <v>1.0046047826039697</v>
      </c>
      <c r="S100" t="str">
        <f t="shared" si="2"/>
        <v>Z</v>
      </c>
      <c r="T100" t="str">
        <f t="shared" si="3"/>
        <v>BACZ</v>
      </c>
    </row>
    <row r="101" spans="2:20" x14ac:dyDescent="0.3">
      <c r="B101" s="3" t="s">
        <v>17</v>
      </c>
      <c r="C101" s="4">
        <v>47</v>
      </c>
      <c r="D101" s="4">
        <v>18371.259999999998</v>
      </c>
      <c r="E101" s="4">
        <v>21998</v>
      </c>
      <c r="F101" s="15">
        <v>3.0089420451986214E-3</v>
      </c>
      <c r="G101" s="7">
        <v>0.93751271828506433</v>
      </c>
      <c r="H101" s="6">
        <v>0.16486680607327947</v>
      </c>
      <c r="I101" t="s">
        <v>174</v>
      </c>
      <c r="J101" s="15">
        <v>1.0964405764795264E-2</v>
      </c>
      <c r="K101" s="8">
        <v>0.57306161537486622</v>
      </c>
      <c r="L101" t="s">
        <v>173</v>
      </c>
      <c r="M101" s="6">
        <v>0.16486680607327947</v>
      </c>
      <c r="N101" s="15">
        <v>4.1811317866078737E-3</v>
      </c>
      <c r="O101" s="8">
        <v>0.91228563895650538</v>
      </c>
      <c r="P101" t="s">
        <v>175</v>
      </c>
      <c r="Q101" t="s">
        <v>194</v>
      </c>
      <c r="R101" s="6">
        <v>0.99935557464721858</v>
      </c>
      <c r="S101" t="str">
        <f t="shared" si="2"/>
        <v>Z</v>
      </c>
      <c r="T101" t="str">
        <f t="shared" si="3"/>
        <v>BACZ</v>
      </c>
    </row>
    <row r="102" spans="2:20" x14ac:dyDescent="0.3">
      <c r="B102" s="3" t="s">
        <v>83</v>
      </c>
      <c r="C102" s="4">
        <v>57</v>
      </c>
      <c r="D102" s="4">
        <v>11768.99</v>
      </c>
      <c r="E102" s="4">
        <v>13892</v>
      </c>
      <c r="F102" s="15">
        <v>3.6491424803472643E-3</v>
      </c>
      <c r="G102" s="7">
        <v>0.83926755946874154</v>
      </c>
      <c r="H102" s="6">
        <v>0.15282248776274115</v>
      </c>
      <c r="I102" t="s">
        <v>174</v>
      </c>
      <c r="J102" s="15">
        <v>6.9241533268722521E-3</v>
      </c>
      <c r="K102" s="8">
        <v>0.70257561058800932</v>
      </c>
      <c r="L102" t="s">
        <v>173</v>
      </c>
      <c r="M102" s="6">
        <v>0.15282248776274115</v>
      </c>
      <c r="N102" s="15">
        <v>3.8756798685678552E-3</v>
      </c>
      <c r="O102" s="8">
        <v>0.94829305352148074</v>
      </c>
      <c r="P102" t="s">
        <v>175</v>
      </c>
      <c r="Q102" t="s">
        <v>194</v>
      </c>
      <c r="R102" s="6">
        <v>1.0285136276282456</v>
      </c>
      <c r="S102" t="str">
        <f t="shared" si="2"/>
        <v>Z</v>
      </c>
      <c r="T102" t="str">
        <f t="shared" si="3"/>
        <v>BACZ</v>
      </c>
    </row>
    <row r="103" spans="2:20" x14ac:dyDescent="0.3">
      <c r="B103" s="3" t="s">
        <v>112</v>
      </c>
      <c r="C103" s="4">
        <v>53</v>
      </c>
      <c r="D103" s="4">
        <v>14785.51</v>
      </c>
      <c r="E103" s="4">
        <v>17327.46</v>
      </c>
      <c r="F103" s="15">
        <v>3.3930623062878068E-3</v>
      </c>
      <c r="G103" s="7">
        <v>0.86728273053005223</v>
      </c>
      <c r="H103" s="6">
        <v>0.14670067049642585</v>
      </c>
      <c r="I103" t="s">
        <v>174</v>
      </c>
      <c r="J103" s="15">
        <v>8.6364806943021784E-3</v>
      </c>
      <c r="K103" s="8">
        <v>0.65800097480435582</v>
      </c>
      <c r="L103" t="s">
        <v>173</v>
      </c>
      <c r="M103" s="6">
        <v>0.14670067049642585</v>
      </c>
      <c r="N103" s="15">
        <v>3.7204265136104057E-3</v>
      </c>
      <c r="O103" s="8">
        <v>0.96735051619219403</v>
      </c>
      <c r="P103" t="s">
        <v>175</v>
      </c>
      <c r="Q103" t="s">
        <v>194</v>
      </c>
      <c r="R103" s="6">
        <v>0.86114599129631408</v>
      </c>
      <c r="S103" t="str">
        <f t="shared" si="2"/>
        <v>Z</v>
      </c>
      <c r="T103" t="str">
        <f t="shared" si="3"/>
        <v>BACZ</v>
      </c>
    </row>
    <row r="104" spans="2:20" x14ac:dyDescent="0.3">
      <c r="B104" s="3" t="s">
        <v>87</v>
      </c>
      <c r="C104" s="4">
        <v>56</v>
      </c>
      <c r="D104" s="4">
        <v>18814.900000000001</v>
      </c>
      <c r="E104" s="4">
        <v>21859</v>
      </c>
      <c r="F104" s="15">
        <v>3.5851224368323997E-3</v>
      </c>
      <c r="G104" s="7">
        <v>0.84650182438592125</v>
      </c>
      <c r="H104" s="6">
        <v>0.13926071640971677</v>
      </c>
      <c r="I104" t="s">
        <v>174</v>
      </c>
      <c r="J104" s="15">
        <v>1.0895124357335197E-2</v>
      </c>
      <c r="K104" s="8">
        <v>0.58395673973220141</v>
      </c>
      <c r="L104" t="s">
        <v>173</v>
      </c>
      <c r="M104" s="6">
        <v>0.13926071640971677</v>
      </c>
      <c r="N104" s="15">
        <v>3.5317443327412259E-3</v>
      </c>
      <c r="O104" s="8">
        <v>0.98542281127320142</v>
      </c>
      <c r="P104" t="s">
        <v>175</v>
      </c>
      <c r="Q104" t="s">
        <v>194</v>
      </c>
      <c r="R104" s="6">
        <v>1.0204604905473724</v>
      </c>
      <c r="S104" t="str">
        <f t="shared" si="2"/>
        <v>Z</v>
      </c>
      <c r="T104" t="str">
        <f t="shared" si="3"/>
        <v>BACZ</v>
      </c>
    </row>
    <row r="105" spans="2:20" x14ac:dyDescent="0.3">
      <c r="B105" s="3" t="s">
        <v>42</v>
      </c>
      <c r="C105" s="4">
        <v>52</v>
      </c>
      <c r="D105" s="4">
        <v>30049.48</v>
      </c>
      <c r="E105" s="4">
        <v>34409</v>
      </c>
      <c r="F105" s="15">
        <v>3.3290422627729427E-3</v>
      </c>
      <c r="G105" s="7">
        <v>0.87733387736188595</v>
      </c>
      <c r="H105" s="6">
        <v>0.12669708506495395</v>
      </c>
      <c r="I105" t="s">
        <v>174</v>
      </c>
      <c r="J105" s="15">
        <v>1.7150388124413139E-2</v>
      </c>
      <c r="K105" s="8">
        <v>0.39990911575252458</v>
      </c>
      <c r="L105" t="s">
        <v>173</v>
      </c>
      <c r="M105" s="6">
        <v>0.12669708506495395</v>
      </c>
      <c r="N105" s="15">
        <v>3.2131222909733857E-3</v>
      </c>
      <c r="O105" s="8">
        <v>0.99208404467753719</v>
      </c>
      <c r="P105" t="s">
        <v>175</v>
      </c>
      <c r="Q105" t="s">
        <v>194</v>
      </c>
      <c r="R105" s="6">
        <v>1.0187142824453181</v>
      </c>
      <c r="S105" t="str">
        <f t="shared" si="2"/>
        <v>Z</v>
      </c>
      <c r="T105" t="str">
        <f t="shared" si="3"/>
        <v>BACZ</v>
      </c>
    </row>
    <row r="106" spans="2:20" x14ac:dyDescent="0.3">
      <c r="B106" s="3" t="s">
        <v>150</v>
      </c>
      <c r="C106" s="4">
        <v>59</v>
      </c>
      <c r="D106" s="4">
        <v>4092</v>
      </c>
      <c r="E106" s="4">
        <v>6403</v>
      </c>
      <c r="F106" s="15">
        <v>3.7771825673769926E-3</v>
      </c>
      <c r="G106" s="7">
        <v>0.82447892941680789</v>
      </c>
      <c r="H106" s="6">
        <v>0.36092456660940186</v>
      </c>
      <c r="I106" t="s">
        <v>174</v>
      </c>
      <c r="J106" s="15">
        <v>3.1914305896892478E-3</v>
      </c>
      <c r="K106" s="8">
        <v>0.87590281399545067</v>
      </c>
      <c r="L106" t="s">
        <v>174</v>
      </c>
      <c r="M106" s="6">
        <v>0.36092456660940186</v>
      </c>
      <c r="N106" s="15">
        <v>9.1532869105712695E-3</v>
      </c>
      <c r="O106" s="8">
        <v>0.25721637092744909</v>
      </c>
      <c r="P106" t="s">
        <v>173</v>
      </c>
      <c r="Q106" t="s">
        <v>195</v>
      </c>
      <c r="R106" s="6">
        <v>1.1589921024102887</v>
      </c>
      <c r="S106" t="str">
        <f t="shared" si="2"/>
        <v>Z</v>
      </c>
      <c r="T106" t="str">
        <f t="shared" si="3"/>
        <v>BBAZ</v>
      </c>
    </row>
    <row r="107" spans="2:20" x14ac:dyDescent="0.3">
      <c r="B107" s="3" t="s">
        <v>27</v>
      </c>
      <c r="C107" s="4">
        <v>58</v>
      </c>
      <c r="D107" s="4">
        <v>5817.67</v>
      </c>
      <c r="E107" s="4">
        <v>8925</v>
      </c>
      <c r="F107" s="15">
        <v>3.7131625238621285E-3</v>
      </c>
      <c r="G107" s="7">
        <v>0.82819209194067001</v>
      </c>
      <c r="H107" s="6">
        <v>0.34816022408963587</v>
      </c>
      <c r="I107" t="s">
        <v>174</v>
      </c>
      <c r="J107" s="15">
        <v>4.4484644718064247E-3</v>
      </c>
      <c r="K107" s="8">
        <v>0.81263430499892575</v>
      </c>
      <c r="L107" t="s">
        <v>174</v>
      </c>
      <c r="M107" s="6">
        <v>0.34816022408963587</v>
      </c>
      <c r="N107" s="15">
        <v>8.8295746999955248E-3</v>
      </c>
      <c r="O107" s="8">
        <v>0.41943371869246038</v>
      </c>
      <c r="P107" t="s">
        <v>173</v>
      </c>
      <c r="Q107" t="s">
        <v>195</v>
      </c>
      <c r="R107" s="6">
        <v>1.2092310376557296</v>
      </c>
      <c r="S107" t="str">
        <f t="shared" si="2"/>
        <v>Z</v>
      </c>
      <c r="T107" t="str">
        <f t="shared" si="3"/>
        <v>BBAZ</v>
      </c>
    </row>
    <row r="108" spans="2:20" x14ac:dyDescent="0.3">
      <c r="B108" s="3" t="s">
        <v>89</v>
      </c>
      <c r="C108" s="4">
        <v>44</v>
      </c>
      <c r="D108" s="4">
        <v>3502.29</v>
      </c>
      <c r="E108" s="4">
        <v>5058</v>
      </c>
      <c r="F108" s="15">
        <v>2.8168819146540285E-3</v>
      </c>
      <c r="G108" s="7">
        <v>0.9489082860307102</v>
      </c>
      <c r="H108" s="6">
        <v>0.3075741399762752</v>
      </c>
      <c r="I108" t="s">
        <v>174</v>
      </c>
      <c r="J108" s="15">
        <v>2.5210457477195403E-3</v>
      </c>
      <c r="K108" s="8">
        <v>0.91827469976378751</v>
      </c>
      <c r="L108" t="s">
        <v>174</v>
      </c>
      <c r="M108" s="6">
        <v>0.3075741399762752</v>
      </c>
      <c r="N108" s="15">
        <v>7.8002846298956202E-3</v>
      </c>
      <c r="O108" s="8">
        <v>0.47621083956251192</v>
      </c>
      <c r="P108" t="s">
        <v>173</v>
      </c>
      <c r="Q108" t="s">
        <v>195</v>
      </c>
      <c r="R108" s="6">
        <v>1.1048065822730908</v>
      </c>
      <c r="S108" t="str">
        <f t="shared" si="2"/>
        <v>Z</v>
      </c>
      <c r="T108" t="str">
        <f t="shared" si="3"/>
        <v>BBAZ</v>
      </c>
    </row>
    <row r="109" spans="2:20" x14ac:dyDescent="0.3">
      <c r="B109" s="3" t="s">
        <v>96</v>
      </c>
      <c r="C109" s="4">
        <v>51</v>
      </c>
      <c r="D109" s="4">
        <v>3690.04</v>
      </c>
      <c r="E109" s="4">
        <v>5305</v>
      </c>
      <c r="F109" s="15">
        <v>3.2650222192580785E-3</v>
      </c>
      <c r="G109" s="7">
        <v>0.89365898845817626</v>
      </c>
      <c r="H109" s="6">
        <v>0.30442224316682376</v>
      </c>
      <c r="I109" t="s">
        <v>174</v>
      </c>
      <c r="J109" s="15">
        <v>2.644157313493903E-3</v>
      </c>
      <c r="K109" s="8">
        <v>0.90792975949861576</v>
      </c>
      <c r="L109" t="s">
        <v>174</v>
      </c>
      <c r="M109" s="6">
        <v>0.30442224316682376</v>
      </c>
      <c r="N109" s="15">
        <v>7.7203504317875562E-3</v>
      </c>
      <c r="O109" s="8">
        <v>0.49947581862921658</v>
      </c>
      <c r="P109" t="s">
        <v>173</v>
      </c>
      <c r="Q109" t="s">
        <v>195</v>
      </c>
      <c r="R109" s="6">
        <v>0.88783837607337535</v>
      </c>
      <c r="S109" t="str">
        <f t="shared" si="2"/>
        <v>Z</v>
      </c>
      <c r="T109" t="str">
        <f t="shared" si="3"/>
        <v>BBAZ</v>
      </c>
    </row>
    <row r="110" spans="2:20" x14ac:dyDescent="0.3">
      <c r="B110" s="3" t="s">
        <v>147</v>
      </c>
      <c r="C110" s="4">
        <v>48</v>
      </c>
      <c r="D110" s="4">
        <v>6547.66</v>
      </c>
      <c r="E110" s="4">
        <v>9080</v>
      </c>
      <c r="F110" s="15">
        <v>3.0729620887134856E-3</v>
      </c>
      <c r="G110" s="7">
        <v>0.92842187210595362</v>
      </c>
      <c r="H110" s="6">
        <v>0.27889207048458153</v>
      </c>
      <c r="I110" t="s">
        <v>174</v>
      </c>
      <c r="J110" s="15">
        <v>4.5257207175352756E-3</v>
      </c>
      <c r="K110" s="8">
        <v>0.80371961210306919</v>
      </c>
      <c r="L110" t="s">
        <v>174</v>
      </c>
      <c r="M110" s="6">
        <v>0.27889207048458153</v>
      </c>
      <c r="N110" s="15">
        <v>7.0728882830281186E-3</v>
      </c>
      <c r="O110" s="8">
        <v>0.54265943525929261</v>
      </c>
      <c r="P110" t="s">
        <v>173</v>
      </c>
      <c r="Q110" t="s">
        <v>195</v>
      </c>
      <c r="R110" s="6">
        <v>1.0540925533894598</v>
      </c>
      <c r="S110" t="str">
        <f t="shared" si="2"/>
        <v>Z</v>
      </c>
      <c r="T110" t="str">
        <f t="shared" si="3"/>
        <v>BBAZ</v>
      </c>
    </row>
    <row r="111" spans="2:20" x14ac:dyDescent="0.3">
      <c r="B111" s="3" t="s">
        <v>152</v>
      </c>
      <c r="C111" s="4">
        <v>49</v>
      </c>
      <c r="D111" s="4">
        <v>5524.06</v>
      </c>
      <c r="E111" s="4">
        <v>6901</v>
      </c>
      <c r="F111" s="15">
        <v>3.1369821322283498E-3</v>
      </c>
      <c r="G111" s="7">
        <v>0.91606600370758495</v>
      </c>
      <c r="H111" s="6">
        <v>0.19952760469497169</v>
      </c>
      <c r="I111" t="s">
        <v>174</v>
      </c>
      <c r="J111" s="15">
        <v>3.4396474308051694E-3</v>
      </c>
      <c r="K111" s="8">
        <v>0.85614796331502641</v>
      </c>
      <c r="L111" t="s">
        <v>174</v>
      </c>
      <c r="M111" s="6">
        <v>0.19952760469497169</v>
      </c>
      <c r="N111" s="15">
        <v>5.0601526781872104E-3</v>
      </c>
      <c r="O111" s="8">
        <v>0.70581052315764436</v>
      </c>
      <c r="P111" t="s">
        <v>174</v>
      </c>
      <c r="Q111" t="s">
        <v>196</v>
      </c>
      <c r="R111" s="6">
        <v>0.79485095271745776</v>
      </c>
      <c r="S111" t="str">
        <f t="shared" si="2"/>
        <v>Z</v>
      </c>
      <c r="T111" t="str">
        <f t="shared" si="3"/>
        <v>BBBZ</v>
      </c>
    </row>
    <row r="112" spans="2:20" x14ac:dyDescent="0.3">
      <c r="B112" s="3" t="s">
        <v>123</v>
      </c>
      <c r="C112" s="4">
        <v>51</v>
      </c>
      <c r="D112" s="4">
        <v>3222.72</v>
      </c>
      <c r="E112" s="4">
        <v>4019</v>
      </c>
      <c r="F112" s="15">
        <v>3.2650222192580785E-3</v>
      </c>
      <c r="G112" s="7">
        <v>0.89692401067743432</v>
      </c>
      <c r="H112" s="6">
        <v>0.19812888778303064</v>
      </c>
      <c r="I112" t="s">
        <v>174</v>
      </c>
      <c r="J112" s="15">
        <v>2.0031796876403382E-3</v>
      </c>
      <c r="K112" s="8">
        <v>0.94899238616272263</v>
      </c>
      <c r="L112" t="s">
        <v>174</v>
      </c>
      <c r="M112" s="6">
        <v>0.19812888778303064</v>
      </c>
      <c r="N112" s="15">
        <v>5.0246802875934162E-3</v>
      </c>
      <c r="O112" s="8">
        <v>0.72091693586970451</v>
      </c>
      <c r="P112" t="s">
        <v>174</v>
      </c>
      <c r="Q112" t="s">
        <v>196</v>
      </c>
      <c r="R112" s="6">
        <v>1.1912925871399387</v>
      </c>
      <c r="S112" t="str">
        <f t="shared" si="2"/>
        <v>Z</v>
      </c>
      <c r="T112" t="str">
        <f t="shared" si="3"/>
        <v>BBBZ</v>
      </c>
    </row>
    <row r="113" spans="2:20" x14ac:dyDescent="0.3">
      <c r="B113" s="3" t="s">
        <v>114</v>
      </c>
      <c r="C113" s="4">
        <v>53</v>
      </c>
      <c r="D113" s="4">
        <v>3966.82</v>
      </c>
      <c r="E113" s="4">
        <v>4905</v>
      </c>
      <c r="F113" s="15">
        <v>3.3930623062878068E-3</v>
      </c>
      <c r="G113" s="7">
        <v>0.87067579283634</v>
      </c>
      <c r="H113" s="6">
        <v>0.19127013251783892</v>
      </c>
      <c r="I113" t="s">
        <v>174</v>
      </c>
      <c r="J113" s="15">
        <v>2.4447863567742872E-3</v>
      </c>
      <c r="K113" s="8">
        <v>0.92071948612056176</v>
      </c>
      <c r="L113" t="s">
        <v>174</v>
      </c>
      <c r="M113" s="6">
        <v>0.19127013251783892</v>
      </c>
      <c r="N113" s="15">
        <v>4.8507376951523956E-3</v>
      </c>
      <c r="O113" s="8">
        <v>0.75523327045594513</v>
      </c>
      <c r="P113" t="s">
        <v>174</v>
      </c>
      <c r="Q113" t="s">
        <v>196</v>
      </c>
      <c r="R113" s="6">
        <v>0.95751410211228749</v>
      </c>
      <c r="S113" t="str">
        <f t="shared" si="2"/>
        <v>Z</v>
      </c>
      <c r="T113" t="str">
        <f t="shared" si="3"/>
        <v>BBBZ</v>
      </c>
    </row>
    <row r="114" spans="2:20" x14ac:dyDescent="0.3">
      <c r="B114" s="3" t="s">
        <v>13</v>
      </c>
      <c r="C114" s="4">
        <v>60</v>
      </c>
      <c r="D114" s="4">
        <v>7254.28</v>
      </c>
      <c r="E114" s="4">
        <v>8736.869999999999</v>
      </c>
      <c r="F114" s="15">
        <v>3.8412026108918568E-3</v>
      </c>
      <c r="G114" s="7">
        <v>0.809306179103785</v>
      </c>
      <c r="H114" s="6">
        <v>0.16969349435209627</v>
      </c>
      <c r="I114" t="s">
        <v>174</v>
      </c>
      <c r="J114" s="15">
        <v>4.3546953265872707E-3</v>
      </c>
      <c r="K114" s="8">
        <v>0.82137516137334454</v>
      </c>
      <c r="L114" t="s">
        <v>174</v>
      </c>
      <c r="M114" s="6">
        <v>0.16969349435209627</v>
      </c>
      <c r="N114" s="15">
        <v>4.3035398095887922E-3</v>
      </c>
      <c r="O114" s="8">
        <v>0.87000024008785592</v>
      </c>
      <c r="P114" t="s">
        <v>174</v>
      </c>
      <c r="Q114" t="s">
        <v>196</v>
      </c>
      <c r="R114" s="6">
        <v>0.93064325393615033</v>
      </c>
      <c r="S114" t="str">
        <f t="shared" si="2"/>
        <v>Z</v>
      </c>
      <c r="T114" t="str">
        <f t="shared" si="3"/>
        <v>BBBZ</v>
      </c>
    </row>
    <row r="115" spans="2:20" x14ac:dyDescent="0.3">
      <c r="B115" s="3" t="s">
        <v>43</v>
      </c>
      <c r="C115" s="4">
        <v>50.000000299999996</v>
      </c>
      <c r="D115" s="4">
        <v>6998.93</v>
      </c>
      <c r="E115" s="4">
        <v>8396</v>
      </c>
      <c r="F115" s="15">
        <v>3.201002194949227E-3</v>
      </c>
      <c r="G115" s="7">
        <v>0.90012501287238356</v>
      </c>
      <c r="H115" s="6">
        <v>0.16639709385421625</v>
      </c>
      <c r="I115" t="s">
        <v>174</v>
      </c>
      <c r="J115" s="15">
        <v>4.1847963815447326E-3</v>
      </c>
      <c r="K115" s="8">
        <v>0.82555995775488933</v>
      </c>
      <c r="L115" t="s">
        <v>174</v>
      </c>
      <c r="M115" s="6">
        <v>0.16639709385421625</v>
      </c>
      <c r="N115" s="15">
        <v>4.2199409018926597E-3</v>
      </c>
      <c r="O115" s="8">
        <v>0.8954926212799087</v>
      </c>
      <c r="P115" t="s">
        <v>174</v>
      </c>
      <c r="Q115" t="s">
        <v>196</v>
      </c>
      <c r="R115" s="6">
        <v>1.0367602324123917</v>
      </c>
      <c r="S115" t="str">
        <f t="shared" si="2"/>
        <v>Z</v>
      </c>
      <c r="T115" t="str">
        <f t="shared" si="3"/>
        <v>BBBZ</v>
      </c>
    </row>
    <row r="116" spans="2:20" x14ac:dyDescent="0.3">
      <c r="B116" s="3" t="s">
        <v>154</v>
      </c>
      <c r="C116" s="4">
        <v>48</v>
      </c>
      <c r="D116" s="4">
        <v>6061.18</v>
      </c>
      <c r="E116" s="4">
        <v>7153.48</v>
      </c>
      <c r="F116" s="15">
        <v>3.0729620887134856E-3</v>
      </c>
      <c r="G116" s="7">
        <v>0.92534891001724018</v>
      </c>
      <c r="H116" s="6">
        <v>0.1526949121266851</v>
      </c>
      <c r="I116" t="s">
        <v>174</v>
      </c>
      <c r="J116" s="15">
        <v>3.5654903786865905E-3</v>
      </c>
      <c r="K116" s="8">
        <v>0.85270831588422125</v>
      </c>
      <c r="L116" t="s">
        <v>174</v>
      </c>
      <c r="M116" s="6">
        <v>0.1526949121266851</v>
      </c>
      <c r="N116" s="15">
        <v>3.8724444656397872E-3</v>
      </c>
      <c r="O116" s="8">
        <v>0.95216549798712058</v>
      </c>
      <c r="P116" t="s">
        <v>175</v>
      </c>
      <c r="Q116" t="s">
        <v>197</v>
      </c>
      <c r="R116" s="6">
        <v>1.3101619046988875</v>
      </c>
      <c r="S116" t="str">
        <f t="shared" si="2"/>
        <v>Z</v>
      </c>
      <c r="T116" t="str">
        <f t="shared" si="3"/>
        <v>BBCZ</v>
      </c>
    </row>
    <row r="117" spans="2:20" x14ac:dyDescent="0.3">
      <c r="B117" s="3" t="s">
        <v>109</v>
      </c>
      <c r="C117" s="4">
        <v>45</v>
      </c>
      <c r="D117" s="4">
        <v>3933.7</v>
      </c>
      <c r="E117" s="4">
        <v>4598</v>
      </c>
      <c r="F117" s="15">
        <v>2.8809019581688927E-3</v>
      </c>
      <c r="G117" s="7">
        <v>0.94039362024323325</v>
      </c>
      <c r="H117" s="6">
        <v>0.14447585906916055</v>
      </c>
      <c r="I117" t="s">
        <v>174</v>
      </c>
      <c r="J117" s="15">
        <v>2.2917691474919821E-3</v>
      </c>
      <c r="K117" s="8">
        <v>0.93009600688483751</v>
      </c>
      <c r="L117" t="s">
        <v>174</v>
      </c>
      <c r="M117" s="6">
        <v>0.14447585906916055</v>
      </c>
      <c r="N117" s="15">
        <v>3.6640038170148719E-3</v>
      </c>
      <c r="O117" s="8">
        <v>0.97469069946150144</v>
      </c>
      <c r="P117" t="s">
        <v>175</v>
      </c>
      <c r="Q117" t="s">
        <v>197</v>
      </c>
      <c r="R117" s="6">
        <v>1.8025341803560044</v>
      </c>
      <c r="S117" t="str">
        <f t="shared" si="2"/>
        <v>Z</v>
      </c>
      <c r="T117" t="str">
        <f t="shared" si="3"/>
        <v>BBCZ</v>
      </c>
    </row>
    <row r="118" spans="2:20" x14ac:dyDescent="0.3">
      <c r="B118" s="3" t="s">
        <v>53</v>
      </c>
      <c r="C118" s="4">
        <v>54</v>
      </c>
      <c r="D118" s="4">
        <v>1173.5999999999999</v>
      </c>
      <c r="E118" s="4">
        <v>1915</v>
      </c>
      <c r="F118" s="15">
        <v>3.4570823498026714E-3</v>
      </c>
      <c r="G118" s="7">
        <v>0.85703952354846791</v>
      </c>
      <c r="H118" s="6">
        <v>0.38715404699738909</v>
      </c>
      <c r="I118" t="s">
        <v>174</v>
      </c>
      <c r="J118" s="15">
        <v>9.5448845529516005E-4</v>
      </c>
      <c r="K118" s="8">
        <v>0.98911866214432154</v>
      </c>
      <c r="L118" t="s">
        <v>175</v>
      </c>
      <c r="M118" s="6">
        <v>0.38715404699738909</v>
      </c>
      <c r="N118" s="15">
        <v>9.8184839675681517E-3</v>
      </c>
      <c r="O118" s="8">
        <v>0.15249677500036826</v>
      </c>
      <c r="P118" t="s">
        <v>173</v>
      </c>
      <c r="Q118" t="s">
        <v>198</v>
      </c>
      <c r="R118" s="6">
        <v>1.1567091911068086</v>
      </c>
      <c r="S118" t="str">
        <f t="shared" si="2"/>
        <v>Z</v>
      </c>
      <c r="T118" t="str">
        <f t="shared" si="3"/>
        <v>BCAZ</v>
      </c>
    </row>
    <row r="119" spans="2:20" x14ac:dyDescent="0.3">
      <c r="B119" s="3" t="s">
        <v>15</v>
      </c>
      <c r="C119" s="4">
        <v>47</v>
      </c>
      <c r="D119" s="4">
        <v>1973.07</v>
      </c>
      <c r="E119" s="4">
        <v>3160</v>
      </c>
      <c r="F119" s="15">
        <v>3.0089420451986214E-3</v>
      </c>
      <c r="G119" s="7">
        <v>0.93450377623986569</v>
      </c>
      <c r="H119" s="6">
        <v>0.3756107594936709</v>
      </c>
      <c r="I119" t="s">
        <v>174</v>
      </c>
      <c r="J119" s="15">
        <v>1.5750305580849637E-3</v>
      </c>
      <c r="K119" s="8">
        <v>0.96679391983178187</v>
      </c>
      <c r="L119" t="s">
        <v>175</v>
      </c>
      <c r="M119" s="6">
        <v>0.3756107594936709</v>
      </c>
      <c r="N119" s="15">
        <v>9.5257385238170476E-3</v>
      </c>
      <c r="O119" s="8">
        <v>0.22038930486973671</v>
      </c>
      <c r="P119" t="s">
        <v>173</v>
      </c>
      <c r="Q119" t="s">
        <v>198</v>
      </c>
      <c r="R119" s="6">
        <v>1.0177699390346935</v>
      </c>
      <c r="S119" t="str">
        <f t="shared" si="2"/>
        <v>Z</v>
      </c>
      <c r="T119" t="str">
        <f t="shared" si="3"/>
        <v>BCAZ</v>
      </c>
    </row>
    <row r="120" spans="2:20" x14ac:dyDescent="0.3">
      <c r="B120" s="3" t="s">
        <v>101</v>
      </c>
      <c r="C120" s="4">
        <v>45</v>
      </c>
      <c r="D120" s="4">
        <v>1449.02</v>
      </c>
      <c r="E120" s="4">
        <v>2273</v>
      </c>
      <c r="F120" s="15">
        <v>2.8809019581688927E-3</v>
      </c>
      <c r="G120" s="7">
        <v>0.94327452220140218</v>
      </c>
      <c r="H120" s="6">
        <v>0.36250769907611086</v>
      </c>
      <c r="I120" t="s">
        <v>174</v>
      </c>
      <c r="J120" s="15">
        <v>1.1329254615592161E-3</v>
      </c>
      <c r="K120" s="8">
        <v>0.97999319427302112</v>
      </c>
      <c r="L120" t="s">
        <v>175</v>
      </c>
      <c r="M120" s="6">
        <v>0.36250769907611086</v>
      </c>
      <c r="N120" s="15">
        <v>9.1934362022123399E-3</v>
      </c>
      <c r="O120" s="8">
        <v>0.23888306814051014</v>
      </c>
      <c r="P120" t="s">
        <v>173</v>
      </c>
      <c r="Q120" t="s">
        <v>198</v>
      </c>
      <c r="R120" s="6">
        <v>0.96929759538890692</v>
      </c>
      <c r="S120" t="str">
        <f t="shared" si="2"/>
        <v>Z</v>
      </c>
      <c r="T120" t="str">
        <f t="shared" si="3"/>
        <v>BCAZ</v>
      </c>
    </row>
    <row r="121" spans="2:20" x14ac:dyDescent="0.3">
      <c r="B121" s="3" t="s">
        <v>80</v>
      </c>
      <c r="C121" s="4">
        <v>50</v>
      </c>
      <c r="D121" s="4">
        <v>1239.58</v>
      </c>
      <c r="E121" s="4">
        <v>1936</v>
      </c>
      <c r="F121" s="15">
        <v>3.2010021757432139E-3</v>
      </c>
      <c r="G121" s="7">
        <v>0.9129290215753566</v>
      </c>
      <c r="H121" s="6">
        <v>0.35972107438016532</v>
      </c>
      <c r="I121" t="s">
        <v>174</v>
      </c>
      <c r="J121" s="15">
        <v>9.6495543052293987E-4</v>
      </c>
      <c r="K121" s="8">
        <v>0.98624397219357285</v>
      </c>
      <c r="L121" t="s">
        <v>175</v>
      </c>
      <c r="M121" s="6">
        <v>0.35972107438016532</v>
      </c>
      <c r="N121" s="15">
        <v>9.1227655476938951E-3</v>
      </c>
      <c r="O121" s="8">
        <v>0.28463564447703105</v>
      </c>
      <c r="P121" t="s">
        <v>173</v>
      </c>
      <c r="Q121" t="s">
        <v>198</v>
      </c>
      <c r="R121" s="6">
        <v>1.5238278387177739</v>
      </c>
      <c r="S121" t="str">
        <f t="shared" si="2"/>
        <v>Z</v>
      </c>
      <c r="T121" t="str">
        <f t="shared" si="3"/>
        <v>BCAZ</v>
      </c>
    </row>
    <row r="122" spans="2:20" x14ac:dyDescent="0.3">
      <c r="B122" s="3" t="s">
        <v>61</v>
      </c>
      <c r="C122" s="4">
        <v>52</v>
      </c>
      <c r="D122" s="4">
        <v>1716.1</v>
      </c>
      <c r="E122" s="4">
        <v>2676</v>
      </c>
      <c r="F122" s="15">
        <v>3.3290422627729427E-3</v>
      </c>
      <c r="G122" s="7">
        <v>0.87400483509911298</v>
      </c>
      <c r="H122" s="6">
        <v>0.35870702541106131</v>
      </c>
      <c r="I122" t="s">
        <v>174</v>
      </c>
      <c r="J122" s="15">
        <v>1.3337917004542289E-3</v>
      </c>
      <c r="K122" s="8">
        <v>0.9739811630731412</v>
      </c>
      <c r="L122" t="s">
        <v>175</v>
      </c>
      <c r="M122" s="6">
        <v>0.35870702541106131</v>
      </c>
      <c r="N122" s="15">
        <v>9.0970485918136848E-3</v>
      </c>
      <c r="O122" s="8">
        <v>0.29373269306884475</v>
      </c>
      <c r="P122" t="s">
        <v>173</v>
      </c>
      <c r="Q122" t="s">
        <v>198</v>
      </c>
      <c r="R122" s="6">
        <v>0.90849762022783631</v>
      </c>
      <c r="S122" t="str">
        <f t="shared" si="2"/>
        <v>Z</v>
      </c>
      <c r="T122" t="str">
        <f t="shared" si="3"/>
        <v>BCAZ</v>
      </c>
    </row>
    <row r="123" spans="2:20" x14ac:dyDescent="0.3">
      <c r="B123" s="3" t="s">
        <v>16</v>
      </c>
      <c r="C123" s="4">
        <v>48</v>
      </c>
      <c r="D123" s="4">
        <v>2062.0300000000002</v>
      </c>
      <c r="E123" s="4">
        <v>3207</v>
      </c>
      <c r="F123" s="15">
        <v>3.0729620887134856E-3</v>
      </c>
      <c r="G123" s="7">
        <v>0.93149483419466705</v>
      </c>
      <c r="H123" s="6">
        <v>0.35702213907078262</v>
      </c>
      <c r="I123" t="s">
        <v>174</v>
      </c>
      <c r="J123" s="15">
        <v>1.5984566454995187E-3</v>
      </c>
      <c r="K123" s="8">
        <v>0.96521888927369692</v>
      </c>
      <c r="L123" t="s">
        <v>175</v>
      </c>
      <c r="M123" s="6">
        <v>0.35702213907078262</v>
      </c>
      <c r="N123" s="15">
        <v>9.0543187543045533E-3</v>
      </c>
      <c r="O123" s="8">
        <v>0.30278701182314932</v>
      </c>
      <c r="P123" t="s">
        <v>173</v>
      </c>
      <c r="Q123" t="s">
        <v>198</v>
      </c>
      <c r="R123" s="6">
        <v>1.135417891867919</v>
      </c>
      <c r="S123" t="str">
        <f t="shared" si="2"/>
        <v>Z</v>
      </c>
      <c r="T123" t="str">
        <f t="shared" si="3"/>
        <v>BCAZ</v>
      </c>
    </row>
    <row r="124" spans="2:20" x14ac:dyDescent="0.3">
      <c r="B124" s="3" t="s">
        <v>143</v>
      </c>
      <c r="C124" s="4">
        <v>49</v>
      </c>
      <c r="D124" s="4">
        <v>2350.61</v>
      </c>
      <c r="E124" s="4">
        <v>3578</v>
      </c>
      <c r="F124" s="15">
        <v>3.1369821322283498E-3</v>
      </c>
      <c r="G124" s="7">
        <v>0.9192029858398133</v>
      </c>
      <c r="H124" s="6">
        <v>0.34303801006148682</v>
      </c>
      <c r="I124" t="s">
        <v>174</v>
      </c>
      <c r="J124" s="15">
        <v>1.7833732078569621E-3</v>
      </c>
      <c r="K124" s="8">
        <v>0.96197761594482778</v>
      </c>
      <c r="L124" t="s">
        <v>175</v>
      </c>
      <c r="M124" s="6">
        <v>0.34303801006148682</v>
      </c>
      <c r="N124" s="15">
        <v>8.6996719475798349E-3</v>
      </c>
      <c r="O124" s="8">
        <v>0.42813339064004019</v>
      </c>
      <c r="P124" t="s">
        <v>173</v>
      </c>
      <c r="Q124" t="s">
        <v>198</v>
      </c>
      <c r="R124" s="6">
        <v>0.91478456899768945</v>
      </c>
      <c r="S124" t="str">
        <f t="shared" si="2"/>
        <v>Z</v>
      </c>
      <c r="T124" t="str">
        <f t="shared" si="3"/>
        <v>BCAZ</v>
      </c>
    </row>
    <row r="125" spans="2:20" x14ac:dyDescent="0.3">
      <c r="B125" s="3" t="s">
        <v>144</v>
      </c>
      <c r="C125" s="4">
        <v>50</v>
      </c>
      <c r="D125" s="4">
        <v>2674.05</v>
      </c>
      <c r="E125" s="4">
        <v>3822.4</v>
      </c>
      <c r="F125" s="15">
        <v>3.2010021757432139E-3</v>
      </c>
      <c r="G125" s="7">
        <v>0.90972801939961334</v>
      </c>
      <c r="H125" s="6">
        <v>0.30042643365424859</v>
      </c>
      <c r="I125" t="s">
        <v>174</v>
      </c>
      <c r="J125" s="15">
        <v>1.9051888624126473E-3</v>
      </c>
      <c r="K125" s="8">
        <v>0.95089757502513528</v>
      </c>
      <c r="L125" t="s">
        <v>175</v>
      </c>
      <c r="M125" s="6">
        <v>0.30042643365424859</v>
      </c>
      <c r="N125" s="15">
        <v>7.6190140465916649E-3</v>
      </c>
      <c r="O125" s="8">
        <v>0.50709483267580824</v>
      </c>
      <c r="P125" t="s">
        <v>173</v>
      </c>
      <c r="Q125" t="s">
        <v>198</v>
      </c>
      <c r="R125" s="6">
        <v>1.1564756363347641</v>
      </c>
      <c r="S125" t="str">
        <f t="shared" si="2"/>
        <v>Z</v>
      </c>
      <c r="T125" t="str">
        <f t="shared" si="3"/>
        <v>BCAZ</v>
      </c>
    </row>
    <row r="126" spans="2:20" x14ac:dyDescent="0.3">
      <c r="B126" s="3" t="s">
        <v>60</v>
      </c>
      <c r="C126" s="4">
        <v>51</v>
      </c>
      <c r="D126" s="4">
        <v>2995.49</v>
      </c>
      <c r="E126" s="4">
        <v>3715</v>
      </c>
      <c r="F126" s="15">
        <v>3.2650222192580785E-3</v>
      </c>
      <c r="G126" s="7">
        <v>0.88712894401966014</v>
      </c>
      <c r="H126" s="6">
        <v>0.19367698519515483</v>
      </c>
      <c r="I126" t="s">
        <v>174</v>
      </c>
      <c r="J126" s="15">
        <v>1.8516577605334305E-3</v>
      </c>
      <c r="K126" s="8">
        <v>0.95654974164813633</v>
      </c>
      <c r="L126" t="s">
        <v>175</v>
      </c>
      <c r="M126" s="6">
        <v>0.19367698519515483</v>
      </c>
      <c r="N126" s="15">
        <v>4.9117770788494079E-3</v>
      </c>
      <c r="O126" s="8">
        <v>0.73576448911283265</v>
      </c>
      <c r="P126" t="s">
        <v>174</v>
      </c>
      <c r="Q126" t="s">
        <v>199</v>
      </c>
      <c r="R126" s="6">
        <v>1.0045294162839107</v>
      </c>
      <c r="S126" t="str">
        <f t="shared" si="2"/>
        <v>Z</v>
      </c>
      <c r="T126" t="str">
        <f t="shared" si="3"/>
        <v>BCBZ</v>
      </c>
    </row>
    <row r="127" spans="2:20" x14ac:dyDescent="0.3">
      <c r="B127" s="3" t="s">
        <v>126</v>
      </c>
      <c r="C127" s="4">
        <v>57</v>
      </c>
      <c r="D127" s="4">
        <v>1676.53</v>
      </c>
      <c r="E127" s="4">
        <v>2074</v>
      </c>
      <c r="F127" s="15">
        <v>3.6491424803472643E-3</v>
      </c>
      <c r="G127" s="7">
        <v>0.84291670194908885</v>
      </c>
      <c r="H127" s="6">
        <v>0.19164416586306654</v>
      </c>
      <c r="I127" t="s">
        <v>174</v>
      </c>
      <c r="J127" s="15">
        <v>1.0337384105912073E-3</v>
      </c>
      <c r="K127" s="8">
        <v>0.98428365726162725</v>
      </c>
      <c r="L127" t="s">
        <v>175</v>
      </c>
      <c r="M127" s="6">
        <v>0.19164416586306654</v>
      </c>
      <c r="N127" s="15">
        <v>4.8602234294019405E-3</v>
      </c>
      <c r="O127" s="8">
        <v>0.7503825327607927</v>
      </c>
      <c r="P127" t="s">
        <v>174</v>
      </c>
      <c r="Q127" t="s">
        <v>199</v>
      </c>
      <c r="R127" s="6">
        <v>2.5717290752536739</v>
      </c>
      <c r="S127" t="str">
        <f t="shared" si="2"/>
        <v>Z</v>
      </c>
      <c r="T127" t="str">
        <f t="shared" si="3"/>
        <v>BCBZ</v>
      </c>
    </row>
    <row r="128" spans="2:20" x14ac:dyDescent="0.3">
      <c r="B128" s="3" t="s">
        <v>151</v>
      </c>
      <c r="C128" s="4">
        <v>51</v>
      </c>
      <c r="D128" s="4">
        <v>1232.8699999999999</v>
      </c>
      <c r="E128" s="4">
        <v>1517</v>
      </c>
      <c r="F128" s="15">
        <v>3.2650222192580785E-3</v>
      </c>
      <c r="G128" s="7">
        <v>0.8903939662389182</v>
      </c>
      <c r="H128" s="6">
        <v>0.18729729729729738</v>
      </c>
      <c r="I128" t="s">
        <v>174</v>
      </c>
      <c r="J128" s="15">
        <v>7.5611435335914241E-4</v>
      </c>
      <c r="K128" s="8">
        <v>0.99393995528946755</v>
      </c>
      <c r="L128" t="s">
        <v>175</v>
      </c>
      <c r="M128" s="6">
        <v>0.18729729729729738</v>
      </c>
      <c r="N128" s="15">
        <v>4.7499839532731576E-3</v>
      </c>
      <c r="O128" s="8">
        <v>0.77920790249019201</v>
      </c>
      <c r="P128" t="s">
        <v>174</v>
      </c>
      <c r="Q128" t="s">
        <v>199</v>
      </c>
      <c r="R128" s="6">
        <v>1.1508865588113688</v>
      </c>
      <c r="S128" t="str">
        <f t="shared" si="2"/>
        <v>Z</v>
      </c>
      <c r="T128" t="str">
        <f t="shared" si="3"/>
        <v>BCBZ</v>
      </c>
    </row>
    <row r="129" spans="2:20" x14ac:dyDescent="0.3">
      <c r="B129" s="3" t="s">
        <v>76</v>
      </c>
      <c r="C129" s="4">
        <v>50</v>
      </c>
      <c r="D129" s="4">
        <v>1571.11</v>
      </c>
      <c r="E129" s="4">
        <v>1929.52</v>
      </c>
      <c r="F129" s="15">
        <v>3.2010021757432139E-3</v>
      </c>
      <c r="G129" s="7">
        <v>0.90652701722387008</v>
      </c>
      <c r="H129" s="6">
        <v>0.18575086031759197</v>
      </c>
      <c r="I129" t="s">
        <v>174</v>
      </c>
      <c r="J129" s="15">
        <v>9.6172562102408207E-4</v>
      </c>
      <c r="K129" s="8">
        <v>0.98720569781459688</v>
      </c>
      <c r="L129" t="s">
        <v>175</v>
      </c>
      <c r="M129" s="6">
        <v>0.18575086031759197</v>
      </c>
      <c r="N129" s="15">
        <v>4.7107652835734594E-3</v>
      </c>
      <c r="O129" s="8">
        <v>0.79338937762180983</v>
      </c>
      <c r="P129" t="s">
        <v>174</v>
      </c>
      <c r="Q129" t="s">
        <v>199</v>
      </c>
      <c r="R129" s="6">
        <v>1.2778186541213556</v>
      </c>
      <c r="S129" t="str">
        <f t="shared" si="2"/>
        <v>Z</v>
      </c>
      <c r="T129" t="str">
        <f t="shared" si="3"/>
        <v>BCBZ</v>
      </c>
    </row>
    <row r="130" spans="2:20" x14ac:dyDescent="0.3">
      <c r="B130" s="3" t="s">
        <v>46</v>
      </c>
      <c r="C130" s="4">
        <v>51</v>
      </c>
      <c r="D130" s="4">
        <v>997.38</v>
      </c>
      <c r="E130" s="4">
        <v>1209</v>
      </c>
      <c r="F130" s="15">
        <v>3.2650222192580785E-3</v>
      </c>
      <c r="G130" s="7">
        <v>0.88386392180040207</v>
      </c>
      <c r="H130" s="6">
        <v>0.17503722084367246</v>
      </c>
      <c r="I130" t="s">
        <v>174</v>
      </c>
      <c r="J130" s="15">
        <v>6.0259871668503833E-4</v>
      </c>
      <c r="K130" s="8">
        <v>0.99601241638456794</v>
      </c>
      <c r="L130" t="s">
        <v>175</v>
      </c>
      <c r="M130" s="6">
        <v>0.17503722084367246</v>
      </c>
      <c r="N130" s="15">
        <v>4.4390602653131351E-3</v>
      </c>
      <c r="O130" s="8">
        <v>0.84385510852619994</v>
      </c>
      <c r="P130" t="s">
        <v>174</v>
      </c>
      <c r="Q130" t="s">
        <v>199</v>
      </c>
      <c r="R130" s="6">
        <v>1.1645110233741767</v>
      </c>
      <c r="S130" t="str">
        <f t="shared" si="2"/>
        <v>Z</v>
      </c>
      <c r="T130" t="str">
        <f t="shared" si="3"/>
        <v>BCBZ</v>
      </c>
    </row>
    <row r="131" spans="2:20" x14ac:dyDescent="0.3">
      <c r="B131" s="3" t="s">
        <v>117</v>
      </c>
      <c r="C131" s="4">
        <v>61</v>
      </c>
      <c r="D131" s="4">
        <v>1411.54</v>
      </c>
      <c r="E131" s="4">
        <v>1708</v>
      </c>
      <c r="F131" s="15">
        <v>3.9052226544067214E-3</v>
      </c>
      <c r="G131" s="8">
        <v>0.80162377388200134</v>
      </c>
      <c r="H131" s="6">
        <v>0.1735714285714286</v>
      </c>
      <c r="I131" t="s">
        <v>174</v>
      </c>
      <c r="J131" s="15">
        <v>8.5131398519275889E-4</v>
      </c>
      <c r="K131" s="8">
        <v>0.98996997612951432</v>
      </c>
      <c r="L131" t="s">
        <v>175</v>
      </c>
      <c r="M131" s="6">
        <v>0.1735714285714286</v>
      </c>
      <c r="N131" s="15">
        <v>4.4018867989980368E-3</v>
      </c>
      <c r="O131" s="8">
        <v>0.85269452757412145</v>
      </c>
      <c r="P131" t="s">
        <v>174</v>
      </c>
      <c r="Q131" t="s">
        <v>199</v>
      </c>
      <c r="R131" s="6">
        <v>1.5854095320317265</v>
      </c>
      <c r="S131" t="str">
        <f t="shared" ref="S131:S157" si="4">IF(R131&lt;0.1,"X",IF(R131&lt;0.25,"Y","Z"))</f>
        <v>Z</v>
      </c>
      <c r="T131" t="str">
        <f t="shared" ref="T131:T157" si="5">Q131&amp;S131</f>
        <v>BCBZ</v>
      </c>
    </row>
    <row r="132" spans="2:20" x14ac:dyDescent="0.3">
      <c r="B132" s="3" t="s">
        <v>69</v>
      </c>
      <c r="C132" s="4">
        <v>44</v>
      </c>
      <c r="D132" s="4">
        <v>879.56</v>
      </c>
      <c r="E132" s="4">
        <v>1056</v>
      </c>
      <c r="F132" s="15">
        <v>2.8168819146540285E-3</v>
      </c>
      <c r="G132" s="7">
        <v>0.94609140411605619</v>
      </c>
      <c r="H132" s="6">
        <v>0.16708333333333339</v>
      </c>
      <c r="I132" t="s">
        <v>174</v>
      </c>
      <c r="J132" s="15">
        <v>5.2633932573978531E-4</v>
      </c>
      <c r="K132" s="8">
        <v>0.99710397237260784</v>
      </c>
      <c r="L132" t="s">
        <v>175</v>
      </c>
      <c r="M132" s="6">
        <v>0.16708333333333339</v>
      </c>
      <c r="N132" s="15">
        <v>4.2373443912165605E-3</v>
      </c>
      <c r="O132" s="8">
        <v>0.89127268037801599</v>
      </c>
      <c r="P132" t="s">
        <v>174</v>
      </c>
      <c r="Q132" t="s">
        <v>199</v>
      </c>
      <c r="R132" s="6">
        <v>1.6699480306554635</v>
      </c>
      <c r="S132" t="str">
        <f t="shared" si="4"/>
        <v>Z</v>
      </c>
      <c r="T132" t="str">
        <f t="shared" si="5"/>
        <v>BCBZ</v>
      </c>
    </row>
    <row r="133" spans="2:20" x14ac:dyDescent="0.3">
      <c r="B133" s="3" t="s">
        <v>33</v>
      </c>
      <c r="C133" s="4">
        <v>59</v>
      </c>
      <c r="D133" s="4">
        <v>1253.6500000000001</v>
      </c>
      <c r="E133" s="4">
        <v>1493</v>
      </c>
      <c r="F133" s="15">
        <v>3.7771825673769926E-3</v>
      </c>
      <c r="G133" s="7">
        <v>0.82070174684943087</v>
      </c>
      <c r="H133" s="6">
        <v>0.16031480241125246</v>
      </c>
      <c r="I133" t="s">
        <v>174</v>
      </c>
      <c r="J133" s="15">
        <v>7.4415209595596549E-4</v>
      </c>
      <c r="K133" s="8">
        <v>0.99468410738542357</v>
      </c>
      <c r="L133" t="s">
        <v>175</v>
      </c>
      <c r="M133" s="6">
        <v>0.16031480241125246</v>
      </c>
      <c r="N133" s="15">
        <v>4.06568994808765E-3</v>
      </c>
      <c r="O133" s="8">
        <v>0.92045758622580598</v>
      </c>
      <c r="P133" t="s">
        <v>175</v>
      </c>
      <c r="Q133" t="s">
        <v>200</v>
      </c>
      <c r="R133" s="6">
        <v>1.4963180083991969</v>
      </c>
      <c r="S133" t="str">
        <f t="shared" si="4"/>
        <v>Z</v>
      </c>
      <c r="T133" t="str">
        <f t="shared" si="5"/>
        <v>BCCZ</v>
      </c>
    </row>
    <row r="134" spans="2:20" x14ac:dyDescent="0.3">
      <c r="B134" s="3" t="s">
        <v>142</v>
      </c>
      <c r="C134" s="4">
        <v>59</v>
      </c>
      <c r="D134" s="4">
        <v>758.38</v>
      </c>
      <c r="E134" s="4">
        <v>884.99</v>
      </c>
      <c r="F134" s="15">
        <v>3.7771825673769926E-3</v>
      </c>
      <c r="G134" s="7">
        <v>0.81692456428205384</v>
      </c>
      <c r="H134" s="6">
        <v>0.14306376343235519</v>
      </c>
      <c r="I134" t="s">
        <v>174</v>
      </c>
      <c r="J134" s="15">
        <v>4.4110325746823167E-4</v>
      </c>
      <c r="K134" s="8">
        <v>0.99853445400279717</v>
      </c>
      <c r="L134" t="s">
        <v>175</v>
      </c>
      <c r="M134" s="6">
        <v>0.14306376343235519</v>
      </c>
      <c r="N134" s="15">
        <v>3.6281921330658727E-3</v>
      </c>
      <c r="O134" s="8">
        <v>0.97831889159456731</v>
      </c>
      <c r="P134" t="s">
        <v>175</v>
      </c>
      <c r="Q134" t="s">
        <v>200</v>
      </c>
      <c r="R134" s="6">
        <v>1.5656015501461662</v>
      </c>
      <c r="S134" t="str">
        <f t="shared" si="4"/>
        <v>Z</v>
      </c>
      <c r="T134" t="str">
        <f t="shared" si="5"/>
        <v>BCCZ</v>
      </c>
    </row>
    <row r="135" spans="2:20" x14ac:dyDescent="0.3">
      <c r="B135" s="3" t="s">
        <v>75</v>
      </c>
      <c r="C135" s="4">
        <v>11.199999999999994</v>
      </c>
      <c r="D135" s="4">
        <v>30763.37</v>
      </c>
      <c r="E135" s="4">
        <v>44925</v>
      </c>
      <c r="F135" s="15">
        <v>7.1702448736647956E-4</v>
      </c>
      <c r="G135" s="7">
        <v>0.99857290179022529</v>
      </c>
      <c r="H135" s="6">
        <v>0.31522826933778519</v>
      </c>
      <c r="I135" t="s">
        <v>175</v>
      </c>
      <c r="J135" s="15">
        <v>2.2391850576571833E-2</v>
      </c>
      <c r="K135" s="8">
        <v>0.23001776175916319</v>
      </c>
      <c r="L135" t="s">
        <v>173</v>
      </c>
      <c r="M135" s="6">
        <v>0.31522826933778519</v>
      </c>
      <c r="N135" s="15">
        <v>7.9943984380929697E-3</v>
      </c>
      <c r="O135" s="8">
        <v>0.44474753157912983</v>
      </c>
      <c r="P135" t="s">
        <v>173</v>
      </c>
      <c r="Q135" t="s">
        <v>201</v>
      </c>
      <c r="R135" s="6">
        <v>1.2313496145955991</v>
      </c>
      <c r="S135" t="str">
        <f t="shared" si="4"/>
        <v>Z</v>
      </c>
      <c r="T135" t="str">
        <f t="shared" si="5"/>
        <v>CAAZ</v>
      </c>
    </row>
    <row r="136" spans="2:20" x14ac:dyDescent="0.3">
      <c r="B136" s="3" t="s">
        <v>155</v>
      </c>
      <c r="C136" s="4">
        <v>11</v>
      </c>
      <c r="D136" s="4">
        <v>22126.65</v>
      </c>
      <c r="E136" s="4">
        <v>31906</v>
      </c>
      <c r="F136" s="15">
        <v>7.0422047866350714E-4</v>
      </c>
      <c r="G136" s="7">
        <v>0.99927712226888876</v>
      </c>
      <c r="H136" s="6">
        <v>0.3065050460728389</v>
      </c>
      <c r="I136" t="s">
        <v>175</v>
      </c>
      <c r="J136" s="15">
        <v>1.5902824362740143E-2</v>
      </c>
      <c r="K136" s="8">
        <v>0.4325356743922979</v>
      </c>
      <c r="L136" t="s">
        <v>173</v>
      </c>
      <c r="M136" s="6">
        <v>0.3065050460728389</v>
      </c>
      <c r="N136" s="15">
        <v>7.7731716978931692E-3</v>
      </c>
      <c r="O136" s="8">
        <v>0.48398401126040508</v>
      </c>
      <c r="P136" t="s">
        <v>173</v>
      </c>
      <c r="Q136" t="s">
        <v>201</v>
      </c>
      <c r="R136" s="6">
        <v>0.98882075016066173</v>
      </c>
      <c r="S136" t="str">
        <f t="shared" si="4"/>
        <v>Z</v>
      </c>
      <c r="T136" t="str">
        <f t="shared" si="5"/>
        <v>CAAZ</v>
      </c>
    </row>
    <row r="137" spans="2:20" x14ac:dyDescent="0.3">
      <c r="B137" s="3" t="s">
        <v>110</v>
      </c>
      <c r="C137" s="4">
        <v>42</v>
      </c>
      <c r="D137" s="4">
        <v>9177.27</v>
      </c>
      <c r="E137" s="4">
        <v>12621</v>
      </c>
      <c r="F137" s="15">
        <v>2.6888418276242998E-3</v>
      </c>
      <c r="G137" s="7">
        <v>0.96516937708348582</v>
      </c>
      <c r="H137" s="6">
        <v>0.2728571428571428</v>
      </c>
      <c r="I137" t="s">
        <v>175</v>
      </c>
      <c r="J137" s="15">
        <v>6.2906521118956732E-3</v>
      </c>
      <c r="K137" s="8">
        <v>0.73523901298058458</v>
      </c>
      <c r="L137" t="s">
        <v>173</v>
      </c>
      <c r="M137" s="6">
        <v>0.2728571428571428</v>
      </c>
      <c r="N137" s="15">
        <v>6.9198385070668696E-3</v>
      </c>
      <c r="O137" s="8">
        <v>0.56353499179521316</v>
      </c>
      <c r="P137" t="s">
        <v>173</v>
      </c>
      <c r="Q137" t="s">
        <v>201</v>
      </c>
      <c r="R137" s="6">
        <v>1.0104402963155041</v>
      </c>
      <c r="S137" t="str">
        <f t="shared" si="4"/>
        <v>Z</v>
      </c>
      <c r="T137" t="str">
        <f t="shared" si="5"/>
        <v>CAAZ</v>
      </c>
    </row>
    <row r="138" spans="2:20" x14ac:dyDescent="0.3">
      <c r="B138" s="3" t="s">
        <v>14</v>
      </c>
      <c r="C138" s="4">
        <v>21.5</v>
      </c>
      <c r="D138" s="4">
        <v>27076.33</v>
      </c>
      <c r="E138" s="4">
        <v>35829</v>
      </c>
      <c r="F138" s="15">
        <v>1.376430935569582E-3</v>
      </c>
      <c r="G138" s="7">
        <v>0.99785587730285885</v>
      </c>
      <c r="H138" s="6">
        <v>0.24429010019816344</v>
      </c>
      <c r="I138" t="s">
        <v>175</v>
      </c>
      <c r="J138" s="15">
        <v>1.7858155020767773E-2</v>
      </c>
      <c r="K138" s="8">
        <v>0.36533569972038421</v>
      </c>
      <c r="L138" t="s">
        <v>173</v>
      </c>
      <c r="M138" s="6">
        <v>0.24429010019816344</v>
      </c>
      <c r="N138" s="15">
        <v>6.1953593171336805E-3</v>
      </c>
      <c r="O138" s="8">
        <v>0.62343451284667395</v>
      </c>
      <c r="P138" t="s">
        <v>174</v>
      </c>
      <c r="Q138" t="s">
        <v>202</v>
      </c>
      <c r="R138" s="6">
        <v>1.1703747900212709</v>
      </c>
      <c r="S138" t="str">
        <f t="shared" si="4"/>
        <v>Z</v>
      </c>
      <c r="T138" t="str">
        <f t="shared" si="5"/>
        <v>CABZ</v>
      </c>
    </row>
    <row r="139" spans="2:20" x14ac:dyDescent="0.3">
      <c r="B139" s="3" t="s">
        <v>26</v>
      </c>
      <c r="C139" s="4">
        <v>41.566666700000063</v>
      </c>
      <c r="D139" s="4">
        <v>192046.06</v>
      </c>
      <c r="E139" s="4">
        <v>248085</v>
      </c>
      <c r="F139" s="15">
        <v>2.661099810901864E-3</v>
      </c>
      <c r="G139" s="7">
        <v>0.98127468603250922</v>
      </c>
      <c r="H139" s="6">
        <v>0.22588604712094645</v>
      </c>
      <c r="I139" t="s">
        <v>175</v>
      </c>
      <c r="J139" s="15">
        <v>0.12365235949446464</v>
      </c>
      <c r="K139" s="8">
        <v>0.12365235949446464</v>
      </c>
      <c r="L139" t="s">
        <v>173</v>
      </c>
      <c r="M139" s="6">
        <v>0.22588604712094645</v>
      </c>
      <c r="N139" s="15">
        <v>5.728620298186664E-3</v>
      </c>
      <c r="O139" s="8">
        <v>0.64133734058338265</v>
      </c>
      <c r="P139" t="s">
        <v>174</v>
      </c>
      <c r="Q139" t="s">
        <v>202</v>
      </c>
      <c r="R139" s="6">
        <v>0.65145171895580889</v>
      </c>
      <c r="S139" t="str">
        <f t="shared" si="4"/>
        <v>Z</v>
      </c>
      <c r="T139" t="str">
        <f t="shared" si="5"/>
        <v>CABZ</v>
      </c>
    </row>
    <row r="140" spans="2:20" x14ac:dyDescent="0.3">
      <c r="B140" s="3" t="s">
        <v>125</v>
      </c>
      <c r="C140" s="4">
        <v>42</v>
      </c>
      <c r="D140" s="4">
        <v>14453.06</v>
      </c>
      <c r="E140" s="4">
        <v>18581.22</v>
      </c>
      <c r="F140" s="15">
        <v>2.6888418276242998E-3</v>
      </c>
      <c r="G140" s="7">
        <v>0.95979169342823722</v>
      </c>
      <c r="H140" s="6">
        <v>0.22216840444276539</v>
      </c>
      <c r="I140" t="s">
        <v>175</v>
      </c>
      <c r="J140" s="15">
        <v>9.2613890210441439E-3</v>
      </c>
      <c r="K140" s="8">
        <v>0.62250173487622262</v>
      </c>
      <c r="L140" t="s">
        <v>173</v>
      </c>
      <c r="M140" s="6">
        <v>0.22216840444276539</v>
      </c>
      <c r="N140" s="15">
        <v>5.6343384088044929E-3</v>
      </c>
      <c r="O140" s="8">
        <v>0.65268829726827837</v>
      </c>
      <c r="P140" t="s">
        <v>174</v>
      </c>
      <c r="Q140" t="s">
        <v>202</v>
      </c>
      <c r="R140" s="6">
        <v>1.1604266103543515</v>
      </c>
      <c r="S140" t="str">
        <f t="shared" si="4"/>
        <v>Z</v>
      </c>
      <c r="T140" t="str">
        <f t="shared" si="5"/>
        <v>CABZ</v>
      </c>
    </row>
    <row r="141" spans="2:20" x14ac:dyDescent="0.3">
      <c r="B141" s="3" t="s">
        <v>6</v>
      </c>
      <c r="C141" s="4">
        <v>32.499999999999986</v>
      </c>
      <c r="D141" s="4">
        <v>31966.95</v>
      </c>
      <c r="E141" s="4">
        <v>40189</v>
      </c>
      <c r="F141" s="15">
        <v>2.0806514142330881E-3</v>
      </c>
      <c r="G141" s="7">
        <v>0.99647944636728925</v>
      </c>
      <c r="H141" s="6">
        <v>0.20458458782253849</v>
      </c>
      <c r="I141" t="s">
        <v>175</v>
      </c>
      <c r="J141" s="15">
        <v>2.0031298449011584E-2</v>
      </c>
      <c r="K141" s="8">
        <v>0.29086378404042268</v>
      </c>
      <c r="L141" t="s">
        <v>173</v>
      </c>
      <c r="M141" s="6">
        <v>0.20458458782253849</v>
      </c>
      <c r="N141" s="15">
        <v>5.1884011316060954E-3</v>
      </c>
      <c r="O141" s="8">
        <v>0.70075037047945721</v>
      </c>
      <c r="P141" t="s">
        <v>174</v>
      </c>
      <c r="Q141" t="s">
        <v>202</v>
      </c>
      <c r="R141" s="6">
        <v>0.89544439500315043</v>
      </c>
      <c r="S141" t="str">
        <f t="shared" si="4"/>
        <v>Z</v>
      </c>
      <c r="T141" t="str">
        <f t="shared" si="5"/>
        <v>CABZ</v>
      </c>
    </row>
    <row r="142" spans="2:20" x14ac:dyDescent="0.3">
      <c r="B142" s="3" t="s">
        <v>129</v>
      </c>
      <c r="C142" s="4">
        <v>8.7199999999999989</v>
      </c>
      <c r="D142" s="4">
        <v>34129.46</v>
      </c>
      <c r="E142" s="4">
        <v>40223</v>
      </c>
      <c r="F142" s="15">
        <v>5.582547794496165E-4</v>
      </c>
      <c r="G142" s="7">
        <v>0.99983537704833836</v>
      </c>
      <c r="H142" s="6">
        <v>0.15149392138826048</v>
      </c>
      <c r="I142" t="s">
        <v>175</v>
      </c>
      <c r="J142" s="15">
        <v>2.0048244980332752E-2</v>
      </c>
      <c r="K142" s="8">
        <v>0.2708324855914111</v>
      </c>
      <c r="L142" t="s">
        <v>173</v>
      </c>
      <c r="M142" s="6">
        <v>0.15149392138826048</v>
      </c>
      <c r="N142" s="15">
        <v>3.8419865422321068E-3</v>
      </c>
      <c r="O142" s="8">
        <v>0.95986665576460029</v>
      </c>
      <c r="P142" t="s">
        <v>175</v>
      </c>
      <c r="Q142" t="s">
        <v>203</v>
      </c>
      <c r="R142" s="6">
        <v>1.2241469244445695</v>
      </c>
      <c r="S142" t="str">
        <f t="shared" si="4"/>
        <v>Z</v>
      </c>
      <c r="T142" t="str">
        <f t="shared" si="5"/>
        <v>CACZ</v>
      </c>
    </row>
    <row r="143" spans="2:20" x14ac:dyDescent="0.3">
      <c r="B143" s="3" t="s">
        <v>119</v>
      </c>
      <c r="C143" s="4">
        <v>2.5714282999999991</v>
      </c>
      <c r="D143" s="4">
        <v>26399.57</v>
      </c>
      <c r="E143" s="4">
        <v>29098</v>
      </c>
      <c r="F143" s="15">
        <v>1.6462295166135344E-4</v>
      </c>
      <c r="G143" s="7">
        <v>0.99999999999999967</v>
      </c>
      <c r="H143" s="6">
        <v>9.2735926867825974E-2</v>
      </c>
      <c r="I143" t="s">
        <v>175</v>
      </c>
      <c r="J143" s="15">
        <v>1.4503240246568442E-2</v>
      </c>
      <c r="K143" s="8">
        <v>0.46209939670946615</v>
      </c>
      <c r="L143" t="s">
        <v>173</v>
      </c>
      <c r="M143" s="6">
        <v>9.2735926867825974E-2</v>
      </c>
      <c r="N143" s="15">
        <v>2.3518447456019036E-3</v>
      </c>
      <c r="O143" s="8">
        <v>1.0000000000000002</v>
      </c>
      <c r="P143" t="s">
        <v>175</v>
      </c>
      <c r="Q143" t="s">
        <v>203</v>
      </c>
      <c r="R143" s="6">
        <v>1.2403472833657585</v>
      </c>
      <c r="S143" t="str">
        <f t="shared" si="4"/>
        <v>Z</v>
      </c>
      <c r="T143" t="str">
        <f t="shared" si="5"/>
        <v>CACZ</v>
      </c>
    </row>
    <row r="144" spans="2:20" x14ac:dyDescent="0.3">
      <c r="B144" s="3" t="s">
        <v>44</v>
      </c>
      <c r="C144" s="4">
        <v>42</v>
      </c>
      <c r="D144" s="4">
        <v>2732.81</v>
      </c>
      <c r="E144" s="4">
        <v>4274</v>
      </c>
      <c r="F144" s="15">
        <v>2.6888418276242998E-3</v>
      </c>
      <c r="G144" s="7">
        <v>0.95710285160061292</v>
      </c>
      <c r="H144" s="6">
        <v>0.36059663079082827</v>
      </c>
      <c r="I144" t="s">
        <v>175</v>
      </c>
      <c r="J144" s="15">
        <v>2.1302786725490934E-3</v>
      </c>
      <c r="K144" s="8">
        <v>0.93667275631962577</v>
      </c>
      <c r="L144" t="s">
        <v>174</v>
      </c>
      <c r="M144" s="6">
        <v>0.36059663079082827</v>
      </c>
      <c r="N144" s="15">
        <v>9.1449702402380314E-3</v>
      </c>
      <c r="O144" s="8">
        <v>0.27551287892933712</v>
      </c>
      <c r="P144" t="s">
        <v>173</v>
      </c>
      <c r="Q144" t="s">
        <v>204</v>
      </c>
      <c r="R144" s="6">
        <v>1.0104402963155041</v>
      </c>
      <c r="S144" t="str">
        <f t="shared" si="4"/>
        <v>Z</v>
      </c>
      <c r="T144" t="str">
        <f t="shared" si="5"/>
        <v>CBAZ</v>
      </c>
    </row>
    <row r="145" spans="2:20" x14ac:dyDescent="0.3">
      <c r="B145" s="3" t="s">
        <v>113</v>
      </c>
      <c r="C145" s="4">
        <v>41</v>
      </c>
      <c r="D145" s="4">
        <v>5721.53</v>
      </c>
      <c r="E145" s="4">
        <v>7884</v>
      </c>
      <c r="F145" s="15">
        <v>2.6248217841094356E-3</v>
      </c>
      <c r="G145" s="7">
        <v>0.98389950781661861</v>
      </c>
      <c r="H145" s="6">
        <v>0.27428589548452564</v>
      </c>
      <c r="I145" t="s">
        <v>175</v>
      </c>
      <c r="J145" s="15">
        <v>3.9296015569436245E-3</v>
      </c>
      <c r="K145" s="8">
        <v>0.84156955523350074</v>
      </c>
      <c r="L145" t="s">
        <v>174</v>
      </c>
      <c r="M145" s="6">
        <v>0.27428589548452564</v>
      </c>
      <c r="N145" s="15">
        <v>6.9560726233685753E-3</v>
      </c>
      <c r="O145" s="8">
        <v>0.55661515328814626</v>
      </c>
      <c r="P145" t="s">
        <v>173</v>
      </c>
      <c r="Q145" t="s">
        <v>204</v>
      </c>
      <c r="R145" s="6">
        <v>1.0932791190460194</v>
      </c>
      <c r="S145" t="str">
        <f t="shared" si="4"/>
        <v>Z</v>
      </c>
      <c r="T145" t="str">
        <f t="shared" si="5"/>
        <v>CBAZ</v>
      </c>
    </row>
    <row r="146" spans="2:20" x14ac:dyDescent="0.3">
      <c r="B146" s="3" t="s">
        <v>74</v>
      </c>
      <c r="C146" s="4">
        <v>42</v>
      </c>
      <c r="D146" s="4">
        <v>3722.5</v>
      </c>
      <c r="E146" s="4">
        <v>4640</v>
      </c>
      <c r="F146" s="15">
        <v>2.6888418276242998E-3</v>
      </c>
      <c r="G146" s="7">
        <v>0.96785821891111012</v>
      </c>
      <c r="H146" s="6">
        <v>0.19773706896551724</v>
      </c>
      <c r="I146" t="s">
        <v>175</v>
      </c>
      <c r="J146" s="15">
        <v>2.3127030979475417E-3</v>
      </c>
      <c r="K146" s="8">
        <v>0.92780423773734555</v>
      </c>
      <c r="L146" t="s">
        <v>174</v>
      </c>
      <c r="M146" s="6">
        <v>0.19773706896551724</v>
      </c>
      <c r="N146" s="15">
        <v>5.0147435019449564E-3</v>
      </c>
      <c r="O146" s="8">
        <v>0.72593167937164949</v>
      </c>
      <c r="P146" t="s">
        <v>174</v>
      </c>
      <c r="Q146" t="s">
        <v>205</v>
      </c>
      <c r="R146" s="6">
        <v>1.19984106550648</v>
      </c>
      <c r="S146" t="str">
        <f t="shared" si="4"/>
        <v>Z</v>
      </c>
      <c r="T146" t="str">
        <f t="shared" si="5"/>
        <v>CBBZ</v>
      </c>
    </row>
    <row r="147" spans="2:20" x14ac:dyDescent="0.3">
      <c r="B147" s="3" t="s">
        <v>140</v>
      </c>
      <c r="C147" s="4">
        <v>41</v>
      </c>
      <c r="D147" s="4">
        <v>6464.78</v>
      </c>
      <c r="E147" s="4">
        <v>7753.33</v>
      </c>
      <c r="F147" s="15">
        <v>2.6248217841094356E-3</v>
      </c>
      <c r="G147" s="7">
        <v>0.986524329600728</v>
      </c>
      <c r="H147" s="6">
        <v>0.16619310670382922</v>
      </c>
      <c r="I147" t="s">
        <v>175</v>
      </c>
      <c r="J147" s="15">
        <v>3.8644720496572443E-3</v>
      </c>
      <c r="K147" s="8">
        <v>0.84543402728315797</v>
      </c>
      <c r="L147" t="s">
        <v>174</v>
      </c>
      <c r="M147" s="6">
        <v>0.16619310670382922</v>
      </c>
      <c r="N147" s="15">
        <v>4.2147676521715263E-3</v>
      </c>
      <c r="O147" s="8">
        <v>0.89970738893208024</v>
      </c>
      <c r="P147" t="s">
        <v>174</v>
      </c>
      <c r="Q147" t="s">
        <v>205</v>
      </c>
      <c r="R147" s="6">
        <v>1.1791960018793499</v>
      </c>
      <c r="S147" t="str">
        <f t="shared" si="4"/>
        <v>Z</v>
      </c>
      <c r="T147" t="str">
        <f t="shared" si="5"/>
        <v>CBBZ</v>
      </c>
    </row>
    <row r="148" spans="2:20" x14ac:dyDescent="0.3">
      <c r="B148" s="3" t="s">
        <v>116</v>
      </c>
      <c r="C148" s="4">
        <v>42</v>
      </c>
      <c r="D148" s="4">
        <v>4424.68</v>
      </c>
      <c r="E148" s="4">
        <v>5267</v>
      </c>
      <c r="F148" s="15">
        <v>2.6888418276242998E-3</v>
      </c>
      <c r="G148" s="7">
        <v>0.96248053525586152</v>
      </c>
      <c r="H148" s="6">
        <v>0.15992405543952909</v>
      </c>
      <c r="I148" t="s">
        <v>175</v>
      </c>
      <c r="J148" s="15">
        <v>2.6252170726055392E-3</v>
      </c>
      <c r="K148" s="8">
        <v>0.91319115904644643</v>
      </c>
      <c r="L148" t="s">
        <v>174</v>
      </c>
      <c r="M148" s="6">
        <v>0.15992405543952909</v>
      </c>
      <c r="N148" s="15">
        <v>4.0557803451608653E-3</v>
      </c>
      <c r="O148" s="8">
        <v>0.92857619132468461</v>
      </c>
      <c r="P148" t="s">
        <v>175</v>
      </c>
      <c r="Q148" t="s">
        <v>206</v>
      </c>
      <c r="R148" s="6">
        <v>1.0986568715175069</v>
      </c>
      <c r="S148" t="str">
        <f t="shared" si="4"/>
        <v>Z</v>
      </c>
      <c r="T148" t="str">
        <f t="shared" si="5"/>
        <v>CBCZ</v>
      </c>
    </row>
    <row r="149" spans="2:20" x14ac:dyDescent="0.3">
      <c r="B149" s="3" t="s">
        <v>79</v>
      </c>
      <c r="C149" s="4">
        <v>42</v>
      </c>
      <c r="D149" s="4">
        <v>6263.09</v>
      </c>
      <c r="E149" s="4">
        <v>7441</v>
      </c>
      <c r="F149" s="15">
        <v>2.6888418276242998E-3</v>
      </c>
      <c r="G149" s="7">
        <v>0.97054706073873442</v>
      </c>
      <c r="H149" s="6">
        <v>0.1582999596828383</v>
      </c>
      <c r="I149" t="s">
        <v>175</v>
      </c>
      <c r="J149" s="15">
        <v>3.7087982223766506E-3</v>
      </c>
      <c r="K149" s="8">
        <v>0.84914282550553466</v>
      </c>
      <c r="L149" t="s">
        <v>174</v>
      </c>
      <c r="M149" s="6">
        <v>0.1582999596828383</v>
      </c>
      <c r="N149" s="15">
        <v>4.0145921972581482E-3</v>
      </c>
      <c r="O149" s="8">
        <v>0.9325907835219428</v>
      </c>
      <c r="P149" t="s">
        <v>175</v>
      </c>
      <c r="Q149" t="s">
        <v>206</v>
      </c>
      <c r="R149" s="6">
        <v>1.1196254970128421</v>
      </c>
      <c r="S149" t="str">
        <f t="shared" si="4"/>
        <v>Z</v>
      </c>
      <c r="T149" t="str">
        <f t="shared" si="5"/>
        <v>CBCZ</v>
      </c>
    </row>
    <row r="150" spans="2:20" x14ac:dyDescent="0.3">
      <c r="B150" s="3" t="s">
        <v>111</v>
      </c>
      <c r="C150" s="4">
        <v>43</v>
      </c>
      <c r="D150" s="4">
        <v>7053.69</v>
      </c>
      <c r="E150" s="4">
        <v>8342.02</v>
      </c>
      <c r="F150" s="15">
        <v>2.752861871139164E-3</v>
      </c>
      <c r="G150" s="7">
        <v>0.95166114790184941</v>
      </c>
      <c r="H150" s="6">
        <v>0.15443861318961125</v>
      </c>
      <c r="I150" t="s">
        <v>175</v>
      </c>
      <c r="J150" s="15">
        <v>4.1578912709354212E-3</v>
      </c>
      <c r="K150" s="8">
        <v>0.82971784902582479</v>
      </c>
      <c r="L150" t="s">
        <v>174</v>
      </c>
      <c r="M150" s="6">
        <v>0.15443861318961125</v>
      </c>
      <c r="N150" s="15">
        <v>3.9166658836085558E-3</v>
      </c>
      <c r="O150" s="8">
        <v>0.94441737365291289</v>
      </c>
      <c r="P150" t="s">
        <v>175</v>
      </c>
      <c r="Q150" t="s">
        <v>206</v>
      </c>
      <c r="R150" s="6">
        <v>0.99672885123231725</v>
      </c>
      <c r="S150" t="str">
        <f t="shared" si="4"/>
        <v>Z</v>
      </c>
      <c r="T150" t="str">
        <f t="shared" si="5"/>
        <v>CBCZ</v>
      </c>
    </row>
    <row r="151" spans="2:20" x14ac:dyDescent="0.3">
      <c r="B151" s="3" t="s">
        <v>148</v>
      </c>
      <c r="C151" s="4">
        <v>42</v>
      </c>
      <c r="D151" s="4">
        <v>1571.7</v>
      </c>
      <c r="E151" s="4">
        <v>2426</v>
      </c>
      <c r="F151" s="15">
        <v>2.6888418276242998E-3</v>
      </c>
      <c r="G151" s="7">
        <v>0.97323590256635872</v>
      </c>
      <c r="H151" s="6">
        <v>0.35214344600164876</v>
      </c>
      <c r="I151" t="s">
        <v>175</v>
      </c>
      <c r="J151" s="15">
        <v>1.209184852504469E-3</v>
      </c>
      <c r="K151" s="8">
        <v>0.97645685192820697</v>
      </c>
      <c r="L151" t="s">
        <v>175</v>
      </c>
      <c r="M151" s="6">
        <v>0.35214344600164876</v>
      </c>
      <c r="N151" s="15">
        <v>8.9305918552743599E-3</v>
      </c>
      <c r="O151" s="8">
        <v>0.4017010298379951</v>
      </c>
      <c r="P151" t="s">
        <v>173</v>
      </c>
      <c r="Q151" t="s">
        <v>207</v>
      </c>
      <c r="R151" s="6">
        <v>1.0554706328815593</v>
      </c>
      <c r="S151" t="str">
        <f t="shared" si="4"/>
        <v>Z</v>
      </c>
      <c r="T151" t="str">
        <f t="shared" si="5"/>
        <v>CCAZ</v>
      </c>
    </row>
    <row r="152" spans="2:20" x14ac:dyDescent="0.3">
      <c r="B152" s="3" t="s">
        <v>68</v>
      </c>
      <c r="C152" s="4">
        <v>41</v>
      </c>
      <c r="D152" s="4">
        <v>2380.37</v>
      </c>
      <c r="E152" s="4">
        <v>3606</v>
      </c>
      <c r="F152" s="15">
        <v>2.6248217841094356E-3</v>
      </c>
      <c r="G152" s="7">
        <v>0.99177397316894678</v>
      </c>
      <c r="H152" s="6">
        <v>0.33988630061009434</v>
      </c>
      <c r="I152" t="s">
        <v>175</v>
      </c>
      <c r="J152" s="15">
        <v>1.7973291748273352E-3</v>
      </c>
      <c r="K152" s="8">
        <v>0.96019424273697085</v>
      </c>
      <c r="L152" t="s">
        <v>175</v>
      </c>
      <c r="M152" s="6">
        <v>0.33988630061009434</v>
      </c>
      <c r="N152" s="15">
        <v>8.6197425009966796E-3</v>
      </c>
      <c r="O152" s="8">
        <v>0.43675313314103686</v>
      </c>
      <c r="P152" t="s">
        <v>173</v>
      </c>
      <c r="Q152" t="s">
        <v>207</v>
      </c>
      <c r="R152" s="6">
        <v>1.4900637974092279</v>
      </c>
      <c r="S152" t="str">
        <f t="shared" si="4"/>
        <v>Z</v>
      </c>
      <c r="T152" t="str">
        <f t="shared" si="5"/>
        <v>CCAZ</v>
      </c>
    </row>
    <row r="153" spans="2:20" x14ac:dyDescent="0.3">
      <c r="B153" s="3" t="s">
        <v>67</v>
      </c>
      <c r="C153" s="4">
        <v>41</v>
      </c>
      <c r="D153" s="4">
        <v>2274.13</v>
      </c>
      <c r="E153" s="4">
        <v>3296</v>
      </c>
      <c r="F153" s="15">
        <v>2.6248217841094356E-3</v>
      </c>
      <c r="G153" s="7">
        <v>0.98914915138483739</v>
      </c>
      <c r="H153" s="6">
        <v>0.31003337378640772</v>
      </c>
      <c r="I153" t="s">
        <v>175</v>
      </c>
      <c r="J153" s="15">
        <v>1.6428166833696331E-3</v>
      </c>
      <c r="K153" s="8">
        <v>0.96362043262819741</v>
      </c>
      <c r="L153" t="s">
        <v>175</v>
      </c>
      <c r="M153" s="6">
        <v>0.31003337378640772</v>
      </c>
      <c r="N153" s="15">
        <v>7.8626524339378452E-3</v>
      </c>
      <c r="O153" s="8">
        <v>0.46058134299895909</v>
      </c>
      <c r="P153" t="s">
        <v>173</v>
      </c>
      <c r="Q153" t="s">
        <v>207</v>
      </c>
      <c r="R153" s="6">
        <v>1.0476818423495458</v>
      </c>
      <c r="S153" t="str">
        <f t="shared" si="4"/>
        <v>Z</v>
      </c>
      <c r="T153" t="str">
        <f t="shared" si="5"/>
        <v>CCAZ</v>
      </c>
    </row>
    <row r="154" spans="2:20" x14ac:dyDescent="0.3">
      <c r="B154" s="3" t="s">
        <v>71</v>
      </c>
      <c r="C154" s="4">
        <v>41</v>
      </c>
      <c r="D154" s="4">
        <v>2011.64</v>
      </c>
      <c r="E154" s="4">
        <v>2910</v>
      </c>
      <c r="F154" s="15">
        <v>2.6248217841094356E-3</v>
      </c>
      <c r="G154" s="7">
        <v>0.99439879495305616</v>
      </c>
      <c r="H154" s="6">
        <v>0.30871477663230235</v>
      </c>
      <c r="I154" t="s">
        <v>175</v>
      </c>
      <c r="J154" s="15">
        <v>1.4504237101352041E-3</v>
      </c>
      <c r="K154" s="8">
        <v>0.97123640317488658</v>
      </c>
      <c r="L154" t="s">
        <v>175</v>
      </c>
      <c r="M154" s="6">
        <v>0.30871477663230235</v>
      </c>
      <c r="N154" s="15">
        <v>7.8292119336572114E-3</v>
      </c>
      <c r="O154" s="8">
        <v>0.4684105549326163</v>
      </c>
      <c r="P154" t="s">
        <v>173</v>
      </c>
      <c r="Q154" t="s">
        <v>207</v>
      </c>
      <c r="R154" s="6">
        <v>1.4057863091404947</v>
      </c>
      <c r="S154" t="str">
        <f t="shared" si="4"/>
        <v>Z</v>
      </c>
      <c r="T154" t="str">
        <f t="shared" si="5"/>
        <v>CCAZ</v>
      </c>
    </row>
    <row r="155" spans="2:20" x14ac:dyDescent="0.3">
      <c r="B155" s="3" t="s">
        <v>159</v>
      </c>
      <c r="C155" s="4">
        <v>43</v>
      </c>
      <c r="D155" s="4">
        <v>2292.4899999999998</v>
      </c>
      <c r="E155" s="4">
        <v>2830.84</v>
      </c>
      <c r="F155" s="15">
        <v>2.752861871139164E-3</v>
      </c>
      <c r="G155" s="7">
        <v>0.95441400977298863</v>
      </c>
      <c r="H155" s="6">
        <v>0.19017323479956491</v>
      </c>
      <c r="I155" t="s">
        <v>175</v>
      </c>
      <c r="J155" s="15">
        <v>1.410968197800392E-3</v>
      </c>
      <c r="K155" s="8">
        <v>0.97264737137268698</v>
      </c>
      <c r="L155" t="s">
        <v>175</v>
      </c>
      <c r="M155" s="6">
        <v>0.19017323479956491</v>
      </c>
      <c r="N155" s="15">
        <v>4.822919639924865E-3</v>
      </c>
      <c r="O155" s="8">
        <v>0.76005619009587</v>
      </c>
      <c r="P155" t="s">
        <v>174</v>
      </c>
      <c r="Q155" t="s">
        <v>208</v>
      </c>
      <c r="R155" s="6">
        <v>1.6638839078254779</v>
      </c>
      <c r="S155" t="str">
        <f t="shared" si="4"/>
        <v>Z</v>
      </c>
      <c r="T155" t="str">
        <f t="shared" si="5"/>
        <v>CCBZ</v>
      </c>
    </row>
    <row r="156" spans="2:20" x14ac:dyDescent="0.3">
      <c r="B156" s="3" t="s">
        <v>81</v>
      </c>
      <c r="C156" s="4">
        <v>42</v>
      </c>
      <c r="D156" s="4">
        <v>1733.23</v>
      </c>
      <c r="E156" s="4">
        <v>2131</v>
      </c>
      <c r="F156" s="15">
        <v>2.6888418276242998E-3</v>
      </c>
      <c r="G156" s="7">
        <v>0.97861358622160732</v>
      </c>
      <c r="H156" s="6">
        <v>0.18665884561238855</v>
      </c>
      <c r="I156" t="s">
        <v>175</v>
      </c>
      <c r="J156" s="15">
        <v>1.0621487719237525E-3</v>
      </c>
      <c r="K156" s="8">
        <v>0.98324991885103608</v>
      </c>
      <c r="L156" t="s">
        <v>175</v>
      </c>
      <c r="M156" s="6">
        <v>0.18665884561238855</v>
      </c>
      <c r="N156" s="15">
        <v>4.7337923941742381E-3</v>
      </c>
      <c r="O156" s="8">
        <v>0.78867861233823633</v>
      </c>
      <c r="P156" t="s">
        <v>174</v>
      </c>
      <c r="Q156" t="s">
        <v>208</v>
      </c>
      <c r="R156" s="6">
        <v>1.1196254970128421</v>
      </c>
      <c r="S156" t="str">
        <f t="shared" si="4"/>
        <v>Z</v>
      </c>
      <c r="T156" t="str">
        <f t="shared" si="5"/>
        <v>CCBZ</v>
      </c>
    </row>
    <row r="157" spans="2:20" x14ac:dyDescent="0.3">
      <c r="B157" s="3" t="s">
        <v>107</v>
      </c>
      <c r="C157" s="4">
        <v>42</v>
      </c>
      <c r="D157" s="4">
        <v>3019.17</v>
      </c>
      <c r="E157" s="4">
        <v>3706</v>
      </c>
      <c r="F157" s="15">
        <v>2.6888418276242998E-3</v>
      </c>
      <c r="G157" s="7">
        <v>0.97592474439398302</v>
      </c>
      <c r="H157" s="6">
        <v>0.18532919589854288</v>
      </c>
      <c r="I157" t="s">
        <v>175</v>
      </c>
      <c r="J157" s="15">
        <v>1.8471719140072391E-3</v>
      </c>
      <c r="K157" s="8">
        <v>0.95839691356214352</v>
      </c>
      <c r="L157" t="s">
        <v>175</v>
      </c>
      <c r="M157" s="6">
        <v>0.18532919589854288</v>
      </c>
      <c r="N157" s="15">
        <v>4.7000715936321132E-3</v>
      </c>
      <c r="O157" s="8">
        <v>0.79808944921544189</v>
      </c>
      <c r="P157" t="s">
        <v>174</v>
      </c>
      <c r="Q157" t="s">
        <v>208</v>
      </c>
      <c r="R157" s="6">
        <v>1.19984106550648</v>
      </c>
      <c r="S157" t="str">
        <f t="shared" si="4"/>
        <v>Z</v>
      </c>
      <c r="T157" t="str">
        <f t="shared" si="5"/>
        <v>CCBZ</v>
      </c>
    </row>
  </sheetData>
  <sortState xmlns:xlrd2="http://schemas.microsoft.com/office/spreadsheetml/2017/richdata2" ref="B2:Q157">
    <sortCondition ref="Q2:Q15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065D-5364-40AF-8259-71C23BB271B6}">
  <dimension ref="A3:F160"/>
  <sheetViews>
    <sheetView zoomScale="96" workbookViewId="0">
      <selection activeCell="A163" sqref="A163"/>
    </sheetView>
  </sheetViews>
  <sheetFormatPr defaultRowHeight="14.4" x14ac:dyDescent="0.3"/>
  <cols>
    <col min="1" max="1" width="97.88671875" bestFit="1" customWidth="1"/>
    <col min="2" max="2" width="23.21875" bestFit="1" customWidth="1"/>
    <col min="3" max="3" width="24.33203125" bestFit="1" customWidth="1"/>
    <col min="4" max="4" width="24.109375" bestFit="1" customWidth="1"/>
  </cols>
  <sheetData>
    <row r="3" spans="1:6" x14ac:dyDescent="0.3">
      <c r="A3" s="2" t="s">
        <v>161</v>
      </c>
      <c r="B3" t="s">
        <v>241</v>
      </c>
      <c r="C3" t="s">
        <v>242</v>
      </c>
      <c r="D3" t="s">
        <v>243</v>
      </c>
      <c r="F3" t="s">
        <v>244</v>
      </c>
    </row>
    <row r="4" spans="1:6" x14ac:dyDescent="0.3">
      <c r="A4" s="3" t="s">
        <v>51</v>
      </c>
      <c r="B4" s="4">
        <v>862</v>
      </c>
      <c r="C4" s="4">
        <v>184.92</v>
      </c>
      <c r="D4" s="4">
        <v>341.33999999999986</v>
      </c>
      <c r="F4">
        <f t="shared" ref="F4:F9" si="0">GETPIVOTDATA("[Measures].[Сумма по столбцу dr_kol]",$A$3,"[Диапазон].[dr_ndrugs]","[Диапазон].[dr_ndrugs].&amp;[ЛЕЙКОПЛАСТЫРЬ БАКТЕР, 2,5Х7,2 №1 /ВЕРОФАРМ/]")/SUM(B:B)</f>
        <v>2.7592638754906511E-2</v>
      </c>
    </row>
    <row r="5" spans="1:6" x14ac:dyDescent="0.3">
      <c r="A5" s="3" t="s">
        <v>92</v>
      </c>
      <c r="B5" s="4">
        <v>582</v>
      </c>
      <c r="C5" s="4">
        <v>688.15</v>
      </c>
      <c r="D5" s="4">
        <v>956</v>
      </c>
      <c r="F5">
        <f t="shared" si="0"/>
        <v>2.7592638754906511E-2</v>
      </c>
    </row>
    <row r="6" spans="1:6" x14ac:dyDescent="0.3">
      <c r="A6" s="3" t="s">
        <v>20</v>
      </c>
      <c r="B6" s="4">
        <v>351</v>
      </c>
      <c r="C6" s="4">
        <v>7230.24</v>
      </c>
      <c r="D6" s="4">
        <v>9242.35</v>
      </c>
      <c r="F6">
        <f t="shared" si="0"/>
        <v>2.7592638754906511E-2</v>
      </c>
    </row>
    <row r="7" spans="1:6" x14ac:dyDescent="0.3">
      <c r="A7" s="3" t="s">
        <v>24</v>
      </c>
      <c r="B7" s="4">
        <v>319</v>
      </c>
      <c r="C7" s="4">
        <v>31551.9</v>
      </c>
      <c r="D7" s="4">
        <v>37411.68</v>
      </c>
      <c r="F7">
        <f t="shared" si="0"/>
        <v>2.7592638754906511E-2</v>
      </c>
    </row>
    <row r="8" spans="1:6" x14ac:dyDescent="0.3">
      <c r="A8" s="3" t="s">
        <v>31</v>
      </c>
      <c r="B8" s="4">
        <v>296</v>
      </c>
      <c r="C8" s="4">
        <v>3955.44</v>
      </c>
      <c r="D8" s="4">
        <v>5393</v>
      </c>
      <c r="F8">
        <f t="shared" si="0"/>
        <v>2.7592638754906511E-2</v>
      </c>
    </row>
    <row r="9" spans="1:6" x14ac:dyDescent="0.3">
      <c r="A9" s="3" t="s">
        <v>66</v>
      </c>
      <c r="B9" s="4">
        <v>276</v>
      </c>
      <c r="C9" s="4">
        <v>8445.27</v>
      </c>
      <c r="D9" s="4">
        <v>9877</v>
      </c>
      <c r="F9">
        <f t="shared" si="0"/>
        <v>2.7592638754906511E-2</v>
      </c>
    </row>
    <row r="10" spans="1:6" x14ac:dyDescent="0.3">
      <c r="A10" s="3" t="s">
        <v>45</v>
      </c>
      <c r="B10" s="4">
        <v>273</v>
      </c>
      <c r="C10" s="4">
        <v>4185.18</v>
      </c>
      <c r="D10" s="4">
        <v>6797</v>
      </c>
    </row>
    <row r="11" spans="1:6" x14ac:dyDescent="0.3">
      <c r="A11" s="3" t="s">
        <v>39</v>
      </c>
      <c r="B11" s="4">
        <v>271</v>
      </c>
      <c r="C11" s="4">
        <v>977.14</v>
      </c>
      <c r="D11" s="4">
        <v>1618</v>
      </c>
    </row>
    <row r="12" spans="1:6" x14ac:dyDescent="0.3">
      <c r="A12" s="3" t="s">
        <v>65</v>
      </c>
      <c r="B12" s="4">
        <v>261</v>
      </c>
      <c r="C12" s="4">
        <v>47685.42</v>
      </c>
      <c r="D12" s="4">
        <v>56782</v>
      </c>
    </row>
    <row r="13" spans="1:6" x14ac:dyDescent="0.3">
      <c r="A13" s="3" t="s">
        <v>7</v>
      </c>
      <c r="B13" s="4">
        <v>236</v>
      </c>
      <c r="C13" s="4">
        <v>20956.41</v>
      </c>
      <c r="D13" s="4">
        <v>25401</v>
      </c>
    </row>
    <row r="14" spans="1:6" x14ac:dyDescent="0.3">
      <c r="A14" s="3" t="s">
        <v>133</v>
      </c>
      <c r="B14" s="4">
        <v>227</v>
      </c>
      <c r="C14" s="4">
        <v>254.28</v>
      </c>
      <c r="D14" s="4">
        <v>428</v>
      </c>
    </row>
    <row r="15" spans="1:6" x14ac:dyDescent="0.3">
      <c r="A15" s="3" t="s">
        <v>25</v>
      </c>
      <c r="B15" s="4">
        <v>225</v>
      </c>
      <c r="C15" s="4">
        <v>33284.620000000003</v>
      </c>
      <c r="D15" s="4">
        <v>39989.769999999997</v>
      </c>
    </row>
    <row r="16" spans="1:6" x14ac:dyDescent="0.3">
      <c r="A16" s="3" t="s">
        <v>36</v>
      </c>
      <c r="B16" s="4">
        <v>217</v>
      </c>
      <c r="C16" s="4">
        <v>5074.17</v>
      </c>
      <c r="D16" s="4">
        <v>6439</v>
      </c>
    </row>
    <row r="17" spans="1:4" x14ac:dyDescent="0.3">
      <c r="A17" s="3" t="s">
        <v>56</v>
      </c>
      <c r="B17" s="4">
        <v>194</v>
      </c>
      <c r="C17" s="4">
        <v>8596.1</v>
      </c>
      <c r="D17" s="4">
        <v>13278</v>
      </c>
    </row>
    <row r="18" spans="1:4" x14ac:dyDescent="0.3">
      <c r="A18" s="3" t="s">
        <v>23</v>
      </c>
      <c r="B18" s="4">
        <v>191</v>
      </c>
      <c r="C18" s="4">
        <v>21445.24</v>
      </c>
      <c r="D18" s="4">
        <v>24020.639999999999</v>
      </c>
    </row>
    <row r="19" spans="1:4" x14ac:dyDescent="0.3">
      <c r="A19" s="3" t="s">
        <v>158</v>
      </c>
      <c r="B19" s="4">
        <v>187</v>
      </c>
      <c r="C19" s="4">
        <v>5156.4799999999996</v>
      </c>
      <c r="D19" s="4">
        <v>6567.3600000000006</v>
      </c>
    </row>
    <row r="20" spans="1:4" x14ac:dyDescent="0.3">
      <c r="A20" s="3" t="s">
        <v>19</v>
      </c>
      <c r="B20" s="4">
        <v>180</v>
      </c>
      <c r="C20" s="4">
        <v>14766</v>
      </c>
      <c r="D20" s="4">
        <v>18583</v>
      </c>
    </row>
    <row r="21" spans="1:4" x14ac:dyDescent="0.3">
      <c r="A21" s="3" t="s">
        <v>48</v>
      </c>
      <c r="B21" s="4">
        <v>179</v>
      </c>
      <c r="C21" s="4">
        <v>7147.68</v>
      </c>
      <c r="D21" s="4">
        <v>11109</v>
      </c>
    </row>
    <row r="22" spans="1:4" x14ac:dyDescent="0.3">
      <c r="A22" s="3" t="s">
        <v>122</v>
      </c>
      <c r="B22" s="4">
        <v>178.00000009999999</v>
      </c>
      <c r="C22" s="4">
        <v>3815.9</v>
      </c>
      <c r="D22" s="4">
        <v>4681.21</v>
      </c>
    </row>
    <row r="23" spans="1:4" x14ac:dyDescent="0.3">
      <c r="A23" s="3" t="s">
        <v>47</v>
      </c>
      <c r="B23" s="4">
        <v>173</v>
      </c>
      <c r="C23" s="4">
        <v>7460.08</v>
      </c>
      <c r="D23" s="4">
        <v>11585</v>
      </c>
    </row>
    <row r="24" spans="1:4" x14ac:dyDescent="0.3">
      <c r="A24" s="3" t="s">
        <v>62</v>
      </c>
      <c r="B24" s="4">
        <v>169</v>
      </c>
      <c r="C24" s="4">
        <v>4278.1499999999996</v>
      </c>
      <c r="D24" s="4">
        <v>5141.16</v>
      </c>
    </row>
    <row r="25" spans="1:4" x14ac:dyDescent="0.3">
      <c r="A25" s="3" t="s">
        <v>85</v>
      </c>
      <c r="B25" s="4">
        <v>165</v>
      </c>
      <c r="C25" s="4">
        <v>2645.2</v>
      </c>
      <c r="D25" s="4">
        <v>4177</v>
      </c>
    </row>
    <row r="26" spans="1:4" x14ac:dyDescent="0.3">
      <c r="A26" s="3" t="s">
        <v>5</v>
      </c>
      <c r="B26" s="4">
        <v>164</v>
      </c>
      <c r="C26" s="4">
        <v>22707.25</v>
      </c>
      <c r="D26" s="4">
        <v>26881</v>
      </c>
    </row>
    <row r="27" spans="1:4" x14ac:dyDescent="0.3">
      <c r="A27" s="3" t="s">
        <v>134</v>
      </c>
      <c r="B27" s="4">
        <v>158</v>
      </c>
      <c r="C27" s="4">
        <v>4440.07</v>
      </c>
      <c r="D27" s="4">
        <v>6877</v>
      </c>
    </row>
    <row r="28" spans="1:4" x14ac:dyDescent="0.3">
      <c r="A28" s="3" t="s">
        <v>18</v>
      </c>
      <c r="B28" s="4">
        <v>154</v>
      </c>
      <c r="C28" s="4">
        <v>6918.05</v>
      </c>
      <c r="D28" s="4">
        <v>10742</v>
      </c>
    </row>
    <row r="29" spans="1:4" x14ac:dyDescent="0.3">
      <c r="A29" s="3" t="s">
        <v>8</v>
      </c>
      <c r="B29" s="4">
        <v>151</v>
      </c>
      <c r="C29" s="4">
        <v>5975.18</v>
      </c>
      <c r="D29" s="4">
        <v>9692</v>
      </c>
    </row>
    <row r="30" spans="1:4" x14ac:dyDescent="0.3">
      <c r="A30" s="3" t="s">
        <v>41</v>
      </c>
      <c r="B30" s="4">
        <v>147</v>
      </c>
      <c r="C30" s="4">
        <v>932.43</v>
      </c>
      <c r="D30" s="4">
        <v>1545.01</v>
      </c>
    </row>
    <row r="31" spans="1:4" x14ac:dyDescent="0.3">
      <c r="A31" s="3" t="s">
        <v>93</v>
      </c>
      <c r="B31" s="4">
        <v>142</v>
      </c>
      <c r="C31" s="4">
        <v>10064.98</v>
      </c>
      <c r="D31" s="4">
        <v>14512</v>
      </c>
    </row>
    <row r="32" spans="1:4" x14ac:dyDescent="0.3">
      <c r="A32" s="3" t="s">
        <v>157</v>
      </c>
      <c r="B32" s="4">
        <v>142</v>
      </c>
      <c r="C32" s="4">
        <v>1188</v>
      </c>
      <c r="D32" s="4">
        <v>1997</v>
      </c>
    </row>
    <row r="33" spans="1:4" x14ac:dyDescent="0.3">
      <c r="A33" s="3" t="s">
        <v>160</v>
      </c>
      <c r="B33" s="4">
        <v>140</v>
      </c>
      <c r="C33" s="4">
        <v>11362.24</v>
      </c>
      <c r="D33" s="4">
        <v>13839</v>
      </c>
    </row>
    <row r="34" spans="1:4" x14ac:dyDescent="0.3">
      <c r="A34" s="3" t="s">
        <v>59</v>
      </c>
      <c r="B34" s="4">
        <v>136</v>
      </c>
      <c r="C34" s="4">
        <v>1001.6</v>
      </c>
      <c r="D34" s="4">
        <v>1643</v>
      </c>
    </row>
    <row r="35" spans="1:4" x14ac:dyDescent="0.3">
      <c r="A35" s="3" t="s">
        <v>57</v>
      </c>
      <c r="B35" s="4">
        <v>131</v>
      </c>
      <c r="C35" s="4">
        <v>31086.720000000001</v>
      </c>
      <c r="D35" s="4">
        <v>36183.32</v>
      </c>
    </row>
    <row r="36" spans="1:4" x14ac:dyDescent="0.3">
      <c r="A36" s="3" t="s">
        <v>141</v>
      </c>
      <c r="B36" s="4">
        <v>130</v>
      </c>
      <c r="C36" s="4">
        <v>984.06</v>
      </c>
      <c r="D36" s="4">
        <v>1642</v>
      </c>
    </row>
    <row r="37" spans="1:4" x14ac:dyDescent="0.3">
      <c r="A37" s="3" t="s">
        <v>49</v>
      </c>
      <c r="B37" s="4">
        <v>127</v>
      </c>
      <c r="C37" s="4">
        <v>1966.28</v>
      </c>
      <c r="D37" s="4">
        <v>2403</v>
      </c>
    </row>
    <row r="38" spans="1:4" x14ac:dyDescent="0.3">
      <c r="A38" s="3" t="s">
        <v>102</v>
      </c>
      <c r="B38" s="4">
        <v>124</v>
      </c>
      <c r="C38" s="4">
        <v>3278.09</v>
      </c>
      <c r="D38" s="4">
        <v>4057</v>
      </c>
    </row>
    <row r="39" spans="1:4" x14ac:dyDescent="0.3">
      <c r="A39" s="3" t="s">
        <v>118</v>
      </c>
      <c r="B39" s="4">
        <v>124</v>
      </c>
      <c r="C39" s="4">
        <v>1215.67</v>
      </c>
      <c r="D39" s="4">
        <v>1456</v>
      </c>
    </row>
    <row r="40" spans="1:4" x14ac:dyDescent="0.3">
      <c r="A40" s="3" t="s">
        <v>35</v>
      </c>
      <c r="B40" s="4">
        <v>121</v>
      </c>
      <c r="C40" s="4">
        <v>4097.97</v>
      </c>
      <c r="D40" s="4">
        <v>6351</v>
      </c>
    </row>
    <row r="41" spans="1:4" x14ac:dyDescent="0.3">
      <c r="A41" s="3" t="s">
        <v>28</v>
      </c>
      <c r="B41" s="4">
        <v>118.00000009999999</v>
      </c>
      <c r="C41" s="4">
        <v>17345.099999999999</v>
      </c>
      <c r="D41" s="4">
        <v>24172</v>
      </c>
    </row>
    <row r="42" spans="1:4" x14ac:dyDescent="0.3">
      <c r="A42" s="3" t="s">
        <v>98</v>
      </c>
      <c r="B42" s="4">
        <v>118</v>
      </c>
      <c r="C42" s="4">
        <v>13213.87</v>
      </c>
      <c r="D42" s="4">
        <v>15939</v>
      </c>
    </row>
    <row r="43" spans="1:4" x14ac:dyDescent="0.3">
      <c r="A43" s="3" t="s">
        <v>50</v>
      </c>
      <c r="B43" s="4">
        <v>116</v>
      </c>
      <c r="C43" s="4">
        <v>5120.67</v>
      </c>
      <c r="D43" s="4">
        <v>6392.99</v>
      </c>
    </row>
    <row r="44" spans="1:4" x14ac:dyDescent="0.3">
      <c r="A44" s="3" t="s">
        <v>95</v>
      </c>
      <c r="B44" s="4">
        <v>115.59999999999998</v>
      </c>
      <c r="C44" s="4">
        <v>17169.07</v>
      </c>
      <c r="D44" s="4">
        <v>26582</v>
      </c>
    </row>
    <row r="45" spans="1:4" x14ac:dyDescent="0.3">
      <c r="A45" s="3" t="s">
        <v>100</v>
      </c>
      <c r="B45" s="4">
        <v>115</v>
      </c>
      <c r="C45" s="4">
        <v>4234.6000000000004</v>
      </c>
      <c r="D45" s="4">
        <v>6551</v>
      </c>
    </row>
    <row r="46" spans="1:4" x14ac:dyDescent="0.3">
      <c r="A46" s="3" t="s">
        <v>12</v>
      </c>
      <c r="B46" s="4">
        <v>111</v>
      </c>
      <c r="C46" s="4">
        <v>6436</v>
      </c>
      <c r="D46" s="4">
        <v>7947.2</v>
      </c>
    </row>
    <row r="47" spans="1:4" x14ac:dyDescent="0.3">
      <c r="A47" s="3" t="s">
        <v>138</v>
      </c>
      <c r="B47" s="4">
        <v>108</v>
      </c>
      <c r="C47" s="4">
        <v>3423.6</v>
      </c>
      <c r="D47" s="4">
        <v>5580</v>
      </c>
    </row>
    <row r="48" spans="1:4" x14ac:dyDescent="0.3">
      <c r="A48" s="3" t="s">
        <v>9</v>
      </c>
      <c r="B48" s="4">
        <v>105</v>
      </c>
      <c r="C48" s="4">
        <v>8491.73</v>
      </c>
      <c r="D48" s="4">
        <v>10396</v>
      </c>
    </row>
    <row r="49" spans="1:4" x14ac:dyDescent="0.3">
      <c r="A49" s="3" t="s">
        <v>55</v>
      </c>
      <c r="B49" s="4">
        <v>102</v>
      </c>
      <c r="C49" s="4">
        <v>8022.73</v>
      </c>
      <c r="D49" s="4">
        <v>9768.32</v>
      </c>
    </row>
    <row r="50" spans="1:4" x14ac:dyDescent="0.3">
      <c r="A50" s="3" t="s">
        <v>115</v>
      </c>
      <c r="B50" s="4">
        <v>101</v>
      </c>
      <c r="C50" s="4">
        <v>7221.9</v>
      </c>
      <c r="D50" s="4">
        <v>8960.64</v>
      </c>
    </row>
    <row r="51" spans="1:4" x14ac:dyDescent="0.3">
      <c r="A51" s="3" t="s">
        <v>38</v>
      </c>
      <c r="B51" s="4">
        <v>100</v>
      </c>
      <c r="C51" s="4">
        <v>2673.31</v>
      </c>
      <c r="D51" s="4">
        <v>4190</v>
      </c>
    </row>
    <row r="52" spans="1:4" x14ac:dyDescent="0.3">
      <c r="A52" s="3" t="s">
        <v>91</v>
      </c>
      <c r="B52" s="4">
        <v>97.95</v>
      </c>
      <c r="C52" s="4">
        <v>3180.74</v>
      </c>
      <c r="D52" s="4">
        <v>5289</v>
      </c>
    </row>
    <row r="53" spans="1:4" x14ac:dyDescent="0.3">
      <c r="A53" s="3" t="s">
        <v>94</v>
      </c>
      <c r="B53" s="4">
        <v>95</v>
      </c>
      <c r="C53" s="4">
        <v>3089.19</v>
      </c>
      <c r="D53" s="4">
        <v>4248</v>
      </c>
    </row>
    <row r="54" spans="1:4" x14ac:dyDescent="0.3">
      <c r="A54" s="3" t="s">
        <v>145</v>
      </c>
      <c r="B54" s="4">
        <v>94</v>
      </c>
      <c r="C54" s="4">
        <v>2378.1999999999998</v>
      </c>
      <c r="D54" s="4">
        <v>2914</v>
      </c>
    </row>
    <row r="55" spans="1:4" x14ac:dyDescent="0.3">
      <c r="A55" s="3" t="s">
        <v>58</v>
      </c>
      <c r="B55" s="4">
        <v>93</v>
      </c>
      <c r="C55" s="4">
        <v>7303.56</v>
      </c>
      <c r="D55" s="4">
        <v>8800</v>
      </c>
    </row>
    <row r="56" spans="1:4" x14ac:dyDescent="0.3">
      <c r="A56" s="3" t="s">
        <v>121</v>
      </c>
      <c r="B56" s="4">
        <v>92</v>
      </c>
      <c r="C56" s="4">
        <v>482.55</v>
      </c>
      <c r="D56" s="4">
        <v>797</v>
      </c>
    </row>
    <row r="57" spans="1:4" x14ac:dyDescent="0.3">
      <c r="A57" s="3" t="s">
        <v>63</v>
      </c>
      <c r="B57" s="4">
        <v>90</v>
      </c>
      <c r="C57" s="4">
        <v>6510.89</v>
      </c>
      <c r="D57" s="4">
        <v>7947</v>
      </c>
    </row>
    <row r="58" spans="1:4" x14ac:dyDescent="0.3">
      <c r="A58" s="3" t="s">
        <v>105</v>
      </c>
      <c r="B58" s="4">
        <v>89</v>
      </c>
      <c r="C58" s="4">
        <v>1384.05</v>
      </c>
      <c r="D58" s="4">
        <v>2268</v>
      </c>
    </row>
    <row r="59" spans="1:4" x14ac:dyDescent="0.3">
      <c r="A59" s="3" t="s">
        <v>124</v>
      </c>
      <c r="B59" s="4">
        <v>88</v>
      </c>
      <c r="C59" s="4">
        <v>3272.91</v>
      </c>
      <c r="D59" s="4">
        <v>5311</v>
      </c>
    </row>
    <row r="60" spans="1:4" x14ac:dyDescent="0.3">
      <c r="A60" s="3" t="s">
        <v>22</v>
      </c>
      <c r="B60" s="4">
        <v>88</v>
      </c>
      <c r="C60" s="4">
        <v>2484.6</v>
      </c>
      <c r="D60" s="4">
        <v>4026</v>
      </c>
    </row>
    <row r="61" spans="1:4" x14ac:dyDescent="0.3">
      <c r="A61" s="3" t="s">
        <v>90</v>
      </c>
      <c r="B61" s="4">
        <v>87</v>
      </c>
      <c r="C61" s="4">
        <v>34177.89</v>
      </c>
      <c r="D61" s="4">
        <v>41664</v>
      </c>
    </row>
    <row r="62" spans="1:4" x14ac:dyDescent="0.3">
      <c r="A62" s="3" t="s">
        <v>37</v>
      </c>
      <c r="B62" s="4">
        <v>87</v>
      </c>
      <c r="C62" s="4">
        <v>3510.9</v>
      </c>
      <c r="D62" s="4">
        <v>4460</v>
      </c>
    </row>
    <row r="63" spans="1:4" x14ac:dyDescent="0.3">
      <c r="A63" s="3" t="s">
        <v>103</v>
      </c>
      <c r="B63" s="4">
        <v>86</v>
      </c>
      <c r="C63" s="4">
        <v>3540.86</v>
      </c>
      <c r="D63" s="4">
        <v>5540</v>
      </c>
    </row>
    <row r="64" spans="1:4" x14ac:dyDescent="0.3">
      <c r="A64" s="3" t="s">
        <v>153</v>
      </c>
      <c r="B64" s="4">
        <v>85</v>
      </c>
      <c r="C64" s="4">
        <v>876.3</v>
      </c>
      <c r="D64" s="4">
        <v>1029</v>
      </c>
    </row>
    <row r="65" spans="1:4" x14ac:dyDescent="0.3">
      <c r="A65" s="3" t="s">
        <v>10</v>
      </c>
      <c r="B65" s="4">
        <v>85</v>
      </c>
      <c r="C65" s="4">
        <v>932.3</v>
      </c>
      <c r="D65" s="4">
        <v>1134</v>
      </c>
    </row>
    <row r="66" spans="1:4" x14ac:dyDescent="0.3">
      <c r="A66" s="3" t="s">
        <v>34</v>
      </c>
      <c r="B66" s="4">
        <v>83</v>
      </c>
      <c r="C66" s="4">
        <v>16796.88</v>
      </c>
      <c r="D66" s="4">
        <v>19440</v>
      </c>
    </row>
    <row r="67" spans="1:4" x14ac:dyDescent="0.3">
      <c r="A67" s="3" t="s">
        <v>86</v>
      </c>
      <c r="B67" s="4">
        <v>83</v>
      </c>
      <c r="C67" s="4">
        <v>2318.04</v>
      </c>
      <c r="D67" s="4">
        <v>3805</v>
      </c>
    </row>
    <row r="68" spans="1:4" x14ac:dyDescent="0.3">
      <c r="A68" s="3" t="s">
        <v>30</v>
      </c>
      <c r="B68" s="4">
        <v>82</v>
      </c>
      <c r="C68" s="4">
        <v>12809.3</v>
      </c>
      <c r="D68" s="4">
        <v>15284</v>
      </c>
    </row>
    <row r="69" spans="1:4" x14ac:dyDescent="0.3">
      <c r="A69" s="3" t="s">
        <v>139</v>
      </c>
      <c r="B69" s="4">
        <v>81</v>
      </c>
      <c r="C69" s="4">
        <v>1302.67</v>
      </c>
      <c r="D69" s="4">
        <v>2135</v>
      </c>
    </row>
    <row r="70" spans="1:4" x14ac:dyDescent="0.3">
      <c r="A70" s="3" t="s">
        <v>21</v>
      </c>
      <c r="B70" s="4">
        <v>81</v>
      </c>
      <c r="C70" s="4">
        <v>14922.95</v>
      </c>
      <c r="D70" s="4">
        <v>20729</v>
      </c>
    </row>
    <row r="71" spans="1:4" x14ac:dyDescent="0.3">
      <c r="A71" s="3" t="s">
        <v>72</v>
      </c>
      <c r="B71" s="4">
        <v>80</v>
      </c>
      <c r="C71" s="4">
        <v>44568.99</v>
      </c>
      <c r="D71" s="4">
        <v>58872</v>
      </c>
    </row>
    <row r="72" spans="1:4" x14ac:dyDescent="0.3">
      <c r="A72" s="3" t="s">
        <v>99</v>
      </c>
      <c r="B72" s="4">
        <v>79</v>
      </c>
      <c r="C72" s="4">
        <v>5128.1099999999997</v>
      </c>
      <c r="D72" s="4">
        <v>6164</v>
      </c>
    </row>
    <row r="73" spans="1:4" x14ac:dyDescent="0.3">
      <c r="A73" s="3" t="s">
        <v>32</v>
      </c>
      <c r="B73" s="4">
        <v>78.100000000000009</v>
      </c>
      <c r="C73" s="4">
        <v>10120.01</v>
      </c>
      <c r="D73" s="4">
        <v>15669.55</v>
      </c>
    </row>
    <row r="74" spans="1:4" x14ac:dyDescent="0.3">
      <c r="A74" s="3" t="s">
        <v>104</v>
      </c>
      <c r="B74" s="4">
        <v>78</v>
      </c>
      <c r="C74" s="4">
        <v>3533.51</v>
      </c>
      <c r="D74" s="4">
        <v>4461</v>
      </c>
    </row>
    <row r="75" spans="1:4" x14ac:dyDescent="0.3">
      <c r="A75" s="3" t="s">
        <v>146</v>
      </c>
      <c r="B75" s="4">
        <v>73</v>
      </c>
      <c r="C75" s="4">
        <v>29788.92</v>
      </c>
      <c r="D75" s="4">
        <v>33553</v>
      </c>
    </row>
    <row r="76" spans="1:4" x14ac:dyDescent="0.3">
      <c r="A76" s="3" t="s">
        <v>106</v>
      </c>
      <c r="B76" s="4">
        <v>72.8</v>
      </c>
      <c r="C76" s="4">
        <v>3103.42</v>
      </c>
      <c r="D76" s="4">
        <v>3820</v>
      </c>
    </row>
    <row r="77" spans="1:4" x14ac:dyDescent="0.3">
      <c r="A77" s="3" t="s">
        <v>127</v>
      </c>
      <c r="B77" s="4">
        <v>72</v>
      </c>
      <c r="C77" s="4">
        <v>8670.44</v>
      </c>
      <c r="D77" s="4">
        <v>12055</v>
      </c>
    </row>
    <row r="78" spans="1:4" x14ac:dyDescent="0.3">
      <c r="A78" s="3" t="s">
        <v>52</v>
      </c>
      <c r="B78" s="4">
        <v>72</v>
      </c>
      <c r="C78" s="4">
        <v>14937.05</v>
      </c>
      <c r="D78" s="4">
        <v>17955.86</v>
      </c>
    </row>
    <row r="79" spans="1:4" x14ac:dyDescent="0.3">
      <c r="A79" s="3" t="s">
        <v>137</v>
      </c>
      <c r="B79" s="4">
        <v>71</v>
      </c>
      <c r="C79" s="4">
        <v>386.37</v>
      </c>
      <c r="D79" s="4">
        <v>652</v>
      </c>
    </row>
    <row r="80" spans="1:4" x14ac:dyDescent="0.3">
      <c r="A80" s="3" t="s">
        <v>73</v>
      </c>
      <c r="B80" s="4">
        <v>70</v>
      </c>
      <c r="C80" s="4">
        <v>431.67</v>
      </c>
      <c r="D80" s="4">
        <v>722</v>
      </c>
    </row>
    <row r="81" spans="1:4" x14ac:dyDescent="0.3">
      <c r="A81" s="3" t="s">
        <v>135</v>
      </c>
      <c r="B81" s="4">
        <v>70</v>
      </c>
      <c r="C81" s="4">
        <v>5157.3900000000003</v>
      </c>
      <c r="D81" s="4">
        <v>6389</v>
      </c>
    </row>
    <row r="82" spans="1:4" x14ac:dyDescent="0.3">
      <c r="A82" s="3" t="s">
        <v>132</v>
      </c>
      <c r="B82" s="4">
        <v>69</v>
      </c>
      <c r="C82" s="4">
        <v>4075.73</v>
      </c>
      <c r="D82" s="4">
        <v>5944</v>
      </c>
    </row>
    <row r="83" spans="1:4" x14ac:dyDescent="0.3">
      <c r="A83" s="3" t="s">
        <v>120</v>
      </c>
      <c r="B83" s="4">
        <v>69</v>
      </c>
      <c r="C83" s="4">
        <v>9379.31</v>
      </c>
      <c r="D83" s="4">
        <v>12954.92</v>
      </c>
    </row>
    <row r="84" spans="1:4" x14ac:dyDescent="0.3">
      <c r="A84" s="3" t="s">
        <v>131</v>
      </c>
      <c r="B84" s="4">
        <v>68</v>
      </c>
      <c r="C84" s="4">
        <v>24475.96</v>
      </c>
      <c r="D84" s="4">
        <v>28869</v>
      </c>
    </row>
    <row r="85" spans="1:4" x14ac:dyDescent="0.3">
      <c r="A85" s="3" t="s">
        <v>11</v>
      </c>
      <c r="B85" s="4">
        <v>67</v>
      </c>
      <c r="C85" s="4">
        <v>1498.2</v>
      </c>
      <c r="D85" s="4">
        <v>2419</v>
      </c>
    </row>
    <row r="86" spans="1:4" x14ac:dyDescent="0.3">
      <c r="A86" s="3" t="s">
        <v>78</v>
      </c>
      <c r="B86" s="4">
        <v>66</v>
      </c>
      <c r="C86" s="4">
        <v>4648.82</v>
      </c>
      <c r="D86" s="4">
        <v>5886</v>
      </c>
    </row>
    <row r="87" spans="1:4" x14ac:dyDescent="0.3">
      <c r="A87" s="3" t="s">
        <v>82</v>
      </c>
      <c r="B87" s="4">
        <v>66</v>
      </c>
      <c r="C87" s="4">
        <v>2441.08</v>
      </c>
      <c r="D87" s="4">
        <v>3089</v>
      </c>
    </row>
    <row r="88" spans="1:4" x14ac:dyDescent="0.3">
      <c r="A88" s="3" t="s">
        <v>77</v>
      </c>
      <c r="B88" s="4">
        <v>65</v>
      </c>
      <c r="C88" s="4">
        <v>3921.66</v>
      </c>
      <c r="D88" s="4">
        <v>4893</v>
      </c>
    </row>
    <row r="89" spans="1:4" x14ac:dyDescent="0.3">
      <c r="A89" s="3" t="s">
        <v>156</v>
      </c>
      <c r="B89" s="4">
        <v>65</v>
      </c>
      <c r="C89" s="4">
        <v>16324.06</v>
      </c>
      <c r="D89" s="4">
        <v>22398</v>
      </c>
    </row>
    <row r="90" spans="1:4" x14ac:dyDescent="0.3">
      <c r="A90" s="3" t="s">
        <v>130</v>
      </c>
      <c r="B90" s="4">
        <v>65</v>
      </c>
      <c r="C90" s="4">
        <v>1557.37</v>
      </c>
      <c r="D90" s="4">
        <v>1923</v>
      </c>
    </row>
    <row r="91" spans="1:4" x14ac:dyDescent="0.3">
      <c r="A91" s="3" t="s">
        <v>108</v>
      </c>
      <c r="B91" s="4">
        <v>65</v>
      </c>
      <c r="C91" s="4">
        <v>1636.55</v>
      </c>
      <c r="D91" s="4">
        <v>2541</v>
      </c>
    </row>
    <row r="92" spans="1:4" x14ac:dyDescent="0.3">
      <c r="A92" s="3" t="s">
        <v>117</v>
      </c>
      <c r="B92" s="4">
        <v>61</v>
      </c>
      <c r="C92" s="4">
        <v>1411.54</v>
      </c>
      <c r="D92" s="4">
        <v>1708</v>
      </c>
    </row>
    <row r="93" spans="1:4" x14ac:dyDescent="0.3">
      <c r="A93" s="3" t="s">
        <v>149</v>
      </c>
      <c r="B93" s="4">
        <v>60</v>
      </c>
      <c r="C93" s="4">
        <v>12972.09</v>
      </c>
      <c r="D93" s="4">
        <v>17835</v>
      </c>
    </row>
    <row r="94" spans="1:4" x14ac:dyDescent="0.3">
      <c r="A94" s="3" t="s">
        <v>13</v>
      </c>
      <c r="B94" s="4">
        <v>60</v>
      </c>
      <c r="C94" s="4">
        <v>7254.28</v>
      </c>
      <c r="D94" s="4">
        <v>8736.869999999999</v>
      </c>
    </row>
    <row r="95" spans="1:4" x14ac:dyDescent="0.3">
      <c r="A95" s="3" t="s">
        <v>54</v>
      </c>
      <c r="B95" s="4">
        <v>60</v>
      </c>
      <c r="C95" s="4">
        <v>40916.019999999997</v>
      </c>
      <c r="D95" s="4">
        <v>52823</v>
      </c>
    </row>
    <row r="96" spans="1:4" x14ac:dyDescent="0.3">
      <c r="A96" s="3" t="s">
        <v>142</v>
      </c>
      <c r="B96" s="4">
        <v>59</v>
      </c>
      <c r="C96" s="4">
        <v>758.38</v>
      </c>
      <c r="D96" s="4">
        <v>884.99</v>
      </c>
    </row>
    <row r="97" spans="1:4" x14ac:dyDescent="0.3">
      <c r="A97" s="3" t="s">
        <v>33</v>
      </c>
      <c r="B97" s="4">
        <v>59</v>
      </c>
      <c r="C97" s="4">
        <v>1253.6500000000001</v>
      </c>
      <c r="D97" s="4">
        <v>1493</v>
      </c>
    </row>
    <row r="98" spans="1:4" x14ac:dyDescent="0.3">
      <c r="A98" s="3" t="s">
        <v>150</v>
      </c>
      <c r="B98" s="4">
        <v>59</v>
      </c>
      <c r="C98" s="4">
        <v>4092</v>
      </c>
      <c r="D98" s="4">
        <v>6403</v>
      </c>
    </row>
    <row r="99" spans="1:4" x14ac:dyDescent="0.3">
      <c r="A99" s="3" t="s">
        <v>27</v>
      </c>
      <c r="B99" s="4">
        <v>58</v>
      </c>
      <c r="C99" s="4">
        <v>5817.67</v>
      </c>
      <c r="D99" s="4">
        <v>8925</v>
      </c>
    </row>
    <row r="100" spans="1:4" x14ac:dyDescent="0.3">
      <c r="A100" s="3" t="s">
        <v>84</v>
      </c>
      <c r="B100" s="4">
        <v>58</v>
      </c>
      <c r="C100" s="4">
        <v>9325.17</v>
      </c>
      <c r="D100" s="4">
        <v>11467</v>
      </c>
    </row>
    <row r="101" spans="1:4" x14ac:dyDescent="0.3">
      <c r="A101" s="3" t="s">
        <v>70</v>
      </c>
      <c r="B101" s="4">
        <v>58</v>
      </c>
      <c r="C101" s="4">
        <v>9816.2800000000007</v>
      </c>
      <c r="D101" s="4">
        <v>11850.66</v>
      </c>
    </row>
    <row r="102" spans="1:4" x14ac:dyDescent="0.3">
      <c r="A102" s="3" t="s">
        <v>83</v>
      </c>
      <c r="B102" s="4">
        <v>57</v>
      </c>
      <c r="C102" s="4">
        <v>11768.99</v>
      </c>
      <c r="D102" s="4">
        <v>13892</v>
      </c>
    </row>
    <row r="103" spans="1:4" x14ac:dyDescent="0.3">
      <c r="A103" s="3" t="s">
        <v>126</v>
      </c>
      <c r="B103" s="4">
        <v>57</v>
      </c>
      <c r="C103" s="4">
        <v>1676.53</v>
      </c>
      <c r="D103" s="4">
        <v>2074</v>
      </c>
    </row>
    <row r="104" spans="1:4" x14ac:dyDescent="0.3">
      <c r="A104" s="3" t="s">
        <v>87</v>
      </c>
      <c r="B104" s="4">
        <v>56</v>
      </c>
      <c r="C104" s="4">
        <v>18814.900000000001</v>
      </c>
      <c r="D104" s="4">
        <v>21859</v>
      </c>
    </row>
    <row r="105" spans="1:4" x14ac:dyDescent="0.3">
      <c r="A105" s="3" t="s">
        <v>88</v>
      </c>
      <c r="B105" s="4">
        <v>55.600000000000009</v>
      </c>
      <c r="C105" s="4">
        <v>8332.39</v>
      </c>
      <c r="D105" s="4">
        <v>12840</v>
      </c>
    </row>
    <row r="106" spans="1:4" x14ac:dyDescent="0.3">
      <c r="A106" s="3" t="s">
        <v>136</v>
      </c>
      <c r="B106" s="4">
        <v>55</v>
      </c>
      <c r="C106" s="4">
        <v>16558.79</v>
      </c>
      <c r="D106" s="4">
        <v>22303</v>
      </c>
    </row>
    <row r="107" spans="1:4" x14ac:dyDescent="0.3">
      <c r="A107" s="3" t="s">
        <v>53</v>
      </c>
      <c r="B107" s="4">
        <v>54</v>
      </c>
      <c r="C107" s="4">
        <v>1173.5999999999999</v>
      </c>
      <c r="D107" s="4">
        <v>1915</v>
      </c>
    </row>
    <row r="108" spans="1:4" x14ac:dyDescent="0.3">
      <c r="A108" s="3" t="s">
        <v>97</v>
      </c>
      <c r="B108" s="4">
        <v>54</v>
      </c>
      <c r="C108" s="4">
        <v>23052.03</v>
      </c>
      <c r="D108" s="4">
        <v>30216</v>
      </c>
    </row>
    <row r="109" spans="1:4" x14ac:dyDescent="0.3">
      <c r="A109" s="3" t="s">
        <v>29</v>
      </c>
      <c r="B109" s="4">
        <v>53.000000299999996</v>
      </c>
      <c r="C109" s="4">
        <v>26337.07</v>
      </c>
      <c r="D109" s="4">
        <v>34956</v>
      </c>
    </row>
    <row r="110" spans="1:4" x14ac:dyDescent="0.3">
      <c r="A110" s="3" t="s">
        <v>112</v>
      </c>
      <c r="B110" s="4">
        <v>53</v>
      </c>
      <c r="C110" s="4">
        <v>14785.51</v>
      </c>
      <c r="D110" s="4">
        <v>17327.46</v>
      </c>
    </row>
    <row r="111" spans="1:4" x14ac:dyDescent="0.3">
      <c r="A111" s="3" t="s">
        <v>114</v>
      </c>
      <c r="B111" s="4">
        <v>53</v>
      </c>
      <c r="C111" s="4">
        <v>3966.82</v>
      </c>
      <c r="D111" s="4">
        <v>4905</v>
      </c>
    </row>
    <row r="112" spans="1:4" x14ac:dyDescent="0.3">
      <c r="A112" s="3" t="s">
        <v>61</v>
      </c>
      <c r="B112" s="4">
        <v>52</v>
      </c>
      <c r="C112" s="4">
        <v>1716.1</v>
      </c>
      <c r="D112" s="4">
        <v>2676</v>
      </c>
    </row>
    <row r="113" spans="1:4" x14ac:dyDescent="0.3">
      <c r="A113" s="3" t="s">
        <v>42</v>
      </c>
      <c r="B113" s="4">
        <v>52</v>
      </c>
      <c r="C113" s="4">
        <v>30049.48</v>
      </c>
      <c r="D113" s="4">
        <v>34409</v>
      </c>
    </row>
    <row r="114" spans="1:4" x14ac:dyDescent="0.3">
      <c r="A114" s="3" t="s">
        <v>64</v>
      </c>
      <c r="B114" s="4">
        <v>51</v>
      </c>
      <c r="C114" s="4">
        <v>10283.200000000001</v>
      </c>
      <c r="D114" s="4">
        <v>14134</v>
      </c>
    </row>
    <row r="115" spans="1:4" x14ac:dyDescent="0.3">
      <c r="A115" s="3" t="s">
        <v>46</v>
      </c>
      <c r="B115" s="4">
        <v>51</v>
      </c>
      <c r="C115" s="4">
        <v>997.38</v>
      </c>
      <c r="D115" s="4">
        <v>1209</v>
      </c>
    </row>
    <row r="116" spans="1:4" x14ac:dyDescent="0.3">
      <c r="A116" s="3" t="s">
        <v>60</v>
      </c>
      <c r="B116" s="4">
        <v>51</v>
      </c>
      <c r="C116" s="4">
        <v>2995.49</v>
      </c>
      <c r="D116" s="4">
        <v>3715</v>
      </c>
    </row>
    <row r="117" spans="1:4" x14ac:dyDescent="0.3">
      <c r="A117" s="3" t="s">
        <v>151</v>
      </c>
      <c r="B117" s="4">
        <v>51</v>
      </c>
      <c r="C117" s="4">
        <v>1232.8699999999999</v>
      </c>
      <c r="D117" s="4">
        <v>1517</v>
      </c>
    </row>
    <row r="118" spans="1:4" x14ac:dyDescent="0.3">
      <c r="A118" s="3" t="s">
        <v>96</v>
      </c>
      <c r="B118" s="4">
        <v>51</v>
      </c>
      <c r="C118" s="4">
        <v>3690.04</v>
      </c>
      <c r="D118" s="4">
        <v>5305</v>
      </c>
    </row>
    <row r="119" spans="1:4" x14ac:dyDescent="0.3">
      <c r="A119" s="3" t="s">
        <v>123</v>
      </c>
      <c r="B119" s="4">
        <v>51</v>
      </c>
      <c r="C119" s="4">
        <v>3222.72</v>
      </c>
      <c r="D119" s="4">
        <v>4019</v>
      </c>
    </row>
    <row r="120" spans="1:4" x14ac:dyDescent="0.3">
      <c r="A120" s="3" t="s">
        <v>43</v>
      </c>
      <c r="B120" s="4">
        <v>50.000000299999996</v>
      </c>
      <c r="C120" s="4">
        <v>6998.93</v>
      </c>
      <c r="D120" s="4">
        <v>8396</v>
      </c>
    </row>
    <row r="121" spans="1:4" x14ac:dyDescent="0.3">
      <c r="A121" s="3" t="s">
        <v>40</v>
      </c>
      <c r="B121" s="4">
        <v>50</v>
      </c>
      <c r="C121" s="4">
        <v>8780.7000000000007</v>
      </c>
      <c r="D121" s="4">
        <v>10529</v>
      </c>
    </row>
    <row r="122" spans="1:4" x14ac:dyDescent="0.3">
      <c r="A122" s="3" t="s">
        <v>76</v>
      </c>
      <c r="B122" s="4">
        <v>50</v>
      </c>
      <c r="C122" s="4">
        <v>1571.11</v>
      </c>
      <c r="D122" s="4">
        <v>1929.52</v>
      </c>
    </row>
    <row r="123" spans="1:4" x14ac:dyDescent="0.3">
      <c r="A123" s="3" t="s">
        <v>144</v>
      </c>
      <c r="B123" s="4">
        <v>50</v>
      </c>
      <c r="C123" s="4">
        <v>2674.05</v>
      </c>
      <c r="D123" s="4">
        <v>3822.4</v>
      </c>
    </row>
    <row r="124" spans="1:4" x14ac:dyDescent="0.3">
      <c r="A124" s="3" t="s">
        <v>80</v>
      </c>
      <c r="B124" s="4">
        <v>50</v>
      </c>
      <c r="C124" s="4">
        <v>1239.58</v>
      </c>
      <c r="D124" s="4">
        <v>1936</v>
      </c>
    </row>
    <row r="125" spans="1:4" x14ac:dyDescent="0.3">
      <c r="A125" s="3" t="s">
        <v>152</v>
      </c>
      <c r="B125" s="4">
        <v>49</v>
      </c>
      <c r="C125" s="4">
        <v>5524.06</v>
      </c>
      <c r="D125" s="4">
        <v>6901</v>
      </c>
    </row>
    <row r="126" spans="1:4" x14ac:dyDescent="0.3">
      <c r="A126" s="3" t="s">
        <v>143</v>
      </c>
      <c r="B126" s="4">
        <v>49</v>
      </c>
      <c r="C126" s="4">
        <v>2350.61</v>
      </c>
      <c r="D126" s="4">
        <v>3578</v>
      </c>
    </row>
    <row r="127" spans="1:4" x14ac:dyDescent="0.3">
      <c r="A127" s="3" t="s">
        <v>128</v>
      </c>
      <c r="B127" s="4">
        <v>48</v>
      </c>
      <c r="C127" s="4">
        <v>13435.91</v>
      </c>
      <c r="D127" s="4">
        <v>18104.169999999998</v>
      </c>
    </row>
    <row r="128" spans="1:4" x14ac:dyDescent="0.3">
      <c r="A128" s="3" t="s">
        <v>154</v>
      </c>
      <c r="B128" s="4">
        <v>48</v>
      </c>
      <c r="C128" s="4">
        <v>6061.18</v>
      </c>
      <c r="D128" s="4">
        <v>7153.48</v>
      </c>
    </row>
    <row r="129" spans="1:4" x14ac:dyDescent="0.3">
      <c r="A129" s="3" t="s">
        <v>147</v>
      </c>
      <c r="B129" s="4">
        <v>48</v>
      </c>
      <c r="C129" s="4">
        <v>6547.66</v>
      </c>
      <c r="D129" s="4">
        <v>9080</v>
      </c>
    </row>
    <row r="130" spans="1:4" x14ac:dyDescent="0.3">
      <c r="A130" s="3" t="s">
        <v>16</v>
      </c>
      <c r="B130" s="4">
        <v>48</v>
      </c>
      <c r="C130" s="4">
        <v>2062.0300000000002</v>
      </c>
      <c r="D130" s="4">
        <v>3207</v>
      </c>
    </row>
    <row r="131" spans="1:4" x14ac:dyDescent="0.3">
      <c r="A131" s="3" t="s">
        <v>15</v>
      </c>
      <c r="B131" s="4">
        <v>47</v>
      </c>
      <c r="C131" s="4">
        <v>1973.07</v>
      </c>
      <c r="D131" s="4">
        <v>3160</v>
      </c>
    </row>
    <row r="132" spans="1:4" x14ac:dyDescent="0.3">
      <c r="A132" s="3" t="s">
        <v>17</v>
      </c>
      <c r="B132" s="4">
        <v>47</v>
      </c>
      <c r="C132" s="4">
        <v>18371.259999999998</v>
      </c>
      <c r="D132" s="4">
        <v>21998</v>
      </c>
    </row>
    <row r="133" spans="1:4" x14ac:dyDescent="0.3">
      <c r="A133" s="3" t="s">
        <v>109</v>
      </c>
      <c r="B133" s="4">
        <v>45</v>
      </c>
      <c r="C133" s="4">
        <v>3933.7</v>
      </c>
      <c r="D133" s="4">
        <v>4598</v>
      </c>
    </row>
    <row r="134" spans="1:4" x14ac:dyDescent="0.3">
      <c r="A134" s="3" t="s">
        <v>101</v>
      </c>
      <c r="B134" s="4">
        <v>45</v>
      </c>
      <c r="C134" s="4">
        <v>1449.02</v>
      </c>
      <c r="D134" s="4">
        <v>2273</v>
      </c>
    </row>
    <row r="135" spans="1:4" x14ac:dyDescent="0.3">
      <c r="A135" s="3" t="s">
        <v>69</v>
      </c>
      <c r="B135" s="4">
        <v>44</v>
      </c>
      <c r="C135" s="4">
        <v>879.56</v>
      </c>
      <c r="D135" s="4">
        <v>1056</v>
      </c>
    </row>
    <row r="136" spans="1:4" x14ac:dyDescent="0.3">
      <c r="A136" s="3" t="s">
        <v>89</v>
      </c>
      <c r="B136" s="4">
        <v>44</v>
      </c>
      <c r="C136" s="4">
        <v>3502.29</v>
      </c>
      <c r="D136" s="4">
        <v>5058</v>
      </c>
    </row>
    <row r="137" spans="1:4" x14ac:dyDescent="0.3">
      <c r="A137" s="3" t="s">
        <v>111</v>
      </c>
      <c r="B137" s="4">
        <v>43</v>
      </c>
      <c r="C137" s="4">
        <v>7053.69</v>
      </c>
      <c r="D137" s="4">
        <v>8342.02</v>
      </c>
    </row>
    <row r="138" spans="1:4" x14ac:dyDescent="0.3">
      <c r="A138" s="3" t="s">
        <v>159</v>
      </c>
      <c r="B138" s="4">
        <v>43</v>
      </c>
      <c r="C138" s="4">
        <v>2292.4899999999998</v>
      </c>
      <c r="D138" s="4">
        <v>2830.84</v>
      </c>
    </row>
    <row r="139" spans="1:4" x14ac:dyDescent="0.3">
      <c r="A139" s="3" t="s">
        <v>44</v>
      </c>
      <c r="B139" s="4">
        <v>42</v>
      </c>
      <c r="C139" s="4">
        <v>2732.81</v>
      </c>
      <c r="D139" s="4">
        <v>4274</v>
      </c>
    </row>
    <row r="140" spans="1:4" x14ac:dyDescent="0.3">
      <c r="A140" s="3" t="s">
        <v>125</v>
      </c>
      <c r="B140" s="4">
        <v>42</v>
      </c>
      <c r="C140" s="4">
        <v>14453.06</v>
      </c>
      <c r="D140" s="4">
        <v>18581.22</v>
      </c>
    </row>
    <row r="141" spans="1:4" x14ac:dyDescent="0.3">
      <c r="A141" s="3" t="s">
        <v>116</v>
      </c>
      <c r="B141" s="4">
        <v>42</v>
      </c>
      <c r="C141" s="4">
        <v>4424.68</v>
      </c>
      <c r="D141" s="4">
        <v>5267</v>
      </c>
    </row>
    <row r="142" spans="1:4" x14ac:dyDescent="0.3">
      <c r="A142" s="3" t="s">
        <v>110</v>
      </c>
      <c r="B142" s="4">
        <v>42</v>
      </c>
      <c r="C142" s="4">
        <v>9177.27</v>
      </c>
      <c r="D142" s="4">
        <v>12621</v>
      </c>
    </row>
    <row r="143" spans="1:4" x14ac:dyDescent="0.3">
      <c r="A143" s="3" t="s">
        <v>74</v>
      </c>
      <c r="B143" s="4">
        <v>42</v>
      </c>
      <c r="C143" s="4">
        <v>3722.5</v>
      </c>
      <c r="D143" s="4">
        <v>4640</v>
      </c>
    </row>
    <row r="144" spans="1:4" x14ac:dyDescent="0.3">
      <c r="A144" s="3" t="s">
        <v>79</v>
      </c>
      <c r="B144" s="4">
        <v>42</v>
      </c>
      <c r="C144" s="4">
        <v>6263.09</v>
      </c>
      <c r="D144" s="4">
        <v>7441</v>
      </c>
    </row>
    <row r="145" spans="1:4" x14ac:dyDescent="0.3">
      <c r="A145" s="3" t="s">
        <v>148</v>
      </c>
      <c r="B145" s="4">
        <v>42</v>
      </c>
      <c r="C145" s="4">
        <v>1571.7</v>
      </c>
      <c r="D145" s="4">
        <v>2426</v>
      </c>
    </row>
    <row r="146" spans="1:4" x14ac:dyDescent="0.3">
      <c r="A146" s="3" t="s">
        <v>107</v>
      </c>
      <c r="B146" s="4">
        <v>42</v>
      </c>
      <c r="C146" s="4">
        <v>3019.17</v>
      </c>
      <c r="D146" s="4">
        <v>3706</v>
      </c>
    </row>
    <row r="147" spans="1:4" x14ac:dyDescent="0.3">
      <c r="A147" s="3" t="s">
        <v>81</v>
      </c>
      <c r="B147" s="4">
        <v>42</v>
      </c>
      <c r="C147" s="4">
        <v>1733.23</v>
      </c>
      <c r="D147" s="4">
        <v>2131</v>
      </c>
    </row>
    <row r="148" spans="1:4" x14ac:dyDescent="0.3">
      <c r="A148" s="3" t="s">
        <v>26</v>
      </c>
      <c r="B148" s="4">
        <v>41.566666700000063</v>
      </c>
      <c r="C148" s="4">
        <v>192046.06</v>
      </c>
      <c r="D148" s="4">
        <v>248085</v>
      </c>
    </row>
    <row r="149" spans="1:4" x14ac:dyDescent="0.3">
      <c r="A149" s="3" t="s">
        <v>113</v>
      </c>
      <c r="B149" s="4">
        <v>41</v>
      </c>
      <c r="C149" s="4">
        <v>5721.53</v>
      </c>
      <c r="D149" s="4">
        <v>7884</v>
      </c>
    </row>
    <row r="150" spans="1:4" x14ac:dyDescent="0.3">
      <c r="A150" s="3" t="s">
        <v>140</v>
      </c>
      <c r="B150" s="4">
        <v>41</v>
      </c>
      <c r="C150" s="4">
        <v>6464.78</v>
      </c>
      <c r="D150" s="4">
        <v>7753.33</v>
      </c>
    </row>
    <row r="151" spans="1:4" x14ac:dyDescent="0.3">
      <c r="A151" s="3" t="s">
        <v>67</v>
      </c>
      <c r="B151" s="4">
        <v>41</v>
      </c>
      <c r="C151" s="4">
        <v>2274.13</v>
      </c>
      <c r="D151" s="4">
        <v>3296</v>
      </c>
    </row>
    <row r="152" spans="1:4" x14ac:dyDescent="0.3">
      <c r="A152" s="3" t="s">
        <v>68</v>
      </c>
      <c r="B152" s="4">
        <v>41</v>
      </c>
      <c r="C152" s="4">
        <v>2380.37</v>
      </c>
      <c r="D152" s="4">
        <v>3606</v>
      </c>
    </row>
    <row r="153" spans="1:4" x14ac:dyDescent="0.3">
      <c r="A153" s="3" t="s">
        <v>71</v>
      </c>
      <c r="B153" s="4">
        <v>41</v>
      </c>
      <c r="C153" s="4">
        <v>2011.64</v>
      </c>
      <c r="D153" s="4">
        <v>2910</v>
      </c>
    </row>
    <row r="154" spans="1:4" x14ac:dyDescent="0.3">
      <c r="A154" s="3" t="s">
        <v>6</v>
      </c>
      <c r="B154" s="4">
        <v>32.499999999999986</v>
      </c>
      <c r="C154" s="4">
        <v>31966.95</v>
      </c>
      <c r="D154" s="4">
        <v>40189</v>
      </c>
    </row>
    <row r="155" spans="1:4" x14ac:dyDescent="0.3">
      <c r="A155" s="3" t="s">
        <v>14</v>
      </c>
      <c r="B155" s="4">
        <v>21.5</v>
      </c>
      <c r="C155" s="4">
        <v>27076.33</v>
      </c>
      <c r="D155" s="4">
        <v>35829</v>
      </c>
    </row>
    <row r="156" spans="1:4" x14ac:dyDescent="0.3">
      <c r="A156" s="3" t="s">
        <v>75</v>
      </c>
      <c r="B156" s="4">
        <v>11.199999999999994</v>
      </c>
      <c r="C156" s="4">
        <v>30763.37</v>
      </c>
      <c r="D156" s="4">
        <v>44925</v>
      </c>
    </row>
    <row r="157" spans="1:4" x14ac:dyDescent="0.3">
      <c r="A157" s="3" t="s">
        <v>155</v>
      </c>
      <c r="B157" s="4">
        <v>11</v>
      </c>
      <c r="C157" s="4">
        <v>22126.65</v>
      </c>
      <c r="D157" s="4">
        <v>31906</v>
      </c>
    </row>
    <row r="158" spans="1:4" x14ac:dyDescent="0.3">
      <c r="A158" s="3" t="s">
        <v>129</v>
      </c>
      <c r="B158" s="4">
        <v>8.7199999999999989</v>
      </c>
      <c r="C158" s="4">
        <v>34129.46</v>
      </c>
      <c r="D158" s="4">
        <v>40223</v>
      </c>
    </row>
    <row r="159" spans="1:4" x14ac:dyDescent="0.3">
      <c r="A159" s="3" t="s">
        <v>119</v>
      </c>
      <c r="B159" s="4">
        <v>2.5714282999999991</v>
      </c>
      <c r="C159" s="4">
        <v>26399.57</v>
      </c>
      <c r="D159" s="4">
        <v>29098</v>
      </c>
    </row>
    <row r="160" spans="1:4" x14ac:dyDescent="0.3">
      <c r="A160" s="3" t="s">
        <v>162</v>
      </c>
      <c r="B160" s="4">
        <v>15620.108095799993</v>
      </c>
      <c r="C160" s="4">
        <v>1558844.78</v>
      </c>
      <c r="D160" s="4">
        <v>2006310.2799999993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DB2C-7DA8-4854-B3D7-83D9B10942DA}">
  <dimension ref="A1:C30"/>
  <sheetViews>
    <sheetView workbookViewId="0">
      <selection activeCell="C1" sqref="C1"/>
    </sheetView>
  </sheetViews>
  <sheetFormatPr defaultRowHeight="14.4" x14ac:dyDescent="0.3"/>
  <cols>
    <col min="1" max="1" width="17" bestFit="1" customWidth="1"/>
    <col min="2" max="2" width="23.21875" bestFit="1" customWidth="1"/>
  </cols>
  <sheetData>
    <row r="1" spans="1:3" x14ac:dyDescent="0.3">
      <c r="C1" t="s">
        <v>248</v>
      </c>
    </row>
    <row r="3" spans="1:3" x14ac:dyDescent="0.3">
      <c r="A3" s="2" t="s">
        <v>161</v>
      </c>
      <c r="B3" t="s">
        <v>247</v>
      </c>
    </row>
    <row r="4" spans="1:3" x14ac:dyDescent="0.3">
      <c r="A4" s="3" t="s">
        <v>184</v>
      </c>
      <c r="B4" s="4">
        <v>13</v>
      </c>
    </row>
    <row r="5" spans="1:3" x14ac:dyDescent="0.3">
      <c r="A5" s="3" t="s">
        <v>185</v>
      </c>
      <c r="B5" s="4">
        <v>11</v>
      </c>
    </row>
    <row r="6" spans="1:3" x14ac:dyDescent="0.3">
      <c r="A6" s="3" t="s">
        <v>186</v>
      </c>
      <c r="B6" s="4">
        <v>10</v>
      </c>
    </row>
    <row r="7" spans="1:3" x14ac:dyDescent="0.3">
      <c r="A7" s="3" t="s">
        <v>187</v>
      </c>
      <c r="B7" s="4">
        <v>14</v>
      </c>
    </row>
    <row r="8" spans="1:3" x14ac:dyDescent="0.3">
      <c r="A8" s="3" t="s">
        <v>188</v>
      </c>
      <c r="B8" s="4">
        <v>16</v>
      </c>
    </row>
    <row r="9" spans="1:3" x14ac:dyDescent="0.3">
      <c r="A9" s="3" t="s">
        <v>189</v>
      </c>
      <c r="B9" s="4">
        <v>16</v>
      </c>
    </row>
    <row r="10" spans="1:3" x14ac:dyDescent="0.3">
      <c r="A10" s="3" t="s">
        <v>190</v>
      </c>
      <c r="B10" s="4">
        <v>6</v>
      </c>
    </row>
    <row r="11" spans="1:3" x14ac:dyDescent="0.3">
      <c r="A11" s="3" t="s">
        <v>191</v>
      </c>
      <c r="B11" s="4">
        <v>2</v>
      </c>
    </row>
    <row r="12" spans="1:3" x14ac:dyDescent="0.3">
      <c r="A12" s="3" t="s">
        <v>192</v>
      </c>
      <c r="B12" s="4">
        <v>3</v>
      </c>
    </row>
    <row r="13" spans="1:3" x14ac:dyDescent="0.3">
      <c r="A13" s="3" t="s">
        <v>193</v>
      </c>
      <c r="B13" s="4">
        <v>7</v>
      </c>
    </row>
    <row r="14" spans="1:3" x14ac:dyDescent="0.3">
      <c r="A14" s="3" t="s">
        <v>194</v>
      </c>
      <c r="B14" s="4">
        <v>6</v>
      </c>
    </row>
    <row r="15" spans="1:3" x14ac:dyDescent="0.3">
      <c r="A15" s="3" t="s">
        <v>195</v>
      </c>
      <c r="B15" s="4">
        <v>5</v>
      </c>
    </row>
    <row r="16" spans="1:3" x14ac:dyDescent="0.3">
      <c r="A16" s="3" t="s">
        <v>196</v>
      </c>
      <c r="B16" s="4">
        <v>5</v>
      </c>
    </row>
    <row r="17" spans="1:2" x14ac:dyDescent="0.3">
      <c r="A17" s="3" t="s">
        <v>197</v>
      </c>
      <c r="B17" s="4">
        <v>2</v>
      </c>
    </row>
    <row r="18" spans="1:2" x14ac:dyDescent="0.3">
      <c r="A18" s="3" t="s">
        <v>198</v>
      </c>
      <c r="B18" s="4">
        <v>8</v>
      </c>
    </row>
    <row r="19" spans="1:2" x14ac:dyDescent="0.3">
      <c r="A19" s="3" t="s">
        <v>199</v>
      </c>
      <c r="B19" s="4">
        <v>7</v>
      </c>
    </row>
    <row r="20" spans="1:2" x14ac:dyDescent="0.3">
      <c r="A20" s="3" t="s">
        <v>200</v>
      </c>
      <c r="B20" s="4">
        <v>2</v>
      </c>
    </row>
    <row r="21" spans="1:2" x14ac:dyDescent="0.3">
      <c r="A21" s="3" t="s">
        <v>201</v>
      </c>
      <c r="B21" s="4">
        <v>3</v>
      </c>
    </row>
    <row r="22" spans="1:2" x14ac:dyDescent="0.3">
      <c r="A22" s="3" t="s">
        <v>202</v>
      </c>
      <c r="B22" s="4">
        <v>4</v>
      </c>
    </row>
    <row r="23" spans="1:2" x14ac:dyDescent="0.3">
      <c r="A23" s="3" t="s">
        <v>203</v>
      </c>
      <c r="B23" s="4">
        <v>2</v>
      </c>
    </row>
    <row r="24" spans="1:2" x14ac:dyDescent="0.3">
      <c r="A24" s="3" t="s">
        <v>204</v>
      </c>
      <c r="B24" s="4">
        <v>2</v>
      </c>
    </row>
    <row r="25" spans="1:2" x14ac:dyDescent="0.3">
      <c r="A25" s="3" t="s">
        <v>205</v>
      </c>
      <c r="B25" s="4">
        <v>2</v>
      </c>
    </row>
    <row r="26" spans="1:2" x14ac:dyDescent="0.3">
      <c r="A26" s="3" t="s">
        <v>206</v>
      </c>
      <c r="B26" s="4">
        <v>3</v>
      </c>
    </row>
    <row r="27" spans="1:2" x14ac:dyDescent="0.3">
      <c r="A27" s="3" t="s">
        <v>207</v>
      </c>
      <c r="B27" s="4">
        <v>4</v>
      </c>
    </row>
    <row r="28" spans="1:2" x14ac:dyDescent="0.3">
      <c r="A28" s="3" t="s">
        <v>208</v>
      </c>
      <c r="B28" s="4">
        <v>3</v>
      </c>
    </row>
    <row r="29" spans="1:2" x14ac:dyDescent="0.3">
      <c r="A29" s="3" t="s">
        <v>210</v>
      </c>
      <c r="B29" s="4"/>
    </row>
    <row r="30" spans="1:2" x14ac:dyDescent="0.3">
      <c r="A30" s="3" t="s">
        <v>162</v>
      </c>
      <c r="B30" s="4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4B5F-DA4C-4A3A-9E2F-41064A8DBF34}">
  <dimension ref="A3:D160"/>
  <sheetViews>
    <sheetView workbookViewId="0">
      <selection activeCell="A4" sqref="A4:D159"/>
    </sheetView>
  </sheetViews>
  <sheetFormatPr defaultRowHeight="14.4" x14ac:dyDescent="0.3"/>
  <cols>
    <col min="1" max="1" width="95.77734375" bestFit="1" customWidth="1"/>
    <col min="2" max="2" width="20.88671875" bestFit="1" customWidth="1"/>
    <col min="3" max="3" width="22.109375" bestFit="1" customWidth="1"/>
    <col min="4" max="4" width="21.88671875" bestFit="1" customWidth="1"/>
  </cols>
  <sheetData>
    <row r="3" spans="1:4" x14ac:dyDescent="0.3">
      <c r="A3" s="2" t="s">
        <v>161</v>
      </c>
      <c r="B3" t="s">
        <v>163</v>
      </c>
      <c r="C3" t="s">
        <v>164</v>
      </c>
      <c r="D3" t="s">
        <v>165</v>
      </c>
    </row>
    <row r="4" spans="1:4" x14ac:dyDescent="0.3">
      <c r="A4" s="3" t="s">
        <v>109</v>
      </c>
      <c r="B4" s="4">
        <v>45</v>
      </c>
      <c r="C4" s="4">
        <v>3933.6999999999994</v>
      </c>
      <c r="D4" s="4">
        <v>4598</v>
      </c>
    </row>
    <row r="5" spans="1:4" x14ac:dyDescent="0.3">
      <c r="A5" s="3" t="s">
        <v>111</v>
      </c>
      <c r="B5" s="4">
        <v>43</v>
      </c>
      <c r="C5" s="4">
        <v>7053.6900000000005</v>
      </c>
      <c r="D5" s="4">
        <v>8342.02</v>
      </c>
    </row>
    <row r="6" spans="1:4" x14ac:dyDescent="0.3">
      <c r="A6" s="3" t="s">
        <v>143</v>
      </c>
      <c r="B6" s="4">
        <v>49</v>
      </c>
      <c r="C6" s="4">
        <v>2350.610000000001</v>
      </c>
      <c r="D6" s="4">
        <v>3578</v>
      </c>
    </row>
    <row r="7" spans="1:4" x14ac:dyDescent="0.3">
      <c r="A7" s="3" t="s">
        <v>85</v>
      </c>
      <c r="B7" s="4">
        <v>165</v>
      </c>
      <c r="C7" s="4">
        <v>2645.2</v>
      </c>
      <c r="D7" s="4">
        <v>4177</v>
      </c>
    </row>
    <row r="8" spans="1:4" x14ac:dyDescent="0.3">
      <c r="A8" s="3" t="s">
        <v>100</v>
      </c>
      <c r="B8" s="4">
        <v>115</v>
      </c>
      <c r="C8" s="4">
        <v>4234.5999999999958</v>
      </c>
      <c r="D8" s="4">
        <v>6551</v>
      </c>
    </row>
    <row r="9" spans="1:4" x14ac:dyDescent="0.3">
      <c r="A9" s="3" t="s">
        <v>91</v>
      </c>
      <c r="B9" s="4">
        <v>97.95</v>
      </c>
      <c r="C9" s="4">
        <v>3180.7400000000025</v>
      </c>
      <c r="D9" s="4">
        <v>5289</v>
      </c>
    </row>
    <row r="10" spans="1:4" x14ac:dyDescent="0.3">
      <c r="A10" s="3" t="s">
        <v>124</v>
      </c>
      <c r="B10" s="4">
        <v>88</v>
      </c>
      <c r="C10" s="4">
        <v>3272.9099999999985</v>
      </c>
      <c r="D10" s="4">
        <v>5311</v>
      </c>
    </row>
    <row r="11" spans="1:4" x14ac:dyDescent="0.3">
      <c r="A11" s="3" t="s">
        <v>101</v>
      </c>
      <c r="B11" s="4">
        <v>45</v>
      </c>
      <c r="C11" s="4">
        <v>1449.0199999999998</v>
      </c>
      <c r="D11" s="4">
        <v>2273</v>
      </c>
    </row>
    <row r="12" spans="1:4" x14ac:dyDescent="0.3">
      <c r="A12" s="3" t="s">
        <v>157</v>
      </c>
      <c r="B12" s="4">
        <v>142</v>
      </c>
      <c r="C12" s="4">
        <v>1188</v>
      </c>
      <c r="D12" s="4">
        <v>1997</v>
      </c>
    </row>
    <row r="13" spans="1:4" x14ac:dyDescent="0.3">
      <c r="A13" s="3" t="s">
        <v>46</v>
      </c>
      <c r="B13" s="4">
        <v>51</v>
      </c>
      <c r="C13" s="4">
        <v>997.37999999999965</v>
      </c>
      <c r="D13" s="4">
        <v>1209</v>
      </c>
    </row>
    <row r="14" spans="1:4" x14ac:dyDescent="0.3">
      <c r="A14" s="3" t="s">
        <v>73</v>
      </c>
      <c r="B14" s="4">
        <v>70</v>
      </c>
      <c r="C14" s="4">
        <v>431.66999999999996</v>
      </c>
      <c r="D14" s="4">
        <v>722</v>
      </c>
    </row>
    <row r="15" spans="1:4" x14ac:dyDescent="0.3">
      <c r="A15" s="3" t="s">
        <v>16</v>
      </c>
      <c r="B15" s="4">
        <v>48</v>
      </c>
      <c r="C15" s="4">
        <v>2062.0299999999993</v>
      </c>
      <c r="D15" s="4">
        <v>3207</v>
      </c>
    </row>
    <row r="16" spans="1:4" x14ac:dyDescent="0.3">
      <c r="A16" s="3" t="s">
        <v>67</v>
      </c>
      <c r="B16" s="4">
        <v>41</v>
      </c>
      <c r="C16" s="4">
        <v>2274.1299999999997</v>
      </c>
      <c r="D16" s="4">
        <v>3296</v>
      </c>
    </row>
    <row r="17" spans="1:4" x14ac:dyDescent="0.3">
      <c r="A17" s="3" t="s">
        <v>17</v>
      </c>
      <c r="B17" s="4">
        <v>47</v>
      </c>
      <c r="C17" s="4">
        <v>18371.259999999995</v>
      </c>
      <c r="D17" s="4">
        <v>21998</v>
      </c>
    </row>
    <row r="18" spans="1:4" x14ac:dyDescent="0.3">
      <c r="A18" s="3" t="s">
        <v>49</v>
      </c>
      <c r="B18" s="4">
        <v>127</v>
      </c>
      <c r="C18" s="4">
        <v>1966.2799999999988</v>
      </c>
      <c r="D18" s="4">
        <v>2403</v>
      </c>
    </row>
    <row r="19" spans="1:4" x14ac:dyDescent="0.3">
      <c r="A19" s="3" t="s">
        <v>159</v>
      </c>
      <c r="B19" s="4">
        <v>43</v>
      </c>
      <c r="C19" s="4">
        <v>2292.4900000000011</v>
      </c>
      <c r="D19" s="4">
        <v>2830.84</v>
      </c>
    </row>
    <row r="20" spans="1:4" x14ac:dyDescent="0.3">
      <c r="A20" s="3" t="s">
        <v>60</v>
      </c>
      <c r="B20" s="4">
        <v>51</v>
      </c>
      <c r="C20" s="4">
        <v>2995.49</v>
      </c>
      <c r="D20" s="4">
        <v>3715</v>
      </c>
    </row>
    <row r="21" spans="1:4" x14ac:dyDescent="0.3">
      <c r="A21" s="3" t="s">
        <v>154</v>
      </c>
      <c r="B21" s="4">
        <v>48</v>
      </c>
      <c r="C21" s="4">
        <v>6061.1799999999985</v>
      </c>
      <c r="D21" s="4">
        <v>7153.48</v>
      </c>
    </row>
    <row r="22" spans="1:4" x14ac:dyDescent="0.3">
      <c r="A22" s="3" t="s">
        <v>30</v>
      </c>
      <c r="B22" s="4">
        <v>82</v>
      </c>
      <c r="C22" s="4">
        <v>12809.300000000016</v>
      </c>
      <c r="D22" s="4">
        <v>15284</v>
      </c>
    </row>
    <row r="23" spans="1:4" x14ac:dyDescent="0.3">
      <c r="A23" s="3" t="s">
        <v>79</v>
      </c>
      <c r="B23" s="4">
        <v>42</v>
      </c>
      <c r="C23" s="4">
        <v>6263.09</v>
      </c>
      <c r="D23" s="4">
        <v>7441</v>
      </c>
    </row>
    <row r="24" spans="1:4" x14ac:dyDescent="0.3">
      <c r="A24" s="3" t="s">
        <v>150</v>
      </c>
      <c r="B24" s="4">
        <v>59</v>
      </c>
      <c r="C24" s="4">
        <v>4092</v>
      </c>
      <c r="D24" s="4">
        <v>6403</v>
      </c>
    </row>
    <row r="25" spans="1:4" x14ac:dyDescent="0.3">
      <c r="A25" s="3" t="s">
        <v>39</v>
      </c>
      <c r="B25" s="4">
        <v>271</v>
      </c>
      <c r="C25" s="4">
        <v>977.14000000000044</v>
      </c>
      <c r="D25" s="4">
        <v>1618</v>
      </c>
    </row>
    <row r="26" spans="1:4" x14ac:dyDescent="0.3">
      <c r="A26" s="3" t="s">
        <v>108</v>
      </c>
      <c r="B26" s="4">
        <v>65</v>
      </c>
      <c r="C26" s="4">
        <v>1636.5499999999979</v>
      </c>
      <c r="D26" s="4">
        <v>2541</v>
      </c>
    </row>
    <row r="27" spans="1:4" x14ac:dyDescent="0.3">
      <c r="A27" s="3" t="s">
        <v>38</v>
      </c>
      <c r="B27" s="4">
        <v>100</v>
      </c>
      <c r="C27" s="4">
        <v>2673.3099999999972</v>
      </c>
      <c r="D27" s="4">
        <v>4190</v>
      </c>
    </row>
    <row r="28" spans="1:4" x14ac:dyDescent="0.3">
      <c r="A28" s="3" t="s">
        <v>113</v>
      </c>
      <c r="B28" s="4">
        <v>41</v>
      </c>
      <c r="C28" s="4">
        <v>5721.5300000000007</v>
      </c>
      <c r="D28" s="4">
        <v>7884</v>
      </c>
    </row>
    <row r="29" spans="1:4" x14ac:dyDescent="0.3">
      <c r="A29" s="3" t="s">
        <v>18</v>
      </c>
      <c r="B29" s="4">
        <v>154</v>
      </c>
      <c r="C29" s="4">
        <v>6918.05</v>
      </c>
      <c r="D29" s="4">
        <v>10742</v>
      </c>
    </row>
    <row r="30" spans="1:4" x14ac:dyDescent="0.3">
      <c r="A30" s="3" t="s">
        <v>82</v>
      </c>
      <c r="B30" s="4">
        <v>66</v>
      </c>
      <c r="C30" s="4">
        <v>2441.079999999999</v>
      </c>
      <c r="D30" s="4">
        <v>3089</v>
      </c>
    </row>
    <row r="31" spans="1:4" x14ac:dyDescent="0.3">
      <c r="A31" s="3" t="s">
        <v>37</v>
      </c>
      <c r="B31" s="4">
        <v>87</v>
      </c>
      <c r="C31" s="4">
        <v>3510.9000000000019</v>
      </c>
      <c r="D31" s="4">
        <v>4460</v>
      </c>
    </row>
    <row r="32" spans="1:4" x14ac:dyDescent="0.3">
      <c r="A32" s="3" t="s">
        <v>66</v>
      </c>
      <c r="B32" s="4">
        <v>276</v>
      </c>
      <c r="C32" s="4">
        <v>8445.2700000000023</v>
      </c>
      <c r="D32" s="4">
        <v>9877</v>
      </c>
    </row>
    <row r="33" spans="1:4" x14ac:dyDescent="0.3">
      <c r="A33" s="3" t="s">
        <v>84</v>
      </c>
      <c r="B33" s="4">
        <v>58</v>
      </c>
      <c r="C33" s="4">
        <v>9325.1699999999946</v>
      </c>
      <c r="D33" s="4">
        <v>11467</v>
      </c>
    </row>
    <row r="34" spans="1:4" x14ac:dyDescent="0.3">
      <c r="A34" s="3" t="s">
        <v>63</v>
      </c>
      <c r="B34" s="4">
        <v>90</v>
      </c>
      <c r="C34" s="4">
        <v>6510.8900000000012</v>
      </c>
      <c r="D34" s="4">
        <v>7947</v>
      </c>
    </row>
    <row r="35" spans="1:4" x14ac:dyDescent="0.3">
      <c r="A35" s="3" t="s">
        <v>55</v>
      </c>
      <c r="B35" s="4">
        <v>102</v>
      </c>
      <c r="C35" s="4">
        <v>8022.7300000000041</v>
      </c>
      <c r="D35" s="4">
        <v>9768.32</v>
      </c>
    </row>
    <row r="36" spans="1:4" x14ac:dyDescent="0.3">
      <c r="A36" s="3" t="s">
        <v>54</v>
      </c>
      <c r="B36" s="4">
        <v>60</v>
      </c>
      <c r="C36" s="4">
        <v>40916.01999999999</v>
      </c>
      <c r="D36" s="4">
        <v>52823</v>
      </c>
    </row>
    <row r="37" spans="1:4" x14ac:dyDescent="0.3">
      <c r="A37" s="3" t="s">
        <v>97</v>
      </c>
      <c r="B37" s="4">
        <v>54</v>
      </c>
      <c r="C37" s="4">
        <v>23052.029999999988</v>
      </c>
      <c r="D37" s="4">
        <v>30216</v>
      </c>
    </row>
    <row r="38" spans="1:4" x14ac:dyDescent="0.3">
      <c r="A38" s="3" t="s">
        <v>76</v>
      </c>
      <c r="B38" s="4">
        <v>50</v>
      </c>
      <c r="C38" s="4">
        <v>1571.1099999999992</v>
      </c>
      <c r="D38" s="4">
        <v>1929.52</v>
      </c>
    </row>
    <row r="39" spans="1:4" x14ac:dyDescent="0.3">
      <c r="A39" s="3" t="s">
        <v>59</v>
      </c>
      <c r="B39" s="4">
        <v>136</v>
      </c>
      <c r="C39" s="4">
        <v>1001.6000000000006</v>
      </c>
      <c r="D39" s="4">
        <v>1643</v>
      </c>
    </row>
    <row r="40" spans="1:4" x14ac:dyDescent="0.3">
      <c r="A40" s="3" t="s">
        <v>141</v>
      </c>
      <c r="B40" s="4">
        <v>130</v>
      </c>
      <c r="C40" s="4">
        <v>984.05999999999983</v>
      </c>
      <c r="D40" s="4">
        <v>1642</v>
      </c>
    </row>
    <row r="41" spans="1:4" x14ac:dyDescent="0.3">
      <c r="A41" s="3" t="s">
        <v>89</v>
      </c>
      <c r="B41" s="4">
        <v>44</v>
      </c>
      <c r="C41" s="4">
        <v>3502.2899999999995</v>
      </c>
      <c r="D41" s="4">
        <v>5058</v>
      </c>
    </row>
    <row r="42" spans="1:4" x14ac:dyDescent="0.3">
      <c r="A42" s="3" t="s">
        <v>12</v>
      </c>
      <c r="B42" s="4">
        <v>111</v>
      </c>
      <c r="C42" s="4">
        <v>6436.0000000000045</v>
      </c>
      <c r="D42" s="4">
        <v>7947.2</v>
      </c>
    </row>
    <row r="43" spans="1:4" x14ac:dyDescent="0.3">
      <c r="A43" s="3" t="s">
        <v>131</v>
      </c>
      <c r="B43" s="4">
        <v>68</v>
      </c>
      <c r="C43" s="4">
        <v>24475.96</v>
      </c>
      <c r="D43" s="4">
        <v>28869</v>
      </c>
    </row>
    <row r="44" spans="1:4" x14ac:dyDescent="0.3">
      <c r="A44" s="3" t="s">
        <v>106</v>
      </c>
      <c r="B44" s="4">
        <v>72.8</v>
      </c>
      <c r="C44" s="4">
        <v>3103.4199999999996</v>
      </c>
      <c r="D44" s="4">
        <v>3820</v>
      </c>
    </row>
    <row r="45" spans="1:4" x14ac:dyDescent="0.3">
      <c r="A45" s="3" t="s">
        <v>105</v>
      </c>
      <c r="B45" s="4">
        <v>89</v>
      </c>
      <c r="C45" s="4">
        <v>1384.0499999999997</v>
      </c>
      <c r="D45" s="4">
        <v>2268</v>
      </c>
    </row>
    <row r="46" spans="1:4" x14ac:dyDescent="0.3">
      <c r="A46" s="3" t="s">
        <v>83</v>
      </c>
      <c r="B46" s="4">
        <v>57</v>
      </c>
      <c r="C46" s="4">
        <v>11768.990000000005</v>
      </c>
      <c r="D46" s="4">
        <v>13892</v>
      </c>
    </row>
    <row r="47" spans="1:4" x14ac:dyDescent="0.3">
      <c r="A47" s="3" t="s">
        <v>15</v>
      </c>
      <c r="B47" s="4">
        <v>47</v>
      </c>
      <c r="C47" s="4">
        <v>1973.0700000000002</v>
      </c>
      <c r="D47" s="4">
        <v>3160</v>
      </c>
    </row>
    <row r="48" spans="1:4" x14ac:dyDescent="0.3">
      <c r="A48" s="3" t="s">
        <v>123</v>
      </c>
      <c r="B48" s="4">
        <v>51</v>
      </c>
      <c r="C48" s="4">
        <v>3222.72</v>
      </c>
      <c r="D48" s="4">
        <v>4019</v>
      </c>
    </row>
    <row r="49" spans="1:4" x14ac:dyDescent="0.3">
      <c r="A49" s="3" t="s">
        <v>140</v>
      </c>
      <c r="B49" s="4">
        <v>41</v>
      </c>
      <c r="C49" s="4">
        <v>6464.7799999999988</v>
      </c>
      <c r="D49" s="4">
        <v>7753.33</v>
      </c>
    </row>
    <row r="50" spans="1:4" x14ac:dyDescent="0.3">
      <c r="A50" s="3" t="s">
        <v>120</v>
      </c>
      <c r="B50" s="4">
        <v>69</v>
      </c>
      <c r="C50" s="4">
        <v>9379.31</v>
      </c>
      <c r="D50" s="4">
        <v>12954.92</v>
      </c>
    </row>
    <row r="51" spans="1:4" x14ac:dyDescent="0.3">
      <c r="A51" s="3" t="s">
        <v>127</v>
      </c>
      <c r="B51" s="4">
        <v>72</v>
      </c>
      <c r="C51" s="4">
        <v>8670.44</v>
      </c>
      <c r="D51" s="4">
        <v>12055</v>
      </c>
    </row>
    <row r="52" spans="1:4" x14ac:dyDescent="0.3">
      <c r="A52" s="3" t="s">
        <v>78</v>
      </c>
      <c r="B52" s="4">
        <v>66</v>
      </c>
      <c r="C52" s="4">
        <v>4648.8200000000015</v>
      </c>
      <c r="D52" s="4">
        <v>5886</v>
      </c>
    </row>
    <row r="53" spans="1:4" x14ac:dyDescent="0.3">
      <c r="A53" s="3" t="s">
        <v>103</v>
      </c>
      <c r="B53" s="4">
        <v>86</v>
      </c>
      <c r="C53" s="4">
        <v>3540.8600000000015</v>
      </c>
      <c r="D53" s="4">
        <v>5540</v>
      </c>
    </row>
    <row r="54" spans="1:4" x14ac:dyDescent="0.3">
      <c r="A54" s="3" t="s">
        <v>68</v>
      </c>
      <c r="B54" s="4">
        <v>41</v>
      </c>
      <c r="C54" s="4">
        <v>2380.3700000000008</v>
      </c>
      <c r="D54" s="4">
        <v>3606</v>
      </c>
    </row>
    <row r="55" spans="1:4" x14ac:dyDescent="0.3">
      <c r="A55" s="3" t="s">
        <v>71</v>
      </c>
      <c r="B55" s="4">
        <v>41</v>
      </c>
      <c r="C55" s="4">
        <v>2011.6399999999994</v>
      </c>
      <c r="D55" s="4">
        <v>2910</v>
      </c>
    </row>
    <row r="56" spans="1:4" x14ac:dyDescent="0.3">
      <c r="A56" s="3" t="s">
        <v>42</v>
      </c>
      <c r="B56" s="4">
        <v>52</v>
      </c>
      <c r="C56" s="4">
        <v>30049.479999999992</v>
      </c>
      <c r="D56" s="4">
        <v>34409</v>
      </c>
    </row>
    <row r="57" spans="1:4" x14ac:dyDescent="0.3">
      <c r="A57" s="3" t="s">
        <v>57</v>
      </c>
      <c r="B57" s="4">
        <v>131</v>
      </c>
      <c r="C57" s="4">
        <v>31086.720000000001</v>
      </c>
      <c r="D57" s="4">
        <v>36183.32</v>
      </c>
    </row>
    <row r="58" spans="1:4" x14ac:dyDescent="0.3">
      <c r="A58" s="3" t="s">
        <v>56</v>
      </c>
      <c r="B58" s="4">
        <v>194</v>
      </c>
      <c r="C58" s="4">
        <v>8596.1000000000113</v>
      </c>
      <c r="D58" s="4">
        <v>13278</v>
      </c>
    </row>
    <row r="59" spans="1:4" x14ac:dyDescent="0.3">
      <c r="A59" s="3" t="s">
        <v>139</v>
      </c>
      <c r="B59" s="4">
        <v>81</v>
      </c>
      <c r="C59" s="4">
        <v>1302.6699999999994</v>
      </c>
      <c r="D59" s="4">
        <v>2135</v>
      </c>
    </row>
    <row r="60" spans="1:4" x14ac:dyDescent="0.3">
      <c r="A60" s="3" t="s">
        <v>86</v>
      </c>
      <c r="B60" s="4">
        <v>83</v>
      </c>
      <c r="C60" s="4">
        <v>2318.0400000000013</v>
      </c>
      <c r="D60" s="4">
        <v>3805</v>
      </c>
    </row>
    <row r="61" spans="1:4" x14ac:dyDescent="0.3">
      <c r="A61" s="3" t="s">
        <v>72</v>
      </c>
      <c r="B61" s="4">
        <v>80</v>
      </c>
      <c r="C61" s="4">
        <v>44568.989999999947</v>
      </c>
      <c r="D61" s="4">
        <v>58872</v>
      </c>
    </row>
    <row r="62" spans="1:4" x14ac:dyDescent="0.3">
      <c r="A62" s="3" t="s">
        <v>112</v>
      </c>
      <c r="B62" s="4">
        <v>53</v>
      </c>
      <c r="C62" s="4">
        <v>14785.509999999997</v>
      </c>
      <c r="D62" s="4">
        <v>17327.46</v>
      </c>
    </row>
    <row r="63" spans="1:4" x14ac:dyDescent="0.3">
      <c r="A63" s="3" t="s">
        <v>5</v>
      </c>
      <c r="B63" s="4">
        <v>164</v>
      </c>
      <c r="C63" s="4">
        <v>22707.250000000007</v>
      </c>
      <c r="D63" s="4">
        <v>26881</v>
      </c>
    </row>
    <row r="64" spans="1:4" x14ac:dyDescent="0.3">
      <c r="A64" s="3" t="s">
        <v>41</v>
      </c>
      <c r="B64" s="4">
        <v>147</v>
      </c>
      <c r="C64" s="4">
        <v>932.43000000000029</v>
      </c>
      <c r="D64" s="4">
        <v>1545.01</v>
      </c>
    </row>
    <row r="65" spans="1:4" x14ac:dyDescent="0.3">
      <c r="A65" s="3" t="s">
        <v>121</v>
      </c>
      <c r="B65" s="4">
        <v>92</v>
      </c>
      <c r="C65" s="4">
        <v>482.55000000000018</v>
      </c>
      <c r="D65" s="4">
        <v>797</v>
      </c>
    </row>
    <row r="66" spans="1:4" x14ac:dyDescent="0.3">
      <c r="A66" s="3" t="s">
        <v>20</v>
      </c>
      <c r="B66" s="4">
        <v>351</v>
      </c>
      <c r="C66" s="4">
        <v>7230.2399999999852</v>
      </c>
      <c r="D66" s="4">
        <v>9242.35</v>
      </c>
    </row>
    <row r="67" spans="1:4" x14ac:dyDescent="0.3">
      <c r="A67" s="3" t="s">
        <v>130</v>
      </c>
      <c r="B67" s="4">
        <v>65</v>
      </c>
      <c r="C67" s="4">
        <v>1557.3700000000008</v>
      </c>
      <c r="D67" s="4">
        <v>1923</v>
      </c>
    </row>
    <row r="68" spans="1:4" x14ac:dyDescent="0.3">
      <c r="A68" s="3" t="s">
        <v>104</v>
      </c>
      <c r="B68" s="4">
        <v>78</v>
      </c>
      <c r="C68" s="4">
        <v>3533.5099999999984</v>
      </c>
      <c r="D68" s="4">
        <v>4461</v>
      </c>
    </row>
    <row r="69" spans="1:4" x14ac:dyDescent="0.3">
      <c r="A69" s="3" t="s">
        <v>28</v>
      </c>
      <c r="B69" s="4">
        <v>118.00000009999999</v>
      </c>
      <c r="C69" s="4">
        <v>17345.100000000002</v>
      </c>
      <c r="D69" s="4">
        <v>24172</v>
      </c>
    </row>
    <row r="70" spans="1:4" x14ac:dyDescent="0.3">
      <c r="A70" s="3" t="s">
        <v>51</v>
      </c>
      <c r="B70" s="4">
        <v>862</v>
      </c>
      <c r="C70" s="4">
        <v>184.92</v>
      </c>
      <c r="D70" s="4">
        <v>341.33999999999986</v>
      </c>
    </row>
    <row r="71" spans="1:4" x14ac:dyDescent="0.3">
      <c r="A71" s="3" t="s">
        <v>133</v>
      </c>
      <c r="B71" s="4">
        <v>227</v>
      </c>
      <c r="C71" s="4">
        <v>254.27999999999992</v>
      </c>
      <c r="D71" s="4">
        <v>428</v>
      </c>
    </row>
    <row r="72" spans="1:4" x14ac:dyDescent="0.3">
      <c r="A72" s="3" t="s">
        <v>44</v>
      </c>
      <c r="B72" s="4">
        <v>42</v>
      </c>
      <c r="C72" s="4">
        <v>2732.8100000000004</v>
      </c>
      <c r="D72" s="4">
        <v>4274</v>
      </c>
    </row>
    <row r="73" spans="1:4" x14ac:dyDescent="0.3">
      <c r="A73" s="3" t="s">
        <v>128</v>
      </c>
      <c r="B73" s="4">
        <v>48</v>
      </c>
      <c r="C73" s="4">
        <v>13435.909999999994</v>
      </c>
      <c r="D73" s="4">
        <v>18104.169999999998</v>
      </c>
    </row>
    <row r="74" spans="1:4" x14ac:dyDescent="0.3">
      <c r="A74" s="3" t="s">
        <v>50</v>
      </c>
      <c r="B74" s="4">
        <v>116</v>
      </c>
      <c r="C74" s="4">
        <v>5120.6699999999983</v>
      </c>
      <c r="D74" s="4">
        <v>6392.99</v>
      </c>
    </row>
    <row r="75" spans="1:4" x14ac:dyDescent="0.3">
      <c r="A75" s="3" t="s">
        <v>114</v>
      </c>
      <c r="B75" s="4">
        <v>53</v>
      </c>
      <c r="C75" s="4">
        <v>3966.8200000000033</v>
      </c>
      <c r="D75" s="4">
        <v>4905</v>
      </c>
    </row>
    <row r="76" spans="1:4" x14ac:dyDescent="0.3">
      <c r="A76" s="3" t="s">
        <v>8</v>
      </c>
      <c r="B76" s="4">
        <v>151</v>
      </c>
      <c r="C76" s="4">
        <v>5975.1799999999967</v>
      </c>
      <c r="D76" s="4">
        <v>9692</v>
      </c>
    </row>
    <row r="77" spans="1:4" x14ac:dyDescent="0.3">
      <c r="A77" s="3" t="s">
        <v>27</v>
      </c>
      <c r="B77" s="4">
        <v>58</v>
      </c>
      <c r="C77" s="4">
        <v>5817.6699999999992</v>
      </c>
      <c r="D77" s="4">
        <v>8925</v>
      </c>
    </row>
    <row r="78" spans="1:4" x14ac:dyDescent="0.3">
      <c r="A78" s="3" t="s">
        <v>99</v>
      </c>
      <c r="B78" s="4">
        <v>79</v>
      </c>
      <c r="C78" s="4">
        <v>5128.1100000000006</v>
      </c>
      <c r="D78" s="4">
        <v>6164</v>
      </c>
    </row>
    <row r="79" spans="1:4" x14ac:dyDescent="0.3">
      <c r="A79" s="3" t="s">
        <v>134</v>
      </c>
      <c r="B79" s="4">
        <v>158</v>
      </c>
      <c r="C79" s="4">
        <v>4440.0699999999915</v>
      </c>
      <c r="D79" s="4">
        <v>6877</v>
      </c>
    </row>
    <row r="80" spans="1:4" x14ac:dyDescent="0.3">
      <c r="A80" s="3" t="s">
        <v>33</v>
      </c>
      <c r="B80" s="4">
        <v>59</v>
      </c>
      <c r="C80" s="4">
        <v>1253.6500000000001</v>
      </c>
      <c r="D80" s="4">
        <v>1493</v>
      </c>
    </row>
    <row r="81" spans="1:4" x14ac:dyDescent="0.3">
      <c r="A81" s="3" t="s">
        <v>136</v>
      </c>
      <c r="B81" s="4">
        <v>55</v>
      </c>
      <c r="C81" s="4">
        <v>16558.79</v>
      </c>
      <c r="D81" s="4">
        <v>22303</v>
      </c>
    </row>
    <row r="82" spans="1:4" x14ac:dyDescent="0.3">
      <c r="A82" s="3" t="s">
        <v>13</v>
      </c>
      <c r="B82" s="4">
        <v>60</v>
      </c>
      <c r="C82" s="4">
        <v>7254.2800000000025</v>
      </c>
      <c r="D82" s="4">
        <v>8736.869999999999</v>
      </c>
    </row>
    <row r="83" spans="1:4" x14ac:dyDescent="0.3">
      <c r="A83" s="3" t="s">
        <v>146</v>
      </c>
      <c r="B83" s="4">
        <v>73</v>
      </c>
      <c r="C83" s="4">
        <v>29788.920000000031</v>
      </c>
      <c r="D83" s="4">
        <v>33553</v>
      </c>
    </row>
    <row r="84" spans="1:4" x14ac:dyDescent="0.3">
      <c r="A84" s="3" t="s">
        <v>80</v>
      </c>
      <c r="B84" s="4">
        <v>50</v>
      </c>
      <c r="C84" s="4">
        <v>1239.5800000000011</v>
      </c>
      <c r="D84" s="4">
        <v>1936</v>
      </c>
    </row>
    <row r="85" spans="1:4" x14ac:dyDescent="0.3">
      <c r="A85" s="3" t="s">
        <v>96</v>
      </c>
      <c r="B85" s="4">
        <v>51</v>
      </c>
      <c r="C85" s="4">
        <v>3690.04</v>
      </c>
      <c r="D85" s="4">
        <v>5305</v>
      </c>
    </row>
    <row r="86" spans="1:4" x14ac:dyDescent="0.3">
      <c r="A86" s="3" t="s">
        <v>34</v>
      </c>
      <c r="B86" s="4">
        <v>83</v>
      </c>
      <c r="C86" s="4">
        <v>16796.87999999999</v>
      </c>
      <c r="D86" s="4">
        <v>19440</v>
      </c>
    </row>
    <row r="87" spans="1:4" x14ac:dyDescent="0.3">
      <c r="A87" s="3" t="s">
        <v>156</v>
      </c>
      <c r="B87" s="4">
        <v>65</v>
      </c>
      <c r="C87" s="4">
        <v>16324.060000000001</v>
      </c>
      <c r="D87" s="4">
        <v>22398</v>
      </c>
    </row>
    <row r="88" spans="1:4" x14ac:dyDescent="0.3">
      <c r="A88" s="3" t="s">
        <v>119</v>
      </c>
      <c r="B88" s="4">
        <v>2.5714282999999991</v>
      </c>
      <c r="C88" s="4">
        <v>26399.569999999992</v>
      </c>
      <c r="D88" s="4">
        <v>29098</v>
      </c>
    </row>
    <row r="89" spans="1:4" x14ac:dyDescent="0.3">
      <c r="A89" s="3" t="s">
        <v>31</v>
      </c>
      <c r="B89" s="4">
        <v>296</v>
      </c>
      <c r="C89" s="4">
        <v>3955.4400000000028</v>
      </c>
      <c r="D89" s="4">
        <v>5393</v>
      </c>
    </row>
    <row r="90" spans="1:4" x14ac:dyDescent="0.3">
      <c r="A90" s="3" t="s">
        <v>92</v>
      </c>
      <c r="B90" s="4">
        <v>582</v>
      </c>
      <c r="C90" s="4">
        <v>688.14999999999975</v>
      </c>
      <c r="D90" s="4">
        <v>956</v>
      </c>
    </row>
    <row r="91" spans="1:4" x14ac:dyDescent="0.3">
      <c r="A91" s="3" t="s">
        <v>26</v>
      </c>
      <c r="B91" s="4">
        <v>41.566666700000063</v>
      </c>
      <c r="C91" s="4">
        <v>192046.05999999976</v>
      </c>
      <c r="D91" s="4">
        <v>248085</v>
      </c>
    </row>
    <row r="92" spans="1:4" x14ac:dyDescent="0.3">
      <c r="A92" s="3" t="s">
        <v>132</v>
      </c>
      <c r="B92" s="4">
        <v>69</v>
      </c>
      <c r="C92" s="4">
        <v>4075.73</v>
      </c>
      <c r="D92" s="4">
        <v>5944</v>
      </c>
    </row>
    <row r="93" spans="1:4" x14ac:dyDescent="0.3">
      <c r="A93" s="3" t="s">
        <v>70</v>
      </c>
      <c r="B93" s="4">
        <v>58</v>
      </c>
      <c r="C93" s="4">
        <v>9816.2800000000007</v>
      </c>
      <c r="D93" s="4">
        <v>11850.66</v>
      </c>
    </row>
    <row r="94" spans="1:4" x14ac:dyDescent="0.3">
      <c r="A94" s="3" t="s">
        <v>87</v>
      </c>
      <c r="B94" s="4">
        <v>56</v>
      </c>
      <c r="C94" s="4">
        <v>18814.899999999994</v>
      </c>
      <c r="D94" s="4">
        <v>21859</v>
      </c>
    </row>
    <row r="95" spans="1:4" x14ac:dyDescent="0.3">
      <c r="A95" s="3" t="s">
        <v>25</v>
      </c>
      <c r="B95" s="4">
        <v>225</v>
      </c>
      <c r="C95" s="4">
        <v>33284.620000000112</v>
      </c>
      <c r="D95" s="4">
        <v>39989.769999999997</v>
      </c>
    </row>
    <row r="96" spans="1:4" x14ac:dyDescent="0.3">
      <c r="A96" s="3" t="s">
        <v>62</v>
      </c>
      <c r="B96" s="4">
        <v>169</v>
      </c>
      <c r="C96" s="4">
        <v>4278.149999999996</v>
      </c>
      <c r="D96" s="4">
        <v>5141.16</v>
      </c>
    </row>
    <row r="97" spans="1:4" x14ac:dyDescent="0.3">
      <c r="A97" s="3" t="s">
        <v>115</v>
      </c>
      <c r="B97" s="4">
        <v>101</v>
      </c>
      <c r="C97" s="4">
        <v>7221.9000000000042</v>
      </c>
      <c r="D97" s="4">
        <v>8960.64</v>
      </c>
    </row>
    <row r="98" spans="1:4" x14ac:dyDescent="0.3">
      <c r="A98" s="3" t="s">
        <v>40</v>
      </c>
      <c r="B98" s="4">
        <v>50</v>
      </c>
      <c r="C98" s="4">
        <v>8780.7000000000044</v>
      </c>
      <c r="D98" s="4">
        <v>10529</v>
      </c>
    </row>
    <row r="99" spans="1:4" x14ac:dyDescent="0.3">
      <c r="A99" s="3" t="s">
        <v>77</v>
      </c>
      <c r="B99" s="4">
        <v>65</v>
      </c>
      <c r="C99" s="4">
        <v>3921.660000000003</v>
      </c>
      <c r="D99" s="4">
        <v>4893</v>
      </c>
    </row>
    <row r="100" spans="1:4" x14ac:dyDescent="0.3">
      <c r="A100" s="3" t="s">
        <v>81</v>
      </c>
      <c r="B100" s="4">
        <v>42</v>
      </c>
      <c r="C100" s="4">
        <v>1733.2300000000009</v>
      </c>
      <c r="D100" s="4">
        <v>2131</v>
      </c>
    </row>
    <row r="101" spans="1:4" x14ac:dyDescent="0.3">
      <c r="A101" s="3" t="s">
        <v>122</v>
      </c>
      <c r="B101" s="4">
        <v>178.00000009999999</v>
      </c>
      <c r="C101" s="4">
        <v>3815.9000000000019</v>
      </c>
      <c r="D101" s="4">
        <v>4681.21</v>
      </c>
    </row>
    <row r="102" spans="1:4" x14ac:dyDescent="0.3">
      <c r="A102" s="3" t="s">
        <v>151</v>
      </c>
      <c r="B102" s="4">
        <v>51</v>
      </c>
      <c r="C102" s="4">
        <v>1232.8700000000001</v>
      </c>
      <c r="D102" s="4">
        <v>1517</v>
      </c>
    </row>
    <row r="103" spans="1:4" x14ac:dyDescent="0.3">
      <c r="A103" s="3" t="s">
        <v>152</v>
      </c>
      <c r="B103" s="4">
        <v>49</v>
      </c>
      <c r="C103" s="4">
        <v>5524.0600000000013</v>
      </c>
      <c r="D103" s="4">
        <v>6901</v>
      </c>
    </row>
    <row r="104" spans="1:4" x14ac:dyDescent="0.3">
      <c r="A104" s="3" t="s">
        <v>65</v>
      </c>
      <c r="B104" s="4">
        <v>261</v>
      </c>
      <c r="C104" s="4">
        <v>47685.419999999918</v>
      </c>
      <c r="D104" s="4">
        <v>56782</v>
      </c>
    </row>
    <row r="105" spans="1:4" x14ac:dyDescent="0.3">
      <c r="A105" s="3" t="s">
        <v>118</v>
      </c>
      <c r="B105" s="4">
        <v>124</v>
      </c>
      <c r="C105" s="4">
        <v>1215.6699999999998</v>
      </c>
      <c r="D105" s="4">
        <v>1456</v>
      </c>
    </row>
    <row r="106" spans="1:4" x14ac:dyDescent="0.3">
      <c r="A106" s="3" t="s">
        <v>153</v>
      </c>
      <c r="B106" s="4">
        <v>85</v>
      </c>
      <c r="C106" s="4">
        <v>876.30000000000064</v>
      </c>
      <c r="D106" s="4">
        <v>1029</v>
      </c>
    </row>
    <row r="107" spans="1:4" x14ac:dyDescent="0.3">
      <c r="A107" s="3" t="s">
        <v>69</v>
      </c>
      <c r="B107" s="4">
        <v>44</v>
      </c>
      <c r="C107" s="4">
        <v>879.56000000000029</v>
      </c>
      <c r="D107" s="4">
        <v>1056</v>
      </c>
    </row>
    <row r="108" spans="1:4" x14ac:dyDescent="0.3">
      <c r="A108" s="3" t="s">
        <v>137</v>
      </c>
      <c r="B108" s="4">
        <v>71</v>
      </c>
      <c r="C108" s="4">
        <v>386.37000000000006</v>
      </c>
      <c r="D108" s="4">
        <v>652</v>
      </c>
    </row>
    <row r="109" spans="1:4" x14ac:dyDescent="0.3">
      <c r="A109" s="3" t="s">
        <v>29</v>
      </c>
      <c r="B109" s="4">
        <v>53.000000299999996</v>
      </c>
      <c r="C109" s="4">
        <v>26337.069999999996</v>
      </c>
      <c r="D109" s="4">
        <v>34956</v>
      </c>
    </row>
    <row r="110" spans="1:4" x14ac:dyDescent="0.3">
      <c r="A110" s="3" t="s">
        <v>36</v>
      </c>
      <c r="B110" s="4">
        <v>217</v>
      </c>
      <c r="C110" s="4">
        <v>5074.170000000001</v>
      </c>
      <c r="D110" s="4">
        <v>6439</v>
      </c>
    </row>
    <row r="111" spans="1:4" x14ac:dyDescent="0.3">
      <c r="A111" s="3" t="s">
        <v>64</v>
      </c>
      <c r="B111" s="4">
        <v>51</v>
      </c>
      <c r="C111" s="4">
        <v>10283.199999999997</v>
      </c>
      <c r="D111" s="4">
        <v>14134</v>
      </c>
    </row>
    <row r="112" spans="1:4" x14ac:dyDescent="0.3">
      <c r="A112" s="3" t="s">
        <v>9</v>
      </c>
      <c r="B112" s="4">
        <v>105</v>
      </c>
      <c r="C112" s="4">
        <v>8491.7299999999905</v>
      </c>
      <c r="D112" s="4">
        <v>10396</v>
      </c>
    </row>
    <row r="113" spans="1:4" x14ac:dyDescent="0.3">
      <c r="A113" s="3" t="s">
        <v>160</v>
      </c>
      <c r="B113" s="4">
        <v>140</v>
      </c>
      <c r="C113" s="4">
        <v>11362.24</v>
      </c>
      <c r="D113" s="4">
        <v>13839</v>
      </c>
    </row>
    <row r="114" spans="1:4" x14ac:dyDescent="0.3">
      <c r="A114" s="3" t="s">
        <v>102</v>
      </c>
      <c r="B114" s="4">
        <v>124</v>
      </c>
      <c r="C114" s="4">
        <v>3278.0899999999988</v>
      </c>
      <c r="D114" s="4">
        <v>4057</v>
      </c>
    </row>
    <row r="115" spans="1:4" x14ac:dyDescent="0.3">
      <c r="A115" s="3" t="s">
        <v>19</v>
      </c>
      <c r="B115" s="4">
        <v>180</v>
      </c>
      <c r="C115" s="4">
        <v>14766.000000000025</v>
      </c>
      <c r="D115" s="4">
        <v>18583</v>
      </c>
    </row>
    <row r="116" spans="1:4" x14ac:dyDescent="0.3">
      <c r="A116" s="3" t="s">
        <v>93</v>
      </c>
      <c r="B116" s="4">
        <v>142</v>
      </c>
      <c r="C116" s="4">
        <v>10064.98000000001</v>
      </c>
      <c r="D116" s="4">
        <v>14512</v>
      </c>
    </row>
    <row r="117" spans="1:4" x14ac:dyDescent="0.3">
      <c r="A117" s="3" t="s">
        <v>129</v>
      </c>
      <c r="B117" s="4">
        <v>8.7199999999999989</v>
      </c>
      <c r="C117" s="4">
        <v>34129.459999999985</v>
      </c>
      <c r="D117" s="4">
        <v>40223</v>
      </c>
    </row>
    <row r="118" spans="1:4" x14ac:dyDescent="0.3">
      <c r="A118" s="3" t="s">
        <v>24</v>
      </c>
      <c r="B118" s="4">
        <v>319</v>
      </c>
      <c r="C118" s="4">
        <v>31551.8999999999</v>
      </c>
      <c r="D118" s="4">
        <v>37411.68</v>
      </c>
    </row>
    <row r="119" spans="1:4" x14ac:dyDescent="0.3">
      <c r="A119" s="3" t="s">
        <v>135</v>
      </c>
      <c r="B119" s="4">
        <v>70</v>
      </c>
      <c r="C119" s="4">
        <v>5157.3899999999994</v>
      </c>
      <c r="D119" s="4">
        <v>6389</v>
      </c>
    </row>
    <row r="120" spans="1:4" x14ac:dyDescent="0.3">
      <c r="A120" s="3" t="s">
        <v>147</v>
      </c>
      <c r="B120" s="4">
        <v>48</v>
      </c>
      <c r="C120" s="4">
        <v>6547.6599999999971</v>
      </c>
      <c r="D120" s="4">
        <v>9080</v>
      </c>
    </row>
    <row r="121" spans="1:4" x14ac:dyDescent="0.3">
      <c r="A121" s="3" t="s">
        <v>21</v>
      </c>
      <c r="B121" s="4">
        <v>81</v>
      </c>
      <c r="C121" s="4">
        <v>14922.949999999993</v>
      </c>
      <c r="D121" s="4">
        <v>20729</v>
      </c>
    </row>
    <row r="122" spans="1:4" x14ac:dyDescent="0.3">
      <c r="A122" s="3" t="s">
        <v>53</v>
      </c>
      <c r="B122" s="4">
        <v>54</v>
      </c>
      <c r="C122" s="4">
        <v>1173.6000000000001</v>
      </c>
      <c r="D122" s="4">
        <v>1915</v>
      </c>
    </row>
    <row r="123" spans="1:4" x14ac:dyDescent="0.3">
      <c r="A123" s="3" t="s">
        <v>11</v>
      </c>
      <c r="B123" s="4">
        <v>67</v>
      </c>
      <c r="C123" s="4">
        <v>1498.2000000000016</v>
      </c>
      <c r="D123" s="4">
        <v>2419</v>
      </c>
    </row>
    <row r="124" spans="1:4" x14ac:dyDescent="0.3">
      <c r="A124" s="3" t="s">
        <v>22</v>
      </c>
      <c r="B124" s="4">
        <v>88</v>
      </c>
      <c r="C124" s="4">
        <v>2484.6000000000004</v>
      </c>
      <c r="D124" s="4">
        <v>4026</v>
      </c>
    </row>
    <row r="125" spans="1:4" x14ac:dyDescent="0.3">
      <c r="A125" s="3" t="s">
        <v>138</v>
      </c>
      <c r="B125" s="4">
        <v>108</v>
      </c>
      <c r="C125" s="4">
        <v>3423.6000000000004</v>
      </c>
      <c r="D125" s="4">
        <v>5580</v>
      </c>
    </row>
    <row r="126" spans="1:4" x14ac:dyDescent="0.3">
      <c r="A126" s="3" t="s">
        <v>61</v>
      </c>
      <c r="B126" s="4">
        <v>52</v>
      </c>
      <c r="C126" s="4">
        <v>1716.1</v>
      </c>
      <c r="D126" s="4">
        <v>2676</v>
      </c>
    </row>
    <row r="127" spans="1:4" x14ac:dyDescent="0.3">
      <c r="A127" s="3" t="s">
        <v>98</v>
      </c>
      <c r="B127" s="4">
        <v>118</v>
      </c>
      <c r="C127" s="4">
        <v>13213.869999999997</v>
      </c>
      <c r="D127" s="4">
        <v>15939</v>
      </c>
    </row>
    <row r="128" spans="1:4" x14ac:dyDescent="0.3">
      <c r="A128" s="3" t="s">
        <v>32</v>
      </c>
      <c r="B128" s="4">
        <v>78.100000000000009</v>
      </c>
      <c r="C128" s="4">
        <v>10120.009999999998</v>
      </c>
      <c r="D128" s="4">
        <v>15669.55</v>
      </c>
    </row>
    <row r="129" spans="1:4" x14ac:dyDescent="0.3">
      <c r="A129" s="3" t="s">
        <v>88</v>
      </c>
      <c r="B129" s="4">
        <v>55.600000000000009</v>
      </c>
      <c r="C129" s="4">
        <v>8332.3900000000031</v>
      </c>
      <c r="D129" s="4">
        <v>12840</v>
      </c>
    </row>
    <row r="130" spans="1:4" x14ac:dyDescent="0.3">
      <c r="A130" s="3" t="s">
        <v>95</v>
      </c>
      <c r="B130" s="4">
        <v>115.59999999999998</v>
      </c>
      <c r="C130" s="4">
        <v>17169.069999999982</v>
      </c>
      <c r="D130" s="4">
        <v>26582</v>
      </c>
    </row>
    <row r="131" spans="1:4" x14ac:dyDescent="0.3">
      <c r="A131" s="3" t="s">
        <v>125</v>
      </c>
      <c r="B131" s="4">
        <v>42</v>
      </c>
      <c r="C131" s="4">
        <v>14453.060000000005</v>
      </c>
      <c r="D131" s="4">
        <v>18581.22</v>
      </c>
    </row>
    <row r="132" spans="1:4" x14ac:dyDescent="0.3">
      <c r="A132" s="3" t="s">
        <v>23</v>
      </c>
      <c r="B132" s="4">
        <v>191</v>
      </c>
      <c r="C132" s="4">
        <v>21445.23999999998</v>
      </c>
      <c r="D132" s="4">
        <v>24020.639999999999</v>
      </c>
    </row>
    <row r="133" spans="1:4" x14ac:dyDescent="0.3">
      <c r="A133" s="3" t="s">
        <v>6</v>
      </c>
      <c r="B133" s="4">
        <v>32.499999999999986</v>
      </c>
      <c r="C133" s="4">
        <v>31966.949999999993</v>
      </c>
      <c r="D133" s="4">
        <v>40189</v>
      </c>
    </row>
    <row r="134" spans="1:4" x14ac:dyDescent="0.3">
      <c r="A134" s="3" t="s">
        <v>110</v>
      </c>
      <c r="B134" s="4">
        <v>42</v>
      </c>
      <c r="C134" s="4">
        <v>9177.2699999999968</v>
      </c>
      <c r="D134" s="4">
        <v>12621</v>
      </c>
    </row>
    <row r="135" spans="1:4" x14ac:dyDescent="0.3">
      <c r="A135" s="3" t="s">
        <v>7</v>
      </c>
      <c r="B135" s="4">
        <v>236</v>
      </c>
      <c r="C135" s="4">
        <v>20956.410000000047</v>
      </c>
      <c r="D135" s="4">
        <v>25401</v>
      </c>
    </row>
    <row r="136" spans="1:4" x14ac:dyDescent="0.3">
      <c r="A136" s="3" t="s">
        <v>116</v>
      </c>
      <c r="B136" s="4">
        <v>42</v>
      </c>
      <c r="C136" s="4">
        <v>4424.6799999999994</v>
      </c>
      <c r="D136" s="4">
        <v>5267</v>
      </c>
    </row>
    <row r="137" spans="1:4" x14ac:dyDescent="0.3">
      <c r="A137" s="3" t="s">
        <v>107</v>
      </c>
      <c r="B137" s="4">
        <v>42</v>
      </c>
      <c r="C137" s="4">
        <v>3019.1699999999992</v>
      </c>
      <c r="D137" s="4">
        <v>3706</v>
      </c>
    </row>
    <row r="138" spans="1:4" x14ac:dyDescent="0.3">
      <c r="A138" s="3" t="s">
        <v>58</v>
      </c>
      <c r="B138" s="4">
        <v>93</v>
      </c>
      <c r="C138" s="4">
        <v>7303.5599999999949</v>
      </c>
      <c r="D138" s="4">
        <v>8800</v>
      </c>
    </row>
    <row r="139" spans="1:4" x14ac:dyDescent="0.3">
      <c r="A139" s="3" t="s">
        <v>48</v>
      </c>
      <c r="B139" s="4">
        <v>179</v>
      </c>
      <c r="C139" s="4">
        <v>7147.6800000000039</v>
      </c>
      <c r="D139" s="4">
        <v>11109</v>
      </c>
    </row>
    <row r="140" spans="1:4" x14ac:dyDescent="0.3">
      <c r="A140" s="3" t="s">
        <v>149</v>
      </c>
      <c r="B140" s="4">
        <v>60</v>
      </c>
      <c r="C140" s="4">
        <v>12972.089999999997</v>
      </c>
      <c r="D140" s="4">
        <v>17835</v>
      </c>
    </row>
    <row r="141" spans="1:4" x14ac:dyDescent="0.3">
      <c r="A141" s="3" t="s">
        <v>45</v>
      </c>
      <c r="B141" s="4">
        <v>273</v>
      </c>
      <c r="C141" s="4">
        <v>4185.1800000000039</v>
      </c>
      <c r="D141" s="4">
        <v>6797</v>
      </c>
    </row>
    <row r="142" spans="1:4" x14ac:dyDescent="0.3">
      <c r="A142" s="3" t="s">
        <v>145</v>
      </c>
      <c r="B142" s="4">
        <v>94</v>
      </c>
      <c r="C142" s="4">
        <v>2378.1999999999998</v>
      </c>
      <c r="D142" s="4">
        <v>2914</v>
      </c>
    </row>
    <row r="143" spans="1:4" x14ac:dyDescent="0.3">
      <c r="A143" s="3" t="s">
        <v>14</v>
      </c>
      <c r="B143" s="4">
        <v>21.5</v>
      </c>
      <c r="C143" s="4">
        <v>27076.330000000016</v>
      </c>
      <c r="D143" s="4">
        <v>35829</v>
      </c>
    </row>
    <row r="144" spans="1:4" x14ac:dyDescent="0.3">
      <c r="A144" s="3" t="s">
        <v>144</v>
      </c>
      <c r="B144" s="4">
        <v>50</v>
      </c>
      <c r="C144" s="4">
        <v>2674.0499999999993</v>
      </c>
      <c r="D144" s="4">
        <v>3822.4</v>
      </c>
    </row>
    <row r="145" spans="1:4" x14ac:dyDescent="0.3">
      <c r="A145" s="3" t="s">
        <v>155</v>
      </c>
      <c r="B145" s="4">
        <v>11</v>
      </c>
      <c r="C145" s="4">
        <v>22126.650000000005</v>
      </c>
      <c r="D145" s="4">
        <v>31906</v>
      </c>
    </row>
    <row r="146" spans="1:4" x14ac:dyDescent="0.3">
      <c r="A146" s="3" t="s">
        <v>75</v>
      </c>
      <c r="B146" s="4">
        <v>11.199999999999994</v>
      </c>
      <c r="C146" s="4">
        <v>30763.369999999974</v>
      </c>
      <c r="D146" s="4">
        <v>44925</v>
      </c>
    </row>
    <row r="147" spans="1:4" x14ac:dyDescent="0.3">
      <c r="A147" s="3" t="s">
        <v>142</v>
      </c>
      <c r="B147" s="4">
        <v>59</v>
      </c>
      <c r="C147" s="4">
        <v>758.38000000000056</v>
      </c>
      <c r="D147" s="4">
        <v>884.99</v>
      </c>
    </row>
    <row r="148" spans="1:4" x14ac:dyDescent="0.3">
      <c r="A148" s="3" t="s">
        <v>10</v>
      </c>
      <c r="B148" s="4">
        <v>85</v>
      </c>
      <c r="C148" s="4">
        <v>932.30000000000075</v>
      </c>
      <c r="D148" s="4">
        <v>1134</v>
      </c>
    </row>
    <row r="149" spans="1:4" x14ac:dyDescent="0.3">
      <c r="A149" s="3" t="s">
        <v>117</v>
      </c>
      <c r="B149" s="4">
        <v>61</v>
      </c>
      <c r="C149" s="4">
        <v>1411.5400000000011</v>
      </c>
      <c r="D149" s="4">
        <v>1708</v>
      </c>
    </row>
    <row r="150" spans="1:4" x14ac:dyDescent="0.3">
      <c r="A150" s="3" t="s">
        <v>43</v>
      </c>
      <c r="B150" s="4">
        <v>50.000000299999996</v>
      </c>
      <c r="C150" s="4">
        <v>6998.9299999999985</v>
      </c>
      <c r="D150" s="4">
        <v>8396</v>
      </c>
    </row>
    <row r="151" spans="1:4" x14ac:dyDescent="0.3">
      <c r="A151" s="3" t="s">
        <v>52</v>
      </c>
      <c r="B151" s="4">
        <v>72</v>
      </c>
      <c r="C151" s="4">
        <v>14937.049999999996</v>
      </c>
      <c r="D151" s="4">
        <v>17955.86</v>
      </c>
    </row>
    <row r="152" spans="1:4" x14ac:dyDescent="0.3">
      <c r="A152" s="3" t="s">
        <v>126</v>
      </c>
      <c r="B152" s="4">
        <v>57</v>
      </c>
      <c r="C152" s="4">
        <v>1676.5299999999991</v>
      </c>
      <c r="D152" s="4">
        <v>2074</v>
      </c>
    </row>
    <row r="153" spans="1:4" x14ac:dyDescent="0.3">
      <c r="A153" s="3" t="s">
        <v>94</v>
      </c>
      <c r="B153" s="4">
        <v>95</v>
      </c>
      <c r="C153" s="4">
        <v>3089.19</v>
      </c>
      <c r="D153" s="4">
        <v>4248</v>
      </c>
    </row>
    <row r="154" spans="1:4" x14ac:dyDescent="0.3">
      <c r="A154" s="3" t="s">
        <v>158</v>
      </c>
      <c r="B154" s="4">
        <v>187</v>
      </c>
      <c r="C154" s="4">
        <v>5156.4799999999959</v>
      </c>
      <c r="D154" s="4">
        <v>6567.3600000000006</v>
      </c>
    </row>
    <row r="155" spans="1:4" x14ac:dyDescent="0.3">
      <c r="A155" s="3" t="s">
        <v>74</v>
      </c>
      <c r="B155" s="4">
        <v>42</v>
      </c>
      <c r="C155" s="4">
        <v>3722.5000000000014</v>
      </c>
      <c r="D155" s="4">
        <v>4640</v>
      </c>
    </row>
    <row r="156" spans="1:4" x14ac:dyDescent="0.3">
      <c r="A156" s="3" t="s">
        <v>35</v>
      </c>
      <c r="B156" s="4">
        <v>121</v>
      </c>
      <c r="C156" s="4">
        <v>4097.9699999999966</v>
      </c>
      <c r="D156" s="4">
        <v>6351</v>
      </c>
    </row>
    <row r="157" spans="1:4" x14ac:dyDescent="0.3">
      <c r="A157" s="3" t="s">
        <v>47</v>
      </c>
      <c r="B157" s="4">
        <v>173</v>
      </c>
      <c r="C157" s="4">
        <v>7460.0800000000036</v>
      </c>
      <c r="D157" s="4">
        <v>11585</v>
      </c>
    </row>
    <row r="158" spans="1:4" x14ac:dyDescent="0.3">
      <c r="A158" s="3" t="s">
        <v>148</v>
      </c>
      <c r="B158" s="4">
        <v>42</v>
      </c>
      <c r="C158" s="4">
        <v>1571.6999999999994</v>
      </c>
      <c r="D158" s="4">
        <v>2426</v>
      </c>
    </row>
    <row r="159" spans="1:4" x14ac:dyDescent="0.3">
      <c r="A159" s="3" t="s">
        <v>90</v>
      </c>
      <c r="B159" s="4">
        <v>87</v>
      </c>
      <c r="C159" s="4">
        <v>34177.890000000029</v>
      </c>
      <c r="D159" s="4">
        <v>41664</v>
      </c>
    </row>
    <row r="160" spans="1:4" x14ac:dyDescent="0.3">
      <c r="A160" s="3" t="s">
        <v>162</v>
      </c>
      <c r="B160" s="4">
        <v>15620.108095800002</v>
      </c>
      <c r="C160" s="4">
        <v>1558844.78</v>
      </c>
      <c r="D160" s="4">
        <v>2006310.2799999998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64"/>
  <sheetViews>
    <sheetView zoomScale="114" zoomScaleNormal="130" workbookViewId="0">
      <selection activeCell="G13" sqref="G13"/>
    </sheetView>
  </sheetViews>
  <sheetFormatPr defaultRowHeight="14.4" x14ac:dyDescent="0.3"/>
  <cols>
    <col min="1" max="1" width="59.88671875" customWidth="1"/>
    <col min="2" max="2" width="14.6640625" customWidth="1"/>
    <col min="8" max="8" width="18.109375" style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 t="s">
        <v>5</v>
      </c>
      <c r="B2" s="1">
        <v>44721</v>
      </c>
      <c r="C2">
        <v>1</v>
      </c>
      <c r="D2">
        <v>130.15</v>
      </c>
      <c r="E2">
        <v>157</v>
      </c>
      <c r="H2" s="1">
        <f>MIN(B:B)</f>
        <v>44682</v>
      </c>
    </row>
    <row r="3" spans="1:8" x14ac:dyDescent="0.3">
      <c r="A3" t="s">
        <v>6</v>
      </c>
      <c r="B3" s="1">
        <v>44721</v>
      </c>
      <c r="C3">
        <v>0.4</v>
      </c>
      <c r="D3">
        <v>458.65</v>
      </c>
      <c r="E3">
        <v>574</v>
      </c>
      <c r="H3" s="1">
        <f>MAX(B:B)</f>
        <v>44721</v>
      </c>
    </row>
    <row r="4" spans="1:8" x14ac:dyDescent="0.3">
      <c r="A4" t="s">
        <v>7</v>
      </c>
      <c r="B4" s="1">
        <v>44721</v>
      </c>
      <c r="C4">
        <v>1</v>
      </c>
      <c r="D4">
        <v>88.43</v>
      </c>
      <c r="E4">
        <v>110</v>
      </c>
    </row>
    <row r="5" spans="1:8" x14ac:dyDescent="0.3">
      <c r="A5" t="s">
        <v>8</v>
      </c>
      <c r="B5" s="1">
        <v>44721</v>
      </c>
      <c r="C5">
        <v>1</v>
      </c>
      <c r="D5">
        <v>47.67</v>
      </c>
      <c r="E5">
        <v>77</v>
      </c>
    </row>
    <row r="6" spans="1:8" x14ac:dyDescent="0.3">
      <c r="A6" t="s">
        <v>9</v>
      </c>
      <c r="B6" s="1">
        <v>44721</v>
      </c>
      <c r="C6">
        <v>1</v>
      </c>
      <c r="D6">
        <v>80.69</v>
      </c>
      <c r="E6">
        <v>98</v>
      </c>
    </row>
    <row r="7" spans="1:8" x14ac:dyDescent="0.3">
      <c r="A7" t="s">
        <v>10</v>
      </c>
      <c r="B7" s="1">
        <v>44721</v>
      </c>
      <c r="C7">
        <v>1</v>
      </c>
      <c r="D7">
        <v>11.1</v>
      </c>
      <c r="E7">
        <v>13</v>
      </c>
    </row>
    <row r="8" spans="1:8" x14ac:dyDescent="0.3">
      <c r="A8" t="s">
        <v>11</v>
      </c>
      <c r="B8" s="1">
        <v>44721</v>
      </c>
      <c r="C8">
        <v>1</v>
      </c>
      <c r="D8">
        <v>24.2</v>
      </c>
      <c r="E8">
        <v>40</v>
      </c>
    </row>
    <row r="9" spans="1:8" x14ac:dyDescent="0.3">
      <c r="A9" t="s">
        <v>7</v>
      </c>
      <c r="B9" s="1">
        <v>44721</v>
      </c>
      <c r="C9">
        <v>1</v>
      </c>
      <c r="D9">
        <v>88.43</v>
      </c>
      <c r="E9">
        <v>110</v>
      </c>
    </row>
    <row r="10" spans="1:8" x14ac:dyDescent="0.3">
      <c r="A10" t="s">
        <v>12</v>
      </c>
      <c r="B10" s="1">
        <v>44721</v>
      </c>
      <c r="C10">
        <v>1</v>
      </c>
      <c r="D10">
        <v>56.98</v>
      </c>
      <c r="E10">
        <v>72</v>
      </c>
    </row>
    <row r="11" spans="1:8" x14ac:dyDescent="0.3">
      <c r="A11" t="s">
        <v>8</v>
      </c>
      <c r="B11" s="1">
        <v>44721</v>
      </c>
      <c r="C11">
        <v>1</v>
      </c>
      <c r="D11">
        <v>47.67</v>
      </c>
      <c r="E11">
        <v>77</v>
      </c>
    </row>
    <row r="12" spans="1:8" x14ac:dyDescent="0.3">
      <c r="A12" t="s">
        <v>13</v>
      </c>
      <c r="B12" s="1">
        <v>44721</v>
      </c>
      <c r="C12">
        <v>1</v>
      </c>
      <c r="D12">
        <v>119.06</v>
      </c>
      <c r="E12">
        <v>146</v>
      </c>
    </row>
    <row r="13" spans="1:8" x14ac:dyDescent="0.3">
      <c r="A13" t="s">
        <v>14</v>
      </c>
      <c r="B13" s="1">
        <v>44721</v>
      </c>
      <c r="C13">
        <v>1</v>
      </c>
      <c r="D13">
        <v>429.41</v>
      </c>
      <c r="E13">
        <v>580</v>
      </c>
    </row>
    <row r="14" spans="1:8" x14ac:dyDescent="0.3">
      <c r="A14" t="s">
        <v>15</v>
      </c>
      <c r="B14" s="1">
        <v>44721</v>
      </c>
      <c r="C14">
        <v>1</v>
      </c>
      <c r="D14">
        <v>50.1</v>
      </c>
      <c r="E14">
        <v>81</v>
      </c>
    </row>
    <row r="15" spans="1:8" x14ac:dyDescent="0.3">
      <c r="A15" t="s">
        <v>16</v>
      </c>
      <c r="B15" s="1">
        <v>44721</v>
      </c>
      <c r="C15">
        <v>1</v>
      </c>
      <c r="D15">
        <v>34.51</v>
      </c>
      <c r="E15">
        <v>54</v>
      </c>
    </row>
    <row r="16" spans="1:8" x14ac:dyDescent="0.3">
      <c r="A16" t="s">
        <v>17</v>
      </c>
      <c r="B16" s="1">
        <v>44721</v>
      </c>
      <c r="C16">
        <v>1</v>
      </c>
      <c r="D16">
        <v>388.58</v>
      </c>
      <c r="E16">
        <v>467</v>
      </c>
    </row>
    <row r="17" spans="1:5" x14ac:dyDescent="0.3">
      <c r="A17" t="s">
        <v>18</v>
      </c>
      <c r="B17" s="1">
        <v>44721</v>
      </c>
      <c r="C17">
        <v>1</v>
      </c>
      <c r="D17">
        <v>46.05</v>
      </c>
      <c r="E17">
        <v>72</v>
      </c>
    </row>
    <row r="18" spans="1:5" x14ac:dyDescent="0.3">
      <c r="A18" t="s">
        <v>8</v>
      </c>
      <c r="B18" s="1">
        <v>44721</v>
      </c>
      <c r="C18">
        <v>1</v>
      </c>
      <c r="D18">
        <v>47.67</v>
      </c>
      <c r="E18">
        <v>77</v>
      </c>
    </row>
    <row r="19" spans="1:5" x14ac:dyDescent="0.3">
      <c r="A19" t="s">
        <v>19</v>
      </c>
      <c r="B19" s="1">
        <v>44721</v>
      </c>
      <c r="C19">
        <v>1</v>
      </c>
      <c r="D19">
        <v>81.290000000000006</v>
      </c>
      <c r="E19">
        <v>103</v>
      </c>
    </row>
    <row r="20" spans="1:5" x14ac:dyDescent="0.3">
      <c r="A20" t="s">
        <v>20</v>
      </c>
      <c r="B20" s="1">
        <v>44721</v>
      </c>
      <c r="C20">
        <v>1</v>
      </c>
      <c r="D20">
        <v>20.72</v>
      </c>
      <c r="E20">
        <v>27</v>
      </c>
    </row>
    <row r="21" spans="1:5" x14ac:dyDescent="0.3">
      <c r="A21" t="s">
        <v>6</v>
      </c>
      <c r="B21" s="1">
        <v>44721</v>
      </c>
      <c r="C21">
        <v>0.2</v>
      </c>
      <c r="D21">
        <v>460.66</v>
      </c>
      <c r="E21">
        <v>576</v>
      </c>
    </row>
    <row r="22" spans="1:5" x14ac:dyDescent="0.3">
      <c r="A22" t="s">
        <v>21</v>
      </c>
      <c r="B22" s="1">
        <v>44721</v>
      </c>
      <c r="C22">
        <v>1</v>
      </c>
      <c r="D22">
        <v>190.59</v>
      </c>
      <c r="E22">
        <v>262</v>
      </c>
    </row>
    <row r="23" spans="1:5" x14ac:dyDescent="0.3">
      <c r="A23" t="s">
        <v>21</v>
      </c>
      <c r="B23" s="1">
        <v>44721</v>
      </c>
      <c r="C23">
        <v>1</v>
      </c>
      <c r="D23">
        <v>190.59</v>
      </c>
      <c r="E23">
        <v>262</v>
      </c>
    </row>
    <row r="24" spans="1:5" x14ac:dyDescent="0.3">
      <c r="A24" t="s">
        <v>22</v>
      </c>
      <c r="B24" s="1">
        <v>44721</v>
      </c>
      <c r="C24">
        <v>1</v>
      </c>
      <c r="D24">
        <v>30.3</v>
      </c>
      <c r="E24">
        <v>49</v>
      </c>
    </row>
    <row r="25" spans="1:5" x14ac:dyDescent="0.3">
      <c r="A25" t="s">
        <v>13</v>
      </c>
      <c r="B25" s="1">
        <v>44721</v>
      </c>
      <c r="C25">
        <v>1</v>
      </c>
      <c r="D25">
        <v>119.06</v>
      </c>
      <c r="E25">
        <v>146</v>
      </c>
    </row>
    <row r="26" spans="1:5" x14ac:dyDescent="0.3">
      <c r="A26" t="s">
        <v>23</v>
      </c>
      <c r="B26" s="1">
        <v>44721</v>
      </c>
      <c r="C26">
        <v>1</v>
      </c>
      <c r="D26">
        <v>110.51</v>
      </c>
      <c r="E26">
        <v>124</v>
      </c>
    </row>
    <row r="27" spans="1:5" x14ac:dyDescent="0.3">
      <c r="A27" t="s">
        <v>18</v>
      </c>
      <c r="B27" s="1">
        <v>44721</v>
      </c>
      <c r="C27">
        <v>1</v>
      </c>
      <c r="D27">
        <v>46</v>
      </c>
      <c r="E27">
        <v>70</v>
      </c>
    </row>
    <row r="28" spans="1:5" x14ac:dyDescent="0.3">
      <c r="A28" t="s">
        <v>19</v>
      </c>
      <c r="B28" s="1">
        <v>44721</v>
      </c>
      <c r="C28">
        <v>1</v>
      </c>
      <c r="D28">
        <v>81.290000000000006</v>
      </c>
      <c r="E28">
        <v>103</v>
      </c>
    </row>
    <row r="29" spans="1:5" x14ac:dyDescent="0.3">
      <c r="A29" t="s">
        <v>9</v>
      </c>
      <c r="B29" s="1">
        <v>44721</v>
      </c>
      <c r="C29">
        <v>1</v>
      </c>
      <c r="D29">
        <v>80.69</v>
      </c>
      <c r="E29">
        <v>100</v>
      </c>
    </row>
    <row r="30" spans="1:5" x14ac:dyDescent="0.3">
      <c r="A30" t="s">
        <v>24</v>
      </c>
      <c r="B30" s="1">
        <v>44721</v>
      </c>
      <c r="C30">
        <v>1</v>
      </c>
      <c r="D30">
        <v>101.95</v>
      </c>
      <c r="E30">
        <v>120</v>
      </c>
    </row>
    <row r="31" spans="1:5" x14ac:dyDescent="0.3">
      <c r="A31" t="s">
        <v>24</v>
      </c>
      <c r="B31" s="1">
        <v>44721</v>
      </c>
      <c r="C31">
        <v>1</v>
      </c>
      <c r="D31">
        <v>101.95</v>
      </c>
      <c r="E31">
        <v>120</v>
      </c>
    </row>
    <row r="32" spans="1:5" x14ac:dyDescent="0.3">
      <c r="A32" t="s">
        <v>24</v>
      </c>
      <c r="B32" s="1">
        <v>44721</v>
      </c>
      <c r="C32">
        <v>1</v>
      </c>
      <c r="D32">
        <v>101.95</v>
      </c>
      <c r="E32">
        <v>120</v>
      </c>
    </row>
    <row r="33" spans="1:5" x14ac:dyDescent="0.3">
      <c r="A33" t="s">
        <v>25</v>
      </c>
      <c r="B33" s="1">
        <v>44721</v>
      </c>
      <c r="C33">
        <v>1</v>
      </c>
      <c r="D33">
        <v>147.18</v>
      </c>
      <c r="E33">
        <v>176</v>
      </c>
    </row>
    <row r="34" spans="1:5" x14ac:dyDescent="0.3">
      <c r="A34" t="s">
        <v>26</v>
      </c>
      <c r="B34" s="1">
        <v>44721</v>
      </c>
      <c r="C34">
        <v>0.3</v>
      </c>
      <c r="D34">
        <v>979.4</v>
      </c>
      <c r="E34">
        <v>1225</v>
      </c>
    </row>
    <row r="35" spans="1:5" x14ac:dyDescent="0.3">
      <c r="A35" t="s">
        <v>27</v>
      </c>
      <c r="B35" s="1">
        <v>44721</v>
      </c>
      <c r="C35">
        <v>1</v>
      </c>
      <c r="D35">
        <v>101.57</v>
      </c>
      <c r="E35">
        <v>156</v>
      </c>
    </row>
    <row r="36" spans="1:5" x14ac:dyDescent="0.3">
      <c r="A36" t="s">
        <v>28</v>
      </c>
      <c r="B36" s="1">
        <v>44721</v>
      </c>
      <c r="C36">
        <v>1</v>
      </c>
      <c r="D36">
        <v>148.91</v>
      </c>
      <c r="E36">
        <v>202</v>
      </c>
    </row>
    <row r="37" spans="1:5" x14ac:dyDescent="0.3">
      <c r="A37" t="s">
        <v>22</v>
      </c>
      <c r="B37" s="1">
        <v>44721</v>
      </c>
      <c r="C37">
        <v>1</v>
      </c>
      <c r="D37">
        <v>30.3</v>
      </c>
      <c r="E37">
        <v>49</v>
      </c>
    </row>
    <row r="38" spans="1:5" x14ac:dyDescent="0.3">
      <c r="A38" t="s">
        <v>29</v>
      </c>
      <c r="B38" s="1">
        <v>44721</v>
      </c>
      <c r="C38">
        <v>1</v>
      </c>
      <c r="D38">
        <v>473.35</v>
      </c>
      <c r="E38">
        <v>640</v>
      </c>
    </row>
    <row r="39" spans="1:5" x14ac:dyDescent="0.3">
      <c r="A39" t="s">
        <v>30</v>
      </c>
      <c r="B39" s="1">
        <v>44721</v>
      </c>
      <c r="C39">
        <v>1</v>
      </c>
      <c r="D39">
        <v>157.62</v>
      </c>
      <c r="E39">
        <v>187</v>
      </c>
    </row>
    <row r="40" spans="1:5" x14ac:dyDescent="0.3">
      <c r="A40" t="s">
        <v>31</v>
      </c>
      <c r="B40" s="1">
        <v>44721</v>
      </c>
      <c r="C40">
        <v>1</v>
      </c>
      <c r="D40">
        <v>13.26</v>
      </c>
      <c r="E40">
        <v>18</v>
      </c>
    </row>
    <row r="41" spans="1:5" x14ac:dyDescent="0.3">
      <c r="A41" t="s">
        <v>31</v>
      </c>
      <c r="B41" s="1">
        <v>44721</v>
      </c>
      <c r="C41">
        <v>1</v>
      </c>
      <c r="D41">
        <v>13.26</v>
      </c>
      <c r="E41">
        <v>18</v>
      </c>
    </row>
    <row r="42" spans="1:5" x14ac:dyDescent="0.3">
      <c r="A42" t="s">
        <v>31</v>
      </c>
      <c r="B42" s="1">
        <v>44721</v>
      </c>
      <c r="C42">
        <v>1</v>
      </c>
      <c r="D42">
        <v>13.26</v>
      </c>
      <c r="E42">
        <v>18</v>
      </c>
    </row>
    <row r="43" spans="1:5" x14ac:dyDescent="0.3">
      <c r="A43" t="s">
        <v>31</v>
      </c>
      <c r="B43" s="1">
        <v>44721</v>
      </c>
      <c r="C43">
        <v>1</v>
      </c>
      <c r="D43">
        <v>13.26</v>
      </c>
      <c r="E43">
        <v>18</v>
      </c>
    </row>
    <row r="44" spans="1:5" x14ac:dyDescent="0.3">
      <c r="A44" t="s">
        <v>31</v>
      </c>
      <c r="B44" s="1">
        <v>44721</v>
      </c>
      <c r="C44">
        <v>1</v>
      </c>
      <c r="D44">
        <v>13.26</v>
      </c>
      <c r="E44">
        <v>18</v>
      </c>
    </row>
    <row r="45" spans="1:5" x14ac:dyDescent="0.3">
      <c r="A45" t="s">
        <v>31</v>
      </c>
      <c r="B45" s="1">
        <v>44721</v>
      </c>
      <c r="C45">
        <v>1</v>
      </c>
      <c r="D45">
        <v>13.26</v>
      </c>
      <c r="E45">
        <v>18</v>
      </c>
    </row>
    <row r="46" spans="1:5" x14ac:dyDescent="0.3">
      <c r="A46" t="s">
        <v>25</v>
      </c>
      <c r="B46" s="1">
        <v>44721</v>
      </c>
      <c r="C46">
        <v>1</v>
      </c>
      <c r="D46">
        <v>146.85</v>
      </c>
      <c r="E46">
        <v>177</v>
      </c>
    </row>
    <row r="47" spans="1:5" x14ac:dyDescent="0.3">
      <c r="A47" t="s">
        <v>32</v>
      </c>
      <c r="B47" s="1">
        <v>44721</v>
      </c>
      <c r="C47">
        <v>1.5</v>
      </c>
      <c r="D47">
        <v>99.21</v>
      </c>
      <c r="E47">
        <v>154</v>
      </c>
    </row>
    <row r="48" spans="1:5" x14ac:dyDescent="0.3">
      <c r="A48" t="s">
        <v>33</v>
      </c>
      <c r="B48" s="1">
        <v>44721</v>
      </c>
      <c r="C48">
        <v>1</v>
      </c>
      <c r="D48">
        <v>20.84</v>
      </c>
      <c r="E48">
        <v>26</v>
      </c>
    </row>
    <row r="49" spans="1:5" x14ac:dyDescent="0.3">
      <c r="A49" t="s">
        <v>34</v>
      </c>
      <c r="B49" s="1">
        <v>44721</v>
      </c>
      <c r="C49">
        <v>1</v>
      </c>
      <c r="D49">
        <v>202.48</v>
      </c>
      <c r="E49">
        <v>233</v>
      </c>
    </row>
    <row r="50" spans="1:5" x14ac:dyDescent="0.3">
      <c r="A50" t="s">
        <v>11</v>
      </c>
      <c r="B50" s="1">
        <v>44721</v>
      </c>
      <c r="C50">
        <v>1</v>
      </c>
      <c r="D50">
        <v>24.2</v>
      </c>
      <c r="E50">
        <v>39</v>
      </c>
    </row>
    <row r="51" spans="1:5" x14ac:dyDescent="0.3">
      <c r="A51" t="s">
        <v>35</v>
      </c>
      <c r="B51" s="1">
        <v>44721</v>
      </c>
      <c r="C51">
        <v>1</v>
      </c>
      <c r="D51">
        <v>31.99</v>
      </c>
      <c r="E51">
        <v>49</v>
      </c>
    </row>
    <row r="52" spans="1:5" x14ac:dyDescent="0.3">
      <c r="A52" t="s">
        <v>22</v>
      </c>
      <c r="B52" s="1">
        <v>44721</v>
      </c>
      <c r="C52">
        <v>1</v>
      </c>
      <c r="D52">
        <v>30.3</v>
      </c>
      <c r="E52">
        <v>50</v>
      </c>
    </row>
    <row r="53" spans="1:5" x14ac:dyDescent="0.3">
      <c r="A53" t="s">
        <v>36</v>
      </c>
      <c r="B53" s="1">
        <v>44721</v>
      </c>
      <c r="C53">
        <v>1</v>
      </c>
      <c r="D53">
        <v>26.53</v>
      </c>
      <c r="E53">
        <v>34</v>
      </c>
    </row>
    <row r="54" spans="1:5" x14ac:dyDescent="0.3">
      <c r="A54" t="s">
        <v>36</v>
      </c>
      <c r="B54" s="1">
        <v>44721</v>
      </c>
      <c r="C54">
        <v>1</v>
      </c>
      <c r="D54">
        <v>26.53</v>
      </c>
      <c r="E54">
        <v>34</v>
      </c>
    </row>
    <row r="55" spans="1:5" x14ac:dyDescent="0.3">
      <c r="A55" t="s">
        <v>20</v>
      </c>
      <c r="B55" s="1">
        <v>44721</v>
      </c>
      <c r="C55">
        <v>1</v>
      </c>
      <c r="D55">
        <v>20.72</v>
      </c>
      <c r="E55">
        <v>27</v>
      </c>
    </row>
    <row r="56" spans="1:5" x14ac:dyDescent="0.3">
      <c r="A56" t="s">
        <v>12</v>
      </c>
      <c r="B56" s="1">
        <v>44721</v>
      </c>
      <c r="C56">
        <v>1</v>
      </c>
      <c r="D56">
        <v>56.41</v>
      </c>
      <c r="E56">
        <v>70</v>
      </c>
    </row>
    <row r="57" spans="1:5" x14ac:dyDescent="0.3">
      <c r="A57" t="s">
        <v>37</v>
      </c>
      <c r="B57" s="1">
        <v>44721</v>
      </c>
      <c r="C57">
        <v>1</v>
      </c>
      <c r="D57">
        <v>48.85</v>
      </c>
      <c r="E57">
        <v>62</v>
      </c>
    </row>
    <row r="58" spans="1:5" x14ac:dyDescent="0.3">
      <c r="A58" t="s">
        <v>37</v>
      </c>
      <c r="B58" s="1">
        <v>44721</v>
      </c>
      <c r="C58">
        <v>1</v>
      </c>
      <c r="D58">
        <v>48.85</v>
      </c>
      <c r="E58">
        <v>62</v>
      </c>
    </row>
    <row r="59" spans="1:5" x14ac:dyDescent="0.3">
      <c r="A59" t="s">
        <v>38</v>
      </c>
      <c r="B59" s="1">
        <v>44721</v>
      </c>
      <c r="C59">
        <v>1</v>
      </c>
      <c r="D59">
        <v>34.450000000000003</v>
      </c>
      <c r="E59">
        <v>55</v>
      </c>
    </row>
    <row r="60" spans="1:5" x14ac:dyDescent="0.3">
      <c r="A60" t="s">
        <v>39</v>
      </c>
      <c r="B60" s="1">
        <v>44721</v>
      </c>
      <c r="C60">
        <v>1</v>
      </c>
      <c r="D60">
        <v>9.8800000000000008</v>
      </c>
      <c r="E60">
        <v>16</v>
      </c>
    </row>
    <row r="61" spans="1:5" x14ac:dyDescent="0.3">
      <c r="A61" t="s">
        <v>40</v>
      </c>
      <c r="B61" s="1">
        <v>44721</v>
      </c>
      <c r="C61">
        <v>1</v>
      </c>
      <c r="D61">
        <v>174.03</v>
      </c>
      <c r="E61">
        <v>212</v>
      </c>
    </row>
    <row r="62" spans="1:5" x14ac:dyDescent="0.3">
      <c r="A62" t="s">
        <v>25</v>
      </c>
      <c r="B62" s="1">
        <v>44721</v>
      </c>
      <c r="C62">
        <v>1</v>
      </c>
      <c r="D62">
        <v>147.29</v>
      </c>
      <c r="E62">
        <v>177</v>
      </c>
    </row>
    <row r="63" spans="1:5" x14ac:dyDescent="0.3">
      <c r="A63" t="s">
        <v>13</v>
      </c>
      <c r="B63" s="1">
        <v>44721</v>
      </c>
      <c r="C63">
        <v>1</v>
      </c>
      <c r="D63">
        <v>119.04</v>
      </c>
      <c r="E63">
        <v>143</v>
      </c>
    </row>
    <row r="64" spans="1:5" x14ac:dyDescent="0.3">
      <c r="A64" t="s">
        <v>41</v>
      </c>
      <c r="B64" s="1">
        <v>44721</v>
      </c>
      <c r="C64">
        <v>3</v>
      </c>
      <c r="D64">
        <v>11.05</v>
      </c>
      <c r="E64">
        <v>18</v>
      </c>
    </row>
    <row r="65" spans="1:5" x14ac:dyDescent="0.3">
      <c r="A65" t="s">
        <v>42</v>
      </c>
      <c r="B65" s="1">
        <v>44721</v>
      </c>
      <c r="C65">
        <v>1</v>
      </c>
      <c r="D65">
        <v>566.04</v>
      </c>
      <c r="E65">
        <v>651</v>
      </c>
    </row>
    <row r="66" spans="1:5" x14ac:dyDescent="0.3">
      <c r="A66" t="s">
        <v>12</v>
      </c>
      <c r="B66" s="1">
        <v>44721</v>
      </c>
      <c r="C66">
        <v>1</v>
      </c>
      <c r="D66">
        <v>55.68</v>
      </c>
      <c r="E66">
        <v>69</v>
      </c>
    </row>
    <row r="67" spans="1:5" x14ac:dyDescent="0.3">
      <c r="A67" t="s">
        <v>7</v>
      </c>
      <c r="B67" s="1">
        <v>44721</v>
      </c>
      <c r="C67">
        <v>1</v>
      </c>
      <c r="D67">
        <v>87.78</v>
      </c>
      <c r="E67">
        <v>105</v>
      </c>
    </row>
    <row r="68" spans="1:5" x14ac:dyDescent="0.3">
      <c r="A68" t="s">
        <v>43</v>
      </c>
      <c r="B68" s="1">
        <v>44721</v>
      </c>
      <c r="C68">
        <v>1</v>
      </c>
      <c r="D68">
        <v>133.83000000000001</v>
      </c>
      <c r="E68">
        <v>161</v>
      </c>
    </row>
    <row r="69" spans="1:5" x14ac:dyDescent="0.3">
      <c r="A69" t="s">
        <v>44</v>
      </c>
      <c r="B69" s="1">
        <v>44721</v>
      </c>
      <c r="C69">
        <v>1</v>
      </c>
      <c r="D69">
        <v>60.58</v>
      </c>
      <c r="E69">
        <v>100</v>
      </c>
    </row>
    <row r="70" spans="1:5" x14ac:dyDescent="0.3">
      <c r="A70" t="s">
        <v>27</v>
      </c>
      <c r="B70" s="1">
        <v>44721</v>
      </c>
      <c r="C70">
        <v>1</v>
      </c>
      <c r="D70">
        <v>101.57</v>
      </c>
      <c r="E70">
        <v>156</v>
      </c>
    </row>
    <row r="71" spans="1:5" x14ac:dyDescent="0.3">
      <c r="A71" t="s">
        <v>45</v>
      </c>
      <c r="B71" s="1">
        <v>44721</v>
      </c>
      <c r="C71">
        <v>2</v>
      </c>
      <c r="D71">
        <v>26.54</v>
      </c>
      <c r="E71">
        <v>43</v>
      </c>
    </row>
    <row r="72" spans="1:5" x14ac:dyDescent="0.3">
      <c r="A72" t="s">
        <v>16</v>
      </c>
      <c r="B72" s="1">
        <v>44721</v>
      </c>
      <c r="C72">
        <v>1</v>
      </c>
      <c r="D72">
        <v>46.01</v>
      </c>
      <c r="E72">
        <v>72</v>
      </c>
    </row>
    <row r="73" spans="1:5" x14ac:dyDescent="0.3">
      <c r="A73" t="s">
        <v>46</v>
      </c>
      <c r="B73" s="1">
        <v>44721</v>
      </c>
      <c r="C73">
        <v>1</v>
      </c>
      <c r="D73">
        <v>18.79</v>
      </c>
      <c r="E73">
        <v>23</v>
      </c>
    </row>
    <row r="74" spans="1:5" x14ac:dyDescent="0.3">
      <c r="A74" t="s">
        <v>47</v>
      </c>
      <c r="B74" s="1">
        <v>44721</v>
      </c>
      <c r="C74">
        <v>1</v>
      </c>
      <c r="D74">
        <v>43.73</v>
      </c>
      <c r="E74">
        <v>68</v>
      </c>
    </row>
    <row r="75" spans="1:5" x14ac:dyDescent="0.3">
      <c r="A75" t="s">
        <v>48</v>
      </c>
      <c r="B75" s="1">
        <v>44721</v>
      </c>
      <c r="C75">
        <v>1</v>
      </c>
      <c r="D75">
        <v>39.92</v>
      </c>
      <c r="E75">
        <v>63</v>
      </c>
    </row>
    <row r="76" spans="1:5" x14ac:dyDescent="0.3">
      <c r="A76" t="s">
        <v>49</v>
      </c>
      <c r="B76" s="1">
        <v>44721</v>
      </c>
      <c r="C76">
        <v>1</v>
      </c>
      <c r="D76">
        <v>15.8</v>
      </c>
      <c r="E76">
        <v>19</v>
      </c>
    </row>
    <row r="77" spans="1:5" x14ac:dyDescent="0.3">
      <c r="A77" t="s">
        <v>50</v>
      </c>
      <c r="B77" s="1">
        <v>44721</v>
      </c>
      <c r="C77">
        <v>1</v>
      </c>
      <c r="D77">
        <v>43.92</v>
      </c>
      <c r="E77">
        <v>55</v>
      </c>
    </row>
    <row r="78" spans="1:5" x14ac:dyDescent="0.3">
      <c r="A78" t="s">
        <v>36</v>
      </c>
      <c r="B78" s="1">
        <v>44721</v>
      </c>
      <c r="C78">
        <v>1</v>
      </c>
      <c r="D78">
        <v>26.53</v>
      </c>
      <c r="E78">
        <v>34</v>
      </c>
    </row>
    <row r="79" spans="1:5" x14ac:dyDescent="0.3">
      <c r="A79" t="s">
        <v>51</v>
      </c>
      <c r="B79" s="1">
        <v>44721</v>
      </c>
      <c r="C79">
        <v>10</v>
      </c>
      <c r="D79">
        <v>2.29</v>
      </c>
      <c r="E79">
        <v>4</v>
      </c>
    </row>
    <row r="80" spans="1:5" x14ac:dyDescent="0.3">
      <c r="A80" t="s">
        <v>52</v>
      </c>
      <c r="B80" s="1">
        <v>44721</v>
      </c>
      <c r="C80">
        <v>1</v>
      </c>
      <c r="D80">
        <v>205.69</v>
      </c>
      <c r="E80">
        <v>247</v>
      </c>
    </row>
    <row r="81" spans="1:5" x14ac:dyDescent="0.3">
      <c r="A81" t="s">
        <v>53</v>
      </c>
      <c r="B81" s="1">
        <v>44721</v>
      </c>
      <c r="C81">
        <v>1</v>
      </c>
      <c r="D81">
        <v>23.4</v>
      </c>
      <c r="E81">
        <v>38</v>
      </c>
    </row>
    <row r="82" spans="1:5" x14ac:dyDescent="0.3">
      <c r="A82" t="s">
        <v>54</v>
      </c>
      <c r="B82" s="1">
        <v>44721</v>
      </c>
      <c r="C82">
        <v>1</v>
      </c>
      <c r="D82">
        <v>643.5</v>
      </c>
      <c r="E82">
        <v>831</v>
      </c>
    </row>
    <row r="83" spans="1:5" x14ac:dyDescent="0.3">
      <c r="A83" t="s">
        <v>55</v>
      </c>
      <c r="B83" s="1">
        <v>44721</v>
      </c>
      <c r="C83">
        <v>1</v>
      </c>
      <c r="D83">
        <v>77.45</v>
      </c>
      <c r="E83">
        <v>95</v>
      </c>
    </row>
    <row r="84" spans="1:5" x14ac:dyDescent="0.3">
      <c r="A84" t="s">
        <v>8</v>
      </c>
      <c r="B84" s="1">
        <v>44721</v>
      </c>
      <c r="C84">
        <v>1</v>
      </c>
      <c r="D84">
        <v>47.67</v>
      </c>
      <c r="E84">
        <v>77</v>
      </c>
    </row>
    <row r="85" spans="1:5" x14ac:dyDescent="0.3">
      <c r="A85" t="s">
        <v>10</v>
      </c>
      <c r="B85" s="1">
        <v>44721</v>
      </c>
      <c r="C85">
        <v>1</v>
      </c>
      <c r="D85">
        <v>11.1</v>
      </c>
      <c r="E85">
        <v>13</v>
      </c>
    </row>
    <row r="86" spans="1:5" x14ac:dyDescent="0.3">
      <c r="A86" t="s">
        <v>33</v>
      </c>
      <c r="B86" s="1">
        <v>44721</v>
      </c>
      <c r="C86">
        <v>1</v>
      </c>
      <c r="D86">
        <v>21.25</v>
      </c>
      <c r="E86">
        <v>25</v>
      </c>
    </row>
    <row r="87" spans="1:5" x14ac:dyDescent="0.3">
      <c r="A87" t="s">
        <v>33</v>
      </c>
      <c r="B87" s="1">
        <v>44721</v>
      </c>
      <c r="C87">
        <v>1</v>
      </c>
      <c r="D87">
        <v>21.25</v>
      </c>
      <c r="E87">
        <v>25</v>
      </c>
    </row>
    <row r="88" spans="1:5" x14ac:dyDescent="0.3">
      <c r="A88" t="s">
        <v>33</v>
      </c>
      <c r="B88" s="1">
        <v>44721</v>
      </c>
      <c r="C88">
        <v>1</v>
      </c>
      <c r="D88">
        <v>21.25</v>
      </c>
      <c r="E88">
        <v>25</v>
      </c>
    </row>
    <row r="89" spans="1:5" x14ac:dyDescent="0.3">
      <c r="A89" t="s">
        <v>33</v>
      </c>
      <c r="B89" s="1">
        <v>44721</v>
      </c>
      <c r="C89">
        <v>1</v>
      </c>
      <c r="D89">
        <v>21.25</v>
      </c>
      <c r="E89">
        <v>25</v>
      </c>
    </row>
    <row r="90" spans="1:5" x14ac:dyDescent="0.3">
      <c r="A90" t="s">
        <v>33</v>
      </c>
      <c r="B90" s="1">
        <v>44721</v>
      </c>
      <c r="C90">
        <v>1</v>
      </c>
      <c r="D90">
        <v>21.25</v>
      </c>
      <c r="E90">
        <v>25</v>
      </c>
    </row>
    <row r="91" spans="1:5" x14ac:dyDescent="0.3">
      <c r="A91" t="s">
        <v>56</v>
      </c>
      <c r="B91" s="1">
        <v>44721</v>
      </c>
      <c r="C91">
        <v>1</v>
      </c>
      <c r="D91">
        <v>44.56</v>
      </c>
      <c r="E91">
        <v>68</v>
      </c>
    </row>
    <row r="92" spans="1:5" x14ac:dyDescent="0.3">
      <c r="A92" t="s">
        <v>45</v>
      </c>
      <c r="B92" s="1">
        <v>44721</v>
      </c>
      <c r="C92">
        <v>5</v>
      </c>
      <c r="D92">
        <v>28.82</v>
      </c>
      <c r="E92">
        <v>50</v>
      </c>
    </row>
    <row r="93" spans="1:5" x14ac:dyDescent="0.3">
      <c r="A93" t="s">
        <v>5</v>
      </c>
      <c r="B93" s="1">
        <v>44721</v>
      </c>
      <c r="C93">
        <v>1</v>
      </c>
      <c r="D93">
        <v>130.04</v>
      </c>
      <c r="E93">
        <v>157</v>
      </c>
    </row>
    <row r="94" spans="1:5" x14ac:dyDescent="0.3">
      <c r="A94" t="s">
        <v>57</v>
      </c>
      <c r="B94" s="1">
        <v>44721</v>
      </c>
      <c r="C94">
        <v>1</v>
      </c>
      <c r="D94">
        <v>239.58</v>
      </c>
      <c r="E94">
        <v>281</v>
      </c>
    </row>
    <row r="95" spans="1:5" x14ac:dyDescent="0.3">
      <c r="A95" t="s">
        <v>58</v>
      </c>
      <c r="B95" s="1">
        <v>44721</v>
      </c>
      <c r="C95">
        <v>1</v>
      </c>
      <c r="D95">
        <v>60.5</v>
      </c>
      <c r="E95">
        <v>73</v>
      </c>
    </row>
    <row r="96" spans="1:5" x14ac:dyDescent="0.3">
      <c r="A96" t="s">
        <v>41</v>
      </c>
      <c r="B96" s="1">
        <v>44721</v>
      </c>
      <c r="C96">
        <v>4</v>
      </c>
      <c r="D96">
        <v>10.9</v>
      </c>
      <c r="E96">
        <v>18</v>
      </c>
    </row>
    <row r="97" spans="1:5" x14ac:dyDescent="0.3">
      <c r="A97" t="s">
        <v>30</v>
      </c>
      <c r="B97" s="1">
        <v>44721</v>
      </c>
      <c r="C97">
        <v>1</v>
      </c>
      <c r="D97">
        <v>156.19999999999999</v>
      </c>
      <c r="E97">
        <v>186</v>
      </c>
    </row>
    <row r="98" spans="1:5" x14ac:dyDescent="0.3">
      <c r="A98" t="s">
        <v>55</v>
      </c>
      <c r="B98" s="1">
        <v>44721</v>
      </c>
      <c r="C98">
        <v>1</v>
      </c>
      <c r="D98">
        <v>77.45</v>
      </c>
      <c r="E98">
        <v>95</v>
      </c>
    </row>
    <row r="99" spans="1:5" x14ac:dyDescent="0.3">
      <c r="A99" t="s">
        <v>48</v>
      </c>
      <c r="B99" s="1">
        <v>44721</v>
      </c>
      <c r="C99">
        <v>1</v>
      </c>
      <c r="D99">
        <v>38.99</v>
      </c>
      <c r="E99">
        <v>60</v>
      </c>
    </row>
    <row r="100" spans="1:5" x14ac:dyDescent="0.3">
      <c r="A100" t="s">
        <v>49</v>
      </c>
      <c r="B100" s="1">
        <v>44721</v>
      </c>
      <c r="C100">
        <v>1</v>
      </c>
      <c r="D100">
        <v>15.82</v>
      </c>
      <c r="E100">
        <v>20</v>
      </c>
    </row>
    <row r="101" spans="1:5" x14ac:dyDescent="0.3">
      <c r="A101" t="s">
        <v>59</v>
      </c>
      <c r="B101" s="1">
        <v>44721</v>
      </c>
      <c r="C101">
        <v>1</v>
      </c>
      <c r="D101">
        <v>14.76</v>
      </c>
      <c r="E101">
        <v>24</v>
      </c>
    </row>
    <row r="102" spans="1:5" x14ac:dyDescent="0.3">
      <c r="A102" t="s">
        <v>26</v>
      </c>
      <c r="B102" s="1">
        <v>44721</v>
      </c>
      <c r="C102">
        <v>0.2</v>
      </c>
      <c r="D102">
        <v>984.65</v>
      </c>
      <c r="E102">
        <v>1271</v>
      </c>
    </row>
    <row r="103" spans="1:5" x14ac:dyDescent="0.3">
      <c r="A103" t="s">
        <v>23</v>
      </c>
      <c r="B103" s="1">
        <v>44721</v>
      </c>
      <c r="C103">
        <v>1</v>
      </c>
      <c r="D103">
        <v>110.21</v>
      </c>
      <c r="E103">
        <v>124</v>
      </c>
    </row>
    <row r="104" spans="1:5" x14ac:dyDescent="0.3">
      <c r="A104" t="s">
        <v>60</v>
      </c>
      <c r="B104" s="1">
        <v>44721</v>
      </c>
      <c r="C104">
        <v>1</v>
      </c>
      <c r="D104">
        <v>58.06</v>
      </c>
      <c r="E104">
        <v>72</v>
      </c>
    </row>
    <row r="105" spans="1:5" x14ac:dyDescent="0.3">
      <c r="A105" t="s">
        <v>43</v>
      </c>
      <c r="B105" s="1">
        <v>44721</v>
      </c>
      <c r="C105">
        <v>1</v>
      </c>
      <c r="D105">
        <v>135.76</v>
      </c>
      <c r="E105">
        <v>163</v>
      </c>
    </row>
    <row r="106" spans="1:5" x14ac:dyDescent="0.3">
      <c r="A106" t="s">
        <v>61</v>
      </c>
      <c r="B106" s="1">
        <v>44721</v>
      </c>
      <c r="C106">
        <v>1</v>
      </c>
      <c r="D106">
        <v>32.78</v>
      </c>
      <c r="E106">
        <v>50</v>
      </c>
    </row>
    <row r="107" spans="1:5" x14ac:dyDescent="0.3">
      <c r="A107" t="s">
        <v>22</v>
      </c>
      <c r="B107" s="1">
        <v>44721</v>
      </c>
      <c r="C107">
        <v>2</v>
      </c>
      <c r="D107">
        <v>30.3</v>
      </c>
      <c r="E107">
        <v>50</v>
      </c>
    </row>
    <row r="108" spans="1:5" x14ac:dyDescent="0.3">
      <c r="A108" t="s">
        <v>12</v>
      </c>
      <c r="B108" s="1">
        <v>44721</v>
      </c>
      <c r="C108">
        <v>1</v>
      </c>
      <c r="D108">
        <v>56.03</v>
      </c>
      <c r="E108">
        <v>70</v>
      </c>
    </row>
    <row r="109" spans="1:5" x14ac:dyDescent="0.3">
      <c r="A109" t="s">
        <v>62</v>
      </c>
      <c r="B109" s="1">
        <v>44721</v>
      </c>
      <c r="C109">
        <v>1</v>
      </c>
      <c r="D109">
        <v>25.71</v>
      </c>
      <c r="E109">
        <v>31</v>
      </c>
    </row>
    <row r="110" spans="1:5" x14ac:dyDescent="0.3">
      <c r="A110" t="s">
        <v>24</v>
      </c>
      <c r="B110" s="1">
        <v>44721</v>
      </c>
      <c r="C110">
        <v>1</v>
      </c>
      <c r="D110">
        <v>101.95</v>
      </c>
      <c r="E110">
        <v>122</v>
      </c>
    </row>
    <row r="111" spans="1:5" x14ac:dyDescent="0.3">
      <c r="A111" t="s">
        <v>63</v>
      </c>
      <c r="B111" s="1">
        <v>44721</v>
      </c>
      <c r="C111">
        <v>1</v>
      </c>
      <c r="D111">
        <v>73.3</v>
      </c>
      <c r="E111">
        <v>88</v>
      </c>
    </row>
    <row r="112" spans="1:5" x14ac:dyDescent="0.3">
      <c r="A112" t="s">
        <v>64</v>
      </c>
      <c r="B112" s="1">
        <v>44721</v>
      </c>
      <c r="C112">
        <v>1</v>
      </c>
      <c r="D112">
        <v>200.69</v>
      </c>
      <c r="E112">
        <v>267</v>
      </c>
    </row>
    <row r="113" spans="1:5" x14ac:dyDescent="0.3">
      <c r="A113" t="s">
        <v>62</v>
      </c>
      <c r="B113" s="1">
        <v>44721</v>
      </c>
      <c r="C113">
        <v>1</v>
      </c>
      <c r="D113">
        <v>25.71</v>
      </c>
      <c r="E113">
        <v>31</v>
      </c>
    </row>
    <row r="114" spans="1:5" x14ac:dyDescent="0.3">
      <c r="A114" t="s">
        <v>62</v>
      </c>
      <c r="B114" s="1">
        <v>44721</v>
      </c>
      <c r="C114">
        <v>1</v>
      </c>
      <c r="D114">
        <v>25.47</v>
      </c>
      <c r="E114">
        <v>31</v>
      </c>
    </row>
    <row r="115" spans="1:5" x14ac:dyDescent="0.3">
      <c r="A115" t="s">
        <v>65</v>
      </c>
      <c r="B115" s="1">
        <v>44721</v>
      </c>
      <c r="C115">
        <v>1</v>
      </c>
      <c r="D115">
        <v>187.74</v>
      </c>
      <c r="E115">
        <v>239</v>
      </c>
    </row>
    <row r="116" spans="1:5" x14ac:dyDescent="0.3">
      <c r="A116" t="s">
        <v>66</v>
      </c>
      <c r="B116" s="1">
        <v>44721</v>
      </c>
      <c r="C116">
        <v>1</v>
      </c>
      <c r="D116">
        <v>31.08</v>
      </c>
      <c r="E116">
        <v>36</v>
      </c>
    </row>
    <row r="117" spans="1:5" x14ac:dyDescent="0.3">
      <c r="A117" t="s">
        <v>66</v>
      </c>
      <c r="B117" s="1">
        <v>44721</v>
      </c>
      <c r="C117">
        <v>1</v>
      </c>
      <c r="D117">
        <v>31.08</v>
      </c>
      <c r="E117">
        <v>36</v>
      </c>
    </row>
    <row r="118" spans="1:5" x14ac:dyDescent="0.3">
      <c r="A118" t="s">
        <v>67</v>
      </c>
      <c r="B118" s="1">
        <v>44721</v>
      </c>
      <c r="C118">
        <v>1</v>
      </c>
      <c r="D118">
        <v>55.64</v>
      </c>
      <c r="E118">
        <v>79</v>
      </c>
    </row>
    <row r="119" spans="1:5" x14ac:dyDescent="0.3">
      <c r="A119" t="s">
        <v>67</v>
      </c>
      <c r="B119" s="1">
        <v>44721</v>
      </c>
      <c r="C119">
        <v>1</v>
      </c>
      <c r="D119">
        <v>54.32</v>
      </c>
      <c r="E119">
        <v>78</v>
      </c>
    </row>
    <row r="120" spans="1:5" x14ac:dyDescent="0.3">
      <c r="A120" t="s">
        <v>39</v>
      </c>
      <c r="B120" s="1">
        <v>44721</v>
      </c>
      <c r="C120">
        <v>5</v>
      </c>
      <c r="D120">
        <v>8.58</v>
      </c>
      <c r="E120">
        <v>14</v>
      </c>
    </row>
    <row r="121" spans="1:5" x14ac:dyDescent="0.3">
      <c r="A121" t="s">
        <v>49</v>
      </c>
      <c r="B121" s="1">
        <v>44721</v>
      </c>
      <c r="C121">
        <v>1</v>
      </c>
      <c r="D121">
        <v>15.41</v>
      </c>
      <c r="E121">
        <v>19</v>
      </c>
    </row>
    <row r="122" spans="1:5" x14ac:dyDescent="0.3">
      <c r="A122" t="s">
        <v>35</v>
      </c>
      <c r="B122" s="1">
        <v>44721</v>
      </c>
      <c r="C122">
        <v>1</v>
      </c>
      <c r="D122">
        <v>32.71</v>
      </c>
      <c r="E122">
        <v>50</v>
      </c>
    </row>
    <row r="123" spans="1:5" x14ac:dyDescent="0.3">
      <c r="A123" t="s">
        <v>68</v>
      </c>
      <c r="B123" s="1">
        <v>44721</v>
      </c>
      <c r="C123">
        <v>1</v>
      </c>
      <c r="D123">
        <v>52.91</v>
      </c>
      <c r="E123">
        <v>76</v>
      </c>
    </row>
    <row r="124" spans="1:5" x14ac:dyDescent="0.3">
      <c r="A124" t="s">
        <v>66</v>
      </c>
      <c r="B124" s="1">
        <v>44721</v>
      </c>
      <c r="C124">
        <v>1</v>
      </c>
      <c r="D124">
        <v>30.56</v>
      </c>
      <c r="E124">
        <v>36</v>
      </c>
    </row>
    <row r="125" spans="1:5" x14ac:dyDescent="0.3">
      <c r="A125" t="s">
        <v>66</v>
      </c>
      <c r="B125" s="1">
        <v>44721</v>
      </c>
      <c r="C125">
        <v>1</v>
      </c>
      <c r="D125">
        <v>30.56</v>
      </c>
      <c r="E125">
        <v>36</v>
      </c>
    </row>
    <row r="126" spans="1:5" x14ac:dyDescent="0.3">
      <c r="A126" t="s">
        <v>66</v>
      </c>
      <c r="B126" s="1">
        <v>44721</v>
      </c>
      <c r="C126">
        <v>1</v>
      </c>
      <c r="D126">
        <v>30.56</v>
      </c>
      <c r="E126">
        <v>36</v>
      </c>
    </row>
    <row r="127" spans="1:5" x14ac:dyDescent="0.3">
      <c r="A127" t="s">
        <v>66</v>
      </c>
      <c r="B127" s="1">
        <v>44721</v>
      </c>
      <c r="C127">
        <v>1</v>
      </c>
      <c r="D127">
        <v>30.56</v>
      </c>
      <c r="E127">
        <v>36</v>
      </c>
    </row>
    <row r="128" spans="1:5" x14ac:dyDescent="0.3">
      <c r="A128" t="s">
        <v>66</v>
      </c>
      <c r="B128" s="1">
        <v>44721</v>
      </c>
      <c r="C128">
        <v>1</v>
      </c>
      <c r="D128">
        <v>30.56</v>
      </c>
      <c r="E128">
        <v>36</v>
      </c>
    </row>
    <row r="129" spans="1:5" x14ac:dyDescent="0.3">
      <c r="A129" t="s">
        <v>66</v>
      </c>
      <c r="B129" s="1">
        <v>44721</v>
      </c>
      <c r="C129">
        <v>1</v>
      </c>
      <c r="D129">
        <v>30.56</v>
      </c>
      <c r="E129">
        <v>36</v>
      </c>
    </row>
    <row r="130" spans="1:5" x14ac:dyDescent="0.3">
      <c r="A130" t="s">
        <v>62</v>
      </c>
      <c r="B130" s="1">
        <v>44721</v>
      </c>
      <c r="C130">
        <v>1</v>
      </c>
      <c r="D130">
        <v>25.47</v>
      </c>
      <c r="E130">
        <v>31</v>
      </c>
    </row>
    <row r="131" spans="1:5" x14ac:dyDescent="0.3">
      <c r="A131" t="s">
        <v>20</v>
      </c>
      <c r="B131" s="1">
        <v>44721</v>
      </c>
      <c r="C131">
        <v>1</v>
      </c>
      <c r="D131">
        <v>20.77</v>
      </c>
      <c r="E131">
        <v>26</v>
      </c>
    </row>
    <row r="132" spans="1:5" x14ac:dyDescent="0.3">
      <c r="A132" t="s">
        <v>20</v>
      </c>
      <c r="B132" s="1">
        <v>44721</v>
      </c>
      <c r="C132">
        <v>1</v>
      </c>
      <c r="D132">
        <v>20.77</v>
      </c>
      <c r="E132">
        <v>26</v>
      </c>
    </row>
    <row r="133" spans="1:5" x14ac:dyDescent="0.3">
      <c r="A133" t="s">
        <v>39</v>
      </c>
      <c r="B133" s="1">
        <v>44721</v>
      </c>
      <c r="C133">
        <v>3</v>
      </c>
      <c r="D133">
        <v>35.409999999999997</v>
      </c>
      <c r="E133">
        <v>61</v>
      </c>
    </row>
    <row r="134" spans="1:5" x14ac:dyDescent="0.3">
      <c r="A134" t="s">
        <v>35</v>
      </c>
      <c r="B134" s="1">
        <v>44721</v>
      </c>
      <c r="C134">
        <v>1</v>
      </c>
      <c r="D134">
        <v>32.71</v>
      </c>
      <c r="E134">
        <v>50</v>
      </c>
    </row>
    <row r="135" spans="1:5" x14ac:dyDescent="0.3">
      <c r="A135" t="s">
        <v>69</v>
      </c>
      <c r="B135" s="1">
        <v>44721</v>
      </c>
      <c r="C135">
        <v>1</v>
      </c>
      <c r="D135">
        <v>19.989999999999998</v>
      </c>
      <c r="E135">
        <v>24</v>
      </c>
    </row>
    <row r="136" spans="1:5" x14ac:dyDescent="0.3">
      <c r="A136" t="s">
        <v>70</v>
      </c>
      <c r="B136" s="1">
        <v>44721</v>
      </c>
      <c r="C136">
        <v>1</v>
      </c>
      <c r="D136">
        <v>166.31</v>
      </c>
      <c r="E136">
        <v>200</v>
      </c>
    </row>
    <row r="137" spans="1:5" x14ac:dyDescent="0.3">
      <c r="A137" t="s">
        <v>26</v>
      </c>
      <c r="B137" s="1">
        <v>44721</v>
      </c>
      <c r="C137">
        <v>0.36666700000000002</v>
      </c>
      <c r="D137">
        <v>959.3</v>
      </c>
      <c r="E137">
        <v>1315</v>
      </c>
    </row>
    <row r="138" spans="1:5" x14ac:dyDescent="0.3">
      <c r="A138" t="s">
        <v>26</v>
      </c>
      <c r="B138" s="1">
        <v>44721</v>
      </c>
      <c r="C138">
        <v>0.3</v>
      </c>
      <c r="D138">
        <v>979.4</v>
      </c>
      <c r="E138">
        <v>1342</v>
      </c>
    </row>
    <row r="139" spans="1:5" x14ac:dyDescent="0.3">
      <c r="A139" t="s">
        <v>8</v>
      </c>
      <c r="B139" s="1">
        <v>44721</v>
      </c>
      <c r="C139">
        <v>1</v>
      </c>
      <c r="D139">
        <v>47.72</v>
      </c>
      <c r="E139">
        <v>78</v>
      </c>
    </row>
    <row r="140" spans="1:5" x14ac:dyDescent="0.3">
      <c r="A140" t="s">
        <v>15</v>
      </c>
      <c r="B140" s="1">
        <v>44721</v>
      </c>
      <c r="C140">
        <v>1</v>
      </c>
      <c r="D140">
        <v>50.1</v>
      </c>
      <c r="E140">
        <v>79</v>
      </c>
    </row>
    <row r="141" spans="1:5" x14ac:dyDescent="0.3">
      <c r="A141" t="s">
        <v>19</v>
      </c>
      <c r="B141" s="1">
        <v>44721</v>
      </c>
      <c r="C141">
        <v>1</v>
      </c>
      <c r="D141">
        <v>81.790000000000006</v>
      </c>
      <c r="E141">
        <v>102</v>
      </c>
    </row>
    <row r="142" spans="1:5" x14ac:dyDescent="0.3">
      <c r="A142" t="s">
        <v>19</v>
      </c>
      <c r="B142" s="1">
        <v>44721</v>
      </c>
      <c r="C142">
        <v>1</v>
      </c>
      <c r="D142">
        <v>81.790000000000006</v>
      </c>
      <c r="E142">
        <v>102</v>
      </c>
    </row>
    <row r="143" spans="1:5" x14ac:dyDescent="0.3">
      <c r="A143" t="s">
        <v>63</v>
      </c>
      <c r="B143" s="1">
        <v>44721</v>
      </c>
      <c r="C143">
        <v>1</v>
      </c>
      <c r="D143">
        <v>73.510000000000005</v>
      </c>
      <c r="E143">
        <v>89</v>
      </c>
    </row>
    <row r="144" spans="1:5" x14ac:dyDescent="0.3">
      <c r="A144" t="s">
        <v>63</v>
      </c>
      <c r="B144" s="1">
        <v>44721</v>
      </c>
      <c r="C144">
        <v>1</v>
      </c>
      <c r="D144">
        <v>73.510000000000005</v>
      </c>
      <c r="E144">
        <v>89</v>
      </c>
    </row>
    <row r="145" spans="1:5" x14ac:dyDescent="0.3">
      <c r="A145" t="s">
        <v>52</v>
      </c>
      <c r="B145" s="1">
        <v>44721</v>
      </c>
      <c r="C145">
        <v>1</v>
      </c>
      <c r="D145">
        <v>202.48</v>
      </c>
      <c r="E145">
        <v>243</v>
      </c>
    </row>
    <row r="146" spans="1:5" x14ac:dyDescent="0.3">
      <c r="A146" t="s">
        <v>71</v>
      </c>
      <c r="B146" s="1">
        <v>44721</v>
      </c>
      <c r="C146">
        <v>1</v>
      </c>
      <c r="D146">
        <v>54.06</v>
      </c>
      <c r="E146">
        <v>77</v>
      </c>
    </row>
    <row r="147" spans="1:5" x14ac:dyDescent="0.3">
      <c r="A147" t="s">
        <v>72</v>
      </c>
      <c r="B147" s="1">
        <v>44721</v>
      </c>
      <c r="C147">
        <v>1</v>
      </c>
      <c r="D147">
        <v>556.51</v>
      </c>
      <c r="E147">
        <v>735</v>
      </c>
    </row>
    <row r="148" spans="1:5" x14ac:dyDescent="0.3">
      <c r="A148" t="s">
        <v>70</v>
      </c>
      <c r="B148" s="1">
        <v>44721</v>
      </c>
      <c r="C148">
        <v>1</v>
      </c>
      <c r="D148">
        <v>164.67</v>
      </c>
      <c r="E148">
        <v>210</v>
      </c>
    </row>
    <row r="149" spans="1:5" x14ac:dyDescent="0.3">
      <c r="A149" t="s">
        <v>58</v>
      </c>
      <c r="B149" s="1">
        <v>44721</v>
      </c>
      <c r="C149">
        <v>1</v>
      </c>
      <c r="D149">
        <v>84.36</v>
      </c>
      <c r="E149">
        <v>102</v>
      </c>
    </row>
    <row r="150" spans="1:5" x14ac:dyDescent="0.3">
      <c r="A150" t="s">
        <v>58</v>
      </c>
      <c r="B150" s="1">
        <v>44721</v>
      </c>
      <c r="C150">
        <v>1</v>
      </c>
      <c r="D150">
        <v>84.36</v>
      </c>
      <c r="E150">
        <v>102</v>
      </c>
    </row>
    <row r="151" spans="1:5" x14ac:dyDescent="0.3">
      <c r="A151" t="s">
        <v>63</v>
      </c>
      <c r="B151" s="1">
        <v>44721</v>
      </c>
      <c r="C151">
        <v>1</v>
      </c>
      <c r="D151">
        <v>73.3</v>
      </c>
      <c r="E151">
        <v>88</v>
      </c>
    </row>
    <row r="152" spans="1:5" x14ac:dyDescent="0.3">
      <c r="A152" t="s">
        <v>63</v>
      </c>
      <c r="B152" s="1">
        <v>44721</v>
      </c>
      <c r="C152">
        <v>1</v>
      </c>
      <c r="D152">
        <v>73.3</v>
      </c>
      <c r="E152">
        <v>88</v>
      </c>
    </row>
    <row r="153" spans="1:5" x14ac:dyDescent="0.3">
      <c r="A153" t="s">
        <v>39</v>
      </c>
      <c r="B153" s="1">
        <v>44721</v>
      </c>
      <c r="C153">
        <v>2</v>
      </c>
      <c r="D153">
        <v>8.58</v>
      </c>
      <c r="E153">
        <v>14</v>
      </c>
    </row>
    <row r="154" spans="1:5" x14ac:dyDescent="0.3">
      <c r="A154" t="s">
        <v>62</v>
      </c>
      <c r="B154" s="1">
        <v>44721</v>
      </c>
      <c r="C154">
        <v>1</v>
      </c>
      <c r="D154">
        <v>25.7</v>
      </c>
      <c r="E154">
        <v>31</v>
      </c>
    </row>
    <row r="155" spans="1:5" x14ac:dyDescent="0.3">
      <c r="A155" t="s">
        <v>62</v>
      </c>
      <c r="B155" s="1">
        <v>44721</v>
      </c>
      <c r="C155">
        <v>1</v>
      </c>
      <c r="D155">
        <v>25.7</v>
      </c>
      <c r="E155">
        <v>31</v>
      </c>
    </row>
    <row r="156" spans="1:5" x14ac:dyDescent="0.3">
      <c r="A156" t="s">
        <v>62</v>
      </c>
      <c r="B156" s="1">
        <v>44721</v>
      </c>
      <c r="C156">
        <v>1</v>
      </c>
      <c r="D156">
        <v>25.7</v>
      </c>
      <c r="E156">
        <v>31</v>
      </c>
    </row>
    <row r="157" spans="1:5" x14ac:dyDescent="0.3">
      <c r="A157" t="s">
        <v>62</v>
      </c>
      <c r="B157" s="1">
        <v>44721</v>
      </c>
      <c r="C157">
        <v>1</v>
      </c>
      <c r="D157">
        <v>25.7</v>
      </c>
      <c r="E157">
        <v>31</v>
      </c>
    </row>
    <row r="158" spans="1:5" x14ac:dyDescent="0.3">
      <c r="A158" t="s">
        <v>7</v>
      </c>
      <c r="B158" s="1">
        <v>44721</v>
      </c>
      <c r="C158">
        <v>1</v>
      </c>
      <c r="D158">
        <v>87.78</v>
      </c>
      <c r="E158">
        <v>105</v>
      </c>
    </row>
    <row r="159" spans="1:5" x14ac:dyDescent="0.3">
      <c r="A159" t="s">
        <v>7</v>
      </c>
      <c r="B159" s="1">
        <v>44721</v>
      </c>
      <c r="C159">
        <v>1</v>
      </c>
      <c r="D159">
        <v>87.78</v>
      </c>
      <c r="E159">
        <v>105</v>
      </c>
    </row>
    <row r="160" spans="1:5" x14ac:dyDescent="0.3">
      <c r="A160" t="s">
        <v>38</v>
      </c>
      <c r="B160" s="1">
        <v>44721</v>
      </c>
      <c r="C160">
        <v>1</v>
      </c>
      <c r="D160">
        <v>27.64</v>
      </c>
      <c r="E160">
        <v>43</v>
      </c>
    </row>
    <row r="161" spans="1:5" x14ac:dyDescent="0.3">
      <c r="A161" t="s">
        <v>19</v>
      </c>
      <c r="B161" s="1">
        <v>44721</v>
      </c>
      <c r="C161">
        <v>1</v>
      </c>
      <c r="D161">
        <v>81.73</v>
      </c>
      <c r="E161">
        <v>102</v>
      </c>
    </row>
    <row r="162" spans="1:5" x14ac:dyDescent="0.3">
      <c r="A162" t="s">
        <v>19</v>
      </c>
      <c r="B162" s="1">
        <v>44721</v>
      </c>
      <c r="C162">
        <v>1</v>
      </c>
      <c r="D162">
        <v>81.73</v>
      </c>
      <c r="E162">
        <v>102</v>
      </c>
    </row>
    <row r="163" spans="1:5" x14ac:dyDescent="0.3">
      <c r="A163" t="s">
        <v>19</v>
      </c>
      <c r="B163" s="1">
        <v>44721</v>
      </c>
      <c r="C163">
        <v>1</v>
      </c>
      <c r="D163">
        <v>81.790000000000006</v>
      </c>
      <c r="E163">
        <v>102</v>
      </c>
    </row>
    <row r="164" spans="1:5" x14ac:dyDescent="0.3">
      <c r="A164" t="s">
        <v>60</v>
      </c>
      <c r="B164" s="1">
        <v>44721</v>
      </c>
      <c r="C164">
        <v>1</v>
      </c>
      <c r="D164">
        <v>60.4</v>
      </c>
      <c r="E164">
        <v>74</v>
      </c>
    </row>
    <row r="165" spans="1:5" x14ac:dyDescent="0.3">
      <c r="A165" t="s">
        <v>19</v>
      </c>
      <c r="B165" s="1">
        <v>44721</v>
      </c>
      <c r="C165">
        <v>1</v>
      </c>
      <c r="D165">
        <v>81.58</v>
      </c>
      <c r="E165">
        <v>102</v>
      </c>
    </row>
    <row r="166" spans="1:5" x14ac:dyDescent="0.3">
      <c r="A166" t="s">
        <v>19</v>
      </c>
      <c r="B166" s="1">
        <v>44721</v>
      </c>
      <c r="C166">
        <v>1</v>
      </c>
      <c r="D166">
        <v>82.34</v>
      </c>
      <c r="E166">
        <v>103</v>
      </c>
    </row>
    <row r="167" spans="1:5" x14ac:dyDescent="0.3">
      <c r="A167" t="s">
        <v>19</v>
      </c>
      <c r="B167" s="1">
        <v>44721</v>
      </c>
      <c r="C167">
        <v>1</v>
      </c>
      <c r="D167">
        <v>82.34</v>
      </c>
      <c r="E167">
        <v>103</v>
      </c>
    </row>
    <row r="168" spans="1:5" x14ac:dyDescent="0.3">
      <c r="A168" t="s">
        <v>24</v>
      </c>
      <c r="B168" s="1">
        <v>44721</v>
      </c>
      <c r="C168">
        <v>1</v>
      </c>
      <c r="D168">
        <v>101.95</v>
      </c>
      <c r="E168">
        <v>120</v>
      </c>
    </row>
    <row r="169" spans="1:5" x14ac:dyDescent="0.3">
      <c r="A169" t="s">
        <v>73</v>
      </c>
      <c r="B169" s="1">
        <v>44721</v>
      </c>
      <c r="C169">
        <v>1</v>
      </c>
      <c r="D169">
        <v>7.82</v>
      </c>
      <c r="E169">
        <v>13</v>
      </c>
    </row>
    <row r="170" spans="1:5" x14ac:dyDescent="0.3">
      <c r="A170" t="s">
        <v>74</v>
      </c>
      <c r="B170" s="1">
        <v>44721</v>
      </c>
      <c r="C170">
        <v>1</v>
      </c>
      <c r="D170">
        <v>89.28</v>
      </c>
      <c r="E170">
        <v>111</v>
      </c>
    </row>
    <row r="171" spans="1:5" x14ac:dyDescent="0.3">
      <c r="A171" t="s">
        <v>75</v>
      </c>
      <c r="B171" s="1">
        <v>44721</v>
      </c>
      <c r="C171">
        <v>0.42</v>
      </c>
      <c r="D171">
        <v>468.33</v>
      </c>
      <c r="E171">
        <v>712</v>
      </c>
    </row>
    <row r="172" spans="1:5" x14ac:dyDescent="0.3">
      <c r="A172" t="s">
        <v>26</v>
      </c>
      <c r="B172" s="1">
        <v>44721</v>
      </c>
      <c r="C172">
        <v>0.2</v>
      </c>
      <c r="D172">
        <v>1026.1199999999999</v>
      </c>
      <c r="E172">
        <v>1283</v>
      </c>
    </row>
    <row r="173" spans="1:5" x14ac:dyDescent="0.3">
      <c r="A173" t="s">
        <v>8</v>
      </c>
      <c r="B173" s="1">
        <v>44721</v>
      </c>
      <c r="C173">
        <v>1</v>
      </c>
      <c r="D173">
        <v>42.71</v>
      </c>
      <c r="E173">
        <v>70</v>
      </c>
    </row>
    <row r="174" spans="1:5" x14ac:dyDescent="0.3">
      <c r="A174" t="s">
        <v>62</v>
      </c>
      <c r="B174" s="1">
        <v>44721</v>
      </c>
      <c r="C174">
        <v>1</v>
      </c>
      <c r="D174">
        <v>25.7</v>
      </c>
      <c r="E174">
        <v>31</v>
      </c>
    </row>
    <row r="175" spans="1:5" x14ac:dyDescent="0.3">
      <c r="A175" t="s">
        <v>6</v>
      </c>
      <c r="B175" s="1">
        <v>44721</v>
      </c>
      <c r="C175">
        <v>0.2</v>
      </c>
      <c r="D175">
        <v>460.66</v>
      </c>
      <c r="E175">
        <v>576</v>
      </c>
    </row>
    <row r="176" spans="1:5" x14ac:dyDescent="0.3">
      <c r="A176" t="s">
        <v>76</v>
      </c>
      <c r="B176" s="1">
        <v>44721</v>
      </c>
      <c r="C176">
        <v>1</v>
      </c>
      <c r="D176">
        <v>30.8</v>
      </c>
      <c r="E176">
        <v>38</v>
      </c>
    </row>
    <row r="177" spans="1:5" x14ac:dyDescent="0.3">
      <c r="A177" t="s">
        <v>77</v>
      </c>
      <c r="B177" s="1">
        <v>44721</v>
      </c>
      <c r="C177">
        <v>1</v>
      </c>
      <c r="D177">
        <v>60.61</v>
      </c>
      <c r="E177">
        <v>76</v>
      </c>
    </row>
    <row r="178" spans="1:5" x14ac:dyDescent="0.3">
      <c r="A178" t="s">
        <v>77</v>
      </c>
      <c r="B178" s="1">
        <v>44721</v>
      </c>
      <c r="C178">
        <v>1</v>
      </c>
      <c r="D178">
        <v>60.61</v>
      </c>
      <c r="E178">
        <v>76</v>
      </c>
    </row>
    <row r="179" spans="1:5" x14ac:dyDescent="0.3">
      <c r="A179" t="s">
        <v>25</v>
      </c>
      <c r="B179" s="1">
        <v>44721</v>
      </c>
      <c r="C179">
        <v>1</v>
      </c>
      <c r="D179">
        <v>146.85</v>
      </c>
      <c r="E179">
        <v>177</v>
      </c>
    </row>
    <row r="180" spans="1:5" x14ac:dyDescent="0.3">
      <c r="A180" t="s">
        <v>78</v>
      </c>
      <c r="B180" s="1">
        <v>44721</v>
      </c>
      <c r="C180">
        <v>1</v>
      </c>
      <c r="D180">
        <v>71.36</v>
      </c>
      <c r="E180">
        <v>90</v>
      </c>
    </row>
    <row r="181" spans="1:5" x14ac:dyDescent="0.3">
      <c r="A181" t="s">
        <v>79</v>
      </c>
      <c r="B181" s="1">
        <v>44721</v>
      </c>
      <c r="C181">
        <v>1</v>
      </c>
      <c r="D181">
        <v>148.5</v>
      </c>
      <c r="E181">
        <v>177</v>
      </c>
    </row>
    <row r="182" spans="1:5" x14ac:dyDescent="0.3">
      <c r="A182" t="s">
        <v>30</v>
      </c>
      <c r="B182" s="1">
        <v>44721</v>
      </c>
      <c r="C182">
        <v>1</v>
      </c>
      <c r="D182">
        <v>156.19999999999999</v>
      </c>
      <c r="E182">
        <v>186</v>
      </c>
    </row>
    <row r="183" spans="1:5" x14ac:dyDescent="0.3">
      <c r="A183" t="s">
        <v>80</v>
      </c>
      <c r="B183" s="1">
        <v>44721</v>
      </c>
      <c r="C183">
        <v>1</v>
      </c>
      <c r="D183">
        <v>22.17</v>
      </c>
      <c r="E183">
        <v>34</v>
      </c>
    </row>
    <row r="184" spans="1:5" x14ac:dyDescent="0.3">
      <c r="A184" t="s">
        <v>65</v>
      </c>
      <c r="B184" s="1">
        <v>44721</v>
      </c>
      <c r="C184">
        <v>1</v>
      </c>
      <c r="D184">
        <v>186.96</v>
      </c>
      <c r="E184">
        <v>238</v>
      </c>
    </row>
    <row r="185" spans="1:5" x14ac:dyDescent="0.3">
      <c r="A185" t="s">
        <v>81</v>
      </c>
      <c r="B185" s="1">
        <v>44721</v>
      </c>
      <c r="C185">
        <v>1</v>
      </c>
      <c r="D185">
        <v>40.15</v>
      </c>
      <c r="E185">
        <v>49</v>
      </c>
    </row>
    <row r="186" spans="1:5" x14ac:dyDescent="0.3">
      <c r="A186" t="s">
        <v>63</v>
      </c>
      <c r="B186" s="1">
        <v>44721</v>
      </c>
      <c r="C186">
        <v>1</v>
      </c>
      <c r="D186">
        <v>73.91</v>
      </c>
      <c r="E186">
        <v>93</v>
      </c>
    </row>
    <row r="187" spans="1:5" x14ac:dyDescent="0.3">
      <c r="A187" t="s">
        <v>82</v>
      </c>
      <c r="B187" s="1">
        <v>44721</v>
      </c>
      <c r="C187">
        <v>1</v>
      </c>
      <c r="D187">
        <v>34.270000000000003</v>
      </c>
      <c r="E187">
        <v>43</v>
      </c>
    </row>
    <row r="188" spans="1:5" x14ac:dyDescent="0.3">
      <c r="A188" t="s">
        <v>18</v>
      </c>
      <c r="B188" s="1">
        <v>44721</v>
      </c>
      <c r="C188">
        <v>1</v>
      </c>
      <c r="D188">
        <v>46</v>
      </c>
      <c r="E188">
        <v>70</v>
      </c>
    </row>
    <row r="189" spans="1:5" x14ac:dyDescent="0.3">
      <c r="A189" t="s">
        <v>19</v>
      </c>
      <c r="B189" s="1">
        <v>44721</v>
      </c>
      <c r="C189">
        <v>1</v>
      </c>
      <c r="D189">
        <v>82.34</v>
      </c>
      <c r="E189">
        <v>103</v>
      </c>
    </row>
    <row r="190" spans="1:5" x14ac:dyDescent="0.3">
      <c r="A190" t="s">
        <v>5</v>
      </c>
      <c r="B190" s="1">
        <v>44721</v>
      </c>
      <c r="C190">
        <v>1</v>
      </c>
      <c r="D190">
        <v>146.1</v>
      </c>
      <c r="E190">
        <v>173</v>
      </c>
    </row>
    <row r="191" spans="1:5" x14ac:dyDescent="0.3">
      <c r="A191" t="s">
        <v>24</v>
      </c>
      <c r="B191" s="1">
        <v>44721</v>
      </c>
      <c r="C191">
        <v>1</v>
      </c>
      <c r="D191">
        <v>101.95</v>
      </c>
      <c r="E191">
        <v>120</v>
      </c>
    </row>
    <row r="192" spans="1:5" x14ac:dyDescent="0.3">
      <c r="A192" t="s">
        <v>16</v>
      </c>
      <c r="B192" s="1">
        <v>44721</v>
      </c>
      <c r="C192">
        <v>1</v>
      </c>
      <c r="D192">
        <v>44.1</v>
      </c>
      <c r="E192">
        <v>68</v>
      </c>
    </row>
    <row r="193" spans="1:5" x14ac:dyDescent="0.3">
      <c r="A193" t="s">
        <v>7</v>
      </c>
      <c r="B193" s="1">
        <v>44721</v>
      </c>
      <c r="C193">
        <v>1</v>
      </c>
      <c r="D193">
        <v>87.78</v>
      </c>
      <c r="E193">
        <v>105</v>
      </c>
    </row>
    <row r="194" spans="1:5" x14ac:dyDescent="0.3">
      <c r="A194" t="s">
        <v>7</v>
      </c>
      <c r="B194" s="1">
        <v>44721</v>
      </c>
      <c r="C194">
        <v>1</v>
      </c>
      <c r="D194">
        <v>88.86</v>
      </c>
      <c r="E194">
        <v>104</v>
      </c>
    </row>
    <row r="195" spans="1:5" x14ac:dyDescent="0.3">
      <c r="A195" t="s">
        <v>7</v>
      </c>
      <c r="B195" s="1">
        <v>44721</v>
      </c>
      <c r="C195">
        <v>1</v>
      </c>
      <c r="D195">
        <v>88.86</v>
      </c>
      <c r="E195">
        <v>104</v>
      </c>
    </row>
    <row r="196" spans="1:5" x14ac:dyDescent="0.3">
      <c r="A196" t="s">
        <v>26</v>
      </c>
      <c r="B196" s="1">
        <v>44721</v>
      </c>
      <c r="C196">
        <v>0.1</v>
      </c>
      <c r="D196">
        <v>991.65</v>
      </c>
      <c r="E196">
        <v>1240</v>
      </c>
    </row>
    <row r="197" spans="1:5" x14ac:dyDescent="0.3">
      <c r="A197" t="s">
        <v>8</v>
      </c>
      <c r="B197" s="1">
        <v>44721</v>
      </c>
      <c r="C197">
        <v>1</v>
      </c>
      <c r="D197">
        <v>47.67</v>
      </c>
      <c r="E197">
        <v>77</v>
      </c>
    </row>
    <row r="198" spans="1:5" x14ac:dyDescent="0.3">
      <c r="A198" t="s">
        <v>8</v>
      </c>
      <c r="B198" s="1">
        <v>44721</v>
      </c>
      <c r="C198">
        <v>1</v>
      </c>
      <c r="D198">
        <v>47.67</v>
      </c>
      <c r="E198">
        <v>77</v>
      </c>
    </row>
    <row r="199" spans="1:5" x14ac:dyDescent="0.3">
      <c r="A199" t="s">
        <v>20</v>
      </c>
      <c r="B199" s="1">
        <v>44721</v>
      </c>
      <c r="C199">
        <v>1</v>
      </c>
      <c r="D199">
        <v>20.77</v>
      </c>
      <c r="E199">
        <v>26</v>
      </c>
    </row>
    <row r="200" spans="1:5" x14ac:dyDescent="0.3">
      <c r="A200" t="s">
        <v>20</v>
      </c>
      <c r="B200" s="1">
        <v>44721</v>
      </c>
      <c r="C200">
        <v>1</v>
      </c>
      <c r="D200">
        <v>20.77</v>
      </c>
      <c r="E200">
        <v>26</v>
      </c>
    </row>
    <row r="201" spans="1:5" x14ac:dyDescent="0.3">
      <c r="A201" t="s">
        <v>83</v>
      </c>
      <c r="B201" s="1">
        <v>44721</v>
      </c>
      <c r="C201">
        <v>1</v>
      </c>
      <c r="D201">
        <v>207.68</v>
      </c>
      <c r="E201">
        <v>246</v>
      </c>
    </row>
    <row r="202" spans="1:5" x14ac:dyDescent="0.3">
      <c r="A202" t="s">
        <v>84</v>
      </c>
      <c r="B202" s="1">
        <v>44721</v>
      </c>
      <c r="C202">
        <v>1</v>
      </c>
      <c r="D202">
        <v>153.22999999999999</v>
      </c>
      <c r="E202">
        <v>192</v>
      </c>
    </row>
    <row r="203" spans="1:5" x14ac:dyDescent="0.3">
      <c r="A203" t="s">
        <v>84</v>
      </c>
      <c r="B203" s="1">
        <v>44721</v>
      </c>
      <c r="C203">
        <v>1</v>
      </c>
      <c r="D203">
        <v>153.75</v>
      </c>
      <c r="E203">
        <v>193</v>
      </c>
    </row>
    <row r="204" spans="1:5" x14ac:dyDescent="0.3">
      <c r="A204" t="s">
        <v>85</v>
      </c>
      <c r="B204" s="1">
        <v>44721</v>
      </c>
      <c r="C204">
        <v>1</v>
      </c>
      <c r="D204">
        <v>15.36</v>
      </c>
      <c r="E204">
        <v>24</v>
      </c>
    </row>
    <row r="205" spans="1:5" x14ac:dyDescent="0.3">
      <c r="A205" t="s">
        <v>85</v>
      </c>
      <c r="B205" s="1">
        <v>44721</v>
      </c>
      <c r="C205">
        <v>1</v>
      </c>
      <c r="D205">
        <v>13.97</v>
      </c>
      <c r="E205">
        <v>22</v>
      </c>
    </row>
    <row r="206" spans="1:5" x14ac:dyDescent="0.3">
      <c r="A206" t="s">
        <v>85</v>
      </c>
      <c r="B206" s="1">
        <v>44721</v>
      </c>
      <c r="C206">
        <v>1</v>
      </c>
      <c r="D206">
        <v>13.97</v>
      </c>
      <c r="E206">
        <v>22</v>
      </c>
    </row>
    <row r="207" spans="1:5" x14ac:dyDescent="0.3">
      <c r="A207" t="s">
        <v>85</v>
      </c>
      <c r="B207" s="1">
        <v>44721</v>
      </c>
      <c r="C207">
        <v>1</v>
      </c>
      <c r="D207">
        <v>13.97</v>
      </c>
      <c r="E207">
        <v>22</v>
      </c>
    </row>
    <row r="208" spans="1:5" x14ac:dyDescent="0.3">
      <c r="A208" t="s">
        <v>86</v>
      </c>
      <c r="B208" s="1">
        <v>44721</v>
      </c>
      <c r="C208">
        <v>4</v>
      </c>
      <c r="D208">
        <v>47.4</v>
      </c>
      <c r="E208">
        <v>76</v>
      </c>
    </row>
    <row r="209" spans="1:5" x14ac:dyDescent="0.3">
      <c r="A209" t="s">
        <v>87</v>
      </c>
      <c r="B209" s="1">
        <v>44721</v>
      </c>
      <c r="C209">
        <v>1</v>
      </c>
      <c r="D209">
        <v>323.66000000000003</v>
      </c>
      <c r="E209">
        <v>370</v>
      </c>
    </row>
    <row r="210" spans="1:5" x14ac:dyDescent="0.3">
      <c r="A210" t="s">
        <v>88</v>
      </c>
      <c r="B210" s="1">
        <v>44721</v>
      </c>
      <c r="C210">
        <v>1</v>
      </c>
      <c r="D210">
        <v>123.98</v>
      </c>
      <c r="E210">
        <v>195</v>
      </c>
    </row>
    <row r="211" spans="1:5" x14ac:dyDescent="0.3">
      <c r="A211" t="s">
        <v>89</v>
      </c>
      <c r="B211" s="1">
        <v>44721</v>
      </c>
      <c r="C211">
        <v>1</v>
      </c>
      <c r="D211">
        <v>81.81</v>
      </c>
      <c r="E211">
        <v>117</v>
      </c>
    </row>
    <row r="212" spans="1:5" x14ac:dyDescent="0.3">
      <c r="A212" t="s">
        <v>90</v>
      </c>
      <c r="B212" s="1">
        <v>44721</v>
      </c>
      <c r="C212">
        <v>1</v>
      </c>
      <c r="D212">
        <v>405.96</v>
      </c>
      <c r="E212">
        <v>500</v>
      </c>
    </row>
    <row r="213" spans="1:5" x14ac:dyDescent="0.3">
      <c r="A213" t="s">
        <v>57</v>
      </c>
      <c r="B213" s="1">
        <v>44721</v>
      </c>
      <c r="C213">
        <v>1</v>
      </c>
      <c r="D213">
        <v>236.21</v>
      </c>
      <c r="E213">
        <v>265</v>
      </c>
    </row>
    <row r="214" spans="1:5" x14ac:dyDescent="0.3">
      <c r="A214" t="s">
        <v>91</v>
      </c>
      <c r="B214" s="1">
        <v>44721</v>
      </c>
      <c r="C214">
        <v>1</v>
      </c>
      <c r="D214">
        <v>34.65</v>
      </c>
      <c r="E214">
        <v>57</v>
      </c>
    </row>
    <row r="215" spans="1:5" x14ac:dyDescent="0.3">
      <c r="A215" t="s">
        <v>20</v>
      </c>
      <c r="B215" s="1">
        <v>44721</v>
      </c>
      <c r="C215">
        <v>1</v>
      </c>
      <c r="D215">
        <v>19.71</v>
      </c>
      <c r="E215">
        <v>26</v>
      </c>
    </row>
    <row r="216" spans="1:5" x14ac:dyDescent="0.3">
      <c r="A216" t="s">
        <v>21</v>
      </c>
      <c r="B216" s="1">
        <v>44721</v>
      </c>
      <c r="C216">
        <v>1</v>
      </c>
      <c r="D216">
        <v>184.75</v>
      </c>
      <c r="E216">
        <v>250</v>
      </c>
    </row>
    <row r="217" spans="1:5" x14ac:dyDescent="0.3">
      <c r="A217" t="s">
        <v>24</v>
      </c>
      <c r="B217" s="1">
        <v>44721</v>
      </c>
      <c r="C217">
        <v>1</v>
      </c>
      <c r="D217">
        <v>99.96</v>
      </c>
      <c r="E217">
        <v>121</v>
      </c>
    </row>
    <row r="218" spans="1:5" x14ac:dyDescent="0.3">
      <c r="A218" t="s">
        <v>92</v>
      </c>
      <c r="B218" s="1">
        <v>44721</v>
      </c>
      <c r="C218">
        <v>10</v>
      </c>
      <c r="D218">
        <v>15</v>
      </c>
      <c r="E218">
        <v>20</v>
      </c>
    </row>
    <row r="219" spans="1:5" x14ac:dyDescent="0.3">
      <c r="A219" t="s">
        <v>75</v>
      </c>
      <c r="B219" s="1">
        <v>44721</v>
      </c>
      <c r="C219">
        <v>0.2</v>
      </c>
      <c r="D219">
        <v>438.6</v>
      </c>
      <c r="E219">
        <v>667</v>
      </c>
    </row>
    <row r="220" spans="1:5" x14ac:dyDescent="0.3">
      <c r="A220" t="s">
        <v>74</v>
      </c>
      <c r="B220" s="1">
        <v>44721</v>
      </c>
      <c r="C220">
        <v>1</v>
      </c>
      <c r="D220">
        <v>87.84</v>
      </c>
      <c r="E220">
        <v>110</v>
      </c>
    </row>
    <row r="221" spans="1:5" x14ac:dyDescent="0.3">
      <c r="A221" t="s">
        <v>74</v>
      </c>
      <c r="B221" s="1">
        <v>44721</v>
      </c>
      <c r="C221">
        <v>1</v>
      </c>
      <c r="D221">
        <v>87.84</v>
      </c>
      <c r="E221">
        <v>110</v>
      </c>
    </row>
    <row r="222" spans="1:5" x14ac:dyDescent="0.3">
      <c r="A222" t="s">
        <v>6</v>
      </c>
      <c r="B222" s="1">
        <v>44721</v>
      </c>
      <c r="C222">
        <v>0.4</v>
      </c>
      <c r="D222">
        <v>454.7</v>
      </c>
      <c r="E222">
        <v>569</v>
      </c>
    </row>
    <row r="223" spans="1:5" x14ac:dyDescent="0.3">
      <c r="A223" t="s">
        <v>93</v>
      </c>
      <c r="B223" s="1">
        <v>44721</v>
      </c>
      <c r="C223">
        <v>1</v>
      </c>
      <c r="D223">
        <v>65.400000000000006</v>
      </c>
      <c r="E223">
        <v>93</v>
      </c>
    </row>
    <row r="224" spans="1:5" x14ac:dyDescent="0.3">
      <c r="A224" t="s">
        <v>94</v>
      </c>
      <c r="B224" s="1">
        <v>44721</v>
      </c>
      <c r="C224">
        <v>1</v>
      </c>
      <c r="D224">
        <v>26.58</v>
      </c>
      <c r="E224">
        <v>38</v>
      </c>
    </row>
    <row r="225" spans="1:5" x14ac:dyDescent="0.3">
      <c r="A225" t="s">
        <v>95</v>
      </c>
      <c r="B225" s="1">
        <v>44721</v>
      </c>
      <c r="C225">
        <v>0.3</v>
      </c>
      <c r="D225">
        <v>103.49</v>
      </c>
      <c r="E225">
        <v>161</v>
      </c>
    </row>
    <row r="226" spans="1:5" x14ac:dyDescent="0.3">
      <c r="A226" t="s">
        <v>96</v>
      </c>
      <c r="B226" s="1">
        <v>44721</v>
      </c>
      <c r="C226">
        <v>1</v>
      </c>
      <c r="D226">
        <v>71.650000000000006</v>
      </c>
      <c r="E226">
        <v>102</v>
      </c>
    </row>
    <row r="227" spans="1:5" x14ac:dyDescent="0.3">
      <c r="A227" t="s">
        <v>9</v>
      </c>
      <c r="B227" s="1">
        <v>44721</v>
      </c>
      <c r="C227">
        <v>1</v>
      </c>
      <c r="D227">
        <v>81.17</v>
      </c>
      <c r="E227">
        <v>99</v>
      </c>
    </row>
    <row r="228" spans="1:5" x14ac:dyDescent="0.3">
      <c r="A228" t="s">
        <v>39</v>
      </c>
      <c r="B228" s="1">
        <v>44721</v>
      </c>
      <c r="C228">
        <v>10</v>
      </c>
      <c r="D228">
        <v>8.58</v>
      </c>
      <c r="E228">
        <v>14</v>
      </c>
    </row>
    <row r="229" spans="1:5" x14ac:dyDescent="0.3">
      <c r="A229" t="s">
        <v>23</v>
      </c>
      <c r="B229" s="1">
        <v>44721</v>
      </c>
      <c r="C229">
        <v>1</v>
      </c>
      <c r="D229">
        <v>110.21</v>
      </c>
      <c r="E229">
        <v>124</v>
      </c>
    </row>
    <row r="230" spans="1:5" x14ac:dyDescent="0.3">
      <c r="A230" t="s">
        <v>23</v>
      </c>
      <c r="B230" s="1">
        <v>44721</v>
      </c>
      <c r="C230">
        <v>1</v>
      </c>
      <c r="D230">
        <v>110.21</v>
      </c>
      <c r="E230">
        <v>124</v>
      </c>
    </row>
    <row r="231" spans="1:5" x14ac:dyDescent="0.3">
      <c r="A231" t="s">
        <v>97</v>
      </c>
      <c r="B231" s="1">
        <v>44721</v>
      </c>
      <c r="C231">
        <v>1</v>
      </c>
      <c r="D231">
        <v>431.34</v>
      </c>
      <c r="E231">
        <v>570</v>
      </c>
    </row>
    <row r="232" spans="1:5" x14ac:dyDescent="0.3">
      <c r="A232" t="s">
        <v>55</v>
      </c>
      <c r="B232" s="1">
        <v>44721</v>
      </c>
      <c r="C232">
        <v>1</v>
      </c>
      <c r="D232">
        <v>78.39</v>
      </c>
      <c r="E232">
        <v>96</v>
      </c>
    </row>
    <row r="233" spans="1:5" x14ac:dyDescent="0.3">
      <c r="A233" t="s">
        <v>84</v>
      </c>
      <c r="B233" s="1">
        <v>44721</v>
      </c>
      <c r="C233">
        <v>1</v>
      </c>
      <c r="D233">
        <v>175.74</v>
      </c>
      <c r="E233">
        <v>220</v>
      </c>
    </row>
    <row r="234" spans="1:5" x14ac:dyDescent="0.3">
      <c r="A234" t="s">
        <v>20</v>
      </c>
      <c r="B234" s="1">
        <v>44721</v>
      </c>
      <c r="C234">
        <v>1</v>
      </c>
      <c r="D234">
        <v>21.21</v>
      </c>
      <c r="E234">
        <v>25</v>
      </c>
    </row>
    <row r="235" spans="1:5" x14ac:dyDescent="0.3">
      <c r="A235" t="s">
        <v>57</v>
      </c>
      <c r="B235" s="1">
        <v>44721</v>
      </c>
      <c r="C235">
        <v>1</v>
      </c>
      <c r="D235">
        <v>233.74</v>
      </c>
      <c r="E235">
        <v>274</v>
      </c>
    </row>
    <row r="236" spans="1:5" x14ac:dyDescent="0.3">
      <c r="A236" t="s">
        <v>10</v>
      </c>
      <c r="B236" s="1">
        <v>44721</v>
      </c>
      <c r="C236">
        <v>1</v>
      </c>
      <c r="D236">
        <v>11.1</v>
      </c>
      <c r="E236">
        <v>13</v>
      </c>
    </row>
    <row r="237" spans="1:5" x14ac:dyDescent="0.3">
      <c r="A237" t="s">
        <v>10</v>
      </c>
      <c r="B237" s="1">
        <v>44721</v>
      </c>
      <c r="C237">
        <v>1</v>
      </c>
      <c r="D237">
        <v>11.1</v>
      </c>
      <c r="E237">
        <v>13</v>
      </c>
    </row>
    <row r="238" spans="1:5" x14ac:dyDescent="0.3">
      <c r="A238" t="s">
        <v>23</v>
      </c>
      <c r="B238" s="1">
        <v>44721</v>
      </c>
      <c r="C238">
        <v>1</v>
      </c>
      <c r="D238">
        <v>110.51</v>
      </c>
      <c r="E238">
        <v>124</v>
      </c>
    </row>
    <row r="239" spans="1:5" x14ac:dyDescent="0.3">
      <c r="A239" t="s">
        <v>98</v>
      </c>
      <c r="B239" s="1">
        <v>44721</v>
      </c>
      <c r="C239">
        <v>1</v>
      </c>
      <c r="D239">
        <v>111.32</v>
      </c>
      <c r="E239">
        <v>133</v>
      </c>
    </row>
    <row r="240" spans="1:5" x14ac:dyDescent="0.3">
      <c r="A240" t="s">
        <v>99</v>
      </c>
      <c r="B240" s="1">
        <v>44721</v>
      </c>
      <c r="C240">
        <v>1</v>
      </c>
      <c r="D240">
        <v>64.25</v>
      </c>
      <c r="E240">
        <v>77</v>
      </c>
    </row>
    <row r="241" spans="1:5" x14ac:dyDescent="0.3">
      <c r="A241" t="s">
        <v>57</v>
      </c>
      <c r="B241" s="1">
        <v>44721</v>
      </c>
      <c r="C241">
        <v>1</v>
      </c>
      <c r="D241">
        <v>233.74</v>
      </c>
      <c r="E241">
        <v>274</v>
      </c>
    </row>
    <row r="242" spans="1:5" x14ac:dyDescent="0.3">
      <c r="A242" t="s">
        <v>12</v>
      </c>
      <c r="B242" s="1">
        <v>44721</v>
      </c>
      <c r="C242">
        <v>1</v>
      </c>
      <c r="D242">
        <v>55.68</v>
      </c>
      <c r="E242">
        <v>69</v>
      </c>
    </row>
    <row r="243" spans="1:5" x14ac:dyDescent="0.3">
      <c r="A243" t="s">
        <v>100</v>
      </c>
      <c r="B243" s="1">
        <v>44721</v>
      </c>
      <c r="C243">
        <v>1</v>
      </c>
      <c r="D243">
        <v>37.479999999999997</v>
      </c>
      <c r="E243">
        <v>57</v>
      </c>
    </row>
    <row r="244" spans="1:5" x14ac:dyDescent="0.3">
      <c r="A244" t="s">
        <v>85</v>
      </c>
      <c r="B244" s="1">
        <v>44721</v>
      </c>
      <c r="C244">
        <v>1</v>
      </c>
      <c r="D244">
        <v>15.14</v>
      </c>
      <c r="E244">
        <v>24</v>
      </c>
    </row>
    <row r="245" spans="1:5" x14ac:dyDescent="0.3">
      <c r="A245" t="s">
        <v>57</v>
      </c>
      <c r="B245" s="1">
        <v>44721</v>
      </c>
      <c r="C245">
        <v>1</v>
      </c>
      <c r="D245">
        <v>239.58</v>
      </c>
      <c r="E245">
        <v>281</v>
      </c>
    </row>
    <row r="246" spans="1:5" x14ac:dyDescent="0.3">
      <c r="A246" t="s">
        <v>101</v>
      </c>
      <c r="B246" s="1">
        <v>44721</v>
      </c>
      <c r="C246">
        <v>1</v>
      </c>
      <c r="D246">
        <v>31</v>
      </c>
      <c r="E246">
        <v>48</v>
      </c>
    </row>
    <row r="247" spans="1:5" x14ac:dyDescent="0.3">
      <c r="A247" t="s">
        <v>101</v>
      </c>
      <c r="B247" s="1">
        <v>44721</v>
      </c>
      <c r="C247">
        <v>1</v>
      </c>
      <c r="D247">
        <v>31</v>
      </c>
      <c r="E247">
        <v>48</v>
      </c>
    </row>
    <row r="248" spans="1:5" x14ac:dyDescent="0.3">
      <c r="A248" t="s">
        <v>8</v>
      </c>
      <c r="B248" s="1">
        <v>44721</v>
      </c>
      <c r="C248">
        <v>1</v>
      </c>
      <c r="D248">
        <v>47.83</v>
      </c>
      <c r="E248">
        <v>78</v>
      </c>
    </row>
    <row r="249" spans="1:5" x14ac:dyDescent="0.3">
      <c r="A249" t="s">
        <v>102</v>
      </c>
      <c r="B249" s="1">
        <v>44721</v>
      </c>
      <c r="C249">
        <v>1</v>
      </c>
      <c r="D249">
        <v>26.29</v>
      </c>
      <c r="E249">
        <v>33</v>
      </c>
    </row>
    <row r="250" spans="1:5" x14ac:dyDescent="0.3">
      <c r="A250" t="s">
        <v>102</v>
      </c>
      <c r="B250" s="1">
        <v>44721</v>
      </c>
      <c r="C250">
        <v>1</v>
      </c>
      <c r="D250">
        <v>26.29</v>
      </c>
      <c r="E250">
        <v>33</v>
      </c>
    </row>
    <row r="251" spans="1:5" x14ac:dyDescent="0.3">
      <c r="A251" t="s">
        <v>95</v>
      </c>
      <c r="B251" s="1">
        <v>44721</v>
      </c>
      <c r="C251">
        <v>0.3</v>
      </c>
      <c r="D251">
        <v>114.36</v>
      </c>
      <c r="E251">
        <v>175</v>
      </c>
    </row>
    <row r="252" spans="1:5" x14ac:dyDescent="0.3">
      <c r="A252" t="s">
        <v>55</v>
      </c>
      <c r="B252" s="1">
        <v>44721</v>
      </c>
      <c r="C252">
        <v>1</v>
      </c>
      <c r="D252">
        <v>78.510000000000005</v>
      </c>
      <c r="E252">
        <v>96</v>
      </c>
    </row>
    <row r="253" spans="1:5" x14ac:dyDescent="0.3">
      <c r="A253" t="s">
        <v>55</v>
      </c>
      <c r="B253" s="1">
        <v>44721</v>
      </c>
      <c r="C253">
        <v>1</v>
      </c>
      <c r="D253">
        <v>78.510000000000005</v>
      </c>
      <c r="E253">
        <v>96</v>
      </c>
    </row>
    <row r="254" spans="1:5" x14ac:dyDescent="0.3">
      <c r="A254" t="s">
        <v>66</v>
      </c>
      <c r="B254" s="1">
        <v>44721</v>
      </c>
      <c r="C254">
        <v>1</v>
      </c>
      <c r="D254">
        <v>31.68</v>
      </c>
      <c r="E254">
        <v>39</v>
      </c>
    </row>
    <row r="255" spans="1:5" x14ac:dyDescent="0.3">
      <c r="A255" t="s">
        <v>66</v>
      </c>
      <c r="B255" s="1">
        <v>44721</v>
      </c>
      <c r="C255">
        <v>1</v>
      </c>
      <c r="D255">
        <v>31.68</v>
      </c>
      <c r="E255">
        <v>39</v>
      </c>
    </row>
    <row r="256" spans="1:5" x14ac:dyDescent="0.3">
      <c r="A256" t="s">
        <v>66</v>
      </c>
      <c r="B256" s="1">
        <v>44721</v>
      </c>
      <c r="C256">
        <v>1</v>
      </c>
      <c r="D256">
        <v>31.68</v>
      </c>
      <c r="E256">
        <v>39</v>
      </c>
    </row>
    <row r="257" spans="1:5" x14ac:dyDescent="0.3">
      <c r="A257" t="s">
        <v>66</v>
      </c>
      <c r="B257" s="1">
        <v>44721</v>
      </c>
      <c r="C257">
        <v>1</v>
      </c>
      <c r="D257">
        <v>31.68</v>
      </c>
      <c r="E257">
        <v>39</v>
      </c>
    </row>
    <row r="258" spans="1:5" x14ac:dyDescent="0.3">
      <c r="A258" t="s">
        <v>66</v>
      </c>
      <c r="B258" s="1">
        <v>44721</v>
      </c>
      <c r="C258">
        <v>1</v>
      </c>
      <c r="D258">
        <v>31.68</v>
      </c>
      <c r="E258">
        <v>39</v>
      </c>
    </row>
    <row r="259" spans="1:5" x14ac:dyDescent="0.3">
      <c r="A259" t="s">
        <v>50</v>
      </c>
      <c r="B259" s="1">
        <v>44721</v>
      </c>
      <c r="C259">
        <v>1</v>
      </c>
      <c r="D259">
        <v>43.55</v>
      </c>
      <c r="E259">
        <v>54</v>
      </c>
    </row>
    <row r="260" spans="1:5" x14ac:dyDescent="0.3">
      <c r="A260" t="s">
        <v>103</v>
      </c>
      <c r="B260" s="1">
        <v>44721</v>
      </c>
      <c r="C260">
        <v>1</v>
      </c>
      <c r="D260">
        <v>46.32</v>
      </c>
      <c r="E260">
        <v>72</v>
      </c>
    </row>
    <row r="261" spans="1:5" x14ac:dyDescent="0.3">
      <c r="A261" t="s">
        <v>58</v>
      </c>
      <c r="B261" s="1">
        <v>44721</v>
      </c>
      <c r="C261">
        <v>1</v>
      </c>
      <c r="D261">
        <v>65</v>
      </c>
      <c r="E261">
        <v>78</v>
      </c>
    </row>
    <row r="262" spans="1:5" x14ac:dyDescent="0.3">
      <c r="A262" t="s">
        <v>58</v>
      </c>
      <c r="B262" s="1">
        <v>44721</v>
      </c>
      <c r="C262">
        <v>1</v>
      </c>
      <c r="D262">
        <v>65</v>
      </c>
      <c r="E262">
        <v>78</v>
      </c>
    </row>
    <row r="263" spans="1:5" x14ac:dyDescent="0.3">
      <c r="A263" t="s">
        <v>58</v>
      </c>
      <c r="B263" s="1">
        <v>44721</v>
      </c>
      <c r="C263">
        <v>1</v>
      </c>
      <c r="D263">
        <v>65</v>
      </c>
      <c r="E263">
        <v>78</v>
      </c>
    </row>
    <row r="264" spans="1:5" x14ac:dyDescent="0.3">
      <c r="A264" t="s">
        <v>104</v>
      </c>
      <c r="B264" s="1">
        <v>44721</v>
      </c>
      <c r="C264">
        <v>1</v>
      </c>
      <c r="D264">
        <v>46.73</v>
      </c>
      <c r="E264">
        <v>58</v>
      </c>
    </row>
    <row r="265" spans="1:5" x14ac:dyDescent="0.3">
      <c r="A265" t="s">
        <v>104</v>
      </c>
      <c r="B265" s="1">
        <v>44721</v>
      </c>
      <c r="C265">
        <v>1</v>
      </c>
      <c r="D265">
        <v>46.73</v>
      </c>
      <c r="E265">
        <v>58</v>
      </c>
    </row>
    <row r="266" spans="1:5" x14ac:dyDescent="0.3">
      <c r="A266" t="s">
        <v>104</v>
      </c>
      <c r="B266" s="1">
        <v>44721</v>
      </c>
      <c r="C266">
        <v>1</v>
      </c>
      <c r="D266">
        <v>45.44</v>
      </c>
      <c r="E266">
        <v>57</v>
      </c>
    </row>
    <row r="267" spans="1:5" x14ac:dyDescent="0.3">
      <c r="A267" t="s">
        <v>20</v>
      </c>
      <c r="B267" s="1">
        <v>44721</v>
      </c>
      <c r="C267">
        <v>1</v>
      </c>
      <c r="D267">
        <v>21.21</v>
      </c>
      <c r="E267">
        <v>27</v>
      </c>
    </row>
    <row r="268" spans="1:5" x14ac:dyDescent="0.3">
      <c r="A268" t="s">
        <v>20</v>
      </c>
      <c r="B268" s="1">
        <v>44721</v>
      </c>
      <c r="C268">
        <v>1</v>
      </c>
      <c r="D268">
        <v>21.21</v>
      </c>
      <c r="E268">
        <v>27</v>
      </c>
    </row>
    <row r="269" spans="1:5" x14ac:dyDescent="0.3">
      <c r="A269" t="s">
        <v>105</v>
      </c>
      <c r="B269" s="1">
        <v>44721</v>
      </c>
      <c r="C269">
        <v>1</v>
      </c>
      <c r="D269">
        <v>27.72</v>
      </c>
      <c r="E269">
        <v>45</v>
      </c>
    </row>
    <row r="270" spans="1:5" x14ac:dyDescent="0.3">
      <c r="A270" t="s">
        <v>66</v>
      </c>
      <c r="B270" s="1">
        <v>44721</v>
      </c>
      <c r="C270">
        <v>1</v>
      </c>
      <c r="D270">
        <v>30.56</v>
      </c>
      <c r="E270">
        <v>36</v>
      </c>
    </row>
    <row r="271" spans="1:5" x14ac:dyDescent="0.3">
      <c r="A271" t="s">
        <v>26</v>
      </c>
      <c r="B271" s="1">
        <v>44721</v>
      </c>
      <c r="C271">
        <v>0.1</v>
      </c>
      <c r="D271">
        <v>979.4</v>
      </c>
      <c r="E271">
        <v>1323</v>
      </c>
    </row>
    <row r="272" spans="1:5" x14ac:dyDescent="0.3">
      <c r="A272" t="s">
        <v>106</v>
      </c>
      <c r="B272" s="1">
        <v>44721</v>
      </c>
      <c r="C272">
        <v>1</v>
      </c>
      <c r="D272">
        <v>41.84</v>
      </c>
      <c r="E272">
        <v>51</v>
      </c>
    </row>
    <row r="273" spans="1:5" x14ac:dyDescent="0.3">
      <c r="A273" t="s">
        <v>79</v>
      </c>
      <c r="B273" s="1">
        <v>44721</v>
      </c>
      <c r="C273">
        <v>1</v>
      </c>
      <c r="D273">
        <v>148.5</v>
      </c>
      <c r="E273">
        <v>177</v>
      </c>
    </row>
    <row r="274" spans="1:5" x14ac:dyDescent="0.3">
      <c r="A274" t="s">
        <v>107</v>
      </c>
      <c r="B274" s="1">
        <v>44721</v>
      </c>
      <c r="C274">
        <v>1</v>
      </c>
      <c r="D274">
        <v>68.760000000000005</v>
      </c>
      <c r="E274">
        <v>87</v>
      </c>
    </row>
    <row r="275" spans="1:5" x14ac:dyDescent="0.3">
      <c r="A275" t="s">
        <v>58</v>
      </c>
      <c r="B275" s="1">
        <v>44721</v>
      </c>
      <c r="C275">
        <v>1</v>
      </c>
      <c r="D275">
        <v>65</v>
      </c>
      <c r="E275">
        <v>78</v>
      </c>
    </row>
    <row r="276" spans="1:5" x14ac:dyDescent="0.3">
      <c r="A276" t="s">
        <v>74</v>
      </c>
      <c r="B276" s="1">
        <v>44721</v>
      </c>
      <c r="C276">
        <v>1</v>
      </c>
      <c r="D276">
        <v>87.36</v>
      </c>
      <c r="E276">
        <v>109</v>
      </c>
    </row>
    <row r="277" spans="1:5" x14ac:dyDescent="0.3">
      <c r="A277" t="s">
        <v>28</v>
      </c>
      <c r="B277" s="1">
        <v>44721</v>
      </c>
      <c r="C277">
        <v>1</v>
      </c>
      <c r="D277">
        <v>148.91</v>
      </c>
      <c r="E277">
        <v>207</v>
      </c>
    </row>
    <row r="278" spans="1:5" x14ac:dyDescent="0.3">
      <c r="A278" t="s">
        <v>8</v>
      </c>
      <c r="B278" s="1">
        <v>44721</v>
      </c>
      <c r="C278">
        <v>1</v>
      </c>
      <c r="D278">
        <v>47.72</v>
      </c>
      <c r="E278">
        <v>78</v>
      </c>
    </row>
    <row r="279" spans="1:5" x14ac:dyDescent="0.3">
      <c r="A279" t="s">
        <v>62</v>
      </c>
      <c r="B279" s="1">
        <v>44721</v>
      </c>
      <c r="C279">
        <v>1</v>
      </c>
      <c r="D279">
        <v>25.7</v>
      </c>
      <c r="E279">
        <v>31</v>
      </c>
    </row>
    <row r="280" spans="1:5" x14ac:dyDescent="0.3">
      <c r="A280" t="s">
        <v>102</v>
      </c>
      <c r="B280" s="1">
        <v>44721</v>
      </c>
      <c r="C280">
        <v>1</v>
      </c>
      <c r="D280">
        <v>25.44</v>
      </c>
      <c r="E280">
        <v>32</v>
      </c>
    </row>
    <row r="281" spans="1:5" x14ac:dyDescent="0.3">
      <c r="A281" t="s">
        <v>102</v>
      </c>
      <c r="B281" s="1">
        <v>44721</v>
      </c>
      <c r="C281">
        <v>1</v>
      </c>
      <c r="D281">
        <v>25.44</v>
      </c>
      <c r="E281">
        <v>32</v>
      </c>
    </row>
    <row r="282" spans="1:5" x14ac:dyDescent="0.3">
      <c r="A282" t="s">
        <v>6</v>
      </c>
      <c r="B282" s="1">
        <v>44721</v>
      </c>
      <c r="C282">
        <v>1</v>
      </c>
      <c r="D282">
        <v>438.89</v>
      </c>
      <c r="E282">
        <v>549</v>
      </c>
    </row>
    <row r="283" spans="1:5" x14ac:dyDescent="0.3">
      <c r="A283" t="s">
        <v>36</v>
      </c>
      <c r="B283" s="1">
        <v>44721</v>
      </c>
      <c r="C283">
        <v>1</v>
      </c>
      <c r="D283">
        <v>21.42</v>
      </c>
      <c r="E283">
        <v>27</v>
      </c>
    </row>
    <row r="284" spans="1:5" x14ac:dyDescent="0.3">
      <c r="A284" t="s">
        <v>36</v>
      </c>
      <c r="B284" s="1">
        <v>44721</v>
      </c>
      <c r="C284">
        <v>1</v>
      </c>
      <c r="D284">
        <v>21.42</v>
      </c>
      <c r="E284">
        <v>27</v>
      </c>
    </row>
    <row r="285" spans="1:5" x14ac:dyDescent="0.3">
      <c r="A285" t="s">
        <v>36</v>
      </c>
      <c r="B285" s="1">
        <v>44721</v>
      </c>
      <c r="C285">
        <v>1</v>
      </c>
      <c r="D285">
        <v>21.42</v>
      </c>
      <c r="E285">
        <v>27</v>
      </c>
    </row>
    <row r="286" spans="1:5" x14ac:dyDescent="0.3">
      <c r="A286" t="s">
        <v>40</v>
      </c>
      <c r="B286" s="1">
        <v>44721</v>
      </c>
      <c r="C286">
        <v>1</v>
      </c>
      <c r="D286">
        <v>172.56</v>
      </c>
      <c r="E286">
        <v>206</v>
      </c>
    </row>
    <row r="287" spans="1:5" x14ac:dyDescent="0.3">
      <c r="A287" t="s">
        <v>82</v>
      </c>
      <c r="B287" s="1">
        <v>44721</v>
      </c>
      <c r="C287">
        <v>1</v>
      </c>
      <c r="D287">
        <v>35.85</v>
      </c>
      <c r="E287">
        <v>45</v>
      </c>
    </row>
    <row r="288" spans="1:5" x14ac:dyDescent="0.3">
      <c r="A288" t="s">
        <v>82</v>
      </c>
      <c r="B288" s="1">
        <v>44721</v>
      </c>
      <c r="C288">
        <v>1</v>
      </c>
      <c r="D288">
        <v>35.85</v>
      </c>
      <c r="E288">
        <v>45</v>
      </c>
    </row>
    <row r="289" spans="1:5" x14ac:dyDescent="0.3">
      <c r="A289" t="s">
        <v>82</v>
      </c>
      <c r="B289" s="1">
        <v>44721</v>
      </c>
      <c r="C289">
        <v>1</v>
      </c>
      <c r="D289">
        <v>35.85</v>
      </c>
      <c r="E289">
        <v>45</v>
      </c>
    </row>
    <row r="290" spans="1:5" x14ac:dyDescent="0.3">
      <c r="A290" t="s">
        <v>82</v>
      </c>
      <c r="B290" s="1">
        <v>44721</v>
      </c>
      <c r="C290">
        <v>1</v>
      </c>
      <c r="D290">
        <v>35.85</v>
      </c>
      <c r="E290">
        <v>45</v>
      </c>
    </row>
    <row r="291" spans="1:5" x14ac:dyDescent="0.3">
      <c r="A291" t="s">
        <v>80</v>
      </c>
      <c r="B291" s="1">
        <v>44721</v>
      </c>
      <c r="C291">
        <v>1</v>
      </c>
      <c r="D291">
        <v>22.17</v>
      </c>
      <c r="E291">
        <v>34</v>
      </c>
    </row>
    <row r="292" spans="1:5" x14ac:dyDescent="0.3">
      <c r="A292" t="s">
        <v>82</v>
      </c>
      <c r="B292" s="1">
        <v>44721</v>
      </c>
      <c r="C292">
        <v>1</v>
      </c>
      <c r="D292">
        <v>36.090000000000003</v>
      </c>
      <c r="E292">
        <v>46</v>
      </c>
    </row>
    <row r="293" spans="1:5" x14ac:dyDescent="0.3">
      <c r="A293" t="s">
        <v>82</v>
      </c>
      <c r="B293" s="1">
        <v>44721</v>
      </c>
      <c r="C293">
        <v>1</v>
      </c>
      <c r="D293">
        <v>36.090000000000003</v>
      </c>
      <c r="E293">
        <v>46</v>
      </c>
    </row>
    <row r="294" spans="1:5" x14ac:dyDescent="0.3">
      <c r="A294" t="s">
        <v>108</v>
      </c>
      <c r="B294" s="1">
        <v>44721</v>
      </c>
      <c r="C294">
        <v>1</v>
      </c>
      <c r="D294">
        <v>23.57</v>
      </c>
      <c r="E294">
        <v>37</v>
      </c>
    </row>
    <row r="295" spans="1:5" x14ac:dyDescent="0.3">
      <c r="A295" t="s">
        <v>108</v>
      </c>
      <c r="B295" s="1">
        <v>44721</v>
      </c>
      <c r="C295">
        <v>1</v>
      </c>
      <c r="D295">
        <v>23.57</v>
      </c>
      <c r="E295">
        <v>37</v>
      </c>
    </row>
    <row r="296" spans="1:5" x14ac:dyDescent="0.3">
      <c r="A296" t="s">
        <v>108</v>
      </c>
      <c r="B296" s="1">
        <v>44721</v>
      </c>
      <c r="C296">
        <v>1</v>
      </c>
      <c r="D296">
        <v>23.57</v>
      </c>
      <c r="E296">
        <v>37</v>
      </c>
    </row>
    <row r="297" spans="1:5" x14ac:dyDescent="0.3">
      <c r="A297" t="s">
        <v>108</v>
      </c>
      <c r="B297" s="1">
        <v>44721</v>
      </c>
      <c r="C297">
        <v>1</v>
      </c>
      <c r="D297">
        <v>23.57</v>
      </c>
      <c r="E297">
        <v>37</v>
      </c>
    </row>
    <row r="298" spans="1:5" x14ac:dyDescent="0.3">
      <c r="A298" t="s">
        <v>108</v>
      </c>
      <c r="B298" s="1">
        <v>44721</v>
      </c>
      <c r="C298">
        <v>1</v>
      </c>
      <c r="D298">
        <v>23.57</v>
      </c>
      <c r="E298">
        <v>37</v>
      </c>
    </row>
    <row r="299" spans="1:5" x14ac:dyDescent="0.3">
      <c r="A299" t="s">
        <v>108</v>
      </c>
      <c r="B299" s="1">
        <v>44721</v>
      </c>
      <c r="C299">
        <v>1</v>
      </c>
      <c r="D299">
        <v>23.57</v>
      </c>
      <c r="E299">
        <v>37</v>
      </c>
    </row>
    <row r="300" spans="1:5" x14ac:dyDescent="0.3">
      <c r="A300" t="s">
        <v>25</v>
      </c>
      <c r="B300" s="1">
        <v>44721</v>
      </c>
      <c r="C300">
        <v>1</v>
      </c>
      <c r="D300">
        <v>146.85</v>
      </c>
      <c r="E300">
        <v>177</v>
      </c>
    </row>
    <row r="301" spans="1:5" x14ac:dyDescent="0.3">
      <c r="A301" t="s">
        <v>25</v>
      </c>
      <c r="B301" s="1">
        <v>44721</v>
      </c>
      <c r="C301">
        <v>1</v>
      </c>
      <c r="D301">
        <v>146.85</v>
      </c>
      <c r="E301">
        <v>177</v>
      </c>
    </row>
    <row r="302" spans="1:5" x14ac:dyDescent="0.3">
      <c r="A302" t="s">
        <v>20</v>
      </c>
      <c r="B302" s="1">
        <v>44721</v>
      </c>
      <c r="C302">
        <v>1</v>
      </c>
      <c r="D302">
        <v>20.77</v>
      </c>
      <c r="E302">
        <v>26</v>
      </c>
    </row>
    <row r="303" spans="1:5" x14ac:dyDescent="0.3">
      <c r="A303" t="s">
        <v>20</v>
      </c>
      <c r="B303" s="1">
        <v>44721</v>
      </c>
      <c r="C303">
        <v>1</v>
      </c>
      <c r="D303">
        <v>21.21</v>
      </c>
      <c r="E303">
        <v>27</v>
      </c>
    </row>
    <row r="304" spans="1:5" x14ac:dyDescent="0.3">
      <c r="A304" t="s">
        <v>45</v>
      </c>
      <c r="B304" s="1">
        <v>44721</v>
      </c>
      <c r="C304">
        <v>1</v>
      </c>
      <c r="D304">
        <v>28.85</v>
      </c>
      <c r="E304">
        <v>47</v>
      </c>
    </row>
    <row r="305" spans="1:5" x14ac:dyDescent="0.3">
      <c r="A305" t="s">
        <v>67</v>
      </c>
      <c r="B305" s="1">
        <v>44721</v>
      </c>
      <c r="C305">
        <v>1</v>
      </c>
      <c r="D305">
        <v>54.32</v>
      </c>
      <c r="E305">
        <v>83</v>
      </c>
    </row>
    <row r="306" spans="1:5" x14ac:dyDescent="0.3">
      <c r="A306" t="s">
        <v>59</v>
      </c>
      <c r="B306" s="1">
        <v>44721</v>
      </c>
      <c r="C306">
        <v>1</v>
      </c>
      <c r="D306">
        <v>14.76</v>
      </c>
      <c r="E306">
        <v>24</v>
      </c>
    </row>
    <row r="307" spans="1:5" x14ac:dyDescent="0.3">
      <c r="A307" t="s">
        <v>66</v>
      </c>
      <c r="B307" s="1">
        <v>44721</v>
      </c>
      <c r="C307">
        <v>1</v>
      </c>
      <c r="D307">
        <v>30.56</v>
      </c>
      <c r="E307">
        <v>36</v>
      </c>
    </row>
    <row r="308" spans="1:5" x14ac:dyDescent="0.3">
      <c r="A308" t="s">
        <v>109</v>
      </c>
      <c r="B308" s="1">
        <v>44721</v>
      </c>
      <c r="C308">
        <v>1</v>
      </c>
      <c r="D308">
        <v>88.39</v>
      </c>
      <c r="E308">
        <v>106</v>
      </c>
    </row>
    <row r="309" spans="1:5" x14ac:dyDescent="0.3">
      <c r="A309" t="s">
        <v>95</v>
      </c>
      <c r="B309" s="1">
        <v>44721</v>
      </c>
      <c r="C309">
        <v>1</v>
      </c>
      <c r="D309">
        <v>114.36</v>
      </c>
      <c r="E309">
        <v>175</v>
      </c>
    </row>
    <row r="310" spans="1:5" x14ac:dyDescent="0.3">
      <c r="A310" t="s">
        <v>110</v>
      </c>
      <c r="B310" s="1">
        <v>44721</v>
      </c>
      <c r="C310">
        <v>1</v>
      </c>
      <c r="D310">
        <v>209.32</v>
      </c>
      <c r="E310">
        <v>287</v>
      </c>
    </row>
    <row r="311" spans="1:5" x14ac:dyDescent="0.3">
      <c r="A311" t="s">
        <v>30</v>
      </c>
      <c r="B311" s="1">
        <v>44721</v>
      </c>
      <c r="C311">
        <v>1</v>
      </c>
      <c r="D311">
        <v>156.19999999999999</v>
      </c>
      <c r="E311">
        <v>186</v>
      </c>
    </row>
    <row r="312" spans="1:5" x14ac:dyDescent="0.3">
      <c r="A312" t="s">
        <v>27</v>
      </c>
      <c r="B312" s="1">
        <v>44721</v>
      </c>
      <c r="C312">
        <v>1</v>
      </c>
      <c r="D312">
        <v>101.57</v>
      </c>
      <c r="E312">
        <v>156</v>
      </c>
    </row>
    <row r="313" spans="1:5" x14ac:dyDescent="0.3">
      <c r="A313" t="s">
        <v>111</v>
      </c>
      <c r="B313" s="1">
        <v>44721</v>
      </c>
      <c r="C313">
        <v>1</v>
      </c>
      <c r="D313">
        <v>163.76</v>
      </c>
      <c r="E313">
        <v>196</v>
      </c>
    </row>
    <row r="314" spans="1:5" x14ac:dyDescent="0.3">
      <c r="A314" t="s">
        <v>35</v>
      </c>
      <c r="B314" s="1">
        <v>44721</v>
      </c>
      <c r="C314">
        <v>1</v>
      </c>
      <c r="D314">
        <v>32.71</v>
      </c>
      <c r="E314">
        <v>50</v>
      </c>
    </row>
    <row r="315" spans="1:5" x14ac:dyDescent="0.3">
      <c r="A315" t="s">
        <v>112</v>
      </c>
      <c r="B315" s="1">
        <v>44721</v>
      </c>
      <c r="C315">
        <v>1</v>
      </c>
      <c r="D315">
        <v>281.47000000000003</v>
      </c>
      <c r="E315">
        <v>334</v>
      </c>
    </row>
    <row r="316" spans="1:5" x14ac:dyDescent="0.3">
      <c r="A316" t="s">
        <v>113</v>
      </c>
      <c r="B316" s="1">
        <v>44721</v>
      </c>
      <c r="C316">
        <v>1</v>
      </c>
      <c r="D316">
        <v>126.69</v>
      </c>
      <c r="E316">
        <v>179</v>
      </c>
    </row>
    <row r="317" spans="1:5" x14ac:dyDescent="0.3">
      <c r="A317" t="s">
        <v>41</v>
      </c>
      <c r="B317" s="1">
        <v>44721</v>
      </c>
      <c r="C317">
        <v>1</v>
      </c>
      <c r="D317">
        <v>10.9</v>
      </c>
      <c r="E317">
        <v>18</v>
      </c>
    </row>
    <row r="318" spans="1:5" x14ac:dyDescent="0.3">
      <c r="A318" t="s">
        <v>114</v>
      </c>
      <c r="B318" s="1">
        <v>44721</v>
      </c>
      <c r="C318">
        <v>1</v>
      </c>
      <c r="D318">
        <v>74.8</v>
      </c>
      <c r="E318">
        <v>92</v>
      </c>
    </row>
    <row r="319" spans="1:5" x14ac:dyDescent="0.3">
      <c r="A319" t="s">
        <v>115</v>
      </c>
      <c r="B319" s="1">
        <v>44721</v>
      </c>
      <c r="C319">
        <v>1</v>
      </c>
      <c r="D319">
        <v>71.09</v>
      </c>
      <c r="E319">
        <v>88</v>
      </c>
    </row>
    <row r="320" spans="1:5" x14ac:dyDescent="0.3">
      <c r="A320" t="s">
        <v>115</v>
      </c>
      <c r="B320" s="1">
        <v>44721</v>
      </c>
      <c r="C320">
        <v>1</v>
      </c>
      <c r="D320">
        <v>71.09</v>
      </c>
      <c r="E320">
        <v>88</v>
      </c>
    </row>
    <row r="321" spans="1:5" x14ac:dyDescent="0.3">
      <c r="A321" t="s">
        <v>115</v>
      </c>
      <c r="B321" s="1">
        <v>44721</v>
      </c>
      <c r="C321">
        <v>1</v>
      </c>
      <c r="D321">
        <v>71.09</v>
      </c>
      <c r="E321">
        <v>88</v>
      </c>
    </row>
    <row r="322" spans="1:5" x14ac:dyDescent="0.3">
      <c r="A322" t="s">
        <v>115</v>
      </c>
      <c r="B322" s="1">
        <v>44721</v>
      </c>
      <c r="C322">
        <v>1</v>
      </c>
      <c r="D322">
        <v>71.09</v>
      </c>
      <c r="E322">
        <v>88</v>
      </c>
    </row>
    <row r="323" spans="1:5" x14ac:dyDescent="0.3">
      <c r="A323" t="s">
        <v>56</v>
      </c>
      <c r="B323" s="1">
        <v>44721</v>
      </c>
      <c r="C323">
        <v>1</v>
      </c>
      <c r="D323">
        <v>45.47</v>
      </c>
      <c r="E323">
        <v>71</v>
      </c>
    </row>
    <row r="324" spans="1:5" x14ac:dyDescent="0.3">
      <c r="A324" t="s">
        <v>66</v>
      </c>
      <c r="B324" s="1">
        <v>44721</v>
      </c>
      <c r="C324">
        <v>1</v>
      </c>
      <c r="D324">
        <v>30.56</v>
      </c>
      <c r="E324">
        <v>36</v>
      </c>
    </row>
    <row r="325" spans="1:5" x14ac:dyDescent="0.3">
      <c r="A325" t="s">
        <v>66</v>
      </c>
      <c r="B325" s="1">
        <v>44721</v>
      </c>
      <c r="C325">
        <v>1</v>
      </c>
      <c r="D325">
        <v>30.56</v>
      </c>
      <c r="E325">
        <v>36</v>
      </c>
    </row>
    <row r="326" spans="1:5" x14ac:dyDescent="0.3">
      <c r="A326" t="s">
        <v>8</v>
      </c>
      <c r="B326" s="1">
        <v>44721</v>
      </c>
      <c r="C326">
        <v>1</v>
      </c>
      <c r="D326">
        <v>42.71</v>
      </c>
      <c r="E326">
        <v>70</v>
      </c>
    </row>
    <row r="327" spans="1:5" x14ac:dyDescent="0.3">
      <c r="A327" t="s">
        <v>116</v>
      </c>
      <c r="B327" s="1">
        <v>44721</v>
      </c>
      <c r="C327">
        <v>1</v>
      </c>
      <c r="D327">
        <v>102.39</v>
      </c>
      <c r="E327">
        <v>121</v>
      </c>
    </row>
    <row r="328" spans="1:5" x14ac:dyDescent="0.3">
      <c r="A328" t="s">
        <v>117</v>
      </c>
      <c r="B328" s="1">
        <v>44721</v>
      </c>
      <c r="C328">
        <v>1</v>
      </c>
      <c r="D328">
        <v>23.14</v>
      </c>
      <c r="E328">
        <v>28</v>
      </c>
    </row>
    <row r="329" spans="1:5" x14ac:dyDescent="0.3">
      <c r="A329" t="s">
        <v>53</v>
      </c>
      <c r="B329" s="1">
        <v>44721</v>
      </c>
      <c r="C329">
        <v>1</v>
      </c>
      <c r="D329">
        <v>23.4</v>
      </c>
      <c r="E329">
        <v>38</v>
      </c>
    </row>
    <row r="330" spans="1:5" x14ac:dyDescent="0.3">
      <c r="A330" t="s">
        <v>69</v>
      </c>
      <c r="B330" s="1">
        <v>44721</v>
      </c>
      <c r="C330">
        <v>1</v>
      </c>
      <c r="D330">
        <v>19.989999999999998</v>
      </c>
      <c r="E330">
        <v>24</v>
      </c>
    </row>
    <row r="331" spans="1:5" x14ac:dyDescent="0.3">
      <c r="A331" t="s">
        <v>39</v>
      </c>
      <c r="B331" s="1">
        <v>44721</v>
      </c>
      <c r="C331">
        <v>2</v>
      </c>
      <c r="D331">
        <v>8.58</v>
      </c>
      <c r="E331">
        <v>14</v>
      </c>
    </row>
    <row r="332" spans="1:5" x14ac:dyDescent="0.3">
      <c r="A332" t="s">
        <v>110</v>
      </c>
      <c r="B332" s="1">
        <v>44721</v>
      </c>
      <c r="C332">
        <v>1</v>
      </c>
      <c r="D332">
        <v>206.64</v>
      </c>
      <c r="E332">
        <v>284</v>
      </c>
    </row>
    <row r="333" spans="1:5" x14ac:dyDescent="0.3">
      <c r="A333" t="s">
        <v>14</v>
      </c>
      <c r="B333" s="1">
        <v>44721</v>
      </c>
      <c r="C333">
        <v>1</v>
      </c>
      <c r="D333">
        <v>429.41</v>
      </c>
      <c r="E333">
        <v>580</v>
      </c>
    </row>
    <row r="334" spans="1:5" x14ac:dyDescent="0.3">
      <c r="A334" t="s">
        <v>60</v>
      </c>
      <c r="B334" s="1">
        <v>44721</v>
      </c>
      <c r="C334">
        <v>1</v>
      </c>
      <c r="D334">
        <v>58.19</v>
      </c>
      <c r="E334">
        <v>72</v>
      </c>
    </row>
    <row r="335" spans="1:5" x14ac:dyDescent="0.3">
      <c r="A335" t="s">
        <v>118</v>
      </c>
      <c r="B335" s="1">
        <v>44721</v>
      </c>
      <c r="C335">
        <v>1</v>
      </c>
      <c r="D335">
        <v>10.78</v>
      </c>
      <c r="E335">
        <v>13</v>
      </c>
    </row>
    <row r="336" spans="1:5" x14ac:dyDescent="0.3">
      <c r="A336" t="s">
        <v>118</v>
      </c>
      <c r="B336" s="1">
        <v>44721</v>
      </c>
      <c r="C336">
        <v>1</v>
      </c>
      <c r="D336">
        <v>10.78</v>
      </c>
      <c r="E336">
        <v>13</v>
      </c>
    </row>
    <row r="337" spans="1:5" x14ac:dyDescent="0.3">
      <c r="A337" t="s">
        <v>119</v>
      </c>
      <c r="B337" s="1">
        <v>44721</v>
      </c>
      <c r="C337">
        <v>7.1428400000000003E-2</v>
      </c>
      <c r="D337">
        <v>656.19</v>
      </c>
      <c r="E337">
        <v>722</v>
      </c>
    </row>
    <row r="338" spans="1:5" x14ac:dyDescent="0.3">
      <c r="A338" t="s">
        <v>106</v>
      </c>
      <c r="B338" s="1">
        <v>44721</v>
      </c>
      <c r="C338">
        <v>1</v>
      </c>
      <c r="D338">
        <v>41.21</v>
      </c>
      <c r="E338">
        <v>51</v>
      </c>
    </row>
    <row r="339" spans="1:5" x14ac:dyDescent="0.3">
      <c r="A339" t="s">
        <v>106</v>
      </c>
      <c r="B339" s="1">
        <v>44721</v>
      </c>
      <c r="C339">
        <v>1</v>
      </c>
      <c r="D339">
        <v>41.21</v>
      </c>
      <c r="E339">
        <v>51</v>
      </c>
    </row>
    <row r="340" spans="1:5" x14ac:dyDescent="0.3">
      <c r="A340" t="s">
        <v>106</v>
      </c>
      <c r="B340" s="1">
        <v>44721</v>
      </c>
      <c r="C340">
        <v>1</v>
      </c>
      <c r="D340">
        <v>41.21</v>
      </c>
      <c r="E340">
        <v>51</v>
      </c>
    </row>
    <row r="341" spans="1:5" x14ac:dyDescent="0.3">
      <c r="A341" t="s">
        <v>23</v>
      </c>
      <c r="B341" s="1">
        <v>44721</v>
      </c>
      <c r="C341">
        <v>1</v>
      </c>
      <c r="D341">
        <v>110.51</v>
      </c>
      <c r="E341">
        <v>124</v>
      </c>
    </row>
    <row r="342" spans="1:5" x14ac:dyDescent="0.3">
      <c r="A342" t="s">
        <v>36</v>
      </c>
      <c r="B342" s="1">
        <v>44721</v>
      </c>
      <c r="C342">
        <v>1</v>
      </c>
      <c r="D342">
        <v>26.53</v>
      </c>
      <c r="E342">
        <v>34</v>
      </c>
    </row>
    <row r="343" spans="1:5" x14ac:dyDescent="0.3">
      <c r="A343" t="s">
        <v>63</v>
      </c>
      <c r="B343" s="1">
        <v>44721</v>
      </c>
      <c r="C343">
        <v>1</v>
      </c>
      <c r="D343">
        <v>73.13</v>
      </c>
      <c r="E343">
        <v>96</v>
      </c>
    </row>
    <row r="344" spans="1:5" x14ac:dyDescent="0.3">
      <c r="A344" t="s">
        <v>37</v>
      </c>
      <c r="B344" s="1">
        <v>44721</v>
      </c>
      <c r="C344">
        <v>1</v>
      </c>
      <c r="D344">
        <v>48.85</v>
      </c>
      <c r="E344">
        <v>62</v>
      </c>
    </row>
    <row r="345" spans="1:5" x14ac:dyDescent="0.3">
      <c r="A345" t="s">
        <v>38</v>
      </c>
      <c r="B345" s="1">
        <v>44721</v>
      </c>
      <c r="C345">
        <v>1</v>
      </c>
      <c r="D345">
        <v>34.450000000000003</v>
      </c>
      <c r="E345">
        <v>55</v>
      </c>
    </row>
    <row r="346" spans="1:5" x14ac:dyDescent="0.3">
      <c r="A346" t="s">
        <v>61</v>
      </c>
      <c r="B346" s="1">
        <v>44721</v>
      </c>
      <c r="C346">
        <v>1</v>
      </c>
      <c r="D346">
        <v>32.89</v>
      </c>
      <c r="E346">
        <v>50</v>
      </c>
    </row>
    <row r="347" spans="1:5" x14ac:dyDescent="0.3">
      <c r="A347" t="s">
        <v>120</v>
      </c>
      <c r="B347" s="1">
        <v>44721</v>
      </c>
      <c r="C347">
        <v>1</v>
      </c>
      <c r="D347">
        <v>130.35</v>
      </c>
      <c r="E347">
        <v>182</v>
      </c>
    </row>
    <row r="348" spans="1:5" x14ac:dyDescent="0.3">
      <c r="A348" t="s">
        <v>121</v>
      </c>
      <c r="B348" s="1">
        <v>44721</v>
      </c>
      <c r="C348">
        <v>1</v>
      </c>
      <c r="D348">
        <v>10.94</v>
      </c>
      <c r="E348">
        <v>18</v>
      </c>
    </row>
    <row r="349" spans="1:5" x14ac:dyDescent="0.3">
      <c r="A349" t="s">
        <v>20</v>
      </c>
      <c r="B349" s="1">
        <v>44721</v>
      </c>
      <c r="C349">
        <v>1</v>
      </c>
      <c r="D349">
        <v>20.72</v>
      </c>
      <c r="E349">
        <v>27</v>
      </c>
    </row>
    <row r="350" spans="1:5" x14ac:dyDescent="0.3">
      <c r="A350" t="s">
        <v>37</v>
      </c>
      <c r="B350" s="1">
        <v>44721</v>
      </c>
      <c r="C350">
        <v>1</v>
      </c>
      <c r="D350">
        <v>48.85</v>
      </c>
      <c r="E350">
        <v>62</v>
      </c>
    </row>
    <row r="351" spans="1:5" x14ac:dyDescent="0.3">
      <c r="A351" t="s">
        <v>38</v>
      </c>
      <c r="B351" s="1">
        <v>44721</v>
      </c>
      <c r="C351">
        <v>1</v>
      </c>
      <c r="D351">
        <v>34.450000000000003</v>
      </c>
      <c r="E351">
        <v>55</v>
      </c>
    </row>
    <row r="352" spans="1:5" x14ac:dyDescent="0.3">
      <c r="A352" t="s">
        <v>107</v>
      </c>
      <c r="B352" s="1">
        <v>44721</v>
      </c>
      <c r="C352">
        <v>1</v>
      </c>
      <c r="D352">
        <v>68.760000000000005</v>
      </c>
      <c r="E352">
        <v>87</v>
      </c>
    </row>
    <row r="353" spans="1:5" x14ac:dyDescent="0.3">
      <c r="A353" t="s">
        <v>9</v>
      </c>
      <c r="B353" s="1">
        <v>44721</v>
      </c>
      <c r="C353">
        <v>1</v>
      </c>
      <c r="D353">
        <v>81.17</v>
      </c>
      <c r="E353">
        <v>99</v>
      </c>
    </row>
    <row r="354" spans="1:5" x14ac:dyDescent="0.3">
      <c r="A354" t="s">
        <v>97</v>
      </c>
      <c r="B354" s="1">
        <v>44721</v>
      </c>
      <c r="C354">
        <v>1</v>
      </c>
      <c r="D354">
        <v>431.34</v>
      </c>
      <c r="E354">
        <v>570</v>
      </c>
    </row>
    <row r="355" spans="1:5" x14ac:dyDescent="0.3">
      <c r="A355" t="s">
        <v>97</v>
      </c>
      <c r="B355" s="1">
        <v>44721</v>
      </c>
      <c r="C355">
        <v>1</v>
      </c>
      <c r="D355">
        <v>431.34</v>
      </c>
      <c r="E355">
        <v>570</v>
      </c>
    </row>
    <row r="356" spans="1:5" x14ac:dyDescent="0.3">
      <c r="A356" t="s">
        <v>94</v>
      </c>
      <c r="B356" s="1">
        <v>44721</v>
      </c>
      <c r="C356">
        <v>1</v>
      </c>
      <c r="D356">
        <v>26.58</v>
      </c>
      <c r="E356">
        <v>38</v>
      </c>
    </row>
    <row r="357" spans="1:5" x14ac:dyDescent="0.3">
      <c r="A357" t="s">
        <v>19</v>
      </c>
      <c r="B357" s="1">
        <v>44721</v>
      </c>
      <c r="C357">
        <v>1</v>
      </c>
      <c r="D357">
        <v>80.760000000000005</v>
      </c>
      <c r="E357">
        <v>101</v>
      </c>
    </row>
    <row r="358" spans="1:5" x14ac:dyDescent="0.3">
      <c r="A358" t="s">
        <v>65</v>
      </c>
      <c r="B358" s="1">
        <v>44721</v>
      </c>
      <c r="C358">
        <v>1</v>
      </c>
      <c r="D358">
        <v>186.96</v>
      </c>
      <c r="E358">
        <v>234</v>
      </c>
    </row>
    <row r="359" spans="1:5" x14ac:dyDescent="0.3">
      <c r="A359" t="s">
        <v>5</v>
      </c>
      <c r="B359" s="1">
        <v>44721</v>
      </c>
      <c r="C359">
        <v>1</v>
      </c>
      <c r="D359">
        <v>130.15</v>
      </c>
      <c r="E359">
        <v>157</v>
      </c>
    </row>
    <row r="360" spans="1:5" x14ac:dyDescent="0.3">
      <c r="A360" t="s">
        <v>5</v>
      </c>
      <c r="B360" s="1">
        <v>44721</v>
      </c>
      <c r="C360">
        <v>1</v>
      </c>
      <c r="D360">
        <v>130.15</v>
      </c>
      <c r="E360">
        <v>157</v>
      </c>
    </row>
    <row r="361" spans="1:5" x14ac:dyDescent="0.3">
      <c r="A361" t="s">
        <v>9</v>
      </c>
      <c r="B361" s="1">
        <v>44720</v>
      </c>
      <c r="C361">
        <v>1</v>
      </c>
      <c r="D361">
        <v>80.69</v>
      </c>
      <c r="E361">
        <v>98</v>
      </c>
    </row>
    <row r="362" spans="1:5" x14ac:dyDescent="0.3">
      <c r="A362" t="s">
        <v>90</v>
      </c>
      <c r="B362" s="1">
        <v>44720</v>
      </c>
      <c r="C362">
        <v>1</v>
      </c>
      <c r="D362">
        <v>390.04</v>
      </c>
      <c r="E362">
        <v>469</v>
      </c>
    </row>
    <row r="363" spans="1:5" x14ac:dyDescent="0.3">
      <c r="A363" t="s">
        <v>122</v>
      </c>
      <c r="B363" s="1">
        <v>44720</v>
      </c>
      <c r="C363">
        <v>1</v>
      </c>
      <c r="D363">
        <v>20.86</v>
      </c>
      <c r="E363">
        <v>26</v>
      </c>
    </row>
    <row r="364" spans="1:5" x14ac:dyDescent="0.3">
      <c r="A364" t="s">
        <v>67</v>
      </c>
      <c r="B364" s="1">
        <v>44720</v>
      </c>
      <c r="C364">
        <v>1</v>
      </c>
      <c r="D364">
        <v>56.87</v>
      </c>
      <c r="E364">
        <v>83</v>
      </c>
    </row>
    <row r="365" spans="1:5" x14ac:dyDescent="0.3">
      <c r="A365" t="s">
        <v>24</v>
      </c>
      <c r="B365" s="1">
        <v>44720</v>
      </c>
      <c r="C365">
        <v>1</v>
      </c>
      <c r="D365">
        <v>101.95</v>
      </c>
      <c r="E365">
        <v>122</v>
      </c>
    </row>
    <row r="366" spans="1:5" x14ac:dyDescent="0.3">
      <c r="A366" t="s">
        <v>76</v>
      </c>
      <c r="B366" s="1">
        <v>44720</v>
      </c>
      <c r="C366">
        <v>1</v>
      </c>
      <c r="D366">
        <v>30.8</v>
      </c>
      <c r="E366">
        <v>38</v>
      </c>
    </row>
    <row r="367" spans="1:5" x14ac:dyDescent="0.3">
      <c r="A367" t="s">
        <v>107</v>
      </c>
      <c r="B367" s="1">
        <v>44720</v>
      </c>
      <c r="C367">
        <v>1</v>
      </c>
      <c r="D367">
        <v>68.760000000000005</v>
      </c>
      <c r="E367">
        <v>87</v>
      </c>
    </row>
    <row r="368" spans="1:5" x14ac:dyDescent="0.3">
      <c r="A368" t="s">
        <v>123</v>
      </c>
      <c r="B368" s="1">
        <v>44720</v>
      </c>
      <c r="C368">
        <v>1</v>
      </c>
      <c r="D368">
        <v>62.7</v>
      </c>
      <c r="E368">
        <v>80</v>
      </c>
    </row>
    <row r="369" spans="1:5" x14ac:dyDescent="0.3">
      <c r="A369" t="s">
        <v>123</v>
      </c>
      <c r="B369" s="1">
        <v>44720</v>
      </c>
      <c r="C369">
        <v>1</v>
      </c>
      <c r="D369">
        <v>62.7</v>
      </c>
      <c r="E369">
        <v>80</v>
      </c>
    </row>
    <row r="370" spans="1:5" x14ac:dyDescent="0.3">
      <c r="A370" t="s">
        <v>124</v>
      </c>
      <c r="B370" s="1">
        <v>44720</v>
      </c>
      <c r="C370">
        <v>1</v>
      </c>
      <c r="D370">
        <v>48.86</v>
      </c>
      <c r="E370">
        <v>79</v>
      </c>
    </row>
    <row r="371" spans="1:5" x14ac:dyDescent="0.3">
      <c r="A371" t="s">
        <v>48</v>
      </c>
      <c r="B371" s="1">
        <v>44720</v>
      </c>
      <c r="C371">
        <v>1</v>
      </c>
      <c r="D371">
        <v>39</v>
      </c>
      <c r="E371">
        <v>60</v>
      </c>
    </row>
    <row r="372" spans="1:5" x14ac:dyDescent="0.3">
      <c r="A372" t="s">
        <v>69</v>
      </c>
      <c r="B372" s="1">
        <v>44720</v>
      </c>
      <c r="C372">
        <v>1</v>
      </c>
      <c r="D372">
        <v>19.989999999999998</v>
      </c>
      <c r="E372">
        <v>24</v>
      </c>
    </row>
    <row r="373" spans="1:5" x14ac:dyDescent="0.3">
      <c r="A373" t="s">
        <v>71</v>
      </c>
      <c r="B373" s="1">
        <v>44720</v>
      </c>
      <c r="C373">
        <v>1</v>
      </c>
      <c r="D373">
        <v>54.1</v>
      </c>
      <c r="E373">
        <v>77</v>
      </c>
    </row>
    <row r="374" spans="1:5" x14ac:dyDescent="0.3">
      <c r="A374" t="s">
        <v>26</v>
      </c>
      <c r="B374" s="1">
        <v>44720</v>
      </c>
      <c r="C374">
        <v>0.1</v>
      </c>
      <c r="D374">
        <v>991.65</v>
      </c>
      <c r="E374">
        <v>1240</v>
      </c>
    </row>
    <row r="375" spans="1:5" x14ac:dyDescent="0.3">
      <c r="A375" t="s">
        <v>30</v>
      </c>
      <c r="B375" s="1">
        <v>44720</v>
      </c>
      <c r="C375">
        <v>1</v>
      </c>
      <c r="D375">
        <v>156.19999999999999</v>
      </c>
      <c r="E375">
        <v>186</v>
      </c>
    </row>
    <row r="376" spans="1:5" x14ac:dyDescent="0.3">
      <c r="A376" t="s">
        <v>102</v>
      </c>
      <c r="B376" s="1">
        <v>44720</v>
      </c>
      <c r="C376">
        <v>1</v>
      </c>
      <c r="D376">
        <v>26.29</v>
      </c>
      <c r="E376">
        <v>33</v>
      </c>
    </row>
    <row r="377" spans="1:5" x14ac:dyDescent="0.3">
      <c r="A377" t="s">
        <v>102</v>
      </c>
      <c r="B377" s="1">
        <v>44720</v>
      </c>
      <c r="C377">
        <v>1</v>
      </c>
      <c r="D377">
        <v>26.29</v>
      </c>
      <c r="E377">
        <v>33</v>
      </c>
    </row>
    <row r="378" spans="1:5" x14ac:dyDescent="0.3">
      <c r="A378" t="s">
        <v>102</v>
      </c>
      <c r="B378" s="1">
        <v>44720</v>
      </c>
      <c r="C378">
        <v>1</v>
      </c>
      <c r="D378">
        <v>26.29</v>
      </c>
      <c r="E378">
        <v>33</v>
      </c>
    </row>
    <row r="379" spans="1:5" x14ac:dyDescent="0.3">
      <c r="A379" t="s">
        <v>92</v>
      </c>
      <c r="B379" s="1">
        <v>44720</v>
      </c>
      <c r="C379">
        <v>10</v>
      </c>
      <c r="D379">
        <v>6.78</v>
      </c>
      <c r="E379">
        <v>9</v>
      </c>
    </row>
    <row r="380" spans="1:5" x14ac:dyDescent="0.3">
      <c r="A380" t="s">
        <v>125</v>
      </c>
      <c r="B380" s="1">
        <v>44720</v>
      </c>
      <c r="C380">
        <v>1</v>
      </c>
      <c r="D380">
        <v>337.22</v>
      </c>
      <c r="E380">
        <v>439</v>
      </c>
    </row>
    <row r="381" spans="1:5" x14ac:dyDescent="0.3">
      <c r="A381" t="s">
        <v>126</v>
      </c>
      <c r="B381" s="1">
        <v>44720</v>
      </c>
      <c r="C381">
        <v>1</v>
      </c>
      <c r="D381">
        <v>27.38</v>
      </c>
      <c r="E381">
        <v>34</v>
      </c>
    </row>
    <row r="382" spans="1:5" x14ac:dyDescent="0.3">
      <c r="A382" t="s">
        <v>126</v>
      </c>
      <c r="B382" s="1">
        <v>44720</v>
      </c>
      <c r="C382">
        <v>1</v>
      </c>
      <c r="D382">
        <v>27.38</v>
      </c>
      <c r="E382">
        <v>34</v>
      </c>
    </row>
    <row r="383" spans="1:5" x14ac:dyDescent="0.3">
      <c r="A383" t="s">
        <v>126</v>
      </c>
      <c r="B383" s="1">
        <v>44720</v>
      </c>
      <c r="C383">
        <v>1</v>
      </c>
      <c r="D383">
        <v>27.38</v>
      </c>
      <c r="E383">
        <v>34</v>
      </c>
    </row>
    <row r="384" spans="1:5" x14ac:dyDescent="0.3">
      <c r="A384" t="s">
        <v>126</v>
      </c>
      <c r="B384" s="1">
        <v>44720</v>
      </c>
      <c r="C384">
        <v>1</v>
      </c>
      <c r="D384">
        <v>27.38</v>
      </c>
      <c r="E384">
        <v>34</v>
      </c>
    </row>
    <row r="385" spans="1:5" x14ac:dyDescent="0.3">
      <c r="A385" t="s">
        <v>126</v>
      </c>
      <c r="B385" s="1">
        <v>44720</v>
      </c>
      <c r="C385">
        <v>1</v>
      </c>
      <c r="D385">
        <v>27.38</v>
      </c>
      <c r="E385">
        <v>34</v>
      </c>
    </row>
    <row r="386" spans="1:5" x14ac:dyDescent="0.3">
      <c r="A386" t="s">
        <v>126</v>
      </c>
      <c r="B386" s="1">
        <v>44720</v>
      </c>
      <c r="C386">
        <v>1</v>
      </c>
      <c r="D386">
        <v>27.38</v>
      </c>
      <c r="E386">
        <v>34</v>
      </c>
    </row>
    <row r="387" spans="1:5" x14ac:dyDescent="0.3">
      <c r="A387" t="s">
        <v>126</v>
      </c>
      <c r="B387" s="1">
        <v>44720</v>
      </c>
      <c r="C387">
        <v>1</v>
      </c>
      <c r="D387">
        <v>27.38</v>
      </c>
      <c r="E387">
        <v>34</v>
      </c>
    </row>
    <row r="388" spans="1:5" x14ac:dyDescent="0.3">
      <c r="A388" t="s">
        <v>126</v>
      </c>
      <c r="B388" s="1">
        <v>44720</v>
      </c>
      <c r="C388">
        <v>1</v>
      </c>
      <c r="D388">
        <v>27.38</v>
      </c>
      <c r="E388">
        <v>34</v>
      </c>
    </row>
    <row r="389" spans="1:5" x14ac:dyDescent="0.3">
      <c r="A389" t="s">
        <v>126</v>
      </c>
      <c r="B389" s="1">
        <v>44720</v>
      </c>
      <c r="C389">
        <v>1</v>
      </c>
      <c r="D389">
        <v>27.38</v>
      </c>
      <c r="E389">
        <v>34</v>
      </c>
    </row>
    <row r="390" spans="1:5" x14ac:dyDescent="0.3">
      <c r="A390" t="s">
        <v>126</v>
      </c>
      <c r="B390" s="1">
        <v>44720</v>
      </c>
      <c r="C390">
        <v>1</v>
      </c>
      <c r="D390">
        <v>27.38</v>
      </c>
      <c r="E390">
        <v>34</v>
      </c>
    </row>
    <row r="391" spans="1:5" x14ac:dyDescent="0.3">
      <c r="A391" t="s">
        <v>95</v>
      </c>
      <c r="B391" s="1">
        <v>44720</v>
      </c>
      <c r="C391">
        <v>1</v>
      </c>
      <c r="D391">
        <v>110.54</v>
      </c>
      <c r="E391">
        <v>174</v>
      </c>
    </row>
    <row r="392" spans="1:5" x14ac:dyDescent="0.3">
      <c r="A392" t="s">
        <v>124</v>
      </c>
      <c r="B392" s="1">
        <v>44720</v>
      </c>
      <c r="C392">
        <v>1</v>
      </c>
      <c r="D392">
        <v>42.48</v>
      </c>
      <c r="E392">
        <v>69</v>
      </c>
    </row>
    <row r="393" spans="1:5" x14ac:dyDescent="0.3">
      <c r="A393" t="s">
        <v>34</v>
      </c>
      <c r="B393" s="1">
        <v>44720</v>
      </c>
      <c r="C393">
        <v>1</v>
      </c>
      <c r="D393">
        <v>200.19</v>
      </c>
      <c r="E393">
        <v>231</v>
      </c>
    </row>
    <row r="394" spans="1:5" x14ac:dyDescent="0.3">
      <c r="A394" t="s">
        <v>19</v>
      </c>
      <c r="B394" s="1">
        <v>44720</v>
      </c>
      <c r="C394">
        <v>1</v>
      </c>
      <c r="D394">
        <v>81.790000000000006</v>
      </c>
      <c r="E394">
        <v>102</v>
      </c>
    </row>
    <row r="395" spans="1:5" x14ac:dyDescent="0.3">
      <c r="A395" t="s">
        <v>19</v>
      </c>
      <c r="B395" s="1">
        <v>44720</v>
      </c>
      <c r="C395">
        <v>1</v>
      </c>
      <c r="D395">
        <v>81.290000000000006</v>
      </c>
      <c r="E395">
        <v>103</v>
      </c>
    </row>
    <row r="396" spans="1:5" x14ac:dyDescent="0.3">
      <c r="A396" t="s">
        <v>7</v>
      </c>
      <c r="B396" s="1">
        <v>44720</v>
      </c>
      <c r="C396">
        <v>1</v>
      </c>
      <c r="D396">
        <v>88.73</v>
      </c>
      <c r="E396">
        <v>104</v>
      </c>
    </row>
    <row r="397" spans="1:5" x14ac:dyDescent="0.3">
      <c r="A397" t="s">
        <v>127</v>
      </c>
      <c r="B397" s="1">
        <v>44720</v>
      </c>
      <c r="C397">
        <v>1</v>
      </c>
      <c r="D397">
        <v>119.64</v>
      </c>
      <c r="E397">
        <v>162</v>
      </c>
    </row>
    <row r="398" spans="1:5" x14ac:dyDescent="0.3">
      <c r="A398" t="s">
        <v>41</v>
      </c>
      <c r="B398" s="1">
        <v>44720</v>
      </c>
      <c r="C398">
        <v>1</v>
      </c>
      <c r="D398">
        <v>10.9</v>
      </c>
      <c r="E398">
        <v>18</v>
      </c>
    </row>
    <row r="399" spans="1:5" x14ac:dyDescent="0.3">
      <c r="A399" t="s">
        <v>26</v>
      </c>
      <c r="B399" s="1">
        <v>44720</v>
      </c>
      <c r="C399">
        <v>0.1</v>
      </c>
      <c r="D399">
        <v>986.58</v>
      </c>
      <c r="E399">
        <v>1234</v>
      </c>
    </row>
    <row r="400" spans="1:5" x14ac:dyDescent="0.3">
      <c r="A400" t="s">
        <v>128</v>
      </c>
      <c r="B400" s="1">
        <v>44720</v>
      </c>
      <c r="C400">
        <v>1</v>
      </c>
      <c r="D400">
        <v>312.83</v>
      </c>
      <c r="E400">
        <v>432</v>
      </c>
    </row>
    <row r="401" spans="1:5" x14ac:dyDescent="0.3">
      <c r="A401" t="s">
        <v>94</v>
      </c>
      <c r="B401" s="1">
        <v>44720</v>
      </c>
      <c r="C401">
        <v>1</v>
      </c>
      <c r="D401">
        <v>26.8</v>
      </c>
      <c r="E401">
        <v>38</v>
      </c>
    </row>
    <row r="402" spans="1:5" x14ac:dyDescent="0.3">
      <c r="A402" t="s">
        <v>94</v>
      </c>
      <c r="B402" s="1">
        <v>44720</v>
      </c>
      <c r="C402">
        <v>1</v>
      </c>
      <c r="D402">
        <v>26.8</v>
      </c>
      <c r="E402">
        <v>38</v>
      </c>
    </row>
    <row r="403" spans="1:5" x14ac:dyDescent="0.3">
      <c r="A403" t="s">
        <v>94</v>
      </c>
      <c r="B403" s="1">
        <v>44720</v>
      </c>
      <c r="C403">
        <v>1</v>
      </c>
      <c r="D403">
        <v>26.8</v>
      </c>
      <c r="E403">
        <v>38</v>
      </c>
    </row>
    <row r="404" spans="1:5" x14ac:dyDescent="0.3">
      <c r="A404" t="s">
        <v>94</v>
      </c>
      <c r="B404" s="1">
        <v>44720</v>
      </c>
      <c r="C404">
        <v>1</v>
      </c>
      <c r="D404">
        <v>26.8</v>
      </c>
      <c r="E404">
        <v>38</v>
      </c>
    </row>
    <row r="405" spans="1:5" x14ac:dyDescent="0.3">
      <c r="A405" t="s">
        <v>94</v>
      </c>
      <c r="B405" s="1">
        <v>44720</v>
      </c>
      <c r="C405">
        <v>1</v>
      </c>
      <c r="D405">
        <v>26.8</v>
      </c>
      <c r="E405">
        <v>38</v>
      </c>
    </row>
    <row r="406" spans="1:5" x14ac:dyDescent="0.3">
      <c r="A406" t="s">
        <v>27</v>
      </c>
      <c r="B406" s="1">
        <v>44720</v>
      </c>
      <c r="C406">
        <v>1</v>
      </c>
      <c r="D406">
        <v>101.57</v>
      </c>
      <c r="E406">
        <v>156</v>
      </c>
    </row>
    <row r="407" spans="1:5" x14ac:dyDescent="0.3">
      <c r="A407" t="s">
        <v>73</v>
      </c>
      <c r="B407" s="1">
        <v>44720</v>
      </c>
      <c r="C407">
        <v>3</v>
      </c>
      <c r="D407">
        <v>7.82</v>
      </c>
      <c r="E407">
        <v>13</v>
      </c>
    </row>
    <row r="408" spans="1:5" x14ac:dyDescent="0.3">
      <c r="A408" t="s">
        <v>100</v>
      </c>
      <c r="B408" s="1">
        <v>44720</v>
      </c>
      <c r="C408">
        <v>1</v>
      </c>
      <c r="D408">
        <v>37.46</v>
      </c>
      <c r="E408">
        <v>57</v>
      </c>
    </row>
    <row r="409" spans="1:5" x14ac:dyDescent="0.3">
      <c r="A409" t="s">
        <v>66</v>
      </c>
      <c r="B409" s="1">
        <v>44720</v>
      </c>
      <c r="C409">
        <v>1</v>
      </c>
      <c r="D409">
        <v>34.049999999999997</v>
      </c>
      <c r="E409">
        <v>38</v>
      </c>
    </row>
    <row r="410" spans="1:5" x14ac:dyDescent="0.3">
      <c r="A410" t="s">
        <v>75</v>
      </c>
      <c r="B410" s="1">
        <v>44720</v>
      </c>
      <c r="C410">
        <v>0.06</v>
      </c>
      <c r="D410">
        <v>467.08</v>
      </c>
      <c r="E410">
        <v>664</v>
      </c>
    </row>
    <row r="411" spans="1:5" x14ac:dyDescent="0.3">
      <c r="A411" t="s">
        <v>104</v>
      </c>
      <c r="B411" s="1">
        <v>44720</v>
      </c>
      <c r="C411">
        <v>1</v>
      </c>
      <c r="D411">
        <v>46.77</v>
      </c>
      <c r="E411">
        <v>58</v>
      </c>
    </row>
    <row r="412" spans="1:5" x14ac:dyDescent="0.3">
      <c r="A412" t="s">
        <v>24</v>
      </c>
      <c r="B412" s="1">
        <v>44720</v>
      </c>
      <c r="C412">
        <v>1</v>
      </c>
      <c r="D412">
        <v>99.96</v>
      </c>
      <c r="E412">
        <v>121</v>
      </c>
    </row>
    <row r="413" spans="1:5" x14ac:dyDescent="0.3">
      <c r="A413" t="s">
        <v>114</v>
      </c>
      <c r="B413" s="1">
        <v>44720</v>
      </c>
      <c r="C413">
        <v>1</v>
      </c>
      <c r="D413">
        <v>74.8</v>
      </c>
      <c r="E413">
        <v>92</v>
      </c>
    </row>
    <row r="414" spans="1:5" x14ac:dyDescent="0.3">
      <c r="A414" t="s">
        <v>36</v>
      </c>
      <c r="B414" s="1">
        <v>44720</v>
      </c>
      <c r="C414">
        <v>1</v>
      </c>
      <c r="D414">
        <v>23.73</v>
      </c>
      <c r="E414">
        <v>31</v>
      </c>
    </row>
    <row r="415" spans="1:5" x14ac:dyDescent="0.3">
      <c r="A415" t="s">
        <v>20</v>
      </c>
      <c r="B415" s="1">
        <v>44720</v>
      </c>
      <c r="C415">
        <v>1</v>
      </c>
      <c r="D415">
        <v>19.71</v>
      </c>
      <c r="E415">
        <v>26</v>
      </c>
    </row>
    <row r="416" spans="1:5" x14ac:dyDescent="0.3">
      <c r="A416" t="s">
        <v>110</v>
      </c>
      <c r="B416" s="1">
        <v>44720</v>
      </c>
      <c r="C416">
        <v>1</v>
      </c>
      <c r="D416">
        <v>206.53</v>
      </c>
      <c r="E416">
        <v>273</v>
      </c>
    </row>
    <row r="417" spans="1:5" x14ac:dyDescent="0.3">
      <c r="A417" t="s">
        <v>28</v>
      </c>
      <c r="B417" s="1">
        <v>44720</v>
      </c>
      <c r="C417">
        <v>1</v>
      </c>
      <c r="D417">
        <v>141.08000000000001</v>
      </c>
      <c r="E417">
        <v>205</v>
      </c>
    </row>
    <row r="418" spans="1:5" x14ac:dyDescent="0.3">
      <c r="A418" t="s">
        <v>129</v>
      </c>
      <c r="B418" s="1">
        <v>44720</v>
      </c>
      <c r="C418">
        <v>0.08</v>
      </c>
      <c r="D418">
        <v>495.19</v>
      </c>
      <c r="E418">
        <v>606</v>
      </c>
    </row>
    <row r="419" spans="1:5" x14ac:dyDescent="0.3">
      <c r="A419" t="s">
        <v>114</v>
      </c>
      <c r="B419" s="1">
        <v>44720</v>
      </c>
      <c r="C419">
        <v>1</v>
      </c>
      <c r="D419">
        <v>74.8</v>
      </c>
      <c r="E419">
        <v>92</v>
      </c>
    </row>
    <row r="420" spans="1:5" x14ac:dyDescent="0.3">
      <c r="A420" t="s">
        <v>44</v>
      </c>
      <c r="B420" s="1">
        <v>44720</v>
      </c>
      <c r="C420">
        <v>1</v>
      </c>
      <c r="D420">
        <v>64.53</v>
      </c>
      <c r="E420">
        <v>101</v>
      </c>
    </row>
    <row r="421" spans="1:5" x14ac:dyDescent="0.3">
      <c r="A421" t="s">
        <v>34</v>
      </c>
      <c r="B421" s="1">
        <v>44720</v>
      </c>
      <c r="C421">
        <v>1</v>
      </c>
      <c r="D421">
        <v>202.92</v>
      </c>
      <c r="E421">
        <v>234</v>
      </c>
    </row>
    <row r="422" spans="1:5" x14ac:dyDescent="0.3">
      <c r="A422" t="s">
        <v>55</v>
      </c>
      <c r="B422" s="1">
        <v>44720</v>
      </c>
      <c r="C422">
        <v>1</v>
      </c>
      <c r="D422">
        <v>77.45</v>
      </c>
      <c r="E422">
        <v>95</v>
      </c>
    </row>
    <row r="423" spans="1:5" x14ac:dyDescent="0.3">
      <c r="A423" t="s">
        <v>32</v>
      </c>
      <c r="B423" s="1">
        <v>44720</v>
      </c>
      <c r="C423">
        <v>0.309392</v>
      </c>
      <c r="D423">
        <v>125.73</v>
      </c>
      <c r="E423">
        <v>192</v>
      </c>
    </row>
    <row r="424" spans="1:5" x14ac:dyDescent="0.3">
      <c r="A424" t="s">
        <v>32</v>
      </c>
      <c r="B424" s="1">
        <v>44720</v>
      </c>
      <c r="C424">
        <v>0.690608</v>
      </c>
      <c r="D424">
        <v>125.73</v>
      </c>
      <c r="E424">
        <v>192</v>
      </c>
    </row>
    <row r="425" spans="1:5" x14ac:dyDescent="0.3">
      <c r="A425" t="s">
        <v>106</v>
      </c>
      <c r="B425" s="1">
        <v>44720</v>
      </c>
      <c r="C425">
        <v>0.309392</v>
      </c>
      <c r="D425">
        <v>40.659999999999997</v>
      </c>
      <c r="E425">
        <v>50</v>
      </c>
    </row>
    <row r="426" spans="1:5" x14ac:dyDescent="0.3">
      <c r="A426" t="s">
        <v>106</v>
      </c>
      <c r="B426" s="1">
        <v>44720</v>
      </c>
      <c r="C426">
        <v>0.690608</v>
      </c>
      <c r="D426">
        <v>40.659999999999997</v>
      </c>
      <c r="E426">
        <v>50</v>
      </c>
    </row>
    <row r="427" spans="1:5" x14ac:dyDescent="0.3">
      <c r="A427" t="s">
        <v>25</v>
      </c>
      <c r="B427" s="1">
        <v>44720</v>
      </c>
      <c r="C427">
        <v>1</v>
      </c>
      <c r="D427">
        <v>146.97</v>
      </c>
      <c r="E427">
        <v>177</v>
      </c>
    </row>
    <row r="428" spans="1:5" x14ac:dyDescent="0.3">
      <c r="A428" t="s">
        <v>40</v>
      </c>
      <c r="B428" s="1">
        <v>44720</v>
      </c>
      <c r="C428">
        <v>1</v>
      </c>
      <c r="D428">
        <v>174.03</v>
      </c>
      <c r="E428">
        <v>212</v>
      </c>
    </row>
    <row r="429" spans="1:5" x14ac:dyDescent="0.3">
      <c r="A429" t="s">
        <v>130</v>
      </c>
      <c r="B429" s="1">
        <v>44720</v>
      </c>
      <c r="C429">
        <v>1</v>
      </c>
      <c r="D429">
        <v>23.37</v>
      </c>
      <c r="E429">
        <v>29</v>
      </c>
    </row>
    <row r="430" spans="1:5" x14ac:dyDescent="0.3">
      <c r="A430" t="s">
        <v>54</v>
      </c>
      <c r="B430" s="1">
        <v>44720</v>
      </c>
      <c r="C430">
        <v>1</v>
      </c>
      <c r="D430">
        <v>643.5</v>
      </c>
      <c r="E430">
        <v>831</v>
      </c>
    </row>
    <row r="431" spans="1:5" x14ac:dyDescent="0.3">
      <c r="A431" t="s">
        <v>34</v>
      </c>
      <c r="B431" s="1">
        <v>44720</v>
      </c>
      <c r="C431">
        <v>1</v>
      </c>
      <c r="D431">
        <v>200.19</v>
      </c>
      <c r="E431">
        <v>231</v>
      </c>
    </row>
    <row r="432" spans="1:5" x14ac:dyDescent="0.3">
      <c r="A432" t="s">
        <v>131</v>
      </c>
      <c r="B432" s="1">
        <v>44720</v>
      </c>
      <c r="C432">
        <v>1</v>
      </c>
      <c r="D432">
        <v>367.46</v>
      </c>
      <c r="E432">
        <v>486</v>
      </c>
    </row>
    <row r="433" spans="1:5" x14ac:dyDescent="0.3">
      <c r="A433" t="s">
        <v>124</v>
      </c>
      <c r="B433" s="1">
        <v>44720</v>
      </c>
      <c r="C433">
        <v>1</v>
      </c>
      <c r="D433">
        <v>42.48</v>
      </c>
      <c r="E433">
        <v>69</v>
      </c>
    </row>
    <row r="434" spans="1:5" x14ac:dyDescent="0.3">
      <c r="A434" t="s">
        <v>31</v>
      </c>
      <c r="B434" s="1">
        <v>44720</v>
      </c>
      <c r="C434">
        <v>1</v>
      </c>
      <c r="D434">
        <v>14.1</v>
      </c>
      <c r="E434">
        <v>19</v>
      </c>
    </row>
    <row r="435" spans="1:5" x14ac:dyDescent="0.3">
      <c r="A435" t="s">
        <v>47</v>
      </c>
      <c r="B435" s="1">
        <v>44720</v>
      </c>
      <c r="C435">
        <v>1</v>
      </c>
      <c r="D435">
        <v>43.74</v>
      </c>
      <c r="E435">
        <v>68</v>
      </c>
    </row>
    <row r="436" spans="1:5" x14ac:dyDescent="0.3">
      <c r="A436" t="s">
        <v>129</v>
      </c>
      <c r="B436" s="1">
        <v>44720</v>
      </c>
      <c r="C436">
        <v>0.08</v>
      </c>
      <c r="D436">
        <v>540.89</v>
      </c>
      <c r="E436">
        <v>593</v>
      </c>
    </row>
    <row r="437" spans="1:5" x14ac:dyDescent="0.3">
      <c r="A437" t="s">
        <v>45</v>
      </c>
      <c r="B437" s="1">
        <v>44720</v>
      </c>
      <c r="C437">
        <v>1</v>
      </c>
      <c r="D437">
        <v>29.69</v>
      </c>
      <c r="E437">
        <v>48</v>
      </c>
    </row>
    <row r="438" spans="1:5" x14ac:dyDescent="0.3">
      <c r="A438" t="s">
        <v>21</v>
      </c>
      <c r="B438" s="1">
        <v>44720</v>
      </c>
      <c r="C438">
        <v>1</v>
      </c>
      <c r="D438">
        <v>190.59</v>
      </c>
      <c r="E438">
        <v>262</v>
      </c>
    </row>
    <row r="439" spans="1:5" x14ac:dyDescent="0.3">
      <c r="A439" t="s">
        <v>92</v>
      </c>
      <c r="B439" s="1">
        <v>44720</v>
      </c>
      <c r="C439">
        <v>1</v>
      </c>
      <c r="D439">
        <v>7.26</v>
      </c>
      <c r="E439">
        <v>10</v>
      </c>
    </row>
    <row r="440" spans="1:5" x14ac:dyDescent="0.3">
      <c r="A440" t="s">
        <v>121</v>
      </c>
      <c r="B440" s="1">
        <v>44720</v>
      </c>
      <c r="C440">
        <v>1</v>
      </c>
      <c r="D440">
        <v>9.86</v>
      </c>
      <c r="E440">
        <v>16</v>
      </c>
    </row>
    <row r="441" spans="1:5" x14ac:dyDescent="0.3">
      <c r="A441" t="s">
        <v>89</v>
      </c>
      <c r="B441" s="1">
        <v>44720</v>
      </c>
      <c r="C441">
        <v>1</v>
      </c>
      <c r="D441">
        <v>81.17</v>
      </c>
      <c r="E441">
        <v>116</v>
      </c>
    </row>
    <row r="442" spans="1:5" x14ac:dyDescent="0.3">
      <c r="A442" t="s">
        <v>18</v>
      </c>
      <c r="B442" s="1">
        <v>44720</v>
      </c>
      <c r="C442">
        <v>1</v>
      </c>
      <c r="D442">
        <v>46</v>
      </c>
      <c r="E442">
        <v>72</v>
      </c>
    </row>
    <row r="443" spans="1:5" x14ac:dyDescent="0.3">
      <c r="A443" t="s">
        <v>18</v>
      </c>
      <c r="B443" s="1">
        <v>44720</v>
      </c>
      <c r="C443">
        <v>1</v>
      </c>
      <c r="D443">
        <v>46</v>
      </c>
      <c r="E443">
        <v>72</v>
      </c>
    </row>
    <row r="444" spans="1:5" x14ac:dyDescent="0.3">
      <c r="A444" t="s">
        <v>48</v>
      </c>
      <c r="B444" s="1">
        <v>44720</v>
      </c>
      <c r="C444">
        <v>1</v>
      </c>
      <c r="D444">
        <v>38.82</v>
      </c>
      <c r="E444">
        <v>61</v>
      </c>
    </row>
    <row r="445" spans="1:5" x14ac:dyDescent="0.3">
      <c r="A445" t="s">
        <v>9</v>
      </c>
      <c r="B445" s="1">
        <v>44720</v>
      </c>
      <c r="C445">
        <v>1</v>
      </c>
      <c r="D445">
        <v>80.69</v>
      </c>
      <c r="E445">
        <v>100</v>
      </c>
    </row>
    <row r="446" spans="1:5" x14ac:dyDescent="0.3">
      <c r="A446" t="s">
        <v>64</v>
      </c>
      <c r="B446" s="1">
        <v>44720</v>
      </c>
      <c r="C446">
        <v>1</v>
      </c>
      <c r="D446">
        <v>200.69</v>
      </c>
      <c r="E446">
        <v>267</v>
      </c>
    </row>
    <row r="447" spans="1:5" x14ac:dyDescent="0.3">
      <c r="A447" t="s">
        <v>54</v>
      </c>
      <c r="B447" s="1">
        <v>44720</v>
      </c>
      <c r="C447">
        <v>1</v>
      </c>
      <c r="D447">
        <v>643.5</v>
      </c>
      <c r="E447">
        <v>831</v>
      </c>
    </row>
    <row r="448" spans="1:5" x14ac:dyDescent="0.3">
      <c r="A448" t="s">
        <v>132</v>
      </c>
      <c r="B448" s="1">
        <v>44720</v>
      </c>
      <c r="C448">
        <v>1</v>
      </c>
      <c r="D448">
        <v>58.53</v>
      </c>
      <c r="E448">
        <v>84</v>
      </c>
    </row>
    <row r="449" spans="1:5" x14ac:dyDescent="0.3">
      <c r="A449" t="s">
        <v>65</v>
      </c>
      <c r="B449" s="1">
        <v>44720</v>
      </c>
      <c r="C449">
        <v>1</v>
      </c>
      <c r="D449">
        <v>187.36</v>
      </c>
      <c r="E449">
        <v>220</v>
      </c>
    </row>
    <row r="450" spans="1:5" x14ac:dyDescent="0.3">
      <c r="A450" t="s">
        <v>16</v>
      </c>
      <c r="B450" s="1">
        <v>44720</v>
      </c>
      <c r="C450">
        <v>1</v>
      </c>
      <c r="D450">
        <v>43.52</v>
      </c>
      <c r="E450">
        <v>69</v>
      </c>
    </row>
    <row r="451" spans="1:5" x14ac:dyDescent="0.3">
      <c r="A451" t="s">
        <v>16</v>
      </c>
      <c r="B451" s="1">
        <v>44720</v>
      </c>
      <c r="C451">
        <v>1</v>
      </c>
      <c r="D451">
        <v>43.52</v>
      </c>
      <c r="E451">
        <v>69</v>
      </c>
    </row>
    <row r="452" spans="1:5" x14ac:dyDescent="0.3">
      <c r="A452" t="s">
        <v>26</v>
      </c>
      <c r="B452" s="1">
        <v>44720</v>
      </c>
      <c r="C452">
        <v>0.1</v>
      </c>
      <c r="D452">
        <v>991.65</v>
      </c>
      <c r="E452">
        <v>1240</v>
      </c>
    </row>
    <row r="453" spans="1:5" x14ac:dyDescent="0.3">
      <c r="A453" t="s">
        <v>105</v>
      </c>
      <c r="B453" s="1">
        <v>44720</v>
      </c>
      <c r="C453">
        <v>1</v>
      </c>
      <c r="D453">
        <v>27.72</v>
      </c>
      <c r="E453">
        <v>45</v>
      </c>
    </row>
    <row r="454" spans="1:5" x14ac:dyDescent="0.3">
      <c r="A454" t="s">
        <v>9</v>
      </c>
      <c r="B454" s="1">
        <v>44720</v>
      </c>
      <c r="C454">
        <v>1</v>
      </c>
      <c r="D454">
        <v>80.69</v>
      </c>
      <c r="E454">
        <v>100</v>
      </c>
    </row>
    <row r="455" spans="1:5" x14ac:dyDescent="0.3">
      <c r="A455" t="s">
        <v>118</v>
      </c>
      <c r="B455" s="1">
        <v>44720</v>
      </c>
      <c r="C455">
        <v>1</v>
      </c>
      <c r="D455">
        <v>10.78</v>
      </c>
      <c r="E455">
        <v>13</v>
      </c>
    </row>
    <row r="456" spans="1:5" x14ac:dyDescent="0.3">
      <c r="A456" t="s">
        <v>69</v>
      </c>
      <c r="B456" s="1">
        <v>44720</v>
      </c>
      <c r="C456">
        <v>1</v>
      </c>
      <c r="D456">
        <v>19.989999999999998</v>
      </c>
      <c r="E456">
        <v>24</v>
      </c>
    </row>
    <row r="457" spans="1:5" x14ac:dyDescent="0.3">
      <c r="A457" t="s">
        <v>69</v>
      </c>
      <c r="B457" s="1">
        <v>44720</v>
      </c>
      <c r="C457">
        <v>1</v>
      </c>
      <c r="D457">
        <v>19.989999999999998</v>
      </c>
      <c r="E457">
        <v>24</v>
      </c>
    </row>
    <row r="458" spans="1:5" x14ac:dyDescent="0.3">
      <c r="A458" t="s">
        <v>8</v>
      </c>
      <c r="B458" s="1">
        <v>44720</v>
      </c>
      <c r="C458">
        <v>2</v>
      </c>
      <c r="D458">
        <v>47.67</v>
      </c>
      <c r="E458">
        <v>77</v>
      </c>
    </row>
    <row r="459" spans="1:5" x14ac:dyDescent="0.3">
      <c r="A459" t="s">
        <v>53</v>
      </c>
      <c r="B459" s="1">
        <v>44720</v>
      </c>
      <c r="C459">
        <v>1</v>
      </c>
      <c r="D459">
        <v>23.4</v>
      </c>
      <c r="E459">
        <v>38</v>
      </c>
    </row>
    <row r="460" spans="1:5" x14ac:dyDescent="0.3">
      <c r="A460" t="s">
        <v>42</v>
      </c>
      <c r="B460" s="1">
        <v>44720</v>
      </c>
      <c r="C460">
        <v>1</v>
      </c>
      <c r="D460">
        <v>566.04</v>
      </c>
      <c r="E460">
        <v>651</v>
      </c>
    </row>
    <row r="461" spans="1:5" x14ac:dyDescent="0.3">
      <c r="A461" t="s">
        <v>48</v>
      </c>
      <c r="B461" s="1">
        <v>44720</v>
      </c>
      <c r="C461">
        <v>1</v>
      </c>
      <c r="D461">
        <v>38.82</v>
      </c>
      <c r="E461">
        <v>61</v>
      </c>
    </row>
    <row r="462" spans="1:5" x14ac:dyDescent="0.3">
      <c r="A462" t="s">
        <v>48</v>
      </c>
      <c r="B462" s="1">
        <v>44720</v>
      </c>
      <c r="C462">
        <v>1</v>
      </c>
      <c r="D462">
        <v>38.82</v>
      </c>
      <c r="E462">
        <v>61</v>
      </c>
    </row>
    <row r="463" spans="1:5" x14ac:dyDescent="0.3">
      <c r="A463" t="s">
        <v>89</v>
      </c>
      <c r="B463" s="1">
        <v>44720</v>
      </c>
      <c r="C463">
        <v>1</v>
      </c>
      <c r="D463">
        <v>86.16</v>
      </c>
      <c r="E463">
        <v>123</v>
      </c>
    </row>
    <row r="464" spans="1:5" x14ac:dyDescent="0.3">
      <c r="A464" t="s">
        <v>74</v>
      </c>
      <c r="B464" s="1">
        <v>44720</v>
      </c>
      <c r="C464">
        <v>1</v>
      </c>
      <c r="D464">
        <v>87.69</v>
      </c>
      <c r="E464">
        <v>109</v>
      </c>
    </row>
    <row r="465" spans="1:5" x14ac:dyDescent="0.3">
      <c r="A465" t="s">
        <v>22</v>
      </c>
      <c r="B465" s="1">
        <v>44720</v>
      </c>
      <c r="C465">
        <v>1</v>
      </c>
      <c r="D465">
        <v>30.3</v>
      </c>
      <c r="E465">
        <v>49</v>
      </c>
    </row>
    <row r="466" spans="1:5" x14ac:dyDescent="0.3">
      <c r="A466" t="s">
        <v>52</v>
      </c>
      <c r="B466" s="1">
        <v>44720</v>
      </c>
      <c r="C466">
        <v>1</v>
      </c>
      <c r="D466">
        <v>221.19</v>
      </c>
      <c r="E466">
        <v>262</v>
      </c>
    </row>
    <row r="467" spans="1:5" x14ac:dyDescent="0.3">
      <c r="A467" t="s">
        <v>54</v>
      </c>
      <c r="B467" s="1">
        <v>44720</v>
      </c>
      <c r="C467">
        <v>1</v>
      </c>
      <c r="D467">
        <v>643.5</v>
      </c>
      <c r="E467">
        <v>831</v>
      </c>
    </row>
    <row r="468" spans="1:5" x14ac:dyDescent="0.3">
      <c r="A468" t="s">
        <v>9</v>
      </c>
      <c r="B468" s="1">
        <v>44720</v>
      </c>
      <c r="C468">
        <v>1</v>
      </c>
      <c r="D468">
        <v>81.17</v>
      </c>
      <c r="E468">
        <v>99</v>
      </c>
    </row>
    <row r="469" spans="1:5" x14ac:dyDescent="0.3">
      <c r="A469" t="s">
        <v>9</v>
      </c>
      <c r="B469" s="1">
        <v>44720</v>
      </c>
      <c r="C469">
        <v>1</v>
      </c>
      <c r="D469">
        <v>81.17</v>
      </c>
      <c r="E469">
        <v>99</v>
      </c>
    </row>
    <row r="470" spans="1:5" x14ac:dyDescent="0.3">
      <c r="A470" t="s">
        <v>63</v>
      </c>
      <c r="B470" s="1">
        <v>44720</v>
      </c>
      <c r="C470">
        <v>1</v>
      </c>
      <c r="D470">
        <v>73.510000000000005</v>
      </c>
      <c r="E470">
        <v>89</v>
      </c>
    </row>
    <row r="471" spans="1:5" x14ac:dyDescent="0.3">
      <c r="A471" t="s">
        <v>63</v>
      </c>
      <c r="B471" s="1">
        <v>44720</v>
      </c>
      <c r="C471">
        <v>1</v>
      </c>
      <c r="D471">
        <v>73.510000000000005</v>
      </c>
      <c r="E471">
        <v>89</v>
      </c>
    </row>
    <row r="472" spans="1:5" x14ac:dyDescent="0.3">
      <c r="A472" t="s">
        <v>63</v>
      </c>
      <c r="B472" s="1">
        <v>44720</v>
      </c>
      <c r="C472">
        <v>1</v>
      </c>
      <c r="D472">
        <v>73.510000000000005</v>
      </c>
      <c r="E472">
        <v>89</v>
      </c>
    </row>
    <row r="473" spans="1:5" x14ac:dyDescent="0.3">
      <c r="A473" t="s">
        <v>57</v>
      </c>
      <c r="B473" s="1">
        <v>44720</v>
      </c>
      <c r="C473">
        <v>1</v>
      </c>
      <c r="D473">
        <v>239.58</v>
      </c>
      <c r="E473">
        <v>300</v>
      </c>
    </row>
    <row r="474" spans="1:5" x14ac:dyDescent="0.3">
      <c r="A474" t="s">
        <v>133</v>
      </c>
      <c r="B474" s="1">
        <v>44720</v>
      </c>
      <c r="C474">
        <v>50</v>
      </c>
      <c r="D474">
        <v>5.08</v>
      </c>
      <c r="E474">
        <v>9</v>
      </c>
    </row>
    <row r="475" spans="1:5" x14ac:dyDescent="0.3">
      <c r="A475" t="s">
        <v>42</v>
      </c>
      <c r="B475" s="1">
        <v>44720</v>
      </c>
      <c r="C475">
        <v>1</v>
      </c>
      <c r="D475">
        <v>566.04</v>
      </c>
      <c r="E475">
        <v>651</v>
      </c>
    </row>
    <row r="476" spans="1:5" x14ac:dyDescent="0.3">
      <c r="A476" t="s">
        <v>12</v>
      </c>
      <c r="B476" s="1">
        <v>44720</v>
      </c>
      <c r="C476">
        <v>1</v>
      </c>
      <c r="D476">
        <v>56.39</v>
      </c>
      <c r="E476">
        <v>70</v>
      </c>
    </row>
    <row r="477" spans="1:5" x14ac:dyDescent="0.3">
      <c r="A477" t="s">
        <v>56</v>
      </c>
      <c r="B477" s="1">
        <v>44720</v>
      </c>
      <c r="C477">
        <v>1</v>
      </c>
      <c r="D477">
        <v>46.37</v>
      </c>
      <c r="E477">
        <v>72</v>
      </c>
    </row>
    <row r="478" spans="1:5" x14ac:dyDescent="0.3">
      <c r="A478" t="s">
        <v>56</v>
      </c>
      <c r="B478" s="1">
        <v>44720</v>
      </c>
      <c r="C478">
        <v>1</v>
      </c>
      <c r="D478">
        <v>46.37</v>
      </c>
      <c r="E478">
        <v>72</v>
      </c>
    </row>
    <row r="479" spans="1:5" x14ac:dyDescent="0.3">
      <c r="A479" t="s">
        <v>51</v>
      </c>
      <c r="B479" s="1">
        <v>44720</v>
      </c>
      <c r="C479">
        <v>4</v>
      </c>
      <c r="D479">
        <v>2.0099999999999998</v>
      </c>
      <c r="E479">
        <v>4</v>
      </c>
    </row>
    <row r="480" spans="1:5" x14ac:dyDescent="0.3">
      <c r="A480" t="s">
        <v>51</v>
      </c>
      <c r="B480" s="1">
        <v>44720</v>
      </c>
      <c r="C480">
        <v>4</v>
      </c>
      <c r="D480">
        <v>2.0099999999999998</v>
      </c>
      <c r="E480">
        <v>4</v>
      </c>
    </row>
    <row r="481" spans="1:5" x14ac:dyDescent="0.3">
      <c r="A481" t="s">
        <v>31</v>
      </c>
      <c r="B481" s="1">
        <v>44720</v>
      </c>
      <c r="C481">
        <v>1</v>
      </c>
      <c r="D481">
        <v>13.19</v>
      </c>
      <c r="E481">
        <v>18</v>
      </c>
    </row>
    <row r="482" spans="1:5" x14ac:dyDescent="0.3">
      <c r="A482" t="s">
        <v>31</v>
      </c>
      <c r="B482" s="1">
        <v>44720</v>
      </c>
      <c r="C482">
        <v>1</v>
      </c>
      <c r="D482">
        <v>13.19</v>
      </c>
      <c r="E482">
        <v>18</v>
      </c>
    </row>
    <row r="483" spans="1:5" x14ac:dyDescent="0.3">
      <c r="A483" t="s">
        <v>31</v>
      </c>
      <c r="B483" s="1">
        <v>44720</v>
      </c>
      <c r="C483">
        <v>1</v>
      </c>
      <c r="D483">
        <v>13.19</v>
      </c>
      <c r="E483">
        <v>18</v>
      </c>
    </row>
    <row r="484" spans="1:5" x14ac:dyDescent="0.3">
      <c r="A484" t="s">
        <v>20</v>
      </c>
      <c r="B484" s="1">
        <v>44720</v>
      </c>
      <c r="C484">
        <v>1</v>
      </c>
      <c r="D484">
        <v>21.62</v>
      </c>
      <c r="E484">
        <v>28</v>
      </c>
    </row>
    <row r="485" spans="1:5" x14ac:dyDescent="0.3">
      <c r="A485" t="s">
        <v>82</v>
      </c>
      <c r="B485" s="1">
        <v>44720</v>
      </c>
      <c r="C485">
        <v>1</v>
      </c>
      <c r="D485">
        <v>34.270000000000003</v>
      </c>
      <c r="E485">
        <v>43</v>
      </c>
    </row>
    <row r="486" spans="1:5" x14ac:dyDescent="0.3">
      <c r="A486" t="s">
        <v>57</v>
      </c>
      <c r="B486" s="1">
        <v>44720</v>
      </c>
      <c r="C486">
        <v>1</v>
      </c>
      <c r="D486">
        <v>232.7</v>
      </c>
      <c r="E486">
        <v>291</v>
      </c>
    </row>
    <row r="487" spans="1:5" x14ac:dyDescent="0.3">
      <c r="A487" t="s">
        <v>134</v>
      </c>
      <c r="B487" s="1">
        <v>44720</v>
      </c>
      <c r="C487">
        <v>1</v>
      </c>
      <c r="D487">
        <v>26.86</v>
      </c>
      <c r="E487">
        <v>43</v>
      </c>
    </row>
    <row r="488" spans="1:5" x14ac:dyDescent="0.3">
      <c r="A488" t="s">
        <v>75</v>
      </c>
      <c r="B488" s="1">
        <v>44720</v>
      </c>
      <c r="C488">
        <v>0.02</v>
      </c>
      <c r="D488">
        <v>466.47</v>
      </c>
      <c r="E488">
        <v>710</v>
      </c>
    </row>
    <row r="489" spans="1:5" x14ac:dyDescent="0.3">
      <c r="A489" t="s">
        <v>132</v>
      </c>
      <c r="B489" s="1">
        <v>44720</v>
      </c>
      <c r="C489">
        <v>1</v>
      </c>
      <c r="D489">
        <v>60.02</v>
      </c>
      <c r="E489">
        <v>88</v>
      </c>
    </row>
    <row r="490" spans="1:5" x14ac:dyDescent="0.3">
      <c r="A490" t="s">
        <v>5</v>
      </c>
      <c r="B490" s="1">
        <v>44720</v>
      </c>
      <c r="C490">
        <v>1</v>
      </c>
      <c r="D490">
        <v>130.04</v>
      </c>
      <c r="E490">
        <v>157</v>
      </c>
    </row>
    <row r="491" spans="1:5" x14ac:dyDescent="0.3">
      <c r="A491" t="s">
        <v>132</v>
      </c>
      <c r="B491" s="1">
        <v>44720</v>
      </c>
      <c r="C491">
        <v>1</v>
      </c>
      <c r="D491">
        <v>58.53</v>
      </c>
      <c r="E491">
        <v>88</v>
      </c>
    </row>
    <row r="492" spans="1:5" x14ac:dyDescent="0.3">
      <c r="A492" t="s">
        <v>135</v>
      </c>
      <c r="B492" s="1">
        <v>44720</v>
      </c>
      <c r="C492">
        <v>1</v>
      </c>
      <c r="D492">
        <v>73.260000000000005</v>
      </c>
      <c r="E492">
        <v>91</v>
      </c>
    </row>
    <row r="493" spans="1:5" x14ac:dyDescent="0.3">
      <c r="A493" t="s">
        <v>135</v>
      </c>
      <c r="B493" s="1">
        <v>44720</v>
      </c>
      <c r="C493">
        <v>1</v>
      </c>
      <c r="D493">
        <v>73.260000000000005</v>
      </c>
      <c r="E493">
        <v>91</v>
      </c>
    </row>
    <row r="494" spans="1:5" x14ac:dyDescent="0.3">
      <c r="A494" t="s">
        <v>20</v>
      </c>
      <c r="B494" s="1">
        <v>44720</v>
      </c>
      <c r="C494">
        <v>1</v>
      </c>
      <c r="D494">
        <v>21.62</v>
      </c>
      <c r="E494">
        <v>28</v>
      </c>
    </row>
    <row r="495" spans="1:5" x14ac:dyDescent="0.3">
      <c r="A495" t="s">
        <v>20</v>
      </c>
      <c r="B495" s="1">
        <v>44720</v>
      </c>
      <c r="C495">
        <v>1</v>
      </c>
      <c r="D495">
        <v>21.62</v>
      </c>
      <c r="E495">
        <v>28</v>
      </c>
    </row>
    <row r="496" spans="1:5" x14ac:dyDescent="0.3">
      <c r="A496" t="s">
        <v>99</v>
      </c>
      <c r="B496" s="1">
        <v>44720</v>
      </c>
      <c r="C496">
        <v>1</v>
      </c>
      <c r="D496">
        <v>64.25</v>
      </c>
      <c r="E496">
        <v>76</v>
      </c>
    </row>
    <row r="497" spans="1:5" x14ac:dyDescent="0.3">
      <c r="A497" t="s">
        <v>20</v>
      </c>
      <c r="B497" s="1">
        <v>44720</v>
      </c>
      <c r="C497">
        <v>1</v>
      </c>
      <c r="D497">
        <v>20.77</v>
      </c>
      <c r="E497">
        <v>26</v>
      </c>
    </row>
    <row r="498" spans="1:5" x14ac:dyDescent="0.3">
      <c r="A498" t="s">
        <v>48</v>
      </c>
      <c r="B498" s="1">
        <v>44720</v>
      </c>
      <c r="C498">
        <v>1</v>
      </c>
      <c r="D498">
        <v>39.92</v>
      </c>
      <c r="E498">
        <v>63</v>
      </c>
    </row>
    <row r="499" spans="1:5" x14ac:dyDescent="0.3">
      <c r="A499" t="s">
        <v>36</v>
      </c>
      <c r="B499" s="1">
        <v>44720</v>
      </c>
      <c r="C499">
        <v>1</v>
      </c>
      <c r="D499">
        <v>26.53</v>
      </c>
      <c r="E499">
        <v>34</v>
      </c>
    </row>
    <row r="500" spans="1:5" x14ac:dyDescent="0.3">
      <c r="A500" t="s">
        <v>95</v>
      </c>
      <c r="B500" s="1">
        <v>44720</v>
      </c>
      <c r="C500">
        <v>0.3</v>
      </c>
      <c r="D500">
        <v>113.11</v>
      </c>
      <c r="E500">
        <v>174</v>
      </c>
    </row>
    <row r="501" spans="1:5" x14ac:dyDescent="0.3">
      <c r="A501" t="s">
        <v>47</v>
      </c>
      <c r="B501" s="1">
        <v>44720</v>
      </c>
      <c r="C501">
        <v>1</v>
      </c>
      <c r="D501">
        <v>43.45</v>
      </c>
      <c r="E501">
        <v>67</v>
      </c>
    </row>
    <row r="502" spans="1:5" x14ac:dyDescent="0.3">
      <c r="A502" t="s">
        <v>36</v>
      </c>
      <c r="B502" s="1">
        <v>44720</v>
      </c>
      <c r="C502">
        <v>1</v>
      </c>
      <c r="D502">
        <v>26.53</v>
      </c>
      <c r="E502">
        <v>34</v>
      </c>
    </row>
    <row r="503" spans="1:5" x14ac:dyDescent="0.3">
      <c r="A503" t="s">
        <v>50</v>
      </c>
      <c r="B503" s="1">
        <v>44720</v>
      </c>
      <c r="C503">
        <v>1</v>
      </c>
      <c r="D503">
        <v>42.95</v>
      </c>
      <c r="E503">
        <v>54</v>
      </c>
    </row>
    <row r="504" spans="1:5" x14ac:dyDescent="0.3">
      <c r="A504" t="s">
        <v>11</v>
      </c>
      <c r="B504" s="1">
        <v>44720</v>
      </c>
      <c r="C504">
        <v>1</v>
      </c>
      <c r="D504">
        <v>24.2</v>
      </c>
      <c r="E504">
        <v>39</v>
      </c>
    </row>
    <row r="505" spans="1:5" x14ac:dyDescent="0.3">
      <c r="A505" t="s">
        <v>26</v>
      </c>
      <c r="B505" s="1">
        <v>44720</v>
      </c>
      <c r="C505">
        <v>0.2</v>
      </c>
      <c r="D505">
        <v>979.4</v>
      </c>
      <c r="E505">
        <v>1342</v>
      </c>
    </row>
    <row r="506" spans="1:5" x14ac:dyDescent="0.3">
      <c r="A506" t="s">
        <v>18</v>
      </c>
      <c r="B506" s="1">
        <v>44720</v>
      </c>
      <c r="C506">
        <v>1</v>
      </c>
      <c r="D506">
        <v>46</v>
      </c>
      <c r="E506">
        <v>70</v>
      </c>
    </row>
    <row r="507" spans="1:5" x14ac:dyDescent="0.3">
      <c r="A507" t="s">
        <v>52</v>
      </c>
      <c r="B507" s="1">
        <v>44720</v>
      </c>
      <c r="C507">
        <v>1</v>
      </c>
      <c r="D507">
        <v>202.48</v>
      </c>
      <c r="E507">
        <v>243</v>
      </c>
    </row>
    <row r="508" spans="1:5" x14ac:dyDescent="0.3">
      <c r="A508" t="s">
        <v>23</v>
      </c>
      <c r="B508" s="1">
        <v>44720</v>
      </c>
      <c r="C508">
        <v>1</v>
      </c>
      <c r="D508">
        <v>110.21</v>
      </c>
      <c r="E508">
        <v>124</v>
      </c>
    </row>
    <row r="509" spans="1:5" x14ac:dyDescent="0.3">
      <c r="A509" t="s">
        <v>28</v>
      </c>
      <c r="B509" s="1">
        <v>44720</v>
      </c>
      <c r="C509">
        <v>1</v>
      </c>
      <c r="D509">
        <v>147.97</v>
      </c>
      <c r="E509">
        <v>209</v>
      </c>
    </row>
    <row r="510" spans="1:5" x14ac:dyDescent="0.3">
      <c r="A510" t="s">
        <v>63</v>
      </c>
      <c r="B510" s="1">
        <v>44720</v>
      </c>
      <c r="C510">
        <v>1</v>
      </c>
      <c r="D510">
        <v>73.13</v>
      </c>
      <c r="E510">
        <v>96</v>
      </c>
    </row>
    <row r="511" spans="1:5" x14ac:dyDescent="0.3">
      <c r="A511" t="s">
        <v>63</v>
      </c>
      <c r="B511" s="1">
        <v>44720</v>
      </c>
      <c r="C511">
        <v>1</v>
      </c>
      <c r="D511">
        <v>73.13</v>
      </c>
      <c r="E511">
        <v>96</v>
      </c>
    </row>
    <row r="512" spans="1:5" x14ac:dyDescent="0.3">
      <c r="A512" t="s">
        <v>63</v>
      </c>
      <c r="B512" s="1">
        <v>44720</v>
      </c>
      <c r="C512">
        <v>1</v>
      </c>
      <c r="D512">
        <v>72.03</v>
      </c>
      <c r="E512">
        <v>94</v>
      </c>
    </row>
    <row r="513" spans="1:5" x14ac:dyDescent="0.3">
      <c r="A513" t="s">
        <v>49</v>
      </c>
      <c r="B513" s="1">
        <v>44720</v>
      </c>
      <c r="C513">
        <v>1</v>
      </c>
      <c r="D513">
        <v>15.8</v>
      </c>
      <c r="E513">
        <v>19</v>
      </c>
    </row>
    <row r="514" spans="1:5" x14ac:dyDescent="0.3">
      <c r="A514" t="s">
        <v>124</v>
      </c>
      <c r="B514" s="1">
        <v>44720</v>
      </c>
      <c r="C514">
        <v>1</v>
      </c>
      <c r="D514">
        <v>48.86</v>
      </c>
      <c r="E514">
        <v>79</v>
      </c>
    </row>
    <row r="515" spans="1:5" x14ac:dyDescent="0.3">
      <c r="A515" t="s">
        <v>51</v>
      </c>
      <c r="B515" s="1">
        <v>44720</v>
      </c>
      <c r="C515">
        <v>8</v>
      </c>
      <c r="D515">
        <v>2.0099999999999998</v>
      </c>
      <c r="E515">
        <v>4</v>
      </c>
    </row>
    <row r="516" spans="1:5" x14ac:dyDescent="0.3">
      <c r="A516" t="s">
        <v>20</v>
      </c>
      <c r="B516" s="1">
        <v>44720</v>
      </c>
      <c r="C516">
        <v>1</v>
      </c>
      <c r="D516">
        <v>20.77</v>
      </c>
      <c r="E516">
        <v>26</v>
      </c>
    </row>
    <row r="517" spans="1:5" x14ac:dyDescent="0.3">
      <c r="A517" t="s">
        <v>21</v>
      </c>
      <c r="B517" s="1">
        <v>44720</v>
      </c>
      <c r="C517">
        <v>1</v>
      </c>
      <c r="D517">
        <v>184.75</v>
      </c>
      <c r="E517">
        <v>250</v>
      </c>
    </row>
    <row r="518" spans="1:5" x14ac:dyDescent="0.3">
      <c r="A518" t="s">
        <v>95</v>
      </c>
      <c r="B518" s="1">
        <v>44720</v>
      </c>
      <c r="C518">
        <v>0.9</v>
      </c>
      <c r="D518">
        <v>130.88999999999999</v>
      </c>
      <c r="E518">
        <v>206</v>
      </c>
    </row>
    <row r="519" spans="1:5" x14ac:dyDescent="0.3">
      <c r="A519" t="s">
        <v>106</v>
      </c>
      <c r="B519" s="1">
        <v>44720</v>
      </c>
      <c r="C519">
        <v>0.8</v>
      </c>
      <c r="D519">
        <v>40.17</v>
      </c>
      <c r="E519">
        <v>50</v>
      </c>
    </row>
    <row r="520" spans="1:5" x14ac:dyDescent="0.3">
      <c r="A520" t="s">
        <v>44</v>
      </c>
      <c r="B520" s="1">
        <v>44720</v>
      </c>
      <c r="C520">
        <v>1</v>
      </c>
      <c r="D520">
        <v>64.53</v>
      </c>
      <c r="E520">
        <v>101</v>
      </c>
    </row>
    <row r="521" spans="1:5" x14ac:dyDescent="0.3">
      <c r="A521" t="s">
        <v>85</v>
      </c>
      <c r="B521" s="1">
        <v>44720</v>
      </c>
      <c r="C521">
        <v>1</v>
      </c>
      <c r="D521">
        <v>13.61</v>
      </c>
      <c r="E521">
        <v>22</v>
      </c>
    </row>
    <row r="522" spans="1:5" x14ac:dyDescent="0.3">
      <c r="A522" t="s">
        <v>85</v>
      </c>
      <c r="B522" s="1">
        <v>44720</v>
      </c>
      <c r="C522">
        <v>1</v>
      </c>
      <c r="D522">
        <v>15.51</v>
      </c>
      <c r="E522">
        <v>25</v>
      </c>
    </row>
    <row r="523" spans="1:5" x14ac:dyDescent="0.3">
      <c r="A523" t="s">
        <v>85</v>
      </c>
      <c r="B523" s="1">
        <v>44720</v>
      </c>
      <c r="C523">
        <v>1</v>
      </c>
      <c r="D523">
        <v>15.51</v>
      </c>
      <c r="E523">
        <v>25</v>
      </c>
    </row>
    <row r="524" spans="1:5" x14ac:dyDescent="0.3">
      <c r="A524" t="s">
        <v>98</v>
      </c>
      <c r="B524" s="1">
        <v>44720</v>
      </c>
      <c r="C524">
        <v>1</v>
      </c>
      <c r="D524">
        <v>111.32</v>
      </c>
      <c r="E524">
        <v>133</v>
      </c>
    </row>
    <row r="525" spans="1:5" x14ac:dyDescent="0.3">
      <c r="A525" t="s">
        <v>132</v>
      </c>
      <c r="B525" s="1">
        <v>44720</v>
      </c>
      <c r="C525">
        <v>1</v>
      </c>
      <c r="D525">
        <v>61.16</v>
      </c>
      <c r="E525">
        <v>90</v>
      </c>
    </row>
    <row r="526" spans="1:5" x14ac:dyDescent="0.3">
      <c r="A526" t="s">
        <v>10</v>
      </c>
      <c r="B526" s="1">
        <v>44720</v>
      </c>
      <c r="C526">
        <v>1</v>
      </c>
      <c r="D526">
        <v>11.33</v>
      </c>
      <c r="E526">
        <v>13</v>
      </c>
    </row>
    <row r="527" spans="1:5" x14ac:dyDescent="0.3">
      <c r="A527" t="s">
        <v>10</v>
      </c>
      <c r="B527" s="1">
        <v>44720</v>
      </c>
      <c r="C527">
        <v>1</v>
      </c>
      <c r="D527">
        <v>11.33</v>
      </c>
      <c r="E527">
        <v>13</v>
      </c>
    </row>
    <row r="528" spans="1:5" x14ac:dyDescent="0.3">
      <c r="A528" t="s">
        <v>75</v>
      </c>
      <c r="B528" s="1">
        <v>44720</v>
      </c>
      <c r="C528">
        <v>1.2</v>
      </c>
      <c r="D528">
        <v>468.33</v>
      </c>
      <c r="E528">
        <v>712</v>
      </c>
    </row>
    <row r="529" spans="1:5" x14ac:dyDescent="0.3">
      <c r="A529" t="s">
        <v>128</v>
      </c>
      <c r="B529" s="1">
        <v>44720</v>
      </c>
      <c r="C529">
        <v>1</v>
      </c>
      <c r="D529">
        <v>255.9</v>
      </c>
      <c r="E529">
        <v>338</v>
      </c>
    </row>
    <row r="530" spans="1:5" x14ac:dyDescent="0.3">
      <c r="A530" t="s">
        <v>124</v>
      </c>
      <c r="B530" s="1">
        <v>44720</v>
      </c>
      <c r="C530">
        <v>1</v>
      </c>
      <c r="D530">
        <v>48.86</v>
      </c>
      <c r="E530">
        <v>79</v>
      </c>
    </row>
    <row r="531" spans="1:5" x14ac:dyDescent="0.3">
      <c r="A531" t="s">
        <v>79</v>
      </c>
      <c r="B531" s="1">
        <v>44720</v>
      </c>
      <c r="C531">
        <v>1</v>
      </c>
      <c r="D531">
        <v>148.5</v>
      </c>
      <c r="E531">
        <v>177</v>
      </c>
    </row>
    <row r="532" spans="1:5" x14ac:dyDescent="0.3">
      <c r="A532" t="s">
        <v>90</v>
      </c>
      <c r="B532" s="1">
        <v>44720</v>
      </c>
      <c r="C532">
        <v>1</v>
      </c>
      <c r="D532">
        <v>397.02</v>
      </c>
      <c r="E532">
        <v>477</v>
      </c>
    </row>
    <row r="533" spans="1:5" x14ac:dyDescent="0.3">
      <c r="A533" t="s">
        <v>30</v>
      </c>
      <c r="B533" s="1">
        <v>44720</v>
      </c>
      <c r="C533">
        <v>1</v>
      </c>
      <c r="D533">
        <v>156.19999999999999</v>
      </c>
      <c r="E533">
        <v>186</v>
      </c>
    </row>
    <row r="534" spans="1:5" x14ac:dyDescent="0.3">
      <c r="A534" t="s">
        <v>49</v>
      </c>
      <c r="B534" s="1">
        <v>44720</v>
      </c>
      <c r="C534">
        <v>1</v>
      </c>
      <c r="D534">
        <v>15.82</v>
      </c>
      <c r="E534">
        <v>20</v>
      </c>
    </row>
    <row r="535" spans="1:5" x14ac:dyDescent="0.3">
      <c r="A535" t="s">
        <v>49</v>
      </c>
      <c r="B535" s="1">
        <v>44720</v>
      </c>
      <c r="C535">
        <v>1</v>
      </c>
      <c r="D535">
        <v>15.82</v>
      </c>
      <c r="E535">
        <v>20</v>
      </c>
    </row>
    <row r="536" spans="1:5" x14ac:dyDescent="0.3">
      <c r="A536" t="s">
        <v>100</v>
      </c>
      <c r="B536" s="1">
        <v>44720</v>
      </c>
      <c r="C536">
        <v>1</v>
      </c>
      <c r="D536">
        <v>38.07</v>
      </c>
      <c r="E536">
        <v>59</v>
      </c>
    </row>
    <row r="537" spans="1:5" x14ac:dyDescent="0.3">
      <c r="A537" t="s">
        <v>100</v>
      </c>
      <c r="B537" s="1">
        <v>44720</v>
      </c>
      <c r="C537">
        <v>1</v>
      </c>
      <c r="D537">
        <v>38.07</v>
      </c>
      <c r="E537">
        <v>59</v>
      </c>
    </row>
    <row r="538" spans="1:5" x14ac:dyDescent="0.3">
      <c r="A538" t="s">
        <v>98</v>
      </c>
      <c r="B538" s="1">
        <v>44720</v>
      </c>
      <c r="C538">
        <v>1</v>
      </c>
      <c r="D538">
        <v>111.32</v>
      </c>
      <c r="E538">
        <v>134</v>
      </c>
    </row>
    <row r="539" spans="1:5" x14ac:dyDescent="0.3">
      <c r="A539" t="s">
        <v>99</v>
      </c>
      <c r="B539" s="1">
        <v>44720</v>
      </c>
      <c r="C539">
        <v>1</v>
      </c>
      <c r="D539">
        <v>64.25</v>
      </c>
      <c r="E539">
        <v>76</v>
      </c>
    </row>
    <row r="540" spans="1:5" x14ac:dyDescent="0.3">
      <c r="A540" t="s">
        <v>99</v>
      </c>
      <c r="B540" s="1">
        <v>44720</v>
      </c>
      <c r="C540">
        <v>1</v>
      </c>
      <c r="D540">
        <v>64.25</v>
      </c>
      <c r="E540">
        <v>76</v>
      </c>
    </row>
    <row r="541" spans="1:5" x14ac:dyDescent="0.3">
      <c r="A541" t="s">
        <v>50</v>
      </c>
      <c r="B541" s="1">
        <v>44720</v>
      </c>
      <c r="C541">
        <v>1</v>
      </c>
      <c r="D541">
        <v>43.55</v>
      </c>
      <c r="E541">
        <v>54</v>
      </c>
    </row>
    <row r="542" spans="1:5" x14ac:dyDescent="0.3">
      <c r="A542" t="s">
        <v>39</v>
      </c>
      <c r="B542" s="1">
        <v>44720</v>
      </c>
      <c r="C542">
        <v>10</v>
      </c>
      <c r="D542">
        <v>9.8800000000000008</v>
      </c>
      <c r="E542">
        <v>16</v>
      </c>
    </row>
    <row r="543" spans="1:5" x14ac:dyDescent="0.3">
      <c r="A543" t="s">
        <v>60</v>
      </c>
      <c r="B543" s="1">
        <v>44720</v>
      </c>
      <c r="C543">
        <v>1</v>
      </c>
      <c r="D543">
        <v>56.76</v>
      </c>
      <c r="E543">
        <v>71</v>
      </c>
    </row>
    <row r="544" spans="1:5" x14ac:dyDescent="0.3">
      <c r="A544" t="s">
        <v>24</v>
      </c>
      <c r="B544" s="1">
        <v>44720</v>
      </c>
      <c r="C544">
        <v>1</v>
      </c>
      <c r="D544">
        <v>101.95</v>
      </c>
      <c r="E544">
        <v>122</v>
      </c>
    </row>
    <row r="545" spans="1:5" x14ac:dyDescent="0.3">
      <c r="A545" t="s">
        <v>54</v>
      </c>
      <c r="B545" s="1">
        <v>44720</v>
      </c>
      <c r="C545">
        <v>1</v>
      </c>
      <c r="D545">
        <v>643.5</v>
      </c>
      <c r="E545">
        <v>831</v>
      </c>
    </row>
    <row r="546" spans="1:5" x14ac:dyDescent="0.3">
      <c r="A546" t="s">
        <v>124</v>
      </c>
      <c r="B546" s="1">
        <v>44720</v>
      </c>
      <c r="C546">
        <v>1</v>
      </c>
      <c r="D546">
        <v>42.48</v>
      </c>
      <c r="E546">
        <v>69</v>
      </c>
    </row>
    <row r="547" spans="1:5" x14ac:dyDescent="0.3">
      <c r="A547" t="s">
        <v>91</v>
      </c>
      <c r="B547" s="1">
        <v>44720</v>
      </c>
      <c r="C547">
        <v>2</v>
      </c>
      <c r="D547">
        <v>36</v>
      </c>
      <c r="E547">
        <v>59</v>
      </c>
    </row>
    <row r="548" spans="1:5" x14ac:dyDescent="0.3">
      <c r="A548" t="s">
        <v>136</v>
      </c>
      <c r="B548" s="1">
        <v>44720</v>
      </c>
      <c r="C548">
        <v>1</v>
      </c>
      <c r="D548">
        <v>286.72000000000003</v>
      </c>
      <c r="E548">
        <v>382</v>
      </c>
    </row>
    <row r="549" spans="1:5" x14ac:dyDescent="0.3">
      <c r="A549" t="s">
        <v>55</v>
      </c>
      <c r="B549" s="1">
        <v>44720</v>
      </c>
      <c r="C549">
        <v>1</v>
      </c>
      <c r="D549">
        <v>77.45</v>
      </c>
      <c r="E549">
        <v>95</v>
      </c>
    </row>
    <row r="550" spans="1:5" x14ac:dyDescent="0.3">
      <c r="A550" t="s">
        <v>66</v>
      </c>
      <c r="B550" s="1">
        <v>44720</v>
      </c>
      <c r="C550">
        <v>1</v>
      </c>
      <c r="D550">
        <v>30.56</v>
      </c>
      <c r="E550">
        <v>36</v>
      </c>
    </row>
    <row r="551" spans="1:5" x14ac:dyDescent="0.3">
      <c r="A551" t="s">
        <v>66</v>
      </c>
      <c r="B551" s="1">
        <v>44720</v>
      </c>
      <c r="C551">
        <v>1</v>
      </c>
      <c r="D551">
        <v>30.56</v>
      </c>
      <c r="E551">
        <v>36</v>
      </c>
    </row>
    <row r="552" spans="1:5" x14ac:dyDescent="0.3">
      <c r="A552" t="s">
        <v>137</v>
      </c>
      <c r="B552" s="1">
        <v>44720</v>
      </c>
      <c r="C552">
        <v>2</v>
      </c>
      <c r="D552">
        <v>10.53</v>
      </c>
      <c r="E552">
        <v>18</v>
      </c>
    </row>
    <row r="553" spans="1:5" x14ac:dyDescent="0.3">
      <c r="A553" t="s">
        <v>121</v>
      </c>
      <c r="B553" s="1">
        <v>44720</v>
      </c>
      <c r="C553">
        <v>1</v>
      </c>
      <c r="D553">
        <v>10.94</v>
      </c>
      <c r="E553">
        <v>18</v>
      </c>
    </row>
    <row r="554" spans="1:5" x14ac:dyDescent="0.3">
      <c r="A554" t="s">
        <v>30</v>
      </c>
      <c r="B554" s="1">
        <v>44720</v>
      </c>
      <c r="C554">
        <v>1</v>
      </c>
      <c r="D554">
        <v>156.19999999999999</v>
      </c>
      <c r="E554">
        <v>186</v>
      </c>
    </row>
    <row r="555" spans="1:5" x14ac:dyDescent="0.3">
      <c r="A555" t="s">
        <v>9</v>
      </c>
      <c r="B555" s="1">
        <v>44720</v>
      </c>
      <c r="C555">
        <v>1</v>
      </c>
      <c r="D555">
        <v>80.69</v>
      </c>
      <c r="E555">
        <v>100</v>
      </c>
    </row>
    <row r="556" spans="1:5" x14ac:dyDescent="0.3">
      <c r="A556" t="s">
        <v>127</v>
      </c>
      <c r="B556" s="1">
        <v>44720</v>
      </c>
      <c r="C556">
        <v>1</v>
      </c>
      <c r="D556">
        <v>120.04</v>
      </c>
      <c r="E556">
        <v>167</v>
      </c>
    </row>
    <row r="557" spans="1:5" x14ac:dyDescent="0.3">
      <c r="A557" t="s">
        <v>96</v>
      </c>
      <c r="B557" s="1">
        <v>44720</v>
      </c>
      <c r="C557">
        <v>1</v>
      </c>
      <c r="D557">
        <v>71.650000000000006</v>
      </c>
      <c r="E557">
        <v>102</v>
      </c>
    </row>
    <row r="558" spans="1:5" x14ac:dyDescent="0.3">
      <c r="A558" t="s">
        <v>96</v>
      </c>
      <c r="B558" s="1">
        <v>44720</v>
      </c>
      <c r="C558">
        <v>1</v>
      </c>
      <c r="D558">
        <v>71.650000000000006</v>
      </c>
      <c r="E558">
        <v>102</v>
      </c>
    </row>
    <row r="559" spans="1:5" x14ac:dyDescent="0.3">
      <c r="A559" t="s">
        <v>66</v>
      </c>
      <c r="B559" s="1">
        <v>44720</v>
      </c>
      <c r="C559">
        <v>1</v>
      </c>
      <c r="D559">
        <v>30.56</v>
      </c>
      <c r="E559">
        <v>36</v>
      </c>
    </row>
    <row r="560" spans="1:5" x14ac:dyDescent="0.3">
      <c r="A560" t="s">
        <v>64</v>
      </c>
      <c r="B560" s="1">
        <v>44720</v>
      </c>
      <c r="C560">
        <v>1</v>
      </c>
      <c r="D560">
        <v>199.07</v>
      </c>
      <c r="E560">
        <v>281</v>
      </c>
    </row>
    <row r="561" spans="1:5" x14ac:dyDescent="0.3">
      <c r="A561" t="s">
        <v>102</v>
      </c>
      <c r="B561" s="1">
        <v>44720</v>
      </c>
      <c r="C561">
        <v>1</v>
      </c>
      <c r="D561">
        <v>26.05</v>
      </c>
      <c r="E561">
        <v>32</v>
      </c>
    </row>
    <row r="562" spans="1:5" x14ac:dyDescent="0.3">
      <c r="A562" t="s">
        <v>19</v>
      </c>
      <c r="B562" s="1">
        <v>44720</v>
      </c>
      <c r="C562">
        <v>1</v>
      </c>
      <c r="D562">
        <v>81.290000000000006</v>
      </c>
      <c r="E562">
        <v>103</v>
      </c>
    </row>
    <row r="563" spans="1:5" x14ac:dyDescent="0.3">
      <c r="A563" t="s">
        <v>134</v>
      </c>
      <c r="B563" s="1">
        <v>44720</v>
      </c>
      <c r="C563">
        <v>1</v>
      </c>
      <c r="D563">
        <v>26.6</v>
      </c>
      <c r="E563">
        <v>42</v>
      </c>
    </row>
    <row r="564" spans="1:5" x14ac:dyDescent="0.3">
      <c r="A564" t="s">
        <v>134</v>
      </c>
      <c r="B564" s="1">
        <v>44720</v>
      </c>
      <c r="C564">
        <v>1</v>
      </c>
      <c r="D564">
        <v>28.16</v>
      </c>
      <c r="E564">
        <v>44</v>
      </c>
    </row>
    <row r="565" spans="1:5" x14ac:dyDescent="0.3">
      <c r="A565" t="s">
        <v>28</v>
      </c>
      <c r="B565" s="1">
        <v>44720</v>
      </c>
      <c r="C565">
        <v>1</v>
      </c>
      <c r="D565">
        <v>148.91</v>
      </c>
      <c r="E565">
        <v>204</v>
      </c>
    </row>
    <row r="566" spans="1:5" x14ac:dyDescent="0.3">
      <c r="A566" t="s">
        <v>103</v>
      </c>
      <c r="B566" s="1">
        <v>44720</v>
      </c>
      <c r="C566">
        <v>1</v>
      </c>
      <c r="D566">
        <v>46.32</v>
      </c>
      <c r="E566">
        <v>72</v>
      </c>
    </row>
    <row r="567" spans="1:5" x14ac:dyDescent="0.3">
      <c r="A567" t="s">
        <v>103</v>
      </c>
      <c r="B567" s="1">
        <v>44720</v>
      </c>
      <c r="C567">
        <v>1</v>
      </c>
      <c r="D567">
        <v>46.32</v>
      </c>
      <c r="E567">
        <v>72</v>
      </c>
    </row>
    <row r="568" spans="1:5" x14ac:dyDescent="0.3">
      <c r="A568" t="s">
        <v>103</v>
      </c>
      <c r="B568" s="1">
        <v>44720</v>
      </c>
      <c r="C568">
        <v>1</v>
      </c>
      <c r="D568">
        <v>46.32</v>
      </c>
      <c r="E568">
        <v>72</v>
      </c>
    </row>
    <row r="569" spans="1:5" x14ac:dyDescent="0.3">
      <c r="A569" t="s">
        <v>103</v>
      </c>
      <c r="B569" s="1">
        <v>44720</v>
      </c>
      <c r="C569">
        <v>1</v>
      </c>
      <c r="D569">
        <v>46.32</v>
      </c>
      <c r="E569">
        <v>72</v>
      </c>
    </row>
    <row r="570" spans="1:5" x14ac:dyDescent="0.3">
      <c r="A570" t="s">
        <v>103</v>
      </c>
      <c r="B570" s="1">
        <v>44720</v>
      </c>
      <c r="C570">
        <v>1</v>
      </c>
      <c r="D570">
        <v>46.32</v>
      </c>
      <c r="E570">
        <v>72</v>
      </c>
    </row>
    <row r="571" spans="1:5" x14ac:dyDescent="0.3">
      <c r="A571" t="s">
        <v>138</v>
      </c>
      <c r="B571" s="1">
        <v>44720</v>
      </c>
      <c r="C571">
        <v>1</v>
      </c>
      <c r="D571">
        <v>44.4</v>
      </c>
      <c r="E571">
        <v>77</v>
      </c>
    </row>
    <row r="572" spans="1:5" x14ac:dyDescent="0.3">
      <c r="A572" t="s">
        <v>39</v>
      </c>
      <c r="B572" s="1">
        <v>44720</v>
      </c>
      <c r="C572">
        <v>3</v>
      </c>
      <c r="D572">
        <v>8.58</v>
      </c>
      <c r="E572">
        <v>14</v>
      </c>
    </row>
    <row r="573" spans="1:5" x14ac:dyDescent="0.3">
      <c r="A573" t="s">
        <v>5</v>
      </c>
      <c r="B573" s="1">
        <v>44720</v>
      </c>
      <c r="C573">
        <v>1</v>
      </c>
      <c r="D573">
        <v>131.16</v>
      </c>
      <c r="E573">
        <v>158</v>
      </c>
    </row>
    <row r="574" spans="1:5" x14ac:dyDescent="0.3">
      <c r="A574" t="s">
        <v>100</v>
      </c>
      <c r="B574" s="1">
        <v>44720</v>
      </c>
      <c r="C574">
        <v>1</v>
      </c>
      <c r="D574">
        <v>36.99</v>
      </c>
      <c r="E574">
        <v>57</v>
      </c>
    </row>
    <row r="575" spans="1:5" x14ac:dyDescent="0.3">
      <c r="A575" t="s">
        <v>139</v>
      </c>
      <c r="B575" s="1">
        <v>44720</v>
      </c>
      <c r="C575">
        <v>5</v>
      </c>
      <c r="D575">
        <v>24.17</v>
      </c>
      <c r="E575">
        <v>40</v>
      </c>
    </row>
    <row r="576" spans="1:5" x14ac:dyDescent="0.3">
      <c r="A576" t="s">
        <v>133</v>
      </c>
      <c r="B576" s="1">
        <v>44720</v>
      </c>
      <c r="C576">
        <v>4</v>
      </c>
      <c r="D576">
        <v>6.13</v>
      </c>
      <c r="E576">
        <v>10</v>
      </c>
    </row>
    <row r="577" spans="1:5" x14ac:dyDescent="0.3">
      <c r="A577" t="s">
        <v>51</v>
      </c>
      <c r="B577" s="1">
        <v>44720</v>
      </c>
      <c r="C577">
        <v>8</v>
      </c>
      <c r="D577">
        <v>2.0499999999999998</v>
      </c>
      <c r="E577">
        <v>4</v>
      </c>
    </row>
    <row r="578" spans="1:5" x14ac:dyDescent="0.3">
      <c r="A578" t="s">
        <v>51</v>
      </c>
      <c r="B578" s="1">
        <v>44720</v>
      </c>
      <c r="C578">
        <v>8</v>
      </c>
      <c r="D578">
        <v>2.0499999999999998</v>
      </c>
      <c r="E578">
        <v>4</v>
      </c>
    </row>
    <row r="579" spans="1:5" x14ac:dyDescent="0.3">
      <c r="A579" t="s">
        <v>48</v>
      </c>
      <c r="B579" s="1">
        <v>44720</v>
      </c>
      <c r="C579">
        <v>1</v>
      </c>
      <c r="D579">
        <v>39.56</v>
      </c>
      <c r="E579">
        <v>63</v>
      </c>
    </row>
    <row r="580" spans="1:5" x14ac:dyDescent="0.3">
      <c r="A580" t="s">
        <v>131</v>
      </c>
      <c r="B580" s="1">
        <v>44720</v>
      </c>
      <c r="C580">
        <v>1</v>
      </c>
      <c r="D580">
        <v>361.91</v>
      </c>
      <c r="E580">
        <v>424</v>
      </c>
    </row>
    <row r="581" spans="1:5" x14ac:dyDescent="0.3">
      <c r="A581" t="s">
        <v>72</v>
      </c>
      <c r="B581" s="1">
        <v>44720</v>
      </c>
      <c r="C581">
        <v>1</v>
      </c>
      <c r="D581">
        <v>556.51</v>
      </c>
      <c r="E581">
        <v>735</v>
      </c>
    </row>
    <row r="582" spans="1:5" x14ac:dyDescent="0.3">
      <c r="A582" t="s">
        <v>35</v>
      </c>
      <c r="B582" s="1">
        <v>44720</v>
      </c>
      <c r="C582">
        <v>1</v>
      </c>
      <c r="D582">
        <v>32.71</v>
      </c>
      <c r="E582">
        <v>50</v>
      </c>
    </row>
    <row r="583" spans="1:5" x14ac:dyDescent="0.3">
      <c r="A583" t="s">
        <v>28</v>
      </c>
      <c r="B583" s="1">
        <v>44720</v>
      </c>
      <c r="C583">
        <v>1</v>
      </c>
      <c r="D583">
        <v>148.91</v>
      </c>
      <c r="E583">
        <v>207</v>
      </c>
    </row>
    <row r="584" spans="1:5" x14ac:dyDescent="0.3">
      <c r="A584" t="s">
        <v>32</v>
      </c>
      <c r="B584" s="1">
        <v>44720</v>
      </c>
      <c r="C584">
        <v>2</v>
      </c>
      <c r="D584">
        <v>105</v>
      </c>
      <c r="E584">
        <v>161</v>
      </c>
    </row>
    <row r="585" spans="1:5" x14ac:dyDescent="0.3">
      <c r="A585" t="s">
        <v>56</v>
      </c>
      <c r="B585" s="1">
        <v>44720</v>
      </c>
      <c r="C585">
        <v>1</v>
      </c>
      <c r="D585">
        <v>45.32</v>
      </c>
      <c r="E585">
        <v>69</v>
      </c>
    </row>
    <row r="586" spans="1:5" x14ac:dyDescent="0.3">
      <c r="A586" t="s">
        <v>53</v>
      </c>
      <c r="B586" s="1">
        <v>44720</v>
      </c>
      <c r="C586">
        <v>1</v>
      </c>
      <c r="D586">
        <v>23.4</v>
      </c>
      <c r="E586">
        <v>41</v>
      </c>
    </row>
    <row r="587" spans="1:5" x14ac:dyDescent="0.3">
      <c r="A587" t="s">
        <v>70</v>
      </c>
      <c r="B587" s="1">
        <v>44720</v>
      </c>
      <c r="C587">
        <v>1</v>
      </c>
      <c r="D587">
        <v>164.2</v>
      </c>
      <c r="E587">
        <v>203</v>
      </c>
    </row>
    <row r="588" spans="1:5" x14ac:dyDescent="0.3">
      <c r="A588" t="s">
        <v>132</v>
      </c>
      <c r="B588" s="1">
        <v>44720</v>
      </c>
      <c r="C588">
        <v>1</v>
      </c>
      <c r="D588">
        <v>61.16</v>
      </c>
      <c r="E588">
        <v>90</v>
      </c>
    </row>
    <row r="589" spans="1:5" x14ac:dyDescent="0.3">
      <c r="A589" t="s">
        <v>140</v>
      </c>
      <c r="B589" s="1">
        <v>44720</v>
      </c>
      <c r="C589">
        <v>1</v>
      </c>
      <c r="D589">
        <v>168.8</v>
      </c>
      <c r="E589">
        <v>183.33</v>
      </c>
    </row>
    <row r="590" spans="1:5" x14ac:dyDescent="0.3">
      <c r="A590" t="s">
        <v>111</v>
      </c>
      <c r="B590" s="1">
        <v>44720</v>
      </c>
      <c r="C590">
        <v>1</v>
      </c>
      <c r="D590">
        <v>172.45</v>
      </c>
      <c r="E590">
        <v>187.21</v>
      </c>
    </row>
    <row r="591" spans="1:5" x14ac:dyDescent="0.3">
      <c r="A591" t="s">
        <v>97</v>
      </c>
      <c r="B591" s="1">
        <v>44720</v>
      </c>
      <c r="C591">
        <v>1</v>
      </c>
      <c r="D591">
        <v>431.34</v>
      </c>
      <c r="E591">
        <v>570</v>
      </c>
    </row>
    <row r="592" spans="1:5" x14ac:dyDescent="0.3">
      <c r="A592" t="s">
        <v>25</v>
      </c>
      <c r="B592" s="1">
        <v>44720</v>
      </c>
      <c r="C592">
        <v>1</v>
      </c>
      <c r="D592">
        <v>146.97</v>
      </c>
      <c r="E592">
        <v>177</v>
      </c>
    </row>
    <row r="593" spans="1:5" x14ac:dyDescent="0.3">
      <c r="A593" t="s">
        <v>25</v>
      </c>
      <c r="B593" s="1">
        <v>44720</v>
      </c>
      <c r="C593">
        <v>1</v>
      </c>
      <c r="D593">
        <v>146.97</v>
      </c>
      <c r="E593">
        <v>177</v>
      </c>
    </row>
    <row r="594" spans="1:5" x14ac:dyDescent="0.3">
      <c r="A594" t="s">
        <v>27</v>
      </c>
      <c r="B594" s="1">
        <v>44720</v>
      </c>
      <c r="C594">
        <v>1</v>
      </c>
      <c r="D594">
        <v>101.57</v>
      </c>
      <c r="E594">
        <v>156</v>
      </c>
    </row>
    <row r="595" spans="1:5" x14ac:dyDescent="0.3">
      <c r="A595" t="s">
        <v>45</v>
      </c>
      <c r="B595" s="1">
        <v>44720</v>
      </c>
      <c r="C595">
        <v>2</v>
      </c>
      <c r="D595">
        <v>29.69</v>
      </c>
      <c r="E595">
        <v>48</v>
      </c>
    </row>
    <row r="596" spans="1:5" x14ac:dyDescent="0.3">
      <c r="A596" t="s">
        <v>9</v>
      </c>
      <c r="B596" s="1">
        <v>44720</v>
      </c>
      <c r="C596">
        <v>1</v>
      </c>
      <c r="D596">
        <v>80.69</v>
      </c>
      <c r="E596">
        <v>100</v>
      </c>
    </row>
    <row r="597" spans="1:5" x14ac:dyDescent="0.3">
      <c r="A597" t="s">
        <v>141</v>
      </c>
      <c r="B597" s="1">
        <v>44720</v>
      </c>
      <c r="C597">
        <v>2</v>
      </c>
      <c r="D597">
        <v>12.16</v>
      </c>
      <c r="E597">
        <v>20</v>
      </c>
    </row>
    <row r="598" spans="1:5" x14ac:dyDescent="0.3">
      <c r="A598" t="s">
        <v>114</v>
      </c>
      <c r="B598" s="1">
        <v>44720</v>
      </c>
      <c r="C598">
        <v>1</v>
      </c>
      <c r="D598">
        <v>74.8</v>
      </c>
      <c r="E598">
        <v>92</v>
      </c>
    </row>
    <row r="599" spans="1:5" x14ac:dyDescent="0.3">
      <c r="A599" t="s">
        <v>5</v>
      </c>
      <c r="B599" s="1">
        <v>44720</v>
      </c>
      <c r="C599">
        <v>1</v>
      </c>
      <c r="D599">
        <v>145.6</v>
      </c>
      <c r="E599">
        <v>172</v>
      </c>
    </row>
    <row r="600" spans="1:5" x14ac:dyDescent="0.3">
      <c r="A600" t="s">
        <v>5</v>
      </c>
      <c r="B600" s="1">
        <v>44720</v>
      </c>
      <c r="C600">
        <v>1</v>
      </c>
      <c r="D600">
        <v>145.6</v>
      </c>
      <c r="E600">
        <v>172</v>
      </c>
    </row>
    <row r="601" spans="1:5" x14ac:dyDescent="0.3">
      <c r="A601" t="s">
        <v>45</v>
      </c>
      <c r="B601" s="1">
        <v>44720</v>
      </c>
      <c r="C601">
        <v>2</v>
      </c>
      <c r="D601">
        <v>29.69</v>
      </c>
      <c r="E601">
        <v>48</v>
      </c>
    </row>
    <row r="602" spans="1:5" x14ac:dyDescent="0.3">
      <c r="A602" t="s">
        <v>45</v>
      </c>
      <c r="B602" s="1">
        <v>44720</v>
      </c>
      <c r="C602">
        <v>1</v>
      </c>
      <c r="D602">
        <v>28.85</v>
      </c>
      <c r="E602">
        <v>47</v>
      </c>
    </row>
    <row r="603" spans="1:5" x14ac:dyDescent="0.3">
      <c r="A603" t="s">
        <v>134</v>
      </c>
      <c r="B603" s="1">
        <v>44720</v>
      </c>
      <c r="C603">
        <v>1</v>
      </c>
      <c r="D603">
        <v>35.200000000000003</v>
      </c>
      <c r="E603">
        <v>54</v>
      </c>
    </row>
    <row r="604" spans="1:5" x14ac:dyDescent="0.3">
      <c r="A604" t="s">
        <v>134</v>
      </c>
      <c r="B604" s="1">
        <v>44720</v>
      </c>
      <c r="C604">
        <v>1</v>
      </c>
      <c r="D604">
        <v>26.86</v>
      </c>
      <c r="E604">
        <v>41</v>
      </c>
    </row>
    <row r="605" spans="1:5" x14ac:dyDescent="0.3">
      <c r="A605" t="s">
        <v>134</v>
      </c>
      <c r="B605" s="1">
        <v>44720</v>
      </c>
      <c r="C605">
        <v>1</v>
      </c>
      <c r="D605">
        <v>26.86</v>
      </c>
      <c r="E605">
        <v>41</v>
      </c>
    </row>
    <row r="606" spans="1:5" x14ac:dyDescent="0.3">
      <c r="A606" t="s">
        <v>68</v>
      </c>
      <c r="B606" s="1">
        <v>44720</v>
      </c>
      <c r="C606">
        <v>1</v>
      </c>
      <c r="D606">
        <v>53.57</v>
      </c>
      <c r="E606">
        <v>82</v>
      </c>
    </row>
    <row r="607" spans="1:5" x14ac:dyDescent="0.3">
      <c r="A607" t="s">
        <v>77</v>
      </c>
      <c r="B607" s="1">
        <v>44720</v>
      </c>
      <c r="C607">
        <v>1</v>
      </c>
      <c r="D607">
        <v>60.94</v>
      </c>
      <c r="E607">
        <v>76</v>
      </c>
    </row>
    <row r="608" spans="1:5" x14ac:dyDescent="0.3">
      <c r="A608" t="s">
        <v>142</v>
      </c>
      <c r="B608" s="1">
        <v>44720</v>
      </c>
      <c r="C608">
        <v>1</v>
      </c>
      <c r="D608">
        <v>12.86</v>
      </c>
      <c r="E608">
        <v>15</v>
      </c>
    </row>
    <row r="609" spans="1:5" x14ac:dyDescent="0.3">
      <c r="A609" t="s">
        <v>122</v>
      </c>
      <c r="B609" s="1">
        <v>44720</v>
      </c>
      <c r="C609">
        <v>1</v>
      </c>
      <c r="D609">
        <v>21.23</v>
      </c>
      <c r="E609">
        <v>26</v>
      </c>
    </row>
    <row r="610" spans="1:5" x14ac:dyDescent="0.3">
      <c r="A610" t="s">
        <v>100</v>
      </c>
      <c r="B610" s="1">
        <v>44720</v>
      </c>
      <c r="C610">
        <v>1</v>
      </c>
      <c r="D610">
        <v>37.479999999999997</v>
      </c>
      <c r="E610">
        <v>57</v>
      </c>
    </row>
    <row r="611" spans="1:5" x14ac:dyDescent="0.3">
      <c r="A611" t="s">
        <v>68</v>
      </c>
      <c r="B611" s="1">
        <v>44720</v>
      </c>
      <c r="C611">
        <v>1</v>
      </c>
      <c r="D611">
        <v>55.27</v>
      </c>
      <c r="E611">
        <v>87</v>
      </c>
    </row>
    <row r="612" spans="1:5" x14ac:dyDescent="0.3">
      <c r="A612" t="s">
        <v>28</v>
      </c>
      <c r="B612" s="1">
        <v>44720</v>
      </c>
      <c r="C612">
        <v>1</v>
      </c>
      <c r="D612">
        <v>148.91</v>
      </c>
      <c r="E612">
        <v>204</v>
      </c>
    </row>
    <row r="613" spans="1:5" x14ac:dyDescent="0.3">
      <c r="A613" t="s">
        <v>105</v>
      </c>
      <c r="B613" s="1">
        <v>44720</v>
      </c>
      <c r="C613">
        <v>2</v>
      </c>
      <c r="D613">
        <v>27.72</v>
      </c>
      <c r="E613">
        <v>45</v>
      </c>
    </row>
    <row r="614" spans="1:5" x14ac:dyDescent="0.3">
      <c r="A614" t="s">
        <v>106</v>
      </c>
      <c r="B614" s="1">
        <v>44720</v>
      </c>
      <c r="C614">
        <v>1</v>
      </c>
      <c r="D614">
        <v>41.16</v>
      </c>
      <c r="E614">
        <v>51</v>
      </c>
    </row>
    <row r="615" spans="1:5" x14ac:dyDescent="0.3">
      <c r="A615" t="s">
        <v>120</v>
      </c>
      <c r="B615" s="1">
        <v>44720</v>
      </c>
      <c r="C615">
        <v>1</v>
      </c>
      <c r="D615">
        <v>132.56</v>
      </c>
      <c r="E615">
        <v>179</v>
      </c>
    </row>
    <row r="616" spans="1:5" x14ac:dyDescent="0.3">
      <c r="A616" t="s">
        <v>120</v>
      </c>
      <c r="B616" s="1">
        <v>44720</v>
      </c>
      <c r="C616">
        <v>1</v>
      </c>
      <c r="D616">
        <v>132.56</v>
      </c>
      <c r="E616">
        <v>179</v>
      </c>
    </row>
    <row r="617" spans="1:5" x14ac:dyDescent="0.3">
      <c r="A617" t="s">
        <v>18</v>
      </c>
      <c r="B617" s="1">
        <v>44720</v>
      </c>
      <c r="C617">
        <v>1</v>
      </c>
      <c r="D617">
        <v>46</v>
      </c>
      <c r="E617">
        <v>70</v>
      </c>
    </row>
    <row r="618" spans="1:5" x14ac:dyDescent="0.3">
      <c r="A618" t="s">
        <v>18</v>
      </c>
      <c r="B618" s="1">
        <v>44720</v>
      </c>
      <c r="C618">
        <v>1</v>
      </c>
      <c r="D618">
        <v>46</v>
      </c>
      <c r="E618">
        <v>70</v>
      </c>
    </row>
    <row r="619" spans="1:5" x14ac:dyDescent="0.3">
      <c r="A619" t="s">
        <v>102</v>
      </c>
      <c r="B619" s="1">
        <v>44720</v>
      </c>
      <c r="C619">
        <v>1</v>
      </c>
      <c r="D619">
        <v>25.43</v>
      </c>
      <c r="E619">
        <v>32</v>
      </c>
    </row>
    <row r="620" spans="1:5" x14ac:dyDescent="0.3">
      <c r="A620" t="s">
        <v>102</v>
      </c>
      <c r="B620" s="1">
        <v>44720</v>
      </c>
      <c r="C620">
        <v>1</v>
      </c>
      <c r="D620">
        <v>25.43</v>
      </c>
      <c r="E620">
        <v>32</v>
      </c>
    </row>
    <row r="621" spans="1:5" x14ac:dyDescent="0.3">
      <c r="A621" t="s">
        <v>102</v>
      </c>
      <c r="B621" s="1">
        <v>44720</v>
      </c>
      <c r="C621">
        <v>1</v>
      </c>
      <c r="D621">
        <v>25.43</v>
      </c>
      <c r="E621">
        <v>32</v>
      </c>
    </row>
    <row r="622" spans="1:5" x14ac:dyDescent="0.3">
      <c r="A622" t="s">
        <v>102</v>
      </c>
      <c r="B622" s="1">
        <v>44720</v>
      </c>
      <c r="C622">
        <v>1</v>
      </c>
      <c r="D622">
        <v>25.43</v>
      </c>
      <c r="E622">
        <v>32</v>
      </c>
    </row>
    <row r="623" spans="1:5" x14ac:dyDescent="0.3">
      <c r="A623" t="s">
        <v>102</v>
      </c>
      <c r="B623" s="1">
        <v>44720</v>
      </c>
      <c r="C623">
        <v>1</v>
      </c>
      <c r="D623">
        <v>25.43</v>
      </c>
      <c r="E623">
        <v>32</v>
      </c>
    </row>
    <row r="624" spans="1:5" x14ac:dyDescent="0.3">
      <c r="A624" t="s">
        <v>102</v>
      </c>
      <c r="B624" s="1">
        <v>44720</v>
      </c>
      <c r="C624">
        <v>1</v>
      </c>
      <c r="D624">
        <v>25.43</v>
      </c>
      <c r="E624">
        <v>32</v>
      </c>
    </row>
    <row r="625" spans="1:5" x14ac:dyDescent="0.3">
      <c r="A625" t="s">
        <v>102</v>
      </c>
      <c r="B625" s="1">
        <v>44720</v>
      </c>
      <c r="C625">
        <v>1</v>
      </c>
      <c r="D625">
        <v>25.43</v>
      </c>
      <c r="E625">
        <v>32</v>
      </c>
    </row>
    <row r="626" spans="1:5" x14ac:dyDescent="0.3">
      <c r="A626" t="s">
        <v>65</v>
      </c>
      <c r="B626" s="1">
        <v>44720</v>
      </c>
      <c r="C626">
        <v>1</v>
      </c>
      <c r="D626">
        <v>187.74</v>
      </c>
      <c r="E626">
        <v>220</v>
      </c>
    </row>
    <row r="627" spans="1:5" x14ac:dyDescent="0.3">
      <c r="A627" t="s">
        <v>115</v>
      </c>
      <c r="B627" s="1">
        <v>44720</v>
      </c>
      <c r="C627">
        <v>1</v>
      </c>
      <c r="D627">
        <v>71.239999999999995</v>
      </c>
      <c r="E627">
        <v>88</v>
      </c>
    </row>
    <row r="628" spans="1:5" x14ac:dyDescent="0.3">
      <c r="A628" t="s">
        <v>143</v>
      </c>
      <c r="B628" s="1">
        <v>44720</v>
      </c>
      <c r="C628">
        <v>1</v>
      </c>
      <c r="D628">
        <v>50.84</v>
      </c>
      <c r="E628">
        <v>73</v>
      </c>
    </row>
    <row r="629" spans="1:5" x14ac:dyDescent="0.3">
      <c r="A629" t="s">
        <v>93</v>
      </c>
      <c r="B629" s="1">
        <v>44720</v>
      </c>
      <c r="C629">
        <v>1</v>
      </c>
      <c r="D629">
        <v>71.05</v>
      </c>
      <c r="E629">
        <v>101</v>
      </c>
    </row>
    <row r="630" spans="1:5" x14ac:dyDescent="0.3">
      <c r="A630" t="s">
        <v>67</v>
      </c>
      <c r="B630" s="1">
        <v>44720</v>
      </c>
      <c r="C630">
        <v>1</v>
      </c>
      <c r="D630">
        <v>55.98</v>
      </c>
      <c r="E630">
        <v>80</v>
      </c>
    </row>
    <row r="631" spans="1:5" x14ac:dyDescent="0.3">
      <c r="A631" t="s">
        <v>61</v>
      </c>
      <c r="B631" s="1">
        <v>44720</v>
      </c>
      <c r="C631">
        <v>1</v>
      </c>
      <c r="D631">
        <v>32.85</v>
      </c>
      <c r="E631">
        <v>50</v>
      </c>
    </row>
    <row r="632" spans="1:5" x14ac:dyDescent="0.3">
      <c r="A632" t="s">
        <v>44</v>
      </c>
      <c r="B632" s="1">
        <v>44720</v>
      </c>
      <c r="C632">
        <v>1</v>
      </c>
      <c r="D632">
        <v>64.53</v>
      </c>
      <c r="E632">
        <v>101</v>
      </c>
    </row>
    <row r="633" spans="1:5" x14ac:dyDescent="0.3">
      <c r="A633" t="s">
        <v>58</v>
      </c>
      <c r="B633" s="1">
        <v>44720</v>
      </c>
      <c r="C633">
        <v>1</v>
      </c>
      <c r="D633">
        <v>60.5</v>
      </c>
      <c r="E633">
        <v>73</v>
      </c>
    </row>
    <row r="634" spans="1:5" x14ac:dyDescent="0.3">
      <c r="A634" t="s">
        <v>32</v>
      </c>
      <c r="B634" s="1">
        <v>44720</v>
      </c>
      <c r="C634">
        <v>0.4</v>
      </c>
      <c r="D634">
        <v>99.21</v>
      </c>
      <c r="E634">
        <v>154</v>
      </c>
    </row>
    <row r="635" spans="1:5" x14ac:dyDescent="0.3">
      <c r="A635" t="s">
        <v>32</v>
      </c>
      <c r="B635" s="1">
        <v>44720</v>
      </c>
      <c r="C635">
        <v>0.4</v>
      </c>
      <c r="D635">
        <v>100.57</v>
      </c>
      <c r="E635">
        <v>154</v>
      </c>
    </row>
    <row r="636" spans="1:5" x14ac:dyDescent="0.3">
      <c r="A636" t="s">
        <v>25</v>
      </c>
      <c r="B636" s="1">
        <v>44720</v>
      </c>
      <c r="C636">
        <v>1</v>
      </c>
      <c r="D636">
        <v>147.55000000000001</v>
      </c>
      <c r="E636">
        <v>181</v>
      </c>
    </row>
    <row r="637" spans="1:5" x14ac:dyDescent="0.3">
      <c r="A637" t="s">
        <v>56</v>
      </c>
      <c r="B637" s="1">
        <v>44720</v>
      </c>
      <c r="C637">
        <v>1</v>
      </c>
      <c r="D637">
        <v>46.37</v>
      </c>
      <c r="E637">
        <v>72</v>
      </c>
    </row>
    <row r="638" spans="1:5" x14ac:dyDescent="0.3">
      <c r="A638" t="s">
        <v>143</v>
      </c>
      <c r="B638" s="1">
        <v>44720</v>
      </c>
      <c r="C638">
        <v>1</v>
      </c>
      <c r="D638">
        <v>50.61</v>
      </c>
      <c r="E638">
        <v>72</v>
      </c>
    </row>
    <row r="639" spans="1:5" x14ac:dyDescent="0.3">
      <c r="A639" t="s">
        <v>95</v>
      </c>
      <c r="B639" s="1">
        <v>44720</v>
      </c>
      <c r="C639">
        <v>0.3</v>
      </c>
      <c r="D639">
        <v>111.25</v>
      </c>
      <c r="E639">
        <v>171</v>
      </c>
    </row>
    <row r="640" spans="1:5" x14ac:dyDescent="0.3">
      <c r="A640" t="s">
        <v>27</v>
      </c>
      <c r="B640" s="1">
        <v>44720</v>
      </c>
      <c r="C640">
        <v>1</v>
      </c>
      <c r="D640">
        <v>101.57</v>
      </c>
      <c r="E640">
        <v>156</v>
      </c>
    </row>
    <row r="641" spans="1:5" x14ac:dyDescent="0.3">
      <c r="A641" t="s">
        <v>5</v>
      </c>
      <c r="B641" s="1">
        <v>44720</v>
      </c>
      <c r="C641">
        <v>1</v>
      </c>
      <c r="D641">
        <v>132.63999999999999</v>
      </c>
      <c r="E641">
        <v>159</v>
      </c>
    </row>
    <row r="642" spans="1:5" x14ac:dyDescent="0.3">
      <c r="A642" t="s">
        <v>5</v>
      </c>
      <c r="B642" s="1">
        <v>44720</v>
      </c>
      <c r="C642">
        <v>1</v>
      </c>
      <c r="D642">
        <v>132.63999999999999</v>
      </c>
      <c r="E642">
        <v>159</v>
      </c>
    </row>
    <row r="643" spans="1:5" x14ac:dyDescent="0.3">
      <c r="A643" t="s">
        <v>78</v>
      </c>
      <c r="B643" s="1">
        <v>44720</v>
      </c>
      <c r="C643">
        <v>1</v>
      </c>
      <c r="D643">
        <v>69.84</v>
      </c>
      <c r="E643">
        <v>88</v>
      </c>
    </row>
    <row r="644" spans="1:5" x14ac:dyDescent="0.3">
      <c r="A644" t="s">
        <v>78</v>
      </c>
      <c r="B644" s="1">
        <v>44720</v>
      </c>
      <c r="C644">
        <v>1</v>
      </c>
      <c r="D644">
        <v>69.84</v>
      </c>
      <c r="E644">
        <v>88</v>
      </c>
    </row>
    <row r="645" spans="1:5" x14ac:dyDescent="0.3">
      <c r="A645" t="s">
        <v>27</v>
      </c>
      <c r="B645" s="1">
        <v>44720</v>
      </c>
      <c r="C645">
        <v>1</v>
      </c>
      <c r="D645">
        <v>101.57</v>
      </c>
      <c r="E645">
        <v>156</v>
      </c>
    </row>
    <row r="646" spans="1:5" x14ac:dyDescent="0.3">
      <c r="A646" t="s">
        <v>121</v>
      </c>
      <c r="B646" s="1">
        <v>44720</v>
      </c>
      <c r="C646">
        <v>4</v>
      </c>
      <c r="D646">
        <v>10.94</v>
      </c>
      <c r="E646">
        <v>18</v>
      </c>
    </row>
    <row r="647" spans="1:5" x14ac:dyDescent="0.3">
      <c r="A647" t="s">
        <v>19</v>
      </c>
      <c r="B647" s="1">
        <v>44720</v>
      </c>
      <c r="C647">
        <v>1</v>
      </c>
      <c r="D647">
        <v>81.790000000000006</v>
      </c>
      <c r="E647">
        <v>102</v>
      </c>
    </row>
    <row r="648" spans="1:5" x14ac:dyDescent="0.3">
      <c r="A648" t="s">
        <v>19</v>
      </c>
      <c r="B648" s="1">
        <v>44720</v>
      </c>
      <c r="C648">
        <v>1</v>
      </c>
      <c r="D648">
        <v>81.790000000000006</v>
      </c>
      <c r="E648">
        <v>102</v>
      </c>
    </row>
    <row r="649" spans="1:5" x14ac:dyDescent="0.3">
      <c r="A649" t="s">
        <v>134</v>
      </c>
      <c r="B649" s="1">
        <v>44720</v>
      </c>
      <c r="C649">
        <v>1</v>
      </c>
      <c r="D649">
        <v>26.87</v>
      </c>
      <c r="E649">
        <v>41</v>
      </c>
    </row>
    <row r="650" spans="1:5" x14ac:dyDescent="0.3">
      <c r="A650" t="s">
        <v>66</v>
      </c>
      <c r="B650" s="1">
        <v>44720</v>
      </c>
      <c r="C650">
        <v>1</v>
      </c>
      <c r="D650">
        <v>30.56</v>
      </c>
      <c r="E650">
        <v>36</v>
      </c>
    </row>
    <row r="651" spans="1:5" x14ac:dyDescent="0.3">
      <c r="A651" t="s">
        <v>88</v>
      </c>
      <c r="B651" s="1">
        <v>44720</v>
      </c>
      <c r="C651">
        <v>1</v>
      </c>
      <c r="D651">
        <v>111.52</v>
      </c>
      <c r="E651">
        <v>173</v>
      </c>
    </row>
    <row r="652" spans="1:5" x14ac:dyDescent="0.3">
      <c r="A652" t="s">
        <v>138</v>
      </c>
      <c r="B652" s="1">
        <v>44720</v>
      </c>
      <c r="C652">
        <v>1</v>
      </c>
      <c r="D652">
        <v>46.5</v>
      </c>
      <c r="E652">
        <v>76</v>
      </c>
    </row>
    <row r="653" spans="1:5" x14ac:dyDescent="0.3">
      <c r="A653" t="s">
        <v>106</v>
      </c>
      <c r="B653" s="1">
        <v>44720</v>
      </c>
      <c r="C653">
        <v>1</v>
      </c>
      <c r="D653">
        <v>42.02</v>
      </c>
      <c r="E653">
        <v>52</v>
      </c>
    </row>
    <row r="654" spans="1:5" x14ac:dyDescent="0.3">
      <c r="A654" t="s">
        <v>21</v>
      </c>
      <c r="B654" s="1">
        <v>44720</v>
      </c>
      <c r="C654">
        <v>1</v>
      </c>
      <c r="D654">
        <v>184.75</v>
      </c>
      <c r="E654">
        <v>257</v>
      </c>
    </row>
    <row r="655" spans="1:5" x14ac:dyDescent="0.3">
      <c r="A655" t="s">
        <v>36</v>
      </c>
      <c r="B655" s="1">
        <v>44720</v>
      </c>
      <c r="C655">
        <v>1</v>
      </c>
      <c r="D655">
        <v>21.42</v>
      </c>
      <c r="E655">
        <v>27</v>
      </c>
    </row>
    <row r="656" spans="1:5" x14ac:dyDescent="0.3">
      <c r="A656" t="s">
        <v>36</v>
      </c>
      <c r="B656" s="1">
        <v>44720</v>
      </c>
      <c r="C656">
        <v>1</v>
      </c>
      <c r="D656">
        <v>21.42</v>
      </c>
      <c r="E656">
        <v>27</v>
      </c>
    </row>
    <row r="657" spans="1:5" x14ac:dyDescent="0.3">
      <c r="A657" t="s">
        <v>36</v>
      </c>
      <c r="B657" s="1">
        <v>44720</v>
      </c>
      <c r="C657">
        <v>1</v>
      </c>
      <c r="D657">
        <v>21.42</v>
      </c>
      <c r="E657">
        <v>27</v>
      </c>
    </row>
    <row r="658" spans="1:5" x14ac:dyDescent="0.3">
      <c r="A658" t="s">
        <v>36</v>
      </c>
      <c r="B658" s="1">
        <v>44720</v>
      </c>
      <c r="C658">
        <v>1</v>
      </c>
      <c r="D658">
        <v>21.42</v>
      </c>
      <c r="E658">
        <v>27</v>
      </c>
    </row>
    <row r="659" spans="1:5" x14ac:dyDescent="0.3">
      <c r="A659" t="s">
        <v>36</v>
      </c>
      <c r="B659" s="1">
        <v>44720</v>
      </c>
      <c r="C659">
        <v>1</v>
      </c>
      <c r="D659">
        <v>21.42</v>
      </c>
      <c r="E659">
        <v>27</v>
      </c>
    </row>
    <row r="660" spans="1:5" x14ac:dyDescent="0.3">
      <c r="A660" t="s">
        <v>36</v>
      </c>
      <c r="B660" s="1">
        <v>44720</v>
      </c>
      <c r="C660">
        <v>1</v>
      </c>
      <c r="D660">
        <v>21.42</v>
      </c>
      <c r="E660">
        <v>27</v>
      </c>
    </row>
    <row r="661" spans="1:5" x14ac:dyDescent="0.3">
      <c r="A661" t="s">
        <v>82</v>
      </c>
      <c r="B661" s="1">
        <v>44720</v>
      </c>
      <c r="C661">
        <v>1</v>
      </c>
      <c r="D661">
        <v>35.85</v>
      </c>
      <c r="E661">
        <v>45</v>
      </c>
    </row>
    <row r="662" spans="1:5" x14ac:dyDescent="0.3">
      <c r="A662" t="s">
        <v>82</v>
      </c>
      <c r="B662" s="1">
        <v>44720</v>
      </c>
      <c r="C662">
        <v>1</v>
      </c>
      <c r="D662">
        <v>35.85</v>
      </c>
      <c r="E662">
        <v>45</v>
      </c>
    </row>
    <row r="663" spans="1:5" x14ac:dyDescent="0.3">
      <c r="A663" t="s">
        <v>82</v>
      </c>
      <c r="B663" s="1">
        <v>44720</v>
      </c>
      <c r="C663">
        <v>1</v>
      </c>
      <c r="D663">
        <v>35.85</v>
      </c>
      <c r="E663">
        <v>45</v>
      </c>
    </row>
    <row r="664" spans="1:5" x14ac:dyDescent="0.3">
      <c r="A664" t="s">
        <v>82</v>
      </c>
      <c r="B664" s="1">
        <v>44720</v>
      </c>
      <c r="C664">
        <v>1</v>
      </c>
      <c r="D664">
        <v>35.85</v>
      </c>
      <c r="E664">
        <v>45</v>
      </c>
    </row>
    <row r="665" spans="1:5" x14ac:dyDescent="0.3">
      <c r="A665" t="s">
        <v>82</v>
      </c>
      <c r="B665" s="1">
        <v>44720</v>
      </c>
      <c r="C665">
        <v>1</v>
      </c>
      <c r="D665">
        <v>36.090000000000003</v>
      </c>
      <c r="E665">
        <v>46</v>
      </c>
    </row>
    <row r="666" spans="1:5" x14ac:dyDescent="0.3">
      <c r="A666" t="s">
        <v>82</v>
      </c>
      <c r="B666" s="1">
        <v>44720</v>
      </c>
      <c r="C666">
        <v>1</v>
      </c>
      <c r="D666">
        <v>36.090000000000003</v>
      </c>
      <c r="E666">
        <v>46</v>
      </c>
    </row>
    <row r="667" spans="1:5" x14ac:dyDescent="0.3">
      <c r="A667" t="s">
        <v>108</v>
      </c>
      <c r="B667" s="1">
        <v>44720</v>
      </c>
      <c r="C667">
        <v>1</v>
      </c>
      <c r="D667">
        <v>23.57</v>
      </c>
      <c r="E667">
        <v>37</v>
      </c>
    </row>
    <row r="668" spans="1:5" x14ac:dyDescent="0.3">
      <c r="A668" t="s">
        <v>108</v>
      </c>
      <c r="B668" s="1">
        <v>44720</v>
      </c>
      <c r="C668">
        <v>1</v>
      </c>
      <c r="D668">
        <v>23.57</v>
      </c>
      <c r="E668">
        <v>37</v>
      </c>
    </row>
    <row r="669" spans="1:5" x14ac:dyDescent="0.3">
      <c r="A669" t="s">
        <v>108</v>
      </c>
      <c r="B669" s="1">
        <v>44720</v>
      </c>
      <c r="C669">
        <v>1</v>
      </c>
      <c r="D669">
        <v>23.57</v>
      </c>
      <c r="E669">
        <v>37</v>
      </c>
    </row>
    <row r="670" spans="1:5" x14ac:dyDescent="0.3">
      <c r="A670" t="s">
        <v>108</v>
      </c>
      <c r="B670" s="1">
        <v>44720</v>
      </c>
      <c r="C670">
        <v>1</v>
      </c>
      <c r="D670">
        <v>23.57</v>
      </c>
      <c r="E670">
        <v>37</v>
      </c>
    </row>
    <row r="671" spans="1:5" x14ac:dyDescent="0.3">
      <c r="A671" t="s">
        <v>108</v>
      </c>
      <c r="B671" s="1">
        <v>44720</v>
      </c>
      <c r="C671">
        <v>1</v>
      </c>
      <c r="D671">
        <v>23.57</v>
      </c>
      <c r="E671">
        <v>37</v>
      </c>
    </row>
    <row r="672" spans="1:5" x14ac:dyDescent="0.3">
      <c r="A672" t="s">
        <v>108</v>
      </c>
      <c r="B672" s="1">
        <v>44720</v>
      </c>
      <c r="C672">
        <v>1</v>
      </c>
      <c r="D672">
        <v>23.57</v>
      </c>
      <c r="E672">
        <v>37</v>
      </c>
    </row>
    <row r="673" spans="1:5" x14ac:dyDescent="0.3">
      <c r="A673" t="s">
        <v>144</v>
      </c>
      <c r="B673" s="1">
        <v>44720</v>
      </c>
      <c r="C673">
        <v>1</v>
      </c>
      <c r="D673">
        <v>51.35</v>
      </c>
      <c r="E673">
        <v>73</v>
      </c>
    </row>
    <row r="674" spans="1:5" x14ac:dyDescent="0.3">
      <c r="A674" t="s">
        <v>57</v>
      </c>
      <c r="B674" s="1">
        <v>44720</v>
      </c>
      <c r="C674">
        <v>1</v>
      </c>
      <c r="D674">
        <v>233.74</v>
      </c>
      <c r="E674">
        <v>262</v>
      </c>
    </row>
    <row r="675" spans="1:5" x14ac:dyDescent="0.3">
      <c r="A675" t="s">
        <v>98</v>
      </c>
      <c r="B675" s="1">
        <v>44720</v>
      </c>
      <c r="C675">
        <v>1</v>
      </c>
      <c r="D675">
        <v>111.32</v>
      </c>
      <c r="E675">
        <v>134</v>
      </c>
    </row>
    <row r="676" spans="1:5" x14ac:dyDescent="0.3">
      <c r="A676" t="s">
        <v>54</v>
      </c>
      <c r="B676" s="1">
        <v>44720</v>
      </c>
      <c r="C676">
        <v>1</v>
      </c>
      <c r="D676">
        <v>643.5</v>
      </c>
      <c r="E676">
        <v>831</v>
      </c>
    </row>
    <row r="677" spans="1:5" x14ac:dyDescent="0.3">
      <c r="A677" t="s">
        <v>122</v>
      </c>
      <c r="B677" s="1">
        <v>44720</v>
      </c>
      <c r="C677">
        <v>1</v>
      </c>
      <c r="D677">
        <v>21.26</v>
      </c>
      <c r="E677">
        <v>26</v>
      </c>
    </row>
    <row r="678" spans="1:5" x14ac:dyDescent="0.3">
      <c r="A678" t="s">
        <v>57</v>
      </c>
      <c r="B678" s="1">
        <v>44720</v>
      </c>
      <c r="C678">
        <v>1</v>
      </c>
      <c r="D678">
        <v>245.58</v>
      </c>
      <c r="E678">
        <v>307</v>
      </c>
    </row>
    <row r="679" spans="1:5" x14ac:dyDescent="0.3">
      <c r="A679" t="s">
        <v>56</v>
      </c>
      <c r="B679" s="1">
        <v>44720</v>
      </c>
      <c r="C679">
        <v>1</v>
      </c>
      <c r="D679">
        <v>44.9</v>
      </c>
      <c r="E679">
        <v>69</v>
      </c>
    </row>
    <row r="680" spans="1:5" x14ac:dyDescent="0.3">
      <c r="A680" t="s">
        <v>104</v>
      </c>
      <c r="B680" s="1">
        <v>44720</v>
      </c>
      <c r="C680">
        <v>1</v>
      </c>
      <c r="D680">
        <v>45.87</v>
      </c>
      <c r="E680">
        <v>58</v>
      </c>
    </row>
    <row r="681" spans="1:5" x14ac:dyDescent="0.3">
      <c r="A681" t="s">
        <v>18</v>
      </c>
      <c r="B681" s="1">
        <v>44720</v>
      </c>
      <c r="C681">
        <v>1</v>
      </c>
      <c r="D681">
        <v>46</v>
      </c>
      <c r="E681">
        <v>72</v>
      </c>
    </row>
    <row r="682" spans="1:5" x14ac:dyDescent="0.3">
      <c r="A682" t="s">
        <v>9</v>
      </c>
      <c r="B682" s="1">
        <v>44720</v>
      </c>
      <c r="C682">
        <v>1</v>
      </c>
      <c r="D682">
        <v>80.69</v>
      </c>
      <c r="E682">
        <v>100</v>
      </c>
    </row>
    <row r="683" spans="1:5" x14ac:dyDescent="0.3">
      <c r="A683" t="s">
        <v>9</v>
      </c>
      <c r="B683" s="1">
        <v>44720</v>
      </c>
      <c r="C683">
        <v>1</v>
      </c>
      <c r="D683">
        <v>80.69</v>
      </c>
      <c r="E683">
        <v>100</v>
      </c>
    </row>
    <row r="684" spans="1:5" x14ac:dyDescent="0.3">
      <c r="A684" t="s">
        <v>65</v>
      </c>
      <c r="B684" s="1">
        <v>44720</v>
      </c>
      <c r="C684">
        <v>1</v>
      </c>
      <c r="D684">
        <v>189.35</v>
      </c>
      <c r="E684">
        <v>222</v>
      </c>
    </row>
    <row r="685" spans="1:5" x14ac:dyDescent="0.3">
      <c r="A685" t="s">
        <v>20</v>
      </c>
      <c r="B685" s="1">
        <v>44720</v>
      </c>
      <c r="C685">
        <v>1</v>
      </c>
      <c r="D685">
        <v>21.21</v>
      </c>
      <c r="E685">
        <v>25</v>
      </c>
    </row>
    <row r="686" spans="1:5" x14ac:dyDescent="0.3">
      <c r="A686" t="s">
        <v>20</v>
      </c>
      <c r="B686" s="1">
        <v>44720</v>
      </c>
      <c r="C686">
        <v>1</v>
      </c>
      <c r="D686">
        <v>20.18</v>
      </c>
      <c r="E686">
        <v>24</v>
      </c>
    </row>
    <row r="687" spans="1:5" x14ac:dyDescent="0.3">
      <c r="A687" t="s">
        <v>49</v>
      </c>
      <c r="B687" s="1">
        <v>44720</v>
      </c>
      <c r="C687">
        <v>1</v>
      </c>
      <c r="D687">
        <v>15.82</v>
      </c>
      <c r="E687">
        <v>20</v>
      </c>
    </row>
    <row r="688" spans="1:5" x14ac:dyDescent="0.3">
      <c r="A688" t="s">
        <v>49</v>
      </c>
      <c r="B688" s="1">
        <v>44720</v>
      </c>
      <c r="C688">
        <v>1</v>
      </c>
      <c r="D688">
        <v>15.82</v>
      </c>
      <c r="E688">
        <v>20</v>
      </c>
    </row>
    <row r="689" spans="1:5" x14ac:dyDescent="0.3">
      <c r="A689" t="s">
        <v>25</v>
      </c>
      <c r="B689" s="1">
        <v>44720</v>
      </c>
      <c r="C689">
        <v>1</v>
      </c>
      <c r="D689">
        <v>148.52000000000001</v>
      </c>
      <c r="E689">
        <v>178</v>
      </c>
    </row>
    <row r="690" spans="1:5" x14ac:dyDescent="0.3">
      <c r="A690" t="s">
        <v>49</v>
      </c>
      <c r="B690" s="1">
        <v>44720</v>
      </c>
      <c r="C690">
        <v>1</v>
      </c>
      <c r="D690">
        <v>15.8</v>
      </c>
      <c r="E690">
        <v>19</v>
      </c>
    </row>
    <row r="691" spans="1:5" x14ac:dyDescent="0.3">
      <c r="A691" t="s">
        <v>134</v>
      </c>
      <c r="B691" s="1">
        <v>44720</v>
      </c>
      <c r="C691">
        <v>1</v>
      </c>
      <c r="D691">
        <v>26.86</v>
      </c>
      <c r="E691">
        <v>43</v>
      </c>
    </row>
    <row r="692" spans="1:5" x14ac:dyDescent="0.3">
      <c r="A692" t="s">
        <v>135</v>
      </c>
      <c r="B692" s="1">
        <v>44720</v>
      </c>
      <c r="C692">
        <v>1</v>
      </c>
      <c r="D692">
        <v>72.31</v>
      </c>
      <c r="E692">
        <v>90</v>
      </c>
    </row>
    <row r="693" spans="1:5" x14ac:dyDescent="0.3">
      <c r="A693" t="s">
        <v>5</v>
      </c>
      <c r="B693" s="1">
        <v>44720</v>
      </c>
      <c r="C693">
        <v>1</v>
      </c>
      <c r="D693">
        <v>132.63999999999999</v>
      </c>
      <c r="E693">
        <v>154</v>
      </c>
    </row>
    <row r="694" spans="1:5" x14ac:dyDescent="0.3">
      <c r="A694" t="s">
        <v>5</v>
      </c>
      <c r="B694" s="1">
        <v>44720</v>
      </c>
      <c r="C694">
        <v>1</v>
      </c>
      <c r="D694">
        <v>132.63999999999999</v>
      </c>
      <c r="E694">
        <v>154</v>
      </c>
    </row>
    <row r="695" spans="1:5" x14ac:dyDescent="0.3">
      <c r="A695" t="s">
        <v>41</v>
      </c>
      <c r="B695" s="1">
        <v>44720</v>
      </c>
      <c r="C695">
        <v>1</v>
      </c>
      <c r="D695">
        <v>11.19</v>
      </c>
      <c r="E695">
        <v>19</v>
      </c>
    </row>
    <row r="696" spans="1:5" x14ac:dyDescent="0.3">
      <c r="A696" t="s">
        <v>93</v>
      </c>
      <c r="B696" s="1">
        <v>44720</v>
      </c>
      <c r="C696">
        <v>1</v>
      </c>
      <c r="D696">
        <v>71.05</v>
      </c>
      <c r="E696">
        <v>101</v>
      </c>
    </row>
    <row r="697" spans="1:5" x14ac:dyDescent="0.3">
      <c r="A697" t="s">
        <v>93</v>
      </c>
      <c r="B697" s="1">
        <v>44720</v>
      </c>
      <c r="C697">
        <v>1</v>
      </c>
      <c r="D697">
        <v>71.05</v>
      </c>
      <c r="E697">
        <v>101</v>
      </c>
    </row>
    <row r="698" spans="1:5" x14ac:dyDescent="0.3">
      <c r="A698" t="s">
        <v>129</v>
      </c>
      <c r="B698" s="1">
        <v>44720</v>
      </c>
      <c r="C698">
        <v>0.08</v>
      </c>
      <c r="D698">
        <v>493.92</v>
      </c>
      <c r="E698">
        <v>595</v>
      </c>
    </row>
    <row r="699" spans="1:5" x14ac:dyDescent="0.3">
      <c r="A699" t="s">
        <v>20</v>
      </c>
      <c r="B699" s="1">
        <v>44720</v>
      </c>
      <c r="C699">
        <v>1</v>
      </c>
      <c r="D699">
        <v>20.77</v>
      </c>
      <c r="E699">
        <v>26</v>
      </c>
    </row>
    <row r="700" spans="1:5" x14ac:dyDescent="0.3">
      <c r="A700" t="s">
        <v>20</v>
      </c>
      <c r="B700" s="1">
        <v>44720</v>
      </c>
      <c r="C700">
        <v>1</v>
      </c>
      <c r="D700">
        <v>20.77</v>
      </c>
      <c r="E700">
        <v>26</v>
      </c>
    </row>
    <row r="701" spans="1:5" x14ac:dyDescent="0.3">
      <c r="A701" t="s">
        <v>76</v>
      </c>
      <c r="B701" s="1">
        <v>44720</v>
      </c>
      <c r="C701">
        <v>1</v>
      </c>
      <c r="D701">
        <v>33.950000000000003</v>
      </c>
      <c r="E701">
        <v>41</v>
      </c>
    </row>
    <row r="702" spans="1:5" x14ac:dyDescent="0.3">
      <c r="A702" t="s">
        <v>76</v>
      </c>
      <c r="B702" s="1">
        <v>44720</v>
      </c>
      <c r="C702">
        <v>1</v>
      </c>
      <c r="D702">
        <v>33.950000000000003</v>
      </c>
      <c r="E702">
        <v>41</v>
      </c>
    </row>
    <row r="703" spans="1:5" x14ac:dyDescent="0.3">
      <c r="A703" t="s">
        <v>26</v>
      </c>
      <c r="B703" s="1">
        <v>44720</v>
      </c>
      <c r="C703">
        <v>0.1</v>
      </c>
      <c r="D703">
        <v>994.43</v>
      </c>
      <c r="E703">
        <v>1343</v>
      </c>
    </row>
    <row r="704" spans="1:5" x14ac:dyDescent="0.3">
      <c r="A704" t="s">
        <v>65</v>
      </c>
      <c r="B704" s="1">
        <v>44720</v>
      </c>
      <c r="C704">
        <v>1</v>
      </c>
      <c r="D704">
        <v>189.35</v>
      </c>
      <c r="E704">
        <v>222</v>
      </c>
    </row>
    <row r="705" spans="1:5" x14ac:dyDescent="0.3">
      <c r="A705" t="s">
        <v>20</v>
      </c>
      <c r="B705" s="1">
        <v>44720</v>
      </c>
      <c r="C705">
        <v>1</v>
      </c>
      <c r="D705">
        <v>20.72</v>
      </c>
      <c r="E705">
        <v>27</v>
      </c>
    </row>
    <row r="706" spans="1:5" x14ac:dyDescent="0.3">
      <c r="A706" t="s">
        <v>20</v>
      </c>
      <c r="B706" s="1">
        <v>44720</v>
      </c>
      <c r="C706">
        <v>1</v>
      </c>
      <c r="D706">
        <v>20.72</v>
      </c>
      <c r="E706">
        <v>27</v>
      </c>
    </row>
    <row r="707" spans="1:5" x14ac:dyDescent="0.3">
      <c r="A707" t="s">
        <v>25</v>
      </c>
      <c r="B707" s="1">
        <v>44720</v>
      </c>
      <c r="C707">
        <v>1</v>
      </c>
      <c r="D707">
        <v>148.52000000000001</v>
      </c>
      <c r="E707">
        <v>178</v>
      </c>
    </row>
    <row r="708" spans="1:5" x14ac:dyDescent="0.3">
      <c r="A708" t="s">
        <v>5</v>
      </c>
      <c r="B708" s="1">
        <v>44720</v>
      </c>
      <c r="C708">
        <v>1</v>
      </c>
      <c r="D708">
        <v>132.63999999999999</v>
      </c>
      <c r="E708">
        <v>159</v>
      </c>
    </row>
    <row r="709" spans="1:5" x14ac:dyDescent="0.3">
      <c r="A709" t="s">
        <v>95</v>
      </c>
      <c r="B709" s="1">
        <v>44720</v>
      </c>
      <c r="C709">
        <v>0.5</v>
      </c>
      <c r="D709">
        <v>113.82</v>
      </c>
      <c r="E709">
        <v>173</v>
      </c>
    </row>
    <row r="710" spans="1:5" x14ac:dyDescent="0.3">
      <c r="A710" t="s">
        <v>106</v>
      </c>
      <c r="B710" s="1">
        <v>44720</v>
      </c>
      <c r="C710">
        <v>1</v>
      </c>
      <c r="D710">
        <v>41.84</v>
      </c>
      <c r="E710">
        <v>51</v>
      </c>
    </row>
    <row r="711" spans="1:5" x14ac:dyDescent="0.3">
      <c r="A711" t="s">
        <v>58</v>
      </c>
      <c r="B711" s="1">
        <v>44720</v>
      </c>
      <c r="C711">
        <v>1</v>
      </c>
      <c r="D711">
        <v>76.02</v>
      </c>
      <c r="E711">
        <v>92</v>
      </c>
    </row>
    <row r="712" spans="1:5" x14ac:dyDescent="0.3">
      <c r="A712" t="s">
        <v>95</v>
      </c>
      <c r="B712" s="1">
        <v>44720</v>
      </c>
      <c r="C712">
        <v>2.5</v>
      </c>
      <c r="D712">
        <v>129.4</v>
      </c>
      <c r="E712">
        <v>204</v>
      </c>
    </row>
    <row r="713" spans="1:5" x14ac:dyDescent="0.3">
      <c r="A713" t="s">
        <v>132</v>
      </c>
      <c r="B713" s="1">
        <v>44720</v>
      </c>
      <c r="C713">
        <v>1</v>
      </c>
      <c r="D713">
        <v>61.16</v>
      </c>
      <c r="E713">
        <v>90</v>
      </c>
    </row>
    <row r="714" spans="1:5" x14ac:dyDescent="0.3">
      <c r="A714" t="s">
        <v>5</v>
      </c>
      <c r="B714" s="1">
        <v>44720</v>
      </c>
      <c r="C714">
        <v>1</v>
      </c>
      <c r="D714">
        <v>130.04</v>
      </c>
      <c r="E714">
        <v>157</v>
      </c>
    </row>
    <row r="715" spans="1:5" x14ac:dyDescent="0.3">
      <c r="A715" t="s">
        <v>83</v>
      </c>
      <c r="B715" s="1">
        <v>44720</v>
      </c>
      <c r="C715">
        <v>1</v>
      </c>
      <c r="D715">
        <v>201.63</v>
      </c>
      <c r="E715">
        <v>239</v>
      </c>
    </row>
    <row r="716" spans="1:5" x14ac:dyDescent="0.3">
      <c r="A716" t="s">
        <v>127</v>
      </c>
      <c r="B716" s="1">
        <v>44720</v>
      </c>
      <c r="C716">
        <v>1</v>
      </c>
      <c r="D716">
        <v>120.04</v>
      </c>
      <c r="E716">
        <v>167</v>
      </c>
    </row>
    <row r="717" spans="1:5" x14ac:dyDescent="0.3">
      <c r="A717" t="s">
        <v>110</v>
      </c>
      <c r="B717" s="1">
        <v>44720</v>
      </c>
      <c r="C717">
        <v>1</v>
      </c>
      <c r="D717">
        <v>232.26</v>
      </c>
      <c r="E717">
        <v>326</v>
      </c>
    </row>
    <row r="718" spans="1:5" x14ac:dyDescent="0.3">
      <c r="A718" t="s">
        <v>27</v>
      </c>
      <c r="B718" s="1">
        <v>44720</v>
      </c>
      <c r="C718">
        <v>1</v>
      </c>
      <c r="D718">
        <v>101.57</v>
      </c>
      <c r="E718">
        <v>156</v>
      </c>
    </row>
    <row r="719" spans="1:5" x14ac:dyDescent="0.3">
      <c r="A719" t="s">
        <v>144</v>
      </c>
      <c r="B719" s="1">
        <v>44720</v>
      </c>
      <c r="C719">
        <v>1</v>
      </c>
      <c r="D719">
        <v>51.39</v>
      </c>
      <c r="E719">
        <v>73</v>
      </c>
    </row>
    <row r="720" spans="1:5" x14ac:dyDescent="0.3">
      <c r="A720" t="s">
        <v>48</v>
      </c>
      <c r="B720" s="1">
        <v>44720</v>
      </c>
      <c r="C720">
        <v>1</v>
      </c>
      <c r="D720">
        <v>38.82</v>
      </c>
      <c r="E720">
        <v>61</v>
      </c>
    </row>
    <row r="721" spans="1:5" x14ac:dyDescent="0.3">
      <c r="A721" t="s">
        <v>23</v>
      </c>
      <c r="B721" s="1">
        <v>44720</v>
      </c>
      <c r="C721">
        <v>1</v>
      </c>
      <c r="D721">
        <v>110.18</v>
      </c>
      <c r="E721">
        <v>124</v>
      </c>
    </row>
    <row r="722" spans="1:5" x14ac:dyDescent="0.3">
      <c r="A722" t="s">
        <v>107</v>
      </c>
      <c r="B722" s="1">
        <v>44720</v>
      </c>
      <c r="C722">
        <v>1</v>
      </c>
      <c r="D722">
        <v>71.73</v>
      </c>
      <c r="E722">
        <v>88</v>
      </c>
    </row>
    <row r="723" spans="1:5" x14ac:dyDescent="0.3">
      <c r="A723" t="s">
        <v>92</v>
      </c>
      <c r="B723" s="1">
        <v>44720</v>
      </c>
      <c r="C723">
        <v>1</v>
      </c>
      <c r="D723">
        <v>5.26</v>
      </c>
      <c r="E723">
        <v>7</v>
      </c>
    </row>
    <row r="724" spans="1:5" x14ac:dyDescent="0.3">
      <c r="A724" t="s">
        <v>100</v>
      </c>
      <c r="B724" s="1">
        <v>44720</v>
      </c>
      <c r="C724">
        <v>1</v>
      </c>
      <c r="D724">
        <v>37.86</v>
      </c>
      <c r="E724">
        <v>59</v>
      </c>
    </row>
    <row r="725" spans="1:5" x14ac:dyDescent="0.3">
      <c r="A725" t="s">
        <v>65</v>
      </c>
      <c r="B725" s="1">
        <v>44720</v>
      </c>
      <c r="C725">
        <v>1</v>
      </c>
      <c r="D725">
        <v>186.78</v>
      </c>
      <c r="E725">
        <v>219</v>
      </c>
    </row>
    <row r="726" spans="1:5" x14ac:dyDescent="0.3">
      <c r="A726" t="s">
        <v>14</v>
      </c>
      <c r="B726" s="1">
        <v>44720</v>
      </c>
      <c r="C726">
        <v>0.2</v>
      </c>
      <c r="D726">
        <v>444.95</v>
      </c>
      <c r="E726">
        <v>615</v>
      </c>
    </row>
    <row r="727" spans="1:5" x14ac:dyDescent="0.3">
      <c r="A727" t="s">
        <v>24</v>
      </c>
      <c r="B727" s="1">
        <v>44720</v>
      </c>
      <c r="C727">
        <v>1</v>
      </c>
      <c r="D727">
        <v>101.95</v>
      </c>
      <c r="E727">
        <v>120</v>
      </c>
    </row>
    <row r="728" spans="1:5" x14ac:dyDescent="0.3">
      <c r="A728" t="s">
        <v>24</v>
      </c>
      <c r="B728" s="1">
        <v>44720</v>
      </c>
      <c r="C728">
        <v>1</v>
      </c>
      <c r="D728">
        <v>101.95</v>
      </c>
      <c r="E728">
        <v>120</v>
      </c>
    </row>
    <row r="729" spans="1:5" x14ac:dyDescent="0.3">
      <c r="A729" t="s">
        <v>24</v>
      </c>
      <c r="B729" s="1">
        <v>44720</v>
      </c>
      <c r="C729">
        <v>1</v>
      </c>
      <c r="D729">
        <v>101.95</v>
      </c>
      <c r="E729">
        <v>120</v>
      </c>
    </row>
    <row r="730" spans="1:5" x14ac:dyDescent="0.3">
      <c r="A730" t="s">
        <v>74</v>
      </c>
      <c r="B730" s="1">
        <v>44720</v>
      </c>
      <c r="C730">
        <v>1</v>
      </c>
      <c r="D730">
        <v>87.84</v>
      </c>
      <c r="E730">
        <v>110</v>
      </c>
    </row>
    <row r="731" spans="1:5" x14ac:dyDescent="0.3">
      <c r="A731" t="s">
        <v>74</v>
      </c>
      <c r="B731" s="1">
        <v>44720</v>
      </c>
      <c r="C731">
        <v>1</v>
      </c>
      <c r="D731">
        <v>86.64</v>
      </c>
      <c r="E731">
        <v>108</v>
      </c>
    </row>
    <row r="732" spans="1:5" x14ac:dyDescent="0.3">
      <c r="A732" t="s">
        <v>74</v>
      </c>
      <c r="B732" s="1">
        <v>44720</v>
      </c>
      <c r="C732">
        <v>1</v>
      </c>
      <c r="D732">
        <v>86.64</v>
      </c>
      <c r="E732">
        <v>108</v>
      </c>
    </row>
    <row r="733" spans="1:5" x14ac:dyDescent="0.3">
      <c r="A733" t="s">
        <v>7</v>
      </c>
      <c r="B733" s="1">
        <v>44720</v>
      </c>
      <c r="C733">
        <v>1</v>
      </c>
      <c r="D733">
        <v>88.74</v>
      </c>
      <c r="E733">
        <v>110</v>
      </c>
    </row>
    <row r="734" spans="1:5" x14ac:dyDescent="0.3">
      <c r="A734" t="s">
        <v>24</v>
      </c>
      <c r="B734" s="1">
        <v>44720</v>
      </c>
      <c r="C734">
        <v>1</v>
      </c>
      <c r="D734">
        <v>101.95</v>
      </c>
      <c r="E734">
        <v>120</v>
      </c>
    </row>
    <row r="735" spans="1:5" x14ac:dyDescent="0.3">
      <c r="A735" t="s">
        <v>24</v>
      </c>
      <c r="B735" s="1">
        <v>44720</v>
      </c>
      <c r="C735">
        <v>1</v>
      </c>
      <c r="D735">
        <v>101.95</v>
      </c>
      <c r="E735">
        <v>120</v>
      </c>
    </row>
    <row r="736" spans="1:5" x14ac:dyDescent="0.3">
      <c r="A736" t="s">
        <v>24</v>
      </c>
      <c r="B736" s="1">
        <v>44720</v>
      </c>
      <c r="C736">
        <v>1</v>
      </c>
      <c r="D736">
        <v>101.95</v>
      </c>
      <c r="E736">
        <v>120</v>
      </c>
    </row>
    <row r="737" spans="1:5" x14ac:dyDescent="0.3">
      <c r="A737" t="s">
        <v>24</v>
      </c>
      <c r="B737" s="1">
        <v>44720</v>
      </c>
      <c r="C737">
        <v>1</v>
      </c>
      <c r="D737">
        <v>101.95</v>
      </c>
      <c r="E737">
        <v>120</v>
      </c>
    </row>
    <row r="738" spans="1:5" x14ac:dyDescent="0.3">
      <c r="A738" t="s">
        <v>24</v>
      </c>
      <c r="B738" s="1">
        <v>44720</v>
      </c>
      <c r="C738">
        <v>1</v>
      </c>
      <c r="D738">
        <v>101.95</v>
      </c>
      <c r="E738">
        <v>120</v>
      </c>
    </row>
    <row r="739" spans="1:5" x14ac:dyDescent="0.3">
      <c r="A739" t="s">
        <v>62</v>
      </c>
      <c r="B739" s="1">
        <v>44719</v>
      </c>
      <c r="C739">
        <v>1</v>
      </c>
      <c r="D739">
        <v>25.6</v>
      </c>
      <c r="E739">
        <v>31</v>
      </c>
    </row>
    <row r="740" spans="1:5" x14ac:dyDescent="0.3">
      <c r="A740" t="s">
        <v>120</v>
      </c>
      <c r="B740" s="1">
        <v>44719</v>
      </c>
      <c r="C740">
        <v>1</v>
      </c>
      <c r="D740">
        <v>134</v>
      </c>
      <c r="E740">
        <v>187</v>
      </c>
    </row>
    <row r="741" spans="1:5" x14ac:dyDescent="0.3">
      <c r="A741" t="s">
        <v>100</v>
      </c>
      <c r="B741" s="1">
        <v>44719</v>
      </c>
      <c r="C741">
        <v>1</v>
      </c>
      <c r="D741">
        <v>36.99</v>
      </c>
      <c r="E741">
        <v>57</v>
      </c>
    </row>
    <row r="742" spans="1:5" x14ac:dyDescent="0.3">
      <c r="A742" t="s">
        <v>40</v>
      </c>
      <c r="B742" s="1">
        <v>44719</v>
      </c>
      <c r="C742">
        <v>1</v>
      </c>
      <c r="D742">
        <v>176.42</v>
      </c>
      <c r="E742">
        <v>211</v>
      </c>
    </row>
    <row r="743" spans="1:5" x14ac:dyDescent="0.3">
      <c r="A743" t="s">
        <v>98</v>
      </c>
      <c r="B743" s="1">
        <v>44719</v>
      </c>
      <c r="C743">
        <v>1</v>
      </c>
      <c r="D743">
        <v>111.32</v>
      </c>
      <c r="E743">
        <v>133</v>
      </c>
    </row>
    <row r="744" spans="1:5" x14ac:dyDescent="0.3">
      <c r="A744" t="s">
        <v>98</v>
      </c>
      <c r="B744" s="1">
        <v>44719</v>
      </c>
      <c r="C744">
        <v>1</v>
      </c>
      <c r="D744">
        <v>111.32</v>
      </c>
      <c r="E744">
        <v>134</v>
      </c>
    </row>
    <row r="745" spans="1:5" x14ac:dyDescent="0.3">
      <c r="A745" t="s">
        <v>50</v>
      </c>
      <c r="B745" s="1">
        <v>44719</v>
      </c>
      <c r="C745">
        <v>1</v>
      </c>
      <c r="D745">
        <v>43.92</v>
      </c>
      <c r="E745">
        <v>55</v>
      </c>
    </row>
    <row r="746" spans="1:5" x14ac:dyDescent="0.3">
      <c r="A746" t="s">
        <v>35</v>
      </c>
      <c r="B746" s="1">
        <v>44719</v>
      </c>
      <c r="C746">
        <v>1</v>
      </c>
      <c r="D746">
        <v>32.71</v>
      </c>
      <c r="E746">
        <v>50</v>
      </c>
    </row>
    <row r="747" spans="1:5" x14ac:dyDescent="0.3">
      <c r="A747" t="s">
        <v>88</v>
      </c>
      <c r="B747" s="1">
        <v>44719</v>
      </c>
      <c r="C747">
        <v>0.5</v>
      </c>
      <c r="D747">
        <v>133.88</v>
      </c>
      <c r="E747">
        <v>204</v>
      </c>
    </row>
    <row r="748" spans="1:5" x14ac:dyDescent="0.3">
      <c r="A748" t="s">
        <v>62</v>
      </c>
      <c r="B748" s="1">
        <v>44719</v>
      </c>
      <c r="C748">
        <v>1</v>
      </c>
      <c r="D748">
        <v>25.6</v>
      </c>
      <c r="E748">
        <v>31</v>
      </c>
    </row>
    <row r="749" spans="1:5" x14ac:dyDescent="0.3">
      <c r="A749" t="s">
        <v>99</v>
      </c>
      <c r="B749" s="1">
        <v>44719</v>
      </c>
      <c r="C749">
        <v>1</v>
      </c>
      <c r="D749">
        <v>64.25</v>
      </c>
      <c r="E749">
        <v>76</v>
      </c>
    </row>
    <row r="750" spans="1:5" x14ac:dyDescent="0.3">
      <c r="A750" t="s">
        <v>91</v>
      </c>
      <c r="B750" s="1">
        <v>44719</v>
      </c>
      <c r="C750">
        <v>1</v>
      </c>
      <c r="D750">
        <v>34.65</v>
      </c>
      <c r="E750">
        <v>57</v>
      </c>
    </row>
    <row r="751" spans="1:5" x14ac:dyDescent="0.3">
      <c r="A751" t="s">
        <v>131</v>
      </c>
      <c r="B751" s="1">
        <v>44719</v>
      </c>
      <c r="C751">
        <v>1</v>
      </c>
      <c r="D751">
        <v>349.8</v>
      </c>
      <c r="E751">
        <v>403</v>
      </c>
    </row>
    <row r="752" spans="1:5" x14ac:dyDescent="0.3">
      <c r="A752" t="s">
        <v>7</v>
      </c>
      <c r="B752" s="1">
        <v>44719</v>
      </c>
      <c r="C752">
        <v>1</v>
      </c>
      <c r="D752">
        <v>88.43</v>
      </c>
      <c r="E752">
        <v>110</v>
      </c>
    </row>
    <row r="753" spans="1:5" x14ac:dyDescent="0.3">
      <c r="A753" t="s">
        <v>8</v>
      </c>
      <c r="B753" s="1">
        <v>44719</v>
      </c>
      <c r="C753">
        <v>1</v>
      </c>
      <c r="D753">
        <v>42.71</v>
      </c>
      <c r="E753">
        <v>70</v>
      </c>
    </row>
    <row r="754" spans="1:5" x14ac:dyDescent="0.3">
      <c r="A754" t="s">
        <v>102</v>
      </c>
      <c r="B754" s="1">
        <v>44719</v>
      </c>
      <c r="C754">
        <v>1</v>
      </c>
      <c r="D754">
        <v>25.43</v>
      </c>
      <c r="E754">
        <v>32</v>
      </c>
    </row>
    <row r="755" spans="1:5" x14ac:dyDescent="0.3">
      <c r="A755" t="s">
        <v>102</v>
      </c>
      <c r="B755" s="1">
        <v>44719</v>
      </c>
      <c r="C755">
        <v>1</v>
      </c>
      <c r="D755">
        <v>25.43</v>
      </c>
      <c r="E755">
        <v>32</v>
      </c>
    </row>
    <row r="756" spans="1:5" x14ac:dyDescent="0.3">
      <c r="A756" t="s">
        <v>102</v>
      </c>
      <c r="B756" s="1">
        <v>44719</v>
      </c>
      <c r="C756">
        <v>1</v>
      </c>
      <c r="D756">
        <v>25.43</v>
      </c>
      <c r="E756">
        <v>32</v>
      </c>
    </row>
    <row r="757" spans="1:5" x14ac:dyDescent="0.3">
      <c r="A757" t="s">
        <v>102</v>
      </c>
      <c r="B757" s="1">
        <v>44719</v>
      </c>
      <c r="C757">
        <v>1</v>
      </c>
      <c r="D757">
        <v>26.8</v>
      </c>
      <c r="E757">
        <v>33</v>
      </c>
    </row>
    <row r="758" spans="1:5" x14ac:dyDescent="0.3">
      <c r="A758" t="s">
        <v>132</v>
      </c>
      <c r="B758" s="1">
        <v>44719</v>
      </c>
      <c r="C758">
        <v>1</v>
      </c>
      <c r="D758">
        <v>58.53</v>
      </c>
      <c r="E758">
        <v>84</v>
      </c>
    </row>
    <row r="759" spans="1:5" x14ac:dyDescent="0.3">
      <c r="A759" t="s">
        <v>27</v>
      </c>
      <c r="B759" s="1">
        <v>44719</v>
      </c>
      <c r="C759">
        <v>1</v>
      </c>
      <c r="D759">
        <v>101.57</v>
      </c>
      <c r="E759">
        <v>156</v>
      </c>
    </row>
    <row r="760" spans="1:5" x14ac:dyDescent="0.3">
      <c r="A760" t="s">
        <v>49</v>
      </c>
      <c r="B760" s="1">
        <v>44719</v>
      </c>
      <c r="C760">
        <v>1</v>
      </c>
      <c r="D760">
        <v>15.82</v>
      </c>
      <c r="E760">
        <v>20</v>
      </c>
    </row>
    <row r="761" spans="1:5" x14ac:dyDescent="0.3">
      <c r="A761" t="s">
        <v>104</v>
      </c>
      <c r="B761" s="1">
        <v>44719</v>
      </c>
      <c r="C761">
        <v>1</v>
      </c>
      <c r="D761">
        <v>46.26</v>
      </c>
      <c r="E761">
        <v>59</v>
      </c>
    </row>
    <row r="762" spans="1:5" x14ac:dyDescent="0.3">
      <c r="A762" t="s">
        <v>21</v>
      </c>
      <c r="B762" s="1">
        <v>44719</v>
      </c>
      <c r="C762">
        <v>1</v>
      </c>
      <c r="D762">
        <v>184.39</v>
      </c>
      <c r="E762">
        <v>257</v>
      </c>
    </row>
    <row r="763" spans="1:5" x14ac:dyDescent="0.3">
      <c r="A763" t="s">
        <v>102</v>
      </c>
      <c r="B763" s="1">
        <v>44719</v>
      </c>
      <c r="C763">
        <v>1</v>
      </c>
      <c r="D763">
        <v>25.44</v>
      </c>
      <c r="E763">
        <v>32</v>
      </c>
    </row>
    <row r="764" spans="1:5" x14ac:dyDescent="0.3">
      <c r="A764" t="s">
        <v>9</v>
      </c>
      <c r="B764" s="1">
        <v>44719</v>
      </c>
      <c r="C764">
        <v>1</v>
      </c>
      <c r="D764">
        <v>80.69</v>
      </c>
      <c r="E764">
        <v>98</v>
      </c>
    </row>
    <row r="765" spans="1:5" x14ac:dyDescent="0.3">
      <c r="A765" t="s">
        <v>65</v>
      </c>
      <c r="B765" s="1">
        <v>44719</v>
      </c>
      <c r="C765">
        <v>1</v>
      </c>
      <c r="D765">
        <v>187.36</v>
      </c>
      <c r="E765">
        <v>220</v>
      </c>
    </row>
    <row r="766" spans="1:5" x14ac:dyDescent="0.3">
      <c r="A766" t="s">
        <v>130</v>
      </c>
      <c r="B766" s="1">
        <v>44719</v>
      </c>
      <c r="C766">
        <v>1</v>
      </c>
      <c r="D766">
        <v>23.56</v>
      </c>
      <c r="E766">
        <v>29</v>
      </c>
    </row>
    <row r="767" spans="1:5" x14ac:dyDescent="0.3">
      <c r="A767" t="s">
        <v>28</v>
      </c>
      <c r="B767" s="1">
        <v>44719</v>
      </c>
      <c r="C767">
        <v>1</v>
      </c>
      <c r="D767">
        <v>149.28</v>
      </c>
      <c r="E767">
        <v>211</v>
      </c>
    </row>
    <row r="768" spans="1:5" x14ac:dyDescent="0.3">
      <c r="A768" t="s">
        <v>28</v>
      </c>
      <c r="B768" s="1">
        <v>44719</v>
      </c>
      <c r="C768">
        <v>1</v>
      </c>
      <c r="D768">
        <v>149.28</v>
      </c>
      <c r="E768">
        <v>211</v>
      </c>
    </row>
    <row r="769" spans="1:5" x14ac:dyDescent="0.3">
      <c r="A769" t="s">
        <v>28</v>
      </c>
      <c r="B769" s="1">
        <v>44719</v>
      </c>
      <c r="C769">
        <v>1</v>
      </c>
      <c r="D769">
        <v>122.75</v>
      </c>
      <c r="E769">
        <v>174</v>
      </c>
    </row>
    <row r="770" spans="1:5" x14ac:dyDescent="0.3">
      <c r="A770" t="s">
        <v>22</v>
      </c>
      <c r="B770" s="1">
        <v>44719</v>
      </c>
      <c r="C770">
        <v>1</v>
      </c>
      <c r="D770">
        <v>30.3</v>
      </c>
      <c r="E770">
        <v>49</v>
      </c>
    </row>
    <row r="771" spans="1:5" x14ac:dyDescent="0.3">
      <c r="A771" t="s">
        <v>77</v>
      </c>
      <c r="B771" s="1">
        <v>44719</v>
      </c>
      <c r="C771">
        <v>1</v>
      </c>
      <c r="D771">
        <v>60.89</v>
      </c>
      <c r="E771">
        <v>76</v>
      </c>
    </row>
    <row r="772" spans="1:5" x14ac:dyDescent="0.3">
      <c r="A772" t="s">
        <v>35</v>
      </c>
      <c r="B772" s="1">
        <v>44719</v>
      </c>
      <c r="C772">
        <v>1</v>
      </c>
      <c r="D772">
        <v>32.71</v>
      </c>
      <c r="E772">
        <v>50</v>
      </c>
    </row>
    <row r="773" spans="1:5" x14ac:dyDescent="0.3">
      <c r="A773" t="s">
        <v>77</v>
      </c>
      <c r="B773" s="1">
        <v>44719</v>
      </c>
      <c r="C773">
        <v>1</v>
      </c>
      <c r="D773">
        <v>60.89</v>
      </c>
      <c r="E773">
        <v>76</v>
      </c>
    </row>
    <row r="774" spans="1:5" x14ac:dyDescent="0.3">
      <c r="A774" t="s">
        <v>21</v>
      </c>
      <c r="B774" s="1">
        <v>44719</v>
      </c>
      <c r="C774">
        <v>1</v>
      </c>
      <c r="D774">
        <v>184.75</v>
      </c>
      <c r="E774">
        <v>250</v>
      </c>
    </row>
    <row r="775" spans="1:5" x14ac:dyDescent="0.3">
      <c r="A775" t="s">
        <v>65</v>
      </c>
      <c r="B775" s="1">
        <v>44719</v>
      </c>
      <c r="C775">
        <v>1</v>
      </c>
      <c r="D775">
        <v>187.74</v>
      </c>
      <c r="E775">
        <v>239</v>
      </c>
    </row>
    <row r="776" spans="1:5" x14ac:dyDescent="0.3">
      <c r="A776" t="s">
        <v>70</v>
      </c>
      <c r="B776" s="1">
        <v>44719</v>
      </c>
      <c r="C776">
        <v>1</v>
      </c>
      <c r="D776">
        <v>162.19</v>
      </c>
      <c r="E776">
        <v>196</v>
      </c>
    </row>
    <row r="777" spans="1:5" x14ac:dyDescent="0.3">
      <c r="A777" t="s">
        <v>89</v>
      </c>
      <c r="B777" s="1">
        <v>44719</v>
      </c>
      <c r="C777">
        <v>1</v>
      </c>
      <c r="D777">
        <v>86.16</v>
      </c>
      <c r="E777">
        <v>123</v>
      </c>
    </row>
    <row r="778" spans="1:5" x14ac:dyDescent="0.3">
      <c r="A778" t="s">
        <v>98</v>
      </c>
      <c r="B778" s="1">
        <v>44719</v>
      </c>
      <c r="C778">
        <v>1</v>
      </c>
      <c r="D778">
        <v>111.32</v>
      </c>
      <c r="E778">
        <v>134</v>
      </c>
    </row>
    <row r="779" spans="1:5" x14ac:dyDescent="0.3">
      <c r="A779" t="s">
        <v>68</v>
      </c>
      <c r="B779" s="1">
        <v>44719</v>
      </c>
      <c r="C779">
        <v>1</v>
      </c>
      <c r="D779">
        <v>55.27</v>
      </c>
      <c r="E779">
        <v>87</v>
      </c>
    </row>
    <row r="780" spans="1:5" x14ac:dyDescent="0.3">
      <c r="A780" t="s">
        <v>145</v>
      </c>
      <c r="B780" s="1">
        <v>44719</v>
      </c>
      <c r="C780">
        <v>1</v>
      </c>
      <c r="D780">
        <v>25.3</v>
      </c>
      <c r="E780">
        <v>31</v>
      </c>
    </row>
    <row r="781" spans="1:5" x14ac:dyDescent="0.3">
      <c r="A781" t="s">
        <v>56</v>
      </c>
      <c r="B781" s="1">
        <v>44719</v>
      </c>
      <c r="C781">
        <v>1</v>
      </c>
      <c r="D781">
        <v>44.56</v>
      </c>
      <c r="E781">
        <v>70</v>
      </c>
    </row>
    <row r="782" spans="1:5" x14ac:dyDescent="0.3">
      <c r="A782" t="s">
        <v>56</v>
      </c>
      <c r="B782" s="1">
        <v>44719</v>
      </c>
      <c r="C782">
        <v>1</v>
      </c>
      <c r="D782">
        <v>44.56</v>
      </c>
      <c r="E782">
        <v>70</v>
      </c>
    </row>
    <row r="783" spans="1:5" x14ac:dyDescent="0.3">
      <c r="A783" t="s">
        <v>31</v>
      </c>
      <c r="B783" s="1">
        <v>44719</v>
      </c>
      <c r="C783">
        <v>1</v>
      </c>
      <c r="D783">
        <v>13.19</v>
      </c>
      <c r="E783">
        <v>18</v>
      </c>
    </row>
    <row r="784" spans="1:5" x14ac:dyDescent="0.3">
      <c r="A784" t="s">
        <v>39</v>
      </c>
      <c r="B784" s="1">
        <v>44719</v>
      </c>
      <c r="C784">
        <v>5</v>
      </c>
      <c r="D784">
        <v>8.58</v>
      </c>
      <c r="E784">
        <v>14</v>
      </c>
    </row>
    <row r="785" spans="1:5" x14ac:dyDescent="0.3">
      <c r="A785" t="s">
        <v>77</v>
      </c>
      <c r="B785" s="1">
        <v>44719</v>
      </c>
      <c r="C785">
        <v>1</v>
      </c>
      <c r="D785">
        <v>60.68</v>
      </c>
      <c r="E785">
        <v>76</v>
      </c>
    </row>
    <row r="786" spans="1:5" x14ac:dyDescent="0.3">
      <c r="A786" t="s">
        <v>77</v>
      </c>
      <c r="B786" s="1">
        <v>44719</v>
      </c>
      <c r="C786">
        <v>1</v>
      </c>
      <c r="D786">
        <v>60.68</v>
      </c>
      <c r="E786">
        <v>76</v>
      </c>
    </row>
    <row r="787" spans="1:5" x14ac:dyDescent="0.3">
      <c r="A787" t="s">
        <v>22</v>
      </c>
      <c r="B787" s="1">
        <v>44719</v>
      </c>
      <c r="C787">
        <v>1</v>
      </c>
      <c r="D787">
        <v>30.3</v>
      </c>
      <c r="E787">
        <v>49</v>
      </c>
    </row>
    <row r="788" spans="1:5" x14ac:dyDescent="0.3">
      <c r="A788" t="s">
        <v>131</v>
      </c>
      <c r="B788" s="1">
        <v>44719</v>
      </c>
      <c r="C788">
        <v>1</v>
      </c>
      <c r="D788">
        <v>356.07</v>
      </c>
      <c r="E788">
        <v>428</v>
      </c>
    </row>
    <row r="789" spans="1:5" x14ac:dyDescent="0.3">
      <c r="A789" t="s">
        <v>22</v>
      </c>
      <c r="B789" s="1">
        <v>44719</v>
      </c>
      <c r="C789">
        <v>1</v>
      </c>
      <c r="D789">
        <v>30.3</v>
      </c>
      <c r="E789">
        <v>49</v>
      </c>
    </row>
    <row r="790" spans="1:5" x14ac:dyDescent="0.3">
      <c r="A790" t="s">
        <v>42</v>
      </c>
      <c r="B790" s="1">
        <v>44719</v>
      </c>
      <c r="C790">
        <v>1</v>
      </c>
      <c r="D790">
        <v>566.04</v>
      </c>
      <c r="E790">
        <v>634</v>
      </c>
    </row>
    <row r="791" spans="1:5" x14ac:dyDescent="0.3">
      <c r="A791" t="s">
        <v>42</v>
      </c>
      <c r="B791" s="1">
        <v>44719</v>
      </c>
      <c r="C791">
        <v>1</v>
      </c>
      <c r="D791">
        <v>566.04</v>
      </c>
      <c r="E791">
        <v>634</v>
      </c>
    </row>
    <row r="792" spans="1:5" x14ac:dyDescent="0.3">
      <c r="A792" t="s">
        <v>70</v>
      </c>
      <c r="B792" s="1">
        <v>44719</v>
      </c>
      <c r="C792">
        <v>1</v>
      </c>
      <c r="D792">
        <v>168.41</v>
      </c>
      <c r="E792">
        <v>203</v>
      </c>
    </row>
    <row r="793" spans="1:5" x14ac:dyDescent="0.3">
      <c r="A793" t="s">
        <v>25</v>
      </c>
      <c r="B793" s="1">
        <v>44719</v>
      </c>
      <c r="C793">
        <v>1</v>
      </c>
      <c r="D793">
        <v>147.55000000000001</v>
      </c>
      <c r="E793">
        <v>177</v>
      </c>
    </row>
    <row r="794" spans="1:5" x14ac:dyDescent="0.3">
      <c r="A794" t="s">
        <v>136</v>
      </c>
      <c r="B794" s="1">
        <v>44719</v>
      </c>
      <c r="C794">
        <v>1</v>
      </c>
      <c r="D794">
        <v>286.72000000000003</v>
      </c>
      <c r="E794">
        <v>402</v>
      </c>
    </row>
    <row r="795" spans="1:5" x14ac:dyDescent="0.3">
      <c r="A795" t="s">
        <v>125</v>
      </c>
      <c r="B795" s="1">
        <v>44719</v>
      </c>
      <c r="C795">
        <v>1</v>
      </c>
      <c r="D795">
        <v>438.35</v>
      </c>
      <c r="E795">
        <v>459</v>
      </c>
    </row>
    <row r="796" spans="1:5" x14ac:dyDescent="0.3">
      <c r="A796" t="s">
        <v>127</v>
      </c>
      <c r="B796" s="1">
        <v>44719</v>
      </c>
      <c r="C796">
        <v>1</v>
      </c>
      <c r="D796">
        <v>128.91999999999999</v>
      </c>
      <c r="E796">
        <v>135</v>
      </c>
    </row>
    <row r="797" spans="1:5" x14ac:dyDescent="0.3">
      <c r="A797" t="s">
        <v>131</v>
      </c>
      <c r="B797" s="1">
        <v>44719</v>
      </c>
      <c r="C797">
        <v>1</v>
      </c>
      <c r="D797">
        <v>364.76</v>
      </c>
      <c r="E797">
        <v>382</v>
      </c>
    </row>
    <row r="798" spans="1:5" x14ac:dyDescent="0.3">
      <c r="A798" t="s">
        <v>100</v>
      </c>
      <c r="B798" s="1">
        <v>44719</v>
      </c>
      <c r="C798">
        <v>1</v>
      </c>
      <c r="D798">
        <v>37.479999999999997</v>
      </c>
      <c r="E798">
        <v>57</v>
      </c>
    </row>
    <row r="799" spans="1:5" x14ac:dyDescent="0.3">
      <c r="A799" t="s">
        <v>100</v>
      </c>
      <c r="B799" s="1">
        <v>44719</v>
      </c>
      <c r="C799">
        <v>1</v>
      </c>
      <c r="D799">
        <v>37.479999999999997</v>
      </c>
      <c r="E799">
        <v>57</v>
      </c>
    </row>
    <row r="800" spans="1:5" x14ac:dyDescent="0.3">
      <c r="A800" t="s">
        <v>28</v>
      </c>
      <c r="B800" s="1">
        <v>44719</v>
      </c>
      <c r="C800">
        <v>1</v>
      </c>
      <c r="D800">
        <v>147.97</v>
      </c>
      <c r="E800">
        <v>209</v>
      </c>
    </row>
    <row r="801" spans="1:5" x14ac:dyDescent="0.3">
      <c r="A801" t="s">
        <v>145</v>
      </c>
      <c r="B801" s="1">
        <v>44719</v>
      </c>
      <c r="C801">
        <v>1</v>
      </c>
      <c r="D801">
        <v>25.3</v>
      </c>
      <c r="E801">
        <v>31</v>
      </c>
    </row>
    <row r="802" spans="1:5" x14ac:dyDescent="0.3">
      <c r="A802" t="s">
        <v>145</v>
      </c>
      <c r="B802" s="1">
        <v>44719</v>
      </c>
      <c r="C802">
        <v>1</v>
      </c>
      <c r="D802">
        <v>25.3</v>
      </c>
      <c r="E802">
        <v>31</v>
      </c>
    </row>
    <row r="803" spans="1:5" x14ac:dyDescent="0.3">
      <c r="A803" t="s">
        <v>24</v>
      </c>
      <c r="B803" s="1">
        <v>44719</v>
      </c>
      <c r="C803">
        <v>1</v>
      </c>
      <c r="D803">
        <v>101.95</v>
      </c>
      <c r="E803">
        <v>122</v>
      </c>
    </row>
    <row r="804" spans="1:5" x14ac:dyDescent="0.3">
      <c r="A804" t="s">
        <v>46</v>
      </c>
      <c r="B804" s="1">
        <v>44719</v>
      </c>
      <c r="C804">
        <v>1</v>
      </c>
      <c r="D804">
        <v>18.68</v>
      </c>
      <c r="E804">
        <v>23</v>
      </c>
    </row>
    <row r="805" spans="1:5" x14ac:dyDescent="0.3">
      <c r="A805" t="s">
        <v>46</v>
      </c>
      <c r="B805" s="1">
        <v>44719</v>
      </c>
      <c r="C805">
        <v>1</v>
      </c>
      <c r="D805">
        <v>18.68</v>
      </c>
      <c r="E805">
        <v>23</v>
      </c>
    </row>
    <row r="806" spans="1:5" x14ac:dyDescent="0.3">
      <c r="A806" t="s">
        <v>39</v>
      </c>
      <c r="B806" s="1">
        <v>44719</v>
      </c>
      <c r="C806">
        <v>2</v>
      </c>
      <c r="D806">
        <v>35.409999999999997</v>
      </c>
      <c r="E806">
        <v>58</v>
      </c>
    </row>
    <row r="807" spans="1:5" x14ac:dyDescent="0.3">
      <c r="A807" t="s">
        <v>61</v>
      </c>
      <c r="B807" s="1">
        <v>44719</v>
      </c>
      <c r="C807">
        <v>1</v>
      </c>
      <c r="D807">
        <v>32.85</v>
      </c>
      <c r="E807">
        <v>50</v>
      </c>
    </row>
    <row r="808" spans="1:5" x14ac:dyDescent="0.3">
      <c r="A808" t="s">
        <v>42</v>
      </c>
      <c r="B808" s="1">
        <v>44719</v>
      </c>
      <c r="C808">
        <v>1</v>
      </c>
      <c r="D808">
        <v>566.04</v>
      </c>
      <c r="E808">
        <v>651</v>
      </c>
    </row>
    <row r="809" spans="1:5" x14ac:dyDescent="0.3">
      <c r="A809" t="s">
        <v>68</v>
      </c>
      <c r="B809" s="1">
        <v>44719</v>
      </c>
      <c r="C809">
        <v>1</v>
      </c>
      <c r="D809">
        <v>50.44</v>
      </c>
      <c r="E809">
        <v>79</v>
      </c>
    </row>
    <row r="810" spans="1:5" x14ac:dyDescent="0.3">
      <c r="A810" t="s">
        <v>103</v>
      </c>
      <c r="B810" s="1">
        <v>44719</v>
      </c>
      <c r="C810">
        <v>1</v>
      </c>
      <c r="D810">
        <v>46.32</v>
      </c>
      <c r="E810">
        <v>72</v>
      </c>
    </row>
    <row r="811" spans="1:5" x14ac:dyDescent="0.3">
      <c r="A811" t="s">
        <v>65</v>
      </c>
      <c r="B811" s="1">
        <v>44719</v>
      </c>
      <c r="C811">
        <v>1</v>
      </c>
      <c r="D811">
        <v>187.74</v>
      </c>
      <c r="E811">
        <v>220</v>
      </c>
    </row>
    <row r="812" spans="1:5" x14ac:dyDescent="0.3">
      <c r="A812" t="s">
        <v>123</v>
      </c>
      <c r="B812" s="1">
        <v>44719</v>
      </c>
      <c r="C812">
        <v>1</v>
      </c>
      <c r="D812">
        <v>62.79</v>
      </c>
      <c r="E812">
        <v>78</v>
      </c>
    </row>
    <row r="813" spans="1:5" x14ac:dyDescent="0.3">
      <c r="A813" t="s">
        <v>112</v>
      </c>
      <c r="B813" s="1">
        <v>44719</v>
      </c>
      <c r="C813">
        <v>1</v>
      </c>
      <c r="D813">
        <v>291.39</v>
      </c>
      <c r="E813">
        <v>311</v>
      </c>
    </row>
    <row r="814" spans="1:5" x14ac:dyDescent="0.3">
      <c r="A814" t="s">
        <v>97</v>
      </c>
      <c r="B814" s="1">
        <v>44719</v>
      </c>
      <c r="C814">
        <v>1</v>
      </c>
      <c r="D814">
        <v>431.34</v>
      </c>
      <c r="E814">
        <v>570</v>
      </c>
    </row>
    <row r="815" spans="1:5" x14ac:dyDescent="0.3">
      <c r="A815" t="s">
        <v>136</v>
      </c>
      <c r="B815" s="1">
        <v>44719</v>
      </c>
      <c r="C815">
        <v>1</v>
      </c>
      <c r="D815">
        <v>285.45</v>
      </c>
      <c r="E815">
        <v>386</v>
      </c>
    </row>
    <row r="816" spans="1:5" x14ac:dyDescent="0.3">
      <c r="A816" t="s">
        <v>7</v>
      </c>
      <c r="B816" s="1">
        <v>44719</v>
      </c>
      <c r="C816">
        <v>1</v>
      </c>
      <c r="D816">
        <v>88.73</v>
      </c>
      <c r="E816">
        <v>104</v>
      </c>
    </row>
    <row r="817" spans="1:5" x14ac:dyDescent="0.3">
      <c r="A817" t="s">
        <v>73</v>
      </c>
      <c r="B817" s="1">
        <v>44719</v>
      </c>
      <c r="C817">
        <v>1</v>
      </c>
      <c r="D817">
        <v>7.82</v>
      </c>
      <c r="E817">
        <v>13</v>
      </c>
    </row>
    <row r="818" spans="1:5" x14ac:dyDescent="0.3">
      <c r="A818" t="s">
        <v>100</v>
      </c>
      <c r="B818" s="1">
        <v>44719</v>
      </c>
      <c r="C818">
        <v>1</v>
      </c>
      <c r="D818">
        <v>38.07</v>
      </c>
      <c r="E818">
        <v>59</v>
      </c>
    </row>
    <row r="819" spans="1:5" x14ac:dyDescent="0.3">
      <c r="A819" t="s">
        <v>123</v>
      </c>
      <c r="B819" s="1">
        <v>44719</v>
      </c>
      <c r="C819">
        <v>1</v>
      </c>
      <c r="D819">
        <v>62.6</v>
      </c>
      <c r="E819">
        <v>78</v>
      </c>
    </row>
    <row r="820" spans="1:5" x14ac:dyDescent="0.3">
      <c r="A820" t="s">
        <v>90</v>
      </c>
      <c r="B820" s="1">
        <v>44719</v>
      </c>
      <c r="C820">
        <v>1</v>
      </c>
      <c r="D820">
        <v>390.04</v>
      </c>
      <c r="E820">
        <v>469</v>
      </c>
    </row>
    <row r="821" spans="1:5" x14ac:dyDescent="0.3">
      <c r="A821" t="s">
        <v>19</v>
      </c>
      <c r="B821" s="1">
        <v>44719</v>
      </c>
      <c r="C821">
        <v>1</v>
      </c>
      <c r="D821">
        <v>80.760000000000005</v>
      </c>
      <c r="E821">
        <v>101</v>
      </c>
    </row>
    <row r="822" spans="1:5" x14ac:dyDescent="0.3">
      <c r="A822" t="s">
        <v>136</v>
      </c>
      <c r="B822" s="1">
        <v>44719</v>
      </c>
      <c r="C822">
        <v>1</v>
      </c>
      <c r="D822">
        <v>314.16000000000003</v>
      </c>
      <c r="E822">
        <v>329</v>
      </c>
    </row>
    <row r="823" spans="1:5" x14ac:dyDescent="0.3">
      <c r="A823" t="s">
        <v>39</v>
      </c>
      <c r="B823" s="1">
        <v>44719</v>
      </c>
      <c r="C823">
        <v>1</v>
      </c>
      <c r="D823">
        <v>8.58</v>
      </c>
      <c r="E823">
        <v>14</v>
      </c>
    </row>
    <row r="824" spans="1:5" x14ac:dyDescent="0.3">
      <c r="A824" t="s">
        <v>28</v>
      </c>
      <c r="B824" s="1">
        <v>44719</v>
      </c>
      <c r="C824">
        <v>1</v>
      </c>
      <c r="D824">
        <v>148.91</v>
      </c>
      <c r="E824">
        <v>204</v>
      </c>
    </row>
    <row r="825" spans="1:5" x14ac:dyDescent="0.3">
      <c r="A825" t="s">
        <v>50</v>
      </c>
      <c r="B825" s="1">
        <v>44719</v>
      </c>
      <c r="C825">
        <v>1</v>
      </c>
      <c r="D825">
        <v>42.95</v>
      </c>
      <c r="E825">
        <v>54</v>
      </c>
    </row>
    <row r="826" spans="1:5" x14ac:dyDescent="0.3">
      <c r="A826" t="s">
        <v>146</v>
      </c>
      <c r="B826" s="1">
        <v>44719</v>
      </c>
      <c r="C826">
        <v>1</v>
      </c>
      <c r="D826">
        <v>410.25</v>
      </c>
      <c r="E826">
        <v>460</v>
      </c>
    </row>
    <row r="827" spans="1:5" x14ac:dyDescent="0.3">
      <c r="A827" t="s">
        <v>28</v>
      </c>
      <c r="B827" s="1">
        <v>44719</v>
      </c>
      <c r="C827">
        <v>1</v>
      </c>
      <c r="D827">
        <v>148.91</v>
      </c>
      <c r="E827">
        <v>204</v>
      </c>
    </row>
    <row r="828" spans="1:5" x14ac:dyDescent="0.3">
      <c r="A828" t="s">
        <v>86</v>
      </c>
      <c r="B828" s="1">
        <v>44719</v>
      </c>
      <c r="C828">
        <v>1</v>
      </c>
      <c r="D828">
        <v>47.4</v>
      </c>
      <c r="E828">
        <v>77</v>
      </c>
    </row>
    <row r="829" spans="1:5" x14ac:dyDescent="0.3">
      <c r="A829" t="s">
        <v>86</v>
      </c>
      <c r="B829" s="1">
        <v>44719</v>
      </c>
      <c r="C829">
        <v>1</v>
      </c>
      <c r="D829">
        <v>47.4</v>
      </c>
      <c r="E829">
        <v>77</v>
      </c>
    </row>
    <row r="830" spans="1:5" x14ac:dyDescent="0.3">
      <c r="A830" t="s">
        <v>63</v>
      </c>
      <c r="B830" s="1">
        <v>44719</v>
      </c>
      <c r="C830">
        <v>1</v>
      </c>
      <c r="D830">
        <v>73.3</v>
      </c>
      <c r="E830">
        <v>88</v>
      </c>
    </row>
    <row r="831" spans="1:5" x14ac:dyDescent="0.3">
      <c r="A831" t="s">
        <v>51</v>
      </c>
      <c r="B831" s="1">
        <v>44719</v>
      </c>
      <c r="C831">
        <v>40</v>
      </c>
      <c r="D831">
        <v>2.1800000000000002</v>
      </c>
      <c r="E831">
        <v>4</v>
      </c>
    </row>
    <row r="832" spans="1:5" x14ac:dyDescent="0.3">
      <c r="A832" t="s">
        <v>7</v>
      </c>
      <c r="B832" s="1">
        <v>44719</v>
      </c>
      <c r="C832">
        <v>1</v>
      </c>
      <c r="D832">
        <v>88.43</v>
      </c>
      <c r="E832">
        <v>104</v>
      </c>
    </row>
    <row r="833" spans="1:5" x14ac:dyDescent="0.3">
      <c r="A833" t="s">
        <v>65</v>
      </c>
      <c r="B833" s="1">
        <v>44719</v>
      </c>
      <c r="C833">
        <v>1</v>
      </c>
      <c r="D833">
        <v>187.36</v>
      </c>
      <c r="E833">
        <v>220</v>
      </c>
    </row>
    <row r="834" spans="1:5" x14ac:dyDescent="0.3">
      <c r="A834" t="s">
        <v>45</v>
      </c>
      <c r="B834" s="1">
        <v>44719</v>
      </c>
      <c r="C834">
        <v>1</v>
      </c>
      <c r="D834">
        <v>29.69</v>
      </c>
      <c r="E834">
        <v>48</v>
      </c>
    </row>
    <row r="835" spans="1:5" x14ac:dyDescent="0.3">
      <c r="A835" t="s">
        <v>43</v>
      </c>
      <c r="B835" s="1">
        <v>44719</v>
      </c>
      <c r="C835">
        <v>1</v>
      </c>
      <c r="D835">
        <v>134.68</v>
      </c>
      <c r="E835">
        <v>162</v>
      </c>
    </row>
    <row r="836" spans="1:5" x14ac:dyDescent="0.3">
      <c r="A836" t="s">
        <v>147</v>
      </c>
      <c r="B836" s="1">
        <v>44719</v>
      </c>
      <c r="C836">
        <v>1</v>
      </c>
      <c r="D836">
        <v>120.71</v>
      </c>
      <c r="E836">
        <v>132</v>
      </c>
    </row>
    <row r="837" spans="1:5" x14ac:dyDescent="0.3">
      <c r="A837" t="s">
        <v>50</v>
      </c>
      <c r="B837" s="1">
        <v>44719</v>
      </c>
      <c r="C837">
        <v>1</v>
      </c>
      <c r="D837">
        <v>44.53</v>
      </c>
      <c r="E837">
        <v>55</v>
      </c>
    </row>
    <row r="838" spans="1:5" x14ac:dyDescent="0.3">
      <c r="A838" t="s">
        <v>57</v>
      </c>
      <c r="B838" s="1">
        <v>44719</v>
      </c>
      <c r="C838">
        <v>1</v>
      </c>
      <c r="D838">
        <v>238.7</v>
      </c>
      <c r="E838">
        <v>280</v>
      </c>
    </row>
    <row r="839" spans="1:5" x14ac:dyDescent="0.3">
      <c r="A839" t="s">
        <v>27</v>
      </c>
      <c r="B839" s="1">
        <v>44719</v>
      </c>
      <c r="C839">
        <v>1</v>
      </c>
      <c r="D839">
        <v>101.57</v>
      </c>
      <c r="E839">
        <v>156</v>
      </c>
    </row>
    <row r="840" spans="1:5" x14ac:dyDescent="0.3">
      <c r="A840" t="s">
        <v>58</v>
      </c>
      <c r="B840" s="1">
        <v>44719</v>
      </c>
      <c r="C840">
        <v>1</v>
      </c>
      <c r="D840">
        <v>65</v>
      </c>
      <c r="E840">
        <v>78</v>
      </c>
    </row>
    <row r="841" spans="1:5" x14ac:dyDescent="0.3">
      <c r="A841" t="s">
        <v>58</v>
      </c>
      <c r="B841" s="1">
        <v>44719</v>
      </c>
      <c r="C841">
        <v>1</v>
      </c>
      <c r="D841">
        <v>65</v>
      </c>
      <c r="E841">
        <v>78</v>
      </c>
    </row>
    <row r="842" spans="1:5" x14ac:dyDescent="0.3">
      <c r="A842" t="s">
        <v>65</v>
      </c>
      <c r="B842" s="1">
        <v>44719</v>
      </c>
      <c r="C842">
        <v>1</v>
      </c>
      <c r="D842">
        <v>213.94</v>
      </c>
      <c r="E842">
        <v>230</v>
      </c>
    </row>
    <row r="843" spans="1:5" x14ac:dyDescent="0.3">
      <c r="A843" t="s">
        <v>148</v>
      </c>
      <c r="B843" s="1">
        <v>44719</v>
      </c>
      <c r="C843">
        <v>1</v>
      </c>
      <c r="D843">
        <v>36.94</v>
      </c>
      <c r="E843">
        <v>57</v>
      </c>
    </row>
    <row r="844" spans="1:5" x14ac:dyDescent="0.3">
      <c r="A844" t="s">
        <v>24</v>
      </c>
      <c r="B844" s="1">
        <v>44719</v>
      </c>
      <c r="C844">
        <v>1</v>
      </c>
      <c r="D844">
        <v>101.95</v>
      </c>
      <c r="E844">
        <v>122</v>
      </c>
    </row>
    <row r="845" spans="1:5" x14ac:dyDescent="0.3">
      <c r="A845" t="s">
        <v>8</v>
      </c>
      <c r="B845" s="1">
        <v>44719</v>
      </c>
      <c r="C845">
        <v>1</v>
      </c>
      <c r="D845">
        <v>58.34</v>
      </c>
      <c r="E845">
        <v>92</v>
      </c>
    </row>
    <row r="846" spans="1:5" x14ac:dyDescent="0.3">
      <c r="A846" t="s">
        <v>18</v>
      </c>
      <c r="B846" s="1">
        <v>44719</v>
      </c>
      <c r="C846">
        <v>1</v>
      </c>
      <c r="D846">
        <v>46</v>
      </c>
      <c r="E846">
        <v>70</v>
      </c>
    </row>
    <row r="847" spans="1:5" x14ac:dyDescent="0.3">
      <c r="A847" t="s">
        <v>18</v>
      </c>
      <c r="B847" s="1">
        <v>44719</v>
      </c>
      <c r="C847">
        <v>1</v>
      </c>
      <c r="D847">
        <v>46</v>
      </c>
      <c r="E847">
        <v>70</v>
      </c>
    </row>
    <row r="848" spans="1:5" x14ac:dyDescent="0.3">
      <c r="A848" t="s">
        <v>18</v>
      </c>
      <c r="B848" s="1">
        <v>44719</v>
      </c>
      <c r="C848">
        <v>1</v>
      </c>
      <c r="D848">
        <v>46</v>
      </c>
      <c r="E848">
        <v>70</v>
      </c>
    </row>
    <row r="849" spans="1:5" x14ac:dyDescent="0.3">
      <c r="A849" t="s">
        <v>18</v>
      </c>
      <c r="B849" s="1">
        <v>44719</v>
      </c>
      <c r="C849">
        <v>1</v>
      </c>
      <c r="D849">
        <v>46</v>
      </c>
      <c r="E849">
        <v>70</v>
      </c>
    </row>
    <row r="850" spans="1:5" x14ac:dyDescent="0.3">
      <c r="A850" t="s">
        <v>18</v>
      </c>
      <c r="B850" s="1">
        <v>44719</v>
      </c>
      <c r="C850">
        <v>1</v>
      </c>
      <c r="D850">
        <v>46</v>
      </c>
      <c r="E850">
        <v>70</v>
      </c>
    </row>
    <row r="851" spans="1:5" x14ac:dyDescent="0.3">
      <c r="A851" t="s">
        <v>18</v>
      </c>
      <c r="B851" s="1">
        <v>44719</v>
      </c>
      <c r="C851">
        <v>1</v>
      </c>
      <c r="D851">
        <v>46</v>
      </c>
      <c r="E851">
        <v>70</v>
      </c>
    </row>
    <row r="852" spans="1:5" x14ac:dyDescent="0.3">
      <c r="A852" t="s">
        <v>20</v>
      </c>
      <c r="B852" s="1">
        <v>44719</v>
      </c>
      <c r="C852">
        <v>1</v>
      </c>
      <c r="D852">
        <v>19.940000000000001</v>
      </c>
      <c r="E852">
        <v>26</v>
      </c>
    </row>
    <row r="853" spans="1:5" x14ac:dyDescent="0.3">
      <c r="A853" t="s">
        <v>20</v>
      </c>
      <c r="B853" s="1">
        <v>44719</v>
      </c>
      <c r="C853">
        <v>1</v>
      </c>
      <c r="D853">
        <v>19.940000000000001</v>
      </c>
      <c r="E853">
        <v>26</v>
      </c>
    </row>
    <row r="854" spans="1:5" x14ac:dyDescent="0.3">
      <c r="A854" t="s">
        <v>84</v>
      </c>
      <c r="B854" s="1">
        <v>44719</v>
      </c>
      <c r="C854">
        <v>1</v>
      </c>
      <c r="D854">
        <v>160.57</v>
      </c>
      <c r="E854">
        <v>201</v>
      </c>
    </row>
    <row r="855" spans="1:5" x14ac:dyDescent="0.3">
      <c r="A855" t="s">
        <v>84</v>
      </c>
      <c r="B855" s="1">
        <v>44719</v>
      </c>
      <c r="C855">
        <v>1</v>
      </c>
      <c r="D855">
        <v>155.88</v>
      </c>
      <c r="E855">
        <v>195</v>
      </c>
    </row>
    <row r="856" spans="1:5" x14ac:dyDescent="0.3">
      <c r="A856" t="s">
        <v>24</v>
      </c>
      <c r="B856" s="1">
        <v>44719</v>
      </c>
      <c r="C856">
        <v>1</v>
      </c>
      <c r="D856">
        <v>103.46</v>
      </c>
      <c r="E856">
        <v>121</v>
      </c>
    </row>
    <row r="857" spans="1:5" x14ac:dyDescent="0.3">
      <c r="A857" t="s">
        <v>27</v>
      </c>
      <c r="B857" s="1">
        <v>44719</v>
      </c>
      <c r="C857">
        <v>1</v>
      </c>
      <c r="D857">
        <v>101.57</v>
      </c>
      <c r="E857">
        <v>156</v>
      </c>
    </row>
    <row r="858" spans="1:5" x14ac:dyDescent="0.3">
      <c r="A858" t="s">
        <v>41</v>
      </c>
      <c r="B858" s="1">
        <v>44719</v>
      </c>
      <c r="C858">
        <v>1</v>
      </c>
      <c r="D858">
        <v>11.63</v>
      </c>
      <c r="E858">
        <v>19</v>
      </c>
    </row>
    <row r="859" spans="1:5" x14ac:dyDescent="0.3">
      <c r="A859" t="s">
        <v>85</v>
      </c>
      <c r="B859" s="1">
        <v>44719</v>
      </c>
      <c r="C859">
        <v>1</v>
      </c>
      <c r="D859">
        <v>15.14</v>
      </c>
      <c r="E859">
        <v>24</v>
      </c>
    </row>
    <row r="860" spans="1:5" x14ac:dyDescent="0.3">
      <c r="A860" t="s">
        <v>85</v>
      </c>
      <c r="B860" s="1">
        <v>44719</v>
      </c>
      <c r="C860">
        <v>1</v>
      </c>
      <c r="D860">
        <v>15.14</v>
      </c>
      <c r="E860">
        <v>24</v>
      </c>
    </row>
    <row r="861" spans="1:5" x14ac:dyDescent="0.3">
      <c r="A861" t="s">
        <v>16</v>
      </c>
      <c r="B861" s="1">
        <v>44719</v>
      </c>
      <c r="C861">
        <v>1</v>
      </c>
      <c r="D861">
        <v>34.51</v>
      </c>
      <c r="E861">
        <v>54</v>
      </c>
    </row>
    <row r="862" spans="1:5" x14ac:dyDescent="0.3">
      <c r="A862" t="s">
        <v>90</v>
      </c>
      <c r="B862" s="1">
        <v>44719</v>
      </c>
      <c r="C862">
        <v>1</v>
      </c>
      <c r="D862">
        <v>390.04</v>
      </c>
      <c r="E862">
        <v>480</v>
      </c>
    </row>
    <row r="863" spans="1:5" x14ac:dyDescent="0.3">
      <c r="A863" t="s">
        <v>125</v>
      </c>
      <c r="B863" s="1">
        <v>44719</v>
      </c>
      <c r="C863">
        <v>1</v>
      </c>
      <c r="D863">
        <v>337.22</v>
      </c>
      <c r="E863">
        <v>439</v>
      </c>
    </row>
    <row r="864" spans="1:5" x14ac:dyDescent="0.3">
      <c r="A864" t="s">
        <v>23</v>
      </c>
      <c r="B864" s="1">
        <v>44719</v>
      </c>
      <c r="C864">
        <v>1</v>
      </c>
      <c r="D864">
        <v>167.09</v>
      </c>
      <c r="E864">
        <v>175</v>
      </c>
    </row>
    <row r="865" spans="1:5" x14ac:dyDescent="0.3">
      <c r="A865" t="s">
        <v>23</v>
      </c>
      <c r="B865" s="1">
        <v>44719</v>
      </c>
      <c r="C865">
        <v>1</v>
      </c>
      <c r="D865">
        <v>167.09</v>
      </c>
      <c r="E865">
        <v>175</v>
      </c>
    </row>
    <row r="866" spans="1:5" x14ac:dyDescent="0.3">
      <c r="A866" t="s">
        <v>97</v>
      </c>
      <c r="B866" s="1">
        <v>44719</v>
      </c>
      <c r="C866">
        <v>1</v>
      </c>
      <c r="D866">
        <v>426.67</v>
      </c>
      <c r="E866">
        <v>564</v>
      </c>
    </row>
    <row r="867" spans="1:5" x14ac:dyDescent="0.3">
      <c r="A867" t="s">
        <v>99</v>
      </c>
      <c r="B867" s="1">
        <v>44719</v>
      </c>
      <c r="C867">
        <v>1</v>
      </c>
      <c r="D867">
        <v>64.25</v>
      </c>
      <c r="E867">
        <v>79</v>
      </c>
    </row>
    <row r="868" spans="1:5" x14ac:dyDescent="0.3">
      <c r="A868" t="s">
        <v>115</v>
      </c>
      <c r="B868" s="1">
        <v>44719</v>
      </c>
      <c r="C868">
        <v>1</v>
      </c>
      <c r="D868">
        <v>71.31</v>
      </c>
      <c r="E868">
        <v>90</v>
      </c>
    </row>
    <row r="869" spans="1:5" x14ac:dyDescent="0.3">
      <c r="A869" t="s">
        <v>32</v>
      </c>
      <c r="B869" s="1">
        <v>44719</v>
      </c>
      <c r="C869">
        <v>0.5</v>
      </c>
      <c r="D869">
        <v>100.57</v>
      </c>
      <c r="E869">
        <v>154</v>
      </c>
    </row>
    <row r="870" spans="1:5" x14ac:dyDescent="0.3">
      <c r="A870" t="s">
        <v>107</v>
      </c>
      <c r="B870" s="1">
        <v>44719</v>
      </c>
      <c r="C870">
        <v>1</v>
      </c>
      <c r="D870">
        <v>71.03</v>
      </c>
      <c r="E870">
        <v>88</v>
      </c>
    </row>
    <row r="871" spans="1:5" x14ac:dyDescent="0.3">
      <c r="A871" t="s">
        <v>16</v>
      </c>
      <c r="B871" s="1">
        <v>44719</v>
      </c>
      <c r="C871">
        <v>1</v>
      </c>
      <c r="D871">
        <v>43.52</v>
      </c>
      <c r="E871">
        <v>69</v>
      </c>
    </row>
    <row r="872" spans="1:5" x14ac:dyDescent="0.3">
      <c r="A872" t="s">
        <v>115</v>
      </c>
      <c r="B872" s="1">
        <v>44719</v>
      </c>
      <c r="C872">
        <v>1</v>
      </c>
      <c r="D872">
        <v>71.31</v>
      </c>
      <c r="E872">
        <v>90</v>
      </c>
    </row>
    <row r="873" spans="1:5" x14ac:dyDescent="0.3">
      <c r="A873" t="s">
        <v>26</v>
      </c>
      <c r="B873" s="1">
        <v>44719</v>
      </c>
      <c r="C873">
        <v>0.3</v>
      </c>
      <c r="D873">
        <v>984.79</v>
      </c>
      <c r="E873">
        <v>1340</v>
      </c>
    </row>
    <row r="874" spans="1:5" x14ac:dyDescent="0.3">
      <c r="A874" t="s">
        <v>77</v>
      </c>
      <c r="B874" s="1">
        <v>44719</v>
      </c>
      <c r="C874">
        <v>1</v>
      </c>
      <c r="D874">
        <v>60.61</v>
      </c>
      <c r="E874">
        <v>76</v>
      </c>
    </row>
    <row r="875" spans="1:5" x14ac:dyDescent="0.3">
      <c r="A875" t="s">
        <v>25</v>
      </c>
      <c r="B875" s="1">
        <v>44719</v>
      </c>
      <c r="C875">
        <v>1</v>
      </c>
      <c r="D875">
        <v>147.55000000000001</v>
      </c>
      <c r="E875">
        <v>177</v>
      </c>
    </row>
    <row r="876" spans="1:5" x14ac:dyDescent="0.3">
      <c r="A876" t="s">
        <v>36</v>
      </c>
      <c r="B876" s="1">
        <v>44719</v>
      </c>
      <c r="C876">
        <v>1</v>
      </c>
      <c r="D876">
        <v>23.73</v>
      </c>
      <c r="E876">
        <v>31</v>
      </c>
    </row>
    <row r="877" spans="1:5" x14ac:dyDescent="0.3">
      <c r="A877" t="s">
        <v>36</v>
      </c>
      <c r="B877" s="1">
        <v>44719</v>
      </c>
      <c r="C877">
        <v>1</v>
      </c>
      <c r="D877">
        <v>23.73</v>
      </c>
      <c r="E877">
        <v>31</v>
      </c>
    </row>
    <row r="878" spans="1:5" x14ac:dyDescent="0.3">
      <c r="A878" t="s">
        <v>58</v>
      </c>
      <c r="B878" s="1">
        <v>44719</v>
      </c>
      <c r="C878">
        <v>1</v>
      </c>
      <c r="D878">
        <v>76.02</v>
      </c>
      <c r="E878">
        <v>92</v>
      </c>
    </row>
    <row r="879" spans="1:5" x14ac:dyDescent="0.3">
      <c r="A879" t="s">
        <v>58</v>
      </c>
      <c r="B879" s="1">
        <v>44719</v>
      </c>
      <c r="C879">
        <v>1</v>
      </c>
      <c r="D879">
        <v>76.02</v>
      </c>
      <c r="E879">
        <v>92</v>
      </c>
    </row>
    <row r="880" spans="1:5" x14ac:dyDescent="0.3">
      <c r="A880" t="s">
        <v>141</v>
      </c>
      <c r="B880" s="1">
        <v>44719</v>
      </c>
      <c r="C880">
        <v>2</v>
      </c>
      <c r="D880">
        <v>12.2</v>
      </c>
      <c r="E880">
        <v>20</v>
      </c>
    </row>
    <row r="881" spans="1:5" x14ac:dyDescent="0.3">
      <c r="A881" t="s">
        <v>55</v>
      </c>
      <c r="B881" s="1">
        <v>44719</v>
      </c>
      <c r="C881">
        <v>1</v>
      </c>
      <c r="D881">
        <v>77.45</v>
      </c>
      <c r="E881">
        <v>95</v>
      </c>
    </row>
    <row r="882" spans="1:5" x14ac:dyDescent="0.3">
      <c r="A882" t="s">
        <v>121</v>
      </c>
      <c r="B882" s="1">
        <v>44719</v>
      </c>
      <c r="C882">
        <v>3</v>
      </c>
      <c r="D882">
        <v>11.41</v>
      </c>
      <c r="E882">
        <v>19</v>
      </c>
    </row>
    <row r="883" spans="1:5" x14ac:dyDescent="0.3">
      <c r="A883" t="s">
        <v>9</v>
      </c>
      <c r="B883" s="1">
        <v>44719</v>
      </c>
      <c r="C883">
        <v>1</v>
      </c>
      <c r="D883">
        <v>80.69</v>
      </c>
      <c r="E883">
        <v>100</v>
      </c>
    </row>
    <row r="884" spans="1:5" x14ac:dyDescent="0.3">
      <c r="A884" t="s">
        <v>73</v>
      </c>
      <c r="B884" s="1">
        <v>44719</v>
      </c>
      <c r="C884">
        <v>1</v>
      </c>
      <c r="D884">
        <v>7.82</v>
      </c>
      <c r="E884">
        <v>13</v>
      </c>
    </row>
    <row r="885" spans="1:5" x14ac:dyDescent="0.3">
      <c r="A885" t="s">
        <v>88</v>
      </c>
      <c r="B885" s="1">
        <v>44719</v>
      </c>
      <c r="C885">
        <v>0.5</v>
      </c>
      <c r="D885">
        <v>102.08</v>
      </c>
      <c r="E885">
        <v>157</v>
      </c>
    </row>
    <row r="886" spans="1:5" x14ac:dyDescent="0.3">
      <c r="A886" t="s">
        <v>22</v>
      </c>
      <c r="B886" s="1">
        <v>44719</v>
      </c>
      <c r="C886">
        <v>2</v>
      </c>
      <c r="D886">
        <v>30.3</v>
      </c>
      <c r="E886">
        <v>49</v>
      </c>
    </row>
    <row r="887" spans="1:5" x14ac:dyDescent="0.3">
      <c r="A887" t="s">
        <v>122</v>
      </c>
      <c r="B887" s="1">
        <v>44719</v>
      </c>
      <c r="C887">
        <v>7.4074100000000004E-2</v>
      </c>
      <c r="D887">
        <v>20.59</v>
      </c>
      <c r="E887">
        <v>25</v>
      </c>
    </row>
    <row r="888" spans="1:5" x14ac:dyDescent="0.3">
      <c r="A888" t="s">
        <v>122</v>
      </c>
      <c r="B888" s="1">
        <v>44719</v>
      </c>
      <c r="C888">
        <v>0.92592600000000003</v>
      </c>
      <c r="D888">
        <v>20.59</v>
      </c>
      <c r="E888">
        <v>25</v>
      </c>
    </row>
    <row r="889" spans="1:5" x14ac:dyDescent="0.3">
      <c r="A889" t="s">
        <v>28</v>
      </c>
      <c r="B889" s="1">
        <v>44719</v>
      </c>
      <c r="C889">
        <v>7.4074100000000004E-2</v>
      </c>
      <c r="D889">
        <v>122.75</v>
      </c>
      <c r="E889">
        <v>174</v>
      </c>
    </row>
    <row r="890" spans="1:5" x14ac:dyDescent="0.3">
      <c r="A890" t="s">
        <v>28</v>
      </c>
      <c r="B890" s="1">
        <v>44719</v>
      </c>
      <c r="C890">
        <v>0.92592600000000003</v>
      </c>
      <c r="D890">
        <v>122.75</v>
      </c>
      <c r="E890">
        <v>174</v>
      </c>
    </row>
    <row r="891" spans="1:5" x14ac:dyDescent="0.3">
      <c r="A891" t="s">
        <v>49</v>
      </c>
      <c r="B891" s="1">
        <v>44719</v>
      </c>
      <c r="C891">
        <v>1</v>
      </c>
      <c r="D891">
        <v>15.58</v>
      </c>
      <c r="E891">
        <v>19</v>
      </c>
    </row>
    <row r="892" spans="1:5" x14ac:dyDescent="0.3">
      <c r="A892" t="s">
        <v>95</v>
      </c>
      <c r="B892" s="1">
        <v>44719</v>
      </c>
      <c r="C892">
        <v>2</v>
      </c>
      <c r="D892">
        <v>110.54</v>
      </c>
      <c r="E892">
        <v>174</v>
      </c>
    </row>
    <row r="893" spans="1:5" x14ac:dyDescent="0.3">
      <c r="A893" t="s">
        <v>124</v>
      </c>
      <c r="B893" s="1">
        <v>44719</v>
      </c>
      <c r="C893">
        <v>1</v>
      </c>
      <c r="D893">
        <v>42.47</v>
      </c>
      <c r="E893">
        <v>69</v>
      </c>
    </row>
    <row r="894" spans="1:5" x14ac:dyDescent="0.3">
      <c r="A894" t="s">
        <v>55</v>
      </c>
      <c r="B894" s="1">
        <v>44719</v>
      </c>
      <c r="C894">
        <v>1</v>
      </c>
      <c r="D894">
        <v>78.510000000000005</v>
      </c>
      <c r="E894">
        <v>96</v>
      </c>
    </row>
    <row r="895" spans="1:5" x14ac:dyDescent="0.3">
      <c r="A895" t="s">
        <v>102</v>
      </c>
      <c r="B895" s="1">
        <v>44719</v>
      </c>
      <c r="C895">
        <v>1</v>
      </c>
      <c r="D895">
        <v>25.97</v>
      </c>
      <c r="E895">
        <v>32</v>
      </c>
    </row>
    <row r="896" spans="1:5" x14ac:dyDescent="0.3">
      <c r="A896" t="s">
        <v>53</v>
      </c>
      <c r="B896" s="1">
        <v>44719</v>
      </c>
      <c r="C896">
        <v>1</v>
      </c>
      <c r="D896">
        <v>23.4</v>
      </c>
      <c r="E896">
        <v>38</v>
      </c>
    </row>
    <row r="897" spans="1:5" x14ac:dyDescent="0.3">
      <c r="A897" t="s">
        <v>137</v>
      </c>
      <c r="B897" s="1">
        <v>44719</v>
      </c>
      <c r="C897">
        <v>1</v>
      </c>
      <c r="D897">
        <v>6.4</v>
      </c>
      <c r="E897">
        <v>11</v>
      </c>
    </row>
    <row r="898" spans="1:5" x14ac:dyDescent="0.3">
      <c r="A898" t="s">
        <v>41</v>
      </c>
      <c r="B898" s="1">
        <v>44719</v>
      </c>
      <c r="C898">
        <v>4</v>
      </c>
      <c r="D898">
        <v>11.19</v>
      </c>
      <c r="E898">
        <v>19</v>
      </c>
    </row>
    <row r="899" spans="1:5" x14ac:dyDescent="0.3">
      <c r="A899" t="s">
        <v>29</v>
      </c>
      <c r="B899" s="1">
        <v>44719</v>
      </c>
      <c r="C899">
        <v>1</v>
      </c>
      <c r="D899">
        <v>489.61</v>
      </c>
      <c r="E899">
        <v>647</v>
      </c>
    </row>
    <row r="900" spans="1:5" x14ac:dyDescent="0.3">
      <c r="A900" t="s">
        <v>51</v>
      </c>
      <c r="B900" s="1">
        <v>44719</v>
      </c>
      <c r="C900">
        <v>4</v>
      </c>
      <c r="D900">
        <v>2.0099999999999998</v>
      </c>
      <c r="E900">
        <v>4</v>
      </c>
    </row>
    <row r="901" spans="1:5" x14ac:dyDescent="0.3">
      <c r="A901" t="s">
        <v>25</v>
      </c>
      <c r="B901" s="1">
        <v>44719</v>
      </c>
      <c r="C901">
        <v>1</v>
      </c>
      <c r="D901">
        <v>146.85</v>
      </c>
      <c r="E901">
        <v>177</v>
      </c>
    </row>
    <row r="902" spans="1:5" x14ac:dyDescent="0.3">
      <c r="A902" t="s">
        <v>112</v>
      </c>
      <c r="B902" s="1">
        <v>44719</v>
      </c>
      <c r="C902">
        <v>1</v>
      </c>
      <c r="D902">
        <v>291.39</v>
      </c>
      <c r="E902">
        <v>345</v>
      </c>
    </row>
    <row r="903" spans="1:5" x14ac:dyDescent="0.3">
      <c r="A903" t="s">
        <v>28</v>
      </c>
      <c r="B903" s="1">
        <v>44719</v>
      </c>
      <c r="C903">
        <v>1</v>
      </c>
      <c r="D903">
        <v>148.91999999999999</v>
      </c>
      <c r="E903">
        <v>207</v>
      </c>
    </row>
    <row r="904" spans="1:5" x14ac:dyDescent="0.3">
      <c r="A904" t="s">
        <v>81</v>
      </c>
      <c r="B904" s="1">
        <v>44719</v>
      </c>
      <c r="C904">
        <v>1</v>
      </c>
      <c r="D904">
        <v>40.14</v>
      </c>
      <c r="E904">
        <v>49</v>
      </c>
    </row>
    <row r="905" spans="1:5" x14ac:dyDescent="0.3">
      <c r="A905" t="s">
        <v>55</v>
      </c>
      <c r="B905" s="1">
        <v>44719</v>
      </c>
      <c r="C905">
        <v>1</v>
      </c>
      <c r="D905">
        <v>77.66</v>
      </c>
      <c r="E905">
        <v>95</v>
      </c>
    </row>
    <row r="906" spans="1:5" x14ac:dyDescent="0.3">
      <c r="A906" t="s">
        <v>55</v>
      </c>
      <c r="B906" s="1">
        <v>44719</v>
      </c>
      <c r="C906">
        <v>1</v>
      </c>
      <c r="D906">
        <v>77.66</v>
      </c>
      <c r="E906">
        <v>95</v>
      </c>
    </row>
    <row r="907" spans="1:5" x14ac:dyDescent="0.3">
      <c r="A907" t="s">
        <v>79</v>
      </c>
      <c r="B907" s="1">
        <v>44719</v>
      </c>
      <c r="C907">
        <v>1</v>
      </c>
      <c r="D907">
        <v>150.77000000000001</v>
      </c>
      <c r="E907">
        <v>179</v>
      </c>
    </row>
    <row r="908" spans="1:5" x14ac:dyDescent="0.3">
      <c r="A908" t="s">
        <v>148</v>
      </c>
      <c r="B908" s="1">
        <v>44719</v>
      </c>
      <c r="C908">
        <v>1</v>
      </c>
      <c r="D908">
        <v>36.94</v>
      </c>
      <c r="E908">
        <v>57</v>
      </c>
    </row>
    <row r="909" spans="1:5" x14ac:dyDescent="0.3">
      <c r="A909" t="s">
        <v>24</v>
      </c>
      <c r="B909" s="1">
        <v>44719</v>
      </c>
      <c r="C909">
        <v>1</v>
      </c>
      <c r="D909">
        <v>101.95</v>
      </c>
      <c r="E909">
        <v>120</v>
      </c>
    </row>
    <row r="910" spans="1:5" x14ac:dyDescent="0.3">
      <c r="A910" t="s">
        <v>59</v>
      </c>
      <c r="B910" s="1">
        <v>44719</v>
      </c>
      <c r="C910">
        <v>11</v>
      </c>
      <c r="D910">
        <v>14.55</v>
      </c>
      <c r="E910">
        <v>24</v>
      </c>
    </row>
    <row r="911" spans="1:5" x14ac:dyDescent="0.3">
      <c r="A911" t="s">
        <v>23</v>
      </c>
      <c r="B911" s="1">
        <v>44719</v>
      </c>
      <c r="C911">
        <v>1</v>
      </c>
      <c r="D911">
        <v>126.16</v>
      </c>
      <c r="E911">
        <v>141</v>
      </c>
    </row>
    <row r="912" spans="1:5" x14ac:dyDescent="0.3">
      <c r="A912" t="s">
        <v>83</v>
      </c>
      <c r="B912" s="1">
        <v>44719</v>
      </c>
      <c r="C912">
        <v>1</v>
      </c>
      <c r="D912">
        <v>201.72</v>
      </c>
      <c r="E912">
        <v>231</v>
      </c>
    </row>
    <row r="913" spans="1:5" x14ac:dyDescent="0.3">
      <c r="A913" t="s">
        <v>83</v>
      </c>
      <c r="B913" s="1">
        <v>44719</v>
      </c>
      <c r="C913">
        <v>1</v>
      </c>
      <c r="D913">
        <v>201.72</v>
      </c>
      <c r="E913">
        <v>231</v>
      </c>
    </row>
    <row r="914" spans="1:5" x14ac:dyDescent="0.3">
      <c r="A914" t="s">
        <v>27</v>
      </c>
      <c r="B914" s="1">
        <v>44719</v>
      </c>
      <c r="C914">
        <v>1</v>
      </c>
      <c r="D914">
        <v>101.57</v>
      </c>
      <c r="E914">
        <v>156</v>
      </c>
    </row>
    <row r="915" spans="1:5" x14ac:dyDescent="0.3">
      <c r="A915" t="s">
        <v>9</v>
      </c>
      <c r="B915" s="1">
        <v>44719</v>
      </c>
      <c r="C915">
        <v>1</v>
      </c>
      <c r="D915">
        <v>80.69</v>
      </c>
      <c r="E915">
        <v>98</v>
      </c>
    </row>
    <row r="916" spans="1:5" x14ac:dyDescent="0.3">
      <c r="A916" t="s">
        <v>92</v>
      </c>
      <c r="B916" s="1">
        <v>44719</v>
      </c>
      <c r="C916">
        <v>3</v>
      </c>
      <c r="D916">
        <v>6.24</v>
      </c>
      <c r="E916">
        <v>9</v>
      </c>
    </row>
    <row r="917" spans="1:5" x14ac:dyDescent="0.3">
      <c r="A917" t="s">
        <v>6</v>
      </c>
      <c r="B917" s="1">
        <v>44719</v>
      </c>
      <c r="C917">
        <v>1</v>
      </c>
      <c r="D917">
        <v>460.66</v>
      </c>
      <c r="E917">
        <v>576</v>
      </c>
    </row>
    <row r="918" spans="1:5" x14ac:dyDescent="0.3">
      <c r="A918" t="s">
        <v>106</v>
      </c>
      <c r="B918" s="1">
        <v>44719</v>
      </c>
      <c r="C918">
        <v>1</v>
      </c>
      <c r="D918">
        <v>42.24</v>
      </c>
      <c r="E918">
        <v>53</v>
      </c>
    </row>
    <row r="919" spans="1:5" x14ac:dyDescent="0.3">
      <c r="A919" t="s">
        <v>9</v>
      </c>
      <c r="B919" s="1">
        <v>44719</v>
      </c>
      <c r="C919">
        <v>1</v>
      </c>
      <c r="D919">
        <v>80.69</v>
      </c>
      <c r="E919">
        <v>98</v>
      </c>
    </row>
    <row r="920" spans="1:5" x14ac:dyDescent="0.3">
      <c r="A920" t="s">
        <v>88</v>
      </c>
      <c r="B920" s="1">
        <v>44719</v>
      </c>
      <c r="C920">
        <v>1</v>
      </c>
      <c r="D920">
        <v>106.51</v>
      </c>
      <c r="E920">
        <v>163</v>
      </c>
    </row>
    <row r="921" spans="1:5" x14ac:dyDescent="0.3">
      <c r="A921" t="s">
        <v>106</v>
      </c>
      <c r="B921" s="1">
        <v>44719</v>
      </c>
      <c r="C921">
        <v>1</v>
      </c>
      <c r="D921">
        <v>41.13</v>
      </c>
      <c r="E921">
        <v>51</v>
      </c>
    </row>
    <row r="922" spans="1:5" x14ac:dyDescent="0.3">
      <c r="A922" t="s">
        <v>115</v>
      </c>
      <c r="B922" s="1">
        <v>44719</v>
      </c>
      <c r="C922">
        <v>1</v>
      </c>
      <c r="D922">
        <v>71.31</v>
      </c>
      <c r="E922">
        <v>90</v>
      </c>
    </row>
    <row r="923" spans="1:5" x14ac:dyDescent="0.3">
      <c r="A923" t="s">
        <v>28</v>
      </c>
      <c r="B923" s="1">
        <v>44719</v>
      </c>
      <c r="C923">
        <v>1</v>
      </c>
      <c r="D923">
        <v>148.83000000000001</v>
      </c>
      <c r="E923">
        <v>204</v>
      </c>
    </row>
    <row r="924" spans="1:5" x14ac:dyDescent="0.3">
      <c r="A924" t="s">
        <v>39</v>
      </c>
      <c r="B924" s="1">
        <v>44719</v>
      </c>
      <c r="C924">
        <v>2</v>
      </c>
      <c r="D924">
        <v>8.58</v>
      </c>
      <c r="E924">
        <v>14</v>
      </c>
    </row>
    <row r="925" spans="1:5" x14ac:dyDescent="0.3">
      <c r="A925" t="s">
        <v>39</v>
      </c>
      <c r="B925" s="1">
        <v>44719</v>
      </c>
      <c r="C925">
        <v>4</v>
      </c>
      <c r="D925">
        <v>8.58</v>
      </c>
      <c r="E925">
        <v>14</v>
      </c>
    </row>
    <row r="926" spans="1:5" x14ac:dyDescent="0.3">
      <c r="A926" t="s">
        <v>31</v>
      </c>
      <c r="B926" s="1">
        <v>44719</v>
      </c>
      <c r="C926">
        <v>1</v>
      </c>
      <c r="D926">
        <v>13.36</v>
      </c>
      <c r="E926">
        <v>18</v>
      </c>
    </row>
    <row r="927" spans="1:5" x14ac:dyDescent="0.3">
      <c r="A927" t="s">
        <v>31</v>
      </c>
      <c r="B927" s="1">
        <v>44719</v>
      </c>
      <c r="C927">
        <v>1</v>
      </c>
      <c r="D927">
        <v>13.36</v>
      </c>
      <c r="E927">
        <v>18</v>
      </c>
    </row>
    <row r="928" spans="1:5" x14ac:dyDescent="0.3">
      <c r="A928" t="s">
        <v>20</v>
      </c>
      <c r="B928" s="1">
        <v>44719</v>
      </c>
      <c r="C928">
        <v>1</v>
      </c>
      <c r="D928">
        <v>19.71</v>
      </c>
      <c r="E928">
        <v>26</v>
      </c>
    </row>
    <row r="929" spans="1:5" x14ac:dyDescent="0.3">
      <c r="A929" t="s">
        <v>20</v>
      </c>
      <c r="B929" s="1">
        <v>44719</v>
      </c>
      <c r="C929">
        <v>1</v>
      </c>
      <c r="D929">
        <v>19.71</v>
      </c>
      <c r="E929">
        <v>26</v>
      </c>
    </row>
    <row r="930" spans="1:5" x14ac:dyDescent="0.3">
      <c r="A930" t="s">
        <v>43</v>
      </c>
      <c r="B930" s="1">
        <v>44719</v>
      </c>
      <c r="C930">
        <v>1</v>
      </c>
      <c r="D930">
        <v>134.94999999999999</v>
      </c>
      <c r="E930">
        <v>162</v>
      </c>
    </row>
    <row r="931" spans="1:5" x14ac:dyDescent="0.3">
      <c r="A931" t="s">
        <v>48</v>
      </c>
      <c r="B931" s="1">
        <v>44719</v>
      </c>
      <c r="C931">
        <v>1</v>
      </c>
      <c r="D931">
        <v>41.47</v>
      </c>
      <c r="E931">
        <v>64</v>
      </c>
    </row>
    <row r="932" spans="1:5" x14ac:dyDescent="0.3">
      <c r="A932" t="s">
        <v>48</v>
      </c>
      <c r="B932" s="1">
        <v>44719</v>
      </c>
      <c r="C932">
        <v>1</v>
      </c>
      <c r="D932">
        <v>38.89</v>
      </c>
      <c r="E932">
        <v>60</v>
      </c>
    </row>
    <row r="933" spans="1:5" x14ac:dyDescent="0.3">
      <c r="A933" t="s">
        <v>17</v>
      </c>
      <c r="B933" s="1">
        <v>44719</v>
      </c>
      <c r="C933">
        <v>1</v>
      </c>
      <c r="D933">
        <v>393.09</v>
      </c>
      <c r="E933">
        <v>472</v>
      </c>
    </row>
    <row r="934" spans="1:5" x14ac:dyDescent="0.3">
      <c r="A934" t="s">
        <v>43</v>
      </c>
      <c r="B934" s="1">
        <v>44719</v>
      </c>
      <c r="C934">
        <v>1</v>
      </c>
      <c r="D934">
        <v>134.09</v>
      </c>
      <c r="E934">
        <v>161</v>
      </c>
    </row>
    <row r="935" spans="1:5" x14ac:dyDescent="0.3">
      <c r="A935" t="s">
        <v>29</v>
      </c>
      <c r="B935" s="1">
        <v>44719</v>
      </c>
      <c r="C935">
        <v>1</v>
      </c>
      <c r="D935">
        <v>488.05</v>
      </c>
      <c r="E935">
        <v>645</v>
      </c>
    </row>
    <row r="936" spans="1:5" x14ac:dyDescent="0.3">
      <c r="A936" t="s">
        <v>119</v>
      </c>
      <c r="B936" s="1">
        <v>44719</v>
      </c>
      <c r="C936">
        <v>3.5714299999999997E-2</v>
      </c>
      <c r="D936">
        <v>656.19</v>
      </c>
      <c r="E936">
        <v>722</v>
      </c>
    </row>
    <row r="937" spans="1:5" x14ac:dyDescent="0.3">
      <c r="A937" t="s">
        <v>66</v>
      </c>
      <c r="B937" s="1">
        <v>44719</v>
      </c>
      <c r="C937">
        <v>1</v>
      </c>
      <c r="D937">
        <v>31.08</v>
      </c>
      <c r="E937">
        <v>36</v>
      </c>
    </row>
    <row r="938" spans="1:5" x14ac:dyDescent="0.3">
      <c r="A938" t="s">
        <v>7</v>
      </c>
      <c r="B938" s="1">
        <v>44719</v>
      </c>
      <c r="C938">
        <v>1</v>
      </c>
      <c r="D938">
        <v>88.73</v>
      </c>
      <c r="E938">
        <v>104</v>
      </c>
    </row>
    <row r="939" spans="1:5" x14ac:dyDescent="0.3">
      <c r="A939" t="s">
        <v>13</v>
      </c>
      <c r="B939" s="1">
        <v>44719</v>
      </c>
      <c r="C939">
        <v>1</v>
      </c>
      <c r="D939">
        <v>123.83</v>
      </c>
      <c r="E939">
        <v>148</v>
      </c>
    </row>
    <row r="940" spans="1:5" x14ac:dyDescent="0.3">
      <c r="A940" t="s">
        <v>50</v>
      </c>
      <c r="B940" s="1">
        <v>44719</v>
      </c>
      <c r="C940">
        <v>1</v>
      </c>
      <c r="D940">
        <v>42.99</v>
      </c>
      <c r="E940">
        <v>54</v>
      </c>
    </row>
    <row r="941" spans="1:5" x14ac:dyDescent="0.3">
      <c r="A941" t="s">
        <v>76</v>
      </c>
      <c r="B941" s="1">
        <v>44719</v>
      </c>
      <c r="C941">
        <v>1</v>
      </c>
      <c r="D941">
        <v>30.8</v>
      </c>
      <c r="E941">
        <v>38</v>
      </c>
    </row>
    <row r="942" spans="1:5" x14ac:dyDescent="0.3">
      <c r="A942" t="s">
        <v>103</v>
      </c>
      <c r="B942" s="1">
        <v>44719</v>
      </c>
      <c r="C942">
        <v>1</v>
      </c>
      <c r="D942">
        <v>46.32</v>
      </c>
      <c r="E942">
        <v>72</v>
      </c>
    </row>
    <row r="943" spans="1:5" x14ac:dyDescent="0.3">
      <c r="A943" t="s">
        <v>103</v>
      </c>
      <c r="B943" s="1">
        <v>44719</v>
      </c>
      <c r="C943">
        <v>1</v>
      </c>
      <c r="D943">
        <v>46.32</v>
      </c>
      <c r="E943">
        <v>72</v>
      </c>
    </row>
    <row r="944" spans="1:5" x14ac:dyDescent="0.3">
      <c r="A944" t="s">
        <v>103</v>
      </c>
      <c r="B944" s="1">
        <v>44719</v>
      </c>
      <c r="C944">
        <v>1</v>
      </c>
      <c r="D944">
        <v>46.32</v>
      </c>
      <c r="E944">
        <v>72</v>
      </c>
    </row>
    <row r="945" spans="1:5" x14ac:dyDescent="0.3">
      <c r="A945" t="s">
        <v>68</v>
      </c>
      <c r="B945" s="1">
        <v>44719</v>
      </c>
      <c r="C945">
        <v>1</v>
      </c>
      <c r="D945">
        <v>53.57</v>
      </c>
      <c r="E945">
        <v>82</v>
      </c>
    </row>
    <row r="946" spans="1:5" x14ac:dyDescent="0.3">
      <c r="A946" t="s">
        <v>85</v>
      </c>
      <c r="B946" s="1">
        <v>44719</v>
      </c>
      <c r="C946">
        <v>1</v>
      </c>
      <c r="D946">
        <v>15.36</v>
      </c>
      <c r="E946">
        <v>24</v>
      </c>
    </row>
    <row r="947" spans="1:5" x14ac:dyDescent="0.3">
      <c r="A947" t="s">
        <v>138</v>
      </c>
      <c r="B947" s="1">
        <v>44719</v>
      </c>
      <c r="C947">
        <v>1</v>
      </c>
      <c r="D947">
        <v>46.5</v>
      </c>
      <c r="E947">
        <v>75</v>
      </c>
    </row>
    <row r="948" spans="1:5" x14ac:dyDescent="0.3">
      <c r="A948" t="s">
        <v>26</v>
      </c>
      <c r="B948" s="1">
        <v>44719</v>
      </c>
      <c r="C948">
        <v>1</v>
      </c>
      <c r="D948">
        <v>979.4</v>
      </c>
      <c r="E948">
        <v>1342</v>
      </c>
    </row>
    <row r="949" spans="1:5" x14ac:dyDescent="0.3">
      <c r="A949" t="s">
        <v>8</v>
      </c>
      <c r="B949" s="1">
        <v>44719</v>
      </c>
      <c r="C949">
        <v>1</v>
      </c>
      <c r="D949">
        <v>47.67</v>
      </c>
      <c r="E949">
        <v>77</v>
      </c>
    </row>
    <row r="950" spans="1:5" x14ac:dyDescent="0.3">
      <c r="A950" t="s">
        <v>44</v>
      </c>
      <c r="B950" s="1">
        <v>44719</v>
      </c>
      <c r="C950">
        <v>1</v>
      </c>
      <c r="D950">
        <v>64.53</v>
      </c>
      <c r="E950">
        <v>103</v>
      </c>
    </row>
    <row r="951" spans="1:5" x14ac:dyDescent="0.3">
      <c r="A951" t="s">
        <v>104</v>
      </c>
      <c r="B951" s="1">
        <v>44719</v>
      </c>
      <c r="C951">
        <v>1</v>
      </c>
      <c r="D951">
        <v>46.73</v>
      </c>
      <c r="E951">
        <v>58</v>
      </c>
    </row>
    <row r="952" spans="1:5" x14ac:dyDescent="0.3">
      <c r="A952" t="s">
        <v>137</v>
      </c>
      <c r="B952" s="1">
        <v>44719</v>
      </c>
      <c r="C952">
        <v>1</v>
      </c>
      <c r="D952">
        <v>8.5</v>
      </c>
      <c r="E952">
        <v>14</v>
      </c>
    </row>
    <row r="953" spans="1:5" x14ac:dyDescent="0.3">
      <c r="A953" t="s">
        <v>75</v>
      </c>
      <c r="B953" s="1">
        <v>44719</v>
      </c>
      <c r="C953">
        <v>0.2</v>
      </c>
      <c r="D953">
        <v>463.1</v>
      </c>
      <c r="E953">
        <v>649</v>
      </c>
    </row>
    <row r="954" spans="1:5" x14ac:dyDescent="0.3">
      <c r="A954" t="s">
        <v>24</v>
      </c>
      <c r="B954" s="1">
        <v>44719</v>
      </c>
      <c r="C954">
        <v>1</v>
      </c>
      <c r="D954">
        <v>107.76</v>
      </c>
      <c r="E954">
        <v>127</v>
      </c>
    </row>
    <row r="955" spans="1:5" x14ac:dyDescent="0.3">
      <c r="A955" t="s">
        <v>91</v>
      </c>
      <c r="B955" s="1">
        <v>44719</v>
      </c>
      <c r="C955">
        <v>1</v>
      </c>
      <c r="D955">
        <v>35.340000000000003</v>
      </c>
      <c r="E955">
        <v>58</v>
      </c>
    </row>
    <row r="956" spans="1:5" x14ac:dyDescent="0.3">
      <c r="A956" t="s">
        <v>40</v>
      </c>
      <c r="B956" s="1">
        <v>44719</v>
      </c>
      <c r="C956">
        <v>1</v>
      </c>
      <c r="D956">
        <v>173.09</v>
      </c>
      <c r="E956">
        <v>207</v>
      </c>
    </row>
    <row r="957" spans="1:5" x14ac:dyDescent="0.3">
      <c r="A957" t="s">
        <v>65</v>
      </c>
      <c r="B957" s="1">
        <v>44719</v>
      </c>
      <c r="C957">
        <v>1</v>
      </c>
      <c r="D957">
        <v>187.74</v>
      </c>
      <c r="E957">
        <v>220</v>
      </c>
    </row>
    <row r="958" spans="1:5" x14ac:dyDescent="0.3">
      <c r="A958" t="s">
        <v>114</v>
      </c>
      <c r="B958" s="1">
        <v>44719</v>
      </c>
      <c r="C958">
        <v>1</v>
      </c>
      <c r="D958">
        <v>74.8</v>
      </c>
      <c r="E958">
        <v>94</v>
      </c>
    </row>
    <row r="959" spans="1:5" x14ac:dyDescent="0.3">
      <c r="A959" t="s">
        <v>84</v>
      </c>
      <c r="B959" s="1">
        <v>44719</v>
      </c>
      <c r="C959">
        <v>1</v>
      </c>
      <c r="D959">
        <v>161.47999999999999</v>
      </c>
      <c r="E959">
        <v>202</v>
      </c>
    </row>
    <row r="960" spans="1:5" x14ac:dyDescent="0.3">
      <c r="A960" t="s">
        <v>131</v>
      </c>
      <c r="B960" s="1">
        <v>44719</v>
      </c>
      <c r="C960">
        <v>1</v>
      </c>
      <c r="D960">
        <v>358.57</v>
      </c>
      <c r="E960">
        <v>413</v>
      </c>
    </row>
    <row r="961" spans="1:5" x14ac:dyDescent="0.3">
      <c r="A961" t="s">
        <v>113</v>
      </c>
      <c r="B961" s="1">
        <v>44719</v>
      </c>
      <c r="C961">
        <v>1</v>
      </c>
      <c r="D961">
        <v>126.69</v>
      </c>
      <c r="E961">
        <v>179</v>
      </c>
    </row>
    <row r="962" spans="1:5" x14ac:dyDescent="0.3">
      <c r="A962" t="s">
        <v>17</v>
      </c>
      <c r="B962" s="1">
        <v>44719</v>
      </c>
      <c r="C962">
        <v>1</v>
      </c>
      <c r="D962">
        <v>390.53</v>
      </c>
      <c r="E962">
        <v>469</v>
      </c>
    </row>
    <row r="963" spans="1:5" x14ac:dyDescent="0.3">
      <c r="A963" t="s">
        <v>98</v>
      </c>
      <c r="B963" s="1">
        <v>44719</v>
      </c>
      <c r="C963">
        <v>1</v>
      </c>
      <c r="D963">
        <v>111.32</v>
      </c>
      <c r="E963">
        <v>134</v>
      </c>
    </row>
    <row r="964" spans="1:5" x14ac:dyDescent="0.3">
      <c r="A964" t="s">
        <v>61</v>
      </c>
      <c r="B964" s="1">
        <v>44719</v>
      </c>
      <c r="C964">
        <v>1</v>
      </c>
      <c r="D964">
        <v>32.979999999999997</v>
      </c>
      <c r="E964">
        <v>52</v>
      </c>
    </row>
    <row r="965" spans="1:5" x14ac:dyDescent="0.3">
      <c r="A965" t="s">
        <v>127</v>
      </c>
      <c r="B965" s="1">
        <v>44719</v>
      </c>
      <c r="C965">
        <v>1</v>
      </c>
      <c r="D965">
        <v>119.63</v>
      </c>
      <c r="E965">
        <v>164</v>
      </c>
    </row>
    <row r="966" spans="1:5" x14ac:dyDescent="0.3">
      <c r="A966" t="s">
        <v>25</v>
      </c>
      <c r="B966" s="1">
        <v>44719</v>
      </c>
      <c r="C966">
        <v>1</v>
      </c>
      <c r="D966">
        <v>141.47999999999999</v>
      </c>
      <c r="E966">
        <v>171</v>
      </c>
    </row>
    <row r="967" spans="1:5" x14ac:dyDescent="0.3">
      <c r="A967" t="s">
        <v>149</v>
      </c>
      <c r="B967" s="1">
        <v>44719</v>
      </c>
      <c r="C967">
        <v>1</v>
      </c>
      <c r="D967">
        <v>201.41</v>
      </c>
      <c r="E967">
        <v>268</v>
      </c>
    </row>
    <row r="968" spans="1:5" x14ac:dyDescent="0.3">
      <c r="A968" t="s">
        <v>149</v>
      </c>
      <c r="B968" s="1">
        <v>44719</v>
      </c>
      <c r="C968">
        <v>1</v>
      </c>
      <c r="D968">
        <v>201.41</v>
      </c>
      <c r="E968">
        <v>268</v>
      </c>
    </row>
    <row r="969" spans="1:5" x14ac:dyDescent="0.3">
      <c r="A969" t="s">
        <v>96</v>
      </c>
      <c r="B969" s="1">
        <v>44719</v>
      </c>
      <c r="C969">
        <v>1</v>
      </c>
      <c r="D969">
        <v>71.650000000000006</v>
      </c>
      <c r="E969">
        <v>107</v>
      </c>
    </row>
    <row r="970" spans="1:5" x14ac:dyDescent="0.3">
      <c r="A970" t="s">
        <v>96</v>
      </c>
      <c r="B970" s="1">
        <v>44719</v>
      </c>
      <c r="C970">
        <v>1</v>
      </c>
      <c r="D970">
        <v>71.650000000000006</v>
      </c>
      <c r="E970">
        <v>107</v>
      </c>
    </row>
    <row r="971" spans="1:5" x14ac:dyDescent="0.3">
      <c r="A971" t="s">
        <v>120</v>
      </c>
      <c r="B971" s="1">
        <v>44719</v>
      </c>
      <c r="C971">
        <v>1</v>
      </c>
      <c r="D971">
        <v>132.07</v>
      </c>
      <c r="E971">
        <v>192</v>
      </c>
    </row>
    <row r="972" spans="1:5" x14ac:dyDescent="0.3">
      <c r="A972" t="s">
        <v>48</v>
      </c>
      <c r="B972" s="1">
        <v>44719</v>
      </c>
      <c r="C972">
        <v>1</v>
      </c>
      <c r="D972">
        <v>41.47</v>
      </c>
      <c r="E972">
        <v>64</v>
      </c>
    </row>
    <row r="973" spans="1:5" x14ac:dyDescent="0.3">
      <c r="A973" t="s">
        <v>138</v>
      </c>
      <c r="B973" s="1">
        <v>44719</v>
      </c>
      <c r="C973">
        <v>1</v>
      </c>
      <c r="D973">
        <v>46.5</v>
      </c>
      <c r="E973">
        <v>75</v>
      </c>
    </row>
    <row r="974" spans="1:5" x14ac:dyDescent="0.3">
      <c r="A974" t="s">
        <v>115</v>
      </c>
      <c r="B974" s="1">
        <v>44719</v>
      </c>
      <c r="C974">
        <v>1</v>
      </c>
      <c r="D974">
        <v>71.31</v>
      </c>
      <c r="E974">
        <v>88</v>
      </c>
    </row>
    <row r="975" spans="1:5" x14ac:dyDescent="0.3">
      <c r="A975" t="s">
        <v>67</v>
      </c>
      <c r="B975" s="1">
        <v>44719</v>
      </c>
      <c r="C975">
        <v>1</v>
      </c>
      <c r="D975">
        <v>55.36</v>
      </c>
      <c r="E975">
        <v>79</v>
      </c>
    </row>
    <row r="976" spans="1:5" x14ac:dyDescent="0.3">
      <c r="A976" t="s">
        <v>104</v>
      </c>
      <c r="B976" s="1">
        <v>44719</v>
      </c>
      <c r="C976">
        <v>1</v>
      </c>
      <c r="D976">
        <v>46.73</v>
      </c>
      <c r="E976">
        <v>58</v>
      </c>
    </row>
    <row r="977" spans="1:5" x14ac:dyDescent="0.3">
      <c r="A977" t="s">
        <v>81</v>
      </c>
      <c r="B977" s="1">
        <v>44719</v>
      </c>
      <c r="C977">
        <v>1</v>
      </c>
      <c r="D977">
        <v>43.63</v>
      </c>
      <c r="E977">
        <v>54</v>
      </c>
    </row>
    <row r="978" spans="1:5" x14ac:dyDescent="0.3">
      <c r="A978" t="s">
        <v>150</v>
      </c>
      <c r="B978" s="1">
        <v>44719</v>
      </c>
      <c r="C978">
        <v>2</v>
      </c>
      <c r="D978">
        <v>94.8</v>
      </c>
      <c r="E978">
        <v>147</v>
      </c>
    </row>
    <row r="979" spans="1:5" x14ac:dyDescent="0.3">
      <c r="A979" t="s">
        <v>7</v>
      </c>
      <c r="B979" s="1">
        <v>44719</v>
      </c>
      <c r="C979">
        <v>1</v>
      </c>
      <c r="D979">
        <v>88.73</v>
      </c>
      <c r="E979">
        <v>104</v>
      </c>
    </row>
    <row r="980" spans="1:5" x14ac:dyDescent="0.3">
      <c r="A980" t="s">
        <v>23</v>
      </c>
      <c r="B980" s="1">
        <v>44719</v>
      </c>
      <c r="C980">
        <v>1</v>
      </c>
      <c r="D980">
        <v>110.21</v>
      </c>
      <c r="E980">
        <v>124</v>
      </c>
    </row>
    <row r="981" spans="1:5" x14ac:dyDescent="0.3">
      <c r="A981" t="s">
        <v>98</v>
      </c>
      <c r="B981" s="1">
        <v>44719</v>
      </c>
      <c r="C981">
        <v>1</v>
      </c>
      <c r="D981">
        <v>111.48</v>
      </c>
      <c r="E981">
        <v>134</v>
      </c>
    </row>
    <row r="982" spans="1:5" x14ac:dyDescent="0.3">
      <c r="A982" t="s">
        <v>81</v>
      </c>
      <c r="B982" s="1">
        <v>44719</v>
      </c>
      <c r="C982">
        <v>1</v>
      </c>
      <c r="D982">
        <v>40.14</v>
      </c>
      <c r="E982">
        <v>49</v>
      </c>
    </row>
    <row r="983" spans="1:5" x14ac:dyDescent="0.3">
      <c r="A983" t="s">
        <v>81</v>
      </c>
      <c r="B983" s="1">
        <v>44719</v>
      </c>
      <c r="C983">
        <v>1</v>
      </c>
      <c r="D983">
        <v>40.14</v>
      </c>
      <c r="E983">
        <v>49</v>
      </c>
    </row>
    <row r="984" spans="1:5" x14ac:dyDescent="0.3">
      <c r="A984" t="s">
        <v>118</v>
      </c>
      <c r="B984" s="1">
        <v>44719</v>
      </c>
      <c r="C984">
        <v>1</v>
      </c>
      <c r="D984">
        <v>10.78</v>
      </c>
      <c r="E984">
        <v>13</v>
      </c>
    </row>
    <row r="985" spans="1:5" x14ac:dyDescent="0.3">
      <c r="A985" t="s">
        <v>118</v>
      </c>
      <c r="B985" s="1">
        <v>44719</v>
      </c>
      <c r="C985">
        <v>1</v>
      </c>
      <c r="D985">
        <v>10.78</v>
      </c>
      <c r="E985">
        <v>13</v>
      </c>
    </row>
    <row r="986" spans="1:5" x14ac:dyDescent="0.3">
      <c r="A986" t="s">
        <v>31</v>
      </c>
      <c r="B986" s="1">
        <v>44719</v>
      </c>
      <c r="C986">
        <v>1</v>
      </c>
      <c r="D986">
        <v>13.36</v>
      </c>
      <c r="E986">
        <v>18</v>
      </c>
    </row>
    <row r="987" spans="1:5" x14ac:dyDescent="0.3">
      <c r="A987" t="s">
        <v>31</v>
      </c>
      <c r="B987" s="1">
        <v>44719</v>
      </c>
      <c r="C987">
        <v>1</v>
      </c>
      <c r="D987">
        <v>13.36</v>
      </c>
      <c r="E987">
        <v>18</v>
      </c>
    </row>
    <row r="988" spans="1:5" x14ac:dyDescent="0.3">
      <c r="A988" t="s">
        <v>31</v>
      </c>
      <c r="B988" s="1">
        <v>44719</v>
      </c>
      <c r="C988">
        <v>1</v>
      </c>
      <c r="D988">
        <v>13.36</v>
      </c>
      <c r="E988">
        <v>18</v>
      </c>
    </row>
    <row r="989" spans="1:5" x14ac:dyDescent="0.3">
      <c r="A989" t="s">
        <v>55</v>
      </c>
      <c r="B989" s="1">
        <v>44719</v>
      </c>
      <c r="C989">
        <v>1</v>
      </c>
      <c r="D989">
        <v>77.510000000000005</v>
      </c>
      <c r="E989">
        <v>95</v>
      </c>
    </row>
    <row r="990" spans="1:5" x14ac:dyDescent="0.3">
      <c r="A990" t="s">
        <v>55</v>
      </c>
      <c r="B990" s="1">
        <v>44719</v>
      </c>
      <c r="C990">
        <v>1</v>
      </c>
      <c r="D990">
        <v>78.510000000000005</v>
      </c>
      <c r="E990">
        <v>96</v>
      </c>
    </row>
    <row r="991" spans="1:5" x14ac:dyDescent="0.3">
      <c r="A991" t="s">
        <v>151</v>
      </c>
      <c r="B991" s="1">
        <v>44719</v>
      </c>
      <c r="C991">
        <v>1</v>
      </c>
      <c r="D991">
        <v>24.24</v>
      </c>
      <c r="E991">
        <v>30</v>
      </c>
    </row>
    <row r="992" spans="1:5" x14ac:dyDescent="0.3">
      <c r="A992" t="s">
        <v>96</v>
      </c>
      <c r="B992" s="1">
        <v>44719</v>
      </c>
      <c r="C992">
        <v>1</v>
      </c>
      <c r="D992">
        <v>71.650000000000006</v>
      </c>
      <c r="E992">
        <v>102</v>
      </c>
    </row>
    <row r="993" spans="1:5" x14ac:dyDescent="0.3">
      <c r="A993" t="s">
        <v>101</v>
      </c>
      <c r="B993" s="1">
        <v>44719</v>
      </c>
      <c r="C993">
        <v>1</v>
      </c>
      <c r="D993">
        <v>34.25</v>
      </c>
      <c r="E993">
        <v>54</v>
      </c>
    </row>
    <row r="994" spans="1:5" x14ac:dyDescent="0.3">
      <c r="A994" t="s">
        <v>101</v>
      </c>
      <c r="B994" s="1">
        <v>44719</v>
      </c>
      <c r="C994">
        <v>1</v>
      </c>
      <c r="D994">
        <v>34.25</v>
      </c>
      <c r="E994">
        <v>54</v>
      </c>
    </row>
    <row r="995" spans="1:5" x14ac:dyDescent="0.3">
      <c r="A995" t="s">
        <v>17</v>
      </c>
      <c r="B995" s="1">
        <v>44719</v>
      </c>
      <c r="C995">
        <v>1</v>
      </c>
      <c r="D995">
        <v>393.09</v>
      </c>
      <c r="E995">
        <v>472</v>
      </c>
    </row>
    <row r="996" spans="1:5" x14ac:dyDescent="0.3">
      <c r="A996" t="s">
        <v>121</v>
      </c>
      <c r="B996" s="1">
        <v>44719</v>
      </c>
      <c r="C996">
        <v>1</v>
      </c>
      <c r="D996">
        <v>10.4</v>
      </c>
      <c r="E996">
        <v>17</v>
      </c>
    </row>
    <row r="997" spans="1:5" x14ac:dyDescent="0.3">
      <c r="A997" t="s">
        <v>11</v>
      </c>
      <c r="B997" s="1">
        <v>44719</v>
      </c>
      <c r="C997">
        <v>1</v>
      </c>
      <c r="D997">
        <v>24.2</v>
      </c>
      <c r="E997">
        <v>40</v>
      </c>
    </row>
    <row r="998" spans="1:5" x14ac:dyDescent="0.3">
      <c r="A998" t="s">
        <v>83</v>
      </c>
      <c r="B998" s="1">
        <v>44719</v>
      </c>
      <c r="C998">
        <v>1</v>
      </c>
      <c r="D998">
        <v>207.69</v>
      </c>
      <c r="E998">
        <v>246</v>
      </c>
    </row>
    <row r="999" spans="1:5" x14ac:dyDescent="0.3">
      <c r="A999" t="s">
        <v>118</v>
      </c>
      <c r="B999" s="1">
        <v>44719</v>
      </c>
      <c r="C999">
        <v>1</v>
      </c>
      <c r="D999">
        <v>10.78</v>
      </c>
      <c r="E999">
        <v>13</v>
      </c>
    </row>
    <row r="1000" spans="1:5" x14ac:dyDescent="0.3">
      <c r="A1000" t="s">
        <v>118</v>
      </c>
      <c r="B1000" s="1">
        <v>44719</v>
      </c>
      <c r="C1000">
        <v>1</v>
      </c>
      <c r="D1000">
        <v>10.78</v>
      </c>
      <c r="E1000">
        <v>13</v>
      </c>
    </row>
    <row r="1001" spans="1:5" x14ac:dyDescent="0.3">
      <c r="A1001" t="s">
        <v>85</v>
      </c>
      <c r="B1001" s="1">
        <v>44719</v>
      </c>
      <c r="C1001">
        <v>1</v>
      </c>
      <c r="D1001">
        <v>15.13</v>
      </c>
      <c r="E1001">
        <v>23</v>
      </c>
    </row>
    <row r="1002" spans="1:5" x14ac:dyDescent="0.3">
      <c r="A1002" t="s">
        <v>85</v>
      </c>
      <c r="B1002" s="1">
        <v>44719</v>
      </c>
      <c r="C1002">
        <v>1</v>
      </c>
      <c r="D1002">
        <v>15.13</v>
      </c>
      <c r="E1002">
        <v>23</v>
      </c>
    </row>
    <row r="1003" spans="1:5" x14ac:dyDescent="0.3">
      <c r="A1003" t="s">
        <v>23</v>
      </c>
      <c r="B1003" s="1">
        <v>44719</v>
      </c>
      <c r="C1003">
        <v>1</v>
      </c>
      <c r="D1003">
        <v>110.21</v>
      </c>
      <c r="E1003">
        <v>124</v>
      </c>
    </row>
    <row r="1004" spans="1:5" x14ac:dyDescent="0.3">
      <c r="A1004" t="s">
        <v>104</v>
      </c>
      <c r="B1004" s="1">
        <v>44719</v>
      </c>
      <c r="C1004">
        <v>1</v>
      </c>
      <c r="D1004">
        <v>45.42</v>
      </c>
      <c r="E1004">
        <v>57</v>
      </c>
    </row>
    <row r="1005" spans="1:5" x14ac:dyDescent="0.3">
      <c r="A1005" t="s">
        <v>135</v>
      </c>
      <c r="B1005" s="1">
        <v>44719</v>
      </c>
      <c r="C1005">
        <v>1</v>
      </c>
      <c r="D1005">
        <v>72.319999999999993</v>
      </c>
      <c r="E1005">
        <v>90</v>
      </c>
    </row>
    <row r="1006" spans="1:5" x14ac:dyDescent="0.3">
      <c r="A1006" t="s">
        <v>146</v>
      </c>
      <c r="B1006" s="1">
        <v>44719</v>
      </c>
      <c r="C1006">
        <v>1</v>
      </c>
      <c r="D1006">
        <v>407.84</v>
      </c>
      <c r="E1006">
        <v>457</v>
      </c>
    </row>
    <row r="1007" spans="1:5" x14ac:dyDescent="0.3">
      <c r="A1007" t="s">
        <v>52</v>
      </c>
      <c r="B1007" s="1">
        <v>44719</v>
      </c>
      <c r="C1007">
        <v>1</v>
      </c>
      <c r="D1007">
        <v>205</v>
      </c>
      <c r="E1007">
        <v>250</v>
      </c>
    </row>
    <row r="1008" spans="1:5" x14ac:dyDescent="0.3">
      <c r="A1008" t="s">
        <v>71</v>
      </c>
      <c r="B1008" s="1">
        <v>44719</v>
      </c>
      <c r="C1008">
        <v>1</v>
      </c>
      <c r="D1008">
        <v>54.07</v>
      </c>
      <c r="E1008">
        <v>77</v>
      </c>
    </row>
    <row r="1009" spans="1:5" x14ac:dyDescent="0.3">
      <c r="A1009" t="s">
        <v>65</v>
      </c>
      <c r="B1009" s="1">
        <v>44719</v>
      </c>
      <c r="C1009">
        <v>1</v>
      </c>
      <c r="D1009">
        <v>187.36</v>
      </c>
      <c r="E1009">
        <v>220</v>
      </c>
    </row>
    <row r="1010" spans="1:5" x14ac:dyDescent="0.3">
      <c r="A1010" t="s">
        <v>134</v>
      </c>
      <c r="B1010" s="1">
        <v>44719</v>
      </c>
      <c r="C1010">
        <v>1</v>
      </c>
      <c r="D1010">
        <v>26.86</v>
      </c>
      <c r="E1010">
        <v>41</v>
      </c>
    </row>
    <row r="1011" spans="1:5" x14ac:dyDescent="0.3">
      <c r="A1011" t="s">
        <v>78</v>
      </c>
      <c r="B1011" s="1">
        <v>44719</v>
      </c>
      <c r="C1011">
        <v>1</v>
      </c>
      <c r="D1011">
        <v>67</v>
      </c>
      <c r="E1011">
        <v>85</v>
      </c>
    </row>
    <row r="1012" spans="1:5" x14ac:dyDescent="0.3">
      <c r="A1012" t="s">
        <v>14</v>
      </c>
      <c r="B1012" s="1">
        <v>44719</v>
      </c>
      <c r="C1012">
        <v>1</v>
      </c>
      <c r="D1012">
        <v>433.75</v>
      </c>
      <c r="E1012">
        <v>573</v>
      </c>
    </row>
    <row r="1013" spans="1:5" x14ac:dyDescent="0.3">
      <c r="A1013" t="s">
        <v>152</v>
      </c>
      <c r="B1013" s="1">
        <v>44719</v>
      </c>
      <c r="C1013">
        <v>1</v>
      </c>
      <c r="D1013">
        <v>106.06</v>
      </c>
      <c r="E1013">
        <v>133</v>
      </c>
    </row>
    <row r="1014" spans="1:5" x14ac:dyDescent="0.3">
      <c r="A1014" t="s">
        <v>42</v>
      </c>
      <c r="B1014" s="1">
        <v>44719</v>
      </c>
      <c r="C1014">
        <v>1</v>
      </c>
      <c r="D1014">
        <v>568.22</v>
      </c>
      <c r="E1014">
        <v>711</v>
      </c>
    </row>
    <row r="1015" spans="1:5" x14ac:dyDescent="0.3">
      <c r="A1015" t="s">
        <v>20</v>
      </c>
      <c r="B1015" s="1">
        <v>44719</v>
      </c>
      <c r="C1015">
        <v>1</v>
      </c>
      <c r="D1015">
        <v>20.77</v>
      </c>
      <c r="E1015">
        <v>26</v>
      </c>
    </row>
    <row r="1016" spans="1:5" x14ac:dyDescent="0.3">
      <c r="A1016" t="s">
        <v>20</v>
      </c>
      <c r="B1016" s="1">
        <v>44719</v>
      </c>
      <c r="C1016">
        <v>1</v>
      </c>
      <c r="D1016">
        <v>20.77</v>
      </c>
      <c r="E1016">
        <v>26</v>
      </c>
    </row>
    <row r="1017" spans="1:5" x14ac:dyDescent="0.3">
      <c r="A1017" t="s">
        <v>8</v>
      </c>
      <c r="B1017" s="1">
        <v>44719</v>
      </c>
      <c r="C1017">
        <v>1</v>
      </c>
      <c r="D1017">
        <v>47.58</v>
      </c>
      <c r="E1017">
        <v>77</v>
      </c>
    </row>
    <row r="1018" spans="1:5" x14ac:dyDescent="0.3">
      <c r="A1018" t="s">
        <v>57</v>
      </c>
      <c r="B1018" s="1">
        <v>44719</v>
      </c>
      <c r="C1018">
        <v>1</v>
      </c>
      <c r="D1018">
        <v>239.58</v>
      </c>
      <c r="E1018">
        <v>281</v>
      </c>
    </row>
    <row r="1019" spans="1:5" x14ac:dyDescent="0.3">
      <c r="A1019" t="s">
        <v>26</v>
      </c>
      <c r="B1019" s="1">
        <v>44719</v>
      </c>
      <c r="C1019">
        <v>0.2</v>
      </c>
      <c r="D1019">
        <v>984.65</v>
      </c>
      <c r="E1019">
        <v>1271</v>
      </c>
    </row>
    <row r="1020" spans="1:5" x14ac:dyDescent="0.3">
      <c r="A1020" t="s">
        <v>39</v>
      </c>
      <c r="B1020" s="1">
        <v>44719</v>
      </c>
      <c r="C1020">
        <v>6</v>
      </c>
      <c r="D1020">
        <v>9.8800000000000008</v>
      </c>
      <c r="E1020">
        <v>16</v>
      </c>
    </row>
    <row r="1021" spans="1:5" x14ac:dyDescent="0.3">
      <c r="A1021" t="s">
        <v>10</v>
      </c>
      <c r="B1021" s="1">
        <v>44719</v>
      </c>
      <c r="C1021">
        <v>1</v>
      </c>
      <c r="D1021">
        <v>11.67</v>
      </c>
      <c r="E1021">
        <v>14</v>
      </c>
    </row>
    <row r="1022" spans="1:5" x14ac:dyDescent="0.3">
      <c r="A1022" t="s">
        <v>10</v>
      </c>
      <c r="B1022" s="1">
        <v>44719</v>
      </c>
      <c r="C1022">
        <v>1</v>
      </c>
      <c r="D1022">
        <v>11.67</v>
      </c>
      <c r="E1022">
        <v>14</v>
      </c>
    </row>
    <row r="1023" spans="1:5" x14ac:dyDescent="0.3">
      <c r="A1023" t="s">
        <v>27</v>
      </c>
      <c r="B1023" s="1">
        <v>44719</v>
      </c>
      <c r="C1023">
        <v>1</v>
      </c>
      <c r="D1023">
        <v>101.57</v>
      </c>
      <c r="E1023">
        <v>156</v>
      </c>
    </row>
    <row r="1024" spans="1:5" x14ac:dyDescent="0.3">
      <c r="A1024" t="s">
        <v>122</v>
      </c>
      <c r="B1024" s="1">
        <v>44719</v>
      </c>
      <c r="C1024">
        <v>1</v>
      </c>
      <c r="D1024">
        <v>21.07</v>
      </c>
      <c r="E1024">
        <v>26</v>
      </c>
    </row>
    <row r="1025" spans="1:5" x14ac:dyDescent="0.3">
      <c r="A1025" t="s">
        <v>122</v>
      </c>
      <c r="B1025" s="1">
        <v>44719</v>
      </c>
      <c r="C1025">
        <v>1</v>
      </c>
      <c r="D1025">
        <v>21.07</v>
      </c>
      <c r="E1025">
        <v>26</v>
      </c>
    </row>
    <row r="1026" spans="1:5" x14ac:dyDescent="0.3">
      <c r="A1026" t="s">
        <v>115</v>
      </c>
      <c r="B1026" s="1">
        <v>44719</v>
      </c>
      <c r="C1026">
        <v>1</v>
      </c>
      <c r="D1026">
        <v>71.31</v>
      </c>
      <c r="E1026">
        <v>90</v>
      </c>
    </row>
    <row r="1027" spans="1:5" x14ac:dyDescent="0.3">
      <c r="A1027" t="s">
        <v>57</v>
      </c>
      <c r="B1027" s="1">
        <v>44719</v>
      </c>
      <c r="C1027">
        <v>1</v>
      </c>
      <c r="D1027">
        <v>239.58</v>
      </c>
      <c r="E1027">
        <v>281</v>
      </c>
    </row>
    <row r="1028" spans="1:5" x14ac:dyDescent="0.3">
      <c r="A1028" t="s">
        <v>8</v>
      </c>
      <c r="B1028" s="1">
        <v>44719</v>
      </c>
      <c r="C1028">
        <v>1</v>
      </c>
      <c r="D1028">
        <v>42.71</v>
      </c>
      <c r="E1028">
        <v>70</v>
      </c>
    </row>
    <row r="1029" spans="1:5" x14ac:dyDescent="0.3">
      <c r="A1029" t="s">
        <v>27</v>
      </c>
      <c r="B1029" s="1">
        <v>44719</v>
      </c>
      <c r="C1029">
        <v>1</v>
      </c>
      <c r="D1029">
        <v>102.34</v>
      </c>
      <c r="E1029">
        <v>157</v>
      </c>
    </row>
    <row r="1030" spans="1:5" x14ac:dyDescent="0.3">
      <c r="A1030" t="s">
        <v>153</v>
      </c>
      <c r="B1030" s="1">
        <v>44719</v>
      </c>
      <c r="C1030">
        <v>1</v>
      </c>
      <c r="D1030">
        <v>10.119999999999999</v>
      </c>
      <c r="E1030">
        <v>12</v>
      </c>
    </row>
    <row r="1031" spans="1:5" x14ac:dyDescent="0.3">
      <c r="A1031" t="s">
        <v>20</v>
      </c>
      <c r="B1031" s="1">
        <v>44719</v>
      </c>
      <c r="C1031">
        <v>1</v>
      </c>
      <c r="D1031">
        <v>30.75</v>
      </c>
      <c r="E1031">
        <v>41.16</v>
      </c>
    </row>
    <row r="1032" spans="1:5" x14ac:dyDescent="0.3">
      <c r="A1032" t="s">
        <v>20</v>
      </c>
      <c r="B1032" s="1">
        <v>44719</v>
      </c>
      <c r="C1032">
        <v>1</v>
      </c>
      <c r="D1032">
        <v>30.75</v>
      </c>
      <c r="E1032">
        <v>41.16</v>
      </c>
    </row>
    <row r="1033" spans="1:5" x14ac:dyDescent="0.3">
      <c r="A1033" t="s">
        <v>154</v>
      </c>
      <c r="B1033" s="1">
        <v>44719</v>
      </c>
      <c r="C1033">
        <v>1</v>
      </c>
      <c r="D1033">
        <v>131.37</v>
      </c>
      <c r="E1033">
        <v>145.04</v>
      </c>
    </row>
    <row r="1034" spans="1:5" x14ac:dyDescent="0.3">
      <c r="A1034" t="s">
        <v>154</v>
      </c>
      <c r="B1034" s="1">
        <v>44719</v>
      </c>
      <c r="C1034">
        <v>1</v>
      </c>
      <c r="D1034">
        <v>131.37</v>
      </c>
      <c r="E1034">
        <v>145.04</v>
      </c>
    </row>
    <row r="1035" spans="1:5" x14ac:dyDescent="0.3">
      <c r="A1035" t="s">
        <v>147</v>
      </c>
      <c r="B1035" s="1">
        <v>44719</v>
      </c>
      <c r="C1035">
        <v>1</v>
      </c>
      <c r="D1035">
        <v>135.01</v>
      </c>
      <c r="E1035">
        <v>196</v>
      </c>
    </row>
    <row r="1036" spans="1:5" x14ac:dyDescent="0.3">
      <c r="A1036" t="s">
        <v>51</v>
      </c>
      <c r="B1036" s="1">
        <v>44719</v>
      </c>
      <c r="C1036">
        <v>4</v>
      </c>
      <c r="D1036">
        <v>2.29</v>
      </c>
      <c r="E1036">
        <v>4</v>
      </c>
    </row>
    <row r="1037" spans="1:5" x14ac:dyDescent="0.3">
      <c r="A1037" t="s">
        <v>51</v>
      </c>
      <c r="B1037" s="1">
        <v>44719</v>
      </c>
      <c r="C1037">
        <v>4</v>
      </c>
      <c r="D1037">
        <v>2.29</v>
      </c>
      <c r="E1037">
        <v>4</v>
      </c>
    </row>
    <row r="1038" spans="1:5" x14ac:dyDescent="0.3">
      <c r="A1038" t="s">
        <v>44</v>
      </c>
      <c r="B1038" s="1">
        <v>44719</v>
      </c>
      <c r="C1038">
        <v>1</v>
      </c>
      <c r="D1038">
        <v>68.88</v>
      </c>
      <c r="E1038">
        <v>109</v>
      </c>
    </row>
    <row r="1039" spans="1:5" x14ac:dyDescent="0.3">
      <c r="A1039" t="s">
        <v>47</v>
      </c>
      <c r="B1039" s="1">
        <v>44719</v>
      </c>
      <c r="C1039">
        <v>1</v>
      </c>
      <c r="D1039">
        <v>43.45</v>
      </c>
      <c r="E1039">
        <v>67</v>
      </c>
    </row>
    <row r="1040" spans="1:5" x14ac:dyDescent="0.3">
      <c r="A1040" t="s">
        <v>122</v>
      </c>
      <c r="B1040" s="1">
        <v>44719</v>
      </c>
      <c r="C1040">
        <v>1</v>
      </c>
      <c r="D1040">
        <v>21.23</v>
      </c>
      <c r="E1040">
        <v>26</v>
      </c>
    </row>
    <row r="1041" spans="1:5" x14ac:dyDescent="0.3">
      <c r="A1041" t="s">
        <v>5</v>
      </c>
      <c r="B1041" s="1">
        <v>44719</v>
      </c>
      <c r="C1041">
        <v>1</v>
      </c>
      <c r="D1041">
        <v>146.1</v>
      </c>
      <c r="E1041">
        <v>173</v>
      </c>
    </row>
    <row r="1042" spans="1:5" x14ac:dyDescent="0.3">
      <c r="A1042" t="s">
        <v>48</v>
      </c>
      <c r="B1042" s="1">
        <v>44719</v>
      </c>
      <c r="C1042">
        <v>1</v>
      </c>
      <c r="D1042">
        <v>38.82</v>
      </c>
      <c r="E1042">
        <v>61</v>
      </c>
    </row>
    <row r="1043" spans="1:5" x14ac:dyDescent="0.3">
      <c r="A1043" t="s">
        <v>36</v>
      </c>
      <c r="B1043" s="1">
        <v>44719</v>
      </c>
      <c r="C1043">
        <v>1</v>
      </c>
      <c r="D1043">
        <v>21.42</v>
      </c>
      <c r="E1043">
        <v>27</v>
      </c>
    </row>
    <row r="1044" spans="1:5" x14ac:dyDescent="0.3">
      <c r="A1044" t="s">
        <v>36</v>
      </c>
      <c r="B1044" s="1">
        <v>44719</v>
      </c>
      <c r="C1044">
        <v>1</v>
      </c>
      <c r="D1044">
        <v>21.42</v>
      </c>
      <c r="E1044">
        <v>27</v>
      </c>
    </row>
    <row r="1045" spans="1:5" x14ac:dyDescent="0.3">
      <c r="A1045" t="s">
        <v>36</v>
      </c>
      <c r="B1045" s="1">
        <v>44719</v>
      </c>
      <c r="C1045">
        <v>1</v>
      </c>
      <c r="D1045">
        <v>21.42</v>
      </c>
      <c r="E1045">
        <v>27</v>
      </c>
    </row>
    <row r="1046" spans="1:5" x14ac:dyDescent="0.3">
      <c r="A1046" t="s">
        <v>36</v>
      </c>
      <c r="B1046" s="1">
        <v>44719</v>
      </c>
      <c r="C1046">
        <v>1</v>
      </c>
      <c r="D1046">
        <v>21.42</v>
      </c>
      <c r="E1046">
        <v>27</v>
      </c>
    </row>
    <row r="1047" spans="1:5" x14ac:dyDescent="0.3">
      <c r="A1047" t="s">
        <v>36</v>
      </c>
      <c r="B1047" s="1">
        <v>44719</v>
      </c>
      <c r="C1047">
        <v>1</v>
      </c>
      <c r="D1047">
        <v>21.42</v>
      </c>
      <c r="E1047">
        <v>27</v>
      </c>
    </row>
    <row r="1048" spans="1:5" x14ac:dyDescent="0.3">
      <c r="A1048" t="s">
        <v>36</v>
      </c>
      <c r="B1048" s="1">
        <v>44719</v>
      </c>
      <c r="C1048">
        <v>1</v>
      </c>
      <c r="D1048">
        <v>21.42</v>
      </c>
      <c r="E1048">
        <v>27</v>
      </c>
    </row>
    <row r="1049" spans="1:5" x14ac:dyDescent="0.3">
      <c r="A1049" t="s">
        <v>82</v>
      </c>
      <c r="B1049" s="1">
        <v>44719</v>
      </c>
      <c r="C1049">
        <v>1</v>
      </c>
      <c r="D1049">
        <v>35.85</v>
      </c>
      <c r="E1049">
        <v>45</v>
      </c>
    </row>
    <row r="1050" spans="1:5" x14ac:dyDescent="0.3">
      <c r="A1050" t="s">
        <v>82</v>
      </c>
      <c r="B1050" s="1">
        <v>44719</v>
      </c>
      <c r="C1050">
        <v>1</v>
      </c>
      <c r="D1050">
        <v>36.090000000000003</v>
      </c>
      <c r="E1050">
        <v>46</v>
      </c>
    </row>
    <row r="1051" spans="1:5" x14ac:dyDescent="0.3">
      <c r="A1051" t="s">
        <v>82</v>
      </c>
      <c r="B1051" s="1">
        <v>44719</v>
      </c>
      <c r="C1051">
        <v>1</v>
      </c>
      <c r="D1051">
        <v>36.090000000000003</v>
      </c>
      <c r="E1051">
        <v>46</v>
      </c>
    </row>
    <row r="1052" spans="1:5" x14ac:dyDescent="0.3">
      <c r="A1052" t="s">
        <v>82</v>
      </c>
      <c r="B1052" s="1">
        <v>44719</v>
      </c>
      <c r="C1052">
        <v>1</v>
      </c>
      <c r="D1052">
        <v>36.090000000000003</v>
      </c>
      <c r="E1052">
        <v>46</v>
      </c>
    </row>
    <row r="1053" spans="1:5" x14ac:dyDescent="0.3">
      <c r="A1053" t="s">
        <v>82</v>
      </c>
      <c r="B1053" s="1">
        <v>44719</v>
      </c>
      <c r="C1053">
        <v>1</v>
      </c>
      <c r="D1053">
        <v>36.090000000000003</v>
      </c>
      <c r="E1053">
        <v>46</v>
      </c>
    </row>
    <row r="1054" spans="1:5" x14ac:dyDescent="0.3">
      <c r="A1054" t="s">
        <v>82</v>
      </c>
      <c r="B1054" s="1">
        <v>44719</v>
      </c>
      <c r="C1054">
        <v>1</v>
      </c>
      <c r="D1054">
        <v>36.090000000000003</v>
      </c>
      <c r="E1054">
        <v>46</v>
      </c>
    </row>
    <row r="1055" spans="1:5" x14ac:dyDescent="0.3">
      <c r="A1055" t="s">
        <v>108</v>
      </c>
      <c r="B1055" s="1">
        <v>44719</v>
      </c>
      <c r="C1055">
        <v>1</v>
      </c>
      <c r="D1055">
        <v>23.57</v>
      </c>
      <c r="E1055">
        <v>37</v>
      </c>
    </row>
    <row r="1056" spans="1:5" x14ac:dyDescent="0.3">
      <c r="A1056" t="s">
        <v>108</v>
      </c>
      <c r="B1056" s="1">
        <v>44719</v>
      </c>
      <c r="C1056">
        <v>1</v>
      </c>
      <c r="D1056">
        <v>23.57</v>
      </c>
      <c r="E1056">
        <v>37</v>
      </c>
    </row>
    <row r="1057" spans="1:5" x14ac:dyDescent="0.3">
      <c r="A1057" t="s">
        <v>108</v>
      </c>
      <c r="B1057" s="1">
        <v>44719</v>
      </c>
      <c r="C1057">
        <v>1</v>
      </c>
      <c r="D1057">
        <v>23.57</v>
      </c>
      <c r="E1057">
        <v>37</v>
      </c>
    </row>
    <row r="1058" spans="1:5" x14ac:dyDescent="0.3">
      <c r="A1058" t="s">
        <v>108</v>
      </c>
      <c r="B1058" s="1">
        <v>44719</v>
      </c>
      <c r="C1058">
        <v>1</v>
      </c>
      <c r="D1058">
        <v>23.57</v>
      </c>
      <c r="E1058">
        <v>37</v>
      </c>
    </row>
    <row r="1059" spans="1:5" x14ac:dyDescent="0.3">
      <c r="A1059" t="s">
        <v>108</v>
      </c>
      <c r="B1059" s="1">
        <v>44719</v>
      </c>
      <c r="C1059">
        <v>1</v>
      </c>
      <c r="D1059">
        <v>23.57</v>
      </c>
      <c r="E1059">
        <v>37</v>
      </c>
    </row>
    <row r="1060" spans="1:5" x14ac:dyDescent="0.3">
      <c r="A1060" t="s">
        <v>108</v>
      </c>
      <c r="B1060" s="1">
        <v>44719</v>
      </c>
      <c r="C1060">
        <v>1</v>
      </c>
      <c r="D1060">
        <v>23.57</v>
      </c>
      <c r="E1060">
        <v>37</v>
      </c>
    </row>
    <row r="1061" spans="1:5" x14ac:dyDescent="0.3">
      <c r="A1061" t="s">
        <v>48</v>
      </c>
      <c r="B1061" s="1">
        <v>44719</v>
      </c>
      <c r="C1061">
        <v>1</v>
      </c>
      <c r="D1061">
        <v>38.99</v>
      </c>
      <c r="E1061">
        <v>60</v>
      </c>
    </row>
    <row r="1062" spans="1:5" x14ac:dyDescent="0.3">
      <c r="A1062" t="s">
        <v>113</v>
      </c>
      <c r="B1062" s="1">
        <v>44719</v>
      </c>
      <c r="C1062">
        <v>1</v>
      </c>
      <c r="D1062">
        <v>123.39</v>
      </c>
      <c r="E1062">
        <v>172</v>
      </c>
    </row>
    <row r="1063" spans="1:5" x14ac:dyDescent="0.3">
      <c r="A1063" t="s">
        <v>95</v>
      </c>
      <c r="B1063" s="1">
        <v>44719</v>
      </c>
      <c r="C1063">
        <v>0.5</v>
      </c>
      <c r="D1063">
        <v>113.82</v>
      </c>
      <c r="E1063">
        <v>173</v>
      </c>
    </row>
    <row r="1064" spans="1:5" x14ac:dyDescent="0.3">
      <c r="A1064" t="s">
        <v>9</v>
      </c>
      <c r="B1064" s="1">
        <v>44719</v>
      </c>
      <c r="C1064">
        <v>1</v>
      </c>
      <c r="D1064">
        <v>80.69</v>
      </c>
      <c r="E1064">
        <v>98</v>
      </c>
    </row>
    <row r="1065" spans="1:5" x14ac:dyDescent="0.3">
      <c r="A1065" t="s">
        <v>47</v>
      </c>
      <c r="B1065" s="1">
        <v>44719</v>
      </c>
      <c r="C1065">
        <v>1</v>
      </c>
      <c r="D1065">
        <v>43.08</v>
      </c>
      <c r="E1065">
        <v>68</v>
      </c>
    </row>
    <row r="1066" spans="1:5" x14ac:dyDescent="0.3">
      <c r="A1066" t="s">
        <v>47</v>
      </c>
      <c r="B1066" s="1">
        <v>44719</v>
      </c>
      <c r="C1066">
        <v>1</v>
      </c>
      <c r="D1066">
        <v>43.08</v>
      </c>
      <c r="E1066">
        <v>68</v>
      </c>
    </row>
    <row r="1067" spans="1:5" x14ac:dyDescent="0.3">
      <c r="A1067" t="s">
        <v>36</v>
      </c>
      <c r="B1067" s="1">
        <v>44719</v>
      </c>
      <c r="C1067">
        <v>1</v>
      </c>
      <c r="D1067">
        <v>26.53</v>
      </c>
      <c r="E1067">
        <v>34</v>
      </c>
    </row>
    <row r="1068" spans="1:5" x14ac:dyDescent="0.3">
      <c r="A1068" t="s">
        <v>20</v>
      </c>
      <c r="B1068" s="1">
        <v>44719</v>
      </c>
      <c r="C1068">
        <v>1</v>
      </c>
      <c r="D1068">
        <v>20.72</v>
      </c>
      <c r="E1068">
        <v>27</v>
      </c>
    </row>
    <row r="1069" spans="1:5" x14ac:dyDescent="0.3">
      <c r="A1069" t="s">
        <v>20</v>
      </c>
      <c r="B1069" s="1">
        <v>44719</v>
      </c>
      <c r="C1069">
        <v>1</v>
      </c>
      <c r="D1069">
        <v>20.72</v>
      </c>
      <c r="E1069">
        <v>27</v>
      </c>
    </row>
    <row r="1070" spans="1:5" x14ac:dyDescent="0.3">
      <c r="A1070" t="s">
        <v>20</v>
      </c>
      <c r="B1070" s="1">
        <v>44719</v>
      </c>
      <c r="C1070">
        <v>1</v>
      </c>
      <c r="D1070">
        <v>20.72</v>
      </c>
      <c r="E1070">
        <v>27</v>
      </c>
    </row>
    <row r="1071" spans="1:5" x14ac:dyDescent="0.3">
      <c r="A1071" t="s">
        <v>58</v>
      </c>
      <c r="B1071" s="1">
        <v>44719</v>
      </c>
      <c r="C1071">
        <v>1</v>
      </c>
      <c r="D1071">
        <v>60.5</v>
      </c>
      <c r="E1071">
        <v>73</v>
      </c>
    </row>
    <row r="1072" spans="1:5" x14ac:dyDescent="0.3">
      <c r="A1072" t="s">
        <v>129</v>
      </c>
      <c r="B1072" s="1">
        <v>44719</v>
      </c>
      <c r="C1072">
        <v>0.04</v>
      </c>
      <c r="D1072">
        <v>540.89</v>
      </c>
      <c r="E1072">
        <v>593</v>
      </c>
    </row>
    <row r="1073" spans="1:5" x14ac:dyDescent="0.3">
      <c r="A1073" t="s">
        <v>92</v>
      </c>
      <c r="B1073" s="1">
        <v>44719</v>
      </c>
      <c r="C1073">
        <v>1</v>
      </c>
      <c r="D1073">
        <v>6.94</v>
      </c>
      <c r="E1073">
        <v>10</v>
      </c>
    </row>
    <row r="1074" spans="1:5" x14ac:dyDescent="0.3">
      <c r="A1074" t="s">
        <v>95</v>
      </c>
      <c r="B1074" s="1">
        <v>44719</v>
      </c>
      <c r="C1074">
        <v>0.1</v>
      </c>
      <c r="D1074">
        <v>213.31</v>
      </c>
      <c r="E1074">
        <v>329</v>
      </c>
    </row>
    <row r="1075" spans="1:5" x14ac:dyDescent="0.3">
      <c r="A1075" t="s">
        <v>51</v>
      </c>
      <c r="B1075" s="1">
        <v>44719</v>
      </c>
      <c r="C1075">
        <v>1</v>
      </c>
      <c r="D1075">
        <v>2.1800000000000002</v>
      </c>
      <c r="E1075">
        <v>4</v>
      </c>
    </row>
    <row r="1076" spans="1:5" x14ac:dyDescent="0.3">
      <c r="A1076" t="s">
        <v>51</v>
      </c>
      <c r="B1076" s="1">
        <v>44719</v>
      </c>
      <c r="C1076">
        <v>4</v>
      </c>
      <c r="D1076">
        <v>1.9</v>
      </c>
      <c r="E1076">
        <v>3.07</v>
      </c>
    </row>
    <row r="1077" spans="1:5" x14ac:dyDescent="0.3">
      <c r="A1077" t="s">
        <v>51</v>
      </c>
      <c r="B1077" s="1">
        <v>44719</v>
      </c>
      <c r="C1077">
        <v>4</v>
      </c>
      <c r="D1077">
        <v>1.9</v>
      </c>
      <c r="E1077">
        <v>3.07</v>
      </c>
    </row>
    <row r="1078" spans="1:5" x14ac:dyDescent="0.3">
      <c r="A1078" t="s">
        <v>28</v>
      </c>
      <c r="B1078" s="1">
        <v>44719</v>
      </c>
      <c r="C1078">
        <v>1</v>
      </c>
      <c r="D1078">
        <v>122.75</v>
      </c>
      <c r="E1078">
        <v>174</v>
      </c>
    </row>
    <row r="1079" spans="1:5" x14ac:dyDescent="0.3">
      <c r="A1079" t="s">
        <v>118</v>
      </c>
      <c r="B1079" s="1">
        <v>44719</v>
      </c>
      <c r="C1079">
        <v>1</v>
      </c>
      <c r="D1079">
        <v>10.78</v>
      </c>
      <c r="E1079">
        <v>13</v>
      </c>
    </row>
    <row r="1080" spans="1:5" x14ac:dyDescent="0.3">
      <c r="A1080" t="s">
        <v>23</v>
      </c>
      <c r="B1080" s="1">
        <v>44719</v>
      </c>
      <c r="C1080">
        <v>1</v>
      </c>
      <c r="D1080">
        <v>110.21</v>
      </c>
      <c r="E1080">
        <v>124</v>
      </c>
    </row>
    <row r="1081" spans="1:5" x14ac:dyDescent="0.3">
      <c r="A1081" t="s">
        <v>21</v>
      </c>
      <c r="B1081" s="1">
        <v>44719</v>
      </c>
      <c r="C1081">
        <v>1</v>
      </c>
      <c r="D1081">
        <v>184.39</v>
      </c>
      <c r="E1081">
        <v>260</v>
      </c>
    </row>
    <row r="1082" spans="1:5" x14ac:dyDescent="0.3">
      <c r="A1082" t="s">
        <v>13</v>
      </c>
      <c r="B1082" s="1">
        <v>44719</v>
      </c>
      <c r="C1082">
        <v>1</v>
      </c>
      <c r="D1082">
        <v>119.04</v>
      </c>
      <c r="E1082">
        <v>143</v>
      </c>
    </row>
    <row r="1083" spans="1:5" x14ac:dyDescent="0.3">
      <c r="A1083" t="s">
        <v>20</v>
      </c>
      <c r="B1083" s="1">
        <v>44719</v>
      </c>
      <c r="C1083">
        <v>1</v>
      </c>
      <c r="D1083">
        <v>19.940000000000001</v>
      </c>
      <c r="E1083">
        <v>26</v>
      </c>
    </row>
    <row r="1084" spans="1:5" x14ac:dyDescent="0.3">
      <c r="A1084" t="s">
        <v>47</v>
      </c>
      <c r="B1084" s="1">
        <v>44719</v>
      </c>
      <c r="C1084">
        <v>1</v>
      </c>
      <c r="D1084">
        <v>43.08</v>
      </c>
      <c r="E1084">
        <v>66</v>
      </c>
    </row>
    <row r="1085" spans="1:5" x14ac:dyDescent="0.3">
      <c r="A1085" t="s">
        <v>121</v>
      </c>
      <c r="B1085" s="1">
        <v>44719</v>
      </c>
      <c r="C1085">
        <v>1</v>
      </c>
      <c r="D1085">
        <v>10.4</v>
      </c>
      <c r="E1085">
        <v>17</v>
      </c>
    </row>
    <row r="1086" spans="1:5" x14ac:dyDescent="0.3">
      <c r="A1086" t="s">
        <v>147</v>
      </c>
      <c r="B1086" s="1">
        <v>44719</v>
      </c>
      <c r="C1086">
        <v>1</v>
      </c>
      <c r="D1086">
        <v>135.02000000000001</v>
      </c>
      <c r="E1086">
        <v>185</v>
      </c>
    </row>
    <row r="1087" spans="1:5" x14ac:dyDescent="0.3">
      <c r="A1087" t="s">
        <v>22</v>
      </c>
      <c r="B1087" s="1">
        <v>44719</v>
      </c>
      <c r="C1087">
        <v>1</v>
      </c>
      <c r="D1087">
        <v>30.3</v>
      </c>
      <c r="E1087">
        <v>49</v>
      </c>
    </row>
    <row r="1088" spans="1:5" x14ac:dyDescent="0.3">
      <c r="A1088" t="s">
        <v>9</v>
      </c>
      <c r="B1088" s="1">
        <v>44719</v>
      </c>
      <c r="C1088">
        <v>1</v>
      </c>
      <c r="D1088">
        <v>80.69</v>
      </c>
      <c r="E1088">
        <v>100</v>
      </c>
    </row>
    <row r="1089" spans="1:5" x14ac:dyDescent="0.3">
      <c r="A1089" t="s">
        <v>11</v>
      </c>
      <c r="B1089" s="1">
        <v>44719</v>
      </c>
      <c r="C1089">
        <v>1</v>
      </c>
      <c r="D1089">
        <v>24.2</v>
      </c>
      <c r="E1089">
        <v>39</v>
      </c>
    </row>
    <row r="1090" spans="1:5" x14ac:dyDescent="0.3">
      <c r="A1090" t="s">
        <v>10</v>
      </c>
      <c r="B1090" s="1">
        <v>44719</v>
      </c>
      <c r="C1090">
        <v>1</v>
      </c>
      <c r="D1090">
        <v>11.67</v>
      </c>
      <c r="E1090">
        <v>14</v>
      </c>
    </row>
    <row r="1091" spans="1:5" x14ac:dyDescent="0.3">
      <c r="A1091" t="s">
        <v>27</v>
      </c>
      <c r="B1091" s="1">
        <v>44719</v>
      </c>
      <c r="C1091">
        <v>1</v>
      </c>
      <c r="D1091">
        <v>101.57</v>
      </c>
      <c r="E1091">
        <v>156</v>
      </c>
    </row>
    <row r="1092" spans="1:5" x14ac:dyDescent="0.3">
      <c r="A1092" t="s">
        <v>122</v>
      </c>
      <c r="B1092" s="1">
        <v>44719</v>
      </c>
      <c r="C1092">
        <v>1</v>
      </c>
      <c r="D1092">
        <v>20.75</v>
      </c>
      <c r="E1092">
        <v>25</v>
      </c>
    </row>
    <row r="1093" spans="1:5" x14ac:dyDescent="0.3">
      <c r="A1093" t="s">
        <v>52</v>
      </c>
      <c r="B1093" s="1">
        <v>44719</v>
      </c>
      <c r="C1093">
        <v>1</v>
      </c>
      <c r="D1093">
        <v>203.5</v>
      </c>
      <c r="E1093">
        <v>249</v>
      </c>
    </row>
    <row r="1094" spans="1:5" x14ac:dyDescent="0.3">
      <c r="A1094" t="s">
        <v>148</v>
      </c>
      <c r="B1094" s="1">
        <v>44718</v>
      </c>
      <c r="C1094">
        <v>1</v>
      </c>
      <c r="D1094">
        <v>36.94</v>
      </c>
      <c r="E1094">
        <v>57</v>
      </c>
    </row>
    <row r="1095" spans="1:5" x14ac:dyDescent="0.3">
      <c r="A1095" t="s">
        <v>148</v>
      </c>
      <c r="B1095" s="1">
        <v>44718</v>
      </c>
      <c r="C1095">
        <v>1</v>
      </c>
      <c r="D1095">
        <v>36.94</v>
      </c>
      <c r="E1095">
        <v>57</v>
      </c>
    </row>
    <row r="1096" spans="1:5" x14ac:dyDescent="0.3">
      <c r="A1096" t="s">
        <v>52</v>
      </c>
      <c r="B1096" s="1">
        <v>44718</v>
      </c>
      <c r="C1096">
        <v>1</v>
      </c>
      <c r="D1096">
        <v>204.8</v>
      </c>
      <c r="E1096">
        <v>246</v>
      </c>
    </row>
    <row r="1097" spans="1:5" x14ac:dyDescent="0.3">
      <c r="A1097" t="s">
        <v>56</v>
      </c>
      <c r="B1097" s="1">
        <v>44718</v>
      </c>
      <c r="C1097">
        <v>1</v>
      </c>
      <c r="D1097">
        <v>44.58</v>
      </c>
      <c r="E1097">
        <v>68</v>
      </c>
    </row>
    <row r="1098" spans="1:5" x14ac:dyDescent="0.3">
      <c r="A1098" t="s">
        <v>30</v>
      </c>
      <c r="B1098" s="1">
        <v>44718</v>
      </c>
      <c r="C1098">
        <v>1</v>
      </c>
      <c r="D1098">
        <v>156.19999999999999</v>
      </c>
      <c r="E1098">
        <v>186</v>
      </c>
    </row>
    <row r="1099" spans="1:5" x14ac:dyDescent="0.3">
      <c r="A1099" t="s">
        <v>102</v>
      </c>
      <c r="B1099" s="1">
        <v>44718</v>
      </c>
      <c r="C1099">
        <v>1</v>
      </c>
      <c r="D1099">
        <v>30.22</v>
      </c>
      <c r="E1099">
        <v>36</v>
      </c>
    </row>
    <row r="1100" spans="1:5" x14ac:dyDescent="0.3">
      <c r="A1100" t="s">
        <v>8</v>
      </c>
      <c r="B1100" s="1">
        <v>44718</v>
      </c>
      <c r="C1100">
        <v>2</v>
      </c>
      <c r="D1100">
        <v>47.83</v>
      </c>
      <c r="E1100">
        <v>78</v>
      </c>
    </row>
    <row r="1101" spans="1:5" x14ac:dyDescent="0.3">
      <c r="A1101" t="s">
        <v>102</v>
      </c>
      <c r="B1101" s="1">
        <v>44718</v>
      </c>
      <c r="C1101">
        <v>1</v>
      </c>
      <c r="D1101">
        <v>25.97</v>
      </c>
      <c r="E1101">
        <v>32</v>
      </c>
    </row>
    <row r="1102" spans="1:5" x14ac:dyDescent="0.3">
      <c r="A1102" t="s">
        <v>88</v>
      </c>
      <c r="B1102" s="1">
        <v>44718</v>
      </c>
      <c r="C1102">
        <v>1</v>
      </c>
      <c r="D1102">
        <v>114.08</v>
      </c>
      <c r="E1102">
        <v>175</v>
      </c>
    </row>
    <row r="1103" spans="1:5" x14ac:dyDescent="0.3">
      <c r="A1103" t="s">
        <v>124</v>
      </c>
      <c r="B1103" s="1">
        <v>44718</v>
      </c>
      <c r="C1103">
        <v>1</v>
      </c>
      <c r="D1103">
        <v>48.86</v>
      </c>
      <c r="E1103">
        <v>79</v>
      </c>
    </row>
    <row r="1104" spans="1:5" x14ac:dyDescent="0.3">
      <c r="A1104" t="s">
        <v>125</v>
      </c>
      <c r="B1104" s="1">
        <v>44718</v>
      </c>
      <c r="C1104">
        <v>1</v>
      </c>
      <c r="D1104">
        <v>337.22</v>
      </c>
      <c r="E1104">
        <v>439</v>
      </c>
    </row>
    <row r="1105" spans="1:5" x14ac:dyDescent="0.3">
      <c r="A1105" t="s">
        <v>74</v>
      </c>
      <c r="B1105" s="1">
        <v>44718</v>
      </c>
      <c r="C1105">
        <v>1</v>
      </c>
      <c r="D1105">
        <v>87.69</v>
      </c>
      <c r="E1105">
        <v>112</v>
      </c>
    </row>
    <row r="1106" spans="1:5" x14ac:dyDescent="0.3">
      <c r="A1106" t="s">
        <v>10</v>
      </c>
      <c r="B1106" s="1">
        <v>44718</v>
      </c>
      <c r="C1106">
        <v>1</v>
      </c>
      <c r="D1106">
        <v>11.67</v>
      </c>
      <c r="E1106">
        <v>14</v>
      </c>
    </row>
    <row r="1107" spans="1:5" x14ac:dyDescent="0.3">
      <c r="A1107" t="s">
        <v>22</v>
      </c>
      <c r="B1107" s="1">
        <v>44718</v>
      </c>
      <c r="C1107">
        <v>1</v>
      </c>
      <c r="D1107">
        <v>30.3</v>
      </c>
      <c r="E1107">
        <v>49</v>
      </c>
    </row>
    <row r="1108" spans="1:5" x14ac:dyDescent="0.3">
      <c r="A1108" t="s">
        <v>75</v>
      </c>
      <c r="B1108" s="1">
        <v>44718</v>
      </c>
      <c r="C1108">
        <v>0.2</v>
      </c>
      <c r="D1108">
        <v>463.1</v>
      </c>
      <c r="E1108">
        <v>649</v>
      </c>
    </row>
    <row r="1109" spans="1:5" x14ac:dyDescent="0.3">
      <c r="A1109" t="s">
        <v>155</v>
      </c>
      <c r="B1109" s="1">
        <v>44718</v>
      </c>
      <c r="C1109">
        <v>0.2</v>
      </c>
      <c r="D1109">
        <v>498.53</v>
      </c>
      <c r="E1109">
        <v>698</v>
      </c>
    </row>
    <row r="1110" spans="1:5" x14ac:dyDescent="0.3">
      <c r="A1110" t="s">
        <v>96</v>
      </c>
      <c r="B1110" s="1">
        <v>44718</v>
      </c>
      <c r="C1110">
        <v>1</v>
      </c>
      <c r="D1110">
        <v>70.930000000000007</v>
      </c>
      <c r="E1110">
        <v>101</v>
      </c>
    </row>
    <row r="1111" spans="1:5" x14ac:dyDescent="0.3">
      <c r="A1111" t="s">
        <v>45</v>
      </c>
      <c r="B1111" s="1">
        <v>44718</v>
      </c>
      <c r="C1111">
        <v>2</v>
      </c>
      <c r="D1111">
        <v>28.21</v>
      </c>
      <c r="E1111">
        <v>49</v>
      </c>
    </row>
    <row r="1112" spans="1:5" x14ac:dyDescent="0.3">
      <c r="A1112" t="s">
        <v>141</v>
      </c>
      <c r="B1112" s="1">
        <v>44718</v>
      </c>
      <c r="C1112">
        <v>1</v>
      </c>
      <c r="D1112">
        <v>12.2</v>
      </c>
      <c r="E1112">
        <v>21</v>
      </c>
    </row>
    <row r="1113" spans="1:5" x14ac:dyDescent="0.3">
      <c r="A1113" t="s">
        <v>21</v>
      </c>
      <c r="B1113" s="1">
        <v>44718</v>
      </c>
      <c r="C1113">
        <v>1</v>
      </c>
      <c r="D1113">
        <v>184.39</v>
      </c>
      <c r="E1113">
        <v>260</v>
      </c>
    </row>
    <row r="1114" spans="1:5" x14ac:dyDescent="0.3">
      <c r="A1114" t="s">
        <v>26</v>
      </c>
      <c r="B1114" s="1">
        <v>44718</v>
      </c>
      <c r="C1114">
        <v>0.1</v>
      </c>
      <c r="D1114">
        <v>979.4</v>
      </c>
      <c r="E1114">
        <v>1293</v>
      </c>
    </row>
    <row r="1115" spans="1:5" x14ac:dyDescent="0.3">
      <c r="A1115" t="s">
        <v>45</v>
      </c>
      <c r="B1115" s="1">
        <v>44718</v>
      </c>
      <c r="C1115">
        <v>1</v>
      </c>
      <c r="D1115">
        <v>28.82</v>
      </c>
      <c r="E1115">
        <v>50</v>
      </c>
    </row>
    <row r="1116" spans="1:5" x14ac:dyDescent="0.3">
      <c r="A1116" t="s">
        <v>88</v>
      </c>
      <c r="B1116" s="1">
        <v>44718</v>
      </c>
      <c r="C1116">
        <v>2</v>
      </c>
      <c r="D1116">
        <v>133.88</v>
      </c>
      <c r="E1116">
        <v>204</v>
      </c>
    </row>
    <row r="1117" spans="1:5" x14ac:dyDescent="0.3">
      <c r="A1117" t="s">
        <v>59</v>
      </c>
      <c r="B1117" s="1">
        <v>44718</v>
      </c>
      <c r="C1117">
        <v>5</v>
      </c>
      <c r="D1117">
        <v>14.14</v>
      </c>
      <c r="E1117">
        <v>23</v>
      </c>
    </row>
    <row r="1118" spans="1:5" x14ac:dyDescent="0.3">
      <c r="A1118" t="s">
        <v>59</v>
      </c>
      <c r="B1118" s="1">
        <v>44718</v>
      </c>
      <c r="C1118">
        <v>3</v>
      </c>
      <c r="D1118">
        <v>14.76</v>
      </c>
      <c r="E1118">
        <v>24</v>
      </c>
    </row>
    <row r="1119" spans="1:5" x14ac:dyDescent="0.3">
      <c r="A1119" t="s">
        <v>19</v>
      </c>
      <c r="B1119" s="1">
        <v>44718</v>
      </c>
      <c r="C1119">
        <v>1</v>
      </c>
      <c r="D1119">
        <v>81.290000000000006</v>
      </c>
      <c r="E1119">
        <v>103</v>
      </c>
    </row>
    <row r="1120" spans="1:5" x14ac:dyDescent="0.3">
      <c r="A1120" t="s">
        <v>19</v>
      </c>
      <c r="B1120" s="1">
        <v>44718</v>
      </c>
      <c r="C1120">
        <v>1</v>
      </c>
      <c r="D1120">
        <v>81.290000000000006</v>
      </c>
      <c r="E1120">
        <v>103</v>
      </c>
    </row>
    <row r="1121" spans="1:5" x14ac:dyDescent="0.3">
      <c r="A1121" t="s">
        <v>39</v>
      </c>
      <c r="B1121" s="1">
        <v>44718</v>
      </c>
      <c r="C1121">
        <v>2</v>
      </c>
      <c r="D1121">
        <v>8.58</v>
      </c>
      <c r="E1121">
        <v>14</v>
      </c>
    </row>
    <row r="1122" spans="1:5" x14ac:dyDescent="0.3">
      <c r="A1122" t="s">
        <v>145</v>
      </c>
      <c r="B1122" s="1">
        <v>44718</v>
      </c>
      <c r="C1122">
        <v>1</v>
      </c>
      <c r="D1122">
        <v>25.3</v>
      </c>
      <c r="E1122">
        <v>31</v>
      </c>
    </row>
    <row r="1123" spans="1:5" x14ac:dyDescent="0.3">
      <c r="A1123" t="s">
        <v>53</v>
      </c>
      <c r="B1123" s="1">
        <v>44718</v>
      </c>
      <c r="C1123">
        <v>1</v>
      </c>
      <c r="D1123">
        <v>23.4</v>
      </c>
      <c r="E1123">
        <v>38</v>
      </c>
    </row>
    <row r="1124" spans="1:5" x14ac:dyDescent="0.3">
      <c r="A1124" t="s">
        <v>59</v>
      </c>
      <c r="B1124" s="1">
        <v>44718</v>
      </c>
      <c r="C1124">
        <v>1</v>
      </c>
      <c r="D1124">
        <v>16.97</v>
      </c>
      <c r="E1124">
        <v>28</v>
      </c>
    </row>
    <row r="1125" spans="1:5" x14ac:dyDescent="0.3">
      <c r="A1125" t="s">
        <v>59</v>
      </c>
      <c r="B1125" s="1">
        <v>44718</v>
      </c>
      <c r="C1125">
        <v>1</v>
      </c>
      <c r="D1125">
        <v>14.76</v>
      </c>
      <c r="E1125">
        <v>24</v>
      </c>
    </row>
    <row r="1126" spans="1:5" x14ac:dyDescent="0.3">
      <c r="A1126" t="s">
        <v>70</v>
      </c>
      <c r="B1126" s="1">
        <v>44718</v>
      </c>
      <c r="C1126">
        <v>1</v>
      </c>
      <c r="D1126">
        <v>164.67</v>
      </c>
      <c r="E1126">
        <v>210</v>
      </c>
    </row>
    <row r="1127" spans="1:5" x14ac:dyDescent="0.3">
      <c r="A1127" t="s">
        <v>51</v>
      </c>
      <c r="B1127" s="1">
        <v>44718</v>
      </c>
      <c r="C1127">
        <v>4</v>
      </c>
      <c r="D1127">
        <v>2.0099999999999998</v>
      </c>
      <c r="E1127">
        <v>4</v>
      </c>
    </row>
    <row r="1128" spans="1:5" x14ac:dyDescent="0.3">
      <c r="A1128" t="s">
        <v>51</v>
      </c>
      <c r="B1128" s="1">
        <v>44718</v>
      </c>
      <c r="C1128">
        <v>4</v>
      </c>
      <c r="D1128">
        <v>2.0099999999999998</v>
      </c>
      <c r="E1128">
        <v>4</v>
      </c>
    </row>
    <row r="1129" spans="1:5" x14ac:dyDescent="0.3">
      <c r="A1129" t="s">
        <v>20</v>
      </c>
      <c r="B1129" s="1">
        <v>44718</v>
      </c>
      <c r="C1129">
        <v>1</v>
      </c>
      <c r="D1129">
        <v>20.72</v>
      </c>
      <c r="E1129">
        <v>27</v>
      </c>
    </row>
    <row r="1130" spans="1:5" x14ac:dyDescent="0.3">
      <c r="A1130" t="s">
        <v>31</v>
      </c>
      <c r="B1130" s="1">
        <v>44718</v>
      </c>
      <c r="C1130">
        <v>1</v>
      </c>
      <c r="D1130">
        <v>14.1</v>
      </c>
      <c r="E1130">
        <v>19</v>
      </c>
    </row>
    <row r="1131" spans="1:5" x14ac:dyDescent="0.3">
      <c r="A1131" t="s">
        <v>31</v>
      </c>
      <c r="B1131" s="1">
        <v>44718</v>
      </c>
      <c r="C1131">
        <v>1</v>
      </c>
      <c r="D1131">
        <v>14.1</v>
      </c>
      <c r="E1131">
        <v>19</v>
      </c>
    </row>
    <row r="1132" spans="1:5" x14ac:dyDescent="0.3">
      <c r="A1132" t="s">
        <v>24</v>
      </c>
      <c r="B1132" s="1">
        <v>44718</v>
      </c>
      <c r="C1132">
        <v>1</v>
      </c>
      <c r="D1132">
        <v>103.5</v>
      </c>
      <c r="E1132">
        <v>119</v>
      </c>
    </row>
    <row r="1133" spans="1:5" x14ac:dyDescent="0.3">
      <c r="A1133" t="s">
        <v>54</v>
      </c>
      <c r="B1133" s="1">
        <v>44718</v>
      </c>
      <c r="C1133">
        <v>1</v>
      </c>
      <c r="D1133">
        <v>643.5</v>
      </c>
      <c r="E1133">
        <v>831</v>
      </c>
    </row>
    <row r="1134" spans="1:5" x14ac:dyDescent="0.3">
      <c r="A1134" t="s">
        <v>138</v>
      </c>
      <c r="B1134" s="1">
        <v>44718</v>
      </c>
      <c r="C1134">
        <v>2</v>
      </c>
      <c r="D1134">
        <v>46.5</v>
      </c>
      <c r="E1134">
        <v>76</v>
      </c>
    </row>
    <row r="1135" spans="1:5" x14ac:dyDescent="0.3">
      <c r="A1135" t="s">
        <v>138</v>
      </c>
      <c r="B1135" s="1">
        <v>44718</v>
      </c>
      <c r="C1135">
        <v>1</v>
      </c>
      <c r="D1135">
        <v>46.5</v>
      </c>
      <c r="E1135">
        <v>76</v>
      </c>
    </row>
    <row r="1136" spans="1:5" x14ac:dyDescent="0.3">
      <c r="A1136" t="s">
        <v>124</v>
      </c>
      <c r="B1136" s="1">
        <v>44718</v>
      </c>
      <c r="C1136">
        <v>2</v>
      </c>
      <c r="D1136">
        <v>48.86</v>
      </c>
      <c r="E1136">
        <v>79</v>
      </c>
    </row>
    <row r="1137" spans="1:5" x14ac:dyDescent="0.3">
      <c r="A1137" t="s">
        <v>89</v>
      </c>
      <c r="B1137" s="1">
        <v>44718</v>
      </c>
      <c r="C1137">
        <v>1</v>
      </c>
      <c r="D1137">
        <v>81.17</v>
      </c>
      <c r="E1137">
        <v>116</v>
      </c>
    </row>
    <row r="1138" spans="1:5" x14ac:dyDescent="0.3">
      <c r="A1138" t="s">
        <v>105</v>
      </c>
      <c r="B1138" s="1">
        <v>44718</v>
      </c>
      <c r="C1138">
        <v>2</v>
      </c>
      <c r="D1138">
        <v>28.45</v>
      </c>
      <c r="E1138">
        <v>47</v>
      </c>
    </row>
    <row r="1139" spans="1:5" x14ac:dyDescent="0.3">
      <c r="A1139" t="s">
        <v>66</v>
      </c>
      <c r="B1139" s="1">
        <v>44718</v>
      </c>
      <c r="C1139">
        <v>1</v>
      </c>
      <c r="D1139">
        <v>30.56</v>
      </c>
      <c r="E1139">
        <v>36</v>
      </c>
    </row>
    <row r="1140" spans="1:5" x14ac:dyDescent="0.3">
      <c r="A1140" t="s">
        <v>85</v>
      </c>
      <c r="B1140" s="1">
        <v>44718</v>
      </c>
      <c r="C1140">
        <v>1</v>
      </c>
      <c r="D1140">
        <v>15.51</v>
      </c>
      <c r="E1140">
        <v>25</v>
      </c>
    </row>
    <row r="1141" spans="1:5" x14ac:dyDescent="0.3">
      <c r="A1141" t="s">
        <v>47</v>
      </c>
      <c r="B1141" s="1">
        <v>44718</v>
      </c>
      <c r="C1141">
        <v>1</v>
      </c>
      <c r="D1141">
        <v>43</v>
      </c>
      <c r="E1141">
        <v>67</v>
      </c>
    </row>
    <row r="1142" spans="1:5" x14ac:dyDescent="0.3">
      <c r="A1142" t="s">
        <v>47</v>
      </c>
      <c r="B1142" s="1">
        <v>44718</v>
      </c>
      <c r="C1142">
        <v>1</v>
      </c>
      <c r="D1142">
        <v>43</v>
      </c>
      <c r="E1142">
        <v>67</v>
      </c>
    </row>
    <row r="1143" spans="1:5" x14ac:dyDescent="0.3">
      <c r="A1143" t="s">
        <v>6</v>
      </c>
      <c r="B1143" s="1">
        <v>44718</v>
      </c>
      <c r="C1143">
        <v>0.6</v>
      </c>
      <c r="D1143">
        <v>460.59</v>
      </c>
      <c r="E1143">
        <v>576</v>
      </c>
    </row>
    <row r="1144" spans="1:5" x14ac:dyDescent="0.3">
      <c r="A1144" t="s">
        <v>85</v>
      </c>
      <c r="B1144" s="1">
        <v>44718</v>
      </c>
      <c r="C1144">
        <v>1</v>
      </c>
      <c r="D1144">
        <v>14.82</v>
      </c>
      <c r="E1144">
        <v>24</v>
      </c>
    </row>
    <row r="1145" spans="1:5" x14ac:dyDescent="0.3">
      <c r="A1145" t="s">
        <v>85</v>
      </c>
      <c r="B1145" s="1">
        <v>44718</v>
      </c>
      <c r="C1145">
        <v>1</v>
      </c>
      <c r="D1145">
        <v>17.23</v>
      </c>
      <c r="E1145">
        <v>28</v>
      </c>
    </row>
    <row r="1146" spans="1:5" x14ac:dyDescent="0.3">
      <c r="A1146" t="s">
        <v>77</v>
      </c>
      <c r="B1146" s="1">
        <v>44718</v>
      </c>
      <c r="C1146">
        <v>1</v>
      </c>
      <c r="D1146">
        <v>61.89</v>
      </c>
      <c r="E1146">
        <v>77</v>
      </c>
    </row>
    <row r="1147" spans="1:5" x14ac:dyDescent="0.3">
      <c r="A1147" t="s">
        <v>7</v>
      </c>
      <c r="B1147" s="1">
        <v>44718</v>
      </c>
      <c r="C1147">
        <v>1</v>
      </c>
      <c r="D1147">
        <v>88.07</v>
      </c>
      <c r="E1147">
        <v>104</v>
      </c>
    </row>
    <row r="1148" spans="1:5" x14ac:dyDescent="0.3">
      <c r="A1148" t="s">
        <v>96</v>
      </c>
      <c r="B1148" s="1">
        <v>44718</v>
      </c>
      <c r="C1148">
        <v>1</v>
      </c>
      <c r="D1148">
        <v>71.650000000000006</v>
      </c>
      <c r="E1148">
        <v>102</v>
      </c>
    </row>
    <row r="1149" spans="1:5" x14ac:dyDescent="0.3">
      <c r="A1149" t="s">
        <v>39</v>
      </c>
      <c r="B1149" s="1">
        <v>44718</v>
      </c>
      <c r="C1149">
        <v>2</v>
      </c>
      <c r="D1149">
        <v>9.9499999999999993</v>
      </c>
      <c r="E1149">
        <v>17</v>
      </c>
    </row>
    <row r="1150" spans="1:5" x14ac:dyDescent="0.3">
      <c r="A1150" t="s">
        <v>6</v>
      </c>
      <c r="B1150" s="1">
        <v>44718</v>
      </c>
      <c r="C1150">
        <v>0.2</v>
      </c>
      <c r="D1150">
        <v>472.13</v>
      </c>
      <c r="E1150">
        <v>591</v>
      </c>
    </row>
    <row r="1151" spans="1:5" x14ac:dyDescent="0.3">
      <c r="A1151" t="s">
        <v>122</v>
      </c>
      <c r="B1151" s="1">
        <v>44718</v>
      </c>
      <c r="C1151">
        <v>1</v>
      </c>
      <c r="D1151">
        <v>21.07</v>
      </c>
      <c r="E1151">
        <v>26</v>
      </c>
    </row>
    <row r="1152" spans="1:5" x14ac:dyDescent="0.3">
      <c r="A1152" t="s">
        <v>49</v>
      </c>
      <c r="B1152" s="1">
        <v>44718</v>
      </c>
      <c r="C1152">
        <v>1</v>
      </c>
      <c r="D1152">
        <v>15.82</v>
      </c>
      <c r="E1152">
        <v>20</v>
      </c>
    </row>
    <row r="1153" spans="1:5" x14ac:dyDescent="0.3">
      <c r="A1153" t="s">
        <v>141</v>
      </c>
      <c r="B1153" s="1">
        <v>44718</v>
      </c>
      <c r="C1153">
        <v>5</v>
      </c>
      <c r="D1153">
        <v>12.16</v>
      </c>
      <c r="E1153">
        <v>20</v>
      </c>
    </row>
    <row r="1154" spans="1:5" x14ac:dyDescent="0.3">
      <c r="A1154" t="s">
        <v>21</v>
      </c>
      <c r="B1154" s="1">
        <v>44718</v>
      </c>
      <c r="C1154">
        <v>1</v>
      </c>
      <c r="D1154">
        <v>184.39</v>
      </c>
      <c r="E1154">
        <v>260</v>
      </c>
    </row>
    <row r="1155" spans="1:5" x14ac:dyDescent="0.3">
      <c r="A1155" t="s">
        <v>57</v>
      </c>
      <c r="B1155" s="1">
        <v>44718</v>
      </c>
      <c r="C1155">
        <v>1</v>
      </c>
      <c r="D1155">
        <v>233.06</v>
      </c>
      <c r="E1155">
        <v>273</v>
      </c>
    </row>
    <row r="1156" spans="1:5" x14ac:dyDescent="0.3">
      <c r="A1156" t="s">
        <v>155</v>
      </c>
      <c r="B1156" s="1">
        <v>44718</v>
      </c>
      <c r="C1156">
        <v>0.12</v>
      </c>
      <c r="D1156">
        <v>495.72</v>
      </c>
      <c r="E1156">
        <v>754</v>
      </c>
    </row>
    <row r="1157" spans="1:5" x14ac:dyDescent="0.3">
      <c r="A1157" t="s">
        <v>26</v>
      </c>
      <c r="B1157" s="1">
        <v>44718</v>
      </c>
      <c r="C1157">
        <v>0.1</v>
      </c>
      <c r="D1157">
        <v>984.65</v>
      </c>
      <c r="E1157">
        <v>1271</v>
      </c>
    </row>
    <row r="1158" spans="1:5" x14ac:dyDescent="0.3">
      <c r="A1158" t="s">
        <v>121</v>
      </c>
      <c r="B1158" s="1">
        <v>44718</v>
      </c>
      <c r="C1158">
        <v>2</v>
      </c>
      <c r="D1158">
        <v>9.86</v>
      </c>
      <c r="E1158">
        <v>16</v>
      </c>
    </row>
    <row r="1159" spans="1:5" x14ac:dyDescent="0.3">
      <c r="A1159" t="s">
        <v>93</v>
      </c>
      <c r="B1159" s="1">
        <v>44718</v>
      </c>
      <c r="C1159">
        <v>1</v>
      </c>
      <c r="D1159">
        <v>84.22</v>
      </c>
      <c r="E1159">
        <v>124</v>
      </c>
    </row>
    <row r="1160" spans="1:5" x14ac:dyDescent="0.3">
      <c r="A1160" t="s">
        <v>24</v>
      </c>
      <c r="B1160" s="1">
        <v>44718</v>
      </c>
      <c r="C1160">
        <v>1</v>
      </c>
      <c r="D1160">
        <v>101.95</v>
      </c>
      <c r="E1160">
        <v>122</v>
      </c>
    </row>
    <row r="1161" spans="1:5" x14ac:dyDescent="0.3">
      <c r="A1161" t="s">
        <v>32</v>
      </c>
      <c r="B1161" s="1">
        <v>44718</v>
      </c>
      <c r="C1161">
        <v>2</v>
      </c>
      <c r="D1161">
        <v>112.79</v>
      </c>
      <c r="E1161">
        <v>172</v>
      </c>
    </row>
    <row r="1162" spans="1:5" x14ac:dyDescent="0.3">
      <c r="A1162" t="s">
        <v>64</v>
      </c>
      <c r="B1162" s="1">
        <v>44718</v>
      </c>
      <c r="C1162">
        <v>1</v>
      </c>
      <c r="D1162">
        <v>200.89</v>
      </c>
      <c r="E1162">
        <v>266</v>
      </c>
    </row>
    <row r="1163" spans="1:5" x14ac:dyDescent="0.3">
      <c r="A1163" t="s">
        <v>24</v>
      </c>
      <c r="B1163" s="1">
        <v>44718</v>
      </c>
      <c r="C1163">
        <v>1</v>
      </c>
      <c r="D1163">
        <v>101.12</v>
      </c>
      <c r="E1163">
        <v>113.68</v>
      </c>
    </row>
    <row r="1164" spans="1:5" x14ac:dyDescent="0.3">
      <c r="A1164" t="s">
        <v>85</v>
      </c>
      <c r="B1164" s="1">
        <v>44718</v>
      </c>
      <c r="C1164">
        <v>1</v>
      </c>
      <c r="D1164">
        <v>17.23</v>
      </c>
      <c r="E1164">
        <v>28</v>
      </c>
    </row>
    <row r="1165" spans="1:5" x14ac:dyDescent="0.3">
      <c r="A1165" t="s">
        <v>29</v>
      </c>
      <c r="B1165" s="1">
        <v>44718</v>
      </c>
      <c r="C1165">
        <v>1</v>
      </c>
      <c r="D1165">
        <v>481.17</v>
      </c>
      <c r="E1165">
        <v>650</v>
      </c>
    </row>
    <row r="1166" spans="1:5" x14ac:dyDescent="0.3">
      <c r="A1166" t="s">
        <v>53</v>
      </c>
      <c r="B1166" s="1">
        <v>44718</v>
      </c>
      <c r="C1166">
        <v>1</v>
      </c>
      <c r="D1166">
        <v>23.4</v>
      </c>
      <c r="E1166">
        <v>38</v>
      </c>
    </row>
    <row r="1167" spans="1:5" x14ac:dyDescent="0.3">
      <c r="A1167" t="s">
        <v>117</v>
      </c>
      <c r="B1167" s="1">
        <v>44718</v>
      </c>
      <c r="C1167">
        <v>1</v>
      </c>
      <c r="D1167">
        <v>23.14</v>
      </c>
      <c r="E1167">
        <v>28</v>
      </c>
    </row>
    <row r="1168" spans="1:5" x14ac:dyDescent="0.3">
      <c r="A1168" t="s">
        <v>7</v>
      </c>
      <c r="B1168" s="1">
        <v>44718</v>
      </c>
      <c r="C1168">
        <v>1</v>
      </c>
      <c r="D1168">
        <v>88.86</v>
      </c>
      <c r="E1168">
        <v>104</v>
      </c>
    </row>
    <row r="1169" spans="1:5" x14ac:dyDescent="0.3">
      <c r="A1169" t="s">
        <v>98</v>
      </c>
      <c r="B1169" s="1">
        <v>44718</v>
      </c>
      <c r="C1169">
        <v>1</v>
      </c>
      <c r="D1169">
        <v>111.32</v>
      </c>
      <c r="E1169">
        <v>134</v>
      </c>
    </row>
    <row r="1170" spans="1:5" x14ac:dyDescent="0.3">
      <c r="A1170" t="s">
        <v>140</v>
      </c>
      <c r="B1170" s="1">
        <v>44718</v>
      </c>
      <c r="C1170">
        <v>1</v>
      </c>
      <c r="D1170">
        <v>156.22999999999999</v>
      </c>
      <c r="E1170">
        <v>188</v>
      </c>
    </row>
    <row r="1171" spans="1:5" x14ac:dyDescent="0.3">
      <c r="A1171" t="s">
        <v>147</v>
      </c>
      <c r="B1171" s="1">
        <v>44718</v>
      </c>
      <c r="C1171">
        <v>1</v>
      </c>
      <c r="D1171">
        <v>132.15</v>
      </c>
      <c r="E1171">
        <v>187</v>
      </c>
    </row>
    <row r="1172" spans="1:5" x14ac:dyDescent="0.3">
      <c r="A1172" t="s">
        <v>59</v>
      </c>
      <c r="B1172" s="1">
        <v>44718</v>
      </c>
      <c r="C1172">
        <v>5</v>
      </c>
      <c r="D1172">
        <v>14.55</v>
      </c>
      <c r="E1172">
        <v>24</v>
      </c>
    </row>
    <row r="1173" spans="1:5" x14ac:dyDescent="0.3">
      <c r="A1173" t="s">
        <v>9</v>
      </c>
      <c r="B1173" s="1">
        <v>44718</v>
      </c>
      <c r="C1173">
        <v>1</v>
      </c>
      <c r="D1173">
        <v>81.87</v>
      </c>
      <c r="E1173">
        <v>99</v>
      </c>
    </row>
    <row r="1174" spans="1:5" x14ac:dyDescent="0.3">
      <c r="A1174" t="s">
        <v>136</v>
      </c>
      <c r="B1174" s="1">
        <v>44718</v>
      </c>
      <c r="C1174">
        <v>1</v>
      </c>
      <c r="D1174">
        <v>286.72000000000003</v>
      </c>
      <c r="E1174">
        <v>379</v>
      </c>
    </row>
    <row r="1175" spans="1:5" x14ac:dyDescent="0.3">
      <c r="A1175" t="s">
        <v>95</v>
      </c>
      <c r="B1175" s="1">
        <v>44718</v>
      </c>
      <c r="C1175">
        <v>1</v>
      </c>
      <c r="D1175">
        <v>110.52</v>
      </c>
      <c r="E1175">
        <v>168</v>
      </c>
    </row>
    <row r="1176" spans="1:5" x14ac:dyDescent="0.3">
      <c r="A1176" t="s">
        <v>26</v>
      </c>
      <c r="B1176" s="1">
        <v>44718</v>
      </c>
      <c r="C1176">
        <v>0.3</v>
      </c>
      <c r="D1176">
        <v>979.4</v>
      </c>
      <c r="E1176">
        <v>1293</v>
      </c>
    </row>
    <row r="1177" spans="1:5" x14ac:dyDescent="0.3">
      <c r="A1177" t="s">
        <v>141</v>
      </c>
      <c r="B1177" s="1">
        <v>44718</v>
      </c>
      <c r="C1177">
        <v>1</v>
      </c>
      <c r="D1177">
        <v>12.16</v>
      </c>
      <c r="E1177">
        <v>20</v>
      </c>
    </row>
    <row r="1178" spans="1:5" x14ac:dyDescent="0.3">
      <c r="A1178" t="s">
        <v>115</v>
      </c>
      <c r="B1178" s="1">
        <v>44718</v>
      </c>
      <c r="C1178">
        <v>1</v>
      </c>
      <c r="D1178">
        <v>71.02</v>
      </c>
      <c r="E1178">
        <v>88</v>
      </c>
    </row>
    <row r="1179" spans="1:5" x14ac:dyDescent="0.3">
      <c r="A1179" t="s">
        <v>50</v>
      </c>
      <c r="B1179" s="1">
        <v>44718</v>
      </c>
      <c r="C1179">
        <v>1</v>
      </c>
      <c r="D1179">
        <v>43.92</v>
      </c>
      <c r="E1179">
        <v>55</v>
      </c>
    </row>
    <row r="1180" spans="1:5" x14ac:dyDescent="0.3">
      <c r="A1180" t="s">
        <v>8</v>
      </c>
      <c r="B1180" s="1">
        <v>44718</v>
      </c>
      <c r="C1180">
        <v>1</v>
      </c>
      <c r="D1180">
        <v>47.77</v>
      </c>
      <c r="E1180">
        <v>78</v>
      </c>
    </row>
    <row r="1181" spans="1:5" x14ac:dyDescent="0.3">
      <c r="A1181" t="s">
        <v>6</v>
      </c>
      <c r="B1181" s="1">
        <v>44718</v>
      </c>
      <c r="C1181">
        <v>0.2</v>
      </c>
      <c r="D1181">
        <v>460.59</v>
      </c>
      <c r="E1181">
        <v>576</v>
      </c>
    </row>
    <row r="1182" spans="1:5" x14ac:dyDescent="0.3">
      <c r="A1182" t="s">
        <v>46</v>
      </c>
      <c r="B1182" s="1">
        <v>44718</v>
      </c>
      <c r="C1182">
        <v>1</v>
      </c>
      <c r="D1182">
        <v>19.440000000000001</v>
      </c>
      <c r="E1182">
        <v>23</v>
      </c>
    </row>
    <row r="1183" spans="1:5" x14ac:dyDescent="0.3">
      <c r="A1183" t="s">
        <v>12</v>
      </c>
      <c r="B1183" s="1">
        <v>44718</v>
      </c>
      <c r="C1183">
        <v>1</v>
      </c>
      <c r="D1183">
        <v>56.39</v>
      </c>
      <c r="E1183">
        <v>70</v>
      </c>
    </row>
    <row r="1184" spans="1:5" x14ac:dyDescent="0.3">
      <c r="A1184" t="s">
        <v>12</v>
      </c>
      <c r="B1184" s="1">
        <v>44718</v>
      </c>
      <c r="C1184">
        <v>1</v>
      </c>
      <c r="D1184">
        <v>56.39</v>
      </c>
      <c r="E1184">
        <v>70</v>
      </c>
    </row>
    <row r="1185" spans="1:5" x14ac:dyDescent="0.3">
      <c r="A1185" t="s">
        <v>73</v>
      </c>
      <c r="B1185" s="1">
        <v>44718</v>
      </c>
      <c r="C1185">
        <v>2</v>
      </c>
      <c r="D1185">
        <v>7.82</v>
      </c>
      <c r="E1185">
        <v>13</v>
      </c>
    </row>
    <row r="1186" spans="1:5" x14ac:dyDescent="0.3">
      <c r="A1186" t="s">
        <v>17</v>
      </c>
      <c r="B1186" s="1">
        <v>44718</v>
      </c>
      <c r="C1186">
        <v>1</v>
      </c>
      <c r="D1186">
        <v>387.04</v>
      </c>
      <c r="E1186">
        <v>465</v>
      </c>
    </row>
    <row r="1187" spans="1:5" x14ac:dyDescent="0.3">
      <c r="A1187" t="s">
        <v>109</v>
      </c>
      <c r="B1187" s="1">
        <v>44718</v>
      </c>
      <c r="C1187">
        <v>1</v>
      </c>
      <c r="D1187">
        <v>87.07</v>
      </c>
      <c r="E1187">
        <v>98</v>
      </c>
    </row>
    <row r="1188" spans="1:5" x14ac:dyDescent="0.3">
      <c r="A1188" t="s">
        <v>109</v>
      </c>
      <c r="B1188" s="1">
        <v>44718</v>
      </c>
      <c r="C1188">
        <v>1</v>
      </c>
      <c r="D1188">
        <v>87.07</v>
      </c>
      <c r="E1188">
        <v>98</v>
      </c>
    </row>
    <row r="1189" spans="1:5" x14ac:dyDescent="0.3">
      <c r="A1189" t="s">
        <v>109</v>
      </c>
      <c r="B1189" s="1">
        <v>44718</v>
      </c>
      <c r="C1189">
        <v>1</v>
      </c>
      <c r="D1189">
        <v>88.25</v>
      </c>
      <c r="E1189">
        <v>99</v>
      </c>
    </row>
    <row r="1190" spans="1:5" x14ac:dyDescent="0.3">
      <c r="A1190" t="s">
        <v>109</v>
      </c>
      <c r="B1190" s="1">
        <v>44718</v>
      </c>
      <c r="C1190">
        <v>1</v>
      </c>
      <c r="D1190">
        <v>88.25</v>
      </c>
      <c r="E1190">
        <v>99</v>
      </c>
    </row>
    <row r="1191" spans="1:5" x14ac:dyDescent="0.3">
      <c r="A1191" t="s">
        <v>156</v>
      </c>
      <c r="B1191" s="1">
        <v>44718</v>
      </c>
      <c r="C1191">
        <v>1</v>
      </c>
      <c r="D1191">
        <v>254.03</v>
      </c>
      <c r="E1191">
        <v>336</v>
      </c>
    </row>
    <row r="1192" spans="1:5" x14ac:dyDescent="0.3">
      <c r="A1192" t="s">
        <v>34</v>
      </c>
      <c r="B1192" s="1">
        <v>44718</v>
      </c>
      <c r="C1192">
        <v>1</v>
      </c>
      <c r="D1192">
        <v>201.73</v>
      </c>
      <c r="E1192">
        <v>232</v>
      </c>
    </row>
    <row r="1193" spans="1:5" x14ac:dyDescent="0.3">
      <c r="A1193" t="s">
        <v>31</v>
      </c>
      <c r="B1193" s="1">
        <v>44718</v>
      </c>
      <c r="C1193">
        <v>1</v>
      </c>
      <c r="D1193">
        <v>13.36</v>
      </c>
      <c r="E1193">
        <v>18</v>
      </c>
    </row>
    <row r="1194" spans="1:5" x14ac:dyDescent="0.3">
      <c r="A1194" t="s">
        <v>31</v>
      </c>
      <c r="B1194" s="1">
        <v>44718</v>
      </c>
      <c r="C1194">
        <v>1</v>
      </c>
      <c r="D1194">
        <v>13.36</v>
      </c>
      <c r="E1194">
        <v>18</v>
      </c>
    </row>
    <row r="1195" spans="1:5" x14ac:dyDescent="0.3">
      <c r="A1195" t="s">
        <v>31</v>
      </c>
      <c r="B1195" s="1">
        <v>44718</v>
      </c>
      <c r="C1195">
        <v>1</v>
      </c>
      <c r="D1195">
        <v>13.36</v>
      </c>
      <c r="E1195">
        <v>18</v>
      </c>
    </row>
    <row r="1196" spans="1:5" x14ac:dyDescent="0.3">
      <c r="A1196" t="s">
        <v>12</v>
      </c>
      <c r="B1196" s="1">
        <v>44718</v>
      </c>
      <c r="C1196">
        <v>1</v>
      </c>
      <c r="D1196">
        <v>56.39</v>
      </c>
      <c r="E1196">
        <v>70</v>
      </c>
    </row>
    <row r="1197" spans="1:5" x14ac:dyDescent="0.3">
      <c r="A1197" t="s">
        <v>12</v>
      </c>
      <c r="B1197" s="1">
        <v>44718</v>
      </c>
      <c r="C1197">
        <v>1</v>
      </c>
      <c r="D1197">
        <v>56.39</v>
      </c>
      <c r="E1197">
        <v>70</v>
      </c>
    </row>
    <row r="1198" spans="1:5" x14ac:dyDescent="0.3">
      <c r="A1198" t="s">
        <v>72</v>
      </c>
      <c r="B1198" s="1">
        <v>44718</v>
      </c>
      <c r="C1198">
        <v>1</v>
      </c>
      <c r="D1198">
        <v>556.51</v>
      </c>
      <c r="E1198">
        <v>735</v>
      </c>
    </row>
    <row r="1199" spans="1:5" x14ac:dyDescent="0.3">
      <c r="A1199" t="s">
        <v>7</v>
      </c>
      <c r="B1199" s="1">
        <v>44718</v>
      </c>
      <c r="C1199">
        <v>1</v>
      </c>
      <c r="D1199">
        <v>88.43</v>
      </c>
      <c r="E1199">
        <v>110</v>
      </c>
    </row>
    <row r="1200" spans="1:5" x14ac:dyDescent="0.3">
      <c r="A1200" t="s">
        <v>65</v>
      </c>
      <c r="B1200" s="1">
        <v>44718</v>
      </c>
      <c r="C1200">
        <v>1</v>
      </c>
      <c r="D1200">
        <v>187.36</v>
      </c>
      <c r="E1200">
        <v>220</v>
      </c>
    </row>
    <row r="1201" spans="1:5" x14ac:dyDescent="0.3">
      <c r="A1201" t="s">
        <v>13</v>
      </c>
      <c r="B1201" s="1">
        <v>44718</v>
      </c>
      <c r="C1201">
        <v>1</v>
      </c>
      <c r="D1201">
        <v>119.06</v>
      </c>
      <c r="E1201">
        <v>146</v>
      </c>
    </row>
    <row r="1202" spans="1:5" x14ac:dyDescent="0.3">
      <c r="A1202" t="s">
        <v>39</v>
      </c>
      <c r="B1202" s="1">
        <v>44718</v>
      </c>
      <c r="C1202">
        <v>5</v>
      </c>
      <c r="D1202">
        <v>8.58</v>
      </c>
      <c r="E1202">
        <v>14</v>
      </c>
    </row>
    <row r="1203" spans="1:5" x14ac:dyDescent="0.3">
      <c r="A1203" t="s">
        <v>51</v>
      </c>
      <c r="B1203" s="1">
        <v>44718</v>
      </c>
      <c r="C1203">
        <v>4</v>
      </c>
      <c r="D1203">
        <v>2.1800000000000002</v>
      </c>
      <c r="E1203">
        <v>4</v>
      </c>
    </row>
    <row r="1204" spans="1:5" x14ac:dyDescent="0.3">
      <c r="A1204" t="s">
        <v>8</v>
      </c>
      <c r="B1204" s="1">
        <v>44718</v>
      </c>
      <c r="C1204">
        <v>3</v>
      </c>
      <c r="D1204">
        <v>47.58</v>
      </c>
      <c r="E1204">
        <v>77</v>
      </c>
    </row>
    <row r="1205" spans="1:5" x14ac:dyDescent="0.3">
      <c r="A1205" t="s">
        <v>8</v>
      </c>
      <c r="B1205" s="1">
        <v>44718</v>
      </c>
      <c r="C1205">
        <v>2</v>
      </c>
      <c r="D1205">
        <v>47.82</v>
      </c>
      <c r="E1205">
        <v>77</v>
      </c>
    </row>
    <row r="1206" spans="1:5" x14ac:dyDescent="0.3">
      <c r="A1206" t="s">
        <v>114</v>
      </c>
      <c r="B1206" s="1">
        <v>44718</v>
      </c>
      <c r="C1206">
        <v>1</v>
      </c>
      <c r="D1206">
        <v>74.8</v>
      </c>
      <c r="E1206">
        <v>92</v>
      </c>
    </row>
    <row r="1207" spans="1:5" x14ac:dyDescent="0.3">
      <c r="A1207" t="s">
        <v>88</v>
      </c>
      <c r="B1207" s="1">
        <v>44718</v>
      </c>
      <c r="C1207">
        <v>1</v>
      </c>
      <c r="D1207">
        <v>123.98</v>
      </c>
      <c r="E1207">
        <v>195</v>
      </c>
    </row>
    <row r="1208" spans="1:5" x14ac:dyDescent="0.3">
      <c r="A1208" t="s">
        <v>106</v>
      </c>
      <c r="B1208" s="1">
        <v>44718</v>
      </c>
      <c r="C1208">
        <v>1</v>
      </c>
      <c r="D1208">
        <v>41.5</v>
      </c>
      <c r="E1208">
        <v>51</v>
      </c>
    </row>
    <row r="1209" spans="1:5" x14ac:dyDescent="0.3">
      <c r="A1209" t="s">
        <v>106</v>
      </c>
      <c r="B1209" s="1">
        <v>44718</v>
      </c>
      <c r="C1209">
        <v>1</v>
      </c>
      <c r="D1209">
        <v>41.5</v>
      </c>
      <c r="E1209">
        <v>51</v>
      </c>
    </row>
    <row r="1210" spans="1:5" x14ac:dyDescent="0.3">
      <c r="A1210" t="s">
        <v>26</v>
      </c>
      <c r="B1210" s="1">
        <v>44718</v>
      </c>
      <c r="C1210">
        <v>0.1</v>
      </c>
      <c r="D1210">
        <v>986.58</v>
      </c>
      <c r="E1210">
        <v>1352</v>
      </c>
    </row>
    <row r="1211" spans="1:5" x14ac:dyDescent="0.3">
      <c r="A1211" t="s">
        <v>152</v>
      </c>
      <c r="B1211" s="1">
        <v>44718</v>
      </c>
      <c r="C1211">
        <v>1</v>
      </c>
      <c r="D1211">
        <v>111.18</v>
      </c>
      <c r="E1211">
        <v>139</v>
      </c>
    </row>
    <row r="1212" spans="1:5" x14ac:dyDescent="0.3">
      <c r="A1212" t="s">
        <v>15</v>
      </c>
      <c r="B1212" s="1">
        <v>44718</v>
      </c>
      <c r="C1212">
        <v>1</v>
      </c>
      <c r="D1212">
        <v>37.85</v>
      </c>
      <c r="E1212">
        <v>62</v>
      </c>
    </row>
    <row r="1213" spans="1:5" x14ac:dyDescent="0.3">
      <c r="A1213" t="s">
        <v>39</v>
      </c>
      <c r="B1213" s="1">
        <v>44718</v>
      </c>
      <c r="C1213">
        <v>2</v>
      </c>
      <c r="D1213">
        <v>9.8800000000000008</v>
      </c>
      <c r="E1213">
        <v>16</v>
      </c>
    </row>
    <row r="1214" spans="1:5" x14ac:dyDescent="0.3">
      <c r="A1214" t="s">
        <v>39</v>
      </c>
      <c r="B1214" s="1">
        <v>44718</v>
      </c>
      <c r="C1214">
        <v>1</v>
      </c>
      <c r="D1214">
        <v>9.8800000000000008</v>
      </c>
      <c r="E1214">
        <v>16</v>
      </c>
    </row>
    <row r="1215" spans="1:5" x14ac:dyDescent="0.3">
      <c r="A1215" t="s">
        <v>85</v>
      </c>
      <c r="B1215" s="1">
        <v>44718</v>
      </c>
      <c r="C1215">
        <v>1</v>
      </c>
      <c r="D1215">
        <v>15.36</v>
      </c>
      <c r="E1215">
        <v>24</v>
      </c>
    </row>
    <row r="1216" spans="1:5" x14ac:dyDescent="0.3">
      <c r="A1216" t="s">
        <v>46</v>
      </c>
      <c r="B1216" s="1">
        <v>44718</v>
      </c>
      <c r="C1216">
        <v>1</v>
      </c>
      <c r="D1216">
        <v>18.79</v>
      </c>
      <c r="E1216">
        <v>23</v>
      </c>
    </row>
    <row r="1217" spans="1:5" x14ac:dyDescent="0.3">
      <c r="A1217" t="s">
        <v>39</v>
      </c>
      <c r="B1217" s="1">
        <v>44718</v>
      </c>
      <c r="C1217">
        <v>1</v>
      </c>
      <c r="D1217">
        <v>8.58</v>
      </c>
      <c r="E1217">
        <v>14</v>
      </c>
    </row>
    <row r="1218" spans="1:5" x14ac:dyDescent="0.3">
      <c r="A1218" t="s">
        <v>134</v>
      </c>
      <c r="B1218" s="1">
        <v>44718</v>
      </c>
      <c r="C1218">
        <v>1</v>
      </c>
      <c r="D1218">
        <v>26.87</v>
      </c>
      <c r="E1218">
        <v>41</v>
      </c>
    </row>
    <row r="1219" spans="1:5" x14ac:dyDescent="0.3">
      <c r="A1219" t="s">
        <v>45</v>
      </c>
      <c r="B1219" s="1">
        <v>44718</v>
      </c>
      <c r="C1219">
        <v>2</v>
      </c>
      <c r="D1219">
        <v>28.85</v>
      </c>
      <c r="E1219">
        <v>47</v>
      </c>
    </row>
    <row r="1220" spans="1:5" x14ac:dyDescent="0.3">
      <c r="A1220" t="s">
        <v>59</v>
      </c>
      <c r="B1220" s="1">
        <v>44718</v>
      </c>
      <c r="C1220">
        <v>1</v>
      </c>
      <c r="D1220">
        <v>16.78</v>
      </c>
      <c r="E1220">
        <v>28</v>
      </c>
    </row>
    <row r="1221" spans="1:5" x14ac:dyDescent="0.3">
      <c r="A1221" t="s">
        <v>73</v>
      </c>
      <c r="B1221" s="1">
        <v>44718</v>
      </c>
      <c r="C1221">
        <v>2</v>
      </c>
      <c r="D1221">
        <v>7.82</v>
      </c>
      <c r="E1221">
        <v>13</v>
      </c>
    </row>
    <row r="1222" spans="1:5" x14ac:dyDescent="0.3">
      <c r="A1222" t="s">
        <v>93</v>
      </c>
      <c r="B1222" s="1">
        <v>44718</v>
      </c>
      <c r="C1222">
        <v>1</v>
      </c>
      <c r="D1222">
        <v>71.05</v>
      </c>
      <c r="E1222">
        <v>106</v>
      </c>
    </row>
    <row r="1223" spans="1:5" x14ac:dyDescent="0.3">
      <c r="A1223" t="s">
        <v>56</v>
      </c>
      <c r="B1223" s="1">
        <v>44718</v>
      </c>
      <c r="C1223">
        <v>1</v>
      </c>
      <c r="D1223">
        <v>44.9</v>
      </c>
      <c r="E1223">
        <v>69</v>
      </c>
    </row>
    <row r="1224" spans="1:5" x14ac:dyDescent="0.3">
      <c r="A1224" t="s">
        <v>25</v>
      </c>
      <c r="B1224" s="1">
        <v>44718</v>
      </c>
      <c r="C1224">
        <v>1</v>
      </c>
      <c r="D1224">
        <v>141.47999999999999</v>
      </c>
      <c r="E1224">
        <v>171</v>
      </c>
    </row>
    <row r="1225" spans="1:5" x14ac:dyDescent="0.3">
      <c r="A1225" t="s">
        <v>25</v>
      </c>
      <c r="B1225" s="1">
        <v>44718</v>
      </c>
      <c r="C1225">
        <v>1</v>
      </c>
      <c r="D1225">
        <v>141.47999999999999</v>
      </c>
      <c r="E1225">
        <v>171</v>
      </c>
    </row>
    <row r="1226" spans="1:5" x14ac:dyDescent="0.3">
      <c r="A1226" t="s">
        <v>57</v>
      </c>
      <c r="B1226" s="1">
        <v>44718</v>
      </c>
      <c r="C1226">
        <v>1</v>
      </c>
      <c r="D1226">
        <v>233.74</v>
      </c>
      <c r="E1226">
        <v>274</v>
      </c>
    </row>
    <row r="1227" spans="1:5" x14ac:dyDescent="0.3">
      <c r="A1227" t="s">
        <v>45</v>
      </c>
      <c r="B1227" s="1">
        <v>44718</v>
      </c>
      <c r="C1227">
        <v>1</v>
      </c>
      <c r="D1227">
        <v>28.21</v>
      </c>
      <c r="E1227">
        <v>46</v>
      </c>
    </row>
    <row r="1228" spans="1:5" x14ac:dyDescent="0.3">
      <c r="A1228" t="s">
        <v>75</v>
      </c>
      <c r="B1228" s="1">
        <v>44718</v>
      </c>
      <c r="C1228">
        <v>0.26</v>
      </c>
      <c r="D1228">
        <v>464.4</v>
      </c>
      <c r="E1228">
        <v>706</v>
      </c>
    </row>
    <row r="1229" spans="1:5" x14ac:dyDescent="0.3">
      <c r="A1229" t="s">
        <v>98</v>
      </c>
      <c r="B1229" s="1">
        <v>44718</v>
      </c>
      <c r="C1229">
        <v>1</v>
      </c>
      <c r="D1229">
        <v>111.32</v>
      </c>
      <c r="E1229">
        <v>134</v>
      </c>
    </row>
    <row r="1230" spans="1:5" x14ac:dyDescent="0.3">
      <c r="A1230" t="s">
        <v>122</v>
      </c>
      <c r="B1230" s="1">
        <v>44718</v>
      </c>
      <c r="C1230">
        <v>1</v>
      </c>
      <c r="D1230">
        <v>21.23</v>
      </c>
      <c r="E1230">
        <v>26</v>
      </c>
    </row>
    <row r="1231" spans="1:5" x14ac:dyDescent="0.3">
      <c r="A1231" t="s">
        <v>25</v>
      </c>
      <c r="B1231" s="1">
        <v>44718</v>
      </c>
      <c r="C1231">
        <v>1</v>
      </c>
      <c r="D1231">
        <v>146.85</v>
      </c>
      <c r="E1231">
        <v>177</v>
      </c>
    </row>
    <row r="1232" spans="1:5" x14ac:dyDescent="0.3">
      <c r="A1232" t="s">
        <v>28</v>
      </c>
      <c r="B1232" s="1">
        <v>44718</v>
      </c>
      <c r="C1232">
        <v>1</v>
      </c>
      <c r="D1232">
        <v>148.91</v>
      </c>
      <c r="E1232">
        <v>207</v>
      </c>
    </row>
    <row r="1233" spans="1:5" x14ac:dyDescent="0.3">
      <c r="A1233" t="s">
        <v>100</v>
      </c>
      <c r="B1233" s="1">
        <v>44718</v>
      </c>
      <c r="C1233">
        <v>1</v>
      </c>
      <c r="D1233">
        <v>38.07</v>
      </c>
      <c r="E1233">
        <v>59</v>
      </c>
    </row>
    <row r="1234" spans="1:5" x14ac:dyDescent="0.3">
      <c r="A1234" t="s">
        <v>137</v>
      </c>
      <c r="B1234" s="1">
        <v>44718</v>
      </c>
      <c r="C1234">
        <v>1</v>
      </c>
      <c r="D1234">
        <v>9</v>
      </c>
      <c r="E1234">
        <v>16</v>
      </c>
    </row>
    <row r="1235" spans="1:5" x14ac:dyDescent="0.3">
      <c r="A1235" t="s">
        <v>55</v>
      </c>
      <c r="B1235" s="1">
        <v>44718</v>
      </c>
      <c r="C1235">
        <v>1</v>
      </c>
      <c r="D1235">
        <v>77.67</v>
      </c>
      <c r="E1235">
        <v>95</v>
      </c>
    </row>
    <row r="1236" spans="1:5" x14ac:dyDescent="0.3">
      <c r="A1236" t="s">
        <v>58</v>
      </c>
      <c r="B1236" s="1">
        <v>44718</v>
      </c>
      <c r="C1236">
        <v>1</v>
      </c>
      <c r="D1236">
        <v>84.36</v>
      </c>
      <c r="E1236">
        <v>102</v>
      </c>
    </row>
    <row r="1237" spans="1:5" x14ac:dyDescent="0.3">
      <c r="A1237" t="s">
        <v>58</v>
      </c>
      <c r="B1237" s="1">
        <v>44718</v>
      </c>
      <c r="C1237">
        <v>1</v>
      </c>
      <c r="D1237">
        <v>84.36</v>
      </c>
      <c r="E1237">
        <v>102</v>
      </c>
    </row>
    <row r="1238" spans="1:5" x14ac:dyDescent="0.3">
      <c r="A1238" t="s">
        <v>26</v>
      </c>
      <c r="B1238" s="1">
        <v>44718</v>
      </c>
      <c r="C1238">
        <v>0.1</v>
      </c>
      <c r="D1238">
        <v>986.58</v>
      </c>
      <c r="E1238">
        <v>1352</v>
      </c>
    </row>
    <row r="1239" spans="1:5" x14ac:dyDescent="0.3">
      <c r="A1239" t="s">
        <v>119</v>
      </c>
      <c r="B1239" s="1">
        <v>44718</v>
      </c>
      <c r="C1239">
        <v>0.35714299999999999</v>
      </c>
      <c r="D1239">
        <v>656.19</v>
      </c>
      <c r="E1239">
        <v>722</v>
      </c>
    </row>
    <row r="1240" spans="1:5" x14ac:dyDescent="0.3">
      <c r="A1240" t="s">
        <v>106</v>
      </c>
      <c r="B1240" s="1">
        <v>44718</v>
      </c>
      <c r="C1240">
        <v>1</v>
      </c>
      <c r="D1240">
        <v>40.659999999999997</v>
      </c>
      <c r="E1240">
        <v>50</v>
      </c>
    </row>
    <row r="1241" spans="1:5" x14ac:dyDescent="0.3">
      <c r="A1241" t="s">
        <v>91</v>
      </c>
      <c r="B1241" s="1">
        <v>44718</v>
      </c>
      <c r="C1241">
        <v>1</v>
      </c>
      <c r="D1241">
        <v>34.65</v>
      </c>
      <c r="E1241">
        <v>57</v>
      </c>
    </row>
    <row r="1242" spans="1:5" x14ac:dyDescent="0.3">
      <c r="A1242" t="s">
        <v>106</v>
      </c>
      <c r="B1242" s="1">
        <v>44718</v>
      </c>
      <c r="C1242">
        <v>1</v>
      </c>
      <c r="D1242">
        <v>40.659999999999997</v>
      </c>
      <c r="E1242">
        <v>50</v>
      </c>
    </row>
    <row r="1243" spans="1:5" x14ac:dyDescent="0.3">
      <c r="A1243" t="s">
        <v>129</v>
      </c>
      <c r="B1243" s="1">
        <v>44718</v>
      </c>
      <c r="C1243">
        <v>0.04</v>
      </c>
      <c r="D1243">
        <v>490.78</v>
      </c>
      <c r="E1243">
        <v>591</v>
      </c>
    </row>
    <row r="1244" spans="1:5" x14ac:dyDescent="0.3">
      <c r="A1244" t="s">
        <v>122</v>
      </c>
      <c r="B1244" s="1">
        <v>44718</v>
      </c>
      <c r="C1244">
        <v>1</v>
      </c>
      <c r="D1244">
        <v>20.91</v>
      </c>
      <c r="E1244">
        <v>26</v>
      </c>
    </row>
    <row r="1245" spans="1:5" x14ac:dyDescent="0.3">
      <c r="A1245" t="s">
        <v>96</v>
      </c>
      <c r="B1245" s="1">
        <v>44718</v>
      </c>
      <c r="C1245">
        <v>1</v>
      </c>
      <c r="D1245">
        <v>70.930000000000007</v>
      </c>
      <c r="E1245">
        <v>101</v>
      </c>
    </row>
    <row r="1246" spans="1:5" x14ac:dyDescent="0.3">
      <c r="A1246" t="s">
        <v>56</v>
      </c>
      <c r="B1246" s="1">
        <v>44718</v>
      </c>
      <c r="C1246">
        <v>1</v>
      </c>
      <c r="D1246">
        <v>44.9</v>
      </c>
      <c r="E1246">
        <v>69</v>
      </c>
    </row>
    <row r="1247" spans="1:5" x14ac:dyDescent="0.3">
      <c r="A1247" t="s">
        <v>73</v>
      </c>
      <c r="B1247" s="1">
        <v>44718</v>
      </c>
      <c r="C1247">
        <v>2</v>
      </c>
      <c r="D1247">
        <v>7.82</v>
      </c>
      <c r="E1247">
        <v>13</v>
      </c>
    </row>
    <row r="1248" spans="1:5" x14ac:dyDescent="0.3">
      <c r="A1248" t="s">
        <v>39</v>
      </c>
      <c r="B1248" s="1">
        <v>44718</v>
      </c>
      <c r="C1248">
        <v>10</v>
      </c>
      <c r="D1248">
        <v>11.28</v>
      </c>
      <c r="E1248">
        <v>19</v>
      </c>
    </row>
    <row r="1249" spans="1:5" x14ac:dyDescent="0.3">
      <c r="A1249" t="s">
        <v>59</v>
      </c>
      <c r="B1249" s="1">
        <v>44718</v>
      </c>
      <c r="C1249">
        <v>1</v>
      </c>
      <c r="D1249">
        <v>14.76</v>
      </c>
      <c r="E1249">
        <v>24</v>
      </c>
    </row>
    <row r="1250" spans="1:5" x14ac:dyDescent="0.3">
      <c r="A1250" t="s">
        <v>121</v>
      </c>
      <c r="B1250" s="1">
        <v>44718</v>
      </c>
      <c r="C1250">
        <v>1</v>
      </c>
      <c r="D1250">
        <v>9.86</v>
      </c>
      <c r="E1250">
        <v>16</v>
      </c>
    </row>
    <row r="1251" spans="1:5" x14ac:dyDescent="0.3">
      <c r="A1251" t="s">
        <v>35</v>
      </c>
      <c r="B1251" s="1">
        <v>44718</v>
      </c>
      <c r="C1251">
        <v>1</v>
      </c>
      <c r="D1251">
        <v>32.71</v>
      </c>
      <c r="E1251">
        <v>50</v>
      </c>
    </row>
    <row r="1252" spans="1:5" x14ac:dyDescent="0.3">
      <c r="A1252" t="s">
        <v>55</v>
      </c>
      <c r="B1252" s="1">
        <v>44718</v>
      </c>
      <c r="C1252">
        <v>1</v>
      </c>
      <c r="D1252">
        <v>78.510000000000005</v>
      </c>
      <c r="E1252">
        <v>96</v>
      </c>
    </row>
    <row r="1253" spans="1:5" x14ac:dyDescent="0.3">
      <c r="A1253" t="s">
        <v>55</v>
      </c>
      <c r="B1253" s="1">
        <v>44718</v>
      </c>
      <c r="C1253">
        <v>1</v>
      </c>
      <c r="D1253">
        <v>78.510000000000005</v>
      </c>
      <c r="E1253">
        <v>96</v>
      </c>
    </row>
    <row r="1254" spans="1:5" x14ac:dyDescent="0.3">
      <c r="A1254" t="s">
        <v>55</v>
      </c>
      <c r="B1254" s="1">
        <v>44718</v>
      </c>
      <c r="C1254">
        <v>1</v>
      </c>
      <c r="D1254">
        <v>77.510000000000005</v>
      </c>
      <c r="E1254">
        <v>95</v>
      </c>
    </row>
    <row r="1255" spans="1:5" x14ac:dyDescent="0.3">
      <c r="A1255" t="s">
        <v>151</v>
      </c>
      <c r="B1255" s="1">
        <v>44718</v>
      </c>
      <c r="C1255">
        <v>1</v>
      </c>
      <c r="D1255">
        <v>23.23</v>
      </c>
      <c r="E1255">
        <v>29</v>
      </c>
    </row>
    <row r="1256" spans="1:5" x14ac:dyDescent="0.3">
      <c r="A1256" t="s">
        <v>151</v>
      </c>
      <c r="B1256" s="1">
        <v>44718</v>
      </c>
      <c r="C1256">
        <v>1</v>
      </c>
      <c r="D1256">
        <v>23.23</v>
      </c>
      <c r="E1256">
        <v>29</v>
      </c>
    </row>
    <row r="1257" spans="1:5" x14ac:dyDescent="0.3">
      <c r="A1257" t="s">
        <v>96</v>
      </c>
      <c r="B1257" s="1">
        <v>44718</v>
      </c>
      <c r="C1257">
        <v>1</v>
      </c>
      <c r="D1257">
        <v>71.650000000000006</v>
      </c>
      <c r="E1257">
        <v>102</v>
      </c>
    </row>
    <row r="1258" spans="1:5" x14ac:dyDescent="0.3">
      <c r="A1258" t="s">
        <v>100</v>
      </c>
      <c r="B1258" s="1">
        <v>44718</v>
      </c>
      <c r="C1258">
        <v>1</v>
      </c>
      <c r="D1258">
        <v>37.42</v>
      </c>
      <c r="E1258">
        <v>57</v>
      </c>
    </row>
    <row r="1259" spans="1:5" x14ac:dyDescent="0.3">
      <c r="A1259" t="s">
        <v>75</v>
      </c>
      <c r="B1259" s="1">
        <v>44718</v>
      </c>
      <c r="C1259">
        <v>0.08</v>
      </c>
      <c r="D1259">
        <v>466.47</v>
      </c>
      <c r="E1259">
        <v>710</v>
      </c>
    </row>
    <row r="1260" spans="1:5" x14ac:dyDescent="0.3">
      <c r="A1260" t="s">
        <v>63</v>
      </c>
      <c r="B1260" s="1">
        <v>44718</v>
      </c>
      <c r="C1260">
        <v>1</v>
      </c>
      <c r="D1260">
        <v>73.3</v>
      </c>
      <c r="E1260">
        <v>88</v>
      </c>
    </row>
    <row r="1261" spans="1:5" x14ac:dyDescent="0.3">
      <c r="A1261" t="s">
        <v>63</v>
      </c>
      <c r="B1261" s="1">
        <v>44718</v>
      </c>
      <c r="C1261">
        <v>1</v>
      </c>
      <c r="D1261">
        <v>73.3</v>
      </c>
      <c r="E1261">
        <v>88</v>
      </c>
    </row>
    <row r="1262" spans="1:5" x14ac:dyDescent="0.3">
      <c r="A1262" t="s">
        <v>18</v>
      </c>
      <c r="B1262" s="1">
        <v>44718</v>
      </c>
      <c r="C1262">
        <v>1</v>
      </c>
      <c r="D1262">
        <v>46</v>
      </c>
      <c r="E1262">
        <v>70</v>
      </c>
    </row>
    <row r="1263" spans="1:5" x14ac:dyDescent="0.3">
      <c r="A1263" t="s">
        <v>44</v>
      </c>
      <c r="B1263" s="1">
        <v>44718</v>
      </c>
      <c r="C1263">
        <v>1</v>
      </c>
      <c r="D1263">
        <v>65.010000000000005</v>
      </c>
      <c r="E1263">
        <v>101</v>
      </c>
    </row>
    <row r="1264" spans="1:5" x14ac:dyDescent="0.3">
      <c r="A1264" t="s">
        <v>5</v>
      </c>
      <c r="B1264" s="1">
        <v>44718</v>
      </c>
      <c r="C1264">
        <v>1</v>
      </c>
      <c r="D1264">
        <v>132.94</v>
      </c>
      <c r="E1264">
        <v>160</v>
      </c>
    </row>
    <row r="1265" spans="1:5" x14ac:dyDescent="0.3">
      <c r="A1265" t="s">
        <v>5</v>
      </c>
      <c r="B1265" s="1">
        <v>44718</v>
      </c>
      <c r="C1265">
        <v>1</v>
      </c>
      <c r="D1265">
        <v>131.16</v>
      </c>
      <c r="E1265">
        <v>158</v>
      </c>
    </row>
    <row r="1266" spans="1:5" x14ac:dyDescent="0.3">
      <c r="A1266" t="s">
        <v>24</v>
      </c>
      <c r="B1266" s="1">
        <v>44718</v>
      </c>
      <c r="C1266">
        <v>1</v>
      </c>
      <c r="D1266">
        <v>101.95</v>
      </c>
      <c r="E1266">
        <v>122</v>
      </c>
    </row>
    <row r="1267" spans="1:5" x14ac:dyDescent="0.3">
      <c r="A1267" t="s">
        <v>24</v>
      </c>
      <c r="B1267" s="1">
        <v>44718</v>
      </c>
      <c r="C1267">
        <v>1</v>
      </c>
      <c r="D1267">
        <v>101.95</v>
      </c>
      <c r="E1267">
        <v>122</v>
      </c>
    </row>
    <row r="1268" spans="1:5" x14ac:dyDescent="0.3">
      <c r="A1268" t="s">
        <v>102</v>
      </c>
      <c r="B1268" s="1">
        <v>44718</v>
      </c>
      <c r="C1268">
        <v>1</v>
      </c>
      <c r="D1268">
        <v>25.44</v>
      </c>
      <c r="E1268">
        <v>32</v>
      </c>
    </row>
    <row r="1269" spans="1:5" x14ac:dyDescent="0.3">
      <c r="A1269" t="s">
        <v>74</v>
      </c>
      <c r="B1269" s="1">
        <v>44718</v>
      </c>
      <c r="C1269">
        <v>1</v>
      </c>
      <c r="D1269">
        <v>89.43</v>
      </c>
      <c r="E1269">
        <v>111</v>
      </c>
    </row>
    <row r="1270" spans="1:5" x14ac:dyDescent="0.3">
      <c r="A1270" t="s">
        <v>55</v>
      </c>
      <c r="B1270" s="1">
        <v>44718</v>
      </c>
      <c r="C1270">
        <v>1</v>
      </c>
      <c r="D1270">
        <v>77.63</v>
      </c>
      <c r="E1270">
        <v>95</v>
      </c>
    </row>
    <row r="1271" spans="1:5" x14ac:dyDescent="0.3">
      <c r="A1271" t="s">
        <v>31</v>
      </c>
      <c r="B1271" s="1">
        <v>44718</v>
      </c>
      <c r="C1271">
        <v>1</v>
      </c>
      <c r="D1271">
        <v>14.4</v>
      </c>
      <c r="E1271">
        <v>19</v>
      </c>
    </row>
    <row r="1272" spans="1:5" x14ac:dyDescent="0.3">
      <c r="A1272" t="s">
        <v>19</v>
      </c>
      <c r="B1272" s="1">
        <v>44718</v>
      </c>
      <c r="C1272">
        <v>1</v>
      </c>
      <c r="D1272">
        <v>81.290000000000006</v>
      </c>
      <c r="E1272">
        <v>103</v>
      </c>
    </row>
    <row r="1273" spans="1:5" x14ac:dyDescent="0.3">
      <c r="A1273" t="s">
        <v>34</v>
      </c>
      <c r="B1273" s="1">
        <v>44718</v>
      </c>
      <c r="C1273">
        <v>1</v>
      </c>
      <c r="D1273">
        <v>200.36</v>
      </c>
      <c r="E1273">
        <v>231</v>
      </c>
    </row>
    <row r="1274" spans="1:5" x14ac:dyDescent="0.3">
      <c r="A1274" t="s">
        <v>129</v>
      </c>
      <c r="B1274" s="1">
        <v>44718</v>
      </c>
      <c r="C1274">
        <v>0.4</v>
      </c>
      <c r="D1274">
        <v>495.07</v>
      </c>
      <c r="E1274">
        <v>596</v>
      </c>
    </row>
    <row r="1275" spans="1:5" x14ac:dyDescent="0.3">
      <c r="A1275" t="s">
        <v>123</v>
      </c>
      <c r="B1275" s="1">
        <v>44718</v>
      </c>
      <c r="C1275">
        <v>1</v>
      </c>
      <c r="D1275">
        <v>62.7</v>
      </c>
      <c r="E1275">
        <v>80</v>
      </c>
    </row>
    <row r="1276" spans="1:5" x14ac:dyDescent="0.3">
      <c r="A1276" t="s">
        <v>123</v>
      </c>
      <c r="B1276" s="1">
        <v>44718</v>
      </c>
      <c r="C1276">
        <v>1</v>
      </c>
      <c r="D1276">
        <v>62.7</v>
      </c>
      <c r="E1276">
        <v>80</v>
      </c>
    </row>
    <row r="1277" spans="1:5" x14ac:dyDescent="0.3">
      <c r="A1277" t="s">
        <v>51</v>
      </c>
      <c r="B1277" s="1">
        <v>44718</v>
      </c>
      <c r="C1277">
        <v>8</v>
      </c>
      <c r="D1277">
        <v>2.1800000000000002</v>
      </c>
      <c r="E1277">
        <v>4</v>
      </c>
    </row>
    <row r="1278" spans="1:5" x14ac:dyDescent="0.3">
      <c r="A1278" t="s">
        <v>35</v>
      </c>
      <c r="B1278" s="1">
        <v>44718</v>
      </c>
      <c r="C1278">
        <v>1</v>
      </c>
      <c r="D1278">
        <v>32.71</v>
      </c>
      <c r="E1278">
        <v>50</v>
      </c>
    </row>
    <row r="1279" spans="1:5" x14ac:dyDescent="0.3">
      <c r="A1279" t="s">
        <v>142</v>
      </c>
      <c r="B1279" s="1">
        <v>44718</v>
      </c>
      <c r="C1279">
        <v>1</v>
      </c>
      <c r="D1279">
        <v>12.86</v>
      </c>
      <c r="E1279">
        <v>15</v>
      </c>
    </row>
    <row r="1280" spans="1:5" x14ac:dyDescent="0.3">
      <c r="A1280" t="s">
        <v>142</v>
      </c>
      <c r="B1280" s="1">
        <v>44718</v>
      </c>
      <c r="C1280">
        <v>1</v>
      </c>
      <c r="D1280">
        <v>12.86</v>
      </c>
      <c r="E1280">
        <v>15</v>
      </c>
    </row>
    <row r="1281" spans="1:5" x14ac:dyDescent="0.3">
      <c r="A1281" t="s">
        <v>142</v>
      </c>
      <c r="B1281" s="1">
        <v>44718</v>
      </c>
      <c r="C1281">
        <v>1</v>
      </c>
      <c r="D1281">
        <v>12.86</v>
      </c>
      <c r="E1281">
        <v>15</v>
      </c>
    </row>
    <row r="1282" spans="1:5" x14ac:dyDescent="0.3">
      <c r="A1282" t="s">
        <v>21</v>
      </c>
      <c r="B1282" s="1">
        <v>44718</v>
      </c>
      <c r="C1282">
        <v>1</v>
      </c>
      <c r="D1282">
        <v>190.59</v>
      </c>
      <c r="E1282">
        <v>262</v>
      </c>
    </row>
    <row r="1283" spans="1:5" x14ac:dyDescent="0.3">
      <c r="A1283" t="s">
        <v>84</v>
      </c>
      <c r="B1283" s="1">
        <v>44718</v>
      </c>
      <c r="C1283">
        <v>1</v>
      </c>
      <c r="D1283">
        <v>153.22999999999999</v>
      </c>
      <c r="E1283">
        <v>177</v>
      </c>
    </row>
    <row r="1284" spans="1:5" x14ac:dyDescent="0.3">
      <c r="A1284" t="s">
        <v>84</v>
      </c>
      <c r="B1284" s="1">
        <v>44718</v>
      </c>
      <c r="C1284">
        <v>1</v>
      </c>
      <c r="D1284">
        <v>153.22999999999999</v>
      </c>
      <c r="E1284">
        <v>177</v>
      </c>
    </row>
    <row r="1285" spans="1:5" x14ac:dyDescent="0.3">
      <c r="A1285" t="s">
        <v>83</v>
      </c>
      <c r="B1285" s="1">
        <v>44718</v>
      </c>
      <c r="C1285">
        <v>1</v>
      </c>
      <c r="D1285">
        <v>201.63</v>
      </c>
      <c r="E1285">
        <v>239</v>
      </c>
    </row>
    <row r="1286" spans="1:5" x14ac:dyDescent="0.3">
      <c r="A1286" t="s">
        <v>124</v>
      </c>
      <c r="B1286" s="1">
        <v>44718</v>
      </c>
      <c r="C1286">
        <v>1</v>
      </c>
      <c r="D1286">
        <v>48.86</v>
      </c>
      <c r="E1286">
        <v>79</v>
      </c>
    </row>
    <row r="1287" spans="1:5" x14ac:dyDescent="0.3">
      <c r="A1287" t="s">
        <v>134</v>
      </c>
      <c r="B1287" s="1">
        <v>44718</v>
      </c>
      <c r="C1287">
        <v>2</v>
      </c>
      <c r="D1287">
        <v>26.87</v>
      </c>
      <c r="E1287">
        <v>41</v>
      </c>
    </row>
    <row r="1288" spans="1:5" x14ac:dyDescent="0.3">
      <c r="A1288" t="s">
        <v>71</v>
      </c>
      <c r="B1288" s="1">
        <v>44718</v>
      </c>
      <c r="C1288">
        <v>1</v>
      </c>
      <c r="D1288">
        <v>54.07</v>
      </c>
      <c r="E1288">
        <v>77</v>
      </c>
    </row>
    <row r="1289" spans="1:5" x14ac:dyDescent="0.3">
      <c r="A1289" t="s">
        <v>71</v>
      </c>
      <c r="B1289" s="1">
        <v>44718</v>
      </c>
      <c r="C1289">
        <v>1</v>
      </c>
      <c r="D1289">
        <v>54.07</v>
      </c>
      <c r="E1289">
        <v>77</v>
      </c>
    </row>
    <row r="1290" spans="1:5" x14ac:dyDescent="0.3">
      <c r="A1290" t="s">
        <v>71</v>
      </c>
      <c r="B1290" s="1">
        <v>44718</v>
      </c>
      <c r="C1290">
        <v>1</v>
      </c>
      <c r="D1290">
        <v>54.07</v>
      </c>
      <c r="E1290">
        <v>77</v>
      </c>
    </row>
    <row r="1291" spans="1:5" x14ac:dyDescent="0.3">
      <c r="A1291" t="s">
        <v>71</v>
      </c>
      <c r="B1291" s="1">
        <v>44718</v>
      </c>
      <c r="C1291">
        <v>1</v>
      </c>
      <c r="D1291">
        <v>54.07</v>
      </c>
      <c r="E1291">
        <v>77</v>
      </c>
    </row>
    <row r="1292" spans="1:5" x14ac:dyDescent="0.3">
      <c r="A1292" t="s">
        <v>77</v>
      </c>
      <c r="B1292" s="1">
        <v>44718</v>
      </c>
      <c r="C1292">
        <v>1</v>
      </c>
      <c r="D1292">
        <v>61.89</v>
      </c>
      <c r="E1292">
        <v>77</v>
      </c>
    </row>
    <row r="1293" spans="1:5" x14ac:dyDescent="0.3">
      <c r="A1293" t="s">
        <v>65</v>
      </c>
      <c r="B1293" s="1">
        <v>44718</v>
      </c>
      <c r="C1293">
        <v>1</v>
      </c>
      <c r="D1293">
        <v>186.78</v>
      </c>
      <c r="E1293">
        <v>219</v>
      </c>
    </row>
    <row r="1294" spans="1:5" x14ac:dyDescent="0.3">
      <c r="A1294" t="s">
        <v>57</v>
      </c>
      <c r="B1294" s="1">
        <v>44718</v>
      </c>
      <c r="C1294">
        <v>1</v>
      </c>
      <c r="D1294">
        <v>233.74</v>
      </c>
      <c r="E1294">
        <v>262</v>
      </c>
    </row>
    <row r="1295" spans="1:5" x14ac:dyDescent="0.3">
      <c r="A1295" t="s">
        <v>74</v>
      </c>
      <c r="B1295" s="1">
        <v>44718</v>
      </c>
      <c r="C1295">
        <v>1</v>
      </c>
      <c r="D1295">
        <v>87.69</v>
      </c>
      <c r="E1295">
        <v>109</v>
      </c>
    </row>
    <row r="1296" spans="1:5" x14ac:dyDescent="0.3">
      <c r="A1296" t="s">
        <v>100</v>
      </c>
      <c r="B1296" s="1">
        <v>44718</v>
      </c>
      <c r="C1296">
        <v>1</v>
      </c>
      <c r="D1296">
        <v>38.07</v>
      </c>
      <c r="E1296">
        <v>59</v>
      </c>
    </row>
    <row r="1297" spans="1:5" x14ac:dyDescent="0.3">
      <c r="A1297" t="s">
        <v>48</v>
      </c>
      <c r="B1297" s="1">
        <v>44718</v>
      </c>
      <c r="C1297">
        <v>1</v>
      </c>
      <c r="D1297">
        <v>39.06</v>
      </c>
      <c r="E1297">
        <v>61</v>
      </c>
    </row>
    <row r="1298" spans="1:5" x14ac:dyDescent="0.3">
      <c r="A1298" t="s">
        <v>48</v>
      </c>
      <c r="B1298" s="1">
        <v>44718</v>
      </c>
      <c r="C1298">
        <v>1</v>
      </c>
      <c r="D1298">
        <v>39.06</v>
      </c>
      <c r="E1298">
        <v>61</v>
      </c>
    </row>
    <row r="1299" spans="1:5" x14ac:dyDescent="0.3">
      <c r="A1299" t="s">
        <v>134</v>
      </c>
      <c r="B1299" s="1">
        <v>44718</v>
      </c>
      <c r="C1299">
        <v>1</v>
      </c>
      <c r="D1299">
        <v>26.91</v>
      </c>
      <c r="E1299">
        <v>43</v>
      </c>
    </row>
    <row r="1300" spans="1:5" x14ac:dyDescent="0.3">
      <c r="A1300" t="s">
        <v>105</v>
      </c>
      <c r="B1300" s="1">
        <v>44718</v>
      </c>
      <c r="C1300">
        <v>1</v>
      </c>
      <c r="D1300">
        <v>28.45</v>
      </c>
      <c r="E1300">
        <v>47</v>
      </c>
    </row>
    <row r="1301" spans="1:5" x14ac:dyDescent="0.3">
      <c r="A1301" t="s">
        <v>122</v>
      </c>
      <c r="B1301" s="1">
        <v>44718</v>
      </c>
      <c r="C1301">
        <v>1</v>
      </c>
      <c r="D1301">
        <v>21.07</v>
      </c>
      <c r="E1301">
        <v>26</v>
      </c>
    </row>
    <row r="1302" spans="1:5" x14ac:dyDescent="0.3">
      <c r="A1302" t="s">
        <v>147</v>
      </c>
      <c r="B1302" s="1">
        <v>44718</v>
      </c>
      <c r="C1302">
        <v>1</v>
      </c>
      <c r="D1302">
        <v>137.55000000000001</v>
      </c>
      <c r="E1302">
        <v>189</v>
      </c>
    </row>
    <row r="1303" spans="1:5" x14ac:dyDescent="0.3">
      <c r="A1303" t="s">
        <v>12</v>
      </c>
      <c r="B1303" s="1">
        <v>44718</v>
      </c>
      <c r="C1303">
        <v>1</v>
      </c>
      <c r="D1303">
        <v>56.39</v>
      </c>
      <c r="E1303">
        <v>70</v>
      </c>
    </row>
    <row r="1304" spans="1:5" x14ac:dyDescent="0.3">
      <c r="A1304" t="s">
        <v>25</v>
      </c>
      <c r="B1304" s="1">
        <v>44718</v>
      </c>
      <c r="C1304">
        <v>1</v>
      </c>
      <c r="D1304">
        <v>147.18</v>
      </c>
      <c r="E1304">
        <v>177</v>
      </c>
    </row>
    <row r="1305" spans="1:5" x14ac:dyDescent="0.3">
      <c r="A1305" t="s">
        <v>83</v>
      </c>
      <c r="B1305" s="1">
        <v>44718</v>
      </c>
      <c r="C1305">
        <v>1</v>
      </c>
      <c r="D1305">
        <v>207.68</v>
      </c>
      <c r="E1305">
        <v>246</v>
      </c>
    </row>
    <row r="1306" spans="1:5" x14ac:dyDescent="0.3">
      <c r="A1306" t="s">
        <v>56</v>
      </c>
      <c r="B1306" s="1">
        <v>44718</v>
      </c>
      <c r="C1306">
        <v>1</v>
      </c>
      <c r="D1306">
        <v>45.88</v>
      </c>
      <c r="E1306">
        <v>72</v>
      </c>
    </row>
    <row r="1307" spans="1:5" x14ac:dyDescent="0.3">
      <c r="A1307" t="s">
        <v>75</v>
      </c>
      <c r="B1307" s="1">
        <v>44718</v>
      </c>
      <c r="C1307">
        <v>0.1</v>
      </c>
      <c r="D1307">
        <v>465.14</v>
      </c>
      <c r="E1307">
        <v>684</v>
      </c>
    </row>
    <row r="1308" spans="1:5" x14ac:dyDescent="0.3">
      <c r="A1308" t="s">
        <v>155</v>
      </c>
      <c r="B1308" s="1">
        <v>44718</v>
      </c>
      <c r="C1308">
        <v>0.2</v>
      </c>
      <c r="D1308">
        <v>529.47</v>
      </c>
      <c r="E1308">
        <v>752</v>
      </c>
    </row>
    <row r="1309" spans="1:5" x14ac:dyDescent="0.3">
      <c r="A1309" t="s">
        <v>118</v>
      </c>
      <c r="B1309" s="1">
        <v>44718</v>
      </c>
      <c r="C1309">
        <v>1</v>
      </c>
      <c r="D1309">
        <v>10.63</v>
      </c>
      <c r="E1309">
        <v>13</v>
      </c>
    </row>
    <row r="1310" spans="1:5" x14ac:dyDescent="0.3">
      <c r="A1310" t="s">
        <v>66</v>
      </c>
      <c r="B1310" s="1">
        <v>44718</v>
      </c>
      <c r="C1310">
        <v>1</v>
      </c>
      <c r="D1310">
        <v>30.56</v>
      </c>
      <c r="E1310">
        <v>36</v>
      </c>
    </row>
    <row r="1311" spans="1:5" x14ac:dyDescent="0.3">
      <c r="A1311" t="s">
        <v>66</v>
      </c>
      <c r="B1311" s="1">
        <v>44718</v>
      </c>
      <c r="C1311">
        <v>1</v>
      </c>
      <c r="D1311">
        <v>30.56</v>
      </c>
      <c r="E1311">
        <v>36</v>
      </c>
    </row>
    <row r="1312" spans="1:5" x14ac:dyDescent="0.3">
      <c r="A1312" t="s">
        <v>40</v>
      </c>
      <c r="B1312" s="1">
        <v>44718</v>
      </c>
      <c r="C1312">
        <v>1</v>
      </c>
      <c r="D1312">
        <v>176.24</v>
      </c>
      <c r="E1312">
        <v>211</v>
      </c>
    </row>
    <row r="1313" spans="1:5" x14ac:dyDescent="0.3">
      <c r="A1313" t="s">
        <v>19</v>
      </c>
      <c r="B1313" s="1">
        <v>44718</v>
      </c>
      <c r="C1313">
        <v>1</v>
      </c>
      <c r="D1313">
        <v>81.290000000000006</v>
      </c>
      <c r="E1313">
        <v>103</v>
      </c>
    </row>
    <row r="1314" spans="1:5" x14ac:dyDescent="0.3">
      <c r="A1314" t="s">
        <v>147</v>
      </c>
      <c r="B1314" s="1">
        <v>44718</v>
      </c>
      <c r="C1314">
        <v>1</v>
      </c>
      <c r="D1314">
        <v>136.94999999999999</v>
      </c>
      <c r="E1314">
        <v>194</v>
      </c>
    </row>
    <row r="1315" spans="1:5" x14ac:dyDescent="0.3">
      <c r="A1315" t="s">
        <v>20</v>
      </c>
      <c r="B1315" s="1">
        <v>44718</v>
      </c>
      <c r="C1315">
        <v>1</v>
      </c>
      <c r="D1315">
        <v>20.77</v>
      </c>
      <c r="E1315">
        <v>26</v>
      </c>
    </row>
    <row r="1316" spans="1:5" x14ac:dyDescent="0.3">
      <c r="A1316" t="s">
        <v>5</v>
      </c>
      <c r="B1316" s="1">
        <v>44718</v>
      </c>
      <c r="C1316">
        <v>1</v>
      </c>
      <c r="D1316">
        <v>131.16</v>
      </c>
      <c r="E1316">
        <v>158</v>
      </c>
    </row>
    <row r="1317" spans="1:5" x14ac:dyDescent="0.3">
      <c r="A1317" t="s">
        <v>129</v>
      </c>
      <c r="B1317" s="1">
        <v>44718</v>
      </c>
      <c r="C1317">
        <v>0.08</v>
      </c>
      <c r="D1317">
        <v>495.19</v>
      </c>
      <c r="E1317">
        <v>596</v>
      </c>
    </row>
    <row r="1318" spans="1:5" x14ac:dyDescent="0.3">
      <c r="A1318" t="s">
        <v>132</v>
      </c>
      <c r="B1318" s="1">
        <v>44718</v>
      </c>
      <c r="C1318">
        <v>1</v>
      </c>
      <c r="D1318">
        <v>58.53</v>
      </c>
      <c r="E1318">
        <v>84</v>
      </c>
    </row>
    <row r="1319" spans="1:5" x14ac:dyDescent="0.3">
      <c r="A1319" t="s">
        <v>73</v>
      </c>
      <c r="B1319" s="1">
        <v>44718</v>
      </c>
      <c r="C1319">
        <v>1</v>
      </c>
      <c r="D1319">
        <v>8.06</v>
      </c>
      <c r="E1319">
        <v>14</v>
      </c>
    </row>
    <row r="1320" spans="1:5" x14ac:dyDescent="0.3">
      <c r="A1320" t="s">
        <v>23</v>
      </c>
      <c r="B1320" s="1">
        <v>44718</v>
      </c>
      <c r="C1320">
        <v>1</v>
      </c>
      <c r="D1320">
        <v>109.41</v>
      </c>
      <c r="E1320">
        <v>123</v>
      </c>
    </row>
    <row r="1321" spans="1:5" x14ac:dyDescent="0.3">
      <c r="A1321" t="s">
        <v>31</v>
      </c>
      <c r="B1321" s="1">
        <v>44718</v>
      </c>
      <c r="C1321">
        <v>1</v>
      </c>
      <c r="D1321">
        <v>13.36</v>
      </c>
      <c r="E1321">
        <v>18</v>
      </c>
    </row>
    <row r="1322" spans="1:5" x14ac:dyDescent="0.3">
      <c r="A1322" t="s">
        <v>31</v>
      </c>
      <c r="B1322" s="1">
        <v>44718</v>
      </c>
      <c r="C1322">
        <v>1</v>
      </c>
      <c r="D1322">
        <v>13.36</v>
      </c>
      <c r="E1322">
        <v>18</v>
      </c>
    </row>
    <row r="1323" spans="1:5" x14ac:dyDescent="0.3">
      <c r="A1323" t="s">
        <v>31</v>
      </c>
      <c r="B1323" s="1">
        <v>44718</v>
      </c>
      <c r="C1323">
        <v>1</v>
      </c>
      <c r="D1323">
        <v>13.36</v>
      </c>
      <c r="E1323">
        <v>18</v>
      </c>
    </row>
    <row r="1324" spans="1:5" x14ac:dyDescent="0.3">
      <c r="A1324" t="s">
        <v>31</v>
      </c>
      <c r="B1324" s="1">
        <v>44718</v>
      </c>
      <c r="C1324">
        <v>1</v>
      </c>
      <c r="D1324">
        <v>13.36</v>
      </c>
      <c r="E1324">
        <v>18</v>
      </c>
    </row>
    <row r="1325" spans="1:5" x14ac:dyDescent="0.3">
      <c r="A1325" t="s">
        <v>31</v>
      </c>
      <c r="B1325" s="1">
        <v>44718</v>
      </c>
      <c r="C1325">
        <v>1</v>
      </c>
      <c r="D1325">
        <v>13.36</v>
      </c>
      <c r="E1325">
        <v>18</v>
      </c>
    </row>
    <row r="1326" spans="1:5" x14ac:dyDescent="0.3">
      <c r="A1326" t="s">
        <v>65</v>
      </c>
      <c r="B1326" s="1">
        <v>44718</v>
      </c>
      <c r="C1326">
        <v>1</v>
      </c>
      <c r="D1326">
        <v>187.36</v>
      </c>
      <c r="E1326">
        <v>220</v>
      </c>
    </row>
    <row r="1327" spans="1:5" x14ac:dyDescent="0.3">
      <c r="A1327" t="s">
        <v>155</v>
      </c>
      <c r="B1327" s="1">
        <v>44718</v>
      </c>
      <c r="C1327">
        <v>0.04</v>
      </c>
      <c r="D1327">
        <v>498.53</v>
      </c>
      <c r="E1327">
        <v>698</v>
      </c>
    </row>
    <row r="1328" spans="1:5" x14ac:dyDescent="0.3">
      <c r="A1328" t="s">
        <v>36</v>
      </c>
      <c r="B1328" s="1">
        <v>44718</v>
      </c>
      <c r="C1328">
        <v>1</v>
      </c>
      <c r="D1328">
        <v>23.73</v>
      </c>
      <c r="E1328">
        <v>31</v>
      </c>
    </row>
    <row r="1329" spans="1:5" x14ac:dyDescent="0.3">
      <c r="A1329" t="s">
        <v>106</v>
      </c>
      <c r="B1329" s="1">
        <v>44718</v>
      </c>
      <c r="C1329">
        <v>1</v>
      </c>
      <c r="D1329">
        <v>42.16</v>
      </c>
      <c r="E1329">
        <v>52</v>
      </c>
    </row>
    <row r="1330" spans="1:5" x14ac:dyDescent="0.3">
      <c r="A1330" t="s">
        <v>14</v>
      </c>
      <c r="B1330" s="1">
        <v>44718</v>
      </c>
      <c r="C1330">
        <v>0.1</v>
      </c>
      <c r="D1330">
        <v>455.4</v>
      </c>
      <c r="E1330">
        <v>602</v>
      </c>
    </row>
    <row r="1331" spans="1:5" x14ac:dyDescent="0.3">
      <c r="A1331" t="s">
        <v>41</v>
      </c>
      <c r="B1331" s="1">
        <v>44718</v>
      </c>
      <c r="C1331">
        <v>3</v>
      </c>
      <c r="D1331">
        <v>11.19</v>
      </c>
      <c r="E1331">
        <v>19</v>
      </c>
    </row>
    <row r="1332" spans="1:5" x14ac:dyDescent="0.3">
      <c r="A1332" t="s">
        <v>41</v>
      </c>
      <c r="B1332" s="1">
        <v>44718</v>
      </c>
      <c r="C1332">
        <v>2</v>
      </c>
      <c r="D1332">
        <v>11.19</v>
      </c>
      <c r="E1332">
        <v>19</v>
      </c>
    </row>
    <row r="1333" spans="1:5" x14ac:dyDescent="0.3">
      <c r="A1333" t="s">
        <v>140</v>
      </c>
      <c r="B1333" s="1">
        <v>44718</v>
      </c>
      <c r="C1333">
        <v>1</v>
      </c>
      <c r="D1333">
        <v>153.56</v>
      </c>
      <c r="E1333">
        <v>186</v>
      </c>
    </row>
    <row r="1334" spans="1:5" x14ac:dyDescent="0.3">
      <c r="A1334" t="s">
        <v>56</v>
      </c>
      <c r="B1334" s="1">
        <v>44718</v>
      </c>
      <c r="C1334">
        <v>1</v>
      </c>
      <c r="D1334">
        <v>44.9</v>
      </c>
      <c r="E1334">
        <v>69</v>
      </c>
    </row>
    <row r="1335" spans="1:5" x14ac:dyDescent="0.3">
      <c r="A1335" t="s">
        <v>19</v>
      </c>
      <c r="B1335" s="1">
        <v>44718</v>
      </c>
      <c r="C1335">
        <v>1</v>
      </c>
      <c r="D1335">
        <v>81.95</v>
      </c>
      <c r="E1335">
        <v>102</v>
      </c>
    </row>
    <row r="1336" spans="1:5" x14ac:dyDescent="0.3">
      <c r="A1336" t="s">
        <v>57</v>
      </c>
      <c r="B1336" s="1">
        <v>44718</v>
      </c>
      <c r="C1336">
        <v>1</v>
      </c>
      <c r="D1336">
        <v>239.58</v>
      </c>
      <c r="E1336">
        <v>281</v>
      </c>
    </row>
    <row r="1337" spans="1:5" x14ac:dyDescent="0.3">
      <c r="A1337" t="s">
        <v>9</v>
      </c>
      <c r="B1337" s="1">
        <v>44718</v>
      </c>
      <c r="C1337">
        <v>1</v>
      </c>
      <c r="D1337">
        <v>80.69</v>
      </c>
      <c r="E1337">
        <v>100</v>
      </c>
    </row>
    <row r="1338" spans="1:5" x14ac:dyDescent="0.3">
      <c r="A1338" t="s">
        <v>9</v>
      </c>
      <c r="B1338" s="1">
        <v>44718</v>
      </c>
      <c r="C1338">
        <v>1</v>
      </c>
      <c r="D1338">
        <v>80.69</v>
      </c>
      <c r="E1338">
        <v>100</v>
      </c>
    </row>
    <row r="1339" spans="1:5" x14ac:dyDescent="0.3">
      <c r="A1339" t="s">
        <v>9</v>
      </c>
      <c r="B1339" s="1">
        <v>44718</v>
      </c>
      <c r="C1339">
        <v>1</v>
      </c>
      <c r="D1339">
        <v>80.69</v>
      </c>
      <c r="E1339">
        <v>100</v>
      </c>
    </row>
    <row r="1340" spans="1:5" x14ac:dyDescent="0.3">
      <c r="A1340" t="s">
        <v>12</v>
      </c>
      <c r="B1340" s="1">
        <v>44718</v>
      </c>
      <c r="C1340">
        <v>1</v>
      </c>
      <c r="D1340">
        <v>56.1</v>
      </c>
      <c r="E1340">
        <v>70</v>
      </c>
    </row>
    <row r="1341" spans="1:5" x14ac:dyDescent="0.3">
      <c r="A1341" t="s">
        <v>75</v>
      </c>
      <c r="B1341" s="1">
        <v>44718</v>
      </c>
      <c r="C1341">
        <v>0.2</v>
      </c>
      <c r="D1341">
        <v>490.56</v>
      </c>
      <c r="E1341">
        <v>687</v>
      </c>
    </row>
    <row r="1342" spans="1:5" x14ac:dyDescent="0.3">
      <c r="A1342" t="s">
        <v>92</v>
      </c>
      <c r="B1342" s="1">
        <v>44718</v>
      </c>
      <c r="C1342">
        <v>2</v>
      </c>
      <c r="D1342">
        <v>5.26</v>
      </c>
      <c r="E1342">
        <v>7</v>
      </c>
    </row>
    <row r="1343" spans="1:5" x14ac:dyDescent="0.3">
      <c r="A1343" t="s">
        <v>66</v>
      </c>
      <c r="B1343" s="1">
        <v>44718</v>
      </c>
      <c r="C1343">
        <v>1</v>
      </c>
      <c r="D1343">
        <v>30.56</v>
      </c>
      <c r="E1343">
        <v>36</v>
      </c>
    </row>
    <row r="1344" spans="1:5" x14ac:dyDescent="0.3">
      <c r="A1344" t="s">
        <v>21</v>
      </c>
      <c r="B1344" s="1">
        <v>44718</v>
      </c>
      <c r="C1344">
        <v>1</v>
      </c>
      <c r="D1344">
        <v>184.75</v>
      </c>
      <c r="E1344">
        <v>254</v>
      </c>
    </row>
    <row r="1345" spans="1:5" x14ac:dyDescent="0.3">
      <c r="A1345" t="s">
        <v>131</v>
      </c>
      <c r="B1345" s="1">
        <v>44718</v>
      </c>
      <c r="C1345">
        <v>1</v>
      </c>
      <c r="D1345">
        <v>356.07</v>
      </c>
      <c r="E1345">
        <v>417</v>
      </c>
    </row>
    <row r="1346" spans="1:5" x14ac:dyDescent="0.3">
      <c r="A1346" t="s">
        <v>61</v>
      </c>
      <c r="B1346" s="1">
        <v>44718</v>
      </c>
      <c r="C1346">
        <v>1</v>
      </c>
      <c r="D1346">
        <v>32.78</v>
      </c>
      <c r="E1346">
        <v>50</v>
      </c>
    </row>
    <row r="1347" spans="1:5" x14ac:dyDescent="0.3">
      <c r="A1347" t="s">
        <v>83</v>
      </c>
      <c r="B1347" s="1">
        <v>44718</v>
      </c>
      <c r="C1347">
        <v>1</v>
      </c>
      <c r="D1347">
        <v>207.68</v>
      </c>
      <c r="E1347">
        <v>241</v>
      </c>
    </row>
    <row r="1348" spans="1:5" x14ac:dyDescent="0.3">
      <c r="A1348" t="s">
        <v>55</v>
      </c>
      <c r="B1348" s="1">
        <v>44718</v>
      </c>
      <c r="C1348">
        <v>1</v>
      </c>
      <c r="D1348">
        <v>77.66</v>
      </c>
      <c r="E1348">
        <v>95</v>
      </c>
    </row>
    <row r="1349" spans="1:5" x14ac:dyDescent="0.3">
      <c r="A1349" t="s">
        <v>55</v>
      </c>
      <c r="B1349" s="1">
        <v>44718</v>
      </c>
      <c r="C1349">
        <v>1</v>
      </c>
      <c r="D1349">
        <v>77.510000000000005</v>
      </c>
      <c r="E1349">
        <v>94</v>
      </c>
    </row>
    <row r="1350" spans="1:5" x14ac:dyDescent="0.3">
      <c r="A1350" t="s">
        <v>55</v>
      </c>
      <c r="B1350" s="1">
        <v>44718</v>
      </c>
      <c r="C1350">
        <v>1</v>
      </c>
      <c r="D1350">
        <v>77.510000000000005</v>
      </c>
      <c r="E1350">
        <v>94</v>
      </c>
    </row>
    <row r="1351" spans="1:5" x14ac:dyDescent="0.3">
      <c r="A1351" t="s">
        <v>92</v>
      </c>
      <c r="B1351" s="1">
        <v>44718</v>
      </c>
      <c r="C1351">
        <v>2</v>
      </c>
      <c r="D1351">
        <v>6.78</v>
      </c>
      <c r="E1351">
        <v>9</v>
      </c>
    </row>
    <row r="1352" spans="1:5" x14ac:dyDescent="0.3">
      <c r="A1352" t="s">
        <v>50</v>
      </c>
      <c r="B1352" s="1">
        <v>44718</v>
      </c>
      <c r="C1352">
        <v>1</v>
      </c>
      <c r="D1352">
        <v>43.92</v>
      </c>
      <c r="E1352">
        <v>55</v>
      </c>
    </row>
    <row r="1353" spans="1:5" x14ac:dyDescent="0.3">
      <c r="A1353" t="s">
        <v>20</v>
      </c>
      <c r="B1353" s="1">
        <v>44718</v>
      </c>
      <c r="C1353">
        <v>1</v>
      </c>
      <c r="D1353">
        <v>19.82</v>
      </c>
      <c r="E1353">
        <v>25</v>
      </c>
    </row>
    <row r="1354" spans="1:5" x14ac:dyDescent="0.3">
      <c r="A1354" t="s">
        <v>20</v>
      </c>
      <c r="B1354" s="1">
        <v>44718</v>
      </c>
      <c r="C1354">
        <v>1</v>
      </c>
      <c r="D1354">
        <v>19.82</v>
      </c>
      <c r="E1354">
        <v>25</v>
      </c>
    </row>
    <row r="1355" spans="1:5" x14ac:dyDescent="0.3">
      <c r="A1355" t="s">
        <v>156</v>
      </c>
      <c r="B1355" s="1">
        <v>44718</v>
      </c>
      <c r="C1355">
        <v>1</v>
      </c>
      <c r="D1355">
        <v>251.37</v>
      </c>
      <c r="E1355">
        <v>352</v>
      </c>
    </row>
    <row r="1356" spans="1:5" x14ac:dyDescent="0.3">
      <c r="A1356" t="s">
        <v>49</v>
      </c>
      <c r="B1356" s="1">
        <v>44718</v>
      </c>
      <c r="C1356">
        <v>1</v>
      </c>
      <c r="D1356">
        <v>15.8</v>
      </c>
      <c r="E1356">
        <v>19</v>
      </c>
    </row>
    <row r="1357" spans="1:5" x14ac:dyDescent="0.3">
      <c r="A1357" t="s">
        <v>72</v>
      </c>
      <c r="B1357" s="1">
        <v>44718</v>
      </c>
      <c r="C1357">
        <v>1</v>
      </c>
      <c r="D1357">
        <v>556.51</v>
      </c>
      <c r="E1357">
        <v>735</v>
      </c>
    </row>
    <row r="1358" spans="1:5" x14ac:dyDescent="0.3">
      <c r="A1358" t="s">
        <v>72</v>
      </c>
      <c r="B1358" s="1">
        <v>44718</v>
      </c>
      <c r="C1358">
        <v>1</v>
      </c>
      <c r="D1358">
        <v>556.51</v>
      </c>
      <c r="E1358">
        <v>735</v>
      </c>
    </row>
    <row r="1359" spans="1:5" x14ac:dyDescent="0.3">
      <c r="A1359" t="s">
        <v>35</v>
      </c>
      <c r="B1359" s="1">
        <v>44718</v>
      </c>
      <c r="C1359">
        <v>1</v>
      </c>
      <c r="D1359">
        <v>31.99</v>
      </c>
      <c r="E1359">
        <v>49</v>
      </c>
    </row>
    <row r="1360" spans="1:5" x14ac:dyDescent="0.3">
      <c r="A1360" t="s">
        <v>35</v>
      </c>
      <c r="B1360" s="1">
        <v>44718</v>
      </c>
      <c r="C1360">
        <v>1</v>
      </c>
      <c r="D1360">
        <v>31.99</v>
      </c>
      <c r="E1360">
        <v>49</v>
      </c>
    </row>
    <row r="1361" spans="1:5" x14ac:dyDescent="0.3">
      <c r="A1361" t="s">
        <v>129</v>
      </c>
      <c r="B1361" s="1">
        <v>44718</v>
      </c>
      <c r="C1361">
        <v>0.16</v>
      </c>
      <c r="D1361">
        <v>493.92</v>
      </c>
      <c r="E1361">
        <v>595</v>
      </c>
    </row>
    <row r="1362" spans="1:5" x14ac:dyDescent="0.3">
      <c r="A1362" t="s">
        <v>98</v>
      </c>
      <c r="B1362" s="1">
        <v>44718</v>
      </c>
      <c r="C1362">
        <v>1</v>
      </c>
      <c r="D1362">
        <v>113.71</v>
      </c>
      <c r="E1362">
        <v>137</v>
      </c>
    </row>
    <row r="1363" spans="1:5" x14ac:dyDescent="0.3">
      <c r="A1363" t="s">
        <v>60</v>
      </c>
      <c r="B1363" s="1">
        <v>44718</v>
      </c>
      <c r="C1363">
        <v>1</v>
      </c>
      <c r="D1363">
        <v>56.76</v>
      </c>
      <c r="E1363">
        <v>71</v>
      </c>
    </row>
    <row r="1364" spans="1:5" x14ac:dyDescent="0.3">
      <c r="A1364" t="s">
        <v>65</v>
      </c>
      <c r="B1364" s="1">
        <v>44718</v>
      </c>
      <c r="C1364">
        <v>1</v>
      </c>
      <c r="D1364">
        <v>187.36</v>
      </c>
      <c r="E1364">
        <v>220</v>
      </c>
    </row>
    <row r="1365" spans="1:5" x14ac:dyDescent="0.3">
      <c r="A1365" t="s">
        <v>146</v>
      </c>
      <c r="B1365" s="1">
        <v>44718</v>
      </c>
      <c r="C1365">
        <v>1</v>
      </c>
      <c r="D1365">
        <v>413.44</v>
      </c>
      <c r="E1365">
        <v>464</v>
      </c>
    </row>
    <row r="1366" spans="1:5" x14ac:dyDescent="0.3">
      <c r="A1366" t="s">
        <v>48</v>
      </c>
      <c r="B1366" s="1">
        <v>44718</v>
      </c>
      <c r="C1366">
        <v>1</v>
      </c>
      <c r="D1366">
        <v>41.47</v>
      </c>
      <c r="E1366">
        <v>64</v>
      </c>
    </row>
    <row r="1367" spans="1:5" x14ac:dyDescent="0.3">
      <c r="A1367" t="s">
        <v>24</v>
      </c>
      <c r="B1367" s="1">
        <v>44718</v>
      </c>
      <c r="C1367">
        <v>1</v>
      </c>
      <c r="D1367">
        <v>101.95</v>
      </c>
      <c r="E1367">
        <v>122</v>
      </c>
    </row>
    <row r="1368" spans="1:5" x14ac:dyDescent="0.3">
      <c r="A1368" t="s">
        <v>65</v>
      </c>
      <c r="B1368" s="1">
        <v>44718</v>
      </c>
      <c r="C1368">
        <v>1</v>
      </c>
      <c r="D1368">
        <v>187.36</v>
      </c>
      <c r="E1368">
        <v>220</v>
      </c>
    </row>
    <row r="1369" spans="1:5" x14ac:dyDescent="0.3">
      <c r="A1369" t="s">
        <v>24</v>
      </c>
      <c r="B1369" s="1">
        <v>44718</v>
      </c>
      <c r="C1369">
        <v>1</v>
      </c>
      <c r="D1369">
        <v>101.95</v>
      </c>
      <c r="E1369">
        <v>122</v>
      </c>
    </row>
    <row r="1370" spans="1:5" x14ac:dyDescent="0.3">
      <c r="A1370" t="s">
        <v>9</v>
      </c>
      <c r="B1370" s="1">
        <v>44718</v>
      </c>
      <c r="C1370">
        <v>1</v>
      </c>
      <c r="D1370">
        <v>80.69</v>
      </c>
      <c r="E1370">
        <v>98</v>
      </c>
    </row>
    <row r="1371" spans="1:5" x14ac:dyDescent="0.3">
      <c r="A1371" t="s">
        <v>9</v>
      </c>
      <c r="B1371" s="1">
        <v>44718</v>
      </c>
      <c r="C1371">
        <v>1</v>
      </c>
      <c r="D1371">
        <v>80.69</v>
      </c>
      <c r="E1371">
        <v>98</v>
      </c>
    </row>
    <row r="1372" spans="1:5" x14ac:dyDescent="0.3">
      <c r="A1372" t="s">
        <v>63</v>
      </c>
      <c r="B1372" s="1">
        <v>44718</v>
      </c>
      <c r="C1372">
        <v>1</v>
      </c>
      <c r="D1372">
        <v>71.45</v>
      </c>
      <c r="E1372">
        <v>86</v>
      </c>
    </row>
    <row r="1373" spans="1:5" x14ac:dyDescent="0.3">
      <c r="A1373" t="s">
        <v>34</v>
      </c>
      <c r="B1373" s="1">
        <v>44718</v>
      </c>
      <c r="C1373">
        <v>1</v>
      </c>
      <c r="D1373">
        <v>201.73</v>
      </c>
      <c r="E1373">
        <v>232</v>
      </c>
    </row>
    <row r="1374" spans="1:5" x14ac:dyDescent="0.3">
      <c r="A1374" t="s">
        <v>90</v>
      </c>
      <c r="B1374" s="1">
        <v>44718</v>
      </c>
      <c r="C1374">
        <v>1</v>
      </c>
      <c r="D1374">
        <v>399.09</v>
      </c>
      <c r="E1374">
        <v>491</v>
      </c>
    </row>
    <row r="1375" spans="1:5" x14ac:dyDescent="0.3">
      <c r="A1375" t="s">
        <v>90</v>
      </c>
      <c r="B1375" s="1">
        <v>44718</v>
      </c>
      <c r="C1375">
        <v>1</v>
      </c>
      <c r="D1375">
        <v>397.02</v>
      </c>
      <c r="E1375">
        <v>489</v>
      </c>
    </row>
    <row r="1376" spans="1:5" x14ac:dyDescent="0.3">
      <c r="A1376" t="s">
        <v>24</v>
      </c>
      <c r="B1376" s="1">
        <v>44718</v>
      </c>
      <c r="C1376">
        <v>1</v>
      </c>
      <c r="D1376">
        <v>101.95</v>
      </c>
      <c r="E1376">
        <v>120</v>
      </c>
    </row>
    <row r="1377" spans="1:5" x14ac:dyDescent="0.3">
      <c r="A1377" t="s">
        <v>72</v>
      </c>
      <c r="B1377" s="1">
        <v>44718</v>
      </c>
      <c r="C1377">
        <v>1</v>
      </c>
      <c r="D1377">
        <v>556.51</v>
      </c>
      <c r="E1377">
        <v>735</v>
      </c>
    </row>
    <row r="1378" spans="1:5" x14ac:dyDescent="0.3">
      <c r="A1378" t="s">
        <v>25</v>
      </c>
      <c r="B1378" s="1">
        <v>44718</v>
      </c>
      <c r="C1378">
        <v>1</v>
      </c>
      <c r="D1378">
        <v>147.18</v>
      </c>
      <c r="E1378">
        <v>177</v>
      </c>
    </row>
    <row r="1379" spans="1:5" x14ac:dyDescent="0.3">
      <c r="A1379" t="s">
        <v>43</v>
      </c>
      <c r="B1379" s="1">
        <v>44718</v>
      </c>
      <c r="C1379">
        <v>1</v>
      </c>
      <c r="D1379">
        <v>134.94999999999999</v>
      </c>
      <c r="E1379">
        <v>162</v>
      </c>
    </row>
    <row r="1380" spans="1:5" x14ac:dyDescent="0.3">
      <c r="A1380" t="s">
        <v>63</v>
      </c>
      <c r="B1380" s="1">
        <v>44718</v>
      </c>
      <c r="C1380">
        <v>1</v>
      </c>
      <c r="D1380">
        <v>72.03</v>
      </c>
      <c r="E1380">
        <v>94</v>
      </c>
    </row>
    <row r="1381" spans="1:5" x14ac:dyDescent="0.3">
      <c r="A1381" t="s">
        <v>23</v>
      </c>
      <c r="B1381" s="1">
        <v>44718</v>
      </c>
      <c r="C1381">
        <v>1</v>
      </c>
      <c r="D1381">
        <v>110.21</v>
      </c>
      <c r="E1381">
        <v>124</v>
      </c>
    </row>
    <row r="1382" spans="1:5" x14ac:dyDescent="0.3">
      <c r="A1382" t="s">
        <v>31</v>
      </c>
      <c r="B1382" s="1">
        <v>44718</v>
      </c>
      <c r="C1382">
        <v>1</v>
      </c>
      <c r="D1382">
        <v>13.19</v>
      </c>
      <c r="E1382">
        <v>18</v>
      </c>
    </row>
    <row r="1383" spans="1:5" x14ac:dyDescent="0.3">
      <c r="A1383" t="s">
        <v>31</v>
      </c>
      <c r="B1383" s="1">
        <v>44718</v>
      </c>
      <c r="C1383">
        <v>1</v>
      </c>
      <c r="D1383">
        <v>13.19</v>
      </c>
      <c r="E1383">
        <v>18</v>
      </c>
    </row>
    <row r="1384" spans="1:5" x14ac:dyDescent="0.3">
      <c r="A1384" t="s">
        <v>24</v>
      </c>
      <c r="B1384" s="1">
        <v>44718</v>
      </c>
      <c r="C1384">
        <v>1</v>
      </c>
      <c r="D1384">
        <v>101.95</v>
      </c>
      <c r="E1384">
        <v>122</v>
      </c>
    </row>
    <row r="1385" spans="1:5" x14ac:dyDescent="0.3">
      <c r="A1385" t="s">
        <v>24</v>
      </c>
      <c r="B1385" s="1">
        <v>44718</v>
      </c>
      <c r="C1385">
        <v>1</v>
      </c>
      <c r="D1385">
        <v>101.95</v>
      </c>
      <c r="E1385">
        <v>122</v>
      </c>
    </row>
    <row r="1386" spans="1:5" x14ac:dyDescent="0.3">
      <c r="A1386" t="s">
        <v>76</v>
      </c>
      <c r="B1386" s="1">
        <v>44718</v>
      </c>
      <c r="C1386">
        <v>1</v>
      </c>
      <c r="D1386">
        <v>33.950000000000003</v>
      </c>
      <c r="E1386">
        <v>41</v>
      </c>
    </row>
    <row r="1387" spans="1:5" x14ac:dyDescent="0.3">
      <c r="A1387" t="s">
        <v>76</v>
      </c>
      <c r="B1387" s="1">
        <v>44718</v>
      </c>
      <c r="C1387">
        <v>1</v>
      </c>
      <c r="D1387">
        <v>33.950000000000003</v>
      </c>
      <c r="E1387">
        <v>41</v>
      </c>
    </row>
    <row r="1388" spans="1:5" x14ac:dyDescent="0.3">
      <c r="A1388" t="s">
        <v>125</v>
      </c>
      <c r="B1388" s="1">
        <v>44718</v>
      </c>
      <c r="C1388">
        <v>1</v>
      </c>
      <c r="D1388">
        <v>337.24</v>
      </c>
      <c r="E1388">
        <v>446</v>
      </c>
    </row>
    <row r="1389" spans="1:5" x14ac:dyDescent="0.3">
      <c r="A1389" t="s">
        <v>88</v>
      </c>
      <c r="B1389" s="1">
        <v>44718</v>
      </c>
      <c r="C1389">
        <v>1</v>
      </c>
      <c r="D1389">
        <v>133.88</v>
      </c>
      <c r="E1389">
        <v>204</v>
      </c>
    </row>
    <row r="1390" spans="1:5" x14ac:dyDescent="0.3">
      <c r="A1390" t="s">
        <v>77</v>
      </c>
      <c r="B1390" s="1">
        <v>44718</v>
      </c>
      <c r="C1390">
        <v>1</v>
      </c>
      <c r="D1390">
        <v>60.94</v>
      </c>
      <c r="E1390">
        <v>76</v>
      </c>
    </row>
    <row r="1391" spans="1:5" x14ac:dyDescent="0.3">
      <c r="A1391" t="s">
        <v>69</v>
      </c>
      <c r="B1391" s="1">
        <v>44718</v>
      </c>
      <c r="C1391">
        <v>1</v>
      </c>
      <c r="D1391">
        <v>19.989999999999998</v>
      </c>
      <c r="E1391">
        <v>24</v>
      </c>
    </row>
    <row r="1392" spans="1:5" x14ac:dyDescent="0.3">
      <c r="A1392" t="s">
        <v>133</v>
      </c>
      <c r="B1392" s="1">
        <v>44718</v>
      </c>
      <c r="C1392">
        <v>5</v>
      </c>
      <c r="D1392">
        <v>5.0999999999999996</v>
      </c>
      <c r="E1392">
        <v>9</v>
      </c>
    </row>
    <row r="1393" spans="1:5" x14ac:dyDescent="0.3">
      <c r="A1393" t="s">
        <v>17</v>
      </c>
      <c r="B1393" s="1">
        <v>44718</v>
      </c>
      <c r="C1393">
        <v>1</v>
      </c>
      <c r="D1393">
        <v>388.58</v>
      </c>
      <c r="E1393">
        <v>467</v>
      </c>
    </row>
    <row r="1394" spans="1:5" x14ac:dyDescent="0.3">
      <c r="A1394" t="s">
        <v>105</v>
      </c>
      <c r="B1394" s="1">
        <v>44718</v>
      </c>
      <c r="C1394">
        <v>1</v>
      </c>
      <c r="D1394">
        <v>27.72</v>
      </c>
      <c r="E1394">
        <v>45</v>
      </c>
    </row>
    <row r="1395" spans="1:5" x14ac:dyDescent="0.3">
      <c r="A1395" t="s">
        <v>51</v>
      </c>
      <c r="B1395" s="1">
        <v>44718</v>
      </c>
      <c r="C1395">
        <v>4</v>
      </c>
      <c r="D1395">
        <v>2.29</v>
      </c>
      <c r="E1395">
        <v>4</v>
      </c>
    </row>
    <row r="1396" spans="1:5" x14ac:dyDescent="0.3">
      <c r="A1396" t="s">
        <v>51</v>
      </c>
      <c r="B1396" s="1">
        <v>44718</v>
      </c>
      <c r="C1396">
        <v>4</v>
      </c>
      <c r="D1396">
        <v>2.29</v>
      </c>
      <c r="E1396">
        <v>4</v>
      </c>
    </row>
    <row r="1397" spans="1:5" x14ac:dyDescent="0.3">
      <c r="A1397" t="s">
        <v>24</v>
      </c>
      <c r="B1397" s="1">
        <v>44718</v>
      </c>
      <c r="C1397">
        <v>1</v>
      </c>
      <c r="D1397">
        <v>101.95</v>
      </c>
      <c r="E1397">
        <v>118</v>
      </c>
    </row>
    <row r="1398" spans="1:5" x14ac:dyDescent="0.3">
      <c r="A1398" t="s">
        <v>117</v>
      </c>
      <c r="B1398" s="1">
        <v>44718</v>
      </c>
      <c r="C1398">
        <v>1</v>
      </c>
      <c r="D1398">
        <v>23.14</v>
      </c>
      <c r="E1398">
        <v>28</v>
      </c>
    </row>
    <row r="1399" spans="1:5" x14ac:dyDescent="0.3">
      <c r="A1399" t="s">
        <v>118</v>
      </c>
      <c r="B1399" s="1">
        <v>44718</v>
      </c>
      <c r="C1399">
        <v>1</v>
      </c>
      <c r="D1399">
        <v>10.63</v>
      </c>
      <c r="E1399">
        <v>13</v>
      </c>
    </row>
    <row r="1400" spans="1:5" x14ac:dyDescent="0.3">
      <c r="A1400" t="s">
        <v>118</v>
      </c>
      <c r="B1400" s="1">
        <v>44718</v>
      </c>
      <c r="C1400">
        <v>1</v>
      </c>
      <c r="D1400">
        <v>10.63</v>
      </c>
      <c r="E1400">
        <v>13</v>
      </c>
    </row>
    <row r="1401" spans="1:5" x14ac:dyDescent="0.3">
      <c r="A1401" t="s">
        <v>60</v>
      </c>
      <c r="B1401" s="1">
        <v>44718</v>
      </c>
      <c r="C1401">
        <v>1</v>
      </c>
      <c r="D1401">
        <v>56.76</v>
      </c>
      <c r="E1401">
        <v>71</v>
      </c>
    </row>
    <row r="1402" spans="1:5" x14ac:dyDescent="0.3">
      <c r="A1402" t="s">
        <v>81</v>
      </c>
      <c r="B1402" s="1">
        <v>44718</v>
      </c>
      <c r="C1402">
        <v>1</v>
      </c>
      <c r="D1402">
        <v>43.63</v>
      </c>
      <c r="E1402">
        <v>54</v>
      </c>
    </row>
    <row r="1403" spans="1:5" x14ac:dyDescent="0.3">
      <c r="A1403" t="s">
        <v>81</v>
      </c>
      <c r="B1403" s="1">
        <v>44718</v>
      </c>
      <c r="C1403">
        <v>1</v>
      </c>
      <c r="D1403">
        <v>43.63</v>
      </c>
      <c r="E1403">
        <v>54</v>
      </c>
    </row>
    <row r="1404" spans="1:5" x14ac:dyDescent="0.3">
      <c r="A1404" t="s">
        <v>75</v>
      </c>
      <c r="B1404" s="1">
        <v>44718</v>
      </c>
      <c r="C1404">
        <v>0.2</v>
      </c>
      <c r="D1404">
        <v>466.47</v>
      </c>
      <c r="E1404">
        <v>710</v>
      </c>
    </row>
    <row r="1405" spans="1:5" x14ac:dyDescent="0.3">
      <c r="A1405" t="s">
        <v>24</v>
      </c>
      <c r="B1405" s="1">
        <v>44718</v>
      </c>
      <c r="C1405">
        <v>1</v>
      </c>
      <c r="D1405">
        <v>101.95</v>
      </c>
      <c r="E1405">
        <v>118</v>
      </c>
    </row>
    <row r="1406" spans="1:5" x14ac:dyDescent="0.3">
      <c r="A1406" t="s">
        <v>81</v>
      </c>
      <c r="B1406" s="1">
        <v>44718</v>
      </c>
      <c r="C1406">
        <v>1</v>
      </c>
      <c r="D1406">
        <v>40.15</v>
      </c>
      <c r="E1406">
        <v>49</v>
      </c>
    </row>
    <row r="1407" spans="1:5" x14ac:dyDescent="0.3">
      <c r="A1407" t="s">
        <v>94</v>
      </c>
      <c r="B1407" s="1">
        <v>44718</v>
      </c>
      <c r="C1407">
        <v>1</v>
      </c>
      <c r="D1407">
        <v>31.13</v>
      </c>
      <c r="E1407">
        <v>43</v>
      </c>
    </row>
    <row r="1408" spans="1:5" x14ac:dyDescent="0.3">
      <c r="A1408" t="s">
        <v>94</v>
      </c>
      <c r="B1408" s="1">
        <v>44718</v>
      </c>
      <c r="C1408">
        <v>1</v>
      </c>
      <c r="D1408">
        <v>31.13</v>
      </c>
      <c r="E1408">
        <v>43</v>
      </c>
    </row>
    <row r="1409" spans="1:5" x14ac:dyDescent="0.3">
      <c r="A1409" t="s">
        <v>94</v>
      </c>
      <c r="B1409" s="1">
        <v>44718</v>
      </c>
      <c r="C1409">
        <v>1</v>
      </c>
      <c r="D1409">
        <v>31.13</v>
      </c>
      <c r="E1409">
        <v>43</v>
      </c>
    </row>
    <row r="1410" spans="1:5" x14ac:dyDescent="0.3">
      <c r="A1410" t="s">
        <v>94</v>
      </c>
      <c r="B1410" s="1">
        <v>44718</v>
      </c>
      <c r="C1410">
        <v>1</v>
      </c>
      <c r="D1410">
        <v>31.13</v>
      </c>
      <c r="E1410">
        <v>43</v>
      </c>
    </row>
    <row r="1411" spans="1:5" x14ac:dyDescent="0.3">
      <c r="A1411" t="s">
        <v>94</v>
      </c>
      <c r="B1411" s="1">
        <v>44718</v>
      </c>
      <c r="C1411">
        <v>1</v>
      </c>
      <c r="D1411">
        <v>31.13</v>
      </c>
      <c r="E1411">
        <v>43</v>
      </c>
    </row>
    <row r="1412" spans="1:5" x14ac:dyDescent="0.3">
      <c r="A1412" t="s">
        <v>95</v>
      </c>
      <c r="B1412" s="1">
        <v>44718</v>
      </c>
      <c r="C1412">
        <v>0.5</v>
      </c>
      <c r="D1412">
        <v>103.49</v>
      </c>
      <c r="E1412">
        <v>161</v>
      </c>
    </row>
    <row r="1413" spans="1:5" x14ac:dyDescent="0.3">
      <c r="A1413" t="s">
        <v>138</v>
      </c>
      <c r="B1413" s="1">
        <v>44718</v>
      </c>
      <c r="C1413">
        <v>1</v>
      </c>
      <c r="D1413">
        <v>46.5</v>
      </c>
      <c r="E1413">
        <v>76</v>
      </c>
    </row>
    <row r="1414" spans="1:5" x14ac:dyDescent="0.3">
      <c r="A1414" t="s">
        <v>47</v>
      </c>
      <c r="B1414" s="1">
        <v>44718</v>
      </c>
      <c r="C1414">
        <v>1</v>
      </c>
      <c r="D1414">
        <v>43.45</v>
      </c>
      <c r="E1414">
        <v>67</v>
      </c>
    </row>
    <row r="1415" spans="1:5" x14ac:dyDescent="0.3">
      <c r="A1415" t="s">
        <v>28</v>
      </c>
      <c r="B1415" s="1">
        <v>44718</v>
      </c>
      <c r="C1415">
        <v>1</v>
      </c>
      <c r="D1415">
        <v>141.08000000000001</v>
      </c>
      <c r="E1415">
        <v>205</v>
      </c>
    </row>
    <row r="1416" spans="1:5" x14ac:dyDescent="0.3">
      <c r="A1416" t="s">
        <v>65</v>
      </c>
      <c r="B1416" s="1">
        <v>44718</v>
      </c>
      <c r="C1416">
        <v>1</v>
      </c>
      <c r="D1416">
        <v>187.74</v>
      </c>
      <c r="E1416">
        <v>239</v>
      </c>
    </row>
    <row r="1417" spans="1:5" x14ac:dyDescent="0.3">
      <c r="A1417" t="s">
        <v>118</v>
      </c>
      <c r="B1417" s="1">
        <v>44718</v>
      </c>
      <c r="C1417">
        <v>1</v>
      </c>
      <c r="D1417">
        <v>10.79</v>
      </c>
      <c r="E1417">
        <v>13</v>
      </c>
    </row>
    <row r="1418" spans="1:5" x14ac:dyDescent="0.3">
      <c r="A1418" t="s">
        <v>85</v>
      </c>
      <c r="B1418" s="1">
        <v>44718</v>
      </c>
      <c r="C1418">
        <v>1</v>
      </c>
      <c r="D1418">
        <v>15.13</v>
      </c>
      <c r="E1418">
        <v>23</v>
      </c>
    </row>
    <row r="1419" spans="1:5" x14ac:dyDescent="0.3">
      <c r="A1419" t="s">
        <v>83</v>
      </c>
      <c r="B1419" s="1">
        <v>44718</v>
      </c>
      <c r="C1419">
        <v>1</v>
      </c>
      <c r="D1419">
        <v>207.69</v>
      </c>
      <c r="E1419">
        <v>246</v>
      </c>
    </row>
    <row r="1420" spans="1:5" x14ac:dyDescent="0.3">
      <c r="A1420" t="s">
        <v>84</v>
      </c>
      <c r="B1420" s="1">
        <v>44718</v>
      </c>
      <c r="C1420">
        <v>1</v>
      </c>
      <c r="D1420">
        <v>153.22999999999999</v>
      </c>
      <c r="E1420">
        <v>192</v>
      </c>
    </row>
    <row r="1421" spans="1:5" x14ac:dyDescent="0.3">
      <c r="A1421" t="s">
        <v>66</v>
      </c>
      <c r="B1421" s="1">
        <v>44718</v>
      </c>
      <c r="C1421">
        <v>1</v>
      </c>
      <c r="D1421">
        <v>31.58</v>
      </c>
      <c r="E1421">
        <v>37</v>
      </c>
    </row>
    <row r="1422" spans="1:5" x14ac:dyDescent="0.3">
      <c r="A1422" t="s">
        <v>66</v>
      </c>
      <c r="B1422" s="1">
        <v>44718</v>
      </c>
      <c r="C1422">
        <v>1</v>
      </c>
      <c r="D1422">
        <v>31.58</v>
      </c>
      <c r="E1422">
        <v>37</v>
      </c>
    </row>
    <row r="1423" spans="1:5" x14ac:dyDescent="0.3">
      <c r="A1423" t="s">
        <v>66</v>
      </c>
      <c r="B1423" s="1">
        <v>44718</v>
      </c>
      <c r="C1423">
        <v>1</v>
      </c>
      <c r="D1423">
        <v>30.56</v>
      </c>
      <c r="E1423">
        <v>36</v>
      </c>
    </row>
    <row r="1424" spans="1:5" x14ac:dyDescent="0.3">
      <c r="A1424" t="s">
        <v>95</v>
      </c>
      <c r="B1424" s="1">
        <v>44718</v>
      </c>
      <c r="C1424">
        <v>1</v>
      </c>
      <c r="D1424">
        <v>103.49</v>
      </c>
      <c r="E1424">
        <v>161</v>
      </c>
    </row>
    <row r="1425" spans="1:5" x14ac:dyDescent="0.3">
      <c r="A1425" t="s">
        <v>58</v>
      </c>
      <c r="B1425" s="1">
        <v>44718</v>
      </c>
      <c r="C1425">
        <v>1</v>
      </c>
      <c r="D1425">
        <v>80.86</v>
      </c>
      <c r="E1425">
        <v>98</v>
      </c>
    </row>
    <row r="1426" spans="1:5" x14ac:dyDescent="0.3">
      <c r="A1426" t="s">
        <v>45</v>
      </c>
      <c r="B1426" s="1">
        <v>44718</v>
      </c>
      <c r="C1426">
        <v>1</v>
      </c>
      <c r="D1426">
        <v>28.85</v>
      </c>
      <c r="E1426">
        <v>47</v>
      </c>
    </row>
    <row r="1427" spans="1:5" x14ac:dyDescent="0.3">
      <c r="A1427" t="s">
        <v>138</v>
      </c>
      <c r="B1427" s="1">
        <v>44718</v>
      </c>
      <c r="C1427">
        <v>2</v>
      </c>
      <c r="D1427">
        <v>46.5</v>
      </c>
      <c r="E1427">
        <v>76</v>
      </c>
    </row>
    <row r="1428" spans="1:5" x14ac:dyDescent="0.3">
      <c r="A1428" t="s">
        <v>150</v>
      </c>
      <c r="B1428" s="1">
        <v>44718</v>
      </c>
      <c r="C1428">
        <v>1</v>
      </c>
      <c r="D1428">
        <v>94.8</v>
      </c>
      <c r="E1428">
        <v>151</v>
      </c>
    </row>
    <row r="1429" spans="1:5" x14ac:dyDescent="0.3">
      <c r="A1429" t="s">
        <v>150</v>
      </c>
      <c r="B1429" s="1">
        <v>44718</v>
      </c>
      <c r="C1429">
        <v>1</v>
      </c>
      <c r="D1429">
        <v>94.8</v>
      </c>
      <c r="E1429">
        <v>151</v>
      </c>
    </row>
    <row r="1430" spans="1:5" x14ac:dyDescent="0.3">
      <c r="A1430" t="s">
        <v>47</v>
      </c>
      <c r="B1430" s="1">
        <v>44718</v>
      </c>
      <c r="C1430">
        <v>1</v>
      </c>
      <c r="D1430">
        <v>43.08</v>
      </c>
      <c r="E1430">
        <v>68</v>
      </c>
    </row>
    <row r="1431" spans="1:5" x14ac:dyDescent="0.3">
      <c r="A1431" t="s">
        <v>132</v>
      </c>
      <c r="B1431" s="1">
        <v>44718</v>
      </c>
      <c r="C1431">
        <v>1</v>
      </c>
      <c r="D1431">
        <v>60.91</v>
      </c>
      <c r="E1431">
        <v>90</v>
      </c>
    </row>
    <row r="1432" spans="1:5" x14ac:dyDescent="0.3">
      <c r="A1432" t="s">
        <v>26</v>
      </c>
      <c r="B1432" s="1">
        <v>44718</v>
      </c>
      <c r="C1432">
        <v>0.1</v>
      </c>
      <c r="D1432">
        <v>984.79</v>
      </c>
      <c r="E1432">
        <v>1340</v>
      </c>
    </row>
    <row r="1433" spans="1:5" x14ac:dyDescent="0.3">
      <c r="A1433" t="s">
        <v>26</v>
      </c>
      <c r="B1433" s="1">
        <v>44718</v>
      </c>
      <c r="C1433">
        <v>0.2</v>
      </c>
      <c r="D1433">
        <v>984.65</v>
      </c>
      <c r="E1433">
        <v>1271</v>
      </c>
    </row>
    <row r="1434" spans="1:5" x14ac:dyDescent="0.3">
      <c r="A1434" t="s">
        <v>36</v>
      </c>
      <c r="B1434" s="1">
        <v>44718</v>
      </c>
      <c r="C1434">
        <v>1</v>
      </c>
      <c r="D1434">
        <v>23.73</v>
      </c>
      <c r="E1434">
        <v>31</v>
      </c>
    </row>
    <row r="1435" spans="1:5" x14ac:dyDescent="0.3">
      <c r="A1435" t="s">
        <v>36</v>
      </c>
      <c r="B1435" s="1">
        <v>44718</v>
      </c>
      <c r="C1435">
        <v>1</v>
      </c>
      <c r="D1435">
        <v>23.73</v>
      </c>
      <c r="E1435">
        <v>31</v>
      </c>
    </row>
    <row r="1436" spans="1:5" x14ac:dyDescent="0.3">
      <c r="A1436" t="s">
        <v>25</v>
      </c>
      <c r="B1436" s="1">
        <v>44718</v>
      </c>
      <c r="C1436">
        <v>1</v>
      </c>
      <c r="D1436">
        <v>148.52000000000001</v>
      </c>
      <c r="E1436">
        <v>181</v>
      </c>
    </row>
    <row r="1437" spans="1:5" x14ac:dyDescent="0.3">
      <c r="A1437" t="s">
        <v>23</v>
      </c>
      <c r="B1437" s="1">
        <v>44718</v>
      </c>
      <c r="C1437">
        <v>1</v>
      </c>
      <c r="D1437">
        <v>110.21</v>
      </c>
      <c r="E1437">
        <v>124</v>
      </c>
    </row>
    <row r="1438" spans="1:5" x14ac:dyDescent="0.3">
      <c r="A1438" t="s">
        <v>128</v>
      </c>
      <c r="B1438" s="1">
        <v>44718</v>
      </c>
      <c r="C1438">
        <v>1</v>
      </c>
      <c r="D1438">
        <v>313.23</v>
      </c>
      <c r="E1438">
        <v>433</v>
      </c>
    </row>
    <row r="1439" spans="1:5" x14ac:dyDescent="0.3">
      <c r="A1439" t="s">
        <v>55</v>
      </c>
      <c r="B1439" s="1">
        <v>44718</v>
      </c>
      <c r="C1439">
        <v>1</v>
      </c>
      <c r="D1439">
        <v>77.510000000000005</v>
      </c>
      <c r="E1439">
        <v>94</v>
      </c>
    </row>
    <row r="1440" spans="1:5" x14ac:dyDescent="0.3">
      <c r="A1440" t="s">
        <v>95</v>
      </c>
      <c r="B1440" s="1">
        <v>44718</v>
      </c>
      <c r="C1440">
        <v>1</v>
      </c>
      <c r="D1440">
        <v>111.88</v>
      </c>
      <c r="E1440">
        <v>176</v>
      </c>
    </row>
    <row r="1441" spans="1:5" x14ac:dyDescent="0.3">
      <c r="A1441" t="s">
        <v>5</v>
      </c>
      <c r="B1441" s="1">
        <v>44718</v>
      </c>
      <c r="C1441">
        <v>1</v>
      </c>
      <c r="D1441">
        <v>130.04</v>
      </c>
      <c r="E1441">
        <v>157</v>
      </c>
    </row>
    <row r="1442" spans="1:5" x14ac:dyDescent="0.3">
      <c r="A1442" t="s">
        <v>88</v>
      </c>
      <c r="B1442" s="1">
        <v>44718</v>
      </c>
      <c r="C1442">
        <v>1</v>
      </c>
      <c r="D1442">
        <v>95.21</v>
      </c>
      <c r="E1442">
        <v>152</v>
      </c>
    </row>
    <row r="1443" spans="1:5" x14ac:dyDescent="0.3">
      <c r="A1443" t="s">
        <v>31</v>
      </c>
      <c r="B1443" s="1">
        <v>44718</v>
      </c>
      <c r="C1443">
        <v>1</v>
      </c>
      <c r="D1443">
        <v>14.1</v>
      </c>
      <c r="E1443">
        <v>19</v>
      </c>
    </row>
    <row r="1444" spans="1:5" x14ac:dyDescent="0.3">
      <c r="A1444" t="s">
        <v>31</v>
      </c>
      <c r="B1444" s="1">
        <v>44718</v>
      </c>
      <c r="C1444">
        <v>1</v>
      </c>
      <c r="D1444">
        <v>14.1</v>
      </c>
      <c r="E1444">
        <v>19</v>
      </c>
    </row>
    <row r="1445" spans="1:5" x14ac:dyDescent="0.3">
      <c r="A1445" t="s">
        <v>31</v>
      </c>
      <c r="B1445" s="1">
        <v>44718</v>
      </c>
      <c r="C1445">
        <v>1</v>
      </c>
      <c r="D1445">
        <v>14.1</v>
      </c>
      <c r="E1445">
        <v>19</v>
      </c>
    </row>
    <row r="1446" spans="1:5" x14ac:dyDescent="0.3">
      <c r="A1446" t="s">
        <v>154</v>
      </c>
      <c r="B1446" s="1">
        <v>44718</v>
      </c>
      <c r="C1446">
        <v>1</v>
      </c>
      <c r="D1446">
        <v>124.5</v>
      </c>
      <c r="E1446">
        <v>149</v>
      </c>
    </row>
    <row r="1447" spans="1:5" x14ac:dyDescent="0.3">
      <c r="A1447" t="s">
        <v>135</v>
      </c>
      <c r="B1447" s="1">
        <v>44718</v>
      </c>
      <c r="C1447">
        <v>1</v>
      </c>
      <c r="D1447">
        <v>72.31</v>
      </c>
      <c r="E1447">
        <v>90</v>
      </c>
    </row>
    <row r="1448" spans="1:5" x14ac:dyDescent="0.3">
      <c r="A1448" t="s">
        <v>135</v>
      </c>
      <c r="B1448" s="1">
        <v>44718</v>
      </c>
      <c r="C1448">
        <v>1</v>
      </c>
      <c r="D1448">
        <v>72.31</v>
      </c>
      <c r="E1448">
        <v>90</v>
      </c>
    </row>
    <row r="1449" spans="1:5" x14ac:dyDescent="0.3">
      <c r="A1449" t="s">
        <v>101</v>
      </c>
      <c r="B1449" s="1">
        <v>44718</v>
      </c>
      <c r="C1449">
        <v>1</v>
      </c>
      <c r="D1449">
        <v>33.26</v>
      </c>
      <c r="E1449">
        <v>53</v>
      </c>
    </row>
    <row r="1450" spans="1:5" x14ac:dyDescent="0.3">
      <c r="A1450" t="s">
        <v>43</v>
      </c>
      <c r="B1450" s="1">
        <v>44718</v>
      </c>
      <c r="C1450">
        <v>1</v>
      </c>
      <c r="D1450">
        <v>134.94999999999999</v>
      </c>
      <c r="E1450">
        <v>162</v>
      </c>
    </row>
    <row r="1451" spans="1:5" x14ac:dyDescent="0.3">
      <c r="A1451" t="s">
        <v>51</v>
      </c>
      <c r="B1451" s="1">
        <v>44718</v>
      </c>
      <c r="C1451">
        <v>4</v>
      </c>
      <c r="D1451">
        <v>2.0099999999999998</v>
      </c>
      <c r="E1451">
        <v>4</v>
      </c>
    </row>
    <row r="1452" spans="1:5" x14ac:dyDescent="0.3">
      <c r="A1452" t="s">
        <v>84</v>
      </c>
      <c r="B1452" s="1">
        <v>44718</v>
      </c>
      <c r="C1452">
        <v>1</v>
      </c>
      <c r="D1452">
        <v>153.75</v>
      </c>
      <c r="E1452">
        <v>193</v>
      </c>
    </row>
    <row r="1453" spans="1:5" x14ac:dyDescent="0.3">
      <c r="A1453" t="s">
        <v>132</v>
      </c>
      <c r="B1453" s="1">
        <v>44718</v>
      </c>
      <c r="C1453">
        <v>1</v>
      </c>
      <c r="D1453">
        <v>58.53</v>
      </c>
      <c r="E1453">
        <v>88</v>
      </c>
    </row>
    <row r="1454" spans="1:5" x14ac:dyDescent="0.3">
      <c r="A1454" t="s">
        <v>23</v>
      </c>
      <c r="B1454" s="1">
        <v>44718</v>
      </c>
      <c r="C1454">
        <v>1</v>
      </c>
      <c r="D1454">
        <v>109.41</v>
      </c>
      <c r="E1454">
        <v>123</v>
      </c>
    </row>
    <row r="1455" spans="1:5" x14ac:dyDescent="0.3">
      <c r="A1455" t="s">
        <v>28</v>
      </c>
      <c r="B1455" s="1">
        <v>44718</v>
      </c>
      <c r="C1455">
        <v>1</v>
      </c>
      <c r="D1455">
        <v>148.91</v>
      </c>
      <c r="E1455">
        <v>204</v>
      </c>
    </row>
    <row r="1456" spans="1:5" x14ac:dyDescent="0.3">
      <c r="A1456" t="s">
        <v>130</v>
      </c>
      <c r="B1456" s="1">
        <v>44717</v>
      </c>
      <c r="C1456">
        <v>1</v>
      </c>
      <c r="D1456">
        <v>23.53</v>
      </c>
      <c r="E1456">
        <v>29</v>
      </c>
    </row>
    <row r="1457" spans="1:5" x14ac:dyDescent="0.3">
      <c r="A1457" t="s">
        <v>24</v>
      </c>
      <c r="B1457" s="1">
        <v>44717</v>
      </c>
      <c r="C1457">
        <v>1</v>
      </c>
      <c r="D1457">
        <v>101.95</v>
      </c>
      <c r="E1457">
        <v>122</v>
      </c>
    </row>
    <row r="1458" spans="1:5" x14ac:dyDescent="0.3">
      <c r="A1458" t="s">
        <v>48</v>
      </c>
      <c r="B1458" s="1">
        <v>44717</v>
      </c>
      <c r="C1458">
        <v>1</v>
      </c>
      <c r="D1458">
        <v>38.82</v>
      </c>
      <c r="E1458">
        <v>61</v>
      </c>
    </row>
    <row r="1459" spans="1:5" x14ac:dyDescent="0.3">
      <c r="A1459" t="s">
        <v>48</v>
      </c>
      <c r="B1459" s="1">
        <v>44717</v>
      </c>
      <c r="C1459">
        <v>1</v>
      </c>
      <c r="D1459">
        <v>38.82</v>
      </c>
      <c r="E1459">
        <v>61</v>
      </c>
    </row>
    <row r="1460" spans="1:5" x14ac:dyDescent="0.3">
      <c r="A1460" t="s">
        <v>123</v>
      </c>
      <c r="B1460" s="1">
        <v>44717</v>
      </c>
      <c r="C1460">
        <v>1</v>
      </c>
      <c r="D1460">
        <v>62.46</v>
      </c>
      <c r="E1460">
        <v>80</v>
      </c>
    </row>
    <row r="1461" spans="1:5" x14ac:dyDescent="0.3">
      <c r="A1461" t="s">
        <v>21</v>
      </c>
      <c r="B1461" s="1">
        <v>44717</v>
      </c>
      <c r="C1461">
        <v>1</v>
      </c>
      <c r="D1461">
        <v>190.59</v>
      </c>
      <c r="E1461">
        <v>262</v>
      </c>
    </row>
    <row r="1462" spans="1:5" x14ac:dyDescent="0.3">
      <c r="A1462" t="s">
        <v>150</v>
      </c>
      <c r="B1462" s="1">
        <v>44717</v>
      </c>
      <c r="C1462">
        <v>1</v>
      </c>
      <c r="D1462">
        <v>94.8</v>
      </c>
      <c r="E1462">
        <v>147</v>
      </c>
    </row>
    <row r="1463" spans="1:5" x14ac:dyDescent="0.3">
      <c r="A1463" t="s">
        <v>7</v>
      </c>
      <c r="B1463" s="1">
        <v>44717</v>
      </c>
      <c r="C1463">
        <v>1</v>
      </c>
      <c r="D1463">
        <v>88.73</v>
      </c>
      <c r="E1463">
        <v>104</v>
      </c>
    </row>
    <row r="1464" spans="1:5" x14ac:dyDescent="0.3">
      <c r="A1464" t="s">
        <v>18</v>
      </c>
      <c r="B1464" s="1">
        <v>44717</v>
      </c>
      <c r="C1464">
        <v>1</v>
      </c>
      <c r="D1464">
        <v>46</v>
      </c>
      <c r="E1464">
        <v>72</v>
      </c>
    </row>
    <row r="1465" spans="1:5" x14ac:dyDescent="0.3">
      <c r="A1465" t="s">
        <v>19</v>
      </c>
      <c r="B1465" s="1">
        <v>44717</v>
      </c>
      <c r="C1465">
        <v>1</v>
      </c>
      <c r="D1465">
        <v>81.290000000000006</v>
      </c>
      <c r="E1465">
        <v>103</v>
      </c>
    </row>
    <row r="1466" spans="1:5" x14ac:dyDescent="0.3">
      <c r="A1466" t="s">
        <v>62</v>
      </c>
      <c r="B1466" s="1">
        <v>44717</v>
      </c>
      <c r="C1466">
        <v>1</v>
      </c>
      <c r="D1466">
        <v>25.71</v>
      </c>
      <c r="E1466">
        <v>31</v>
      </c>
    </row>
    <row r="1467" spans="1:5" x14ac:dyDescent="0.3">
      <c r="A1467" t="s">
        <v>62</v>
      </c>
      <c r="B1467" s="1">
        <v>44717</v>
      </c>
      <c r="C1467">
        <v>1</v>
      </c>
      <c r="D1467">
        <v>25.71</v>
      </c>
      <c r="E1467">
        <v>31</v>
      </c>
    </row>
    <row r="1468" spans="1:5" x14ac:dyDescent="0.3">
      <c r="A1468" t="s">
        <v>156</v>
      </c>
      <c r="B1468" s="1">
        <v>44717</v>
      </c>
      <c r="C1468">
        <v>1</v>
      </c>
      <c r="D1468">
        <v>251.37</v>
      </c>
      <c r="E1468">
        <v>352</v>
      </c>
    </row>
    <row r="1469" spans="1:5" x14ac:dyDescent="0.3">
      <c r="A1469" t="s">
        <v>46</v>
      </c>
      <c r="B1469" s="1">
        <v>44717</v>
      </c>
      <c r="C1469">
        <v>1</v>
      </c>
      <c r="D1469">
        <v>19.440000000000001</v>
      </c>
      <c r="E1469">
        <v>23</v>
      </c>
    </row>
    <row r="1470" spans="1:5" x14ac:dyDescent="0.3">
      <c r="A1470" t="s">
        <v>31</v>
      </c>
      <c r="B1470" s="1">
        <v>44717</v>
      </c>
      <c r="C1470">
        <v>1</v>
      </c>
      <c r="D1470">
        <v>14.4</v>
      </c>
      <c r="E1470">
        <v>19</v>
      </c>
    </row>
    <row r="1471" spans="1:5" x14ac:dyDescent="0.3">
      <c r="A1471" t="s">
        <v>31</v>
      </c>
      <c r="B1471" s="1">
        <v>44717</v>
      </c>
      <c r="C1471">
        <v>1</v>
      </c>
      <c r="D1471">
        <v>14.4</v>
      </c>
      <c r="E1471">
        <v>19</v>
      </c>
    </row>
    <row r="1472" spans="1:5" x14ac:dyDescent="0.3">
      <c r="A1472" t="s">
        <v>93</v>
      </c>
      <c r="B1472" s="1">
        <v>44717</v>
      </c>
      <c r="C1472">
        <v>1</v>
      </c>
      <c r="D1472">
        <v>68.599999999999994</v>
      </c>
      <c r="E1472">
        <v>98</v>
      </c>
    </row>
    <row r="1473" spans="1:5" x14ac:dyDescent="0.3">
      <c r="A1473" t="s">
        <v>9</v>
      </c>
      <c r="B1473" s="1">
        <v>44717</v>
      </c>
      <c r="C1473">
        <v>1</v>
      </c>
      <c r="D1473">
        <v>80.69</v>
      </c>
      <c r="E1473">
        <v>100</v>
      </c>
    </row>
    <row r="1474" spans="1:5" x14ac:dyDescent="0.3">
      <c r="A1474" t="s">
        <v>9</v>
      </c>
      <c r="B1474" s="1">
        <v>44717</v>
      </c>
      <c r="C1474">
        <v>1</v>
      </c>
      <c r="D1474">
        <v>80.69</v>
      </c>
      <c r="E1474">
        <v>100</v>
      </c>
    </row>
    <row r="1475" spans="1:5" x14ac:dyDescent="0.3">
      <c r="A1475" t="s">
        <v>9</v>
      </c>
      <c r="B1475" s="1">
        <v>44717</v>
      </c>
      <c r="C1475">
        <v>1</v>
      </c>
      <c r="D1475">
        <v>80.69</v>
      </c>
      <c r="E1475">
        <v>100</v>
      </c>
    </row>
    <row r="1476" spans="1:5" x14ac:dyDescent="0.3">
      <c r="A1476" t="s">
        <v>89</v>
      </c>
      <c r="B1476" s="1">
        <v>44717</v>
      </c>
      <c r="C1476">
        <v>1</v>
      </c>
      <c r="D1476">
        <v>81.17</v>
      </c>
      <c r="E1476">
        <v>121</v>
      </c>
    </row>
    <row r="1477" spans="1:5" x14ac:dyDescent="0.3">
      <c r="A1477" t="s">
        <v>50</v>
      </c>
      <c r="B1477" s="1">
        <v>44717</v>
      </c>
      <c r="C1477">
        <v>1</v>
      </c>
      <c r="D1477">
        <v>43.73</v>
      </c>
      <c r="E1477">
        <v>56</v>
      </c>
    </row>
    <row r="1478" spans="1:5" x14ac:dyDescent="0.3">
      <c r="A1478" t="s">
        <v>46</v>
      </c>
      <c r="B1478" s="1">
        <v>44717</v>
      </c>
      <c r="C1478">
        <v>1</v>
      </c>
      <c r="D1478">
        <v>19.43</v>
      </c>
      <c r="E1478">
        <v>24</v>
      </c>
    </row>
    <row r="1479" spans="1:5" x14ac:dyDescent="0.3">
      <c r="A1479" t="s">
        <v>54</v>
      </c>
      <c r="B1479" s="1">
        <v>44717</v>
      </c>
      <c r="C1479">
        <v>1</v>
      </c>
      <c r="D1479">
        <v>718.05</v>
      </c>
      <c r="E1479">
        <v>927</v>
      </c>
    </row>
    <row r="1480" spans="1:5" x14ac:dyDescent="0.3">
      <c r="A1480" t="s">
        <v>105</v>
      </c>
      <c r="B1480" s="1">
        <v>44717</v>
      </c>
      <c r="C1480">
        <v>2</v>
      </c>
      <c r="D1480">
        <v>28.45</v>
      </c>
      <c r="E1480">
        <v>47</v>
      </c>
    </row>
    <row r="1481" spans="1:5" x14ac:dyDescent="0.3">
      <c r="A1481" t="s">
        <v>8</v>
      </c>
      <c r="B1481" s="1">
        <v>44717</v>
      </c>
      <c r="C1481">
        <v>1</v>
      </c>
      <c r="D1481">
        <v>47.67</v>
      </c>
      <c r="E1481">
        <v>77</v>
      </c>
    </row>
    <row r="1482" spans="1:5" x14ac:dyDescent="0.3">
      <c r="A1482" t="s">
        <v>105</v>
      </c>
      <c r="B1482" s="1">
        <v>44717</v>
      </c>
      <c r="C1482">
        <v>1</v>
      </c>
      <c r="D1482">
        <v>27.69</v>
      </c>
      <c r="E1482">
        <v>45</v>
      </c>
    </row>
    <row r="1483" spans="1:5" x14ac:dyDescent="0.3">
      <c r="A1483" t="s">
        <v>48</v>
      </c>
      <c r="B1483" s="1">
        <v>44717</v>
      </c>
      <c r="C1483">
        <v>1</v>
      </c>
      <c r="D1483">
        <v>38.99</v>
      </c>
      <c r="E1483">
        <v>60</v>
      </c>
    </row>
    <row r="1484" spans="1:5" x14ac:dyDescent="0.3">
      <c r="A1484" t="s">
        <v>5</v>
      </c>
      <c r="B1484" s="1">
        <v>44717</v>
      </c>
      <c r="C1484">
        <v>1</v>
      </c>
      <c r="D1484">
        <v>132.33000000000001</v>
      </c>
      <c r="E1484">
        <v>152</v>
      </c>
    </row>
    <row r="1485" spans="1:5" x14ac:dyDescent="0.3">
      <c r="A1485" t="s">
        <v>45</v>
      </c>
      <c r="B1485" s="1">
        <v>44717</v>
      </c>
      <c r="C1485">
        <v>2</v>
      </c>
      <c r="D1485">
        <v>28.21</v>
      </c>
      <c r="E1485">
        <v>46</v>
      </c>
    </row>
    <row r="1486" spans="1:5" x14ac:dyDescent="0.3">
      <c r="A1486" t="s">
        <v>138</v>
      </c>
      <c r="B1486" s="1">
        <v>44717</v>
      </c>
      <c r="C1486">
        <v>1</v>
      </c>
      <c r="D1486">
        <v>46.5</v>
      </c>
      <c r="E1486">
        <v>75</v>
      </c>
    </row>
    <row r="1487" spans="1:5" x14ac:dyDescent="0.3">
      <c r="A1487" t="s">
        <v>51</v>
      </c>
      <c r="B1487" s="1">
        <v>44717</v>
      </c>
      <c r="C1487">
        <v>1</v>
      </c>
      <c r="D1487">
        <v>2.0099999999999998</v>
      </c>
      <c r="E1487">
        <v>4</v>
      </c>
    </row>
    <row r="1488" spans="1:5" x14ac:dyDescent="0.3">
      <c r="A1488" t="s">
        <v>50</v>
      </c>
      <c r="B1488" s="1">
        <v>44717</v>
      </c>
      <c r="C1488">
        <v>1</v>
      </c>
      <c r="D1488">
        <v>43.92</v>
      </c>
      <c r="E1488">
        <v>55</v>
      </c>
    </row>
    <row r="1489" spans="1:5" x14ac:dyDescent="0.3">
      <c r="A1489" t="s">
        <v>70</v>
      </c>
      <c r="B1489" s="1">
        <v>44717</v>
      </c>
      <c r="C1489">
        <v>1</v>
      </c>
      <c r="D1489">
        <v>165.06</v>
      </c>
      <c r="E1489">
        <v>199</v>
      </c>
    </row>
    <row r="1490" spans="1:5" x14ac:dyDescent="0.3">
      <c r="A1490" t="s">
        <v>25</v>
      </c>
      <c r="B1490" s="1">
        <v>44717</v>
      </c>
      <c r="C1490">
        <v>1</v>
      </c>
      <c r="D1490">
        <v>147.18</v>
      </c>
      <c r="E1490">
        <v>177</v>
      </c>
    </row>
    <row r="1491" spans="1:5" x14ac:dyDescent="0.3">
      <c r="A1491" t="s">
        <v>19</v>
      </c>
      <c r="B1491" s="1">
        <v>44717</v>
      </c>
      <c r="C1491">
        <v>1</v>
      </c>
      <c r="D1491">
        <v>81.290000000000006</v>
      </c>
      <c r="E1491">
        <v>103</v>
      </c>
    </row>
    <row r="1492" spans="1:5" x14ac:dyDescent="0.3">
      <c r="A1492" t="s">
        <v>7</v>
      </c>
      <c r="B1492" s="1">
        <v>44717</v>
      </c>
      <c r="C1492">
        <v>1</v>
      </c>
      <c r="D1492">
        <v>88.73</v>
      </c>
      <c r="E1492">
        <v>106</v>
      </c>
    </row>
    <row r="1493" spans="1:5" x14ac:dyDescent="0.3">
      <c r="A1493" t="s">
        <v>122</v>
      </c>
      <c r="B1493" s="1">
        <v>44717</v>
      </c>
      <c r="C1493">
        <v>1</v>
      </c>
      <c r="D1493">
        <v>21.07</v>
      </c>
      <c r="E1493">
        <v>26</v>
      </c>
    </row>
    <row r="1494" spans="1:5" x14ac:dyDescent="0.3">
      <c r="A1494" t="s">
        <v>49</v>
      </c>
      <c r="B1494" s="1">
        <v>44717</v>
      </c>
      <c r="C1494">
        <v>1</v>
      </c>
      <c r="D1494">
        <v>15.82</v>
      </c>
      <c r="E1494">
        <v>20</v>
      </c>
    </row>
    <row r="1495" spans="1:5" x14ac:dyDescent="0.3">
      <c r="A1495" t="s">
        <v>39</v>
      </c>
      <c r="B1495" s="1">
        <v>44717</v>
      </c>
      <c r="C1495">
        <v>3</v>
      </c>
      <c r="D1495">
        <v>8.58</v>
      </c>
      <c r="E1495">
        <v>14</v>
      </c>
    </row>
    <row r="1496" spans="1:5" x14ac:dyDescent="0.3">
      <c r="A1496" t="s">
        <v>123</v>
      </c>
      <c r="B1496" s="1">
        <v>44717</v>
      </c>
      <c r="C1496">
        <v>1</v>
      </c>
      <c r="D1496">
        <v>62.79</v>
      </c>
      <c r="E1496">
        <v>78</v>
      </c>
    </row>
    <row r="1497" spans="1:5" x14ac:dyDescent="0.3">
      <c r="A1497" t="s">
        <v>123</v>
      </c>
      <c r="B1497" s="1">
        <v>44717</v>
      </c>
      <c r="C1497">
        <v>1</v>
      </c>
      <c r="D1497">
        <v>62.79</v>
      </c>
      <c r="E1497">
        <v>78</v>
      </c>
    </row>
    <row r="1498" spans="1:5" x14ac:dyDescent="0.3">
      <c r="A1498" t="s">
        <v>120</v>
      </c>
      <c r="B1498" s="1">
        <v>44717</v>
      </c>
      <c r="C1498">
        <v>1</v>
      </c>
      <c r="D1498">
        <v>132.07</v>
      </c>
      <c r="E1498">
        <v>181</v>
      </c>
    </row>
    <row r="1499" spans="1:5" x14ac:dyDescent="0.3">
      <c r="A1499" t="s">
        <v>32</v>
      </c>
      <c r="B1499" s="1">
        <v>44717</v>
      </c>
      <c r="C1499">
        <v>1</v>
      </c>
      <c r="D1499">
        <v>105</v>
      </c>
      <c r="E1499">
        <v>163</v>
      </c>
    </row>
    <row r="1500" spans="1:5" x14ac:dyDescent="0.3">
      <c r="A1500" t="s">
        <v>55</v>
      </c>
      <c r="B1500" s="1">
        <v>44717</v>
      </c>
      <c r="C1500">
        <v>1</v>
      </c>
      <c r="D1500">
        <v>77.45</v>
      </c>
      <c r="E1500">
        <v>95</v>
      </c>
    </row>
    <row r="1501" spans="1:5" x14ac:dyDescent="0.3">
      <c r="A1501" t="s">
        <v>52</v>
      </c>
      <c r="B1501" s="1">
        <v>44717</v>
      </c>
      <c r="C1501">
        <v>1</v>
      </c>
      <c r="D1501">
        <v>202.33</v>
      </c>
      <c r="E1501">
        <v>243</v>
      </c>
    </row>
    <row r="1502" spans="1:5" x14ac:dyDescent="0.3">
      <c r="A1502" t="s">
        <v>46</v>
      </c>
      <c r="B1502" s="1">
        <v>44717</v>
      </c>
      <c r="C1502">
        <v>1</v>
      </c>
      <c r="D1502">
        <v>19.43</v>
      </c>
      <c r="E1502">
        <v>23</v>
      </c>
    </row>
    <row r="1503" spans="1:5" x14ac:dyDescent="0.3">
      <c r="A1503" t="s">
        <v>150</v>
      </c>
      <c r="B1503" s="1">
        <v>44717</v>
      </c>
      <c r="C1503">
        <v>1</v>
      </c>
      <c r="D1503">
        <v>94.8</v>
      </c>
      <c r="E1503">
        <v>147</v>
      </c>
    </row>
    <row r="1504" spans="1:5" x14ac:dyDescent="0.3">
      <c r="A1504" t="s">
        <v>72</v>
      </c>
      <c r="B1504" s="1">
        <v>44717</v>
      </c>
      <c r="C1504">
        <v>1</v>
      </c>
      <c r="D1504">
        <v>556.51</v>
      </c>
      <c r="E1504">
        <v>735</v>
      </c>
    </row>
    <row r="1505" spans="1:5" x14ac:dyDescent="0.3">
      <c r="A1505" t="s">
        <v>127</v>
      </c>
      <c r="B1505" s="1">
        <v>44717</v>
      </c>
      <c r="C1505">
        <v>1</v>
      </c>
      <c r="D1505">
        <v>119.64</v>
      </c>
      <c r="E1505">
        <v>167</v>
      </c>
    </row>
    <row r="1506" spans="1:5" x14ac:dyDescent="0.3">
      <c r="A1506" t="s">
        <v>138</v>
      </c>
      <c r="B1506" s="1">
        <v>44717</v>
      </c>
      <c r="C1506">
        <v>1</v>
      </c>
      <c r="D1506">
        <v>46.5</v>
      </c>
      <c r="E1506">
        <v>75</v>
      </c>
    </row>
    <row r="1507" spans="1:5" x14ac:dyDescent="0.3">
      <c r="A1507" t="s">
        <v>24</v>
      </c>
      <c r="B1507" s="1">
        <v>44717</v>
      </c>
      <c r="C1507">
        <v>1</v>
      </c>
      <c r="D1507">
        <v>101.95</v>
      </c>
      <c r="E1507">
        <v>122</v>
      </c>
    </row>
    <row r="1508" spans="1:5" x14ac:dyDescent="0.3">
      <c r="A1508" t="s">
        <v>42</v>
      </c>
      <c r="B1508" s="1">
        <v>44717</v>
      </c>
      <c r="C1508">
        <v>1</v>
      </c>
      <c r="D1508">
        <v>566.04</v>
      </c>
      <c r="E1508">
        <v>634</v>
      </c>
    </row>
    <row r="1509" spans="1:5" x14ac:dyDescent="0.3">
      <c r="A1509" t="s">
        <v>102</v>
      </c>
      <c r="B1509" s="1">
        <v>44717</v>
      </c>
      <c r="C1509">
        <v>1</v>
      </c>
      <c r="D1509">
        <v>26.11</v>
      </c>
      <c r="E1509">
        <v>32</v>
      </c>
    </row>
    <row r="1510" spans="1:5" x14ac:dyDescent="0.3">
      <c r="A1510" t="s">
        <v>94</v>
      </c>
      <c r="B1510" s="1">
        <v>44717</v>
      </c>
      <c r="C1510">
        <v>1</v>
      </c>
      <c r="D1510">
        <v>26.8</v>
      </c>
      <c r="E1510">
        <v>38</v>
      </c>
    </row>
    <row r="1511" spans="1:5" x14ac:dyDescent="0.3">
      <c r="A1511" t="s">
        <v>94</v>
      </c>
      <c r="B1511" s="1">
        <v>44717</v>
      </c>
      <c r="C1511">
        <v>1</v>
      </c>
      <c r="D1511">
        <v>26.8</v>
      </c>
      <c r="E1511">
        <v>38</v>
      </c>
    </row>
    <row r="1512" spans="1:5" x14ac:dyDescent="0.3">
      <c r="A1512" t="s">
        <v>95</v>
      </c>
      <c r="B1512" s="1">
        <v>44717</v>
      </c>
      <c r="C1512">
        <v>0.2</v>
      </c>
      <c r="D1512">
        <v>129.4</v>
      </c>
      <c r="E1512">
        <v>197</v>
      </c>
    </row>
    <row r="1513" spans="1:5" x14ac:dyDescent="0.3">
      <c r="A1513" t="s">
        <v>41</v>
      </c>
      <c r="B1513" s="1">
        <v>44717</v>
      </c>
      <c r="C1513">
        <v>2</v>
      </c>
      <c r="D1513">
        <v>11.69</v>
      </c>
      <c r="E1513">
        <v>21</v>
      </c>
    </row>
    <row r="1514" spans="1:5" x14ac:dyDescent="0.3">
      <c r="A1514" t="s">
        <v>21</v>
      </c>
      <c r="B1514" s="1">
        <v>44717</v>
      </c>
      <c r="C1514">
        <v>1</v>
      </c>
      <c r="D1514">
        <v>190.59</v>
      </c>
      <c r="E1514">
        <v>262</v>
      </c>
    </row>
    <row r="1515" spans="1:5" x14ac:dyDescent="0.3">
      <c r="A1515" t="s">
        <v>114</v>
      </c>
      <c r="B1515" s="1">
        <v>44717</v>
      </c>
      <c r="C1515">
        <v>1</v>
      </c>
      <c r="D1515">
        <v>74.8</v>
      </c>
      <c r="E1515">
        <v>94</v>
      </c>
    </row>
    <row r="1516" spans="1:5" x14ac:dyDescent="0.3">
      <c r="A1516" t="s">
        <v>50</v>
      </c>
      <c r="B1516" s="1">
        <v>44717</v>
      </c>
      <c r="C1516">
        <v>1</v>
      </c>
      <c r="D1516">
        <v>43.73</v>
      </c>
      <c r="E1516">
        <v>56</v>
      </c>
    </row>
    <row r="1517" spans="1:5" x14ac:dyDescent="0.3">
      <c r="A1517" t="s">
        <v>104</v>
      </c>
      <c r="B1517" s="1">
        <v>44717</v>
      </c>
      <c r="C1517">
        <v>1</v>
      </c>
      <c r="D1517">
        <v>45.42</v>
      </c>
      <c r="E1517">
        <v>57</v>
      </c>
    </row>
    <row r="1518" spans="1:5" x14ac:dyDescent="0.3">
      <c r="A1518" t="s">
        <v>104</v>
      </c>
      <c r="B1518" s="1">
        <v>44717</v>
      </c>
      <c r="C1518">
        <v>1</v>
      </c>
      <c r="D1518">
        <v>45.42</v>
      </c>
      <c r="E1518">
        <v>57</v>
      </c>
    </row>
    <row r="1519" spans="1:5" x14ac:dyDescent="0.3">
      <c r="A1519" t="s">
        <v>104</v>
      </c>
      <c r="B1519" s="1">
        <v>44717</v>
      </c>
      <c r="C1519">
        <v>1</v>
      </c>
      <c r="D1519">
        <v>45.87</v>
      </c>
      <c r="E1519">
        <v>58</v>
      </c>
    </row>
    <row r="1520" spans="1:5" x14ac:dyDescent="0.3">
      <c r="A1520" t="s">
        <v>104</v>
      </c>
      <c r="B1520" s="1">
        <v>44717</v>
      </c>
      <c r="C1520">
        <v>1</v>
      </c>
      <c r="D1520">
        <v>45.87</v>
      </c>
      <c r="E1520">
        <v>58</v>
      </c>
    </row>
    <row r="1521" spans="1:5" x14ac:dyDescent="0.3">
      <c r="A1521" t="s">
        <v>104</v>
      </c>
      <c r="B1521" s="1">
        <v>44717</v>
      </c>
      <c r="C1521">
        <v>1</v>
      </c>
      <c r="D1521">
        <v>45.87</v>
      </c>
      <c r="E1521">
        <v>58</v>
      </c>
    </row>
    <row r="1522" spans="1:5" x14ac:dyDescent="0.3">
      <c r="A1522" t="s">
        <v>104</v>
      </c>
      <c r="B1522" s="1">
        <v>44717</v>
      </c>
      <c r="C1522">
        <v>1</v>
      </c>
      <c r="D1522">
        <v>45.87</v>
      </c>
      <c r="E1522">
        <v>58</v>
      </c>
    </row>
    <row r="1523" spans="1:5" x14ac:dyDescent="0.3">
      <c r="A1523" t="s">
        <v>104</v>
      </c>
      <c r="B1523" s="1">
        <v>44717</v>
      </c>
      <c r="C1523">
        <v>1</v>
      </c>
      <c r="D1523">
        <v>45.87</v>
      </c>
      <c r="E1523">
        <v>58</v>
      </c>
    </row>
    <row r="1524" spans="1:5" x14ac:dyDescent="0.3">
      <c r="A1524" t="s">
        <v>104</v>
      </c>
      <c r="B1524" s="1">
        <v>44717</v>
      </c>
      <c r="C1524">
        <v>1</v>
      </c>
      <c r="D1524">
        <v>45.87</v>
      </c>
      <c r="E1524">
        <v>58</v>
      </c>
    </row>
    <row r="1525" spans="1:5" x14ac:dyDescent="0.3">
      <c r="A1525" t="s">
        <v>104</v>
      </c>
      <c r="B1525" s="1">
        <v>44717</v>
      </c>
      <c r="C1525">
        <v>1</v>
      </c>
      <c r="D1525">
        <v>45.87</v>
      </c>
      <c r="E1525">
        <v>58</v>
      </c>
    </row>
    <row r="1526" spans="1:5" x14ac:dyDescent="0.3">
      <c r="A1526" t="s">
        <v>104</v>
      </c>
      <c r="B1526" s="1">
        <v>44717</v>
      </c>
      <c r="C1526">
        <v>1</v>
      </c>
      <c r="D1526">
        <v>45.87</v>
      </c>
      <c r="E1526">
        <v>58</v>
      </c>
    </row>
    <row r="1527" spans="1:5" x14ac:dyDescent="0.3">
      <c r="A1527" t="s">
        <v>47</v>
      </c>
      <c r="B1527" s="1">
        <v>44717</v>
      </c>
      <c r="C1527">
        <v>1</v>
      </c>
      <c r="D1527">
        <v>43.2</v>
      </c>
      <c r="E1527">
        <v>67</v>
      </c>
    </row>
    <row r="1528" spans="1:5" x14ac:dyDescent="0.3">
      <c r="A1528" t="s">
        <v>90</v>
      </c>
      <c r="B1528" s="1">
        <v>44717</v>
      </c>
      <c r="C1528">
        <v>1</v>
      </c>
      <c r="D1528">
        <v>391.02</v>
      </c>
      <c r="E1528">
        <v>470</v>
      </c>
    </row>
    <row r="1529" spans="1:5" x14ac:dyDescent="0.3">
      <c r="A1529" t="s">
        <v>12</v>
      </c>
      <c r="B1529" s="1">
        <v>44717</v>
      </c>
      <c r="C1529">
        <v>1</v>
      </c>
      <c r="D1529">
        <v>56.98</v>
      </c>
      <c r="E1529">
        <v>72</v>
      </c>
    </row>
    <row r="1530" spans="1:5" x14ac:dyDescent="0.3">
      <c r="A1530" t="s">
        <v>46</v>
      </c>
      <c r="B1530" s="1">
        <v>44717</v>
      </c>
      <c r="C1530">
        <v>1</v>
      </c>
      <c r="D1530">
        <v>19.43</v>
      </c>
      <c r="E1530">
        <v>24</v>
      </c>
    </row>
    <row r="1531" spans="1:5" x14ac:dyDescent="0.3">
      <c r="A1531" t="s">
        <v>5</v>
      </c>
      <c r="B1531" s="1">
        <v>44717</v>
      </c>
      <c r="C1531">
        <v>1</v>
      </c>
      <c r="D1531">
        <v>130.43</v>
      </c>
      <c r="E1531">
        <v>157</v>
      </c>
    </row>
    <row r="1532" spans="1:5" x14ac:dyDescent="0.3">
      <c r="A1532" t="s">
        <v>130</v>
      </c>
      <c r="B1532" s="1">
        <v>44717</v>
      </c>
      <c r="C1532">
        <v>1</v>
      </c>
      <c r="D1532">
        <v>23.53</v>
      </c>
      <c r="E1532">
        <v>29</v>
      </c>
    </row>
    <row r="1533" spans="1:5" x14ac:dyDescent="0.3">
      <c r="A1533" t="s">
        <v>56</v>
      </c>
      <c r="B1533" s="1">
        <v>44717</v>
      </c>
      <c r="C1533">
        <v>1</v>
      </c>
      <c r="D1533">
        <v>45.32</v>
      </c>
      <c r="E1533">
        <v>69</v>
      </c>
    </row>
    <row r="1534" spans="1:5" x14ac:dyDescent="0.3">
      <c r="A1534" t="s">
        <v>21</v>
      </c>
      <c r="B1534" s="1">
        <v>44717</v>
      </c>
      <c r="C1534">
        <v>1</v>
      </c>
      <c r="D1534">
        <v>184.39</v>
      </c>
      <c r="E1534">
        <v>257</v>
      </c>
    </row>
    <row r="1535" spans="1:5" x14ac:dyDescent="0.3">
      <c r="A1535" t="s">
        <v>152</v>
      </c>
      <c r="B1535" s="1">
        <v>44717</v>
      </c>
      <c r="C1535">
        <v>1</v>
      </c>
      <c r="D1535">
        <v>111.18</v>
      </c>
      <c r="E1535">
        <v>139</v>
      </c>
    </row>
    <row r="1536" spans="1:5" x14ac:dyDescent="0.3">
      <c r="A1536" t="s">
        <v>131</v>
      </c>
      <c r="B1536" s="1">
        <v>44717</v>
      </c>
      <c r="C1536">
        <v>1</v>
      </c>
      <c r="D1536">
        <v>361.91</v>
      </c>
      <c r="E1536">
        <v>424</v>
      </c>
    </row>
    <row r="1537" spans="1:5" x14ac:dyDescent="0.3">
      <c r="A1537" t="s">
        <v>130</v>
      </c>
      <c r="B1537" s="1">
        <v>44717</v>
      </c>
      <c r="C1537">
        <v>1</v>
      </c>
      <c r="D1537">
        <v>23.56</v>
      </c>
      <c r="E1537">
        <v>29</v>
      </c>
    </row>
    <row r="1538" spans="1:5" x14ac:dyDescent="0.3">
      <c r="A1538" t="s">
        <v>130</v>
      </c>
      <c r="B1538" s="1">
        <v>44717</v>
      </c>
      <c r="C1538">
        <v>1</v>
      </c>
      <c r="D1538">
        <v>23.56</v>
      </c>
      <c r="E1538">
        <v>29</v>
      </c>
    </row>
    <row r="1539" spans="1:5" x14ac:dyDescent="0.3">
      <c r="A1539" t="s">
        <v>130</v>
      </c>
      <c r="B1539" s="1">
        <v>44717</v>
      </c>
      <c r="C1539">
        <v>1</v>
      </c>
      <c r="D1539">
        <v>23.56</v>
      </c>
      <c r="E1539">
        <v>29</v>
      </c>
    </row>
    <row r="1540" spans="1:5" x14ac:dyDescent="0.3">
      <c r="A1540" t="s">
        <v>130</v>
      </c>
      <c r="B1540" s="1">
        <v>44717</v>
      </c>
      <c r="C1540">
        <v>1</v>
      </c>
      <c r="D1540">
        <v>23.56</v>
      </c>
      <c r="E1540">
        <v>29</v>
      </c>
    </row>
    <row r="1541" spans="1:5" x14ac:dyDescent="0.3">
      <c r="A1541" t="s">
        <v>130</v>
      </c>
      <c r="B1541" s="1">
        <v>44717</v>
      </c>
      <c r="C1541">
        <v>1</v>
      </c>
      <c r="D1541">
        <v>23.56</v>
      </c>
      <c r="E1541">
        <v>29</v>
      </c>
    </row>
    <row r="1542" spans="1:5" x14ac:dyDescent="0.3">
      <c r="A1542" t="s">
        <v>130</v>
      </c>
      <c r="B1542" s="1">
        <v>44717</v>
      </c>
      <c r="C1542">
        <v>1</v>
      </c>
      <c r="D1542">
        <v>23.56</v>
      </c>
      <c r="E1542">
        <v>29</v>
      </c>
    </row>
    <row r="1543" spans="1:5" x14ac:dyDescent="0.3">
      <c r="A1543" t="s">
        <v>9</v>
      </c>
      <c r="B1543" s="1">
        <v>44717</v>
      </c>
      <c r="C1543">
        <v>1</v>
      </c>
      <c r="D1543">
        <v>80.69</v>
      </c>
      <c r="E1543">
        <v>100</v>
      </c>
    </row>
    <row r="1544" spans="1:5" x14ac:dyDescent="0.3">
      <c r="A1544" t="s">
        <v>45</v>
      </c>
      <c r="B1544" s="1">
        <v>44717</v>
      </c>
      <c r="C1544">
        <v>1</v>
      </c>
      <c r="D1544">
        <v>29.26</v>
      </c>
      <c r="E1544">
        <v>48</v>
      </c>
    </row>
    <row r="1545" spans="1:5" x14ac:dyDescent="0.3">
      <c r="A1545" t="s">
        <v>157</v>
      </c>
      <c r="B1545" s="1">
        <v>44717</v>
      </c>
      <c r="C1545">
        <v>1</v>
      </c>
      <c r="D1545">
        <v>12</v>
      </c>
      <c r="E1545">
        <v>20</v>
      </c>
    </row>
    <row r="1546" spans="1:5" x14ac:dyDescent="0.3">
      <c r="A1546" t="s">
        <v>111</v>
      </c>
      <c r="B1546" s="1">
        <v>44717</v>
      </c>
      <c r="C1546">
        <v>1</v>
      </c>
      <c r="D1546">
        <v>163.29</v>
      </c>
      <c r="E1546">
        <v>196</v>
      </c>
    </row>
    <row r="1547" spans="1:5" x14ac:dyDescent="0.3">
      <c r="A1547" t="s">
        <v>122</v>
      </c>
      <c r="B1547" s="1">
        <v>44717</v>
      </c>
      <c r="C1547">
        <v>1</v>
      </c>
      <c r="D1547">
        <v>21.07</v>
      </c>
      <c r="E1547">
        <v>26</v>
      </c>
    </row>
    <row r="1548" spans="1:5" x14ac:dyDescent="0.3">
      <c r="A1548" t="s">
        <v>45</v>
      </c>
      <c r="B1548" s="1">
        <v>44717</v>
      </c>
      <c r="C1548">
        <v>1</v>
      </c>
      <c r="D1548">
        <v>28.21</v>
      </c>
      <c r="E1548">
        <v>46</v>
      </c>
    </row>
    <row r="1549" spans="1:5" x14ac:dyDescent="0.3">
      <c r="A1549" t="s">
        <v>122</v>
      </c>
      <c r="B1549" s="1">
        <v>44717</v>
      </c>
      <c r="C1549">
        <v>1</v>
      </c>
      <c r="D1549">
        <v>21.07</v>
      </c>
      <c r="E1549">
        <v>26</v>
      </c>
    </row>
    <row r="1550" spans="1:5" x14ac:dyDescent="0.3">
      <c r="A1550" t="s">
        <v>59</v>
      </c>
      <c r="B1550" s="1">
        <v>44717</v>
      </c>
      <c r="C1550">
        <v>1</v>
      </c>
      <c r="D1550">
        <v>14.55</v>
      </c>
      <c r="E1550">
        <v>24</v>
      </c>
    </row>
    <row r="1551" spans="1:5" x14ac:dyDescent="0.3">
      <c r="A1551" t="s">
        <v>127</v>
      </c>
      <c r="B1551" s="1">
        <v>44717</v>
      </c>
      <c r="C1551">
        <v>1</v>
      </c>
      <c r="D1551">
        <v>119.8</v>
      </c>
      <c r="E1551">
        <v>167</v>
      </c>
    </row>
    <row r="1552" spans="1:5" x14ac:dyDescent="0.3">
      <c r="A1552" t="s">
        <v>12</v>
      </c>
      <c r="B1552" s="1">
        <v>44717</v>
      </c>
      <c r="C1552">
        <v>1</v>
      </c>
      <c r="D1552">
        <v>56.03</v>
      </c>
      <c r="E1552">
        <v>70</v>
      </c>
    </row>
    <row r="1553" spans="1:5" x14ac:dyDescent="0.3">
      <c r="A1553" t="s">
        <v>24</v>
      </c>
      <c r="B1553" s="1">
        <v>44717</v>
      </c>
      <c r="C1553">
        <v>1</v>
      </c>
      <c r="D1553">
        <v>103.46</v>
      </c>
      <c r="E1553">
        <v>121</v>
      </c>
    </row>
    <row r="1554" spans="1:5" x14ac:dyDescent="0.3">
      <c r="A1554" t="s">
        <v>24</v>
      </c>
      <c r="B1554" s="1">
        <v>44717</v>
      </c>
      <c r="C1554">
        <v>1</v>
      </c>
      <c r="D1554">
        <v>101.95</v>
      </c>
      <c r="E1554">
        <v>122</v>
      </c>
    </row>
    <row r="1555" spans="1:5" x14ac:dyDescent="0.3">
      <c r="A1555" t="s">
        <v>85</v>
      </c>
      <c r="B1555" s="1">
        <v>44717</v>
      </c>
      <c r="C1555">
        <v>1</v>
      </c>
      <c r="D1555">
        <v>14.38</v>
      </c>
      <c r="E1555">
        <v>23</v>
      </c>
    </row>
    <row r="1556" spans="1:5" x14ac:dyDescent="0.3">
      <c r="A1556" t="s">
        <v>85</v>
      </c>
      <c r="B1556" s="1">
        <v>44717</v>
      </c>
      <c r="C1556">
        <v>1</v>
      </c>
      <c r="D1556">
        <v>14.38</v>
      </c>
      <c r="E1556">
        <v>23</v>
      </c>
    </row>
    <row r="1557" spans="1:5" x14ac:dyDescent="0.3">
      <c r="A1557" t="s">
        <v>85</v>
      </c>
      <c r="B1557" s="1">
        <v>44717</v>
      </c>
      <c r="C1557">
        <v>1</v>
      </c>
      <c r="D1557">
        <v>14.38</v>
      </c>
      <c r="E1557">
        <v>23</v>
      </c>
    </row>
    <row r="1558" spans="1:5" x14ac:dyDescent="0.3">
      <c r="A1558" t="s">
        <v>85</v>
      </c>
      <c r="B1558" s="1">
        <v>44717</v>
      </c>
      <c r="C1558">
        <v>1</v>
      </c>
      <c r="D1558">
        <v>14.38</v>
      </c>
      <c r="E1558">
        <v>23</v>
      </c>
    </row>
    <row r="1559" spans="1:5" x14ac:dyDescent="0.3">
      <c r="A1559" t="s">
        <v>28</v>
      </c>
      <c r="B1559" s="1">
        <v>44717</v>
      </c>
      <c r="C1559">
        <v>1</v>
      </c>
      <c r="D1559">
        <v>148.91</v>
      </c>
      <c r="E1559">
        <v>207</v>
      </c>
    </row>
    <row r="1560" spans="1:5" x14ac:dyDescent="0.3">
      <c r="A1560" t="s">
        <v>135</v>
      </c>
      <c r="B1560" s="1">
        <v>44717</v>
      </c>
      <c r="C1560">
        <v>1</v>
      </c>
      <c r="D1560">
        <v>72.31</v>
      </c>
      <c r="E1560">
        <v>90</v>
      </c>
    </row>
    <row r="1561" spans="1:5" x14ac:dyDescent="0.3">
      <c r="A1561" t="s">
        <v>48</v>
      </c>
      <c r="B1561" s="1">
        <v>44717</v>
      </c>
      <c r="C1561">
        <v>1</v>
      </c>
      <c r="D1561">
        <v>38.89</v>
      </c>
      <c r="E1561">
        <v>60</v>
      </c>
    </row>
    <row r="1562" spans="1:5" x14ac:dyDescent="0.3">
      <c r="A1562" t="s">
        <v>150</v>
      </c>
      <c r="B1562" s="1">
        <v>44717</v>
      </c>
      <c r="C1562">
        <v>1</v>
      </c>
      <c r="D1562">
        <v>94.8</v>
      </c>
      <c r="E1562">
        <v>147</v>
      </c>
    </row>
    <row r="1563" spans="1:5" x14ac:dyDescent="0.3">
      <c r="A1563" t="s">
        <v>60</v>
      </c>
      <c r="B1563" s="1">
        <v>44717</v>
      </c>
      <c r="C1563">
        <v>1</v>
      </c>
      <c r="D1563">
        <v>59.2</v>
      </c>
      <c r="E1563">
        <v>74</v>
      </c>
    </row>
    <row r="1564" spans="1:5" x14ac:dyDescent="0.3">
      <c r="A1564" t="s">
        <v>60</v>
      </c>
      <c r="B1564" s="1">
        <v>44717</v>
      </c>
      <c r="C1564">
        <v>1</v>
      </c>
      <c r="D1564">
        <v>59.2</v>
      </c>
      <c r="E1564">
        <v>74</v>
      </c>
    </row>
    <row r="1565" spans="1:5" x14ac:dyDescent="0.3">
      <c r="A1565" t="s">
        <v>52</v>
      </c>
      <c r="B1565" s="1">
        <v>44717</v>
      </c>
      <c r="C1565">
        <v>1</v>
      </c>
      <c r="D1565">
        <v>205</v>
      </c>
      <c r="E1565">
        <v>250</v>
      </c>
    </row>
    <row r="1566" spans="1:5" x14ac:dyDescent="0.3">
      <c r="A1566" t="s">
        <v>95</v>
      </c>
      <c r="B1566" s="1">
        <v>44717</v>
      </c>
      <c r="C1566">
        <v>0.5</v>
      </c>
      <c r="D1566">
        <v>113.82</v>
      </c>
      <c r="E1566">
        <v>173</v>
      </c>
    </row>
    <row r="1567" spans="1:5" x14ac:dyDescent="0.3">
      <c r="A1567" t="s">
        <v>19</v>
      </c>
      <c r="B1567" s="1">
        <v>44717</v>
      </c>
      <c r="C1567">
        <v>1</v>
      </c>
      <c r="D1567">
        <v>81.95</v>
      </c>
      <c r="E1567">
        <v>102</v>
      </c>
    </row>
    <row r="1568" spans="1:5" x14ac:dyDescent="0.3">
      <c r="A1568" t="s">
        <v>106</v>
      </c>
      <c r="B1568" s="1">
        <v>44717</v>
      </c>
      <c r="C1568">
        <v>1</v>
      </c>
      <c r="D1568">
        <v>40.659999999999997</v>
      </c>
      <c r="E1568">
        <v>50</v>
      </c>
    </row>
    <row r="1569" spans="1:5" x14ac:dyDescent="0.3">
      <c r="A1569" t="s">
        <v>25</v>
      </c>
      <c r="B1569" s="1">
        <v>44717</v>
      </c>
      <c r="C1569">
        <v>1</v>
      </c>
      <c r="D1569">
        <v>147.55000000000001</v>
      </c>
      <c r="E1569">
        <v>181</v>
      </c>
    </row>
    <row r="1570" spans="1:5" x14ac:dyDescent="0.3">
      <c r="A1570" t="s">
        <v>25</v>
      </c>
      <c r="B1570" s="1">
        <v>44717</v>
      </c>
      <c r="C1570">
        <v>1</v>
      </c>
      <c r="D1570">
        <v>147.55000000000001</v>
      </c>
      <c r="E1570">
        <v>181</v>
      </c>
    </row>
    <row r="1571" spans="1:5" x14ac:dyDescent="0.3">
      <c r="A1571" t="s">
        <v>12</v>
      </c>
      <c r="B1571" s="1">
        <v>44717</v>
      </c>
      <c r="C1571">
        <v>1</v>
      </c>
      <c r="D1571">
        <v>56.1</v>
      </c>
      <c r="E1571">
        <v>70</v>
      </c>
    </row>
    <row r="1572" spans="1:5" x14ac:dyDescent="0.3">
      <c r="A1572" t="s">
        <v>44</v>
      </c>
      <c r="B1572" s="1">
        <v>44717</v>
      </c>
      <c r="C1572">
        <v>1</v>
      </c>
      <c r="D1572">
        <v>64.53</v>
      </c>
      <c r="E1572">
        <v>101</v>
      </c>
    </row>
    <row r="1573" spans="1:5" x14ac:dyDescent="0.3">
      <c r="A1573" t="s">
        <v>8</v>
      </c>
      <c r="B1573" s="1">
        <v>44717</v>
      </c>
      <c r="C1573">
        <v>1</v>
      </c>
      <c r="D1573">
        <v>47.82</v>
      </c>
      <c r="E1573">
        <v>83</v>
      </c>
    </row>
    <row r="1574" spans="1:5" x14ac:dyDescent="0.3">
      <c r="A1574" t="s">
        <v>50</v>
      </c>
      <c r="B1574" s="1">
        <v>44717</v>
      </c>
      <c r="C1574">
        <v>1</v>
      </c>
      <c r="D1574">
        <v>43.92</v>
      </c>
      <c r="E1574">
        <v>55</v>
      </c>
    </row>
    <row r="1575" spans="1:5" x14ac:dyDescent="0.3">
      <c r="A1575" t="s">
        <v>24</v>
      </c>
      <c r="B1575" s="1">
        <v>44717</v>
      </c>
      <c r="C1575">
        <v>1</v>
      </c>
      <c r="D1575">
        <v>101.95</v>
      </c>
      <c r="E1575">
        <v>120</v>
      </c>
    </row>
    <row r="1576" spans="1:5" x14ac:dyDescent="0.3">
      <c r="A1576" t="s">
        <v>138</v>
      </c>
      <c r="B1576" s="1">
        <v>44717</v>
      </c>
      <c r="C1576">
        <v>1</v>
      </c>
      <c r="D1576">
        <v>46.5</v>
      </c>
      <c r="E1576">
        <v>75</v>
      </c>
    </row>
    <row r="1577" spans="1:5" x14ac:dyDescent="0.3">
      <c r="A1577" t="s">
        <v>138</v>
      </c>
      <c r="B1577" s="1">
        <v>44717</v>
      </c>
      <c r="C1577">
        <v>1</v>
      </c>
      <c r="D1577">
        <v>46.5</v>
      </c>
      <c r="E1577">
        <v>75</v>
      </c>
    </row>
    <row r="1578" spans="1:5" x14ac:dyDescent="0.3">
      <c r="A1578" t="s">
        <v>97</v>
      </c>
      <c r="B1578" s="1">
        <v>44717</v>
      </c>
      <c r="C1578">
        <v>1</v>
      </c>
      <c r="D1578">
        <v>426.66</v>
      </c>
      <c r="E1578">
        <v>564</v>
      </c>
    </row>
    <row r="1579" spans="1:5" x14ac:dyDescent="0.3">
      <c r="A1579" t="s">
        <v>138</v>
      </c>
      <c r="B1579" s="1">
        <v>44717</v>
      </c>
      <c r="C1579">
        <v>1</v>
      </c>
      <c r="D1579">
        <v>46.5</v>
      </c>
      <c r="E1579">
        <v>76</v>
      </c>
    </row>
    <row r="1580" spans="1:5" x14ac:dyDescent="0.3">
      <c r="A1580" t="s">
        <v>99</v>
      </c>
      <c r="B1580" s="1">
        <v>44717</v>
      </c>
      <c r="C1580">
        <v>1</v>
      </c>
      <c r="D1580">
        <v>64.25</v>
      </c>
      <c r="E1580">
        <v>80</v>
      </c>
    </row>
    <row r="1581" spans="1:5" x14ac:dyDescent="0.3">
      <c r="A1581" t="s">
        <v>24</v>
      </c>
      <c r="B1581" s="1">
        <v>44717</v>
      </c>
      <c r="C1581">
        <v>1</v>
      </c>
      <c r="D1581">
        <v>101.95</v>
      </c>
      <c r="E1581">
        <v>120</v>
      </c>
    </row>
    <row r="1582" spans="1:5" x14ac:dyDescent="0.3">
      <c r="A1582" t="s">
        <v>31</v>
      </c>
      <c r="B1582" s="1">
        <v>44717</v>
      </c>
      <c r="C1582">
        <v>1</v>
      </c>
      <c r="D1582">
        <v>13.36</v>
      </c>
      <c r="E1582">
        <v>18</v>
      </c>
    </row>
    <row r="1583" spans="1:5" x14ac:dyDescent="0.3">
      <c r="A1583" t="s">
        <v>24</v>
      </c>
      <c r="B1583" s="1">
        <v>44717</v>
      </c>
      <c r="C1583">
        <v>1</v>
      </c>
      <c r="D1583">
        <v>101.95</v>
      </c>
      <c r="E1583">
        <v>122</v>
      </c>
    </row>
    <row r="1584" spans="1:5" x14ac:dyDescent="0.3">
      <c r="A1584" t="s">
        <v>48</v>
      </c>
      <c r="B1584" s="1">
        <v>44717</v>
      </c>
      <c r="C1584">
        <v>1</v>
      </c>
      <c r="D1584">
        <v>41.43</v>
      </c>
      <c r="E1584">
        <v>66</v>
      </c>
    </row>
    <row r="1585" spans="1:5" x14ac:dyDescent="0.3">
      <c r="A1585" t="s">
        <v>77</v>
      </c>
      <c r="B1585" s="1">
        <v>44717</v>
      </c>
      <c r="C1585">
        <v>1</v>
      </c>
      <c r="D1585">
        <v>65.89</v>
      </c>
      <c r="E1585">
        <v>81</v>
      </c>
    </row>
    <row r="1586" spans="1:5" x14ac:dyDescent="0.3">
      <c r="A1586" t="s">
        <v>44</v>
      </c>
      <c r="B1586" s="1">
        <v>44717</v>
      </c>
      <c r="C1586">
        <v>1</v>
      </c>
      <c r="D1586">
        <v>69.959999999999994</v>
      </c>
      <c r="E1586">
        <v>112</v>
      </c>
    </row>
    <row r="1587" spans="1:5" x14ac:dyDescent="0.3">
      <c r="A1587" t="s">
        <v>91</v>
      </c>
      <c r="B1587" s="1">
        <v>44717</v>
      </c>
      <c r="C1587">
        <v>1</v>
      </c>
      <c r="D1587">
        <v>35.340000000000003</v>
      </c>
      <c r="E1587">
        <v>58</v>
      </c>
    </row>
    <row r="1588" spans="1:5" x14ac:dyDescent="0.3">
      <c r="A1588" t="s">
        <v>10</v>
      </c>
      <c r="B1588" s="1">
        <v>44717</v>
      </c>
      <c r="C1588">
        <v>1</v>
      </c>
      <c r="D1588">
        <v>11.67</v>
      </c>
      <c r="E1588">
        <v>14</v>
      </c>
    </row>
    <row r="1589" spans="1:5" x14ac:dyDescent="0.3">
      <c r="A1589" t="s">
        <v>10</v>
      </c>
      <c r="B1589" s="1">
        <v>44717</v>
      </c>
      <c r="C1589">
        <v>1</v>
      </c>
      <c r="D1589">
        <v>11.67</v>
      </c>
      <c r="E1589">
        <v>14</v>
      </c>
    </row>
    <row r="1590" spans="1:5" x14ac:dyDescent="0.3">
      <c r="A1590" t="s">
        <v>10</v>
      </c>
      <c r="B1590" s="1">
        <v>44717</v>
      </c>
      <c r="C1590">
        <v>1</v>
      </c>
      <c r="D1590">
        <v>11.67</v>
      </c>
      <c r="E1590">
        <v>14</v>
      </c>
    </row>
    <row r="1591" spans="1:5" x14ac:dyDescent="0.3">
      <c r="A1591" t="s">
        <v>95</v>
      </c>
      <c r="B1591" s="1">
        <v>44717</v>
      </c>
      <c r="C1591">
        <v>3</v>
      </c>
      <c r="D1591">
        <v>111.25</v>
      </c>
      <c r="E1591">
        <v>171</v>
      </c>
    </row>
    <row r="1592" spans="1:5" x14ac:dyDescent="0.3">
      <c r="A1592" t="s">
        <v>124</v>
      </c>
      <c r="B1592" s="1">
        <v>44717</v>
      </c>
      <c r="C1592">
        <v>1</v>
      </c>
      <c r="D1592">
        <v>48.86</v>
      </c>
      <c r="E1592">
        <v>79</v>
      </c>
    </row>
    <row r="1593" spans="1:5" x14ac:dyDescent="0.3">
      <c r="A1593" t="s">
        <v>128</v>
      </c>
      <c r="B1593" s="1">
        <v>44717</v>
      </c>
      <c r="C1593">
        <v>1</v>
      </c>
      <c r="D1593">
        <v>269.2</v>
      </c>
      <c r="E1593">
        <v>359</v>
      </c>
    </row>
    <row r="1594" spans="1:5" x14ac:dyDescent="0.3">
      <c r="A1594" t="s">
        <v>102</v>
      </c>
      <c r="B1594" s="1">
        <v>44717</v>
      </c>
      <c r="C1594">
        <v>1</v>
      </c>
      <c r="D1594">
        <v>25.97</v>
      </c>
      <c r="E1594">
        <v>32</v>
      </c>
    </row>
    <row r="1595" spans="1:5" x14ac:dyDescent="0.3">
      <c r="A1595" t="s">
        <v>102</v>
      </c>
      <c r="B1595" s="1">
        <v>44717</v>
      </c>
      <c r="C1595">
        <v>1</v>
      </c>
      <c r="D1595">
        <v>25.97</v>
      </c>
      <c r="E1595">
        <v>32</v>
      </c>
    </row>
    <row r="1596" spans="1:5" x14ac:dyDescent="0.3">
      <c r="A1596" t="s">
        <v>102</v>
      </c>
      <c r="B1596" s="1">
        <v>44717</v>
      </c>
      <c r="C1596">
        <v>1</v>
      </c>
      <c r="D1596">
        <v>25.97</v>
      </c>
      <c r="E1596">
        <v>32</v>
      </c>
    </row>
    <row r="1597" spans="1:5" x14ac:dyDescent="0.3">
      <c r="A1597" t="s">
        <v>26</v>
      </c>
      <c r="B1597" s="1">
        <v>44717</v>
      </c>
      <c r="C1597">
        <v>1</v>
      </c>
      <c r="D1597">
        <v>986.58</v>
      </c>
      <c r="E1597">
        <v>1234</v>
      </c>
    </row>
    <row r="1598" spans="1:5" x14ac:dyDescent="0.3">
      <c r="A1598" t="s">
        <v>83</v>
      </c>
      <c r="B1598" s="1">
        <v>44717</v>
      </c>
      <c r="C1598">
        <v>1</v>
      </c>
      <c r="D1598">
        <v>201.71</v>
      </c>
      <c r="E1598">
        <v>243</v>
      </c>
    </row>
    <row r="1599" spans="1:5" x14ac:dyDescent="0.3">
      <c r="A1599" t="s">
        <v>63</v>
      </c>
      <c r="B1599" s="1">
        <v>44717</v>
      </c>
      <c r="C1599">
        <v>1</v>
      </c>
      <c r="D1599">
        <v>71.45</v>
      </c>
      <c r="E1599">
        <v>86</v>
      </c>
    </row>
    <row r="1600" spans="1:5" x14ac:dyDescent="0.3">
      <c r="A1600" t="s">
        <v>63</v>
      </c>
      <c r="B1600" s="1">
        <v>44717</v>
      </c>
      <c r="C1600">
        <v>1</v>
      </c>
      <c r="D1600">
        <v>71.45</v>
      </c>
      <c r="E1600">
        <v>86</v>
      </c>
    </row>
    <row r="1601" spans="1:5" x14ac:dyDescent="0.3">
      <c r="A1601" t="s">
        <v>83</v>
      </c>
      <c r="B1601" s="1">
        <v>44717</v>
      </c>
      <c r="C1601">
        <v>1</v>
      </c>
      <c r="D1601">
        <v>198.56</v>
      </c>
      <c r="E1601">
        <v>239</v>
      </c>
    </row>
    <row r="1602" spans="1:5" x14ac:dyDescent="0.3">
      <c r="A1602" t="s">
        <v>83</v>
      </c>
      <c r="B1602" s="1">
        <v>44717</v>
      </c>
      <c r="C1602">
        <v>1</v>
      </c>
      <c r="D1602">
        <v>198.56</v>
      </c>
      <c r="E1602">
        <v>239</v>
      </c>
    </row>
    <row r="1603" spans="1:5" x14ac:dyDescent="0.3">
      <c r="A1603" t="s">
        <v>72</v>
      </c>
      <c r="B1603" s="1">
        <v>44717</v>
      </c>
      <c r="C1603">
        <v>1</v>
      </c>
      <c r="D1603">
        <v>556.51</v>
      </c>
      <c r="E1603">
        <v>735</v>
      </c>
    </row>
    <row r="1604" spans="1:5" x14ac:dyDescent="0.3">
      <c r="A1604" t="s">
        <v>89</v>
      </c>
      <c r="B1604" s="1">
        <v>44717</v>
      </c>
      <c r="C1604">
        <v>1</v>
      </c>
      <c r="D1604">
        <v>91.23</v>
      </c>
      <c r="E1604">
        <v>133</v>
      </c>
    </row>
    <row r="1605" spans="1:5" x14ac:dyDescent="0.3">
      <c r="A1605" t="s">
        <v>112</v>
      </c>
      <c r="B1605" s="1">
        <v>44717</v>
      </c>
      <c r="C1605">
        <v>1</v>
      </c>
      <c r="D1605">
        <v>251.13</v>
      </c>
      <c r="E1605">
        <v>295</v>
      </c>
    </row>
    <row r="1606" spans="1:5" x14ac:dyDescent="0.3">
      <c r="A1606" t="s">
        <v>39</v>
      </c>
      <c r="B1606" s="1">
        <v>44717</v>
      </c>
      <c r="C1606">
        <v>1</v>
      </c>
      <c r="D1606">
        <v>8.58</v>
      </c>
      <c r="E1606">
        <v>14</v>
      </c>
    </row>
    <row r="1607" spans="1:5" x14ac:dyDescent="0.3">
      <c r="A1607" t="s">
        <v>39</v>
      </c>
      <c r="B1607" s="1">
        <v>44717</v>
      </c>
      <c r="C1607">
        <v>1</v>
      </c>
      <c r="D1607">
        <v>8.58</v>
      </c>
      <c r="E1607">
        <v>14</v>
      </c>
    </row>
    <row r="1608" spans="1:5" x14ac:dyDescent="0.3">
      <c r="A1608" t="s">
        <v>56</v>
      </c>
      <c r="B1608" s="1">
        <v>44717</v>
      </c>
      <c r="C1608">
        <v>1</v>
      </c>
      <c r="D1608">
        <v>45.88</v>
      </c>
      <c r="E1608">
        <v>72</v>
      </c>
    </row>
    <row r="1609" spans="1:5" x14ac:dyDescent="0.3">
      <c r="A1609" t="s">
        <v>134</v>
      </c>
      <c r="B1609" s="1">
        <v>44717</v>
      </c>
      <c r="C1609">
        <v>1</v>
      </c>
      <c r="D1609">
        <v>26.91</v>
      </c>
      <c r="E1609">
        <v>43</v>
      </c>
    </row>
    <row r="1610" spans="1:5" x14ac:dyDescent="0.3">
      <c r="A1610" t="s">
        <v>146</v>
      </c>
      <c r="B1610" s="1">
        <v>44717</v>
      </c>
      <c r="C1610">
        <v>1</v>
      </c>
      <c r="D1610">
        <v>410.25</v>
      </c>
      <c r="E1610">
        <v>567</v>
      </c>
    </row>
    <row r="1611" spans="1:5" x14ac:dyDescent="0.3">
      <c r="A1611" t="s">
        <v>109</v>
      </c>
      <c r="B1611" s="1">
        <v>44717</v>
      </c>
      <c r="C1611">
        <v>1</v>
      </c>
      <c r="D1611">
        <v>87.07</v>
      </c>
      <c r="E1611">
        <v>97</v>
      </c>
    </row>
    <row r="1612" spans="1:5" x14ac:dyDescent="0.3">
      <c r="A1612" t="s">
        <v>109</v>
      </c>
      <c r="B1612" s="1">
        <v>44717</v>
      </c>
      <c r="C1612">
        <v>1</v>
      </c>
      <c r="D1612">
        <v>87.07</v>
      </c>
      <c r="E1612">
        <v>97</v>
      </c>
    </row>
    <row r="1613" spans="1:5" x14ac:dyDescent="0.3">
      <c r="A1613" t="s">
        <v>21</v>
      </c>
      <c r="B1613" s="1">
        <v>44717</v>
      </c>
      <c r="C1613">
        <v>1</v>
      </c>
      <c r="D1613">
        <v>184.39</v>
      </c>
      <c r="E1613">
        <v>268</v>
      </c>
    </row>
    <row r="1614" spans="1:5" x14ac:dyDescent="0.3">
      <c r="A1614" t="s">
        <v>77</v>
      </c>
      <c r="B1614" s="1">
        <v>44717</v>
      </c>
      <c r="C1614">
        <v>1</v>
      </c>
      <c r="D1614">
        <v>60.61</v>
      </c>
      <c r="E1614">
        <v>76</v>
      </c>
    </row>
    <row r="1615" spans="1:5" x14ac:dyDescent="0.3">
      <c r="A1615" t="s">
        <v>99</v>
      </c>
      <c r="B1615" s="1">
        <v>44717</v>
      </c>
      <c r="C1615">
        <v>1</v>
      </c>
      <c r="D1615">
        <v>64.25</v>
      </c>
      <c r="E1615">
        <v>80</v>
      </c>
    </row>
    <row r="1616" spans="1:5" x14ac:dyDescent="0.3">
      <c r="A1616" t="s">
        <v>44</v>
      </c>
      <c r="B1616" s="1">
        <v>44717</v>
      </c>
      <c r="C1616">
        <v>1</v>
      </c>
      <c r="D1616">
        <v>65.010000000000005</v>
      </c>
      <c r="E1616">
        <v>101</v>
      </c>
    </row>
    <row r="1617" spans="1:5" x14ac:dyDescent="0.3">
      <c r="A1617" t="s">
        <v>54</v>
      </c>
      <c r="B1617" s="1">
        <v>44717</v>
      </c>
      <c r="C1617">
        <v>1</v>
      </c>
      <c r="D1617">
        <v>718.05</v>
      </c>
      <c r="E1617">
        <v>927</v>
      </c>
    </row>
    <row r="1618" spans="1:5" x14ac:dyDescent="0.3">
      <c r="A1618" t="s">
        <v>51</v>
      </c>
      <c r="B1618" s="1">
        <v>44717</v>
      </c>
      <c r="C1618">
        <v>4</v>
      </c>
      <c r="D1618">
        <v>2.0099999999999998</v>
      </c>
      <c r="E1618">
        <v>4</v>
      </c>
    </row>
    <row r="1619" spans="1:5" x14ac:dyDescent="0.3">
      <c r="A1619" t="s">
        <v>25</v>
      </c>
      <c r="B1619" s="1">
        <v>44717</v>
      </c>
      <c r="C1619">
        <v>1</v>
      </c>
      <c r="D1619">
        <v>148.52000000000001</v>
      </c>
      <c r="E1619">
        <v>178</v>
      </c>
    </row>
    <row r="1620" spans="1:5" x14ac:dyDescent="0.3">
      <c r="A1620" t="s">
        <v>131</v>
      </c>
      <c r="B1620" s="1">
        <v>44717</v>
      </c>
      <c r="C1620">
        <v>1</v>
      </c>
      <c r="D1620">
        <v>361.91</v>
      </c>
      <c r="E1620">
        <v>424</v>
      </c>
    </row>
    <row r="1621" spans="1:5" x14ac:dyDescent="0.3">
      <c r="A1621" t="s">
        <v>24</v>
      </c>
      <c r="B1621" s="1">
        <v>44717</v>
      </c>
      <c r="C1621">
        <v>1</v>
      </c>
      <c r="D1621">
        <v>99.96</v>
      </c>
      <c r="E1621">
        <v>121</v>
      </c>
    </row>
    <row r="1622" spans="1:5" x14ac:dyDescent="0.3">
      <c r="A1622" t="s">
        <v>136</v>
      </c>
      <c r="B1622" s="1">
        <v>44717</v>
      </c>
      <c r="C1622">
        <v>1</v>
      </c>
      <c r="D1622">
        <v>286.72000000000003</v>
      </c>
      <c r="E1622">
        <v>382</v>
      </c>
    </row>
    <row r="1623" spans="1:5" x14ac:dyDescent="0.3">
      <c r="A1623" t="s">
        <v>53</v>
      </c>
      <c r="B1623" s="1">
        <v>44717</v>
      </c>
      <c r="C1623">
        <v>1</v>
      </c>
      <c r="D1623">
        <v>23.4</v>
      </c>
      <c r="E1623">
        <v>38</v>
      </c>
    </row>
    <row r="1624" spans="1:5" x14ac:dyDescent="0.3">
      <c r="A1624" t="s">
        <v>41</v>
      </c>
      <c r="B1624" s="1">
        <v>44717</v>
      </c>
      <c r="C1624">
        <v>2</v>
      </c>
      <c r="D1624">
        <v>11.52</v>
      </c>
      <c r="E1624">
        <v>20</v>
      </c>
    </row>
    <row r="1625" spans="1:5" x14ac:dyDescent="0.3">
      <c r="A1625" t="s">
        <v>46</v>
      </c>
      <c r="B1625" s="1">
        <v>44717</v>
      </c>
      <c r="C1625">
        <v>1</v>
      </c>
      <c r="D1625">
        <v>19.7</v>
      </c>
      <c r="E1625">
        <v>24</v>
      </c>
    </row>
    <row r="1626" spans="1:5" x14ac:dyDescent="0.3">
      <c r="A1626" t="s">
        <v>46</v>
      </c>
      <c r="B1626" s="1">
        <v>44717</v>
      </c>
      <c r="C1626">
        <v>1</v>
      </c>
      <c r="D1626">
        <v>19.7</v>
      </c>
      <c r="E1626">
        <v>24</v>
      </c>
    </row>
    <row r="1627" spans="1:5" x14ac:dyDescent="0.3">
      <c r="A1627" t="s">
        <v>60</v>
      </c>
      <c r="B1627" s="1">
        <v>44717</v>
      </c>
      <c r="C1627">
        <v>1</v>
      </c>
      <c r="D1627">
        <v>59.38</v>
      </c>
      <c r="E1627">
        <v>73</v>
      </c>
    </row>
    <row r="1628" spans="1:5" x14ac:dyDescent="0.3">
      <c r="A1628" t="s">
        <v>60</v>
      </c>
      <c r="B1628" s="1">
        <v>44717</v>
      </c>
      <c r="C1628">
        <v>1</v>
      </c>
      <c r="D1628">
        <v>59.38</v>
      </c>
      <c r="E1628">
        <v>73</v>
      </c>
    </row>
    <row r="1629" spans="1:5" x14ac:dyDescent="0.3">
      <c r="A1629" t="s">
        <v>111</v>
      </c>
      <c r="B1629" s="1">
        <v>44717</v>
      </c>
      <c r="C1629">
        <v>1</v>
      </c>
      <c r="D1629">
        <v>163.16</v>
      </c>
      <c r="E1629">
        <v>196</v>
      </c>
    </row>
    <row r="1630" spans="1:5" x14ac:dyDescent="0.3">
      <c r="A1630" t="s">
        <v>7</v>
      </c>
      <c r="B1630" s="1">
        <v>44717</v>
      </c>
      <c r="C1630">
        <v>1</v>
      </c>
      <c r="D1630">
        <v>88.73</v>
      </c>
      <c r="E1630">
        <v>104</v>
      </c>
    </row>
    <row r="1631" spans="1:5" x14ac:dyDescent="0.3">
      <c r="A1631" t="s">
        <v>57</v>
      </c>
      <c r="B1631" s="1">
        <v>44717</v>
      </c>
      <c r="C1631">
        <v>1</v>
      </c>
      <c r="D1631">
        <v>233.06</v>
      </c>
      <c r="E1631">
        <v>273</v>
      </c>
    </row>
    <row r="1632" spans="1:5" x14ac:dyDescent="0.3">
      <c r="A1632" t="s">
        <v>30</v>
      </c>
      <c r="B1632" s="1">
        <v>44717</v>
      </c>
      <c r="C1632">
        <v>1</v>
      </c>
      <c r="D1632">
        <v>156.19999999999999</v>
      </c>
      <c r="E1632">
        <v>186</v>
      </c>
    </row>
    <row r="1633" spans="1:5" x14ac:dyDescent="0.3">
      <c r="A1633" t="s">
        <v>49</v>
      </c>
      <c r="B1633" s="1">
        <v>44717</v>
      </c>
      <c r="C1633">
        <v>1</v>
      </c>
      <c r="D1633">
        <v>15.8</v>
      </c>
      <c r="E1633">
        <v>19</v>
      </c>
    </row>
    <row r="1634" spans="1:5" x14ac:dyDescent="0.3">
      <c r="A1634" t="s">
        <v>49</v>
      </c>
      <c r="B1634" s="1">
        <v>44717</v>
      </c>
      <c r="C1634">
        <v>1</v>
      </c>
      <c r="D1634">
        <v>15.8</v>
      </c>
      <c r="E1634">
        <v>19</v>
      </c>
    </row>
    <row r="1635" spans="1:5" x14ac:dyDescent="0.3">
      <c r="A1635" t="s">
        <v>100</v>
      </c>
      <c r="B1635" s="1">
        <v>44717</v>
      </c>
      <c r="C1635">
        <v>1</v>
      </c>
      <c r="D1635">
        <v>37.479999999999997</v>
      </c>
      <c r="E1635">
        <v>57</v>
      </c>
    </row>
    <row r="1636" spans="1:5" x14ac:dyDescent="0.3">
      <c r="A1636" t="s">
        <v>100</v>
      </c>
      <c r="B1636" s="1">
        <v>44717</v>
      </c>
      <c r="C1636">
        <v>1</v>
      </c>
      <c r="D1636">
        <v>37.479999999999997</v>
      </c>
      <c r="E1636">
        <v>57</v>
      </c>
    </row>
    <row r="1637" spans="1:5" x14ac:dyDescent="0.3">
      <c r="A1637" t="s">
        <v>118</v>
      </c>
      <c r="B1637" s="1">
        <v>44717</v>
      </c>
      <c r="C1637">
        <v>1</v>
      </c>
      <c r="D1637">
        <v>10.78</v>
      </c>
      <c r="E1637">
        <v>13</v>
      </c>
    </row>
    <row r="1638" spans="1:5" x14ac:dyDescent="0.3">
      <c r="A1638" t="s">
        <v>75</v>
      </c>
      <c r="B1638" s="1">
        <v>44717</v>
      </c>
      <c r="C1638">
        <v>0.1</v>
      </c>
      <c r="D1638">
        <v>430.44</v>
      </c>
      <c r="E1638">
        <v>633</v>
      </c>
    </row>
    <row r="1639" spans="1:5" x14ac:dyDescent="0.3">
      <c r="A1639" t="s">
        <v>34</v>
      </c>
      <c r="B1639" s="1">
        <v>44717</v>
      </c>
      <c r="C1639">
        <v>1</v>
      </c>
      <c r="D1639">
        <v>201.73</v>
      </c>
      <c r="E1639">
        <v>232</v>
      </c>
    </row>
    <row r="1640" spans="1:5" x14ac:dyDescent="0.3">
      <c r="A1640" t="s">
        <v>158</v>
      </c>
      <c r="B1640" s="1">
        <v>44717</v>
      </c>
      <c r="C1640">
        <v>1</v>
      </c>
      <c r="D1640">
        <v>31.21</v>
      </c>
      <c r="E1640">
        <v>39</v>
      </c>
    </row>
    <row r="1641" spans="1:5" x14ac:dyDescent="0.3">
      <c r="A1641" t="s">
        <v>158</v>
      </c>
      <c r="B1641" s="1">
        <v>44717</v>
      </c>
      <c r="C1641">
        <v>1</v>
      </c>
      <c r="D1641">
        <v>24.12</v>
      </c>
      <c r="E1641">
        <v>32</v>
      </c>
    </row>
    <row r="1642" spans="1:5" x14ac:dyDescent="0.3">
      <c r="A1642" t="s">
        <v>158</v>
      </c>
      <c r="B1642" s="1">
        <v>44717</v>
      </c>
      <c r="C1642">
        <v>1</v>
      </c>
      <c r="D1642">
        <v>24.12</v>
      </c>
      <c r="E1642">
        <v>32</v>
      </c>
    </row>
    <row r="1643" spans="1:5" x14ac:dyDescent="0.3">
      <c r="A1643" t="s">
        <v>158</v>
      </c>
      <c r="B1643" s="1">
        <v>44717</v>
      </c>
      <c r="C1643">
        <v>1</v>
      </c>
      <c r="D1643">
        <v>24.12</v>
      </c>
      <c r="E1643">
        <v>32</v>
      </c>
    </row>
    <row r="1644" spans="1:5" x14ac:dyDescent="0.3">
      <c r="A1644" t="s">
        <v>158</v>
      </c>
      <c r="B1644" s="1">
        <v>44717</v>
      </c>
      <c r="C1644">
        <v>1</v>
      </c>
      <c r="D1644">
        <v>24.12</v>
      </c>
      <c r="E1644">
        <v>32</v>
      </c>
    </row>
    <row r="1645" spans="1:5" x14ac:dyDescent="0.3">
      <c r="A1645" t="s">
        <v>145</v>
      </c>
      <c r="B1645" s="1">
        <v>44717</v>
      </c>
      <c r="C1645">
        <v>1</v>
      </c>
      <c r="D1645">
        <v>25.3</v>
      </c>
      <c r="E1645">
        <v>31</v>
      </c>
    </row>
    <row r="1646" spans="1:5" x14ac:dyDescent="0.3">
      <c r="A1646" t="s">
        <v>150</v>
      </c>
      <c r="B1646" s="1">
        <v>44717</v>
      </c>
      <c r="C1646">
        <v>1</v>
      </c>
      <c r="D1646">
        <v>94.8</v>
      </c>
      <c r="E1646">
        <v>147</v>
      </c>
    </row>
    <row r="1647" spans="1:5" x14ac:dyDescent="0.3">
      <c r="A1647" t="s">
        <v>21</v>
      </c>
      <c r="B1647" s="1">
        <v>44717</v>
      </c>
      <c r="C1647">
        <v>1</v>
      </c>
      <c r="D1647">
        <v>182.55</v>
      </c>
      <c r="E1647">
        <v>247</v>
      </c>
    </row>
    <row r="1648" spans="1:5" x14ac:dyDescent="0.3">
      <c r="A1648" t="s">
        <v>65</v>
      </c>
      <c r="B1648" s="1">
        <v>44717</v>
      </c>
      <c r="C1648">
        <v>1</v>
      </c>
      <c r="D1648">
        <v>187.74</v>
      </c>
      <c r="E1648">
        <v>239</v>
      </c>
    </row>
    <row r="1649" spans="1:5" x14ac:dyDescent="0.3">
      <c r="A1649" t="s">
        <v>97</v>
      </c>
      <c r="B1649" s="1">
        <v>44717</v>
      </c>
      <c r="C1649">
        <v>1</v>
      </c>
      <c r="D1649">
        <v>426.66</v>
      </c>
      <c r="E1649">
        <v>564</v>
      </c>
    </row>
    <row r="1650" spans="1:5" x14ac:dyDescent="0.3">
      <c r="A1650" t="s">
        <v>52</v>
      </c>
      <c r="B1650" s="1">
        <v>44717</v>
      </c>
      <c r="C1650">
        <v>1</v>
      </c>
      <c r="D1650">
        <v>205</v>
      </c>
      <c r="E1650">
        <v>250</v>
      </c>
    </row>
    <row r="1651" spans="1:5" x14ac:dyDescent="0.3">
      <c r="A1651" t="s">
        <v>114</v>
      </c>
      <c r="B1651" s="1">
        <v>44717</v>
      </c>
      <c r="C1651">
        <v>1</v>
      </c>
      <c r="D1651">
        <v>74.8</v>
      </c>
      <c r="E1651">
        <v>92</v>
      </c>
    </row>
    <row r="1652" spans="1:5" x14ac:dyDescent="0.3">
      <c r="A1652" t="s">
        <v>112</v>
      </c>
      <c r="B1652" s="1">
        <v>44717</v>
      </c>
      <c r="C1652">
        <v>1</v>
      </c>
      <c r="D1652">
        <v>251.13</v>
      </c>
      <c r="E1652">
        <v>295</v>
      </c>
    </row>
    <row r="1653" spans="1:5" x14ac:dyDescent="0.3">
      <c r="A1653" t="s">
        <v>60</v>
      </c>
      <c r="B1653" s="1">
        <v>44717</v>
      </c>
      <c r="C1653">
        <v>1</v>
      </c>
      <c r="D1653">
        <v>56.76</v>
      </c>
      <c r="E1653">
        <v>71</v>
      </c>
    </row>
    <row r="1654" spans="1:5" x14ac:dyDescent="0.3">
      <c r="A1654" t="s">
        <v>69</v>
      </c>
      <c r="B1654" s="1">
        <v>44717</v>
      </c>
      <c r="C1654">
        <v>1</v>
      </c>
      <c r="D1654">
        <v>19.989999999999998</v>
      </c>
      <c r="E1654">
        <v>24</v>
      </c>
    </row>
    <row r="1655" spans="1:5" x14ac:dyDescent="0.3">
      <c r="A1655" t="s">
        <v>69</v>
      </c>
      <c r="B1655" s="1">
        <v>44717</v>
      </c>
      <c r="C1655">
        <v>1</v>
      </c>
      <c r="D1655">
        <v>19.989999999999998</v>
      </c>
      <c r="E1655">
        <v>24</v>
      </c>
    </row>
    <row r="1656" spans="1:5" x14ac:dyDescent="0.3">
      <c r="A1656" t="s">
        <v>39</v>
      </c>
      <c r="B1656" s="1">
        <v>44717</v>
      </c>
      <c r="C1656">
        <v>10</v>
      </c>
      <c r="D1656">
        <v>11.72</v>
      </c>
      <c r="E1656">
        <v>19</v>
      </c>
    </row>
    <row r="1657" spans="1:5" x14ac:dyDescent="0.3">
      <c r="A1657" t="s">
        <v>85</v>
      </c>
      <c r="B1657" s="1">
        <v>44717</v>
      </c>
      <c r="C1657">
        <v>1</v>
      </c>
      <c r="D1657">
        <v>17.23</v>
      </c>
      <c r="E1657">
        <v>28</v>
      </c>
    </row>
    <row r="1658" spans="1:5" x14ac:dyDescent="0.3">
      <c r="A1658" t="s">
        <v>62</v>
      </c>
      <c r="B1658" s="1">
        <v>44717</v>
      </c>
      <c r="C1658">
        <v>1</v>
      </c>
      <c r="D1658">
        <v>25.7</v>
      </c>
      <c r="E1658">
        <v>31</v>
      </c>
    </row>
    <row r="1659" spans="1:5" x14ac:dyDescent="0.3">
      <c r="A1659" t="s">
        <v>62</v>
      </c>
      <c r="B1659" s="1">
        <v>44717</v>
      </c>
      <c r="C1659">
        <v>1</v>
      </c>
      <c r="D1659">
        <v>25.7</v>
      </c>
      <c r="E1659">
        <v>31</v>
      </c>
    </row>
    <row r="1660" spans="1:5" x14ac:dyDescent="0.3">
      <c r="A1660" t="s">
        <v>18</v>
      </c>
      <c r="B1660" s="1">
        <v>44717</v>
      </c>
      <c r="C1660">
        <v>1</v>
      </c>
      <c r="D1660">
        <v>46</v>
      </c>
      <c r="E1660">
        <v>70</v>
      </c>
    </row>
    <row r="1661" spans="1:5" x14ac:dyDescent="0.3">
      <c r="A1661" t="s">
        <v>18</v>
      </c>
      <c r="B1661" s="1">
        <v>44717</v>
      </c>
      <c r="C1661">
        <v>1</v>
      </c>
      <c r="D1661">
        <v>46</v>
      </c>
      <c r="E1661">
        <v>70</v>
      </c>
    </row>
    <row r="1662" spans="1:5" x14ac:dyDescent="0.3">
      <c r="A1662" t="s">
        <v>125</v>
      </c>
      <c r="B1662" s="1">
        <v>44717</v>
      </c>
      <c r="C1662">
        <v>1</v>
      </c>
      <c r="D1662">
        <v>337.22</v>
      </c>
      <c r="E1662">
        <v>446</v>
      </c>
    </row>
    <row r="1663" spans="1:5" x14ac:dyDescent="0.3">
      <c r="A1663" t="s">
        <v>23</v>
      </c>
      <c r="B1663" s="1">
        <v>44717</v>
      </c>
      <c r="C1663">
        <v>1</v>
      </c>
      <c r="D1663">
        <v>109.41</v>
      </c>
      <c r="E1663">
        <v>123</v>
      </c>
    </row>
    <row r="1664" spans="1:5" x14ac:dyDescent="0.3">
      <c r="A1664" t="s">
        <v>140</v>
      </c>
      <c r="B1664" s="1">
        <v>44717</v>
      </c>
      <c r="C1664">
        <v>1</v>
      </c>
      <c r="D1664">
        <v>160.04</v>
      </c>
      <c r="E1664">
        <v>192</v>
      </c>
    </row>
    <row r="1665" spans="1:5" x14ac:dyDescent="0.3">
      <c r="A1665" t="s">
        <v>52</v>
      </c>
      <c r="B1665" s="1">
        <v>44717</v>
      </c>
      <c r="C1665">
        <v>1</v>
      </c>
      <c r="D1665">
        <v>221.19</v>
      </c>
      <c r="E1665">
        <v>262</v>
      </c>
    </row>
    <row r="1666" spans="1:5" x14ac:dyDescent="0.3">
      <c r="A1666" t="s">
        <v>61</v>
      </c>
      <c r="B1666" s="1">
        <v>44717</v>
      </c>
      <c r="C1666">
        <v>1</v>
      </c>
      <c r="D1666">
        <v>32.89</v>
      </c>
      <c r="E1666">
        <v>50</v>
      </c>
    </row>
    <row r="1667" spans="1:5" x14ac:dyDescent="0.3">
      <c r="A1667" t="s">
        <v>155</v>
      </c>
      <c r="B1667" s="1">
        <v>44717</v>
      </c>
      <c r="C1667">
        <v>0.4</v>
      </c>
      <c r="D1667">
        <v>527.48</v>
      </c>
      <c r="E1667">
        <v>713</v>
      </c>
    </row>
    <row r="1668" spans="1:5" x14ac:dyDescent="0.3">
      <c r="A1668" t="s">
        <v>87</v>
      </c>
      <c r="B1668" s="1">
        <v>44717</v>
      </c>
      <c r="C1668">
        <v>1</v>
      </c>
      <c r="D1668">
        <v>323.66000000000003</v>
      </c>
      <c r="E1668">
        <v>370</v>
      </c>
    </row>
    <row r="1669" spans="1:5" x14ac:dyDescent="0.3">
      <c r="A1669" t="s">
        <v>9</v>
      </c>
      <c r="B1669" s="1">
        <v>44717</v>
      </c>
      <c r="C1669">
        <v>1</v>
      </c>
      <c r="D1669">
        <v>80.69</v>
      </c>
      <c r="E1669">
        <v>98</v>
      </c>
    </row>
    <row r="1670" spans="1:5" x14ac:dyDescent="0.3">
      <c r="A1670" t="s">
        <v>59</v>
      </c>
      <c r="B1670" s="1">
        <v>44717</v>
      </c>
      <c r="C1670">
        <v>1</v>
      </c>
      <c r="D1670">
        <v>11.59</v>
      </c>
      <c r="E1670">
        <v>19</v>
      </c>
    </row>
    <row r="1671" spans="1:5" x14ac:dyDescent="0.3">
      <c r="A1671" t="s">
        <v>100</v>
      </c>
      <c r="B1671" s="1">
        <v>44717</v>
      </c>
      <c r="C1671">
        <v>1</v>
      </c>
      <c r="D1671">
        <v>37.42</v>
      </c>
      <c r="E1671">
        <v>57</v>
      </c>
    </row>
    <row r="1672" spans="1:5" x14ac:dyDescent="0.3">
      <c r="A1672" t="s">
        <v>86</v>
      </c>
      <c r="B1672" s="1">
        <v>44717</v>
      </c>
      <c r="C1672">
        <v>2</v>
      </c>
      <c r="D1672">
        <v>47.4</v>
      </c>
      <c r="E1672">
        <v>82</v>
      </c>
    </row>
    <row r="1673" spans="1:5" x14ac:dyDescent="0.3">
      <c r="A1673" t="s">
        <v>127</v>
      </c>
      <c r="B1673" s="1">
        <v>44717</v>
      </c>
      <c r="C1673">
        <v>1</v>
      </c>
      <c r="D1673">
        <v>119.85</v>
      </c>
      <c r="E1673">
        <v>167</v>
      </c>
    </row>
    <row r="1674" spans="1:5" x14ac:dyDescent="0.3">
      <c r="A1674" t="s">
        <v>118</v>
      </c>
      <c r="B1674" s="1">
        <v>44717</v>
      </c>
      <c r="C1674">
        <v>1</v>
      </c>
      <c r="D1674">
        <v>10.78</v>
      </c>
      <c r="E1674">
        <v>13</v>
      </c>
    </row>
    <row r="1675" spans="1:5" x14ac:dyDescent="0.3">
      <c r="A1675" t="s">
        <v>118</v>
      </c>
      <c r="B1675" s="1">
        <v>44717</v>
      </c>
      <c r="C1675">
        <v>1</v>
      </c>
      <c r="D1675">
        <v>10.78</v>
      </c>
      <c r="E1675">
        <v>13</v>
      </c>
    </row>
    <row r="1676" spans="1:5" x14ac:dyDescent="0.3">
      <c r="A1676" t="s">
        <v>44</v>
      </c>
      <c r="B1676" s="1">
        <v>44717</v>
      </c>
      <c r="C1676">
        <v>1</v>
      </c>
      <c r="D1676">
        <v>65.53</v>
      </c>
      <c r="E1676">
        <v>100</v>
      </c>
    </row>
    <row r="1677" spans="1:5" x14ac:dyDescent="0.3">
      <c r="A1677" t="s">
        <v>131</v>
      </c>
      <c r="B1677" s="1">
        <v>44717</v>
      </c>
      <c r="C1677">
        <v>1</v>
      </c>
      <c r="D1677">
        <v>349.61</v>
      </c>
      <c r="E1677">
        <v>403</v>
      </c>
    </row>
    <row r="1678" spans="1:5" x14ac:dyDescent="0.3">
      <c r="A1678" t="s">
        <v>35</v>
      </c>
      <c r="B1678" s="1">
        <v>44717</v>
      </c>
      <c r="C1678">
        <v>1</v>
      </c>
      <c r="D1678">
        <v>31.99</v>
      </c>
      <c r="E1678">
        <v>49</v>
      </c>
    </row>
    <row r="1679" spans="1:5" x14ac:dyDescent="0.3">
      <c r="A1679" t="s">
        <v>105</v>
      </c>
      <c r="B1679" s="1">
        <v>44717</v>
      </c>
      <c r="C1679">
        <v>1</v>
      </c>
      <c r="D1679">
        <v>35.79</v>
      </c>
      <c r="E1679">
        <v>58</v>
      </c>
    </row>
    <row r="1680" spans="1:5" x14ac:dyDescent="0.3">
      <c r="A1680" t="s">
        <v>105</v>
      </c>
      <c r="B1680" s="1">
        <v>44717</v>
      </c>
      <c r="C1680">
        <v>1</v>
      </c>
      <c r="D1680">
        <v>27.69</v>
      </c>
      <c r="E1680">
        <v>45</v>
      </c>
    </row>
    <row r="1681" spans="1:5" x14ac:dyDescent="0.3">
      <c r="A1681" t="s">
        <v>25</v>
      </c>
      <c r="B1681" s="1">
        <v>44717</v>
      </c>
      <c r="C1681">
        <v>1</v>
      </c>
      <c r="D1681">
        <v>146.85</v>
      </c>
      <c r="E1681">
        <v>173</v>
      </c>
    </row>
    <row r="1682" spans="1:5" x14ac:dyDescent="0.3">
      <c r="A1682" t="s">
        <v>125</v>
      </c>
      <c r="B1682" s="1">
        <v>44717</v>
      </c>
      <c r="C1682">
        <v>1</v>
      </c>
      <c r="D1682">
        <v>337.22</v>
      </c>
      <c r="E1682">
        <v>446</v>
      </c>
    </row>
    <row r="1683" spans="1:5" x14ac:dyDescent="0.3">
      <c r="A1683" t="s">
        <v>108</v>
      </c>
      <c r="B1683" s="1">
        <v>44717</v>
      </c>
      <c r="C1683">
        <v>1</v>
      </c>
      <c r="D1683">
        <v>27.61</v>
      </c>
      <c r="E1683">
        <v>42</v>
      </c>
    </row>
    <row r="1684" spans="1:5" x14ac:dyDescent="0.3">
      <c r="A1684" t="s">
        <v>58</v>
      </c>
      <c r="B1684" s="1">
        <v>44717</v>
      </c>
      <c r="C1684">
        <v>1</v>
      </c>
      <c r="D1684">
        <v>60.5</v>
      </c>
      <c r="E1684">
        <v>73</v>
      </c>
    </row>
    <row r="1685" spans="1:5" x14ac:dyDescent="0.3">
      <c r="A1685" t="s">
        <v>5</v>
      </c>
      <c r="B1685" s="1">
        <v>44717</v>
      </c>
      <c r="C1685">
        <v>1</v>
      </c>
      <c r="D1685">
        <v>132.33000000000001</v>
      </c>
      <c r="E1685">
        <v>152</v>
      </c>
    </row>
    <row r="1686" spans="1:5" x14ac:dyDescent="0.3">
      <c r="A1686" t="s">
        <v>90</v>
      </c>
      <c r="B1686" s="1">
        <v>44717</v>
      </c>
      <c r="C1686">
        <v>1</v>
      </c>
      <c r="D1686">
        <v>399.09</v>
      </c>
      <c r="E1686">
        <v>491</v>
      </c>
    </row>
    <row r="1687" spans="1:5" x14ac:dyDescent="0.3">
      <c r="A1687" t="s">
        <v>6</v>
      </c>
      <c r="B1687" s="1">
        <v>44717</v>
      </c>
      <c r="C1687">
        <v>0.4</v>
      </c>
      <c r="D1687">
        <v>472.13</v>
      </c>
      <c r="E1687">
        <v>591</v>
      </c>
    </row>
    <row r="1688" spans="1:5" x14ac:dyDescent="0.3">
      <c r="A1688" t="s">
        <v>134</v>
      </c>
      <c r="B1688" s="1">
        <v>44717</v>
      </c>
      <c r="C1688">
        <v>1</v>
      </c>
      <c r="D1688">
        <v>26.91</v>
      </c>
      <c r="E1688">
        <v>43</v>
      </c>
    </row>
    <row r="1689" spans="1:5" x14ac:dyDescent="0.3">
      <c r="A1689" t="s">
        <v>106</v>
      </c>
      <c r="B1689" s="1">
        <v>44717</v>
      </c>
      <c r="C1689">
        <v>1</v>
      </c>
      <c r="D1689">
        <v>41.48</v>
      </c>
      <c r="E1689">
        <v>51</v>
      </c>
    </row>
    <row r="1690" spans="1:5" x14ac:dyDescent="0.3">
      <c r="A1690" t="s">
        <v>56</v>
      </c>
      <c r="B1690" s="1">
        <v>44717</v>
      </c>
      <c r="C1690">
        <v>1</v>
      </c>
      <c r="D1690">
        <v>44.56</v>
      </c>
      <c r="E1690">
        <v>70</v>
      </c>
    </row>
    <row r="1691" spans="1:5" x14ac:dyDescent="0.3">
      <c r="A1691" t="s">
        <v>79</v>
      </c>
      <c r="B1691" s="1">
        <v>44717</v>
      </c>
      <c r="C1691">
        <v>1</v>
      </c>
      <c r="D1691">
        <v>150.77000000000001</v>
      </c>
      <c r="E1691">
        <v>179</v>
      </c>
    </row>
    <row r="1692" spans="1:5" x14ac:dyDescent="0.3">
      <c r="A1692" t="s">
        <v>121</v>
      </c>
      <c r="B1692" s="1">
        <v>44717</v>
      </c>
      <c r="C1692">
        <v>2</v>
      </c>
      <c r="D1692">
        <v>10.4</v>
      </c>
      <c r="E1692">
        <v>17</v>
      </c>
    </row>
    <row r="1693" spans="1:5" x14ac:dyDescent="0.3">
      <c r="A1693" t="s">
        <v>127</v>
      </c>
      <c r="B1693" s="1">
        <v>44717</v>
      </c>
      <c r="C1693">
        <v>1</v>
      </c>
      <c r="D1693">
        <v>119.28</v>
      </c>
      <c r="E1693">
        <v>169</v>
      </c>
    </row>
    <row r="1694" spans="1:5" x14ac:dyDescent="0.3">
      <c r="A1694" t="s">
        <v>110</v>
      </c>
      <c r="B1694" s="1">
        <v>44716</v>
      </c>
      <c r="C1694">
        <v>1</v>
      </c>
      <c r="D1694">
        <v>230.01</v>
      </c>
      <c r="E1694">
        <v>306</v>
      </c>
    </row>
    <row r="1695" spans="1:5" x14ac:dyDescent="0.3">
      <c r="A1695" t="s">
        <v>9</v>
      </c>
      <c r="B1695" s="1">
        <v>44716</v>
      </c>
      <c r="C1695">
        <v>1</v>
      </c>
      <c r="D1695">
        <v>80.69</v>
      </c>
      <c r="E1695">
        <v>100</v>
      </c>
    </row>
    <row r="1696" spans="1:5" x14ac:dyDescent="0.3">
      <c r="A1696" t="s">
        <v>47</v>
      </c>
      <c r="B1696" s="1">
        <v>44716</v>
      </c>
      <c r="C1696">
        <v>1</v>
      </c>
      <c r="D1696">
        <v>43.2</v>
      </c>
      <c r="E1696">
        <v>67</v>
      </c>
    </row>
    <row r="1697" spans="1:5" x14ac:dyDescent="0.3">
      <c r="A1697" t="s">
        <v>60</v>
      </c>
      <c r="B1697" s="1">
        <v>44716</v>
      </c>
      <c r="C1697">
        <v>1</v>
      </c>
      <c r="D1697">
        <v>59.2</v>
      </c>
      <c r="E1697">
        <v>74</v>
      </c>
    </row>
    <row r="1698" spans="1:5" x14ac:dyDescent="0.3">
      <c r="A1698" t="s">
        <v>147</v>
      </c>
      <c r="B1698" s="1">
        <v>44716</v>
      </c>
      <c r="C1698">
        <v>1</v>
      </c>
      <c r="D1698">
        <v>137.12</v>
      </c>
      <c r="E1698">
        <v>191</v>
      </c>
    </row>
    <row r="1699" spans="1:5" x14ac:dyDescent="0.3">
      <c r="A1699" t="s">
        <v>56</v>
      </c>
      <c r="B1699" s="1">
        <v>44716</v>
      </c>
      <c r="C1699">
        <v>1</v>
      </c>
      <c r="D1699">
        <v>45.32</v>
      </c>
      <c r="E1699">
        <v>69</v>
      </c>
    </row>
    <row r="1700" spans="1:5" x14ac:dyDescent="0.3">
      <c r="A1700" t="s">
        <v>47</v>
      </c>
      <c r="B1700" s="1">
        <v>44716</v>
      </c>
      <c r="C1700">
        <v>1</v>
      </c>
      <c r="D1700">
        <v>43.2</v>
      </c>
      <c r="E1700">
        <v>67</v>
      </c>
    </row>
    <row r="1701" spans="1:5" x14ac:dyDescent="0.3">
      <c r="A1701" t="s">
        <v>118</v>
      </c>
      <c r="B1701" s="1">
        <v>44716</v>
      </c>
      <c r="C1701">
        <v>1</v>
      </c>
      <c r="D1701">
        <v>10.78</v>
      </c>
      <c r="E1701">
        <v>13</v>
      </c>
    </row>
    <row r="1702" spans="1:5" x14ac:dyDescent="0.3">
      <c r="A1702" t="s">
        <v>39</v>
      </c>
      <c r="B1702" s="1">
        <v>44716</v>
      </c>
      <c r="C1702">
        <v>3</v>
      </c>
      <c r="D1702">
        <v>35.409999999999997</v>
      </c>
      <c r="E1702">
        <v>58</v>
      </c>
    </row>
    <row r="1703" spans="1:5" x14ac:dyDescent="0.3">
      <c r="A1703" t="s">
        <v>10</v>
      </c>
      <c r="B1703" s="1">
        <v>44716</v>
      </c>
      <c r="C1703">
        <v>1</v>
      </c>
      <c r="D1703">
        <v>11.67</v>
      </c>
      <c r="E1703">
        <v>14</v>
      </c>
    </row>
    <row r="1704" spans="1:5" x14ac:dyDescent="0.3">
      <c r="A1704" t="s">
        <v>23</v>
      </c>
      <c r="B1704" s="1">
        <v>44716</v>
      </c>
      <c r="C1704">
        <v>1</v>
      </c>
      <c r="D1704">
        <v>109.41</v>
      </c>
      <c r="E1704">
        <v>123</v>
      </c>
    </row>
    <row r="1705" spans="1:5" x14ac:dyDescent="0.3">
      <c r="A1705" t="s">
        <v>13</v>
      </c>
      <c r="B1705" s="1">
        <v>44716</v>
      </c>
      <c r="C1705">
        <v>1</v>
      </c>
      <c r="D1705">
        <v>117.7</v>
      </c>
      <c r="E1705">
        <v>142</v>
      </c>
    </row>
    <row r="1706" spans="1:5" x14ac:dyDescent="0.3">
      <c r="A1706" t="s">
        <v>50</v>
      </c>
      <c r="B1706" s="1">
        <v>44716</v>
      </c>
      <c r="C1706">
        <v>1</v>
      </c>
      <c r="D1706">
        <v>43.55</v>
      </c>
      <c r="E1706">
        <v>54</v>
      </c>
    </row>
    <row r="1707" spans="1:5" x14ac:dyDescent="0.3">
      <c r="A1707" t="s">
        <v>41</v>
      </c>
      <c r="B1707" s="1">
        <v>44716</v>
      </c>
      <c r="C1707">
        <v>2</v>
      </c>
      <c r="D1707">
        <v>10.9</v>
      </c>
      <c r="E1707">
        <v>18</v>
      </c>
    </row>
    <row r="1708" spans="1:5" x14ac:dyDescent="0.3">
      <c r="A1708" t="s">
        <v>45</v>
      </c>
      <c r="B1708" s="1">
        <v>44716</v>
      </c>
      <c r="C1708">
        <v>1</v>
      </c>
      <c r="D1708">
        <v>28.21</v>
      </c>
      <c r="E1708">
        <v>46</v>
      </c>
    </row>
    <row r="1709" spans="1:5" x14ac:dyDescent="0.3">
      <c r="A1709" t="s">
        <v>5</v>
      </c>
      <c r="B1709" s="1">
        <v>44716</v>
      </c>
      <c r="C1709">
        <v>1</v>
      </c>
      <c r="D1709">
        <v>146.1</v>
      </c>
      <c r="E1709">
        <v>173</v>
      </c>
    </row>
    <row r="1710" spans="1:5" x14ac:dyDescent="0.3">
      <c r="A1710" t="s">
        <v>44</v>
      </c>
      <c r="B1710" s="1">
        <v>44716</v>
      </c>
      <c r="C1710">
        <v>1</v>
      </c>
      <c r="D1710">
        <v>64.53</v>
      </c>
      <c r="E1710">
        <v>103</v>
      </c>
    </row>
    <row r="1711" spans="1:5" x14ac:dyDescent="0.3">
      <c r="A1711" t="s">
        <v>79</v>
      </c>
      <c r="B1711" s="1">
        <v>44716</v>
      </c>
      <c r="C1711">
        <v>1</v>
      </c>
      <c r="D1711">
        <v>148.5</v>
      </c>
      <c r="E1711">
        <v>177</v>
      </c>
    </row>
    <row r="1712" spans="1:5" x14ac:dyDescent="0.3">
      <c r="A1712" t="s">
        <v>79</v>
      </c>
      <c r="B1712" s="1">
        <v>44716</v>
      </c>
      <c r="C1712">
        <v>1</v>
      </c>
      <c r="D1712">
        <v>148.5</v>
      </c>
      <c r="E1712">
        <v>177</v>
      </c>
    </row>
    <row r="1713" spans="1:5" x14ac:dyDescent="0.3">
      <c r="A1713" t="s">
        <v>87</v>
      </c>
      <c r="B1713" s="1">
        <v>44716</v>
      </c>
      <c r="C1713">
        <v>1</v>
      </c>
      <c r="D1713">
        <v>323.66000000000003</v>
      </c>
      <c r="E1713">
        <v>366</v>
      </c>
    </row>
    <row r="1714" spans="1:5" x14ac:dyDescent="0.3">
      <c r="A1714" t="s">
        <v>39</v>
      </c>
      <c r="B1714" s="1">
        <v>44716</v>
      </c>
      <c r="C1714">
        <v>5</v>
      </c>
      <c r="D1714">
        <v>8.58</v>
      </c>
      <c r="E1714">
        <v>14</v>
      </c>
    </row>
    <row r="1715" spans="1:5" x14ac:dyDescent="0.3">
      <c r="A1715" t="s">
        <v>25</v>
      </c>
      <c r="B1715" s="1">
        <v>44716</v>
      </c>
      <c r="C1715">
        <v>1</v>
      </c>
      <c r="D1715">
        <v>147.55000000000001</v>
      </c>
      <c r="E1715">
        <v>181</v>
      </c>
    </row>
    <row r="1716" spans="1:5" x14ac:dyDescent="0.3">
      <c r="A1716" t="s">
        <v>100</v>
      </c>
      <c r="B1716" s="1">
        <v>44716</v>
      </c>
      <c r="C1716">
        <v>1</v>
      </c>
      <c r="D1716">
        <v>38.07</v>
      </c>
      <c r="E1716">
        <v>59</v>
      </c>
    </row>
    <row r="1717" spans="1:5" x14ac:dyDescent="0.3">
      <c r="A1717" t="s">
        <v>100</v>
      </c>
      <c r="B1717" s="1">
        <v>44716</v>
      </c>
      <c r="C1717">
        <v>1</v>
      </c>
      <c r="D1717">
        <v>38.07</v>
      </c>
      <c r="E1717">
        <v>59</v>
      </c>
    </row>
    <row r="1718" spans="1:5" x14ac:dyDescent="0.3">
      <c r="A1718" t="s">
        <v>100</v>
      </c>
      <c r="B1718" s="1">
        <v>44716</v>
      </c>
      <c r="C1718">
        <v>1</v>
      </c>
      <c r="D1718">
        <v>38.07</v>
      </c>
      <c r="E1718">
        <v>59</v>
      </c>
    </row>
    <row r="1719" spans="1:5" x14ac:dyDescent="0.3">
      <c r="A1719" t="s">
        <v>65</v>
      </c>
      <c r="B1719" s="1">
        <v>44716</v>
      </c>
      <c r="C1719">
        <v>1</v>
      </c>
      <c r="D1719">
        <v>187.36</v>
      </c>
      <c r="E1719">
        <v>220</v>
      </c>
    </row>
    <row r="1720" spans="1:5" x14ac:dyDescent="0.3">
      <c r="A1720" t="s">
        <v>51</v>
      </c>
      <c r="B1720" s="1">
        <v>44716</v>
      </c>
      <c r="C1720">
        <v>4</v>
      </c>
      <c r="D1720">
        <v>2.0099999999999998</v>
      </c>
      <c r="E1720">
        <v>4</v>
      </c>
    </row>
    <row r="1721" spans="1:5" x14ac:dyDescent="0.3">
      <c r="A1721" t="s">
        <v>72</v>
      </c>
      <c r="B1721" s="1">
        <v>44716</v>
      </c>
      <c r="C1721">
        <v>1</v>
      </c>
      <c r="D1721">
        <v>556.51</v>
      </c>
      <c r="E1721">
        <v>735</v>
      </c>
    </row>
    <row r="1722" spans="1:5" x14ac:dyDescent="0.3">
      <c r="A1722" t="s">
        <v>65</v>
      </c>
      <c r="B1722" s="1">
        <v>44716</v>
      </c>
      <c r="C1722">
        <v>1</v>
      </c>
      <c r="D1722">
        <v>187.36</v>
      </c>
      <c r="E1722">
        <v>220</v>
      </c>
    </row>
    <row r="1723" spans="1:5" x14ac:dyDescent="0.3">
      <c r="A1723" t="s">
        <v>35</v>
      </c>
      <c r="B1723" s="1">
        <v>44716</v>
      </c>
      <c r="C1723">
        <v>1</v>
      </c>
      <c r="D1723">
        <v>31.99</v>
      </c>
      <c r="E1723">
        <v>49</v>
      </c>
    </row>
    <row r="1724" spans="1:5" x14ac:dyDescent="0.3">
      <c r="A1724" t="s">
        <v>78</v>
      </c>
      <c r="B1724" s="1">
        <v>44716</v>
      </c>
      <c r="C1724">
        <v>1</v>
      </c>
      <c r="D1724">
        <v>69.599999999999994</v>
      </c>
      <c r="E1724">
        <v>88</v>
      </c>
    </row>
    <row r="1725" spans="1:5" x14ac:dyDescent="0.3">
      <c r="A1725" t="s">
        <v>121</v>
      </c>
      <c r="B1725" s="1">
        <v>44716</v>
      </c>
      <c r="C1725">
        <v>1</v>
      </c>
      <c r="D1725">
        <v>10.4</v>
      </c>
      <c r="E1725">
        <v>17</v>
      </c>
    </row>
    <row r="1726" spans="1:5" x14ac:dyDescent="0.3">
      <c r="A1726" t="s">
        <v>150</v>
      </c>
      <c r="B1726" s="1">
        <v>44716</v>
      </c>
      <c r="C1726">
        <v>2</v>
      </c>
      <c r="D1726">
        <v>120.9</v>
      </c>
      <c r="E1726">
        <v>190</v>
      </c>
    </row>
    <row r="1727" spans="1:5" x14ac:dyDescent="0.3">
      <c r="A1727" t="s">
        <v>45</v>
      </c>
      <c r="B1727" s="1">
        <v>44716</v>
      </c>
      <c r="C1727">
        <v>1</v>
      </c>
      <c r="D1727">
        <v>28.21</v>
      </c>
      <c r="E1727">
        <v>49</v>
      </c>
    </row>
    <row r="1728" spans="1:5" x14ac:dyDescent="0.3">
      <c r="A1728" t="s">
        <v>50</v>
      </c>
      <c r="B1728" s="1">
        <v>44716</v>
      </c>
      <c r="C1728">
        <v>1</v>
      </c>
      <c r="D1728">
        <v>43.55</v>
      </c>
      <c r="E1728">
        <v>54</v>
      </c>
    </row>
    <row r="1729" spans="1:5" x14ac:dyDescent="0.3">
      <c r="A1729" t="s">
        <v>50</v>
      </c>
      <c r="B1729" s="1">
        <v>44716</v>
      </c>
      <c r="C1729">
        <v>1</v>
      </c>
      <c r="D1729">
        <v>43.55</v>
      </c>
      <c r="E1729">
        <v>54</v>
      </c>
    </row>
    <row r="1730" spans="1:5" x14ac:dyDescent="0.3">
      <c r="A1730" t="s">
        <v>50</v>
      </c>
      <c r="B1730" s="1">
        <v>44716</v>
      </c>
      <c r="C1730">
        <v>1</v>
      </c>
      <c r="D1730">
        <v>43.55</v>
      </c>
      <c r="E1730">
        <v>54</v>
      </c>
    </row>
    <row r="1731" spans="1:5" x14ac:dyDescent="0.3">
      <c r="A1731" t="s">
        <v>50</v>
      </c>
      <c r="B1731" s="1">
        <v>44716</v>
      </c>
      <c r="C1731">
        <v>1</v>
      </c>
      <c r="D1731">
        <v>43.55</v>
      </c>
      <c r="E1731">
        <v>54</v>
      </c>
    </row>
    <row r="1732" spans="1:5" x14ac:dyDescent="0.3">
      <c r="A1732" t="s">
        <v>26</v>
      </c>
      <c r="B1732" s="1">
        <v>44716</v>
      </c>
      <c r="C1732">
        <v>0.1</v>
      </c>
      <c r="D1732">
        <v>986.58</v>
      </c>
      <c r="E1732">
        <v>1234</v>
      </c>
    </row>
    <row r="1733" spans="1:5" x14ac:dyDescent="0.3">
      <c r="A1733" t="s">
        <v>19</v>
      </c>
      <c r="B1733" s="1">
        <v>44716</v>
      </c>
      <c r="C1733">
        <v>1</v>
      </c>
      <c r="D1733">
        <v>81.290000000000006</v>
      </c>
      <c r="E1733">
        <v>103</v>
      </c>
    </row>
    <row r="1734" spans="1:5" x14ac:dyDescent="0.3">
      <c r="A1734" t="s">
        <v>19</v>
      </c>
      <c r="B1734" s="1">
        <v>44716</v>
      </c>
      <c r="C1734">
        <v>1</v>
      </c>
      <c r="D1734">
        <v>81.290000000000006</v>
      </c>
      <c r="E1734">
        <v>103</v>
      </c>
    </row>
    <row r="1735" spans="1:5" x14ac:dyDescent="0.3">
      <c r="A1735" t="s">
        <v>15</v>
      </c>
      <c r="B1735" s="1">
        <v>44716</v>
      </c>
      <c r="C1735">
        <v>1</v>
      </c>
      <c r="D1735">
        <v>34.18</v>
      </c>
      <c r="E1735">
        <v>56</v>
      </c>
    </row>
    <row r="1736" spans="1:5" x14ac:dyDescent="0.3">
      <c r="A1736" t="s">
        <v>95</v>
      </c>
      <c r="B1736" s="1">
        <v>44716</v>
      </c>
      <c r="C1736">
        <v>0.1</v>
      </c>
      <c r="D1736">
        <v>113.82</v>
      </c>
      <c r="E1736">
        <v>173</v>
      </c>
    </row>
    <row r="1737" spans="1:5" x14ac:dyDescent="0.3">
      <c r="A1737" t="s">
        <v>98</v>
      </c>
      <c r="B1737" s="1">
        <v>44716</v>
      </c>
      <c r="C1737">
        <v>1</v>
      </c>
      <c r="D1737">
        <v>111.32</v>
      </c>
      <c r="E1737">
        <v>133</v>
      </c>
    </row>
    <row r="1738" spans="1:5" x14ac:dyDescent="0.3">
      <c r="A1738" t="s">
        <v>132</v>
      </c>
      <c r="B1738" s="1">
        <v>44716</v>
      </c>
      <c r="C1738">
        <v>1</v>
      </c>
      <c r="D1738">
        <v>60.02</v>
      </c>
      <c r="E1738">
        <v>88</v>
      </c>
    </row>
    <row r="1739" spans="1:5" x14ac:dyDescent="0.3">
      <c r="A1739" t="s">
        <v>118</v>
      </c>
      <c r="B1739" s="1">
        <v>44716</v>
      </c>
      <c r="C1739">
        <v>1</v>
      </c>
      <c r="D1739">
        <v>10.78</v>
      </c>
      <c r="E1739">
        <v>13</v>
      </c>
    </row>
    <row r="1740" spans="1:5" x14ac:dyDescent="0.3">
      <c r="A1740" t="s">
        <v>6</v>
      </c>
      <c r="B1740" s="1">
        <v>44716</v>
      </c>
      <c r="C1740">
        <v>1</v>
      </c>
      <c r="D1740">
        <v>470.81</v>
      </c>
      <c r="E1740">
        <v>589</v>
      </c>
    </row>
    <row r="1741" spans="1:5" x14ac:dyDescent="0.3">
      <c r="A1741" t="s">
        <v>133</v>
      </c>
      <c r="B1741" s="1">
        <v>44716</v>
      </c>
      <c r="C1741">
        <v>1</v>
      </c>
      <c r="D1741">
        <v>5.0999999999999996</v>
      </c>
      <c r="E1741">
        <v>9</v>
      </c>
    </row>
    <row r="1742" spans="1:5" x14ac:dyDescent="0.3">
      <c r="A1742" t="s">
        <v>20</v>
      </c>
      <c r="B1742" s="1">
        <v>44716</v>
      </c>
      <c r="C1742">
        <v>1</v>
      </c>
      <c r="D1742">
        <v>20.77</v>
      </c>
      <c r="E1742">
        <v>26</v>
      </c>
    </row>
    <row r="1743" spans="1:5" x14ac:dyDescent="0.3">
      <c r="A1743" t="s">
        <v>5</v>
      </c>
      <c r="B1743" s="1">
        <v>44716</v>
      </c>
      <c r="C1743">
        <v>1</v>
      </c>
      <c r="D1743">
        <v>132.33000000000001</v>
      </c>
      <c r="E1743">
        <v>159</v>
      </c>
    </row>
    <row r="1744" spans="1:5" x14ac:dyDescent="0.3">
      <c r="A1744" t="s">
        <v>132</v>
      </c>
      <c r="B1744" s="1">
        <v>44716</v>
      </c>
      <c r="C1744">
        <v>1</v>
      </c>
      <c r="D1744">
        <v>58.53</v>
      </c>
      <c r="E1744">
        <v>84</v>
      </c>
    </row>
    <row r="1745" spans="1:5" x14ac:dyDescent="0.3">
      <c r="A1745" t="s">
        <v>47</v>
      </c>
      <c r="B1745" s="1">
        <v>44716</v>
      </c>
      <c r="C1745">
        <v>1</v>
      </c>
      <c r="D1745">
        <v>43.2</v>
      </c>
      <c r="E1745">
        <v>67</v>
      </c>
    </row>
    <row r="1746" spans="1:5" x14ac:dyDescent="0.3">
      <c r="A1746" t="s">
        <v>103</v>
      </c>
      <c r="B1746" s="1">
        <v>44716</v>
      </c>
      <c r="C1746">
        <v>1</v>
      </c>
      <c r="D1746">
        <v>46.32</v>
      </c>
      <c r="E1746">
        <v>72</v>
      </c>
    </row>
    <row r="1747" spans="1:5" x14ac:dyDescent="0.3">
      <c r="A1747" t="s">
        <v>103</v>
      </c>
      <c r="B1747" s="1">
        <v>44716</v>
      </c>
      <c r="C1747">
        <v>1</v>
      </c>
      <c r="D1747">
        <v>46.32</v>
      </c>
      <c r="E1747">
        <v>72</v>
      </c>
    </row>
    <row r="1748" spans="1:5" x14ac:dyDescent="0.3">
      <c r="A1748" t="s">
        <v>95</v>
      </c>
      <c r="B1748" s="1">
        <v>44716</v>
      </c>
      <c r="C1748">
        <v>0.1</v>
      </c>
      <c r="D1748">
        <v>129.4</v>
      </c>
      <c r="E1748">
        <v>197</v>
      </c>
    </row>
    <row r="1749" spans="1:5" x14ac:dyDescent="0.3">
      <c r="A1749" t="s">
        <v>103</v>
      </c>
      <c r="B1749" s="1">
        <v>44716</v>
      </c>
      <c r="C1749">
        <v>1</v>
      </c>
      <c r="D1749">
        <v>46.32</v>
      </c>
      <c r="E1749">
        <v>72</v>
      </c>
    </row>
    <row r="1750" spans="1:5" x14ac:dyDescent="0.3">
      <c r="A1750" t="s">
        <v>103</v>
      </c>
      <c r="B1750" s="1">
        <v>44716</v>
      </c>
      <c r="C1750">
        <v>1</v>
      </c>
      <c r="D1750">
        <v>46.32</v>
      </c>
      <c r="E1750">
        <v>72</v>
      </c>
    </row>
    <row r="1751" spans="1:5" x14ac:dyDescent="0.3">
      <c r="A1751" t="s">
        <v>103</v>
      </c>
      <c r="B1751" s="1">
        <v>44716</v>
      </c>
      <c r="C1751">
        <v>1</v>
      </c>
      <c r="D1751">
        <v>46.32</v>
      </c>
      <c r="E1751">
        <v>72</v>
      </c>
    </row>
    <row r="1752" spans="1:5" x14ac:dyDescent="0.3">
      <c r="A1752" t="s">
        <v>112</v>
      </c>
      <c r="B1752" s="1">
        <v>44716</v>
      </c>
      <c r="C1752">
        <v>1</v>
      </c>
      <c r="D1752">
        <v>281.47000000000003</v>
      </c>
      <c r="E1752">
        <v>334</v>
      </c>
    </row>
    <row r="1753" spans="1:5" x14ac:dyDescent="0.3">
      <c r="A1753" t="s">
        <v>127</v>
      </c>
      <c r="B1753" s="1">
        <v>44716</v>
      </c>
      <c r="C1753">
        <v>1</v>
      </c>
      <c r="D1753">
        <v>121</v>
      </c>
      <c r="E1753">
        <v>176</v>
      </c>
    </row>
    <row r="1754" spans="1:5" x14ac:dyDescent="0.3">
      <c r="A1754" t="s">
        <v>36</v>
      </c>
      <c r="B1754" s="1">
        <v>44716</v>
      </c>
      <c r="C1754">
        <v>1</v>
      </c>
      <c r="D1754">
        <v>21.42</v>
      </c>
      <c r="E1754">
        <v>27</v>
      </c>
    </row>
    <row r="1755" spans="1:5" x14ac:dyDescent="0.3">
      <c r="A1755" t="s">
        <v>36</v>
      </c>
      <c r="B1755" s="1">
        <v>44716</v>
      </c>
      <c r="C1755">
        <v>1</v>
      </c>
      <c r="D1755">
        <v>21.42</v>
      </c>
      <c r="E1755">
        <v>27</v>
      </c>
    </row>
    <row r="1756" spans="1:5" x14ac:dyDescent="0.3">
      <c r="A1756" t="s">
        <v>36</v>
      </c>
      <c r="B1756" s="1">
        <v>44716</v>
      </c>
      <c r="C1756">
        <v>1</v>
      </c>
      <c r="D1756">
        <v>21.42</v>
      </c>
      <c r="E1756">
        <v>27</v>
      </c>
    </row>
    <row r="1757" spans="1:5" x14ac:dyDescent="0.3">
      <c r="A1757" t="s">
        <v>36</v>
      </c>
      <c r="B1757" s="1">
        <v>44716</v>
      </c>
      <c r="C1757">
        <v>1</v>
      </c>
      <c r="D1757">
        <v>21.42</v>
      </c>
      <c r="E1757">
        <v>27</v>
      </c>
    </row>
    <row r="1758" spans="1:5" x14ac:dyDescent="0.3">
      <c r="A1758" t="s">
        <v>36</v>
      </c>
      <c r="B1758" s="1">
        <v>44716</v>
      </c>
      <c r="C1758">
        <v>1</v>
      </c>
      <c r="D1758">
        <v>21.42</v>
      </c>
      <c r="E1758">
        <v>27</v>
      </c>
    </row>
    <row r="1759" spans="1:5" x14ac:dyDescent="0.3">
      <c r="A1759" t="s">
        <v>36</v>
      </c>
      <c r="B1759" s="1">
        <v>44716</v>
      </c>
      <c r="C1759">
        <v>1</v>
      </c>
      <c r="D1759">
        <v>21.42</v>
      </c>
      <c r="E1759">
        <v>27</v>
      </c>
    </row>
    <row r="1760" spans="1:5" x14ac:dyDescent="0.3">
      <c r="A1760" t="s">
        <v>82</v>
      </c>
      <c r="B1760" s="1">
        <v>44716</v>
      </c>
      <c r="C1760">
        <v>1</v>
      </c>
      <c r="D1760">
        <v>36.090000000000003</v>
      </c>
      <c r="E1760">
        <v>46</v>
      </c>
    </row>
    <row r="1761" spans="1:5" x14ac:dyDescent="0.3">
      <c r="A1761" t="s">
        <v>82</v>
      </c>
      <c r="B1761" s="1">
        <v>44716</v>
      </c>
      <c r="C1761">
        <v>1</v>
      </c>
      <c r="D1761">
        <v>36.090000000000003</v>
      </c>
      <c r="E1761">
        <v>46</v>
      </c>
    </row>
    <row r="1762" spans="1:5" x14ac:dyDescent="0.3">
      <c r="A1762" t="s">
        <v>82</v>
      </c>
      <c r="B1762" s="1">
        <v>44716</v>
      </c>
      <c r="C1762">
        <v>1</v>
      </c>
      <c r="D1762">
        <v>36.090000000000003</v>
      </c>
      <c r="E1762">
        <v>46</v>
      </c>
    </row>
    <row r="1763" spans="1:5" x14ac:dyDescent="0.3">
      <c r="A1763" t="s">
        <v>82</v>
      </c>
      <c r="B1763" s="1">
        <v>44716</v>
      </c>
      <c r="C1763">
        <v>1</v>
      </c>
      <c r="D1763">
        <v>36.090000000000003</v>
      </c>
      <c r="E1763">
        <v>46</v>
      </c>
    </row>
    <row r="1764" spans="1:5" x14ac:dyDescent="0.3">
      <c r="A1764" t="s">
        <v>82</v>
      </c>
      <c r="B1764" s="1">
        <v>44716</v>
      </c>
      <c r="C1764">
        <v>1</v>
      </c>
      <c r="D1764">
        <v>35.85</v>
      </c>
      <c r="E1764">
        <v>45</v>
      </c>
    </row>
    <row r="1765" spans="1:5" x14ac:dyDescent="0.3">
      <c r="A1765" t="s">
        <v>82</v>
      </c>
      <c r="B1765" s="1">
        <v>44716</v>
      </c>
      <c r="C1765">
        <v>1</v>
      </c>
      <c r="D1765">
        <v>35.85</v>
      </c>
      <c r="E1765">
        <v>45</v>
      </c>
    </row>
    <row r="1766" spans="1:5" x14ac:dyDescent="0.3">
      <c r="A1766" t="s">
        <v>108</v>
      </c>
      <c r="B1766" s="1">
        <v>44716</v>
      </c>
      <c r="C1766">
        <v>1</v>
      </c>
      <c r="D1766">
        <v>23.13</v>
      </c>
      <c r="E1766">
        <v>36</v>
      </c>
    </row>
    <row r="1767" spans="1:5" x14ac:dyDescent="0.3">
      <c r="A1767" t="s">
        <v>108</v>
      </c>
      <c r="B1767" s="1">
        <v>44716</v>
      </c>
      <c r="C1767">
        <v>1</v>
      </c>
      <c r="D1767">
        <v>23.13</v>
      </c>
      <c r="E1767">
        <v>36</v>
      </c>
    </row>
    <row r="1768" spans="1:5" x14ac:dyDescent="0.3">
      <c r="A1768" t="s">
        <v>108</v>
      </c>
      <c r="B1768" s="1">
        <v>44716</v>
      </c>
      <c r="C1768">
        <v>1</v>
      </c>
      <c r="D1768">
        <v>23.13</v>
      </c>
      <c r="E1768">
        <v>36</v>
      </c>
    </row>
    <row r="1769" spans="1:5" x14ac:dyDescent="0.3">
      <c r="A1769" t="s">
        <v>108</v>
      </c>
      <c r="B1769" s="1">
        <v>44716</v>
      </c>
      <c r="C1769">
        <v>1</v>
      </c>
      <c r="D1769">
        <v>22.27</v>
      </c>
      <c r="E1769">
        <v>35</v>
      </c>
    </row>
    <row r="1770" spans="1:5" x14ac:dyDescent="0.3">
      <c r="A1770" t="s">
        <v>108</v>
      </c>
      <c r="B1770" s="1">
        <v>44716</v>
      </c>
      <c r="C1770">
        <v>1</v>
      </c>
      <c r="D1770">
        <v>22.27</v>
      </c>
      <c r="E1770">
        <v>35</v>
      </c>
    </row>
    <row r="1771" spans="1:5" x14ac:dyDescent="0.3">
      <c r="A1771" t="s">
        <v>108</v>
      </c>
      <c r="B1771" s="1">
        <v>44716</v>
      </c>
      <c r="C1771">
        <v>1</v>
      </c>
      <c r="D1771">
        <v>22.27</v>
      </c>
      <c r="E1771">
        <v>35</v>
      </c>
    </row>
    <row r="1772" spans="1:5" x14ac:dyDescent="0.3">
      <c r="A1772" t="s">
        <v>54</v>
      </c>
      <c r="B1772" s="1">
        <v>44716</v>
      </c>
      <c r="C1772">
        <v>1</v>
      </c>
      <c r="D1772">
        <v>723.11</v>
      </c>
      <c r="E1772">
        <v>933</v>
      </c>
    </row>
    <row r="1773" spans="1:5" x14ac:dyDescent="0.3">
      <c r="A1773" t="s">
        <v>75</v>
      </c>
      <c r="B1773" s="1">
        <v>44716</v>
      </c>
      <c r="C1773">
        <v>0.2</v>
      </c>
      <c r="D1773">
        <v>463.1</v>
      </c>
      <c r="E1773">
        <v>649</v>
      </c>
    </row>
    <row r="1774" spans="1:5" x14ac:dyDescent="0.3">
      <c r="A1774" t="s">
        <v>142</v>
      </c>
      <c r="B1774" s="1">
        <v>44716</v>
      </c>
      <c r="C1774">
        <v>1</v>
      </c>
      <c r="D1774">
        <v>12.86</v>
      </c>
      <c r="E1774">
        <v>15</v>
      </c>
    </row>
    <row r="1775" spans="1:5" x14ac:dyDescent="0.3">
      <c r="A1775" t="s">
        <v>142</v>
      </c>
      <c r="B1775" s="1">
        <v>44716</v>
      </c>
      <c r="C1775">
        <v>1</v>
      </c>
      <c r="D1775">
        <v>12.86</v>
      </c>
      <c r="E1775">
        <v>15</v>
      </c>
    </row>
    <row r="1776" spans="1:5" x14ac:dyDescent="0.3">
      <c r="A1776" t="s">
        <v>137</v>
      </c>
      <c r="B1776" s="1">
        <v>44716</v>
      </c>
      <c r="C1776">
        <v>1</v>
      </c>
      <c r="D1776">
        <v>8.5</v>
      </c>
      <c r="E1776">
        <v>14</v>
      </c>
    </row>
    <row r="1777" spans="1:5" x14ac:dyDescent="0.3">
      <c r="A1777" t="s">
        <v>146</v>
      </c>
      <c r="B1777" s="1">
        <v>44716</v>
      </c>
      <c r="C1777">
        <v>1</v>
      </c>
      <c r="D1777">
        <v>413.44</v>
      </c>
      <c r="E1777">
        <v>464</v>
      </c>
    </row>
    <row r="1778" spans="1:5" x14ac:dyDescent="0.3">
      <c r="A1778" t="s">
        <v>79</v>
      </c>
      <c r="B1778" s="1">
        <v>44716</v>
      </c>
      <c r="C1778">
        <v>1</v>
      </c>
      <c r="D1778">
        <v>153.44999999999999</v>
      </c>
      <c r="E1778">
        <v>169</v>
      </c>
    </row>
    <row r="1779" spans="1:5" x14ac:dyDescent="0.3">
      <c r="A1779" t="s">
        <v>40</v>
      </c>
      <c r="B1779" s="1">
        <v>44716</v>
      </c>
      <c r="C1779">
        <v>1</v>
      </c>
      <c r="D1779">
        <v>173.61</v>
      </c>
      <c r="E1779">
        <v>208</v>
      </c>
    </row>
    <row r="1780" spans="1:5" x14ac:dyDescent="0.3">
      <c r="A1780" t="s">
        <v>100</v>
      </c>
      <c r="B1780" s="1">
        <v>44716</v>
      </c>
      <c r="C1780">
        <v>1</v>
      </c>
      <c r="D1780">
        <v>38.07</v>
      </c>
      <c r="E1780">
        <v>59</v>
      </c>
    </row>
    <row r="1781" spans="1:5" x14ac:dyDescent="0.3">
      <c r="A1781" t="s">
        <v>100</v>
      </c>
      <c r="B1781" s="1">
        <v>44716</v>
      </c>
      <c r="C1781">
        <v>1</v>
      </c>
      <c r="D1781">
        <v>38.07</v>
      </c>
      <c r="E1781">
        <v>59</v>
      </c>
    </row>
    <row r="1782" spans="1:5" x14ac:dyDescent="0.3">
      <c r="A1782" t="s">
        <v>100</v>
      </c>
      <c r="B1782" s="1">
        <v>44716</v>
      </c>
      <c r="C1782">
        <v>1</v>
      </c>
      <c r="D1782">
        <v>38.07</v>
      </c>
      <c r="E1782">
        <v>59</v>
      </c>
    </row>
    <row r="1783" spans="1:5" x14ac:dyDescent="0.3">
      <c r="A1783" t="s">
        <v>65</v>
      </c>
      <c r="B1783" s="1">
        <v>44716</v>
      </c>
      <c r="C1783">
        <v>1</v>
      </c>
      <c r="D1783">
        <v>187.36</v>
      </c>
      <c r="E1783">
        <v>220</v>
      </c>
    </row>
    <row r="1784" spans="1:5" x14ac:dyDescent="0.3">
      <c r="A1784" t="s">
        <v>48</v>
      </c>
      <c r="B1784" s="1">
        <v>44716</v>
      </c>
      <c r="C1784">
        <v>1</v>
      </c>
      <c r="D1784">
        <v>41.43</v>
      </c>
      <c r="E1784">
        <v>66</v>
      </c>
    </row>
    <row r="1785" spans="1:5" x14ac:dyDescent="0.3">
      <c r="A1785" t="s">
        <v>48</v>
      </c>
      <c r="B1785" s="1">
        <v>44716</v>
      </c>
      <c r="C1785">
        <v>1</v>
      </c>
      <c r="D1785">
        <v>41.43</v>
      </c>
      <c r="E1785">
        <v>66</v>
      </c>
    </row>
    <row r="1786" spans="1:5" x14ac:dyDescent="0.3">
      <c r="A1786" t="s">
        <v>48</v>
      </c>
      <c r="B1786" s="1">
        <v>44716</v>
      </c>
      <c r="C1786">
        <v>1</v>
      </c>
      <c r="D1786">
        <v>41.43</v>
      </c>
      <c r="E1786">
        <v>66</v>
      </c>
    </row>
    <row r="1787" spans="1:5" x14ac:dyDescent="0.3">
      <c r="A1787" t="s">
        <v>48</v>
      </c>
      <c r="B1787" s="1">
        <v>44716</v>
      </c>
      <c r="C1787">
        <v>1</v>
      </c>
      <c r="D1787">
        <v>41.43</v>
      </c>
      <c r="E1787">
        <v>66</v>
      </c>
    </row>
    <row r="1788" spans="1:5" x14ac:dyDescent="0.3">
      <c r="A1788" t="s">
        <v>48</v>
      </c>
      <c r="B1788" s="1">
        <v>44716</v>
      </c>
      <c r="C1788">
        <v>1</v>
      </c>
      <c r="D1788">
        <v>41.43</v>
      </c>
      <c r="E1788">
        <v>66</v>
      </c>
    </row>
    <row r="1789" spans="1:5" x14ac:dyDescent="0.3">
      <c r="A1789" t="s">
        <v>48</v>
      </c>
      <c r="B1789" s="1">
        <v>44716</v>
      </c>
      <c r="C1789">
        <v>1</v>
      </c>
      <c r="D1789">
        <v>41.43</v>
      </c>
      <c r="E1789">
        <v>66</v>
      </c>
    </row>
    <row r="1790" spans="1:5" x14ac:dyDescent="0.3">
      <c r="A1790" t="s">
        <v>34</v>
      </c>
      <c r="B1790" s="1">
        <v>44716</v>
      </c>
      <c r="C1790">
        <v>1</v>
      </c>
      <c r="D1790">
        <v>201.2</v>
      </c>
      <c r="E1790">
        <v>232</v>
      </c>
    </row>
    <row r="1791" spans="1:5" x14ac:dyDescent="0.3">
      <c r="A1791" t="s">
        <v>120</v>
      </c>
      <c r="B1791" s="1">
        <v>44716</v>
      </c>
      <c r="C1791">
        <v>1</v>
      </c>
      <c r="D1791">
        <v>132.07</v>
      </c>
      <c r="E1791">
        <v>181</v>
      </c>
    </row>
    <row r="1792" spans="1:5" x14ac:dyDescent="0.3">
      <c r="A1792" t="s">
        <v>86</v>
      </c>
      <c r="B1792" s="1">
        <v>44716</v>
      </c>
      <c r="C1792">
        <v>1</v>
      </c>
      <c r="D1792">
        <v>47.4</v>
      </c>
      <c r="E1792">
        <v>76</v>
      </c>
    </row>
    <row r="1793" spans="1:5" x14ac:dyDescent="0.3">
      <c r="A1793" t="s">
        <v>90</v>
      </c>
      <c r="B1793" s="1">
        <v>44716</v>
      </c>
      <c r="C1793">
        <v>1</v>
      </c>
      <c r="D1793">
        <v>390.04</v>
      </c>
      <c r="E1793">
        <v>480</v>
      </c>
    </row>
    <row r="1794" spans="1:5" x14ac:dyDescent="0.3">
      <c r="A1794" t="s">
        <v>90</v>
      </c>
      <c r="B1794" s="1">
        <v>44716</v>
      </c>
      <c r="C1794">
        <v>1</v>
      </c>
      <c r="D1794">
        <v>397.02</v>
      </c>
      <c r="E1794">
        <v>489</v>
      </c>
    </row>
    <row r="1795" spans="1:5" x14ac:dyDescent="0.3">
      <c r="A1795" t="s">
        <v>9</v>
      </c>
      <c r="B1795" s="1">
        <v>44716</v>
      </c>
      <c r="C1795">
        <v>1</v>
      </c>
      <c r="D1795">
        <v>80.69</v>
      </c>
      <c r="E1795">
        <v>100</v>
      </c>
    </row>
    <row r="1796" spans="1:5" x14ac:dyDescent="0.3">
      <c r="A1796" t="s">
        <v>47</v>
      </c>
      <c r="B1796" s="1">
        <v>44716</v>
      </c>
      <c r="C1796">
        <v>1</v>
      </c>
      <c r="D1796">
        <v>43.08</v>
      </c>
      <c r="E1796">
        <v>66</v>
      </c>
    </row>
    <row r="1797" spans="1:5" x14ac:dyDescent="0.3">
      <c r="A1797" t="s">
        <v>25</v>
      </c>
      <c r="B1797" s="1">
        <v>44716</v>
      </c>
      <c r="C1797">
        <v>1</v>
      </c>
      <c r="D1797">
        <v>147.55000000000001</v>
      </c>
      <c r="E1797">
        <v>181</v>
      </c>
    </row>
    <row r="1798" spans="1:5" x14ac:dyDescent="0.3">
      <c r="A1798" t="s">
        <v>107</v>
      </c>
      <c r="B1798" s="1">
        <v>44716</v>
      </c>
      <c r="C1798">
        <v>1</v>
      </c>
      <c r="D1798">
        <v>70.77</v>
      </c>
      <c r="E1798">
        <v>88</v>
      </c>
    </row>
    <row r="1799" spans="1:5" x14ac:dyDescent="0.3">
      <c r="A1799" t="s">
        <v>107</v>
      </c>
      <c r="B1799" s="1">
        <v>44716</v>
      </c>
      <c r="C1799">
        <v>1</v>
      </c>
      <c r="D1799">
        <v>70.77</v>
      </c>
      <c r="E1799">
        <v>88</v>
      </c>
    </row>
    <row r="1800" spans="1:5" x14ac:dyDescent="0.3">
      <c r="A1800" t="s">
        <v>25</v>
      </c>
      <c r="B1800" s="1">
        <v>44716</v>
      </c>
      <c r="C1800">
        <v>1</v>
      </c>
      <c r="D1800">
        <v>148.52000000000001</v>
      </c>
      <c r="E1800">
        <v>178</v>
      </c>
    </row>
    <row r="1801" spans="1:5" x14ac:dyDescent="0.3">
      <c r="A1801" t="s">
        <v>35</v>
      </c>
      <c r="B1801" s="1">
        <v>44716</v>
      </c>
      <c r="C1801">
        <v>1</v>
      </c>
      <c r="D1801">
        <v>32.71</v>
      </c>
      <c r="E1801">
        <v>50</v>
      </c>
    </row>
    <row r="1802" spans="1:5" x14ac:dyDescent="0.3">
      <c r="A1802" t="s">
        <v>35</v>
      </c>
      <c r="B1802" s="1">
        <v>44716</v>
      </c>
      <c r="C1802">
        <v>1</v>
      </c>
      <c r="D1802">
        <v>32.71</v>
      </c>
      <c r="E1802">
        <v>50</v>
      </c>
    </row>
    <row r="1803" spans="1:5" x14ac:dyDescent="0.3">
      <c r="A1803" t="s">
        <v>34</v>
      </c>
      <c r="B1803" s="1">
        <v>44716</v>
      </c>
      <c r="C1803">
        <v>1</v>
      </c>
      <c r="D1803">
        <v>201.73</v>
      </c>
      <c r="E1803">
        <v>232</v>
      </c>
    </row>
    <row r="1804" spans="1:5" x14ac:dyDescent="0.3">
      <c r="A1804" t="s">
        <v>118</v>
      </c>
      <c r="B1804" s="1">
        <v>44716</v>
      </c>
      <c r="C1804">
        <v>1</v>
      </c>
      <c r="D1804">
        <v>10.66</v>
      </c>
      <c r="E1804">
        <v>13</v>
      </c>
    </row>
    <row r="1805" spans="1:5" x14ac:dyDescent="0.3">
      <c r="A1805" t="s">
        <v>65</v>
      </c>
      <c r="B1805" s="1">
        <v>44716</v>
      </c>
      <c r="C1805">
        <v>1</v>
      </c>
      <c r="D1805">
        <v>186.96</v>
      </c>
      <c r="E1805">
        <v>238</v>
      </c>
    </row>
    <row r="1806" spans="1:5" x14ac:dyDescent="0.3">
      <c r="A1806" t="s">
        <v>63</v>
      </c>
      <c r="B1806" s="1">
        <v>44716</v>
      </c>
      <c r="C1806">
        <v>1</v>
      </c>
      <c r="D1806">
        <v>71.45</v>
      </c>
      <c r="E1806">
        <v>90</v>
      </c>
    </row>
    <row r="1807" spans="1:5" x14ac:dyDescent="0.3">
      <c r="A1807" t="s">
        <v>63</v>
      </c>
      <c r="B1807" s="1">
        <v>44716</v>
      </c>
      <c r="C1807">
        <v>1</v>
      </c>
      <c r="D1807">
        <v>71.45</v>
      </c>
      <c r="E1807">
        <v>90</v>
      </c>
    </row>
    <row r="1808" spans="1:5" x14ac:dyDescent="0.3">
      <c r="A1808" t="s">
        <v>81</v>
      </c>
      <c r="B1808" s="1">
        <v>44716</v>
      </c>
      <c r="C1808">
        <v>1</v>
      </c>
      <c r="D1808">
        <v>43.63</v>
      </c>
      <c r="E1808">
        <v>54</v>
      </c>
    </row>
    <row r="1809" spans="1:5" x14ac:dyDescent="0.3">
      <c r="A1809" t="s">
        <v>72</v>
      </c>
      <c r="B1809" s="1">
        <v>44716</v>
      </c>
      <c r="C1809">
        <v>1</v>
      </c>
      <c r="D1809">
        <v>556.51</v>
      </c>
      <c r="E1809">
        <v>735</v>
      </c>
    </row>
    <row r="1810" spans="1:5" x14ac:dyDescent="0.3">
      <c r="A1810" t="s">
        <v>26</v>
      </c>
      <c r="B1810" s="1">
        <v>44716</v>
      </c>
      <c r="C1810">
        <v>0.2</v>
      </c>
      <c r="D1810">
        <v>984.65</v>
      </c>
      <c r="E1810">
        <v>1271</v>
      </c>
    </row>
    <row r="1811" spans="1:5" x14ac:dyDescent="0.3">
      <c r="A1811" t="s">
        <v>75</v>
      </c>
      <c r="B1811" s="1">
        <v>44716</v>
      </c>
      <c r="C1811">
        <v>0.12</v>
      </c>
      <c r="D1811">
        <v>463.1</v>
      </c>
      <c r="E1811">
        <v>649</v>
      </c>
    </row>
    <row r="1812" spans="1:5" x14ac:dyDescent="0.3">
      <c r="A1812" t="s">
        <v>155</v>
      </c>
      <c r="B1812" s="1">
        <v>44716</v>
      </c>
      <c r="C1812">
        <v>0.08</v>
      </c>
      <c r="D1812">
        <v>498.53</v>
      </c>
      <c r="E1812">
        <v>698</v>
      </c>
    </row>
    <row r="1813" spans="1:5" x14ac:dyDescent="0.3">
      <c r="A1813" t="s">
        <v>115</v>
      </c>
      <c r="B1813" s="1">
        <v>44716</v>
      </c>
      <c r="C1813">
        <v>1</v>
      </c>
      <c r="D1813">
        <v>71.31</v>
      </c>
      <c r="E1813">
        <v>88</v>
      </c>
    </row>
    <row r="1814" spans="1:5" x14ac:dyDescent="0.3">
      <c r="A1814" t="s">
        <v>95</v>
      </c>
      <c r="B1814" s="1">
        <v>44716</v>
      </c>
      <c r="C1814">
        <v>0.2</v>
      </c>
      <c r="D1814">
        <v>129.4</v>
      </c>
      <c r="E1814">
        <v>197</v>
      </c>
    </row>
    <row r="1815" spans="1:5" x14ac:dyDescent="0.3">
      <c r="A1815" t="s">
        <v>118</v>
      </c>
      <c r="B1815" s="1">
        <v>44716</v>
      </c>
      <c r="C1815">
        <v>1</v>
      </c>
      <c r="D1815">
        <v>10.78</v>
      </c>
      <c r="E1815">
        <v>13</v>
      </c>
    </row>
    <row r="1816" spans="1:5" x14ac:dyDescent="0.3">
      <c r="A1816" t="s">
        <v>24</v>
      </c>
      <c r="B1816" s="1">
        <v>44716</v>
      </c>
      <c r="C1816">
        <v>1</v>
      </c>
      <c r="D1816">
        <v>103.46</v>
      </c>
      <c r="E1816">
        <v>121</v>
      </c>
    </row>
    <row r="1817" spans="1:5" x14ac:dyDescent="0.3">
      <c r="A1817" t="s">
        <v>89</v>
      </c>
      <c r="B1817" s="1">
        <v>44716</v>
      </c>
      <c r="C1817">
        <v>1</v>
      </c>
      <c r="D1817">
        <v>90.96</v>
      </c>
      <c r="E1817">
        <v>130</v>
      </c>
    </row>
    <row r="1818" spans="1:5" x14ac:dyDescent="0.3">
      <c r="A1818" t="s">
        <v>129</v>
      </c>
      <c r="B1818" s="1">
        <v>44716</v>
      </c>
      <c r="C1818">
        <v>0.08</v>
      </c>
      <c r="D1818">
        <v>493.92</v>
      </c>
      <c r="E1818">
        <v>595</v>
      </c>
    </row>
    <row r="1819" spans="1:5" x14ac:dyDescent="0.3">
      <c r="A1819" t="s">
        <v>17</v>
      </c>
      <c r="B1819" s="1">
        <v>44716</v>
      </c>
      <c r="C1819">
        <v>1</v>
      </c>
      <c r="D1819">
        <v>428.78</v>
      </c>
      <c r="E1819">
        <v>449</v>
      </c>
    </row>
    <row r="1820" spans="1:5" x14ac:dyDescent="0.3">
      <c r="A1820" t="s">
        <v>26</v>
      </c>
      <c r="B1820" s="1">
        <v>44716</v>
      </c>
      <c r="C1820">
        <v>0.5</v>
      </c>
      <c r="D1820">
        <v>986.58</v>
      </c>
      <c r="E1820">
        <v>1234</v>
      </c>
    </row>
    <row r="1821" spans="1:5" x14ac:dyDescent="0.3">
      <c r="A1821" t="s">
        <v>13</v>
      </c>
      <c r="B1821" s="1">
        <v>44716</v>
      </c>
      <c r="C1821">
        <v>1</v>
      </c>
      <c r="D1821">
        <v>119.04</v>
      </c>
      <c r="E1821">
        <v>143</v>
      </c>
    </row>
    <row r="1822" spans="1:5" x14ac:dyDescent="0.3">
      <c r="A1822" t="s">
        <v>114</v>
      </c>
      <c r="B1822" s="1">
        <v>44716</v>
      </c>
      <c r="C1822">
        <v>1</v>
      </c>
      <c r="D1822">
        <v>74.8</v>
      </c>
      <c r="E1822">
        <v>94</v>
      </c>
    </row>
    <row r="1823" spans="1:5" x14ac:dyDescent="0.3">
      <c r="A1823" t="s">
        <v>59</v>
      </c>
      <c r="B1823" s="1">
        <v>44716</v>
      </c>
      <c r="C1823">
        <v>2</v>
      </c>
      <c r="D1823">
        <v>14.55</v>
      </c>
      <c r="E1823">
        <v>24</v>
      </c>
    </row>
    <row r="1824" spans="1:5" x14ac:dyDescent="0.3">
      <c r="A1824" t="s">
        <v>76</v>
      </c>
      <c r="B1824" s="1">
        <v>44716</v>
      </c>
      <c r="C1824">
        <v>1</v>
      </c>
      <c r="D1824">
        <v>30.9</v>
      </c>
      <c r="E1824">
        <v>39</v>
      </c>
    </row>
    <row r="1825" spans="1:5" x14ac:dyDescent="0.3">
      <c r="A1825" t="s">
        <v>103</v>
      </c>
      <c r="B1825" s="1">
        <v>44716</v>
      </c>
      <c r="C1825">
        <v>1</v>
      </c>
      <c r="D1825">
        <v>45.64</v>
      </c>
      <c r="E1825">
        <v>70</v>
      </c>
    </row>
    <row r="1826" spans="1:5" x14ac:dyDescent="0.3">
      <c r="A1826" t="s">
        <v>138</v>
      </c>
      <c r="B1826" s="1">
        <v>44716</v>
      </c>
      <c r="C1826">
        <v>1</v>
      </c>
      <c r="D1826">
        <v>46.5</v>
      </c>
      <c r="E1826">
        <v>75</v>
      </c>
    </row>
    <row r="1827" spans="1:5" x14ac:dyDescent="0.3">
      <c r="A1827" t="s">
        <v>147</v>
      </c>
      <c r="B1827" s="1">
        <v>44716</v>
      </c>
      <c r="C1827">
        <v>1</v>
      </c>
      <c r="D1827">
        <v>136.94999999999999</v>
      </c>
      <c r="E1827">
        <v>188</v>
      </c>
    </row>
    <row r="1828" spans="1:5" x14ac:dyDescent="0.3">
      <c r="A1828" t="s">
        <v>23</v>
      </c>
      <c r="B1828" s="1">
        <v>44716</v>
      </c>
      <c r="C1828">
        <v>1</v>
      </c>
      <c r="D1828">
        <v>110.18</v>
      </c>
      <c r="E1828">
        <v>124</v>
      </c>
    </row>
    <row r="1829" spans="1:5" x14ac:dyDescent="0.3">
      <c r="A1829" t="s">
        <v>20</v>
      </c>
      <c r="B1829" s="1">
        <v>44716</v>
      </c>
      <c r="C1829">
        <v>1</v>
      </c>
      <c r="D1829">
        <v>22.62</v>
      </c>
      <c r="E1829">
        <v>29</v>
      </c>
    </row>
    <row r="1830" spans="1:5" x14ac:dyDescent="0.3">
      <c r="A1830" t="s">
        <v>20</v>
      </c>
      <c r="B1830" s="1">
        <v>44716</v>
      </c>
      <c r="C1830">
        <v>1</v>
      </c>
      <c r="D1830">
        <v>22.62</v>
      </c>
      <c r="E1830">
        <v>29</v>
      </c>
    </row>
    <row r="1831" spans="1:5" x14ac:dyDescent="0.3">
      <c r="A1831" t="s">
        <v>20</v>
      </c>
      <c r="B1831" s="1">
        <v>44716</v>
      </c>
      <c r="C1831">
        <v>1</v>
      </c>
      <c r="D1831">
        <v>22.62</v>
      </c>
      <c r="E1831">
        <v>29</v>
      </c>
    </row>
    <row r="1832" spans="1:5" x14ac:dyDescent="0.3">
      <c r="A1832" t="s">
        <v>20</v>
      </c>
      <c r="B1832" s="1">
        <v>44716</v>
      </c>
      <c r="C1832">
        <v>1</v>
      </c>
      <c r="D1832">
        <v>22.62</v>
      </c>
      <c r="E1832">
        <v>29</v>
      </c>
    </row>
    <row r="1833" spans="1:5" x14ac:dyDescent="0.3">
      <c r="A1833" t="s">
        <v>20</v>
      </c>
      <c r="B1833" s="1">
        <v>44716</v>
      </c>
      <c r="C1833">
        <v>1</v>
      </c>
      <c r="D1833">
        <v>19.82</v>
      </c>
      <c r="E1833">
        <v>25</v>
      </c>
    </row>
    <row r="1834" spans="1:5" x14ac:dyDescent="0.3">
      <c r="A1834" t="s">
        <v>14</v>
      </c>
      <c r="B1834" s="1">
        <v>44716</v>
      </c>
      <c r="C1834">
        <v>0.1</v>
      </c>
      <c r="D1834">
        <v>444.95</v>
      </c>
      <c r="E1834">
        <v>615</v>
      </c>
    </row>
    <row r="1835" spans="1:5" x14ac:dyDescent="0.3">
      <c r="A1835" t="s">
        <v>14</v>
      </c>
      <c r="B1835" s="1">
        <v>44716</v>
      </c>
      <c r="C1835">
        <v>0.1</v>
      </c>
      <c r="D1835">
        <v>466.1</v>
      </c>
      <c r="E1835">
        <v>644</v>
      </c>
    </row>
    <row r="1836" spans="1:5" x14ac:dyDescent="0.3">
      <c r="A1836" t="s">
        <v>130</v>
      </c>
      <c r="B1836" s="1">
        <v>44716</v>
      </c>
      <c r="C1836">
        <v>1</v>
      </c>
      <c r="D1836">
        <v>23.53</v>
      </c>
      <c r="E1836">
        <v>29</v>
      </c>
    </row>
    <row r="1837" spans="1:5" x14ac:dyDescent="0.3">
      <c r="A1837" t="s">
        <v>67</v>
      </c>
      <c r="B1837" s="1">
        <v>44716</v>
      </c>
      <c r="C1837">
        <v>1</v>
      </c>
      <c r="D1837">
        <v>54.32</v>
      </c>
      <c r="E1837">
        <v>83</v>
      </c>
    </row>
    <row r="1838" spans="1:5" x14ac:dyDescent="0.3">
      <c r="A1838" t="s">
        <v>27</v>
      </c>
      <c r="B1838" s="1">
        <v>44716</v>
      </c>
      <c r="C1838">
        <v>1</v>
      </c>
      <c r="D1838">
        <v>102.34</v>
      </c>
      <c r="E1838">
        <v>157</v>
      </c>
    </row>
    <row r="1839" spans="1:5" x14ac:dyDescent="0.3">
      <c r="A1839" t="s">
        <v>35</v>
      </c>
      <c r="B1839" s="1">
        <v>44716</v>
      </c>
      <c r="C1839">
        <v>1</v>
      </c>
      <c r="D1839">
        <v>32.71</v>
      </c>
      <c r="E1839">
        <v>50</v>
      </c>
    </row>
    <row r="1840" spans="1:5" x14ac:dyDescent="0.3">
      <c r="A1840" t="s">
        <v>80</v>
      </c>
      <c r="B1840" s="1">
        <v>44716</v>
      </c>
      <c r="C1840">
        <v>1</v>
      </c>
      <c r="D1840">
        <v>21.62</v>
      </c>
      <c r="E1840">
        <v>33</v>
      </c>
    </row>
    <row r="1841" spans="1:5" x14ac:dyDescent="0.3">
      <c r="A1841" t="s">
        <v>80</v>
      </c>
      <c r="B1841" s="1">
        <v>44716</v>
      </c>
      <c r="C1841">
        <v>1</v>
      </c>
      <c r="D1841">
        <v>21.62</v>
      </c>
      <c r="E1841">
        <v>33</v>
      </c>
    </row>
    <row r="1842" spans="1:5" x14ac:dyDescent="0.3">
      <c r="A1842" t="s">
        <v>66</v>
      </c>
      <c r="B1842" s="1">
        <v>44716</v>
      </c>
      <c r="C1842">
        <v>1</v>
      </c>
      <c r="D1842">
        <v>30.6</v>
      </c>
      <c r="E1842">
        <v>36</v>
      </c>
    </row>
    <row r="1843" spans="1:5" x14ac:dyDescent="0.3">
      <c r="A1843" t="s">
        <v>42</v>
      </c>
      <c r="B1843" s="1">
        <v>44716</v>
      </c>
      <c r="C1843">
        <v>1</v>
      </c>
      <c r="D1843">
        <v>566.04</v>
      </c>
      <c r="E1843">
        <v>634</v>
      </c>
    </row>
    <row r="1844" spans="1:5" x14ac:dyDescent="0.3">
      <c r="A1844" t="s">
        <v>18</v>
      </c>
      <c r="B1844" s="1">
        <v>44716</v>
      </c>
      <c r="C1844">
        <v>1</v>
      </c>
      <c r="D1844">
        <v>46</v>
      </c>
      <c r="E1844">
        <v>72</v>
      </c>
    </row>
    <row r="1845" spans="1:5" x14ac:dyDescent="0.3">
      <c r="A1845" t="s">
        <v>8</v>
      </c>
      <c r="B1845" s="1">
        <v>44716</v>
      </c>
      <c r="C1845">
        <v>1</v>
      </c>
      <c r="D1845">
        <v>47.82</v>
      </c>
      <c r="E1845">
        <v>83</v>
      </c>
    </row>
    <row r="1846" spans="1:5" x14ac:dyDescent="0.3">
      <c r="A1846" t="s">
        <v>51</v>
      </c>
      <c r="B1846" s="1">
        <v>44716</v>
      </c>
      <c r="C1846">
        <v>4</v>
      </c>
      <c r="D1846">
        <v>2.29</v>
      </c>
      <c r="E1846">
        <v>4</v>
      </c>
    </row>
    <row r="1847" spans="1:5" x14ac:dyDescent="0.3">
      <c r="A1847" t="s">
        <v>152</v>
      </c>
      <c r="B1847" s="1">
        <v>44716</v>
      </c>
      <c r="C1847">
        <v>1</v>
      </c>
      <c r="D1847">
        <v>110.61</v>
      </c>
      <c r="E1847">
        <v>139</v>
      </c>
    </row>
    <row r="1848" spans="1:5" x14ac:dyDescent="0.3">
      <c r="A1848" t="s">
        <v>50</v>
      </c>
      <c r="B1848" s="1">
        <v>44716</v>
      </c>
      <c r="C1848">
        <v>1</v>
      </c>
      <c r="D1848">
        <v>43.55</v>
      </c>
      <c r="E1848">
        <v>54</v>
      </c>
    </row>
    <row r="1849" spans="1:5" x14ac:dyDescent="0.3">
      <c r="A1849" t="s">
        <v>81</v>
      </c>
      <c r="B1849" s="1">
        <v>44716</v>
      </c>
      <c r="C1849">
        <v>1</v>
      </c>
      <c r="D1849">
        <v>40.26</v>
      </c>
      <c r="E1849">
        <v>50</v>
      </c>
    </row>
    <row r="1850" spans="1:5" x14ac:dyDescent="0.3">
      <c r="A1850" t="s">
        <v>56</v>
      </c>
      <c r="B1850" s="1">
        <v>44716</v>
      </c>
      <c r="C1850">
        <v>1</v>
      </c>
      <c r="D1850">
        <v>45.36</v>
      </c>
      <c r="E1850">
        <v>71</v>
      </c>
    </row>
    <row r="1851" spans="1:5" x14ac:dyDescent="0.3">
      <c r="A1851" t="s">
        <v>85</v>
      </c>
      <c r="B1851" s="1">
        <v>44716</v>
      </c>
      <c r="C1851">
        <v>1</v>
      </c>
      <c r="D1851">
        <v>13.61</v>
      </c>
      <c r="E1851">
        <v>22</v>
      </c>
    </row>
    <row r="1852" spans="1:5" x14ac:dyDescent="0.3">
      <c r="A1852" t="s">
        <v>85</v>
      </c>
      <c r="B1852" s="1">
        <v>44716</v>
      </c>
      <c r="C1852">
        <v>1</v>
      </c>
      <c r="D1852">
        <v>13.61</v>
      </c>
      <c r="E1852">
        <v>22</v>
      </c>
    </row>
    <row r="1853" spans="1:5" x14ac:dyDescent="0.3">
      <c r="A1853" t="s">
        <v>85</v>
      </c>
      <c r="B1853" s="1">
        <v>44716</v>
      </c>
      <c r="C1853">
        <v>1</v>
      </c>
      <c r="D1853">
        <v>13.61</v>
      </c>
      <c r="E1853">
        <v>22</v>
      </c>
    </row>
    <row r="1854" spans="1:5" x14ac:dyDescent="0.3">
      <c r="A1854" t="s">
        <v>85</v>
      </c>
      <c r="B1854" s="1">
        <v>44716</v>
      </c>
      <c r="C1854">
        <v>1</v>
      </c>
      <c r="D1854">
        <v>13.61</v>
      </c>
      <c r="E1854">
        <v>22</v>
      </c>
    </row>
    <row r="1855" spans="1:5" x14ac:dyDescent="0.3">
      <c r="A1855" t="s">
        <v>24</v>
      </c>
      <c r="B1855" s="1">
        <v>44716</v>
      </c>
      <c r="C1855">
        <v>1</v>
      </c>
      <c r="D1855">
        <v>103.46</v>
      </c>
      <c r="E1855">
        <v>121</v>
      </c>
    </row>
    <row r="1856" spans="1:5" x14ac:dyDescent="0.3">
      <c r="A1856" t="s">
        <v>10</v>
      </c>
      <c r="B1856" s="1">
        <v>44716</v>
      </c>
      <c r="C1856">
        <v>1</v>
      </c>
      <c r="D1856">
        <v>11.67</v>
      </c>
      <c r="E1856">
        <v>14</v>
      </c>
    </row>
    <row r="1857" spans="1:5" x14ac:dyDescent="0.3">
      <c r="A1857" t="s">
        <v>137</v>
      </c>
      <c r="B1857" s="1">
        <v>44716</v>
      </c>
      <c r="C1857">
        <v>5</v>
      </c>
      <c r="D1857">
        <v>9</v>
      </c>
      <c r="E1857">
        <v>15</v>
      </c>
    </row>
    <row r="1858" spans="1:5" x14ac:dyDescent="0.3">
      <c r="A1858" t="s">
        <v>110</v>
      </c>
      <c r="B1858" s="1">
        <v>44716</v>
      </c>
      <c r="C1858">
        <v>1</v>
      </c>
      <c r="D1858">
        <v>209.32</v>
      </c>
      <c r="E1858">
        <v>287</v>
      </c>
    </row>
    <row r="1859" spans="1:5" x14ac:dyDescent="0.3">
      <c r="A1859" t="s">
        <v>112</v>
      </c>
      <c r="B1859" s="1">
        <v>44716</v>
      </c>
      <c r="C1859">
        <v>1</v>
      </c>
      <c r="D1859">
        <v>281.47000000000003</v>
      </c>
      <c r="E1859">
        <v>334</v>
      </c>
    </row>
    <row r="1860" spans="1:5" x14ac:dyDescent="0.3">
      <c r="A1860" t="s">
        <v>49</v>
      </c>
      <c r="B1860" s="1">
        <v>44716</v>
      </c>
      <c r="C1860">
        <v>1</v>
      </c>
      <c r="D1860">
        <v>17.93</v>
      </c>
      <c r="E1860">
        <v>21</v>
      </c>
    </row>
    <row r="1861" spans="1:5" x14ac:dyDescent="0.3">
      <c r="A1861" t="s">
        <v>113</v>
      </c>
      <c r="B1861" s="1">
        <v>44716</v>
      </c>
      <c r="C1861">
        <v>1</v>
      </c>
      <c r="D1861">
        <v>125.4</v>
      </c>
      <c r="E1861">
        <v>182</v>
      </c>
    </row>
    <row r="1862" spans="1:5" x14ac:dyDescent="0.3">
      <c r="A1862" t="s">
        <v>24</v>
      </c>
      <c r="B1862" s="1">
        <v>44716</v>
      </c>
      <c r="C1862">
        <v>1</v>
      </c>
      <c r="D1862">
        <v>103.46</v>
      </c>
      <c r="E1862">
        <v>121</v>
      </c>
    </row>
    <row r="1863" spans="1:5" x14ac:dyDescent="0.3">
      <c r="A1863" t="s">
        <v>56</v>
      </c>
      <c r="B1863" s="1">
        <v>44716</v>
      </c>
      <c r="C1863">
        <v>1</v>
      </c>
      <c r="D1863">
        <v>43.97</v>
      </c>
      <c r="E1863">
        <v>67</v>
      </c>
    </row>
    <row r="1864" spans="1:5" x14ac:dyDescent="0.3">
      <c r="A1864" t="s">
        <v>42</v>
      </c>
      <c r="B1864" s="1">
        <v>44716</v>
      </c>
      <c r="C1864">
        <v>1</v>
      </c>
      <c r="D1864">
        <v>566.04</v>
      </c>
      <c r="E1864">
        <v>651</v>
      </c>
    </row>
    <row r="1865" spans="1:5" x14ac:dyDescent="0.3">
      <c r="A1865" t="s">
        <v>122</v>
      </c>
      <c r="B1865" s="1">
        <v>44716</v>
      </c>
      <c r="C1865">
        <v>1</v>
      </c>
      <c r="D1865">
        <v>20.91</v>
      </c>
      <c r="E1865">
        <v>26</v>
      </c>
    </row>
    <row r="1866" spans="1:5" x14ac:dyDescent="0.3">
      <c r="A1866" t="s">
        <v>34</v>
      </c>
      <c r="B1866" s="1">
        <v>44716</v>
      </c>
      <c r="C1866">
        <v>1</v>
      </c>
      <c r="D1866">
        <v>201.73</v>
      </c>
      <c r="E1866">
        <v>232</v>
      </c>
    </row>
    <row r="1867" spans="1:5" x14ac:dyDescent="0.3">
      <c r="A1867" t="s">
        <v>115</v>
      </c>
      <c r="B1867" s="1">
        <v>44716</v>
      </c>
      <c r="C1867">
        <v>1</v>
      </c>
      <c r="D1867">
        <v>71.31</v>
      </c>
      <c r="E1867">
        <v>90</v>
      </c>
    </row>
    <row r="1868" spans="1:5" x14ac:dyDescent="0.3">
      <c r="A1868" t="s">
        <v>47</v>
      </c>
      <c r="B1868" s="1">
        <v>44716</v>
      </c>
      <c r="C1868">
        <v>1</v>
      </c>
      <c r="D1868">
        <v>43.2</v>
      </c>
      <c r="E1868">
        <v>67</v>
      </c>
    </row>
    <row r="1869" spans="1:5" x14ac:dyDescent="0.3">
      <c r="A1869" t="s">
        <v>149</v>
      </c>
      <c r="B1869" s="1">
        <v>44716</v>
      </c>
      <c r="C1869">
        <v>1</v>
      </c>
      <c r="D1869">
        <v>201.41</v>
      </c>
      <c r="E1869">
        <v>268</v>
      </c>
    </row>
    <row r="1870" spans="1:5" x14ac:dyDescent="0.3">
      <c r="A1870" t="s">
        <v>149</v>
      </c>
      <c r="B1870" s="1">
        <v>44716</v>
      </c>
      <c r="C1870">
        <v>1</v>
      </c>
      <c r="D1870">
        <v>201.41</v>
      </c>
      <c r="E1870">
        <v>268</v>
      </c>
    </row>
    <row r="1871" spans="1:5" x14ac:dyDescent="0.3">
      <c r="A1871" t="s">
        <v>7</v>
      </c>
      <c r="B1871" s="1">
        <v>44716</v>
      </c>
      <c r="C1871">
        <v>1</v>
      </c>
      <c r="D1871">
        <v>88.73</v>
      </c>
      <c r="E1871">
        <v>106</v>
      </c>
    </row>
    <row r="1872" spans="1:5" x14ac:dyDescent="0.3">
      <c r="A1872" t="s">
        <v>28</v>
      </c>
      <c r="B1872" s="1">
        <v>44716</v>
      </c>
      <c r="C1872">
        <v>1</v>
      </c>
      <c r="D1872">
        <v>148.91</v>
      </c>
      <c r="E1872">
        <v>204</v>
      </c>
    </row>
    <row r="1873" spans="1:5" x14ac:dyDescent="0.3">
      <c r="A1873" t="s">
        <v>27</v>
      </c>
      <c r="B1873" s="1">
        <v>44716</v>
      </c>
      <c r="C1873">
        <v>1</v>
      </c>
      <c r="D1873">
        <v>102.34</v>
      </c>
      <c r="E1873">
        <v>157</v>
      </c>
    </row>
    <row r="1874" spans="1:5" x14ac:dyDescent="0.3">
      <c r="A1874" t="s">
        <v>13</v>
      </c>
      <c r="B1874" s="1">
        <v>44716</v>
      </c>
      <c r="C1874">
        <v>1</v>
      </c>
      <c r="D1874">
        <v>119.04</v>
      </c>
      <c r="E1874">
        <v>143</v>
      </c>
    </row>
    <row r="1875" spans="1:5" x14ac:dyDescent="0.3">
      <c r="A1875" t="s">
        <v>28</v>
      </c>
      <c r="B1875" s="1">
        <v>44716</v>
      </c>
      <c r="C1875">
        <v>1</v>
      </c>
      <c r="D1875">
        <v>148.91999999999999</v>
      </c>
      <c r="E1875">
        <v>207</v>
      </c>
    </row>
    <row r="1876" spans="1:5" x14ac:dyDescent="0.3">
      <c r="A1876" t="s">
        <v>127</v>
      </c>
      <c r="B1876" s="1">
        <v>44716</v>
      </c>
      <c r="C1876">
        <v>1</v>
      </c>
      <c r="D1876">
        <v>119.8</v>
      </c>
      <c r="E1876">
        <v>167</v>
      </c>
    </row>
    <row r="1877" spans="1:5" x14ac:dyDescent="0.3">
      <c r="A1877" t="s">
        <v>21</v>
      </c>
      <c r="B1877" s="1">
        <v>44716</v>
      </c>
      <c r="C1877">
        <v>1</v>
      </c>
      <c r="D1877">
        <v>184.43</v>
      </c>
      <c r="E1877">
        <v>257</v>
      </c>
    </row>
    <row r="1878" spans="1:5" x14ac:dyDescent="0.3">
      <c r="A1878" t="s">
        <v>8</v>
      </c>
      <c r="B1878" s="1">
        <v>44716</v>
      </c>
      <c r="C1878">
        <v>1</v>
      </c>
      <c r="D1878">
        <v>47.77</v>
      </c>
      <c r="E1878">
        <v>78</v>
      </c>
    </row>
    <row r="1879" spans="1:5" x14ac:dyDescent="0.3">
      <c r="A1879" t="s">
        <v>9</v>
      </c>
      <c r="B1879" s="1">
        <v>44716</v>
      </c>
      <c r="C1879">
        <v>1</v>
      </c>
      <c r="D1879">
        <v>80.73</v>
      </c>
      <c r="E1879">
        <v>100</v>
      </c>
    </row>
    <row r="1880" spans="1:5" x14ac:dyDescent="0.3">
      <c r="A1880" t="s">
        <v>9</v>
      </c>
      <c r="B1880" s="1">
        <v>44716</v>
      </c>
      <c r="C1880">
        <v>1</v>
      </c>
      <c r="D1880">
        <v>80.73</v>
      </c>
      <c r="E1880">
        <v>100</v>
      </c>
    </row>
    <row r="1881" spans="1:5" x14ac:dyDescent="0.3">
      <c r="A1881" t="s">
        <v>23</v>
      </c>
      <c r="B1881" s="1">
        <v>44716</v>
      </c>
      <c r="C1881">
        <v>1</v>
      </c>
      <c r="D1881">
        <v>109.41</v>
      </c>
      <c r="E1881">
        <v>123</v>
      </c>
    </row>
    <row r="1882" spans="1:5" x14ac:dyDescent="0.3">
      <c r="A1882" t="s">
        <v>51</v>
      </c>
      <c r="B1882" s="1">
        <v>44716</v>
      </c>
      <c r="C1882">
        <v>12</v>
      </c>
      <c r="D1882">
        <v>2.1800000000000002</v>
      </c>
      <c r="E1882">
        <v>4</v>
      </c>
    </row>
    <row r="1883" spans="1:5" x14ac:dyDescent="0.3">
      <c r="A1883" t="s">
        <v>48</v>
      </c>
      <c r="B1883" s="1">
        <v>44716</v>
      </c>
      <c r="C1883">
        <v>1</v>
      </c>
      <c r="D1883">
        <v>41.47</v>
      </c>
      <c r="E1883">
        <v>64</v>
      </c>
    </row>
    <row r="1884" spans="1:5" x14ac:dyDescent="0.3">
      <c r="A1884" t="s">
        <v>48</v>
      </c>
      <c r="B1884" s="1">
        <v>44716</v>
      </c>
      <c r="C1884">
        <v>1</v>
      </c>
      <c r="D1884">
        <v>41.47</v>
      </c>
      <c r="E1884">
        <v>64</v>
      </c>
    </row>
    <row r="1885" spans="1:5" x14ac:dyDescent="0.3">
      <c r="A1885" t="s">
        <v>48</v>
      </c>
      <c r="B1885" s="1">
        <v>44716</v>
      </c>
      <c r="C1885">
        <v>1</v>
      </c>
      <c r="D1885">
        <v>41.47</v>
      </c>
      <c r="E1885">
        <v>64</v>
      </c>
    </row>
    <row r="1886" spans="1:5" x14ac:dyDescent="0.3">
      <c r="A1886" t="s">
        <v>5</v>
      </c>
      <c r="B1886" s="1">
        <v>44716</v>
      </c>
      <c r="C1886">
        <v>1</v>
      </c>
      <c r="D1886">
        <v>130.75</v>
      </c>
      <c r="E1886">
        <v>160</v>
      </c>
    </row>
    <row r="1887" spans="1:5" x14ac:dyDescent="0.3">
      <c r="A1887" t="s">
        <v>29</v>
      </c>
      <c r="B1887" s="1">
        <v>44716</v>
      </c>
      <c r="C1887">
        <v>1</v>
      </c>
      <c r="D1887">
        <v>488.05</v>
      </c>
      <c r="E1887">
        <v>635</v>
      </c>
    </row>
    <row r="1888" spans="1:5" x14ac:dyDescent="0.3">
      <c r="A1888" t="s">
        <v>8</v>
      </c>
      <c r="B1888" s="1">
        <v>44716</v>
      </c>
      <c r="C1888">
        <v>1</v>
      </c>
      <c r="D1888">
        <v>47.67</v>
      </c>
      <c r="E1888">
        <v>77</v>
      </c>
    </row>
    <row r="1889" spans="1:5" x14ac:dyDescent="0.3">
      <c r="A1889" t="s">
        <v>44</v>
      </c>
      <c r="B1889" s="1">
        <v>44716</v>
      </c>
      <c r="C1889">
        <v>1</v>
      </c>
      <c r="D1889">
        <v>65.53</v>
      </c>
      <c r="E1889">
        <v>100</v>
      </c>
    </row>
    <row r="1890" spans="1:5" x14ac:dyDescent="0.3">
      <c r="A1890" t="s">
        <v>18</v>
      </c>
      <c r="B1890" s="1">
        <v>44716</v>
      </c>
      <c r="C1890">
        <v>1</v>
      </c>
      <c r="D1890">
        <v>46</v>
      </c>
      <c r="E1890">
        <v>72</v>
      </c>
    </row>
    <row r="1891" spans="1:5" x14ac:dyDescent="0.3">
      <c r="A1891" t="s">
        <v>7</v>
      </c>
      <c r="B1891" s="1">
        <v>44716</v>
      </c>
      <c r="C1891">
        <v>1</v>
      </c>
      <c r="D1891">
        <v>88.73</v>
      </c>
      <c r="E1891">
        <v>104</v>
      </c>
    </row>
    <row r="1892" spans="1:5" x14ac:dyDescent="0.3">
      <c r="A1892" t="s">
        <v>70</v>
      </c>
      <c r="B1892" s="1">
        <v>44716</v>
      </c>
      <c r="C1892">
        <v>1</v>
      </c>
      <c r="D1892">
        <v>162.19</v>
      </c>
      <c r="E1892">
        <v>196</v>
      </c>
    </row>
    <row r="1893" spans="1:5" x14ac:dyDescent="0.3">
      <c r="A1893" t="s">
        <v>50</v>
      </c>
      <c r="B1893" s="1">
        <v>44716</v>
      </c>
      <c r="C1893">
        <v>1</v>
      </c>
      <c r="D1893">
        <v>43.92</v>
      </c>
      <c r="E1893">
        <v>55</v>
      </c>
    </row>
    <row r="1894" spans="1:5" x14ac:dyDescent="0.3">
      <c r="A1894" t="s">
        <v>98</v>
      </c>
      <c r="B1894" s="1">
        <v>44716</v>
      </c>
      <c r="C1894">
        <v>1</v>
      </c>
      <c r="D1894">
        <v>111.32</v>
      </c>
      <c r="E1894">
        <v>133</v>
      </c>
    </row>
    <row r="1895" spans="1:5" x14ac:dyDescent="0.3">
      <c r="A1895" t="s">
        <v>96</v>
      </c>
      <c r="B1895" s="1">
        <v>44716</v>
      </c>
      <c r="C1895">
        <v>1</v>
      </c>
      <c r="D1895">
        <v>71.650000000000006</v>
      </c>
      <c r="E1895">
        <v>102</v>
      </c>
    </row>
    <row r="1896" spans="1:5" x14ac:dyDescent="0.3">
      <c r="A1896" t="s">
        <v>113</v>
      </c>
      <c r="B1896" s="1">
        <v>44716</v>
      </c>
      <c r="C1896">
        <v>1</v>
      </c>
      <c r="D1896">
        <v>126.69</v>
      </c>
      <c r="E1896">
        <v>179</v>
      </c>
    </row>
    <row r="1897" spans="1:5" x14ac:dyDescent="0.3">
      <c r="A1897" t="s">
        <v>47</v>
      </c>
      <c r="B1897" s="1">
        <v>44716</v>
      </c>
      <c r="C1897">
        <v>1</v>
      </c>
      <c r="D1897">
        <v>43.08</v>
      </c>
      <c r="E1897">
        <v>66</v>
      </c>
    </row>
    <row r="1898" spans="1:5" x14ac:dyDescent="0.3">
      <c r="A1898" t="s">
        <v>47</v>
      </c>
      <c r="B1898" s="1">
        <v>44716</v>
      </c>
      <c r="C1898">
        <v>1</v>
      </c>
      <c r="D1898">
        <v>43.08</v>
      </c>
      <c r="E1898">
        <v>66</v>
      </c>
    </row>
    <row r="1899" spans="1:5" x14ac:dyDescent="0.3">
      <c r="A1899" t="s">
        <v>98</v>
      </c>
      <c r="B1899" s="1">
        <v>44716</v>
      </c>
      <c r="C1899">
        <v>1</v>
      </c>
      <c r="D1899">
        <v>111.32</v>
      </c>
      <c r="E1899">
        <v>134</v>
      </c>
    </row>
    <row r="1900" spans="1:5" x14ac:dyDescent="0.3">
      <c r="A1900" t="s">
        <v>50</v>
      </c>
      <c r="B1900" s="1">
        <v>44716</v>
      </c>
      <c r="C1900">
        <v>1</v>
      </c>
      <c r="D1900">
        <v>43.92</v>
      </c>
      <c r="E1900">
        <v>55</v>
      </c>
    </row>
    <row r="1901" spans="1:5" x14ac:dyDescent="0.3">
      <c r="A1901" t="s">
        <v>60</v>
      </c>
      <c r="B1901" s="1">
        <v>44716</v>
      </c>
      <c r="C1901">
        <v>1</v>
      </c>
      <c r="D1901">
        <v>58.03</v>
      </c>
      <c r="E1901">
        <v>72</v>
      </c>
    </row>
    <row r="1902" spans="1:5" x14ac:dyDescent="0.3">
      <c r="A1902" t="s">
        <v>91</v>
      </c>
      <c r="B1902" s="1">
        <v>44716</v>
      </c>
      <c r="C1902">
        <v>1</v>
      </c>
      <c r="D1902">
        <v>37.340000000000003</v>
      </c>
      <c r="E1902">
        <v>65</v>
      </c>
    </row>
    <row r="1903" spans="1:5" x14ac:dyDescent="0.3">
      <c r="A1903" t="s">
        <v>106</v>
      </c>
      <c r="B1903" s="1">
        <v>44716</v>
      </c>
      <c r="C1903">
        <v>1</v>
      </c>
      <c r="D1903">
        <v>46.2</v>
      </c>
      <c r="E1903">
        <v>56</v>
      </c>
    </row>
    <row r="1904" spans="1:5" x14ac:dyDescent="0.3">
      <c r="A1904" t="s">
        <v>20</v>
      </c>
      <c r="B1904" s="1">
        <v>44716</v>
      </c>
      <c r="C1904">
        <v>1</v>
      </c>
      <c r="D1904">
        <v>20.18</v>
      </c>
      <c r="E1904">
        <v>24</v>
      </c>
    </row>
    <row r="1905" spans="1:5" x14ac:dyDescent="0.3">
      <c r="A1905" t="s">
        <v>61</v>
      </c>
      <c r="B1905" s="1">
        <v>44716</v>
      </c>
      <c r="C1905">
        <v>1</v>
      </c>
      <c r="D1905">
        <v>32.909999999999997</v>
      </c>
      <c r="E1905">
        <v>51</v>
      </c>
    </row>
    <row r="1906" spans="1:5" x14ac:dyDescent="0.3">
      <c r="A1906" t="s">
        <v>95</v>
      </c>
      <c r="B1906" s="1">
        <v>44716</v>
      </c>
      <c r="C1906">
        <v>0.2</v>
      </c>
      <c r="D1906">
        <v>129.4</v>
      </c>
      <c r="E1906">
        <v>197</v>
      </c>
    </row>
    <row r="1907" spans="1:5" x14ac:dyDescent="0.3">
      <c r="A1907" t="s">
        <v>25</v>
      </c>
      <c r="B1907" s="1">
        <v>44716</v>
      </c>
      <c r="C1907">
        <v>1</v>
      </c>
      <c r="D1907">
        <v>147.55000000000001</v>
      </c>
      <c r="E1907">
        <v>181</v>
      </c>
    </row>
    <row r="1908" spans="1:5" x14ac:dyDescent="0.3">
      <c r="A1908" t="s">
        <v>140</v>
      </c>
      <c r="B1908" s="1">
        <v>44716</v>
      </c>
      <c r="C1908">
        <v>1</v>
      </c>
      <c r="D1908">
        <v>158.94</v>
      </c>
      <c r="E1908">
        <v>194</v>
      </c>
    </row>
    <row r="1909" spans="1:5" x14ac:dyDescent="0.3">
      <c r="A1909" t="s">
        <v>55</v>
      </c>
      <c r="B1909" s="1">
        <v>44716</v>
      </c>
      <c r="C1909">
        <v>1</v>
      </c>
      <c r="D1909">
        <v>88.79</v>
      </c>
      <c r="E1909">
        <v>100.8</v>
      </c>
    </row>
    <row r="1910" spans="1:5" x14ac:dyDescent="0.3">
      <c r="A1910" t="s">
        <v>105</v>
      </c>
      <c r="B1910" s="1">
        <v>44716</v>
      </c>
      <c r="C1910">
        <v>1</v>
      </c>
      <c r="D1910">
        <v>27.72</v>
      </c>
      <c r="E1910">
        <v>45</v>
      </c>
    </row>
    <row r="1911" spans="1:5" x14ac:dyDescent="0.3">
      <c r="A1911" t="s">
        <v>66</v>
      </c>
      <c r="B1911" s="1">
        <v>44716</v>
      </c>
      <c r="C1911">
        <v>1</v>
      </c>
      <c r="D1911">
        <v>30.56</v>
      </c>
      <c r="E1911">
        <v>36</v>
      </c>
    </row>
    <row r="1912" spans="1:5" x14ac:dyDescent="0.3">
      <c r="A1912" t="s">
        <v>66</v>
      </c>
      <c r="B1912" s="1">
        <v>44716</v>
      </c>
      <c r="C1912">
        <v>1</v>
      </c>
      <c r="D1912">
        <v>30.56</v>
      </c>
      <c r="E1912">
        <v>36</v>
      </c>
    </row>
    <row r="1913" spans="1:5" x14ac:dyDescent="0.3">
      <c r="A1913" t="s">
        <v>24</v>
      </c>
      <c r="B1913" s="1">
        <v>44716</v>
      </c>
      <c r="C1913">
        <v>1</v>
      </c>
      <c r="D1913">
        <v>103.46</v>
      </c>
      <c r="E1913">
        <v>121</v>
      </c>
    </row>
    <row r="1914" spans="1:5" x14ac:dyDescent="0.3">
      <c r="A1914" t="s">
        <v>92</v>
      </c>
      <c r="B1914" s="1">
        <v>44716</v>
      </c>
      <c r="C1914">
        <v>1</v>
      </c>
      <c r="D1914">
        <v>6.24</v>
      </c>
      <c r="E1914">
        <v>9</v>
      </c>
    </row>
    <row r="1915" spans="1:5" x14ac:dyDescent="0.3">
      <c r="A1915" t="s">
        <v>62</v>
      </c>
      <c r="B1915" s="1">
        <v>44716</v>
      </c>
      <c r="C1915">
        <v>1</v>
      </c>
      <c r="D1915">
        <v>25.71</v>
      </c>
      <c r="E1915">
        <v>31</v>
      </c>
    </row>
    <row r="1916" spans="1:5" x14ac:dyDescent="0.3">
      <c r="A1916" t="s">
        <v>156</v>
      </c>
      <c r="B1916" s="1">
        <v>44716</v>
      </c>
      <c r="C1916">
        <v>1</v>
      </c>
      <c r="D1916">
        <v>251.37</v>
      </c>
      <c r="E1916">
        <v>335</v>
      </c>
    </row>
    <row r="1917" spans="1:5" x14ac:dyDescent="0.3">
      <c r="A1917" t="s">
        <v>115</v>
      </c>
      <c r="B1917" s="1">
        <v>44716</v>
      </c>
      <c r="C1917">
        <v>1</v>
      </c>
      <c r="D1917">
        <v>71.31</v>
      </c>
      <c r="E1917">
        <v>90</v>
      </c>
    </row>
    <row r="1918" spans="1:5" x14ac:dyDescent="0.3">
      <c r="A1918" t="s">
        <v>98</v>
      </c>
      <c r="B1918" s="1">
        <v>44716</v>
      </c>
      <c r="C1918">
        <v>1</v>
      </c>
      <c r="D1918">
        <v>111.21</v>
      </c>
      <c r="E1918">
        <v>134</v>
      </c>
    </row>
    <row r="1919" spans="1:5" x14ac:dyDescent="0.3">
      <c r="A1919" t="s">
        <v>30</v>
      </c>
      <c r="B1919" s="1">
        <v>44716</v>
      </c>
      <c r="C1919">
        <v>1</v>
      </c>
      <c r="D1919">
        <v>156.19999999999999</v>
      </c>
      <c r="E1919">
        <v>186</v>
      </c>
    </row>
    <row r="1920" spans="1:5" x14ac:dyDescent="0.3">
      <c r="A1920" t="s">
        <v>65</v>
      </c>
      <c r="B1920" s="1">
        <v>44716</v>
      </c>
      <c r="C1920">
        <v>1</v>
      </c>
      <c r="D1920">
        <v>186.96</v>
      </c>
      <c r="E1920">
        <v>238</v>
      </c>
    </row>
    <row r="1921" spans="1:5" x14ac:dyDescent="0.3">
      <c r="A1921" t="s">
        <v>98</v>
      </c>
      <c r="B1921" s="1">
        <v>44716</v>
      </c>
      <c r="C1921">
        <v>1</v>
      </c>
      <c r="D1921">
        <v>111.32</v>
      </c>
      <c r="E1921">
        <v>133</v>
      </c>
    </row>
    <row r="1922" spans="1:5" x14ac:dyDescent="0.3">
      <c r="A1922" t="s">
        <v>9</v>
      </c>
      <c r="B1922" s="1">
        <v>44716</v>
      </c>
      <c r="C1922">
        <v>1</v>
      </c>
      <c r="D1922">
        <v>81.87</v>
      </c>
      <c r="E1922">
        <v>99</v>
      </c>
    </row>
    <row r="1923" spans="1:5" x14ac:dyDescent="0.3">
      <c r="A1923" t="s">
        <v>13</v>
      </c>
      <c r="B1923" s="1">
        <v>44716</v>
      </c>
      <c r="C1923">
        <v>1</v>
      </c>
      <c r="D1923">
        <v>117.7</v>
      </c>
      <c r="E1923">
        <v>142</v>
      </c>
    </row>
    <row r="1924" spans="1:5" x14ac:dyDescent="0.3">
      <c r="A1924" t="s">
        <v>93</v>
      </c>
      <c r="B1924" s="1">
        <v>44716</v>
      </c>
      <c r="C1924">
        <v>1</v>
      </c>
      <c r="D1924">
        <v>71.05</v>
      </c>
      <c r="E1924">
        <v>104</v>
      </c>
    </row>
    <row r="1925" spans="1:5" x14ac:dyDescent="0.3">
      <c r="A1925" t="s">
        <v>117</v>
      </c>
      <c r="B1925" s="1">
        <v>44716</v>
      </c>
      <c r="C1925">
        <v>1</v>
      </c>
      <c r="D1925">
        <v>23.14</v>
      </c>
      <c r="E1925">
        <v>28</v>
      </c>
    </row>
    <row r="1926" spans="1:5" x14ac:dyDescent="0.3">
      <c r="A1926" t="s">
        <v>117</v>
      </c>
      <c r="B1926" s="1">
        <v>44716</v>
      </c>
      <c r="C1926">
        <v>1</v>
      </c>
      <c r="D1926">
        <v>23.14</v>
      </c>
      <c r="E1926">
        <v>28</v>
      </c>
    </row>
    <row r="1927" spans="1:5" x14ac:dyDescent="0.3">
      <c r="A1927" t="s">
        <v>63</v>
      </c>
      <c r="B1927" s="1">
        <v>44716</v>
      </c>
      <c r="C1927">
        <v>1</v>
      </c>
      <c r="D1927">
        <v>73.3</v>
      </c>
      <c r="E1927">
        <v>88</v>
      </c>
    </row>
    <row r="1928" spans="1:5" x14ac:dyDescent="0.3">
      <c r="A1928" t="s">
        <v>132</v>
      </c>
      <c r="B1928" s="1">
        <v>44716</v>
      </c>
      <c r="C1928">
        <v>1</v>
      </c>
      <c r="D1928">
        <v>58.53</v>
      </c>
      <c r="E1928">
        <v>84</v>
      </c>
    </row>
    <row r="1929" spans="1:5" x14ac:dyDescent="0.3">
      <c r="A1929" t="s">
        <v>113</v>
      </c>
      <c r="B1929" s="1">
        <v>44716</v>
      </c>
      <c r="C1929">
        <v>1</v>
      </c>
      <c r="D1929">
        <v>136.57</v>
      </c>
      <c r="E1929">
        <v>158</v>
      </c>
    </row>
    <row r="1930" spans="1:5" x14ac:dyDescent="0.3">
      <c r="A1930" t="s">
        <v>28</v>
      </c>
      <c r="B1930" s="1">
        <v>44716</v>
      </c>
      <c r="C1930">
        <v>1</v>
      </c>
      <c r="D1930">
        <v>141.08000000000001</v>
      </c>
      <c r="E1930">
        <v>205</v>
      </c>
    </row>
    <row r="1931" spans="1:5" x14ac:dyDescent="0.3">
      <c r="A1931" t="s">
        <v>97</v>
      </c>
      <c r="B1931" s="1">
        <v>44716</v>
      </c>
      <c r="C1931">
        <v>1</v>
      </c>
      <c r="D1931">
        <v>421.97</v>
      </c>
      <c r="E1931">
        <v>545</v>
      </c>
    </row>
    <row r="1932" spans="1:5" x14ac:dyDescent="0.3">
      <c r="A1932" t="s">
        <v>152</v>
      </c>
      <c r="B1932" s="1">
        <v>44716</v>
      </c>
      <c r="C1932">
        <v>1</v>
      </c>
      <c r="D1932">
        <v>110.61</v>
      </c>
      <c r="E1932">
        <v>139</v>
      </c>
    </row>
    <row r="1933" spans="1:5" x14ac:dyDescent="0.3">
      <c r="A1933" t="s">
        <v>128</v>
      </c>
      <c r="B1933" s="1">
        <v>44716</v>
      </c>
      <c r="C1933">
        <v>1</v>
      </c>
      <c r="D1933">
        <v>265.7</v>
      </c>
      <c r="E1933">
        <v>365</v>
      </c>
    </row>
    <row r="1934" spans="1:5" x14ac:dyDescent="0.3">
      <c r="A1934" t="s">
        <v>65</v>
      </c>
      <c r="B1934" s="1">
        <v>44716</v>
      </c>
      <c r="C1934">
        <v>1</v>
      </c>
      <c r="D1934">
        <v>187.36</v>
      </c>
      <c r="E1934">
        <v>220</v>
      </c>
    </row>
    <row r="1935" spans="1:5" x14ac:dyDescent="0.3">
      <c r="A1935" t="s">
        <v>51</v>
      </c>
      <c r="B1935" s="1">
        <v>44716</v>
      </c>
      <c r="C1935">
        <v>4</v>
      </c>
      <c r="D1935">
        <v>2.0099999999999998</v>
      </c>
      <c r="E1935">
        <v>4</v>
      </c>
    </row>
    <row r="1936" spans="1:5" x14ac:dyDescent="0.3">
      <c r="A1936" t="s">
        <v>105</v>
      </c>
      <c r="B1936" s="1">
        <v>44716</v>
      </c>
      <c r="C1936">
        <v>1</v>
      </c>
      <c r="D1936">
        <v>26.9</v>
      </c>
      <c r="E1936">
        <v>44</v>
      </c>
    </row>
    <row r="1937" spans="1:5" x14ac:dyDescent="0.3">
      <c r="A1937" t="s">
        <v>42</v>
      </c>
      <c r="B1937" s="1">
        <v>44716</v>
      </c>
      <c r="C1937">
        <v>1</v>
      </c>
      <c r="D1937">
        <v>566.04</v>
      </c>
      <c r="E1937">
        <v>634</v>
      </c>
    </row>
    <row r="1938" spans="1:5" x14ac:dyDescent="0.3">
      <c r="A1938" t="s">
        <v>118</v>
      </c>
      <c r="B1938" s="1">
        <v>44716</v>
      </c>
      <c r="C1938">
        <v>1</v>
      </c>
      <c r="D1938">
        <v>11.1</v>
      </c>
      <c r="E1938">
        <v>13</v>
      </c>
    </row>
    <row r="1939" spans="1:5" x14ac:dyDescent="0.3">
      <c r="A1939" t="s">
        <v>118</v>
      </c>
      <c r="B1939" s="1">
        <v>44716</v>
      </c>
      <c r="C1939">
        <v>1</v>
      </c>
      <c r="D1939">
        <v>11.1</v>
      </c>
      <c r="E1939">
        <v>13</v>
      </c>
    </row>
    <row r="1940" spans="1:5" x14ac:dyDescent="0.3">
      <c r="A1940" t="s">
        <v>135</v>
      </c>
      <c r="B1940" s="1">
        <v>44716</v>
      </c>
      <c r="C1940">
        <v>1</v>
      </c>
      <c r="D1940">
        <v>72.31</v>
      </c>
      <c r="E1940">
        <v>90</v>
      </c>
    </row>
    <row r="1941" spans="1:5" x14ac:dyDescent="0.3">
      <c r="A1941" t="s">
        <v>50</v>
      </c>
      <c r="B1941" s="1">
        <v>44716</v>
      </c>
      <c r="C1941">
        <v>1</v>
      </c>
      <c r="D1941">
        <v>43.55</v>
      </c>
      <c r="E1941">
        <v>54</v>
      </c>
    </row>
    <row r="1942" spans="1:5" x14ac:dyDescent="0.3">
      <c r="A1942" t="s">
        <v>77</v>
      </c>
      <c r="B1942" s="1">
        <v>44716</v>
      </c>
      <c r="C1942">
        <v>1</v>
      </c>
      <c r="D1942">
        <v>61.89</v>
      </c>
      <c r="E1942">
        <v>77</v>
      </c>
    </row>
    <row r="1943" spans="1:5" x14ac:dyDescent="0.3">
      <c r="A1943" t="s">
        <v>75</v>
      </c>
      <c r="B1943" s="1">
        <v>44716</v>
      </c>
      <c r="C1943">
        <v>0.02</v>
      </c>
      <c r="D1943">
        <v>404.09</v>
      </c>
      <c r="E1943">
        <v>594</v>
      </c>
    </row>
    <row r="1944" spans="1:5" x14ac:dyDescent="0.3">
      <c r="A1944" t="s">
        <v>65</v>
      </c>
      <c r="B1944" s="1">
        <v>44716</v>
      </c>
      <c r="C1944">
        <v>1</v>
      </c>
      <c r="D1944">
        <v>187.36</v>
      </c>
      <c r="E1944">
        <v>220</v>
      </c>
    </row>
    <row r="1945" spans="1:5" x14ac:dyDescent="0.3">
      <c r="A1945" t="s">
        <v>151</v>
      </c>
      <c r="B1945" s="1">
        <v>44716</v>
      </c>
      <c r="C1945">
        <v>1</v>
      </c>
      <c r="D1945">
        <v>23.23</v>
      </c>
      <c r="E1945">
        <v>29</v>
      </c>
    </row>
    <row r="1946" spans="1:5" x14ac:dyDescent="0.3">
      <c r="A1946" t="s">
        <v>151</v>
      </c>
      <c r="B1946" s="1">
        <v>44716</v>
      </c>
      <c r="C1946">
        <v>1</v>
      </c>
      <c r="D1946">
        <v>23.23</v>
      </c>
      <c r="E1946">
        <v>29</v>
      </c>
    </row>
    <row r="1947" spans="1:5" x14ac:dyDescent="0.3">
      <c r="A1947" t="s">
        <v>60</v>
      </c>
      <c r="B1947" s="1">
        <v>44716</v>
      </c>
      <c r="C1947">
        <v>1</v>
      </c>
      <c r="D1947">
        <v>58.08</v>
      </c>
      <c r="E1947">
        <v>72</v>
      </c>
    </row>
    <row r="1948" spans="1:5" x14ac:dyDescent="0.3">
      <c r="A1948" t="s">
        <v>40</v>
      </c>
      <c r="B1948" s="1">
        <v>44716</v>
      </c>
      <c r="C1948">
        <v>1</v>
      </c>
      <c r="D1948">
        <v>173.86</v>
      </c>
      <c r="E1948">
        <v>208</v>
      </c>
    </row>
    <row r="1949" spans="1:5" x14ac:dyDescent="0.3">
      <c r="A1949" t="s">
        <v>28</v>
      </c>
      <c r="B1949" s="1">
        <v>44716</v>
      </c>
      <c r="C1949">
        <v>1</v>
      </c>
      <c r="D1949">
        <v>147.97</v>
      </c>
      <c r="E1949">
        <v>209</v>
      </c>
    </row>
    <row r="1950" spans="1:5" x14ac:dyDescent="0.3">
      <c r="A1950" t="s">
        <v>147</v>
      </c>
      <c r="B1950" s="1">
        <v>44716</v>
      </c>
      <c r="C1950">
        <v>1</v>
      </c>
      <c r="D1950">
        <v>135.02000000000001</v>
      </c>
      <c r="E1950">
        <v>185</v>
      </c>
    </row>
    <row r="1951" spans="1:5" x14ac:dyDescent="0.3">
      <c r="A1951" t="s">
        <v>65</v>
      </c>
      <c r="B1951" s="1">
        <v>44716</v>
      </c>
      <c r="C1951">
        <v>1</v>
      </c>
      <c r="D1951">
        <v>187.36</v>
      </c>
      <c r="E1951">
        <v>220</v>
      </c>
    </row>
    <row r="1952" spans="1:5" x14ac:dyDescent="0.3">
      <c r="A1952" t="s">
        <v>42</v>
      </c>
      <c r="B1952" s="1">
        <v>44716</v>
      </c>
      <c r="C1952">
        <v>1</v>
      </c>
      <c r="D1952">
        <v>566.04</v>
      </c>
      <c r="E1952">
        <v>651</v>
      </c>
    </row>
    <row r="1953" spans="1:5" x14ac:dyDescent="0.3">
      <c r="A1953" t="s">
        <v>147</v>
      </c>
      <c r="B1953" s="1">
        <v>44716</v>
      </c>
      <c r="C1953">
        <v>1</v>
      </c>
      <c r="D1953">
        <v>137.55000000000001</v>
      </c>
      <c r="E1953">
        <v>194</v>
      </c>
    </row>
    <row r="1954" spans="1:5" x14ac:dyDescent="0.3">
      <c r="A1954" t="s">
        <v>58</v>
      </c>
      <c r="B1954" s="1">
        <v>44716</v>
      </c>
      <c r="C1954">
        <v>1</v>
      </c>
      <c r="D1954">
        <v>76.02</v>
      </c>
      <c r="E1954">
        <v>92</v>
      </c>
    </row>
    <row r="1955" spans="1:5" x14ac:dyDescent="0.3">
      <c r="A1955" t="s">
        <v>58</v>
      </c>
      <c r="B1955" s="1">
        <v>44716</v>
      </c>
      <c r="C1955">
        <v>1</v>
      </c>
      <c r="D1955">
        <v>76.02</v>
      </c>
      <c r="E1955">
        <v>92</v>
      </c>
    </row>
    <row r="1956" spans="1:5" x14ac:dyDescent="0.3">
      <c r="A1956" t="s">
        <v>24</v>
      </c>
      <c r="B1956" s="1">
        <v>44716</v>
      </c>
      <c r="C1956">
        <v>1</v>
      </c>
      <c r="D1956">
        <v>107.76</v>
      </c>
      <c r="E1956">
        <v>127</v>
      </c>
    </row>
    <row r="1957" spans="1:5" x14ac:dyDescent="0.3">
      <c r="A1957" t="s">
        <v>75</v>
      </c>
      <c r="B1957" s="1">
        <v>44716</v>
      </c>
      <c r="C1957">
        <v>1.37336E-2</v>
      </c>
      <c r="D1957">
        <v>467.08</v>
      </c>
      <c r="E1957">
        <v>664</v>
      </c>
    </row>
    <row r="1958" spans="1:5" x14ac:dyDescent="0.3">
      <c r="A1958" t="s">
        <v>75</v>
      </c>
      <c r="B1958" s="1">
        <v>44716</v>
      </c>
      <c r="C1958">
        <v>8.6266399999999993E-2</v>
      </c>
      <c r="D1958">
        <v>467.08</v>
      </c>
      <c r="E1958">
        <v>664</v>
      </c>
    </row>
    <row r="1959" spans="1:5" x14ac:dyDescent="0.3">
      <c r="A1959" t="s">
        <v>32</v>
      </c>
      <c r="B1959" s="1">
        <v>44716</v>
      </c>
      <c r="C1959">
        <v>1</v>
      </c>
      <c r="D1959">
        <v>97.54</v>
      </c>
      <c r="E1959">
        <v>154</v>
      </c>
    </row>
    <row r="1960" spans="1:5" x14ac:dyDescent="0.3">
      <c r="A1960" t="s">
        <v>89</v>
      </c>
      <c r="B1960" s="1">
        <v>44716</v>
      </c>
      <c r="C1960">
        <v>1</v>
      </c>
      <c r="D1960">
        <v>91.23</v>
      </c>
      <c r="E1960">
        <v>133</v>
      </c>
    </row>
    <row r="1961" spans="1:5" x14ac:dyDescent="0.3">
      <c r="A1961" t="s">
        <v>47</v>
      </c>
      <c r="B1961" s="1">
        <v>44716</v>
      </c>
      <c r="C1961">
        <v>1</v>
      </c>
      <c r="D1961">
        <v>43.08</v>
      </c>
      <c r="E1961">
        <v>66</v>
      </c>
    </row>
    <row r="1962" spans="1:5" x14ac:dyDescent="0.3">
      <c r="A1962" t="s">
        <v>98</v>
      </c>
      <c r="B1962" s="1">
        <v>44716</v>
      </c>
      <c r="C1962">
        <v>1</v>
      </c>
      <c r="D1962">
        <v>111.32</v>
      </c>
      <c r="E1962">
        <v>134</v>
      </c>
    </row>
    <row r="1963" spans="1:5" x14ac:dyDescent="0.3">
      <c r="A1963" t="s">
        <v>5</v>
      </c>
      <c r="B1963" s="1">
        <v>44716</v>
      </c>
      <c r="C1963">
        <v>1</v>
      </c>
      <c r="D1963">
        <v>132.33000000000001</v>
      </c>
      <c r="E1963">
        <v>159</v>
      </c>
    </row>
    <row r="1964" spans="1:5" x14ac:dyDescent="0.3">
      <c r="A1964" t="s">
        <v>85</v>
      </c>
      <c r="B1964" s="1">
        <v>44716</v>
      </c>
      <c r="C1964">
        <v>1</v>
      </c>
      <c r="D1964">
        <v>16.62</v>
      </c>
      <c r="E1964">
        <v>26</v>
      </c>
    </row>
    <row r="1965" spans="1:5" x14ac:dyDescent="0.3">
      <c r="A1965" t="s">
        <v>85</v>
      </c>
      <c r="B1965" s="1">
        <v>44716</v>
      </c>
      <c r="C1965">
        <v>1</v>
      </c>
      <c r="D1965">
        <v>15.36</v>
      </c>
      <c r="E1965">
        <v>24</v>
      </c>
    </row>
    <row r="1966" spans="1:5" x14ac:dyDescent="0.3">
      <c r="A1966" t="s">
        <v>92</v>
      </c>
      <c r="B1966" s="1">
        <v>44716</v>
      </c>
      <c r="C1966">
        <v>6</v>
      </c>
      <c r="D1966">
        <v>6.78</v>
      </c>
      <c r="E1966">
        <v>9</v>
      </c>
    </row>
    <row r="1967" spans="1:5" x14ac:dyDescent="0.3">
      <c r="A1967" t="s">
        <v>92</v>
      </c>
      <c r="B1967" s="1">
        <v>44716</v>
      </c>
      <c r="C1967">
        <v>4</v>
      </c>
      <c r="D1967">
        <v>6.24</v>
      </c>
      <c r="E1967">
        <v>9</v>
      </c>
    </row>
    <row r="1968" spans="1:5" x14ac:dyDescent="0.3">
      <c r="A1968" t="s">
        <v>19</v>
      </c>
      <c r="B1968" s="1">
        <v>44716</v>
      </c>
      <c r="C1968">
        <v>1</v>
      </c>
      <c r="D1968">
        <v>81.290000000000006</v>
      </c>
      <c r="E1968">
        <v>103</v>
      </c>
    </row>
    <row r="1969" spans="1:5" x14ac:dyDescent="0.3">
      <c r="A1969" t="s">
        <v>126</v>
      </c>
      <c r="B1969" s="1">
        <v>44716</v>
      </c>
      <c r="C1969">
        <v>1</v>
      </c>
      <c r="D1969">
        <v>32.01</v>
      </c>
      <c r="E1969">
        <v>39</v>
      </c>
    </row>
    <row r="1970" spans="1:5" x14ac:dyDescent="0.3">
      <c r="A1970" t="s">
        <v>126</v>
      </c>
      <c r="B1970" s="1">
        <v>44716</v>
      </c>
      <c r="C1970">
        <v>1</v>
      </c>
      <c r="D1970">
        <v>32.01</v>
      </c>
      <c r="E1970">
        <v>39</v>
      </c>
    </row>
    <row r="1971" spans="1:5" x14ac:dyDescent="0.3">
      <c r="A1971" t="s">
        <v>126</v>
      </c>
      <c r="B1971" s="1">
        <v>44716</v>
      </c>
      <c r="C1971">
        <v>1</v>
      </c>
      <c r="D1971">
        <v>32.01</v>
      </c>
      <c r="E1971">
        <v>39</v>
      </c>
    </row>
    <row r="1972" spans="1:5" x14ac:dyDescent="0.3">
      <c r="A1972" t="s">
        <v>126</v>
      </c>
      <c r="B1972" s="1">
        <v>44716</v>
      </c>
      <c r="C1972">
        <v>1</v>
      </c>
      <c r="D1972">
        <v>32.01</v>
      </c>
      <c r="E1972">
        <v>39</v>
      </c>
    </row>
    <row r="1973" spans="1:5" x14ac:dyDescent="0.3">
      <c r="A1973" t="s">
        <v>126</v>
      </c>
      <c r="B1973" s="1">
        <v>44716</v>
      </c>
      <c r="C1973">
        <v>1</v>
      </c>
      <c r="D1973">
        <v>32.01</v>
      </c>
      <c r="E1973">
        <v>39</v>
      </c>
    </row>
    <row r="1974" spans="1:5" x14ac:dyDescent="0.3">
      <c r="A1974" t="s">
        <v>126</v>
      </c>
      <c r="B1974" s="1">
        <v>44716</v>
      </c>
      <c r="C1974">
        <v>1</v>
      </c>
      <c r="D1974">
        <v>32.01</v>
      </c>
      <c r="E1974">
        <v>39</v>
      </c>
    </row>
    <row r="1975" spans="1:5" x14ac:dyDescent="0.3">
      <c r="A1975" t="s">
        <v>126</v>
      </c>
      <c r="B1975" s="1">
        <v>44716</v>
      </c>
      <c r="C1975">
        <v>1</v>
      </c>
      <c r="D1975">
        <v>32.01</v>
      </c>
      <c r="E1975">
        <v>39</v>
      </c>
    </row>
    <row r="1976" spans="1:5" x14ac:dyDescent="0.3">
      <c r="A1976" t="s">
        <v>126</v>
      </c>
      <c r="B1976" s="1">
        <v>44716</v>
      </c>
      <c r="C1976">
        <v>1</v>
      </c>
      <c r="D1976">
        <v>32.01</v>
      </c>
      <c r="E1976">
        <v>39</v>
      </c>
    </row>
    <row r="1977" spans="1:5" x14ac:dyDescent="0.3">
      <c r="A1977" t="s">
        <v>126</v>
      </c>
      <c r="B1977" s="1">
        <v>44716</v>
      </c>
      <c r="C1977">
        <v>1</v>
      </c>
      <c r="D1977">
        <v>32.01</v>
      </c>
      <c r="E1977">
        <v>39</v>
      </c>
    </row>
    <row r="1978" spans="1:5" x14ac:dyDescent="0.3">
      <c r="A1978" t="s">
        <v>126</v>
      </c>
      <c r="B1978" s="1">
        <v>44716</v>
      </c>
      <c r="C1978">
        <v>1</v>
      </c>
      <c r="D1978">
        <v>32.01</v>
      </c>
      <c r="E1978">
        <v>39</v>
      </c>
    </row>
    <row r="1979" spans="1:5" x14ac:dyDescent="0.3">
      <c r="A1979" t="s">
        <v>110</v>
      </c>
      <c r="B1979" s="1">
        <v>44716</v>
      </c>
      <c r="C1979">
        <v>1</v>
      </c>
      <c r="D1979">
        <v>240.43</v>
      </c>
      <c r="E1979">
        <v>325</v>
      </c>
    </row>
    <row r="1980" spans="1:5" x14ac:dyDescent="0.3">
      <c r="A1980" t="s">
        <v>91</v>
      </c>
      <c r="B1980" s="1">
        <v>44716</v>
      </c>
      <c r="C1980">
        <v>1</v>
      </c>
      <c r="D1980">
        <v>34.65</v>
      </c>
      <c r="E1980">
        <v>57</v>
      </c>
    </row>
    <row r="1981" spans="1:5" x14ac:dyDescent="0.3">
      <c r="A1981" t="s">
        <v>147</v>
      </c>
      <c r="B1981" s="1">
        <v>44716</v>
      </c>
      <c r="C1981">
        <v>1</v>
      </c>
      <c r="D1981">
        <v>136.66</v>
      </c>
      <c r="E1981">
        <v>190</v>
      </c>
    </row>
    <row r="1982" spans="1:5" x14ac:dyDescent="0.3">
      <c r="A1982" t="s">
        <v>65</v>
      </c>
      <c r="B1982" s="1">
        <v>44716</v>
      </c>
      <c r="C1982">
        <v>1</v>
      </c>
      <c r="D1982">
        <v>187.36</v>
      </c>
      <c r="E1982">
        <v>220</v>
      </c>
    </row>
    <row r="1983" spans="1:5" x14ac:dyDescent="0.3">
      <c r="A1983" t="s">
        <v>98</v>
      </c>
      <c r="B1983" s="1">
        <v>44716</v>
      </c>
      <c r="C1983">
        <v>1</v>
      </c>
      <c r="D1983">
        <v>111.32</v>
      </c>
      <c r="E1983">
        <v>134</v>
      </c>
    </row>
    <row r="1984" spans="1:5" x14ac:dyDescent="0.3">
      <c r="A1984" t="s">
        <v>23</v>
      </c>
      <c r="B1984" s="1">
        <v>44716</v>
      </c>
      <c r="C1984">
        <v>1</v>
      </c>
      <c r="D1984">
        <v>109.41</v>
      </c>
      <c r="E1984">
        <v>123</v>
      </c>
    </row>
    <row r="1985" spans="1:5" x14ac:dyDescent="0.3">
      <c r="A1985" t="s">
        <v>131</v>
      </c>
      <c r="B1985" s="1">
        <v>44716</v>
      </c>
      <c r="C1985">
        <v>1</v>
      </c>
      <c r="D1985">
        <v>350.97</v>
      </c>
      <c r="E1985">
        <v>404</v>
      </c>
    </row>
    <row r="1986" spans="1:5" x14ac:dyDescent="0.3">
      <c r="A1986" t="s">
        <v>56</v>
      </c>
      <c r="B1986" s="1">
        <v>44716</v>
      </c>
      <c r="C1986">
        <v>1</v>
      </c>
      <c r="D1986">
        <v>44.56</v>
      </c>
      <c r="E1986">
        <v>70</v>
      </c>
    </row>
    <row r="1987" spans="1:5" x14ac:dyDescent="0.3">
      <c r="A1987" t="s">
        <v>148</v>
      </c>
      <c r="B1987" s="1">
        <v>44716</v>
      </c>
      <c r="C1987">
        <v>1</v>
      </c>
      <c r="D1987">
        <v>36.94</v>
      </c>
      <c r="E1987">
        <v>57</v>
      </c>
    </row>
    <row r="1988" spans="1:5" x14ac:dyDescent="0.3">
      <c r="A1988" t="s">
        <v>22</v>
      </c>
      <c r="B1988" s="1">
        <v>44716</v>
      </c>
      <c r="C1988">
        <v>1</v>
      </c>
      <c r="D1988">
        <v>30.3</v>
      </c>
      <c r="E1988">
        <v>49</v>
      </c>
    </row>
    <row r="1989" spans="1:5" x14ac:dyDescent="0.3">
      <c r="A1989" t="s">
        <v>146</v>
      </c>
      <c r="B1989" s="1">
        <v>44716</v>
      </c>
      <c r="C1989">
        <v>1</v>
      </c>
      <c r="D1989">
        <v>410.25</v>
      </c>
      <c r="E1989">
        <v>460</v>
      </c>
    </row>
    <row r="1990" spans="1:5" x14ac:dyDescent="0.3">
      <c r="A1990" t="s">
        <v>81</v>
      </c>
      <c r="B1990" s="1">
        <v>44716</v>
      </c>
      <c r="C1990">
        <v>1</v>
      </c>
      <c r="D1990">
        <v>40.14</v>
      </c>
      <c r="E1990">
        <v>49</v>
      </c>
    </row>
    <row r="1991" spans="1:5" x14ac:dyDescent="0.3">
      <c r="A1991" t="s">
        <v>47</v>
      </c>
      <c r="B1991" s="1">
        <v>44716</v>
      </c>
      <c r="C1991">
        <v>1</v>
      </c>
      <c r="D1991">
        <v>43</v>
      </c>
      <c r="E1991">
        <v>67</v>
      </c>
    </row>
    <row r="1992" spans="1:5" x14ac:dyDescent="0.3">
      <c r="A1992" t="s">
        <v>49</v>
      </c>
      <c r="B1992" s="1">
        <v>44716</v>
      </c>
      <c r="C1992">
        <v>1</v>
      </c>
      <c r="D1992">
        <v>15.8</v>
      </c>
      <c r="E1992">
        <v>19</v>
      </c>
    </row>
    <row r="1993" spans="1:5" x14ac:dyDescent="0.3">
      <c r="A1993" t="s">
        <v>27</v>
      </c>
      <c r="B1993" s="1">
        <v>44716</v>
      </c>
      <c r="C1993">
        <v>1</v>
      </c>
      <c r="D1993">
        <v>102.34</v>
      </c>
      <c r="E1993">
        <v>157</v>
      </c>
    </row>
    <row r="1994" spans="1:5" x14ac:dyDescent="0.3">
      <c r="A1994" t="s">
        <v>65</v>
      </c>
      <c r="B1994" s="1">
        <v>44715</v>
      </c>
      <c r="C1994">
        <v>1</v>
      </c>
      <c r="D1994">
        <v>187.74</v>
      </c>
      <c r="E1994">
        <v>220</v>
      </c>
    </row>
    <row r="1995" spans="1:5" x14ac:dyDescent="0.3">
      <c r="A1995" t="s">
        <v>75</v>
      </c>
      <c r="B1995" s="1">
        <v>44715</v>
      </c>
      <c r="C1995">
        <v>0.06</v>
      </c>
      <c r="D1995">
        <v>463.1</v>
      </c>
      <c r="E1995">
        <v>649</v>
      </c>
    </row>
    <row r="1996" spans="1:5" x14ac:dyDescent="0.3">
      <c r="A1996" t="s">
        <v>122</v>
      </c>
      <c r="B1996" s="1">
        <v>44715</v>
      </c>
      <c r="C1996">
        <v>1</v>
      </c>
      <c r="D1996">
        <v>21.07</v>
      </c>
      <c r="E1996">
        <v>26</v>
      </c>
    </row>
    <row r="1997" spans="1:5" x14ac:dyDescent="0.3">
      <c r="A1997" t="s">
        <v>28</v>
      </c>
      <c r="B1997" s="1">
        <v>44715</v>
      </c>
      <c r="C1997">
        <v>1</v>
      </c>
      <c r="D1997">
        <v>148.91</v>
      </c>
      <c r="E1997">
        <v>204</v>
      </c>
    </row>
    <row r="1998" spans="1:5" x14ac:dyDescent="0.3">
      <c r="A1998" t="s">
        <v>18</v>
      </c>
      <c r="B1998" s="1">
        <v>44715</v>
      </c>
      <c r="C1998">
        <v>1</v>
      </c>
      <c r="D1998">
        <v>46</v>
      </c>
      <c r="E1998">
        <v>72</v>
      </c>
    </row>
    <row r="1999" spans="1:5" x14ac:dyDescent="0.3">
      <c r="A1999" t="s">
        <v>52</v>
      </c>
      <c r="B1999" s="1">
        <v>44715</v>
      </c>
      <c r="C1999">
        <v>1</v>
      </c>
      <c r="D1999">
        <v>205</v>
      </c>
      <c r="E1999">
        <v>250</v>
      </c>
    </row>
    <row r="2000" spans="1:5" x14ac:dyDescent="0.3">
      <c r="A2000" t="s">
        <v>57</v>
      </c>
      <c r="B2000" s="1">
        <v>44715</v>
      </c>
      <c r="C2000">
        <v>1</v>
      </c>
      <c r="D2000">
        <v>233.74</v>
      </c>
      <c r="E2000">
        <v>262</v>
      </c>
    </row>
    <row r="2001" spans="1:5" x14ac:dyDescent="0.3">
      <c r="A2001" t="s">
        <v>131</v>
      </c>
      <c r="B2001" s="1">
        <v>44715</v>
      </c>
      <c r="C2001">
        <v>1</v>
      </c>
      <c r="D2001">
        <v>361.91</v>
      </c>
      <c r="E2001">
        <v>424</v>
      </c>
    </row>
    <row r="2002" spans="1:5" x14ac:dyDescent="0.3">
      <c r="A2002" t="s">
        <v>24</v>
      </c>
      <c r="B2002" s="1">
        <v>44715</v>
      </c>
      <c r="C2002">
        <v>1</v>
      </c>
      <c r="D2002">
        <v>103.46</v>
      </c>
      <c r="E2002">
        <v>121</v>
      </c>
    </row>
    <row r="2003" spans="1:5" x14ac:dyDescent="0.3">
      <c r="A2003" t="s">
        <v>122</v>
      </c>
      <c r="B2003" s="1">
        <v>44715</v>
      </c>
      <c r="C2003">
        <v>1</v>
      </c>
      <c r="D2003">
        <v>21.07</v>
      </c>
      <c r="E2003">
        <v>26</v>
      </c>
    </row>
    <row r="2004" spans="1:5" x14ac:dyDescent="0.3">
      <c r="A2004" t="s">
        <v>14</v>
      </c>
      <c r="B2004" s="1">
        <v>44715</v>
      </c>
      <c r="C2004">
        <v>0.2</v>
      </c>
      <c r="D2004">
        <v>440.99</v>
      </c>
      <c r="E2004">
        <v>574</v>
      </c>
    </row>
    <row r="2005" spans="1:5" x14ac:dyDescent="0.3">
      <c r="A2005" t="s">
        <v>26</v>
      </c>
      <c r="B2005" s="1">
        <v>44715</v>
      </c>
      <c r="C2005">
        <v>0.1</v>
      </c>
      <c r="D2005">
        <v>986.58</v>
      </c>
      <c r="E2005">
        <v>1234</v>
      </c>
    </row>
    <row r="2006" spans="1:5" x14ac:dyDescent="0.3">
      <c r="A2006" t="s">
        <v>52</v>
      </c>
      <c r="B2006" s="1">
        <v>44715</v>
      </c>
      <c r="C2006">
        <v>1</v>
      </c>
      <c r="D2006">
        <v>205</v>
      </c>
      <c r="E2006">
        <v>250</v>
      </c>
    </row>
    <row r="2007" spans="1:5" x14ac:dyDescent="0.3">
      <c r="A2007" t="s">
        <v>107</v>
      </c>
      <c r="B2007" s="1">
        <v>44715</v>
      </c>
      <c r="C2007">
        <v>1</v>
      </c>
      <c r="D2007">
        <v>70.77</v>
      </c>
      <c r="E2007">
        <v>88</v>
      </c>
    </row>
    <row r="2008" spans="1:5" x14ac:dyDescent="0.3">
      <c r="A2008" t="s">
        <v>95</v>
      </c>
      <c r="B2008" s="1">
        <v>44715</v>
      </c>
      <c r="C2008">
        <v>1</v>
      </c>
      <c r="D2008">
        <v>113.82</v>
      </c>
      <c r="E2008">
        <v>173</v>
      </c>
    </row>
    <row r="2009" spans="1:5" x14ac:dyDescent="0.3">
      <c r="A2009" t="s">
        <v>89</v>
      </c>
      <c r="B2009" s="1">
        <v>44715</v>
      </c>
      <c r="C2009">
        <v>1</v>
      </c>
      <c r="D2009">
        <v>81.17</v>
      </c>
      <c r="E2009">
        <v>121</v>
      </c>
    </row>
    <row r="2010" spans="1:5" x14ac:dyDescent="0.3">
      <c r="A2010" t="s">
        <v>77</v>
      </c>
      <c r="B2010" s="1">
        <v>44715</v>
      </c>
      <c r="C2010">
        <v>1</v>
      </c>
      <c r="D2010">
        <v>60.94</v>
      </c>
      <c r="E2010">
        <v>76</v>
      </c>
    </row>
    <row r="2011" spans="1:5" x14ac:dyDescent="0.3">
      <c r="A2011" t="s">
        <v>122</v>
      </c>
      <c r="B2011" s="1">
        <v>44715</v>
      </c>
      <c r="C2011">
        <v>1</v>
      </c>
      <c r="D2011">
        <v>20.59</v>
      </c>
      <c r="E2011">
        <v>25</v>
      </c>
    </row>
    <row r="2012" spans="1:5" x14ac:dyDescent="0.3">
      <c r="A2012" t="s">
        <v>34</v>
      </c>
      <c r="B2012" s="1">
        <v>44715</v>
      </c>
      <c r="C2012">
        <v>1</v>
      </c>
      <c r="D2012">
        <v>200.19</v>
      </c>
      <c r="E2012">
        <v>231</v>
      </c>
    </row>
    <row r="2013" spans="1:5" x14ac:dyDescent="0.3">
      <c r="A2013" t="s">
        <v>122</v>
      </c>
      <c r="B2013" s="1">
        <v>44715</v>
      </c>
      <c r="C2013">
        <v>1</v>
      </c>
      <c r="D2013">
        <v>20.59</v>
      </c>
      <c r="E2013">
        <v>25</v>
      </c>
    </row>
    <row r="2014" spans="1:5" x14ac:dyDescent="0.3">
      <c r="A2014" t="s">
        <v>8</v>
      </c>
      <c r="B2014" s="1">
        <v>44715</v>
      </c>
      <c r="C2014">
        <v>1</v>
      </c>
      <c r="D2014">
        <v>47.77</v>
      </c>
      <c r="E2014">
        <v>78</v>
      </c>
    </row>
    <row r="2015" spans="1:5" x14ac:dyDescent="0.3">
      <c r="A2015" t="s">
        <v>159</v>
      </c>
      <c r="B2015" s="1">
        <v>44715</v>
      </c>
      <c r="C2015">
        <v>1</v>
      </c>
      <c r="D2015">
        <v>52.11</v>
      </c>
      <c r="E2015">
        <v>65</v>
      </c>
    </row>
    <row r="2016" spans="1:5" x14ac:dyDescent="0.3">
      <c r="A2016" t="s">
        <v>123</v>
      </c>
      <c r="B2016" s="1">
        <v>44715</v>
      </c>
      <c r="C2016">
        <v>1</v>
      </c>
      <c r="D2016">
        <v>62.79</v>
      </c>
      <c r="E2016">
        <v>78</v>
      </c>
    </row>
    <row r="2017" spans="1:5" x14ac:dyDescent="0.3">
      <c r="A2017" t="s">
        <v>42</v>
      </c>
      <c r="B2017" s="1">
        <v>44715</v>
      </c>
      <c r="C2017">
        <v>1</v>
      </c>
      <c r="D2017">
        <v>631.17999999999995</v>
      </c>
      <c r="E2017">
        <v>661</v>
      </c>
    </row>
    <row r="2018" spans="1:5" x14ac:dyDescent="0.3">
      <c r="A2018" t="s">
        <v>152</v>
      </c>
      <c r="B2018" s="1">
        <v>44715</v>
      </c>
      <c r="C2018">
        <v>1</v>
      </c>
      <c r="D2018">
        <v>109.67</v>
      </c>
      <c r="E2018">
        <v>138</v>
      </c>
    </row>
    <row r="2019" spans="1:5" x14ac:dyDescent="0.3">
      <c r="A2019" t="s">
        <v>24</v>
      </c>
      <c r="B2019" s="1">
        <v>44715</v>
      </c>
      <c r="C2019">
        <v>1</v>
      </c>
      <c r="D2019">
        <v>103.46</v>
      </c>
      <c r="E2019">
        <v>121</v>
      </c>
    </row>
    <row r="2020" spans="1:5" x14ac:dyDescent="0.3">
      <c r="A2020" t="s">
        <v>135</v>
      </c>
      <c r="B2020" s="1">
        <v>44715</v>
      </c>
      <c r="C2020">
        <v>1</v>
      </c>
      <c r="D2020">
        <v>72.88</v>
      </c>
      <c r="E2020">
        <v>90</v>
      </c>
    </row>
    <row r="2021" spans="1:5" x14ac:dyDescent="0.3">
      <c r="A2021" t="s">
        <v>135</v>
      </c>
      <c r="B2021" s="1">
        <v>44715</v>
      </c>
      <c r="C2021">
        <v>1</v>
      </c>
      <c r="D2021">
        <v>72.31</v>
      </c>
      <c r="E2021">
        <v>90</v>
      </c>
    </row>
    <row r="2022" spans="1:5" x14ac:dyDescent="0.3">
      <c r="A2022" t="s">
        <v>135</v>
      </c>
      <c r="B2022" s="1">
        <v>44715</v>
      </c>
      <c r="C2022">
        <v>1</v>
      </c>
      <c r="D2022">
        <v>72.31</v>
      </c>
      <c r="E2022">
        <v>90</v>
      </c>
    </row>
    <row r="2023" spans="1:5" x14ac:dyDescent="0.3">
      <c r="A2023" t="s">
        <v>20</v>
      </c>
      <c r="B2023" s="1">
        <v>44715</v>
      </c>
      <c r="C2023">
        <v>1</v>
      </c>
      <c r="D2023">
        <v>19.71</v>
      </c>
      <c r="E2023">
        <v>25</v>
      </c>
    </row>
    <row r="2024" spans="1:5" x14ac:dyDescent="0.3">
      <c r="A2024" t="s">
        <v>20</v>
      </c>
      <c r="B2024" s="1">
        <v>44715</v>
      </c>
      <c r="C2024">
        <v>1</v>
      </c>
      <c r="D2024">
        <v>19.71</v>
      </c>
      <c r="E2024">
        <v>25</v>
      </c>
    </row>
    <row r="2025" spans="1:5" x14ac:dyDescent="0.3">
      <c r="A2025" t="s">
        <v>59</v>
      </c>
      <c r="B2025" s="1">
        <v>44715</v>
      </c>
      <c r="C2025">
        <v>1</v>
      </c>
      <c r="D2025">
        <v>14.55</v>
      </c>
      <c r="E2025">
        <v>24</v>
      </c>
    </row>
    <row r="2026" spans="1:5" x14ac:dyDescent="0.3">
      <c r="A2026" t="s">
        <v>32</v>
      </c>
      <c r="B2026" s="1">
        <v>44715</v>
      </c>
      <c r="C2026">
        <v>1</v>
      </c>
      <c r="D2026">
        <v>100.57</v>
      </c>
      <c r="E2026">
        <v>154</v>
      </c>
    </row>
    <row r="2027" spans="1:5" x14ac:dyDescent="0.3">
      <c r="A2027" t="s">
        <v>138</v>
      </c>
      <c r="B2027" s="1">
        <v>44715</v>
      </c>
      <c r="C2027">
        <v>1</v>
      </c>
      <c r="D2027">
        <v>46.5</v>
      </c>
      <c r="E2027">
        <v>75</v>
      </c>
    </row>
    <row r="2028" spans="1:5" x14ac:dyDescent="0.3">
      <c r="A2028" t="s">
        <v>155</v>
      </c>
      <c r="B2028" s="1">
        <v>44715</v>
      </c>
      <c r="C2028">
        <v>0.6</v>
      </c>
      <c r="D2028">
        <v>529.6</v>
      </c>
      <c r="E2028">
        <v>715</v>
      </c>
    </row>
    <row r="2029" spans="1:5" x14ac:dyDescent="0.3">
      <c r="A2029" t="s">
        <v>31</v>
      </c>
      <c r="B2029" s="1">
        <v>44715</v>
      </c>
      <c r="C2029">
        <v>1</v>
      </c>
      <c r="D2029">
        <v>14.4</v>
      </c>
      <c r="E2029">
        <v>19</v>
      </c>
    </row>
    <row r="2030" spans="1:5" x14ac:dyDescent="0.3">
      <c r="A2030" t="s">
        <v>31</v>
      </c>
      <c r="B2030" s="1">
        <v>44715</v>
      </c>
      <c r="C2030">
        <v>1</v>
      </c>
      <c r="D2030">
        <v>14.4</v>
      </c>
      <c r="E2030">
        <v>19</v>
      </c>
    </row>
    <row r="2031" spans="1:5" x14ac:dyDescent="0.3">
      <c r="A2031" t="s">
        <v>31</v>
      </c>
      <c r="B2031" s="1">
        <v>44715</v>
      </c>
      <c r="C2031">
        <v>1</v>
      </c>
      <c r="D2031">
        <v>14.4</v>
      </c>
      <c r="E2031">
        <v>19</v>
      </c>
    </row>
    <row r="2032" spans="1:5" x14ac:dyDescent="0.3">
      <c r="A2032" t="s">
        <v>31</v>
      </c>
      <c r="B2032" s="1">
        <v>44715</v>
      </c>
      <c r="C2032">
        <v>1</v>
      </c>
      <c r="D2032">
        <v>14.4</v>
      </c>
      <c r="E2032">
        <v>19</v>
      </c>
    </row>
    <row r="2033" spans="1:5" x14ac:dyDescent="0.3">
      <c r="A2033" t="s">
        <v>100</v>
      </c>
      <c r="B2033" s="1">
        <v>44715</v>
      </c>
      <c r="C2033">
        <v>1</v>
      </c>
      <c r="D2033">
        <v>38.07</v>
      </c>
      <c r="E2033">
        <v>59</v>
      </c>
    </row>
    <row r="2034" spans="1:5" x14ac:dyDescent="0.3">
      <c r="A2034" t="s">
        <v>65</v>
      </c>
      <c r="B2034" s="1">
        <v>44715</v>
      </c>
      <c r="C2034">
        <v>1</v>
      </c>
      <c r="D2034">
        <v>187.36</v>
      </c>
      <c r="E2034">
        <v>220</v>
      </c>
    </row>
    <row r="2035" spans="1:5" x14ac:dyDescent="0.3">
      <c r="A2035" t="s">
        <v>77</v>
      </c>
      <c r="B2035" s="1">
        <v>44715</v>
      </c>
      <c r="C2035">
        <v>1</v>
      </c>
      <c r="D2035">
        <v>60.99</v>
      </c>
      <c r="E2035">
        <v>76</v>
      </c>
    </row>
    <row r="2036" spans="1:5" x14ac:dyDescent="0.3">
      <c r="A2036" t="s">
        <v>69</v>
      </c>
      <c r="B2036" s="1">
        <v>44715</v>
      </c>
      <c r="C2036">
        <v>1</v>
      </c>
      <c r="D2036">
        <v>19.989999999999998</v>
      </c>
      <c r="E2036">
        <v>24</v>
      </c>
    </row>
    <row r="2037" spans="1:5" x14ac:dyDescent="0.3">
      <c r="A2037" t="s">
        <v>69</v>
      </c>
      <c r="B2037" s="1">
        <v>44715</v>
      </c>
      <c r="C2037">
        <v>1</v>
      </c>
      <c r="D2037">
        <v>19.989999999999998</v>
      </c>
      <c r="E2037">
        <v>24</v>
      </c>
    </row>
    <row r="2038" spans="1:5" x14ac:dyDescent="0.3">
      <c r="A2038" t="s">
        <v>141</v>
      </c>
      <c r="B2038" s="1">
        <v>44715</v>
      </c>
      <c r="C2038">
        <v>1</v>
      </c>
      <c r="D2038">
        <v>10.76</v>
      </c>
      <c r="E2038">
        <v>18</v>
      </c>
    </row>
    <row r="2039" spans="1:5" x14ac:dyDescent="0.3">
      <c r="A2039" t="s">
        <v>117</v>
      </c>
      <c r="B2039" s="1">
        <v>44715</v>
      </c>
      <c r="C2039">
        <v>1</v>
      </c>
      <c r="D2039">
        <v>23.14</v>
      </c>
      <c r="E2039">
        <v>28</v>
      </c>
    </row>
    <row r="2040" spans="1:5" x14ac:dyDescent="0.3">
      <c r="A2040" t="s">
        <v>10</v>
      </c>
      <c r="B2040" s="1">
        <v>44715</v>
      </c>
      <c r="C2040">
        <v>1</v>
      </c>
      <c r="D2040">
        <v>11.67</v>
      </c>
      <c r="E2040">
        <v>14</v>
      </c>
    </row>
    <row r="2041" spans="1:5" x14ac:dyDescent="0.3">
      <c r="A2041" t="s">
        <v>10</v>
      </c>
      <c r="B2041" s="1">
        <v>44715</v>
      </c>
      <c r="C2041">
        <v>1</v>
      </c>
      <c r="D2041">
        <v>11.67</v>
      </c>
      <c r="E2041">
        <v>14</v>
      </c>
    </row>
    <row r="2042" spans="1:5" x14ac:dyDescent="0.3">
      <c r="A2042" t="s">
        <v>142</v>
      </c>
      <c r="B2042" s="1">
        <v>44715</v>
      </c>
      <c r="C2042">
        <v>1</v>
      </c>
      <c r="D2042">
        <v>12.86</v>
      </c>
      <c r="E2042">
        <v>15</v>
      </c>
    </row>
    <row r="2043" spans="1:5" x14ac:dyDescent="0.3">
      <c r="A2043" t="s">
        <v>28</v>
      </c>
      <c r="B2043" s="1">
        <v>44715</v>
      </c>
      <c r="C2043">
        <v>1</v>
      </c>
      <c r="D2043">
        <v>122.75</v>
      </c>
      <c r="E2043">
        <v>174</v>
      </c>
    </row>
    <row r="2044" spans="1:5" x14ac:dyDescent="0.3">
      <c r="A2044" t="s">
        <v>39</v>
      </c>
      <c r="B2044" s="1">
        <v>44715</v>
      </c>
      <c r="C2044">
        <v>2</v>
      </c>
      <c r="D2044">
        <v>8.58</v>
      </c>
      <c r="E2044">
        <v>14</v>
      </c>
    </row>
    <row r="2045" spans="1:5" x14ac:dyDescent="0.3">
      <c r="A2045" t="s">
        <v>119</v>
      </c>
      <c r="B2045" s="1">
        <v>44715</v>
      </c>
      <c r="C2045">
        <v>7.1428599999999995E-2</v>
      </c>
      <c r="D2045">
        <v>656.19</v>
      </c>
      <c r="E2045">
        <v>722</v>
      </c>
    </row>
    <row r="2046" spans="1:5" x14ac:dyDescent="0.3">
      <c r="A2046" t="s">
        <v>59</v>
      </c>
      <c r="B2046" s="1">
        <v>44715</v>
      </c>
      <c r="C2046">
        <v>2</v>
      </c>
      <c r="D2046">
        <v>14.55</v>
      </c>
      <c r="E2046">
        <v>24</v>
      </c>
    </row>
    <row r="2047" spans="1:5" x14ac:dyDescent="0.3">
      <c r="A2047" t="s">
        <v>7</v>
      </c>
      <c r="B2047" s="1">
        <v>44715</v>
      </c>
      <c r="C2047">
        <v>1</v>
      </c>
      <c r="D2047">
        <v>88.43</v>
      </c>
      <c r="E2047">
        <v>110</v>
      </c>
    </row>
    <row r="2048" spans="1:5" x14ac:dyDescent="0.3">
      <c r="A2048" t="s">
        <v>9</v>
      </c>
      <c r="B2048" s="1">
        <v>44715</v>
      </c>
      <c r="C2048">
        <v>1</v>
      </c>
      <c r="D2048">
        <v>80.73</v>
      </c>
      <c r="E2048">
        <v>100</v>
      </c>
    </row>
    <row r="2049" spans="1:5" x14ac:dyDescent="0.3">
      <c r="A2049" t="s">
        <v>117</v>
      </c>
      <c r="B2049" s="1">
        <v>44715</v>
      </c>
      <c r="C2049">
        <v>1</v>
      </c>
      <c r="D2049">
        <v>23.14</v>
      </c>
      <c r="E2049">
        <v>28</v>
      </c>
    </row>
    <row r="2050" spans="1:5" x14ac:dyDescent="0.3">
      <c r="A2050" t="s">
        <v>117</v>
      </c>
      <c r="B2050" s="1">
        <v>44715</v>
      </c>
      <c r="C2050">
        <v>1</v>
      </c>
      <c r="D2050">
        <v>23.14</v>
      </c>
      <c r="E2050">
        <v>28</v>
      </c>
    </row>
    <row r="2051" spans="1:5" x14ac:dyDescent="0.3">
      <c r="A2051" t="s">
        <v>72</v>
      </c>
      <c r="B2051" s="1">
        <v>44715</v>
      </c>
      <c r="C2051">
        <v>1</v>
      </c>
      <c r="D2051">
        <v>556.51</v>
      </c>
      <c r="E2051">
        <v>735</v>
      </c>
    </row>
    <row r="2052" spans="1:5" x14ac:dyDescent="0.3">
      <c r="A2052" t="s">
        <v>26</v>
      </c>
      <c r="B2052" s="1">
        <v>44715</v>
      </c>
      <c r="C2052">
        <v>0.1</v>
      </c>
      <c r="D2052">
        <v>1182.26</v>
      </c>
      <c r="E2052">
        <v>1537</v>
      </c>
    </row>
    <row r="2053" spans="1:5" x14ac:dyDescent="0.3">
      <c r="A2053" t="s">
        <v>114</v>
      </c>
      <c r="B2053" s="1">
        <v>44715</v>
      </c>
      <c r="C2053">
        <v>1</v>
      </c>
      <c r="D2053">
        <v>74.8</v>
      </c>
      <c r="E2053">
        <v>92</v>
      </c>
    </row>
    <row r="2054" spans="1:5" x14ac:dyDescent="0.3">
      <c r="A2054" t="s">
        <v>26</v>
      </c>
      <c r="B2054" s="1">
        <v>44715</v>
      </c>
      <c r="C2054">
        <v>0.1</v>
      </c>
      <c r="D2054">
        <v>984.79</v>
      </c>
      <c r="E2054">
        <v>1271</v>
      </c>
    </row>
    <row r="2055" spans="1:5" x14ac:dyDescent="0.3">
      <c r="A2055" t="s">
        <v>27</v>
      </c>
      <c r="B2055" s="1">
        <v>44715</v>
      </c>
      <c r="C2055">
        <v>1</v>
      </c>
      <c r="D2055">
        <v>102.34</v>
      </c>
      <c r="E2055">
        <v>157</v>
      </c>
    </row>
    <row r="2056" spans="1:5" x14ac:dyDescent="0.3">
      <c r="A2056" t="s">
        <v>24</v>
      </c>
      <c r="B2056" s="1">
        <v>44715</v>
      </c>
      <c r="C2056">
        <v>1</v>
      </c>
      <c r="D2056">
        <v>101.95</v>
      </c>
      <c r="E2056">
        <v>120</v>
      </c>
    </row>
    <row r="2057" spans="1:5" x14ac:dyDescent="0.3">
      <c r="A2057" t="s">
        <v>65</v>
      </c>
      <c r="B2057" s="1">
        <v>44715</v>
      </c>
      <c r="C2057">
        <v>1</v>
      </c>
      <c r="D2057">
        <v>187.68</v>
      </c>
      <c r="E2057">
        <v>220</v>
      </c>
    </row>
    <row r="2058" spans="1:5" x14ac:dyDescent="0.3">
      <c r="A2058" t="s">
        <v>93</v>
      </c>
      <c r="B2058" s="1">
        <v>44715</v>
      </c>
      <c r="C2058">
        <v>1</v>
      </c>
      <c r="D2058">
        <v>71.05</v>
      </c>
      <c r="E2058">
        <v>101</v>
      </c>
    </row>
    <row r="2059" spans="1:5" x14ac:dyDescent="0.3">
      <c r="A2059" t="s">
        <v>30</v>
      </c>
      <c r="B2059" s="1">
        <v>44715</v>
      </c>
      <c r="C2059">
        <v>1</v>
      </c>
      <c r="D2059">
        <v>156.19999999999999</v>
      </c>
      <c r="E2059">
        <v>186</v>
      </c>
    </row>
    <row r="2060" spans="1:5" x14ac:dyDescent="0.3">
      <c r="A2060" t="s">
        <v>151</v>
      </c>
      <c r="B2060" s="1">
        <v>44715</v>
      </c>
      <c r="C2060">
        <v>1</v>
      </c>
      <c r="D2060">
        <v>26.81</v>
      </c>
      <c r="E2060">
        <v>32</v>
      </c>
    </row>
    <row r="2061" spans="1:5" x14ac:dyDescent="0.3">
      <c r="A2061" t="s">
        <v>122</v>
      </c>
      <c r="B2061" s="1">
        <v>44715</v>
      </c>
      <c r="C2061">
        <v>1</v>
      </c>
      <c r="D2061">
        <v>20.86</v>
      </c>
      <c r="E2061">
        <v>26</v>
      </c>
    </row>
    <row r="2062" spans="1:5" x14ac:dyDescent="0.3">
      <c r="A2062" t="s">
        <v>103</v>
      </c>
      <c r="B2062" s="1">
        <v>44715</v>
      </c>
      <c r="C2062">
        <v>1</v>
      </c>
      <c r="D2062">
        <v>45.88</v>
      </c>
      <c r="E2062">
        <v>73</v>
      </c>
    </row>
    <row r="2063" spans="1:5" x14ac:dyDescent="0.3">
      <c r="A2063" t="s">
        <v>103</v>
      </c>
      <c r="B2063" s="1">
        <v>44715</v>
      </c>
      <c r="C2063">
        <v>1</v>
      </c>
      <c r="D2063">
        <v>45.88</v>
      </c>
      <c r="E2063">
        <v>73</v>
      </c>
    </row>
    <row r="2064" spans="1:5" x14ac:dyDescent="0.3">
      <c r="A2064" t="s">
        <v>103</v>
      </c>
      <c r="B2064" s="1">
        <v>44715</v>
      </c>
      <c r="C2064">
        <v>1</v>
      </c>
      <c r="D2064">
        <v>45.88</v>
      </c>
      <c r="E2064">
        <v>73</v>
      </c>
    </row>
    <row r="2065" spans="1:5" x14ac:dyDescent="0.3">
      <c r="A2065" t="s">
        <v>148</v>
      </c>
      <c r="B2065" s="1">
        <v>44715</v>
      </c>
      <c r="C2065">
        <v>1</v>
      </c>
      <c r="D2065">
        <v>36.94</v>
      </c>
      <c r="E2065">
        <v>57</v>
      </c>
    </row>
    <row r="2066" spans="1:5" x14ac:dyDescent="0.3">
      <c r="A2066" t="s">
        <v>96</v>
      </c>
      <c r="B2066" s="1">
        <v>44715</v>
      </c>
      <c r="C2066">
        <v>1</v>
      </c>
      <c r="D2066">
        <v>71.650000000000006</v>
      </c>
      <c r="E2066">
        <v>107</v>
      </c>
    </row>
    <row r="2067" spans="1:5" x14ac:dyDescent="0.3">
      <c r="A2067" t="s">
        <v>86</v>
      </c>
      <c r="B2067" s="1">
        <v>44715</v>
      </c>
      <c r="C2067">
        <v>1</v>
      </c>
      <c r="D2067">
        <v>47.4</v>
      </c>
      <c r="E2067">
        <v>77</v>
      </c>
    </row>
    <row r="2068" spans="1:5" x14ac:dyDescent="0.3">
      <c r="A2068" t="s">
        <v>71</v>
      </c>
      <c r="B2068" s="1">
        <v>44715</v>
      </c>
      <c r="C2068">
        <v>1</v>
      </c>
      <c r="D2068">
        <v>54.07</v>
      </c>
      <c r="E2068">
        <v>77</v>
      </c>
    </row>
    <row r="2069" spans="1:5" x14ac:dyDescent="0.3">
      <c r="A2069" t="s">
        <v>119</v>
      </c>
      <c r="B2069" s="1">
        <v>44715</v>
      </c>
      <c r="C2069">
        <v>7.1428599999999995E-2</v>
      </c>
      <c r="D2069">
        <v>656.19</v>
      </c>
      <c r="E2069">
        <v>722</v>
      </c>
    </row>
    <row r="2070" spans="1:5" x14ac:dyDescent="0.3">
      <c r="A2070" t="s">
        <v>128</v>
      </c>
      <c r="B2070" s="1">
        <v>44715</v>
      </c>
      <c r="C2070">
        <v>1</v>
      </c>
      <c r="D2070">
        <v>255.9</v>
      </c>
      <c r="E2070">
        <v>359</v>
      </c>
    </row>
    <row r="2071" spans="1:5" x14ac:dyDescent="0.3">
      <c r="A2071" t="s">
        <v>140</v>
      </c>
      <c r="B2071" s="1">
        <v>44715</v>
      </c>
      <c r="C2071">
        <v>1</v>
      </c>
      <c r="D2071">
        <v>155.13</v>
      </c>
      <c r="E2071">
        <v>187</v>
      </c>
    </row>
    <row r="2072" spans="1:5" x14ac:dyDescent="0.3">
      <c r="A2072" t="s">
        <v>26</v>
      </c>
      <c r="B2072" s="1">
        <v>44715</v>
      </c>
      <c r="C2072">
        <v>0.1</v>
      </c>
      <c r="D2072">
        <v>986.58</v>
      </c>
      <c r="E2072">
        <v>1234</v>
      </c>
    </row>
    <row r="2073" spans="1:5" x14ac:dyDescent="0.3">
      <c r="A2073" t="s">
        <v>150</v>
      </c>
      <c r="B2073" s="1">
        <v>44715</v>
      </c>
      <c r="C2073">
        <v>1</v>
      </c>
      <c r="D2073">
        <v>94.8</v>
      </c>
      <c r="E2073">
        <v>147</v>
      </c>
    </row>
    <row r="2074" spans="1:5" x14ac:dyDescent="0.3">
      <c r="A2074" t="s">
        <v>20</v>
      </c>
      <c r="B2074" s="1">
        <v>44715</v>
      </c>
      <c r="C2074">
        <v>1</v>
      </c>
      <c r="D2074">
        <v>20.77</v>
      </c>
      <c r="E2074">
        <v>26</v>
      </c>
    </row>
    <row r="2075" spans="1:5" x14ac:dyDescent="0.3">
      <c r="A2075" t="s">
        <v>20</v>
      </c>
      <c r="B2075" s="1">
        <v>44715</v>
      </c>
      <c r="C2075">
        <v>1</v>
      </c>
      <c r="D2075">
        <v>20.77</v>
      </c>
      <c r="E2075">
        <v>26</v>
      </c>
    </row>
    <row r="2076" spans="1:5" x14ac:dyDescent="0.3">
      <c r="A2076" t="s">
        <v>65</v>
      </c>
      <c r="B2076" s="1">
        <v>44715</v>
      </c>
      <c r="C2076">
        <v>1</v>
      </c>
      <c r="D2076">
        <v>187.36</v>
      </c>
      <c r="E2076">
        <v>220</v>
      </c>
    </row>
    <row r="2077" spans="1:5" x14ac:dyDescent="0.3">
      <c r="A2077" t="s">
        <v>65</v>
      </c>
      <c r="B2077" s="1">
        <v>44715</v>
      </c>
      <c r="C2077">
        <v>1</v>
      </c>
      <c r="D2077">
        <v>187.36</v>
      </c>
      <c r="E2077">
        <v>220</v>
      </c>
    </row>
    <row r="2078" spans="1:5" x14ac:dyDescent="0.3">
      <c r="A2078" t="s">
        <v>78</v>
      </c>
      <c r="B2078" s="1">
        <v>44715</v>
      </c>
      <c r="C2078">
        <v>1</v>
      </c>
      <c r="D2078">
        <v>69.599999999999994</v>
      </c>
      <c r="E2078">
        <v>88</v>
      </c>
    </row>
    <row r="2079" spans="1:5" x14ac:dyDescent="0.3">
      <c r="A2079" t="s">
        <v>50</v>
      </c>
      <c r="B2079" s="1">
        <v>44715</v>
      </c>
      <c r="C2079">
        <v>1</v>
      </c>
      <c r="D2079">
        <v>43.92</v>
      </c>
      <c r="E2079">
        <v>55</v>
      </c>
    </row>
    <row r="2080" spans="1:5" x14ac:dyDescent="0.3">
      <c r="A2080" t="s">
        <v>50</v>
      </c>
      <c r="B2080" s="1">
        <v>44715</v>
      </c>
      <c r="C2080">
        <v>1</v>
      </c>
      <c r="D2080">
        <v>43.92</v>
      </c>
      <c r="E2080">
        <v>55</v>
      </c>
    </row>
    <row r="2081" spans="1:5" x14ac:dyDescent="0.3">
      <c r="A2081" t="s">
        <v>26</v>
      </c>
      <c r="B2081" s="1">
        <v>44715</v>
      </c>
      <c r="C2081">
        <v>0.1</v>
      </c>
      <c r="D2081">
        <v>984.65</v>
      </c>
      <c r="E2081">
        <v>1271</v>
      </c>
    </row>
    <row r="2082" spans="1:5" x14ac:dyDescent="0.3">
      <c r="A2082" t="s">
        <v>56</v>
      </c>
      <c r="B2082" s="1">
        <v>44715</v>
      </c>
      <c r="C2082">
        <v>1</v>
      </c>
      <c r="D2082">
        <v>46.37</v>
      </c>
      <c r="E2082">
        <v>71</v>
      </c>
    </row>
    <row r="2083" spans="1:5" x14ac:dyDescent="0.3">
      <c r="A2083" t="s">
        <v>50</v>
      </c>
      <c r="B2083" s="1">
        <v>44715</v>
      </c>
      <c r="C2083">
        <v>1</v>
      </c>
      <c r="D2083">
        <v>42.99</v>
      </c>
      <c r="E2083">
        <v>54</v>
      </c>
    </row>
    <row r="2084" spans="1:5" x14ac:dyDescent="0.3">
      <c r="A2084" t="s">
        <v>86</v>
      </c>
      <c r="B2084" s="1">
        <v>44715</v>
      </c>
      <c r="C2084">
        <v>1</v>
      </c>
      <c r="D2084">
        <v>47.4</v>
      </c>
      <c r="E2084">
        <v>77</v>
      </c>
    </row>
    <row r="2085" spans="1:5" x14ac:dyDescent="0.3">
      <c r="A2085" t="s">
        <v>71</v>
      </c>
      <c r="B2085" s="1">
        <v>44715</v>
      </c>
      <c r="C2085">
        <v>1</v>
      </c>
      <c r="D2085">
        <v>54.07</v>
      </c>
      <c r="E2085">
        <v>77</v>
      </c>
    </row>
    <row r="2086" spans="1:5" x14ac:dyDescent="0.3">
      <c r="A2086" t="s">
        <v>71</v>
      </c>
      <c r="B2086" s="1">
        <v>44715</v>
      </c>
      <c r="C2086">
        <v>1</v>
      </c>
      <c r="D2086">
        <v>54.07</v>
      </c>
      <c r="E2086">
        <v>77</v>
      </c>
    </row>
    <row r="2087" spans="1:5" x14ac:dyDescent="0.3">
      <c r="A2087" t="s">
        <v>85</v>
      </c>
      <c r="B2087" s="1">
        <v>44715</v>
      </c>
      <c r="C2087">
        <v>1</v>
      </c>
      <c r="D2087">
        <v>16.489999999999998</v>
      </c>
      <c r="E2087">
        <v>26</v>
      </c>
    </row>
    <row r="2088" spans="1:5" x14ac:dyDescent="0.3">
      <c r="A2088" t="s">
        <v>85</v>
      </c>
      <c r="B2088" s="1">
        <v>44715</v>
      </c>
      <c r="C2088">
        <v>1</v>
      </c>
      <c r="D2088">
        <v>16.489999999999998</v>
      </c>
      <c r="E2088">
        <v>26</v>
      </c>
    </row>
    <row r="2089" spans="1:5" x14ac:dyDescent="0.3">
      <c r="A2089" t="s">
        <v>9</v>
      </c>
      <c r="B2089" s="1">
        <v>44715</v>
      </c>
      <c r="C2089">
        <v>1</v>
      </c>
      <c r="D2089">
        <v>80.69</v>
      </c>
      <c r="E2089">
        <v>98</v>
      </c>
    </row>
    <row r="2090" spans="1:5" x14ac:dyDescent="0.3">
      <c r="A2090" t="s">
        <v>5</v>
      </c>
      <c r="B2090" s="1">
        <v>44715</v>
      </c>
      <c r="C2090">
        <v>1</v>
      </c>
      <c r="D2090">
        <v>130.04</v>
      </c>
      <c r="E2090">
        <v>157</v>
      </c>
    </row>
    <row r="2091" spans="1:5" x14ac:dyDescent="0.3">
      <c r="A2091" t="s">
        <v>26</v>
      </c>
      <c r="B2091" s="1">
        <v>44715</v>
      </c>
      <c r="C2091">
        <v>1</v>
      </c>
      <c r="D2091">
        <v>984.92</v>
      </c>
      <c r="E2091">
        <v>1232</v>
      </c>
    </row>
    <row r="2092" spans="1:5" x14ac:dyDescent="0.3">
      <c r="A2092" t="s">
        <v>25</v>
      </c>
      <c r="B2092" s="1">
        <v>44715</v>
      </c>
      <c r="C2092">
        <v>1</v>
      </c>
      <c r="D2092">
        <v>147.55000000000001</v>
      </c>
      <c r="E2092">
        <v>181</v>
      </c>
    </row>
    <row r="2093" spans="1:5" x14ac:dyDescent="0.3">
      <c r="A2093" t="s">
        <v>26</v>
      </c>
      <c r="B2093" s="1">
        <v>44715</v>
      </c>
      <c r="C2093">
        <v>0.2</v>
      </c>
      <c r="D2093">
        <v>986.58</v>
      </c>
      <c r="E2093">
        <v>1234</v>
      </c>
    </row>
    <row r="2094" spans="1:5" x14ac:dyDescent="0.3">
      <c r="A2094" t="s">
        <v>8</v>
      </c>
      <c r="B2094" s="1">
        <v>44715</v>
      </c>
      <c r="C2094">
        <v>1</v>
      </c>
      <c r="D2094">
        <v>47.77</v>
      </c>
      <c r="E2094">
        <v>78</v>
      </c>
    </row>
    <row r="2095" spans="1:5" x14ac:dyDescent="0.3">
      <c r="A2095" t="s">
        <v>74</v>
      </c>
      <c r="B2095" s="1">
        <v>44715</v>
      </c>
      <c r="C2095">
        <v>1</v>
      </c>
      <c r="D2095">
        <v>86.64</v>
      </c>
      <c r="E2095">
        <v>108</v>
      </c>
    </row>
    <row r="2096" spans="1:5" x14ac:dyDescent="0.3">
      <c r="A2096" t="s">
        <v>108</v>
      </c>
      <c r="B2096" s="1">
        <v>44715</v>
      </c>
      <c r="C2096">
        <v>1</v>
      </c>
      <c r="D2096">
        <v>29.56</v>
      </c>
      <c r="E2096">
        <v>45</v>
      </c>
    </row>
    <row r="2097" spans="1:5" x14ac:dyDescent="0.3">
      <c r="A2097" t="s">
        <v>108</v>
      </c>
      <c r="B2097" s="1">
        <v>44715</v>
      </c>
      <c r="C2097">
        <v>1</v>
      </c>
      <c r="D2097">
        <v>29.56</v>
      </c>
      <c r="E2097">
        <v>45</v>
      </c>
    </row>
    <row r="2098" spans="1:5" x14ac:dyDescent="0.3">
      <c r="A2098" t="s">
        <v>108</v>
      </c>
      <c r="B2098" s="1">
        <v>44715</v>
      </c>
      <c r="C2098">
        <v>1</v>
      </c>
      <c r="D2098">
        <v>29.56</v>
      </c>
      <c r="E2098">
        <v>45</v>
      </c>
    </row>
    <row r="2099" spans="1:5" x14ac:dyDescent="0.3">
      <c r="A2099" t="s">
        <v>28</v>
      </c>
      <c r="B2099" s="1">
        <v>44715</v>
      </c>
      <c r="C2099">
        <v>1</v>
      </c>
      <c r="D2099">
        <v>147.94</v>
      </c>
      <c r="E2099">
        <v>200</v>
      </c>
    </row>
    <row r="2100" spans="1:5" x14ac:dyDescent="0.3">
      <c r="A2100" t="s">
        <v>46</v>
      </c>
      <c r="B2100" s="1">
        <v>44715</v>
      </c>
      <c r="C2100">
        <v>1</v>
      </c>
      <c r="D2100">
        <v>19.43</v>
      </c>
      <c r="E2100">
        <v>23</v>
      </c>
    </row>
    <row r="2101" spans="1:5" x14ac:dyDescent="0.3">
      <c r="A2101" t="s">
        <v>9</v>
      </c>
      <c r="B2101" s="1">
        <v>44715</v>
      </c>
      <c r="C2101">
        <v>1</v>
      </c>
      <c r="D2101">
        <v>80.69</v>
      </c>
      <c r="E2101">
        <v>98</v>
      </c>
    </row>
    <row r="2102" spans="1:5" x14ac:dyDescent="0.3">
      <c r="A2102" t="s">
        <v>78</v>
      </c>
      <c r="B2102" s="1">
        <v>44715</v>
      </c>
      <c r="C2102">
        <v>1</v>
      </c>
      <c r="D2102">
        <v>69.290000000000006</v>
      </c>
      <c r="E2102">
        <v>88</v>
      </c>
    </row>
    <row r="2103" spans="1:5" x14ac:dyDescent="0.3">
      <c r="A2103" t="s">
        <v>101</v>
      </c>
      <c r="B2103" s="1">
        <v>44715</v>
      </c>
      <c r="C2103">
        <v>1</v>
      </c>
      <c r="D2103">
        <v>30.69</v>
      </c>
      <c r="E2103">
        <v>48</v>
      </c>
    </row>
    <row r="2104" spans="1:5" x14ac:dyDescent="0.3">
      <c r="A2104" t="s">
        <v>8</v>
      </c>
      <c r="B2104" s="1">
        <v>44715</v>
      </c>
      <c r="C2104">
        <v>1</v>
      </c>
      <c r="D2104">
        <v>47.67</v>
      </c>
      <c r="E2104">
        <v>77</v>
      </c>
    </row>
    <row r="2105" spans="1:5" x14ac:dyDescent="0.3">
      <c r="A2105" t="s">
        <v>42</v>
      </c>
      <c r="B2105" s="1">
        <v>44715</v>
      </c>
      <c r="C2105">
        <v>1</v>
      </c>
      <c r="D2105">
        <v>625.46</v>
      </c>
      <c r="E2105">
        <v>655</v>
      </c>
    </row>
    <row r="2106" spans="1:5" x14ac:dyDescent="0.3">
      <c r="A2106" t="s">
        <v>95</v>
      </c>
      <c r="B2106" s="1">
        <v>44715</v>
      </c>
      <c r="C2106">
        <v>1</v>
      </c>
      <c r="D2106">
        <v>111.88</v>
      </c>
      <c r="E2106">
        <v>176</v>
      </c>
    </row>
    <row r="2107" spans="1:5" x14ac:dyDescent="0.3">
      <c r="A2107" t="s">
        <v>36</v>
      </c>
      <c r="B2107" s="1">
        <v>44715</v>
      </c>
      <c r="C2107">
        <v>1</v>
      </c>
      <c r="D2107">
        <v>21.42</v>
      </c>
      <c r="E2107">
        <v>27</v>
      </c>
    </row>
    <row r="2108" spans="1:5" x14ac:dyDescent="0.3">
      <c r="A2108" t="s">
        <v>36</v>
      </c>
      <c r="B2108" s="1">
        <v>44715</v>
      </c>
      <c r="C2108">
        <v>1</v>
      </c>
      <c r="D2108">
        <v>21.42</v>
      </c>
      <c r="E2108">
        <v>27</v>
      </c>
    </row>
    <row r="2109" spans="1:5" x14ac:dyDescent="0.3">
      <c r="A2109" t="s">
        <v>36</v>
      </c>
      <c r="B2109" s="1">
        <v>44715</v>
      </c>
      <c r="C2109">
        <v>1</v>
      </c>
      <c r="D2109">
        <v>21.42</v>
      </c>
      <c r="E2109">
        <v>27</v>
      </c>
    </row>
    <row r="2110" spans="1:5" x14ac:dyDescent="0.3">
      <c r="A2110" t="s">
        <v>36</v>
      </c>
      <c r="B2110" s="1">
        <v>44715</v>
      </c>
      <c r="C2110">
        <v>1</v>
      </c>
      <c r="D2110">
        <v>21.42</v>
      </c>
      <c r="E2110">
        <v>27</v>
      </c>
    </row>
    <row r="2111" spans="1:5" x14ac:dyDescent="0.3">
      <c r="A2111" t="s">
        <v>36</v>
      </c>
      <c r="B2111" s="1">
        <v>44715</v>
      </c>
      <c r="C2111">
        <v>1</v>
      </c>
      <c r="D2111">
        <v>21.42</v>
      </c>
      <c r="E2111">
        <v>27</v>
      </c>
    </row>
    <row r="2112" spans="1:5" x14ac:dyDescent="0.3">
      <c r="A2112" t="s">
        <v>36</v>
      </c>
      <c r="B2112" s="1">
        <v>44715</v>
      </c>
      <c r="C2112">
        <v>1</v>
      </c>
      <c r="D2112">
        <v>21.42</v>
      </c>
      <c r="E2112">
        <v>27</v>
      </c>
    </row>
    <row r="2113" spans="1:5" x14ac:dyDescent="0.3">
      <c r="A2113" t="s">
        <v>40</v>
      </c>
      <c r="B2113" s="1">
        <v>44715</v>
      </c>
      <c r="C2113">
        <v>1</v>
      </c>
      <c r="D2113">
        <v>176.24</v>
      </c>
      <c r="E2113">
        <v>211</v>
      </c>
    </row>
    <row r="2114" spans="1:5" x14ac:dyDescent="0.3">
      <c r="A2114" t="s">
        <v>82</v>
      </c>
      <c r="B2114" s="1">
        <v>44715</v>
      </c>
      <c r="C2114">
        <v>1</v>
      </c>
      <c r="D2114">
        <v>35.85</v>
      </c>
      <c r="E2114">
        <v>45</v>
      </c>
    </row>
    <row r="2115" spans="1:5" x14ac:dyDescent="0.3">
      <c r="A2115" t="s">
        <v>82</v>
      </c>
      <c r="B2115" s="1">
        <v>44715</v>
      </c>
      <c r="C2115">
        <v>1</v>
      </c>
      <c r="D2115">
        <v>35.85</v>
      </c>
      <c r="E2115">
        <v>45</v>
      </c>
    </row>
    <row r="2116" spans="1:5" x14ac:dyDescent="0.3">
      <c r="A2116" t="s">
        <v>82</v>
      </c>
      <c r="B2116" s="1">
        <v>44715</v>
      </c>
      <c r="C2116">
        <v>1</v>
      </c>
      <c r="D2116">
        <v>35.85</v>
      </c>
      <c r="E2116">
        <v>45</v>
      </c>
    </row>
    <row r="2117" spans="1:5" x14ac:dyDescent="0.3">
      <c r="A2117" t="s">
        <v>82</v>
      </c>
      <c r="B2117" s="1">
        <v>44715</v>
      </c>
      <c r="C2117">
        <v>1</v>
      </c>
      <c r="D2117">
        <v>35.85</v>
      </c>
      <c r="E2117">
        <v>45</v>
      </c>
    </row>
    <row r="2118" spans="1:5" x14ac:dyDescent="0.3">
      <c r="A2118" t="s">
        <v>82</v>
      </c>
      <c r="B2118" s="1">
        <v>44715</v>
      </c>
      <c r="C2118">
        <v>1</v>
      </c>
      <c r="D2118">
        <v>35.85</v>
      </c>
      <c r="E2118">
        <v>45</v>
      </c>
    </row>
    <row r="2119" spans="1:5" x14ac:dyDescent="0.3">
      <c r="A2119" t="s">
        <v>82</v>
      </c>
      <c r="B2119" s="1">
        <v>44715</v>
      </c>
      <c r="C2119">
        <v>1</v>
      </c>
      <c r="D2119">
        <v>35.85</v>
      </c>
      <c r="E2119">
        <v>45</v>
      </c>
    </row>
    <row r="2120" spans="1:5" x14ac:dyDescent="0.3">
      <c r="A2120" t="s">
        <v>108</v>
      </c>
      <c r="B2120" s="1">
        <v>44715</v>
      </c>
      <c r="C2120">
        <v>1</v>
      </c>
      <c r="D2120">
        <v>23.13</v>
      </c>
      <c r="E2120">
        <v>36</v>
      </c>
    </row>
    <row r="2121" spans="1:5" x14ac:dyDescent="0.3">
      <c r="A2121" t="s">
        <v>108</v>
      </c>
      <c r="B2121" s="1">
        <v>44715</v>
      </c>
      <c r="C2121">
        <v>1</v>
      </c>
      <c r="D2121">
        <v>23.13</v>
      </c>
      <c r="E2121">
        <v>36</v>
      </c>
    </row>
    <row r="2122" spans="1:5" x14ac:dyDescent="0.3">
      <c r="A2122" t="s">
        <v>108</v>
      </c>
      <c r="B2122" s="1">
        <v>44715</v>
      </c>
      <c r="C2122">
        <v>1</v>
      </c>
      <c r="D2122">
        <v>23.13</v>
      </c>
      <c r="E2122">
        <v>36</v>
      </c>
    </row>
    <row r="2123" spans="1:5" x14ac:dyDescent="0.3">
      <c r="A2123" t="s">
        <v>108</v>
      </c>
      <c r="B2123" s="1">
        <v>44715</v>
      </c>
      <c r="C2123">
        <v>1</v>
      </c>
      <c r="D2123">
        <v>23.13</v>
      </c>
      <c r="E2123">
        <v>36</v>
      </c>
    </row>
    <row r="2124" spans="1:5" x14ac:dyDescent="0.3">
      <c r="A2124" t="s">
        <v>108</v>
      </c>
      <c r="B2124" s="1">
        <v>44715</v>
      </c>
      <c r="C2124">
        <v>1</v>
      </c>
      <c r="D2124">
        <v>23.13</v>
      </c>
      <c r="E2124">
        <v>36</v>
      </c>
    </row>
    <row r="2125" spans="1:5" x14ac:dyDescent="0.3">
      <c r="A2125" t="s">
        <v>108</v>
      </c>
      <c r="B2125" s="1">
        <v>44715</v>
      </c>
      <c r="C2125">
        <v>1</v>
      </c>
      <c r="D2125">
        <v>23.13</v>
      </c>
      <c r="E2125">
        <v>36</v>
      </c>
    </row>
    <row r="2126" spans="1:5" x14ac:dyDescent="0.3">
      <c r="A2126" t="s">
        <v>6</v>
      </c>
      <c r="B2126" s="1">
        <v>44715</v>
      </c>
      <c r="C2126">
        <v>0.5</v>
      </c>
      <c r="D2126">
        <v>457.55</v>
      </c>
      <c r="E2126">
        <v>572</v>
      </c>
    </row>
    <row r="2127" spans="1:5" x14ac:dyDescent="0.3">
      <c r="A2127" t="s">
        <v>23</v>
      </c>
      <c r="B2127" s="1">
        <v>44715</v>
      </c>
      <c r="C2127">
        <v>1</v>
      </c>
      <c r="D2127">
        <v>109.41</v>
      </c>
      <c r="E2127">
        <v>123</v>
      </c>
    </row>
    <row r="2128" spans="1:5" x14ac:dyDescent="0.3">
      <c r="A2128" t="s">
        <v>8</v>
      </c>
      <c r="B2128" s="1">
        <v>44715</v>
      </c>
      <c r="C2128">
        <v>1</v>
      </c>
      <c r="D2128">
        <v>47.67</v>
      </c>
      <c r="E2128">
        <v>77</v>
      </c>
    </row>
    <row r="2129" spans="1:5" x14ac:dyDescent="0.3">
      <c r="A2129" t="s">
        <v>73</v>
      </c>
      <c r="B2129" s="1">
        <v>44715</v>
      </c>
      <c r="C2129">
        <v>1</v>
      </c>
      <c r="D2129">
        <v>8.01</v>
      </c>
      <c r="E2129">
        <v>13</v>
      </c>
    </row>
    <row r="2130" spans="1:5" x14ac:dyDescent="0.3">
      <c r="A2130" t="s">
        <v>134</v>
      </c>
      <c r="B2130" s="1">
        <v>44715</v>
      </c>
      <c r="C2130">
        <v>1</v>
      </c>
      <c r="D2130">
        <v>26.86</v>
      </c>
      <c r="E2130">
        <v>41</v>
      </c>
    </row>
    <row r="2131" spans="1:5" x14ac:dyDescent="0.3">
      <c r="A2131" t="s">
        <v>18</v>
      </c>
      <c r="B2131" s="1">
        <v>44715</v>
      </c>
      <c r="C2131">
        <v>1</v>
      </c>
      <c r="D2131">
        <v>46</v>
      </c>
      <c r="E2131">
        <v>70</v>
      </c>
    </row>
    <row r="2132" spans="1:5" x14ac:dyDescent="0.3">
      <c r="A2132" t="s">
        <v>5</v>
      </c>
      <c r="B2132" s="1">
        <v>44715</v>
      </c>
      <c r="C2132">
        <v>1</v>
      </c>
      <c r="D2132">
        <v>146.1</v>
      </c>
      <c r="E2132">
        <v>173</v>
      </c>
    </row>
    <row r="2133" spans="1:5" x14ac:dyDescent="0.3">
      <c r="A2133" t="s">
        <v>53</v>
      </c>
      <c r="B2133" s="1">
        <v>44715</v>
      </c>
      <c r="C2133">
        <v>1</v>
      </c>
      <c r="D2133">
        <v>23.4</v>
      </c>
      <c r="E2133">
        <v>38</v>
      </c>
    </row>
    <row r="2134" spans="1:5" x14ac:dyDescent="0.3">
      <c r="A2134" t="s">
        <v>136</v>
      </c>
      <c r="B2134" s="1">
        <v>44715</v>
      </c>
      <c r="C2134">
        <v>1</v>
      </c>
      <c r="D2134">
        <v>369.27</v>
      </c>
      <c r="E2134">
        <v>389</v>
      </c>
    </row>
    <row r="2135" spans="1:5" x14ac:dyDescent="0.3">
      <c r="A2135" t="s">
        <v>31</v>
      </c>
      <c r="B2135" s="1">
        <v>44715</v>
      </c>
      <c r="C2135">
        <v>1</v>
      </c>
      <c r="D2135">
        <v>14.4</v>
      </c>
      <c r="E2135">
        <v>19</v>
      </c>
    </row>
    <row r="2136" spans="1:5" x14ac:dyDescent="0.3">
      <c r="A2136" t="s">
        <v>91</v>
      </c>
      <c r="B2136" s="1">
        <v>44715</v>
      </c>
      <c r="C2136">
        <v>1</v>
      </c>
      <c r="D2136">
        <v>37.340000000000003</v>
      </c>
      <c r="E2136">
        <v>65</v>
      </c>
    </row>
    <row r="2137" spans="1:5" x14ac:dyDescent="0.3">
      <c r="A2137" t="s">
        <v>98</v>
      </c>
      <c r="B2137" s="1">
        <v>44715</v>
      </c>
      <c r="C2137">
        <v>1</v>
      </c>
      <c r="D2137">
        <v>111.21</v>
      </c>
      <c r="E2137">
        <v>131</v>
      </c>
    </row>
    <row r="2138" spans="1:5" x14ac:dyDescent="0.3">
      <c r="A2138" t="s">
        <v>24</v>
      </c>
      <c r="B2138" s="1">
        <v>44715</v>
      </c>
      <c r="C2138">
        <v>1</v>
      </c>
      <c r="D2138">
        <v>101.95</v>
      </c>
      <c r="E2138">
        <v>120</v>
      </c>
    </row>
    <row r="2139" spans="1:5" x14ac:dyDescent="0.3">
      <c r="A2139" t="s">
        <v>9</v>
      </c>
      <c r="B2139" s="1">
        <v>44715</v>
      </c>
      <c r="C2139">
        <v>1</v>
      </c>
      <c r="D2139">
        <v>80.73</v>
      </c>
      <c r="E2139">
        <v>100</v>
      </c>
    </row>
    <row r="2140" spans="1:5" x14ac:dyDescent="0.3">
      <c r="A2140" t="s">
        <v>9</v>
      </c>
      <c r="B2140" s="1">
        <v>44715</v>
      </c>
      <c r="C2140">
        <v>1</v>
      </c>
      <c r="D2140">
        <v>80.69</v>
      </c>
      <c r="E2140">
        <v>100</v>
      </c>
    </row>
    <row r="2141" spans="1:5" x14ac:dyDescent="0.3">
      <c r="A2141" t="s">
        <v>9</v>
      </c>
      <c r="B2141" s="1">
        <v>44715</v>
      </c>
      <c r="C2141">
        <v>1</v>
      </c>
      <c r="D2141">
        <v>80.69</v>
      </c>
      <c r="E2141">
        <v>100</v>
      </c>
    </row>
    <row r="2142" spans="1:5" x14ac:dyDescent="0.3">
      <c r="A2142" t="s">
        <v>24</v>
      </c>
      <c r="B2142" s="1">
        <v>44715</v>
      </c>
      <c r="C2142">
        <v>1</v>
      </c>
      <c r="D2142">
        <v>101.95</v>
      </c>
      <c r="E2142">
        <v>120</v>
      </c>
    </row>
    <row r="2143" spans="1:5" x14ac:dyDescent="0.3">
      <c r="A2143" t="s">
        <v>33</v>
      </c>
      <c r="B2143" s="1">
        <v>44715</v>
      </c>
      <c r="C2143">
        <v>1</v>
      </c>
      <c r="D2143">
        <v>21.17</v>
      </c>
      <c r="E2143">
        <v>25</v>
      </c>
    </row>
    <row r="2144" spans="1:5" x14ac:dyDescent="0.3">
      <c r="A2144" t="s">
        <v>33</v>
      </c>
      <c r="B2144" s="1">
        <v>44715</v>
      </c>
      <c r="C2144">
        <v>1</v>
      </c>
      <c r="D2144">
        <v>21.17</v>
      </c>
      <c r="E2144">
        <v>25</v>
      </c>
    </row>
    <row r="2145" spans="1:5" x14ac:dyDescent="0.3">
      <c r="A2145" t="s">
        <v>33</v>
      </c>
      <c r="B2145" s="1">
        <v>44715</v>
      </c>
      <c r="C2145">
        <v>1</v>
      </c>
      <c r="D2145">
        <v>21.17</v>
      </c>
      <c r="E2145">
        <v>25</v>
      </c>
    </row>
    <row r="2146" spans="1:5" x14ac:dyDescent="0.3">
      <c r="A2146" t="s">
        <v>33</v>
      </c>
      <c r="B2146" s="1">
        <v>44715</v>
      </c>
      <c r="C2146">
        <v>1</v>
      </c>
      <c r="D2146">
        <v>21.17</v>
      </c>
      <c r="E2146">
        <v>25</v>
      </c>
    </row>
    <row r="2147" spans="1:5" x14ac:dyDescent="0.3">
      <c r="A2147" t="s">
        <v>124</v>
      </c>
      <c r="B2147" s="1">
        <v>44715</v>
      </c>
      <c r="C2147">
        <v>1</v>
      </c>
      <c r="D2147">
        <v>42.47</v>
      </c>
      <c r="E2147">
        <v>69</v>
      </c>
    </row>
    <row r="2148" spans="1:5" x14ac:dyDescent="0.3">
      <c r="A2148" t="s">
        <v>135</v>
      </c>
      <c r="B2148" s="1">
        <v>44715</v>
      </c>
      <c r="C2148">
        <v>1</v>
      </c>
      <c r="D2148">
        <v>72.31</v>
      </c>
      <c r="E2148">
        <v>90</v>
      </c>
    </row>
    <row r="2149" spans="1:5" x14ac:dyDescent="0.3">
      <c r="A2149" t="s">
        <v>135</v>
      </c>
      <c r="B2149" s="1">
        <v>44715</v>
      </c>
      <c r="C2149">
        <v>1</v>
      </c>
      <c r="D2149">
        <v>72.31</v>
      </c>
      <c r="E2149">
        <v>90</v>
      </c>
    </row>
    <row r="2150" spans="1:5" x14ac:dyDescent="0.3">
      <c r="A2150" t="s">
        <v>90</v>
      </c>
      <c r="B2150" s="1">
        <v>44715</v>
      </c>
      <c r="C2150">
        <v>1</v>
      </c>
      <c r="D2150">
        <v>404.95</v>
      </c>
      <c r="E2150">
        <v>507</v>
      </c>
    </row>
    <row r="2151" spans="1:5" x14ac:dyDescent="0.3">
      <c r="A2151" t="s">
        <v>93</v>
      </c>
      <c r="B2151" s="1">
        <v>44715</v>
      </c>
      <c r="C2151">
        <v>1</v>
      </c>
      <c r="D2151">
        <v>71.05</v>
      </c>
      <c r="E2151">
        <v>106</v>
      </c>
    </row>
    <row r="2152" spans="1:5" x14ac:dyDescent="0.3">
      <c r="A2152" t="s">
        <v>13</v>
      </c>
      <c r="B2152" s="1">
        <v>44715</v>
      </c>
      <c r="C2152">
        <v>1</v>
      </c>
      <c r="D2152">
        <v>119.06</v>
      </c>
      <c r="E2152">
        <v>146</v>
      </c>
    </row>
    <row r="2153" spans="1:5" x14ac:dyDescent="0.3">
      <c r="A2153" t="s">
        <v>118</v>
      </c>
      <c r="B2153" s="1">
        <v>44715</v>
      </c>
      <c r="C2153">
        <v>1</v>
      </c>
      <c r="D2153">
        <v>10.79</v>
      </c>
      <c r="E2153">
        <v>13</v>
      </c>
    </row>
    <row r="2154" spans="1:5" x14ac:dyDescent="0.3">
      <c r="A2154" t="s">
        <v>104</v>
      </c>
      <c r="B2154" s="1">
        <v>44715</v>
      </c>
      <c r="C2154">
        <v>1</v>
      </c>
      <c r="D2154">
        <v>44.72</v>
      </c>
      <c r="E2154">
        <v>56</v>
      </c>
    </row>
    <row r="2155" spans="1:5" x14ac:dyDescent="0.3">
      <c r="A2155" t="s">
        <v>104</v>
      </c>
      <c r="B2155" s="1">
        <v>44715</v>
      </c>
      <c r="C2155">
        <v>1</v>
      </c>
      <c r="D2155">
        <v>44.68</v>
      </c>
      <c r="E2155">
        <v>56</v>
      </c>
    </row>
    <row r="2156" spans="1:5" x14ac:dyDescent="0.3">
      <c r="A2156" t="s">
        <v>13</v>
      </c>
      <c r="B2156" s="1">
        <v>44715</v>
      </c>
      <c r="C2156">
        <v>1</v>
      </c>
      <c r="D2156">
        <v>119.04</v>
      </c>
      <c r="E2156">
        <v>143</v>
      </c>
    </row>
    <row r="2157" spans="1:5" x14ac:dyDescent="0.3">
      <c r="A2157" t="s">
        <v>13</v>
      </c>
      <c r="B2157" s="1">
        <v>44715</v>
      </c>
      <c r="C2157">
        <v>1</v>
      </c>
      <c r="D2157">
        <v>119.06</v>
      </c>
      <c r="E2157">
        <v>143</v>
      </c>
    </row>
    <row r="2158" spans="1:5" x14ac:dyDescent="0.3">
      <c r="A2158" t="s">
        <v>122</v>
      </c>
      <c r="B2158" s="1">
        <v>44715</v>
      </c>
      <c r="C2158">
        <v>1</v>
      </c>
      <c r="D2158">
        <v>20.59</v>
      </c>
      <c r="E2158">
        <v>25</v>
      </c>
    </row>
    <row r="2159" spans="1:5" x14ac:dyDescent="0.3">
      <c r="A2159" t="s">
        <v>9</v>
      </c>
      <c r="B2159" s="1">
        <v>44715</v>
      </c>
      <c r="C2159">
        <v>1</v>
      </c>
      <c r="D2159">
        <v>80.69</v>
      </c>
      <c r="E2159">
        <v>98</v>
      </c>
    </row>
    <row r="2160" spans="1:5" x14ac:dyDescent="0.3">
      <c r="A2160" t="s">
        <v>65</v>
      </c>
      <c r="B2160" s="1">
        <v>44715</v>
      </c>
      <c r="C2160">
        <v>1</v>
      </c>
      <c r="D2160">
        <v>187.73</v>
      </c>
      <c r="E2160">
        <v>220</v>
      </c>
    </row>
    <row r="2161" spans="1:5" x14ac:dyDescent="0.3">
      <c r="A2161" t="s">
        <v>52</v>
      </c>
      <c r="B2161" s="1">
        <v>44715</v>
      </c>
      <c r="C2161">
        <v>1</v>
      </c>
      <c r="D2161">
        <v>201.19</v>
      </c>
      <c r="E2161">
        <v>242</v>
      </c>
    </row>
    <row r="2162" spans="1:5" x14ac:dyDescent="0.3">
      <c r="A2162" t="s">
        <v>146</v>
      </c>
      <c r="B2162" s="1">
        <v>44715</v>
      </c>
      <c r="C2162">
        <v>1</v>
      </c>
      <c r="D2162">
        <v>410.25</v>
      </c>
      <c r="E2162">
        <v>460</v>
      </c>
    </row>
    <row r="2163" spans="1:5" x14ac:dyDescent="0.3">
      <c r="A2163" t="s">
        <v>146</v>
      </c>
      <c r="B2163" s="1">
        <v>44715</v>
      </c>
      <c r="C2163">
        <v>1</v>
      </c>
      <c r="D2163">
        <v>407.84</v>
      </c>
      <c r="E2163">
        <v>457</v>
      </c>
    </row>
    <row r="2164" spans="1:5" x14ac:dyDescent="0.3">
      <c r="A2164" t="s">
        <v>65</v>
      </c>
      <c r="B2164" s="1">
        <v>44715</v>
      </c>
      <c r="C2164">
        <v>1</v>
      </c>
      <c r="D2164">
        <v>187.36</v>
      </c>
      <c r="E2164">
        <v>220</v>
      </c>
    </row>
    <row r="2165" spans="1:5" x14ac:dyDescent="0.3">
      <c r="A2165" t="s">
        <v>93</v>
      </c>
      <c r="B2165" s="1">
        <v>44715</v>
      </c>
      <c r="C2165">
        <v>1</v>
      </c>
      <c r="D2165">
        <v>80.27</v>
      </c>
      <c r="E2165">
        <v>114</v>
      </c>
    </row>
    <row r="2166" spans="1:5" x14ac:dyDescent="0.3">
      <c r="A2166" t="s">
        <v>99</v>
      </c>
      <c r="B2166" s="1">
        <v>44715</v>
      </c>
      <c r="C2166">
        <v>1</v>
      </c>
      <c r="D2166">
        <v>64.25</v>
      </c>
      <c r="E2166">
        <v>77</v>
      </c>
    </row>
    <row r="2167" spans="1:5" x14ac:dyDescent="0.3">
      <c r="A2167" t="s">
        <v>144</v>
      </c>
      <c r="B2167" s="1">
        <v>44715</v>
      </c>
      <c r="C2167">
        <v>1</v>
      </c>
      <c r="D2167">
        <v>51.32</v>
      </c>
      <c r="E2167">
        <v>73</v>
      </c>
    </row>
    <row r="2168" spans="1:5" x14ac:dyDescent="0.3">
      <c r="A2168" t="s">
        <v>69</v>
      </c>
      <c r="B2168" s="1">
        <v>44715</v>
      </c>
      <c r="C2168">
        <v>1</v>
      </c>
      <c r="D2168">
        <v>19.989999999999998</v>
      </c>
      <c r="E2168">
        <v>24</v>
      </c>
    </row>
    <row r="2169" spans="1:5" x14ac:dyDescent="0.3">
      <c r="A2169" t="s">
        <v>95</v>
      </c>
      <c r="B2169" s="1">
        <v>44715</v>
      </c>
      <c r="C2169">
        <v>1</v>
      </c>
      <c r="D2169">
        <v>111.88</v>
      </c>
      <c r="E2169">
        <v>176</v>
      </c>
    </row>
    <row r="2170" spans="1:5" x14ac:dyDescent="0.3">
      <c r="A2170" t="s">
        <v>28</v>
      </c>
      <c r="B2170" s="1">
        <v>44715</v>
      </c>
      <c r="C2170">
        <v>1</v>
      </c>
      <c r="D2170">
        <v>148.91</v>
      </c>
      <c r="E2170">
        <v>204</v>
      </c>
    </row>
    <row r="2171" spans="1:5" x14ac:dyDescent="0.3">
      <c r="A2171" t="s">
        <v>7</v>
      </c>
      <c r="B2171" s="1">
        <v>44715</v>
      </c>
      <c r="C2171">
        <v>1</v>
      </c>
      <c r="D2171">
        <v>88.73</v>
      </c>
      <c r="E2171">
        <v>106</v>
      </c>
    </row>
    <row r="2172" spans="1:5" x14ac:dyDescent="0.3">
      <c r="A2172" t="s">
        <v>62</v>
      </c>
      <c r="B2172" s="1">
        <v>44715</v>
      </c>
      <c r="C2172">
        <v>1</v>
      </c>
      <c r="D2172">
        <v>25.71</v>
      </c>
      <c r="E2172">
        <v>31</v>
      </c>
    </row>
    <row r="2173" spans="1:5" x14ac:dyDescent="0.3">
      <c r="A2173" t="s">
        <v>90</v>
      </c>
      <c r="B2173" s="1">
        <v>44715</v>
      </c>
      <c r="C2173">
        <v>1</v>
      </c>
      <c r="D2173">
        <v>390.04</v>
      </c>
      <c r="E2173">
        <v>469</v>
      </c>
    </row>
    <row r="2174" spans="1:5" x14ac:dyDescent="0.3">
      <c r="A2174" t="s">
        <v>50</v>
      </c>
      <c r="B2174" s="1">
        <v>44715</v>
      </c>
      <c r="C2174">
        <v>1</v>
      </c>
      <c r="D2174">
        <v>43.92</v>
      </c>
      <c r="E2174">
        <v>55</v>
      </c>
    </row>
    <row r="2175" spans="1:5" x14ac:dyDescent="0.3">
      <c r="A2175" t="s">
        <v>50</v>
      </c>
      <c r="B2175" s="1">
        <v>44715</v>
      </c>
      <c r="C2175">
        <v>1</v>
      </c>
      <c r="D2175">
        <v>43.92</v>
      </c>
      <c r="E2175">
        <v>55</v>
      </c>
    </row>
    <row r="2176" spans="1:5" x14ac:dyDescent="0.3">
      <c r="A2176" t="s">
        <v>26</v>
      </c>
      <c r="B2176" s="1">
        <v>44715</v>
      </c>
      <c r="C2176">
        <v>6.6666699999999995E-2</v>
      </c>
      <c r="D2176">
        <v>991.65</v>
      </c>
      <c r="E2176">
        <v>1240</v>
      </c>
    </row>
    <row r="2177" spans="1:5" x14ac:dyDescent="0.3">
      <c r="A2177" t="s">
        <v>85</v>
      </c>
      <c r="B2177" s="1">
        <v>44715</v>
      </c>
      <c r="C2177">
        <v>1</v>
      </c>
      <c r="D2177">
        <v>15.51</v>
      </c>
      <c r="E2177">
        <v>25</v>
      </c>
    </row>
    <row r="2178" spans="1:5" x14ac:dyDescent="0.3">
      <c r="A2178" t="s">
        <v>85</v>
      </c>
      <c r="B2178" s="1">
        <v>44715</v>
      </c>
      <c r="C2178">
        <v>1</v>
      </c>
      <c r="D2178">
        <v>15.51</v>
      </c>
      <c r="E2178">
        <v>25</v>
      </c>
    </row>
    <row r="2179" spans="1:5" x14ac:dyDescent="0.3">
      <c r="A2179" t="s">
        <v>85</v>
      </c>
      <c r="B2179" s="1">
        <v>44715</v>
      </c>
      <c r="C2179">
        <v>1</v>
      </c>
      <c r="D2179">
        <v>15.51</v>
      </c>
      <c r="E2179">
        <v>25</v>
      </c>
    </row>
    <row r="2180" spans="1:5" x14ac:dyDescent="0.3">
      <c r="A2180" t="s">
        <v>20</v>
      </c>
      <c r="B2180" s="1">
        <v>44715</v>
      </c>
      <c r="C2180">
        <v>1</v>
      </c>
      <c r="D2180">
        <v>20.72</v>
      </c>
      <c r="E2180">
        <v>27</v>
      </c>
    </row>
    <row r="2181" spans="1:5" x14ac:dyDescent="0.3">
      <c r="A2181" t="s">
        <v>20</v>
      </c>
      <c r="B2181" s="1">
        <v>44715</v>
      </c>
      <c r="C2181">
        <v>1</v>
      </c>
      <c r="D2181">
        <v>20.72</v>
      </c>
      <c r="E2181">
        <v>27</v>
      </c>
    </row>
    <row r="2182" spans="1:5" x14ac:dyDescent="0.3">
      <c r="A2182" t="s">
        <v>20</v>
      </c>
      <c r="B2182" s="1">
        <v>44715</v>
      </c>
      <c r="C2182">
        <v>1</v>
      </c>
      <c r="D2182">
        <v>20.72</v>
      </c>
      <c r="E2182">
        <v>27</v>
      </c>
    </row>
    <row r="2183" spans="1:5" x14ac:dyDescent="0.3">
      <c r="A2183" t="s">
        <v>75</v>
      </c>
      <c r="B2183" s="1">
        <v>44715</v>
      </c>
      <c r="C2183">
        <v>0.02</v>
      </c>
      <c r="D2183">
        <v>490.56</v>
      </c>
      <c r="E2183">
        <v>687</v>
      </c>
    </row>
    <row r="2184" spans="1:5" x14ac:dyDescent="0.3">
      <c r="A2184" t="s">
        <v>53</v>
      </c>
      <c r="B2184" s="1">
        <v>44715</v>
      </c>
      <c r="C2184">
        <v>1</v>
      </c>
      <c r="D2184">
        <v>23.4</v>
      </c>
      <c r="E2184">
        <v>38</v>
      </c>
    </row>
    <row r="2185" spans="1:5" x14ac:dyDescent="0.3">
      <c r="A2185" t="s">
        <v>30</v>
      </c>
      <c r="B2185" s="1">
        <v>44715</v>
      </c>
      <c r="C2185">
        <v>1</v>
      </c>
      <c r="D2185">
        <v>156.19999999999999</v>
      </c>
      <c r="E2185">
        <v>186</v>
      </c>
    </row>
    <row r="2186" spans="1:5" x14ac:dyDescent="0.3">
      <c r="A2186" t="s">
        <v>86</v>
      </c>
      <c r="B2186" s="1">
        <v>44715</v>
      </c>
      <c r="C2186">
        <v>1</v>
      </c>
      <c r="D2186">
        <v>47.4</v>
      </c>
      <c r="E2186">
        <v>77</v>
      </c>
    </row>
    <row r="2187" spans="1:5" x14ac:dyDescent="0.3">
      <c r="A2187" t="s">
        <v>131</v>
      </c>
      <c r="B2187" s="1">
        <v>44715</v>
      </c>
      <c r="C2187">
        <v>1</v>
      </c>
      <c r="D2187">
        <v>358.57</v>
      </c>
      <c r="E2187">
        <v>413</v>
      </c>
    </row>
    <row r="2188" spans="1:5" x14ac:dyDescent="0.3">
      <c r="A2188" t="s">
        <v>32</v>
      </c>
      <c r="B2188" s="1">
        <v>44715</v>
      </c>
      <c r="C2188">
        <v>1</v>
      </c>
      <c r="D2188">
        <v>99.21</v>
      </c>
      <c r="E2188">
        <v>154</v>
      </c>
    </row>
    <row r="2189" spans="1:5" x14ac:dyDescent="0.3">
      <c r="A2189" t="s">
        <v>23</v>
      </c>
      <c r="B2189" s="1">
        <v>44715</v>
      </c>
      <c r="C2189">
        <v>1</v>
      </c>
      <c r="D2189">
        <v>109.41</v>
      </c>
      <c r="E2189">
        <v>123</v>
      </c>
    </row>
    <row r="2190" spans="1:5" x14ac:dyDescent="0.3">
      <c r="A2190" t="s">
        <v>100</v>
      </c>
      <c r="B2190" s="1">
        <v>44715</v>
      </c>
      <c r="C2190">
        <v>1</v>
      </c>
      <c r="D2190">
        <v>37.46</v>
      </c>
      <c r="E2190">
        <v>57</v>
      </c>
    </row>
    <row r="2191" spans="1:5" x14ac:dyDescent="0.3">
      <c r="A2191" t="s">
        <v>24</v>
      </c>
      <c r="B2191" s="1">
        <v>44715</v>
      </c>
      <c r="C2191">
        <v>1</v>
      </c>
      <c r="D2191">
        <v>103.46</v>
      </c>
      <c r="E2191">
        <v>121</v>
      </c>
    </row>
    <row r="2192" spans="1:5" x14ac:dyDescent="0.3">
      <c r="A2192" t="s">
        <v>26</v>
      </c>
      <c r="B2192" s="1">
        <v>44715</v>
      </c>
      <c r="C2192">
        <v>0.1</v>
      </c>
      <c r="D2192">
        <v>991.73</v>
      </c>
      <c r="E2192">
        <v>1280</v>
      </c>
    </row>
    <row r="2193" spans="1:5" x14ac:dyDescent="0.3">
      <c r="A2193" t="s">
        <v>34</v>
      </c>
      <c r="B2193" s="1">
        <v>44715</v>
      </c>
      <c r="C2193">
        <v>1</v>
      </c>
      <c r="D2193">
        <v>201.2</v>
      </c>
      <c r="E2193">
        <v>232</v>
      </c>
    </row>
    <row r="2194" spans="1:5" x14ac:dyDescent="0.3">
      <c r="A2194" t="s">
        <v>56</v>
      </c>
      <c r="B2194" s="1">
        <v>44715</v>
      </c>
      <c r="C2194">
        <v>1</v>
      </c>
      <c r="D2194">
        <v>44.9</v>
      </c>
      <c r="E2194">
        <v>69</v>
      </c>
    </row>
    <row r="2195" spans="1:5" x14ac:dyDescent="0.3">
      <c r="A2195" t="s">
        <v>99</v>
      </c>
      <c r="B2195" s="1">
        <v>44715</v>
      </c>
      <c r="C2195">
        <v>1</v>
      </c>
      <c r="D2195">
        <v>64.25</v>
      </c>
      <c r="E2195">
        <v>76</v>
      </c>
    </row>
    <row r="2196" spans="1:5" x14ac:dyDescent="0.3">
      <c r="A2196" t="s">
        <v>148</v>
      </c>
      <c r="B2196" s="1">
        <v>44715</v>
      </c>
      <c r="C2196">
        <v>1</v>
      </c>
      <c r="D2196">
        <v>36.97</v>
      </c>
      <c r="E2196">
        <v>57</v>
      </c>
    </row>
    <row r="2197" spans="1:5" x14ac:dyDescent="0.3">
      <c r="A2197" t="s">
        <v>148</v>
      </c>
      <c r="B2197" s="1">
        <v>44715</v>
      </c>
      <c r="C2197">
        <v>1</v>
      </c>
      <c r="D2197">
        <v>37.75</v>
      </c>
      <c r="E2197">
        <v>58</v>
      </c>
    </row>
    <row r="2198" spans="1:5" x14ac:dyDescent="0.3">
      <c r="A2198" t="s">
        <v>65</v>
      </c>
      <c r="B2198" s="1">
        <v>44715</v>
      </c>
      <c r="C2198">
        <v>1</v>
      </c>
      <c r="D2198">
        <v>187.36</v>
      </c>
      <c r="E2198">
        <v>220</v>
      </c>
    </row>
    <row r="2199" spans="1:5" x14ac:dyDescent="0.3">
      <c r="A2199" t="s">
        <v>66</v>
      </c>
      <c r="B2199" s="1">
        <v>44715</v>
      </c>
      <c r="C2199">
        <v>1</v>
      </c>
      <c r="D2199">
        <v>32</v>
      </c>
      <c r="E2199">
        <v>36</v>
      </c>
    </row>
    <row r="2200" spans="1:5" x14ac:dyDescent="0.3">
      <c r="A2200" t="s">
        <v>36</v>
      </c>
      <c r="B2200" s="1">
        <v>44715</v>
      </c>
      <c r="C2200">
        <v>1</v>
      </c>
      <c r="D2200">
        <v>23.01</v>
      </c>
      <c r="E2200">
        <v>30</v>
      </c>
    </row>
    <row r="2201" spans="1:5" x14ac:dyDescent="0.3">
      <c r="A2201" t="s">
        <v>36</v>
      </c>
      <c r="B2201" s="1">
        <v>44715</v>
      </c>
      <c r="C2201">
        <v>1</v>
      </c>
      <c r="D2201">
        <v>23.01</v>
      </c>
      <c r="E2201">
        <v>30</v>
      </c>
    </row>
    <row r="2202" spans="1:5" x14ac:dyDescent="0.3">
      <c r="A2202" t="s">
        <v>36</v>
      </c>
      <c r="B2202" s="1">
        <v>44715</v>
      </c>
      <c r="C2202">
        <v>1</v>
      </c>
      <c r="D2202">
        <v>23.01</v>
      </c>
      <c r="E2202">
        <v>30</v>
      </c>
    </row>
    <row r="2203" spans="1:5" x14ac:dyDescent="0.3">
      <c r="A2203" t="s">
        <v>25</v>
      </c>
      <c r="B2203" s="1">
        <v>44715</v>
      </c>
      <c r="C2203">
        <v>1</v>
      </c>
      <c r="D2203">
        <v>148.52000000000001</v>
      </c>
      <c r="E2203">
        <v>178</v>
      </c>
    </row>
    <row r="2204" spans="1:5" x14ac:dyDescent="0.3">
      <c r="A2204" t="s">
        <v>57</v>
      </c>
      <c r="B2204" s="1">
        <v>44715</v>
      </c>
      <c r="C2204">
        <v>1</v>
      </c>
      <c r="D2204">
        <v>239.58</v>
      </c>
      <c r="E2204">
        <v>300</v>
      </c>
    </row>
    <row r="2205" spans="1:5" x14ac:dyDescent="0.3">
      <c r="A2205" t="s">
        <v>116</v>
      </c>
      <c r="B2205" s="1">
        <v>44715</v>
      </c>
      <c r="C2205">
        <v>1</v>
      </c>
      <c r="D2205">
        <v>101.43</v>
      </c>
      <c r="E2205">
        <v>120</v>
      </c>
    </row>
    <row r="2206" spans="1:5" x14ac:dyDescent="0.3">
      <c r="A2206" t="s">
        <v>129</v>
      </c>
      <c r="B2206" s="1">
        <v>44715</v>
      </c>
      <c r="C2206">
        <v>0.08</v>
      </c>
      <c r="D2206">
        <v>493.92</v>
      </c>
      <c r="E2206">
        <v>595</v>
      </c>
    </row>
    <row r="2207" spans="1:5" x14ac:dyDescent="0.3">
      <c r="A2207" t="s">
        <v>62</v>
      </c>
      <c r="B2207" s="1">
        <v>44715</v>
      </c>
      <c r="C2207">
        <v>1</v>
      </c>
      <c r="D2207">
        <v>25.7</v>
      </c>
      <c r="E2207">
        <v>31</v>
      </c>
    </row>
    <row r="2208" spans="1:5" x14ac:dyDescent="0.3">
      <c r="A2208" t="s">
        <v>62</v>
      </c>
      <c r="B2208" s="1">
        <v>44715</v>
      </c>
      <c r="C2208">
        <v>1</v>
      </c>
      <c r="D2208">
        <v>25.71</v>
      </c>
      <c r="E2208">
        <v>31</v>
      </c>
    </row>
    <row r="2209" spans="1:5" x14ac:dyDescent="0.3">
      <c r="A2209" t="s">
        <v>100</v>
      </c>
      <c r="B2209" s="1">
        <v>44715</v>
      </c>
      <c r="C2209">
        <v>1</v>
      </c>
      <c r="D2209">
        <v>37.479999999999997</v>
      </c>
      <c r="E2209">
        <v>57</v>
      </c>
    </row>
    <row r="2210" spans="1:5" x14ac:dyDescent="0.3">
      <c r="A2210" t="s">
        <v>115</v>
      </c>
      <c r="B2210" s="1">
        <v>44715</v>
      </c>
      <c r="C2210">
        <v>1</v>
      </c>
      <c r="D2210">
        <v>71.31</v>
      </c>
      <c r="E2210">
        <v>90</v>
      </c>
    </row>
    <row r="2211" spans="1:5" x14ac:dyDescent="0.3">
      <c r="A2211" t="s">
        <v>8</v>
      </c>
      <c r="B2211" s="1">
        <v>44715</v>
      </c>
      <c r="C2211">
        <v>1</v>
      </c>
      <c r="D2211">
        <v>47.77</v>
      </c>
      <c r="E2211">
        <v>78</v>
      </c>
    </row>
    <row r="2212" spans="1:5" x14ac:dyDescent="0.3">
      <c r="A2212" t="s">
        <v>142</v>
      </c>
      <c r="B2212" s="1">
        <v>44715</v>
      </c>
      <c r="C2212">
        <v>1</v>
      </c>
      <c r="D2212">
        <v>12.86</v>
      </c>
      <c r="E2212">
        <v>15</v>
      </c>
    </row>
    <row r="2213" spans="1:5" x14ac:dyDescent="0.3">
      <c r="A2213" t="s">
        <v>48</v>
      </c>
      <c r="B2213" s="1">
        <v>44715</v>
      </c>
      <c r="C2213">
        <v>1</v>
      </c>
      <c r="D2213">
        <v>38.89</v>
      </c>
      <c r="E2213">
        <v>60</v>
      </c>
    </row>
    <row r="2214" spans="1:5" x14ac:dyDescent="0.3">
      <c r="A2214" t="s">
        <v>75</v>
      </c>
      <c r="B2214" s="1">
        <v>44715</v>
      </c>
      <c r="C2214">
        <v>0.12</v>
      </c>
      <c r="D2214">
        <v>464.4</v>
      </c>
      <c r="E2214">
        <v>706</v>
      </c>
    </row>
    <row r="2215" spans="1:5" x14ac:dyDescent="0.3">
      <c r="A2215" t="s">
        <v>125</v>
      </c>
      <c r="B2215" s="1">
        <v>44715</v>
      </c>
      <c r="C2215">
        <v>1</v>
      </c>
      <c r="D2215">
        <v>395.34</v>
      </c>
      <c r="E2215">
        <v>522</v>
      </c>
    </row>
    <row r="2216" spans="1:5" x14ac:dyDescent="0.3">
      <c r="A2216" t="s">
        <v>105</v>
      </c>
      <c r="B2216" s="1">
        <v>44715</v>
      </c>
      <c r="C2216">
        <v>2</v>
      </c>
      <c r="D2216">
        <v>35.79</v>
      </c>
      <c r="E2216">
        <v>58</v>
      </c>
    </row>
    <row r="2217" spans="1:5" x14ac:dyDescent="0.3">
      <c r="A2217" t="s">
        <v>66</v>
      </c>
      <c r="B2217" s="1">
        <v>44715</v>
      </c>
      <c r="C2217">
        <v>1</v>
      </c>
      <c r="D2217">
        <v>31.68</v>
      </c>
      <c r="E2217">
        <v>39</v>
      </c>
    </row>
    <row r="2218" spans="1:5" x14ac:dyDescent="0.3">
      <c r="A2218" t="s">
        <v>115</v>
      </c>
      <c r="B2218" s="1">
        <v>44715</v>
      </c>
      <c r="C2218">
        <v>1</v>
      </c>
      <c r="D2218">
        <v>71.31</v>
      </c>
      <c r="E2218">
        <v>88</v>
      </c>
    </row>
    <row r="2219" spans="1:5" x14ac:dyDescent="0.3">
      <c r="A2219" t="s">
        <v>24</v>
      </c>
      <c r="B2219" s="1">
        <v>44715</v>
      </c>
      <c r="C2219">
        <v>1</v>
      </c>
      <c r="D2219">
        <v>103.46</v>
      </c>
      <c r="E2219">
        <v>121</v>
      </c>
    </row>
    <row r="2220" spans="1:5" x14ac:dyDescent="0.3">
      <c r="A2220" t="s">
        <v>116</v>
      </c>
      <c r="B2220" s="1">
        <v>44715</v>
      </c>
      <c r="C2220">
        <v>1</v>
      </c>
      <c r="D2220">
        <v>105.79</v>
      </c>
      <c r="E2220">
        <v>127</v>
      </c>
    </row>
    <row r="2221" spans="1:5" x14ac:dyDescent="0.3">
      <c r="A2221" t="s">
        <v>45</v>
      </c>
      <c r="B2221" s="1">
        <v>44715</v>
      </c>
      <c r="C2221">
        <v>1</v>
      </c>
      <c r="D2221">
        <v>26.54</v>
      </c>
      <c r="E2221">
        <v>43</v>
      </c>
    </row>
    <row r="2222" spans="1:5" x14ac:dyDescent="0.3">
      <c r="A2222" t="s">
        <v>141</v>
      </c>
      <c r="B2222" s="1">
        <v>44715</v>
      </c>
      <c r="C2222">
        <v>1</v>
      </c>
      <c r="D2222">
        <v>12.2</v>
      </c>
      <c r="E2222">
        <v>20</v>
      </c>
    </row>
    <row r="2223" spans="1:5" x14ac:dyDescent="0.3">
      <c r="A2223" t="s">
        <v>29</v>
      </c>
      <c r="B2223" s="1">
        <v>44715</v>
      </c>
      <c r="C2223">
        <v>1</v>
      </c>
      <c r="D2223">
        <v>481.17</v>
      </c>
      <c r="E2223">
        <v>650</v>
      </c>
    </row>
    <row r="2224" spans="1:5" x14ac:dyDescent="0.3">
      <c r="A2224" t="s">
        <v>147</v>
      </c>
      <c r="B2224" s="1">
        <v>44715</v>
      </c>
      <c r="C2224">
        <v>1</v>
      </c>
      <c r="D2224">
        <v>136.66</v>
      </c>
      <c r="E2224">
        <v>193</v>
      </c>
    </row>
    <row r="2225" spans="1:5" x14ac:dyDescent="0.3">
      <c r="A2225" t="s">
        <v>78</v>
      </c>
      <c r="B2225" s="1">
        <v>44715</v>
      </c>
      <c r="C2225">
        <v>1</v>
      </c>
      <c r="D2225">
        <v>69.84</v>
      </c>
      <c r="E2225">
        <v>88</v>
      </c>
    </row>
    <row r="2226" spans="1:5" x14ac:dyDescent="0.3">
      <c r="A2226" t="s">
        <v>121</v>
      </c>
      <c r="B2226" s="1">
        <v>44715</v>
      </c>
      <c r="C2226">
        <v>2</v>
      </c>
      <c r="D2226">
        <v>10.4</v>
      </c>
      <c r="E2226">
        <v>17</v>
      </c>
    </row>
    <row r="2227" spans="1:5" x14ac:dyDescent="0.3">
      <c r="A2227" t="s">
        <v>42</v>
      </c>
      <c r="B2227" s="1">
        <v>44715</v>
      </c>
      <c r="C2227">
        <v>1</v>
      </c>
      <c r="D2227">
        <v>566.04</v>
      </c>
      <c r="E2227">
        <v>651</v>
      </c>
    </row>
    <row r="2228" spans="1:5" x14ac:dyDescent="0.3">
      <c r="A2228" t="s">
        <v>45</v>
      </c>
      <c r="B2228" s="1">
        <v>44715</v>
      </c>
      <c r="C2228">
        <v>2</v>
      </c>
      <c r="D2228">
        <v>26.16</v>
      </c>
      <c r="E2228">
        <v>43</v>
      </c>
    </row>
    <row r="2229" spans="1:5" x14ac:dyDescent="0.3">
      <c r="A2229" t="s">
        <v>98</v>
      </c>
      <c r="B2229" s="1">
        <v>44715</v>
      </c>
      <c r="C2229">
        <v>1</v>
      </c>
      <c r="D2229">
        <v>111.32</v>
      </c>
      <c r="E2229">
        <v>133</v>
      </c>
    </row>
    <row r="2230" spans="1:5" x14ac:dyDescent="0.3">
      <c r="A2230" t="s">
        <v>129</v>
      </c>
      <c r="B2230" s="1">
        <v>44715</v>
      </c>
      <c r="C2230">
        <v>0.04</v>
      </c>
      <c r="D2230">
        <v>495.19</v>
      </c>
      <c r="E2230">
        <v>606</v>
      </c>
    </row>
    <row r="2231" spans="1:5" x14ac:dyDescent="0.3">
      <c r="A2231" t="s">
        <v>141</v>
      </c>
      <c r="B2231" s="1">
        <v>44715</v>
      </c>
      <c r="C2231">
        <v>1</v>
      </c>
      <c r="D2231">
        <v>12.19</v>
      </c>
      <c r="E2231">
        <v>20</v>
      </c>
    </row>
    <row r="2232" spans="1:5" x14ac:dyDescent="0.3">
      <c r="A2232" t="s">
        <v>116</v>
      </c>
      <c r="B2232" s="1">
        <v>44715</v>
      </c>
      <c r="C2232">
        <v>1</v>
      </c>
      <c r="D2232">
        <v>105.42</v>
      </c>
      <c r="E2232">
        <v>126</v>
      </c>
    </row>
    <row r="2233" spans="1:5" x14ac:dyDescent="0.3">
      <c r="A2233" t="s">
        <v>100</v>
      </c>
      <c r="B2233" s="1">
        <v>44715</v>
      </c>
      <c r="C2233">
        <v>1</v>
      </c>
      <c r="D2233">
        <v>37.42</v>
      </c>
      <c r="E2233">
        <v>57</v>
      </c>
    </row>
    <row r="2234" spans="1:5" x14ac:dyDescent="0.3">
      <c r="A2234" t="s">
        <v>53</v>
      </c>
      <c r="B2234" s="1">
        <v>44715</v>
      </c>
      <c r="C2234">
        <v>1</v>
      </c>
      <c r="D2234">
        <v>23.4</v>
      </c>
      <c r="E2234">
        <v>41</v>
      </c>
    </row>
    <row r="2235" spans="1:5" x14ac:dyDescent="0.3">
      <c r="A2235" t="s">
        <v>36</v>
      </c>
      <c r="B2235" s="1">
        <v>44715</v>
      </c>
      <c r="C2235">
        <v>1</v>
      </c>
      <c r="D2235">
        <v>26.53</v>
      </c>
      <c r="E2235">
        <v>34</v>
      </c>
    </row>
    <row r="2236" spans="1:5" x14ac:dyDescent="0.3">
      <c r="A2236" t="s">
        <v>36</v>
      </c>
      <c r="B2236" s="1">
        <v>44715</v>
      </c>
      <c r="C2236">
        <v>1</v>
      </c>
      <c r="D2236">
        <v>26.53</v>
      </c>
      <c r="E2236">
        <v>34</v>
      </c>
    </row>
    <row r="2237" spans="1:5" x14ac:dyDescent="0.3">
      <c r="A2237" t="s">
        <v>36</v>
      </c>
      <c r="B2237" s="1">
        <v>44715</v>
      </c>
      <c r="C2237">
        <v>1</v>
      </c>
      <c r="D2237">
        <v>26.53</v>
      </c>
      <c r="E2237">
        <v>34</v>
      </c>
    </row>
    <row r="2238" spans="1:5" x14ac:dyDescent="0.3">
      <c r="A2238" t="s">
        <v>36</v>
      </c>
      <c r="B2238" s="1">
        <v>44715</v>
      </c>
      <c r="C2238">
        <v>1</v>
      </c>
      <c r="D2238">
        <v>26.53</v>
      </c>
      <c r="E2238">
        <v>34</v>
      </c>
    </row>
    <row r="2239" spans="1:5" x14ac:dyDescent="0.3">
      <c r="A2239" t="s">
        <v>20</v>
      </c>
      <c r="B2239" s="1">
        <v>44715</v>
      </c>
      <c r="C2239">
        <v>1</v>
      </c>
      <c r="D2239">
        <v>21.04</v>
      </c>
      <c r="E2239">
        <v>28</v>
      </c>
    </row>
    <row r="2240" spans="1:5" x14ac:dyDescent="0.3">
      <c r="A2240" t="s">
        <v>37</v>
      </c>
      <c r="B2240" s="1">
        <v>44715</v>
      </c>
      <c r="C2240">
        <v>1</v>
      </c>
      <c r="D2240">
        <v>51.31</v>
      </c>
      <c r="E2240">
        <v>65</v>
      </c>
    </row>
    <row r="2241" spans="1:5" x14ac:dyDescent="0.3">
      <c r="A2241" t="s">
        <v>37</v>
      </c>
      <c r="B2241" s="1">
        <v>44715</v>
      </c>
      <c r="C2241">
        <v>1</v>
      </c>
      <c r="D2241">
        <v>51.31</v>
      </c>
      <c r="E2241">
        <v>65</v>
      </c>
    </row>
    <row r="2242" spans="1:5" x14ac:dyDescent="0.3">
      <c r="A2242" t="s">
        <v>37</v>
      </c>
      <c r="B2242" s="1">
        <v>44715</v>
      </c>
      <c r="C2242">
        <v>1</v>
      </c>
      <c r="D2242">
        <v>51.31</v>
      </c>
      <c r="E2242">
        <v>65</v>
      </c>
    </row>
    <row r="2243" spans="1:5" x14ac:dyDescent="0.3">
      <c r="A2243" t="s">
        <v>37</v>
      </c>
      <c r="B2243" s="1">
        <v>44715</v>
      </c>
      <c r="C2243">
        <v>1</v>
      </c>
      <c r="D2243">
        <v>51.31</v>
      </c>
      <c r="E2243">
        <v>65</v>
      </c>
    </row>
    <row r="2244" spans="1:5" x14ac:dyDescent="0.3">
      <c r="A2244" t="s">
        <v>66</v>
      </c>
      <c r="B2244" s="1">
        <v>44715</v>
      </c>
      <c r="C2244">
        <v>4</v>
      </c>
      <c r="D2244">
        <v>32</v>
      </c>
      <c r="E2244">
        <v>36</v>
      </c>
    </row>
    <row r="2245" spans="1:5" x14ac:dyDescent="0.3">
      <c r="A2245" t="s">
        <v>9</v>
      </c>
      <c r="B2245" s="1">
        <v>44715</v>
      </c>
      <c r="C2245">
        <v>1</v>
      </c>
      <c r="D2245">
        <v>81.87</v>
      </c>
      <c r="E2245">
        <v>99</v>
      </c>
    </row>
    <row r="2246" spans="1:5" x14ac:dyDescent="0.3">
      <c r="A2246" t="s">
        <v>9</v>
      </c>
      <c r="B2246" s="1">
        <v>44715</v>
      </c>
      <c r="C2246">
        <v>1</v>
      </c>
      <c r="D2246">
        <v>81.87</v>
      </c>
      <c r="E2246">
        <v>99</v>
      </c>
    </row>
    <row r="2247" spans="1:5" x14ac:dyDescent="0.3">
      <c r="A2247" t="s">
        <v>84</v>
      </c>
      <c r="B2247" s="1">
        <v>44715</v>
      </c>
      <c r="C2247">
        <v>1</v>
      </c>
      <c r="D2247">
        <v>153.75</v>
      </c>
      <c r="E2247">
        <v>193</v>
      </c>
    </row>
    <row r="2248" spans="1:5" x14ac:dyDescent="0.3">
      <c r="A2248" t="s">
        <v>24</v>
      </c>
      <c r="B2248" s="1">
        <v>44715</v>
      </c>
      <c r="C2248">
        <v>1</v>
      </c>
      <c r="D2248">
        <v>103.46</v>
      </c>
      <c r="E2248">
        <v>121</v>
      </c>
    </row>
    <row r="2249" spans="1:5" x14ac:dyDescent="0.3">
      <c r="A2249" t="s">
        <v>54</v>
      </c>
      <c r="B2249" s="1">
        <v>44715</v>
      </c>
      <c r="C2249">
        <v>1</v>
      </c>
      <c r="D2249">
        <v>723.11</v>
      </c>
      <c r="E2249">
        <v>933</v>
      </c>
    </row>
    <row r="2250" spans="1:5" x14ac:dyDescent="0.3">
      <c r="A2250" t="s">
        <v>48</v>
      </c>
      <c r="B2250" s="1">
        <v>44715</v>
      </c>
      <c r="C2250">
        <v>1</v>
      </c>
      <c r="D2250">
        <v>38.82</v>
      </c>
      <c r="E2250">
        <v>61</v>
      </c>
    </row>
    <row r="2251" spans="1:5" x14ac:dyDescent="0.3">
      <c r="A2251" t="s">
        <v>147</v>
      </c>
      <c r="B2251" s="1">
        <v>44715</v>
      </c>
      <c r="C2251">
        <v>1</v>
      </c>
      <c r="D2251">
        <v>136.94999999999999</v>
      </c>
      <c r="E2251">
        <v>188</v>
      </c>
    </row>
    <row r="2252" spans="1:5" x14ac:dyDescent="0.3">
      <c r="A2252" t="s">
        <v>145</v>
      </c>
      <c r="B2252" s="1">
        <v>44715</v>
      </c>
      <c r="C2252">
        <v>1</v>
      </c>
      <c r="D2252">
        <v>25.3</v>
      </c>
      <c r="E2252">
        <v>31</v>
      </c>
    </row>
    <row r="2253" spans="1:5" x14ac:dyDescent="0.3">
      <c r="A2253" t="s">
        <v>145</v>
      </c>
      <c r="B2253" s="1">
        <v>44715</v>
      </c>
      <c r="C2253">
        <v>1</v>
      </c>
      <c r="D2253">
        <v>25.3</v>
      </c>
      <c r="E2253">
        <v>31</v>
      </c>
    </row>
    <row r="2254" spans="1:5" x14ac:dyDescent="0.3">
      <c r="A2254" t="s">
        <v>145</v>
      </c>
      <c r="B2254" s="1">
        <v>44715</v>
      </c>
      <c r="C2254">
        <v>1</v>
      </c>
      <c r="D2254">
        <v>25.3</v>
      </c>
      <c r="E2254">
        <v>31</v>
      </c>
    </row>
    <row r="2255" spans="1:5" x14ac:dyDescent="0.3">
      <c r="A2255" t="s">
        <v>145</v>
      </c>
      <c r="B2255" s="1">
        <v>44715</v>
      </c>
      <c r="C2255">
        <v>1</v>
      </c>
      <c r="D2255">
        <v>25.3</v>
      </c>
      <c r="E2255">
        <v>31</v>
      </c>
    </row>
    <row r="2256" spans="1:5" x14ac:dyDescent="0.3">
      <c r="A2256" t="s">
        <v>145</v>
      </c>
      <c r="B2256" s="1">
        <v>44715</v>
      </c>
      <c r="C2256">
        <v>1</v>
      </c>
      <c r="D2256">
        <v>25.3</v>
      </c>
      <c r="E2256">
        <v>31</v>
      </c>
    </row>
    <row r="2257" spans="1:5" x14ac:dyDescent="0.3">
      <c r="A2257" t="s">
        <v>95</v>
      </c>
      <c r="B2257" s="1">
        <v>44715</v>
      </c>
      <c r="C2257">
        <v>0.5</v>
      </c>
      <c r="D2257">
        <v>113.82</v>
      </c>
      <c r="E2257">
        <v>173</v>
      </c>
    </row>
    <row r="2258" spans="1:5" x14ac:dyDescent="0.3">
      <c r="A2258" t="s">
        <v>88</v>
      </c>
      <c r="B2258" s="1">
        <v>44715</v>
      </c>
      <c r="C2258">
        <v>0.5</v>
      </c>
      <c r="D2258">
        <v>108</v>
      </c>
      <c r="E2258">
        <v>165</v>
      </c>
    </row>
    <row r="2259" spans="1:5" x14ac:dyDescent="0.3">
      <c r="A2259" t="s">
        <v>46</v>
      </c>
      <c r="B2259" s="1">
        <v>44715</v>
      </c>
      <c r="C2259">
        <v>1</v>
      </c>
      <c r="D2259">
        <v>19.600000000000001</v>
      </c>
      <c r="E2259">
        <v>24</v>
      </c>
    </row>
    <row r="2260" spans="1:5" x14ac:dyDescent="0.3">
      <c r="A2260" t="s">
        <v>46</v>
      </c>
      <c r="B2260" s="1">
        <v>44715</v>
      </c>
      <c r="C2260">
        <v>1</v>
      </c>
      <c r="D2260">
        <v>19.600000000000001</v>
      </c>
      <c r="E2260">
        <v>24</v>
      </c>
    </row>
    <row r="2261" spans="1:5" x14ac:dyDescent="0.3">
      <c r="A2261" t="s">
        <v>92</v>
      </c>
      <c r="B2261" s="1">
        <v>44715</v>
      </c>
      <c r="C2261">
        <v>6</v>
      </c>
      <c r="D2261">
        <v>6.44</v>
      </c>
      <c r="E2261">
        <v>9</v>
      </c>
    </row>
    <row r="2262" spans="1:5" x14ac:dyDescent="0.3">
      <c r="A2262" t="s">
        <v>51</v>
      </c>
      <c r="B2262" s="1">
        <v>44715</v>
      </c>
      <c r="C2262">
        <v>4</v>
      </c>
      <c r="D2262">
        <v>2.29</v>
      </c>
      <c r="E2262">
        <v>4</v>
      </c>
    </row>
    <row r="2263" spans="1:5" x14ac:dyDescent="0.3">
      <c r="A2263" t="s">
        <v>55</v>
      </c>
      <c r="B2263" s="1">
        <v>44715</v>
      </c>
      <c r="C2263">
        <v>1</v>
      </c>
      <c r="D2263">
        <v>77.63</v>
      </c>
      <c r="E2263">
        <v>95</v>
      </c>
    </row>
    <row r="2264" spans="1:5" x14ac:dyDescent="0.3">
      <c r="A2264" t="s">
        <v>100</v>
      </c>
      <c r="B2264" s="1">
        <v>44715</v>
      </c>
      <c r="C2264">
        <v>1</v>
      </c>
      <c r="D2264">
        <v>38.07</v>
      </c>
      <c r="E2264">
        <v>59</v>
      </c>
    </row>
    <row r="2265" spans="1:5" x14ac:dyDescent="0.3">
      <c r="A2265" t="s">
        <v>97</v>
      </c>
      <c r="B2265" s="1">
        <v>44715</v>
      </c>
      <c r="C2265">
        <v>1</v>
      </c>
      <c r="D2265">
        <v>426.66</v>
      </c>
      <c r="E2265">
        <v>564</v>
      </c>
    </row>
    <row r="2266" spans="1:5" x14ac:dyDescent="0.3">
      <c r="A2266" t="s">
        <v>65</v>
      </c>
      <c r="B2266" s="1">
        <v>44715</v>
      </c>
      <c r="C2266">
        <v>1</v>
      </c>
      <c r="D2266">
        <v>187.68</v>
      </c>
      <c r="E2266">
        <v>220</v>
      </c>
    </row>
    <row r="2267" spans="1:5" x14ac:dyDescent="0.3">
      <c r="A2267" t="s">
        <v>36</v>
      </c>
      <c r="B2267" s="1">
        <v>44715</v>
      </c>
      <c r="C2267">
        <v>1</v>
      </c>
      <c r="D2267">
        <v>22.03</v>
      </c>
      <c r="E2267">
        <v>28</v>
      </c>
    </row>
    <row r="2268" spans="1:5" x14ac:dyDescent="0.3">
      <c r="A2268" t="s">
        <v>20</v>
      </c>
      <c r="B2268" s="1">
        <v>44715</v>
      </c>
      <c r="C2268">
        <v>1</v>
      </c>
      <c r="D2268">
        <v>21.62</v>
      </c>
      <c r="E2268">
        <v>28</v>
      </c>
    </row>
    <row r="2269" spans="1:5" x14ac:dyDescent="0.3">
      <c r="A2269" t="s">
        <v>66</v>
      </c>
      <c r="B2269" s="1">
        <v>44715</v>
      </c>
      <c r="C2269">
        <v>1</v>
      </c>
      <c r="D2269">
        <v>30.56</v>
      </c>
      <c r="E2269">
        <v>36</v>
      </c>
    </row>
    <row r="2270" spans="1:5" x14ac:dyDescent="0.3">
      <c r="A2270" t="s">
        <v>66</v>
      </c>
      <c r="B2270" s="1">
        <v>44715</v>
      </c>
      <c r="C2270">
        <v>1</v>
      </c>
      <c r="D2270">
        <v>30.56</v>
      </c>
      <c r="E2270">
        <v>36</v>
      </c>
    </row>
    <row r="2271" spans="1:5" x14ac:dyDescent="0.3">
      <c r="A2271" t="s">
        <v>82</v>
      </c>
      <c r="B2271" s="1">
        <v>44715</v>
      </c>
      <c r="C2271">
        <v>1</v>
      </c>
      <c r="D2271">
        <v>36.44</v>
      </c>
      <c r="E2271">
        <v>46</v>
      </c>
    </row>
    <row r="2272" spans="1:5" x14ac:dyDescent="0.3">
      <c r="A2272" t="s">
        <v>23</v>
      </c>
      <c r="B2272" s="1">
        <v>44715</v>
      </c>
      <c r="C2272">
        <v>1</v>
      </c>
      <c r="D2272">
        <v>109.41</v>
      </c>
      <c r="E2272">
        <v>123</v>
      </c>
    </row>
    <row r="2273" spans="1:5" x14ac:dyDescent="0.3">
      <c r="A2273" t="s">
        <v>23</v>
      </c>
      <c r="B2273" s="1">
        <v>44715</v>
      </c>
      <c r="C2273">
        <v>1</v>
      </c>
      <c r="D2273">
        <v>109.41</v>
      </c>
      <c r="E2273">
        <v>123</v>
      </c>
    </row>
    <row r="2274" spans="1:5" x14ac:dyDescent="0.3">
      <c r="A2274" t="s">
        <v>85</v>
      </c>
      <c r="B2274" s="1">
        <v>44715</v>
      </c>
      <c r="C2274">
        <v>1</v>
      </c>
      <c r="D2274">
        <v>15.95</v>
      </c>
      <c r="E2274">
        <v>26</v>
      </c>
    </row>
    <row r="2275" spans="1:5" x14ac:dyDescent="0.3">
      <c r="A2275" t="s">
        <v>90</v>
      </c>
      <c r="B2275" s="1">
        <v>44715</v>
      </c>
      <c r="C2275">
        <v>1</v>
      </c>
      <c r="D2275">
        <v>404.95</v>
      </c>
      <c r="E2275">
        <v>499</v>
      </c>
    </row>
    <row r="2276" spans="1:5" x14ac:dyDescent="0.3">
      <c r="A2276" t="s">
        <v>64</v>
      </c>
      <c r="B2276" s="1">
        <v>44715</v>
      </c>
      <c r="C2276">
        <v>1</v>
      </c>
      <c r="D2276">
        <v>198.66</v>
      </c>
      <c r="E2276">
        <v>273</v>
      </c>
    </row>
    <row r="2277" spans="1:5" x14ac:dyDescent="0.3">
      <c r="A2277" t="s">
        <v>115</v>
      </c>
      <c r="B2277" s="1">
        <v>44715</v>
      </c>
      <c r="C2277">
        <v>1</v>
      </c>
      <c r="D2277">
        <v>71.31</v>
      </c>
      <c r="E2277">
        <v>88</v>
      </c>
    </row>
    <row r="2278" spans="1:5" x14ac:dyDescent="0.3">
      <c r="A2278" t="s">
        <v>116</v>
      </c>
      <c r="B2278" s="1">
        <v>44715</v>
      </c>
      <c r="C2278">
        <v>1</v>
      </c>
      <c r="D2278">
        <v>101.95</v>
      </c>
      <c r="E2278">
        <v>121</v>
      </c>
    </row>
    <row r="2279" spans="1:5" x14ac:dyDescent="0.3">
      <c r="A2279" t="s">
        <v>76</v>
      </c>
      <c r="B2279" s="1">
        <v>44715</v>
      </c>
      <c r="C2279">
        <v>1</v>
      </c>
      <c r="D2279">
        <v>33.950000000000003</v>
      </c>
      <c r="E2279">
        <v>41</v>
      </c>
    </row>
    <row r="2280" spans="1:5" x14ac:dyDescent="0.3">
      <c r="A2280" t="s">
        <v>131</v>
      </c>
      <c r="B2280" s="1">
        <v>44715</v>
      </c>
      <c r="C2280">
        <v>1</v>
      </c>
      <c r="D2280">
        <v>363</v>
      </c>
      <c r="E2280">
        <v>436</v>
      </c>
    </row>
    <row r="2281" spans="1:5" x14ac:dyDescent="0.3">
      <c r="A2281" t="s">
        <v>137</v>
      </c>
      <c r="B2281" s="1">
        <v>44715</v>
      </c>
      <c r="C2281">
        <v>1</v>
      </c>
      <c r="D2281">
        <v>9</v>
      </c>
      <c r="E2281">
        <v>15</v>
      </c>
    </row>
    <row r="2282" spans="1:5" x14ac:dyDescent="0.3">
      <c r="A2282" t="s">
        <v>50</v>
      </c>
      <c r="B2282" s="1">
        <v>44715</v>
      </c>
      <c r="C2282">
        <v>1</v>
      </c>
      <c r="D2282">
        <v>43.74</v>
      </c>
      <c r="E2282">
        <v>54</v>
      </c>
    </row>
    <row r="2283" spans="1:5" x14ac:dyDescent="0.3">
      <c r="A2283" t="s">
        <v>49</v>
      </c>
      <c r="B2283" s="1">
        <v>44715</v>
      </c>
      <c r="C2283">
        <v>1</v>
      </c>
      <c r="D2283">
        <v>15.8</v>
      </c>
      <c r="E2283">
        <v>19</v>
      </c>
    </row>
    <row r="2284" spans="1:5" x14ac:dyDescent="0.3">
      <c r="A2284" t="s">
        <v>49</v>
      </c>
      <c r="B2284" s="1">
        <v>44715</v>
      </c>
      <c r="C2284">
        <v>1</v>
      </c>
      <c r="D2284">
        <v>15.8</v>
      </c>
      <c r="E2284">
        <v>19</v>
      </c>
    </row>
    <row r="2285" spans="1:5" x14ac:dyDescent="0.3">
      <c r="A2285" t="s">
        <v>49</v>
      </c>
      <c r="B2285" s="1">
        <v>44715</v>
      </c>
      <c r="C2285">
        <v>1</v>
      </c>
      <c r="D2285">
        <v>15.8</v>
      </c>
      <c r="E2285">
        <v>19</v>
      </c>
    </row>
    <row r="2286" spans="1:5" x14ac:dyDescent="0.3">
      <c r="A2286" t="s">
        <v>49</v>
      </c>
      <c r="B2286" s="1">
        <v>44715</v>
      </c>
      <c r="C2286">
        <v>1</v>
      </c>
      <c r="D2286">
        <v>15.8</v>
      </c>
      <c r="E2286">
        <v>19</v>
      </c>
    </row>
    <row r="2287" spans="1:5" x14ac:dyDescent="0.3">
      <c r="A2287" t="s">
        <v>49</v>
      </c>
      <c r="B2287" s="1">
        <v>44715</v>
      </c>
      <c r="C2287">
        <v>1</v>
      </c>
      <c r="D2287">
        <v>15.8</v>
      </c>
      <c r="E2287">
        <v>19</v>
      </c>
    </row>
    <row r="2288" spans="1:5" x14ac:dyDescent="0.3">
      <c r="A2288" t="s">
        <v>65</v>
      </c>
      <c r="B2288" s="1">
        <v>44715</v>
      </c>
      <c r="C2288">
        <v>1</v>
      </c>
      <c r="D2288">
        <v>185.57</v>
      </c>
      <c r="E2288">
        <v>236</v>
      </c>
    </row>
    <row r="2289" spans="1:5" x14ac:dyDescent="0.3">
      <c r="A2289" t="s">
        <v>99</v>
      </c>
      <c r="B2289" s="1">
        <v>44715</v>
      </c>
      <c r="C2289">
        <v>1</v>
      </c>
      <c r="D2289">
        <v>64.25</v>
      </c>
      <c r="E2289">
        <v>76</v>
      </c>
    </row>
    <row r="2290" spans="1:5" x14ac:dyDescent="0.3">
      <c r="A2290" t="s">
        <v>32</v>
      </c>
      <c r="B2290" s="1">
        <v>44715</v>
      </c>
      <c r="C2290">
        <v>1</v>
      </c>
      <c r="D2290">
        <v>99.21</v>
      </c>
      <c r="E2290">
        <v>154</v>
      </c>
    </row>
    <row r="2291" spans="1:5" x14ac:dyDescent="0.3">
      <c r="A2291" t="s">
        <v>124</v>
      </c>
      <c r="B2291" s="1">
        <v>44715</v>
      </c>
      <c r="C2291">
        <v>1</v>
      </c>
      <c r="D2291">
        <v>48.86</v>
      </c>
      <c r="E2291">
        <v>79</v>
      </c>
    </row>
    <row r="2292" spans="1:5" x14ac:dyDescent="0.3">
      <c r="A2292" t="s">
        <v>54</v>
      </c>
      <c r="B2292" s="1">
        <v>44715</v>
      </c>
      <c r="C2292">
        <v>1</v>
      </c>
      <c r="D2292">
        <v>723.11</v>
      </c>
      <c r="E2292">
        <v>933</v>
      </c>
    </row>
    <row r="2293" spans="1:5" x14ac:dyDescent="0.3">
      <c r="A2293" t="s">
        <v>131</v>
      </c>
      <c r="B2293" s="1">
        <v>44715</v>
      </c>
      <c r="C2293">
        <v>1</v>
      </c>
      <c r="D2293">
        <v>349.61</v>
      </c>
      <c r="E2293">
        <v>403</v>
      </c>
    </row>
    <row r="2294" spans="1:5" x14ac:dyDescent="0.3">
      <c r="A2294" t="s">
        <v>45</v>
      </c>
      <c r="B2294" s="1">
        <v>44715</v>
      </c>
      <c r="C2294">
        <v>1</v>
      </c>
      <c r="D2294">
        <v>26.16</v>
      </c>
      <c r="E2294">
        <v>43</v>
      </c>
    </row>
    <row r="2295" spans="1:5" x14ac:dyDescent="0.3">
      <c r="A2295" t="s">
        <v>48</v>
      </c>
      <c r="B2295" s="1">
        <v>44715</v>
      </c>
      <c r="C2295">
        <v>1</v>
      </c>
      <c r="D2295">
        <v>39</v>
      </c>
      <c r="E2295">
        <v>60</v>
      </c>
    </row>
    <row r="2296" spans="1:5" x14ac:dyDescent="0.3">
      <c r="A2296" t="s">
        <v>64</v>
      </c>
      <c r="B2296" s="1">
        <v>44715</v>
      </c>
      <c r="C2296">
        <v>1</v>
      </c>
      <c r="D2296">
        <v>199.7</v>
      </c>
      <c r="E2296">
        <v>278</v>
      </c>
    </row>
    <row r="2297" spans="1:5" x14ac:dyDescent="0.3">
      <c r="A2297" t="s">
        <v>5</v>
      </c>
      <c r="B2297" s="1">
        <v>44715</v>
      </c>
      <c r="C2297">
        <v>1</v>
      </c>
      <c r="D2297">
        <v>145.6</v>
      </c>
      <c r="E2297">
        <v>172</v>
      </c>
    </row>
    <row r="2298" spans="1:5" x14ac:dyDescent="0.3">
      <c r="A2298" t="s">
        <v>112</v>
      </c>
      <c r="B2298" s="1">
        <v>44715</v>
      </c>
      <c r="C2298">
        <v>1</v>
      </c>
      <c r="D2298">
        <v>250.16</v>
      </c>
      <c r="E2298">
        <v>304</v>
      </c>
    </row>
    <row r="2299" spans="1:5" x14ac:dyDescent="0.3">
      <c r="A2299" t="s">
        <v>70</v>
      </c>
      <c r="B2299" s="1">
        <v>44715</v>
      </c>
      <c r="C2299">
        <v>1</v>
      </c>
      <c r="D2299">
        <v>166.31</v>
      </c>
      <c r="E2299">
        <v>200</v>
      </c>
    </row>
    <row r="2300" spans="1:5" x14ac:dyDescent="0.3">
      <c r="A2300" t="s">
        <v>144</v>
      </c>
      <c r="B2300" s="1">
        <v>44715</v>
      </c>
      <c r="C2300">
        <v>1</v>
      </c>
      <c r="D2300">
        <v>51.32</v>
      </c>
      <c r="E2300">
        <v>73</v>
      </c>
    </row>
    <row r="2301" spans="1:5" x14ac:dyDescent="0.3">
      <c r="A2301" t="s">
        <v>129</v>
      </c>
      <c r="B2301" s="1">
        <v>44715</v>
      </c>
      <c r="C2301">
        <v>0.04</v>
      </c>
      <c r="D2301">
        <v>493.92</v>
      </c>
      <c r="E2301">
        <v>595</v>
      </c>
    </row>
    <row r="2302" spans="1:5" x14ac:dyDescent="0.3">
      <c r="A2302" t="s">
        <v>5</v>
      </c>
      <c r="B2302" s="1">
        <v>44715</v>
      </c>
      <c r="C2302">
        <v>1</v>
      </c>
      <c r="D2302">
        <v>132.33000000000001</v>
      </c>
      <c r="E2302">
        <v>159</v>
      </c>
    </row>
    <row r="2303" spans="1:5" x14ac:dyDescent="0.3">
      <c r="A2303" t="s">
        <v>148</v>
      </c>
      <c r="B2303" s="1">
        <v>44715</v>
      </c>
      <c r="C2303">
        <v>1</v>
      </c>
      <c r="D2303">
        <v>37.75</v>
      </c>
      <c r="E2303">
        <v>58</v>
      </c>
    </row>
    <row r="2304" spans="1:5" x14ac:dyDescent="0.3">
      <c r="A2304" t="s">
        <v>151</v>
      </c>
      <c r="B2304" s="1">
        <v>44715</v>
      </c>
      <c r="C2304">
        <v>1</v>
      </c>
      <c r="D2304">
        <v>23.23</v>
      </c>
      <c r="E2304">
        <v>29</v>
      </c>
    </row>
    <row r="2305" spans="1:5" x14ac:dyDescent="0.3">
      <c r="A2305" t="s">
        <v>74</v>
      </c>
      <c r="B2305" s="1">
        <v>44715</v>
      </c>
      <c r="C2305">
        <v>1</v>
      </c>
      <c r="D2305">
        <v>87.68</v>
      </c>
      <c r="E2305">
        <v>109</v>
      </c>
    </row>
    <row r="2306" spans="1:5" x14ac:dyDescent="0.3">
      <c r="A2306" t="s">
        <v>74</v>
      </c>
      <c r="B2306" s="1">
        <v>44715</v>
      </c>
      <c r="C2306">
        <v>1</v>
      </c>
      <c r="D2306">
        <v>87.68</v>
      </c>
      <c r="E2306">
        <v>109</v>
      </c>
    </row>
    <row r="2307" spans="1:5" x14ac:dyDescent="0.3">
      <c r="A2307" t="s">
        <v>107</v>
      </c>
      <c r="B2307" s="1">
        <v>44715</v>
      </c>
      <c r="C2307">
        <v>1</v>
      </c>
      <c r="D2307">
        <v>70.77</v>
      </c>
      <c r="E2307">
        <v>88</v>
      </c>
    </row>
    <row r="2308" spans="1:5" x14ac:dyDescent="0.3">
      <c r="A2308" t="s">
        <v>107</v>
      </c>
      <c r="B2308" s="1">
        <v>44715</v>
      </c>
      <c r="C2308">
        <v>1</v>
      </c>
      <c r="D2308">
        <v>70.77</v>
      </c>
      <c r="E2308">
        <v>88</v>
      </c>
    </row>
    <row r="2309" spans="1:5" x14ac:dyDescent="0.3">
      <c r="A2309" t="s">
        <v>106</v>
      </c>
      <c r="B2309" s="1">
        <v>44715</v>
      </c>
      <c r="C2309">
        <v>1</v>
      </c>
      <c r="D2309">
        <v>42.16</v>
      </c>
      <c r="E2309">
        <v>52</v>
      </c>
    </row>
    <row r="2310" spans="1:5" x14ac:dyDescent="0.3">
      <c r="A2310" t="s">
        <v>91</v>
      </c>
      <c r="B2310" s="1">
        <v>44715</v>
      </c>
      <c r="C2310">
        <v>1</v>
      </c>
      <c r="D2310">
        <v>37.340000000000003</v>
      </c>
      <c r="E2310">
        <v>65</v>
      </c>
    </row>
    <row r="2311" spans="1:5" x14ac:dyDescent="0.3">
      <c r="A2311" t="s">
        <v>58</v>
      </c>
      <c r="B2311" s="1">
        <v>44715</v>
      </c>
      <c r="C2311">
        <v>1</v>
      </c>
      <c r="D2311">
        <v>76.02</v>
      </c>
      <c r="E2311">
        <v>92</v>
      </c>
    </row>
    <row r="2312" spans="1:5" x14ac:dyDescent="0.3">
      <c r="A2312" t="s">
        <v>58</v>
      </c>
      <c r="B2312" s="1">
        <v>44715</v>
      </c>
      <c r="C2312">
        <v>1</v>
      </c>
      <c r="D2312">
        <v>76.02</v>
      </c>
      <c r="E2312">
        <v>92</v>
      </c>
    </row>
    <row r="2313" spans="1:5" x14ac:dyDescent="0.3">
      <c r="A2313" t="s">
        <v>58</v>
      </c>
      <c r="B2313" s="1">
        <v>44715</v>
      </c>
      <c r="C2313">
        <v>1</v>
      </c>
      <c r="D2313">
        <v>60.5</v>
      </c>
      <c r="E2313">
        <v>73</v>
      </c>
    </row>
    <row r="2314" spans="1:5" x14ac:dyDescent="0.3">
      <c r="A2314" t="s">
        <v>119</v>
      </c>
      <c r="B2314" s="1">
        <v>44715</v>
      </c>
      <c r="C2314">
        <v>3.5714299999999997E-2</v>
      </c>
      <c r="D2314">
        <v>656.19</v>
      </c>
      <c r="E2314">
        <v>722</v>
      </c>
    </row>
    <row r="2315" spans="1:5" x14ac:dyDescent="0.3">
      <c r="A2315" t="s">
        <v>26</v>
      </c>
      <c r="B2315" s="1">
        <v>44715</v>
      </c>
      <c r="C2315">
        <v>0.2</v>
      </c>
      <c r="D2315">
        <v>991.65</v>
      </c>
      <c r="E2315">
        <v>1240</v>
      </c>
    </row>
    <row r="2316" spans="1:5" x14ac:dyDescent="0.3">
      <c r="A2316" t="s">
        <v>66</v>
      </c>
      <c r="B2316" s="1">
        <v>44715</v>
      </c>
      <c r="C2316">
        <v>1</v>
      </c>
      <c r="D2316">
        <v>31.08</v>
      </c>
      <c r="E2316">
        <v>36</v>
      </c>
    </row>
    <row r="2317" spans="1:5" x14ac:dyDescent="0.3">
      <c r="A2317" t="s">
        <v>57</v>
      </c>
      <c r="B2317" s="1">
        <v>44715</v>
      </c>
      <c r="C2317">
        <v>1</v>
      </c>
      <c r="D2317">
        <v>230.46</v>
      </c>
      <c r="E2317">
        <v>270</v>
      </c>
    </row>
    <row r="2318" spans="1:5" x14ac:dyDescent="0.3">
      <c r="A2318" t="s">
        <v>18</v>
      </c>
      <c r="B2318" s="1">
        <v>44715</v>
      </c>
      <c r="C2318">
        <v>1</v>
      </c>
      <c r="D2318">
        <v>46</v>
      </c>
      <c r="E2318">
        <v>70</v>
      </c>
    </row>
    <row r="2319" spans="1:5" x14ac:dyDescent="0.3">
      <c r="A2319" t="s">
        <v>118</v>
      </c>
      <c r="B2319" s="1">
        <v>44715</v>
      </c>
      <c r="C2319">
        <v>1</v>
      </c>
      <c r="D2319">
        <v>10.79</v>
      </c>
      <c r="E2319">
        <v>13</v>
      </c>
    </row>
    <row r="2320" spans="1:5" x14ac:dyDescent="0.3">
      <c r="A2320" t="s">
        <v>103</v>
      </c>
      <c r="B2320" s="1">
        <v>44715</v>
      </c>
      <c r="C2320">
        <v>1</v>
      </c>
      <c r="D2320">
        <v>45.64</v>
      </c>
      <c r="E2320">
        <v>70</v>
      </c>
    </row>
    <row r="2321" spans="1:5" x14ac:dyDescent="0.3">
      <c r="A2321" t="s">
        <v>127</v>
      </c>
      <c r="B2321" s="1">
        <v>44715</v>
      </c>
      <c r="C2321">
        <v>1</v>
      </c>
      <c r="D2321">
        <v>119.39</v>
      </c>
      <c r="E2321">
        <v>164</v>
      </c>
    </row>
    <row r="2322" spans="1:5" x14ac:dyDescent="0.3">
      <c r="A2322" t="s">
        <v>57</v>
      </c>
      <c r="B2322" s="1">
        <v>44715</v>
      </c>
      <c r="C2322">
        <v>1</v>
      </c>
      <c r="D2322">
        <v>239.58</v>
      </c>
      <c r="E2322">
        <v>281</v>
      </c>
    </row>
    <row r="2323" spans="1:5" x14ac:dyDescent="0.3">
      <c r="A2323" t="s">
        <v>79</v>
      </c>
      <c r="B2323" s="1">
        <v>44715</v>
      </c>
      <c r="C2323">
        <v>1</v>
      </c>
      <c r="D2323">
        <v>150.77000000000001</v>
      </c>
      <c r="E2323">
        <v>179</v>
      </c>
    </row>
    <row r="2324" spans="1:5" x14ac:dyDescent="0.3">
      <c r="A2324" t="s">
        <v>13</v>
      </c>
      <c r="B2324" s="1">
        <v>44715</v>
      </c>
      <c r="C2324">
        <v>1</v>
      </c>
      <c r="D2324">
        <v>133.43</v>
      </c>
      <c r="E2324">
        <v>148</v>
      </c>
    </row>
    <row r="2325" spans="1:5" x14ac:dyDescent="0.3">
      <c r="A2325" t="s">
        <v>36</v>
      </c>
      <c r="B2325" s="1">
        <v>44715</v>
      </c>
      <c r="C2325">
        <v>1</v>
      </c>
      <c r="D2325">
        <v>22.03</v>
      </c>
      <c r="E2325">
        <v>28</v>
      </c>
    </row>
    <row r="2326" spans="1:5" x14ac:dyDescent="0.3">
      <c r="A2326" t="s">
        <v>20</v>
      </c>
      <c r="B2326" s="1">
        <v>44715</v>
      </c>
      <c r="C2326">
        <v>1</v>
      </c>
      <c r="D2326">
        <v>20.77</v>
      </c>
      <c r="E2326">
        <v>26</v>
      </c>
    </row>
    <row r="2327" spans="1:5" x14ac:dyDescent="0.3">
      <c r="A2327" t="s">
        <v>84</v>
      </c>
      <c r="B2327" s="1">
        <v>44715</v>
      </c>
      <c r="C2327">
        <v>1</v>
      </c>
      <c r="D2327">
        <v>153.75</v>
      </c>
      <c r="E2327">
        <v>193</v>
      </c>
    </row>
    <row r="2328" spans="1:5" x14ac:dyDescent="0.3">
      <c r="A2328" t="s">
        <v>82</v>
      </c>
      <c r="B2328" s="1">
        <v>44715</v>
      </c>
      <c r="C2328">
        <v>1</v>
      </c>
      <c r="D2328">
        <v>36.44</v>
      </c>
      <c r="E2328">
        <v>46</v>
      </c>
    </row>
    <row r="2329" spans="1:5" x14ac:dyDescent="0.3">
      <c r="A2329" t="s">
        <v>62</v>
      </c>
      <c r="B2329" s="1">
        <v>44715</v>
      </c>
      <c r="C2329">
        <v>1</v>
      </c>
      <c r="D2329">
        <v>25.71</v>
      </c>
      <c r="E2329">
        <v>31</v>
      </c>
    </row>
    <row r="2330" spans="1:5" x14ac:dyDescent="0.3">
      <c r="A2330" t="s">
        <v>132</v>
      </c>
      <c r="B2330" s="1">
        <v>44715</v>
      </c>
      <c r="C2330">
        <v>1</v>
      </c>
      <c r="D2330">
        <v>58.53</v>
      </c>
      <c r="E2330">
        <v>88</v>
      </c>
    </row>
    <row r="2331" spans="1:5" x14ac:dyDescent="0.3">
      <c r="A2331" t="s">
        <v>30</v>
      </c>
      <c r="B2331" s="1">
        <v>44715</v>
      </c>
      <c r="C2331">
        <v>1</v>
      </c>
      <c r="D2331">
        <v>156.19999999999999</v>
      </c>
      <c r="E2331">
        <v>186</v>
      </c>
    </row>
    <row r="2332" spans="1:5" x14ac:dyDescent="0.3">
      <c r="A2332" t="s">
        <v>111</v>
      </c>
      <c r="B2332" s="1">
        <v>44715</v>
      </c>
      <c r="C2332">
        <v>1</v>
      </c>
      <c r="D2332">
        <v>163.57</v>
      </c>
      <c r="E2332">
        <v>196</v>
      </c>
    </row>
    <row r="2333" spans="1:5" x14ac:dyDescent="0.3">
      <c r="A2333" t="s">
        <v>95</v>
      </c>
      <c r="B2333" s="1">
        <v>44715</v>
      </c>
      <c r="C2333">
        <v>1</v>
      </c>
      <c r="D2333">
        <v>111.88</v>
      </c>
      <c r="E2333">
        <v>176</v>
      </c>
    </row>
    <row r="2334" spans="1:5" x14ac:dyDescent="0.3">
      <c r="A2334" t="s">
        <v>20</v>
      </c>
      <c r="B2334" s="1">
        <v>44715</v>
      </c>
      <c r="C2334">
        <v>1</v>
      </c>
      <c r="D2334">
        <v>20.77</v>
      </c>
      <c r="E2334">
        <v>26</v>
      </c>
    </row>
    <row r="2335" spans="1:5" x14ac:dyDescent="0.3">
      <c r="A2335" t="s">
        <v>66</v>
      </c>
      <c r="B2335" s="1">
        <v>44715</v>
      </c>
      <c r="C2335">
        <v>1</v>
      </c>
      <c r="D2335">
        <v>31.58</v>
      </c>
      <c r="E2335">
        <v>37</v>
      </c>
    </row>
    <row r="2336" spans="1:5" x14ac:dyDescent="0.3">
      <c r="A2336" t="s">
        <v>66</v>
      </c>
      <c r="B2336" s="1">
        <v>44715</v>
      </c>
      <c r="C2336">
        <v>1</v>
      </c>
      <c r="D2336">
        <v>31.58</v>
      </c>
      <c r="E2336">
        <v>37</v>
      </c>
    </row>
    <row r="2337" spans="1:5" x14ac:dyDescent="0.3">
      <c r="A2337" t="s">
        <v>66</v>
      </c>
      <c r="B2337" s="1">
        <v>44715</v>
      </c>
      <c r="C2337">
        <v>1</v>
      </c>
      <c r="D2337">
        <v>31.58</v>
      </c>
      <c r="E2337">
        <v>37</v>
      </c>
    </row>
    <row r="2338" spans="1:5" x14ac:dyDescent="0.3">
      <c r="A2338" t="s">
        <v>66</v>
      </c>
      <c r="B2338" s="1">
        <v>44715</v>
      </c>
      <c r="C2338">
        <v>1</v>
      </c>
      <c r="D2338">
        <v>31.58</v>
      </c>
      <c r="E2338">
        <v>37</v>
      </c>
    </row>
    <row r="2339" spans="1:5" x14ac:dyDescent="0.3">
      <c r="A2339" t="s">
        <v>66</v>
      </c>
      <c r="B2339" s="1">
        <v>44715</v>
      </c>
      <c r="C2339">
        <v>1</v>
      </c>
      <c r="D2339">
        <v>31.58</v>
      </c>
      <c r="E2339">
        <v>37</v>
      </c>
    </row>
    <row r="2340" spans="1:5" x14ac:dyDescent="0.3">
      <c r="A2340" t="s">
        <v>98</v>
      </c>
      <c r="B2340" s="1">
        <v>44715</v>
      </c>
      <c r="C2340">
        <v>1</v>
      </c>
      <c r="D2340">
        <v>111.32</v>
      </c>
      <c r="E2340">
        <v>134</v>
      </c>
    </row>
    <row r="2341" spans="1:5" x14ac:dyDescent="0.3">
      <c r="A2341" t="s">
        <v>52</v>
      </c>
      <c r="B2341" s="1">
        <v>44715</v>
      </c>
      <c r="C2341">
        <v>1</v>
      </c>
      <c r="D2341">
        <v>205</v>
      </c>
      <c r="E2341">
        <v>250</v>
      </c>
    </row>
    <row r="2342" spans="1:5" x14ac:dyDescent="0.3">
      <c r="A2342" t="s">
        <v>98</v>
      </c>
      <c r="B2342" s="1">
        <v>44715</v>
      </c>
      <c r="C2342">
        <v>1</v>
      </c>
      <c r="D2342">
        <v>113.71</v>
      </c>
      <c r="E2342">
        <v>137</v>
      </c>
    </row>
    <row r="2343" spans="1:5" x14ac:dyDescent="0.3">
      <c r="A2343" t="s">
        <v>49</v>
      </c>
      <c r="B2343" s="1">
        <v>44715</v>
      </c>
      <c r="C2343">
        <v>1</v>
      </c>
      <c r="D2343">
        <v>15.58</v>
      </c>
      <c r="E2343">
        <v>19</v>
      </c>
    </row>
    <row r="2344" spans="1:5" x14ac:dyDescent="0.3">
      <c r="A2344" t="s">
        <v>49</v>
      </c>
      <c r="B2344" s="1">
        <v>44715</v>
      </c>
      <c r="C2344">
        <v>1</v>
      </c>
      <c r="D2344">
        <v>15.58</v>
      </c>
      <c r="E2344">
        <v>19</v>
      </c>
    </row>
    <row r="2345" spans="1:5" x14ac:dyDescent="0.3">
      <c r="A2345" t="s">
        <v>49</v>
      </c>
      <c r="B2345" s="1">
        <v>44715</v>
      </c>
      <c r="C2345">
        <v>1</v>
      </c>
      <c r="D2345">
        <v>16.579999999999998</v>
      </c>
      <c r="E2345">
        <v>20</v>
      </c>
    </row>
    <row r="2346" spans="1:5" x14ac:dyDescent="0.3">
      <c r="A2346" t="s">
        <v>31</v>
      </c>
      <c r="B2346" s="1">
        <v>44715</v>
      </c>
      <c r="C2346">
        <v>1</v>
      </c>
      <c r="D2346">
        <v>13.19</v>
      </c>
      <c r="E2346">
        <v>18</v>
      </c>
    </row>
    <row r="2347" spans="1:5" x14ac:dyDescent="0.3">
      <c r="A2347" t="s">
        <v>120</v>
      </c>
      <c r="B2347" s="1">
        <v>44715</v>
      </c>
      <c r="C2347">
        <v>1</v>
      </c>
      <c r="D2347">
        <v>132.56</v>
      </c>
      <c r="E2347">
        <v>179</v>
      </c>
    </row>
    <row r="2348" spans="1:5" x14ac:dyDescent="0.3">
      <c r="A2348" t="s">
        <v>7</v>
      </c>
      <c r="B2348" s="1">
        <v>44715</v>
      </c>
      <c r="C2348">
        <v>1</v>
      </c>
      <c r="D2348">
        <v>88.73</v>
      </c>
      <c r="E2348">
        <v>106</v>
      </c>
    </row>
    <row r="2349" spans="1:5" x14ac:dyDescent="0.3">
      <c r="A2349" t="s">
        <v>29</v>
      </c>
      <c r="B2349" s="1">
        <v>44715</v>
      </c>
      <c r="C2349">
        <v>1</v>
      </c>
      <c r="D2349">
        <v>488.05</v>
      </c>
      <c r="E2349">
        <v>635</v>
      </c>
    </row>
    <row r="2350" spans="1:5" x14ac:dyDescent="0.3">
      <c r="A2350" t="s">
        <v>9</v>
      </c>
      <c r="B2350" s="1">
        <v>44715</v>
      </c>
      <c r="C2350">
        <v>1</v>
      </c>
      <c r="D2350">
        <v>81.17</v>
      </c>
      <c r="E2350">
        <v>99</v>
      </c>
    </row>
    <row r="2351" spans="1:5" x14ac:dyDescent="0.3">
      <c r="A2351" t="s">
        <v>141</v>
      </c>
      <c r="B2351" s="1">
        <v>44715</v>
      </c>
      <c r="C2351">
        <v>1</v>
      </c>
      <c r="D2351">
        <v>12.19</v>
      </c>
      <c r="E2351">
        <v>20</v>
      </c>
    </row>
    <row r="2352" spans="1:5" x14ac:dyDescent="0.3">
      <c r="A2352" t="s">
        <v>6</v>
      </c>
      <c r="B2352" s="1">
        <v>44715</v>
      </c>
      <c r="C2352">
        <v>0.2</v>
      </c>
      <c r="D2352">
        <v>460.66</v>
      </c>
      <c r="E2352">
        <v>576</v>
      </c>
    </row>
    <row r="2353" spans="1:5" x14ac:dyDescent="0.3">
      <c r="A2353" t="s">
        <v>26</v>
      </c>
      <c r="B2353" s="1">
        <v>44715</v>
      </c>
      <c r="C2353">
        <v>0.2</v>
      </c>
      <c r="D2353">
        <v>991.65</v>
      </c>
      <c r="E2353">
        <v>1240</v>
      </c>
    </row>
    <row r="2354" spans="1:5" x14ac:dyDescent="0.3">
      <c r="A2354" t="s">
        <v>95</v>
      </c>
      <c r="B2354" s="1">
        <v>44715</v>
      </c>
      <c r="C2354">
        <v>1</v>
      </c>
      <c r="D2354">
        <v>131.07</v>
      </c>
      <c r="E2354">
        <v>206</v>
      </c>
    </row>
    <row r="2355" spans="1:5" x14ac:dyDescent="0.3">
      <c r="A2355" t="s">
        <v>98</v>
      </c>
      <c r="B2355" s="1">
        <v>44715</v>
      </c>
      <c r="C2355">
        <v>1</v>
      </c>
      <c r="D2355">
        <v>111.32</v>
      </c>
      <c r="E2355">
        <v>134</v>
      </c>
    </row>
    <row r="2356" spans="1:5" x14ac:dyDescent="0.3">
      <c r="A2356" t="s">
        <v>115</v>
      </c>
      <c r="B2356" s="1">
        <v>44715</v>
      </c>
      <c r="C2356">
        <v>1</v>
      </c>
      <c r="D2356">
        <v>77.33</v>
      </c>
      <c r="E2356">
        <v>89.24</v>
      </c>
    </row>
    <row r="2357" spans="1:5" x14ac:dyDescent="0.3">
      <c r="A2357" t="s">
        <v>115</v>
      </c>
      <c r="B2357" s="1">
        <v>44715</v>
      </c>
      <c r="C2357">
        <v>1</v>
      </c>
      <c r="D2357">
        <v>77.33</v>
      </c>
      <c r="E2357">
        <v>89.24</v>
      </c>
    </row>
    <row r="2358" spans="1:5" x14ac:dyDescent="0.3">
      <c r="A2358" t="s">
        <v>16</v>
      </c>
      <c r="B2358" s="1">
        <v>44715</v>
      </c>
      <c r="C2358">
        <v>1</v>
      </c>
      <c r="D2358">
        <v>48</v>
      </c>
      <c r="E2358">
        <v>76</v>
      </c>
    </row>
    <row r="2359" spans="1:5" x14ac:dyDescent="0.3">
      <c r="A2359" t="s">
        <v>16</v>
      </c>
      <c r="B2359" s="1">
        <v>44715</v>
      </c>
      <c r="C2359">
        <v>1</v>
      </c>
      <c r="D2359">
        <v>42.09</v>
      </c>
      <c r="E2359">
        <v>67</v>
      </c>
    </row>
    <row r="2360" spans="1:5" x14ac:dyDescent="0.3">
      <c r="A2360" t="s">
        <v>157</v>
      </c>
      <c r="B2360" s="1">
        <v>44715</v>
      </c>
      <c r="C2360">
        <v>1</v>
      </c>
      <c r="D2360">
        <v>12</v>
      </c>
      <c r="E2360">
        <v>20</v>
      </c>
    </row>
    <row r="2361" spans="1:5" x14ac:dyDescent="0.3">
      <c r="A2361" t="s">
        <v>112</v>
      </c>
      <c r="B2361" s="1">
        <v>44715</v>
      </c>
      <c r="C2361">
        <v>1</v>
      </c>
      <c r="D2361">
        <v>255.77</v>
      </c>
      <c r="E2361">
        <v>310</v>
      </c>
    </row>
    <row r="2362" spans="1:5" x14ac:dyDescent="0.3">
      <c r="A2362" t="s">
        <v>120</v>
      </c>
      <c r="B2362" s="1">
        <v>44715</v>
      </c>
      <c r="C2362">
        <v>1</v>
      </c>
      <c r="D2362">
        <v>148.21</v>
      </c>
      <c r="E2362">
        <v>209</v>
      </c>
    </row>
    <row r="2363" spans="1:5" x14ac:dyDescent="0.3">
      <c r="A2363" t="s">
        <v>128</v>
      </c>
      <c r="B2363" s="1">
        <v>44715</v>
      </c>
      <c r="C2363">
        <v>1</v>
      </c>
      <c r="D2363">
        <v>313.23</v>
      </c>
      <c r="E2363">
        <v>433</v>
      </c>
    </row>
    <row r="2364" spans="1:5" x14ac:dyDescent="0.3">
      <c r="A2364" t="s">
        <v>19</v>
      </c>
      <c r="B2364" s="1">
        <v>44715</v>
      </c>
      <c r="C2364">
        <v>1</v>
      </c>
      <c r="D2364">
        <v>81.95</v>
      </c>
      <c r="E2364">
        <v>102</v>
      </c>
    </row>
    <row r="2365" spans="1:5" x14ac:dyDescent="0.3">
      <c r="A2365" t="s">
        <v>27</v>
      </c>
      <c r="B2365" s="1">
        <v>44715</v>
      </c>
      <c r="C2365">
        <v>1</v>
      </c>
      <c r="D2365">
        <v>102.34</v>
      </c>
      <c r="E2365">
        <v>157</v>
      </c>
    </row>
    <row r="2366" spans="1:5" x14ac:dyDescent="0.3">
      <c r="A2366" t="s">
        <v>14</v>
      </c>
      <c r="B2366" s="1">
        <v>44715</v>
      </c>
      <c r="C2366">
        <v>0.5</v>
      </c>
      <c r="D2366">
        <v>455.4</v>
      </c>
      <c r="E2366">
        <v>624</v>
      </c>
    </row>
    <row r="2367" spans="1:5" x14ac:dyDescent="0.3">
      <c r="A2367" t="s">
        <v>59</v>
      </c>
      <c r="B2367" s="1">
        <v>44715</v>
      </c>
      <c r="C2367">
        <v>1</v>
      </c>
      <c r="D2367">
        <v>13.62</v>
      </c>
      <c r="E2367">
        <v>23</v>
      </c>
    </row>
    <row r="2368" spans="1:5" x14ac:dyDescent="0.3">
      <c r="A2368" t="s">
        <v>112</v>
      </c>
      <c r="B2368" s="1">
        <v>44715</v>
      </c>
      <c r="C2368">
        <v>1</v>
      </c>
      <c r="D2368">
        <v>281.47000000000003</v>
      </c>
      <c r="E2368">
        <v>334</v>
      </c>
    </row>
    <row r="2369" spans="1:5" x14ac:dyDescent="0.3">
      <c r="A2369" t="s">
        <v>57</v>
      </c>
      <c r="B2369" s="1">
        <v>44715</v>
      </c>
      <c r="C2369">
        <v>1</v>
      </c>
      <c r="D2369">
        <v>233.74</v>
      </c>
      <c r="E2369">
        <v>274</v>
      </c>
    </row>
    <row r="2370" spans="1:5" x14ac:dyDescent="0.3">
      <c r="A2370" t="s">
        <v>105</v>
      </c>
      <c r="B2370" s="1">
        <v>44715</v>
      </c>
      <c r="C2370">
        <v>2</v>
      </c>
      <c r="D2370">
        <v>27.72</v>
      </c>
      <c r="E2370">
        <v>45</v>
      </c>
    </row>
    <row r="2371" spans="1:5" x14ac:dyDescent="0.3">
      <c r="A2371" t="s">
        <v>131</v>
      </c>
      <c r="B2371" s="1">
        <v>44715</v>
      </c>
      <c r="C2371">
        <v>1</v>
      </c>
      <c r="D2371">
        <v>360</v>
      </c>
      <c r="E2371">
        <v>414</v>
      </c>
    </row>
    <row r="2372" spans="1:5" x14ac:dyDescent="0.3">
      <c r="A2372" t="s">
        <v>54</v>
      </c>
      <c r="B2372" s="1">
        <v>44715</v>
      </c>
      <c r="C2372">
        <v>1</v>
      </c>
      <c r="D2372">
        <v>723.12</v>
      </c>
      <c r="E2372">
        <v>933</v>
      </c>
    </row>
    <row r="2373" spans="1:5" x14ac:dyDescent="0.3">
      <c r="A2373" t="s">
        <v>103</v>
      </c>
      <c r="B2373" s="1">
        <v>44715</v>
      </c>
      <c r="C2373">
        <v>1</v>
      </c>
      <c r="D2373">
        <v>45.64</v>
      </c>
      <c r="E2373">
        <v>70</v>
      </c>
    </row>
    <row r="2374" spans="1:5" x14ac:dyDescent="0.3">
      <c r="A2374" t="s">
        <v>28</v>
      </c>
      <c r="B2374" s="1">
        <v>44715</v>
      </c>
      <c r="C2374">
        <v>1</v>
      </c>
      <c r="D2374">
        <v>122.75</v>
      </c>
      <c r="E2374">
        <v>174</v>
      </c>
    </row>
    <row r="2375" spans="1:5" x14ac:dyDescent="0.3">
      <c r="A2375" t="s">
        <v>47</v>
      </c>
      <c r="B2375" s="1">
        <v>44715</v>
      </c>
      <c r="C2375">
        <v>1</v>
      </c>
      <c r="D2375">
        <v>43.2</v>
      </c>
      <c r="E2375">
        <v>67</v>
      </c>
    </row>
    <row r="2376" spans="1:5" x14ac:dyDescent="0.3">
      <c r="A2376" t="s">
        <v>24</v>
      </c>
      <c r="B2376" s="1">
        <v>44715</v>
      </c>
      <c r="C2376">
        <v>1</v>
      </c>
      <c r="D2376">
        <v>103.49</v>
      </c>
      <c r="E2376">
        <v>122</v>
      </c>
    </row>
    <row r="2377" spans="1:5" x14ac:dyDescent="0.3">
      <c r="A2377" t="s">
        <v>112</v>
      </c>
      <c r="B2377" s="1">
        <v>44715</v>
      </c>
      <c r="C2377">
        <v>1</v>
      </c>
      <c r="D2377">
        <v>255.77</v>
      </c>
      <c r="E2377">
        <v>310</v>
      </c>
    </row>
    <row r="2378" spans="1:5" x14ac:dyDescent="0.3">
      <c r="A2378" t="s">
        <v>139</v>
      </c>
      <c r="B2378" s="1">
        <v>44715</v>
      </c>
      <c r="C2378">
        <v>11</v>
      </c>
      <c r="D2378">
        <v>24.18</v>
      </c>
      <c r="E2378">
        <v>40</v>
      </c>
    </row>
    <row r="2379" spans="1:5" x14ac:dyDescent="0.3">
      <c r="A2379" t="s">
        <v>57</v>
      </c>
      <c r="B2379" s="1">
        <v>44715</v>
      </c>
      <c r="C2379">
        <v>1</v>
      </c>
      <c r="D2379">
        <v>239.58</v>
      </c>
      <c r="E2379">
        <v>281</v>
      </c>
    </row>
    <row r="2380" spans="1:5" x14ac:dyDescent="0.3">
      <c r="A2380" t="s">
        <v>132</v>
      </c>
      <c r="B2380" s="1">
        <v>44715</v>
      </c>
      <c r="C2380">
        <v>1</v>
      </c>
      <c r="D2380">
        <v>58.23</v>
      </c>
      <c r="E2380">
        <v>87</v>
      </c>
    </row>
    <row r="2381" spans="1:5" x14ac:dyDescent="0.3">
      <c r="A2381" t="s">
        <v>49</v>
      </c>
      <c r="B2381" s="1">
        <v>44715</v>
      </c>
      <c r="C2381">
        <v>1</v>
      </c>
      <c r="D2381">
        <v>15.8</v>
      </c>
      <c r="E2381">
        <v>19</v>
      </c>
    </row>
    <row r="2382" spans="1:5" x14ac:dyDescent="0.3">
      <c r="A2382" t="s">
        <v>34</v>
      </c>
      <c r="B2382" s="1">
        <v>44715</v>
      </c>
      <c r="C2382">
        <v>1</v>
      </c>
      <c r="D2382">
        <v>200.36</v>
      </c>
      <c r="E2382">
        <v>231</v>
      </c>
    </row>
    <row r="2383" spans="1:5" x14ac:dyDescent="0.3">
      <c r="A2383" t="s">
        <v>72</v>
      </c>
      <c r="B2383" s="1">
        <v>44715</v>
      </c>
      <c r="C2383">
        <v>1</v>
      </c>
      <c r="D2383">
        <v>556.51</v>
      </c>
      <c r="E2383">
        <v>735</v>
      </c>
    </row>
    <row r="2384" spans="1:5" x14ac:dyDescent="0.3">
      <c r="A2384" t="s">
        <v>78</v>
      </c>
      <c r="B2384" s="1">
        <v>44715</v>
      </c>
      <c r="C2384">
        <v>1</v>
      </c>
      <c r="D2384">
        <v>69.290000000000006</v>
      </c>
      <c r="E2384">
        <v>88</v>
      </c>
    </row>
    <row r="2385" spans="1:5" x14ac:dyDescent="0.3">
      <c r="A2385" t="s">
        <v>151</v>
      </c>
      <c r="B2385" s="1">
        <v>44715</v>
      </c>
      <c r="C2385">
        <v>1</v>
      </c>
      <c r="D2385">
        <v>23.23</v>
      </c>
      <c r="E2385">
        <v>29</v>
      </c>
    </row>
    <row r="2386" spans="1:5" x14ac:dyDescent="0.3">
      <c r="A2386" t="s">
        <v>8</v>
      </c>
      <c r="B2386" s="1">
        <v>44715</v>
      </c>
      <c r="C2386">
        <v>2</v>
      </c>
      <c r="D2386">
        <v>47.43</v>
      </c>
      <c r="E2386">
        <v>77</v>
      </c>
    </row>
    <row r="2387" spans="1:5" x14ac:dyDescent="0.3">
      <c r="A2387" t="s">
        <v>133</v>
      </c>
      <c r="B2387" s="1">
        <v>44715</v>
      </c>
      <c r="C2387">
        <v>9</v>
      </c>
      <c r="D2387">
        <v>6.19</v>
      </c>
      <c r="E2387">
        <v>11</v>
      </c>
    </row>
    <row r="2388" spans="1:5" x14ac:dyDescent="0.3">
      <c r="A2388" t="s">
        <v>85</v>
      </c>
      <c r="B2388" s="1">
        <v>44715</v>
      </c>
      <c r="C2388">
        <v>1</v>
      </c>
      <c r="D2388">
        <v>16.489999999999998</v>
      </c>
      <c r="E2388">
        <v>26</v>
      </c>
    </row>
    <row r="2389" spans="1:5" x14ac:dyDescent="0.3">
      <c r="A2389" t="s">
        <v>85</v>
      </c>
      <c r="B2389" s="1">
        <v>44715</v>
      </c>
      <c r="C2389">
        <v>1</v>
      </c>
      <c r="D2389">
        <v>16.489999999999998</v>
      </c>
      <c r="E2389">
        <v>26</v>
      </c>
    </row>
    <row r="2390" spans="1:5" x14ac:dyDescent="0.3">
      <c r="A2390" t="s">
        <v>115</v>
      </c>
      <c r="B2390" s="1">
        <v>44715</v>
      </c>
      <c r="C2390">
        <v>1</v>
      </c>
      <c r="D2390">
        <v>71.02</v>
      </c>
      <c r="E2390">
        <v>88</v>
      </c>
    </row>
    <row r="2391" spans="1:5" x14ac:dyDescent="0.3">
      <c r="A2391" t="s">
        <v>52</v>
      </c>
      <c r="B2391" s="1">
        <v>44715</v>
      </c>
      <c r="C2391">
        <v>1</v>
      </c>
      <c r="D2391">
        <v>202.07</v>
      </c>
      <c r="E2391">
        <v>243</v>
      </c>
    </row>
    <row r="2392" spans="1:5" x14ac:dyDescent="0.3">
      <c r="A2392" t="s">
        <v>17</v>
      </c>
      <c r="B2392" s="1">
        <v>44715</v>
      </c>
      <c r="C2392">
        <v>1</v>
      </c>
      <c r="D2392">
        <v>389.53</v>
      </c>
      <c r="E2392">
        <v>468</v>
      </c>
    </row>
    <row r="2393" spans="1:5" x14ac:dyDescent="0.3">
      <c r="A2393" t="s">
        <v>39</v>
      </c>
      <c r="B2393" s="1">
        <v>44715</v>
      </c>
      <c r="C2393">
        <v>4</v>
      </c>
      <c r="D2393">
        <v>8.58</v>
      </c>
      <c r="E2393">
        <v>14</v>
      </c>
    </row>
    <row r="2394" spans="1:5" x14ac:dyDescent="0.3">
      <c r="A2394" t="s">
        <v>20</v>
      </c>
      <c r="B2394" s="1">
        <v>44715</v>
      </c>
      <c r="C2394">
        <v>1</v>
      </c>
      <c r="D2394">
        <v>19.71</v>
      </c>
      <c r="E2394">
        <v>26</v>
      </c>
    </row>
    <row r="2395" spans="1:5" x14ac:dyDescent="0.3">
      <c r="A2395" t="s">
        <v>33</v>
      </c>
      <c r="B2395" s="1">
        <v>44715</v>
      </c>
      <c r="C2395">
        <v>1</v>
      </c>
      <c r="D2395">
        <v>21.42</v>
      </c>
      <c r="E2395">
        <v>26</v>
      </c>
    </row>
    <row r="2396" spans="1:5" x14ac:dyDescent="0.3">
      <c r="A2396" t="s">
        <v>127</v>
      </c>
      <c r="B2396" s="1">
        <v>44715</v>
      </c>
      <c r="C2396">
        <v>1</v>
      </c>
      <c r="D2396">
        <v>121</v>
      </c>
      <c r="E2396">
        <v>176</v>
      </c>
    </row>
    <row r="2397" spans="1:5" x14ac:dyDescent="0.3">
      <c r="A2397" t="s">
        <v>30</v>
      </c>
      <c r="B2397" s="1">
        <v>44715</v>
      </c>
      <c r="C2397">
        <v>1</v>
      </c>
      <c r="D2397">
        <v>156.19999999999999</v>
      </c>
      <c r="E2397">
        <v>186</v>
      </c>
    </row>
    <row r="2398" spans="1:5" x14ac:dyDescent="0.3">
      <c r="A2398" t="s">
        <v>73</v>
      </c>
      <c r="B2398" s="1">
        <v>44715</v>
      </c>
      <c r="C2398">
        <v>1</v>
      </c>
      <c r="D2398">
        <v>7.82</v>
      </c>
      <c r="E2398">
        <v>13</v>
      </c>
    </row>
    <row r="2399" spans="1:5" x14ac:dyDescent="0.3">
      <c r="A2399" t="s">
        <v>129</v>
      </c>
      <c r="B2399" s="1">
        <v>44715</v>
      </c>
      <c r="C2399">
        <v>0.08</v>
      </c>
      <c r="D2399">
        <v>495.5</v>
      </c>
      <c r="E2399">
        <v>596</v>
      </c>
    </row>
    <row r="2400" spans="1:5" x14ac:dyDescent="0.3">
      <c r="A2400" t="s">
        <v>50</v>
      </c>
      <c r="B2400" s="1">
        <v>44715</v>
      </c>
      <c r="C2400">
        <v>1</v>
      </c>
      <c r="D2400">
        <v>43.55</v>
      </c>
      <c r="E2400">
        <v>54</v>
      </c>
    </row>
    <row r="2401" spans="1:5" x14ac:dyDescent="0.3">
      <c r="A2401" t="s">
        <v>117</v>
      </c>
      <c r="B2401" s="1">
        <v>44714</v>
      </c>
      <c r="C2401">
        <v>1</v>
      </c>
      <c r="D2401">
        <v>23.14</v>
      </c>
      <c r="E2401">
        <v>28</v>
      </c>
    </row>
    <row r="2402" spans="1:5" x14ac:dyDescent="0.3">
      <c r="A2402" t="s">
        <v>117</v>
      </c>
      <c r="B2402" s="1">
        <v>44714</v>
      </c>
      <c r="C2402">
        <v>1</v>
      </c>
      <c r="D2402">
        <v>23.14</v>
      </c>
      <c r="E2402">
        <v>28</v>
      </c>
    </row>
    <row r="2403" spans="1:5" x14ac:dyDescent="0.3">
      <c r="A2403" t="s">
        <v>117</v>
      </c>
      <c r="B2403" s="1">
        <v>44714</v>
      </c>
      <c r="C2403">
        <v>1</v>
      </c>
      <c r="D2403">
        <v>23.14</v>
      </c>
      <c r="E2403">
        <v>28</v>
      </c>
    </row>
    <row r="2404" spans="1:5" x14ac:dyDescent="0.3">
      <c r="A2404" t="s">
        <v>24</v>
      </c>
      <c r="B2404" s="1">
        <v>44714</v>
      </c>
      <c r="C2404">
        <v>1</v>
      </c>
      <c r="D2404">
        <v>101.95</v>
      </c>
      <c r="E2404">
        <v>120</v>
      </c>
    </row>
    <row r="2405" spans="1:5" x14ac:dyDescent="0.3">
      <c r="A2405" t="s">
        <v>122</v>
      </c>
      <c r="B2405" s="1">
        <v>44714</v>
      </c>
      <c r="C2405">
        <v>1</v>
      </c>
      <c r="D2405">
        <v>21.07</v>
      </c>
      <c r="E2405">
        <v>26</v>
      </c>
    </row>
    <row r="2406" spans="1:5" x14ac:dyDescent="0.3">
      <c r="A2406" t="s">
        <v>122</v>
      </c>
      <c r="B2406" s="1">
        <v>44714</v>
      </c>
      <c r="C2406">
        <v>1</v>
      </c>
      <c r="D2406">
        <v>21.07</v>
      </c>
      <c r="E2406">
        <v>26</v>
      </c>
    </row>
    <row r="2407" spans="1:5" x14ac:dyDescent="0.3">
      <c r="A2407" t="s">
        <v>10</v>
      </c>
      <c r="B2407" s="1">
        <v>44714</v>
      </c>
      <c r="C2407">
        <v>1</v>
      </c>
      <c r="D2407">
        <v>11.33</v>
      </c>
      <c r="E2407">
        <v>13</v>
      </c>
    </row>
    <row r="2408" spans="1:5" x14ac:dyDescent="0.3">
      <c r="A2408" t="s">
        <v>10</v>
      </c>
      <c r="B2408" s="1">
        <v>44714</v>
      </c>
      <c r="C2408">
        <v>1</v>
      </c>
      <c r="D2408">
        <v>11.33</v>
      </c>
      <c r="E2408">
        <v>13</v>
      </c>
    </row>
    <row r="2409" spans="1:5" x14ac:dyDescent="0.3">
      <c r="A2409" t="s">
        <v>10</v>
      </c>
      <c r="B2409" s="1">
        <v>44714</v>
      </c>
      <c r="C2409">
        <v>1</v>
      </c>
      <c r="D2409">
        <v>11.33</v>
      </c>
      <c r="E2409">
        <v>13</v>
      </c>
    </row>
    <row r="2410" spans="1:5" x14ac:dyDescent="0.3">
      <c r="A2410" t="s">
        <v>10</v>
      </c>
      <c r="B2410" s="1">
        <v>44714</v>
      </c>
      <c r="C2410">
        <v>1</v>
      </c>
      <c r="D2410">
        <v>11.33</v>
      </c>
      <c r="E2410">
        <v>13</v>
      </c>
    </row>
    <row r="2411" spans="1:5" x14ac:dyDescent="0.3">
      <c r="A2411" t="s">
        <v>45</v>
      </c>
      <c r="B2411" s="1">
        <v>44714</v>
      </c>
      <c r="C2411">
        <v>1</v>
      </c>
      <c r="D2411">
        <v>25.1</v>
      </c>
      <c r="E2411">
        <v>41</v>
      </c>
    </row>
    <row r="2412" spans="1:5" x14ac:dyDescent="0.3">
      <c r="A2412" t="s">
        <v>9</v>
      </c>
      <c r="B2412" s="1">
        <v>44714</v>
      </c>
      <c r="C2412">
        <v>1</v>
      </c>
      <c r="D2412">
        <v>81.87</v>
      </c>
      <c r="E2412">
        <v>99</v>
      </c>
    </row>
    <row r="2413" spans="1:5" x14ac:dyDescent="0.3">
      <c r="A2413" t="s">
        <v>32</v>
      </c>
      <c r="B2413" s="1">
        <v>44714</v>
      </c>
      <c r="C2413">
        <v>0.5</v>
      </c>
      <c r="D2413">
        <v>149.72999999999999</v>
      </c>
      <c r="E2413">
        <v>236</v>
      </c>
    </row>
    <row r="2414" spans="1:5" x14ac:dyDescent="0.3">
      <c r="A2414" t="s">
        <v>25</v>
      </c>
      <c r="B2414" s="1">
        <v>44714</v>
      </c>
      <c r="C2414">
        <v>1</v>
      </c>
      <c r="D2414">
        <v>148.52000000000001</v>
      </c>
      <c r="E2414">
        <v>181</v>
      </c>
    </row>
    <row r="2415" spans="1:5" x14ac:dyDescent="0.3">
      <c r="A2415" t="s">
        <v>56</v>
      </c>
      <c r="B2415" s="1">
        <v>44714</v>
      </c>
      <c r="C2415">
        <v>1</v>
      </c>
      <c r="D2415">
        <v>45.36</v>
      </c>
      <c r="E2415">
        <v>71</v>
      </c>
    </row>
    <row r="2416" spans="1:5" x14ac:dyDescent="0.3">
      <c r="A2416" t="s">
        <v>92</v>
      </c>
      <c r="B2416" s="1">
        <v>44714</v>
      </c>
      <c r="C2416">
        <v>5</v>
      </c>
      <c r="D2416">
        <v>6.44</v>
      </c>
      <c r="E2416">
        <v>9</v>
      </c>
    </row>
    <row r="2417" spans="1:5" x14ac:dyDescent="0.3">
      <c r="A2417" t="s">
        <v>47</v>
      </c>
      <c r="B2417" s="1">
        <v>44714</v>
      </c>
      <c r="C2417">
        <v>1</v>
      </c>
      <c r="D2417">
        <v>43</v>
      </c>
      <c r="E2417">
        <v>66</v>
      </c>
    </row>
    <row r="2418" spans="1:5" x14ac:dyDescent="0.3">
      <c r="A2418" t="s">
        <v>134</v>
      </c>
      <c r="B2418" s="1">
        <v>44714</v>
      </c>
      <c r="C2418">
        <v>1</v>
      </c>
      <c r="D2418">
        <v>26.87</v>
      </c>
      <c r="E2418">
        <v>41</v>
      </c>
    </row>
    <row r="2419" spans="1:5" x14ac:dyDescent="0.3">
      <c r="A2419" t="s">
        <v>55</v>
      </c>
      <c r="B2419" s="1">
        <v>44714</v>
      </c>
      <c r="C2419">
        <v>1</v>
      </c>
      <c r="D2419">
        <v>77.510000000000005</v>
      </c>
      <c r="E2419">
        <v>95</v>
      </c>
    </row>
    <row r="2420" spans="1:5" x14ac:dyDescent="0.3">
      <c r="A2420" t="s">
        <v>117</v>
      </c>
      <c r="B2420" s="1">
        <v>44714</v>
      </c>
      <c r="C2420">
        <v>1</v>
      </c>
      <c r="D2420">
        <v>23.14</v>
      </c>
      <c r="E2420">
        <v>28</v>
      </c>
    </row>
    <row r="2421" spans="1:5" x14ac:dyDescent="0.3">
      <c r="A2421" t="s">
        <v>55</v>
      </c>
      <c r="B2421" s="1">
        <v>44714</v>
      </c>
      <c r="C2421">
        <v>1</v>
      </c>
      <c r="D2421">
        <v>77.510000000000005</v>
      </c>
      <c r="E2421">
        <v>94</v>
      </c>
    </row>
    <row r="2422" spans="1:5" x14ac:dyDescent="0.3">
      <c r="A2422" t="s">
        <v>151</v>
      </c>
      <c r="B2422" s="1">
        <v>44714</v>
      </c>
      <c r="C2422">
        <v>1</v>
      </c>
      <c r="D2422">
        <v>26.81</v>
      </c>
      <c r="E2422">
        <v>32</v>
      </c>
    </row>
    <row r="2423" spans="1:5" x14ac:dyDescent="0.3">
      <c r="A2423" t="s">
        <v>25</v>
      </c>
      <c r="B2423" s="1">
        <v>44714</v>
      </c>
      <c r="C2423">
        <v>1</v>
      </c>
      <c r="D2423">
        <v>146.85</v>
      </c>
      <c r="E2423">
        <v>173</v>
      </c>
    </row>
    <row r="2424" spans="1:5" x14ac:dyDescent="0.3">
      <c r="A2424" t="s">
        <v>65</v>
      </c>
      <c r="B2424" s="1">
        <v>44714</v>
      </c>
      <c r="C2424">
        <v>1</v>
      </c>
      <c r="D2424">
        <v>187.36</v>
      </c>
      <c r="E2424">
        <v>220</v>
      </c>
    </row>
    <row r="2425" spans="1:5" x14ac:dyDescent="0.3">
      <c r="A2425" t="s">
        <v>48</v>
      </c>
      <c r="B2425" s="1">
        <v>44714</v>
      </c>
      <c r="C2425">
        <v>1</v>
      </c>
      <c r="D2425">
        <v>38.82</v>
      </c>
      <c r="E2425">
        <v>61</v>
      </c>
    </row>
    <row r="2426" spans="1:5" x14ac:dyDescent="0.3">
      <c r="A2426" t="s">
        <v>145</v>
      </c>
      <c r="B2426" s="1">
        <v>44714</v>
      </c>
      <c r="C2426">
        <v>1</v>
      </c>
      <c r="D2426">
        <v>25.3</v>
      </c>
      <c r="E2426">
        <v>31</v>
      </c>
    </row>
    <row r="2427" spans="1:5" x14ac:dyDescent="0.3">
      <c r="A2427" t="s">
        <v>45</v>
      </c>
      <c r="B2427" s="1">
        <v>44714</v>
      </c>
      <c r="C2427">
        <v>2</v>
      </c>
      <c r="D2427">
        <v>26.54</v>
      </c>
      <c r="E2427">
        <v>43</v>
      </c>
    </row>
    <row r="2428" spans="1:5" x14ac:dyDescent="0.3">
      <c r="A2428" t="s">
        <v>45</v>
      </c>
      <c r="B2428" s="1">
        <v>44714</v>
      </c>
      <c r="C2428">
        <v>1</v>
      </c>
      <c r="D2428">
        <v>27.21</v>
      </c>
      <c r="E2428">
        <v>44</v>
      </c>
    </row>
    <row r="2429" spans="1:5" x14ac:dyDescent="0.3">
      <c r="A2429" t="s">
        <v>9</v>
      </c>
      <c r="B2429" s="1">
        <v>44714</v>
      </c>
      <c r="C2429">
        <v>1</v>
      </c>
      <c r="D2429">
        <v>80.69</v>
      </c>
      <c r="E2429">
        <v>98</v>
      </c>
    </row>
    <row r="2430" spans="1:5" x14ac:dyDescent="0.3">
      <c r="A2430" t="s">
        <v>26</v>
      </c>
      <c r="B2430" s="1">
        <v>44714</v>
      </c>
      <c r="C2430">
        <v>0.2</v>
      </c>
      <c r="D2430">
        <v>991.73</v>
      </c>
      <c r="E2430">
        <v>1280</v>
      </c>
    </row>
    <row r="2431" spans="1:5" x14ac:dyDescent="0.3">
      <c r="A2431" t="s">
        <v>58</v>
      </c>
      <c r="B2431" s="1">
        <v>44714</v>
      </c>
      <c r="C2431">
        <v>1</v>
      </c>
      <c r="D2431">
        <v>76.02</v>
      </c>
      <c r="E2431">
        <v>92</v>
      </c>
    </row>
    <row r="2432" spans="1:5" x14ac:dyDescent="0.3">
      <c r="A2432" t="s">
        <v>60</v>
      </c>
      <c r="B2432" s="1">
        <v>44714</v>
      </c>
      <c r="C2432">
        <v>1</v>
      </c>
      <c r="D2432">
        <v>59.2</v>
      </c>
      <c r="E2432">
        <v>74</v>
      </c>
    </row>
    <row r="2433" spans="1:5" x14ac:dyDescent="0.3">
      <c r="A2433" t="s">
        <v>41</v>
      </c>
      <c r="B2433" s="1">
        <v>44714</v>
      </c>
      <c r="C2433">
        <v>1</v>
      </c>
      <c r="D2433">
        <v>11.69</v>
      </c>
      <c r="E2433">
        <v>19</v>
      </c>
    </row>
    <row r="2434" spans="1:5" x14ac:dyDescent="0.3">
      <c r="A2434" t="s">
        <v>115</v>
      </c>
      <c r="B2434" s="1">
        <v>44714</v>
      </c>
      <c r="C2434">
        <v>1</v>
      </c>
      <c r="D2434">
        <v>71.02</v>
      </c>
      <c r="E2434">
        <v>88</v>
      </c>
    </row>
    <row r="2435" spans="1:5" x14ac:dyDescent="0.3">
      <c r="A2435" t="s">
        <v>34</v>
      </c>
      <c r="B2435" s="1">
        <v>44714</v>
      </c>
      <c r="C2435">
        <v>1</v>
      </c>
      <c r="D2435">
        <v>203.35</v>
      </c>
      <c r="E2435">
        <v>234</v>
      </c>
    </row>
    <row r="2436" spans="1:5" x14ac:dyDescent="0.3">
      <c r="A2436" t="s">
        <v>26</v>
      </c>
      <c r="B2436" s="1">
        <v>44714</v>
      </c>
      <c r="C2436">
        <v>0.2</v>
      </c>
      <c r="D2436">
        <v>986.58</v>
      </c>
      <c r="E2436">
        <v>1352</v>
      </c>
    </row>
    <row r="2437" spans="1:5" x14ac:dyDescent="0.3">
      <c r="A2437" t="s">
        <v>139</v>
      </c>
      <c r="B2437" s="1">
        <v>44714</v>
      </c>
      <c r="C2437">
        <v>2</v>
      </c>
      <c r="D2437">
        <v>24.18</v>
      </c>
      <c r="E2437">
        <v>40</v>
      </c>
    </row>
    <row r="2438" spans="1:5" x14ac:dyDescent="0.3">
      <c r="A2438" t="s">
        <v>92</v>
      </c>
      <c r="B2438" s="1">
        <v>44714</v>
      </c>
      <c r="C2438">
        <v>2</v>
      </c>
      <c r="D2438">
        <v>6.44</v>
      </c>
      <c r="E2438">
        <v>9</v>
      </c>
    </row>
    <row r="2439" spans="1:5" x14ac:dyDescent="0.3">
      <c r="A2439" t="s">
        <v>46</v>
      </c>
      <c r="B2439" s="1">
        <v>44714</v>
      </c>
      <c r="C2439">
        <v>1</v>
      </c>
      <c r="D2439">
        <v>19.7</v>
      </c>
      <c r="E2439">
        <v>24</v>
      </c>
    </row>
    <row r="2440" spans="1:5" x14ac:dyDescent="0.3">
      <c r="A2440" t="s">
        <v>46</v>
      </c>
      <c r="B2440" s="1">
        <v>44714</v>
      </c>
      <c r="C2440">
        <v>1</v>
      </c>
      <c r="D2440">
        <v>19.43</v>
      </c>
      <c r="E2440">
        <v>23</v>
      </c>
    </row>
    <row r="2441" spans="1:5" x14ac:dyDescent="0.3">
      <c r="A2441" t="s">
        <v>46</v>
      </c>
      <c r="B2441" s="1">
        <v>44714</v>
      </c>
      <c r="C2441">
        <v>1</v>
      </c>
      <c r="D2441">
        <v>19.43</v>
      </c>
      <c r="E2441">
        <v>23</v>
      </c>
    </row>
    <row r="2442" spans="1:5" x14ac:dyDescent="0.3">
      <c r="A2442" t="s">
        <v>20</v>
      </c>
      <c r="B2442" s="1">
        <v>44714</v>
      </c>
      <c r="C2442">
        <v>1</v>
      </c>
      <c r="D2442">
        <v>20.3</v>
      </c>
      <c r="E2442">
        <v>27</v>
      </c>
    </row>
    <row r="2443" spans="1:5" x14ac:dyDescent="0.3">
      <c r="A2443" t="s">
        <v>22</v>
      </c>
      <c r="B2443" s="1">
        <v>44714</v>
      </c>
      <c r="C2443">
        <v>1</v>
      </c>
      <c r="D2443">
        <v>30.3</v>
      </c>
      <c r="E2443">
        <v>53</v>
      </c>
    </row>
    <row r="2444" spans="1:5" x14ac:dyDescent="0.3">
      <c r="A2444" t="s">
        <v>6</v>
      </c>
      <c r="B2444" s="1">
        <v>44714</v>
      </c>
      <c r="C2444">
        <v>1</v>
      </c>
      <c r="D2444">
        <v>460.59</v>
      </c>
      <c r="E2444">
        <v>576</v>
      </c>
    </row>
    <row r="2445" spans="1:5" x14ac:dyDescent="0.3">
      <c r="A2445" t="s">
        <v>10</v>
      </c>
      <c r="B2445" s="1">
        <v>44714</v>
      </c>
      <c r="C2445">
        <v>1</v>
      </c>
      <c r="D2445">
        <v>11.67</v>
      </c>
      <c r="E2445">
        <v>14</v>
      </c>
    </row>
    <row r="2446" spans="1:5" x14ac:dyDescent="0.3">
      <c r="A2446" t="s">
        <v>47</v>
      </c>
      <c r="B2446" s="1">
        <v>44714</v>
      </c>
      <c r="C2446">
        <v>1</v>
      </c>
      <c r="D2446">
        <v>43.08</v>
      </c>
      <c r="E2446">
        <v>68</v>
      </c>
    </row>
    <row r="2447" spans="1:5" x14ac:dyDescent="0.3">
      <c r="A2447" t="s">
        <v>47</v>
      </c>
      <c r="B2447" s="1">
        <v>44714</v>
      </c>
      <c r="C2447">
        <v>1</v>
      </c>
      <c r="D2447">
        <v>43.08</v>
      </c>
      <c r="E2447">
        <v>68</v>
      </c>
    </row>
    <row r="2448" spans="1:5" x14ac:dyDescent="0.3">
      <c r="A2448" t="s">
        <v>122</v>
      </c>
      <c r="B2448" s="1">
        <v>44714</v>
      </c>
      <c r="C2448">
        <v>1</v>
      </c>
      <c r="D2448">
        <v>21.26</v>
      </c>
      <c r="E2448">
        <v>26</v>
      </c>
    </row>
    <row r="2449" spans="1:5" x14ac:dyDescent="0.3">
      <c r="A2449" t="s">
        <v>122</v>
      </c>
      <c r="B2449" s="1">
        <v>44714</v>
      </c>
      <c r="C2449">
        <v>1</v>
      </c>
      <c r="D2449">
        <v>21.26</v>
      </c>
      <c r="E2449">
        <v>26</v>
      </c>
    </row>
    <row r="2450" spans="1:5" x14ac:dyDescent="0.3">
      <c r="A2450" t="s">
        <v>66</v>
      </c>
      <c r="B2450" s="1">
        <v>44714</v>
      </c>
      <c r="C2450">
        <v>1</v>
      </c>
      <c r="D2450">
        <v>31.68</v>
      </c>
      <c r="E2450">
        <v>39</v>
      </c>
    </row>
    <row r="2451" spans="1:5" x14ac:dyDescent="0.3">
      <c r="A2451" t="s">
        <v>49</v>
      </c>
      <c r="B2451" s="1">
        <v>44714</v>
      </c>
      <c r="C2451">
        <v>1</v>
      </c>
      <c r="D2451">
        <v>17.93</v>
      </c>
      <c r="E2451">
        <v>21</v>
      </c>
    </row>
    <row r="2452" spans="1:5" x14ac:dyDescent="0.3">
      <c r="A2452" t="s">
        <v>49</v>
      </c>
      <c r="B2452" s="1">
        <v>44714</v>
      </c>
      <c r="C2452">
        <v>1</v>
      </c>
      <c r="D2452">
        <v>17.93</v>
      </c>
      <c r="E2452">
        <v>21</v>
      </c>
    </row>
    <row r="2453" spans="1:5" x14ac:dyDescent="0.3">
      <c r="A2453" t="s">
        <v>100</v>
      </c>
      <c r="B2453" s="1">
        <v>44714</v>
      </c>
      <c r="C2453">
        <v>1</v>
      </c>
      <c r="D2453">
        <v>37.479999999999997</v>
      </c>
      <c r="E2453">
        <v>59</v>
      </c>
    </row>
    <row r="2454" spans="1:5" x14ac:dyDescent="0.3">
      <c r="A2454" t="s">
        <v>100</v>
      </c>
      <c r="B2454" s="1">
        <v>44714</v>
      </c>
      <c r="C2454">
        <v>1</v>
      </c>
      <c r="D2454">
        <v>37.479999999999997</v>
      </c>
      <c r="E2454">
        <v>59</v>
      </c>
    </row>
    <row r="2455" spans="1:5" x14ac:dyDescent="0.3">
      <c r="A2455" t="s">
        <v>137</v>
      </c>
      <c r="B2455" s="1">
        <v>44714</v>
      </c>
      <c r="C2455">
        <v>1</v>
      </c>
      <c r="D2455">
        <v>8.5</v>
      </c>
      <c r="E2455">
        <v>14</v>
      </c>
    </row>
    <row r="2456" spans="1:5" x14ac:dyDescent="0.3">
      <c r="A2456" t="s">
        <v>7</v>
      </c>
      <c r="B2456" s="1">
        <v>44714</v>
      </c>
      <c r="C2456">
        <v>1</v>
      </c>
      <c r="D2456">
        <v>89.53</v>
      </c>
      <c r="E2456">
        <v>108</v>
      </c>
    </row>
    <row r="2457" spans="1:5" x14ac:dyDescent="0.3">
      <c r="A2457" t="s">
        <v>53</v>
      </c>
      <c r="B2457" s="1">
        <v>44714</v>
      </c>
      <c r="C2457">
        <v>1</v>
      </c>
      <c r="D2457">
        <v>23.4</v>
      </c>
      <c r="E2457">
        <v>38</v>
      </c>
    </row>
    <row r="2458" spans="1:5" x14ac:dyDescent="0.3">
      <c r="A2458" t="s">
        <v>41</v>
      </c>
      <c r="B2458" s="1">
        <v>44714</v>
      </c>
      <c r="C2458">
        <v>2</v>
      </c>
      <c r="D2458">
        <v>10.9</v>
      </c>
      <c r="E2458">
        <v>18</v>
      </c>
    </row>
    <row r="2459" spans="1:5" x14ac:dyDescent="0.3">
      <c r="A2459" t="s">
        <v>152</v>
      </c>
      <c r="B2459" s="1">
        <v>44714</v>
      </c>
      <c r="C2459">
        <v>1</v>
      </c>
      <c r="D2459">
        <v>111.18</v>
      </c>
      <c r="E2459">
        <v>139</v>
      </c>
    </row>
    <row r="2460" spans="1:5" x14ac:dyDescent="0.3">
      <c r="A2460" t="s">
        <v>136</v>
      </c>
      <c r="B2460" s="1">
        <v>44714</v>
      </c>
      <c r="C2460">
        <v>1</v>
      </c>
      <c r="D2460">
        <v>320.64999999999998</v>
      </c>
      <c r="E2460">
        <v>443</v>
      </c>
    </row>
    <row r="2461" spans="1:5" x14ac:dyDescent="0.3">
      <c r="A2461" t="s">
        <v>140</v>
      </c>
      <c r="B2461" s="1">
        <v>44714</v>
      </c>
      <c r="C2461">
        <v>1</v>
      </c>
      <c r="D2461">
        <v>161.37</v>
      </c>
      <c r="E2461">
        <v>169</v>
      </c>
    </row>
    <row r="2462" spans="1:5" x14ac:dyDescent="0.3">
      <c r="A2462" t="s">
        <v>12</v>
      </c>
      <c r="B2462" s="1">
        <v>44714</v>
      </c>
      <c r="C2462">
        <v>1</v>
      </c>
      <c r="D2462">
        <v>56.41</v>
      </c>
      <c r="E2462">
        <v>70</v>
      </c>
    </row>
    <row r="2463" spans="1:5" x14ac:dyDescent="0.3">
      <c r="A2463" t="s">
        <v>17</v>
      </c>
      <c r="B2463" s="1">
        <v>44714</v>
      </c>
      <c r="C2463">
        <v>1</v>
      </c>
      <c r="D2463">
        <v>390.55</v>
      </c>
      <c r="E2463">
        <v>469</v>
      </c>
    </row>
    <row r="2464" spans="1:5" x14ac:dyDescent="0.3">
      <c r="A2464" t="s">
        <v>31</v>
      </c>
      <c r="B2464" s="1">
        <v>44714</v>
      </c>
      <c r="C2464">
        <v>1</v>
      </c>
      <c r="D2464">
        <v>13.05</v>
      </c>
      <c r="E2464">
        <v>18</v>
      </c>
    </row>
    <row r="2465" spans="1:5" x14ac:dyDescent="0.3">
      <c r="A2465" t="s">
        <v>31</v>
      </c>
      <c r="B2465" s="1">
        <v>44714</v>
      </c>
      <c r="C2465">
        <v>1</v>
      </c>
      <c r="D2465">
        <v>13.05</v>
      </c>
      <c r="E2465">
        <v>18</v>
      </c>
    </row>
    <row r="2466" spans="1:5" x14ac:dyDescent="0.3">
      <c r="A2466" t="s">
        <v>8</v>
      </c>
      <c r="B2466" s="1">
        <v>44714</v>
      </c>
      <c r="C2466">
        <v>1</v>
      </c>
      <c r="D2466">
        <v>47.77</v>
      </c>
      <c r="E2466">
        <v>78</v>
      </c>
    </row>
    <row r="2467" spans="1:5" x14ac:dyDescent="0.3">
      <c r="A2467" t="s">
        <v>90</v>
      </c>
      <c r="B2467" s="1">
        <v>44714</v>
      </c>
      <c r="C2467">
        <v>1</v>
      </c>
      <c r="D2467">
        <v>404.95</v>
      </c>
      <c r="E2467">
        <v>507</v>
      </c>
    </row>
    <row r="2468" spans="1:5" x14ac:dyDescent="0.3">
      <c r="A2468" t="s">
        <v>7</v>
      </c>
      <c r="B2468" s="1">
        <v>44714</v>
      </c>
      <c r="C2468">
        <v>1</v>
      </c>
      <c r="D2468">
        <v>87.6</v>
      </c>
      <c r="E2468">
        <v>108</v>
      </c>
    </row>
    <row r="2469" spans="1:5" x14ac:dyDescent="0.3">
      <c r="A2469" t="s">
        <v>30</v>
      </c>
      <c r="B2469" s="1">
        <v>44714</v>
      </c>
      <c r="C2469">
        <v>1</v>
      </c>
      <c r="D2469">
        <v>156.19999999999999</v>
      </c>
      <c r="E2469">
        <v>189</v>
      </c>
    </row>
    <row r="2470" spans="1:5" x14ac:dyDescent="0.3">
      <c r="A2470" t="s">
        <v>158</v>
      </c>
      <c r="B2470" s="1">
        <v>44714</v>
      </c>
      <c r="C2470">
        <v>1</v>
      </c>
      <c r="D2470">
        <v>24.05</v>
      </c>
      <c r="E2470">
        <v>31</v>
      </c>
    </row>
    <row r="2471" spans="1:5" x14ac:dyDescent="0.3">
      <c r="A2471" t="s">
        <v>158</v>
      </c>
      <c r="B2471" s="1">
        <v>44714</v>
      </c>
      <c r="C2471">
        <v>1</v>
      </c>
      <c r="D2471">
        <v>24.05</v>
      </c>
      <c r="E2471">
        <v>31</v>
      </c>
    </row>
    <row r="2472" spans="1:5" x14ac:dyDescent="0.3">
      <c r="A2472" t="s">
        <v>158</v>
      </c>
      <c r="B2472" s="1">
        <v>44714</v>
      </c>
      <c r="C2472">
        <v>1</v>
      </c>
      <c r="D2472">
        <v>24.05</v>
      </c>
      <c r="E2472">
        <v>31</v>
      </c>
    </row>
    <row r="2473" spans="1:5" x14ac:dyDescent="0.3">
      <c r="A2473" t="s">
        <v>158</v>
      </c>
      <c r="B2473" s="1">
        <v>44714</v>
      </c>
      <c r="C2473">
        <v>1</v>
      </c>
      <c r="D2473">
        <v>24.05</v>
      </c>
      <c r="E2473">
        <v>31</v>
      </c>
    </row>
    <row r="2474" spans="1:5" x14ac:dyDescent="0.3">
      <c r="A2474" t="s">
        <v>158</v>
      </c>
      <c r="B2474" s="1">
        <v>44714</v>
      </c>
      <c r="C2474">
        <v>1</v>
      </c>
      <c r="D2474">
        <v>24.05</v>
      </c>
      <c r="E2474">
        <v>31</v>
      </c>
    </row>
    <row r="2475" spans="1:5" x14ac:dyDescent="0.3">
      <c r="A2475" t="s">
        <v>95</v>
      </c>
      <c r="B2475" s="1">
        <v>44714</v>
      </c>
      <c r="C2475">
        <v>1</v>
      </c>
      <c r="D2475">
        <v>131.07</v>
      </c>
      <c r="E2475">
        <v>206</v>
      </c>
    </row>
    <row r="2476" spans="1:5" x14ac:dyDescent="0.3">
      <c r="A2476" t="s">
        <v>66</v>
      </c>
      <c r="B2476" s="1">
        <v>44714</v>
      </c>
      <c r="C2476">
        <v>1</v>
      </c>
      <c r="D2476">
        <v>32</v>
      </c>
      <c r="E2476">
        <v>36</v>
      </c>
    </row>
    <row r="2477" spans="1:5" x14ac:dyDescent="0.3">
      <c r="A2477" t="s">
        <v>8</v>
      </c>
      <c r="B2477" s="1">
        <v>44714</v>
      </c>
      <c r="C2477">
        <v>2</v>
      </c>
      <c r="D2477">
        <v>47.72</v>
      </c>
      <c r="E2477">
        <v>78</v>
      </c>
    </row>
    <row r="2478" spans="1:5" x14ac:dyDescent="0.3">
      <c r="A2478" t="s">
        <v>8</v>
      </c>
      <c r="B2478" s="1">
        <v>44714</v>
      </c>
      <c r="C2478">
        <v>1</v>
      </c>
      <c r="D2478">
        <v>47.43</v>
      </c>
      <c r="E2478">
        <v>77</v>
      </c>
    </row>
    <row r="2479" spans="1:5" x14ac:dyDescent="0.3">
      <c r="A2479" t="s">
        <v>88</v>
      </c>
      <c r="B2479" s="1">
        <v>44714</v>
      </c>
      <c r="C2479">
        <v>0.1</v>
      </c>
      <c r="D2479">
        <v>102.08</v>
      </c>
      <c r="E2479">
        <v>157</v>
      </c>
    </row>
    <row r="2480" spans="1:5" x14ac:dyDescent="0.3">
      <c r="A2480" t="s">
        <v>21</v>
      </c>
      <c r="B2480" s="1">
        <v>44714</v>
      </c>
      <c r="C2480">
        <v>1</v>
      </c>
      <c r="D2480">
        <v>190.59</v>
      </c>
      <c r="E2480">
        <v>262</v>
      </c>
    </row>
    <row r="2481" spans="1:5" x14ac:dyDescent="0.3">
      <c r="A2481" t="s">
        <v>75</v>
      </c>
      <c r="B2481" s="1">
        <v>44714</v>
      </c>
      <c r="C2481">
        <v>0.2</v>
      </c>
      <c r="D2481">
        <v>467.08</v>
      </c>
      <c r="E2481">
        <v>664</v>
      </c>
    </row>
    <row r="2482" spans="1:5" x14ac:dyDescent="0.3">
      <c r="A2482" t="s">
        <v>18</v>
      </c>
      <c r="B2482" s="1">
        <v>44714</v>
      </c>
      <c r="C2482">
        <v>1</v>
      </c>
      <c r="D2482">
        <v>46</v>
      </c>
      <c r="E2482">
        <v>70</v>
      </c>
    </row>
    <row r="2483" spans="1:5" x14ac:dyDescent="0.3">
      <c r="A2483" t="s">
        <v>121</v>
      </c>
      <c r="B2483" s="1">
        <v>44714</v>
      </c>
      <c r="C2483">
        <v>1</v>
      </c>
      <c r="D2483">
        <v>10.4</v>
      </c>
      <c r="E2483">
        <v>17</v>
      </c>
    </row>
    <row r="2484" spans="1:5" x14ac:dyDescent="0.3">
      <c r="A2484" t="s">
        <v>25</v>
      </c>
      <c r="B2484" s="1">
        <v>44714</v>
      </c>
      <c r="C2484">
        <v>1</v>
      </c>
      <c r="D2484">
        <v>148.52000000000001</v>
      </c>
      <c r="E2484">
        <v>181</v>
      </c>
    </row>
    <row r="2485" spans="1:5" x14ac:dyDescent="0.3">
      <c r="A2485" t="s">
        <v>8</v>
      </c>
      <c r="B2485" s="1">
        <v>44714</v>
      </c>
      <c r="C2485">
        <v>1</v>
      </c>
      <c r="D2485">
        <v>47.67</v>
      </c>
      <c r="E2485">
        <v>77</v>
      </c>
    </row>
    <row r="2486" spans="1:5" x14ac:dyDescent="0.3">
      <c r="A2486" t="s">
        <v>24</v>
      </c>
      <c r="B2486" s="1">
        <v>44714</v>
      </c>
      <c r="C2486">
        <v>1</v>
      </c>
      <c r="D2486">
        <v>102.47</v>
      </c>
      <c r="E2486">
        <v>121</v>
      </c>
    </row>
    <row r="2487" spans="1:5" x14ac:dyDescent="0.3">
      <c r="A2487" t="s">
        <v>96</v>
      </c>
      <c r="B2487" s="1">
        <v>44714</v>
      </c>
      <c r="C2487">
        <v>1</v>
      </c>
      <c r="D2487">
        <v>72.84</v>
      </c>
      <c r="E2487">
        <v>104</v>
      </c>
    </row>
    <row r="2488" spans="1:5" x14ac:dyDescent="0.3">
      <c r="A2488" t="s">
        <v>95</v>
      </c>
      <c r="B2488" s="1">
        <v>44714</v>
      </c>
      <c r="C2488">
        <v>1</v>
      </c>
      <c r="D2488">
        <v>113.82</v>
      </c>
      <c r="E2488">
        <v>173</v>
      </c>
    </row>
    <row r="2489" spans="1:5" x14ac:dyDescent="0.3">
      <c r="A2489" t="s">
        <v>102</v>
      </c>
      <c r="B2489" s="1">
        <v>44714</v>
      </c>
      <c r="C2489">
        <v>1</v>
      </c>
      <c r="D2489">
        <v>26.29</v>
      </c>
      <c r="E2489">
        <v>33</v>
      </c>
    </row>
    <row r="2490" spans="1:5" x14ac:dyDescent="0.3">
      <c r="A2490" t="s">
        <v>102</v>
      </c>
      <c r="B2490" s="1">
        <v>44714</v>
      </c>
      <c r="C2490">
        <v>1</v>
      </c>
      <c r="D2490">
        <v>26.29</v>
      </c>
      <c r="E2490">
        <v>33</v>
      </c>
    </row>
    <row r="2491" spans="1:5" x14ac:dyDescent="0.3">
      <c r="A2491" t="s">
        <v>93</v>
      </c>
      <c r="B2491" s="1">
        <v>44714</v>
      </c>
      <c r="C2491">
        <v>1</v>
      </c>
      <c r="D2491">
        <v>71.05</v>
      </c>
      <c r="E2491">
        <v>101</v>
      </c>
    </row>
    <row r="2492" spans="1:5" x14ac:dyDescent="0.3">
      <c r="A2492" t="s">
        <v>65</v>
      </c>
      <c r="B2492" s="1">
        <v>44714</v>
      </c>
      <c r="C2492">
        <v>1</v>
      </c>
      <c r="D2492">
        <v>185.57</v>
      </c>
      <c r="E2492">
        <v>236</v>
      </c>
    </row>
    <row r="2493" spans="1:5" x14ac:dyDescent="0.3">
      <c r="A2493" t="s">
        <v>151</v>
      </c>
      <c r="B2493" s="1">
        <v>44714</v>
      </c>
      <c r="C2493">
        <v>1</v>
      </c>
      <c r="D2493">
        <v>23.23</v>
      </c>
      <c r="E2493">
        <v>29</v>
      </c>
    </row>
    <row r="2494" spans="1:5" x14ac:dyDescent="0.3">
      <c r="A2494" t="s">
        <v>75</v>
      </c>
      <c r="B2494" s="1">
        <v>44714</v>
      </c>
      <c r="C2494">
        <v>0.02</v>
      </c>
      <c r="D2494">
        <v>463.1</v>
      </c>
      <c r="E2494">
        <v>649</v>
      </c>
    </row>
    <row r="2495" spans="1:5" x14ac:dyDescent="0.3">
      <c r="A2495" t="s">
        <v>75</v>
      </c>
      <c r="B2495" s="1">
        <v>44714</v>
      </c>
      <c r="C2495">
        <v>0.04</v>
      </c>
      <c r="D2495">
        <v>438.61</v>
      </c>
      <c r="E2495">
        <v>615</v>
      </c>
    </row>
    <row r="2496" spans="1:5" x14ac:dyDescent="0.3">
      <c r="A2496" t="s">
        <v>45</v>
      </c>
      <c r="B2496" s="1">
        <v>44714</v>
      </c>
      <c r="C2496">
        <v>1</v>
      </c>
      <c r="D2496">
        <v>28.21</v>
      </c>
      <c r="E2496">
        <v>46</v>
      </c>
    </row>
    <row r="2497" spans="1:5" x14ac:dyDescent="0.3">
      <c r="A2497" t="s">
        <v>18</v>
      </c>
      <c r="B2497" s="1">
        <v>44714</v>
      </c>
      <c r="C2497">
        <v>1</v>
      </c>
      <c r="D2497">
        <v>46</v>
      </c>
      <c r="E2497">
        <v>72</v>
      </c>
    </row>
    <row r="2498" spans="1:5" x14ac:dyDescent="0.3">
      <c r="A2498" t="s">
        <v>49</v>
      </c>
      <c r="B2498" s="1">
        <v>44714</v>
      </c>
      <c r="C2498">
        <v>1</v>
      </c>
      <c r="D2498">
        <v>15.8</v>
      </c>
      <c r="E2498">
        <v>19</v>
      </c>
    </row>
    <row r="2499" spans="1:5" x14ac:dyDescent="0.3">
      <c r="A2499" t="s">
        <v>49</v>
      </c>
      <c r="B2499" s="1">
        <v>44714</v>
      </c>
      <c r="C2499">
        <v>1</v>
      </c>
      <c r="D2499">
        <v>15.8</v>
      </c>
      <c r="E2499">
        <v>19</v>
      </c>
    </row>
    <row r="2500" spans="1:5" x14ac:dyDescent="0.3">
      <c r="A2500" t="s">
        <v>73</v>
      </c>
      <c r="B2500" s="1">
        <v>44714</v>
      </c>
      <c r="C2500">
        <v>2</v>
      </c>
      <c r="D2500">
        <v>8.01</v>
      </c>
      <c r="E2500">
        <v>13</v>
      </c>
    </row>
    <row r="2501" spans="1:5" x14ac:dyDescent="0.3">
      <c r="A2501" t="s">
        <v>87</v>
      </c>
      <c r="B2501" s="1">
        <v>44714</v>
      </c>
      <c r="C2501">
        <v>1</v>
      </c>
      <c r="D2501">
        <v>323.66000000000003</v>
      </c>
      <c r="E2501">
        <v>389</v>
      </c>
    </row>
    <row r="2502" spans="1:5" x14ac:dyDescent="0.3">
      <c r="A2502" t="s">
        <v>15</v>
      </c>
      <c r="B2502" s="1">
        <v>44714</v>
      </c>
      <c r="C2502">
        <v>2</v>
      </c>
      <c r="D2502">
        <v>55.5</v>
      </c>
      <c r="E2502">
        <v>89</v>
      </c>
    </row>
    <row r="2503" spans="1:5" x14ac:dyDescent="0.3">
      <c r="A2503" t="s">
        <v>75</v>
      </c>
      <c r="B2503" s="1">
        <v>44714</v>
      </c>
      <c r="C2503">
        <v>0.08</v>
      </c>
      <c r="D2503">
        <v>466.47</v>
      </c>
      <c r="E2503">
        <v>710</v>
      </c>
    </row>
    <row r="2504" spans="1:5" x14ac:dyDescent="0.3">
      <c r="A2504" t="s">
        <v>45</v>
      </c>
      <c r="B2504" s="1">
        <v>44714</v>
      </c>
      <c r="C2504">
        <v>1</v>
      </c>
      <c r="D2504">
        <v>28.85</v>
      </c>
      <c r="E2504">
        <v>47</v>
      </c>
    </row>
    <row r="2505" spans="1:5" x14ac:dyDescent="0.3">
      <c r="A2505" t="s">
        <v>21</v>
      </c>
      <c r="B2505" s="1">
        <v>44714</v>
      </c>
      <c r="C2505">
        <v>1</v>
      </c>
      <c r="D2505">
        <v>190.59</v>
      </c>
      <c r="E2505">
        <v>262</v>
      </c>
    </row>
    <row r="2506" spans="1:5" x14ac:dyDescent="0.3">
      <c r="A2506" t="s">
        <v>97</v>
      </c>
      <c r="B2506" s="1">
        <v>44714</v>
      </c>
      <c r="C2506">
        <v>1</v>
      </c>
      <c r="D2506">
        <v>426.66</v>
      </c>
      <c r="E2506">
        <v>564</v>
      </c>
    </row>
    <row r="2507" spans="1:5" x14ac:dyDescent="0.3">
      <c r="A2507" t="s">
        <v>55</v>
      </c>
      <c r="B2507" s="1">
        <v>44714</v>
      </c>
      <c r="C2507">
        <v>1</v>
      </c>
      <c r="D2507">
        <v>77.510000000000005</v>
      </c>
      <c r="E2507">
        <v>94</v>
      </c>
    </row>
    <row r="2508" spans="1:5" x14ac:dyDescent="0.3">
      <c r="A2508" t="s">
        <v>55</v>
      </c>
      <c r="B2508" s="1">
        <v>44714</v>
      </c>
      <c r="C2508">
        <v>1</v>
      </c>
      <c r="D2508">
        <v>77.510000000000005</v>
      </c>
      <c r="E2508">
        <v>94</v>
      </c>
    </row>
    <row r="2509" spans="1:5" x14ac:dyDescent="0.3">
      <c r="A2509" t="s">
        <v>21</v>
      </c>
      <c r="B2509" s="1">
        <v>44714</v>
      </c>
      <c r="C2509">
        <v>1</v>
      </c>
      <c r="D2509">
        <v>182.55</v>
      </c>
      <c r="E2509">
        <v>251</v>
      </c>
    </row>
    <row r="2510" spans="1:5" x14ac:dyDescent="0.3">
      <c r="A2510" t="s">
        <v>156</v>
      </c>
      <c r="B2510" s="1">
        <v>44714</v>
      </c>
      <c r="C2510">
        <v>1</v>
      </c>
      <c r="D2510">
        <v>249.76</v>
      </c>
      <c r="E2510">
        <v>338</v>
      </c>
    </row>
    <row r="2511" spans="1:5" x14ac:dyDescent="0.3">
      <c r="A2511" t="s">
        <v>8</v>
      </c>
      <c r="B2511" s="1">
        <v>44714</v>
      </c>
      <c r="C2511">
        <v>1</v>
      </c>
      <c r="D2511">
        <v>47.82</v>
      </c>
      <c r="E2511">
        <v>83</v>
      </c>
    </row>
    <row r="2512" spans="1:5" x14ac:dyDescent="0.3">
      <c r="A2512" t="s">
        <v>47</v>
      </c>
      <c r="B2512" s="1">
        <v>44714</v>
      </c>
      <c r="C2512">
        <v>1</v>
      </c>
      <c r="D2512">
        <v>43.2</v>
      </c>
      <c r="E2512">
        <v>67</v>
      </c>
    </row>
    <row r="2513" spans="1:5" x14ac:dyDescent="0.3">
      <c r="A2513" t="s">
        <v>55</v>
      </c>
      <c r="B2513" s="1">
        <v>44714</v>
      </c>
      <c r="C2513">
        <v>1</v>
      </c>
      <c r="D2513">
        <v>77.510000000000005</v>
      </c>
      <c r="E2513">
        <v>94</v>
      </c>
    </row>
    <row r="2514" spans="1:5" x14ac:dyDescent="0.3">
      <c r="A2514" t="s">
        <v>27</v>
      </c>
      <c r="B2514" s="1">
        <v>44714</v>
      </c>
      <c r="C2514">
        <v>1</v>
      </c>
      <c r="D2514">
        <v>102.34</v>
      </c>
      <c r="E2514">
        <v>157</v>
      </c>
    </row>
    <row r="2515" spans="1:5" x14ac:dyDescent="0.3">
      <c r="A2515" t="s">
        <v>24</v>
      </c>
      <c r="B2515" s="1">
        <v>44714</v>
      </c>
      <c r="C2515">
        <v>1</v>
      </c>
      <c r="D2515">
        <v>102.47</v>
      </c>
      <c r="E2515">
        <v>121</v>
      </c>
    </row>
    <row r="2516" spans="1:5" x14ac:dyDescent="0.3">
      <c r="A2516" t="s">
        <v>6</v>
      </c>
      <c r="B2516" s="1">
        <v>44714</v>
      </c>
      <c r="C2516">
        <v>1</v>
      </c>
      <c r="D2516">
        <v>431.48</v>
      </c>
      <c r="E2516">
        <v>540</v>
      </c>
    </row>
    <row r="2517" spans="1:5" x14ac:dyDescent="0.3">
      <c r="A2517" t="s">
        <v>140</v>
      </c>
      <c r="B2517" s="1">
        <v>44714</v>
      </c>
      <c r="C2517">
        <v>1</v>
      </c>
      <c r="D2517">
        <v>155.13</v>
      </c>
      <c r="E2517">
        <v>187</v>
      </c>
    </row>
    <row r="2518" spans="1:5" x14ac:dyDescent="0.3">
      <c r="A2518" t="s">
        <v>7</v>
      </c>
      <c r="B2518" s="1">
        <v>44714</v>
      </c>
      <c r="C2518">
        <v>1</v>
      </c>
      <c r="D2518">
        <v>88.43</v>
      </c>
      <c r="E2518">
        <v>110</v>
      </c>
    </row>
    <row r="2519" spans="1:5" x14ac:dyDescent="0.3">
      <c r="A2519" t="s">
        <v>118</v>
      </c>
      <c r="B2519" s="1">
        <v>44714</v>
      </c>
      <c r="C2519">
        <v>1</v>
      </c>
      <c r="D2519">
        <v>10.79</v>
      </c>
      <c r="E2519">
        <v>13</v>
      </c>
    </row>
    <row r="2520" spans="1:5" x14ac:dyDescent="0.3">
      <c r="A2520" t="s">
        <v>28</v>
      </c>
      <c r="B2520" s="1">
        <v>44714</v>
      </c>
      <c r="C2520">
        <v>1</v>
      </c>
      <c r="D2520">
        <v>148.83000000000001</v>
      </c>
      <c r="E2520">
        <v>207</v>
      </c>
    </row>
    <row r="2521" spans="1:5" x14ac:dyDescent="0.3">
      <c r="A2521" t="s">
        <v>150</v>
      </c>
      <c r="B2521" s="1">
        <v>44714</v>
      </c>
      <c r="C2521">
        <v>1</v>
      </c>
      <c r="D2521">
        <v>94.8</v>
      </c>
      <c r="E2521">
        <v>147</v>
      </c>
    </row>
    <row r="2522" spans="1:5" x14ac:dyDescent="0.3">
      <c r="A2522" t="s">
        <v>135</v>
      </c>
      <c r="B2522" s="1">
        <v>44714</v>
      </c>
      <c r="C2522">
        <v>1</v>
      </c>
      <c r="D2522">
        <v>72.31</v>
      </c>
      <c r="E2522">
        <v>90</v>
      </c>
    </row>
    <row r="2523" spans="1:5" x14ac:dyDescent="0.3">
      <c r="A2523" t="s">
        <v>55</v>
      </c>
      <c r="B2523" s="1">
        <v>44714</v>
      </c>
      <c r="C2523">
        <v>1</v>
      </c>
      <c r="D2523">
        <v>77.510000000000005</v>
      </c>
      <c r="E2523">
        <v>94</v>
      </c>
    </row>
    <row r="2524" spans="1:5" x14ac:dyDescent="0.3">
      <c r="A2524" t="s">
        <v>31</v>
      </c>
      <c r="B2524" s="1">
        <v>44714</v>
      </c>
      <c r="C2524">
        <v>1</v>
      </c>
      <c r="D2524">
        <v>14.4</v>
      </c>
      <c r="E2524">
        <v>19</v>
      </c>
    </row>
    <row r="2525" spans="1:5" x14ac:dyDescent="0.3">
      <c r="A2525" t="s">
        <v>31</v>
      </c>
      <c r="B2525" s="1">
        <v>44714</v>
      </c>
      <c r="C2525">
        <v>1</v>
      </c>
      <c r="D2525">
        <v>14.4</v>
      </c>
      <c r="E2525">
        <v>19</v>
      </c>
    </row>
    <row r="2526" spans="1:5" x14ac:dyDescent="0.3">
      <c r="A2526" t="s">
        <v>31</v>
      </c>
      <c r="B2526" s="1">
        <v>44714</v>
      </c>
      <c r="C2526">
        <v>1</v>
      </c>
      <c r="D2526">
        <v>14.4</v>
      </c>
      <c r="E2526">
        <v>19</v>
      </c>
    </row>
    <row r="2527" spans="1:5" x14ac:dyDescent="0.3">
      <c r="A2527" t="s">
        <v>31</v>
      </c>
      <c r="B2527" s="1">
        <v>44714</v>
      </c>
      <c r="C2527">
        <v>1</v>
      </c>
      <c r="D2527">
        <v>14.4</v>
      </c>
      <c r="E2527">
        <v>19</v>
      </c>
    </row>
    <row r="2528" spans="1:5" x14ac:dyDescent="0.3">
      <c r="A2528" t="s">
        <v>99</v>
      </c>
      <c r="B2528" s="1">
        <v>44714</v>
      </c>
      <c r="C2528">
        <v>1</v>
      </c>
      <c r="D2528">
        <v>64.25</v>
      </c>
      <c r="E2528">
        <v>77</v>
      </c>
    </row>
    <row r="2529" spans="1:5" x14ac:dyDescent="0.3">
      <c r="A2529" t="s">
        <v>56</v>
      </c>
      <c r="B2529" s="1">
        <v>44714</v>
      </c>
      <c r="C2529">
        <v>1</v>
      </c>
      <c r="D2529">
        <v>44.9</v>
      </c>
      <c r="E2529">
        <v>69</v>
      </c>
    </row>
    <row r="2530" spans="1:5" x14ac:dyDescent="0.3">
      <c r="A2530" t="s">
        <v>81</v>
      </c>
      <c r="B2530" s="1">
        <v>44714</v>
      </c>
      <c r="C2530">
        <v>1</v>
      </c>
      <c r="D2530">
        <v>43.63</v>
      </c>
      <c r="E2530">
        <v>54</v>
      </c>
    </row>
    <row r="2531" spans="1:5" x14ac:dyDescent="0.3">
      <c r="A2531" t="s">
        <v>23</v>
      </c>
      <c r="B2531" s="1">
        <v>44714</v>
      </c>
      <c r="C2531">
        <v>1</v>
      </c>
      <c r="D2531">
        <v>109.41</v>
      </c>
      <c r="E2531">
        <v>123</v>
      </c>
    </row>
    <row r="2532" spans="1:5" x14ac:dyDescent="0.3">
      <c r="A2532" t="s">
        <v>23</v>
      </c>
      <c r="B2532" s="1">
        <v>44714</v>
      </c>
      <c r="C2532">
        <v>1</v>
      </c>
      <c r="D2532">
        <v>109.41</v>
      </c>
      <c r="E2532">
        <v>123</v>
      </c>
    </row>
    <row r="2533" spans="1:5" x14ac:dyDescent="0.3">
      <c r="A2533" t="s">
        <v>8</v>
      </c>
      <c r="B2533" s="1">
        <v>44714</v>
      </c>
      <c r="C2533">
        <v>1</v>
      </c>
      <c r="D2533">
        <v>47.83</v>
      </c>
      <c r="E2533">
        <v>78</v>
      </c>
    </row>
    <row r="2534" spans="1:5" x14ac:dyDescent="0.3">
      <c r="A2534" t="s">
        <v>12</v>
      </c>
      <c r="B2534" s="1">
        <v>44714</v>
      </c>
      <c r="C2534">
        <v>1</v>
      </c>
      <c r="D2534">
        <v>56.18</v>
      </c>
      <c r="E2534">
        <v>70</v>
      </c>
    </row>
    <row r="2535" spans="1:5" x14ac:dyDescent="0.3">
      <c r="A2535" t="s">
        <v>12</v>
      </c>
      <c r="B2535" s="1">
        <v>44714</v>
      </c>
      <c r="C2535">
        <v>1</v>
      </c>
      <c r="D2535">
        <v>56.1</v>
      </c>
      <c r="E2535">
        <v>70</v>
      </c>
    </row>
    <row r="2536" spans="1:5" x14ac:dyDescent="0.3">
      <c r="A2536" t="s">
        <v>12</v>
      </c>
      <c r="B2536" s="1">
        <v>44714</v>
      </c>
      <c r="C2536">
        <v>1</v>
      </c>
      <c r="D2536">
        <v>56.03</v>
      </c>
      <c r="E2536">
        <v>70</v>
      </c>
    </row>
    <row r="2537" spans="1:5" x14ac:dyDescent="0.3">
      <c r="A2537" t="s">
        <v>147</v>
      </c>
      <c r="B2537" s="1">
        <v>44714</v>
      </c>
      <c r="C2537">
        <v>1</v>
      </c>
      <c r="D2537">
        <v>136.94999999999999</v>
      </c>
      <c r="E2537">
        <v>188</v>
      </c>
    </row>
    <row r="2538" spans="1:5" x14ac:dyDescent="0.3">
      <c r="A2538" t="s">
        <v>32</v>
      </c>
      <c r="B2538" s="1">
        <v>44714</v>
      </c>
      <c r="C2538">
        <v>1</v>
      </c>
      <c r="D2538">
        <v>105</v>
      </c>
      <c r="E2538">
        <v>165</v>
      </c>
    </row>
    <row r="2539" spans="1:5" x14ac:dyDescent="0.3">
      <c r="A2539" t="s">
        <v>66</v>
      </c>
      <c r="B2539" s="1">
        <v>44714</v>
      </c>
      <c r="C2539">
        <v>1</v>
      </c>
      <c r="D2539">
        <v>31.58</v>
      </c>
      <c r="E2539">
        <v>37</v>
      </c>
    </row>
    <row r="2540" spans="1:5" x14ac:dyDescent="0.3">
      <c r="A2540" t="s">
        <v>27</v>
      </c>
      <c r="B2540" s="1">
        <v>44714</v>
      </c>
      <c r="C2540">
        <v>1</v>
      </c>
      <c r="D2540">
        <v>102.34</v>
      </c>
      <c r="E2540">
        <v>157</v>
      </c>
    </row>
    <row r="2541" spans="1:5" x14ac:dyDescent="0.3">
      <c r="A2541" t="s">
        <v>8</v>
      </c>
      <c r="B2541" s="1">
        <v>44714</v>
      </c>
      <c r="C2541">
        <v>1</v>
      </c>
      <c r="D2541">
        <v>47.83</v>
      </c>
      <c r="E2541">
        <v>78</v>
      </c>
    </row>
    <row r="2542" spans="1:5" x14ac:dyDescent="0.3">
      <c r="A2542" t="s">
        <v>5</v>
      </c>
      <c r="B2542" s="1">
        <v>44714</v>
      </c>
      <c r="C2542">
        <v>1</v>
      </c>
      <c r="D2542">
        <v>132.33000000000001</v>
      </c>
      <c r="E2542">
        <v>159</v>
      </c>
    </row>
    <row r="2543" spans="1:5" x14ac:dyDescent="0.3">
      <c r="A2543" t="s">
        <v>23</v>
      </c>
      <c r="B2543" s="1">
        <v>44714</v>
      </c>
      <c r="C2543">
        <v>1</v>
      </c>
      <c r="D2543">
        <v>109.41</v>
      </c>
      <c r="E2543">
        <v>123</v>
      </c>
    </row>
    <row r="2544" spans="1:5" x14ac:dyDescent="0.3">
      <c r="A2544" t="s">
        <v>29</v>
      </c>
      <c r="B2544" s="1">
        <v>44714</v>
      </c>
      <c r="C2544">
        <v>1</v>
      </c>
      <c r="D2544">
        <v>489.61</v>
      </c>
      <c r="E2544">
        <v>671</v>
      </c>
    </row>
    <row r="2545" spans="1:5" x14ac:dyDescent="0.3">
      <c r="A2545" t="s">
        <v>58</v>
      </c>
      <c r="B2545" s="1">
        <v>44714</v>
      </c>
      <c r="C2545">
        <v>1</v>
      </c>
      <c r="D2545">
        <v>76.02</v>
      </c>
      <c r="E2545">
        <v>92</v>
      </c>
    </row>
    <row r="2546" spans="1:5" x14ac:dyDescent="0.3">
      <c r="A2546" t="s">
        <v>58</v>
      </c>
      <c r="B2546" s="1">
        <v>44714</v>
      </c>
      <c r="C2546">
        <v>1</v>
      </c>
      <c r="D2546">
        <v>76.02</v>
      </c>
      <c r="E2546">
        <v>92</v>
      </c>
    </row>
    <row r="2547" spans="1:5" x14ac:dyDescent="0.3">
      <c r="A2547" t="s">
        <v>58</v>
      </c>
      <c r="B2547" s="1">
        <v>44714</v>
      </c>
      <c r="C2547">
        <v>1</v>
      </c>
      <c r="D2547">
        <v>76.02</v>
      </c>
      <c r="E2547">
        <v>92</v>
      </c>
    </row>
    <row r="2548" spans="1:5" x14ac:dyDescent="0.3">
      <c r="A2548" t="s">
        <v>58</v>
      </c>
      <c r="B2548" s="1">
        <v>44714</v>
      </c>
      <c r="C2548">
        <v>1</v>
      </c>
      <c r="D2548">
        <v>76.02</v>
      </c>
      <c r="E2548">
        <v>92</v>
      </c>
    </row>
    <row r="2549" spans="1:5" x14ac:dyDescent="0.3">
      <c r="A2549" t="s">
        <v>34</v>
      </c>
      <c r="B2549" s="1">
        <v>44714</v>
      </c>
      <c r="C2549">
        <v>1</v>
      </c>
      <c r="D2549">
        <v>200.35</v>
      </c>
      <c r="E2549">
        <v>235</v>
      </c>
    </row>
    <row r="2550" spans="1:5" x14ac:dyDescent="0.3">
      <c r="A2550" t="s">
        <v>34</v>
      </c>
      <c r="B2550" s="1">
        <v>44714</v>
      </c>
      <c r="C2550">
        <v>1</v>
      </c>
      <c r="D2550">
        <v>200.35</v>
      </c>
      <c r="E2550">
        <v>235</v>
      </c>
    </row>
    <row r="2551" spans="1:5" x14ac:dyDescent="0.3">
      <c r="A2551" t="s">
        <v>46</v>
      </c>
      <c r="B2551" s="1">
        <v>44714</v>
      </c>
      <c r="C2551">
        <v>1</v>
      </c>
      <c r="D2551">
        <v>19.420000000000002</v>
      </c>
      <c r="E2551">
        <v>23</v>
      </c>
    </row>
    <row r="2552" spans="1:5" x14ac:dyDescent="0.3">
      <c r="A2552" t="s">
        <v>47</v>
      </c>
      <c r="B2552" s="1">
        <v>44714</v>
      </c>
      <c r="C2552">
        <v>1</v>
      </c>
      <c r="D2552">
        <v>43</v>
      </c>
      <c r="E2552">
        <v>68</v>
      </c>
    </row>
    <row r="2553" spans="1:5" x14ac:dyDescent="0.3">
      <c r="A2553" t="s">
        <v>25</v>
      </c>
      <c r="B2553" s="1">
        <v>44714</v>
      </c>
      <c r="C2553">
        <v>1</v>
      </c>
      <c r="D2553">
        <v>147.18</v>
      </c>
      <c r="E2553">
        <v>177</v>
      </c>
    </row>
    <row r="2554" spans="1:5" x14ac:dyDescent="0.3">
      <c r="A2554" t="s">
        <v>57</v>
      </c>
      <c r="B2554" s="1">
        <v>44714</v>
      </c>
      <c r="C2554">
        <v>1</v>
      </c>
      <c r="D2554">
        <v>238.7</v>
      </c>
      <c r="E2554">
        <v>280</v>
      </c>
    </row>
    <row r="2555" spans="1:5" x14ac:dyDescent="0.3">
      <c r="A2555" t="s">
        <v>154</v>
      </c>
      <c r="B2555" s="1">
        <v>44714</v>
      </c>
      <c r="C2555">
        <v>1</v>
      </c>
      <c r="D2555">
        <v>124.5</v>
      </c>
      <c r="E2555">
        <v>149</v>
      </c>
    </row>
    <row r="2556" spans="1:5" x14ac:dyDescent="0.3">
      <c r="A2556" t="s">
        <v>43</v>
      </c>
      <c r="B2556" s="1">
        <v>44714</v>
      </c>
      <c r="C2556">
        <v>9.8774299999999995E-2</v>
      </c>
      <c r="D2556">
        <v>134.94999999999999</v>
      </c>
      <c r="E2556">
        <v>162</v>
      </c>
    </row>
    <row r="2557" spans="1:5" x14ac:dyDescent="0.3">
      <c r="A2557" t="s">
        <v>43</v>
      </c>
      <c r="B2557" s="1">
        <v>44714</v>
      </c>
      <c r="C2557">
        <v>0.90122599999999997</v>
      </c>
      <c r="D2557">
        <v>134.94999999999999</v>
      </c>
      <c r="E2557">
        <v>162</v>
      </c>
    </row>
    <row r="2558" spans="1:5" x14ac:dyDescent="0.3">
      <c r="A2558" t="s">
        <v>29</v>
      </c>
      <c r="B2558" s="1">
        <v>44714</v>
      </c>
      <c r="C2558">
        <v>9.8774299999999995E-2</v>
      </c>
      <c r="D2558">
        <v>480.11</v>
      </c>
      <c r="E2558">
        <v>634</v>
      </c>
    </row>
    <row r="2559" spans="1:5" x14ac:dyDescent="0.3">
      <c r="A2559" t="s">
        <v>29</v>
      </c>
      <c r="B2559" s="1">
        <v>44714</v>
      </c>
      <c r="C2559">
        <v>0.90122599999999997</v>
      </c>
      <c r="D2559">
        <v>480.11</v>
      </c>
      <c r="E2559">
        <v>634</v>
      </c>
    </row>
    <row r="2560" spans="1:5" x14ac:dyDescent="0.3">
      <c r="A2560" t="s">
        <v>45</v>
      </c>
      <c r="B2560" s="1">
        <v>44714</v>
      </c>
      <c r="C2560">
        <v>1</v>
      </c>
      <c r="D2560">
        <v>27.21</v>
      </c>
      <c r="E2560">
        <v>44</v>
      </c>
    </row>
    <row r="2561" spans="1:5" x14ac:dyDescent="0.3">
      <c r="A2561" t="s">
        <v>85</v>
      </c>
      <c r="B2561" s="1">
        <v>44714</v>
      </c>
      <c r="C2561">
        <v>1</v>
      </c>
      <c r="D2561">
        <v>15.51</v>
      </c>
      <c r="E2561">
        <v>25</v>
      </c>
    </row>
    <row r="2562" spans="1:5" x14ac:dyDescent="0.3">
      <c r="A2562" t="s">
        <v>85</v>
      </c>
      <c r="B2562" s="1">
        <v>44714</v>
      </c>
      <c r="C2562">
        <v>1</v>
      </c>
      <c r="D2562">
        <v>15.51</v>
      </c>
      <c r="E2562">
        <v>25</v>
      </c>
    </row>
    <row r="2563" spans="1:5" x14ac:dyDescent="0.3">
      <c r="A2563" t="s">
        <v>85</v>
      </c>
      <c r="B2563" s="1">
        <v>44714</v>
      </c>
      <c r="C2563">
        <v>1</v>
      </c>
      <c r="D2563">
        <v>15.51</v>
      </c>
      <c r="E2563">
        <v>25</v>
      </c>
    </row>
    <row r="2564" spans="1:5" x14ac:dyDescent="0.3">
      <c r="A2564" t="s">
        <v>93</v>
      </c>
      <c r="B2564" s="1">
        <v>44714</v>
      </c>
      <c r="C2564">
        <v>1</v>
      </c>
      <c r="D2564">
        <v>84.22</v>
      </c>
      <c r="E2564">
        <v>124</v>
      </c>
    </row>
    <row r="2565" spans="1:5" x14ac:dyDescent="0.3">
      <c r="A2565" t="s">
        <v>52</v>
      </c>
      <c r="B2565" s="1">
        <v>44714</v>
      </c>
      <c r="C2565">
        <v>1</v>
      </c>
      <c r="D2565">
        <v>203.13</v>
      </c>
      <c r="E2565">
        <v>244</v>
      </c>
    </row>
    <row r="2566" spans="1:5" x14ac:dyDescent="0.3">
      <c r="A2566" t="s">
        <v>101</v>
      </c>
      <c r="B2566" s="1">
        <v>44714</v>
      </c>
      <c r="C2566">
        <v>1</v>
      </c>
      <c r="D2566">
        <v>33.26</v>
      </c>
      <c r="E2566">
        <v>53</v>
      </c>
    </row>
    <row r="2567" spans="1:5" x14ac:dyDescent="0.3">
      <c r="A2567" t="s">
        <v>139</v>
      </c>
      <c r="B2567" s="1">
        <v>44714</v>
      </c>
      <c r="C2567">
        <v>2</v>
      </c>
      <c r="D2567">
        <v>24.18</v>
      </c>
      <c r="E2567">
        <v>39</v>
      </c>
    </row>
    <row r="2568" spans="1:5" x14ac:dyDescent="0.3">
      <c r="A2568" t="s">
        <v>67</v>
      </c>
      <c r="B2568" s="1">
        <v>44714</v>
      </c>
      <c r="C2568">
        <v>1</v>
      </c>
      <c r="D2568">
        <v>54.32</v>
      </c>
      <c r="E2568">
        <v>78</v>
      </c>
    </row>
    <row r="2569" spans="1:5" x14ac:dyDescent="0.3">
      <c r="A2569" t="s">
        <v>128</v>
      </c>
      <c r="B2569" s="1">
        <v>44714</v>
      </c>
      <c r="C2569">
        <v>1</v>
      </c>
      <c r="D2569">
        <v>261.16000000000003</v>
      </c>
      <c r="E2569">
        <v>361</v>
      </c>
    </row>
    <row r="2570" spans="1:5" x14ac:dyDescent="0.3">
      <c r="A2570" t="s">
        <v>133</v>
      </c>
      <c r="B2570" s="1">
        <v>44714</v>
      </c>
      <c r="C2570">
        <v>2</v>
      </c>
      <c r="D2570">
        <v>6.19</v>
      </c>
      <c r="E2570">
        <v>11</v>
      </c>
    </row>
    <row r="2571" spans="1:5" x14ac:dyDescent="0.3">
      <c r="A2571" t="s">
        <v>133</v>
      </c>
      <c r="B2571" s="1">
        <v>44714</v>
      </c>
      <c r="C2571">
        <v>1</v>
      </c>
      <c r="D2571">
        <v>6.19</v>
      </c>
      <c r="E2571">
        <v>11</v>
      </c>
    </row>
    <row r="2572" spans="1:5" x14ac:dyDescent="0.3">
      <c r="A2572" t="s">
        <v>139</v>
      </c>
      <c r="B2572" s="1">
        <v>44714</v>
      </c>
      <c r="C2572">
        <v>2</v>
      </c>
      <c r="D2572">
        <v>24.18</v>
      </c>
      <c r="E2572">
        <v>40</v>
      </c>
    </row>
    <row r="2573" spans="1:5" x14ac:dyDescent="0.3">
      <c r="A2573" t="s">
        <v>66</v>
      </c>
      <c r="B2573" s="1">
        <v>44714</v>
      </c>
      <c r="C2573">
        <v>1</v>
      </c>
      <c r="D2573">
        <v>30.56</v>
      </c>
      <c r="E2573">
        <v>36</v>
      </c>
    </row>
    <row r="2574" spans="1:5" x14ac:dyDescent="0.3">
      <c r="A2574" t="s">
        <v>55</v>
      </c>
      <c r="B2574" s="1">
        <v>44714</v>
      </c>
      <c r="C2574">
        <v>1</v>
      </c>
      <c r="D2574">
        <v>77.510000000000005</v>
      </c>
      <c r="E2574">
        <v>95</v>
      </c>
    </row>
    <row r="2575" spans="1:5" x14ac:dyDescent="0.3">
      <c r="A2575" t="s">
        <v>47</v>
      </c>
      <c r="B2575" s="1">
        <v>44714</v>
      </c>
      <c r="C2575">
        <v>1</v>
      </c>
      <c r="D2575">
        <v>43.45</v>
      </c>
      <c r="E2575">
        <v>67</v>
      </c>
    </row>
    <row r="2576" spans="1:5" x14ac:dyDescent="0.3">
      <c r="A2576" t="s">
        <v>100</v>
      </c>
      <c r="B2576" s="1">
        <v>44714</v>
      </c>
      <c r="C2576">
        <v>1</v>
      </c>
      <c r="D2576">
        <v>37.479999999999997</v>
      </c>
      <c r="E2576">
        <v>57</v>
      </c>
    </row>
    <row r="2577" spans="1:5" x14ac:dyDescent="0.3">
      <c r="A2577" t="s">
        <v>24</v>
      </c>
      <c r="B2577" s="1">
        <v>44714</v>
      </c>
      <c r="C2577">
        <v>1</v>
      </c>
      <c r="D2577">
        <v>103.46</v>
      </c>
      <c r="E2577">
        <v>121</v>
      </c>
    </row>
    <row r="2578" spans="1:5" x14ac:dyDescent="0.3">
      <c r="A2578" t="s">
        <v>24</v>
      </c>
      <c r="B2578" s="1">
        <v>44714</v>
      </c>
      <c r="C2578">
        <v>1</v>
      </c>
      <c r="D2578">
        <v>103.46</v>
      </c>
      <c r="E2578">
        <v>121</v>
      </c>
    </row>
    <row r="2579" spans="1:5" x14ac:dyDescent="0.3">
      <c r="A2579" t="s">
        <v>126</v>
      </c>
      <c r="B2579" s="1">
        <v>44714</v>
      </c>
      <c r="C2579">
        <v>1</v>
      </c>
      <c r="D2579">
        <v>27.38</v>
      </c>
      <c r="E2579">
        <v>34</v>
      </c>
    </row>
    <row r="2580" spans="1:5" x14ac:dyDescent="0.3">
      <c r="A2580" t="s">
        <v>126</v>
      </c>
      <c r="B2580" s="1">
        <v>44714</v>
      </c>
      <c r="C2580">
        <v>1</v>
      </c>
      <c r="D2580">
        <v>27.38</v>
      </c>
      <c r="E2580">
        <v>34</v>
      </c>
    </row>
    <row r="2581" spans="1:5" x14ac:dyDescent="0.3">
      <c r="A2581" t="s">
        <v>126</v>
      </c>
      <c r="B2581" s="1">
        <v>44714</v>
      </c>
      <c r="C2581">
        <v>1</v>
      </c>
      <c r="D2581">
        <v>27.38</v>
      </c>
      <c r="E2581">
        <v>34</v>
      </c>
    </row>
    <row r="2582" spans="1:5" x14ac:dyDescent="0.3">
      <c r="A2582" t="s">
        <v>126</v>
      </c>
      <c r="B2582" s="1">
        <v>44714</v>
      </c>
      <c r="C2582">
        <v>1</v>
      </c>
      <c r="D2582">
        <v>27.38</v>
      </c>
      <c r="E2582">
        <v>34</v>
      </c>
    </row>
    <row r="2583" spans="1:5" x14ac:dyDescent="0.3">
      <c r="A2583" t="s">
        <v>126</v>
      </c>
      <c r="B2583" s="1">
        <v>44714</v>
      </c>
      <c r="C2583">
        <v>1</v>
      </c>
      <c r="D2583">
        <v>27.38</v>
      </c>
      <c r="E2583">
        <v>34</v>
      </c>
    </row>
    <row r="2584" spans="1:5" x14ac:dyDescent="0.3">
      <c r="A2584" t="s">
        <v>126</v>
      </c>
      <c r="B2584" s="1">
        <v>44714</v>
      </c>
      <c r="C2584">
        <v>1</v>
      </c>
      <c r="D2584">
        <v>27.38</v>
      </c>
      <c r="E2584">
        <v>34</v>
      </c>
    </row>
    <row r="2585" spans="1:5" x14ac:dyDescent="0.3">
      <c r="A2585" t="s">
        <v>126</v>
      </c>
      <c r="B2585" s="1">
        <v>44714</v>
      </c>
      <c r="C2585">
        <v>1</v>
      </c>
      <c r="D2585">
        <v>27.38</v>
      </c>
      <c r="E2585">
        <v>34</v>
      </c>
    </row>
    <row r="2586" spans="1:5" x14ac:dyDescent="0.3">
      <c r="A2586" t="s">
        <v>126</v>
      </c>
      <c r="B2586" s="1">
        <v>44714</v>
      </c>
      <c r="C2586">
        <v>1</v>
      </c>
      <c r="D2586">
        <v>27.38</v>
      </c>
      <c r="E2586">
        <v>34</v>
      </c>
    </row>
    <row r="2587" spans="1:5" x14ac:dyDescent="0.3">
      <c r="A2587" t="s">
        <v>126</v>
      </c>
      <c r="B2587" s="1">
        <v>44714</v>
      </c>
      <c r="C2587">
        <v>1</v>
      </c>
      <c r="D2587">
        <v>27.38</v>
      </c>
      <c r="E2587">
        <v>34</v>
      </c>
    </row>
    <row r="2588" spans="1:5" x14ac:dyDescent="0.3">
      <c r="A2588" t="s">
        <v>126</v>
      </c>
      <c r="B2588" s="1">
        <v>44714</v>
      </c>
      <c r="C2588">
        <v>1</v>
      </c>
      <c r="D2588">
        <v>27.38</v>
      </c>
      <c r="E2588">
        <v>34</v>
      </c>
    </row>
    <row r="2589" spans="1:5" x14ac:dyDescent="0.3">
      <c r="A2589" t="s">
        <v>95</v>
      </c>
      <c r="B2589" s="1">
        <v>44714</v>
      </c>
      <c r="C2589">
        <v>1</v>
      </c>
      <c r="D2589">
        <v>131.07</v>
      </c>
      <c r="E2589">
        <v>206</v>
      </c>
    </row>
    <row r="2590" spans="1:5" x14ac:dyDescent="0.3">
      <c r="A2590" t="s">
        <v>33</v>
      </c>
      <c r="B2590" s="1">
        <v>44714</v>
      </c>
      <c r="C2590">
        <v>1</v>
      </c>
      <c r="D2590">
        <v>21.17</v>
      </c>
      <c r="E2590">
        <v>25</v>
      </c>
    </row>
    <row r="2591" spans="1:5" x14ac:dyDescent="0.3">
      <c r="A2591" t="s">
        <v>33</v>
      </c>
      <c r="B2591" s="1">
        <v>44714</v>
      </c>
      <c r="C2591">
        <v>1</v>
      </c>
      <c r="D2591">
        <v>21.17</v>
      </c>
      <c r="E2591">
        <v>25</v>
      </c>
    </row>
    <row r="2592" spans="1:5" x14ac:dyDescent="0.3">
      <c r="A2592" t="s">
        <v>33</v>
      </c>
      <c r="B2592" s="1">
        <v>44714</v>
      </c>
      <c r="C2592">
        <v>1</v>
      </c>
      <c r="D2592">
        <v>21.17</v>
      </c>
      <c r="E2592">
        <v>25</v>
      </c>
    </row>
    <row r="2593" spans="1:5" x14ac:dyDescent="0.3">
      <c r="A2593" t="s">
        <v>33</v>
      </c>
      <c r="B2593" s="1">
        <v>44714</v>
      </c>
      <c r="C2593">
        <v>1</v>
      </c>
      <c r="D2593">
        <v>21.17</v>
      </c>
      <c r="E2593">
        <v>25</v>
      </c>
    </row>
    <row r="2594" spans="1:5" x14ac:dyDescent="0.3">
      <c r="A2594" t="s">
        <v>33</v>
      </c>
      <c r="B2594" s="1">
        <v>44714</v>
      </c>
      <c r="C2594">
        <v>1</v>
      </c>
      <c r="D2594">
        <v>21.17</v>
      </c>
      <c r="E2594">
        <v>25</v>
      </c>
    </row>
    <row r="2595" spans="1:5" x14ac:dyDescent="0.3">
      <c r="A2595" t="s">
        <v>124</v>
      </c>
      <c r="B2595" s="1">
        <v>44714</v>
      </c>
      <c r="C2595">
        <v>1</v>
      </c>
      <c r="D2595">
        <v>36.549999999999997</v>
      </c>
      <c r="E2595">
        <v>60</v>
      </c>
    </row>
    <row r="2596" spans="1:5" x14ac:dyDescent="0.3">
      <c r="A2596" t="s">
        <v>29</v>
      </c>
      <c r="B2596" s="1">
        <v>44714</v>
      </c>
      <c r="C2596">
        <v>1</v>
      </c>
      <c r="D2596">
        <v>480.05</v>
      </c>
      <c r="E2596">
        <v>658</v>
      </c>
    </row>
    <row r="2597" spans="1:5" x14ac:dyDescent="0.3">
      <c r="A2597" t="s">
        <v>13</v>
      </c>
      <c r="B2597" s="1">
        <v>44714</v>
      </c>
      <c r="C2597">
        <v>1</v>
      </c>
      <c r="D2597">
        <v>119.06</v>
      </c>
      <c r="E2597">
        <v>146</v>
      </c>
    </row>
    <row r="2598" spans="1:5" x14ac:dyDescent="0.3">
      <c r="A2598" t="s">
        <v>48</v>
      </c>
      <c r="B2598" s="1">
        <v>44714</v>
      </c>
      <c r="C2598">
        <v>1</v>
      </c>
      <c r="D2598">
        <v>39.83</v>
      </c>
      <c r="E2598">
        <v>63</v>
      </c>
    </row>
    <row r="2599" spans="1:5" x14ac:dyDescent="0.3">
      <c r="A2599" t="s">
        <v>147</v>
      </c>
      <c r="B2599" s="1">
        <v>44714</v>
      </c>
      <c r="C2599">
        <v>1</v>
      </c>
      <c r="D2599">
        <v>135.37</v>
      </c>
      <c r="E2599">
        <v>189</v>
      </c>
    </row>
    <row r="2600" spans="1:5" x14ac:dyDescent="0.3">
      <c r="A2600" t="s">
        <v>86</v>
      </c>
      <c r="B2600" s="1">
        <v>44714</v>
      </c>
      <c r="C2600">
        <v>1</v>
      </c>
      <c r="D2600">
        <v>47.4</v>
      </c>
      <c r="E2600">
        <v>76</v>
      </c>
    </row>
    <row r="2601" spans="1:5" x14ac:dyDescent="0.3">
      <c r="A2601" t="s">
        <v>122</v>
      </c>
      <c r="B2601" s="1">
        <v>44714</v>
      </c>
      <c r="C2601">
        <v>1</v>
      </c>
      <c r="D2601">
        <v>20.78</v>
      </c>
      <c r="E2601">
        <v>25</v>
      </c>
    </row>
    <row r="2602" spans="1:5" x14ac:dyDescent="0.3">
      <c r="A2602" t="s">
        <v>62</v>
      </c>
      <c r="B2602" s="1">
        <v>44714</v>
      </c>
      <c r="C2602">
        <v>1</v>
      </c>
      <c r="D2602">
        <v>25.71</v>
      </c>
      <c r="E2602">
        <v>31</v>
      </c>
    </row>
    <row r="2603" spans="1:5" x14ac:dyDescent="0.3">
      <c r="A2603" t="s">
        <v>136</v>
      </c>
      <c r="B2603" s="1">
        <v>44714</v>
      </c>
      <c r="C2603">
        <v>1</v>
      </c>
      <c r="D2603">
        <v>286.72000000000003</v>
      </c>
      <c r="E2603">
        <v>382</v>
      </c>
    </row>
    <row r="2604" spans="1:5" x14ac:dyDescent="0.3">
      <c r="A2604" t="s">
        <v>60</v>
      </c>
      <c r="B2604" s="1">
        <v>44714</v>
      </c>
      <c r="C2604">
        <v>1</v>
      </c>
      <c r="D2604">
        <v>58.15</v>
      </c>
      <c r="E2604">
        <v>72</v>
      </c>
    </row>
    <row r="2605" spans="1:5" x14ac:dyDescent="0.3">
      <c r="A2605" t="s">
        <v>5</v>
      </c>
      <c r="B2605" s="1">
        <v>44714</v>
      </c>
      <c r="C2605">
        <v>1</v>
      </c>
      <c r="D2605">
        <v>145.6</v>
      </c>
      <c r="E2605">
        <v>169</v>
      </c>
    </row>
    <row r="2606" spans="1:5" x14ac:dyDescent="0.3">
      <c r="A2606" t="s">
        <v>20</v>
      </c>
      <c r="B2606" s="1">
        <v>44714</v>
      </c>
      <c r="C2606">
        <v>1</v>
      </c>
      <c r="D2606">
        <v>19.71</v>
      </c>
      <c r="E2606">
        <v>25</v>
      </c>
    </row>
    <row r="2607" spans="1:5" x14ac:dyDescent="0.3">
      <c r="A2607" t="s">
        <v>107</v>
      </c>
      <c r="B2607" s="1">
        <v>44714</v>
      </c>
      <c r="C2607">
        <v>1</v>
      </c>
      <c r="D2607">
        <v>71.78</v>
      </c>
      <c r="E2607">
        <v>89</v>
      </c>
    </row>
    <row r="2608" spans="1:5" x14ac:dyDescent="0.3">
      <c r="A2608" t="s">
        <v>30</v>
      </c>
      <c r="B2608" s="1">
        <v>44714</v>
      </c>
      <c r="C2608">
        <v>1</v>
      </c>
      <c r="D2608">
        <v>156.19999999999999</v>
      </c>
      <c r="E2608">
        <v>186</v>
      </c>
    </row>
    <row r="2609" spans="1:5" x14ac:dyDescent="0.3">
      <c r="A2609" t="s">
        <v>55</v>
      </c>
      <c r="B2609" s="1">
        <v>44714</v>
      </c>
      <c r="C2609">
        <v>1</v>
      </c>
      <c r="D2609">
        <v>77.510000000000005</v>
      </c>
      <c r="E2609">
        <v>97</v>
      </c>
    </row>
    <row r="2610" spans="1:5" x14ac:dyDescent="0.3">
      <c r="A2610" t="s">
        <v>95</v>
      </c>
      <c r="B2610" s="1">
        <v>44714</v>
      </c>
      <c r="C2610">
        <v>1</v>
      </c>
      <c r="D2610">
        <v>131.07</v>
      </c>
      <c r="E2610">
        <v>206</v>
      </c>
    </row>
    <row r="2611" spans="1:5" x14ac:dyDescent="0.3">
      <c r="A2611" t="s">
        <v>134</v>
      </c>
      <c r="B2611" s="1">
        <v>44714</v>
      </c>
      <c r="C2611">
        <v>1</v>
      </c>
      <c r="D2611">
        <v>26.85</v>
      </c>
      <c r="E2611">
        <v>41</v>
      </c>
    </row>
    <row r="2612" spans="1:5" x14ac:dyDescent="0.3">
      <c r="A2612" t="s">
        <v>134</v>
      </c>
      <c r="B2612" s="1">
        <v>44714</v>
      </c>
      <c r="C2612">
        <v>1</v>
      </c>
      <c r="D2612">
        <v>26.85</v>
      </c>
      <c r="E2612">
        <v>41</v>
      </c>
    </row>
    <row r="2613" spans="1:5" x14ac:dyDescent="0.3">
      <c r="A2613" t="s">
        <v>121</v>
      </c>
      <c r="B2613" s="1">
        <v>44714</v>
      </c>
      <c r="C2613">
        <v>1</v>
      </c>
      <c r="D2613">
        <v>10.4</v>
      </c>
      <c r="E2613">
        <v>17</v>
      </c>
    </row>
    <row r="2614" spans="1:5" x14ac:dyDescent="0.3">
      <c r="A2614" t="s">
        <v>121</v>
      </c>
      <c r="B2614" s="1">
        <v>44714</v>
      </c>
      <c r="C2614">
        <v>1</v>
      </c>
      <c r="D2614">
        <v>11.41</v>
      </c>
      <c r="E2614">
        <v>19</v>
      </c>
    </row>
    <row r="2615" spans="1:5" x14ac:dyDescent="0.3">
      <c r="A2615" t="s">
        <v>93</v>
      </c>
      <c r="B2615" s="1">
        <v>44714</v>
      </c>
      <c r="C2615">
        <v>1</v>
      </c>
      <c r="D2615">
        <v>80.27</v>
      </c>
      <c r="E2615">
        <v>114</v>
      </c>
    </row>
    <row r="2616" spans="1:5" x14ac:dyDescent="0.3">
      <c r="A2616" t="s">
        <v>119</v>
      </c>
      <c r="B2616" s="1">
        <v>44714</v>
      </c>
      <c r="C2616">
        <v>3.5714299999999997E-2</v>
      </c>
      <c r="D2616">
        <v>656.19</v>
      </c>
      <c r="E2616">
        <v>722</v>
      </c>
    </row>
    <row r="2617" spans="1:5" x14ac:dyDescent="0.3">
      <c r="A2617" t="s">
        <v>157</v>
      </c>
      <c r="B2617" s="1">
        <v>44714</v>
      </c>
      <c r="C2617">
        <v>1</v>
      </c>
      <c r="D2617">
        <v>12</v>
      </c>
      <c r="E2617">
        <v>20</v>
      </c>
    </row>
    <row r="2618" spans="1:5" x14ac:dyDescent="0.3">
      <c r="A2618" t="s">
        <v>12</v>
      </c>
      <c r="B2618" s="1">
        <v>44714</v>
      </c>
      <c r="C2618">
        <v>1</v>
      </c>
      <c r="D2618">
        <v>56.41</v>
      </c>
      <c r="E2618">
        <v>70</v>
      </c>
    </row>
    <row r="2619" spans="1:5" x14ac:dyDescent="0.3">
      <c r="A2619" t="s">
        <v>5</v>
      </c>
      <c r="B2619" s="1">
        <v>44714</v>
      </c>
      <c r="C2619">
        <v>1</v>
      </c>
      <c r="D2619">
        <v>130.75</v>
      </c>
      <c r="E2619">
        <v>160</v>
      </c>
    </row>
    <row r="2620" spans="1:5" x14ac:dyDescent="0.3">
      <c r="A2620" t="s">
        <v>20</v>
      </c>
      <c r="B2620" s="1">
        <v>44714</v>
      </c>
      <c r="C2620">
        <v>1</v>
      </c>
      <c r="D2620">
        <v>21.04</v>
      </c>
      <c r="E2620">
        <v>28</v>
      </c>
    </row>
    <row r="2621" spans="1:5" x14ac:dyDescent="0.3">
      <c r="A2621" t="s">
        <v>57</v>
      </c>
      <c r="B2621" s="1">
        <v>44714</v>
      </c>
      <c r="C2621">
        <v>1</v>
      </c>
      <c r="D2621">
        <v>245.58</v>
      </c>
      <c r="E2621">
        <v>307</v>
      </c>
    </row>
    <row r="2622" spans="1:5" x14ac:dyDescent="0.3">
      <c r="A2622" t="s">
        <v>5</v>
      </c>
      <c r="B2622" s="1">
        <v>44714</v>
      </c>
      <c r="C2622">
        <v>1</v>
      </c>
      <c r="D2622">
        <v>146.1</v>
      </c>
      <c r="E2622">
        <v>173</v>
      </c>
    </row>
    <row r="2623" spans="1:5" x14ac:dyDescent="0.3">
      <c r="A2623" t="s">
        <v>72</v>
      </c>
      <c r="B2623" s="1">
        <v>44714</v>
      </c>
      <c r="C2623">
        <v>1</v>
      </c>
      <c r="D2623">
        <v>556.51</v>
      </c>
      <c r="E2623">
        <v>735</v>
      </c>
    </row>
    <row r="2624" spans="1:5" x14ac:dyDescent="0.3">
      <c r="A2624" t="s">
        <v>72</v>
      </c>
      <c r="B2624" s="1">
        <v>44714</v>
      </c>
      <c r="C2624">
        <v>1</v>
      </c>
      <c r="D2624">
        <v>556.51</v>
      </c>
      <c r="E2624">
        <v>735</v>
      </c>
    </row>
    <row r="2625" spans="1:5" x14ac:dyDescent="0.3">
      <c r="A2625" t="s">
        <v>45</v>
      </c>
      <c r="B2625" s="1">
        <v>44714</v>
      </c>
      <c r="C2625">
        <v>1</v>
      </c>
      <c r="D2625">
        <v>26.54</v>
      </c>
      <c r="E2625">
        <v>43</v>
      </c>
    </row>
    <row r="2626" spans="1:5" x14ac:dyDescent="0.3">
      <c r="A2626" t="s">
        <v>75</v>
      </c>
      <c r="B2626" s="1">
        <v>44714</v>
      </c>
      <c r="C2626">
        <v>0.12</v>
      </c>
      <c r="D2626">
        <v>466.47</v>
      </c>
      <c r="E2626">
        <v>710</v>
      </c>
    </row>
    <row r="2627" spans="1:5" x14ac:dyDescent="0.3">
      <c r="A2627" t="s">
        <v>56</v>
      </c>
      <c r="B2627" s="1">
        <v>44714</v>
      </c>
      <c r="C2627">
        <v>1</v>
      </c>
      <c r="D2627">
        <v>45.36</v>
      </c>
      <c r="E2627">
        <v>71</v>
      </c>
    </row>
    <row r="2628" spans="1:5" x14ac:dyDescent="0.3">
      <c r="A2628" t="s">
        <v>141</v>
      </c>
      <c r="B2628" s="1">
        <v>44714</v>
      </c>
      <c r="C2628">
        <v>3</v>
      </c>
      <c r="D2628">
        <v>12.2</v>
      </c>
      <c r="E2628">
        <v>20</v>
      </c>
    </row>
    <row r="2629" spans="1:5" x14ac:dyDescent="0.3">
      <c r="A2629" t="s">
        <v>58</v>
      </c>
      <c r="B2629" s="1">
        <v>44714</v>
      </c>
      <c r="C2629">
        <v>1</v>
      </c>
      <c r="D2629">
        <v>60.5</v>
      </c>
      <c r="E2629">
        <v>73</v>
      </c>
    </row>
    <row r="2630" spans="1:5" x14ac:dyDescent="0.3">
      <c r="A2630" t="s">
        <v>58</v>
      </c>
      <c r="B2630" s="1">
        <v>44714</v>
      </c>
      <c r="C2630">
        <v>1</v>
      </c>
      <c r="D2630">
        <v>60.5</v>
      </c>
      <c r="E2630">
        <v>73</v>
      </c>
    </row>
    <row r="2631" spans="1:5" x14ac:dyDescent="0.3">
      <c r="A2631" t="s">
        <v>58</v>
      </c>
      <c r="B2631" s="1">
        <v>44714</v>
      </c>
      <c r="C2631">
        <v>1</v>
      </c>
      <c r="D2631">
        <v>60.5</v>
      </c>
      <c r="E2631">
        <v>73</v>
      </c>
    </row>
    <row r="2632" spans="1:5" x14ac:dyDescent="0.3">
      <c r="A2632" t="s">
        <v>102</v>
      </c>
      <c r="B2632" s="1">
        <v>44714</v>
      </c>
      <c r="C2632">
        <v>1</v>
      </c>
      <c r="D2632">
        <v>26.69</v>
      </c>
      <c r="E2632">
        <v>33</v>
      </c>
    </row>
    <row r="2633" spans="1:5" x14ac:dyDescent="0.3">
      <c r="A2633" t="s">
        <v>102</v>
      </c>
      <c r="B2633" s="1">
        <v>44714</v>
      </c>
      <c r="C2633">
        <v>1</v>
      </c>
      <c r="D2633">
        <v>26.69</v>
      </c>
      <c r="E2633">
        <v>33</v>
      </c>
    </row>
    <row r="2634" spans="1:5" x14ac:dyDescent="0.3">
      <c r="A2634" t="s">
        <v>102</v>
      </c>
      <c r="B2634" s="1">
        <v>44714</v>
      </c>
      <c r="C2634">
        <v>1</v>
      </c>
      <c r="D2634">
        <v>26.69</v>
      </c>
      <c r="E2634">
        <v>33</v>
      </c>
    </row>
    <row r="2635" spans="1:5" x14ac:dyDescent="0.3">
      <c r="A2635" t="s">
        <v>11</v>
      </c>
      <c r="B2635" s="1">
        <v>44714</v>
      </c>
      <c r="C2635">
        <v>1</v>
      </c>
      <c r="D2635">
        <v>24.2</v>
      </c>
      <c r="E2635">
        <v>40</v>
      </c>
    </row>
    <row r="2636" spans="1:5" x14ac:dyDescent="0.3">
      <c r="A2636" t="s">
        <v>25</v>
      </c>
      <c r="B2636" s="1">
        <v>44714</v>
      </c>
      <c r="C2636">
        <v>1</v>
      </c>
      <c r="D2636">
        <v>147.55000000000001</v>
      </c>
      <c r="E2636">
        <v>177</v>
      </c>
    </row>
    <row r="2637" spans="1:5" x14ac:dyDescent="0.3">
      <c r="A2637" t="s">
        <v>46</v>
      </c>
      <c r="B2637" s="1">
        <v>44714</v>
      </c>
      <c r="C2637">
        <v>1</v>
      </c>
      <c r="D2637">
        <v>19.420000000000002</v>
      </c>
      <c r="E2637">
        <v>23</v>
      </c>
    </row>
    <row r="2638" spans="1:5" x14ac:dyDescent="0.3">
      <c r="A2638" t="s">
        <v>24</v>
      </c>
      <c r="B2638" s="1">
        <v>44714</v>
      </c>
      <c r="C2638">
        <v>1</v>
      </c>
      <c r="D2638">
        <v>103.46</v>
      </c>
      <c r="E2638">
        <v>121</v>
      </c>
    </row>
    <row r="2639" spans="1:5" x14ac:dyDescent="0.3">
      <c r="A2639" t="s">
        <v>28</v>
      </c>
      <c r="B2639" s="1">
        <v>44714</v>
      </c>
      <c r="C2639">
        <v>1</v>
      </c>
      <c r="D2639">
        <v>148.91</v>
      </c>
      <c r="E2639">
        <v>204</v>
      </c>
    </row>
    <row r="2640" spans="1:5" x14ac:dyDescent="0.3">
      <c r="A2640" t="s">
        <v>99</v>
      </c>
      <c r="B2640" s="1">
        <v>44714</v>
      </c>
      <c r="C2640">
        <v>1</v>
      </c>
      <c r="D2640">
        <v>64.25</v>
      </c>
      <c r="E2640">
        <v>76</v>
      </c>
    </row>
    <row r="2641" spans="1:5" x14ac:dyDescent="0.3">
      <c r="A2641" t="s">
        <v>68</v>
      </c>
      <c r="B2641" s="1">
        <v>44714</v>
      </c>
      <c r="C2641">
        <v>1</v>
      </c>
      <c r="D2641">
        <v>56.58</v>
      </c>
      <c r="E2641">
        <v>86</v>
      </c>
    </row>
    <row r="2642" spans="1:5" x14ac:dyDescent="0.3">
      <c r="A2642" t="s">
        <v>65</v>
      </c>
      <c r="B2642" s="1">
        <v>44714</v>
      </c>
      <c r="C2642">
        <v>1</v>
      </c>
      <c r="D2642">
        <v>176.77</v>
      </c>
      <c r="E2642">
        <v>221</v>
      </c>
    </row>
    <row r="2643" spans="1:5" x14ac:dyDescent="0.3">
      <c r="A2643" t="s">
        <v>48</v>
      </c>
      <c r="B2643" s="1">
        <v>44714</v>
      </c>
      <c r="C2643">
        <v>1</v>
      </c>
      <c r="D2643">
        <v>39.83</v>
      </c>
      <c r="E2643">
        <v>61</v>
      </c>
    </row>
    <row r="2644" spans="1:5" x14ac:dyDescent="0.3">
      <c r="A2644" t="s">
        <v>117</v>
      </c>
      <c r="B2644" s="1">
        <v>44714</v>
      </c>
      <c r="C2644">
        <v>1</v>
      </c>
      <c r="D2644">
        <v>23.14</v>
      </c>
      <c r="E2644">
        <v>28</v>
      </c>
    </row>
    <row r="2645" spans="1:5" x14ac:dyDescent="0.3">
      <c r="A2645" t="s">
        <v>34</v>
      </c>
      <c r="B2645" s="1">
        <v>44714</v>
      </c>
      <c r="C2645">
        <v>1</v>
      </c>
      <c r="D2645">
        <v>200.36</v>
      </c>
      <c r="E2645">
        <v>231</v>
      </c>
    </row>
    <row r="2646" spans="1:5" x14ac:dyDescent="0.3">
      <c r="A2646" t="s">
        <v>59</v>
      </c>
      <c r="B2646" s="1">
        <v>44714</v>
      </c>
      <c r="C2646">
        <v>1</v>
      </c>
      <c r="D2646">
        <v>14.55</v>
      </c>
      <c r="E2646">
        <v>24</v>
      </c>
    </row>
    <row r="2647" spans="1:5" x14ac:dyDescent="0.3">
      <c r="A2647" t="s">
        <v>20</v>
      </c>
      <c r="B2647" s="1">
        <v>44714</v>
      </c>
      <c r="C2647">
        <v>1</v>
      </c>
      <c r="D2647">
        <v>19.71</v>
      </c>
      <c r="E2647">
        <v>26</v>
      </c>
    </row>
    <row r="2648" spans="1:5" x14ac:dyDescent="0.3">
      <c r="A2648" t="s">
        <v>20</v>
      </c>
      <c r="B2648" s="1">
        <v>44714</v>
      </c>
      <c r="C2648">
        <v>1</v>
      </c>
      <c r="D2648">
        <v>19.71</v>
      </c>
      <c r="E2648">
        <v>26</v>
      </c>
    </row>
    <row r="2649" spans="1:5" x14ac:dyDescent="0.3">
      <c r="A2649" t="s">
        <v>20</v>
      </c>
      <c r="B2649" s="1">
        <v>44714</v>
      </c>
      <c r="C2649">
        <v>1</v>
      </c>
      <c r="D2649">
        <v>19.71</v>
      </c>
      <c r="E2649">
        <v>26</v>
      </c>
    </row>
    <row r="2650" spans="1:5" x14ac:dyDescent="0.3">
      <c r="A2650" t="s">
        <v>20</v>
      </c>
      <c r="B2650" s="1">
        <v>44714</v>
      </c>
      <c r="C2650">
        <v>1</v>
      </c>
      <c r="D2650">
        <v>19.71</v>
      </c>
      <c r="E2650">
        <v>26</v>
      </c>
    </row>
    <row r="2651" spans="1:5" x14ac:dyDescent="0.3">
      <c r="A2651" t="s">
        <v>20</v>
      </c>
      <c r="B2651" s="1">
        <v>44714</v>
      </c>
      <c r="C2651">
        <v>1</v>
      </c>
      <c r="D2651">
        <v>19.71</v>
      </c>
      <c r="E2651">
        <v>26</v>
      </c>
    </row>
    <row r="2652" spans="1:5" x14ac:dyDescent="0.3">
      <c r="A2652" t="s">
        <v>140</v>
      </c>
      <c r="B2652" s="1">
        <v>44714</v>
      </c>
      <c r="C2652">
        <v>1</v>
      </c>
      <c r="D2652">
        <v>153.78</v>
      </c>
      <c r="E2652">
        <v>186</v>
      </c>
    </row>
    <row r="2653" spans="1:5" x14ac:dyDescent="0.3">
      <c r="A2653" t="s">
        <v>154</v>
      </c>
      <c r="B2653" s="1">
        <v>44714</v>
      </c>
      <c r="C2653">
        <v>1</v>
      </c>
      <c r="D2653">
        <v>123.98</v>
      </c>
      <c r="E2653">
        <v>149</v>
      </c>
    </row>
    <row r="2654" spans="1:5" x14ac:dyDescent="0.3">
      <c r="A2654" t="s">
        <v>75</v>
      </c>
      <c r="B2654" s="1">
        <v>44714</v>
      </c>
      <c r="C2654">
        <v>0.16</v>
      </c>
      <c r="D2654">
        <v>463.1</v>
      </c>
      <c r="E2654">
        <v>649</v>
      </c>
    </row>
    <row r="2655" spans="1:5" x14ac:dyDescent="0.3">
      <c r="A2655" t="s">
        <v>155</v>
      </c>
      <c r="B2655" s="1">
        <v>44714</v>
      </c>
      <c r="C2655">
        <v>0.16</v>
      </c>
      <c r="D2655">
        <v>487.04</v>
      </c>
      <c r="E2655">
        <v>731</v>
      </c>
    </row>
    <row r="2656" spans="1:5" x14ac:dyDescent="0.3">
      <c r="A2656" t="s">
        <v>137</v>
      </c>
      <c r="B2656" s="1">
        <v>44714</v>
      </c>
      <c r="C2656">
        <v>1</v>
      </c>
      <c r="D2656">
        <v>10.53</v>
      </c>
      <c r="E2656">
        <v>18</v>
      </c>
    </row>
    <row r="2657" spans="1:5" x14ac:dyDescent="0.3">
      <c r="A2657" t="s">
        <v>137</v>
      </c>
      <c r="B2657" s="1">
        <v>44714</v>
      </c>
      <c r="C2657">
        <v>1</v>
      </c>
      <c r="D2657">
        <v>10.210000000000001</v>
      </c>
      <c r="E2657">
        <v>17</v>
      </c>
    </row>
    <row r="2658" spans="1:5" x14ac:dyDescent="0.3">
      <c r="A2658" t="s">
        <v>14</v>
      </c>
      <c r="B2658" s="1">
        <v>44714</v>
      </c>
      <c r="C2658">
        <v>0.5</v>
      </c>
      <c r="D2658">
        <v>455.4</v>
      </c>
      <c r="E2658">
        <v>624</v>
      </c>
    </row>
    <row r="2659" spans="1:5" x14ac:dyDescent="0.3">
      <c r="A2659" t="s">
        <v>143</v>
      </c>
      <c r="B2659" s="1">
        <v>44714</v>
      </c>
      <c r="C2659">
        <v>1</v>
      </c>
      <c r="D2659">
        <v>51.22</v>
      </c>
      <c r="E2659">
        <v>78</v>
      </c>
    </row>
    <row r="2660" spans="1:5" x14ac:dyDescent="0.3">
      <c r="A2660" t="s">
        <v>30</v>
      </c>
      <c r="B2660" s="1">
        <v>44714</v>
      </c>
      <c r="C2660">
        <v>1</v>
      </c>
      <c r="D2660">
        <v>156.19999999999999</v>
      </c>
      <c r="E2660">
        <v>189</v>
      </c>
    </row>
    <row r="2661" spans="1:5" x14ac:dyDescent="0.3">
      <c r="A2661" t="s">
        <v>121</v>
      </c>
      <c r="B2661" s="1">
        <v>44714</v>
      </c>
      <c r="C2661">
        <v>3</v>
      </c>
      <c r="D2661">
        <v>11.41</v>
      </c>
      <c r="E2661">
        <v>19</v>
      </c>
    </row>
    <row r="2662" spans="1:5" x14ac:dyDescent="0.3">
      <c r="A2662" t="s">
        <v>64</v>
      </c>
      <c r="B2662" s="1">
        <v>44714</v>
      </c>
      <c r="C2662">
        <v>1</v>
      </c>
      <c r="D2662">
        <v>199.07</v>
      </c>
      <c r="E2662">
        <v>277</v>
      </c>
    </row>
    <row r="2663" spans="1:5" x14ac:dyDescent="0.3">
      <c r="A2663" t="s">
        <v>100</v>
      </c>
      <c r="B2663" s="1">
        <v>44714</v>
      </c>
      <c r="C2663">
        <v>1</v>
      </c>
      <c r="D2663">
        <v>37.46</v>
      </c>
      <c r="E2663">
        <v>57</v>
      </c>
    </row>
    <row r="2664" spans="1:5" x14ac:dyDescent="0.3">
      <c r="A2664" t="s">
        <v>61</v>
      </c>
      <c r="B2664" s="1">
        <v>44714</v>
      </c>
      <c r="C2664">
        <v>1</v>
      </c>
      <c r="D2664">
        <v>32.909999999999997</v>
      </c>
      <c r="E2664">
        <v>51</v>
      </c>
    </row>
    <row r="2665" spans="1:5" x14ac:dyDescent="0.3">
      <c r="A2665" t="s">
        <v>61</v>
      </c>
      <c r="B2665" s="1">
        <v>44714</v>
      </c>
      <c r="C2665">
        <v>1</v>
      </c>
      <c r="D2665">
        <v>32.909999999999997</v>
      </c>
      <c r="E2665">
        <v>51</v>
      </c>
    </row>
    <row r="2666" spans="1:5" x14ac:dyDescent="0.3">
      <c r="A2666" t="s">
        <v>25</v>
      </c>
      <c r="B2666" s="1">
        <v>44714</v>
      </c>
      <c r="C2666">
        <v>1</v>
      </c>
      <c r="D2666">
        <v>148.52000000000001</v>
      </c>
      <c r="E2666">
        <v>181</v>
      </c>
    </row>
    <row r="2667" spans="1:5" x14ac:dyDescent="0.3">
      <c r="A2667" t="s">
        <v>48</v>
      </c>
      <c r="B2667" s="1">
        <v>44714</v>
      </c>
      <c r="C2667">
        <v>1</v>
      </c>
      <c r="D2667">
        <v>41.54</v>
      </c>
      <c r="E2667">
        <v>65</v>
      </c>
    </row>
    <row r="2668" spans="1:5" x14ac:dyDescent="0.3">
      <c r="A2668" t="s">
        <v>62</v>
      </c>
      <c r="B2668" s="1">
        <v>44714</v>
      </c>
      <c r="C2668">
        <v>1</v>
      </c>
      <c r="D2668">
        <v>25.15</v>
      </c>
      <c r="E2668">
        <v>30</v>
      </c>
    </row>
    <row r="2669" spans="1:5" x14ac:dyDescent="0.3">
      <c r="A2669" t="s">
        <v>98</v>
      </c>
      <c r="B2669" s="1">
        <v>44714</v>
      </c>
      <c r="C2669">
        <v>1</v>
      </c>
      <c r="D2669">
        <v>111.32</v>
      </c>
      <c r="E2669">
        <v>134</v>
      </c>
    </row>
    <row r="2670" spans="1:5" x14ac:dyDescent="0.3">
      <c r="A2670" t="s">
        <v>36</v>
      </c>
      <c r="B2670" s="1">
        <v>44714</v>
      </c>
      <c r="C2670">
        <v>1</v>
      </c>
      <c r="D2670">
        <v>22.03</v>
      </c>
      <c r="E2670">
        <v>28</v>
      </c>
    </row>
    <row r="2671" spans="1:5" x14ac:dyDescent="0.3">
      <c r="A2671" t="s">
        <v>36</v>
      </c>
      <c r="B2671" s="1">
        <v>44714</v>
      </c>
      <c r="C2671">
        <v>1</v>
      </c>
      <c r="D2671">
        <v>22.03</v>
      </c>
      <c r="E2671">
        <v>28</v>
      </c>
    </row>
    <row r="2672" spans="1:5" x14ac:dyDescent="0.3">
      <c r="A2672" t="s">
        <v>134</v>
      </c>
      <c r="B2672" s="1">
        <v>44714</v>
      </c>
      <c r="C2672">
        <v>1</v>
      </c>
      <c r="D2672">
        <v>26.85</v>
      </c>
      <c r="E2672">
        <v>41</v>
      </c>
    </row>
    <row r="2673" spans="1:5" x14ac:dyDescent="0.3">
      <c r="A2673" t="s">
        <v>144</v>
      </c>
      <c r="B2673" s="1">
        <v>44714</v>
      </c>
      <c r="C2673">
        <v>1</v>
      </c>
      <c r="D2673">
        <v>51.98</v>
      </c>
      <c r="E2673">
        <v>81</v>
      </c>
    </row>
    <row r="2674" spans="1:5" x14ac:dyDescent="0.3">
      <c r="A2674" t="s">
        <v>24</v>
      </c>
      <c r="B2674" s="1">
        <v>44714</v>
      </c>
      <c r="C2674">
        <v>1</v>
      </c>
      <c r="D2674">
        <v>103.19</v>
      </c>
      <c r="E2674">
        <v>116</v>
      </c>
    </row>
    <row r="2675" spans="1:5" x14ac:dyDescent="0.3">
      <c r="A2675" t="s">
        <v>24</v>
      </c>
      <c r="B2675" s="1">
        <v>44714</v>
      </c>
      <c r="C2675">
        <v>1</v>
      </c>
      <c r="D2675">
        <v>103.19</v>
      </c>
      <c r="E2675">
        <v>116</v>
      </c>
    </row>
    <row r="2676" spans="1:5" x14ac:dyDescent="0.3">
      <c r="A2676" t="s">
        <v>149</v>
      </c>
      <c r="B2676" s="1">
        <v>44714</v>
      </c>
      <c r="C2676">
        <v>1</v>
      </c>
      <c r="D2676">
        <v>212.71</v>
      </c>
      <c r="E2676">
        <v>288</v>
      </c>
    </row>
    <row r="2677" spans="1:5" x14ac:dyDescent="0.3">
      <c r="A2677" t="s">
        <v>149</v>
      </c>
      <c r="B2677" s="1">
        <v>44714</v>
      </c>
      <c r="C2677">
        <v>1</v>
      </c>
      <c r="D2677">
        <v>212.71</v>
      </c>
      <c r="E2677">
        <v>288</v>
      </c>
    </row>
    <row r="2678" spans="1:5" x14ac:dyDescent="0.3">
      <c r="A2678" t="s">
        <v>78</v>
      </c>
      <c r="B2678" s="1">
        <v>44714</v>
      </c>
      <c r="C2678">
        <v>1</v>
      </c>
      <c r="D2678">
        <v>69.599999999999994</v>
      </c>
      <c r="E2678">
        <v>88</v>
      </c>
    </row>
    <row r="2679" spans="1:5" x14ac:dyDescent="0.3">
      <c r="A2679" t="s">
        <v>78</v>
      </c>
      <c r="B2679" s="1">
        <v>44714</v>
      </c>
      <c r="C2679">
        <v>1</v>
      </c>
      <c r="D2679">
        <v>69.599999999999994</v>
      </c>
      <c r="E2679">
        <v>88</v>
      </c>
    </row>
    <row r="2680" spans="1:5" x14ac:dyDescent="0.3">
      <c r="A2680" t="s">
        <v>79</v>
      </c>
      <c r="B2680" s="1">
        <v>44714</v>
      </c>
      <c r="C2680">
        <v>1</v>
      </c>
      <c r="D2680">
        <v>148.5</v>
      </c>
      <c r="E2680">
        <v>177</v>
      </c>
    </row>
    <row r="2681" spans="1:5" x14ac:dyDescent="0.3">
      <c r="A2681" t="s">
        <v>153</v>
      </c>
      <c r="B2681" s="1">
        <v>44714</v>
      </c>
      <c r="C2681">
        <v>1</v>
      </c>
      <c r="D2681">
        <v>10.34</v>
      </c>
      <c r="E2681">
        <v>12</v>
      </c>
    </row>
    <row r="2682" spans="1:5" x14ac:dyDescent="0.3">
      <c r="A2682" t="s">
        <v>85</v>
      </c>
      <c r="B2682" s="1">
        <v>44714</v>
      </c>
      <c r="C2682">
        <v>1</v>
      </c>
      <c r="D2682">
        <v>17</v>
      </c>
      <c r="E2682">
        <v>26</v>
      </c>
    </row>
    <row r="2683" spans="1:5" x14ac:dyDescent="0.3">
      <c r="A2683" t="s">
        <v>85</v>
      </c>
      <c r="B2683" s="1">
        <v>44714</v>
      </c>
      <c r="C2683">
        <v>1</v>
      </c>
      <c r="D2683">
        <v>16.489999999999998</v>
      </c>
      <c r="E2683">
        <v>26</v>
      </c>
    </row>
    <row r="2684" spans="1:5" x14ac:dyDescent="0.3">
      <c r="A2684" t="s">
        <v>85</v>
      </c>
      <c r="B2684" s="1">
        <v>44714</v>
      </c>
      <c r="C2684">
        <v>1</v>
      </c>
      <c r="D2684">
        <v>16.489999999999998</v>
      </c>
      <c r="E2684">
        <v>26</v>
      </c>
    </row>
    <row r="2685" spans="1:5" x14ac:dyDescent="0.3">
      <c r="A2685" t="s">
        <v>20</v>
      </c>
      <c r="B2685" s="1">
        <v>44714</v>
      </c>
      <c r="C2685">
        <v>1</v>
      </c>
      <c r="D2685">
        <v>19.71</v>
      </c>
      <c r="E2685">
        <v>25</v>
      </c>
    </row>
    <row r="2686" spans="1:5" x14ac:dyDescent="0.3">
      <c r="A2686" t="s">
        <v>128</v>
      </c>
      <c r="B2686" s="1">
        <v>44714</v>
      </c>
      <c r="C2686">
        <v>1</v>
      </c>
      <c r="D2686">
        <v>313.23</v>
      </c>
      <c r="E2686">
        <v>433</v>
      </c>
    </row>
    <row r="2687" spans="1:5" x14ac:dyDescent="0.3">
      <c r="A2687" t="s">
        <v>20</v>
      </c>
      <c r="B2687" s="1">
        <v>44714</v>
      </c>
      <c r="C2687">
        <v>1</v>
      </c>
      <c r="D2687">
        <v>21.04</v>
      </c>
      <c r="E2687">
        <v>28</v>
      </c>
    </row>
    <row r="2688" spans="1:5" x14ac:dyDescent="0.3">
      <c r="A2688" t="s">
        <v>20</v>
      </c>
      <c r="B2688" s="1">
        <v>44714</v>
      </c>
      <c r="C2688">
        <v>1</v>
      </c>
      <c r="D2688">
        <v>21.04</v>
      </c>
      <c r="E2688">
        <v>28</v>
      </c>
    </row>
    <row r="2689" spans="1:5" x14ac:dyDescent="0.3">
      <c r="A2689" t="s">
        <v>37</v>
      </c>
      <c r="B2689" s="1">
        <v>44714</v>
      </c>
      <c r="C2689">
        <v>1</v>
      </c>
      <c r="D2689">
        <v>51.31</v>
      </c>
      <c r="E2689">
        <v>65</v>
      </c>
    </row>
    <row r="2690" spans="1:5" x14ac:dyDescent="0.3">
      <c r="A2690" t="s">
        <v>37</v>
      </c>
      <c r="B2690" s="1">
        <v>44714</v>
      </c>
      <c r="C2690">
        <v>1</v>
      </c>
      <c r="D2690">
        <v>51.31</v>
      </c>
      <c r="E2690">
        <v>65</v>
      </c>
    </row>
    <row r="2691" spans="1:5" x14ac:dyDescent="0.3">
      <c r="A2691" t="s">
        <v>115</v>
      </c>
      <c r="B2691" s="1">
        <v>44714</v>
      </c>
      <c r="C2691">
        <v>1</v>
      </c>
      <c r="D2691">
        <v>71.31</v>
      </c>
      <c r="E2691">
        <v>90</v>
      </c>
    </row>
    <row r="2692" spans="1:5" x14ac:dyDescent="0.3">
      <c r="A2692" t="s">
        <v>37</v>
      </c>
      <c r="B2692" s="1">
        <v>44714</v>
      </c>
      <c r="C2692">
        <v>1</v>
      </c>
      <c r="D2692">
        <v>51.31</v>
      </c>
      <c r="E2692">
        <v>65</v>
      </c>
    </row>
    <row r="2693" spans="1:5" x14ac:dyDescent="0.3">
      <c r="A2693" t="s">
        <v>141</v>
      </c>
      <c r="B2693" s="1">
        <v>44714</v>
      </c>
      <c r="C2693">
        <v>2</v>
      </c>
      <c r="D2693">
        <v>12.2</v>
      </c>
      <c r="E2693">
        <v>20</v>
      </c>
    </row>
    <row r="2694" spans="1:5" x14ac:dyDescent="0.3">
      <c r="A2694" t="s">
        <v>77</v>
      </c>
      <c r="B2694" s="1">
        <v>44714</v>
      </c>
      <c r="C2694">
        <v>1</v>
      </c>
      <c r="D2694">
        <v>58.22</v>
      </c>
      <c r="E2694">
        <v>73</v>
      </c>
    </row>
    <row r="2695" spans="1:5" x14ac:dyDescent="0.3">
      <c r="A2695" t="s">
        <v>31</v>
      </c>
      <c r="B2695" s="1">
        <v>44714</v>
      </c>
      <c r="C2695">
        <v>1</v>
      </c>
      <c r="D2695">
        <v>14.1</v>
      </c>
      <c r="E2695">
        <v>19</v>
      </c>
    </row>
    <row r="2696" spans="1:5" x14ac:dyDescent="0.3">
      <c r="A2696" t="s">
        <v>127</v>
      </c>
      <c r="B2696" s="1">
        <v>44714</v>
      </c>
      <c r="C2696">
        <v>1</v>
      </c>
      <c r="D2696">
        <v>119.64</v>
      </c>
      <c r="E2696">
        <v>167</v>
      </c>
    </row>
    <row r="2697" spans="1:5" x14ac:dyDescent="0.3">
      <c r="A2697" t="s">
        <v>41</v>
      </c>
      <c r="B2697" s="1">
        <v>44714</v>
      </c>
      <c r="C2697">
        <v>3</v>
      </c>
      <c r="D2697">
        <v>10.9</v>
      </c>
      <c r="E2697">
        <v>18</v>
      </c>
    </row>
    <row r="2698" spans="1:5" x14ac:dyDescent="0.3">
      <c r="A2698" t="s">
        <v>41</v>
      </c>
      <c r="B2698" s="1">
        <v>44714</v>
      </c>
      <c r="C2698">
        <v>1</v>
      </c>
      <c r="D2698">
        <v>11.1</v>
      </c>
      <c r="E2698">
        <v>18</v>
      </c>
    </row>
    <row r="2699" spans="1:5" x14ac:dyDescent="0.3">
      <c r="A2699" t="s">
        <v>25</v>
      </c>
      <c r="B2699" s="1">
        <v>44714</v>
      </c>
      <c r="C2699">
        <v>1</v>
      </c>
      <c r="D2699">
        <v>147.55000000000001</v>
      </c>
      <c r="E2699">
        <v>181</v>
      </c>
    </row>
    <row r="2700" spans="1:5" x14ac:dyDescent="0.3">
      <c r="A2700" t="s">
        <v>115</v>
      </c>
      <c r="B2700" s="1">
        <v>44714</v>
      </c>
      <c r="C2700">
        <v>1</v>
      </c>
      <c r="D2700">
        <v>71.31</v>
      </c>
      <c r="E2700">
        <v>90</v>
      </c>
    </row>
    <row r="2701" spans="1:5" x14ac:dyDescent="0.3">
      <c r="A2701" t="s">
        <v>65</v>
      </c>
      <c r="B2701" s="1">
        <v>44714</v>
      </c>
      <c r="C2701">
        <v>1</v>
      </c>
      <c r="D2701">
        <v>187.36</v>
      </c>
      <c r="E2701">
        <v>220</v>
      </c>
    </row>
    <row r="2702" spans="1:5" x14ac:dyDescent="0.3">
      <c r="A2702" t="s">
        <v>88</v>
      </c>
      <c r="B2702" s="1">
        <v>44714</v>
      </c>
      <c r="C2702">
        <v>1</v>
      </c>
      <c r="D2702">
        <v>102.08</v>
      </c>
      <c r="E2702">
        <v>157</v>
      </c>
    </row>
    <row r="2703" spans="1:5" x14ac:dyDescent="0.3">
      <c r="A2703" t="s">
        <v>24</v>
      </c>
      <c r="B2703" s="1">
        <v>44714</v>
      </c>
      <c r="C2703">
        <v>1</v>
      </c>
      <c r="D2703">
        <v>101.95</v>
      </c>
      <c r="E2703">
        <v>122</v>
      </c>
    </row>
    <row r="2704" spans="1:5" x14ac:dyDescent="0.3">
      <c r="A2704" t="s">
        <v>9</v>
      </c>
      <c r="B2704" s="1">
        <v>44714</v>
      </c>
      <c r="C2704">
        <v>1</v>
      </c>
      <c r="D2704">
        <v>80.69</v>
      </c>
      <c r="E2704">
        <v>98</v>
      </c>
    </row>
    <row r="2705" spans="1:5" x14ac:dyDescent="0.3">
      <c r="A2705" t="s">
        <v>59</v>
      </c>
      <c r="B2705" s="1">
        <v>44714</v>
      </c>
      <c r="C2705">
        <v>2</v>
      </c>
      <c r="D2705">
        <v>14.55</v>
      </c>
      <c r="E2705">
        <v>24</v>
      </c>
    </row>
    <row r="2706" spans="1:5" x14ac:dyDescent="0.3">
      <c r="A2706" t="s">
        <v>61</v>
      </c>
      <c r="B2706" s="1">
        <v>44714</v>
      </c>
      <c r="C2706">
        <v>1</v>
      </c>
      <c r="D2706">
        <v>33.08</v>
      </c>
      <c r="E2706">
        <v>51</v>
      </c>
    </row>
    <row r="2707" spans="1:5" x14ac:dyDescent="0.3">
      <c r="A2707" t="s">
        <v>8</v>
      </c>
      <c r="B2707" s="1">
        <v>44714</v>
      </c>
      <c r="C2707">
        <v>1</v>
      </c>
      <c r="D2707">
        <v>47.67</v>
      </c>
      <c r="E2707">
        <v>77</v>
      </c>
    </row>
    <row r="2708" spans="1:5" x14ac:dyDescent="0.3">
      <c r="A2708" t="s">
        <v>56</v>
      </c>
      <c r="B2708" s="1">
        <v>44714</v>
      </c>
      <c r="C2708">
        <v>1</v>
      </c>
      <c r="D2708">
        <v>45.36</v>
      </c>
      <c r="E2708">
        <v>71</v>
      </c>
    </row>
    <row r="2709" spans="1:5" x14ac:dyDescent="0.3">
      <c r="A2709" t="s">
        <v>65</v>
      </c>
      <c r="B2709" s="1">
        <v>44714</v>
      </c>
      <c r="C2709">
        <v>1</v>
      </c>
      <c r="D2709">
        <v>184.45</v>
      </c>
      <c r="E2709">
        <v>216</v>
      </c>
    </row>
    <row r="2710" spans="1:5" x14ac:dyDescent="0.3">
      <c r="A2710" t="s">
        <v>75</v>
      </c>
      <c r="B2710" s="1">
        <v>44714</v>
      </c>
      <c r="C2710">
        <v>0.08</v>
      </c>
      <c r="D2710">
        <v>490.56</v>
      </c>
      <c r="E2710">
        <v>687</v>
      </c>
    </row>
    <row r="2711" spans="1:5" x14ac:dyDescent="0.3">
      <c r="A2711" t="s">
        <v>137</v>
      </c>
      <c r="B2711" s="1">
        <v>44714</v>
      </c>
      <c r="C2711">
        <v>2</v>
      </c>
      <c r="D2711">
        <v>9.6199999999999992</v>
      </c>
      <c r="E2711">
        <v>16</v>
      </c>
    </row>
    <row r="2712" spans="1:5" x14ac:dyDescent="0.3">
      <c r="A2712" t="s">
        <v>122</v>
      </c>
      <c r="B2712" s="1">
        <v>44714</v>
      </c>
      <c r="C2712">
        <v>1</v>
      </c>
      <c r="D2712">
        <v>20.48</v>
      </c>
      <c r="E2712">
        <v>25</v>
      </c>
    </row>
    <row r="2713" spans="1:5" x14ac:dyDescent="0.3">
      <c r="A2713" t="s">
        <v>125</v>
      </c>
      <c r="B2713" s="1">
        <v>44714</v>
      </c>
      <c r="C2713">
        <v>1</v>
      </c>
      <c r="D2713">
        <v>337.24</v>
      </c>
      <c r="E2713">
        <v>446</v>
      </c>
    </row>
    <row r="2714" spans="1:5" x14ac:dyDescent="0.3">
      <c r="A2714" t="s">
        <v>95</v>
      </c>
      <c r="B2714" s="1">
        <v>44714</v>
      </c>
      <c r="C2714">
        <v>1</v>
      </c>
      <c r="D2714">
        <v>129.4</v>
      </c>
      <c r="E2714">
        <v>197</v>
      </c>
    </row>
    <row r="2715" spans="1:5" x14ac:dyDescent="0.3">
      <c r="A2715" t="s">
        <v>118</v>
      </c>
      <c r="B2715" s="1">
        <v>44714</v>
      </c>
      <c r="C2715">
        <v>1</v>
      </c>
      <c r="D2715">
        <v>10.78</v>
      </c>
      <c r="E2715">
        <v>13</v>
      </c>
    </row>
    <row r="2716" spans="1:5" x14ac:dyDescent="0.3">
      <c r="A2716" t="s">
        <v>128</v>
      </c>
      <c r="B2716" s="1">
        <v>44714</v>
      </c>
      <c r="C2716">
        <v>1</v>
      </c>
      <c r="D2716">
        <v>261.16000000000003</v>
      </c>
      <c r="E2716">
        <v>361</v>
      </c>
    </row>
    <row r="2717" spans="1:5" x14ac:dyDescent="0.3">
      <c r="A2717" t="s">
        <v>106</v>
      </c>
      <c r="B2717" s="1">
        <v>44714</v>
      </c>
      <c r="C2717">
        <v>1</v>
      </c>
      <c r="D2717">
        <v>46.2</v>
      </c>
      <c r="E2717">
        <v>56</v>
      </c>
    </row>
    <row r="2718" spans="1:5" x14ac:dyDescent="0.3">
      <c r="A2718" t="s">
        <v>139</v>
      </c>
      <c r="B2718" s="1">
        <v>44714</v>
      </c>
      <c r="C2718">
        <v>1</v>
      </c>
      <c r="D2718">
        <v>24.18</v>
      </c>
      <c r="E2718">
        <v>39</v>
      </c>
    </row>
    <row r="2719" spans="1:5" x14ac:dyDescent="0.3">
      <c r="A2719" t="s">
        <v>49</v>
      </c>
      <c r="B2719" s="1">
        <v>44714</v>
      </c>
      <c r="C2719">
        <v>1</v>
      </c>
      <c r="D2719">
        <v>15.82</v>
      </c>
      <c r="E2719">
        <v>20</v>
      </c>
    </row>
    <row r="2720" spans="1:5" x14ac:dyDescent="0.3">
      <c r="A2720" t="s">
        <v>121</v>
      </c>
      <c r="B2720" s="1">
        <v>44713</v>
      </c>
      <c r="C2720">
        <v>2</v>
      </c>
      <c r="D2720">
        <v>10.4</v>
      </c>
      <c r="E2720">
        <v>17</v>
      </c>
    </row>
    <row r="2721" spans="1:5" x14ac:dyDescent="0.3">
      <c r="A2721" t="s">
        <v>88</v>
      </c>
      <c r="B2721" s="1">
        <v>44713</v>
      </c>
      <c r="C2721">
        <v>1</v>
      </c>
      <c r="D2721">
        <v>132</v>
      </c>
      <c r="E2721">
        <v>202</v>
      </c>
    </row>
    <row r="2722" spans="1:5" x14ac:dyDescent="0.3">
      <c r="A2722" t="s">
        <v>16</v>
      </c>
      <c r="B2722" s="1">
        <v>44713</v>
      </c>
      <c r="C2722">
        <v>1</v>
      </c>
      <c r="D2722">
        <v>43.22</v>
      </c>
      <c r="E2722">
        <v>68</v>
      </c>
    </row>
    <row r="2723" spans="1:5" x14ac:dyDescent="0.3">
      <c r="A2723" t="s">
        <v>16</v>
      </c>
      <c r="B2723" s="1">
        <v>44713</v>
      </c>
      <c r="C2723">
        <v>1</v>
      </c>
      <c r="D2723">
        <v>43.22</v>
      </c>
      <c r="E2723">
        <v>68</v>
      </c>
    </row>
    <row r="2724" spans="1:5" x14ac:dyDescent="0.3">
      <c r="A2724" t="s">
        <v>16</v>
      </c>
      <c r="B2724" s="1">
        <v>44713</v>
      </c>
      <c r="C2724">
        <v>1</v>
      </c>
      <c r="D2724">
        <v>43.22</v>
      </c>
      <c r="E2724">
        <v>68</v>
      </c>
    </row>
    <row r="2725" spans="1:5" x14ac:dyDescent="0.3">
      <c r="A2725" t="s">
        <v>16</v>
      </c>
      <c r="B2725" s="1">
        <v>44713</v>
      </c>
      <c r="C2725">
        <v>1</v>
      </c>
      <c r="D2725">
        <v>44.03</v>
      </c>
      <c r="E2725">
        <v>70</v>
      </c>
    </row>
    <row r="2726" spans="1:5" x14ac:dyDescent="0.3">
      <c r="A2726" t="s">
        <v>23</v>
      </c>
      <c r="B2726" s="1">
        <v>44713</v>
      </c>
      <c r="C2726">
        <v>1</v>
      </c>
      <c r="D2726">
        <v>101.26</v>
      </c>
      <c r="E2726">
        <v>112</v>
      </c>
    </row>
    <row r="2727" spans="1:5" x14ac:dyDescent="0.3">
      <c r="A2727" t="s">
        <v>5</v>
      </c>
      <c r="B2727" s="1">
        <v>44713</v>
      </c>
      <c r="C2727">
        <v>1</v>
      </c>
      <c r="D2727">
        <v>130.43</v>
      </c>
      <c r="E2727">
        <v>150</v>
      </c>
    </row>
    <row r="2728" spans="1:5" x14ac:dyDescent="0.3">
      <c r="A2728" t="s">
        <v>127</v>
      </c>
      <c r="B2728" s="1">
        <v>44713</v>
      </c>
      <c r="C2728">
        <v>1</v>
      </c>
      <c r="D2728">
        <v>119.8</v>
      </c>
      <c r="E2728">
        <v>167</v>
      </c>
    </row>
    <row r="2729" spans="1:5" x14ac:dyDescent="0.3">
      <c r="A2729" t="s">
        <v>7</v>
      </c>
      <c r="B2729" s="1">
        <v>44713</v>
      </c>
      <c r="C2729">
        <v>1</v>
      </c>
      <c r="D2729">
        <v>88.43</v>
      </c>
      <c r="E2729">
        <v>104</v>
      </c>
    </row>
    <row r="2730" spans="1:5" x14ac:dyDescent="0.3">
      <c r="A2730" t="s">
        <v>6</v>
      </c>
      <c r="B2730" s="1">
        <v>44713</v>
      </c>
      <c r="C2730">
        <v>1</v>
      </c>
      <c r="D2730">
        <v>438.89</v>
      </c>
      <c r="E2730">
        <v>549</v>
      </c>
    </row>
    <row r="2731" spans="1:5" x14ac:dyDescent="0.3">
      <c r="A2731" t="s">
        <v>92</v>
      </c>
      <c r="B2731" s="1">
        <v>44713</v>
      </c>
      <c r="C2731">
        <v>50</v>
      </c>
      <c r="D2731">
        <v>6.24</v>
      </c>
      <c r="E2731">
        <v>9</v>
      </c>
    </row>
    <row r="2732" spans="1:5" x14ac:dyDescent="0.3">
      <c r="A2732" t="s">
        <v>77</v>
      </c>
      <c r="B2732" s="1">
        <v>44713</v>
      </c>
      <c r="C2732">
        <v>1</v>
      </c>
      <c r="D2732">
        <v>60.94</v>
      </c>
      <c r="E2732">
        <v>76</v>
      </c>
    </row>
    <row r="2733" spans="1:5" x14ac:dyDescent="0.3">
      <c r="A2733" t="s">
        <v>36</v>
      </c>
      <c r="B2733" s="1">
        <v>44713</v>
      </c>
      <c r="C2733">
        <v>1</v>
      </c>
      <c r="D2733">
        <v>22.05</v>
      </c>
      <c r="E2733">
        <v>28</v>
      </c>
    </row>
    <row r="2734" spans="1:5" x14ac:dyDescent="0.3">
      <c r="A2734" t="s">
        <v>36</v>
      </c>
      <c r="B2734" s="1">
        <v>44713</v>
      </c>
      <c r="C2734">
        <v>1</v>
      </c>
      <c r="D2734">
        <v>22.05</v>
      </c>
      <c r="E2734">
        <v>28</v>
      </c>
    </row>
    <row r="2735" spans="1:5" x14ac:dyDescent="0.3">
      <c r="A2735" t="s">
        <v>36</v>
      </c>
      <c r="B2735" s="1">
        <v>44713</v>
      </c>
      <c r="C2735">
        <v>1</v>
      </c>
      <c r="D2735">
        <v>22.05</v>
      </c>
      <c r="E2735">
        <v>28</v>
      </c>
    </row>
    <row r="2736" spans="1:5" x14ac:dyDescent="0.3">
      <c r="A2736" t="s">
        <v>20</v>
      </c>
      <c r="B2736" s="1">
        <v>44713</v>
      </c>
      <c r="C2736">
        <v>1</v>
      </c>
      <c r="D2736">
        <v>21.04</v>
      </c>
      <c r="E2736">
        <v>28</v>
      </c>
    </row>
    <row r="2737" spans="1:5" x14ac:dyDescent="0.3">
      <c r="A2737" t="s">
        <v>24</v>
      </c>
      <c r="B2737" s="1">
        <v>44713</v>
      </c>
      <c r="C2737">
        <v>1</v>
      </c>
      <c r="D2737">
        <v>103.49</v>
      </c>
      <c r="E2737">
        <v>122</v>
      </c>
    </row>
    <row r="2738" spans="1:5" x14ac:dyDescent="0.3">
      <c r="A2738" t="s">
        <v>41</v>
      </c>
      <c r="B2738" s="1">
        <v>44713</v>
      </c>
      <c r="C2738">
        <v>1</v>
      </c>
      <c r="D2738">
        <v>11.69</v>
      </c>
      <c r="E2738">
        <v>19</v>
      </c>
    </row>
    <row r="2739" spans="1:5" x14ac:dyDescent="0.3">
      <c r="A2739" t="s">
        <v>105</v>
      </c>
      <c r="B2739" s="1">
        <v>44713</v>
      </c>
      <c r="C2739">
        <v>1</v>
      </c>
      <c r="D2739">
        <v>27.69</v>
      </c>
      <c r="E2739">
        <v>45</v>
      </c>
    </row>
    <row r="2740" spans="1:5" x14ac:dyDescent="0.3">
      <c r="A2740" t="s">
        <v>64</v>
      </c>
      <c r="B2740" s="1">
        <v>44713</v>
      </c>
      <c r="C2740">
        <v>1</v>
      </c>
      <c r="D2740">
        <v>201.04</v>
      </c>
      <c r="E2740">
        <v>266</v>
      </c>
    </row>
    <row r="2741" spans="1:5" x14ac:dyDescent="0.3">
      <c r="A2741" t="s">
        <v>47</v>
      </c>
      <c r="B2741" s="1">
        <v>44713</v>
      </c>
      <c r="C2741">
        <v>1</v>
      </c>
      <c r="D2741">
        <v>43</v>
      </c>
      <c r="E2741">
        <v>66</v>
      </c>
    </row>
    <row r="2742" spans="1:5" x14ac:dyDescent="0.3">
      <c r="A2742" t="s">
        <v>106</v>
      </c>
      <c r="B2742" s="1">
        <v>44713</v>
      </c>
      <c r="C2742">
        <v>1</v>
      </c>
      <c r="D2742">
        <v>41.66</v>
      </c>
      <c r="E2742">
        <v>51</v>
      </c>
    </row>
    <row r="2743" spans="1:5" x14ac:dyDescent="0.3">
      <c r="A2743" t="s">
        <v>9</v>
      </c>
      <c r="B2743" s="1">
        <v>44713</v>
      </c>
      <c r="C2743">
        <v>1</v>
      </c>
      <c r="D2743">
        <v>80.73</v>
      </c>
      <c r="E2743">
        <v>98</v>
      </c>
    </row>
    <row r="2744" spans="1:5" x14ac:dyDescent="0.3">
      <c r="A2744" t="s">
        <v>41</v>
      </c>
      <c r="B2744" s="1">
        <v>44713</v>
      </c>
      <c r="C2744">
        <v>5</v>
      </c>
      <c r="D2744">
        <v>11.1</v>
      </c>
      <c r="E2744">
        <v>18</v>
      </c>
    </row>
    <row r="2745" spans="1:5" x14ac:dyDescent="0.3">
      <c r="A2745" t="s">
        <v>144</v>
      </c>
      <c r="B2745" s="1">
        <v>44713</v>
      </c>
      <c r="C2745">
        <v>1</v>
      </c>
      <c r="D2745">
        <v>51.98</v>
      </c>
      <c r="E2745">
        <v>81</v>
      </c>
    </row>
    <row r="2746" spans="1:5" x14ac:dyDescent="0.3">
      <c r="A2746" t="s">
        <v>12</v>
      </c>
      <c r="B2746" s="1">
        <v>44713</v>
      </c>
      <c r="C2746">
        <v>1</v>
      </c>
      <c r="D2746">
        <v>56.98</v>
      </c>
      <c r="E2746">
        <v>72</v>
      </c>
    </row>
    <row r="2747" spans="1:5" x14ac:dyDescent="0.3">
      <c r="A2747" t="s">
        <v>127</v>
      </c>
      <c r="B2747" s="1">
        <v>44713</v>
      </c>
      <c r="C2747">
        <v>1</v>
      </c>
      <c r="D2747">
        <v>119.39</v>
      </c>
      <c r="E2747">
        <v>164</v>
      </c>
    </row>
    <row r="2748" spans="1:5" x14ac:dyDescent="0.3">
      <c r="A2748" t="s">
        <v>127</v>
      </c>
      <c r="B2748" s="1">
        <v>44713</v>
      </c>
      <c r="C2748">
        <v>1</v>
      </c>
      <c r="D2748">
        <v>119.39</v>
      </c>
      <c r="E2748">
        <v>164</v>
      </c>
    </row>
    <row r="2749" spans="1:5" x14ac:dyDescent="0.3">
      <c r="A2749" t="s">
        <v>104</v>
      </c>
      <c r="B2749" s="1">
        <v>44713</v>
      </c>
      <c r="C2749">
        <v>1</v>
      </c>
      <c r="D2749">
        <v>45.33</v>
      </c>
      <c r="E2749">
        <v>58</v>
      </c>
    </row>
    <row r="2750" spans="1:5" x14ac:dyDescent="0.3">
      <c r="A2750" t="s">
        <v>150</v>
      </c>
      <c r="B2750" s="1">
        <v>44713</v>
      </c>
      <c r="C2750">
        <v>1</v>
      </c>
      <c r="D2750">
        <v>94.8</v>
      </c>
      <c r="E2750">
        <v>147</v>
      </c>
    </row>
    <row r="2751" spans="1:5" x14ac:dyDescent="0.3">
      <c r="A2751" t="s">
        <v>133</v>
      </c>
      <c r="B2751" s="1">
        <v>44713</v>
      </c>
      <c r="C2751">
        <v>1</v>
      </c>
      <c r="D2751">
        <v>6.19</v>
      </c>
      <c r="E2751">
        <v>11</v>
      </c>
    </row>
    <row r="2752" spans="1:5" x14ac:dyDescent="0.3">
      <c r="A2752" t="s">
        <v>24</v>
      </c>
      <c r="B2752" s="1">
        <v>44713</v>
      </c>
      <c r="C2752">
        <v>1</v>
      </c>
      <c r="D2752">
        <v>103.46</v>
      </c>
      <c r="E2752">
        <v>121</v>
      </c>
    </row>
    <row r="2753" spans="1:5" x14ac:dyDescent="0.3">
      <c r="A2753" t="s">
        <v>95</v>
      </c>
      <c r="B2753" s="1">
        <v>44713</v>
      </c>
      <c r="C2753">
        <v>0.3</v>
      </c>
      <c r="D2753">
        <v>113.82</v>
      </c>
      <c r="E2753">
        <v>173</v>
      </c>
    </row>
    <row r="2754" spans="1:5" x14ac:dyDescent="0.3">
      <c r="A2754" t="s">
        <v>150</v>
      </c>
      <c r="B2754" s="1">
        <v>44713</v>
      </c>
      <c r="C2754">
        <v>1</v>
      </c>
      <c r="D2754">
        <v>94.8</v>
      </c>
      <c r="E2754">
        <v>147</v>
      </c>
    </row>
    <row r="2755" spans="1:5" x14ac:dyDescent="0.3">
      <c r="A2755" t="s">
        <v>16</v>
      </c>
      <c r="B2755" s="1">
        <v>44713</v>
      </c>
      <c r="C2755">
        <v>1</v>
      </c>
      <c r="D2755">
        <v>43.62</v>
      </c>
      <c r="E2755">
        <v>68</v>
      </c>
    </row>
    <row r="2756" spans="1:5" x14ac:dyDescent="0.3">
      <c r="A2756" t="s">
        <v>121</v>
      </c>
      <c r="B2756" s="1">
        <v>44713</v>
      </c>
      <c r="C2756">
        <v>1</v>
      </c>
      <c r="D2756">
        <v>11.41</v>
      </c>
      <c r="E2756">
        <v>19</v>
      </c>
    </row>
    <row r="2757" spans="1:5" x14ac:dyDescent="0.3">
      <c r="A2757" t="s">
        <v>121</v>
      </c>
      <c r="B2757" s="1">
        <v>44713</v>
      </c>
      <c r="C2757">
        <v>1</v>
      </c>
      <c r="D2757">
        <v>11.41</v>
      </c>
      <c r="E2757">
        <v>19</v>
      </c>
    </row>
    <row r="2758" spans="1:5" x14ac:dyDescent="0.3">
      <c r="A2758" t="s">
        <v>149</v>
      </c>
      <c r="B2758" s="1">
        <v>44713</v>
      </c>
      <c r="C2758">
        <v>1</v>
      </c>
      <c r="D2758">
        <v>219</v>
      </c>
      <c r="E2758">
        <v>307</v>
      </c>
    </row>
    <row r="2759" spans="1:5" x14ac:dyDescent="0.3">
      <c r="A2759" t="s">
        <v>121</v>
      </c>
      <c r="B2759" s="1">
        <v>44713</v>
      </c>
      <c r="C2759">
        <v>1</v>
      </c>
      <c r="D2759">
        <v>11.41</v>
      </c>
      <c r="E2759">
        <v>19</v>
      </c>
    </row>
    <row r="2760" spans="1:5" x14ac:dyDescent="0.3">
      <c r="A2760" t="s">
        <v>42</v>
      </c>
      <c r="B2760" s="1">
        <v>44713</v>
      </c>
      <c r="C2760">
        <v>1</v>
      </c>
      <c r="D2760">
        <v>610.85</v>
      </c>
      <c r="E2760">
        <v>703</v>
      </c>
    </row>
    <row r="2761" spans="1:5" x14ac:dyDescent="0.3">
      <c r="A2761" t="s">
        <v>72</v>
      </c>
      <c r="B2761" s="1">
        <v>44713</v>
      </c>
      <c r="C2761">
        <v>1</v>
      </c>
      <c r="D2761">
        <v>556.51</v>
      </c>
      <c r="E2761">
        <v>735</v>
      </c>
    </row>
    <row r="2762" spans="1:5" x14ac:dyDescent="0.3">
      <c r="A2762" t="s">
        <v>12</v>
      </c>
      <c r="B2762" s="1">
        <v>44713</v>
      </c>
      <c r="C2762">
        <v>1</v>
      </c>
      <c r="D2762">
        <v>56.24</v>
      </c>
      <c r="E2762">
        <v>70</v>
      </c>
    </row>
    <row r="2763" spans="1:5" x14ac:dyDescent="0.3">
      <c r="A2763" t="s">
        <v>12</v>
      </c>
      <c r="B2763" s="1">
        <v>44713</v>
      </c>
      <c r="C2763">
        <v>1</v>
      </c>
      <c r="D2763">
        <v>56.24</v>
      </c>
      <c r="E2763">
        <v>70</v>
      </c>
    </row>
    <row r="2764" spans="1:5" x14ac:dyDescent="0.3">
      <c r="A2764" t="s">
        <v>138</v>
      </c>
      <c r="B2764" s="1">
        <v>44713</v>
      </c>
      <c r="C2764">
        <v>1</v>
      </c>
      <c r="D2764">
        <v>46.5</v>
      </c>
      <c r="E2764">
        <v>76</v>
      </c>
    </row>
    <row r="2765" spans="1:5" x14ac:dyDescent="0.3">
      <c r="A2765" t="s">
        <v>138</v>
      </c>
      <c r="B2765" s="1">
        <v>44713</v>
      </c>
      <c r="C2765">
        <v>1</v>
      </c>
      <c r="D2765">
        <v>46.5</v>
      </c>
      <c r="E2765">
        <v>76</v>
      </c>
    </row>
    <row r="2766" spans="1:5" x14ac:dyDescent="0.3">
      <c r="A2766" t="s">
        <v>105</v>
      </c>
      <c r="B2766" s="1">
        <v>44713</v>
      </c>
      <c r="C2766">
        <v>1</v>
      </c>
      <c r="D2766">
        <v>35.79</v>
      </c>
      <c r="E2766">
        <v>58</v>
      </c>
    </row>
    <row r="2767" spans="1:5" x14ac:dyDescent="0.3">
      <c r="A2767" t="s">
        <v>63</v>
      </c>
      <c r="B2767" s="1">
        <v>44713</v>
      </c>
      <c r="C2767">
        <v>1</v>
      </c>
      <c r="D2767">
        <v>72.03</v>
      </c>
      <c r="E2767">
        <v>94</v>
      </c>
    </row>
    <row r="2768" spans="1:5" x14ac:dyDescent="0.3">
      <c r="A2768" t="s">
        <v>63</v>
      </c>
      <c r="B2768" s="1">
        <v>44713</v>
      </c>
      <c r="C2768">
        <v>1</v>
      </c>
      <c r="D2768">
        <v>72.03</v>
      </c>
      <c r="E2768">
        <v>94</v>
      </c>
    </row>
    <row r="2769" spans="1:5" x14ac:dyDescent="0.3">
      <c r="A2769" t="s">
        <v>100</v>
      </c>
      <c r="B2769" s="1">
        <v>44713</v>
      </c>
      <c r="C2769">
        <v>1</v>
      </c>
      <c r="D2769">
        <v>35.82</v>
      </c>
      <c r="E2769">
        <v>57</v>
      </c>
    </row>
    <row r="2770" spans="1:5" x14ac:dyDescent="0.3">
      <c r="A2770" t="s">
        <v>24</v>
      </c>
      <c r="B2770" s="1">
        <v>44713</v>
      </c>
      <c r="C2770">
        <v>1</v>
      </c>
      <c r="D2770">
        <v>102.08</v>
      </c>
      <c r="E2770">
        <v>121</v>
      </c>
    </row>
    <row r="2771" spans="1:5" x14ac:dyDescent="0.3">
      <c r="A2771" t="s">
        <v>19</v>
      </c>
      <c r="B2771" s="1">
        <v>44713</v>
      </c>
      <c r="C2771">
        <v>1</v>
      </c>
      <c r="D2771">
        <v>81.73</v>
      </c>
      <c r="E2771">
        <v>102</v>
      </c>
    </row>
    <row r="2772" spans="1:5" x14ac:dyDescent="0.3">
      <c r="A2772" t="s">
        <v>19</v>
      </c>
      <c r="B2772" s="1">
        <v>44713</v>
      </c>
      <c r="C2772">
        <v>1</v>
      </c>
      <c r="D2772">
        <v>81.73</v>
      </c>
      <c r="E2772">
        <v>102</v>
      </c>
    </row>
    <row r="2773" spans="1:5" x14ac:dyDescent="0.3">
      <c r="A2773" t="s">
        <v>65</v>
      </c>
      <c r="B2773" s="1">
        <v>44713</v>
      </c>
      <c r="C2773">
        <v>1</v>
      </c>
      <c r="D2773">
        <v>187.36</v>
      </c>
      <c r="E2773">
        <v>220</v>
      </c>
    </row>
    <row r="2774" spans="1:5" x14ac:dyDescent="0.3">
      <c r="A2774" t="s">
        <v>72</v>
      </c>
      <c r="B2774" s="1">
        <v>44713</v>
      </c>
      <c r="C2774">
        <v>1</v>
      </c>
      <c r="D2774">
        <v>556.51</v>
      </c>
      <c r="E2774">
        <v>735</v>
      </c>
    </row>
    <row r="2775" spans="1:5" x14ac:dyDescent="0.3">
      <c r="A2775" t="s">
        <v>72</v>
      </c>
      <c r="B2775" s="1">
        <v>44713</v>
      </c>
      <c r="C2775">
        <v>1</v>
      </c>
      <c r="D2775">
        <v>556.51</v>
      </c>
      <c r="E2775">
        <v>735</v>
      </c>
    </row>
    <row r="2776" spans="1:5" x14ac:dyDescent="0.3">
      <c r="A2776" t="s">
        <v>97</v>
      </c>
      <c r="B2776" s="1">
        <v>44713</v>
      </c>
      <c r="C2776">
        <v>1</v>
      </c>
      <c r="D2776">
        <v>426.66</v>
      </c>
      <c r="E2776">
        <v>564</v>
      </c>
    </row>
    <row r="2777" spans="1:5" x14ac:dyDescent="0.3">
      <c r="A2777" t="s">
        <v>134</v>
      </c>
      <c r="B2777" s="1">
        <v>44713</v>
      </c>
      <c r="C2777">
        <v>1</v>
      </c>
      <c r="D2777">
        <v>26.85</v>
      </c>
      <c r="E2777">
        <v>41</v>
      </c>
    </row>
    <row r="2778" spans="1:5" x14ac:dyDescent="0.3">
      <c r="A2778" t="s">
        <v>122</v>
      </c>
      <c r="B2778" s="1">
        <v>44713</v>
      </c>
      <c r="C2778">
        <v>1</v>
      </c>
      <c r="D2778">
        <v>20.48</v>
      </c>
      <c r="E2778">
        <v>25</v>
      </c>
    </row>
    <row r="2779" spans="1:5" x14ac:dyDescent="0.3">
      <c r="A2779" t="s">
        <v>9</v>
      </c>
      <c r="B2779" s="1">
        <v>44713</v>
      </c>
      <c r="C2779">
        <v>1</v>
      </c>
      <c r="D2779">
        <v>80.69</v>
      </c>
      <c r="E2779">
        <v>98</v>
      </c>
    </row>
    <row r="2780" spans="1:5" x14ac:dyDescent="0.3">
      <c r="A2780" t="s">
        <v>9</v>
      </c>
      <c r="B2780" s="1">
        <v>44713</v>
      </c>
      <c r="C2780">
        <v>1</v>
      </c>
      <c r="D2780">
        <v>80.69</v>
      </c>
      <c r="E2780">
        <v>98</v>
      </c>
    </row>
    <row r="2781" spans="1:5" x14ac:dyDescent="0.3">
      <c r="A2781" t="s">
        <v>142</v>
      </c>
      <c r="B2781" s="1">
        <v>44713</v>
      </c>
      <c r="C2781">
        <v>1</v>
      </c>
      <c r="D2781">
        <v>12.86</v>
      </c>
      <c r="E2781">
        <v>15</v>
      </c>
    </row>
    <row r="2782" spans="1:5" x14ac:dyDescent="0.3">
      <c r="A2782" t="s">
        <v>153</v>
      </c>
      <c r="B2782" s="1">
        <v>44713</v>
      </c>
      <c r="C2782">
        <v>1</v>
      </c>
      <c r="D2782">
        <v>10.34</v>
      </c>
      <c r="E2782">
        <v>12</v>
      </c>
    </row>
    <row r="2783" spans="1:5" x14ac:dyDescent="0.3">
      <c r="A2783" t="s">
        <v>146</v>
      </c>
      <c r="B2783" s="1">
        <v>44713</v>
      </c>
      <c r="C2783">
        <v>1</v>
      </c>
      <c r="D2783">
        <v>412.93</v>
      </c>
      <c r="E2783">
        <v>463</v>
      </c>
    </row>
    <row r="2784" spans="1:5" x14ac:dyDescent="0.3">
      <c r="A2784" t="s">
        <v>5</v>
      </c>
      <c r="B2784" s="1">
        <v>44713</v>
      </c>
      <c r="C2784">
        <v>1</v>
      </c>
      <c r="D2784">
        <v>146.1</v>
      </c>
      <c r="E2784">
        <v>173</v>
      </c>
    </row>
    <row r="2785" spans="1:5" x14ac:dyDescent="0.3">
      <c r="A2785" t="s">
        <v>5</v>
      </c>
      <c r="B2785" s="1">
        <v>44713</v>
      </c>
      <c r="C2785">
        <v>1</v>
      </c>
      <c r="D2785">
        <v>146.1</v>
      </c>
      <c r="E2785">
        <v>173</v>
      </c>
    </row>
    <row r="2786" spans="1:5" x14ac:dyDescent="0.3">
      <c r="A2786" t="s">
        <v>95</v>
      </c>
      <c r="B2786" s="1">
        <v>44713</v>
      </c>
      <c r="C2786">
        <v>1</v>
      </c>
      <c r="D2786">
        <v>114.36</v>
      </c>
      <c r="E2786">
        <v>175</v>
      </c>
    </row>
    <row r="2787" spans="1:5" x14ac:dyDescent="0.3">
      <c r="A2787" t="s">
        <v>24</v>
      </c>
      <c r="B2787" s="1">
        <v>44713</v>
      </c>
      <c r="C2787">
        <v>1</v>
      </c>
      <c r="D2787">
        <v>102.47</v>
      </c>
      <c r="E2787">
        <v>121</v>
      </c>
    </row>
    <row r="2788" spans="1:5" x14ac:dyDescent="0.3">
      <c r="A2788" t="s">
        <v>24</v>
      </c>
      <c r="B2788" s="1">
        <v>44713</v>
      </c>
      <c r="C2788">
        <v>1</v>
      </c>
      <c r="D2788">
        <v>102.47</v>
      </c>
      <c r="E2788">
        <v>121</v>
      </c>
    </row>
    <row r="2789" spans="1:5" x14ac:dyDescent="0.3">
      <c r="A2789" t="s">
        <v>87</v>
      </c>
      <c r="B2789" s="1">
        <v>44713</v>
      </c>
      <c r="C2789">
        <v>1</v>
      </c>
      <c r="D2789">
        <v>323.66000000000003</v>
      </c>
      <c r="E2789">
        <v>389</v>
      </c>
    </row>
    <row r="2790" spans="1:5" x14ac:dyDescent="0.3">
      <c r="A2790" t="s">
        <v>18</v>
      </c>
      <c r="B2790" s="1">
        <v>44713</v>
      </c>
      <c r="C2790">
        <v>1</v>
      </c>
      <c r="D2790">
        <v>46</v>
      </c>
      <c r="E2790">
        <v>72</v>
      </c>
    </row>
    <row r="2791" spans="1:5" x14ac:dyDescent="0.3">
      <c r="A2791" t="s">
        <v>5</v>
      </c>
      <c r="B2791" s="1">
        <v>44713</v>
      </c>
      <c r="C2791">
        <v>1</v>
      </c>
      <c r="D2791">
        <v>130.04</v>
      </c>
      <c r="E2791">
        <v>157</v>
      </c>
    </row>
    <row r="2792" spans="1:5" x14ac:dyDescent="0.3">
      <c r="A2792" t="s">
        <v>27</v>
      </c>
      <c r="B2792" s="1">
        <v>44713</v>
      </c>
      <c r="C2792">
        <v>1</v>
      </c>
      <c r="D2792">
        <v>102.34</v>
      </c>
      <c r="E2792">
        <v>157</v>
      </c>
    </row>
    <row r="2793" spans="1:5" x14ac:dyDescent="0.3">
      <c r="A2793" t="s">
        <v>50</v>
      </c>
      <c r="B2793" s="1">
        <v>44713</v>
      </c>
      <c r="C2793">
        <v>1</v>
      </c>
      <c r="D2793">
        <v>43.74</v>
      </c>
      <c r="E2793">
        <v>54</v>
      </c>
    </row>
    <row r="2794" spans="1:5" x14ac:dyDescent="0.3">
      <c r="A2794" t="s">
        <v>25</v>
      </c>
      <c r="B2794" s="1">
        <v>44713</v>
      </c>
      <c r="C2794">
        <v>1</v>
      </c>
      <c r="D2794">
        <v>147.55000000000001</v>
      </c>
      <c r="E2794">
        <v>181</v>
      </c>
    </row>
    <row r="2795" spans="1:5" x14ac:dyDescent="0.3">
      <c r="A2795" t="s">
        <v>135</v>
      </c>
      <c r="B2795" s="1">
        <v>44713</v>
      </c>
      <c r="C2795">
        <v>1</v>
      </c>
      <c r="D2795">
        <v>79.53</v>
      </c>
      <c r="E2795">
        <v>95</v>
      </c>
    </row>
    <row r="2796" spans="1:5" x14ac:dyDescent="0.3">
      <c r="A2796" t="s">
        <v>135</v>
      </c>
      <c r="B2796" s="1">
        <v>44713</v>
      </c>
      <c r="C2796">
        <v>1</v>
      </c>
      <c r="D2796">
        <v>79.53</v>
      </c>
      <c r="E2796">
        <v>95</v>
      </c>
    </row>
    <row r="2797" spans="1:5" x14ac:dyDescent="0.3">
      <c r="A2797" t="s">
        <v>129</v>
      </c>
      <c r="B2797" s="1">
        <v>44713</v>
      </c>
      <c r="C2797">
        <v>0.16</v>
      </c>
      <c r="D2797">
        <v>495.19</v>
      </c>
      <c r="E2797">
        <v>606</v>
      </c>
    </row>
    <row r="2798" spans="1:5" x14ac:dyDescent="0.3">
      <c r="A2798" t="s">
        <v>25</v>
      </c>
      <c r="B2798" s="1">
        <v>44713</v>
      </c>
      <c r="C2798">
        <v>1</v>
      </c>
      <c r="D2798">
        <v>147.18</v>
      </c>
      <c r="E2798">
        <v>177</v>
      </c>
    </row>
    <row r="2799" spans="1:5" x14ac:dyDescent="0.3">
      <c r="A2799" t="s">
        <v>5</v>
      </c>
      <c r="B2799" s="1">
        <v>44713</v>
      </c>
      <c r="C2799">
        <v>1</v>
      </c>
      <c r="D2799">
        <v>130.04</v>
      </c>
      <c r="E2799">
        <v>157</v>
      </c>
    </row>
    <row r="2800" spans="1:5" x14ac:dyDescent="0.3">
      <c r="A2800" t="s">
        <v>13</v>
      </c>
      <c r="B2800" s="1">
        <v>44713</v>
      </c>
      <c r="C2800">
        <v>1</v>
      </c>
      <c r="D2800">
        <v>125.93</v>
      </c>
      <c r="E2800">
        <v>150</v>
      </c>
    </row>
    <row r="2801" spans="1:5" x14ac:dyDescent="0.3">
      <c r="A2801" t="s">
        <v>122</v>
      </c>
      <c r="B2801" s="1">
        <v>44713</v>
      </c>
      <c r="C2801">
        <v>1</v>
      </c>
      <c r="D2801">
        <v>20.86</v>
      </c>
      <c r="E2801">
        <v>26</v>
      </c>
    </row>
    <row r="2802" spans="1:5" x14ac:dyDescent="0.3">
      <c r="A2802" t="s">
        <v>128</v>
      </c>
      <c r="B2802" s="1">
        <v>44713</v>
      </c>
      <c r="C2802">
        <v>1</v>
      </c>
      <c r="D2802">
        <v>313.23</v>
      </c>
      <c r="E2802">
        <v>433</v>
      </c>
    </row>
    <row r="2803" spans="1:5" x14ac:dyDescent="0.3">
      <c r="A2803" t="s">
        <v>52</v>
      </c>
      <c r="B2803" s="1">
        <v>44713</v>
      </c>
      <c r="C2803">
        <v>1</v>
      </c>
      <c r="D2803">
        <v>202.33</v>
      </c>
      <c r="E2803">
        <v>243</v>
      </c>
    </row>
    <row r="2804" spans="1:5" x14ac:dyDescent="0.3">
      <c r="A2804" t="s">
        <v>19</v>
      </c>
      <c r="B2804" s="1">
        <v>44713</v>
      </c>
      <c r="C2804">
        <v>1</v>
      </c>
      <c r="D2804">
        <v>81.58</v>
      </c>
      <c r="E2804">
        <v>102</v>
      </c>
    </row>
    <row r="2805" spans="1:5" x14ac:dyDescent="0.3">
      <c r="A2805" t="s">
        <v>150</v>
      </c>
      <c r="B2805" s="1">
        <v>44713</v>
      </c>
      <c r="C2805">
        <v>2</v>
      </c>
      <c r="D2805">
        <v>94.8</v>
      </c>
      <c r="E2805">
        <v>151</v>
      </c>
    </row>
    <row r="2806" spans="1:5" x14ac:dyDescent="0.3">
      <c r="A2806" t="s">
        <v>57</v>
      </c>
      <c r="B2806" s="1">
        <v>44713</v>
      </c>
      <c r="C2806">
        <v>1</v>
      </c>
      <c r="D2806">
        <v>233.74</v>
      </c>
      <c r="E2806">
        <v>262</v>
      </c>
    </row>
    <row r="2807" spans="1:5" x14ac:dyDescent="0.3">
      <c r="A2807" t="s">
        <v>13</v>
      </c>
      <c r="B2807" s="1">
        <v>44713</v>
      </c>
      <c r="C2807">
        <v>1</v>
      </c>
      <c r="D2807">
        <v>119.06</v>
      </c>
      <c r="E2807">
        <v>143</v>
      </c>
    </row>
    <row r="2808" spans="1:5" x14ac:dyDescent="0.3">
      <c r="A2808" t="s">
        <v>18</v>
      </c>
      <c r="B2808" s="1">
        <v>44713</v>
      </c>
      <c r="C2808">
        <v>1</v>
      </c>
      <c r="D2808">
        <v>46</v>
      </c>
      <c r="E2808">
        <v>72</v>
      </c>
    </row>
    <row r="2809" spans="1:5" x14ac:dyDescent="0.3">
      <c r="A2809" t="s">
        <v>75</v>
      </c>
      <c r="B2809" s="1">
        <v>44713</v>
      </c>
      <c r="C2809">
        <v>0.2</v>
      </c>
      <c r="D2809">
        <v>490.56</v>
      </c>
      <c r="E2809">
        <v>687</v>
      </c>
    </row>
    <row r="2810" spans="1:5" x14ac:dyDescent="0.3">
      <c r="A2810" t="s">
        <v>75</v>
      </c>
      <c r="B2810" s="1">
        <v>44713</v>
      </c>
      <c r="C2810">
        <v>0.3</v>
      </c>
      <c r="D2810">
        <v>433.37</v>
      </c>
      <c r="E2810">
        <v>607</v>
      </c>
    </row>
    <row r="2811" spans="1:5" x14ac:dyDescent="0.3">
      <c r="A2811" t="s">
        <v>104</v>
      </c>
      <c r="B2811" s="1">
        <v>44713</v>
      </c>
      <c r="C2811">
        <v>1</v>
      </c>
      <c r="D2811">
        <v>44.68</v>
      </c>
      <c r="E2811">
        <v>56</v>
      </c>
    </row>
    <row r="2812" spans="1:5" x14ac:dyDescent="0.3">
      <c r="A2812" t="s">
        <v>138</v>
      </c>
      <c r="B2812" s="1">
        <v>44713</v>
      </c>
      <c r="C2812">
        <v>1</v>
      </c>
      <c r="D2812">
        <v>46.5</v>
      </c>
      <c r="E2812">
        <v>75</v>
      </c>
    </row>
    <row r="2813" spans="1:5" x14ac:dyDescent="0.3">
      <c r="A2813" t="s">
        <v>64</v>
      </c>
      <c r="B2813" s="1">
        <v>44713</v>
      </c>
      <c r="C2813">
        <v>1</v>
      </c>
      <c r="D2813">
        <v>201.85</v>
      </c>
      <c r="E2813">
        <v>277</v>
      </c>
    </row>
    <row r="2814" spans="1:5" x14ac:dyDescent="0.3">
      <c r="A2814" t="s">
        <v>75</v>
      </c>
      <c r="B2814" s="1">
        <v>44713</v>
      </c>
      <c r="C2814">
        <v>0.3</v>
      </c>
      <c r="D2814">
        <v>463.1</v>
      </c>
      <c r="E2814">
        <v>649</v>
      </c>
    </row>
    <row r="2815" spans="1:5" x14ac:dyDescent="0.3">
      <c r="A2815" t="s">
        <v>89</v>
      </c>
      <c r="B2815" s="1">
        <v>44713</v>
      </c>
      <c r="C2815">
        <v>1</v>
      </c>
      <c r="D2815">
        <v>80.69</v>
      </c>
      <c r="E2815">
        <v>117</v>
      </c>
    </row>
    <row r="2816" spans="1:5" x14ac:dyDescent="0.3">
      <c r="A2816" t="s">
        <v>128</v>
      </c>
      <c r="B2816" s="1">
        <v>44713</v>
      </c>
      <c r="C2816">
        <v>1</v>
      </c>
      <c r="D2816">
        <v>267.45999999999998</v>
      </c>
      <c r="E2816">
        <v>370</v>
      </c>
    </row>
    <row r="2817" spans="1:5" x14ac:dyDescent="0.3">
      <c r="A2817" t="s">
        <v>131</v>
      </c>
      <c r="B2817" s="1">
        <v>44713</v>
      </c>
      <c r="C2817">
        <v>1</v>
      </c>
      <c r="D2817">
        <v>349.61</v>
      </c>
      <c r="E2817">
        <v>403</v>
      </c>
    </row>
    <row r="2818" spans="1:5" x14ac:dyDescent="0.3">
      <c r="A2818" t="s">
        <v>113</v>
      </c>
      <c r="B2818" s="1">
        <v>44713</v>
      </c>
      <c r="C2818">
        <v>1</v>
      </c>
      <c r="D2818">
        <v>126.69</v>
      </c>
      <c r="E2818">
        <v>177</v>
      </c>
    </row>
    <row r="2819" spans="1:5" x14ac:dyDescent="0.3">
      <c r="A2819" t="s">
        <v>93</v>
      </c>
      <c r="B2819" s="1">
        <v>44713</v>
      </c>
      <c r="C2819">
        <v>1</v>
      </c>
      <c r="D2819">
        <v>71.05</v>
      </c>
      <c r="E2819">
        <v>106</v>
      </c>
    </row>
    <row r="2820" spans="1:5" x14ac:dyDescent="0.3">
      <c r="A2820" t="s">
        <v>21</v>
      </c>
      <c r="B2820" s="1">
        <v>44713</v>
      </c>
      <c r="C2820">
        <v>1</v>
      </c>
      <c r="D2820">
        <v>190.59</v>
      </c>
      <c r="E2820">
        <v>262</v>
      </c>
    </row>
    <row r="2821" spans="1:5" x14ac:dyDescent="0.3">
      <c r="A2821" t="s">
        <v>47</v>
      </c>
      <c r="B2821" s="1">
        <v>44713</v>
      </c>
      <c r="C2821">
        <v>1</v>
      </c>
      <c r="D2821">
        <v>43.27</v>
      </c>
      <c r="E2821">
        <v>68</v>
      </c>
    </row>
    <row r="2822" spans="1:5" x14ac:dyDescent="0.3">
      <c r="A2822" t="s">
        <v>21</v>
      </c>
      <c r="B2822" s="1">
        <v>44713</v>
      </c>
      <c r="C2822">
        <v>1</v>
      </c>
      <c r="D2822">
        <v>187.69</v>
      </c>
      <c r="E2822">
        <v>254</v>
      </c>
    </row>
    <row r="2823" spans="1:5" x14ac:dyDescent="0.3">
      <c r="A2823" t="s">
        <v>22</v>
      </c>
      <c r="B2823" s="1">
        <v>44713</v>
      </c>
      <c r="C2823">
        <v>1</v>
      </c>
      <c r="D2823">
        <v>30.3</v>
      </c>
      <c r="E2823">
        <v>49</v>
      </c>
    </row>
    <row r="2824" spans="1:5" x14ac:dyDescent="0.3">
      <c r="A2824" t="s">
        <v>104</v>
      </c>
      <c r="B2824" s="1">
        <v>44713</v>
      </c>
      <c r="C2824">
        <v>1</v>
      </c>
      <c r="D2824">
        <v>45.52</v>
      </c>
      <c r="E2824">
        <v>57</v>
      </c>
    </row>
    <row r="2825" spans="1:5" x14ac:dyDescent="0.3">
      <c r="A2825" t="s">
        <v>100</v>
      </c>
      <c r="B2825" s="1">
        <v>44713</v>
      </c>
      <c r="C2825">
        <v>1</v>
      </c>
      <c r="D2825">
        <v>37.46</v>
      </c>
      <c r="E2825">
        <v>57</v>
      </c>
    </row>
    <row r="2826" spans="1:5" x14ac:dyDescent="0.3">
      <c r="A2826" t="s">
        <v>72</v>
      </c>
      <c r="B2826" s="1">
        <v>44713</v>
      </c>
      <c r="C2826">
        <v>1</v>
      </c>
      <c r="D2826">
        <v>556.51</v>
      </c>
      <c r="E2826">
        <v>735</v>
      </c>
    </row>
    <row r="2827" spans="1:5" x14ac:dyDescent="0.3">
      <c r="A2827" t="s">
        <v>24</v>
      </c>
      <c r="B2827" s="1">
        <v>44713</v>
      </c>
      <c r="C2827">
        <v>1</v>
      </c>
      <c r="D2827">
        <v>103.46</v>
      </c>
      <c r="E2827">
        <v>121</v>
      </c>
    </row>
    <row r="2828" spans="1:5" x14ac:dyDescent="0.3">
      <c r="A2828" t="s">
        <v>24</v>
      </c>
      <c r="B2828" s="1">
        <v>44713</v>
      </c>
      <c r="C2828">
        <v>1</v>
      </c>
      <c r="D2828">
        <v>103.46</v>
      </c>
      <c r="E2828">
        <v>121</v>
      </c>
    </row>
    <row r="2829" spans="1:5" x14ac:dyDescent="0.3">
      <c r="A2829" t="s">
        <v>158</v>
      </c>
      <c r="B2829" s="1">
        <v>44713</v>
      </c>
      <c r="C2829">
        <v>1</v>
      </c>
      <c r="D2829">
        <v>23.8</v>
      </c>
      <c r="E2829">
        <v>31</v>
      </c>
    </row>
    <row r="2830" spans="1:5" x14ac:dyDescent="0.3">
      <c r="A2830" t="s">
        <v>158</v>
      </c>
      <c r="B2830" s="1">
        <v>44713</v>
      </c>
      <c r="C2830">
        <v>1</v>
      </c>
      <c r="D2830">
        <v>23.8</v>
      </c>
      <c r="E2830">
        <v>31</v>
      </c>
    </row>
    <row r="2831" spans="1:5" x14ac:dyDescent="0.3">
      <c r="A2831" t="s">
        <v>158</v>
      </c>
      <c r="B2831" s="1">
        <v>44713</v>
      </c>
      <c r="C2831">
        <v>1</v>
      </c>
      <c r="D2831">
        <v>24.52</v>
      </c>
      <c r="E2831">
        <v>32</v>
      </c>
    </row>
    <row r="2832" spans="1:5" x14ac:dyDescent="0.3">
      <c r="A2832" t="s">
        <v>158</v>
      </c>
      <c r="B2832" s="1">
        <v>44713</v>
      </c>
      <c r="C2832">
        <v>1</v>
      </c>
      <c r="D2832">
        <v>24.52</v>
      </c>
      <c r="E2832">
        <v>32</v>
      </c>
    </row>
    <row r="2833" spans="1:5" x14ac:dyDescent="0.3">
      <c r="A2833" t="s">
        <v>158</v>
      </c>
      <c r="B2833" s="1">
        <v>44713</v>
      </c>
      <c r="C2833">
        <v>1</v>
      </c>
      <c r="D2833">
        <v>24.52</v>
      </c>
      <c r="E2833">
        <v>32</v>
      </c>
    </row>
    <row r="2834" spans="1:5" x14ac:dyDescent="0.3">
      <c r="A2834" t="s">
        <v>95</v>
      </c>
      <c r="B2834" s="1">
        <v>44713</v>
      </c>
      <c r="C2834">
        <v>1</v>
      </c>
      <c r="D2834">
        <v>131.07</v>
      </c>
      <c r="E2834">
        <v>206</v>
      </c>
    </row>
    <row r="2835" spans="1:5" x14ac:dyDescent="0.3">
      <c r="A2835" t="s">
        <v>22</v>
      </c>
      <c r="B2835" s="1">
        <v>44713</v>
      </c>
      <c r="C2835">
        <v>1</v>
      </c>
      <c r="D2835">
        <v>30.3</v>
      </c>
      <c r="E2835">
        <v>49</v>
      </c>
    </row>
    <row r="2836" spans="1:5" x14ac:dyDescent="0.3">
      <c r="A2836" t="s">
        <v>16</v>
      </c>
      <c r="B2836" s="1">
        <v>44713</v>
      </c>
      <c r="C2836">
        <v>1</v>
      </c>
      <c r="D2836">
        <v>34.51</v>
      </c>
      <c r="E2836">
        <v>54</v>
      </c>
    </row>
    <row r="2837" spans="1:5" x14ac:dyDescent="0.3">
      <c r="A2837" t="s">
        <v>65</v>
      </c>
      <c r="B2837" s="1">
        <v>44713</v>
      </c>
      <c r="C2837">
        <v>1</v>
      </c>
      <c r="D2837">
        <v>187.36</v>
      </c>
      <c r="E2837">
        <v>220</v>
      </c>
    </row>
    <row r="2838" spans="1:5" x14ac:dyDescent="0.3">
      <c r="A2838" t="s">
        <v>124</v>
      </c>
      <c r="B2838" s="1">
        <v>44713</v>
      </c>
      <c r="C2838">
        <v>1</v>
      </c>
      <c r="D2838">
        <v>36.75</v>
      </c>
      <c r="E2838">
        <v>59</v>
      </c>
    </row>
    <row r="2839" spans="1:5" x14ac:dyDescent="0.3">
      <c r="A2839" t="s">
        <v>59</v>
      </c>
      <c r="B2839" s="1">
        <v>44713</v>
      </c>
      <c r="C2839">
        <v>1</v>
      </c>
      <c r="D2839">
        <v>19.27</v>
      </c>
      <c r="E2839">
        <v>32</v>
      </c>
    </row>
    <row r="2840" spans="1:5" x14ac:dyDescent="0.3">
      <c r="A2840" t="s">
        <v>37</v>
      </c>
      <c r="B2840" s="1">
        <v>44713</v>
      </c>
      <c r="C2840">
        <v>1</v>
      </c>
      <c r="D2840">
        <v>51.31</v>
      </c>
      <c r="E2840">
        <v>65</v>
      </c>
    </row>
    <row r="2841" spans="1:5" x14ac:dyDescent="0.3">
      <c r="A2841" t="s">
        <v>38</v>
      </c>
      <c r="B2841" s="1">
        <v>44713</v>
      </c>
      <c r="C2841">
        <v>1</v>
      </c>
      <c r="D2841">
        <v>34.450000000000003</v>
      </c>
      <c r="E2841">
        <v>55</v>
      </c>
    </row>
    <row r="2842" spans="1:5" x14ac:dyDescent="0.3">
      <c r="A2842" t="s">
        <v>152</v>
      </c>
      <c r="B2842" s="1">
        <v>44713</v>
      </c>
      <c r="C2842">
        <v>1</v>
      </c>
      <c r="D2842">
        <v>107.99</v>
      </c>
      <c r="E2842">
        <v>135</v>
      </c>
    </row>
    <row r="2843" spans="1:5" x14ac:dyDescent="0.3">
      <c r="A2843" t="s">
        <v>24</v>
      </c>
      <c r="B2843" s="1">
        <v>44713</v>
      </c>
      <c r="C2843">
        <v>1</v>
      </c>
      <c r="D2843">
        <v>103.46</v>
      </c>
      <c r="E2843">
        <v>121</v>
      </c>
    </row>
    <row r="2844" spans="1:5" x14ac:dyDescent="0.3">
      <c r="A2844" t="s">
        <v>91</v>
      </c>
      <c r="B2844" s="1">
        <v>44713</v>
      </c>
      <c r="C2844">
        <v>1</v>
      </c>
      <c r="D2844">
        <v>34.65</v>
      </c>
      <c r="E2844">
        <v>57</v>
      </c>
    </row>
    <row r="2845" spans="1:5" x14ac:dyDescent="0.3">
      <c r="A2845" t="s">
        <v>95</v>
      </c>
      <c r="B2845" s="1">
        <v>44713</v>
      </c>
      <c r="C2845">
        <v>1</v>
      </c>
      <c r="D2845">
        <v>113.82</v>
      </c>
      <c r="E2845">
        <v>173</v>
      </c>
    </row>
    <row r="2846" spans="1:5" x14ac:dyDescent="0.3">
      <c r="A2846" t="s">
        <v>19</v>
      </c>
      <c r="B2846" s="1">
        <v>44713</v>
      </c>
      <c r="C2846">
        <v>1</v>
      </c>
      <c r="D2846">
        <v>81.95</v>
      </c>
      <c r="E2846">
        <v>102</v>
      </c>
    </row>
    <row r="2847" spans="1:5" x14ac:dyDescent="0.3">
      <c r="A2847" t="s">
        <v>19</v>
      </c>
      <c r="B2847" s="1">
        <v>44713</v>
      </c>
      <c r="C2847">
        <v>1</v>
      </c>
      <c r="D2847">
        <v>81.95</v>
      </c>
      <c r="E2847">
        <v>102</v>
      </c>
    </row>
    <row r="2848" spans="1:5" x14ac:dyDescent="0.3">
      <c r="A2848" t="s">
        <v>91</v>
      </c>
      <c r="B2848" s="1">
        <v>44713</v>
      </c>
      <c r="C2848">
        <v>1</v>
      </c>
      <c r="D2848">
        <v>35.340000000000003</v>
      </c>
      <c r="E2848">
        <v>58</v>
      </c>
    </row>
    <row r="2849" spans="1:5" x14ac:dyDescent="0.3">
      <c r="A2849" t="s">
        <v>36</v>
      </c>
      <c r="B2849" s="1">
        <v>44713</v>
      </c>
      <c r="C2849">
        <v>1</v>
      </c>
      <c r="D2849">
        <v>35</v>
      </c>
      <c r="E2849">
        <v>44</v>
      </c>
    </row>
    <row r="2850" spans="1:5" x14ac:dyDescent="0.3">
      <c r="A2850" t="s">
        <v>48</v>
      </c>
      <c r="B2850" s="1">
        <v>44713</v>
      </c>
      <c r="C2850">
        <v>1</v>
      </c>
      <c r="D2850">
        <v>39.83</v>
      </c>
      <c r="E2850">
        <v>61</v>
      </c>
    </row>
    <row r="2851" spans="1:5" x14ac:dyDescent="0.3">
      <c r="A2851" t="s">
        <v>98</v>
      </c>
      <c r="B2851" s="1">
        <v>44713</v>
      </c>
      <c r="C2851">
        <v>1</v>
      </c>
      <c r="D2851">
        <v>111.32</v>
      </c>
      <c r="E2851">
        <v>134</v>
      </c>
    </row>
    <row r="2852" spans="1:5" x14ac:dyDescent="0.3">
      <c r="A2852" t="s">
        <v>146</v>
      </c>
      <c r="B2852" s="1">
        <v>44713</v>
      </c>
      <c r="C2852">
        <v>1</v>
      </c>
      <c r="D2852">
        <v>410.25</v>
      </c>
      <c r="E2852">
        <v>460</v>
      </c>
    </row>
    <row r="2853" spans="1:5" x14ac:dyDescent="0.3">
      <c r="A2853" t="s">
        <v>63</v>
      </c>
      <c r="B2853" s="1">
        <v>44713</v>
      </c>
      <c r="C2853">
        <v>1</v>
      </c>
      <c r="D2853">
        <v>71.53</v>
      </c>
      <c r="E2853">
        <v>83</v>
      </c>
    </row>
    <row r="2854" spans="1:5" x14ac:dyDescent="0.3">
      <c r="A2854" t="s">
        <v>63</v>
      </c>
      <c r="B2854" s="1">
        <v>44713</v>
      </c>
      <c r="C2854">
        <v>1</v>
      </c>
      <c r="D2854">
        <v>71.53</v>
      </c>
      <c r="E2854">
        <v>83</v>
      </c>
    </row>
    <row r="2855" spans="1:5" x14ac:dyDescent="0.3">
      <c r="A2855" t="s">
        <v>78</v>
      </c>
      <c r="B2855" s="1">
        <v>44713</v>
      </c>
      <c r="C2855">
        <v>1</v>
      </c>
      <c r="D2855">
        <v>69.84</v>
      </c>
      <c r="E2855">
        <v>88</v>
      </c>
    </row>
    <row r="2856" spans="1:5" x14ac:dyDescent="0.3">
      <c r="A2856" t="s">
        <v>21</v>
      </c>
      <c r="B2856" s="1">
        <v>44713</v>
      </c>
      <c r="C2856">
        <v>1</v>
      </c>
      <c r="D2856">
        <v>187.69</v>
      </c>
      <c r="E2856">
        <v>254</v>
      </c>
    </row>
    <row r="2857" spans="1:5" x14ac:dyDescent="0.3">
      <c r="A2857" t="s">
        <v>78</v>
      </c>
      <c r="B2857" s="1">
        <v>44713</v>
      </c>
      <c r="C2857">
        <v>1</v>
      </c>
      <c r="D2857">
        <v>69.599999999999994</v>
      </c>
      <c r="E2857">
        <v>88</v>
      </c>
    </row>
    <row r="2858" spans="1:5" x14ac:dyDescent="0.3">
      <c r="A2858" t="s">
        <v>56</v>
      </c>
      <c r="B2858" s="1">
        <v>44713</v>
      </c>
      <c r="C2858">
        <v>1</v>
      </c>
      <c r="D2858">
        <v>44.7</v>
      </c>
      <c r="E2858">
        <v>68</v>
      </c>
    </row>
    <row r="2859" spans="1:5" x14ac:dyDescent="0.3">
      <c r="A2859" t="s">
        <v>66</v>
      </c>
      <c r="B2859" s="1">
        <v>44713</v>
      </c>
      <c r="C2859">
        <v>1</v>
      </c>
      <c r="D2859">
        <v>31.58</v>
      </c>
      <c r="E2859">
        <v>37</v>
      </c>
    </row>
    <row r="2860" spans="1:5" x14ac:dyDescent="0.3">
      <c r="A2860" t="s">
        <v>66</v>
      </c>
      <c r="B2860" s="1">
        <v>44713</v>
      </c>
      <c r="C2860">
        <v>1</v>
      </c>
      <c r="D2860">
        <v>31.58</v>
      </c>
      <c r="E2860">
        <v>37</v>
      </c>
    </row>
    <row r="2861" spans="1:5" x14ac:dyDescent="0.3">
      <c r="A2861" t="s">
        <v>22</v>
      </c>
      <c r="B2861" s="1">
        <v>44713</v>
      </c>
      <c r="C2861">
        <v>1</v>
      </c>
      <c r="D2861">
        <v>30.3</v>
      </c>
      <c r="E2861">
        <v>49</v>
      </c>
    </row>
    <row r="2862" spans="1:5" x14ac:dyDescent="0.3">
      <c r="A2862" t="s">
        <v>86</v>
      </c>
      <c r="B2862" s="1">
        <v>44713</v>
      </c>
      <c r="C2862">
        <v>1</v>
      </c>
      <c r="D2862">
        <v>47.4</v>
      </c>
      <c r="E2862">
        <v>82</v>
      </c>
    </row>
    <row r="2863" spans="1:5" x14ac:dyDescent="0.3">
      <c r="A2863" t="s">
        <v>86</v>
      </c>
      <c r="B2863" s="1">
        <v>44713</v>
      </c>
      <c r="C2863">
        <v>2</v>
      </c>
      <c r="D2863">
        <v>47.4</v>
      </c>
      <c r="E2863">
        <v>82</v>
      </c>
    </row>
    <row r="2864" spans="1:5" x14ac:dyDescent="0.3">
      <c r="A2864" t="s">
        <v>134</v>
      </c>
      <c r="B2864" s="1">
        <v>44713</v>
      </c>
      <c r="C2864">
        <v>1</v>
      </c>
      <c r="D2864">
        <v>35.200000000000003</v>
      </c>
      <c r="E2864">
        <v>54</v>
      </c>
    </row>
    <row r="2865" spans="1:5" x14ac:dyDescent="0.3">
      <c r="A2865" t="s">
        <v>134</v>
      </c>
      <c r="B2865" s="1">
        <v>44713</v>
      </c>
      <c r="C2865">
        <v>1</v>
      </c>
      <c r="D2865">
        <v>35.200000000000003</v>
      </c>
      <c r="E2865">
        <v>54</v>
      </c>
    </row>
    <row r="2866" spans="1:5" x14ac:dyDescent="0.3">
      <c r="A2866" t="s">
        <v>88</v>
      </c>
      <c r="B2866" s="1">
        <v>44713</v>
      </c>
      <c r="C2866">
        <v>0.4</v>
      </c>
      <c r="D2866">
        <v>132</v>
      </c>
      <c r="E2866">
        <v>202</v>
      </c>
    </row>
    <row r="2867" spans="1:5" x14ac:dyDescent="0.3">
      <c r="A2867" t="s">
        <v>24</v>
      </c>
      <c r="B2867" s="1">
        <v>44713</v>
      </c>
      <c r="C2867">
        <v>1</v>
      </c>
      <c r="D2867">
        <v>103.46</v>
      </c>
      <c r="E2867">
        <v>121</v>
      </c>
    </row>
    <row r="2868" spans="1:5" x14ac:dyDescent="0.3">
      <c r="A2868" t="s">
        <v>106</v>
      </c>
      <c r="B2868" s="1">
        <v>44713</v>
      </c>
      <c r="C2868">
        <v>1</v>
      </c>
      <c r="D2868">
        <v>46.2</v>
      </c>
      <c r="E2868">
        <v>56</v>
      </c>
    </row>
    <row r="2869" spans="1:5" x14ac:dyDescent="0.3">
      <c r="A2869" t="s">
        <v>111</v>
      </c>
      <c r="B2869" s="1">
        <v>44713</v>
      </c>
      <c r="C2869">
        <v>1</v>
      </c>
      <c r="D2869">
        <v>160.62</v>
      </c>
      <c r="E2869">
        <v>194</v>
      </c>
    </row>
    <row r="2870" spans="1:5" x14ac:dyDescent="0.3">
      <c r="A2870" t="s">
        <v>63</v>
      </c>
      <c r="B2870" s="1">
        <v>44713</v>
      </c>
      <c r="C2870">
        <v>1</v>
      </c>
      <c r="D2870">
        <v>73.3</v>
      </c>
      <c r="E2870">
        <v>88</v>
      </c>
    </row>
    <row r="2871" spans="1:5" x14ac:dyDescent="0.3">
      <c r="A2871" t="s">
        <v>63</v>
      </c>
      <c r="B2871" s="1">
        <v>44713</v>
      </c>
      <c r="C2871">
        <v>1</v>
      </c>
      <c r="D2871">
        <v>73.3</v>
      </c>
      <c r="E2871">
        <v>88</v>
      </c>
    </row>
    <row r="2872" spans="1:5" x14ac:dyDescent="0.3">
      <c r="A2872" t="s">
        <v>156</v>
      </c>
      <c r="B2872" s="1">
        <v>44713</v>
      </c>
      <c r="C2872">
        <v>1</v>
      </c>
      <c r="D2872">
        <v>251.37</v>
      </c>
      <c r="E2872">
        <v>335</v>
      </c>
    </row>
    <row r="2873" spans="1:5" x14ac:dyDescent="0.3">
      <c r="A2873" t="s">
        <v>48</v>
      </c>
      <c r="B2873" s="1">
        <v>44713</v>
      </c>
      <c r="C2873">
        <v>1</v>
      </c>
      <c r="D2873">
        <v>39.83</v>
      </c>
      <c r="E2873">
        <v>61</v>
      </c>
    </row>
    <row r="2874" spans="1:5" x14ac:dyDescent="0.3">
      <c r="A2874" t="s">
        <v>6</v>
      </c>
      <c r="B2874" s="1">
        <v>44713</v>
      </c>
      <c r="C2874">
        <v>1</v>
      </c>
      <c r="D2874">
        <v>460.59</v>
      </c>
      <c r="E2874">
        <v>576</v>
      </c>
    </row>
    <row r="2875" spans="1:5" x14ac:dyDescent="0.3">
      <c r="A2875" t="s">
        <v>20</v>
      </c>
      <c r="B2875" s="1">
        <v>44713</v>
      </c>
      <c r="C2875">
        <v>1</v>
      </c>
      <c r="D2875">
        <v>19.82</v>
      </c>
      <c r="E2875">
        <v>25</v>
      </c>
    </row>
    <row r="2876" spans="1:5" x14ac:dyDescent="0.3">
      <c r="A2876" t="s">
        <v>20</v>
      </c>
      <c r="B2876" s="1">
        <v>44713</v>
      </c>
      <c r="C2876">
        <v>1</v>
      </c>
      <c r="D2876">
        <v>19.82</v>
      </c>
      <c r="E2876">
        <v>25</v>
      </c>
    </row>
    <row r="2877" spans="1:5" x14ac:dyDescent="0.3">
      <c r="A2877" t="s">
        <v>22</v>
      </c>
      <c r="B2877" s="1">
        <v>44713</v>
      </c>
      <c r="C2877">
        <v>1</v>
      </c>
      <c r="D2877">
        <v>30.3</v>
      </c>
      <c r="E2877">
        <v>49</v>
      </c>
    </row>
    <row r="2878" spans="1:5" x14ac:dyDescent="0.3">
      <c r="A2878" t="s">
        <v>9</v>
      </c>
      <c r="B2878" s="1">
        <v>44713</v>
      </c>
      <c r="C2878">
        <v>1</v>
      </c>
      <c r="D2878">
        <v>80.73</v>
      </c>
      <c r="E2878">
        <v>98</v>
      </c>
    </row>
    <row r="2879" spans="1:5" x14ac:dyDescent="0.3">
      <c r="A2879" t="s">
        <v>9</v>
      </c>
      <c r="B2879" s="1">
        <v>44713</v>
      </c>
      <c r="C2879">
        <v>1</v>
      </c>
      <c r="D2879">
        <v>80.73</v>
      </c>
      <c r="E2879">
        <v>98</v>
      </c>
    </row>
    <row r="2880" spans="1:5" x14ac:dyDescent="0.3">
      <c r="A2880" t="s">
        <v>15</v>
      </c>
      <c r="B2880" s="1">
        <v>44713</v>
      </c>
      <c r="C2880">
        <v>1</v>
      </c>
      <c r="D2880">
        <v>55.5</v>
      </c>
      <c r="E2880">
        <v>89</v>
      </c>
    </row>
    <row r="2881" spans="1:5" x14ac:dyDescent="0.3">
      <c r="A2881" t="s">
        <v>26</v>
      </c>
      <c r="B2881" s="1">
        <v>44713</v>
      </c>
      <c r="C2881">
        <v>0.3</v>
      </c>
      <c r="D2881">
        <v>984.92</v>
      </c>
      <c r="E2881">
        <v>1330</v>
      </c>
    </row>
    <row r="2882" spans="1:5" x14ac:dyDescent="0.3">
      <c r="A2882" t="s">
        <v>51</v>
      </c>
      <c r="B2882" s="1">
        <v>44713</v>
      </c>
      <c r="C2882">
        <v>4</v>
      </c>
      <c r="D2882">
        <v>2.29</v>
      </c>
      <c r="E2882">
        <v>4</v>
      </c>
    </row>
    <row r="2883" spans="1:5" x14ac:dyDescent="0.3">
      <c r="A2883" t="s">
        <v>51</v>
      </c>
      <c r="B2883" s="1">
        <v>44713</v>
      </c>
      <c r="C2883">
        <v>12</v>
      </c>
      <c r="D2883">
        <v>2.29</v>
      </c>
      <c r="E2883">
        <v>4</v>
      </c>
    </row>
    <row r="2884" spans="1:5" x14ac:dyDescent="0.3">
      <c r="A2884" t="s">
        <v>136</v>
      </c>
      <c r="B2884" s="1">
        <v>44713</v>
      </c>
      <c r="C2884">
        <v>1</v>
      </c>
      <c r="D2884">
        <v>286.72000000000003</v>
      </c>
      <c r="E2884">
        <v>382</v>
      </c>
    </row>
    <row r="2885" spans="1:5" x14ac:dyDescent="0.3">
      <c r="A2885" t="s">
        <v>57</v>
      </c>
      <c r="B2885" s="1">
        <v>44713</v>
      </c>
      <c r="C2885">
        <v>1</v>
      </c>
      <c r="D2885">
        <v>238.7</v>
      </c>
      <c r="E2885">
        <v>280</v>
      </c>
    </row>
    <row r="2886" spans="1:5" x14ac:dyDescent="0.3">
      <c r="A2886" t="s">
        <v>87</v>
      </c>
      <c r="B2886" s="1">
        <v>44713</v>
      </c>
      <c r="C2886">
        <v>1</v>
      </c>
      <c r="D2886">
        <v>323.67</v>
      </c>
      <c r="E2886">
        <v>389</v>
      </c>
    </row>
    <row r="2887" spans="1:5" x14ac:dyDescent="0.3">
      <c r="A2887" t="s">
        <v>19</v>
      </c>
      <c r="B2887" s="1">
        <v>44713</v>
      </c>
      <c r="C2887">
        <v>1</v>
      </c>
      <c r="D2887">
        <v>81.95</v>
      </c>
      <c r="E2887">
        <v>102</v>
      </c>
    </row>
    <row r="2888" spans="1:5" x14ac:dyDescent="0.3">
      <c r="A2888" t="s">
        <v>20</v>
      </c>
      <c r="B2888" s="1">
        <v>44713</v>
      </c>
      <c r="C2888">
        <v>1</v>
      </c>
      <c r="D2888">
        <v>19.71</v>
      </c>
      <c r="E2888">
        <v>25</v>
      </c>
    </row>
    <row r="2889" spans="1:5" x14ac:dyDescent="0.3">
      <c r="A2889" t="s">
        <v>47</v>
      </c>
      <c r="B2889" s="1">
        <v>44713</v>
      </c>
      <c r="C2889">
        <v>1</v>
      </c>
      <c r="D2889">
        <v>43.2</v>
      </c>
      <c r="E2889">
        <v>67</v>
      </c>
    </row>
    <row r="2890" spans="1:5" x14ac:dyDescent="0.3">
      <c r="A2890" t="s">
        <v>47</v>
      </c>
      <c r="B2890" s="1">
        <v>44713</v>
      </c>
      <c r="C2890">
        <v>1</v>
      </c>
      <c r="D2890">
        <v>43.2</v>
      </c>
      <c r="E2890">
        <v>67</v>
      </c>
    </row>
    <row r="2891" spans="1:5" x14ac:dyDescent="0.3">
      <c r="A2891" t="s">
        <v>45</v>
      </c>
      <c r="B2891" s="1">
        <v>44713</v>
      </c>
      <c r="C2891">
        <v>6</v>
      </c>
      <c r="D2891">
        <v>28.21</v>
      </c>
      <c r="E2891">
        <v>46</v>
      </c>
    </row>
    <row r="2892" spans="1:5" x14ac:dyDescent="0.3">
      <c r="A2892" t="s">
        <v>66</v>
      </c>
      <c r="B2892" s="1">
        <v>44713</v>
      </c>
      <c r="C2892">
        <v>1</v>
      </c>
      <c r="D2892">
        <v>32</v>
      </c>
      <c r="E2892">
        <v>36</v>
      </c>
    </row>
    <row r="2893" spans="1:5" x14ac:dyDescent="0.3">
      <c r="A2893" t="s">
        <v>100</v>
      </c>
      <c r="B2893" s="1">
        <v>44713</v>
      </c>
      <c r="C2893">
        <v>1</v>
      </c>
      <c r="D2893">
        <v>38.07</v>
      </c>
      <c r="E2893">
        <v>59</v>
      </c>
    </row>
    <row r="2894" spans="1:5" x14ac:dyDescent="0.3">
      <c r="A2894" t="s">
        <v>7</v>
      </c>
      <c r="B2894" s="1">
        <v>44713</v>
      </c>
      <c r="C2894">
        <v>1</v>
      </c>
      <c r="D2894">
        <v>88.43</v>
      </c>
      <c r="E2894">
        <v>104</v>
      </c>
    </row>
    <row r="2895" spans="1:5" x14ac:dyDescent="0.3">
      <c r="A2895" t="s">
        <v>122</v>
      </c>
      <c r="B2895" s="1">
        <v>44713</v>
      </c>
      <c r="C2895">
        <v>1</v>
      </c>
      <c r="D2895">
        <v>20.78</v>
      </c>
      <c r="E2895">
        <v>26</v>
      </c>
    </row>
    <row r="2896" spans="1:5" x14ac:dyDescent="0.3">
      <c r="A2896" t="s">
        <v>12</v>
      </c>
      <c r="B2896" s="1">
        <v>44713</v>
      </c>
      <c r="C2896">
        <v>1</v>
      </c>
      <c r="D2896">
        <v>56.98</v>
      </c>
      <c r="E2896">
        <v>72</v>
      </c>
    </row>
    <row r="2897" spans="1:5" x14ac:dyDescent="0.3">
      <c r="A2897" t="s">
        <v>106</v>
      </c>
      <c r="B2897" s="1">
        <v>44713</v>
      </c>
      <c r="C2897">
        <v>1</v>
      </c>
      <c r="D2897">
        <v>42.16</v>
      </c>
      <c r="E2897">
        <v>52</v>
      </c>
    </row>
    <row r="2898" spans="1:5" x14ac:dyDescent="0.3">
      <c r="A2898" t="s">
        <v>122</v>
      </c>
      <c r="B2898" s="1">
        <v>44713</v>
      </c>
      <c r="C2898">
        <v>1</v>
      </c>
      <c r="D2898">
        <v>23.27</v>
      </c>
      <c r="E2898">
        <v>28</v>
      </c>
    </row>
    <row r="2899" spans="1:5" x14ac:dyDescent="0.3">
      <c r="A2899" t="s">
        <v>35</v>
      </c>
      <c r="B2899" s="1">
        <v>44713</v>
      </c>
      <c r="C2899">
        <v>1</v>
      </c>
      <c r="D2899">
        <v>35</v>
      </c>
      <c r="E2899">
        <v>55</v>
      </c>
    </row>
    <row r="2900" spans="1:5" x14ac:dyDescent="0.3">
      <c r="A2900" t="s">
        <v>35</v>
      </c>
      <c r="B2900" s="1">
        <v>44713</v>
      </c>
      <c r="C2900">
        <v>1</v>
      </c>
      <c r="D2900">
        <v>35</v>
      </c>
      <c r="E2900">
        <v>55</v>
      </c>
    </row>
    <row r="2901" spans="1:5" x14ac:dyDescent="0.3">
      <c r="A2901" t="s">
        <v>39</v>
      </c>
      <c r="B2901" s="1">
        <v>44713</v>
      </c>
      <c r="C2901">
        <v>5</v>
      </c>
      <c r="D2901">
        <v>8.58</v>
      </c>
      <c r="E2901">
        <v>14</v>
      </c>
    </row>
    <row r="2902" spans="1:5" x14ac:dyDescent="0.3">
      <c r="A2902" t="s">
        <v>47</v>
      </c>
      <c r="B2902" s="1">
        <v>44713</v>
      </c>
      <c r="C2902">
        <v>1</v>
      </c>
      <c r="D2902">
        <v>43.45</v>
      </c>
      <c r="E2902">
        <v>67</v>
      </c>
    </row>
    <row r="2903" spans="1:5" x14ac:dyDescent="0.3">
      <c r="A2903" t="s">
        <v>34</v>
      </c>
      <c r="B2903" s="1">
        <v>44713</v>
      </c>
      <c r="C2903">
        <v>1</v>
      </c>
      <c r="D2903">
        <v>200.35</v>
      </c>
      <c r="E2903">
        <v>235</v>
      </c>
    </row>
    <row r="2904" spans="1:5" x14ac:dyDescent="0.3">
      <c r="A2904" t="s">
        <v>17</v>
      </c>
      <c r="B2904" s="1">
        <v>44713</v>
      </c>
      <c r="C2904">
        <v>1</v>
      </c>
      <c r="D2904">
        <v>388.58</v>
      </c>
      <c r="E2904">
        <v>467</v>
      </c>
    </row>
    <row r="2905" spans="1:5" x14ac:dyDescent="0.3">
      <c r="A2905" t="s">
        <v>7</v>
      </c>
      <c r="B2905" s="1">
        <v>44713</v>
      </c>
      <c r="C2905">
        <v>1</v>
      </c>
      <c r="D2905">
        <v>88.73</v>
      </c>
      <c r="E2905">
        <v>104</v>
      </c>
    </row>
    <row r="2906" spans="1:5" x14ac:dyDescent="0.3">
      <c r="A2906" t="s">
        <v>65</v>
      </c>
      <c r="B2906" s="1">
        <v>44713</v>
      </c>
      <c r="C2906">
        <v>1</v>
      </c>
      <c r="D2906">
        <v>184.45</v>
      </c>
      <c r="E2906">
        <v>235</v>
      </c>
    </row>
    <row r="2907" spans="1:5" x14ac:dyDescent="0.3">
      <c r="A2907" t="s">
        <v>158</v>
      </c>
      <c r="B2907" s="1">
        <v>44713</v>
      </c>
      <c r="C2907">
        <v>1</v>
      </c>
      <c r="D2907">
        <v>23.94</v>
      </c>
      <c r="E2907">
        <v>32</v>
      </c>
    </row>
    <row r="2908" spans="1:5" x14ac:dyDescent="0.3">
      <c r="A2908" t="s">
        <v>158</v>
      </c>
      <c r="B2908" s="1">
        <v>44713</v>
      </c>
      <c r="C2908">
        <v>1</v>
      </c>
      <c r="D2908">
        <v>23.94</v>
      </c>
      <c r="E2908">
        <v>32</v>
      </c>
    </row>
    <row r="2909" spans="1:5" x14ac:dyDescent="0.3">
      <c r="A2909" t="s">
        <v>158</v>
      </c>
      <c r="B2909" s="1">
        <v>44713</v>
      </c>
      <c r="C2909">
        <v>1</v>
      </c>
      <c r="D2909">
        <v>23.94</v>
      </c>
      <c r="E2909">
        <v>32</v>
      </c>
    </row>
    <row r="2910" spans="1:5" x14ac:dyDescent="0.3">
      <c r="A2910" t="s">
        <v>158</v>
      </c>
      <c r="B2910" s="1">
        <v>44713</v>
      </c>
      <c r="C2910">
        <v>1</v>
      </c>
      <c r="D2910">
        <v>23.94</v>
      </c>
      <c r="E2910">
        <v>32</v>
      </c>
    </row>
    <row r="2911" spans="1:5" x14ac:dyDescent="0.3">
      <c r="A2911" t="s">
        <v>158</v>
      </c>
      <c r="B2911" s="1">
        <v>44713</v>
      </c>
      <c r="C2911">
        <v>1</v>
      </c>
      <c r="D2911">
        <v>23.94</v>
      </c>
      <c r="E2911">
        <v>32</v>
      </c>
    </row>
    <row r="2912" spans="1:5" x14ac:dyDescent="0.3">
      <c r="A2912" t="s">
        <v>158</v>
      </c>
      <c r="B2912" s="1">
        <v>44713</v>
      </c>
      <c r="C2912">
        <v>1</v>
      </c>
      <c r="D2912">
        <v>23.94</v>
      </c>
      <c r="E2912">
        <v>32</v>
      </c>
    </row>
    <row r="2913" spans="1:5" x14ac:dyDescent="0.3">
      <c r="A2913" t="s">
        <v>158</v>
      </c>
      <c r="B2913" s="1">
        <v>44713</v>
      </c>
      <c r="C2913">
        <v>1</v>
      </c>
      <c r="D2913">
        <v>23.94</v>
      </c>
      <c r="E2913">
        <v>32</v>
      </c>
    </row>
    <row r="2914" spans="1:5" x14ac:dyDescent="0.3">
      <c r="A2914" t="s">
        <v>158</v>
      </c>
      <c r="B2914" s="1">
        <v>44713</v>
      </c>
      <c r="C2914">
        <v>1</v>
      </c>
      <c r="D2914">
        <v>23.94</v>
      </c>
      <c r="E2914">
        <v>32</v>
      </c>
    </row>
    <row r="2915" spans="1:5" x14ac:dyDescent="0.3">
      <c r="A2915" t="s">
        <v>158</v>
      </c>
      <c r="B2915" s="1">
        <v>44713</v>
      </c>
      <c r="C2915">
        <v>1</v>
      </c>
      <c r="D2915">
        <v>23.94</v>
      </c>
      <c r="E2915">
        <v>32</v>
      </c>
    </row>
    <row r="2916" spans="1:5" x14ac:dyDescent="0.3">
      <c r="A2916" t="s">
        <v>158</v>
      </c>
      <c r="B2916" s="1">
        <v>44713</v>
      </c>
      <c r="C2916">
        <v>1</v>
      </c>
      <c r="D2916">
        <v>23.94</v>
      </c>
      <c r="E2916">
        <v>32</v>
      </c>
    </row>
    <row r="2917" spans="1:5" x14ac:dyDescent="0.3">
      <c r="A2917" t="s">
        <v>95</v>
      </c>
      <c r="B2917" s="1">
        <v>44713</v>
      </c>
      <c r="C2917">
        <v>1</v>
      </c>
      <c r="D2917">
        <v>114.36</v>
      </c>
      <c r="E2917">
        <v>175</v>
      </c>
    </row>
    <row r="2918" spans="1:5" x14ac:dyDescent="0.3">
      <c r="A2918" t="s">
        <v>124</v>
      </c>
      <c r="B2918" s="1">
        <v>44713</v>
      </c>
      <c r="C2918">
        <v>1</v>
      </c>
      <c r="D2918">
        <v>48.86</v>
      </c>
      <c r="E2918">
        <v>79</v>
      </c>
    </row>
    <row r="2919" spans="1:5" x14ac:dyDescent="0.3">
      <c r="A2919" t="s">
        <v>13</v>
      </c>
      <c r="B2919" s="1">
        <v>44713</v>
      </c>
      <c r="C2919">
        <v>1</v>
      </c>
      <c r="D2919">
        <v>119.06</v>
      </c>
      <c r="E2919">
        <v>146</v>
      </c>
    </row>
    <row r="2920" spans="1:5" x14ac:dyDescent="0.3">
      <c r="A2920" t="s">
        <v>8</v>
      </c>
      <c r="B2920" s="1">
        <v>44713</v>
      </c>
      <c r="C2920">
        <v>1</v>
      </c>
      <c r="D2920">
        <v>60.47</v>
      </c>
      <c r="E2920">
        <v>76</v>
      </c>
    </row>
    <row r="2921" spans="1:5" x14ac:dyDescent="0.3">
      <c r="A2921" t="s">
        <v>19</v>
      </c>
      <c r="B2921" s="1">
        <v>44713</v>
      </c>
      <c r="C2921">
        <v>1</v>
      </c>
      <c r="D2921">
        <v>80.760000000000005</v>
      </c>
      <c r="E2921">
        <v>101</v>
      </c>
    </row>
    <row r="2922" spans="1:5" x14ac:dyDescent="0.3">
      <c r="A2922" t="s">
        <v>22</v>
      </c>
      <c r="B2922" s="1">
        <v>44713</v>
      </c>
      <c r="C2922">
        <v>1</v>
      </c>
      <c r="D2922">
        <v>30.3</v>
      </c>
      <c r="E2922">
        <v>49</v>
      </c>
    </row>
    <row r="2923" spans="1:5" x14ac:dyDescent="0.3">
      <c r="A2923" t="s">
        <v>102</v>
      </c>
      <c r="B2923" s="1">
        <v>44713</v>
      </c>
      <c r="C2923">
        <v>1</v>
      </c>
      <c r="D2923">
        <v>26.29</v>
      </c>
      <c r="E2923">
        <v>33</v>
      </c>
    </row>
    <row r="2924" spans="1:5" x14ac:dyDescent="0.3">
      <c r="A2924" t="s">
        <v>102</v>
      </c>
      <c r="B2924" s="1">
        <v>44713</v>
      </c>
      <c r="C2924">
        <v>1</v>
      </c>
      <c r="D2924">
        <v>26.29</v>
      </c>
      <c r="E2924">
        <v>33</v>
      </c>
    </row>
    <row r="2925" spans="1:5" x14ac:dyDescent="0.3">
      <c r="A2925" t="s">
        <v>102</v>
      </c>
      <c r="B2925" s="1">
        <v>44713</v>
      </c>
      <c r="C2925">
        <v>1</v>
      </c>
      <c r="D2925">
        <v>26.29</v>
      </c>
      <c r="E2925">
        <v>33</v>
      </c>
    </row>
    <row r="2926" spans="1:5" x14ac:dyDescent="0.3">
      <c r="A2926" t="s">
        <v>102</v>
      </c>
      <c r="B2926" s="1">
        <v>44713</v>
      </c>
      <c r="C2926">
        <v>1</v>
      </c>
      <c r="D2926">
        <v>26.29</v>
      </c>
      <c r="E2926">
        <v>33</v>
      </c>
    </row>
    <row r="2927" spans="1:5" x14ac:dyDescent="0.3">
      <c r="A2927" t="s">
        <v>102</v>
      </c>
      <c r="B2927" s="1">
        <v>44713</v>
      </c>
      <c r="C2927">
        <v>1</v>
      </c>
      <c r="D2927">
        <v>26.29</v>
      </c>
      <c r="E2927">
        <v>33</v>
      </c>
    </row>
    <row r="2928" spans="1:5" x14ac:dyDescent="0.3">
      <c r="A2928" t="s">
        <v>84</v>
      </c>
      <c r="B2928" s="1">
        <v>44713</v>
      </c>
      <c r="C2928">
        <v>1</v>
      </c>
      <c r="D2928">
        <v>153.22999999999999</v>
      </c>
      <c r="E2928">
        <v>192</v>
      </c>
    </row>
    <row r="2929" spans="1:5" x14ac:dyDescent="0.3">
      <c r="A2929" t="s">
        <v>9</v>
      </c>
      <c r="B2929" s="1">
        <v>44713</v>
      </c>
      <c r="C2929">
        <v>1</v>
      </c>
      <c r="D2929">
        <v>81.87</v>
      </c>
      <c r="E2929">
        <v>99</v>
      </c>
    </row>
    <row r="2930" spans="1:5" x14ac:dyDescent="0.3">
      <c r="A2930" t="s">
        <v>60</v>
      </c>
      <c r="B2930" s="1">
        <v>44713</v>
      </c>
      <c r="C2930">
        <v>1</v>
      </c>
      <c r="D2930">
        <v>60.4</v>
      </c>
      <c r="E2930">
        <v>74</v>
      </c>
    </row>
    <row r="2931" spans="1:5" x14ac:dyDescent="0.3">
      <c r="A2931" t="s">
        <v>82</v>
      </c>
      <c r="B2931" s="1">
        <v>44713</v>
      </c>
      <c r="C2931">
        <v>1</v>
      </c>
      <c r="D2931">
        <v>36.44</v>
      </c>
      <c r="E2931">
        <v>46</v>
      </c>
    </row>
    <row r="2932" spans="1:5" x14ac:dyDescent="0.3">
      <c r="A2932" t="s">
        <v>82</v>
      </c>
      <c r="B2932" s="1">
        <v>44713</v>
      </c>
      <c r="C2932">
        <v>1</v>
      </c>
      <c r="D2932">
        <v>36.44</v>
      </c>
      <c r="E2932">
        <v>46</v>
      </c>
    </row>
    <row r="2933" spans="1:5" x14ac:dyDescent="0.3">
      <c r="A2933" t="s">
        <v>98</v>
      </c>
      <c r="B2933" s="1">
        <v>44713</v>
      </c>
      <c r="C2933">
        <v>1</v>
      </c>
      <c r="D2933">
        <v>111.21</v>
      </c>
      <c r="E2933">
        <v>131</v>
      </c>
    </row>
    <row r="2934" spans="1:5" x14ac:dyDescent="0.3">
      <c r="A2934" t="s">
        <v>118</v>
      </c>
      <c r="B2934" s="1">
        <v>44713</v>
      </c>
      <c r="C2934">
        <v>1</v>
      </c>
      <c r="D2934">
        <v>10.79</v>
      </c>
      <c r="E2934">
        <v>13</v>
      </c>
    </row>
    <row r="2935" spans="1:5" x14ac:dyDescent="0.3">
      <c r="A2935" t="s">
        <v>118</v>
      </c>
      <c r="B2935" s="1">
        <v>44713</v>
      </c>
      <c r="C2935">
        <v>1</v>
      </c>
      <c r="D2935">
        <v>10.79</v>
      </c>
      <c r="E2935">
        <v>13</v>
      </c>
    </row>
    <row r="2936" spans="1:5" x14ac:dyDescent="0.3">
      <c r="A2936" t="s">
        <v>85</v>
      </c>
      <c r="B2936" s="1">
        <v>44713</v>
      </c>
      <c r="C2936">
        <v>1</v>
      </c>
      <c r="D2936">
        <v>15.13</v>
      </c>
      <c r="E2936">
        <v>23</v>
      </c>
    </row>
    <row r="2937" spans="1:5" x14ac:dyDescent="0.3">
      <c r="A2937" t="s">
        <v>10</v>
      </c>
      <c r="B2937" s="1">
        <v>44713</v>
      </c>
      <c r="C2937">
        <v>1</v>
      </c>
      <c r="D2937">
        <v>11.67</v>
      </c>
      <c r="E2937">
        <v>14</v>
      </c>
    </row>
    <row r="2938" spans="1:5" x14ac:dyDescent="0.3">
      <c r="A2938" t="s">
        <v>10</v>
      </c>
      <c r="B2938" s="1">
        <v>44713</v>
      </c>
      <c r="C2938">
        <v>1</v>
      </c>
      <c r="D2938">
        <v>11.67</v>
      </c>
      <c r="E2938">
        <v>14</v>
      </c>
    </row>
    <row r="2939" spans="1:5" x14ac:dyDescent="0.3">
      <c r="A2939" t="s">
        <v>88</v>
      </c>
      <c r="B2939" s="1">
        <v>44713</v>
      </c>
      <c r="C2939">
        <v>1.3</v>
      </c>
      <c r="D2939">
        <v>132</v>
      </c>
      <c r="E2939">
        <v>202</v>
      </c>
    </row>
    <row r="2940" spans="1:5" x14ac:dyDescent="0.3">
      <c r="A2940" t="s">
        <v>35</v>
      </c>
      <c r="B2940" s="1">
        <v>44713</v>
      </c>
      <c r="C2940">
        <v>1</v>
      </c>
      <c r="D2940">
        <v>31.85</v>
      </c>
      <c r="E2940">
        <v>49</v>
      </c>
    </row>
    <row r="2941" spans="1:5" x14ac:dyDescent="0.3">
      <c r="A2941" t="s">
        <v>41</v>
      </c>
      <c r="B2941" s="1">
        <v>44713</v>
      </c>
      <c r="C2941">
        <v>1</v>
      </c>
      <c r="D2941">
        <v>11.1</v>
      </c>
      <c r="E2941">
        <v>18</v>
      </c>
    </row>
    <row r="2942" spans="1:5" x14ac:dyDescent="0.3">
      <c r="A2942" t="s">
        <v>106</v>
      </c>
      <c r="B2942" s="1">
        <v>44713</v>
      </c>
      <c r="C2942">
        <v>1</v>
      </c>
      <c r="D2942">
        <v>41.14</v>
      </c>
      <c r="E2942">
        <v>51</v>
      </c>
    </row>
    <row r="2943" spans="1:5" x14ac:dyDescent="0.3">
      <c r="A2943" t="s">
        <v>35</v>
      </c>
      <c r="B2943" s="1">
        <v>44713</v>
      </c>
      <c r="C2943">
        <v>0.13461500000000001</v>
      </c>
      <c r="D2943">
        <v>35</v>
      </c>
      <c r="E2943">
        <v>55</v>
      </c>
    </row>
    <row r="2944" spans="1:5" x14ac:dyDescent="0.3">
      <c r="A2944" t="s">
        <v>35</v>
      </c>
      <c r="B2944" s="1">
        <v>44713</v>
      </c>
      <c r="C2944">
        <v>0.86538499999999996</v>
      </c>
      <c r="D2944">
        <v>35</v>
      </c>
      <c r="E2944">
        <v>55</v>
      </c>
    </row>
    <row r="2945" spans="1:5" x14ac:dyDescent="0.3">
      <c r="A2945" t="s">
        <v>42</v>
      </c>
      <c r="B2945" s="1">
        <v>44713</v>
      </c>
      <c r="C2945">
        <v>1</v>
      </c>
      <c r="D2945">
        <v>610.85</v>
      </c>
      <c r="E2945">
        <v>703</v>
      </c>
    </row>
    <row r="2946" spans="1:5" x14ac:dyDescent="0.3">
      <c r="A2946" t="s">
        <v>22</v>
      </c>
      <c r="B2946" s="1">
        <v>44713</v>
      </c>
      <c r="C2946">
        <v>0.13461500000000001</v>
      </c>
      <c r="D2946">
        <v>30.3</v>
      </c>
      <c r="E2946">
        <v>49</v>
      </c>
    </row>
    <row r="2947" spans="1:5" x14ac:dyDescent="0.3">
      <c r="A2947" t="s">
        <v>22</v>
      </c>
      <c r="B2947" s="1">
        <v>44713</v>
      </c>
      <c r="C2947">
        <v>0.86538499999999996</v>
      </c>
      <c r="D2947">
        <v>30.3</v>
      </c>
      <c r="E2947">
        <v>49</v>
      </c>
    </row>
    <row r="2948" spans="1:5" x14ac:dyDescent="0.3">
      <c r="A2948" t="s">
        <v>122</v>
      </c>
      <c r="B2948" s="1">
        <v>44713</v>
      </c>
      <c r="C2948">
        <v>1</v>
      </c>
      <c r="D2948">
        <v>20.48</v>
      </c>
      <c r="E2948">
        <v>25</v>
      </c>
    </row>
    <row r="2949" spans="1:5" x14ac:dyDescent="0.3">
      <c r="A2949" t="s">
        <v>57</v>
      </c>
      <c r="B2949" s="1">
        <v>44713</v>
      </c>
      <c r="C2949">
        <v>1</v>
      </c>
      <c r="D2949">
        <v>233.76</v>
      </c>
      <c r="E2949">
        <v>274</v>
      </c>
    </row>
    <row r="2950" spans="1:5" x14ac:dyDescent="0.3">
      <c r="A2950" t="s">
        <v>107</v>
      </c>
      <c r="B2950" s="1">
        <v>44713</v>
      </c>
      <c r="C2950">
        <v>1</v>
      </c>
      <c r="D2950">
        <v>71</v>
      </c>
      <c r="E2950">
        <v>88</v>
      </c>
    </row>
    <row r="2951" spans="1:5" x14ac:dyDescent="0.3">
      <c r="A2951" t="s">
        <v>24</v>
      </c>
      <c r="B2951" s="1">
        <v>44713</v>
      </c>
      <c r="C2951">
        <v>1</v>
      </c>
      <c r="D2951">
        <v>102.47</v>
      </c>
      <c r="E2951">
        <v>121</v>
      </c>
    </row>
    <row r="2952" spans="1:5" x14ac:dyDescent="0.3">
      <c r="A2952" t="s">
        <v>46</v>
      </c>
      <c r="B2952" s="1">
        <v>44713</v>
      </c>
      <c r="C2952">
        <v>1</v>
      </c>
      <c r="D2952">
        <v>19.420000000000002</v>
      </c>
      <c r="E2952">
        <v>23</v>
      </c>
    </row>
    <row r="2953" spans="1:5" x14ac:dyDescent="0.3">
      <c r="A2953" t="s">
        <v>75</v>
      </c>
      <c r="B2953" s="1">
        <v>44713</v>
      </c>
      <c r="C2953">
        <v>0.22</v>
      </c>
      <c r="D2953">
        <v>404.09</v>
      </c>
      <c r="E2953">
        <v>594</v>
      </c>
    </row>
    <row r="2954" spans="1:5" x14ac:dyDescent="0.3">
      <c r="A2954" t="s">
        <v>25</v>
      </c>
      <c r="B2954" s="1">
        <v>44713</v>
      </c>
      <c r="C2954">
        <v>1</v>
      </c>
      <c r="D2954">
        <v>147.55000000000001</v>
      </c>
      <c r="E2954">
        <v>177</v>
      </c>
    </row>
    <row r="2955" spans="1:5" x14ac:dyDescent="0.3">
      <c r="A2955" t="s">
        <v>113</v>
      </c>
      <c r="B2955" s="1">
        <v>44713</v>
      </c>
      <c r="C2955">
        <v>1</v>
      </c>
      <c r="D2955">
        <v>126.69</v>
      </c>
      <c r="E2955">
        <v>177</v>
      </c>
    </row>
    <row r="2956" spans="1:5" x14ac:dyDescent="0.3">
      <c r="A2956" t="s">
        <v>105</v>
      </c>
      <c r="B2956" s="1">
        <v>44713</v>
      </c>
      <c r="C2956">
        <v>5</v>
      </c>
      <c r="D2956">
        <v>27.72</v>
      </c>
      <c r="E2956">
        <v>45</v>
      </c>
    </row>
    <row r="2957" spans="1:5" x14ac:dyDescent="0.3">
      <c r="A2957" t="s">
        <v>149</v>
      </c>
      <c r="B2957" s="1">
        <v>44713</v>
      </c>
      <c r="C2957">
        <v>1</v>
      </c>
      <c r="D2957">
        <v>199.6</v>
      </c>
      <c r="E2957">
        <v>290</v>
      </c>
    </row>
    <row r="2958" spans="1:5" x14ac:dyDescent="0.3">
      <c r="A2958" t="s">
        <v>36</v>
      </c>
      <c r="B2958" s="1">
        <v>44713</v>
      </c>
      <c r="C2958">
        <v>1</v>
      </c>
      <c r="D2958">
        <v>22.05</v>
      </c>
      <c r="E2958">
        <v>28</v>
      </c>
    </row>
    <row r="2959" spans="1:5" x14ac:dyDescent="0.3">
      <c r="A2959" t="s">
        <v>36</v>
      </c>
      <c r="B2959" s="1">
        <v>44713</v>
      </c>
      <c r="C2959">
        <v>1</v>
      </c>
      <c r="D2959">
        <v>22.05</v>
      </c>
      <c r="E2959">
        <v>28</v>
      </c>
    </row>
    <row r="2960" spans="1:5" x14ac:dyDescent="0.3">
      <c r="A2960" t="s">
        <v>36</v>
      </c>
      <c r="B2960" s="1">
        <v>44713</v>
      </c>
      <c r="C2960">
        <v>1</v>
      </c>
      <c r="D2960">
        <v>22.05</v>
      </c>
      <c r="E2960">
        <v>28</v>
      </c>
    </row>
    <row r="2961" spans="1:5" x14ac:dyDescent="0.3">
      <c r="A2961" t="s">
        <v>36</v>
      </c>
      <c r="B2961" s="1">
        <v>44713</v>
      </c>
      <c r="C2961">
        <v>1</v>
      </c>
      <c r="D2961">
        <v>22.05</v>
      </c>
      <c r="E2961">
        <v>28</v>
      </c>
    </row>
    <row r="2962" spans="1:5" x14ac:dyDescent="0.3">
      <c r="A2962" t="s">
        <v>131</v>
      </c>
      <c r="B2962" s="1">
        <v>44713</v>
      </c>
      <c r="C2962">
        <v>1</v>
      </c>
      <c r="D2962">
        <v>363</v>
      </c>
      <c r="E2962">
        <v>480</v>
      </c>
    </row>
    <row r="2963" spans="1:5" x14ac:dyDescent="0.3">
      <c r="A2963" t="s">
        <v>12</v>
      </c>
      <c r="B2963" s="1">
        <v>44713</v>
      </c>
      <c r="C2963">
        <v>1</v>
      </c>
      <c r="D2963">
        <v>56.18</v>
      </c>
      <c r="E2963">
        <v>70</v>
      </c>
    </row>
    <row r="2964" spans="1:5" x14ac:dyDescent="0.3">
      <c r="A2964" t="s">
        <v>153</v>
      </c>
      <c r="B2964" s="1">
        <v>44713</v>
      </c>
      <c r="C2964">
        <v>1</v>
      </c>
      <c r="D2964">
        <v>10.34</v>
      </c>
      <c r="E2964">
        <v>12</v>
      </c>
    </row>
    <row r="2965" spans="1:5" x14ac:dyDescent="0.3">
      <c r="A2965" t="s">
        <v>153</v>
      </c>
      <c r="B2965" s="1">
        <v>44713</v>
      </c>
      <c r="C2965">
        <v>1</v>
      </c>
      <c r="D2965">
        <v>10.34</v>
      </c>
      <c r="E2965">
        <v>12</v>
      </c>
    </row>
    <row r="2966" spans="1:5" x14ac:dyDescent="0.3">
      <c r="A2966" t="s">
        <v>47</v>
      </c>
      <c r="B2966" s="1">
        <v>44713</v>
      </c>
      <c r="C2966">
        <v>1</v>
      </c>
      <c r="D2966">
        <v>43.08</v>
      </c>
      <c r="E2966">
        <v>66</v>
      </c>
    </row>
    <row r="2967" spans="1:5" x14ac:dyDescent="0.3">
      <c r="A2967" t="s">
        <v>57</v>
      </c>
      <c r="B2967" s="1">
        <v>44713</v>
      </c>
      <c r="C2967">
        <v>1</v>
      </c>
      <c r="D2967">
        <v>233.74</v>
      </c>
      <c r="E2967">
        <v>262</v>
      </c>
    </row>
    <row r="2968" spans="1:5" x14ac:dyDescent="0.3">
      <c r="A2968" t="s">
        <v>66</v>
      </c>
      <c r="B2968" s="1">
        <v>44713</v>
      </c>
      <c r="C2968">
        <v>1</v>
      </c>
      <c r="D2968">
        <v>32</v>
      </c>
      <c r="E2968">
        <v>36</v>
      </c>
    </row>
    <row r="2969" spans="1:5" x14ac:dyDescent="0.3">
      <c r="A2969" t="s">
        <v>88</v>
      </c>
      <c r="B2969" s="1">
        <v>44713</v>
      </c>
      <c r="C2969">
        <v>1</v>
      </c>
      <c r="D2969">
        <v>136.57</v>
      </c>
      <c r="E2969">
        <v>215</v>
      </c>
    </row>
    <row r="2970" spans="1:5" x14ac:dyDescent="0.3">
      <c r="A2970" t="s">
        <v>146</v>
      </c>
      <c r="B2970" s="1">
        <v>44713</v>
      </c>
      <c r="C2970">
        <v>1</v>
      </c>
      <c r="D2970">
        <v>410.25</v>
      </c>
      <c r="E2970">
        <v>460</v>
      </c>
    </row>
    <row r="2971" spans="1:5" x14ac:dyDescent="0.3">
      <c r="A2971" t="s">
        <v>32</v>
      </c>
      <c r="B2971" s="1">
        <v>44713</v>
      </c>
      <c r="C2971">
        <v>0.39393899999999998</v>
      </c>
      <c r="D2971">
        <v>105</v>
      </c>
      <c r="E2971">
        <v>165</v>
      </c>
    </row>
    <row r="2972" spans="1:5" x14ac:dyDescent="0.3">
      <c r="A2972" t="s">
        <v>32</v>
      </c>
      <c r="B2972" s="1">
        <v>44713</v>
      </c>
      <c r="C2972">
        <v>0.60606099999999996</v>
      </c>
      <c r="D2972">
        <v>105</v>
      </c>
      <c r="E2972">
        <v>165</v>
      </c>
    </row>
    <row r="2973" spans="1:5" x14ac:dyDescent="0.3">
      <c r="A2973" t="s">
        <v>9</v>
      </c>
      <c r="B2973" s="1">
        <v>44713</v>
      </c>
      <c r="C2973">
        <v>1</v>
      </c>
      <c r="D2973">
        <v>81.17</v>
      </c>
      <c r="E2973">
        <v>99</v>
      </c>
    </row>
    <row r="2974" spans="1:5" x14ac:dyDescent="0.3">
      <c r="A2974" t="s">
        <v>24</v>
      </c>
      <c r="B2974" s="1">
        <v>44713</v>
      </c>
      <c r="C2974">
        <v>1</v>
      </c>
      <c r="D2974">
        <v>102.47</v>
      </c>
      <c r="E2974">
        <v>121</v>
      </c>
    </row>
    <row r="2975" spans="1:5" x14ac:dyDescent="0.3">
      <c r="A2975" t="s">
        <v>35</v>
      </c>
      <c r="B2975" s="1">
        <v>44713</v>
      </c>
      <c r="C2975">
        <v>1</v>
      </c>
      <c r="D2975">
        <v>35</v>
      </c>
      <c r="E2975">
        <v>55</v>
      </c>
    </row>
    <row r="2976" spans="1:5" x14ac:dyDescent="0.3">
      <c r="A2976" t="s">
        <v>133</v>
      </c>
      <c r="B2976" s="1">
        <v>44713</v>
      </c>
      <c r="C2976">
        <v>1</v>
      </c>
      <c r="D2976">
        <v>5.0999999999999996</v>
      </c>
      <c r="E2976">
        <v>9</v>
      </c>
    </row>
    <row r="2977" spans="1:5" x14ac:dyDescent="0.3">
      <c r="A2977" t="s">
        <v>56</v>
      </c>
      <c r="B2977" s="1">
        <v>44713</v>
      </c>
      <c r="C2977">
        <v>1</v>
      </c>
      <c r="D2977">
        <v>45.36</v>
      </c>
      <c r="E2977">
        <v>71</v>
      </c>
    </row>
    <row r="2978" spans="1:5" x14ac:dyDescent="0.3">
      <c r="A2978" t="s">
        <v>12</v>
      </c>
      <c r="B2978" s="1">
        <v>44713</v>
      </c>
      <c r="C2978">
        <v>1</v>
      </c>
      <c r="D2978">
        <v>56.98</v>
      </c>
      <c r="E2978">
        <v>72</v>
      </c>
    </row>
    <row r="2979" spans="1:5" x14ac:dyDescent="0.3">
      <c r="A2979" t="s">
        <v>26</v>
      </c>
      <c r="B2979" s="1">
        <v>44713</v>
      </c>
      <c r="C2979">
        <v>0.2</v>
      </c>
      <c r="D2979">
        <v>986.58</v>
      </c>
      <c r="E2979">
        <v>1352</v>
      </c>
    </row>
    <row r="2980" spans="1:5" x14ac:dyDescent="0.3">
      <c r="A2980" t="s">
        <v>56</v>
      </c>
      <c r="B2980" s="1">
        <v>44713</v>
      </c>
      <c r="C2980">
        <v>1</v>
      </c>
      <c r="D2980">
        <v>44.9</v>
      </c>
      <c r="E2980">
        <v>69</v>
      </c>
    </row>
    <row r="2981" spans="1:5" x14ac:dyDescent="0.3">
      <c r="A2981" t="s">
        <v>30</v>
      </c>
      <c r="B2981" s="1">
        <v>44713</v>
      </c>
      <c r="C2981">
        <v>1</v>
      </c>
      <c r="D2981">
        <v>156.19999999999999</v>
      </c>
      <c r="E2981">
        <v>186</v>
      </c>
    </row>
    <row r="2982" spans="1:5" x14ac:dyDescent="0.3">
      <c r="A2982" t="s">
        <v>66</v>
      </c>
      <c r="B2982" s="1">
        <v>44713</v>
      </c>
      <c r="C2982">
        <v>1</v>
      </c>
      <c r="D2982">
        <v>30.56</v>
      </c>
      <c r="E2982">
        <v>36</v>
      </c>
    </row>
    <row r="2983" spans="1:5" x14ac:dyDescent="0.3">
      <c r="A2983" t="s">
        <v>25</v>
      </c>
      <c r="B2983" s="1">
        <v>44713</v>
      </c>
      <c r="C2983">
        <v>1</v>
      </c>
      <c r="D2983">
        <v>147.55000000000001</v>
      </c>
      <c r="E2983">
        <v>177</v>
      </c>
    </row>
    <row r="2984" spans="1:5" x14ac:dyDescent="0.3">
      <c r="A2984" t="s">
        <v>66</v>
      </c>
      <c r="B2984" s="1">
        <v>44713</v>
      </c>
      <c r="C2984">
        <v>1</v>
      </c>
      <c r="D2984">
        <v>30.56</v>
      </c>
      <c r="E2984">
        <v>36</v>
      </c>
    </row>
    <row r="2985" spans="1:5" x14ac:dyDescent="0.3">
      <c r="A2985" t="s">
        <v>66</v>
      </c>
      <c r="B2985" s="1">
        <v>44713</v>
      </c>
      <c r="C2985">
        <v>1</v>
      </c>
      <c r="D2985">
        <v>30.56</v>
      </c>
      <c r="E2985">
        <v>36</v>
      </c>
    </row>
    <row r="2986" spans="1:5" x14ac:dyDescent="0.3">
      <c r="A2986" t="s">
        <v>26</v>
      </c>
      <c r="B2986" s="1">
        <v>44713</v>
      </c>
      <c r="C2986">
        <v>0.2</v>
      </c>
      <c r="D2986">
        <v>984.92</v>
      </c>
      <c r="E2986">
        <v>1330</v>
      </c>
    </row>
    <row r="2987" spans="1:5" x14ac:dyDescent="0.3">
      <c r="A2987" t="s">
        <v>144</v>
      </c>
      <c r="B2987" s="1">
        <v>44713</v>
      </c>
      <c r="C2987">
        <v>1</v>
      </c>
      <c r="D2987">
        <v>51.98</v>
      </c>
      <c r="E2987">
        <v>81</v>
      </c>
    </row>
    <row r="2988" spans="1:5" x14ac:dyDescent="0.3">
      <c r="A2988" t="s">
        <v>47</v>
      </c>
      <c r="B2988" s="1">
        <v>44713</v>
      </c>
      <c r="C2988">
        <v>1</v>
      </c>
      <c r="D2988">
        <v>43</v>
      </c>
      <c r="E2988">
        <v>66</v>
      </c>
    </row>
    <row r="2989" spans="1:5" x14ac:dyDescent="0.3">
      <c r="A2989" t="s">
        <v>91</v>
      </c>
      <c r="B2989" s="1">
        <v>44713</v>
      </c>
      <c r="C2989">
        <v>1</v>
      </c>
      <c r="D2989">
        <v>35.340000000000003</v>
      </c>
      <c r="E2989">
        <v>58</v>
      </c>
    </row>
    <row r="2990" spans="1:5" x14ac:dyDescent="0.3">
      <c r="A2990" t="s">
        <v>139</v>
      </c>
      <c r="B2990" s="1">
        <v>44713</v>
      </c>
      <c r="C2990">
        <v>1</v>
      </c>
      <c r="D2990">
        <v>24.18</v>
      </c>
      <c r="E2990">
        <v>40</v>
      </c>
    </row>
    <row r="2991" spans="1:5" x14ac:dyDescent="0.3">
      <c r="A2991" t="s">
        <v>92</v>
      </c>
      <c r="B2991" s="1">
        <v>44713</v>
      </c>
      <c r="C2991">
        <v>11</v>
      </c>
      <c r="D2991">
        <v>6.3</v>
      </c>
      <c r="E2991">
        <v>9</v>
      </c>
    </row>
    <row r="2992" spans="1:5" x14ac:dyDescent="0.3">
      <c r="A2992" t="s">
        <v>119</v>
      </c>
      <c r="B2992" s="1">
        <v>44713</v>
      </c>
      <c r="C2992">
        <v>3.5714299999999997E-2</v>
      </c>
      <c r="D2992">
        <v>656.19</v>
      </c>
      <c r="E2992">
        <v>722</v>
      </c>
    </row>
    <row r="2993" spans="1:5" x14ac:dyDescent="0.3">
      <c r="A2993" t="s">
        <v>25</v>
      </c>
      <c r="B2993" s="1">
        <v>44713</v>
      </c>
      <c r="C2993">
        <v>1</v>
      </c>
      <c r="D2993">
        <v>147.18</v>
      </c>
      <c r="E2993">
        <v>176</v>
      </c>
    </row>
    <row r="2994" spans="1:5" x14ac:dyDescent="0.3">
      <c r="A2994" t="s">
        <v>25</v>
      </c>
      <c r="B2994" s="1">
        <v>44713</v>
      </c>
      <c r="C2994">
        <v>1</v>
      </c>
      <c r="D2994">
        <v>147.18</v>
      </c>
      <c r="E2994">
        <v>176</v>
      </c>
    </row>
    <row r="2995" spans="1:5" x14ac:dyDescent="0.3">
      <c r="A2995" t="s">
        <v>127</v>
      </c>
      <c r="B2995" s="1">
        <v>44713</v>
      </c>
      <c r="C2995">
        <v>1</v>
      </c>
      <c r="D2995">
        <v>119.63</v>
      </c>
      <c r="E2995">
        <v>162</v>
      </c>
    </row>
    <row r="2996" spans="1:5" x14ac:dyDescent="0.3">
      <c r="A2996" t="s">
        <v>93</v>
      </c>
      <c r="B2996" s="1">
        <v>44713</v>
      </c>
      <c r="C2996">
        <v>1</v>
      </c>
      <c r="D2996">
        <v>71.05</v>
      </c>
      <c r="E2996">
        <v>101</v>
      </c>
    </row>
    <row r="2997" spans="1:5" x14ac:dyDescent="0.3">
      <c r="A2997" t="s">
        <v>64</v>
      </c>
      <c r="B2997" s="1">
        <v>44713</v>
      </c>
      <c r="C2997">
        <v>1</v>
      </c>
      <c r="D2997">
        <v>199.07</v>
      </c>
      <c r="E2997">
        <v>281</v>
      </c>
    </row>
    <row r="2998" spans="1:5" x14ac:dyDescent="0.3">
      <c r="A2998" t="s">
        <v>128</v>
      </c>
      <c r="B2998" s="1">
        <v>44713</v>
      </c>
      <c r="C2998">
        <v>1</v>
      </c>
      <c r="D2998">
        <v>255.9</v>
      </c>
      <c r="E2998">
        <v>359</v>
      </c>
    </row>
    <row r="2999" spans="1:5" x14ac:dyDescent="0.3">
      <c r="A2999" t="s">
        <v>120</v>
      </c>
      <c r="B2999" s="1">
        <v>44713</v>
      </c>
      <c r="C2999">
        <v>1</v>
      </c>
      <c r="D2999">
        <v>132.56</v>
      </c>
      <c r="E2999">
        <v>187</v>
      </c>
    </row>
    <row r="3000" spans="1:5" x14ac:dyDescent="0.3">
      <c r="A3000" t="s">
        <v>71</v>
      </c>
      <c r="B3000" s="1">
        <v>44713</v>
      </c>
      <c r="C3000">
        <v>1</v>
      </c>
      <c r="D3000">
        <v>57.59</v>
      </c>
      <c r="E3000">
        <v>82</v>
      </c>
    </row>
    <row r="3001" spans="1:5" x14ac:dyDescent="0.3">
      <c r="A3001" t="s">
        <v>66</v>
      </c>
      <c r="B3001" s="1">
        <v>44713</v>
      </c>
      <c r="C3001">
        <v>1</v>
      </c>
      <c r="D3001">
        <v>31.58</v>
      </c>
      <c r="E3001">
        <v>37</v>
      </c>
    </row>
    <row r="3002" spans="1:5" x14ac:dyDescent="0.3">
      <c r="A3002" t="s">
        <v>7</v>
      </c>
      <c r="B3002" s="1">
        <v>44713</v>
      </c>
      <c r="C3002">
        <v>1</v>
      </c>
      <c r="D3002">
        <v>88.43</v>
      </c>
      <c r="E3002">
        <v>106</v>
      </c>
    </row>
    <row r="3003" spans="1:5" x14ac:dyDescent="0.3">
      <c r="A3003" t="s">
        <v>21</v>
      </c>
      <c r="B3003" s="1">
        <v>44713</v>
      </c>
      <c r="C3003">
        <v>1</v>
      </c>
      <c r="D3003">
        <v>184.57</v>
      </c>
      <c r="E3003">
        <v>253</v>
      </c>
    </row>
    <row r="3004" spans="1:5" x14ac:dyDescent="0.3">
      <c r="A3004" t="s">
        <v>125</v>
      </c>
      <c r="B3004" s="1">
        <v>44713</v>
      </c>
      <c r="C3004">
        <v>1</v>
      </c>
      <c r="D3004">
        <v>337.24</v>
      </c>
      <c r="E3004">
        <v>436</v>
      </c>
    </row>
    <row r="3005" spans="1:5" x14ac:dyDescent="0.3">
      <c r="A3005" t="s">
        <v>23</v>
      </c>
      <c r="B3005" s="1">
        <v>44713</v>
      </c>
      <c r="C3005">
        <v>1</v>
      </c>
      <c r="D3005">
        <v>109.41</v>
      </c>
      <c r="E3005">
        <v>123</v>
      </c>
    </row>
    <row r="3006" spans="1:5" x14ac:dyDescent="0.3">
      <c r="A3006" t="s">
        <v>93</v>
      </c>
      <c r="B3006" s="1">
        <v>44713</v>
      </c>
      <c r="C3006">
        <v>1</v>
      </c>
      <c r="D3006">
        <v>71.05</v>
      </c>
      <c r="E3006">
        <v>101</v>
      </c>
    </row>
    <row r="3007" spans="1:5" x14ac:dyDescent="0.3">
      <c r="A3007" t="s">
        <v>135</v>
      </c>
      <c r="B3007" s="1">
        <v>44713</v>
      </c>
      <c r="C3007">
        <v>1</v>
      </c>
      <c r="D3007">
        <v>73.260000000000005</v>
      </c>
      <c r="E3007">
        <v>91</v>
      </c>
    </row>
    <row r="3008" spans="1:5" x14ac:dyDescent="0.3">
      <c r="A3008" t="s">
        <v>57</v>
      </c>
      <c r="B3008" s="1">
        <v>44713</v>
      </c>
      <c r="C3008">
        <v>1</v>
      </c>
      <c r="D3008">
        <v>233.74</v>
      </c>
      <c r="E3008">
        <v>274</v>
      </c>
    </row>
    <row r="3009" spans="1:5" x14ac:dyDescent="0.3">
      <c r="A3009" t="s">
        <v>47</v>
      </c>
      <c r="B3009" s="1">
        <v>44713</v>
      </c>
      <c r="C3009">
        <v>1</v>
      </c>
      <c r="D3009">
        <v>43.08</v>
      </c>
      <c r="E3009">
        <v>66</v>
      </c>
    </row>
    <row r="3010" spans="1:5" x14ac:dyDescent="0.3">
      <c r="A3010" t="s">
        <v>27</v>
      </c>
      <c r="B3010" s="1">
        <v>44713</v>
      </c>
      <c r="C3010">
        <v>1</v>
      </c>
      <c r="D3010">
        <v>102.34</v>
      </c>
      <c r="E3010">
        <v>157</v>
      </c>
    </row>
    <row r="3011" spans="1:5" x14ac:dyDescent="0.3">
      <c r="A3011" t="s">
        <v>47</v>
      </c>
      <c r="B3011" s="1">
        <v>44713</v>
      </c>
      <c r="C3011">
        <v>1</v>
      </c>
      <c r="D3011">
        <v>43</v>
      </c>
      <c r="E3011">
        <v>66</v>
      </c>
    </row>
    <row r="3012" spans="1:5" x14ac:dyDescent="0.3">
      <c r="A3012" t="s">
        <v>142</v>
      </c>
      <c r="B3012" s="1">
        <v>44713</v>
      </c>
      <c r="C3012">
        <v>1</v>
      </c>
      <c r="D3012">
        <v>12.86</v>
      </c>
      <c r="E3012">
        <v>15</v>
      </c>
    </row>
    <row r="3013" spans="1:5" x14ac:dyDescent="0.3">
      <c r="A3013" t="s">
        <v>142</v>
      </c>
      <c r="B3013" s="1">
        <v>44713</v>
      </c>
      <c r="C3013">
        <v>1</v>
      </c>
      <c r="D3013">
        <v>12.86</v>
      </c>
      <c r="E3013">
        <v>15</v>
      </c>
    </row>
    <row r="3014" spans="1:5" x14ac:dyDescent="0.3">
      <c r="A3014" t="s">
        <v>124</v>
      </c>
      <c r="B3014" s="1">
        <v>44713</v>
      </c>
      <c r="C3014">
        <v>1</v>
      </c>
      <c r="D3014">
        <v>42.47</v>
      </c>
      <c r="E3014">
        <v>69</v>
      </c>
    </row>
    <row r="3015" spans="1:5" x14ac:dyDescent="0.3">
      <c r="A3015" t="s">
        <v>150</v>
      </c>
      <c r="B3015" s="1">
        <v>44713</v>
      </c>
      <c r="C3015">
        <v>2</v>
      </c>
      <c r="D3015">
        <v>97</v>
      </c>
      <c r="E3015">
        <v>153</v>
      </c>
    </row>
    <row r="3016" spans="1:5" x14ac:dyDescent="0.3">
      <c r="A3016" t="s">
        <v>150</v>
      </c>
      <c r="B3016" s="1">
        <v>44713</v>
      </c>
      <c r="C3016">
        <v>1</v>
      </c>
      <c r="D3016">
        <v>97</v>
      </c>
      <c r="E3016">
        <v>153</v>
      </c>
    </row>
    <row r="3017" spans="1:5" x14ac:dyDescent="0.3">
      <c r="A3017" t="s">
        <v>74</v>
      </c>
      <c r="B3017" s="1">
        <v>44713</v>
      </c>
      <c r="C3017">
        <v>1</v>
      </c>
      <c r="D3017">
        <v>87.52</v>
      </c>
      <c r="E3017">
        <v>109</v>
      </c>
    </row>
    <row r="3018" spans="1:5" x14ac:dyDescent="0.3">
      <c r="A3018" t="s">
        <v>126</v>
      </c>
      <c r="B3018" s="1">
        <v>44713</v>
      </c>
      <c r="C3018">
        <v>1</v>
      </c>
      <c r="D3018">
        <v>29.36</v>
      </c>
      <c r="E3018">
        <v>37</v>
      </c>
    </row>
    <row r="3019" spans="1:5" x14ac:dyDescent="0.3">
      <c r="A3019" t="s">
        <v>126</v>
      </c>
      <c r="B3019" s="1">
        <v>44713</v>
      </c>
      <c r="C3019">
        <v>1</v>
      </c>
      <c r="D3019">
        <v>29.36</v>
      </c>
      <c r="E3019">
        <v>37</v>
      </c>
    </row>
    <row r="3020" spans="1:5" x14ac:dyDescent="0.3">
      <c r="A3020" t="s">
        <v>126</v>
      </c>
      <c r="B3020" s="1">
        <v>44713</v>
      </c>
      <c r="C3020">
        <v>1</v>
      </c>
      <c r="D3020">
        <v>29.36</v>
      </c>
      <c r="E3020">
        <v>37</v>
      </c>
    </row>
    <row r="3021" spans="1:5" x14ac:dyDescent="0.3">
      <c r="A3021" t="s">
        <v>126</v>
      </c>
      <c r="B3021" s="1">
        <v>44713</v>
      </c>
      <c r="C3021">
        <v>1</v>
      </c>
      <c r="D3021">
        <v>29.36</v>
      </c>
      <c r="E3021">
        <v>37</v>
      </c>
    </row>
    <row r="3022" spans="1:5" x14ac:dyDescent="0.3">
      <c r="A3022" t="s">
        <v>126</v>
      </c>
      <c r="B3022" s="1">
        <v>44713</v>
      </c>
      <c r="C3022">
        <v>1</v>
      </c>
      <c r="D3022">
        <v>29.36</v>
      </c>
      <c r="E3022">
        <v>37</v>
      </c>
    </row>
    <row r="3023" spans="1:5" x14ac:dyDescent="0.3">
      <c r="A3023" t="s">
        <v>126</v>
      </c>
      <c r="B3023" s="1">
        <v>44713</v>
      </c>
      <c r="C3023">
        <v>1</v>
      </c>
      <c r="D3023">
        <v>29.36</v>
      </c>
      <c r="E3023">
        <v>37</v>
      </c>
    </row>
    <row r="3024" spans="1:5" x14ac:dyDescent="0.3">
      <c r="A3024" t="s">
        <v>126</v>
      </c>
      <c r="B3024" s="1">
        <v>44713</v>
      </c>
      <c r="C3024">
        <v>1</v>
      </c>
      <c r="D3024">
        <v>29.36</v>
      </c>
      <c r="E3024">
        <v>37</v>
      </c>
    </row>
    <row r="3025" spans="1:5" x14ac:dyDescent="0.3">
      <c r="A3025" t="s">
        <v>126</v>
      </c>
      <c r="B3025" s="1">
        <v>44713</v>
      </c>
      <c r="C3025">
        <v>1</v>
      </c>
      <c r="D3025">
        <v>27.38</v>
      </c>
      <c r="E3025">
        <v>34</v>
      </c>
    </row>
    <row r="3026" spans="1:5" x14ac:dyDescent="0.3">
      <c r="A3026" t="s">
        <v>126</v>
      </c>
      <c r="B3026" s="1">
        <v>44713</v>
      </c>
      <c r="C3026">
        <v>1</v>
      </c>
      <c r="D3026">
        <v>27.38</v>
      </c>
      <c r="E3026">
        <v>34</v>
      </c>
    </row>
    <row r="3027" spans="1:5" x14ac:dyDescent="0.3">
      <c r="A3027" t="s">
        <v>126</v>
      </c>
      <c r="B3027" s="1">
        <v>44713</v>
      </c>
      <c r="C3027">
        <v>1</v>
      </c>
      <c r="D3027">
        <v>27.38</v>
      </c>
      <c r="E3027">
        <v>34</v>
      </c>
    </row>
    <row r="3028" spans="1:5" x14ac:dyDescent="0.3">
      <c r="A3028" t="s">
        <v>95</v>
      </c>
      <c r="B3028" s="1">
        <v>44713</v>
      </c>
      <c r="C3028">
        <v>1</v>
      </c>
      <c r="D3028">
        <v>131.07</v>
      </c>
      <c r="E3028">
        <v>206</v>
      </c>
    </row>
    <row r="3029" spans="1:5" x14ac:dyDescent="0.3">
      <c r="A3029" t="s">
        <v>22</v>
      </c>
      <c r="B3029" s="1">
        <v>44713</v>
      </c>
      <c r="C3029">
        <v>1</v>
      </c>
      <c r="D3029">
        <v>30.3</v>
      </c>
      <c r="E3029">
        <v>50</v>
      </c>
    </row>
    <row r="3030" spans="1:5" x14ac:dyDescent="0.3">
      <c r="A3030" t="s">
        <v>124</v>
      </c>
      <c r="B3030" s="1">
        <v>44713</v>
      </c>
      <c r="C3030">
        <v>1</v>
      </c>
      <c r="D3030">
        <v>42.47</v>
      </c>
      <c r="E3030">
        <v>69</v>
      </c>
    </row>
    <row r="3031" spans="1:5" x14ac:dyDescent="0.3">
      <c r="A3031" t="s">
        <v>62</v>
      </c>
      <c r="B3031" s="1">
        <v>44713</v>
      </c>
      <c r="C3031">
        <v>1</v>
      </c>
      <c r="D3031">
        <v>25.71</v>
      </c>
      <c r="E3031">
        <v>31</v>
      </c>
    </row>
    <row r="3032" spans="1:5" x14ac:dyDescent="0.3">
      <c r="A3032" t="s">
        <v>42</v>
      </c>
      <c r="B3032" s="1">
        <v>44713</v>
      </c>
      <c r="C3032">
        <v>1</v>
      </c>
      <c r="D3032">
        <v>580.15</v>
      </c>
      <c r="E3032">
        <v>726</v>
      </c>
    </row>
    <row r="3033" spans="1:5" x14ac:dyDescent="0.3">
      <c r="A3033" t="s">
        <v>25</v>
      </c>
      <c r="B3033" s="1">
        <v>44713</v>
      </c>
      <c r="C3033">
        <v>1</v>
      </c>
      <c r="D3033">
        <v>147.18</v>
      </c>
      <c r="E3033">
        <v>177</v>
      </c>
    </row>
    <row r="3034" spans="1:5" x14ac:dyDescent="0.3">
      <c r="A3034" t="s">
        <v>79</v>
      </c>
      <c r="B3034" s="1">
        <v>44713</v>
      </c>
      <c r="C3034">
        <v>1</v>
      </c>
      <c r="D3034">
        <v>148.5</v>
      </c>
      <c r="E3034">
        <v>177</v>
      </c>
    </row>
    <row r="3035" spans="1:5" x14ac:dyDescent="0.3">
      <c r="A3035" t="s">
        <v>69</v>
      </c>
      <c r="B3035" s="1">
        <v>44713</v>
      </c>
      <c r="C3035">
        <v>1</v>
      </c>
      <c r="D3035">
        <v>19.989999999999998</v>
      </c>
      <c r="E3035">
        <v>24</v>
      </c>
    </row>
    <row r="3036" spans="1:5" x14ac:dyDescent="0.3">
      <c r="A3036" t="s">
        <v>91</v>
      </c>
      <c r="B3036" s="1">
        <v>44713</v>
      </c>
      <c r="C3036">
        <v>1</v>
      </c>
      <c r="D3036">
        <v>35.340000000000003</v>
      </c>
      <c r="E3036">
        <v>58</v>
      </c>
    </row>
    <row r="3037" spans="1:5" x14ac:dyDescent="0.3">
      <c r="A3037" t="s">
        <v>96</v>
      </c>
      <c r="B3037" s="1">
        <v>44713</v>
      </c>
      <c r="C3037">
        <v>1</v>
      </c>
      <c r="D3037">
        <v>71.650000000000006</v>
      </c>
      <c r="E3037">
        <v>107</v>
      </c>
    </row>
    <row r="3038" spans="1:5" x14ac:dyDescent="0.3">
      <c r="A3038" t="s">
        <v>5</v>
      </c>
      <c r="B3038" s="1">
        <v>44713</v>
      </c>
      <c r="C3038">
        <v>1</v>
      </c>
      <c r="D3038">
        <v>145.53</v>
      </c>
      <c r="E3038">
        <v>161</v>
      </c>
    </row>
    <row r="3039" spans="1:5" x14ac:dyDescent="0.3">
      <c r="A3039" t="s">
        <v>5</v>
      </c>
      <c r="B3039" s="1">
        <v>44713</v>
      </c>
      <c r="C3039">
        <v>1</v>
      </c>
      <c r="D3039">
        <v>145.53</v>
      </c>
      <c r="E3039">
        <v>161</v>
      </c>
    </row>
    <row r="3040" spans="1:5" x14ac:dyDescent="0.3">
      <c r="A3040" t="s">
        <v>77</v>
      </c>
      <c r="B3040" s="1">
        <v>44713</v>
      </c>
      <c r="C3040">
        <v>1</v>
      </c>
      <c r="D3040">
        <v>58.22</v>
      </c>
      <c r="E3040">
        <v>73</v>
      </c>
    </row>
    <row r="3041" spans="1:5" x14ac:dyDescent="0.3">
      <c r="A3041" t="s">
        <v>20</v>
      </c>
      <c r="B3041" s="1">
        <v>44713</v>
      </c>
      <c r="C3041">
        <v>1</v>
      </c>
      <c r="D3041">
        <v>19.82</v>
      </c>
      <c r="E3041">
        <v>25</v>
      </c>
    </row>
    <row r="3042" spans="1:5" x14ac:dyDescent="0.3">
      <c r="A3042" t="s">
        <v>7</v>
      </c>
      <c r="B3042" s="1">
        <v>44713</v>
      </c>
      <c r="C3042">
        <v>1</v>
      </c>
      <c r="D3042">
        <v>88.73</v>
      </c>
      <c r="E3042">
        <v>104</v>
      </c>
    </row>
    <row r="3043" spans="1:5" x14ac:dyDescent="0.3">
      <c r="A3043" t="s">
        <v>78</v>
      </c>
      <c r="B3043" s="1">
        <v>44713</v>
      </c>
      <c r="C3043">
        <v>1</v>
      </c>
      <c r="D3043">
        <v>69.599999999999994</v>
      </c>
      <c r="E3043">
        <v>88</v>
      </c>
    </row>
    <row r="3044" spans="1:5" x14ac:dyDescent="0.3">
      <c r="A3044" t="s">
        <v>30</v>
      </c>
      <c r="B3044" s="1">
        <v>44713</v>
      </c>
      <c r="C3044">
        <v>1</v>
      </c>
      <c r="D3044">
        <v>156.19999999999999</v>
      </c>
      <c r="E3044">
        <v>186</v>
      </c>
    </row>
    <row r="3045" spans="1:5" x14ac:dyDescent="0.3">
      <c r="A3045" t="s">
        <v>63</v>
      </c>
      <c r="B3045" s="1">
        <v>44713</v>
      </c>
      <c r="C3045">
        <v>1</v>
      </c>
      <c r="D3045">
        <v>73.3</v>
      </c>
      <c r="E3045">
        <v>88</v>
      </c>
    </row>
    <row r="3046" spans="1:5" x14ac:dyDescent="0.3">
      <c r="A3046" t="s">
        <v>63</v>
      </c>
      <c r="B3046" s="1">
        <v>44713</v>
      </c>
      <c r="C3046">
        <v>1</v>
      </c>
      <c r="D3046">
        <v>73.3</v>
      </c>
      <c r="E3046">
        <v>88</v>
      </c>
    </row>
    <row r="3047" spans="1:5" x14ac:dyDescent="0.3">
      <c r="A3047" t="s">
        <v>144</v>
      </c>
      <c r="B3047" s="1">
        <v>44713</v>
      </c>
      <c r="C3047">
        <v>1</v>
      </c>
      <c r="D3047">
        <v>51.32</v>
      </c>
      <c r="E3047">
        <v>73</v>
      </c>
    </row>
    <row r="3048" spans="1:5" x14ac:dyDescent="0.3">
      <c r="A3048" t="s">
        <v>50</v>
      </c>
      <c r="B3048" s="1">
        <v>44713</v>
      </c>
      <c r="C3048">
        <v>1</v>
      </c>
      <c r="D3048">
        <v>43.55</v>
      </c>
      <c r="E3048">
        <v>54</v>
      </c>
    </row>
    <row r="3049" spans="1:5" x14ac:dyDescent="0.3">
      <c r="A3049" t="s">
        <v>138</v>
      </c>
      <c r="B3049" s="1">
        <v>44713</v>
      </c>
      <c r="C3049">
        <v>1</v>
      </c>
      <c r="D3049">
        <v>46.5</v>
      </c>
      <c r="E3049">
        <v>76</v>
      </c>
    </row>
    <row r="3050" spans="1:5" x14ac:dyDescent="0.3">
      <c r="A3050" t="s">
        <v>138</v>
      </c>
      <c r="B3050" s="1">
        <v>44713</v>
      </c>
      <c r="C3050">
        <v>2</v>
      </c>
      <c r="D3050">
        <v>46.5</v>
      </c>
      <c r="E3050">
        <v>76</v>
      </c>
    </row>
    <row r="3051" spans="1:5" x14ac:dyDescent="0.3">
      <c r="A3051" t="s">
        <v>61</v>
      </c>
      <c r="B3051" s="1">
        <v>44713</v>
      </c>
      <c r="C3051">
        <v>1</v>
      </c>
      <c r="D3051">
        <v>33.39</v>
      </c>
      <c r="E3051">
        <v>53</v>
      </c>
    </row>
    <row r="3052" spans="1:5" x14ac:dyDescent="0.3">
      <c r="A3052" t="s">
        <v>5</v>
      </c>
      <c r="B3052" s="1">
        <v>44713</v>
      </c>
      <c r="C3052">
        <v>1</v>
      </c>
      <c r="D3052">
        <v>130.04</v>
      </c>
      <c r="E3052">
        <v>157</v>
      </c>
    </row>
    <row r="3053" spans="1:5" x14ac:dyDescent="0.3">
      <c r="A3053" t="s">
        <v>9</v>
      </c>
      <c r="B3053" s="1">
        <v>44713</v>
      </c>
      <c r="C3053">
        <v>1</v>
      </c>
      <c r="D3053">
        <v>81.87</v>
      </c>
      <c r="E3053">
        <v>99</v>
      </c>
    </row>
    <row r="3054" spans="1:5" x14ac:dyDescent="0.3">
      <c r="A3054" t="s">
        <v>39</v>
      </c>
      <c r="B3054" s="1">
        <v>44713</v>
      </c>
      <c r="C3054">
        <v>3</v>
      </c>
      <c r="D3054">
        <v>9.9499999999999993</v>
      </c>
      <c r="E3054">
        <v>17</v>
      </c>
    </row>
    <row r="3055" spans="1:5" x14ac:dyDescent="0.3">
      <c r="A3055" t="s">
        <v>155</v>
      </c>
      <c r="B3055" s="1">
        <v>44713</v>
      </c>
      <c r="C3055">
        <v>0.4</v>
      </c>
      <c r="D3055">
        <v>495.72</v>
      </c>
      <c r="E3055">
        <v>754</v>
      </c>
    </row>
    <row r="3056" spans="1:5" x14ac:dyDescent="0.3">
      <c r="A3056" t="s">
        <v>102</v>
      </c>
      <c r="B3056" s="1">
        <v>44713</v>
      </c>
      <c r="C3056">
        <v>1</v>
      </c>
      <c r="D3056">
        <v>26.11</v>
      </c>
      <c r="E3056">
        <v>32</v>
      </c>
    </row>
    <row r="3057" spans="1:5" x14ac:dyDescent="0.3">
      <c r="A3057" t="s">
        <v>112</v>
      </c>
      <c r="B3057" s="1">
        <v>44713</v>
      </c>
      <c r="C3057">
        <v>1</v>
      </c>
      <c r="D3057">
        <v>281.47000000000003</v>
      </c>
      <c r="E3057">
        <v>334</v>
      </c>
    </row>
    <row r="3058" spans="1:5" x14ac:dyDescent="0.3">
      <c r="A3058" t="s">
        <v>90</v>
      </c>
      <c r="B3058" s="1">
        <v>44713</v>
      </c>
      <c r="C3058">
        <v>1</v>
      </c>
      <c r="D3058">
        <v>390.04</v>
      </c>
      <c r="E3058">
        <v>469</v>
      </c>
    </row>
    <row r="3059" spans="1:5" x14ac:dyDescent="0.3">
      <c r="A3059" t="s">
        <v>62</v>
      </c>
      <c r="B3059" s="1">
        <v>44713</v>
      </c>
      <c r="C3059">
        <v>1</v>
      </c>
      <c r="D3059">
        <v>25.71</v>
      </c>
      <c r="E3059">
        <v>31</v>
      </c>
    </row>
    <row r="3060" spans="1:5" x14ac:dyDescent="0.3">
      <c r="A3060" t="s">
        <v>45</v>
      </c>
      <c r="B3060" s="1">
        <v>44713</v>
      </c>
      <c r="C3060">
        <v>2</v>
      </c>
      <c r="D3060">
        <v>28.21</v>
      </c>
      <c r="E3060">
        <v>49</v>
      </c>
    </row>
    <row r="3061" spans="1:5" x14ac:dyDescent="0.3">
      <c r="A3061" t="s">
        <v>10</v>
      </c>
      <c r="B3061" s="1">
        <v>44713</v>
      </c>
      <c r="C3061">
        <v>1</v>
      </c>
      <c r="D3061">
        <v>11.67</v>
      </c>
      <c r="E3061">
        <v>14</v>
      </c>
    </row>
    <row r="3062" spans="1:5" x14ac:dyDescent="0.3">
      <c r="A3062" t="s">
        <v>145</v>
      </c>
      <c r="B3062" s="1">
        <v>44712</v>
      </c>
      <c r="C3062">
        <v>1</v>
      </c>
      <c r="D3062">
        <v>25.3</v>
      </c>
      <c r="E3062">
        <v>31</v>
      </c>
    </row>
    <row r="3063" spans="1:5" x14ac:dyDescent="0.3">
      <c r="A3063" t="s">
        <v>152</v>
      </c>
      <c r="B3063" s="1">
        <v>44712</v>
      </c>
      <c r="C3063">
        <v>1</v>
      </c>
      <c r="D3063">
        <v>111.18</v>
      </c>
      <c r="E3063">
        <v>139</v>
      </c>
    </row>
    <row r="3064" spans="1:5" x14ac:dyDescent="0.3">
      <c r="A3064" t="s">
        <v>26</v>
      </c>
      <c r="B3064" s="1">
        <v>44712</v>
      </c>
      <c r="C3064">
        <v>0.2</v>
      </c>
      <c r="D3064">
        <v>986.58</v>
      </c>
      <c r="E3064">
        <v>1234</v>
      </c>
    </row>
    <row r="3065" spans="1:5" x14ac:dyDescent="0.3">
      <c r="A3065" t="s">
        <v>45</v>
      </c>
      <c r="B3065" s="1">
        <v>44712</v>
      </c>
      <c r="C3065">
        <v>1</v>
      </c>
      <c r="D3065">
        <v>28.21</v>
      </c>
      <c r="E3065">
        <v>46</v>
      </c>
    </row>
    <row r="3066" spans="1:5" x14ac:dyDescent="0.3">
      <c r="A3066" t="s">
        <v>22</v>
      </c>
      <c r="B3066" s="1">
        <v>44712</v>
      </c>
      <c r="C3066">
        <v>1</v>
      </c>
      <c r="D3066">
        <v>30.3</v>
      </c>
      <c r="E3066">
        <v>49</v>
      </c>
    </row>
    <row r="3067" spans="1:5" x14ac:dyDescent="0.3">
      <c r="A3067" t="s">
        <v>125</v>
      </c>
      <c r="B3067" s="1">
        <v>44712</v>
      </c>
      <c r="C3067">
        <v>1</v>
      </c>
      <c r="D3067">
        <v>337.24</v>
      </c>
      <c r="E3067">
        <v>446</v>
      </c>
    </row>
    <row r="3068" spans="1:5" x14ac:dyDescent="0.3">
      <c r="A3068" t="s">
        <v>24</v>
      </c>
      <c r="B3068" s="1">
        <v>44712</v>
      </c>
      <c r="C3068">
        <v>1</v>
      </c>
      <c r="D3068">
        <v>103.46</v>
      </c>
      <c r="E3068">
        <v>121</v>
      </c>
    </row>
    <row r="3069" spans="1:5" x14ac:dyDescent="0.3">
      <c r="A3069" t="s">
        <v>20</v>
      </c>
      <c r="B3069" s="1">
        <v>44712</v>
      </c>
      <c r="C3069">
        <v>1</v>
      </c>
      <c r="D3069">
        <v>19.71</v>
      </c>
      <c r="E3069">
        <v>25</v>
      </c>
    </row>
    <row r="3070" spans="1:5" x14ac:dyDescent="0.3">
      <c r="A3070" t="s">
        <v>27</v>
      </c>
      <c r="B3070" s="1">
        <v>44712</v>
      </c>
      <c r="C3070">
        <v>1</v>
      </c>
      <c r="D3070">
        <v>102.34</v>
      </c>
      <c r="E3070">
        <v>157</v>
      </c>
    </row>
    <row r="3071" spans="1:5" x14ac:dyDescent="0.3">
      <c r="A3071" t="s">
        <v>6</v>
      </c>
      <c r="B3071" s="1">
        <v>44712</v>
      </c>
      <c r="C3071">
        <v>0.4</v>
      </c>
      <c r="D3071">
        <v>460.59</v>
      </c>
      <c r="E3071">
        <v>576</v>
      </c>
    </row>
    <row r="3072" spans="1:5" x14ac:dyDescent="0.3">
      <c r="A3072" t="s">
        <v>93</v>
      </c>
      <c r="B3072" s="1">
        <v>44712</v>
      </c>
      <c r="C3072">
        <v>1</v>
      </c>
      <c r="D3072">
        <v>65.400000000000006</v>
      </c>
      <c r="E3072">
        <v>93</v>
      </c>
    </row>
    <row r="3073" spans="1:5" x14ac:dyDescent="0.3">
      <c r="A3073" t="s">
        <v>140</v>
      </c>
      <c r="B3073" s="1">
        <v>44712</v>
      </c>
      <c r="C3073">
        <v>1</v>
      </c>
      <c r="D3073">
        <v>153.78</v>
      </c>
      <c r="E3073">
        <v>186</v>
      </c>
    </row>
    <row r="3074" spans="1:5" x14ac:dyDescent="0.3">
      <c r="A3074" t="s">
        <v>110</v>
      </c>
      <c r="B3074" s="1">
        <v>44712</v>
      </c>
      <c r="C3074">
        <v>1</v>
      </c>
      <c r="D3074">
        <v>206.64</v>
      </c>
      <c r="E3074">
        <v>284</v>
      </c>
    </row>
    <row r="3075" spans="1:5" x14ac:dyDescent="0.3">
      <c r="A3075" t="s">
        <v>20</v>
      </c>
      <c r="B3075" s="1">
        <v>44712</v>
      </c>
      <c r="C3075">
        <v>1</v>
      </c>
      <c r="D3075">
        <v>20.77</v>
      </c>
      <c r="E3075">
        <v>26</v>
      </c>
    </row>
    <row r="3076" spans="1:5" x14ac:dyDescent="0.3">
      <c r="A3076" t="s">
        <v>20</v>
      </c>
      <c r="B3076" s="1">
        <v>44712</v>
      </c>
      <c r="C3076">
        <v>1</v>
      </c>
      <c r="D3076">
        <v>20.77</v>
      </c>
      <c r="E3076">
        <v>26</v>
      </c>
    </row>
    <row r="3077" spans="1:5" x14ac:dyDescent="0.3">
      <c r="A3077" t="s">
        <v>20</v>
      </c>
      <c r="B3077" s="1">
        <v>44712</v>
      </c>
      <c r="C3077">
        <v>1</v>
      </c>
      <c r="D3077">
        <v>20.77</v>
      </c>
      <c r="E3077">
        <v>26</v>
      </c>
    </row>
    <row r="3078" spans="1:5" x14ac:dyDescent="0.3">
      <c r="A3078" t="s">
        <v>20</v>
      </c>
      <c r="B3078" s="1">
        <v>44712</v>
      </c>
      <c r="C3078">
        <v>1</v>
      </c>
      <c r="D3078">
        <v>20.77</v>
      </c>
      <c r="E3078">
        <v>26</v>
      </c>
    </row>
    <row r="3079" spans="1:5" x14ac:dyDescent="0.3">
      <c r="A3079" t="s">
        <v>20</v>
      </c>
      <c r="B3079" s="1">
        <v>44712</v>
      </c>
      <c r="C3079">
        <v>1</v>
      </c>
      <c r="D3079">
        <v>20.77</v>
      </c>
      <c r="E3079">
        <v>26</v>
      </c>
    </row>
    <row r="3080" spans="1:5" x14ac:dyDescent="0.3">
      <c r="A3080" t="s">
        <v>20</v>
      </c>
      <c r="B3080" s="1">
        <v>44712</v>
      </c>
      <c r="C3080">
        <v>1</v>
      </c>
      <c r="D3080">
        <v>20.77</v>
      </c>
      <c r="E3080">
        <v>26</v>
      </c>
    </row>
    <row r="3081" spans="1:5" x14ac:dyDescent="0.3">
      <c r="A3081" t="s">
        <v>20</v>
      </c>
      <c r="B3081" s="1">
        <v>44712</v>
      </c>
      <c r="C3081">
        <v>1</v>
      </c>
      <c r="D3081">
        <v>20.77</v>
      </c>
      <c r="E3081">
        <v>26</v>
      </c>
    </row>
    <row r="3082" spans="1:5" x14ac:dyDescent="0.3">
      <c r="A3082" t="s">
        <v>20</v>
      </c>
      <c r="B3082" s="1">
        <v>44712</v>
      </c>
      <c r="C3082">
        <v>1</v>
      </c>
      <c r="D3082">
        <v>20.77</v>
      </c>
      <c r="E3082">
        <v>26</v>
      </c>
    </row>
    <row r="3083" spans="1:5" x14ac:dyDescent="0.3">
      <c r="A3083" t="s">
        <v>20</v>
      </c>
      <c r="B3083" s="1">
        <v>44712</v>
      </c>
      <c r="C3083">
        <v>1</v>
      </c>
      <c r="D3083">
        <v>20.77</v>
      </c>
      <c r="E3083">
        <v>26</v>
      </c>
    </row>
    <row r="3084" spans="1:5" x14ac:dyDescent="0.3">
      <c r="A3084" t="s">
        <v>20</v>
      </c>
      <c r="B3084" s="1">
        <v>44712</v>
      </c>
      <c r="C3084">
        <v>1</v>
      </c>
      <c r="D3084">
        <v>20.77</v>
      </c>
      <c r="E3084">
        <v>26</v>
      </c>
    </row>
    <row r="3085" spans="1:5" x14ac:dyDescent="0.3">
      <c r="A3085" t="s">
        <v>123</v>
      </c>
      <c r="B3085" s="1">
        <v>44712</v>
      </c>
      <c r="C3085">
        <v>1</v>
      </c>
      <c r="D3085">
        <v>62.79</v>
      </c>
      <c r="E3085">
        <v>78</v>
      </c>
    </row>
    <row r="3086" spans="1:5" x14ac:dyDescent="0.3">
      <c r="A3086" t="s">
        <v>9</v>
      </c>
      <c r="B3086" s="1">
        <v>44712</v>
      </c>
      <c r="C3086">
        <v>1</v>
      </c>
      <c r="D3086">
        <v>80.73</v>
      </c>
      <c r="E3086">
        <v>98</v>
      </c>
    </row>
    <row r="3087" spans="1:5" x14ac:dyDescent="0.3">
      <c r="A3087" t="s">
        <v>151</v>
      </c>
      <c r="B3087" s="1">
        <v>44712</v>
      </c>
      <c r="C3087">
        <v>1</v>
      </c>
      <c r="D3087">
        <v>23.23</v>
      </c>
      <c r="E3087">
        <v>29</v>
      </c>
    </row>
    <row r="3088" spans="1:5" x14ac:dyDescent="0.3">
      <c r="A3088" t="s">
        <v>44</v>
      </c>
      <c r="B3088" s="1">
        <v>44712</v>
      </c>
      <c r="C3088">
        <v>1</v>
      </c>
      <c r="D3088">
        <v>65.010000000000005</v>
      </c>
      <c r="E3088">
        <v>101</v>
      </c>
    </row>
    <row r="3089" spans="1:5" x14ac:dyDescent="0.3">
      <c r="A3089" t="s">
        <v>19</v>
      </c>
      <c r="B3089" s="1">
        <v>44712</v>
      </c>
      <c r="C3089">
        <v>1</v>
      </c>
      <c r="D3089">
        <v>80.760000000000005</v>
      </c>
      <c r="E3089">
        <v>101</v>
      </c>
    </row>
    <row r="3090" spans="1:5" x14ac:dyDescent="0.3">
      <c r="A3090" t="s">
        <v>114</v>
      </c>
      <c r="B3090" s="1">
        <v>44712</v>
      </c>
      <c r="C3090">
        <v>1</v>
      </c>
      <c r="D3090">
        <v>74.8</v>
      </c>
      <c r="E3090">
        <v>94</v>
      </c>
    </row>
    <row r="3091" spans="1:5" x14ac:dyDescent="0.3">
      <c r="A3091" t="s">
        <v>96</v>
      </c>
      <c r="B3091" s="1">
        <v>44712</v>
      </c>
      <c r="C3091">
        <v>1</v>
      </c>
      <c r="D3091">
        <v>70.930000000000007</v>
      </c>
      <c r="E3091">
        <v>101</v>
      </c>
    </row>
    <row r="3092" spans="1:5" x14ac:dyDescent="0.3">
      <c r="A3092" t="s">
        <v>56</v>
      </c>
      <c r="B3092" s="1">
        <v>44712</v>
      </c>
      <c r="C3092">
        <v>1</v>
      </c>
      <c r="D3092">
        <v>45.36</v>
      </c>
      <c r="E3092">
        <v>71</v>
      </c>
    </row>
    <row r="3093" spans="1:5" x14ac:dyDescent="0.3">
      <c r="A3093" t="s">
        <v>52</v>
      </c>
      <c r="B3093" s="1">
        <v>44712</v>
      </c>
      <c r="C3093">
        <v>1</v>
      </c>
      <c r="D3093">
        <v>205</v>
      </c>
      <c r="E3093">
        <v>250</v>
      </c>
    </row>
    <row r="3094" spans="1:5" x14ac:dyDescent="0.3">
      <c r="A3094" t="s">
        <v>139</v>
      </c>
      <c r="B3094" s="1">
        <v>44712</v>
      </c>
      <c r="C3094">
        <v>1</v>
      </c>
      <c r="D3094">
        <v>24.18</v>
      </c>
      <c r="E3094">
        <v>39</v>
      </c>
    </row>
    <row r="3095" spans="1:5" x14ac:dyDescent="0.3">
      <c r="A3095" t="s">
        <v>103</v>
      </c>
      <c r="B3095" s="1">
        <v>44712</v>
      </c>
      <c r="C3095">
        <v>1</v>
      </c>
      <c r="D3095">
        <v>46.32</v>
      </c>
      <c r="E3095">
        <v>72</v>
      </c>
    </row>
    <row r="3096" spans="1:5" x14ac:dyDescent="0.3">
      <c r="A3096" t="s">
        <v>115</v>
      </c>
      <c r="B3096" s="1">
        <v>44712</v>
      </c>
      <c r="C3096">
        <v>1</v>
      </c>
      <c r="D3096">
        <v>71.02</v>
      </c>
      <c r="E3096">
        <v>88</v>
      </c>
    </row>
    <row r="3097" spans="1:5" x14ac:dyDescent="0.3">
      <c r="A3097" t="s">
        <v>92</v>
      </c>
      <c r="B3097" s="1">
        <v>44712</v>
      </c>
      <c r="C3097">
        <v>2</v>
      </c>
      <c r="D3097">
        <v>5.72</v>
      </c>
      <c r="E3097">
        <v>8</v>
      </c>
    </row>
    <row r="3098" spans="1:5" x14ac:dyDescent="0.3">
      <c r="A3098" t="s">
        <v>156</v>
      </c>
      <c r="B3098" s="1">
        <v>44712</v>
      </c>
      <c r="C3098">
        <v>1</v>
      </c>
      <c r="D3098">
        <v>251.37</v>
      </c>
      <c r="E3098">
        <v>335</v>
      </c>
    </row>
    <row r="3099" spans="1:5" x14ac:dyDescent="0.3">
      <c r="A3099" t="s">
        <v>7</v>
      </c>
      <c r="B3099" s="1">
        <v>44712</v>
      </c>
      <c r="C3099">
        <v>1</v>
      </c>
      <c r="D3099">
        <v>88.43</v>
      </c>
      <c r="E3099">
        <v>110</v>
      </c>
    </row>
    <row r="3100" spans="1:5" x14ac:dyDescent="0.3">
      <c r="A3100" t="s">
        <v>7</v>
      </c>
      <c r="B3100" s="1">
        <v>44712</v>
      </c>
      <c r="C3100">
        <v>1</v>
      </c>
      <c r="D3100">
        <v>88.43</v>
      </c>
      <c r="E3100">
        <v>110</v>
      </c>
    </row>
    <row r="3101" spans="1:5" x14ac:dyDescent="0.3">
      <c r="A3101" t="s">
        <v>146</v>
      </c>
      <c r="B3101" s="1">
        <v>44712</v>
      </c>
      <c r="C3101">
        <v>1</v>
      </c>
      <c r="D3101">
        <v>408.64</v>
      </c>
      <c r="E3101">
        <v>458</v>
      </c>
    </row>
    <row r="3102" spans="1:5" x14ac:dyDescent="0.3">
      <c r="A3102" t="s">
        <v>56</v>
      </c>
      <c r="B3102" s="1">
        <v>44712</v>
      </c>
      <c r="C3102">
        <v>1</v>
      </c>
      <c r="D3102">
        <v>45.36</v>
      </c>
      <c r="E3102">
        <v>71</v>
      </c>
    </row>
    <row r="3103" spans="1:5" x14ac:dyDescent="0.3">
      <c r="A3103" t="s">
        <v>7</v>
      </c>
      <c r="B3103" s="1">
        <v>44712</v>
      </c>
      <c r="C3103">
        <v>1</v>
      </c>
      <c r="D3103">
        <v>88.73</v>
      </c>
      <c r="E3103">
        <v>104</v>
      </c>
    </row>
    <row r="3104" spans="1:5" x14ac:dyDescent="0.3">
      <c r="A3104" t="s">
        <v>111</v>
      </c>
      <c r="B3104" s="1">
        <v>44712</v>
      </c>
      <c r="C3104">
        <v>1</v>
      </c>
      <c r="D3104">
        <v>163.16</v>
      </c>
      <c r="E3104">
        <v>196</v>
      </c>
    </row>
    <row r="3105" spans="1:5" x14ac:dyDescent="0.3">
      <c r="A3105" t="s">
        <v>147</v>
      </c>
      <c r="B3105" s="1">
        <v>44712</v>
      </c>
      <c r="C3105">
        <v>1</v>
      </c>
      <c r="D3105">
        <v>136.94999999999999</v>
      </c>
      <c r="E3105">
        <v>194</v>
      </c>
    </row>
    <row r="3106" spans="1:5" x14ac:dyDescent="0.3">
      <c r="A3106" t="s">
        <v>124</v>
      </c>
      <c r="B3106" s="1">
        <v>44712</v>
      </c>
      <c r="C3106">
        <v>1</v>
      </c>
      <c r="D3106">
        <v>42.85</v>
      </c>
      <c r="E3106">
        <v>70</v>
      </c>
    </row>
    <row r="3107" spans="1:5" x14ac:dyDescent="0.3">
      <c r="A3107" t="s">
        <v>29</v>
      </c>
      <c r="B3107" s="1">
        <v>44712</v>
      </c>
      <c r="C3107">
        <v>1</v>
      </c>
      <c r="D3107">
        <v>489.61</v>
      </c>
      <c r="E3107">
        <v>676</v>
      </c>
    </row>
    <row r="3108" spans="1:5" x14ac:dyDescent="0.3">
      <c r="A3108" t="s">
        <v>120</v>
      </c>
      <c r="B3108" s="1">
        <v>44712</v>
      </c>
      <c r="C3108">
        <v>1</v>
      </c>
      <c r="D3108">
        <v>132.56</v>
      </c>
      <c r="E3108">
        <v>187</v>
      </c>
    </row>
    <row r="3109" spans="1:5" x14ac:dyDescent="0.3">
      <c r="A3109" t="s">
        <v>120</v>
      </c>
      <c r="B3109" s="1">
        <v>44712</v>
      </c>
      <c r="C3109">
        <v>1</v>
      </c>
      <c r="D3109">
        <v>132.56</v>
      </c>
      <c r="E3109">
        <v>187</v>
      </c>
    </row>
    <row r="3110" spans="1:5" x14ac:dyDescent="0.3">
      <c r="A3110" t="s">
        <v>77</v>
      </c>
      <c r="B3110" s="1">
        <v>44712</v>
      </c>
      <c r="C3110">
        <v>1</v>
      </c>
      <c r="D3110">
        <v>60.94</v>
      </c>
      <c r="E3110">
        <v>76</v>
      </c>
    </row>
    <row r="3111" spans="1:5" x14ac:dyDescent="0.3">
      <c r="A3111" t="s">
        <v>28</v>
      </c>
      <c r="B3111" s="1">
        <v>44712</v>
      </c>
      <c r="C3111">
        <v>1</v>
      </c>
      <c r="D3111">
        <v>148.83000000000001</v>
      </c>
      <c r="E3111">
        <v>207</v>
      </c>
    </row>
    <row r="3112" spans="1:5" x14ac:dyDescent="0.3">
      <c r="A3112" t="s">
        <v>48</v>
      </c>
      <c r="B3112" s="1">
        <v>44712</v>
      </c>
      <c r="C3112">
        <v>1</v>
      </c>
      <c r="D3112">
        <v>35.200000000000003</v>
      </c>
      <c r="E3112">
        <v>55</v>
      </c>
    </row>
    <row r="3113" spans="1:5" x14ac:dyDescent="0.3">
      <c r="A3113" t="s">
        <v>148</v>
      </c>
      <c r="B3113" s="1">
        <v>44712</v>
      </c>
      <c r="C3113">
        <v>1</v>
      </c>
      <c r="D3113">
        <v>37.75</v>
      </c>
      <c r="E3113">
        <v>58</v>
      </c>
    </row>
    <row r="3114" spans="1:5" x14ac:dyDescent="0.3">
      <c r="A3114" t="s">
        <v>6</v>
      </c>
      <c r="B3114" s="1">
        <v>44712</v>
      </c>
      <c r="C3114">
        <v>1</v>
      </c>
      <c r="D3114">
        <v>427.35</v>
      </c>
      <c r="E3114">
        <v>535</v>
      </c>
    </row>
    <row r="3115" spans="1:5" x14ac:dyDescent="0.3">
      <c r="A3115" t="s">
        <v>147</v>
      </c>
      <c r="B3115" s="1">
        <v>44712</v>
      </c>
      <c r="C3115">
        <v>1</v>
      </c>
      <c r="D3115">
        <v>136.94999999999999</v>
      </c>
      <c r="E3115">
        <v>194</v>
      </c>
    </row>
    <row r="3116" spans="1:5" x14ac:dyDescent="0.3">
      <c r="A3116" t="s">
        <v>122</v>
      </c>
      <c r="B3116" s="1">
        <v>44712</v>
      </c>
      <c r="C3116">
        <v>1</v>
      </c>
      <c r="D3116">
        <v>20.48</v>
      </c>
      <c r="E3116">
        <v>25</v>
      </c>
    </row>
    <row r="3117" spans="1:5" x14ac:dyDescent="0.3">
      <c r="A3117" t="s">
        <v>49</v>
      </c>
      <c r="B3117" s="1">
        <v>44712</v>
      </c>
      <c r="C3117">
        <v>1</v>
      </c>
      <c r="D3117">
        <v>15.53</v>
      </c>
      <c r="E3117">
        <v>19</v>
      </c>
    </row>
    <row r="3118" spans="1:5" x14ac:dyDescent="0.3">
      <c r="A3118" t="s">
        <v>100</v>
      </c>
      <c r="B3118" s="1">
        <v>44712</v>
      </c>
      <c r="C3118">
        <v>1</v>
      </c>
      <c r="D3118">
        <v>37.46</v>
      </c>
      <c r="E3118">
        <v>57</v>
      </c>
    </row>
    <row r="3119" spans="1:5" x14ac:dyDescent="0.3">
      <c r="A3119" t="s">
        <v>70</v>
      </c>
      <c r="B3119" s="1">
        <v>44712</v>
      </c>
      <c r="C3119">
        <v>1</v>
      </c>
      <c r="D3119">
        <v>164.67</v>
      </c>
      <c r="E3119">
        <v>210</v>
      </c>
    </row>
    <row r="3120" spans="1:5" x14ac:dyDescent="0.3">
      <c r="A3120" t="s">
        <v>41</v>
      </c>
      <c r="B3120" s="1">
        <v>44712</v>
      </c>
      <c r="C3120">
        <v>2</v>
      </c>
      <c r="D3120">
        <v>10.9</v>
      </c>
      <c r="E3120">
        <v>18</v>
      </c>
    </row>
    <row r="3121" spans="1:5" x14ac:dyDescent="0.3">
      <c r="A3121" t="s">
        <v>144</v>
      </c>
      <c r="B3121" s="1">
        <v>44712</v>
      </c>
      <c r="C3121">
        <v>1</v>
      </c>
      <c r="D3121">
        <v>75.260000000000005</v>
      </c>
      <c r="E3121">
        <v>86.2</v>
      </c>
    </row>
    <row r="3122" spans="1:5" x14ac:dyDescent="0.3">
      <c r="A3122" t="s">
        <v>144</v>
      </c>
      <c r="B3122" s="1">
        <v>44712</v>
      </c>
      <c r="C3122">
        <v>1</v>
      </c>
      <c r="D3122">
        <v>75.260000000000005</v>
      </c>
      <c r="E3122">
        <v>86.2</v>
      </c>
    </row>
    <row r="3123" spans="1:5" x14ac:dyDescent="0.3">
      <c r="A3123" t="s">
        <v>128</v>
      </c>
      <c r="B3123" s="1">
        <v>44712</v>
      </c>
      <c r="C3123">
        <v>1</v>
      </c>
      <c r="D3123">
        <v>351.41</v>
      </c>
      <c r="E3123">
        <v>370.17</v>
      </c>
    </row>
    <row r="3124" spans="1:5" x14ac:dyDescent="0.3">
      <c r="A3124" t="s">
        <v>45</v>
      </c>
      <c r="B3124" s="1">
        <v>44712</v>
      </c>
      <c r="C3124">
        <v>1</v>
      </c>
      <c r="D3124">
        <v>28.21</v>
      </c>
      <c r="E3124">
        <v>46</v>
      </c>
    </row>
    <row r="3125" spans="1:5" x14ac:dyDescent="0.3">
      <c r="A3125" t="s">
        <v>22</v>
      </c>
      <c r="B3125" s="1">
        <v>44712</v>
      </c>
      <c r="C3125">
        <v>1</v>
      </c>
      <c r="D3125">
        <v>30.3</v>
      </c>
      <c r="E3125">
        <v>49</v>
      </c>
    </row>
    <row r="3126" spans="1:5" x14ac:dyDescent="0.3">
      <c r="A3126" t="s">
        <v>81</v>
      </c>
      <c r="B3126" s="1">
        <v>44712</v>
      </c>
      <c r="C3126">
        <v>1</v>
      </c>
      <c r="D3126">
        <v>43.63</v>
      </c>
      <c r="E3126">
        <v>54</v>
      </c>
    </row>
    <row r="3127" spans="1:5" x14ac:dyDescent="0.3">
      <c r="A3127" t="s">
        <v>73</v>
      </c>
      <c r="B3127" s="1">
        <v>44712</v>
      </c>
      <c r="C3127">
        <v>1</v>
      </c>
      <c r="D3127">
        <v>8.01</v>
      </c>
      <c r="E3127">
        <v>13</v>
      </c>
    </row>
    <row r="3128" spans="1:5" x14ac:dyDescent="0.3">
      <c r="A3128" t="s">
        <v>23</v>
      </c>
      <c r="B3128" s="1">
        <v>44712</v>
      </c>
      <c r="C3128">
        <v>1</v>
      </c>
      <c r="D3128">
        <v>109.41</v>
      </c>
      <c r="E3128">
        <v>123</v>
      </c>
    </row>
    <row r="3129" spans="1:5" x14ac:dyDescent="0.3">
      <c r="A3129" t="s">
        <v>56</v>
      </c>
      <c r="B3129" s="1">
        <v>44712</v>
      </c>
      <c r="C3129">
        <v>1</v>
      </c>
      <c r="D3129">
        <v>44.56</v>
      </c>
      <c r="E3129">
        <v>68</v>
      </c>
    </row>
    <row r="3130" spans="1:5" x14ac:dyDescent="0.3">
      <c r="A3130" t="s">
        <v>55</v>
      </c>
      <c r="B3130" s="1">
        <v>44712</v>
      </c>
      <c r="C3130">
        <v>1</v>
      </c>
      <c r="D3130">
        <v>77.510000000000005</v>
      </c>
      <c r="E3130">
        <v>95</v>
      </c>
    </row>
    <row r="3131" spans="1:5" x14ac:dyDescent="0.3">
      <c r="A3131" t="s">
        <v>56</v>
      </c>
      <c r="B3131" s="1">
        <v>44712</v>
      </c>
      <c r="C3131">
        <v>1</v>
      </c>
      <c r="D3131">
        <v>43.97</v>
      </c>
      <c r="E3131">
        <v>69</v>
      </c>
    </row>
    <row r="3132" spans="1:5" x14ac:dyDescent="0.3">
      <c r="A3132" t="s">
        <v>56</v>
      </c>
      <c r="B3132" s="1">
        <v>44712</v>
      </c>
      <c r="C3132">
        <v>1</v>
      </c>
      <c r="D3132">
        <v>45.36</v>
      </c>
      <c r="E3132">
        <v>71</v>
      </c>
    </row>
    <row r="3133" spans="1:5" x14ac:dyDescent="0.3">
      <c r="A3133" t="s">
        <v>23</v>
      </c>
      <c r="B3133" s="1">
        <v>44712</v>
      </c>
      <c r="C3133">
        <v>1</v>
      </c>
      <c r="D3133">
        <v>109.41</v>
      </c>
      <c r="E3133">
        <v>123</v>
      </c>
    </row>
    <row r="3134" spans="1:5" x14ac:dyDescent="0.3">
      <c r="A3134" t="s">
        <v>26</v>
      </c>
      <c r="B3134" s="1">
        <v>44712</v>
      </c>
      <c r="C3134">
        <v>0.5</v>
      </c>
      <c r="D3134">
        <v>984.92</v>
      </c>
      <c r="E3134">
        <v>1301</v>
      </c>
    </row>
    <row r="3135" spans="1:5" x14ac:dyDescent="0.3">
      <c r="A3135" t="s">
        <v>48</v>
      </c>
      <c r="B3135" s="1">
        <v>44712</v>
      </c>
      <c r="C3135">
        <v>1</v>
      </c>
      <c r="D3135">
        <v>39</v>
      </c>
      <c r="E3135">
        <v>60</v>
      </c>
    </row>
    <row r="3136" spans="1:5" x14ac:dyDescent="0.3">
      <c r="A3136" t="s">
        <v>133</v>
      </c>
      <c r="B3136" s="1">
        <v>44712</v>
      </c>
      <c r="C3136">
        <v>10</v>
      </c>
      <c r="D3136">
        <v>6.13</v>
      </c>
      <c r="E3136">
        <v>10</v>
      </c>
    </row>
    <row r="3137" spans="1:5" x14ac:dyDescent="0.3">
      <c r="A3137" t="s">
        <v>141</v>
      </c>
      <c r="B3137" s="1">
        <v>44712</v>
      </c>
      <c r="C3137">
        <v>4</v>
      </c>
      <c r="D3137">
        <v>12.19</v>
      </c>
      <c r="E3137">
        <v>20</v>
      </c>
    </row>
    <row r="3138" spans="1:5" x14ac:dyDescent="0.3">
      <c r="A3138" t="s">
        <v>28</v>
      </c>
      <c r="B3138" s="1">
        <v>44712</v>
      </c>
      <c r="C3138">
        <v>1</v>
      </c>
      <c r="D3138">
        <v>141.08000000000001</v>
      </c>
      <c r="E3138">
        <v>205</v>
      </c>
    </row>
    <row r="3139" spans="1:5" x14ac:dyDescent="0.3">
      <c r="A3139" t="s">
        <v>93</v>
      </c>
      <c r="B3139" s="1">
        <v>44712</v>
      </c>
      <c r="C3139">
        <v>1</v>
      </c>
      <c r="D3139">
        <v>71.05</v>
      </c>
      <c r="E3139">
        <v>106</v>
      </c>
    </row>
    <row r="3140" spans="1:5" x14ac:dyDescent="0.3">
      <c r="A3140" t="s">
        <v>128</v>
      </c>
      <c r="B3140" s="1">
        <v>44712</v>
      </c>
      <c r="C3140">
        <v>1</v>
      </c>
      <c r="D3140">
        <v>270.58999999999997</v>
      </c>
      <c r="E3140">
        <v>379</v>
      </c>
    </row>
    <row r="3141" spans="1:5" x14ac:dyDescent="0.3">
      <c r="A3141" t="s">
        <v>43</v>
      </c>
      <c r="B3141" s="1">
        <v>44712</v>
      </c>
      <c r="C3141">
        <v>1</v>
      </c>
      <c r="D3141">
        <v>133.71</v>
      </c>
      <c r="E3141">
        <v>164</v>
      </c>
    </row>
    <row r="3142" spans="1:5" x14ac:dyDescent="0.3">
      <c r="A3142" t="s">
        <v>7</v>
      </c>
      <c r="B3142" s="1">
        <v>44712</v>
      </c>
      <c r="C3142">
        <v>1</v>
      </c>
      <c r="D3142">
        <v>88.43</v>
      </c>
      <c r="E3142">
        <v>110</v>
      </c>
    </row>
    <row r="3143" spans="1:5" x14ac:dyDescent="0.3">
      <c r="A3143" t="s">
        <v>7</v>
      </c>
      <c r="B3143" s="1">
        <v>44712</v>
      </c>
      <c r="C3143">
        <v>1</v>
      </c>
      <c r="D3143">
        <v>88.43</v>
      </c>
      <c r="E3143">
        <v>110</v>
      </c>
    </row>
    <row r="3144" spans="1:5" x14ac:dyDescent="0.3">
      <c r="A3144" t="s">
        <v>7</v>
      </c>
      <c r="B3144" s="1">
        <v>44712</v>
      </c>
      <c r="C3144">
        <v>1</v>
      </c>
      <c r="D3144">
        <v>88.43</v>
      </c>
      <c r="E3144">
        <v>110</v>
      </c>
    </row>
    <row r="3145" spans="1:5" x14ac:dyDescent="0.3">
      <c r="A3145" t="s">
        <v>9</v>
      </c>
      <c r="B3145" s="1">
        <v>44712</v>
      </c>
      <c r="C3145">
        <v>1</v>
      </c>
      <c r="D3145">
        <v>80.69</v>
      </c>
      <c r="E3145">
        <v>98</v>
      </c>
    </row>
    <row r="3146" spans="1:5" x14ac:dyDescent="0.3">
      <c r="A3146" t="s">
        <v>20</v>
      </c>
      <c r="B3146" s="1">
        <v>44712</v>
      </c>
      <c r="C3146">
        <v>1</v>
      </c>
      <c r="D3146">
        <v>19.82</v>
      </c>
      <c r="E3146">
        <v>25</v>
      </c>
    </row>
    <row r="3147" spans="1:5" x14ac:dyDescent="0.3">
      <c r="A3147" t="s">
        <v>20</v>
      </c>
      <c r="B3147" s="1">
        <v>44712</v>
      </c>
      <c r="C3147">
        <v>1</v>
      </c>
      <c r="D3147">
        <v>19.82</v>
      </c>
      <c r="E3147">
        <v>25</v>
      </c>
    </row>
    <row r="3148" spans="1:5" x14ac:dyDescent="0.3">
      <c r="A3148" t="s">
        <v>50</v>
      </c>
      <c r="B3148" s="1">
        <v>44712</v>
      </c>
      <c r="C3148">
        <v>1</v>
      </c>
      <c r="D3148">
        <v>43.86</v>
      </c>
      <c r="E3148">
        <v>55</v>
      </c>
    </row>
    <row r="3149" spans="1:5" x14ac:dyDescent="0.3">
      <c r="A3149" t="s">
        <v>34</v>
      </c>
      <c r="B3149" s="1">
        <v>44712</v>
      </c>
      <c r="C3149">
        <v>1</v>
      </c>
      <c r="D3149">
        <v>196.02</v>
      </c>
      <c r="E3149">
        <v>226</v>
      </c>
    </row>
    <row r="3150" spans="1:5" x14ac:dyDescent="0.3">
      <c r="A3150" t="s">
        <v>25</v>
      </c>
      <c r="B3150" s="1">
        <v>44712</v>
      </c>
      <c r="C3150">
        <v>1</v>
      </c>
      <c r="D3150">
        <v>147.18</v>
      </c>
      <c r="E3150">
        <v>177</v>
      </c>
    </row>
    <row r="3151" spans="1:5" x14ac:dyDescent="0.3">
      <c r="A3151" t="s">
        <v>88</v>
      </c>
      <c r="B3151" s="1">
        <v>44712</v>
      </c>
      <c r="C3151">
        <v>0.5</v>
      </c>
      <c r="D3151">
        <v>136.57</v>
      </c>
      <c r="E3151">
        <v>215</v>
      </c>
    </row>
    <row r="3152" spans="1:5" x14ac:dyDescent="0.3">
      <c r="A3152" t="s">
        <v>45</v>
      </c>
      <c r="B3152" s="1">
        <v>44712</v>
      </c>
      <c r="C3152">
        <v>1</v>
      </c>
      <c r="D3152">
        <v>25.25</v>
      </c>
      <c r="E3152">
        <v>41</v>
      </c>
    </row>
    <row r="3153" spans="1:5" x14ac:dyDescent="0.3">
      <c r="A3153" t="s">
        <v>141</v>
      </c>
      <c r="B3153" s="1">
        <v>44712</v>
      </c>
      <c r="C3153">
        <v>1</v>
      </c>
      <c r="D3153">
        <v>12.19</v>
      </c>
      <c r="E3153">
        <v>20</v>
      </c>
    </row>
    <row r="3154" spans="1:5" x14ac:dyDescent="0.3">
      <c r="A3154" t="s">
        <v>19</v>
      </c>
      <c r="B3154" s="1">
        <v>44712</v>
      </c>
      <c r="C3154">
        <v>1</v>
      </c>
      <c r="D3154">
        <v>81.760000000000005</v>
      </c>
      <c r="E3154">
        <v>102</v>
      </c>
    </row>
    <row r="3155" spans="1:5" x14ac:dyDescent="0.3">
      <c r="A3155" t="s">
        <v>95</v>
      </c>
      <c r="B3155" s="1">
        <v>44712</v>
      </c>
      <c r="C3155">
        <v>0.5</v>
      </c>
      <c r="D3155">
        <v>103.49</v>
      </c>
      <c r="E3155">
        <v>161</v>
      </c>
    </row>
    <row r="3156" spans="1:5" x14ac:dyDescent="0.3">
      <c r="A3156" t="s">
        <v>158</v>
      </c>
      <c r="B3156" s="1">
        <v>44712</v>
      </c>
      <c r="C3156">
        <v>1</v>
      </c>
      <c r="D3156">
        <v>23.8</v>
      </c>
      <c r="E3156">
        <v>31</v>
      </c>
    </row>
    <row r="3157" spans="1:5" x14ac:dyDescent="0.3">
      <c r="A3157" t="s">
        <v>158</v>
      </c>
      <c r="B3157" s="1">
        <v>44712</v>
      </c>
      <c r="C3157">
        <v>1</v>
      </c>
      <c r="D3157">
        <v>23.8</v>
      </c>
      <c r="E3157">
        <v>31</v>
      </c>
    </row>
    <row r="3158" spans="1:5" x14ac:dyDescent="0.3">
      <c r="A3158" t="s">
        <v>158</v>
      </c>
      <c r="B3158" s="1">
        <v>44712</v>
      </c>
      <c r="C3158">
        <v>1</v>
      </c>
      <c r="D3158">
        <v>23.8</v>
      </c>
      <c r="E3158">
        <v>31</v>
      </c>
    </row>
    <row r="3159" spans="1:5" x14ac:dyDescent="0.3">
      <c r="A3159" t="s">
        <v>158</v>
      </c>
      <c r="B3159" s="1">
        <v>44712</v>
      </c>
      <c r="C3159">
        <v>1</v>
      </c>
      <c r="D3159">
        <v>23.8</v>
      </c>
      <c r="E3159">
        <v>31</v>
      </c>
    </row>
    <row r="3160" spans="1:5" x14ac:dyDescent="0.3">
      <c r="A3160" t="s">
        <v>158</v>
      </c>
      <c r="B3160" s="1">
        <v>44712</v>
      </c>
      <c r="C3160">
        <v>1</v>
      </c>
      <c r="D3160">
        <v>23.8</v>
      </c>
      <c r="E3160">
        <v>31</v>
      </c>
    </row>
    <row r="3161" spans="1:5" x14ac:dyDescent="0.3">
      <c r="A3161" t="s">
        <v>158</v>
      </c>
      <c r="B3161" s="1">
        <v>44712</v>
      </c>
      <c r="C3161">
        <v>1</v>
      </c>
      <c r="D3161">
        <v>23.8</v>
      </c>
      <c r="E3161">
        <v>31</v>
      </c>
    </row>
    <row r="3162" spans="1:5" x14ac:dyDescent="0.3">
      <c r="A3162" t="s">
        <v>107</v>
      </c>
      <c r="B3162" s="1">
        <v>44712</v>
      </c>
      <c r="C3162">
        <v>1</v>
      </c>
      <c r="D3162">
        <v>71</v>
      </c>
      <c r="E3162">
        <v>88</v>
      </c>
    </row>
    <row r="3163" spans="1:5" x14ac:dyDescent="0.3">
      <c r="A3163" t="s">
        <v>107</v>
      </c>
      <c r="B3163" s="1">
        <v>44712</v>
      </c>
      <c r="C3163">
        <v>1</v>
      </c>
      <c r="D3163">
        <v>71</v>
      </c>
      <c r="E3163">
        <v>88</v>
      </c>
    </row>
    <row r="3164" spans="1:5" x14ac:dyDescent="0.3">
      <c r="A3164" t="s">
        <v>95</v>
      </c>
      <c r="B3164" s="1">
        <v>44712</v>
      </c>
      <c r="C3164">
        <v>1</v>
      </c>
      <c r="D3164">
        <v>131.07</v>
      </c>
      <c r="E3164">
        <v>206</v>
      </c>
    </row>
    <row r="3165" spans="1:5" x14ac:dyDescent="0.3">
      <c r="A3165" t="s">
        <v>122</v>
      </c>
      <c r="B3165" s="1">
        <v>44712</v>
      </c>
      <c r="C3165">
        <v>1</v>
      </c>
      <c r="D3165">
        <v>20.48</v>
      </c>
      <c r="E3165">
        <v>25</v>
      </c>
    </row>
    <row r="3166" spans="1:5" x14ac:dyDescent="0.3">
      <c r="A3166" t="s">
        <v>122</v>
      </c>
      <c r="B3166" s="1">
        <v>44712</v>
      </c>
      <c r="C3166">
        <v>1</v>
      </c>
      <c r="D3166">
        <v>20.48</v>
      </c>
      <c r="E3166">
        <v>25</v>
      </c>
    </row>
    <row r="3167" spans="1:5" x14ac:dyDescent="0.3">
      <c r="A3167" t="s">
        <v>123</v>
      </c>
      <c r="B3167" s="1">
        <v>44712</v>
      </c>
      <c r="C3167">
        <v>1</v>
      </c>
      <c r="D3167">
        <v>62.46</v>
      </c>
      <c r="E3167">
        <v>80</v>
      </c>
    </row>
    <row r="3168" spans="1:5" x14ac:dyDescent="0.3">
      <c r="A3168" t="s">
        <v>123</v>
      </c>
      <c r="B3168" s="1">
        <v>44712</v>
      </c>
      <c r="C3168">
        <v>1</v>
      </c>
      <c r="D3168">
        <v>62.46</v>
      </c>
      <c r="E3168">
        <v>80</v>
      </c>
    </row>
    <row r="3169" spans="1:5" x14ac:dyDescent="0.3">
      <c r="A3169" t="s">
        <v>84</v>
      </c>
      <c r="B3169" s="1">
        <v>44712</v>
      </c>
      <c r="C3169">
        <v>1</v>
      </c>
      <c r="D3169">
        <v>153.22999999999999</v>
      </c>
      <c r="E3169">
        <v>177</v>
      </c>
    </row>
    <row r="3170" spans="1:5" x14ac:dyDescent="0.3">
      <c r="A3170" t="s">
        <v>133</v>
      </c>
      <c r="B3170" s="1">
        <v>44712</v>
      </c>
      <c r="C3170">
        <v>3</v>
      </c>
      <c r="D3170">
        <v>5.0999999999999996</v>
      </c>
      <c r="E3170">
        <v>9</v>
      </c>
    </row>
    <row r="3171" spans="1:5" x14ac:dyDescent="0.3">
      <c r="A3171" t="s">
        <v>19</v>
      </c>
      <c r="B3171" s="1">
        <v>44712</v>
      </c>
      <c r="C3171">
        <v>1</v>
      </c>
      <c r="D3171">
        <v>81.290000000000006</v>
      </c>
      <c r="E3171">
        <v>103</v>
      </c>
    </row>
    <row r="3172" spans="1:5" x14ac:dyDescent="0.3">
      <c r="A3172" t="s">
        <v>19</v>
      </c>
      <c r="B3172" s="1">
        <v>44712</v>
      </c>
      <c r="C3172">
        <v>1</v>
      </c>
      <c r="D3172">
        <v>81.290000000000006</v>
      </c>
      <c r="E3172">
        <v>103</v>
      </c>
    </row>
    <row r="3173" spans="1:5" x14ac:dyDescent="0.3">
      <c r="A3173" t="s">
        <v>25</v>
      </c>
      <c r="B3173" s="1">
        <v>44712</v>
      </c>
      <c r="C3173">
        <v>1</v>
      </c>
      <c r="D3173">
        <v>148.52000000000001</v>
      </c>
      <c r="E3173">
        <v>178</v>
      </c>
    </row>
    <row r="3174" spans="1:5" x14ac:dyDescent="0.3">
      <c r="A3174" t="s">
        <v>88</v>
      </c>
      <c r="B3174" s="1">
        <v>44712</v>
      </c>
      <c r="C3174">
        <v>0.5</v>
      </c>
      <c r="D3174">
        <v>136.57</v>
      </c>
      <c r="E3174">
        <v>215</v>
      </c>
    </row>
    <row r="3175" spans="1:5" x14ac:dyDescent="0.3">
      <c r="A3175" t="s">
        <v>151</v>
      </c>
      <c r="B3175" s="1">
        <v>44712</v>
      </c>
      <c r="C3175">
        <v>1</v>
      </c>
      <c r="D3175">
        <v>23.23</v>
      </c>
      <c r="E3175">
        <v>29</v>
      </c>
    </row>
    <row r="3176" spans="1:5" x14ac:dyDescent="0.3">
      <c r="A3176" t="s">
        <v>95</v>
      </c>
      <c r="B3176" s="1">
        <v>44712</v>
      </c>
      <c r="C3176">
        <v>1</v>
      </c>
      <c r="D3176">
        <v>129.4</v>
      </c>
      <c r="E3176">
        <v>204</v>
      </c>
    </row>
    <row r="3177" spans="1:5" x14ac:dyDescent="0.3">
      <c r="A3177" t="s">
        <v>32</v>
      </c>
      <c r="B3177" s="1">
        <v>44712</v>
      </c>
      <c r="C3177">
        <v>1</v>
      </c>
      <c r="D3177">
        <v>149.72999999999999</v>
      </c>
      <c r="E3177">
        <v>236</v>
      </c>
    </row>
    <row r="3178" spans="1:5" x14ac:dyDescent="0.3">
      <c r="A3178" t="s">
        <v>14</v>
      </c>
      <c r="B3178" s="1">
        <v>44712</v>
      </c>
      <c r="C3178">
        <v>0.2</v>
      </c>
      <c r="D3178">
        <v>445.39</v>
      </c>
      <c r="E3178">
        <v>602</v>
      </c>
    </row>
    <row r="3179" spans="1:5" x14ac:dyDescent="0.3">
      <c r="A3179" t="s">
        <v>15</v>
      </c>
      <c r="B3179" s="1">
        <v>44712</v>
      </c>
      <c r="C3179">
        <v>1</v>
      </c>
      <c r="D3179">
        <v>37.85</v>
      </c>
      <c r="E3179">
        <v>62</v>
      </c>
    </row>
    <row r="3180" spans="1:5" x14ac:dyDescent="0.3">
      <c r="A3180" t="s">
        <v>35</v>
      </c>
      <c r="B3180" s="1">
        <v>44712</v>
      </c>
      <c r="C3180">
        <v>1</v>
      </c>
      <c r="D3180">
        <v>35</v>
      </c>
      <c r="E3180">
        <v>55</v>
      </c>
    </row>
    <row r="3181" spans="1:5" x14ac:dyDescent="0.3">
      <c r="A3181" t="s">
        <v>35</v>
      </c>
      <c r="B3181" s="1">
        <v>44712</v>
      </c>
      <c r="C3181">
        <v>1</v>
      </c>
      <c r="D3181">
        <v>35</v>
      </c>
      <c r="E3181">
        <v>55</v>
      </c>
    </row>
    <row r="3182" spans="1:5" x14ac:dyDescent="0.3">
      <c r="A3182" t="s">
        <v>35</v>
      </c>
      <c r="B3182" s="1">
        <v>44712</v>
      </c>
      <c r="C3182">
        <v>1</v>
      </c>
      <c r="D3182">
        <v>35</v>
      </c>
      <c r="E3182">
        <v>55</v>
      </c>
    </row>
    <row r="3183" spans="1:5" x14ac:dyDescent="0.3">
      <c r="A3183" t="s">
        <v>31</v>
      </c>
      <c r="B3183" s="1">
        <v>44712</v>
      </c>
      <c r="C3183">
        <v>1</v>
      </c>
      <c r="D3183">
        <v>14.4</v>
      </c>
      <c r="E3183">
        <v>19</v>
      </c>
    </row>
    <row r="3184" spans="1:5" x14ac:dyDescent="0.3">
      <c r="A3184" t="s">
        <v>31</v>
      </c>
      <c r="B3184" s="1">
        <v>44712</v>
      </c>
      <c r="C3184">
        <v>1</v>
      </c>
      <c r="D3184">
        <v>14.4</v>
      </c>
      <c r="E3184">
        <v>19</v>
      </c>
    </row>
    <row r="3185" spans="1:5" x14ac:dyDescent="0.3">
      <c r="A3185" t="s">
        <v>31</v>
      </c>
      <c r="B3185" s="1">
        <v>44712</v>
      </c>
      <c r="C3185">
        <v>1</v>
      </c>
      <c r="D3185">
        <v>14.4</v>
      </c>
      <c r="E3185">
        <v>19</v>
      </c>
    </row>
    <row r="3186" spans="1:5" x14ac:dyDescent="0.3">
      <c r="A3186" t="s">
        <v>31</v>
      </c>
      <c r="B3186" s="1">
        <v>44712</v>
      </c>
      <c r="C3186">
        <v>1</v>
      </c>
      <c r="D3186">
        <v>14.4</v>
      </c>
      <c r="E3186">
        <v>19</v>
      </c>
    </row>
    <row r="3187" spans="1:5" x14ac:dyDescent="0.3">
      <c r="A3187" t="s">
        <v>31</v>
      </c>
      <c r="B3187" s="1">
        <v>44712</v>
      </c>
      <c r="C3187">
        <v>1</v>
      </c>
      <c r="D3187">
        <v>14.4</v>
      </c>
      <c r="E3187">
        <v>19</v>
      </c>
    </row>
    <row r="3188" spans="1:5" x14ac:dyDescent="0.3">
      <c r="A3188" t="s">
        <v>49</v>
      </c>
      <c r="B3188" s="1">
        <v>44712</v>
      </c>
      <c r="C3188">
        <v>1</v>
      </c>
      <c r="D3188">
        <v>15.82</v>
      </c>
      <c r="E3188">
        <v>20</v>
      </c>
    </row>
    <row r="3189" spans="1:5" x14ac:dyDescent="0.3">
      <c r="A3189" t="s">
        <v>73</v>
      </c>
      <c r="B3189" s="1">
        <v>44712</v>
      </c>
      <c r="C3189">
        <v>1</v>
      </c>
      <c r="D3189">
        <v>8.07</v>
      </c>
      <c r="E3189">
        <v>14</v>
      </c>
    </row>
    <row r="3190" spans="1:5" x14ac:dyDescent="0.3">
      <c r="A3190" t="s">
        <v>140</v>
      </c>
      <c r="B3190" s="1">
        <v>44712</v>
      </c>
      <c r="C3190">
        <v>1</v>
      </c>
      <c r="D3190">
        <v>155.13</v>
      </c>
      <c r="E3190">
        <v>187</v>
      </c>
    </row>
    <row r="3191" spans="1:5" x14ac:dyDescent="0.3">
      <c r="A3191" t="s">
        <v>78</v>
      </c>
      <c r="B3191" s="1">
        <v>44712</v>
      </c>
      <c r="C3191">
        <v>1</v>
      </c>
      <c r="D3191">
        <v>69.290000000000006</v>
      </c>
      <c r="E3191">
        <v>88</v>
      </c>
    </row>
    <row r="3192" spans="1:5" x14ac:dyDescent="0.3">
      <c r="A3192" t="s">
        <v>7</v>
      </c>
      <c r="B3192" s="1">
        <v>44712</v>
      </c>
      <c r="C3192">
        <v>1</v>
      </c>
      <c r="D3192">
        <v>89.27</v>
      </c>
      <c r="E3192">
        <v>111</v>
      </c>
    </row>
    <row r="3193" spans="1:5" x14ac:dyDescent="0.3">
      <c r="A3193" t="s">
        <v>93</v>
      </c>
      <c r="B3193" s="1">
        <v>44712</v>
      </c>
      <c r="C3193">
        <v>1</v>
      </c>
      <c r="D3193">
        <v>71.05</v>
      </c>
      <c r="E3193">
        <v>101</v>
      </c>
    </row>
    <row r="3194" spans="1:5" x14ac:dyDescent="0.3">
      <c r="A3194" t="s">
        <v>9</v>
      </c>
      <c r="B3194" s="1">
        <v>44712</v>
      </c>
      <c r="C3194">
        <v>1</v>
      </c>
      <c r="D3194">
        <v>81.17</v>
      </c>
      <c r="E3194">
        <v>99</v>
      </c>
    </row>
    <row r="3195" spans="1:5" x14ac:dyDescent="0.3">
      <c r="A3195" t="s">
        <v>9</v>
      </c>
      <c r="B3195" s="1">
        <v>44712</v>
      </c>
      <c r="C3195">
        <v>1</v>
      </c>
      <c r="D3195">
        <v>81.87</v>
      </c>
      <c r="E3195">
        <v>99</v>
      </c>
    </row>
    <row r="3196" spans="1:5" x14ac:dyDescent="0.3">
      <c r="A3196" t="s">
        <v>99</v>
      </c>
      <c r="B3196" s="1">
        <v>44712</v>
      </c>
      <c r="C3196">
        <v>1</v>
      </c>
      <c r="D3196">
        <v>64.25</v>
      </c>
      <c r="E3196">
        <v>76</v>
      </c>
    </row>
    <row r="3197" spans="1:5" x14ac:dyDescent="0.3">
      <c r="A3197" t="s">
        <v>18</v>
      </c>
      <c r="B3197" s="1">
        <v>44712</v>
      </c>
      <c r="C3197">
        <v>1</v>
      </c>
      <c r="D3197">
        <v>44</v>
      </c>
      <c r="E3197">
        <v>69</v>
      </c>
    </row>
    <row r="3198" spans="1:5" x14ac:dyDescent="0.3">
      <c r="A3198" t="s">
        <v>92</v>
      </c>
      <c r="B3198" s="1">
        <v>44712</v>
      </c>
      <c r="C3198">
        <v>6</v>
      </c>
      <c r="D3198">
        <v>5.72</v>
      </c>
      <c r="E3198">
        <v>8</v>
      </c>
    </row>
    <row r="3199" spans="1:5" x14ac:dyDescent="0.3">
      <c r="A3199" t="s">
        <v>90</v>
      </c>
      <c r="B3199" s="1">
        <v>44712</v>
      </c>
      <c r="C3199">
        <v>1</v>
      </c>
      <c r="D3199">
        <v>397.02</v>
      </c>
      <c r="E3199">
        <v>489</v>
      </c>
    </row>
    <row r="3200" spans="1:5" x14ac:dyDescent="0.3">
      <c r="A3200" t="s">
        <v>93</v>
      </c>
      <c r="B3200" s="1">
        <v>44712</v>
      </c>
      <c r="C3200">
        <v>1</v>
      </c>
      <c r="D3200">
        <v>65.400000000000006</v>
      </c>
      <c r="E3200">
        <v>93</v>
      </c>
    </row>
    <row r="3201" spans="1:5" x14ac:dyDescent="0.3">
      <c r="A3201" t="s">
        <v>120</v>
      </c>
      <c r="B3201" s="1">
        <v>44712</v>
      </c>
      <c r="C3201">
        <v>1</v>
      </c>
      <c r="D3201">
        <v>132.07</v>
      </c>
      <c r="E3201">
        <v>181</v>
      </c>
    </row>
    <row r="3202" spans="1:5" x14ac:dyDescent="0.3">
      <c r="A3202" t="s">
        <v>78</v>
      </c>
      <c r="B3202" s="1">
        <v>44712</v>
      </c>
      <c r="C3202">
        <v>1</v>
      </c>
      <c r="D3202">
        <v>69.84</v>
      </c>
      <c r="E3202">
        <v>88</v>
      </c>
    </row>
    <row r="3203" spans="1:5" x14ac:dyDescent="0.3">
      <c r="A3203" t="s">
        <v>73</v>
      </c>
      <c r="B3203" s="1">
        <v>44712</v>
      </c>
      <c r="C3203">
        <v>1</v>
      </c>
      <c r="D3203">
        <v>8.01</v>
      </c>
      <c r="E3203">
        <v>13</v>
      </c>
    </row>
    <row r="3204" spans="1:5" x14ac:dyDescent="0.3">
      <c r="A3204" t="s">
        <v>88</v>
      </c>
      <c r="B3204" s="1">
        <v>44712</v>
      </c>
      <c r="C3204">
        <v>1</v>
      </c>
      <c r="D3204">
        <v>132</v>
      </c>
      <c r="E3204">
        <v>202</v>
      </c>
    </row>
    <row r="3205" spans="1:5" x14ac:dyDescent="0.3">
      <c r="A3205" t="s">
        <v>133</v>
      </c>
      <c r="B3205" s="1">
        <v>44712</v>
      </c>
      <c r="C3205">
        <v>3</v>
      </c>
      <c r="D3205">
        <v>6.19</v>
      </c>
      <c r="E3205">
        <v>11</v>
      </c>
    </row>
    <row r="3206" spans="1:5" x14ac:dyDescent="0.3">
      <c r="A3206" t="s">
        <v>28</v>
      </c>
      <c r="B3206" s="1">
        <v>44712</v>
      </c>
      <c r="C3206">
        <v>1</v>
      </c>
      <c r="D3206">
        <v>148.91</v>
      </c>
      <c r="E3206">
        <v>204</v>
      </c>
    </row>
    <row r="3207" spans="1:5" x14ac:dyDescent="0.3">
      <c r="A3207" t="s">
        <v>25</v>
      </c>
      <c r="B3207" s="1">
        <v>44712</v>
      </c>
      <c r="C3207">
        <v>1</v>
      </c>
      <c r="D3207">
        <v>147.18</v>
      </c>
      <c r="E3207">
        <v>176</v>
      </c>
    </row>
    <row r="3208" spans="1:5" x14ac:dyDescent="0.3">
      <c r="A3208" t="s">
        <v>12</v>
      </c>
      <c r="B3208" s="1">
        <v>44712</v>
      </c>
      <c r="C3208">
        <v>1</v>
      </c>
      <c r="D3208">
        <v>56.98</v>
      </c>
      <c r="E3208">
        <v>72</v>
      </c>
    </row>
    <row r="3209" spans="1:5" x14ac:dyDescent="0.3">
      <c r="A3209" t="s">
        <v>98</v>
      </c>
      <c r="B3209" s="1">
        <v>44712</v>
      </c>
      <c r="C3209">
        <v>1</v>
      </c>
      <c r="D3209">
        <v>111.21</v>
      </c>
      <c r="E3209">
        <v>134</v>
      </c>
    </row>
    <row r="3210" spans="1:5" x14ac:dyDescent="0.3">
      <c r="A3210" t="s">
        <v>127</v>
      </c>
      <c r="B3210" s="1">
        <v>44712</v>
      </c>
      <c r="C3210">
        <v>1</v>
      </c>
      <c r="D3210">
        <v>119.39</v>
      </c>
      <c r="E3210">
        <v>164</v>
      </c>
    </row>
    <row r="3211" spans="1:5" x14ac:dyDescent="0.3">
      <c r="A3211" t="s">
        <v>24</v>
      </c>
      <c r="B3211" s="1">
        <v>44712</v>
      </c>
      <c r="C3211">
        <v>1</v>
      </c>
      <c r="D3211">
        <v>103.46</v>
      </c>
      <c r="E3211">
        <v>121</v>
      </c>
    </row>
    <row r="3212" spans="1:5" x14ac:dyDescent="0.3">
      <c r="A3212" t="s">
        <v>102</v>
      </c>
      <c r="B3212" s="1">
        <v>44712</v>
      </c>
      <c r="C3212">
        <v>1</v>
      </c>
      <c r="D3212">
        <v>26.11</v>
      </c>
      <c r="E3212">
        <v>32</v>
      </c>
    </row>
    <row r="3213" spans="1:5" x14ac:dyDescent="0.3">
      <c r="A3213" t="s">
        <v>63</v>
      </c>
      <c r="B3213" s="1">
        <v>44712</v>
      </c>
      <c r="C3213">
        <v>1</v>
      </c>
      <c r="D3213">
        <v>71.45</v>
      </c>
      <c r="E3213">
        <v>90</v>
      </c>
    </row>
    <row r="3214" spans="1:5" x14ac:dyDescent="0.3">
      <c r="A3214" t="s">
        <v>104</v>
      </c>
      <c r="B3214" s="1">
        <v>44712</v>
      </c>
      <c r="C3214">
        <v>1</v>
      </c>
      <c r="D3214">
        <v>45.55</v>
      </c>
      <c r="E3214">
        <v>57</v>
      </c>
    </row>
    <row r="3215" spans="1:5" x14ac:dyDescent="0.3">
      <c r="A3215" t="s">
        <v>104</v>
      </c>
      <c r="B3215" s="1">
        <v>44712</v>
      </c>
      <c r="C3215">
        <v>1</v>
      </c>
      <c r="D3215">
        <v>45.55</v>
      </c>
      <c r="E3215">
        <v>57</v>
      </c>
    </row>
    <row r="3216" spans="1:5" x14ac:dyDescent="0.3">
      <c r="A3216" t="s">
        <v>5</v>
      </c>
      <c r="B3216" s="1">
        <v>44712</v>
      </c>
      <c r="C3216">
        <v>1</v>
      </c>
      <c r="D3216">
        <v>130.75</v>
      </c>
      <c r="E3216">
        <v>160</v>
      </c>
    </row>
    <row r="3217" spans="1:5" x14ac:dyDescent="0.3">
      <c r="A3217" t="s">
        <v>91</v>
      </c>
      <c r="B3217" s="1">
        <v>44712</v>
      </c>
      <c r="C3217">
        <v>1</v>
      </c>
      <c r="D3217">
        <v>37.340000000000003</v>
      </c>
      <c r="E3217">
        <v>65</v>
      </c>
    </row>
    <row r="3218" spans="1:5" x14ac:dyDescent="0.3">
      <c r="A3218" t="s">
        <v>34</v>
      </c>
      <c r="B3218" s="1">
        <v>44712</v>
      </c>
      <c r="C3218">
        <v>1</v>
      </c>
      <c r="D3218">
        <v>202.19</v>
      </c>
      <c r="E3218">
        <v>233</v>
      </c>
    </row>
    <row r="3219" spans="1:5" x14ac:dyDescent="0.3">
      <c r="A3219" t="s">
        <v>119</v>
      </c>
      <c r="B3219" s="1">
        <v>44712</v>
      </c>
      <c r="C3219">
        <v>0.14285700000000001</v>
      </c>
      <c r="D3219">
        <v>628.24</v>
      </c>
      <c r="E3219">
        <v>694</v>
      </c>
    </row>
    <row r="3220" spans="1:5" x14ac:dyDescent="0.3">
      <c r="A3220" t="s">
        <v>87</v>
      </c>
      <c r="B3220" s="1">
        <v>44712</v>
      </c>
      <c r="C3220">
        <v>1</v>
      </c>
      <c r="D3220">
        <v>323.66000000000003</v>
      </c>
      <c r="E3220">
        <v>370</v>
      </c>
    </row>
    <row r="3221" spans="1:5" x14ac:dyDescent="0.3">
      <c r="A3221" t="s">
        <v>158</v>
      </c>
      <c r="B3221" s="1">
        <v>44712</v>
      </c>
      <c r="C3221">
        <v>1</v>
      </c>
      <c r="D3221">
        <v>23.94</v>
      </c>
      <c r="E3221">
        <v>32</v>
      </c>
    </row>
    <row r="3222" spans="1:5" x14ac:dyDescent="0.3">
      <c r="A3222" t="s">
        <v>158</v>
      </c>
      <c r="B3222" s="1">
        <v>44712</v>
      </c>
      <c r="C3222">
        <v>1</v>
      </c>
      <c r="D3222">
        <v>23.94</v>
      </c>
      <c r="E3222">
        <v>32</v>
      </c>
    </row>
    <row r="3223" spans="1:5" x14ac:dyDescent="0.3">
      <c r="A3223" t="s">
        <v>158</v>
      </c>
      <c r="B3223" s="1">
        <v>44712</v>
      </c>
      <c r="C3223">
        <v>1</v>
      </c>
      <c r="D3223">
        <v>23.94</v>
      </c>
      <c r="E3223">
        <v>32</v>
      </c>
    </row>
    <row r="3224" spans="1:5" x14ac:dyDescent="0.3">
      <c r="A3224" t="s">
        <v>158</v>
      </c>
      <c r="B3224" s="1">
        <v>44712</v>
      </c>
      <c r="C3224">
        <v>1</v>
      </c>
      <c r="D3224">
        <v>23.94</v>
      </c>
      <c r="E3224">
        <v>32</v>
      </c>
    </row>
    <row r="3225" spans="1:5" x14ac:dyDescent="0.3">
      <c r="A3225" t="s">
        <v>158</v>
      </c>
      <c r="B3225" s="1">
        <v>44712</v>
      </c>
      <c r="C3225">
        <v>1</v>
      </c>
      <c r="D3225">
        <v>23.94</v>
      </c>
      <c r="E3225">
        <v>32</v>
      </c>
    </row>
    <row r="3226" spans="1:5" x14ac:dyDescent="0.3">
      <c r="A3226" t="s">
        <v>158</v>
      </c>
      <c r="B3226" s="1">
        <v>44712</v>
      </c>
      <c r="C3226">
        <v>1</v>
      </c>
      <c r="D3226">
        <v>23.94</v>
      </c>
      <c r="E3226">
        <v>32</v>
      </c>
    </row>
    <row r="3227" spans="1:5" x14ac:dyDescent="0.3">
      <c r="A3227" t="s">
        <v>158</v>
      </c>
      <c r="B3227" s="1">
        <v>44712</v>
      </c>
      <c r="C3227">
        <v>1</v>
      </c>
      <c r="D3227">
        <v>23.94</v>
      </c>
      <c r="E3227">
        <v>32</v>
      </c>
    </row>
    <row r="3228" spans="1:5" x14ac:dyDescent="0.3">
      <c r="A3228" t="s">
        <v>158</v>
      </c>
      <c r="B3228" s="1">
        <v>44712</v>
      </c>
      <c r="C3228">
        <v>1</v>
      </c>
      <c r="D3228">
        <v>23.94</v>
      </c>
      <c r="E3228">
        <v>32</v>
      </c>
    </row>
    <row r="3229" spans="1:5" x14ac:dyDescent="0.3">
      <c r="A3229" t="s">
        <v>158</v>
      </c>
      <c r="B3229" s="1">
        <v>44712</v>
      </c>
      <c r="C3229">
        <v>1</v>
      </c>
      <c r="D3229">
        <v>23.94</v>
      </c>
      <c r="E3229">
        <v>32</v>
      </c>
    </row>
    <row r="3230" spans="1:5" x14ac:dyDescent="0.3">
      <c r="A3230" t="s">
        <v>158</v>
      </c>
      <c r="B3230" s="1">
        <v>44712</v>
      </c>
      <c r="C3230">
        <v>1</v>
      </c>
      <c r="D3230">
        <v>23.94</v>
      </c>
      <c r="E3230">
        <v>32</v>
      </c>
    </row>
    <row r="3231" spans="1:5" x14ac:dyDescent="0.3">
      <c r="A3231" t="s">
        <v>88</v>
      </c>
      <c r="B3231" s="1">
        <v>44712</v>
      </c>
      <c r="C3231">
        <v>1</v>
      </c>
      <c r="D3231">
        <v>128.1</v>
      </c>
      <c r="E3231">
        <v>199</v>
      </c>
    </row>
    <row r="3232" spans="1:5" x14ac:dyDescent="0.3">
      <c r="A3232" t="s">
        <v>115</v>
      </c>
      <c r="B3232" s="1">
        <v>44712</v>
      </c>
      <c r="C3232">
        <v>1</v>
      </c>
      <c r="D3232">
        <v>71.239999999999995</v>
      </c>
      <c r="E3232">
        <v>88</v>
      </c>
    </row>
    <row r="3233" spans="1:5" x14ac:dyDescent="0.3">
      <c r="A3233" t="s">
        <v>23</v>
      </c>
      <c r="B3233" s="1">
        <v>44712</v>
      </c>
      <c r="C3233">
        <v>1</v>
      </c>
      <c r="D3233">
        <v>110.21</v>
      </c>
      <c r="E3233">
        <v>124</v>
      </c>
    </row>
    <row r="3234" spans="1:5" x14ac:dyDescent="0.3">
      <c r="A3234" t="s">
        <v>45</v>
      </c>
      <c r="B3234" s="1">
        <v>44712</v>
      </c>
      <c r="C3234">
        <v>4</v>
      </c>
      <c r="D3234">
        <v>51.54</v>
      </c>
      <c r="E3234">
        <v>54</v>
      </c>
    </row>
    <row r="3235" spans="1:5" x14ac:dyDescent="0.3">
      <c r="A3235" t="s">
        <v>45</v>
      </c>
      <c r="B3235" s="1">
        <v>44712</v>
      </c>
      <c r="C3235">
        <v>6</v>
      </c>
      <c r="D3235">
        <v>51.54</v>
      </c>
      <c r="E3235">
        <v>54</v>
      </c>
    </row>
    <row r="3236" spans="1:5" x14ac:dyDescent="0.3">
      <c r="A3236" t="s">
        <v>29</v>
      </c>
      <c r="B3236" s="1">
        <v>44712</v>
      </c>
      <c r="C3236">
        <v>1</v>
      </c>
      <c r="D3236">
        <v>489.61</v>
      </c>
      <c r="E3236">
        <v>676</v>
      </c>
    </row>
    <row r="3237" spans="1:5" x14ac:dyDescent="0.3">
      <c r="A3237" t="s">
        <v>114</v>
      </c>
      <c r="B3237" s="1">
        <v>44712</v>
      </c>
      <c r="C3237">
        <v>1</v>
      </c>
      <c r="D3237">
        <v>74.8</v>
      </c>
      <c r="E3237">
        <v>92</v>
      </c>
    </row>
    <row r="3238" spans="1:5" x14ac:dyDescent="0.3">
      <c r="A3238" t="s">
        <v>111</v>
      </c>
      <c r="B3238" s="1">
        <v>44712</v>
      </c>
      <c r="C3238">
        <v>1</v>
      </c>
      <c r="D3238">
        <v>170</v>
      </c>
      <c r="E3238">
        <v>203</v>
      </c>
    </row>
    <row r="3239" spans="1:5" x14ac:dyDescent="0.3">
      <c r="A3239" t="s">
        <v>5</v>
      </c>
      <c r="B3239" s="1">
        <v>44712</v>
      </c>
      <c r="C3239">
        <v>1</v>
      </c>
      <c r="D3239">
        <v>130.43</v>
      </c>
      <c r="E3239">
        <v>150</v>
      </c>
    </row>
    <row r="3240" spans="1:5" x14ac:dyDescent="0.3">
      <c r="A3240" t="s">
        <v>5</v>
      </c>
      <c r="B3240" s="1">
        <v>44712</v>
      </c>
      <c r="C3240">
        <v>1</v>
      </c>
      <c r="D3240">
        <v>130.43</v>
      </c>
      <c r="E3240">
        <v>150</v>
      </c>
    </row>
    <row r="3241" spans="1:5" x14ac:dyDescent="0.3">
      <c r="A3241" t="s">
        <v>5</v>
      </c>
      <c r="B3241" s="1">
        <v>44712</v>
      </c>
      <c r="C3241">
        <v>1</v>
      </c>
      <c r="D3241">
        <v>130.43</v>
      </c>
      <c r="E3241">
        <v>150</v>
      </c>
    </row>
    <row r="3242" spans="1:5" x14ac:dyDescent="0.3">
      <c r="A3242" t="s">
        <v>81</v>
      </c>
      <c r="B3242" s="1">
        <v>44712</v>
      </c>
      <c r="C3242">
        <v>1</v>
      </c>
      <c r="D3242">
        <v>42.48</v>
      </c>
      <c r="E3242">
        <v>52</v>
      </c>
    </row>
    <row r="3243" spans="1:5" x14ac:dyDescent="0.3">
      <c r="A3243" t="s">
        <v>7</v>
      </c>
      <c r="B3243" s="1">
        <v>44712</v>
      </c>
      <c r="C3243">
        <v>1</v>
      </c>
      <c r="D3243">
        <v>88.73</v>
      </c>
      <c r="E3243">
        <v>106</v>
      </c>
    </row>
    <row r="3244" spans="1:5" x14ac:dyDescent="0.3">
      <c r="A3244" t="s">
        <v>7</v>
      </c>
      <c r="B3244" s="1">
        <v>44712</v>
      </c>
      <c r="C3244">
        <v>1</v>
      </c>
      <c r="D3244">
        <v>88.73</v>
      </c>
      <c r="E3244">
        <v>106</v>
      </c>
    </row>
    <row r="3245" spans="1:5" x14ac:dyDescent="0.3">
      <c r="A3245" t="s">
        <v>149</v>
      </c>
      <c r="B3245" s="1">
        <v>44712</v>
      </c>
      <c r="C3245">
        <v>1</v>
      </c>
      <c r="D3245">
        <v>199.99</v>
      </c>
      <c r="E3245">
        <v>270</v>
      </c>
    </row>
    <row r="3246" spans="1:5" x14ac:dyDescent="0.3">
      <c r="A3246" t="s">
        <v>47</v>
      </c>
      <c r="B3246" s="1">
        <v>44712</v>
      </c>
      <c r="C3246">
        <v>1</v>
      </c>
      <c r="D3246">
        <v>43</v>
      </c>
      <c r="E3246">
        <v>66</v>
      </c>
    </row>
    <row r="3247" spans="1:5" x14ac:dyDescent="0.3">
      <c r="A3247" t="s">
        <v>151</v>
      </c>
      <c r="B3247" s="1">
        <v>44712</v>
      </c>
      <c r="C3247">
        <v>1</v>
      </c>
      <c r="D3247">
        <v>23.23</v>
      </c>
      <c r="E3247">
        <v>29</v>
      </c>
    </row>
    <row r="3248" spans="1:5" x14ac:dyDescent="0.3">
      <c r="A3248" t="s">
        <v>133</v>
      </c>
      <c r="B3248" s="1">
        <v>44712</v>
      </c>
      <c r="C3248">
        <v>4</v>
      </c>
      <c r="D3248">
        <v>5.0999999999999996</v>
      </c>
      <c r="E3248">
        <v>9</v>
      </c>
    </row>
    <row r="3249" spans="1:5" x14ac:dyDescent="0.3">
      <c r="A3249" t="s">
        <v>35</v>
      </c>
      <c r="B3249" s="1">
        <v>44712</v>
      </c>
      <c r="C3249">
        <v>1</v>
      </c>
      <c r="D3249">
        <v>35</v>
      </c>
      <c r="E3249">
        <v>55</v>
      </c>
    </row>
    <row r="3250" spans="1:5" x14ac:dyDescent="0.3">
      <c r="A3250" t="s">
        <v>35</v>
      </c>
      <c r="B3250" s="1">
        <v>44712</v>
      </c>
      <c r="C3250">
        <v>1</v>
      </c>
      <c r="D3250">
        <v>35</v>
      </c>
      <c r="E3250">
        <v>55</v>
      </c>
    </row>
    <row r="3251" spans="1:5" x14ac:dyDescent="0.3">
      <c r="A3251" t="s">
        <v>35</v>
      </c>
      <c r="B3251" s="1">
        <v>44712</v>
      </c>
      <c r="C3251">
        <v>1</v>
      </c>
      <c r="D3251">
        <v>35</v>
      </c>
      <c r="E3251">
        <v>55</v>
      </c>
    </row>
    <row r="3252" spans="1:5" x14ac:dyDescent="0.3">
      <c r="A3252" t="s">
        <v>25</v>
      </c>
      <c r="B3252" s="1">
        <v>44712</v>
      </c>
      <c r="C3252">
        <v>1</v>
      </c>
      <c r="D3252">
        <v>147.18</v>
      </c>
      <c r="E3252">
        <v>177</v>
      </c>
    </row>
    <row r="3253" spans="1:5" x14ac:dyDescent="0.3">
      <c r="A3253" t="s">
        <v>105</v>
      </c>
      <c r="B3253" s="1">
        <v>44712</v>
      </c>
      <c r="C3253">
        <v>1</v>
      </c>
      <c r="D3253">
        <v>26.9</v>
      </c>
      <c r="E3253">
        <v>44</v>
      </c>
    </row>
    <row r="3254" spans="1:5" x14ac:dyDescent="0.3">
      <c r="A3254" t="s">
        <v>139</v>
      </c>
      <c r="B3254" s="1">
        <v>44712</v>
      </c>
      <c r="C3254">
        <v>1</v>
      </c>
      <c r="D3254">
        <v>24.18</v>
      </c>
      <c r="E3254">
        <v>40</v>
      </c>
    </row>
    <row r="3255" spans="1:5" x14ac:dyDescent="0.3">
      <c r="A3255" t="s">
        <v>143</v>
      </c>
      <c r="B3255" s="1">
        <v>44712</v>
      </c>
      <c r="C3255">
        <v>1</v>
      </c>
      <c r="D3255">
        <v>50.86</v>
      </c>
      <c r="E3255">
        <v>78</v>
      </c>
    </row>
    <row r="3256" spans="1:5" x14ac:dyDescent="0.3">
      <c r="A3256" t="s">
        <v>134</v>
      </c>
      <c r="B3256" s="1">
        <v>44712</v>
      </c>
      <c r="C3256">
        <v>1</v>
      </c>
      <c r="D3256">
        <v>33</v>
      </c>
      <c r="E3256">
        <v>51</v>
      </c>
    </row>
    <row r="3257" spans="1:5" x14ac:dyDescent="0.3">
      <c r="A3257" t="s">
        <v>134</v>
      </c>
      <c r="B3257" s="1">
        <v>44712</v>
      </c>
      <c r="C3257">
        <v>1</v>
      </c>
      <c r="D3257">
        <v>33</v>
      </c>
      <c r="E3257">
        <v>51</v>
      </c>
    </row>
    <row r="3258" spans="1:5" x14ac:dyDescent="0.3">
      <c r="A3258" t="s">
        <v>78</v>
      </c>
      <c r="B3258" s="1">
        <v>44712</v>
      </c>
      <c r="C3258">
        <v>1</v>
      </c>
      <c r="D3258">
        <v>69.599999999999994</v>
      </c>
      <c r="E3258">
        <v>90</v>
      </c>
    </row>
    <row r="3259" spans="1:5" x14ac:dyDescent="0.3">
      <c r="A3259" t="s">
        <v>122</v>
      </c>
      <c r="B3259" s="1">
        <v>44712</v>
      </c>
      <c r="C3259">
        <v>1</v>
      </c>
      <c r="D3259">
        <v>20.75</v>
      </c>
      <c r="E3259">
        <v>25</v>
      </c>
    </row>
    <row r="3260" spans="1:5" x14ac:dyDescent="0.3">
      <c r="A3260" t="s">
        <v>122</v>
      </c>
      <c r="B3260" s="1">
        <v>44712</v>
      </c>
      <c r="C3260">
        <v>1</v>
      </c>
      <c r="D3260">
        <v>20.75</v>
      </c>
      <c r="E3260">
        <v>25</v>
      </c>
    </row>
    <row r="3261" spans="1:5" x14ac:dyDescent="0.3">
      <c r="A3261" t="s">
        <v>22</v>
      </c>
      <c r="B3261" s="1">
        <v>44712</v>
      </c>
      <c r="C3261">
        <v>1</v>
      </c>
      <c r="D3261">
        <v>30.3</v>
      </c>
      <c r="E3261">
        <v>49</v>
      </c>
    </row>
    <row r="3262" spans="1:5" x14ac:dyDescent="0.3">
      <c r="A3262" t="s">
        <v>28</v>
      </c>
      <c r="B3262" s="1">
        <v>44712</v>
      </c>
      <c r="C3262">
        <v>1</v>
      </c>
      <c r="D3262">
        <v>150.03</v>
      </c>
      <c r="E3262">
        <v>212</v>
      </c>
    </row>
    <row r="3263" spans="1:5" x14ac:dyDescent="0.3">
      <c r="A3263" t="s">
        <v>66</v>
      </c>
      <c r="B3263" s="1">
        <v>44712</v>
      </c>
      <c r="C3263">
        <v>1</v>
      </c>
      <c r="D3263">
        <v>30.56</v>
      </c>
      <c r="E3263">
        <v>36</v>
      </c>
    </row>
    <row r="3264" spans="1:5" x14ac:dyDescent="0.3">
      <c r="A3264" t="s">
        <v>66</v>
      </c>
      <c r="B3264" s="1">
        <v>44712</v>
      </c>
      <c r="C3264">
        <v>1</v>
      </c>
      <c r="D3264">
        <v>30.56</v>
      </c>
      <c r="E3264">
        <v>36</v>
      </c>
    </row>
    <row r="3265" spans="1:5" x14ac:dyDescent="0.3">
      <c r="A3265" t="s">
        <v>111</v>
      </c>
      <c r="B3265" s="1">
        <v>44712</v>
      </c>
      <c r="C3265">
        <v>1</v>
      </c>
      <c r="D3265">
        <v>163.16</v>
      </c>
      <c r="E3265">
        <v>196</v>
      </c>
    </row>
    <row r="3266" spans="1:5" x14ac:dyDescent="0.3">
      <c r="A3266" t="s">
        <v>23</v>
      </c>
      <c r="B3266" s="1">
        <v>44712</v>
      </c>
      <c r="C3266">
        <v>1</v>
      </c>
      <c r="D3266">
        <v>109.41</v>
      </c>
      <c r="E3266">
        <v>123</v>
      </c>
    </row>
    <row r="3267" spans="1:5" x14ac:dyDescent="0.3">
      <c r="A3267" t="s">
        <v>61</v>
      </c>
      <c r="B3267" s="1">
        <v>44712</v>
      </c>
      <c r="C3267">
        <v>1</v>
      </c>
      <c r="D3267">
        <v>32.909999999999997</v>
      </c>
      <c r="E3267">
        <v>51</v>
      </c>
    </row>
    <row r="3268" spans="1:5" x14ac:dyDescent="0.3">
      <c r="A3268" t="s">
        <v>129</v>
      </c>
      <c r="B3268" s="1">
        <v>44712</v>
      </c>
      <c r="C3268">
        <v>0.04</v>
      </c>
      <c r="D3268">
        <v>493.92</v>
      </c>
      <c r="E3268">
        <v>595</v>
      </c>
    </row>
    <row r="3269" spans="1:5" x14ac:dyDescent="0.3">
      <c r="A3269" t="s">
        <v>30</v>
      </c>
      <c r="B3269" s="1">
        <v>44712</v>
      </c>
      <c r="C3269">
        <v>1</v>
      </c>
      <c r="D3269">
        <v>155.94</v>
      </c>
      <c r="E3269">
        <v>185</v>
      </c>
    </row>
    <row r="3270" spans="1:5" x14ac:dyDescent="0.3">
      <c r="A3270" t="s">
        <v>9</v>
      </c>
      <c r="B3270" s="1">
        <v>44712</v>
      </c>
      <c r="C3270">
        <v>1</v>
      </c>
      <c r="D3270">
        <v>80.69</v>
      </c>
      <c r="E3270">
        <v>100</v>
      </c>
    </row>
    <row r="3271" spans="1:5" x14ac:dyDescent="0.3">
      <c r="A3271" t="s">
        <v>114</v>
      </c>
      <c r="B3271" s="1">
        <v>44712</v>
      </c>
      <c r="C3271">
        <v>1</v>
      </c>
      <c r="D3271">
        <v>74.8</v>
      </c>
      <c r="E3271">
        <v>92</v>
      </c>
    </row>
    <row r="3272" spans="1:5" x14ac:dyDescent="0.3">
      <c r="A3272" t="s">
        <v>131</v>
      </c>
      <c r="B3272" s="1">
        <v>44712</v>
      </c>
      <c r="C3272">
        <v>1</v>
      </c>
      <c r="D3272">
        <v>350.97</v>
      </c>
      <c r="E3272">
        <v>404</v>
      </c>
    </row>
    <row r="3273" spans="1:5" x14ac:dyDescent="0.3">
      <c r="A3273" t="s">
        <v>31</v>
      </c>
      <c r="B3273" s="1">
        <v>44712</v>
      </c>
      <c r="C3273">
        <v>1</v>
      </c>
      <c r="D3273">
        <v>14.4</v>
      </c>
      <c r="E3273">
        <v>19</v>
      </c>
    </row>
    <row r="3274" spans="1:5" x14ac:dyDescent="0.3">
      <c r="A3274" t="s">
        <v>31</v>
      </c>
      <c r="B3274" s="1">
        <v>44712</v>
      </c>
      <c r="C3274">
        <v>1</v>
      </c>
      <c r="D3274">
        <v>14.4</v>
      </c>
      <c r="E3274">
        <v>19</v>
      </c>
    </row>
    <row r="3275" spans="1:5" x14ac:dyDescent="0.3">
      <c r="A3275" t="s">
        <v>50</v>
      </c>
      <c r="B3275" s="1">
        <v>44712</v>
      </c>
      <c r="C3275">
        <v>1</v>
      </c>
      <c r="D3275">
        <v>43.55</v>
      </c>
      <c r="E3275">
        <v>54</v>
      </c>
    </row>
    <row r="3276" spans="1:5" x14ac:dyDescent="0.3">
      <c r="A3276" t="s">
        <v>116</v>
      </c>
      <c r="B3276" s="1">
        <v>44712</v>
      </c>
      <c r="C3276">
        <v>1</v>
      </c>
      <c r="D3276">
        <v>105.79</v>
      </c>
      <c r="E3276">
        <v>127</v>
      </c>
    </row>
    <row r="3277" spans="1:5" x14ac:dyDescent="0.3">
      <c r="A3277" t="s">
        <v>89</v>
      </c>
      <c r="B3277" s="1">
        <v>44712</v>
      </c>
      <c r="C3277">
        <v>1</v>
      </c>
      <c r="D3277">
        <v>86.27</v>
      </c>
      <c r="E3277">
        <v>123</v>
      </c>
    </row>
    <row r="3278" spans="1:5" x14ac:dyDescent="0.3">
      <c r="A3278" t="s">
        <v>138</v>
      </c>
      <c r="B3278" s="1">
        <v>44712</v>
      </c>
      <c r="C3278">
        <v>1</v>
      </c>
      <c r="D3278">
        <v>46.5</v>
      </c>
      <c r="E3278">
        <v>75</v>
      </c>
    </row>
    <row r="3279" spans="1:5" x14ac:dyDescent="0.3">
      <c r="A3279" t="s">
        <v>86</v>
      </c>
      <c r="B3279" s="1">
        <v>44712</v>
      </c>
      <c r="C3279">
        <v>1</v>
      </c>
      <c r="D3279">
        <v>47.4</v>
      </c>
      <c r="E3279">
        <v>82</v>
      </c>
    </row>
    <row r="3280" spans="1:5" x14ac:dyDescent="0.3">
      <c r="A3280" t="s">
        <v>73</v>
      </c>
      <c r="B3280" s="1">
        <v>44712</v>
      </c>
      <c r="C3280">
        <v>1</v>
      </c>
      <c r="D3280">
        <v>8.01</v>
      </c>
      <c r="E3280">
        <v>13</v>
      </c>
    </row>
    <row r="3281" spans="1:5" x14ac:dyDescent="0.3">
      <c r="A3281" t="s">
        <v>65</v>
      </c>
      <c r="B3281" s="1">
        <v>44712</v>
      </c>
      <c r="C3281">
        <v>1</v>
      </c>
      <c r="D3281">
        <v>187.36</v>
      </c>
      <c r="E3281">
        <v>220</v>
      </c>
    </row>
    <row r="3282" spans="1:5" x14ac:dyDescent="0.3">
      <c r="A3282" t="s">
        <v>32</v>
      </c>
      <c r="B3282" s="1">
        <v>44712</v>
      </c>
      <c r="C3282">
        <v>1</v>
      </c>
      <c r="D3282">
        <v>105</v>
      </c>
      <c r="E3282">
        <v>165</v>
      </c>
    </row>
    <row r="3283" spans="1:5" x14ac:dyDescent="0.3">
      <c r="A3283" t="s">
        <v>122</v>
      </c>
      <c r="B3283" s="1">
        <v>44712</v>
      </c>
      <c r="C3283">
        <v>1</v>
      </c>
      <c r="D3283">
        <v>20.48</v>
      </c>
      <c r="E3283">
        <v>25</v>
      </c>
    </row>
    <row r="3284" spans="1:5" x14ac:dyDescent="0.3">
      <c r="A3284" t="s">
        <v>122</v>
      </c>
      <c r="B3284" s="1">
        <v>44712</v>
      </c>
      <c r="C3284">
        <v>1</v>
      </c>
      <c r="D3284">
        <v>20.48</v>
      </c>
      <c r="E3284">
        <v>25</v>
      </c>
    </row>
    <row r="3285" spans="1:5" x14ac:dyDescent="0.3">
      <c r="A3285" t="s">
        <v>49</v>
      </c>
      <c r="B3285" s="1">
        <v>44712</v>
      </c>
      <c r="C3285">
        <v>1</v>
      </c>
      <c r="D3285">
        <v>15.53</v>
      </c>
      <c r="E3285">
        <v>19</v>
      </c>
    </row>
    <row r="3286" spans="1:5" x14ac:dyDescent="0.3">
      <c r="A3286" t="s">
        <v>36</v>
      </c>
      <c r="B3286" s="1">
        <v>44712</v>
      </c>
      <c r="C3286">
        <v>1</v>
      </c>
      <c r="D3286">
        <v>22.05</v>
      </c>
      <c r="E3286">
        <v>28</v>
      </c>
    </row>
    <row r="3287" spans="1:5" x14ac:dyDescent="0.3">
      <c r="A3287" t="s">
        <v>36</v>
      </c>
      <c r="B3287" s="1">
        <v>44712</v>
      </c>
      <c r="C3287">
        <v>1</v>
      </c>
      <c r="D3287">
        <v>22.05</v>
      </c>
      <c r="E3287">
        <v>28</v>
      </c>
    </row>
    <row r="3288" spans="1:5" x14ac:dyDescent="0.3">
      <c r="A3288" t="s">
        <v>36</v>
      </c>
      <c r="B3288" s="1">
        <v>44712</v>
      </c>
      <c r="C3288">
        <v>1</v>
      </c>
      <c r="D3288">
        <v>22.05</v>
      </c>
      <c r="E3288">
        <v>28</v>
      </c>
    </row>
    <row r="3289" spans="1:5" x14ac:dyDescent="0.3">
      <c r="A3289" t="s">
        <v>36</v>
      </c>
      <c r="B3289" s="1">
        <v>44712</v>
      </c>
      <c r="C3289">
        <v>1</v>
      </c>
      <c r="D3289">
        <v>22.05</v>
      </c>
      <c r="E3289">
        <v>28</v>
      </c>
    </row>
    <row r="3290" spans="1:5" x14ac:dyDescent="0.3">
      <c r="A3290" t="s">
        <v>36</v>
      </c>
      <c r="B3290" s="1">
        <v>44712</v>
      </c>
      <c r="C3290">
        <v>1</v>
      </c>
      <c r="D3290">
        <v>22.05</v>
      </c>
      <c r="E3290">
        <v>28</v>
      </c>
    </row>
    <row r="3291" spans="1:5" x14ac:dyDescent="0.3">
      <c r="A3291" t="s">
        <v>150</v>
      </c>
      <c r="B3291" s="1">
        <v>44712</v>
      </c>
      <c r="C3291">
        <v>1</v>
      </c>
      <c r="D3291">
        <v>94.8</v>
      </c>
      <c r="E3291">
        <v>147</v>
      </c>
    </row>
    <row r="3292" spans="1:5" x14ac:dyDescent="0.3">
      <c r="A3292" t="s">
        <v>93</v>
      </c>
      <c r="B3292" s="1">
        <v>44712</v>
      </c>
      <c r="C3292">
        <v>1</v>
      </c>
      <c r="D3292">
        <v>71.05</v>
      </c>
      <c r="E3292">
        <v>104</v>
      </c>
    </row>
    <row r="3293" spans="1:5" x14ac:dyDescent="0.3">
      <c r="A3293" t="s">
        <v>109</v>
      </c>
      <c r="B3293" s="1">
        <v>44712</v>
      </c>
      <c r="C3293">
        <v>1</v>
      </c>
      <c r="D3293">
        <v>87.78</v>
      </c>
      <c r="E3293">
        <v>99</v>
      </c>
    </row>
    <row r="3294" spans="1:5" x14ac:dyDescent="0.3">
      <c r="A3294" t="s">
        <v>109</v>
      </c>
      <c r="B3294" s="1">
        <v>44712</v>
      </c>
      <c r="C3294">
        <v>1</v>
      </c>
      <c r="D3294">
        <v>87.78</v>
      </c>
      <c r="E3294">
        <v>99</v>
      </c>
    </row>
    <row r="3295" spans="1:5" x14ac:dyDescent="0.3">
      <c r="A3295" t="s">
        <v>109</v>
      </c>
      <c r="B3295" s="1">
        <v>44712</v>
      </c>
      <c r="C3295">
        <v>1</v>
      </c>
      <c r="D3295">
        <v>87.78</v>
      </c>
      <c r="E3295">
        <v>99</v>
      </c>
    </row>
    <row r="3296" spans="1:5" x14ac:dyDescent="0.3">
      <c r="A3296" t="s">
        <v>50</v>
      </c>
      <c r="B3296" s="1">
        <v>44712</v>
      </c>
      <c r="C3296">
        <v>1</v>
      </c>
      <c r="D3296">
        <v>45.74</v>
      </c>
      <c r="E3296">
        <v>56</v>
      </c>
    </row>
    <row r="3297" spans="1:5" x14ac:dyDescent="0.3">
      <c r="A3297" t="s">
        <v>50</v>
      </c>
      <c r="B3297" s="1">
        <v>44712</v>
      </c>
      <c r="C3297">
        <v>1</v>
      </c>
      <c r="D3297">
        <v>45.74</v>
      </c>
      <c r="E3297">
        <v>56</v>
      </c>
    </row>
    <row r="3298" spans="1:5" x14ac:dyDescent="0.3">
      <c r="A3298" t="s">
        <v>95</v>
      </c>
      <c r="B3298" s="1">
        <v>44712</v>
      </c>
      <c r="C3298">
        <v>0.1</v>
      </c>
      <c r="D3298">
        <v>129.69</v>
      </c>
      <c r="E3298">
        <v>204</v>
      </c>
    </row>
    <row r="3299" spans="1:5" x14ac:dyDescent="0.3">
      <c r="A3299" t="s">
        <v>46</v>
      </c>
      <c r="B3299" s="1">
        <v>44712</v>
      </c>
      <c r="C3299">
        <v>1</v>
      </c>
      <c r="D3299">
        <v>19.7</v>
      </c>
      <c r="E3299">
        <v>24</v>
      </c>
    </row>
    <row r="3300" spans="1:5" x14ac:dyDescent="0.3">
      <c r="A3300" t="s">
        <v>23</v>
      </c>
      <c r="B3300" s="1">
        <v>44712</v>
      </c>
      <c r="C3300">
        <v>1</v>
      </c>
      <c r="D3300">
        <v>109.41</v>
      </c>
      <c r="E3300">
        <v>123</v>
      </c>
    </row>
    <row r="3301" spans="1:5" x14ac:dyDescent="0.3">
      <c r="A3301" t="s">
        <v>39</v>
      </c>
      <c r="B3301" s="1">
        <v>44712</v>
      </c>
      <c r="C3301">
        <v>4</v>
      </c>
      <c r="D3301">
        <v>9.9499999999999993</v>
      </c>
      <c r="E3301">
        <v>17</v>
      </c>
    </row>
    <row r="3302" spans="1:5" x14ac:dyDescent="0.3">
      <c r="A3302" t="s">
        <v>64</v>
      </c>
      <c r="B3302" s="1">
        <v>44712</v>
      </c>
      <c r="C3302">
        <v>1</v>
      </c>
      <c r="D3302">
        <v>198.66</v>
      </c>
      <c r="E3302">
        <v>273</v>
      </c>
    </row>
    <row r="3303" spans="1:5" x14ac:dyDescent="0.3">
      <c r="A3303" t="s">
        <v>65</v>
      </c>
      <c r="B3303" s="1">
        <v>44712</v>
      </c>
      <c r="C3303">
        <v>1</v>
      </c>
      <c r="D3303">
        <v>184.45</v>
      </c>
      <c r="E3303">
        <v>216</v>
      </c>
    </row>
    <row r="3304" spans="1:5" x14ac:dyDescent="0.3">
      <c r="A3304" t="s">
        <v>65</v>
      </c>
      <c r="B3304" s="1">
        <v>44712</v>
      </c>
      <c r="C3304">
        <v>1</v>
      </c>
      <c r="D3304">
        <v>176.77</v>
      </c>
      <c r="E3304">
        <v>221</v>
      </c>
    </row>
    <row r="3305" spans="1:5" x14ac:dyDescent="0.3">
      <c r="A3305" t="s">
        <v>29</v>
      </c>
      <c r="B3305" s="1">
        <v>44712</v>
      </c>
      <c r="C3305">
        <v>1</v>
      </c>
      <c r="D3305">
        <v>481.17</v>
      </c>
      <c r="E3305">
        <v>621</v>
      </c>
    </row>
    <row r="3306" spans="1:5" x14ac:dyDescent="0.3">
      <c r="A3306" t="s">
        <v>119</v>
      </c>
      <c r="B3306" s="1">
        <v>44712</v>
      </c>
      <c r="C3306">
        <v>3.5714299999999997E-2</v>
      </c>
      <c r="D3306">
        <v>632.12</v>
      </c>
      <c r="E3306">
        <v>698</v>
      </c>
    </row>
    <row r="3307" spans="1:5" x14ac:dyDescent="0.3">
      <c r="A3307" t="s">
        <v>32</v>
      </c>
      <c r="B3307" s="1">
        <v>44712</v>
      </c>
      <c r="C3307">
        <v>1</v>
      </c>
      <c r="D3307">
        <v>105</v>
      </c>
      <c r="E3307">
        <v>165</v>
      </c>
    </row>
    <row r="3308" spans="1:5" x14ac:dyDescent="0.3">
      <c r="A3308" t="s">
        <v>91</v>
      </c>
      <c r="B3308" s="1">
        <v>44712</v>
      </c>
      <c r="C3308">
        <v>1</v>
      </c>
      <c r="D3308">
        <v>34.65</v>
      </c>
      <c r="E3308">
        <v>57</v>
      </c>
    </row>
    <row r="3309" spans="1:5" x14ac:dyDescent="0.3">
      <c r="A3309" t="s">
        <v>159</v>
      </c>
      <c r="B3309" s="1">
        <v>44712</v>
      </c>
      <c r="C3309">
        <v>1</v>
      </c>
      <c r="D3309">
        <v>52.11</v>
      </c>
      <c r="E3309">
        <v>65</v>
      </c>
    </row>
    <row r="3310" spans="1:5" x14ac:dyDescent="0.3">
      <c r="A3310" t="s">
        <v>146</v>
      </c>
      <c r="B3310" s="1">
        <v>44712</v>
      </c>
      <c r="C3310">
        <v>1</v>
      </c>
      <c r="D3310">
        <v>406.36</v>
      </c>
      <c r="E3310">
        <v>456</v>
      </c>
    </row>
    <row r="3311" spans="1:5" x14ac:dyDescent="0.3">
      <c r="A3311" t="s">
        <v>127</v>
      </c>
      <c r="B3311" s="1">
        <v>44712</v>
      </c>
      <c r="C3311">
        <v>1</v>
      </c>
      <c r="D3311">
        <v>119.8</v>
      </c>
      <c r="E3311">
        <v>167</v>
      </c>
    </row>
    <row r="3312" spans="1:5" x14ac:dyDescent="0.3">
      <c r="A3312" t="s">
        <v>138</v>
      </c>
      <c r="B3312" s="1">
        <v>44712</v>
      </c>
      <c r="C3312">
        <v>2</v>
      </c>
      <c r="D3312">
        <v>46.5</v>
      </c>
      <c r="E3312">
        <v>75</v>
      </c>
    </row>
    <row r="3313" spans="1:5" x14ac:dyDescent="0.3">
      <c r="A3313" t="s">
        <v>62</v>
      </c>
      <c r="B3313" s="1">
        <v>44712</v>
      </c>
      <c r="C3313">
        <v>1</v>
      </c>
      <c r="D3313">
        <v>25.15</v>
      </c>
      <c r="E3313">
        <v>30</v>
      </c>
    </row>
    <row r="3314" spans="1:5" x14ac:dyDescent="0.3">
      <c r="A3314" t="s">
        <v>62</v>
      </c>
      <c r="B3314" s="1">
        <v>44712</v>
      </c>
      <c r="C3314">
        <v>1</v>
      </c>
      <c r="D3314">
        <v>25.15</v>
      </c>
      <c r="E3314">
        <v>30</v>
      </c>
    </row>
    <row r="3315" spans="1:5" x14ac:dyDescent="0.3">
      <c r="A3315" t="s">
        <v>132</v>
      </c>
      <c r="B3315" s="1">
        <v>44712</v>
      </c>
      <c r="C3315">
        <v>1</v>
      </c>
      <c r="D3315">
        <v>58.23</v>
      </c>
      <c r="E3315">
        <v>86</v>
      </c>
    </row>
    <row r="3316" spans="1:5" x14ac:dyDescent="0.3">
      <c r="A3316" t="s">
        <v>132</v>
      </c>
      <c r="B3316" s="1">
        <v>44712</v>
      </c>
      <c r="C3316">
        <v>1</v>
      </c>
      <c r="D3316">
        <v>58.23</v>
      </c>
      <c r="E3316">
        <v>86</v>
      </c>
    </row>
    <row r="3317" spans="1:5" x14ac:dyDescent="0.3">
      <c r="A3317" t="s">
        <v>66</v>
      </c>
      <c r="B3317" s="1">
        <v>44712</v>
      </c>
      <c r="C3317">
        <v>1</v>
      </c>
      <c r="D3317">
        <v>32</v>
      </c>
      <c r="E3317">
        <v>36</v>
      </c>
    </row>
    <row r="3318" spans="1:5" x14ac:dyDescent="0.3">
      <c r="A3318" t="s">
        <v>136</v>
      </c>
      <c r="B3318" s="1">
        <v>44712</v>
      </c>
      <c r="C3318">
        <v>1</v>
      </c>
      <c r="D3318">
        <v>286.19</v>
      </c>
      <c r="E3318">
        <v>387</v>
      </c>
    </row>
    <row r="3319" spans="1:5" x14ac:dyDescent="0.3">
      <c r="A3319" t="s">
        <v>5</v>
      </c>
      <c r="B3319" s="1">
        <v>44712</v>
      </c>
      <c r="C3319">
        <v>1</v>
      </c>
      <c r="D3319">
        <v>132.33000000000001</v>
      </c>
      <c r="E3319">
        <v>152</v>
      </c>
    </row>
    <row r="3320" spans="1:5" x14ac:dyDescent="0.3">
      <c r="A3320" t="s">
        <v>141</v>
      </c>
      <c r="B3320" s="1">
        <v>44712</v>
      </c>
      <c r="C3320">
        <v>1</v>
      </c>
      <c r="D3320">
        <v>12.19</v>
      </c>
      <c r="E3320">
        <v>20</v>
      </c>
    </row>
    <row r="3321" spans="1:5" x14ac:dyDescent="0.3">
      <c r="A3321" t="s">
        <v>59</v>
      </c>
      <c r="B3321" s="1">
        <v>44712</v>
      </c>
      <c r="C3321">
        <v>1</v>
      </c>
      <c r="D3321">
        <v>13.62</v>
      </c>
      <c r="E3321">
        <v>23</v>
      </c>
    </row>
    <row r="3322" spans="1:5" x14ac:dyDescent="0.3">
      <c r="A3322" t="s">
        <v>85</v>
      </c>
      <c r="B3322" s="1">
        <v>44712</v>
      </c>
      <c r="C3322">
        <v>1</v>
      </c>
      <c r="D3322">
        <v>14.82</v>
      </c>
      <c r="E3322">
        <v>24</v>
      </c>
    </row>
    <row r="3323" spans="1:5" x14ac:dyDescent="0.3">
      <c r="A3323" t="s">
        <v>87</v>
      </c>
      <c r="B3323" s="1">
        <v>44712</v>
      </c>
      <c r="C3323">
        <v>1</v>
      </c>
      <c r="D3323">
        <v>323.66000000000003</v>
      </c>
      <c r="E3323">
        <v>370</v>
      </c>
    </row>
    <row r="3324" spans="1:5" x14ac:dyDescent="0.3">
      <c r="A3324" t="s">
        <v>59</v>
      </c>
      <c r="B3324" s="1">
        <v>44712</v>
      </c>
      <c r="C3324">
        <v>1</v>
      </c>
      <c r="D3324">
        <v>14.55</v>
      </c>
      <c r="E3324">
        <v>24</v>
      </c>
    </row>
    <row r="3325" spans="1:5" x14ac:dyDescent="0.3">
      <c r="A3325" t="s">
        <v>112</v>
      </c>
      <c r="B3325" s="1">
        <v>44712</v>
      </c>
      <c r="C3325">
        <v>1</v>
      </c>
      <c r="D3325">
        <v>251.13</v>
      </c>
      <c r="E3325">
        <v>295</v>
      </c>
    </row>
    <row r="3326" spans="1:5" x14ac:dyDescent="0.3">
      <c r="A3326" t="s">
        <v>100</v>
      </c>
      <c r="B3326" s="1">
        <v>44712</v>
      </c>
      <c r="C3326">
        <v>1</v>
      </c>
      <c r="D3326">
        <v>36.99</v>
      </c>
      <c r="E3326">
        <v>59</v>
      </c>
    </row>
    <row r="3327" spans="1:5" x14ac:dyDescent="0.3">
      <c r="A3327" t="s">
        <v>22</v>
      </c>
      <c r="B3327" s="1">
        <v>44712</v>
      </c>
      <c r="C3327">
        <v>1</v>
      </c>
      <c r="D3327">
        <v>30.3</v>
      </c>
      <c r="E3327">
        <v>49</v>
      </c>
    </row>
    <row r="3328" spans="1:5" x14ac:dyDescent="0.3">
      <c r="A3328" t="s">
        <v>102</v>
      </c>
      <c r="B3328" s="1">
        <v>44712</v>
      </c>
      <c r="C3328">
        <v>1</v>
      </c>
      <c r="D3328">
        <v>26.59</v>
      </c>
      <c r="E3328">
        <v>33</v>
      </c>
    </row>
    <row r="3329" spans="1:5" x14ac:dyDescent="0.3">
      <c r="A3329" t="s">
        <v>102</v>
      </c>
      <c r="B3329" s="1">
        <v>44712</v>
      </c>
      <c r="C3329">
        <v>1</v>
      </c>
      <c r="D3329">
        <v>26.59</v>
      </c>
      <c r="E3329">
        <v>33</v>
      </c>
    </row>
    <row r="3330" spans="1:5" x14ac:dyDescent="0.3">
      <c r="A3330" t="s">
        <v>54</v>
      </c>
      <c r="B3330" s="1">
        <v>44712</v>
      </c>
      <c r="C3330">
        <v>1</v>
      </c>
      <c r="D3330">
        <v>731.05</v>
      </c>
      <c r="E3330">
        <v>944</v>
      </c>
    </row>
    <row r="3331" spans="1:5" x14ac:dyDescent="0.3">
      <c r="A3331" t="s">
        <v>25</v>
      </c>
      <c r="B3331" s="1">
        <v>44712</v>
      </c>
      <c r="C3331">
        <v>1</v>
      </c>
      <c r="D3331">
        <v>147.18</v>
      </c>
      <c r="E3331">
        <v>177</v>
      </c>
    </row>
    <row r="3332" spans="1:5" x14ac:dyDescent="0.3">
      <c r="A3332" t="s">
        <v>154</v>
      </c>
      <c r="B3332" s="1">
        <v>44712</v>
      </c>
      <c r="C3332">
        <v>1</v>
      </c>
      <c r="D3332">
        <v>134.46</v>
      </c>
      <c r="E3332">
        <v>159</v>
      </c>
    </row>
    <row r="3333" spans="1:5" x14ac:dyDescent="0.3">
      <c r="A3333" t="s">
        <v>154</v>
      </c>
      <c r="B3333" s="1">
        <v>44712</v>
      </c>
      <c r="C3333">
        <v>1</v>
      </c>
      <c r="D3333">
        <v>134.46</v>
      </c>
      <c r="E3333">
        <v>159</v>
      </c>
    </row>
    <row r="3334" spans="1:5" x14ac:dyDescent="0.3">
      <c r="A3334" t="s">
        <v>145</v>
      </c>
      <c r="B3334" s="1">
        <v>44712</v>
      </c>
      <c r="C3334">
        <v>1</v>
      </c>
      <c r="D3334">
        <v>25.3</v>
      </c>
      <c r="E3334">
        <v>31</v>
      </c>
    </row>
    <row r="3335" spans="1:5" x14ac:dyDescent="0.3">
      <c r="A3335" t="s">
        <v>145</v>
      </c>
      <c r="B3335" s="1">
        <v>44712</v>
      </c>
      <c r="C3335">
        <v>1</v>
      </c>
      <c r="D3335">
        <v>25.3</v>
      </c>
      <c r="E3335">
        <v>31</v>
      </c>
    </row>
    <row r="3336" spans="1:5" x14ac:dyDescent="0.3">
      <c r="A3336" t="s">
        <v>145</v>
      </c>
      <c r="B3336" s="1">
        <v>44712</v>
      </c>
      <c r="C3336">
        <v>1</v>
      </c>
      <c r="D3336">
        <v>25.3</v>
      </c>
      <c r="E3336">
        <v>31</v>
      </c>
    </row>
    <row r="3337" spans="1:5" x14ac:dyDescent="0.3">
      <c r="A3337" t="s">
        <v>145</v>
      </c>
      <c r="B3337" s="1">
        <v>44712</v>
      </c>
      <c r="C3337">
        <v>1</v>
      </c>
      <c r="D3337">
        <v>25.3</v>
      </c>
      <c r="E3337">
        <v>31</v>
      </c>
    </row>
    <row r="3338" spans="1:5" x14ac:dyDescent="0.3">
      <c r="A3338" t="s">
        <v>145</v>
      </c>
      <c r="B3338" s="1">
        <v>44712</v>
      </c>
      <c r="C3338">
        <v>1</v>
      </c>
      <c r="D3338">
        <v>25.3</v>
      </c>
      <c r="E3338">
        <v>31</v>
      </c>
    </row>
    <row r="3339" spans="1:5" x14ac:dyDescent="0.3">
      <c r="A3339" t="s">
        <v>145</v>
      </c>
      <c r="B3339" s="1">
        <v>44712</v>
      </c>
      <c r="C3339">
        <v>1</v>
      </c>
      <c r="D3339">
        <v>25.3</v>
      </c>
      <c r="E3339">
        <v>31</v>
      </c>
    </row>
    <row r="3340" spans="1:5" x14ac:dyDescent="0.3">
      <c r="A3340" t="s">
        <v>145</v>
      </c>
      <c r="B3340" s="1">
        <v>44712</v>
      </c>
      <c r="C3340">
        <v>1</v>
      </c>
      <c r="D3340">
        <v>25.3</v>
      </c>
      <c r="E3340">
        <v>31</v>
      </c>
    </row>
    <row r="3341" spans="1:5" x14ac:dyDescent="0.3">
      <c r="A3341" t="s">
        <v>145</v>
      </c>
      <c r="B3341" s="1">
        <v>44712</v>
      </c>
      <c r="C3341">
        <v>1</v>
      </c>
      <c r="D3341">
        <v>25.3</v>
      </c>
      <c r="E3341">
        <v>31</v>
      </c>
    </row>
    <row r="3342" spans="1:5" x14ac:dyDescent="0.3">
      <c r="A3342" t="s">
        <v>145</v>
      </c>
      <c r="B3342" s="1">
        <v>44712</v>
      </c>
      <c r="C3342">
        <v>1</v>
      </c>
      <c r="D3342">
        <v>25.3</v>
      </c>
      <c r="E3342">
        <v>31</v>
      </c>
    </row>
    <row r="3343" spans="1:5" x14ac:dyDescent="0.3">
      <c r="A3343" t="s">
        <v>145</v>
      </c>
      <c r="B3343" s="1">
        <v>44712</v>
      </c>
      <c r="C3343">
        <v>1</v>
      </c>
      <c r="D3343">
        <v>25.3</v>
      </c>
      <c r="E3343">
        <v>31</v>
      </c>
    </row>
    <row r="3344" spans="1:5" x14ac:dyDescent="0.3">
      <c r="A3344" t="s">
        <v>145</v>
      </c>
      <c r="B3344" s="1">
        <v>44712</v>
      </c>
      <c r="C3344">
        <v>1</v>
      </c>
      <c r="D3344">
        <v>25.3</v>
      </c>
      <c r="E3344">
        <v>31</v>
      </c>
    </row>
    <row r="3345" spans="1:5" x14ac:dyDescent="0.3">
      <c r="A3345" t="s">
        <v>145</v>
      </c>
      <c r="B3345" s="1">
        <v>44712</v>
      </c>
      <c r="C3345">
        <v>1</v>
      </c>
      <c r="D3345">
        <v>25.3</v>
      </c>
      <c r="E3345">
        <v>31</v>
      </c>
    </row>
    <row r="3346" spans="1:5" x14ac:dyDescent="0.3">
      <c r="A3346" t="s">
        <v>145</v>
      </c>
      <c r="B3346" s="1">
        <v>44712</v>
      </c>
      <c r="C3346">
        <v>1</v>
      </c>
      <c r="D3346">
        <v>25.3</v>
      </c>
      <c r="E3346">
        <v>31</v>
      </c>
    </row>
    <row r="3347" spans="1:5" x14ac:dyDescent="0.3">
      <c r="A3347" t="s">
        <v>145</v>
      </c>
      <c r="B3347" s="1">
        <v>44712</v>
      </c>
      <c r="C3347">
        <v>1</v>
      </c>
      <c r="D3347">
        <v>25.3</v>
      </c>
      <c r="E3347">
        <v>31</v>
      </c>
    </row>
    <row r="3348" spans="1:5" x14ac:dyDescent="0.3">
      <c r="A3348" t="s">
        <v>145</v>
      </c>
      <c r="B3348" s="1">
        <v>44712</v>
      </c>
      <c r="C3348">
        <v>1</v>
      </c>
      <c r="D3348">
        <v>25.3</v>
      </c>
      <c r="E3348">
        <v>31</v>
      </c>
    </row>
    <row r="3349" spans="1:5" x14ac:dyDescent="0.3">
      <c r="A3349" t="s">
        <v>145</v>
      </c>
      <c r="B3349" s="1">
        <v>44712</v>
      </c>
      <c r="C3349">
        <v>1</v>
      </c>
      <c r="D3349">
        <v>25.3</v>
      </c>
      <c r="E3349">
        <v>31</v>
      </c>
    </row>
    <row r="3350" spans="1:5" x14ac:dyDescent="0.3">
      <c r="A3350" t="s">
        <v>145</v>
      </c>
      <c r="B3350" s="1">
        <v>44712</v>
      </c>
      <c r="C3350">
        <v>1</v>
      </c>
      <c r="D3350">
        <v>25.3</v>
      </c>
      <c r="E3350">
        <v>31</v>
      </c>
    </row>
    <row r="3351" spans="1:5" x14ac:dyDescent="0.3">
      <c r="A3351" t="s">
        <v>145</v>
      </c>
      <c r="B3351" s="1">
        <v>44712</v>
      </c>
      <c r="C3351">
        <v>1</v>
      </c>
      <c r="D3351">
        <v>25.3</v>
      </c>
      <c r="E3351">
        <v>31</v>
      </c>
    </row>
    <row r="3352" spans="1:5" x14ac:dyDescent="0.3">
      <c r="A3352" t="s">
        <v>145</v>
      </c>
      <c r="B3352" s="1">
        <v>44712</v>
      </c>
      <c r="C3352">
        <v>1</v>
      </c>
      <c r="D3352">
        <v>25.3</v>
      </c>
      <c r="E3352">
        <v>31</v>
      </c>
    </row>
    <row r="3353" spans="1:5" x14ac:dyDescent="0.3">
      <c r="A3353" t="s">
        <v>145</v>
      </c>
      <c r="B3353" s="1">
        <v>44712</v>
      </c>
      <c r="C3353">
        <v>1</v>
      </c>
      <c r="D3353">
        <v>25.3</v>
      </c>
      <c r="E3353">
        <v>31</v>
      </c>
    </row>
    <row r="3354" spans="1:5" x14ac:dyDescent="0.3">
      <c r="A3354" t="s">
        <v>145</v>
      </c>
      <c r="B3354" s="1">
        <v>44712</v>
      </c>
      <c r="C3354">
        <v>1</v>
      </c>
      <c r="D3354">
        <v>25.3</v>
      </c>
      <c r="E3354">
        <v>31</v>
      </c>
    </row>
    <row r="3355" spans="1:5" x14ac:dyDescent="0.3">
      <c r="A3355" t="s">
        <v>145</v>
      </c>
      <c r="B3355" s="1">
        <v>44712</v>
      </c>
      <c r="C3355">
        <v>1</v>
      </c>
      <c r="D3355">
        <v>25.3</v>
      </c>
      <c r="E3355">
        <v>31</v>
      </c>
    </row>
    <row r="3356" spans="1:5" x14ac:dyDescent="0.3">
      <c r="A3356" t="s">
        <v>145</v>
      </c>
      <c r="B3356" s="1">
        <v>44712</v>
      </c>
      <c r="C3356">
        <v>1</v>
      </c>
      <c r="D3356">
        <v>25.3</v>
      </c>
      <c r="E3356">
        <v>31</v>
      </c>
    </row>
    <row r="3357" spans="1:5" x14ac:dyDescent="0.3">
      <c r="A3357" t="s">
        <v>145</v>
      </c>
      <c r="B3357" s="1">
        <v>44712</v>
      </c>
      <c r="C3357">
        <v>1</v>
      </c>
      <c r="D3357">
        <v>25.3</v>
      </c>
      <c r="E3357">
        <v>31</v>
      </c>
    </row>
    <row r="3358" spans="1:5" x14ac:dyDescent="0.3">
      <c r="A3358" t="s">
        <v>145</v>
      </c>
      <c r="B3358" s="1">
        <v>44712</v>
      </c>
      <c r="C3358">
        <v>1</v>
      </c>
      <c r="D3358">
        <v>25.3</v>
      </c>
      <c r="E3358">
        <v>31</v>
      </c>
    </row>
    <row r="3359" spans="1:5" x14ac:dyDescent="0.3">
      <c r="A3359" t="s">
        <v>145</v>
      </c>
      <c r="B3359" s="1">
        <v>44712</v>
      </c>
      <c r="C3359">
        <v>1</v>
      </c>
      <c r="D3359">
        <v>25.3</v>
      </c>
      <c r="E3359">
        <v>31</v>
      </c>
    </row>
    <row r="3360" spans="1:5" x14ac:dyDescent="0.3">
      <c r="A3360" t="s">
        <v>145</v>
      </c>
      <c r="B3360" s="1">
        <v>44712</v>
      </c>
      <c r="C3360">
        <v>1</v>
      </c>
      <c r="D3360">
        <v>25.3</v>
      </c>
      <c r="E3360">
        <v>31</v>
      </c>
    </row>
    <row r="3361" spans="1:5" x14ac:dyDescent="0.3">
      <c r="A3361" t="s">
        <v>145</v>
      </c>
      <c r="B3361" s="1">
        <v>44712</v>
      </c>
      <c r="C3361">
        <v>1</v>
      </c>
      <c r="D3361">
        <v>25.3</v>
      </c>
      <c r="E3361">
        <v>31</v>
      </c>
    </row>
    <row r="3362" spans="1:5" x14ac:dyDescent="0.3">
      <c r="A3362" t="s">
        <v>145</v>
      </c>
      <c r="B3362" s="1">
        <v>44712</v>
      </c>
      <c r="C3362">
        <v>1</v>
      </c>
      <c r="D3362">
        <v>25.3</v>
      </c>
      <c r="E3362">
        <v>31</v>
      </c>
    </row>
    <row r="3363" spans="1:5" x14ac:dyDescent="0.3">
      <c r="A3363" t="s">
        <v>145</v>
      </c>
      <c r="B3363" s="1">
        <v>44712</v>
      </c>
      <c r="C3363">
        <v>1</v>
      </c>
      <c r="D3363">
        <v>25.3</v>
      </c>
      <c r="E3363">
        <v>31</v>
      </c>
    </row>
    <row r="3364" spans="1:5" x14ac:dyDescent="0.3">
      <c r="A3364" t="s">
        <v>145</v>
      </c>
      <c r="B3364" s="1">
        <v>44712</v>
      </c>
      <c r="C3364">
        <v>1</v>
      </c>
      <c r="D3364">
        <v>25.3</v>
      </c>
      <c r="E3364">
        <v>31</v>
      </c>
    </row>
    <row r="3365" spans="1:5" x14ac:dyDescent="0.3">
      <c r="A3365" t="s">
        <v>145</v>
      </c>
      <c r="B3365" s="1">
        <v>44712</v>
      </c>
      <c r="C3365">
        <v>1</v>
      </c>
      <c r="D3365">
        <v>25.3</v>
      </c>
      <c r="E3365">
        <v>31</v>
      </c>
    </row>
    <row r="3366" spans="1:5" x14ac:dyDescent="0.3">
      <c r="A3366" t="s">
        <v>145</v>
      </c>
      <c r="B3366" s="1">
        <v>44712</v>
      </c>
      <c r="C3366">
        <v>1</v>
      </c>
      <c r="D3366">
        <v>25.3</v>
      </c>
      <c r="E3366">
        <v>31</v>
      </c>
    </row>
    <row r="3367" spans="1:5" x14ac:dyDescent="0.3">
      <c r="A3367" t="s">
        <v>145</v>
      </c>
      <c r="B3367" s="1">
        <v>44712</v>
      </c>
      <c r="C3367">
        <v>1</v>
      </c>
      <c r="D3367">
        <v>25.3</v>
      </c>
      <c r="E3367">
        <v>31</v>
      </c>
    </row>
    <row r="3368" spans="1:5" x14ac:dyDescent="0.3">
      <c r="A3368" t="s">
        <v>145</v>
      </c>
      <c r="B3368" s="1">
        <v>44712</v>
      </c>
      <c r="C3368">
        <v>1</v>
      </c>
      <c r="D3368">
        <v>25.3</v>
      </c>
      <c r="E3368">
        <v>31</v>
      </c>
    </row>
    <row r="3369" spans="1:5" x14ac:dyDescent="0.3">
      <c r="A3369" t="s">
        <v>145</v>
      </c>
      <c r="B3369" s="1">
        <v>44712</v>
      </c>
      <c r="C3369">
        <v>1</v>
      </c>
      <c r="D3369">
        <v>25.3</v>
      </c>
      <c r="E3369">
        <v>31</v>
      </c>
    </row>
    <row r="3370" spans="1:5" x14ac:dyDescent="0.3">
      <c r="A3370" t="s">
        <v>145</v>
      </c>
      <c r="B3370" s="1">
        <v>44712</v>
      </c>
      <c r="C3370">
        <v>1</v>
      </c>
      <c r="D3370">
        <v>25.3</v>
      </c>
      <c r="E3370">
        <v>31</v>
      </c>
    </row>
    <row r="3371" spans="1:5" x14ac:dyDescent="0.3">
      <c r="A3371" t="s">
        <v>145</v>
      </c>
      <c r="B3371" s="1">
        <v>44712</v>
      </c>
      <c r="C3371">
        <v>1</v>
      </c>
      <c r="D3371">
        <v>25.3</v>
      </c>
      <c r="E3371">
        <v>31</v>
      </c>
    </row>
    <row r="3372" spans="1:5" x14ac:dyDescent="0.3">
      <c r="A3372" t="s">
        <v>145</v>
      </c>
      <c r="B3372" s="1">
        <v>44712</v>
      </c>
      <c r="C3372">
        <v>1</v>
      </c>
      <c r="D3372">
        <v>25.3</v>
      </c>
      <c r="E3372">
        <v>31</v>
      </c>
    </row>
    <row r="3373" spans="1:5" x14ac:dyDescent="0.3">
      <c r="A3373" t="s">
        <v>145</v>
      </c>
      <c r="B3373" s="1">
        <v>44712</v>
      </c>
      <c r="C3373">
        <v>1</v>
      </c>
      <c r="D3373">
        <v>25.3</v>
      </c>
      <c r="E3373">
        <v>31</v>
      </c>
    </row>
    <row r="3374" spans="1:5" x14ac:dyDescent="0.3">
      <c r="A3374" t="s">
        <v>145</v>
      </c>
      <c r="B3374" s="1">
        <v>44712</v>
      </c>
      <c r="C3374">
        <v>1</v>
      </c>
      <c r="D3374">
        <v>25.3</v>
      </c>
      <c r="E3374">
        <v>31</v>
      </c>
    </row>
    <row r="3375" spans="1:5" x14ac:dyDescent="0.3">
      <c r="A3375" t="s">
        <v>145</v>
      </c>
      <c r="B3375" s="1">
        <v>44712</v>
      </c>
      <c r="C3375">
        <v>1</v>
      </c>
      <c r="D3375">
        <v>25.3</v>
      </c>
      <c r="E3375">
        <v>31</v>
      </c>
    </row>
    <row r="3376" spans="1:5" x14ac:dyDescent="0.3">
      <c r="A3376" t="s">
        <v>145</v>
      </c>
      <c r="B3376" s="1">
        <v>44712</v>
      </c>
      <c r="C3376">
        <v>1</v>
      </c>
      <c r="D3376">
        <v>25.3</v>
      </c>
      <c r="E3376">
        <v>31</v>
      </c>
    </row>
    <row r="3377" spans="1:5" x14ac:dyDescent="0.3">
      <c r="A3377" t="s">
        <v>145</v>
      </c>
      <c r="B3377" s="1">
        <v>44712</v>
      </c>
      <c r="C3377">
        <v>1</v>
      </c>
      <c r="D3377">
        <v>25.3</v>
      </c>
      <c r="E3377">
        <v>31</v>
      </c>
    </row>
    <row r="3378" spans="1:5" x14ac:dyDescent="0.3">
      <c r="A3378" t="s">
        <v>145</v>
      </c>
      <c r="B3378" s="1">
        <v>44712</v>
      </c>
      <c r="C3378">
        <v>1</v>
      </c>
      <c r="D3378">
        <v>25.3</v>
      </c>
      <c r="E3378">
        <v>31</v>
      </c>
    </row>
    <row r="3379" spans="1:5" x14ac:dyDescent="0.3">
      <c r="A3379" t="s">
        <v>145</v>
      </c>
      <c r="B3379" s="1">
        <v>44712</v>
      </c>
      <c r="C3379">
        <v>1</v>
      </c>
      <c r="D3379">
        <v>25.3</v>
      </c>
      <c r="E3379">
        <v>31</v>
      </c>
    </row>
    <row r="3380" spans="1:5" x14ac:dyDescent="0.3">
      <c r="A3380" t="s">
        <v>145</v>
      </c>
      <c r="B3380" s="1">
        <v>44712</v>
      </c>
      <c r="C3380">
        <v>1</v>
      </c>
      <c r="D3380">
        <v>25.3</v>
      </c>
      <c r="E3380">
        <v>31</v>
      </c>
    </row>
    <row r="3381" spans="1:5" x14ac:dyDescent="0.3">
      <c r="A3381" t="s">
        <v>145</v>
      </c>
      <c r="B3381" s="1">
        <v>44712</v>
      </c>
      <c r="C3381">
        <v>1</v>
      </c>
      <c r="D3381">
        <v>25.3</v>
      </c>
      <c r="E3381">
        <v>31</v>
      </c>
    </row>
    <row r="3382" spans="1:5" x14ac:dyDescent="0.3">
      <c r="A3382" t="s">
        <v>145</v>
      </c>
      <c r="B3382" s="1">
        <v>44712</v>
      </c>
      <c r="C3382">
        <v>1</v>
      </c>
      <c r="D3382">
        <v>25.3</v>
      </c>
      <c r="E3382">
        <v>31</v>
      </c>
    </row>
    <row r="3383" spans="1:5" x14ac:dyDescent="0.3">
      <c r="A3383" t="s">
        <v>23</v>
      </c>
      <c r="B3383" s="1">
        <v>44712</v>
      </c>
      <c r="C3383">
        <v>1</v>
      </c>
      <c r="D3383">
        <v>109.41</v>
      </c>
      <c r="E3383">
        <v>123</v>
      </c>
    </row>
    <row r="3384" spans="1:5" x14ac:dyDescent="0.3">
      <c r="A3384" t="s">
        <v>91</v>
      </c>
      <c r="B3384" s="1">
        <v>44712</v>
      </c>
      <c r="C3384">
        <v>1</v>
      </c>
      <c r="D3384">
        <v>34.65</v>
      </c>
      <c r="E3384">
        <v>57</v>
      </c>
    </row>
    <row r="3385" spans="1:5" x14ac:dyDescent="0.3">
      <c r="A3385" t="s">
        <v>57</v>
      </c>
      <c r="B3385" s="1">
        <v>44712</v>
      </c>
      <c r="C3385">
        <v>1</v>
      </c>
      <c r="D3385">
        <v>230.46</v>
      </c>
      <c r="E3385">
        <v>270</v>
      </c>
    </row>
    <row r="3386" spans="1:5" x14ac:dyDescent="0.3">
      <c r="A3386" t="s">
        <v>55</v>
      </c>
      <c r="B3386" s="1">
        <v>44712</v>
      </c>
      <c r="C3386">
        <v>1</v>
      </c>
      <c r="D3386">
        <v>77.78</v>
      </c>
      <c r="E3386">
        <v>97</v>
      </c>
    </row>
    <row r="3387" spans="1:5" x14ac:dyDescent="0.3">
      <c r="A3387" t="s">
        <v>55</v>
      </c>
      <c r="B3387" s="1">
        <v>44712</v>
      </c>
      <c r="C3387">
        <v>1</v>
      </c>
      <c r="D3387">
        <v>77.510000000000005</v>
      </c>
      <c r="E3387">
        <v>97</v>
      </c>
    </row>
    <row r="3388" spans="1:5" x14ac:dyDescent="0.3">
      <c r="A3388" t="s">
        <v>55</v>
      </c>
      <c r="B3388" s="1">
        <v>44712</v>
      </c>
      <c r="C3388">
        <v>1</v>
      </c>
      <c r="D3388">
        <v>77.510000000000005</v>
      </c>
      <c r="E3388">
        <v>97</v>
      </c>
    </row>
    <row r="3389" spans="1:5" x14ac:dyDescent="0.3">
      <c r="A3389" t="s">
        <v>93</v>
      </c>
      <c r="B3389" s="1">
        <v>44712</v>
      </c>
      <c r="C3389">
        <v>1</v>
      </c>
      <c r="D3389">
        <v>71.05</v>
      </c>
      <c r="E3389">
        <v>101</v>
      </c>
    </row>
    <row r="3390" spans="1:5" x14ac:dyDescent="0.3">
      <c r="A3390" t="s">
        <v>65</v>
      </c>
      <c r="B3390" s="1">
        <v>44712</v>
      </c>
      <c r="C3390">
        <v>1</v>
      </c>
      <c r="D3390">
        <v>184.45</v>
      </c>
      <c r="E3390">
        <v>235</v>
      </c>
    </row>
    <row r="3391" spans="1:5" x14ac:dyDescent="0.3">
      <c r="A3391" t="s">
        <v>132</v>
      </c>
      <c r="B3391" s="1">
        <v>44712</v>
      </c>
      <c r="C3391">
        <v>1</v>
      </c>
      <c r="D3391">
        <v>58.53</v>
      </c>
      <c r="E3391">
        <v>87</v>
      </c>
    </row>
    <row r="3392" spans="1:5" x14ac:dyDescent="0.3">
      <c r="A3392" t="s">
        <v>42</v>
      </c>
      <c r="B3392" s="1">
        <v>44712</v>
      </c>
      <c r="C3392">
        <v>1</v>
      </c>
      <c r="D3392">
        <v>580.15</v>
      </c>
      <c r="E3392">
        <v>668</v>
      </c>
    </row>
    <row r="3393" spans="1:5" x14ac:dyDescent="0.3">
      <c r="A3393" t="s">
        <v>46</v>
      </c>
      <c r="B3393" s="1">
        <v>44712</v>
      </c>
      <c r="C3393">
        <v>1</v>
      </c>
      <c r="D3393">
        <v>19.7</v>
      </c>
      <c r="E3393">
        <v>24</v>
      </c>
    </row>
    <row r="3394" spans="1:5" x14ac:dyDescent="0.3">
      <c r="A3394" t="s">
        <v>46</v>
      </c>
      <c r="B3394" s="1">
        <v>44712</v>
      </c>
      <c r="C3394">
        <v>1</v>
      </c>
      <c r="D3394">
        <v>19.7</v>
      </c>
      <c r="E3394">
        <v>24</v>
      </c>
    </row>
    <row r="3395" spans="1:5" x14ac:dyDescent="0.3">
      <c r="A3395" t="s">
        <v>98</v>
      </c>
      <c r="B3395" s="1">
        <v>44712</v>
      </c>
      <c r="C3395">
        <v>1</v>
      </c>
      <c r="D3395">
        <v>111.48</v>
      </c>
      <c r="E3395">
        <v>134</v>
      </c>
    </row>
    <row r="3396" spans="1:5" x14ac:dyDescent="0.3">
      <c r="A3396" t="s">
        <v>54</v>
      </c>
      <c r="B3396" s="1">
        <v>44712</v>
      </c>
      <c r="C3396">
        <v>1</v>
      </c>
      <c r="D3396">
        <v>731.05</v>
      </c>
      <c r="E3396">
        <v>944</v>
      </c>
    </row>
    <row r="3397" spans="1:5" x14ac:dyDescent="0.3">
      <c r="A3397" t="s">
        <v>22</v>
      </c>
      <c r="B3397" s="1">
        <v>44712</v>
      </c>
      <c r="C3397">
        <v>1</v>
      </c>
      <c r="D3397">
        <v>30.3</v>
      </c>
      <c r="E3397">
        <v>49</v>
      </c>
    </row>
    <row r="3398" spans="1:5" x14ac:dyDescent="0.3">
      <c r="A3398" t="s">
        <v>50</v>
      </c>
      <c r="B3398" s="1">
        <v>44712</v>
      </c>
      <c r="C3398">
        <v>1</v>
      </c>
      <c r="D3398">
        <v>43.86</v>
      </c>
      <c r="E3398">
        <v>56</v>
      </c>
    </row>
    <row r="3399" spans="1:5" x14ac:dyDescent="0.3">
      <c r="A3399" t="s">
        <v>127</v>
      </c>
      <c r="B3399" s="1">
        <v>44712</v>
      </c>
      <c r="C3399">
        <v>1</v>
      </c>
      <c r="D3399">
        <v>119.39</v>
      </c>
      <c r="E3399">
        <v>164</v>
      </c>
    </row>
    <row r="3400" spans="1:5" x14ac:dyDescent="0.3">
      <c r="A3400" t="s">
        <v>7</v>
      </c>
      <c r="B3400" s="1">
        <v>44712</v>
      </c>
      <c r="C3400">
        <v>1</v>
      </c>
      <c r="D3400">
        <v>88.73</v>
      </c>
      <c r="E3400">
        <v>104</v>
      </c>
    </row>
    <row r="3401" spans="1:5" x14ac:dyDescent="0.3">
      <c r="A3401" t="s">
        <v>19</v>
      </c>
      <c r="B3401" s="1">
        <v>44712</v>
      </c>
      <c r="C3401">
        <v>1</v>
      </c>
      <c r="D3401">
        <v>82.34</v>
      </c>
      <c r="E3401">
        <v>103</v>
      </c>
    </row>
    <row r="3402" spans="1:5" x14ac:dyDescent="0.3">
      <c r="A3402" t="s">
        <v>112</v>
      </c>
      <c r="B3402" s="1">
        <v>44712</v>
      </c>
      <c r="C3402">
        <v>1</v>
      </c>
      <c r="D3402">
        <v>281.47000000000003</v>
      </c>
      <c r="E3402">
        <v>334</v>
      </c>
    </row>
    <row r="3403" spans="1:5" x14ac:dyDescent="0.3">
      <c r="A3403" t="s">
        <v>20</v>
      </c>
      <c r="B3403" s="1">
        <v>44712</v>
      </c>
      <c r="C3403">
        <v>1</v>
      </c>
      <c r="D3403">
        <v>21.04</v>
      </c>
      <c r="E3403">
        <v>28</v>
      </c>
    </row>
    <row r="3404" spans="1:5" x14ac:dyDescent="0.3">
      <c r="A3404" t="s">
        <v>20</v>
      </c>
      <c r="B3404" s="1">
        <v>44712</v>
      </c>
      <c r="C3404">
        <v>1</v>
      </c>
      <c r="D3404">
        <v>21.04</v>
      </c>
      <c r="E3404">
        <v>28</v>
      </c>
    </row>
    <row r="3405" spans="1:5" x14ac:dyDescent="0.3">
      <c r="A3405" t="s">
        <v>14</v>
      </c>
      <c r="B3405" s="1">
        <v>44712</v>
      </c>
      <c r="C3405">
        <v>0.2</v>
      </c>
      <c r="D3405">
        <v>501.97</v>
      </c>
      <c r="E3405">
        <v>628</v>
      </c>
    </row>
    <row r="3406" spans="1:5" x14ac:dyDescent="0.3">
      <c r="A3406" t="s">
        <v>65</v>
      </c>
      <c r="B3406" s="1">
        <v>44712</v>
      </c>
      <c r="C3406">
        <v>1</v>
      </c>
      <c r="D3406">
        <v>187.95</v>
      </c>
      <c r="E3406">
        <v>220</v>
      </c>
    </row>
    <row r="3407" spans="1:5" x14ac:dyDescent="0.3">
      <c r="A3407" t="s">
        <v>45</v>
      </c>
      <c r="B3407" s="1">
        <v>44712</v>
      </c>
      <c r="C3407">
        <v>2</v>
      </c>
      <c r="D3407">
        <v>33.07</v>
      </c>
      <c r="E3407">
        <v>54</v>
      </c>
    </row>
    <row r="3408" spans="1:5" x14ac:dyDescent="0.3">
      <c r="A3408" t="s">
        <v>48</v>
      </c>
      <c r="B3408" s="1">
        <v>44712</v>
      </c>
      <c r="C3408">
        <v>1</v>
      </c>
      <c r="D3408">
        <v>41.43</v>
      </c>
      <c r="E3408">
        <v>66</v>
      </c>
    </row>
    <row r="3409" spans="1:5" x14ac:dyDescent="0.3">
      <c r="A3409" t="s">
        <v>48</v>
      </c>
      <c r="B3409" s="1">
        <v>44712</v>
      </c>
      <c r="C3409">
        <v>1</v>
      </c>
      <c r="D3409">
        <v>41.43</v>
      </c>
      <c r="E3409">
        <v>66</v>
      </c>
    </row>
    <row r="3410" spans="1:5" x14ac:dyDescent="0.3">
      <c r="A3410" t="s">
        <v>62</v>
      </c>
      <c r="B3410" s="1">
        <v>44712</v>
      </c>
      <c r="C3410">
        <v>1</v>
      </c>
      <c r="D3410">
        <v>25.15</v>
      </c>
      <c r="E3410">
        <v>30</v>
      </c>
    </row>
    <row r="3411" spans="1:5" x14ac:dyDescent="0.3">
      <c r="A3411" t="s">
        <v>62</v>
      </c>
      <c r="B3411" s="1">
        <v>44712</v>
      </c>
      <c r="C3411">
        <v>1</v>
      </c>
      <c r="D3411">
        <v>25.15</v>
      </c>
      <c r="E3411">
        <v>30</v>
      </c>
    </row>
    <row r="3412" spans="1:5" x14ac:dyDescent="0.3">
      <c r="A3412" t="s">
        <v>51</v>
      </c>
      <c r="B3412" s="1">
        <v>44712</v>
      </c>
      <c r="C3412">
        <v>8</v>
      </c>
      <c r="D3412">
        <v>2.0099999999999998</v>
      </c>
      <c r="E3412">
        <v>4</v>
      </c>
    </row>
    <row r="3413" spans="1:5" x14ac:dyDescent="0.3">
      <c r="A3413" t="s">
        <v>102</v>
      </c>
      <c r="B3413" s="1">
        <v>44712</v>
      </c>
      <c r="C3413">
        <v>1</v>
      </c>
      <c r="D3413">
        <v>26.59</v>
      </c>
      <c r="E3413">
        <v>33</v>
      </c>
    </row>
    <row r="3414" spans="1:5" x14ac:dyDescent="0.3">
      <c r="A3414" t="s">
        <v>102</v>
      </c>
      <c r="B3414" s="1">
        <v>44712</v>
      </c>
      <c r="C3414">
        <v>1</v>
      </c>
      <c r="D3414">
        <v>26.59</v>
      </c>
      <c r="E3414">
        <v>33</v>
      </c>
    </row>
    <row r="3415" spans="1:5" x14ac:dyDescent="0.3">
      <c r="A3415" t="s">
        <v>102</v>
      </c>
      <c r="B3415" s="1">
        <v>44712</v>
      </c>
      <c r="C3415">
        <v>1</v>
      </c>
      <c r="D3415">
        <v>26.59</v>
      </c>
      <c r="E3415">
        <v>33</v>
      </c>
    </row>
    <row r="3416" spans="1:5" x14ac:dyDescent="0.3">
      <c r="A3416" t="s">
        <v>90</v>
      </c>
      <c r="B3416" s="1">
        <v>44712</v>
      </c>
      <c r="C3416">
        <v>1</v>
      </c>
      <c r="D3416">
        <v>404.95</v>
      </c>
      <c r="E3416">
        <v>499</v>
      </c>
    </row>
    <row r="3417" spans="1:5" x14ac:dyDescent="0.3">
      <c r="A3417" t="s">
        <v>70</v>
      </c>
      <c r="B3417" s="1">
        <v>44712</v>
      </c>
      <c r="C3417">
        <v>1</v>
      </c>
      <c r="D3417">
        <v>165.32</v>
      </c>
      <c r="E3417">
        <v>199</v>
      </c>
    </row>
    <row r="3418" spans="1:5" x14ac:dyDescent="0.3">
      <c r="A3418" t="s">
        <v>23</v>
      </c>
      <c r="B3418" s="1">
        <v>44712</v>
      </c>
      <c r="C3418">
        <v>1</v>
      </c>
      <c r="D3418">
        <v>109.41</v>
      </c>
      <c r="E3418">
        <v>123</v>
      </c>
    </row>
    <row r="3419" spans="1:5" x14ac:dyDescent="0.3">
      <c r="A3419" t="s">
        <v>18</v>
      </c>
      <c r="B3419" s="1">
        <v>44712</v>
      </c>
      <c r="C3419">
        <v>1</v>
      </c>
      <c r="D3419">
        <v>46</v>
      </c>
      <c r="E3419">
        <v>70</v>
      </c>
    </row>
    <row r="3420" spans="1:5" x14ac:dyDescent="0.3">
      <c r="A3420" t="s">
        <v>96</v>
      </c>
      <c r="B3420" s="1">
        <v>44712</v>
      </c>
      <c r="C3420">
        <v>1</v>
      </c>
      <c r="D3420">
        <v>71.650000000000006</v>
      </c>
      <c r="E3420">
        <v>107</v>
      </c>
    </row>
    <row r="3421" spans="1:5" x14ac:dyDescent="0.3">
      <c r="A3421" t="s">
        <v>56</v>
      </c>
      <c r="B3421" s="1">
        <v>44712</v>
      </c>
      <c r="C3421">
        <v>1</v>
      </c>
      <c r="D3421">
        <v>44.56</v>
      </c>
      <c r="E3421">
        <v>68</v>
      </c>
    </row>
    <row r="3422" spans="1:5" x14ac:dyDescent="0.3">
      <c r="A3422" t="s">
        <v>25</v>
      </c>
      <c r="B3422" s="1">
        <v>44712</v>
      </c>
      <c r="C3422">
        <v>1</v>
      </c>
      <c r="D3422">
        <v>147.18</v>
      </c>
      <c r="E3422">
        <v>180</v>
      </c>
    </row>
    <row r="3423" spans="1:5" x14ac:dyDescent="0.3">
      <c r="A3423" t="s">
        <v>65</v>
      </c>
      <c r="B3423" s="1">
        <v>44712</v>
      </c>
      <c r="C3423">
        <v>1</v>
      </c>
      <c r="D3423">
        <v>185.57</v>
      </c>
      <c r="E3423">
        <v>236</v>
      </c>
    </row>
    <row r="3424" spans="1:5" x14ac:dyDescent="0.3">
      <c r="A3424" t="s">
        <v>132</v>
      </c>
      <c r="B3424" s="1">
        <v>44712</v>
      </c>
      <c r="C3424">
        <v>1</v>
      </c>
      <c r="D3424">
        <v>59.75</v>
      </c>
      <c r="E3424">
        <v>85</v>
      </c>
    </row>
    <row r="3425" spans="1:5" x14ac:dyDescent="0.3">
      <c r="A3425" t="s">
        <v>36</v>
      </c>
      <c r="B3425" s="1">
        <v>44712</v>
      </c>
      <c r="C3425">
        <v>1</v>
      </c>
      <c r="D3425">
        <v>22.03</v>
      </c>
      <c r="E3425">
        <v>28</v>
      </c>
    </row>
    <row r="3426" spans="1:5" x14ac:dyDescent="0.3">
      <c r="A3426" t="s">
        <v>36</v>
      </c>
      <c r="B3426" s="1">
        <v>44712</v>
      </c>
      <c r="C3426">
        <v>1</v>
      </c>
      <c r="D3426">
        <v>22.03</v>
      </c>
      <c r="E3426">
        <v>28</v>
      </c>
    </row>
    <row r="3427" spans="1:5" x14ac:dyDescent="0.3">
      <c r="A3427" t="s">
        <v>36</v>
      </c>
      <c r="B3427" s="1">
        <v>44712</v>
      </c>
      <c r="C3427">
        <v>1</v>
      </c>
      <c r="D3427">
        <v>22.03</v>
      </c>
      <c r="E3427">
        <v>28</v>
      </c>
    </row>
    <row r="3428" spans="1:5" x14ac:dyDescent="0.3">
      <c r="A3428" t="s">
        <v>44</v>
      </c>
      <c r="B3428" s="1">
        <v>44712</v>
      </c>
      <c r="C3428">
        <v>1</v>
      </c>
      <c r="D3428">
        <v>65.010000000000005</v>
      </c>
      <c r="E3428">
        <v>101</v>
      </c>
    </row>
    <row r="3429" spans="1:5" x14ac:dyDescent="0.3">
      <c r="A3429" t="s">
        <v>137</v>
      </c>
      <c r="B3429" s="1">
        <v>44712</v>
      </c>
      <c r="C3429">
        <v>1</v>
      </c>
      <c r="D3429">
        <v>6.4</v>
      </c>
      <c r="E3429">
        <v>11</v>
      </c>
    </row>
    <row r="3430" spans="1:5" x14ac:dyDescent="0.3">
      <c r="A3430" t="s">
        <v>114</v>
      </c>
      <c r="B3430" s="1">
        <v>44712</v>
      </c>
      <c r="C3430">
        <v>1</v>
      </c>
      <c r="D3430">
        <v>74.36</v>
      </c>
      <c r="E3430">
        <v>91</v>
      </c>
    </row>
    <row r="3431" spans="1:5" x14ac:dyDescent="0.3">
      <c r="A3431" t="s">
        <v>24</v>
      </c>
      <c r="B3431" s="1">
        <v>44712</v>
      </c>
      <c r="C3431">
        <v>1</v>
      </c>
      <c r="D3431">
        <v>103.46</v>
      </c>
      <c r="E3431">
        <v>121</v>
      </c>
    </row>
    <row r="3432" spans="1:5" x14ac:dyDescent="0.3">
      <c r="A3432" t="s">
        <v>39</v>
      </c>
      <c r="B3432" s="1">
        <v>44712</v>
      </c>
      <c r="C3432">
        <v>5</v>
      </c>
      <c r="D3432">
        <v>11.72</v>
      </c>
      <c r="E3432">
        <v>19</v>
      </c>
    </row>
    <row r="3433" spans="1:5" x14ac:dyDescent="0.3">
      <c r="A3433" t="s">
        <v>23</v>
      </c>
      <c r="B3433" s="1">
        <v>44712</v>
      </c>
      <c r="C3433">
        <v>1</v>
      </c>
      <c r="D3433">
        <v>110.21</v>
      </c>
      <c r="E3433">
        <v>124</v>
      </c>
    </row>
    <row r="3434" spans="1:5" x14ac:dyDescent="0.3">
      <c r="A3434" t="s">
        <v>64</v>
      </c>
      <c r="B3434" s="1">
        <v>44712</v>
      </c>
      <c r="C3434">
        <v>1</v>
      </c>
      <c r="D3434">
        <v>198.66</v>
      </c>
      <c r="E3434">
        <v>273</v>
      </c>
    </row>
    <row r="3435" spans="1:5" x14ac:dyDescent="0.3">
      <c r="A3435" t="s">
        <v>28</v>
      </c>
      <c r="B3435" s="1">
        <v>44712</v>
      </c>
      <c r="C3435">
        <v>1</v>
      </c>
      <c r="D3435">
        <v>148.91</v>
      </c>
      <c r="E3435">
        <v>204</v>
      </c>
    </row>
    <row r="3436" spans="1:5" x14ac:dyDescent="0.3">
      <c r="A3436" t="s">
        <v>25</v>
      </c>
      <c r="B3436" s="1">
        <v>44712</v>
      </c>
      <c r="C3436">
        <v>1</v>
      </c>
      <c r="D3436">
        <v>147.18</v>
      </c>
      <c r="E3436">
        <v>176</v>
      </c>
    </row>
    <row r="3437" spans="1:5" x14ac:dyDescent="0.3">
      <c r="A3437" t="s">
        <v>122</v>
      </c>
      <c r="B3437" s="1">
        <v>44712</v>
      </c>
      <c r="C3437">
        <v>1</v>
      </c>
      <c r="D3437">
        <v>20.91</v>
      </c>
      <c r="E3437">
        <v>26</v>
      </c>
    </row>
    <row r="3438" spans="1:5" x14ac:dyDescent="0.3">
      <c r="A3438" t="s">
        <v>62</v>
      </c>
      <c r="B3438" s="1">
        <v>44712</v>
      </c>
      <c r="C3438">
        <v>1</v>
      </c>
      <c r="D3438">
        <v>25.29</v>
      </c>
      <c r="E3438">
        <v>30</v>
      </c>
    </row>
    <row r="3439" spans="1:5" x14ac:dyDescent="0.3">
      <c r="A3439" t="s">
        <v>95</v>
      </c>
      <c r="B3439" s="1">
        <v>44712</v>
      </c>
      <c r="C3439">
        <v>1</v>
      </c>
      <c r="D3439">
        <v>131.07</v>
      </c>
      <c r="E3439">
        <v>206</v>
      </c>
    </row>
    <row r="3440" spans="1:5" x14ac:dyDescent="0.3">
      <c r="A3440" t="s">
        <v>124</v>
      </c>
      <c r="B3440" s="1">
        <v>44712</v>
      </c>
      <c r="C3440">
        <v>1</v>
      </c>
      <c r="D3440">
        <v>42.47</v>
      </c>
      <c r="E3440">
        <v>69</v>
      </c>
    </row>
    <row r="3441" spans="1:5" x14ac:dyDescent="0.3">
      <c r="A3441" t="s">
        <v>50</v>
      </c>
      <c r="B3441" s="1">
        <v>44712</v>
      </c>
      <c r="C3441">
        <v>1</v>
      </c>
      <c r="D3441">
        <v>45.74</v>
      </c>
      <c r="E3441">
        <v>56</v>
      </c>
    </row>
    <row r="3442" spans="1:5" x14ac:dyDescent="0.3">
      <c r="A3442" t="s">
        <v>93</v>
      </c>
      <c r="B3442" s="1">
        <v>44712</v>
      </c>
      <c r="C3442">
        <v>1</v>
      </c>
      <c r="D3442">
        <v>71.05</v>
      </c>
      <c r="E3442">
        <v>101</v>
      </c>
    </row>
    <row r="3443" spans="1:5" x14ac:dyDescent="0.3">
      <c r="A3443" t="s">
        <v>30</v>
      </c>
      <c r="B3443" s="1">
        <v>44712</v>
      </c>
      <c r="C3443">
        <v>1</v>
      </c>
      <c r="D3443">
        <v>156.19999999999999</v>
      </c>
      <c r="E3443">
        <v>186</v>
      </c>
    </row>
    <row r="3444" spans="1:5" x14ac:dyDescent="0.3">
      <c r="A3444" t="s">
        <v>47</v>
      </c>
      <c r="B3444" s="1">
        <v>44712</v>
      </c>
      <c r="C3444">
        <v>1</v>
      </c>
      <c r="D3444">
        <v>43</v>
      </c>
      <c r="E3444">
        <v>68</v>
      </c>
    </row>
    <row r="3445" spans="1:5" x14ac:dyDescent="0.3">
      <c r="A3445" t="s">
        <v>122</v>
      </c>
      <c r="B3445" s="1">
        <v>44712</v>
      </c>
      <c r="C3445">
        <v>1</v>
      </c>
      <c r="D3445">
        <v>21.26</v>
      </c>
      <c r="E3445">
        <v>26</v>
      </c>
    </row>
    <row r="3446" spans="1:5" x14ac:dyDescent="0.3">
      <c r="A3446" t="s">
        <v>135</v>
      </c>
      <c r="B3446" s="1">
        <v>44712</v>
      </c>
      <c r="C3446">
        <v>1</v>
      </c>
      <c r="D3446">
        <v>72.31</v>
      </c>
      <c r="E3446">
        <v>90</v>
      </c>
    </row>
    <row r="3447" spans="1:5" x14ac:dyDescent="0.3">
      <c r="A3447" t="s">
        <v>135</v>
      </c>
      <c r="B3447" s="1">
        <v>44712</v>
      </c>
      <c r="C3447">
        <v>1</v>
      </c>
      <c r="D3447">
        <v>73.48</v>
      </c>
      <c r="E3447">
        <v>91</v>
      </c>
    </row>
    <row r="3448" spans="1:5" x14ac:dyDescent="0.3">
      <c r="A3448" t="s">
        <v>36</v>
      </c>
      <c r="B3448" s="1">
        <v>44712</v>
      </c>
      <c r="C3448">
        <v>1</v>
      </c>
      <c r="D3448">
        <v>22.05</v>
      </c>
      <c r="E3448">
        <v>28</v>
      </c>
    </row>
    <row r="3449" spans="1:5" x14ac:dyDescent="0.3">
      <c r="A3449" t="s">
        <v>36</v>
      </c>
      <c r="B3449" s="1">
        <v>44712</v>
      </c>
      <c r="C3449">
        <v>1</v>
      </c>
      <c r="D3449">
        <v>22.05</v>
      </c>
      <c r="E3449">
        <v>28</v>
      </c>
    </row>
    <row r="3450" spans="1:5" x14ac:dyDescent="0.3">
      <c r="A3450" t="s">
        <v>36</v>
      </c>
      <c r="B3450" s="1">
        <v>44712</v>
      </c>
      <c r="C3450">
        <v>1</v>
      </c>
      <c r="D3450">
        <v>22.05</v>
      </c>
      <c r="E3450">
        <v>28</v>
      </c>
    </row>
    <row r="3451" spans="1:5" x14ac:dyDescent="0.3">
      <c r="A3451" t="s">
        <v>36</v>
      </c>
      <c r="B3451" s="1">
        <v>44712</v>
      </c>
      <c r="C3451">
        <v>1</v>
      </c>
      <c r="D3451">
        <v>22.05</v>
      </c>
      <c r="E3451">
        <v>28</v>
      </c>
    </row>
    <row r="3452" spans="1:5" x14ac:dyDescent="0.3">
      <c r="A3452" t="s">
        <v>36</v>
      </c>
      <c r="B3452" s="1">
        <v>44712</v>
      </c>
      <c r="C3452">
        <v>1</v>
      </c>
      <c r="D3452">
        <v>22.05</v>
      </c>
      <c r="E3452">
        <v>28</v>
      </c>
    </row>
    <row r="3453" spans="1:5" x14ac:dyDescent="0.3">
      <c r="A3453" t="s">
        <v>36</v>
      </c>
      <c r="B3453" s="1">
        <v>44712</v>
      </c>
      <c r="C3453">
        <v>1</v>
      </c>
      <c r="D3453">
        <v>22.05</v>
      </c>
      <c r="E3453">
        <v>28</v>
      </c>
    </row>
    <row r="3454" spans="1:5" x14ac:dyDescent="0.3">
      <c r="A3454" t="s">
        <v>20</v>
      </c>
      <c r="B3454" s="1">
        <v>44712</v>
      </c>
      <c r="C3454">
        <v>1</v>
      </c>
      <c r="D3454">
        <v>21.04</v>
      </c>
      <c r="E3454">
        <v>28</v>
      </c>
    </row>
    <row r="3455" spans="1:5" x14ac:dyDescent="0.3">
      <c r="A3455" t="s">
        <v>20</v>
      </c>
      <c r="B3455" s="1">
        <v>44712</v>
      </c>
      <c r="C3455">
        <v>1</v>
      </c>
      <c r="D3455">
        <v>21.04</v>
      </c>
      <c r="E3455">
        <v>28</v>
      </c>
    </row>
    <row r="3456" spans="1:5" x14ac:dyDescent="0.3">
      <c r="A3456" t="s">
        <v>59</v>
      </c>
      <c r="B3456" s="1">
        <v>44711</v>
      </c>
      <c r="C3456">
        <v>1</v>
      </c>
      <c r="D3456">
        <v>14.55</v>
      </c>
      <c r="E3456">
        <v>24</v>
      </c>
    </row>
    <row r="3457" spans="1:5" x14ac:dyDescent="0.3">
      <c r="A3457" t="s">
        <v>24</v>
      </c>
      <c r="B3457" s="1">
        <v>44711</v>
      </c>
      <c r="C3457">
        <v>1</v>
      </c>
      <c r="D3457">
        <v>103.46</v>
      </c>
      <c r="E3457">
        <v>121</v>
      </c>
    </row>
    <row r="3458" spans="1:5" x14ac:dyDescent="0.3">
      <c r="A3458" t="s">
        <v>64</v>
      </c>
      <c r="B3458" s="1">
        <v>44711</v>
      </c>
      <c r="C3458">
        <v>1</v>
      </c>
      <c r="D3458">
        <v>202.51</v>
      </c>
      <c r="E3458">
        <v>270</v>
      </c>
    </row>
    <row r="3459" spans="1:5" x14ac:dyDescent="0.3">
      <c r="A3459" t="s">
        <v>35</v>
      </c>
      <c r="B3459" s="1">
        <v>44711</v>
      </c>
      <c r="C3459">
        <v>1</v>
      </c>
      <c r="D3459">
        <v>35</v>
      </c>
      <c r="E3459">
        <v>55</v>
      </c>
    </row>
    <row r="3460" spans="1:5" x14ac:dyDescent="0.3">
      <c r="A3460" t="s">
        <v>122</v>
      </c>
      <c r="B3460" s="1">
        <v>44711</v>
      </c>
      <c r="C3460">
        <v>1</v>
      </c>
      <c r="D3460">
        <v>20.86</v>
      </c>
      <c r="E3460">
        <v>26</v>
      </c>
    </row>
    <row r="3461" spans="1:5" x14ac:dyDescent="0.3">
      <c r="A3461" t="s">
        <v>73</v>
      </c>
      <c r="B3461" s="1">
        <v>44711</v>
      </c>
      <c r="C3461">
        <v>1</v>
      </c>
      <c r="D3461">
        <v>8.07</v>
      </c>
      <c r="E3461">
        <v>14</v>
      </c>
    </row>
    <row r="3462" spans="1:5" x14ac:dyDescent="0.3">
      <c r="A3462" t="s">
        <v>100</v>
      </c>
      <c r="B3462" s="1">
        <v>44711</v>
      </c>
      <c r="C3462">
        <v>1</v>
      </c>
      <c r="D3462">
        <v>36.99</v>
      </c>
      <c r="E3462">
        <v>57</v>
      </c>
    </row>
    <row r="3463" spans="1:5" x14ac:dyDescent="0.3">
      <c r="A3463" t="s">
        <v>25</v>
      </c>
      <c r="B3463" s="1">
        <v>44711</v>
      </c>
      <c r="C3463">
        <v>1</v>
      </c>
      <c r="D3463">
        <v>147.18</v>
      </c>
      <c r="E3463">
        <v>176</v>
      </c>
    </row>
    <row r="3464" spans="1:5" x14ac:dyDescent="0.3">
      <c r="A3464" t="s">
        <v>128</v>
      </c>
      <c r="B3464" s="1">
        <v>44711</v>
      </c>
      <c r="C3464">
        <v>1</v>
      </c>
      <c r="D3464">
        <v>269.2</v>
      </c>
      <c r="E3464">
        <v>359</v>
      </c>
    </row>
    <row r="3465" spans="1:5" x14ac:dyDescent="0.3">
      <c r="A3465" t="s">
        <v>127</v>
      </c>
      <c r="B3465" s="1">
        <v>44711</v>
      </c>
      <c r="C3465">
        <v>1</v>
      </c>
      <c r="D3465">
        <v>119.8</v>
      </c>
      <c r="E3465">
        <v>165</v>
      </c>
    </row>
    <row r="3466" spans="1:5" x14ac:dyDescent="0.3">
      <c r="A3466" t="s">
        <v>82</v>
      </c>
      <c r="B3466" s="1">
        <v>44711</v>
      </c>
      <c r="C3466">
        <v>1</v>
      </c>
      <c r="D3466">
        <v>35.83</v>
      </c>
      <c r="E3466">
        <v>45</v>
      </c>
    </row>
    <row r="3467" spans="1:5" x14ac:dyDescent="0.3">
      <c r="A3467" t="s">
        <v>38</v>
      </c>
      <c r="B3467" s="1">
        <v>44711</v>
      </c>
      <c r="C3467">
        <v>1</v>
      </c>
      <c r="D3467">
        <v>28.91</v>
      </c>
      <c r="E3467">
        <v>45</v>
      </c>
    </row>
    <row r="3468" spans="1:5" x14ac:dyDescent="0.3">
      <c r="A3468" t="s">
        <v>99</v>
      </c>
      <c r="B3468" s="1">
        <v>44711</v>
      </c>
      <c r="C3468">
        <v>1</v>
      </c>
      <c r="D3468">
        <v>64.25</v>
      </c>
      <c r="E3468">
        <v>76</v>
      </c>
    </row>
    <row r="3469" spans="1:5" x14ac:dyDescent="0.3">
      <c r="A3469" t="s">
        <v>78</v>
      </c>
      <c r="B3469" s="1">
        <v>44711</v>
      </c>
      <c r="C3469">
        <v>1</v>
      </c>
      <c r="D3469">
        <v>66.77</v>
      </c>
      <c r="E3469">
        <v>85</v>
      </c>
    </row>
    <row r="3470" spans="1:5" x14ac:dyDescent="0.3">
      <c r="A3470" t="s">
        <v>19</v>
      </c>
      <c r="B3470" s="1">
        <v>44711</v>
      </c>
      <c r="C3470">
        <v>1</v>
      </c>
      <c r="D3470">
        <v>81.290000000000006</v>
      </c>
      <c r="E3470">
        <v>103</v>
      </c>
    </row>
    <row r="3471" spans="1:5" x14ac:dyDescent="0.3">
      <c r="A3471" t="s">
        <v>138</v>
      </c>
      <c r="B3471" s="1">
        <v>44711</v>
      </c>
      <c r="C3471">
        <v>1</v>
      </c>
      <c r="D3471">
        <v>46.5</v>
      </c>
      <c r="E3471">
        <v>75</v>
      </c>
    </row>
    <row r="3472" spans="1:5" x14ac:dyDescent="0.3">
      <c r="A3472" t="s">
        <v>31</v>
      </c>
      <c r="B3472" s="1">
        <v>44711</v>
      </c>
      <c r="C3472">
        <v>1</v>
      </c>
      <c r="D3472">
        <v>13.05</v>
      </c>
      <c r="E3472">
        <v>18</v>
      </c>
    </row>
    <row r="3473" spans="1:5" x14ac:dyDescent="0.3">
      <c r="A3473" t="s">
        <v>31</v>
      </c>
      <c r="B3473" s="1">
        <v>44711</v>
      </c>
      <c r="C3473">
        <v>1</v>
      </c>
      <c r="D3473">
        <v>13.05</v>
      </c>
      <c r="E3473">
        <v>18</v>
      </c>
    </row>
    <row r="3474" spans="1:5" x14ac:dyDescent="0.3">
      <c r="A3474" t="s">
        <v>122</v>
      </c>
      <c r="B3474" s="1">
        <v>44711</v>
      </c>
      <c r="C3474">
        <v>1</v>
      </c>
      <c r="D3474">
        <v>20.86</v>
      </c>
      <c r="E3474">
        <v>26</v>
      </c>
    </row>
    <row r="3475" spans="1:5" x14ac:dyDescent="0.3">
      <c r="A3475" t="s">
        <v>146</v>
      </c>
      <c r="B3475" s="1">
        <v>44711</v>
      </c>
      <c r="C3475">
        <v>1</v>
      </c>
      <c r="D3475">
        <v>410.25</v>
      </c>
      <c r="E3475">
        <v>460</v>
      </c>
    </row>
    <row r="3476" spans="1:5" x14ac:dyDescent="0.3">
      <c r="A3476" t="s">
        <v>87</v>
      </c>
      <c r="B3476" s="1">
        <v>44711</v>
      </c>
      <c r="C3476">
        <v>1</v>
      </c>
      <c r="D3476">
        <v>323.66000000000003</v>
      </c>
      <c r="E3476">
        <v>370</v>
      </c>
    </row>
    <row r="3477" spans="1:5" x14ac:dyDescent="0.3">
      <c r="A3477" t="s">
        <v>158</v>
      </c>
      <c r="B3477" s="1">
        <v>44711</v>
      </c>
      <c r="C3477">
        <v>1</v>
      </c>
      <c r="D3477">
        <v>23.54</v>
      </c>
      <c r="E3477">
        <v>28.66</v>
      </c>
    </row>
    <row r="3478" spans="1:5" x14ac:dyDescent="0.3">
      <c r="A3478" t="s">
        <v>158</v>
      </c>
      <c r="B3478" s="1">
        <v>44711</v>
      </c>
      <c r="C3478">
        <v>1</v>
      </c>
      <c r="D3478">
        <v>23.54</v>
      </c>
      <c r="E3478">
        <v>28.66</v>
      </c>
    </row>
    <row r="3479" spans="1:5" x14ac:dyDescent="0.3">
      <c r="A3479" t="s">
        <v>158</v>
      </c>
      <c r="B3479" s="1">
        <v>44711</v>
      </c>
      <c r="C3479">
        <v>1</v>
      </c>
      <c r="D3479">
        <v>23.54</v>
      </c>
      <c r="E3479">
        <v>28.66</v>
      </c>
    </row>
    <row r="3480" spans="1:5" x14ac:dyDescent="0.3">
      <c r="A3480" t="s">
        <v>158</v>
      </c>
      <c r="B3480" s="1">
        <v>44711</v>
      </c>
      <c r="C3480">
        <v>1</v>
      </c>
      <c r="D3480">
        <v>23.54</v>
      </c>
      <c r="E3480">
        <v>28.66</v>
      </c>
    </row>
    <row r="3481" spans="1:5" x14ac:dyDescent="0.3">
      <c r="A3481" t="s">
        <v>158</v>
      </c>
      <c r="B3481" s="1">
        <v>44711</v>
      </c>
      <c r="C3481">
        <v>1</v>
      </c>
      <c r="D3481">
        <v>23.54</v>
      </c>
      <c r="E3481">
        <v>28.66</v>
      </c>
    </row>
    <row r="3482" spans="1:5" x14ac:dyDescent="0.3">
      <c r="A3482" t="s">
        <v>158</v>
      </c>
      <c r="B3482" s="1">
        <v>44711</v>
      </c>
      <c r="C3482">
        <v>1</v>
      </c>
      <c r="D3482">
        <v>23.54</v>
      </c>
      <c r="E3482">
        <v>28.66</v>
      </c>
    </row>
    <row r="3483" spans="1:5" x14ac:dyDescent="0.3">
      <c r="A3483" t="s">
        <v>158</v>
      </c>
      <c r="B3483" s="1">
        <v>44711</v>
      </c>
      <c r="C3483">
        <v>1</v>
      </c>
      <c r="D3483">
        <v>23.54</v>
      </c>
      <c r="E3483">
        <v>28.66</v>
      </c>
    </row>
    <row r="3484" spans="1:5" x14ac:dyDescent="0.3">
      <c r="A3484" t="s">
        <v>158</v>
      </c>
      <c r="B3484" s="1">
        <v>44711</v>
      </c>
      <c r="C3484">
        <v>1</v>
      </c>
      <c r="D3484">
        <v>23.54</v>
      </c>
      <c r="E3484">
        <v>28.66</v>
      </c>
    </row>
    <row r="3485" spans="1:5" x14ac:dyDescent="0.3">
      <c r="A3485" t="s">
        <v>158</v>
      </c>
      <c r="B3485" s="1">
        <v>44711</v>
      </c>
      <c r="C3485">
        <v>1</v>
      </c>
      <c r="D3485">
        <v>23.54</v>
      </c>
      <c r="E3485">
        <v>28.66</v>
      </c>
    </row>
    <row r="3486" spans="1:5" x14ac:dyDescent="0.3">
      <c r="A3486" t="s">
        <v>158</v>
      </c>
      <c r="B3486" s="1">
        <v>44711</v>
      </c>
      <c r="C3486">
        <v>1</v>
      </c>
      <c r="D3486">
        <v>23.54</v>
      </c>
      <c r="E3486">
        <v>28.66</v>
      </c>
    </row>
    <row r="3487" spans="1:5" x14ac:dyDescent="0.3">
      <c r="A3487" t="s">
        <v>51</v>
      </c>
      <c r="B3487" s="1">
        <v>44711</v>
      </c>
      <c r="C3487">
        <v>4</v>
      </c>
      <c r="D3487">
        <v>2.0099999999999998</v>
      </c>
      <c r="E3487">
        <v>4</v>
      </c>
    </row>
    <row r="3488" spans="1:5" x14ac:dyDescent="0.3">
      <c r="A3488" t="s">
        <v>32</v>
      </c>
      <c r="B3488" s="1">
        <v>44711</v>
      </c>
      <c r="C3488">
        <v>0.2</v>
      </c>
      <c r="D3488">
        <v>149.72999999999999</v>
      </c>
      <c r="E3488">
        <v>233</v>
      </c>
    </row>
    <row r="3489" spans="1:5" x14ac:dyDescent="0.3">
      <c r="A3489" t="s">
        <v>115</v>
      </c>
      <c r="B3489" s="1">
        <v>44711</v>
      </c>
      <c r="C3489">
        <v>1</v>
      </c>
      <c r="D3489">
        <v>71.459999999999994</v>
      </c>
      <c r="E3489">
        <v>88</v>
      </c>
    </row>
    <row r="3490" spans="1:5" x14ac:dyDescent="0.3">
      <c r="A3490" t="s">
        <v>45</v>
      </c>
      <c r="B3490" s="1">
        <v>44711</v>
      </c>
      <c r="C3490">
        <v>1</v>
      </c>
      <c r="D3490">
        <v>26.71</v>
      </c>
      <c r="E3490">
        <v>46</v>
      </c>
    </row>
    <row r="3491" spans="1:5" x14ac:dyDescent="0.3">
      <c r="A3491" t="s">
        <v>48</v>
      </c>
      <c r="B3491" s="1">
        <v>44711</v>
      </c>
      <c r="C3491">
        <v>1</v>
      </c>
      <c r="D3491">
        <v>35.200000000000003</v>
      </c>
      <c r="E3491">
        <v>55</v>
      </c>
    </row>
    <row r="3492" spans="1:5" x14ac:dyDescent="0.3">
      <c r="A3492" t="s">
        <v>31</v>
      </c>
      <c r="B3492" s="1">
        <v>44711</v>
      </c>
      <c r="C3492">
        <v>1</v>
      </c>
      <c r="D3492">
        <v>14.4</v>
      </c>
      <c r="E3492">
        <v>19</v>
      </c>
    </row>
    <row r="3493" spans="1:5" x14ac:dyDescent="0.3">
      <c r="A3493" t="s">
        <v>18</v>
      </c>
      <c r="B3493" s="1">
        <v>44711</v>
      </c>
      <c r="C3493">
        <v>1</v>
      </c>
      <c r="D3493">
        <v>46</v>
      </c>
      <c r="E3493">
        <v>72</v>
      </c>
    </row>
    <row r="3494" spans="1:5" x14ac:dyDescent="0.3">
      <c r="A3494" t="s">
        <v>49</v>
      </c>
      <c r="B3494" s="1">
        <v>44711</v>
      </c>
      <c r="C3494">
        <v>1</v>
      </c>
      <c r="D3494">
        <v>15.82</v>
      </c>
      <c r="E3494">
        <v>20</v>
      </c>
    </row>
    <row r="3495" spans="1:5" x14ac:dyDescent="0.3">
      <c r="A3495" t="s">
        <v>46</v>
      </c>
      <c r="B3495" s="1">
        <v>44711</v>
      </c>
      <c r="C3495">
        <v>1</v>
      </c>
      <c r="D3495">
        <v>19.43</v>
      </c>
      <c r="E3495">
        <v>24</v>
      </c>
    </row>
    <row r="3496" spans="1:5" x14ac:dyDescent="0.3">
      <c r="A3496" t="s">
        <v>142</v>
      </c>
      <c r="B3496" s="1">
        <v>44711</v>
      </c>
      <c r="C3496">
        <v>1</v>
      </c>
      <c r="D3496">
        <v>12.86</v>
      </c>
      <c r="E3496">
        <v>15</v>
      </c>
    </row>
    <row r="3497" spans="1:5" x14ac:dyDescent="0.3">
      <c r="A3497" t="s">
        <v>142</v>
      </c>
      <c r="B3497" s="1">
        <v>44711</v>
      </c>
      <c r="C3497">
        <v>1</v>
      </c>
      <c r="D3497">
        <v>12.86</v>
      </c>
      <c r="E3497">
        <v>15</v>
      </c>
    </row>
    <row r="3498" spans="1:5" x14ac:dyDescent="0.3">
      <c r="A3498" t="s">
        <v>119</v>
      </c>
      <c r="B3498" s="1">
        <v>44711</v>
      </c>
      <c r="C3498">
        <v>3.5714299999999997E-2</v>
      </c>
      <c r="D3498">
        <v>656.19</v>
      </c>
      <c r="E3498">
        <v>722</v>
      </c>
    </row>
    <row r="3499" spans="1:5" x14ac:dyDescent="0.3">
      <c r="A3499" t="s">
        <v>48</v>
      </c>
      <c r="B3499" s="1">
        <v>44711</v>
      </c>
      <c r="C3499">
        <v>1</v>
      </c>
      <c r="D3499">
        <v>38.82</v>
      </c>
      <c r="E3499">
        <v>61</v>
      </c>
    </row>
    <row r="3500" spans="1:5" x14ac:dyDescent="0.3">
      <c r="A3500" t="s">
        <v>19</v>
      </c>
      <c r="B3500" s="1">
        <v>44711</v>
      </c>
      <c r="C3500">
        <v>1</v>
      </c>
      <c r="D3500">
        <v>81.290000000000006</v>
      </c>
      <c r="E3500">
        <v>103</v>
      </c>
    </row>
    <row r="3501" spans="1:5" x14ac:dyDescent="0.3">
      <c r="A3501" t="s">
        <v>122</v>
      </c>
      <c r="B3501" s="1">
        <v>44711</v>
      </c>
      <c r="C3501">
        <v>1</v>
      </c>
      <c r="D3501">
        <v>20.86</v>
      </c>
      <c r="E3501">
        <v>26</v>
      </c>
    </row>
    <row r="3502" spans="1:5" x14ac:dyDescent="0.3">
      <c r="A3502" t="s">
        <v>115</v>
      </c>
      <c r="B3502" s="1">
        <v>44711</v>
      </c>
      <c r="C3502">
        <v>1</v>
      </c>
      <c r="D3502">
        <v>71.31</v>
      </c>
      <c r="E3502">
        <v>88</v>
      </c>
    </row>
    <row r="3503" spans="1:5" x14ac:dyDescent="0.3">
      <c r="A3503" t="s">
        <v>128</v>
      </c>
      <c r="B3503" s="1">
        <v>44711</v>
      </c>
      <c r="C3503">
        <v>1</v>
      </c>
      <c r="D3503">
        <v>261.16000000000003</v>
      </c>
      <c r="E3503">
        <v>345</v>
      </c>
    </row>
    <row r="3504" spans="1:5" x14ac:dyDescent="0.3">
      <c r="A3504" t="s">
        <v>6</v>
      </c>
      <c r="B3504" s="1">
        <v>44711</v>
      </c>
      <c r="C3504">
        <v>0.2</v>
      </c>
      <c r="D3504">
        <v>460.59</v>
      </c>
      <c r="E3504">
        <v>576</v>
      </c>
    </row>
    <row r="3505" spans="1:5" x14ac:dyDescent="0.3">
      <c r="A3505" t="s">
        <v>61</v>
      </c>
      <c r="B3505" s="1">
        <v>44711</v>
      </c>
      <c r="C3505">
        <v>1</v>
      </c>
      <c r="D3505">
        <v>33.14</v>
      </c>
      <c r="E3505">
        <v>53</v>
      </c>
    </row>
    <row r="3506" spans="1:5" x14ac:dyDescent="0.3">
      <c r="A3506" t="s">
        <v>61</v>
      </c>
      <c r="B3506" s="1">
        <v>44711</v>
      </c>
      <c r="C3506">
        <v>1</v>
      </c>
      <c r="D3506">
        <v>33.14</v>
      </c>
      <c r="E3506">
        <v>53</v>
      </c>
    </row>
    <row r="3507" spans="1:5" x14ac:dyDescent="0.3">
      <c r="A3507" t="s">
        <v>17</v>
      </c>
      <c r="B3507" s="1">
        <v>44711</v>
      </c>
      <c r="C3507">
        <v>1</v>
      </c>
      <c r="D3507">
        <v>381.46</v>
      </c>
      <c r="E3507">
        <v>458</v>
      </c>
    </row>
    <row r="3508" spans="1:5" x14ac:dyDescent="0.3">
      <c r="A3508" t="s">
        <v>103</v>
      </c>
      <c r="B3508" s="1">
        <v>44711</v>
      </c>
      <c r="C3508">
        <v>1</v>
      </c>
      <c r="D3508">
        <v>46.32</v>
      </c>
      <c r="E3508">
        <v>72</v>
      </c>
    </row>
    <row r="3509" spans="1:5" x14ac:dyDescent="0.3">
      <c r="A3509" t="s">
        <v>103</v>
      </c>
      <c r="B3509" s="1">
        <v>44711</v>
      </c>
      <c r="C3509">
        <v>1</v>
      </c>
      <c r="D3509">
        <v>46.32</v>
      </c>
      <c r="E3509">
        <v>72</v>
      </c>
    </row>
    <row r="3510" spans="1:5" x14ac:dyDescent="0.3">
      <c r="A3510" t="s">
        <v>154</v>
      </c>
      <c r="B3510" s="1">
        <v>44711</v>
      </c>
      <c r="C3510">
        <v>1</v>
      </c>
      <c r="D3510">
        <v>134.53</v>
      </c>
      <c r="E3510">
        <v>150</v>
      </c>
    </row>
    <row r="3511" spans="1:5" x14ac:dyDescent="0.3">
      <c r="A3511" t="s">
        <v>154</v>
      </c>
      <c r="B3511" s="1">
        <v>44711</v>
      </c>
      <c r="C3511">
        <v>1</v>
      </c>
      <c r="D3511">
        <v>134.53</v>
      </c>
      <c r="E3511">
        <v>150</v>
      </c>
    </row>
    <row r="3512" spans="1:5" x14ac:dyDescent="0.3">
      <c r="A3512" t="s">
        <v>154</v>
      </c>
      <c r="B3512" s="1">
        <v>44711</v>
      </c>
      <c r="C3512">
        <v>1</v>
      </c>
      <c r="D3512">
        <v>134.53</v>
      </c>
      <c r="E3512">
        <v>150</v>
      </c>
    </row>
    <row r="3513" spans="1:5" x14ac:dyDescent="0.3">
      <c r="A3513" t="s">
        <v>154</v>
      </c>
      <c r="B3513" s="1">
        <v>44711</v>
      </c>
      <c r="C3513">
        <v>1</v>
      </c>
      <c r="D3513">
        <v>134.53</v>
      </c>
      <c r="E3513">
        <v>150</v>
      </c>
    </row>
    <row r="3514" spans="1:5" x14ac:dyDescent="0.3">
      <c r="A3514" t="s">
        <v>154</v>
      </c>
      <c r="B3514" s="1">
        <v>44711</v>
      </c>
      <c r="C3514">
        <v>1</v>
      </c>
      <c r="D3514">
        <v>134.53</v>
      </c>
      <c r="E3514">
        <v>150</v>
      </c>
    </row>
    <row r="3515" spans="1:5" x14ac:dyDescent="0.3">
      <c r="A3515" t="s">
        <v>65</v>
      </c>
      <c r="B3515" s="1">
        <v>44711</v>
      </c>
      <c r="C3515">
        <v>1</v>
      </c>
      <c r="D3515">
        <v>187.33</v>
      </c>
      <c r="E3515">
        <v>220</v>
      </c>
    </row>
    <row r="3516" spans="1:5" x14ac:dyDescent="0.3">
      <c r="A3516" t="s">
        <v>7</v>
      </c>
      <c r="B3516" s="1">
        <v>44711</v>
      </c>
      <c r="C3516">
        <v>1</v>
      </c>
      <c r="D3516">
        <v>88.43</v>
      </c>
      <c r="E3516">
        <v>104</v>
      </c>
    </row>
    <row r="3517" spans="1:5" x14ac:dyDescent="0.3">
      <c r="A3517" t="s">
        <v>6</v>
      </c>
      <c r="B3517" s="1">
        <v>44711</v>
      </c>
      <c r="C3517">
        <v>0.2</v>
      </c>
      <c r="D3517">
        <v>460.59</v>
      </c>
      <c r="E3517">
        <v>576</v>
      </c>
    </row>
    <row r="3518" spans="1:5" x14ac:dyDescent="0.3">
      <c r="A3518" t="s">
        <v>59</v>
      </c>
      <c r="B3518" s="1">
        <v>44711</v>
      </c>
      <c r="C3518">
        <v>1</v>
      </c>
      <c r="D3518">
        <v>14.55</v>
      </c>
      <c r="E3518">
        <v>24</v>
      </c>
    </row>
    <row r="3519" spans="1:5" x14ac:dyDescent="0.3">
      <c r="A3519" t="s">
        <v>5</v>
      </c>
      <c r="B3519" s="1">
        <v>44711</v>
      </c>
      <c r="C3519">
        <v>1</v>
      </c>
      <c r="D3519">
        <v>146.1</v>
      </c>
      <c r="E3519">
        <v>173</v>
      </c>
    </row>
    <row r="3520" spans="1:5" x14ac:dyDescent="0.3">
      <c r="A3520" t="s">
        <v>8</v>
      </c>
      <c r="B3520" s="1">
        <v>44711</v>
      </c>
      <c r="C3520">
        <v>1</v>
      </c>
      <c r="D3520">
        <v>47.83</v>
      </c>
      <c r="E3520">
        <v>78</v>
      </c>
    </row>
    <row r="3521" spans="1:5" x14ac:dyDescent="0.3">
      <c r="A3521" t="s">
        <v>19</v>
      </c>
      <c r="B3521" s="1">
        <v>44711</v>
      </c>
      <c r="C3521">
        <v>1</v>
      </c>
      <c r="D3521">
        <v>80.760000000000005</v>
      </c>
      <c r="E3521">
        <v>101</v>
      </c>
    </row>
    <row r="3522" spans="1:5" x14ac:dyDescent="0.3">
      <c r="A3522" t="s">
        <v>27</v>
      </c>
      <c r="B3522" s="1">
        <v>44711</v>
      </c>
      <c r="C3522">
        <v>2</v>
      </c>
      <c r="D3522">
        <v>102.34</v>
      </c>
      <c r="E3522">
        <v>157</v>
      </c>
    </row>
    <row r="3523" spans="1:5" x14ac:dyDescent="0.3">
      <c r="A3523" t="s">
        <v>139</v>
      </c>
      <c r="B3523" s="1">
        <v>44711</v>
      </c>
      <c r="C3523">
        <v>1</v>
      </c>
      <c r="D3523">
        <v>24.18</v>
      </c>
      <c r="E3523">
        <v>39</v>
      </c>
    </row>
    <row r="3524" spans="1:5" x14ac:dyDescent="0.3">
      <c r="A3524" t="s">
        <v>72</v>
      </c>
      <c r="B3524" s="1">
        <v>44711</v>
      </c>
      <c r="C3524">
        <v>1</v>
      </c>
      <c r="D3524">
        <v>558.69000000000005</v>
      </c>
      <c r="E3524">
        <v>738</v>
      </c>
    </row>
    <row r="3525" spans="1:5" x14ac:dyDescent="0.3">
      <c r="A3525" t="s">
        <v>60</v>
      </c>
      <c r="B3525" s="1">
        <v>44711</v>
      </c>
      <c r="C3525">
        <v>1</v>
      </c>
      <c r="D3525">
        <v>56.76</v>
      </c>
      <c r="E3525">
        <v>71</v>
      </c>
    </row>
    <row r="3526" spans="1:5" x14ac:dyDescent="0.3">
      <c r="A3526" t="s">
        <v>143</v>
      </c>
      <c r="B3526" s="1">
        <v>44711</v>
      </c>
      <c r="C3526">
        <v>1</v>
      </c>
      <c r="D3526">
        <v>51.43</v>
      </c>
      <c r="E3526">
        <v>79</v>
      </c>
    </row>
    <row r="3527" spans="1:5" x14ac:dyDescent="0.3">
      <c r="A3527" t="s">
        <v>139</v>
      </c>
      <c r="B3527" s="1">
        <v>44711</v>
      </c>
      <c r="C3527">
        <v>1</v>
      </c>
      <c r="D3527">
        <v>24.18</v>
      </c>
      <c r="E3527">
        <v>40</v>
      </c>
    </row>
    <row r="3528" spans="1:5" x14ac:dyDescent="0.3">
      <c r="A3528" t="s">
        <v>95</v>
      </c>
      <c r="B3528" s="1">
        <v>44711</v>
      </c>
      <c r="C3528">
        <v>1</v>
      </c>
      <c r="D3528">
        <v>131.07</v>
      </c>
      <c r="E3528">
        <v>206</v>
      </c>
    </row>
    <row r="3529" spans="1:5" x14ac:dyDescent="0.3">
      <c r="A3529" t="s">
        <v>106</v>
      </c>
      <c r="B3529" s="1">
        <v>44711</v>
      </c>
      <c r="C3529">
        <v>1</v>
      </c>
      <c r="D3529">
        <v>41.5</v>
      </c>
      <c r="E3529">
        <v>51</v>
      </c>
    </row>
    <row r="3530" spans="1:5" x14ac:dyDescent="0.3">
      <c r="A3530" t="s">
        <v>73</v>
      </c>
      <c r="B3530" s="1">
        <v>44711</v>
      </c>
      <c r="C3530">
        <v>1</v>
      </c>
      <c r="D3530">
        <v>8.07</v>
      </c>
      <c r="E3530">
        <v>14</v>
      </c>
    </row>
    <row r="3531" spans="1:5" x14ac:dyDescent="0.3">
      <c r="A3531" t="s">
        <v>5</v>
      </c>
      <c r="B3531" s="1">
        <v>44711</v>
      </c>
      <c r="C3531">
        <v>1</v>
      </c>
      <c r="D3531">
        <v>132.94</v>
      </c>
      <c r="E3531">
        <v>160</v>
      </c>
    </row>
    <row r="3532" spans="1:5" x14ac:dyDescent="0.3">
      <c r="A3532" t="s">
        <v>66</v>
      </c>
      <c r="B3532" s="1">
        <v>44711</v>
      </c>
      <c r="C3532">
        <v>1</v>
      </c>
      <c r="D3532">
        <v>30.56</v>
      </c>
      <c r="E3532">
        <v>36</v>
      </c>
    </row>
    <row r="3533" spans="1:5" x14ac:dyDescent="0.3">
      <c r="A3533" t="s">
        <v>66</v>
      </c>
      <c r="B3533" s="1">
        <v>44711</v>
      </c>
      <c r="C3533">
        <v>1</v>
      </c>
      <c r="D3533">
        <v>30.56</v>
      </c>
      <c r="E3533">
        <v>36</v>
      </c>
    </row>
    <row r="3534" spans="1:5" x14ac:dyDescent="0.3">
      <c r="A3534" t="s">
        <v>66</v>
      </c>
      <c r="B3534" s="1">
        <v>44711</v>
      </c>
      <c r="C3534">
        <v>1</v>
      </c>
      <c r="D3534">
        <v>30.56</v>
      </c>
      <c r="E3534">
        <v>36</v>
      </c>
    </row>
    <row r="3535" spans="1:5" x14ac:dyDescent="0.3">
      <c r="A3535" t="s">
        <v>151</v>
      </c>
      <c r="B3535" s="1">
        <v>44711</v>
      </c>
      <c r="C3535">
        <v>1</v>
      </c>
      <c r="D3535">
        <v>26.81</v>
      </c>
      <c r="E3535">
        <v>32</v>
      </c>
    </row>
    <row r="3536" spans="1:5" x14ac:dyDescent="0.3">
      <c r="A3536" t="s">
        <v>97</v>
      </c>
      <c r="B3536" s="1">
        <v>44711</v>
      </c>
      <c r="C3536">
        <v>1</v>
      </c>
      <c r="D3536">
        <v>426.66</v>
      </c>
      <c r="E3536">
        <v>564</v>
      </c>
    </row>
    <row r="3537" spans="1:5" x14ac:dyDescent="0.3">
      <c r="A3537" t="s">
        <v>21</v>
      </c>
      <c r="B3537" s="1">
        <v>44711</v>
      </c>
      <c r="C3537">
        <v>1</v>
      </c>
      <c r="D3537">
        <v>184.39</v>
      </c>
      <c r="E3537">
        <v>268</v>
      </c>
    </row>
    <row r="3538" spans="1:5" x14ac:dyDescent="0.3">
      <c r="A3538" t="s">
        <v>49</v>
      </c>
      <c r="B3538" s="1">
        <v>44711</v>
      </c>
      <c r="C3538">
        <v>1</v>
      </c>
      <c r="D3538">
        <v>15.58</v>
      </c>
      <c r="E3538">
        <v>19</v>
      </c>
    </row>
    <row r="3539" spans="1:5" x14ac:dyDescent="0.3">
      <c r="A3539" t="s">
        <v>78</v>
      </c>
      <c r="B3539" s="1">
        <v>44711</v>
      </c>
      <c r="C3539">
        <v>1</v>
      </c>
      <c r="D3539">
        <v>69.599999999999994</v>
      </c>
      <c r="E3539">
        <v>90</v>
      </c>
    </row>
    <row r="3540" spans="1:5" x14ac:dyDescent="0.3">
      <c r="A3540" t="s">
        <v>8</v>
      </c>
      <c r="B3540" s="1">
        <v>44711</v>
      </c>
      <c r="C3540">
        <v>2</v>
      </c>
      <c r="D3540">
        <v>47.83</v>
      </c>
      <c r="E3540">
        <v>78</v>
      </c>
    </row>
    <row r="3541" spans="1:5" x14ac:dyDescent="0.3">
      <c r="A3541" t="s">
        <v>8</v>
      </c>
      <c r="B3541" s="1">
        <v>44711</v>
      </c>
      <c r="C3541">
        <v>1</v>
      </c>
      <c r="D3541">
        <v>47.83</v>
      </c>
      <c r="E3541">
        <v>78</v>
      </c>
    </row>
    <row r="3542" spans="1:5" x14ac:dyDescent="0.3">
      <c r="A3542" t="s">
        <v>36</v>
      </c>
      <c r="B3542" s="1">
        <v>44711</v>
      </c>
      <c r="C3542">
        <v>1</v>
      </c>
      <c r="D3542">
        <v>22.05</v>
      </c>
      <c r="E3542">
        <v>28</v>
      </c>
    </row>
    <row r="3543" spans="1:5" x14ac:dyDescent="0.3">
      <c r="A3543" t="s">
        <v>50</v>
      </c>
      <c r="B3543" s="1">
        <v>44711</v>
      </c>
      <c r="C3543">
        <v>1</v>
      </c>
      <c r="D3543">
        <v>43.86</v>
      </c>
      <c r="E3543">
        <v>56</v>
      </c>
    </row>
    <row r="3544" spans="1:5" x14ac:dyDescent="0.3">
      <c r="A3544" t="s">
        <v>135</v>
      </c>
      <c r="B3544" s="1">
        <v>44711</v>
      </c>
      <c r="C3544">
        <v>1</v>
      </c>
      <c r="D3544">
        <v>72.31</v>
      </c>
      <c r="E3544">
        <v>90</v>
      </c>
    </row>
    <row r="3545" spans="1:5" x14ac:dyDescent="0.3">
      <c r="A3545" t="s">
        <v>13</v>
      </c>
      <c r="B3545" s="1">
        <v>44711</v>
      </c>
      <c r="C3545">
        <v>1</v>
      </c>
      <c r="D3545">
        <v>119.06</v>
      </c>
      <c r="E3545">
        <v>143</v>
      </c>
    </row>
    <row r="3546" spans="1:5" x14ac:dyDescent="0.3">
      <c r="A3546" t="s">
        <v>100</v>
      </c>
      <c r="B3546" s="1">
        <v>44711</v>
      </c>
      <c r="C3546">
        <v>1</v>
      </c>
      <c r="D3546">
        <v>36.99</v>
      </c>
      <c r="E3546">
        <v>59</v>
      </c>
    </row>
    <row r="3547" spans="1:5" x14ac:dyDescent="0.3">
      <c r="A3547" t="s">
        <v>29</v>
      </c>
      <c r="B3547" s="1">
        <v>44711</v>
      </c>
      <c r="C3547">
        <v>1</v>
      </c>
      <c r="D3547">
        <v>489.61</v>
      </c>
      <c r="E3547">
        <v>676</v>
      </c>
    </row>
    <row r="3548" spans="1:5" x14ac:dyDescent="0.3">
      <c r="A3548" t="s">
        <v>65</v>
      </c>
      <c r="B3548" s="1">
        <v>44711</v>
      </c>
      <c r="C3548">
        <v>1</v>
      </c>
      <c r="D3548">
        <v>187.12</v>
      </c>
      <c r="E3548">
        <v>219</v>
      </c>
    </row>
    <row r="3549" spans="1:5" x14ac:dyDescent="0.3">
      <c r="A3549" t="s">
        <v>104</v>
      </c>
      <c r="B3549" s="1">
        <v>44711</v>
      </c>
      <c r="C3549">
        <v>1</v>
      </c>
      <c r="D3549">
        <v>45.16</v>
      </c>
      <c r="E3549">
        <v>57</v>
      </c>
    </row>
    <row r="3550" spans="1:5" x14ac:dyDescent="0.3">
      <c r="A3550" t="s">
        <v>104</v>
      </c>
      <c r="B3550" s="1">
        <v>44711</v>
      </c>
      <c r="C3550">
        <v>1</v>
      </c>
      <c r="D3550">
        <v>45.55</v>
      </c>
      <c r="E3550">
        <v>57</v>
      </c>
    </row>
    <row r="3551" spans="1:5" x14ac:dyDescent="0.3">
      <c r="A3551" t="s">
        <v>95</v>
      </c>
      <c r="B3551" s="1">
        <v>44711</v>
      </c>
      <c r="C3551">
        <v>0.3</v>
      </c>
      <c r="D3551">
        <v>133.25</v>
      </c>
      <c r="E3551">
        <v>204</v>
      </c>
    </row>
    <row r="3552" spans="1:5" x14ac:dyDescent="0.3">
      <c r="A3552" t="s">
        <v>141</v>
      </c>
      <c r="B3552" s="1">
        <v>44711</v>
      </c>
      <c r="C3552">
        <v>1</v>
      </c>
      <c r="D3552">
        <v>12.19</v>
      </c>
      <c r="E3552">
        <v>20</v>
      </c>
    </row>
    <row r="3553" spans="1:5" x14ac:dyDescent="0.3">
      <c r="A3553" t="s">
        <v>9</v>
      </c>
      <c r="B3553" s="1">
        <v>44711</v>
      </c>
      <c r="C3553">
        <v>1</v>
      </c>
      <c r="D3553">
        <v>80.69</v>
      </c>
      <c r="E3553">
        <v>98</v>
      </c>
    </row>
    <row r="3554" spans="1:5" x14ac:dyDescent="0.3">
      <c r="A3554" t="s">
        <v>95</v>
      </c>
      <c r="B3554" s="1">
        <v>44711</v>
      </c>
      <c r="C3554">
        <v>1</v>
      </c>
      <c r="D3554">
        <v>111.95</v>
      </c>
      <c r="E3554">
        <v>171</v>
      </c>
    </row>
    <row r="3555" spans="1:5" x14ac:dyDescent="0.3">
      <c r="A3555" t="s">
        <v>121</v>
      </c>
      <c r="B3555" s="1">
        <v>44711</v>
      </c>
      <c r="C3555">
        <v>10</v>
      </c>
      <c r="D3555">
        <v>11.41</v>
      </c>
      <c r="E3555">
        <v>19</v>
      </c>
    </row>
    <row r="3556" spans="1:5" x14ac:dyDescent="0.3">
      <c r="A3556" t="s">
        <v>93</v>
      </c>
      <c r="B3556" s="1">
        <v>44711</v>
      </c>
      <c r="C3556">
        <v>1</v>
      </c>
      <c r="D3556">
        <v>65.400000000000006</v>
      </c>
      <c r="E3556">
        <v>93</v>
      </c>
    </row>
    <row r="3557" spans="1:5" x14ac:dyDescent="0.3">
      <c r="A3557" t="s">
        <v>24</v>
      </c>
      <c r="B3557" s="1">
        <v>44711</v>
      </c>
      <c r="C3557">
        <v>1</v>
      </c>
      <c r="D3557">
        <v>103.46</v>
      </c>
      <c r="E3557">
        <v>121</v>
      </c>
    </row>
    <row r="3558" spans="1:5" x14ac:dyDescent="0.3">
      <c r="A3558" t="s">
        <v>36</v>
      </c>
      <c r="B3558" s="1">
        <v>44711</v>
      </c>
      <c r="C3558">
        <v>1</v>
      </c>
      <c r="D3558">
        <v>22</v>
      </c>
      <c r="E3558">
        <v>28</v>
      </c>
    </row>
    <row r="3559" spans="1:5" x14ac:dyDescent="0.3">
      <c r="A3559" t="s">
        <v>36</v>
      </c>
      <c r="B3559" s="1">
        <v>44711</v>
      </c>
      <c r="C3559">
        <v>1</v>
      </c>
      <c r="D3559">
        <v>22</v>
      </c>
      <c r="E3559">
        <v>28</v>
      </c>
    </row>
    <row r="3560" spans="1:5" x14ac:dyDescent="0.3">
      <c r="A3560" t="s">
        <v>36</v>
      </c>
      <c r="B3560" s="1">
        <v>44711</v>
      </c>
      <c r="C3560">
        <v>1</v>
      </c>
      <c r="D3560">
        <v>22</v>
      </c>
      <c r="E3560">
        <v>28</v>
      </c>
    </row>
    <row r="3561" spans="1:5" x14ac:dyDescent="0.3">
      <c r="A3561" t="s">
        <v>36</v>
      </c>
      <c r="B3561" s="1">
        <v>44711</v>
      </c>
      <c r="C3561">
        <v>1</v>
      </c>
      <c r="D3561">
        <v>22</v>
      </c>
      <c r="E3561">
        <v>28</v>
      </c>
    </row>
    <row r="3562" spans="1:5" x14ac:dyDescent="0.3">
      <c r="A3562" t="s">
        <v>36</v>
      </c>
      <c r="B3562" s="1">
        <v>44711</v>
      </c>
      <c r="C3562">
        <v>1</v>
      </c>
      <c r="D3562">
        <v>22</v>
      </c>
      <c r="E3562">
        <v>28</v>
      </c>
    </row>
    <row r="3563" spans="1:5" x14ac:dyDescent="0.3">
      <c r="A3563" t="s">
        <v>36</v>
      </c>
      <c r="B3563" s="1">
        <v>44711</v>
      </c>
      <c r="C3563">
        <v>1</v>
      </c>
      <c r="D3563">
        <v>21.19</v>
      </c>
      <c r="E3563">
        <v>27</v>
      </c>
    </row>
    <row r="3564" spans="1:5" x14ac:dyDescent="0.3">
      <c r="A3564" t="s">
        <v>40</v>
      </c>
      <c r="B3564" s="1">
        <v>44711</v>
      </c>
      <c r="C3564">
        <v>1</v>
      </c>
      <c r="D3564">
        <v>173.86</v>
      </c>
      <c r="E3564">
        <v>208</v>
      </c>
    </row>
    <row r="3565" spans="1:5" x14ac:dyDescent="0.3">
      <c r="A3565" t="s">
        <v>82</v>
      </c>
      <c r="B3565" s="1">
        <v>44711</v>
      </c>
      <c r="C3565">
        <v>1</v>
      </c>
      <c r="D3565">
        <v>35.83</v>
      </c>
      <c r="E3565">
        <v>45</v>
      </c>
    </row>
    <row r="3566" spans="1:5" x14ac:dyDescent="0.3">
      <c r="A3566" t="s">
        <v>38</v>
      </c>
      <c r="B3566" s="1">
        <v>44711</v>
      </c>
      <c r="C3566">
        <v>1</v>
      </c>
      <c r="D3566">
        <v>28.91</v>
      </c>
      <c r="E3566">
        <v>45</v>
      </c>
    </row>
    <row r="3567" spans="1:5" x14ac:dyDescent="0.3">
      <c r="A3567" t="s">
        <v>38</v>
      </c>
      <c r="B3567" s="1">
        <v>44711</v>
      </c>
      <c r="C3567">
        <v>1</v>
      </c>
      <c r="D3567">
        <v>28.91</v>
      </c>
      <c r="E3567">
        <v>45</v>
      </c>
    </row>
    <row r="3568" spans="1:5" x14ac:dyDescent="0.3">
      <c r="A3568" t="s">
        <v>38</v>
      </c>
      <c r="B3568" s="1">
        <v>44711</v>
      </c>
      <c r="C3568">
        <v>1</v>
      </c>
      <c r="D3568">
        <v>28.91</v>
      </c>
      <c r="E3568">
        <v>45</v>
      </c>
    </row>
    <row r="3569" spans="1:5" x14ac:dyDescent="0.3">
      <c r="A3569" t="s">
        <v>38</v>
      </c>
      <c r="B3569" s="1">
        <v>44711</v>
      </c>
      <c r="C3569">
        <v>1</v>
      </c>
      <c r="D3569">
        <v>28.91</v>
      </c>
      <c r="E3569">
        <v>45</v>
      </c>
    </row>
    <row r="3570" spans="1:5" x14ac:dyDescent="0.3">
      <c r="A3570" t="s">
        <v>38</v>
      </c>
      <c r="B3570" s="1">
        <v>44711</v>
      </c>
      <c r="C3570">
        <v>1</v>
      </c>
      <c r="D3570">
        <v>28.91</v>
      </c>
      <c r="E3570">
        <v>45</v>
      </c>
    </row>
    <row r="3571" spans="1:5" x14ac:dyDescent="0.3">
      <c r="A3571" t="s">
        <v>38</v>
      </c>
      <c r="B3571" s="1">
        <v>44711</v>
      </c>
      <c r="C3571">
        <v>1</v>
      </c>
      <c r="D3571">
        <v>28.91</v>
      </c>
      <c r="E3571">
        <v>45</v>
      </c>
    </row>
    <row r="3572" spans="1:5" x14ac:dyDescent="0.3">
      <c r="A3572" t="s">
        <v>89</v>
      </c>
      <c r="B3572" s="1">
        <v>44711</v>
      </c>
      <c r="C3572">
        <v>1</v>
      </c>
      <c r="D3572">
        <v>81.17</v>
      </c>
      <c r="E3572">
        <v>121</v>
      </c>
    </row>
    <row r="3573" spans="1:5" x14ac:dyDescent="0.3">
      <c r="A3573" t="s">
        <v>85</v>
      </c>
      <c r="B3573" s="1">
        <v>44711</v>
      </c>
      <c r="C3573">
        <v>1</v>
      </c>
      <c r="D3573">
        <v>15.95</v>
      </c>
      <c r="E3573">
        <v>26</v>
      </c>
    </row>
    <row r="3574" spans="1:5" x14ac:dyDescent="0.3">
      <c r="A3574" t="s">
        <v>85</v>
      </c>
      <c r="B3574" s="1">
        <v>44711</v>
      </c>
      <c r="C3574">
        <v>1</v>
      </c>
      <c r="D3574">
        <v>15.95</v>
      </c>
      <c r="E3574">
        <v>26</v>
      </c>
    </row>
    <row r="3575" spans="1:5" x14ac:dyDescent="0.3">
      <c r="A3575" t="s">
        <v>96</v>
      </c>
      <c r="B3575" s="1">
        <v>44711</v>
      </c>
      <c r="C3575">
        <v>1</v>
      </c>
      <c r="D3575">
        <v>71.650000000000006</v>
      </c>
      <c r="E3575">
        <v>102</v>
      </c>
    </row>
    <row r="3576" spans="1:5" x14ac:dyDescent="0.3">
      <c r="A3576" t="s">
        <v>134</v>
      </c>
      <c r="B3576" s="1">
        <v>44711</v>
      </c>
      <c r="C3576">
        <v>1</v>
      </c>
      <c r="D3576">
        <v>33</v>
      </c>
      <c r="E3576">
        <v>51</v>
      </c>
    </row>
    <row r="3577" spans="1:5" x14ac:dyDescent="0.3">
      <c r="A3577" t="s">
        <v>134</v>
      </c>
      <c r="B3577" s="1">
        <v>44711</v>
      </c>
      <c r="C3577">
        <v>1</v>
      </c>
      <c r="D3577">
        <v>33</v>
      </c>
      <c r="E3577">
        <v>51</v>
      </c>
    </row>
    <row r="3578" spans="1:5" x14ac:dyDescent="0.3">
      <c r="A3578" t="s">
        <v>35</v>
      </c>
      <c r="B3578" s="1">
        <v>44711</v>
      </c>
      <c r="C3578">
        <v>1</v>
      </c>
      <c r="D3578">
        <v>35</v>
      </c>
      <c r="E3578">
        <v>55</v>
      </c>
    </row>
    <row r="3579" spans="1:5" x14ac:dyDescent="0.3">
      <c r="A3579" t="s">
        <v>21</v>
      </c>
      <c r="B3579" s="1">
        <v>44711</v>
      </c>
      <c r="C3579">
        <v>1</v>
      </c>
      <c r="D3579">
        <v>184.57</v>
      </c>
      <c r="E3579">
        <v>253</v>
      </c>
    </row>
    <row r="3580" spans="1:5" x14ac:dyDescent="0.3">
      <c r="A3580" t="s">
        <v>20</v>
      </c>
      <c r="B3580" s="1">
        <v>44711</v>
      </c>
      <c r="C3580">
        <v>1</v>
      </c>
      <c r="D3580">
        <v>19.71</v>
      </c>
      <c r="E3580">
        <v>26</v>
      </c>
    </row>
    <row r="3581" spans="1:5" x14ac:dyDescent="0.3">
      <c r="A3581" t="s">
        <v>52</v>
      </c>
      <c r="B3581" s="1">
        <v>44711</v>
      </c>
      <c r="C3581">
        <v>1</v>
      </c>
      <c r="D3581">
        <v>205</v>
      </c>
      <c r="E3581">
        <v>250</v>
      </c>
    </row>
    <row r="3582" spans="1:5" x14ac:dyDescent="0.3">
      <c r="A3582" t="s">
        <v>107</v>
      </c>
      <c r="B3582" s="1">
        <v>44711</v>
      </c>
      <c r="C3582">
        <v>1</v>
      </c>
      <c r="D3582">
        <v>71</v>
      </c>
      <c r="E3582">
        <v>88</v>
      </c>
    </row>
    <row r="3583" spans="1:5" x14ac:dyDescent="0.3">
      <c r="A3583" t="s">
        <v>107</v>
      </c>
      <c r="B3583" s="1">
        <v>44711</v>
      </c>
      <c r="C3583">
        <v>1</v>
      </c>
      <c r="D3583">
        <v>71</v>
      </c>
      <c r="E3583">
        <v>88</v>
      </c>
    </row>
    <row r="3584" spans="1:5" x14ac:dyDescent="0.3">
      <c r="A3584" t="s">
        <v>93</v>
      </c>
      <c r="B3584" s="1">
        <v>44711</v>
      </c>
      <c r="C3584">
        <v>1</v>
      </c>
      <c r="D3584">
        <v>64.16</v>
      </c>
      <c r="E3584">
        <v>92</v>
      </c>
    </row>
    <row r="3585" spans="1:5" x14ac:dyDescent="0.3">
      <c r="A3585" t="s">
        <v>141</v>
      </c>
      <c r="B3585" s="1">
        <v>44711</v>
      </c>
      <c r="C3585">
        <v>2</v>
      </c>
      <c r="D3585">
        <v>12.19</v>
      </c>
      <c r="E3585">
        <v>20</v>
      </c>
    </row>
    <row r="3586" spans="1:5" x14ac:dyDescent="0.3">
      <c r="A3586" t="s">
        <v>157</v>
      </c>
      <c r="B3586" s="1">
        <v>44711</v>
      </c>
      <c r="C3586">
        <v>1</v>
      </c>
      <c r="D3586">
        <v>12</v>
      </c>
      <c r="E3586">
        <v>20</v>
      </c>
    </row>
    <row r="3587" spans="1:5" x14ac:dyDescent="0.3">
      <c r="A3587" t="s">
        <v>35</v>
      </c>
      <c r="B3587" s="1">
        <v>44711</v>
      </c>
      <c r="C3587">
        <v>1</v>
      </c>
      <c r="D3587">
        <v>33.11</v>
      </c>
      <c r="E3587">
        <v>51</v>
      </c>
    </row>
    <row r="3588" spans="1:5" x14ac:dyDescent="0.3">
      <c r="A3588" t="s">
        <v>107</v>
      </c>
      <c r="B3588" s="1">
        <v>44711</v>
      </c>
      <c r="C3588">
        <v>1</v>
      </c>
      <c r="D3588">
        <v>70.77</v>
      </c>
      <c r="E3588">
        <v>88</v>
      </c>
    </row>
    <row r="3589" spans="1:5" x14ac:dyDescent="0.3">
      <c r="A3589" t="s">
        <v>10</v>
      </c>
      <c r="B3589" s="1">
        <v>44711</v>
      </c>
      <c r="C3589">
        <v>1</v>
      </c>
      <c r="D3589">
        <v>11.67</v>
      </c>
      <c r="E3589">
        <v>14</v>
      </c>
    </row>
    <row r="3590" spans="1:5" x14ac:dyDescent="0.3">
      <c r="A3590" t="s">
        <v>26</v>
      </c>
      <c r="B3590" s="1">
        <v>44711</v>
      </c>
      <c r="C3590">
        <v>0.2</v>
      </c>
      <c r="D3590">
        <v>984.79</v>
      </c>
      <c r="E3590">
        <v>1300</v>
      </c>
    </row>
    <row r="3591" spans="1:5" x14ac:dyDescent="0.3">
      <c r="A3591" t="s">
        <v>109</v>
      </c>
      <c r="B3591" s="1">
        <v>44711</v>
      </c>
      <c r="C3591">
        <v>1</v>
      </c>
      <c r="D3591">
        <v>87.78</v>
      </c>
      <c r="E3591">
        <v>99</v>
      </c>
    </row>
    <row r="3592" spans="1:5" x14ac:dyDescent="0.3">
      <c r="A3592" t="s">
        <v>109</v>
      </c>
      <c r="B3592" s="1">
        <v>44711</v>
      </c>
      <c r="C3592">
        <v>1</v>
      </c>
      <c r="D3592">
        <v>87.78</v>
      </c>
      <c r="E3592">
        <v>99</v>
      </c>
    </row>
    <row r="3593" spans="1:5" x14ac:dyDescent="0.3">
      <c r="A3593" t="s">
        <v>109</v>
      </c>
      <c r="B3593" s="1">
        <v>44711</v>
      </c>
      <c r="C3593">
        <v>1</v>
      </c>
      <c r="D3593">
        <v>87.78</v>
      </c>
      <c r="E3593">
        <v>99</v>
      </c>
    </row>
    <row r="3594" spans="1:5" x14ac:dyDescent="0.3">
      <c r="A3594" t="s">
        <v>125</v>
      </c>
      <c r="B3594" s="1">
        <v>44711</v>
      </c>
      <c r="C3594">
        <v>1</v>
      </c>
      <c r="D3594">
        <v>331.43</v>
      </c>
      <c r="E3594">
        <v>431</v>
      </c>
    </row>
    <row r="3595" spans="1:5" x14ac:dyDescent="0.3">
      <c r="A3595" t="s">
        <v>109</v>
      </c>
      <c r="B3595" s="1">
        <v>44711</v>
      </c>
      <c r="C3595">
        <v>1</v>
      </c>
      <c r="D3595">
        <v>87.78</v>
      </c>
      <c r="E3595">
        <v>99</v>
      </c>
    </row>
    <row r="3596" spans="1:5" x14ac:dyDescent="0.3">
      <c r="A3596" t="s">
        <v>109</v>
      </c>
      <c r="B3596" s="1">
        <v>44711</v>
      </c>
      <c r="C3596">
        <v>1</v>
      </c>
      <c r="D3596">
        <v>87.78</v>
      </c>
      <c r="E3596">
        <v>99</v>
      </c>
    </row>
    <row r="3597" spans="1:5" x14ac:dyDescent="0.3">
      <c r="A3597" t="s">
        <v>9</v>
      </c>
      <c r="B3597" s="1">
        <v>44711</v>
      </c>
      <c r="C3597">
        <v>1</v>
      </c>
      <c r="D3597">
        <v>81.87</v>
      </c>
      <c r="E3597">
        <v>99</v>
      </c>
    </row>
    <row r="3598" spans="1:5" x14ac:dyDescent="0.3">
      <c r="A3598" t="s">
        <v>9</v>
      </c>
      <c r="B3598" s="1">
        <v>44711</v>
      </c>
      <c r="C3598">
        <v>1</v>
      </c>
      <c r="D3598">
        <v>81.17</v>
      </c>
      <c r="E3598">
        <v>99</v>
      </c>
    </row>
    <row r="3599" spans="1:5" x14ac:dyDescent="0.3">
      <c r="A3599" t="s">
        <v>9</v>
      </c>
      <c r="B3599" s="1">
        <v>44711</v>
      </c>
      <c r="C3599">
        <v>1</v>
      </c>
      <c r="D3599">
        <v>81.17</v>
      </c>
      <c r="E3599">
        <v>99</v>
      </c>
    </row>
    <row r="3600" spans="1:5" x14ac:dyDescent="0.3">
      <c r="A3600" t="s">
        <v>9</v>
      </c>
      <c r="B3600" s="1">
        <v>44711</v>
      </c>
      <c r="C3600">
        <v>1</v>
      </c>
      <c r="D3600">
        <v>81.17</v>
      </c>
      <c r="E3600">
        <v>99</v>
      </c>
    </row>
    <row r="3601" spans="1:5" x14ac:dyDescent="0.3">
      <c r="A3601" t="s">
        <v>9</v>
      </c>
      <c r="B3601" s="1">
        <v>44711</v>
      </c>
      <c r="C3601">
        <v>1</v>
      </c>
      <c r="D3601">
        <v>81.17</v>
      </c>
      <c r="E3601">
        <v>99</v>
      </c>
    </row>
    <row r="3602" spans="1:5" x14ac:dyDescent="0.3">
      <c r="A3602" t="s">
        <v>23</v>
      </c>
      <c r="B3602" s="1">
        <v>44711</v>
      </c>
      <c r="C3602">
        <v>1</v>
      </c>
      <c r="D3602">
        <v>109.41</v>
      </c>
      <c r="E3602">
        <v>123</v>
      </c>
    </row>
    <row r="3603" spans="1:5" x14ac:dyDescent="0.3">
      <c r="A3603" t="s">
        <v>57</v>
      </c>
      <c r="B3603" s="1">
        <v>44711</v>
      </c>
      <c r="C3603">
        <v>1</v>
      </c>
      <c r="D3603">
        <v>233.74</v>
      </c>
      <c r="E3603">
        <v>274</v>
      </c>
    </row>
    <row r="3604" spans="1:5" x14ac:dyDescent="0.3">
      <c r="A3604" t="s">
        <v>88</v>
      </c>
      <c r="B3604" s="1">
        <v>44711</v>
      </c>
      <c r="C3604">
        <v>0.4</v>
      </c>
      <c r="D3604">
        <v>136.57</v>
      </c>
      <c r="E3604">
        <v>215</v>
      </c>
    </row>
    <row r="3605" spans="1:5" x14ac:dyDescent="0.3">
      <c r="A3605" t="s">
        <v>5</v>
      </c>
      <c r="B3605" s="1">
        <v>44711</v>
      </c>
      <c r="C3605">
        <v>1</v>
      </c>
      <c r="D3605">
        <v>130.43</v>
      </c>
      <c r="E3605">
        <v>157</v>
      </c>
    </row>
    <row r="3606" spans="1:5" x14ac:dyDescent="0.3">
      <c r="A3606" t="s">
        <v>62</v>
      </c>
      <c r="B3606" s="1">
        <v>44711</v>
      </c>
      <c r="C3606">
        <v>1</v>
      </c>
      <c r="D3606">
        <v>25.62</v>
      </c>
      <c r="E3606">
        <v>31</v>
      </c>
    </row>
    <row r="3607" spans="1:5" x14ac:dyDescent="0.3">
      <c r="A3607" t="s">
        <v>156</v>
      </c>
      <c r="B3607" s="1">
        <v>44711</v>
      </c>
      <c r="C3607">
        <v>1</v>
      </c>
      <c r="D3607">
        <v>256.83</v>
      </c>
      <c r="E3607">
        <v>352</v>
      </c>
    </row>
    <row r="3608" spans="1:5" x14ac:dyDescent="0.3">
      <c r="A3608" t="s">
        <v>25</v>
      </c>
      <c r="B3608" s="1">
        <v>44711</v>
      </c>
      <c r="C3608">
        <v>1</v>
      </c>
      <c r="D3608">
        <v>147.18</v>
      </c>
      <c r="E3608">
        <v>177</v>
      </c>
    </row>
    <row r="3609" spans="1:5" x14ac:dyDescent="0.3">
      <c r="A3609" t="s">
        <v>131</v>
      </c>
      <c r="B3609" s="1">
        <v>44711</v>
      </c>
      <c r="C3609">
        <v>1</v>
      </c>
      <c r="D3609">
        <v>358.57</v>
      </c>
      <c r="E3609">
        <v>413</v>
      </c>
    </row>
    <row r="3610" spans="1:5" x14ac:dyDescent="0.3">
      <c r="A3610" t="s">
        <v>61</v>
      </c>
      <c r="B3610" s="1">
        <v>44711</v>
      </c>
      <c r="C3610">
        <v>1</v>
      </c>
      <c r="D3610">
        <v>33.14</v>
      </c>
      <c r="E3610">
        <v>53</v>
      </c>
    </row>
    <row r="3611" spans="1:5" x14ac:dyDescent="0.3">
      <c r="A3611" t="s">
        <v>140</v>
      </c>
      <c r="B3611" s="1">
        <v>44711</v>
      </c>
      <c r="C3611">
        <v>1</v>
      </c>
      <c r="D3611">
        <v>153.78</v>
      </c>
      <c r="E3611">
        <v>186</v>
      </c>
    </row>
    <row r="3612" spans="1:5" x14ac:dyDescent="0.3">
      <c r="A3612" t="s">
        <v>133</v>
      </c>
      <c r="B3612" s="1">
        <v>44711</v>
      </c>
      <c r="C3612">
        <v>1</v>
      </c>
      <c r="D3612">
        <v>6.19</v>
      </c>
      <c r="E3612">
        <v>11</v>
      </c>
    </row>
    <row r="3613" spans="1:5" x14ac:dyDescent="0.3">
      <c r="A3613" t="s">
        <v>23</v>
      </c>
      <c r="B3613" s="1">
        <v>44711</v>
      </c>
      <c r="C3613">
        <v>1</v>
      </c>
      <c r="D3613">
        <v>109.41</v>
      </c>
      <c r="E3613">
        <v>123</v>
      </c>
    </row>
    <row r="3614" spans="1:5" x14ac:dyDescent="0.3">
      <c r="A3614" t="s">
        <v>115</v>
      </c>
      <c r="B3614" s="1">
        <v>44711</v>
      </c>
      <c r="C3614">
        <v>1</v>
      </c>
      <c r="D3614">
        <v>71.459999999999994</v>
      </c>
      <c r="E3614">
        <v>88</v>
      </c>
    </row>
    <row r="3615" spans="1:5" x14ac:dyDescent="0.3">
      <c r="A3615" t="s">
        <v>57</v>
      </c>
      <c r="B3615" s="1">
        <v>44711</v>
      </c>
      <c r="C3615">
        <v>1</v>
      </c>
      <c r="D3615">
        <v>239.87</v>
      </c>
      <c r="E3615">
        <v>281</v>
      </c>
    </row>
    <row r="3616" spans="1:5" x14ac:dyDescent="0.3">
      <c r="A3616" t="s">
        <v>9</v>
      </c>
      <c r="B3616" s="1">
        <v>44711</v>
      </c>
      <c r="C3616">
        <v>1</v>
      </c>
      <c r="D3616">
        <v>80.69</v>
      </c>
      <c r="E3616">
        <v>98</v>
      </c>
    </row>
    <row r="3617" spans="1:5" x14ac:dyDescent="0.3">
      <c r="A3617" t="s">
        <v>122</v>
      </c>
      <c r="B3617" s="1">
        <v>44711</v>
      </c>
      <c r="C3617">
        <v>1</v>
      </c>
      <c r="D3617">
        <v>20.86</v>
      </c>
      <c r="E3617">
        <v>26</v>
      </c>
    </row>
    <row r="3618" spans="1:5" x14ac:dyDescent="0.3">
      <c r="A3618" t="s">
        <v>134</v>
      </c>
      <c r="B3618" s="1">
        <v>44711</v>
      </c>
      <c r="C3618">
        <v>1</v>
      </c>
      <c r="D3618">
        <v>33</v>
      </c>
      <c r="E3618">
        <v>51</v>
      </c>
    </row>
    <row r="3619" spans="1:5" x14ac:dyDescent="0.3">
      <c r="A3619" t="s">
        <v>7</v>
      </c>
      <c r="B3619" s="1">
        <v>44711</v>
      </c>
      <c r="C3619">
        <v>1</v>
      </c>
      <c r="D3619">
        <v>88.43</v>
      </c>
      <c r="E3619">
        <v>104</v>
      </c>
    </row>
    <row r="3620" spans="1:5" x14ac:dyDescent="0.3">
      <c r="A3620" t="s">
        <v>87</v>
      </c>
      <c r="B3620" s="1">
        <v>44711</v>
      </c>
      <c r="C3620">
        <v>1</v>
      </c>
      <c r="D3620">
        <v>323.67</v>
      </c>
      <c r="E3620">
        <v>389</v>
      </c>
    </row>
    <row r="3621" spans="1:5" x14ac:dyDescent="0.3">
      <c r="A3621" t="s">
        <v>104</v>
      </c>
      <c r="B3621" s="1">
        <v>44711</v>
      </c>
      <c r="C3621">
        <v>1</v>
      </c>
      <c r="D3621">
        <v>45.33</v>
      </c>
      <c r="E3621">
        <v>58</v>
      </c>
    </row>
    <row r="3622" spans="1:5" x14ac:dyDescent="0.3">
      <c r="A3622" t="s">
        <v>86</v>
      </c>
      <c r="B3622" s="1">
        <v>44711</v>
      </c>
      <c r="C3622">
        <v>2</v>
      </c>
      <c r="D3622">
        <v>47.4</v>
      </c>
      <c r="E3622">
        <v>82</v>
      </c>
    </row>
    <row r="3623" spans="1:5" x14ac:dyDescent="0.3">
      <c r="A3623" t="s">
        <v>25</v>
      </c>
      <c r="B3623" s="1">
        <v>44711</v>
      </c>
      <c r="C3623">
        <v>1</v>
      </c>
      <c r="D3623">
        <v>147.18</v>
      </c>
      <c r="E3623">
        <v>176</v>
      </c>
    </row>
    <row r="3624" spans="1:5" x14ac:dyDescent="0.3">
      <c r="A3624" t="s">
        <v>117</v>
      </c>
      <c r="B3624" s="1">
        <v>44711</v>
      </c>
      <c r="C3624">
        <v>1</v>
      </c>
      <c r="D3624">
        <v>23.14</v>
      </c>
      <c r="E3624">
        <v>28</v>
      </c>
    </row>
    <row r="3625" spans="1:5" x14ac:dyDescent="0.3">
      <c r="A3625" t="s">
        <v>117</v>
      </c>
      <c r="B3625" s="1">
        <v>44711</v>
      </c>
      <c r="C3625">
        <v>1</v>
      </c>
      <c r="D3625">
        <v>23.14</v>
      </c>
      <c r="E3625">
        <v>28</v>
      </c>
    </row>
    <row r="3626" spans="1:5" x14ac:dyDescent="0.3">
      <c r="A3626" t="s">
        <v>48</v>
      </c>
      <c r="B3626" s="1">
        <v>44711</v>
      </c>
      <c r="C3626">
        <v>1</v>
      </c>
      <c r="D3626">
        <v>39</v>
      </c>
      <c r="E3626">
        <v>60</v>
      </c>
    </row>
    <row r="3627" spans="1:5" x14ac:dyDescent="0.3">
      <c r="A3627" t="s">
        <v>12</v>
      </c>
      <c r="B3627" s="1">
        <v>44711</v>
      </c>
      <c r="C3627">
        <v>1</v>
      </c>
      <c r="D3627">
        <v>56.1</v>
      </c>
      <c r="E3627">
        <v>70</v>
      </c>
    </row>
    <row r="3628" spans="1:5" x14ac:dyDescent="0.3">
      <c r="A3628" t="s">
        <v>9</v>
      </c>
      <c r="B3628" s="1">
        <v>44711</v>
      </c>
      <c r="C3628">
        <v>1</v>
      </c>
      <c r="D3628">
        <v>80.69</v>
      </c>
      <c r="E3628">
        <v>98</v>
      </c>
    </row>
    <row r="3629" spans="1:5" x14ac:dyDescent="0.3">
      <c r="A3629" t="s">
        <v>29</v>
      </c>
      <c r="B3629" s="1">
        <v>44711</v>
      </c>
      <c r="C3629">
        <v>1</v>
      </c>
      <c r="D3629">
        <v>481.17</v>
      </c>
      <c r="E3629">
        <v>650</v>
      </c>
    </row>
    <row r="3630" spans="1:5" x14ac:dyDescent="0.3">
      <c r="A3630" t="s">
        <v>41</v>
      </c>
      <c r="B3630" s="1">
        <v>44711</v>
      </c>
      <c r="C3630">
        <v>1</v>
      </c>
      <c r="D3630">
        <v>11.69</v>
      </c>
      <c r="E3630">
        <v>19</v>
      </c>
    </row>
    <row r="3631" spans="1:5" x14ac:dyDescent="0.3">
      <c r="A3631" t="s">
        <v>39</v>
      </c>
      <c r="B3631" s="1">
        <v>44711</v>
      </c>
      <c r="C3631">
        <v>2</v>
      </c>
      <c r="D3631">
        <v>11.72</v>
      </c>
      <c r="E3631">
        <v>19</v>
      </c>
    </row>
    <row r="3632" spans="1:5" x14ac:dyDescent="0.3">
      <c r="A3632" t="s">
        <v>39</v>
      </c>
      <c r="B3632" s="1">
        <v>44711</v>
      </c>
      <c r="C3632">
        <v>3</v>
      </c>
      <c r="D3632">
        <v>11.94</v>
      </c>
      <c r="E3632">
        <v>20</v>
      </c>
    </row>
    <row r="3633" spans="1:5" x14ac:dyDescent="0.3">
      <c r="A3633" t="s">
        <v>73</v>
      </c>
      <c r="B3633" s="1">
        <v>44711</v>
      </c>
      <c r="C3633">
        <v>1</v>
      </c>
      <c r="D3633">
        <v>8.01</v>
      </c>
      <c r="E3633">
        <v>13</v>
      </c>
    </row>
    <row r="3634" spans="1:5" x14ac:dyDescent="0.3">
      <c r="A3634" t="s">
        <v>47</v>
      </c>
      <c r="B3634" s="1">
        <v>44711</v>
      </c>
      <c r="C3634">
        <v>1</v>
      </c>
      <c r="D3634">
        <v>42.85</v>
      </c>
      <c r="E3634">
        <v>67</v>
      </c>
    </row>
    <row r="3635" spans="1:5" x14ac:dyDescent="0.3">
      <c r="A3635" t="s">
        <v>122</v>
      </c>
      <c r="B3635" s="1">
        <v>44711</v>
      </c>
      <c r="C3635">
        <v>1</v>
      </c>
      <c r="D3635">
        <v>20.86</v>
      </c>
      <c r="E3635">
        <v>26</v>
      </c>
    </row>
    <row r="3636" spans="1:5" x14ac:dyDescent="0.3">
      <c r="A3636" t="s">
        <v>146</v>
      </c>
      <c r="B3636" s="1">
        <v>44711</v>
      </c>
      <c r="C3636">
        <v>1</v>
      </c>
      <c r="D3636">
        <v>410.25</v>
      </c>
      <c r="E3636">
        <v>460</v>
      </c>
    </row>
    <row r="3637" spans="1:5" x14ac:dyDescent="0.3">
      <c r="A3637" t="s">
        <v>72</v>
      </c>
      <c r="B3637" s="1">
        <v>44711</v>
      </c>
      <c r="C3637">
        <v>1</v>
      </c>
      <c r="D3637">
        <v>558.69000000000005</v>
      </c>
      <c r="E3637">
        <v>738</v>
      </c>
    </row>
    <row r="3638" spans="1:5" x14ac:dyDescent="0.3">
      <c r="A3638" t="s">
        <v>129</v>
      </c>
      <c r="B3638" s="1">
        <v>44711</v>
      </c>
      <c r="C3638">
        <v>0.2</v>
      </c>
      <c r="D3638">
        <v>491.7</v>
      </c>
      <c r="E3638">
        <v>592</v>
      </c>
    </row>
    <row r="3639" spans="1:5" x14ac:dyDescent="0.3">
      <c r="A3639" t="s">
        <v>46</v>
      </c>
      <c r="B3639" s="1">
        <v>44711</v>
      </c>
      <c r="C3639">
        <v>1</v>
      </c>
      <c r="D3639">
        <v>19.7</v>
      </c>
      <c r="E3639">
        <v>24</v>
      </c>
    </row>
    <row r="3640" spans="1:5" x14ac:dyDescent="0.3">
      <c r="A3640" t="s">
        <v>57</v>
      </c>
      <c r="B3640" s="1">
        <v>44711</v>
      </c>
      <c r="C3640">
        <v>1</v>
      </c>
      <c r="D3640">
        <v>230.46</v>
      </c>
      <c r="E3640">
        <v>270</v>
      </c>
    </row>
    <row r="3641" spans="1:5" x14ac:dyDescent="0.3">
      <c r="A3641" t="s">
        <v>147</v>
      </c>
      <c r="B3641" s="1">
        <v>44711</v>
      </c>
      <c r="C3641">
        <v>1</v>
      </c>
      <c r="D3641">
        <v>136.94999999999999</v>
      </c>
      <c r="E3641">
        <v>194</v>
      </c>
    </row>
    <row r="3642" spans="1:5" x14ac:dyDescent="0.3">
      <c r="A3642" t="s">
        <v>23</v>
      </c>
      <c r="B3642" s="1">
        <v>44711</v>
      </c>
      <c r="C3642">
        <v>1</v>
      </c>
      <c r="D3642">
        <v>109.41</v>
      </c>
      <c r="E3642">
        <v>123</v>
      </c>
    </row>
    <row r="3643" spans="1:5" x14ac:dyDescent="0.3">
      <c r="A3643" t="s">
        <v>19</v>
      </c>
      <c r="B3643" s="1">
        <v>44711</v>
      </c>
      <c r="C3643">
        <v>1</v>
      </c>
      <c r="D3643">
        <v>81.73</v>
      </c>
      <c r="E3643">
        <v>102</v>
      </c>
    </row>
    <row r="3644" spans="1:5" x14ac:dyDescent="0.3">
      <c r="A3644" t="s">
        <v>118</v>
      </c>
      <c r="B3644" s="1">
        <v>44711</v>
      </c>
      <c r="C3644">
        <v>1</v>
      </c>
      <c r="D3644">
        <v>10.66</v>
      </c>
      <c r="E3644">
        <v>13</v>
      </c>
    </row>
    <row r="3645" spans="1:5" x14ac:dyDescent="0.3">
      <c r="A3645" t="s">
        <v>103</v>
      </c>
      <c r="B3645" s="1">
        <v>44711</v>
      </c>
      <c r="C3645">
        <v>1</v>
      </c>
      <c r="D3645">
        <v>45.88</v>
      </c>
      <c r="E3645">
        <v>73</v>
      </c>
    </row>
    <row r="3646" spans="1:5" x14ac:dyDescent="0.3">
      <c r="A3646" t="s">
        <v>49</v>
      </c>
      <c r="B3646" s="1">
        <v>44711</v>
      </c>
      <c r="C3646">
        <v>1</v>
      </c>
      <c r="D3646">
        <v>15.82</v>
      </c>
      <c r="E3646">
        <v>20</v>
      </c>
    </row>
    <row r="3647" spans="1:5" x14ac:dyDescent="0.3">
      <c r="A3647" t="s">
        <v>100</v>
      </c>
      <c r="B3647" s="1">
        <v>44711</v>
      </c>
      <c r="C3647">
        <v>1</v>
      </c>
      <c r="D3647">
        <v>35.49</v>
      </c>
      <c r="E3647">
        <v>55</v>
      </c>
    </row>
    <row r="3648" spans="1:5" x14ac:dyDescent="0.3">
      <c r="A3648" t="s">
        <v>69</v>
      </c>
      <c r="B3648" s="1">
        <v>44711</v>
      </c>
      <c r="C3648">
        <v>1</v>
      </c>
      <c r="D3648">
        <v>19.989999999999998</v>
      </c>
      <c r="E3648">
        <v>24</v>
      </c>
    </row>
    <row r="3649" spans="1:5" x14ac:dyDescent="0.3">
      <c r="A3649" t="s">
        <v>27</v>
      </c>
      <c r="B3649" s="1">
        <v>44711</v>
      </c>
      <c r="C3649">
        <v>1</v>
      </c>
      <c r="D3649">
        <v>102.34</v>
      </c>
      <c r="E3649">
        <v>157</v>
      </c>
    </row>
    <row r="3650" spans="1:5" x14ac:dyDescent="0.3">
      <c r="A3650" t="s">
        <v>7</v>
      </c>
      <c r="B3650" s="1">
        <v>44711</v>
      </c>
      <c r="C3650">
        <v>1</v>
      </c>
      <c r="D3650">
        <v>88.43</v>
      </c>
      <c r="E3650">
        <v>104</v>
      </c>
    </row>
    <row r="3651" spans="1:5" x14ac:dyDescent="0.3">
      <c r="A3651" t="s">
        <v>7</v>
      </c>
      <c r="B3651" s="1">
        <v>44711</v>
      </c>
      <c r="C3651">
        <v>1</v>
      </c>
      <c r="D3651">
        <v>88.43</v>
      </c>
      <c r="E3651">
        <v>104</v>
      </c>
    </row>
    <row r="3652" spans="1:5" x14ac:dyDescent="0.3">
      <c r="A3652" t="s">
        <v>24</v>
      </c>
      <c r="B3652" s="1">
        <v>44711</v>
      </c>
      <c r="C3652">
        <v>1</v>
      </c>
      <c r="D3652">
        <v>103.46</v>
      </c>
      <c r="E3652">
        <v>121</v>
      </c>
    </row>
    <row r="3653" spans="1:5" x14ac:dyDescent="0.3">
      <c r="A3653" t="s">
        <v>148</v>
      </c>
      <c r="B3653" s="1">
        <v>44711</v>
      </c>
      <c r="C3653">
        <v>1</v>
      </c>
      <c r="D3653">
        <v>37.75</v>
      </c>
      <c r="E3653">
        <v>58</v>
      </c>
    </row>
    <row r="3654" spans="1:5" x14ac:dyDescent="0.3">
      <c r="A3654" t="s">
        <v>148</v>
      </c>
      <c r="B3654" s="1">
        <v>44711</v>
      </c>
      <c r="C3654">
        <v>1</v>
      </c>
      <c r="D3654">
        <v>37.75</v>
      </c>
      <c r="E3654">
        <v>58</v>
      </c>
    </row>
    <row r="3655" spans="1:5" x14ac:dyDescent="0.3">
      <c r="A3655" t="s">
        <v>148</v>
      </c>
      <c r="B3655" s="1">
        <v>44711</v>
      </c>
      <c r="C3655">
        <v>1</v>
      </c>
      <c r="D3655">
        <v>37.75</v>
      </c>
      <c r="E3655">
        <v>58</v>
      </c>
    </row>
    <row r="3656" spans="1:5" x14ac:dyDescent="0.3">
      <c r="A3656" t="s">
        <v>151</v>
      </c>
      <c r="B3656" s="1">
        <v>44711</v>
      </c>
      <c r="C3656">
        <v>1</v>
      </c>
      <c r="D3656">
        <v>23.23</v>
      </c>
      <c r="E3656">
        <v>29</v>
      </c>
    </row>
    <row r="3657" spans="1:5" x14ac:dyDescent="0.3">
      <c r="A3657" t="s">
        <v>151</v>
      </c>
      <c r="B3657" s="1">
        <v>44711</v>
      </c>
      <c r="C3657">
        <v>1</v>
      </c>
      <c r="D3657">
        <v>23.23</v>
      </c>
      <c r="E3657">
        <v>29</v>
      </c>
    </row>
    <row r="3658" spans="1:5" x14ac:dyDescent="0.3">
      <c r="A3658" t="s">
        <v>151</v>
      </c>
      <c r="B3658" s="1">
        <v>44711</v>
      </c>
      <c r="C3658">
        <v>1</v>
      </c>
      <c r="D3658">
        <v>23.23</v>
      </c>
      <c r="E3658">
        <v>29</v>
      </c>
    </row>
    <row r="3659" spans="1:5" x14ac:dyDescent="0.3">
      <c r="A3659" t="s">
        <v>151</v>
      </c>
      <c r="B3659" s="1">
        <v>44711</v>
      </c>
      <c r="C3659">
        <v>1</v>
      </c>
      <c r="D3659">
        <v>23.23</v>
      </c>
      <c r="E3659">
        <v>29</v>
      </c>
    </row>
    <row r="3660" spans="1:5" x14ac:dyDescent="0.3">
      <c r="A3660" t="s">
        <v>151</v>
      </c>
      <c r="B3660" s="1">
        <v>44711</v>
      </c>
      <c r="C3660">
        <v>1</v>
      </c>
      <c r="D3660">
        <v>23.23</v>
      </c>
      <c r="E3660">
        <v>29</v>
      </c>
    </row>
    <row r="3661" spans="1:5" x14ac:dyDescent="0.3">
      <c r="A3661" t="s">
        <v>49</v>
      </c>
      <c r="B3661" s="1">
        <v>44711</v>
      </c>
      <c r="C3661">
        <v>1</v>
      </c>
      <c r="D3661">
        <v>17.93</v>
      </c>
      <c r="E3661">
        <v>22</v>
      </c>
    </row>
    <row r="3662" spans="1:5" x14ac:dyDescent="0.3">
      <c r="A3662" t="s">
        <v>49</v>
      </c>
      <c r="B3662" s="1">
        <v>44711</v>
      </c>
      <c r="C3662">
        <v>1</v>
      </c>
      <c r="D3662">
        <v>16.579999999999998</v>
      </c>
      <c r="E3662">
        <v>20</v>
      </c>
    </row>
    <row r="3663" spans="1:5" x14ac:dyDescent="0.3">
      <c r="A3663" t="s">
        <v>49</v>
      </c>
      <c r="B3663" s="1">
        <v>44711</v>
      </c>
      <c r="C3663">
        <v>1</v>
      </c>
      <c r="D3663">
        <v>16.579999999999998</v>
      </c>
      <c r="E3663">
        <v>20</v>
      </c>
    </row>
    <row r="3664" spans="1:5" x14ac:dyDescent="0.3">
      <c r="A3664" t="s">
        <v>23</v>
      </c>
      <c r="B3664" s="1">
        <v>44711</v>
      </c>
      <c r="C3664">
        <v>1</v>
      </c>
      <c r="D3664">
        <v>109.41</v>
      </c>
      <c r="E3664">
        <v>123</v>
      </c>
    </row>
    <row r="3665" spans="1:5" x14ac:dyDescent="0.3">
      <c r="A3665" t="s">
        <v>84</v>
      </c>
      <c r="B3665" s="1">
        <v>44711</v>
      </c>
      <c r="C3665">
        <v>1</v>
      </c>
      <c r="D3665">
        <v>153.22999999999999</v>
      </c>
      <c r="E3665">
        <v>177</v>
      </c>
    </row>
    <row r="3666" spans="1:5" x14ac:dyDescent="0.3">
      <c r="A3666" t="s">
        <v>27</v>
      </c>
      <c r="B3666" s="1">
        <v>44711</v>
      </c>
      <c r="C3666">
        <v>1</v>
      </c>
      <c r="D3666">
        <v>102.34</v>
      </c>
      <c r="E3666">
        <v>157</v>
      </c>
    </row>
    <row r="3667" spans="1:5" x14ac:dyDescent="0.3">
      <c r="A3667" t="s">
        <v>23</v>
      </c>
      <c r="B3667" s="1">
        <v>44711</v>
      </c>
      <c r="C3667">
        <v>1</v>
      </c>
      <c r="D3667">
        <v>169.95</v>
      </c>
      <c r="E3667">
        <v>178</v>
      </c>
    </row>
    <row r="3668" spans="1:5" x14ac:dyDescent="0.3">
      <c r="A3668" t="s">
        <v>151</v>
      </c>
      <c r="B3668" s="1">
        <v>44711</v>
      </c>
      <c r="C3668">
        <v>1</v>
      </c>
      <c r="D3668">
        <v>24.03</v>
      </c>
      <c r="E3668">
        <v>29</v>
      </c>
    </row>
    <row r="3669" spans="1:5" x14ac:dyDescent="0.3">
      <c r="A3669" t="s">
        <v>11</v>
      </c>
      <c r="B3669" s="1">
        <v>44711</v>
      </c>
      <c r="C3669">
        <v>1</v>
      </c>
      <c r="D3669">
        <v>24.2</v>
      </c>
      <c r="E3669">
        <v>39</v>
      </c>
    </row>
    <row r="3670" spans="1:5" x14ac:dyDescent="0.3">
      <c r="A3670" t="s">
        <v>122</v>
      </c>
      <c r="B3670" s="1">
        <v>44711</v>
      </c>
      <c r="C3670">
        <v>1</v>
      </c>
      <c r="D3670">
        <v>20.91</v>
      </c>
      <c r="E3670">
        <v>26</v>
      </c>
    </row>
    <row r="3671" spans="1:5" x14ac:dyDescent="0.3">
      <c r="A3671" t="s">
        <v>67</v>
      </c>
      <c r="B3671" s="1">
        <v>44711</v>
      </c>
      <c r="C3671">
        <v>1</v>
      </c>
      <c r="D3671">
        <v>55.04</v>
      </c>
      <c r="E3671">
        <v>80</v>
      </c>
    </row>
    <row r="3672" spans="1:5" x14ac:dyDescent="0.3">
      <c r="A3672" t="s">
        <v>149</v>
      </c>
      <c r="B3672" s="1">
        <v>44711</v>
      </c>
      <c r="C3672">
        <v>1</v>
      </c>
      <c r="D3672">
        <v>212.71</v>
      </c>
      <c r="E3672">
        <v>288</v>
      </c>
    </row>
    <row r="3673" spans="1:5" x14ac:dyDescent="0.3">
      <c r="A3673" t="s">
        <v>149</v>
      </c>
      <c r="B3673" s="1">
        <v>44711</v>
      </c>
      <c r="C3673">
        <v>1</v>
      </c>
      <c r="D3673">
        <v>212.71</v>
      </c>
      <c r="E3673">
        <v>288</v>
      </c>
    </row>
    <row r="3674" spans="1:5" x14ac:dyDescent="0.3">
      <c r="A3674" t="s">
        <v>149</v>
      </c>
      <c r="B3674" s="1">
        <v>44711</v>
      </c>
      <c r="C3674">
        <v>1</v>
      </c>
      <c r="D3674">
        <v>218.9</v>
      </c>
      <c r="E3674">
        <v>296</v>
      </c>
    </row>
    <row r="3675" spans="1:5" x14ac:dyDescent="0.3">
      <c r="A3675" t="s">
        <v>116</v>
      </c>
      <c r="B3675" s="1">
        <v>44711</v>
      </c>
      <c r="C3675">
        <v>1</v>
      </c>
      <c r="D3675">
        <v>109.07</v>
      </c>
      <c r="E3675">
        <v>128</v>
      </c>
    </row>
    <row r="3676" spans="1:5" x14ac:dyDescent="0.3">
      <c r="A3676" t="s">
        <v>20</v>
      </c>
      <c r="B3676" s="1">
        <v>44711</v>
      </c>
      <c r="C3676">
        <v>1</v>
      </c>
      <c r="D3676">
        <v>21.04</v>
      </c>
      <c r="E3676">
        <v>28</v>
      </c>
    </row>
    <row r="3677" spans="1:5" x14ac:dyDescent="0.3">
      <c r="A3677" t="s">
        <v>63</v>
      </c>
      <c r="B3677" s="1">
        <v>44711</v>
      </c>
      <c r="C3677">
        <v>1</v>
      </c>
      <c r="D3677">
        <v>71.45</v>
      </c>
      <c r="E3677">
        <v>90</v>
      </c>
    </row>
    <row r="3678" spans="1:5" x14ac:dyDescent="0.3">
      <c r="A3678" t="s">
        <v>23</v>
      </c>
      <c r="B3678" s="1">
        <v>44711</v>
      </c>
      <c r="C3678">
        <v>1</v>
      </c>
      <c r="D3678">
        <v>109.41</v>
      </c>
      <c r="E3678">
        <v>123</v>
      </c>
    </row>
    <row r="3679" spans="1:5" x14ac:dyDescent="0.3">
      <c r="A3679" t="s">
        <v>55</v>
      </c>
      <c r="B3679" s="1">
        <v>44711</v>
      </c>
      <c r="C3679">
        <v>1</v>
      </c>
      <c r="D3679">
        <v>80.05</v>
      </c>
      <c r="E3679">
        <v>98</v>
      </c>
    </row>
    <row r="3680" spans="1:5" x14ac:dyDescent="0.3">
      <c r="A3680" t="s">
        <v>55</v>
      </c>
      <c r="B3680" s="1">
        <v>44711</v>
      </c>
      <c r="C3680">
        <v>1</v>
      </c>
      <c r="D3680">
        <v>80.05</v>
      </c>
      <c r="E3680">
        <v>98</v>
      </c>
    </row>
    <row r="3681" spans="1:5" x14ac:dyDescent="0.3">
      <c r="A3681" t="s">
        <v>109</v>
      </c>
      <c r="B3681" s="1">
        <v>44711</v>
      </c>
      <c r="C3681">
        <v>1</v>
      </c>
      <c r="D3681">
        <v>87.78</v>
      </c>
      <c r="E3681">
        <v>99</v>
      </c>
    </row>
    <row r="3682" spans="1:5" x14ac:dyDescent="0.3">
      <c r="A3682" t="s">
        <v>5</v>
      </c>
      <c r="B3682" s="1">
        <v>44711</v>
      </c>
      <c r="C3682">
        <v>1</v>
      </c>
      <c r="D3682">
        <v>145.6</v>
      </c>
      <c r="E3682">
        <v>172</v>
      </c>
    </row>
    <row r="3683" spans="1:5" x14ac:dyDescent="0.3">
      <c r="A3683" t="s">
        <v>7</v>
      </c>
      <c r="B3683" s="1">
        <v>44711</v>
      </c>
      <c r="C3683">
        <v>1</v>
      </c>
      <c r="D3683">
        <v>88.73</v>
      </c>
      <c r="E3683">
        <v>106</v>
      </c>
    </row>
    <row r="3684" spans="1:5" x14ac:dyDescent="0.3">
      <c r="A3684" t="s">
        <v>47</v>
      </c>
      <c r="B3684" s="1">
        <v>44711</v>
      </c>
      <c r="C3684">
        <v>1</v>
      </c>
      <c r="D3684">
        <v>43</v>
      </c>
      <c r="E3684">
        <v>66</v>
      </c>
    </row>
    <row r="3685" spans="1:5" x14ac:dyDescent="0.3">
      <c r="A3685" t="s">
        <v>93</v>
      </c>
      <c r="B3685" s="1">
        <v>44711</v>
      </c>
      <c r="C3685">
        <v>1</v>
      </c>
      <c r="D3685">
        <v>71.040000000000006</v>
      </c>
      <c r="E3685">
        <v>101</v>
      </c>
    </row>
    <row r="3686" spans="1:5" x14ac:dyDescent="0.3">
      <c r="A3686" t="s">
        <v>8</v>
      </c>
      <c r="B3686" s="1">
        <v>44711</v>
      </c>
      <c r="C3686">
        <v>1</v>
      </c>
      <c r="D3686">
        <v>47.83</v>
      </c>
      <c r="E3686">
        <v>78</v>
      </c>
    </row>
    <row r="3687" spans="1:5" x14ac:dyDescent="0.3">
      <c r="A3687" t="s">
        <v>8</v>
      </c>
      <c r="B3687" s="1">
        <v>44711</v>
      </c>
      <c r="C3687">
        <v>1</v>
      </c>
      <c r="D3687">
        <v>47.82</v>
      </c>
      <c r="E3687">
        <v>77</v>
      </c>
    </row>
    <row r="3688" spans="1:5" x14ac:dyDescent="0.3">
      <c r="A3688" t="s">
        <v>53</v>
      </c>
      <c r="B3688" s="1">
        <v>44711</v>
      </c>
      <c r="C3688">
        <v>1</v>
      </c>
      <c r="D3688">
        <v>23.4</v>
      </c>
      <c r="E3688">
        <v>38</v>
      </c>
    </row>
    <row r="3689" spans="1:5" x14ac:dyDescent="0.3">
      <c r="A3689" t="s">
        <v>26</v>
      </c>
      <c r="B3689" s="1">
        <v>44711</v>
      </c>
      <c r="C3689">
        <v>0.2</v>
      </c>
      <c r="D3689">
        <v>986.58</v>
      </c>
      <c r="E3689">
        <v>1352</v>
      </c>
    </row>
    <row r="3690" spans="1:5" x14ac:dyDescent="0.3">
      <c r="A3690" t="s">
        <v>77</v>
      </c>
      <c r="B3690" s="1">
        <v>44711</v>
      </c>
      <c r="C3690">
        <v>1</v>
      </c>
      <c r="D3690">
        <v>60.99</v>
      </c>
      <c r="E3690">
        <v>76</v>
      </c>
    </row>
    <row r="3691" spans="1:5" x14ac:dyDescent="0.3">
      <c r="A3691" t="s">
        <v>31</v>
      </c>
      <c r="B3691" s="1">
        <v>44711</v>
      </c>
      <c r="C3691">
        <v>1</v>
      </c>
      <c r="D3691">
        <v>13.19</v>
      </c>
      <c r="E3691">
        <v>18</v>
      </c>
    </row>
    <row r="3692" spans="1:5" x14ac:dyDescent="0.3">
      <c r="A3692" t="s">
        <v>31</v>
      </c>
      <c r="B3692" s="1">
        <v>44711</v>
      </c>
      <c r="C3692">
        <v>1</v>
      </c>
      <c r="D3692">
        <v>13.19</v>
      </c>
      <c r="E3692">
        <v>18</v>
      </c>
    </row>
    <row r="3693" spans="1:5" x14ac:dyDescent="0.3">
      <c r="A3693" t="s">
        <v>31</v>
      </c>
      <c r="B3693" s="1">
        <v>44711</v>
      </c>
      <c r="C3693">
        <v>1</v>
      </c>
      <c r="D3693">
        <v>13.19</v>
      </c>
      <c r="E3693">
        <v>18</v>
      </c>
    </row>
    <row r="3694" spans="1:5" x14ac:dyDescent="0.3">
      <c r="A3694" t="s">
        <v>31</v>
      </c>
      <c r="B3694" s="1">
        <v>44711</v>
      </c>
      <c r="C3694">
        <v>1</v>
      </c>
      <c r="D3694">
        <v>13.19</v>
      </c>
      <c r="E3694">
        <v>18</v>
      </c>
    </row>
    <row r="3695" spans="1:5" x14ac:dyDescent="0.3">
      <c r="A3695" t="s">
        <v>31</v>
      </c>
      <c r="B3695" s="1">
        <v>44711</v>
      </c>
      <c r="C3695">
        <v>1</v>
      </c>
      <c r="D3695">
        <v>13.19</v>
      </c>
      <c r="E3695">
        <v>18</v>
      </c>
    </row>
    <row r="3696" spans="1:5" x14ac:dyDescent="0.3">
      <c r="A3696" t="s">
        <v>31</v>
      </c>
      <c r="B3696" s="1">
        <v>44711</v>
      </c>
      <c r="C3696">
        <v>1</v>
      </c>
      <c r="D3696">
        <v>13.19</v>
      </c>
      <c r="E3696">
        <v>18</v>
      </c>
    </row>
    <row r="3697" spans="1:5" x14ac:dyDescent="0.3">
      <c r="A3697" t="s">
        <v>31</v>
      </c>
      <c r="B3697" s="1">
        <v>44711</v>
      </c>
      <c r="C3697">
        <v>1</v>
      </c>
      <c r="D3697">
        <v>13.19</v>
      </c>
      <c r="E3697">
        <v>18</v>
      </c>
    </row>
    <row r="3698" spans="1:5" x14ac:dyDescent="0.3">
      <c r="A3698" t="s">
        <v>31</v>
      </c>
      <c r="B3698" s="1">
        <v>44711</v>
      </c>
      <c r="C3698">
        <v>1</v>
      </c>
      <c r="D3698">
        <v>13.19</v>
      </c>
      <c r="E3698">
        <v>18</v>
      </c>
    </row>
    <row r="3699" spans="1:5" x14ac:dyDescent="0.3">
      <c r="A3699" t="s">
        <v>31</v>
      </c>
      <c r="B3699" s="1">
        <v>44711</v>
      </c>
      <c r="C3699">
        <v>1</v>
      </c>
      <c r="D3699">
        <v>13.19</v>
      </c>
      <c r="E3699">
        <v>18</v>
      </c>
    </row>
    <row r="3700" spans="1:5" x14ac:dyDescent="0.3">
      <c r="A3700" t="s">
        <v>31</v>
      </c>
      <c r="B3700" s="1">
        <v>44711</v>
      </c>
      <c r="C3700">
        <v>1</v>
      </c>
      <c r="D3700">
        <v>13.19</v>
      </c>
      <c r="E3700">
        <v>18</v>
      </c>
    </row>
    <row r="3701" spans="1:5" x14ac:dyDescent="0.3">
      <c r="A3701" t="s">
        <v>65</v>
      </c>
      <c r="B3701" s="1">
        <v>44711</v>
      </c>
      <c r="C3701">
        <v>1</v>
      </c>
      <c r="D3701">
        <v>187.12</v>
      </c>
      <c r="E3701">
        <v>219</v>
      </c>
    </row>
    <row r="3702" spans="1:5" x14ac:dyDescent="0.3">
      <c r="A3702" t="s">
        <v>26</v>
      </c>
      <c r="B3702" s="1">
        <v>44711</v>
      </c>
      <c r="C3702">
        <v>0.1</v>
      </c>
      <c r="D3702">
        <v>984.79</v>
      </c>
      <c r="E3702">
        <v>1300</v>
      </c>
    </row>
    <row r="3703" spans="1:5" x14ac:dyDescent="0.3">
      <c r="A3703" t="s">
        <v>48</v>
      </c>
      <c r="B3703" s="1">
        <v>44711</v>
      </c>
      <c r="C3703">
        <v>1</v>
      </c>
      <c r="D3703">
        <v>39.83</v>
      </c>
      <c r="E3703">
        <v>63</v>
      </c>
    </row>
    <row r="3704" spans="1:5" x14ac:dyDescent="0.3">
      <c r="A3704" t="s">
        <v>97</v>
      </c>
      <c r="B3704" s="1">
        <v>44711</v>
      </c>
      <c r="C3704">
        <v>1</v>
      </c>
      <c r="D3704">
        <v>426.66</v>
      </c>
      <c r="E3704">
        <v>564</v>
      </c>
    </row>
    <row r="3705" spans="1:5" x14ac:dyDescent="0.3">
      <c r="A3705" t="s">
        <v>19</v>
      </c>
      <c r="B3705" s="1">
        <v>44711</v>
      </c>
      <c r="C3705">
        <v>1</v>
      </c>
      <c r="D3705">
        <v>81.290000000000006</v>
      </c>
      <c r="E3705">
        <v>103</v>
      </c>
    </row>
    <row r="3706" spans="1:5" x14ac:dyDescent="0.3">
      <c r="A3706" t="s">
        <v>19</v>
      </c>
      <c r="B3706" s="1">
        <v>44711</v>
      </c>
      <c r="C3706">
        <v>1</v>
      </c>
      <c r="D3706">
        <v>81.290000000000006</v>
      </c>
      <c r="E3706">
        <v>103</v>
      </c>
    </row>
    <row r="3707" spans="1:5" x14ac:dyDescent="0.3">
      <c r="A3707" t="s">
        <v>142</v>
      </c>
      <c r="B3707" s="1">
        <v>44711</v>
      </c>
      <c r="C3707">
        <v>1</v>
      </c>
      <c r="D3707">
        <v>12.86</v>
      </c>
      <c r="E3707">
        <v>15</v>
      </c>
    </row>
    <row r="3708" spans="1:5" x14ac:dyDescent="0.3">
      <c r="A3708" t="s">
        <v>142</v>
      </c>
      <c r="B3708" s="1">
        <v>44711</v>
      </c>
      <c r="C3708">
        <v>1</v>
      </c>
      <c r="D3708">
        <v>12.86</v>
      </c>
      <c r="E3708">
        <v>15</v>
      </c>
    </row>
    <row r="3709" spans="1:5" x14ac:dyDescent="0.3">
      <c r="A3709" t="s">
        <v>142</v>
      </c>
      <c r="B3709" s="1">
        <v>44711</v>
      </c>
      <c r="C3709">
        <v>1</v>
      </c>
      <c r="D3709">
        <v>12.86</v>
      </c>
      <c r="E3709">
        <v>15</v>
      </c>
    </row>
    <row r="3710" spans="1:5" x14ac:dyDescent="0.3">
      <c r="A3710" t="s">
        <v>153</v>
      </c>
      <c r="B3710" s="1">
        <v>44711</v>
      </c>
      <c r="C3710">
        <v>1</v>
      </c>
      <c r="D3710">
        <v>10.34</v>
      </c>
      <c r="E3710">
        <v>12</v>
      </c>
    </row>
    <row r="3711" spans="1:5" x14ac:dyDescent="0.3">
      <c r="A3711" t="s">
        <v>153</v>
      </c>
      <c r="B3711" s="1">
        <v>44711</v>
      </c>
      <c r="C3711">
        <v>1</v>
      </c>
      <c r="D3711">
        <v>10.34</v>
      </c>
      <c r="E3711">
        <v>12</v>
      </c>
    </row>
    <row r="3712" spans="1:5" x14ac:dyDescent="0.3">
      <c r="A3712" t="s">
        <v>19</v>
      </c>
      <c r="B3712" s="1">
        <v>44711</v>
      </c>
      <c r="C3712">
        <v>1</v>
      </c>
      <c r="D3712">
        <v>82.26</v>
      </c>
      <c r="E3712">
        <v>103</v>
      </c>
    </row>
    <row r="3713" spans="1:5" x14ac:dyDescent="0.3">
      <c r="A3713" t="s">
        <v>153</v>
      </c>
      <c r="B3713" s="1">
        <v>44711</v>
      </c>
      <c r="C3713">
        <v>1</v>
      </c>
      <c r="D3713">
        <v>9.4600000000000009</v>
      </c>
      <c r="E3713">
        <v>11</v>
      </c>
    </row>
    <row r="3714" spans="1:5" x14ac:dyDescent="0.3">
      <c r="A3714" t="s">
        <v>139</v>
      </c>
      <c r="B3714" s="1">
        <v>44711</v>
      </c>
      <c r="C3714">
        <v>1</v>
      </c>
      <c r="D3714">
        <v>24.18</v>
      </c>
      <c r="E3714">
        <v>39</v>
      </c>
    </row>
    <row r="3715" spans="1:5" x14ac:dyDescent="0.3">
      <c r="A3715" t="s">
        <v>63</v>
      </c>
      <c r="B3715" s="1">
        <v>44711</v>
      </c>
      <c r="C3715">
        <v>1</v>
      </c>
      <c r="D3715">
        <v>71.45</v>
      </c>
      <c r="E3715">
        <v>90</v>
      </c>
    </row>
    <row r="3716" spans="1:5" x14ac:dyDescent="0.3">
      <c r="A3716" t="s">
        <v>63</v>
      </c>
      <c r="B3716" s="1">
        <v>44711</v>
      </c>
      <c r="C3716">
        <v>1</v>
      </c>
      <c r="D3716">
        <v>71.45</v>
      </c>
      <c r="E3716">
        <v>90</v>
      </c>
    </row>
    <row r="3717" spans="1:5" x14ac:dyDescent="0.3">
      <c r="A3717" t="s">
        <v>11</v>
      </c>
      <c r="B3717" s="1">
        <v>44711</v>
      </c>
      <c r="C3717">
        <v>1</v>
      </c>
      <c r="D3717">
        <v>24.2</v>
      </c>
      <c r="E3717">
        <v>39</v>
      </c>
    </row>
    <row r="3718" spans="1:5" x14ac:dyDescent="0.3">
      <c r="A3718" t="s">
        <v>39</v>
      </c>
      <c r="B3718" s="1">
        <v>44711</v>
      </c>
      <c r="C3718">
        <v>2</v>
      </c>
      <c r="D3718">
        <v>9.9499999999999993</v>
      </c>
      <c r="E3718">
        <v>17</v>
      </c>
    </row>
    <row r="3719" spans="1:5" x14ac:dyDescent="0.3">
      <c r="A3719" t="s">
        <v>31</v>
      </c>
      <c r="B3719" s="1">
        <v>44711</v>
      </c>
      <c r="C3719">
        <v>1</v>
      </c>
      <c r="D3719">
        <v>14.4</v>
      </c>
      <c r="E3719">
        <v>19</v>
      </c>
    </row>
    <row r="3720" spans="1:5" x14ac:dyDescent="0.3">
      <c r="A3720" t="s">
        <v>46</v>
      </c>
      <c r="B3720" s="1">
        <v>44711</v>
      </c>
      <c r="C3720">
        <v>1</v>
      </c>
      <c r="D3720">
        <v>19.43</v>
      </c>
      <c r="E3720">
        <v>24</v>
      </c>
    </row>
    <row r="3721" spans="1:5" x14ac:dyDescent="0.3">
      <c r="A3721" t="s">
        <v>10</v>
      </c>
      <c r="B3721" s="1">
        <v>44711</v>
      </c>
      <c r="C3721">
        <v>1</v>
      </c>
      <c r="D3721">
        <v>11.67</v>
      </c>
      <c r="E3721">
        <v>14</v>
      </c>
    </row>
    <row r="3722" spans="1:5" x14ac:dyDescent="0.3">
      <c r="A3722" t="s">
        <v>122</v>
      </c>
      <c r="B3722" s="1">
        <v>44711</v>
      </c>
      <c r="C3722">
        <v>1</v>
      </c>
      <c r="D3722">
        <v>20.86</v>
      </c>
      <c r="E3722">
        <v>26</v>
      </c>
    </row>
    <row r="3723" spans="1:5" x14ac:dyDescent="0.3">
      <c r="A3723" t="s">
        <v>49</v>
      </c>
      <c r="B3723" s="1">
        <v>44711</v>
      </c>
      <c r="C3723">
        <v>1</v>
      </c>
      <c r="D3723">
        <v>15.82</v>
      </c>
      <c r="E3723">
        <v>20</v>
      </c>
    </row>
    <row r="3724" spans="1:5" x14ac:dyDescent="0.3">
      <c r="A3724" t="s">
        <v>32</v>
      </c>
      <c r="B3724" s="1">
        <v>44711</v>
      </c>
      <c r="C3724">
        <v>1</v>
      </c>
      <c r="D3724">
        <v>149.72999999999999</v>
      </c>
      <c r="E3724">
        <v>236</v>
      </c>
    </row>
    <row r="3725" spans="1:5" x14ac:dyDescent="0.3">
      <c r="A3725" t="s">
        <v>83</v>
      </c>
      <c r="B3725" s="1">
        <v>44711</v>
      </c>
      <c r="C3725">
        <v>1</v>
      </c>
      <c r="D3725">
        <v>201.63</v>
      </c>
      <c r="E3725">
        <v>240</v>
      </c>
    </row>
    <row r="3726" spans="1:5" x14ac:dyDescent="0.3">
      <c r="A3726" t="s">
        <v>30</v>
      </c>
      <c r="B3726" s="1">
        <v>44711</v>
      </c>
      <c r="C3726">
        <v>1</v>
      </c>
      <c r="D3726">
        <v>156.19999999999999</v>
      </c>
      <c r="E3726">
        <v>186</v>
      </c>
    </row>
    <row r="3727" spans="1:5" x14ac:dyDescent="0.3">
      <c r="A3727" t="s">
        <v>35</v>
      </c>
      <c r="B3727" s="1">
        <v>44711</v>
      </c>
      <c r="C3727">
        <v>1</v>
      </c>
      <c r="D3727">
        <v>33.11</v>
      </c>
      <c r="E3727">
        <v>51</v>
      </c>
    </row>
    <row r="3728" spans="1:5" x14ac:dyDescent="0.3">
      <c r="A3728" t="s">
        <v>99</v>
      </c>
      <c r="B3728" s="1">
        <v>44711</v>
      </c>
      <c r="C3728">
        <v>1</v>
      </c>
      <c r="D3728">
        <v>74.3</v>
      </c>
      <c r="E3728">
        <v>91</v>
      </c>
    </row>
    <row r="3729" spans="1:5" x14ac:dyDescent="0.3">
      <c r="A3729" t="s">
        <v>51</v>
      </c>
      <c r="B3729" s="1">
        <v>44711</v>
      </c>
      <c r="C3729">
        <v>8</v>
      </c>
      <c r="D3729">
        <v>2.0099999999999998</v>
      </c>
      <c r="E3729">
        <v>4</v>
      </c>
    </row>
    <row r="3730" spans="1:5" x14ac:dyDescent="0.3">
      <c r="A3730" t="s">
        <v>57</v>
      </c>
      <c r="B3730" s="1">
        <v>44711</v>
      </c>
      <c r="C3730">
        <v>1</v>
      </c>
      <c r="D3730">
        <v>233.74</v>
      </c>
      <c r="E3730">
        <v>274</v>
      </c>
    </row>
    <row r="3731" spans="1:5" x14ac:dyDescent="0.3">
      <c r="A3731" t="s">
        <v>99</v>
      </c>
      <c r="B3731" s="1">
        <v>44711</v>
      </c>
      <c r="C3731">
        <v>1</v>
      </c>
      <c r="D3731">
        <v>64.25</v>
      </c>
      <c r="E3731">
        <v>76</v>
      </c>
    </row>
    <row r="3732" spans="1:5" x14ac:dyDescent="0.3">
      <c r="A3732" t="s">
        <v>62</v>
      </c>
      <c r="B3732" s="1">
        <v>44711</v>
      </c>
      <c r="C3732">
        <v>1</v>
      </c>
      <c r="D3732">
        <v>25.62</v>
      </c>
      <c r="E3732">
        <v>31</v>
      </c>
    </row>
    <row r="3733" spans="1:5" x14ac:dyDescent="0.3">
      <c r="A3733" t="s">
        <v>16</v>
      </c>
      <c r="B3733" s="1">
        <v>44711</v>
      </c>
      <c r="C3733">
        <v>1</v>
      </c>
      <c r="D3733">
        <v>43.49</v>
      </c>
      <c r="E3733">
        <v>67</v>
      </c>
    </row>
    <row r="3734" spans="1:5" x14ac:dyDescent="0.3">
      <c r="A3734" t="s">
        <v>16</v>
      </c>
      <c r="B3734" s="1">
        <v>44711</v>
      </c>
      <c r="C3734">
        <v>1</v>
      </c>
      <c r="D3734">
        <v>43.22</v>
      </c>
      <c r="E3734">
        <v>66</v>
      </c>
    </row>
    <row r="3735" spans="1:5" x14ac:dyDescent="0.3">
      <c r="A3735" t="s">
        <v>10</v>
      </c>
      <c r="B3735" s="1">
        <v>44711</v>
      </c>
      <c r="C3735">
        <v>1</v>
      </c>
      <c r="D3735">
        <v>11.67</v>
      </c>
      <c r="E3735">
        <v>14</v>
      </c>
    </row>
    <row r="3736" spans="1:5" x14ac:dyDescent="0.3">
      <c r="A3736" t="s">
        <v>57</v>
      </c>
      <c r="B3736" s="1">
        <v>44711</v>
      </c>
      <c r="C3736">
        <v>1</v>
      </c>
      <c r="D3736">
        <v>233.74</v>
      </c>
      <c r="E3736">
        <v>262</v>
      </c>
    </row>
    <row r="3737" spans="1:5" x14ac:dyDescent="0.3">
      <c r="A3737" t="s">
        <v>41</v>
      </c>
      <c r="B3737" s="1">
        <v>44711</v>
      </c>
      <c r="C3737">
        <v>1</v>
      </c>
      <c r="D3737">
        <v>10.9</v>
      </c>
      <c r="E3737">
        <v>18</v>
      </c>
    </row>
    <row r="3738" spans="1:5" x14ac:dyDescent="0.3">
      <c r="A3738" t="s">
        <v>149</v>
      </c>
      <c r="B3738" s="1">
        <v>44711</v>
      </c>
      <c r="C3738">
        <v>1</v>
      </c>
      <c r="D3738">
        <v>223.14</v>
      </c>
      <c r="E3738">
        <v>313</v>
      </c>
    </row>
    <row r="3739" spans="1:5" x14ac:dyDescent="0.3">
      <c r="A3739" t="s">
        <v>102</v>
      </c>
      <c r="B3739" s="1">
        <v>44711</v>
      </c>
      <c r="C3739">
        <v>1</v>
      </c>
      <c r="D3739">
        <v>26.11</v>
      </c>
      <c r="E3739">
        <v>32</v>
      </c>
    </row>
    <row r="3740" spans="1:5" x14ac:dyDescent="0.3">
      <c r="A3740" t="s">
        <v>102</v>
      </c>
      <c r="B3740" s="1">
        <v>44711</v>
      </c>
      <c r="C3740">
        <v>1</v>
      </c>
      <c r="D3740">
        <v>26.11</v>
      </c>
      <c r="E3740">
        <v>32</v>
      </c>
    </row>
    <row r="3741" spans="1:5" x14ac:dyDescent="0.3">
      <c r="A3741" t="s">
        <v>102</v>
      </c>
      <c r="B3741" s="1">
        <v>44711</v>
      </c>
      <c r="C3741">
        <v>1</v>
      </c>
      <c r="D3741">
        <v>26.11</v>
      </c>
      <c r="E3741">
        <v>32</v>
      </c>
    </row>
    <row r="3742" spans="1:5" x14ac:dyDescent="0.3">
      <c r="A3742" t="s">
        <v>51</v>
      </c>
      <c r="B3742" s="1">
        <v>44711</v>
      </c>
      <c r="C3742">
        <v>4</v>
      </c>
      <c r="D3742">
        <v>2.0099999999999998</v>
      </c>
      <c r="E3742">
        <v>4</v>
      </c>
    </row>
    <row r="3743" spans="1:5" x14ac:dyDescent="0.3">
      <c r="A3743" t="s">
        <v>28</v>
      </c>
      <c r="B3743" s="1">
        <v>44711</v>
      </c>
      <c r="C3743">
        <v>1</v>
      </c>
      <c r="D3743">
        <v>148.83000000000001</v>
      </c>
      <c r="E3743">
        <v>207</v>
      </c>
    </row>
    <row r="3744" spans="1:5" x14ac:dyDescent="0.3">
      <c r="A3744" t="s">
        <v>54</v>
      </c>
      <c r="B3744" s="1">
        <v>44711</v>
      </c>
      <c r="C3744">
        <v>1</v>
      </c>
      <c r="D3744">
        <v>731.05</v>
      </c>
      <c r="E3744">
        <v>944</v>
      </c>
    </row>
    <row r="3745" spans="1:5" x14ac:dyDescent="0.3">
      <c r="A3745" t="s">
        <v>36</v>
      </c>
      <c r="B3745" s="1">
        <v>44711</v>
      </c>
      <c r="C3745">
        <v>1</v>
      </c>
      <c r="D3745">
        <v>21.26</v>
      </c>
      <c r="E3745">
        <v>27</v>
      </c>
    </row>
    <row r="3746" spans="1:5" x14ac:dyDescent="0.3">
      <c r="A3746" t="s">
        <v>20</v>
      </c>
      <c r="B3746" s="1">
        <v>44711</v>
      </c>
      <c r="C3746">
        <v>1</v>
      </c>
      <c r="D3746">
        <v>19.71</v>
      </c>
      <c r="E3746">
        <v>23</v>
      </c>
    </row>
    <row r="3747" spans="1:5" x14ac:dyDescent="0.3">
      <c r="A3747" t="s">
        <v>45</v>
      </c>
      <c r="B3747" s="1">
        <v>44711</v>
      </c>
      <c r="C3747">
        <v>1</v>
      </c>
      <c r="D3747">
        <v>28.85</v>
      </c>
      <c r="E3747">
        <v>47</v>
      </c>
    </row>
    <row r="3748" spans="1:5" x14ac:dyDescent="0.3">
      <c r="A3748" t="s">
        <v>57</v>
      </c>
      <c r="B3748" s="1">
        <v>44711</v>
      </c>
      <c r="C3748">
        <v>1</v>
      </c>
      <c r="D3748">
        <v>233.74</v>
      </c>
      <c r="E3748">
        <v>274</v>
      </c>
    </row>
    <row r="3749" spans="1:5" x14ac:dyDescent="0.3">
      <c r="A3749" t="s">
        <v>17</v>
      </c>
      <c r="B3749" s="1">
        <v>44711</v>
      </c>
      <c r="C3749">
        <v>1</v>
      </c>
      <c r="D3749">
        <v>389.53</v>
      </c>
      <c r="E3749">
        <v>468</v>
      </c>
    </row>
    <row r="3750" spans="1:5" x14ac:dyDescent="0.3">
      <c r="A3750" t="s">
        <v>27</v>
      </c>
      <c r="B3750" s="1">
        <v>44711</v>
      </c>
      <c r="C3750">
        <v>1</v>
      </c>
      <c r="D3750">
        <v>102.34</v>
      </c>
      <c r="E3750">
        <v>157</v>
      </c>
    </row>
    <row r="3751" spans="1:5" x14ac:dyDescent="0.3">
      <c r="A3751" t="s">
        <v>69</v>
      </c>
      <c r="B3751" s="1">
        <v>44711</v>
      </c>
      <c r="C3751">
        <v>1</v>
      </c>
      <c r="D3751">
        <v>19.989999999999998</v>
      </c>
      <c r="E3751">
        <v>24</v>
      </c>
    </row>
    <row r="3752" spans="1:5" x14ac:dyDescent="0.3">
      <c r="A3752" t="s">
        <v>69</v>
      </c>
      <c r="B3752" s="1">
        <v>44711</v>
      </c>
      <c r="C3752">
        <v>1</v>
      </c>
      <c r="D3752">
        <v>19.989999999999998</v>
      </c>
      <c r="E3752">
        <v>24</v>
      </c>
    </row>
    <row r="3753" spans="1:5" x14ac:dyDescent="0.3">
      <c r="A3753" t="s">
        <v>68</v>
      </c>
      <c r="B3753" s="1">
        <v>44711</v>
      </c>
      <c r="C3753">
        <v>1</v>
      </c>
      <c r="D3753">
        <v>53.57</v>
      </c>
      <c r="E3753">
        <v>82</v>
      </c>
    </row>
    <row r="3754" spans="1:5" x14ac:dyDescent="0.3">
      <c r="A3754" t="s">
        <v>68</v>
      </c>
      <c r="B3754" s="1">
        <v>44711</v>
      </c>
      <c r="C3754">
        <v>1</v>
      </c>
      <c r="D3754">
        <v>53.57</v>
      </c>
      <c r="E3754">
        <v>82</v>
      </c>
    </row>
    <row r="3755" spans="1:5" x14ac:dyDescent="0.3">
      <c r="A3755" t="s">
        <v>85</v>
      </c>
      <c r="B3755" s="1">
        <v>44711</v>
      </c>
      <c r="C3755">
        <v>1</v>
      </c>
      <c r="D3755">
        <v>16.62</v>
      </c>
      <c r="E3755">
        <v>26</v>
      </c>
    </row>
    <row r="3756" spans="1:5" x14ac:dyDescent="0.3">
      <c r="A3756" t="s">
        <v>85</v>
      </c>
      <c r="B3756" s="1">
        <v>44711</v>
      </c>
      <c r="C3756">
        <v>1</v>
      </c>
      <c r="D3756">
        <v>16.62</v>
      </c>
      <c r="E3756">
        <v>26</v>
      </c>
    </row>
    <row r="3757" spans="1:5" x14ac:dyDescent="0.3">
      <c r="A3757" t="s">
        <v>81</v>
      </c>
      <c r="B3757" s="1">
        <v>44711</v>
      </c>
      <c r="C3757">
        <v>1</v>
      </c>
      <c r="D3757">
        <v>40.14</v>
      </c>
      <c r="E3757">
        <v>49</v>
      </c>
    </row>
    <row r="3758" spans="1:5" x14ac:dyDescent="0.3">
      <c r="A3758" t="s">
        <v>10</v>
      </c>
      <c r="B3758" s="1">
        <v>44711</v>
      </c>
      <c r="C3758">
        <v>1</v>
      </c>
      <c r="D3758">
        <v>11.67</v>
      </c>
      <c r="E3758">
        <v>14</v>
      </c>
    </row>
    <row r="3759" spans="1:5" x14ac:dyDescent="0.3">
      <c r="A3759" t="s">
        <v>10</v>
      </c>
      <c r="B3759" s="1">
        <v>44711</v>
      </c>
      <c r="C3759">
        <v>1</v>
      </c>
      <c r="D3759">
        <v>11.67</v>
      </c>
      <c r="E3759">
        <v>14</v>
      </c>
    </row>
    <row r="3760" spans="1:5" x14ac:dyDescent="0.3">
      <c r="A3760" t="s">
        <v>61</v>
      </c>
      <c r="B3760" s="1">
        <v>44711</v>
      </c>
      <c r="C3760">
        <v>1</v>
      </c>
      <c r="D3760">
        <v>32.979999999999997</v>
      </c>
      <c r="E3760">
        <v>52</v>
      </c>
    </row>
    <row r="3761" spans="1:5" x14ac:dyDescent="0.3">
      <c r="A3761" t="s">
        <v>143</v>
      </c>
      <c r="B3761" s="1">
        <v>44711</v>
      </c>
      <c r="C3761">
        <v>1</v>
      </c>
      <c r="D3761">
        <v>51.43</v>
      </c>
      <c r="E3761">
        <v>79</v>
      </c>
    </row>
    <row r="3762" spans="1:5" x14ac:dyDescent="0.3">
      <c r="A3762" t="s">
        <v>143</v>
      </c>
      <c r="B3762" s="1">
        <v>44711</v>
      </c>
      <c r="C3762">
        <v>1</v>
      </c>
      <c r="D3762">
        <v>51.43</v>
      </c>
      <c r="E3762">
        <v>79</v>
      </c>
    </row>
    <row r="3763" spans="1:5" x14ac:dyDescent="0.3">
      <c r="A3763" t="s">
        <v>143</v>
      </c>
      <c r="B3763" s="1">
        <v>44711</v>
      </c>
      <c r="C3763">
        <v>1</v>
      </c>
      <c r="D3763">
        <v>51.43</v>
      </c>
      <c r="E3763">
        <v>79</v>
      </c>
    </row>
    <row r="3764" spans="1:5" x14ac:dyDescent="0.3">
      <c r="A3764" t="s">
        <v>63</v>
      </c>
      <c r="B3764" s="1">
        <v>44711</v>
      </c>
      <c r="C3764">
        <v>1</v>
      </c>
      <c r="D3764">
        <v>71.790000000000006</v>
      </c>
      <c r="E3764">
        <v>94</v>
      </c>
    </row>
    <row r="3765" spans="1:5" x14ac:dyDescent="0.3">
      <c r="A3765" t="s">
        <v>63</v>
      </c>
      <c r="B3765" s="1">
        <v>44711</v>
      </c>
      <c r="C3765">
        <v>1</v>
      </c>
      <c r="D3765">
        <v>71.790000000000006</v>
      </c>
      <c r="E3765">
        <v>94</v>
      </c>
    </row>
    <row r="3766" spans="1:5" x14ac:dyDescent="0.3">
      <c r="A3766" t="s">
        <v>87</v>
      </c>
      <c r="B3766" s="1">
        <v>44711</v>
      </c>
      <c r="C3766">
        <v>1</v>
      </c>
      <c r="D3766">
        <v>323.66000000000003</v>
      </c>
      <c r="E3766">
        <v>389</v>
      </c>
    </row>
    <row r="3767" spans="1:5" x14ac:dyDescent="0.3">
      <c r="A3767" t="s">
        <v>65</v>
      </c>
      <c r="B3767" s="1">
        <v>44711</v>
      </c>
      <c r="C3767">
        <v>1</v>
      </c>
      <c r="D3767">
        <v>187.33</v>
      </c>
      <c r="E3767">
        <v>220</v>
      </c>
    </row>
    <row r="3768" spans="1:5" x14ac:dyDescent="0.3">
      <c r="A3768" t="s">
        <v>57</v>
      </c>
      <c r="B3768" s="1">
        <v>44711</v>
      </c>
      <c r="C3768">
        <v>1</v>
      </c>
      <c r="D3768">
        <v>233.74</v>
      </c>
      <c r="E3768">
        <v>274</v>
      </c>
    </row>
    <row r="3769" spans="1:5" x14ac:dyDescent="0.3">
      <c r="A3769" t="s">
        <v>127</v>
      </c>
      <c r="B3769" s="1">
        <v>44711</v>
      </c>
      <c r="C3769">
        <v>1</v>
      </c>
      <c r="D3769">
        <v>118.82</v>
      </c>
      <c r="E3769">
        <v>161</v>
      </c>
    </row>
    <row r="3770" spans="1:5" x14ac:dyDescent="0.3">
      <c r="A3770" t="s">
        <v>72</v>
      </c>
      <c r="B3770" s="1">
        <v>44711</v>
      </c>
      <c r="C3770">
        <v>1</v>
      </c>
      <c r="D3770">
        <v>558.69000000000005</v>
      </c>
      <c r="E3770">
        <v>738</v>
      </c>
    </row>
    <row r="3771" spans="1:5" x14ac:dyDescent="0.3">
      <c r="A3771" t="s">
        <v>7</v>
      </c>
      <c r="B3771" s="1">
        <v>44711</v>
      </c>
      <c r="C3771">
        <v>1</v>
      </c>
      <c r="D3771">
        <v>88.43</v>
      </c>
      <c r="E3771">
        <v>106</v>
      </c>
    </row>
    <row r="3772" spans="1:5" x14ac:dyDescent="0.3">
      <c r="A3772" t="s">
        <v>153</v>
      </c>
      <c r="B3772" s="1">
        <v>44711</v>
      </c>
      <c r="C3772">
        <v>1</v>
      </c>
      <c r="D3772">
        <v>9.4600000000000009</v>
      </c>
      <c r="E3772">
        <v>11</v>
      </c>
    </row>
    <row r="3773" spans="1:5" x14ac:dyDescent="0.3">
      <c r="A3773" t="s">
        <v>115</v>
      </c>
      <c r="B3773" s="1">
        <v>44711</v>
      </c>
      <c r="C3773">
        <v>1</v>
      </c>
      <c r="D3773">
        <v>69.849999999999994</v>
      </c>
      <c r="E3773">
        <v>88</v>
      </c>
    </row>
    <row r="3774" spans="1:5" x14ac:dyDescent="0.3">
      <c r="A3774" t="s">
        <v>45</v>
      </c>
      <c r="B3774" s="1">
        <v>44711</v>
      </c>
      <c r="C3774">
        <v>1</v>
      </c>
      <c r="D3774">
        <v>28.85</v>
      </c>
      <c r="E3774">
        <v>47</v>
      </c>
    </row>
    <row r="3775" spans="1:5" x14ac:dyDescent="0.3">
      <c r="A3775" t="s">
        <v>5</v>
      </c>
      <c r="B3775" s="1">
        <v>44711</v>
      </c>
      <c r="C3775">
        <v>1</v>
      </c>
      <c r="D3775">
        <v>130.43</v>
      </c>
      <c r="E3775">
        <v>150</v>
      </c>
    </row>
    <row r="3776" spans="1:5" x14ac:dyDescent="0.3">
      <c r="A3776" t="s">
        <v>65</v>
      </c>
      <c r="B3776" s="1">
        <v>44711</v>
      </c>
      <c r="C3776">
        <v>1</v>
      </c>
      <c r="D3776">
        <v>187.36</v>
      </c>
      <c r="E3776">
        <v>220</v>
      </c>
    </row>
    <row r="3777" spans="1:5" x14ac:dyDescent="0.3">
      <c r="A3777" t="s">
        <v>136</v>
      </c>
      <c r="B3777" s="1">
        <v>44711</v>
      </c>
      <c r="C3777">
        <v>1</v>
      </c>
      <c r="D3777">
        <v>286.11</v>
      </c>
      <c r="E3777">
        <v>392</v>
      </c>
    </row>
    <row r="3778" spans="1:5" x14ac:dyDescent="0.3">
      <c r="A3778" t="s">
        <v>5</v>
      </c>
      <c r="B3778" s="1">
        <v>44711</v>
      </c>
      <c r="C3778">
        <v>1</v>
      </c>
      <c r="D3778">
        <v>145.6</v>
      </c>
      <c r="E3778">
        <v>169</v>
      </c>
    </row>
    <row r="3779" spans="1:5" x14ac:dyDescent="0.3">
      <c r="A3779" t="s">
        <v>36</v>
      </c>
      <c r="B3779" s="1">
        <v>44711</v>
      </c>
      <c r="C3779">
        <v>1</v>
      </c>
      <c r="D3779">
        <v>22</v>
      </c>
      <c r="E3779">
        <v>28</v>
      </c>
    </row>
    <row r="3780" spans="1:5" x14ac:dyDescent="0.3">
      <c r="A3780" t="s">
        <v>36</v>
      </c>
      <c r="B3780" s="1">
        <v>44711</v>
      </c>
      <c r="C3780">
        <v>1</v>
      </c>
      <c r="D3780">
        <v>22</v>
      </c>
      <c r="E3780">
        <v>28</v>
      </c>
    </row>
    <row r="3781" spans="1:5" x14ac:dyDescent="0.3">
      <c r="A3781" t="s">
        <v>36</v>
      </c>
      <c r="B3781" s="1">
        <v>44711</v>
      </c>
      <c r="C3781">
        <v>1</v>
      </c>
      <c r="D3781">
        <v>22</v>
      </c>
      <c r="E3781">
        <v>28</v>
      </c>
    </row>
    <row r="3782" spans="1:5" x14ac:dyDescent="0.3">
      <c r="A3782" t="s">
        <v>20</v>
      </c>
      <c r="B3782" s="1">
        <v>44711</v>
      </c>
      <c r="C3782">
        <v>1</v>
      </c>
      <c r="D3782">
        <v>21.04</v>
      </c>
      <c r="E3782">
        <v>28</v>
      </c>
    </row>
    <row r="3783" spans="1:5" x14ac:dyDescent="0.3">
      <c r="A3783" t="s">
        <v>37</v>
      </c>
      <c r="B3783" s="1">
        <v>44711</v>
      </c>
      <c r="C3783">
        <v>1</v>
      </c>
      <c r="D3783">
        <v>51.84</v>
      </c>
      <c r="E3783">
        <v>65</v>
      </c>
    </row>
    <row r="3784" spans="1:5" x14ac:dyDescent="0.3">
      <c r="A3784" t="s">
        <v>37</v>
      </c>
      <c r="B3784" s="1">
        <v>44711</v>
      </c>
      <c r="C3784">
        <v>1</v>
      </c>
      <c r="D3784">
        <v>36.86</v>
      </c>
      <c r="E3784">
        <v>47</v>
      </c>
    </row>
    <row r="3785" spans="1:5" x14ac:dyDescent="0.3">
      <c r="A3785" t="s">
        <v>37</v>
      </c>
      <c r="B3785" s="1">
        <v>44711</v>
      </c>
      <c r="C3785">
        <v>1</v>
      </c>
      <c r="D3785">
        <v>36.86</v>
      </c>
      <c r="E3785">
        <v>47</v>
      </c>
    </row>
    <row r="3786" spans="1:5" x14ac:dyDescent="0.3">
      <c r="A3786" t="s">
        <v>112</v>
      </c>
      <c r="B3786" s="1">
        <v>44711</v>
      </c>
      <c r="C3786">
        <v>1</v>
      </c>
      <c r="D3786">
        <v>251.57</v>
      </c>
      <c r="E3786">
        <v>305</v>
      </c>
    </row>
    <row r="3787" spans="1:5" x14ac:dyDescent="0.3">
      <c r="A3787" t="s">
        <v>23</v>
      </c>
      <c r="B3787" s="1">
        <v>44711</v>
      </c>
      <c r="C3787">
        <v>1</v>
      </c>
      <c r="D3787">
        <v>109.41</v>
      </c>
      <c r="E3787">
        <v>123</v>
      </c>
    </row>
    <row r="3788" spans="1:5" x14ac:dyDescent="0.3">
      <c r="A3788" t="s">
        <v>135</v>
      </c>
      <c r="B3788" s="1">
        <v>44711</v>
      </c>
      <c r="C3788">
        <v>1</v>
      </c>
      <c r="D3788">
        <v>72.31</v>
      </c>
      <c r="E3788">
        <v>90</v>
      </c>
    </row>
    <row r="3789" spans="1:5" x14ac:dyDescent="0.3">
      <c r="A3789" t="s">
        <v>79</v>
      </c>
      <c r="B3789" s="1">
        <v>44711</v>
      </c>
      <c r="C3789">
        <v>1</v>
      </c>
      <c r="D3789">
        <v>148.5</v>
      </c>
      <c r="E3789">
        <v>177</v>
      </c>
    </row>
    <row r="3790" spans="1:5" x14ac:dyDescent="0.3">
      <c r="A3790" t="s">
        <v>7</v>
      </c>
      <c r="B3790" s="1">
        <v>44711</v>
      </c>
      <c r="C3790">
        <v>1</v>
      </c>
      <c r="D3790">
        <v>88.43</v>
      </c>
      <c r="E3790">
        <v>106</v>
      </c>
    </row>
    <row r="3791" spans="1:5" x14ac:dyDescent="0.3">
      <c r="A3791" t="s">
        <v>62</v>
      </c>
      <c r="B3791" s="1">
        <v>44711</v>
      </c>
      <c r="C3791">
        <v>1</v>
      </c>
      <c r="D3791">
        <v>25.62</v>
      </c>
      <c r="E3791">
        <v>31</v>
      </c>
    </row>
    <row r="3792" spans="1:5" x14ac:dyDescent="0.3">
      <c r="A3792" t="s">
        <v>62</v>
      </c>
      <c r="B3792" s="1">
        <v>44711</v>
      </c>
      <c r="C3792">
        <v>1</v>
      </c>
      <c r="D3792">
        <v>25.62</v>
      </c>
      <c r="E3792">
        <v>31</v>
      </c>
    </row>
    <row r="3793" spans="1:5" x14ac:dyDescent="0.3">
      <c r="A3793" t="s">
        <v>62</v>
      </c>
      <c r="B3793" s="1">
        <v>44711</v>
      </c>
      <c r="C3793">
        <v>1</v>
      </c>
      <c r="D3793">
        <v>25.62</v>
      </c>
      <c r="E3793">
        <v>31</v>
      </c>
    </row>
    <row r="3794" spans="1:5" x14ac:dyDescent="0.3">
      <c r="A3794" t="s">
        <v>64</v>
      </c>
      <c r="B3794" s="1">
        <v>44711</v>
      </c>
      <c r="C3794">
        <v>1</v>
      </c>
      <c r="D3794">
        <v>200.39</v>
      </c>
      <c r="E3794">
        <v>265</v>
      </c>
    </row>
    <row r="3795" spans="1:5" x14ac:dyDescent="0.3">
      <c r="A3795" t="s">
        <v>97</v>
      </c>
      <c r="B3795" s="1">
        <v>44711</v>
      </c>
      <c r="C3795">
        <v>1</v>
      </c>
      <c r="D3795">
        <v>426.67</v>
      </c>
      <c r="E3795">
        <v>564</v>
      </c>
    </row>
    <row r="3796" spans="1:5" x14ac:dyDescent="0.3">
      <c r="A3796" t="s">
        <v>63</v>
      </c>
      <c r="B3796" s="1">
        <v>44711</v>
      </c>
      <c r="C3796">
        <v>1</v>
      </c>
      <c r="D3796">
        <v>73.3</v>
      </c>
      <c r="E3796">
        <v>88</v>
      </c>
    </row>
    <row r="3797" spans="1:5" x14ac:dyDescent="0.3">
      <c r="A3797" t="s">
        <v>98</v>
      </c>
      <c r="B3797" s="1">
        <v>44711</v>
      </c>
      <c r="C3797">
        <v>1</v>
      </c>
      <c r="D3797">
        <v>111.32</v>
      </c>
      <c r="E3797">
        <v>134</v>
      </c>
    </row>
    <row r="3798" spans="1:5" x14ac:dyDescent="0.3">
      <c r="A3798" t="s">
        <v>100</v>
      </c>
      <c r="B3798" s="1">
        <v>44711</v>
      </c>
      <c r="C3798">
        <v>1</v>
      </c>
      <c r="D3798">
        <v>37.46</v>
      </c>
      <c r="E3798">
        <v>57</v>
      </c>
    </row>
    <row r="3799" spans="1:5" x14ac:dyDescent="0.3">
      <c r="A3799" t="s">
        <v>119</v>
      </c>
      <c r="B3799" s="1">
        <v>44711</v>
      </c>
      <c r="C3799">
        <v>0.107143</v>
      </c>
      <c r="D3799">
        <v>628.24</v>
      </c>
      <c r="E3799">
        <v>694</v>
      </c>
    </row>
    <row r="3800" spans="1:5" x14ac:dyDescent="0.3">
      <c r="A3800" t="s">
        <v>17</v>
      </c>
      <c r="B3800" s="1">
        <v>44711</v>
      </c>
      <c r="C3800">
        <v>1</v>
      </c>
      <c r="D3800">
        <v>389.53</v>
      </c>
      <c r="E3800">
        <v>468</v>
      </c>
    </row>
    <row r="3801" spans="1:5" x14ac:dyDescent="0.3">
      <c r="A3801" t="s">
        <v>131</v>
      </c>
      <c r="B3801" s="1">
        <v>44711</v>
      </c>
      <c r="C3801">
        <v>1</v>
      </c>
      <c r="D3801">
        <v>361.91</v>
      </c>
      <c r="E3801">
        <v>417</v>
      </c>
    </row>
    <row r="3802" spans="1:5" x14ac:dyDescent="0.3">
      <c r="A3802" t="s">
        <v>145</v>
      </c>
      <c r="B3802" s="1">
        <v>44711</v>
      </c>
      <c r="C3802">
        <v>1</v>
      </c>
      <c r="D3802">
        <v>25.3</v>
      </c>
      <c r="E3802">
        <v>31</v>
      </c>
    </row>
    <row r="3803" spans="1:5" x14ac:dyDescent="0.3">
      <c r="A3803" t="s">
        <v>98</v>
      </c>
      <c r="B3803" s="1">
        <v>44711</v>
      </c>
      <c r="C3803">
        <v>1</v>
      </c>
      <c r="D3803">
        <v>111.21</v>
      </c>
      <c r="E3803">
        <v>134</v>
      </c>
    </row>
    <row r="3804" spans="1:5" x14ac:dyDescent="0.3">
      <c r="A3804" t="s">
        <v>136</v>
      </c>
      <c r="B3804" s="1">
        <v>44711</v>
      </c>
      <c r="C3804">
        <v>1</v>
      </c>
      <c r="D3804">
        <v>286.72000000000003</v>
      </c>
      <c r="E3804">
        <v>396</v>
      </c>
    </row>
    <row r="3805" spans="1:5" x14ac:dyDescent="0.3">
      <c r="A3805" t="s">
        <v>31</v>
      </c>
      <c r="B3805" s="1">
        <v>44711</v>
      </c>
      <c r="C3805">
        <v>1</v>
      </c>
      <c r="D3805">
        <v>13.05</v>
      </c>
      <c r="E3805">
        <v>18</v>
      </c>
    </row>
    <row r="3806" spans="1:5" x14ac:dyDescent="0.3">
      <c r="A3806" t="s">
        <v>31</v>
      </c>
      <c r="B3806" s="1">
        <v>44711</v>
      </c>
      <c r="C3806">
        <v>1</v>
      </c>
      <c r="D3806">
        <v>13.05</v>
      </c>
      <c r="E3806">
        <v>18</v>
      </c>
    </row>
    <row r="3807" spans="1:5" x14ac:dyDescent="0.3">
      <c r="A3807" t="s">
        <v>31</v>
      </c>
      <c r="B3807" s="1">
        <v>44711</v>
      </c>
      <c r="C3807">
        <v>1</v>
      </c>
      <c r="D3807">
        <v>13.05</v>
      </c>
      <c r="E3807">
        <v>18</v>
      </c>
    </row>
    <row r="3808" spans="1:5" x14ac:dyDescent="0.3">
      <c r="A3808" t="s">
        <v>31</v>
      </c>
      <c r="B3808" s="1">
        <v>44711</v>
      </c>
      <c r="C3808">
        <v>1</v>
      </c>
      <c r="D3808">
        <v>13.05</v>
      </c>
      <c r="E3808">
        <v>18</v>
      </c>
    </row>
    <row r="3809" spans="1:5" x14ac:dyDescent="0.3">
      <c r="A3809" t="s">
        <v>31</v>
      </c>
      <c r="B3809" s="1">
        <v>44711</v>
      </c>
      <c r="C3809">
        <v>1</v>
      </c>
      <c r="D3809">
        <v>13.05</v>
      </c>
      <c r="E3809">
        <v>18</v>
      </c>
    </row>
    <row r="3810" spans="1:5" x14ac:dyDescent="0.3">
      <c r="A3810" t="s">
        <v>36</v>
      </c>
      <c r="B3810" s="1">
        <v>44711</v>
      </c>
      <c r="C3810">
        <v>1</v>
      </c>
      <c r="D3810">
        <v>22</v>
      </c>
      <c r="E3810">
        <v>28</v>
      </c>
    </row>
    <row r="3811" spans="1:5" x14ac:dyDescent="0.3">
      <c r="A3811" t="s">
        <v>36</v>
      </c>
      <c r="B3811" s="1">
        <v>44711</v>
      </c>
      <c r="C3811">
        <v>1</v>
      </c>
      <c r="D3811">
        <v>22</v>
      </c>
      <c r="E3811">
        <v>28</v>
      </c>
    </row>
    <row r="3812" spans="1:5" x14ac:dyDescent="0.3">
      <c r="A3812" t="s">
        <v>84</v>
      </c>
      <c r="B3812" s="1">
        <v>44711</v>
      </c>
      <c r="C3812">
        <v>1</v>
      </c>
      <c r="D3812">
        <v>175.74</v>
      </c>
      <c r="E3812">
        <v>220</v>
      </c>
    </row>
    <row r="3813" spans="1:5" x14ac:dyDescent="0.3">
      <c r="A3813" t="s">
        <v>84</v>
      </c>
      <c r="B3813" s="1">
        <v>44711</v>
      </c>
      <c r="C3813">
        <v>1</v>
      </c>
      <c r="D3813">
        <v>175.74</v>
      </c>
      <c r="E3813">
        <v>220</v>
      </c>
    </row>
    <row r="3814" spans="1:5" x14ac:dyDescent="0.3">
      <c r="A3814" t="s">
        <v>30</v>
      </c>
      <c r="B3814" s="1">
        <v>44711</v>
      </c>
      <c r="C3814">
        <v>1</v>
      </c>
      <c r="D3814">
        <v>156.19999999999999</v>
      </c>
      <c r="E3814">
        <v>186</v>
      </c>
    </row>
    <row r="3815" spans="1:5" x14ac:dyDescent="0.3">
      <c r="A3815" t="s">
        <v>7</v>
      </c>
      <c r="B3815" s="1">
        <v>44711</v>
      </c>
      <c r="C3815">
        <v>1</v>
      </c>
      <c r="D3815">
        <v>88.43</v>
      </c>
      <c r="E3815">
        <v>104</v>
      </c>
    </row>
    <row r="3816" spans="1:5" x14ac:dyDescent="0.3">
      <c r="A3816" t="s">
        <v>100</v>
      </c>
      <c r="B3816" s="1">
        <v>44711</v>
      </c>
      <c r="C3816">
        <v>1</v>
      </c>
      <c r="D3816">
        <v>37.46</v>
      </c>
      <c r="E3816">
        <v>57</v>
      </c>
    </row>
    <row r="3817" spans="1:5" x14ac:dyDescent="0.3">
      <c r="A3817" t="s">
        <v>100</v>
      </c>
      <c r="B3817" s="1">
        <v>44711</v>
      </c>
      <c r="C3817">
        <v>1</v>
      </c>
      <c r="D3817">
        <v>37.46</v>
      </c>
      <c r="E3817">
        <v>57</v>
      </c>
    </row>
    <row r="3818" spans="1:5" x14ac:dyDescent="0.3">
      <c r="A3818" t="s">
        <v>138</v>
      </c>
      <c r="B3818" s="1">
        <v>44711</v>
      </c>
      <c r="C3818">
        <v>1</v>
      </c>
      <c r="D3818">
        <v>46.5</v>
      </c>
      <c r="E3818">
        <v>75</v>
      </c>
    </row>
    <row r="3819" spans="1:5" x14ac:dyDescent="0.3">
      <c r="A3819" t="s">
        <v>36</v>
      </c>
      <c r="B3819" s="1">
        <v>44711</v>
      </c>
      <c r="C3819">
        <v>1</v>
      </c>
      <c r="D3819">
        <v>22</v>
      </c>
      <c r="E3819">
        <v>28</v>
      </c>
    </row>
    <row r="3820" spans="1:5" x14ac:dyDescent="0.3">
      <c r="A3820" t="s">
        <v>36</v>
      </c>
      <c r="B3820" s="1">
        <v>44711</v>
      </c>
      <c r="C3820">
        <v>1</v>
      </c>
      <c r="D3820">
        <v>22</v>
      </c>
      <c r="E3820">
        <v>28</v>
      </c>
    </row>
    <row r="3821" spans="1:5" x14ac:dyDescent="0.3">
      <c r="A3821" t="s">
        <v>36</v>
      </c>
      <c r="B3821" s="1">
        <v>44711</v>
      </c>
      <c r="C3821">
        <v>1</v>
      </c>
      <c r="D3821">
        <v>22</v>
      </c>
      <c r="E3821">
        <v>28</v>
      </c>
    </row>
    <row r="3822" spans="1:5" x14ac:dyDescent="0.3">
      <c r="A3822" t="s">
        <v>20</v>
      </c>
      <c r="B3822" s="1">
        <v>44711</v>
      </c>
      <c r="C3822">
        <v>1</v>
      </c>
      <c r="D3822">
        <v>21.04</v>
      </c>
      <c r="E3822">
        <v>28</v>
      </c>
    </row>
    <row r="3823" spans="1:5" x14ac:dyDescent="0.3">
      <c r="A3823" t="s">
        <v>20</v>
      </c>
      <c r="B3823" s="1">
        <v>44711</v>
      </c>
      <c r="C3823">
        <v>1</v>
      </c>
      <c r="D3823">
        <v>21.04</v>
      </c>
      <c r="E3823">
        <v>28</v>
      </c>
    </row>
    <row r="3824" spans="1:5" x14ac:dyDescent="0.3">
      <c r="A3824" t="s">
        <v>20</v>
      </c>
      <c r="B3824" s="1">
        <v>44711</v>
      </c>
      <c r="C3824">
        <v>1</v>
      </c>
      <c r="D3824">
        <v>22.66</v>
      </c>
      <c r="E3824">
        <v>30</v>
      </c>
    </row>
    <row r="3825" spans="1:5" x14ac:dyDescent="0.3">
      <c r="A3825" t="s">
        <v>26</v>
      </c>
      <c r="B3825" s="1">
        <v>44711</v>
      </c>
      <c r="C3825">
        <v>0.1</v>
      </c>
      <c r="D3825">
        <v>986.58</v>
      </c>
      <c r="E3825">
        <v>1352</v>
      </c>
    </row>
    <row r="3826" spans="1:5" x14ac:dyDescent="0.3">
      <c r="A3826" t="s">
        <v>64</v>
      </c>
      <c r="B3826" s="1">
        <v>44711</v>
      </c>
      <c r="C3826">
        <v>1</v>
      </c>
      <c r="D3826">
        <v>230.4</v>
      </c>
      <c r="E3826">
        <v>323</v>
      </c>
    </row>
    <row r="3827" spans="1:5" x14ac:dyDescent="0.3">
      <c r="A3827" t="s">
        <v>31</v>
      </c>
      <c r="B3827" s="1">
        <v>44711</v>
      </c>
      <c r="C3827">
        <v>1</v>
      </c>
      <c r="D3827">
        <v>13.19</v>
      </c>
      <c r="E3827">
        <v>18</v>
      </c>
    </row>
    <row r="3828" spans="1:5" x14ac:dyDescent="0.3">
      <c r="A3828" t="s">
        <v>62</v>
      </c>
      <c r="B3828" s="1">
        <v>44711</v>
      </c>
      <c r="C3828">
        <v>1</v>
      </c>
      <c r="D3828">
        <v>25.29</v>
      </c>
      <c r="E3828">
        <v>30</v>
      </c>
    </row>
    <row r="3829" spans="1:5" x14ac:dyDescent="0.3">
      <c r="A3829" t="s">
        <v>62</v>
      </c>
      <c r="B3829" s="1">
        <v>44711</v>
      </c>
      <c r="C3829">
        <v>1</v>
      </c>
      <c r="D3829">
        <v>25.71</v>
      </c>
      <c r="E3829">
        <v>31</v>
      </c>
    </row>
    <row r="3830" spans="1:5" x14ac:dyDescent="0.3">
      <c r="A3830" t="s">
        <v>62</v>
      </c>
      <c r="B3830" s="1">
        <v>44711</v>
      </c>
      <c r="C3830">
        <v>1</v>
      </c>
      <c r="D3830">
        <v>25.71</v>
      </c>
      <c r="E3830">
        <v>31</v>
      </c>
    </row>
    <row r="3831" spans="1:5" x14ac:dyDescent="0.3">
      <c r="A3831" t="s">
        <v>133</v>
      </c>
      <c r="B3831" s="1">
        <v>44711</v>
      </c>
      <c r="C3831">
        <v>3</v>
      </c>
      <c r="D3831">
        <v>6.13</v>
      </c>
      <c r="E3831">
        <v>10</v>
      </c>
    </row>
    <row r="3832" spans="1:5" x14ac:dyDescent="0.3">
      <c r="A3832" t="s">
        <v>51</v>
      </c>
      <c r="B3832" s="1">
        <v>44711</v>
      </c>
      <c r="C3832">
        <v>8</v>
      </c>
      <c r="D3832">
        <v>2.0499999999999998</v>
      </c>
      <c r="E3832">
        <v>4</v>
      </c>
    </row>
    <row r="3833" spans="1:5" x14ac:dyDescent="0.3">
      <c r="A3833" t="s">
        <v>51</v>
      </c>
      <c r="B3833" s="1">
        <v>44711</v>
      </c>
      <c r="C3833">
        <v>4</v>
      </c>
      <c r="D3833">
        <v>2.0499999999999998</v>
      </c>
      <c r="E3833">
        <v>4</v>
      </c>
    </row>
    <row r="3834" spans="1:5" x14ac:dyDescent="0.3">
      <c r="A3834" t="s">
        <v>12</v>
      </c>
      <c r="B3834" s="1">
        <v>44711</v>
      </c>
      <c r="C3834">
        <v>1</v>
      </c>
      <c r="D3834">
        <v>56.1</v>
      </c>
      <c r="E3834">
        <v>70</v>
      </c>
    </row>
    <row r="3835" spans="1:5" x14ac:dyDescent="0.3">
      <c r="A3835" t="s">
        <v>12</v>
      </c>
      <c r="B3835" s="1">
        <v>44711</v>
      </c>
      <c r="C3835">
        <v>1</v>
      </c>
      <c r="D3835">
        <v>56.1</v>
      </c>
      <c r="E3835">
        <v>70</v>
      </c>
    </row>
    <row r="3836" spans="1:5" x14ac:dyDescent="0.3">
      <c r="A3836" t="s">
        <v>116</v>
      </c>
      <c r="B3836" s="1">
        <v>44711</v>
      </c>
      <c r="C3836">
        <v>1</v>
      </c>
      <c r="D3836">
        <v>101.43</v>
      </c>
      <c r="E3836">
        <v>120</v>
      </c>
    </row>
    <row r="3837" spans="1:5" x14ac:dyDescent="0.3">
      <c r="A3837" t="s">
        <v>6</v>
      </c>
      <c r="B3837" s="1">
        <v>44711</v>
      </c>
      <c r="C3837">
        <v>0.2</v>
      </c>
      <c r="D3837">
        <v>438.89</v>
      </c>
      <c r="E3837">
        <v>549</v>
      </c>
    </row>
    <row r="3838" spans="1:5" x14ac:dyDescent="0.3">
      <c r="A3838" t="s">
        <v>61</v>
      </c>
      <c r="B3838" s="1">
        <v>44711</v>
      </c>
      <c r="C3838">
        <v>1</v>
      </c>
      <c r="D3838">
        <v>32.85</v>
      </c>
      <c r="E3838">
        <v>52</v>
      </c>
    </row>
    <row r="3839" spans="1:5" x14ac:dyDescent="0.3">
      <c r="A3839" t="s">
        <v>106</v>
      </c>
      <c r="B3839" s="1">
        <v>44711</v>
      </c>
      <c r="C3839">
        <v>1</v>
      </c>
      <c r="D3839">
        <v>41.94</v>
      </c>
      <c r="E3839">
        <v>51</v>
      </c>
    </row>
    <row r="3840" spans="1:5" x14ac:dyDescent="0.3">
      <c r="A3840" t="s">
        <v>158</v>
      </c>
      <c r="B3840" s="1">
        <v>44710</v>
      </c>
      <c r="C3840">
        <v>1</v>
      </c>
      <c r="D3840">
        <v>23.8</v>
      </c>
      <c r="E3840">
        <v>31</v>
      </c>
    </row>
    <row r="3841" spans="1:5" x14ac:dyDescent="0.3">
      <c r="A3841" t="s">
        <v>42</v>
      </c>
      <c r="B3841" s="1">
        <v>44710</v>
      </c>
      <c r="C3841">
        <v>1</v>
      </c>
      <c r="D3841">
        <v>566.04</v>
      </c>
      <c r="E3841">
        <v>634</v>
      </c>
    </row>
    <row r="3842" spans="1:5" x14ac:dyDescent="0.3">
      <c r="A3842" t="s">
        <v>10</v>
      </c>
      <c r="B3842" s="1">
        <v>44710</v>
      </c>
      <c r="C3842">
        <v>1</v>
      </c>
      <c r="D3842">
        <v>11.67</v>
      </c>
      <c r="E3842">
        <v>14</v>
      </c>
    </row>
    <row r="3843" spans="1:5" x14ac:dyDescent="0.3">
      <c r="A3843" t="s">
        <v>147</v>
      </c>
      <c r="B3843" s="1">
        <v>44710</v>
      </c>
      <c r="C3843">
        <v>1</v>
      </c>
      <c r="D3843">
        <v>136.94999999999999</v>
      </c>
      <c r="E3843">
        <v>188</v>
      </c>
    </row>
    <row r="3844" spans="1:5" x14ac:dyDescent="0.3">
      <c r="A3844" t="s">
        <v>138</v>
      </c>
      <c r="B3844" s="1">
        <v>44710</v>
      </c>
      <c r="C3844">
        <v>1</v>
      </c>
      <c r="D3844">
        <v>46.5</v>
      </c>
      <c r="E3844">
        <v>76</v>
      </c>
    </row>
    <row r="3845" spans="1:5" x14ac:dyDescent="0.3">
      <c r="A3845" t="s">
        <v>72</v>
      </c>
      <c r="B3845" s="1">
        <v>44710</v>
      </c>
      <c r="C3845">
        <v>1</v>
      </c>
      <c r="D3845">
        <v>558.69000000000005</v>
      </c>
      <c r="E3845">
        <v>738</v>
      </c>
    </row>
    <row r="3846" spans="1:5" x14ac:dyDescent="0.3">
      <c r="A3846" t="s">
        <v>24</v>
      </c>
      <c r="B3846" s="1">
        <v>44710</v>
      </c>
      <c r="C3846">
        <v>1</v>
      </c>
      <c r="D3846">
        <v>103.46</v>
      </c>
      <c r="E3846">
        <v>121</v>
      </c>
    </row>
    <row r="3847" spans="1:5" x14ac:dyDescent="0.3">
      <c r="A3847" t="s">
        <v>72</v>
      </c>
      <c r="B3847" s="1">
        <v>44710</v>
      </c>
      <c r="C3847">
        <v>1</v>
      </c>
      <c r="D3847">
        <v>558.69000000000005</v>
      </c>
      <c r="E3847">
        <v>738</v>
      </c>
    </row>
    <row r="3848" spans="1:5" x14ac:dyDescent="0.3">
      <c r="A3848" t="s">
        <v>24</v>
      </c>
      <c r="B3848" s="1">
        <v>44710</v>
      </c>
      <c r="C3848">
        <v>1</v>
      </c>
      <c r="D3848">
        <v>96.14</v>
      </c>
      <c r="E3848">
        <v>118</v>
      </c>
    </row>
    <row r="3849" spans="1:5" x14ac:dyDescent="0.3">
      <c r="A3849" t="s">
        <v>72</v>
      </c>
      <c r="B3849" s="1">
        <v>44710</v>
      </c>
      <c r="C3849">
        <v>1</v>
      </c>
      <c r="D3849">
        <v>558.69000000000005</v>
      </c>
      <c r="E3849">
        <v>738</v>
      </c>
    </row>
    <row r="3850" spans="1:5" x14ac:dyDescent="0.3">
      <c r="A3850" t="s">
        <v>54</v>
      </c>
      <c r="B3850" s="1">
        <v>44710</v>
      </c>
      <c r="C3850">
        <v>1</v>
      </c>
      <c r="D3850">
        <v>731.05</v>
      </c>
      <c r="E3850">
        <v>944</v>
      </c>
    </row>
    <row r="3851" spans="1:5" x14ac:dyDescent="0.3">
      <c r="A3851" t="s">
        <v>105</v>
      </c>
      <c r="B3851" s="1">
        <v>44710</v>
      </c>
      <c r="C3851">
        <v>1</v>
      </c>
      <c r="D3851">
        <v>26.9</v>
      </c>
      <c r="E3851">
        <v>44</v>
      </c>
    </row>
    <row r="3852" spans="1:5" x14ac:dyDescent="0.3">
      <c r="A3852" t="s">
        <v>29</v>
      </c>
      <c r="B3852" s="1">
        <v>44710</v>
      </c>
      <c r="C3852">
        <v>1</v>
      </c>
      <c r="D3852">
        <v>489.61</v>
      </c>
      <c r="E3852">
        <v>661</v>
      </c>
    </row>
    <row r="3853" spans="1:5" x14ac:dyDescent="0.3">
      <c r="A3853" t="s">
        <v>153</v>
      </c>
      <c r="B3853" s="1">
        <v>44710</v>
      </c>
      <c r="C3853">
        <v>1</v>
      </c>
      <c r="D3853">
        <v>10.34</v>
      </c>
      <c r="E3853">
        <v>12</v>
      </c>
    </row>
    <row r="3854" spans="1:5" x14ac:dyDescent="0.3">
      <c r="A3854" t="s">
        <v>128</v>
      </c>
      <c r="B3854" s="1">
        <v>44710</v>
      </c>
      <c r="C3854">
        <v>1</v>
      </c>
      <c r="D3854">
        <v>282.82</v>
      </c>
      <c r="E3854">
        <v>396</v>
      </c>
    </row>
    <row r="3855" spans="1:5" x14ac:dyDescent="0.3">
      <c r="A3855" t="s">
        <v>41</v>
      </c>
      <c r="B3855" s="1">
        <v>44710</v>
      </c>
      <c r="C3855">
        <v>1</v>
      </c>
      <c r="D3855">
        <v>11.69</v>
      </c>
      <c r="E3855">
        <v>19</v>
      </c>
    </row>
    <row r="3856" spans="1:5" x14ac:dyDescent="0.3">
      <c r="A3856" t="s">
        <v>49</v>
      </c>
      <c r="B3856" s="1">
        <v>44710</v>
      </c>
      <c r="C3856">
        <v>1</v>
      </c>
      <c r="D3856">
        <v>15.53</v>
      </c>
      <c r="E3856">
        <v>19</v>
      </c>
    </row>
    <row r="3857" spans="1:5" x14ac:dyDescent="0.3">
      <c r="A3857" t="s">
        <v>49</v>
      </c>
      <c r="B3857" s="1">
        <v>44710</v>
      </c>
      <c r="C3857">
        <v>1</v>
      </c>
      <c r="D3857">
        <v>15.53</v>
      </c>
      <c r="E3857">
        <v>19</v>
      </c>
    </row>
    <row r="3858" spans="1:5" x14ac:dyDescent="0.3">
      <c r="A3858" t="s">
        <v>31</v>
      </c>
      <c r="B3858" s="1">
        <v>44710</v>
      </c>
      <c r="C3858">
        <v>1</v>
      </c>
      <c r="D3858">
        <v>14.4</v>
      </c>
      <c r="E3858">
        <v>19</v>
      </c>
    </row>
    <row r="3859" spans="1:5" x14ac:dyDescent="0.3">
      <c r="A3859" t="s">
        <v>11</v>
      </c>
      <c r="B3859" s="1">
        <v>44710</v>
      </c>
      <c r="C3859">
        <v>1</v>
      </c>
      <c r="D3859">
        <v>24.2</v>
      </c>
      <c r="E3859">
        <v>39</v>
      </c>
    </row>
    <row r="3860" spans="1:5" x14ac:dyDescent="0.3">
      <c r="A3860" t="s">
        <v>51</v>
      </c>
      <c r="B3860" s="1">
        <v>44710</v>
      </c>
      <c r="C3860">
        <v>4</v>
      </c>
      <c r="D3860">
        <v>2.2999999999999998</v>
      </c>
      <c r="E3860">
        <v>4</v>
      </c>
    </row>
    <row r="3861" spans="1:5" x14ac:dyDescent="0.3">
      <c r="A3861" t="s">
        <v>52</v>
      </c>
      <c r="B3861" s="1">
        <v>44710</v>
      </c>
      <c r="C3861">
        <v>1</v>
      </c>
      <c r="D3861">
        <v>203.13</v>
      </c>
      <c r="E3861">
        <v>244</v>
      </c>
    </row>
    <row r="3862" spans="1:5" x14ac:dyDescent="0.3">
      <c r="A3862" t="s">
        <v>98</v>
      </c>
      <c r="B3862" s="1">
        <v>44710</v>
      </c>
      <c r="C3862">
        <v>1</v>
      </c>
      <c r="D3862">
        <v>111.21</v>
      </c>
      <c r="E3862">
        <v>134</v>
      </c>
    </row>
    <row r="3863" spans="1:5" x14ac:dyDescent="0.3">
      <c r="A3863" t="s">
        <v>97</v>
      </c>
      <c r="B3863" s="1">
        <v>44710</v>
      </c>
      <c r="C3863">
        <v>1</v>
      </c>
      <c r="D3863">
        <v>426.66</v>
      </c>
      <c r="E3863">
        <v>564</v>
      </c>
    </row>
    <row r="3864" spans="1:5" x14ac:dyDescent="0.3">
      <c r="A3864" t="s">
        <v>100</v>
      </c>
      <c r="B3864" s="1">
        <v>44710</v>
      </c>
      <c r="C3864">
        <v>1</v>
      </c>
      <c r="D3864">
        <v>37.479999999999997</v>
      </c>
      <c r="E3864">
        <v>57</v>
      </c>
    </row>
    <row r="3865" spans="1:5" x14ac:dyDescent="0.3">
      <c r="A3865" t="s">
        <v>14</v>
      </c>
      <c r="B3865" s="1">
        <v>44710</v>
      </c>
      <c r="C3865">
        <v>0.5</v>
      </c>
      <c r="D3865">
        <v>455.4</v>
      </c>
      <c r="E3865">
        <v>624</v>
      </c>
    </row>
    <row r="3866" spans="1:5" x14ac:dyDescent="0.3">
      <c r="A3866" t="s">
        <v>153</v>
      </c>
      <c r="B3866" s="1">
        <v>44710</v>
      </c>
      <c r="C3866">
        <v>1</v>
      </c>
      <c r="D3866">
        <v>9.4600000000000009</v>
      </c>
      <c r="E3866">
        <v>11</v>
      </c>
    </row>
    <row r="3867" spans="1:5" x14ac:dyDescent="0.3">
      <c r="A3867" t="s">
        <v>153</v>
      </c>
      <c r="B3867" s="1">
        <v>44710</v>
      </c>
      <c r="C3867">
        <v>1</v>
      </c>
      <c r="D3867">
        <v>9.4600000000000009</v>
      </c>
      <c r="E3867">
        <v>11</v>
      </c>
    </row>
    <row r="3868" spans="1:5" x14ac:dyDescent="0.3">
      <c r="A3868" t="s">
        <v>7</v>
      </c>
      <c r="B3868" s="1">
        <v>44710</v>
      </c>
      <c r="C3868">
        <v>1</v>
      </c>
      <c r="D3868">
        <v>88.43</v>
      </c>
      <c r="E3868">
        <v>104</v>
      </c>
    </row>
    <row r="3869" spans="1:5" x14ac:dyDescent="0.3">
      <c r="A3869" t="s">
        <v>19</v>
      </c>
      <c r="B3869" s="1">
        <v>44710</v>
      </c>
      <c r="C3869">
        <v>1</v>
      </c>
      <c r="D3869">
        <v>82.68</v>
      </c>
      <c r="E3869">
        <v>103</v>
      </c>
    </row>
    <row r="3870" spans="1:5" x14ac:dyDescent="0.3">
      <c r="A3870" t="s">
        <v>90</v>
      </c>
      <c r="B3870" s="1">
        <v>44710</v>
      </c>
      <c r="C3870">
        <v>1</v>
      </c>
      <c r="D3870">
        <v>384.59</v>
      </c>
      <c r="E3870">
        <v>474</v>
      </c>
    </row>
    <row r="3871" spans="1:5" x14ac:dyDescent="0.3">
      <c r="A3871" t="s">
        <v>56</v>
      </c>
      <c r="B3871" s="1">
        <v>44710</v>
      </c>
      <c r="C3871">
        <v>1</v>
      </c>
      <c r="D3871">
        <v>44.9</v>
      </c>
      <c r="E3871">
        <v>69</v>
      </c>
    </row>
    <row r="3872" spans="1:5" x14ac:dyDescent="0.3">
      <c r="A3872" t="s">
        <v>56</v>
      </c>
      <c r="B3872" s="1">
        <v>44710</v>
      </c>
      <c r="C3872">
        <v>1</v>
      </c>
      <c r="D3872">
        <v>44.9</v>
      </c>
      <c r="E3872">
        <v>69</v>
      </c>
    </row>
    <row r="3873" spans="1:5" x14ac:dyDescent="0.3">
      <c r="A3873" t="s">
        <v>146</v>
      </c>
      <c r="B3873" s="1">
        <v>44710</v>
      </c>
      <c r="C3873">
        <v>1</v>
      </c>
      <c r="D3873">
        <v>507.1</v>
      </c>
      <c r="E3873">
        <v>531</v>
      </c>
    </row>
    <row r="3874" spans="1:5" x14ac:dyDescent="0.3">
      <c r="A3874" t="s">
        <v>73</v>
      </c>
      <c r="B3874" s="1">
        <v>44710</v>
      </c>
      <c r="C3874">
        <v>1</v>
      </c>
      <c r="D3874">
        <v>8.01</v>
      </c>
      <c r="E3874">
        <v>13</v>
      </c>
    </row>
    <row r="3875" spans="1:5" x14ac:dyDescent="0.3">
      <c r="A3875" t="s">
        <v>56</v>
      </c>
      <c r="B3875" s="1">
        <v>44710</v>
      </c>
      <c r="C3875">
        <v>1</v>
      </c>
      <c r="D3875">
        <v>43.97</v>
      </c>
      <c r="E3875">
        <v>70</v>
      </c>
    </row>
    <row r="3876" spans="1:5" x14ac:dyDescent="0.3">
      <c r="A3876" t="s">
        <v>41</v>
      </c>
      <c r="B3876" s="1">
        <v>44710</v>
      </c>
      <c r="C3876">
        <v>1</v>
      </c>
      <c r="D3876">
        <v>11.52</v>
      </c>
      <c r="E3876">
        <v>20</v>
      </c>
    </row>
    <row r="3877" spans="1:5" x14ac:dyDescent="0.3">
      <c r="A3877" t="s">
        <v>122</v>
      </c>
      <c r="B3877" s="1">
        <v>44710</v>
      </c>
      <c r="C3877">
        <v>1</v>
      </c>
      <c r="D3877">
        <v>20.39</v>
      </c>
      <c r="E3877">
        <v>25</v>
      </c>
    </row>
    <row r="3878" spans="1:5" x14ac:dyDescent="0.3">
      <c r="A3878" t="s">
        <v>134</v>
      </c>
      <c r="B3878" s="1">
        <v>44710</v>
      </c>
      <c r="C3878">
        <v>1</v>
      </c>
      <c r="D3878">
        <v>33</v>
      </c>
      <c r="E3878">
        <v>51</v>
      </c>
    </row>
    <row r="3879" spans="1:5" x14ac:dyDescent="0.3">
      <c r="A3879" t="s">
        <v>122</v>
      </c>
      <c r="B3879" s="1">
        <v>44710</v>
      </c>
      <c r="C3879">
        <v>1</v>
      </c>
      <c r="D3879">
        <v>23.9</v>
      </c>
      <c r="E3879">
        <v>29</v>
      </c>
    </row>
    <row r="3880" spans="1:5" x14ac:dyDescent="0.3">
      <c r="A3880" t="s">
        <v>58</v>
      </c>
      <c r="B3880" s="1">
        <v>44710</v>
      </c>
      <c r="C3880">
        <v>1</v>
      </c>
      <c r="D3880">
        <v>88.35</v>
      </c>
      <c r="E3880">
        <v>107</v>
      </c>
    </row>
    <row r="3881" spans="1:5" x14ac:dyDescent="0.3">
      <c r="A3881" t="s">
        <v>58</v>
      </c>
      <c r="B3881" s="1">
        <v>44710</v>
      </c>
      <c r="C3881">
        <v>1</v>
      </c>
      <c r="D3881">
        <v>88.35</v>
      </c>
      <c r="E3881">
        <v>107</v>
      </c>
    </row>
    <row r="3882" spans="1:5" x14ac:dyDescent="0.3">
      <c r="A3882" t="s">
        <v>72</v>
      </c>
      <c r="B3882" s="1">
        <v>44710</v>
      </c>
      <c r="C3882">
        <v>1</v>
      </c>
      <c r="D3882">
        <v>558.69000000000005</v>
      </c>
      <c r="E3882">
        <v>738</v>
      </c>
    </row>
    <row r="3883" spans="1:5" x14ac:dyDescent="0.3">
      <c r="A3883" t="s">
        <v>72</v>
      </c>
      <c r="B3883" s="1">
        <v>44710</v>
      </c>
      <c r="C3883">
        <v>1</v>
      </c>
      <c r="D3883">
        <v>558.69000000000005</v>
      </c>
      <c r="E3883">
        <v>738</v>
      </c>
    </row>
    <row r="3884" spans="1:5" x14ac:dyDescent="0.3">
      <c r="A3884" t="s">
        <v>72</v>
      </c>
      <c r="B3884" s="1">
        <v>44710</v>
      </c>
      <c r="C3884">
        <v>1</v>
      </c>
      <c r="D3884">
        <v>558.69000000000005</v>
      </c>
      <c r="E3884">
        <v>738</v>
      </c>
    </row>
    <row r="3885" spans="1:5" x14ac:dyDescent="0.3">
      <c r="A3885" t="s">
        <v>35</v>
      </c>
      <c r="B3885" s="1">
        <v>44710</v>
      </c>
      <c r="C3885">
        <v>1</v>
      </c>
      <c r="D3885">
        <v>31.85</v>
      </c>
      <c r="E3885">
        <v>49</v>
      </c>
    </row>
    <row r="3886" spans="1:5" x14ac:dyDescent="0.3">
      <c r="A3886" t="s">
        <v>58</v>
      </c>
      <c r="B3886" s="1">
        <v>44710</v>
      </c>
      <c r="C3886">
        <v>1</v>
      </c>
      <c r="D3886">
        <v>84.36</v>
      </c>
      <c r="E3886">
        <v>102</v>
      </c>
    </row>
    <row r="3887" spans="1:5" x14ac:dyDescent="0.3">
      <c r="A3887" t="s">
        <v>7</v>
      </c>
      <c r="B3887" s="1">
        <v>44710</v>
      </c>
      <c r="C3887">
        <v>1</v>
      </c>
      <c r="D3887">
        <v>89.27</v>
      </c>
      <c r="E3887">
        <v>111</v>
      </c>
    </row>
    <row r="3888" spans="1:5" x14ac:dyDescent="0.3">
      <c r="A3888" t="s">
        <v>63</v>
      </c>
      <c r="B3888" s="1">
        <v>44710</v>
      </c>
      <c r="C3888">
        <v>1</v>
      </c>
      <c r="D3888">
        <v>71.38</v>
      </c>
      <c r="E3888">
        <v>86</v>
      </c>
    </row>
    <row r="3889" spans="1:5" x14ac:dyDescent="0.3">
      <c r="A3889" t="s">
        <v>27</v>
      </c>
      <c r="B3889" s="1">
        <v>44710</v>
      </c>
      <c r="C3889">
        <v>1</v>
      </c>
      <c r="D3889">
        <v>102.34</v>
      </c>
      <c r="E3889">
        <v>157</v>
      </c>
    </row>
    <row r="3890" spans="1:5" x14ac:dyDescent="0.3">
      <c r="A3890" t="s">
        <v>24</v>
      </c>
      <c r="B3890" s="1">
        <v>44710</v>
      </c>
      <c r="C3890">
        <v>1</v>
      </c>
      <c r="D3890">
        <v>102.47</v>
      </c>
      <c r="E3890">
        <v>121</v>
      </c>
    </row>
    <row r="3891" spans="1:5" x14ac:dyDescent="0.3">
      <c r="A3891" t="s">
        <v>132</v>
      </c>
      <c r="B3891" s="1">
        <v>44710</v>
      </c>
      <c r="C3891">
        <v>1</v>
      </c>
      <c r="D3891">
        <v>58.53</v>
      </c>
      <c r="E3891">
        <v>84</v>
      </c>
    </row>
    <row r="3892" spans="1:5" x14ac:dyDescent="0.3">
      <c r="A3892" t="s">
        <v>60</v>
      </c>
      <c r="B3892" s="1">
        <v>44710</v>
      </c>
      <c r="C3892">
        <v>1</v>
      </c>
      <c r="D3892">
        <v>56.76</v>
      </c>
      <c r="E3892">
        <v>71</v>
      </c>
    </row>
    <row r="3893" spans="1:5" x14ac:dyDescent="0.3">
      <c r="A3893" t="s">
        <v>60</v>
      </c>
      <c r="B3893" s="1">
        <v>44710</v>
      </c>
      <c r="C3893">
        <v>1</v>
      </c>
      <c r="D3893">
        <v>56.76</v>
      </c>
      <c r="E3893">
        <v>71</v>
      </c>
    </row>
    <row r="3894" spans="1:5" x14ac:dyDescent="0.3">
      <c r="A3894" t="s">
        <v>98</v>
      </c>
      <c r="B3894" s="1">
        <v>44710</v>
      </c>
      <c r="C3894">
        <v>1</v>
      </c>
      <c r="D3894">
        <v>111.32</v>
      </c>
      <c r="E3894">
        <v>134</v>
      </c>
    </row>
    <row r="3895" spans="1:5" x14ac:dyDescent="0.3">
      <c r="A3895" t="s">
        <v>116</v>
      </c>
      <c r="B3895" s="1">
        <v>44710</v>
      </c>
      <c r="C3895">
        <v>1</v>
      </c>
      <c r="D3895">
        <v>105.42</v>
      </c>
      <c r="E3895">
        <v>126</v>
      </c>
    </row>
    <row r="3896" spans="1:5" x14ac:dyDescent="0.3">
      <c r="A3896" t="s">
        <v>47</v>
      </c>
      <c r="B3896" s="1">
        <v>44710</v>
      </c>
      <c r="C3896">
        <v>1</v>
      </c>
      <c r="D3896">
        <v>42.85</v>
      </c>
      <c r="E3896">
        <v>67</v>
      </c>
    </row>
    <row r="3897" spans="1:5" x14ac:dyDescent="0.3">
      <c r="A3897" t="s">
        <v>139</v>
      </c>
      <c r="B3897" s="1">
        <v>44710</v>
      </c>
      <c r="C3897">
        <v>1</v>
      </c>
      <c r="D3897">
        <v>24.18</v>
      </c>
      <c r="E3897">
        <v>39</v>
      </c>
    </row>
    <row r="3898" spans="1:5" x14ac:dyDescent="0.3">
      <c r="A3898" t="s">
        <v>122</v>
      </c>
      <c r="B3898" s="1">
        <v>44710</v>
      </c>
      <c r="C3898">
        <v>1</v>
      </c>
      <c r="D3898">
        <v>20.39</v>
      </c>
      <c r="E3898">
        <v>25</v>
      </c>
    </row>
    <row r="3899" spans="1:5" x14ac:dyDescent="0.3">
      <c r="A3899" t="s">
        <v>149</v>
      </c>
      <c r="B3899" s="1">
        <v>44710</v>
      </c>
      <c r="C3899">
        <v>1</v>
      </c>
      <c r="D3899">
        <v>199.99</v>
      </c>
      <c r="E3899">
        <v>278</v>
      </c>
    </row>
    <row r="3900" spans="1:5" x14ac:dyDescent="0.3">
      <c r="A3900" t="s">
        <v>149</v>
      </c>
      <c r="B3900" s="1">
        <v>44710</v>
      </c>
      <c r="C3900">
        <v>1</v>
      </c>
      <c r="D3900">
        <v>199.99</v>
      </c>
      <c r="E3900">
        <v>278</v>
      </c>
    </row>
    <row r="3901" spans="1:5" x14ac:dyDescent="0.3">
      <c r="A3901" t="s">
        <v>149</v>
      </c>
      <c r="B3901" s="1">
        <v>44710</v>
      </c>
      <c r="C3901">
        <v>1</v>
      </c>
      <c r="D3901">
        <v>220.76</v>
      </c>
      <c r="E3901">
        <v>303</v>
      </c>
    </row>
    <row r="3902" spans="1:5" x14ac:dyDescent="0.3">
      <c r="A3902" t="s">
        <v>13</v>
      </c>
      <c r="B3902" s="1">
        <v>44710</v>
      </c>
      <c r="C3902">
        <v>1</v>
      </c>
      <c r="D3902">
        <v>119.73</v>
      </c>
      <c r="E3902">
        <v>144</v>
      </c>
    </row>
    <row r="3903" spans="1:5" x14ac:dyDescent="0.3">
      <c r="A3903" t="s">
        <v>16</v>
      </c>
      <c r="B3903" s="1">
        <v>44710</v>
      </c>
      <c r="C3903">
        <v>1</v>
      </c>
      <c r="D3903">
        <v>44.03</v>
      </c>
      <c r="E3903">
        <v>70</v>
      </c>
    </row>
    <row r="3904" spans="1:5" x14ac:dyDescent="0.3">
      <c r="A3904" t="s">
        <v>19</v>
      </c>
      <c r="B3904" s="1">
        <v>44710</v>
      </c>
      <c r="C3904">
        <v>1</v>
      </c>
      <c r="D3904">
        <v>81.290000000000006</v>
      </c>
      <c r="E3904">
        <v>103</v>
      </c>
    </row>
    <row r="3905" spans="1:5" x14ac:dyDescent="0.3">
      <c r="A3905" t="s">
        <v>24</v>
      </c>
      <c r="B3905" s="1">
        <v>44710</v>
      </c>
      <c r="C3905">
        <v>1</v>
      </c>
      <c r="D3905">
        <v>102.47</v>
      </c>
      <c r="E3905">
        <v>121</v>
      </c>
    </row>
    <row r="3906" spans="1:5" x14ac:dyDescent="0.3">
      <c r="A3906" t="s">
        <v>52</v>
      </c>
      <c r="B3906" s="1">
        <v>44710</v>
      </c>
      <c r="C3906">
        <v>1</v>
      </c>
      <c r="D3906">
        <v>205</v>
      </c>
      <c r="E3906">
        <v>250</v>
      </c>
    </row>
    <row r="3907" spans="1:5" x14ac:dyDescent="0.3">
      <c r="A3907" t="s">
        <v>156</v>
      </c>
      <c r="B3907" s="1">
        <v>44710</v>
      </c>
      <c r="C3907">
        <v>1</v>
      </c>
      <c r="D3907">
        <v>256.83</v>
      </c>
      <c r="E3907">
        <v>352</v>
      </c>
    </row>
    <row r="3908" spans="1:5" x14ac:dyDescent="0.3">
      <c r="A3908" t="s">
        <v>61</v>
      </c>
      <c r="B3908" s="1">
        <v>44710</v>
      </c>
      <c r="C3908">
        <v>1</v>
      </c>
      <c r="D3908">
        <v>32.979999999999997</v>
      </c>
      <c r="E3908">
        <v>52</v>
      </c>
    </row>
    <row r="3909" spans="1:5" x14ac:dyDescent="0.3">
      <c r="A3909" t="s">
        <v>65</v>
      </c>
      <c r="B3909" s="1">
        <v>44710</v>
      </c>
      <c r="C3909">
        <v>1</v>
      </c>
      <c r="D3909">
        <v>176.77</v>
      </c>
      <c r="E3909">
        <v>221</v>
      </c>
    </row>
    <row r="3910" spans="1:5" x14ac:dyDescent="0.3">
      <c r="A3910" t="s">
        <v>50</v>
      </c>
      <c r="B3910" s="1">
        <v>44710</v>
      </c>
      <c r="C3910">
        <v>1</v>
      </c>
      <c r="D3910">
        <v>43.86</v>
      </c>
      <c r="E3910">
        <v>55</v>
      </c>
    </row>
    <row r="3911" spans="1:5" x14ac:dyDescent="0.3">
      <c r="A3911" t="s">
        <v>41</v>
      </c>
      <c r="B3911" s="1">
        <v>44710</v>
      </c>
      <c r="C3911">
        <v>2</v>
      </c>
      <c r="D3911">
        <v>10.9</v>
      </c>
      <c r="E3911">
        <v>18</v>
      </c>
    </row>
    <row r="3912" spans="1:5" x14ac:dyDescent="0.3">
      <c r="A3912" t="s">
        <v>22</v>
      </c>
      <c r="B3912" s="1">
        <v>44710</v>
      </c>
      <c r="C3912">
        <v>1</v>
      </c>
      <c r="D3912">
        <v>30.3</v>
      </c>
      <c r="E3912">
        <v>49</v>
      </c>
    </row>
    <row r="3913" spans="1:5" x14ac:dyDescent="0.3">
      <c r="A3913" t="s">
        <v>19</v>
      </c>
      <c r="B3913" s="1">
        <v>44710</v>
      </c>
      <c r="C3913">
        <v>1</v>
      </c>
      <c r="D3913">
        <v>80.760000000000005</v>
      </c>
      <c r="E3913">
        <v>101</v>
      </c>
    </row>
    <row r="3914" spans="1:5" x14ac:dyDescent="0.3">
      <c r="A3914" t="s">
        <v>9</v>
      </c>
      <c r="B3914" s="1">
        <v>44710</v>
      </c>
      <c r="C3914">
        <v>1</v>
      </c>
      <c r="D3914">
        <v>81.91</v>
      </c>
      <c r="E3914">
        <v>99</v>
      </c>
    </row>
    <row r="3915" spans="1:5" x14ac:dyDescent="0.3">
      <c r="A3915" t="s">
        <v>47</v>
      </c>
      <c r="B3915" s="1">
        <v>44710</v>
      </c>
      <c r="C3915">
        <v>1</v>
      </c>
      <c r="D3915">
        <v>42.85</v>
      </c>
      <c r="E3915">
        <v>67</v>
      </c>
    </row>
    <row r="3916" spans="1:5" x14ac:dyDescent="0.3">
      <c r="A3916" t="s">
        <v>150</v>
      </c>
      <c r="B3916" s="1">
        <v>44710</v>
      </c>
      <c r="C3916">
        <v>1</v>
      </c>
      <c r="D3916">
        <v>94.8</v>
      </c>
      <c r="E3916">
        <v>147</v>
      </c>
    </row>
    <row r="3917" spans="1:5" x14ac:dyDescent="0.3">
      <c r="A3917" t="s">
        <v>9</v>
      </c>
      <c r="B3917" s="1">
        <v>44710</v>
      </c>
      <c r="C3917">
        <v>1</v>
      </c>
      <c r="D3917">
        <v>80.69</v>
      </c>
      <c r="E3917">
        <v>100</v>
      </c>
    </row>
    <row r="3918" spans="1:5" x14ac:dyDescent="0.3">
      <c r="A3918" t="s">
        <v>26</v>
      </c>
      <c r="B3918" s="1">
        <v>44710</v>
      </c>
      <c r="C3918">
        <v>0.2</v>
      </c>
      <c r="D3918">
        <v>1182.26</v>
      </c>
      <c r="E3918">
        <v>1537</v>
      </c>
    </row>
    <row r="3919" spans="1:5" x14ac:dyDescent="0.3">
      <c r="A3919" t="s">
        <v>22</v>
      </c>
      <c r="B3919" s="1">
        <v>44710</v>
      </c>
      <c r="C3919">
        <v>1</v>
      </c>
      <c r="D3919">
        <v>30.3</v>
      </c>
      <c r="E3919">
        <v>49</v>
      </c>
    </row>
    <row r="3920" spans="1:5" x14ac:dyDescent="0.3">
      <c r="A3920" t="s">
        <v>157</v>
      </c>
      <c r="B3920" s="1">
        <v>44710</v>
      </c>
      <c r="C3920">
        <v>2</v>
      </c>
      <c r="D3920">
        <v>12</v>
      </c>
      <c r="E3920">
        <v>20</v>
      </c>
    </row>
    <row r="3921" spans="1:5" x14ac:dyDescent="0.3">
      <c r="A3921" t="s">
        <v>146</v>
      </c>
      <c r="B3921" s="1">
        <v>44710</v>
      </c>
      <c r="C3921">
        <v>1</v>
      </c>
      <c r="D3921">
        <v>408.64</v>
      </c>
      <c r="E3921">
        <v>458</v>
      </c>
    </row>
    <row r="3922" spans="1:5" x14ac:dyDescent="0.3">
      <c r="A3922" t="s">
        <v>57</v>
      </c>
      <c r="B3922" s="1">
        <v>44710</v>
      </c>
      <c r="C3922">
        <v>1</v>
      </c>
      <c r="D3922">
        <v>233.74</v>
      </c>
      <c r="E3922">
        <v>274</v>
      </c>
    </row>
    <row r="3923" spans="1:5" x14ac:dyDescent="0.3">
      <c r="A3923" t="s">
        <v>31</v>
      </c>
      <c r="B3923" s="1">
        <v>44710</v>
      </c>
      <c r="C3923">
        <v>1</v>
      </c>
      <c r="D3923">
        <v>13.05</v>
      </c>
      <c r="E3923">
        <v>18</v>
      </c>
    </row>
    <row r="3924" spans="1:5" x14ac:dyDescent="0.3">
      <c r="A3924" t="s">
        <v>41</v>
      </c>
      <c r="B3924" s="1">
        <v>44710</v>
      </c>
      <c r="C3924">
        <v>1</v>
      </c>
      <c r="D3924">
        <v>10.9</v>
      </c>
      <c r="E3924">
        <v>18</v>
      </c>
    </row>
    <row r="3925" spans="1:5" x14ac:dyDescent="0.3">
      <c r="A3925" t="s">
        <v>7</v>
      </c>
      <c r="B3925" s="1">
        <v>44710</v>
      </c>
      <c r="C3925">
        <v>1</v>
      </c>
      <c r="D3925">
        <v>88.73</v>
      </c>
      <c r="E3925">
        <v>104</v>
      </c>
    </row>
    <row r="3926" spans="1:5" x14ac:dyDescent="0.3">
      <c r="A3926" t="s">
        <v>7</v>
      </c>
      <c r="B3926" s="1">
        <v>44710</v>
      </c>
      <c r="C3926">
        <v>1</v>
      </c>
      <c r="D3926">
        <v>88.73</v>
      </c>
      <c r="E3926">
        <v>104</v>
      </c>
    </row>
    <row r="3927" spans="1:5" x14ac:dyDescent="0.3">
      <c r="A3927" t="s">
        <v>65</v>
      </c>
      <c r="B3927" s="1">
        <v>44710</v>
      </c>
      <c r="C3927">
        <v>1</v>
      </c>
      <c r="D3927">
        <v>187.33</v>
      </c>
      <c r="E3927">
        <v>220</v>
      </c>
    </row>
    <row r="3928" spans="1:5" x14ac:dyDescent="0.3">
      <c r="A3928" t="s">
        <v>25</v>
      </c>
      <c r="B3928" s="1">
        <v>44710</v>
      </c>
      <c r="C3928">
        <v>1</v>
      </c>
      <c r="D3928">
        <v>147.18</v>
      </c>
      <c r="E3928">
        <v>177</v>
      </c>
    </row>
    <row r="3929" spans="1:5" x14ac:dyDescent="0.3">
      <c r="A3929" t="s">
        <v>68</v>
      </c>
      <c r="B3929" s="1">
        <v>44710</v>
      </c>
      <c r="C3929">
        <v>1</v>
      </c>
      <c r="D3929">
        <v>57.12</v>
      </c>
      <c r="E3929">
        <v>87</v>
      </c>
    </row>
    <row r="3930" spans="1:5" x14ac:dyDescent="0.3">
      <c r="A3930" t="s">
        <v>68</v>
      </c>
      <c r="B3930" s="1">
        <v>44710</v>
      </c>
      <c r="C3930">
        <v>1</v>
      </c>
      <c r="D3930">
        <v>57.12</v>
      </c>
      <c r="E3930">
        <v>87</v>
      </c>
    </row>
    <row r="3931" spans="1:5" x14ac:dyDescent="0.3">
      <c r="A3931" t="s">
        <v>68</v>
      </c>
      <c r="B3931" s="1">
        <v>44710</v>
      </c>
      <c r="C3931">
        <v>1</v>
      </c>
      <c r="D3931">
        <v>57.12</v>
      </c>
      <c r="E3931">
        <v>87</v>
      </c>
    </row>
    <row r="3932" spans="1:5" x14ac:dyDescent="0.3">
      <c r="A3932" t="s">
        <v>31</v>
      </c>
      <c r="B3932" s="1">
        <v>44710</v>
      </c>
      <c r="C3932">
        <v>1</v>
      </c>
      <c r="D3932">
        <v>14.4</v>
      </c>
      <c r="E3932">
        <v>19</v>
      </c>
    </row>
    <row r="3933" spans="1:5" x14ac:dyDescent="0.3">
      <c r="A3933" t="s">
        <v>31</v>
      </c>
      <c r="B3933" s="1">
        <v>44710</v>
      </c>
      <c r="C3933">
        <v>1</v>
      </c>
      <c r="D3933">
        <v>14.4</v>
      </c>
      <c r="E3933">
        <v>19</v>
      </c>
    </row>
    <row r="3934" spans="1:5" x14ac:dyDescent="0.3">
      <c r="A3934" t="s">
        <v>28</v>
      </c>
      <c r="B3934" s="1">
        <v>44710</v>
      </c>
      <c r="C3934">
        <v>1</v>
      </c>
      <c r="D3934">
        <v>148.91</v>
      </c>
      <c r="E3934">
        <v>204</v>
      </c>
    </row>
    <row r="3935" spans="1:5" x14ac:dyDescent="0.3">
      <c r="A3935" t="s">
        <v>36</v>
      </c>
      <c r="B3935" s="1">
        <v>44710</v>
      </c>
      <c r="C3935">
        <v>1</v>
      </c>
      <c r="D3935">
        <v>32.67</v>
      </c>
      <c r="E3935">
        <v>41</v>
      </c>
    </row>
    <row r="3936" spans="1:5" x14ac:dyDescent="0.3">
      <c r="A3936" t="s">
        <v>36</v>
      </c>
      <c r="B3936" s="1">
        <v>44710</v>
      </c>
      <c r="C3936">
        <v>1</v>
      </c>
      <c r="D3936">
        <v>32.67</v>
      </c>
      <c r="E3936">
        <v>41</v>
      </c>
    </row>
    <row r="3937" spans="1:5" x14ac:dyDescent="0.3">
      <c r="A3937" t="s">
        <v>108</v>
      </c>
      <c r="B3937" s="1">
        <v>44710</v>
      </c>
      <c r="C3937">
        <v>1</v>
      </c>
      <c r="D3937">
        <v>29.56</v>
      </c>
      <c r="E3937">
        <v>45</v>
      </c>
    </row>
    <row r="3938" spans="1:5" x14ac:dyDescent="0.3">
      <c r="A3938" t="s">
        <v>108</v>
      </c>
      <c r="B3938" s="1">
        <v>44710</v>
      </c>
      <c r="C3938">
        <v>1</v>
      </c>
      <c r="D3938">
        <v>29.56</v>
      </c>
      <c r="E3938">
        <v>45</v>
      </c>
    </row>
    <row r="3939" spans="1:5" x14ac:dyDescent="0.3">
      <c r="A3939" t="s">
        <v>92</v>
      </c>
      <c r="B3939" s="1">
        <v>44710</v>
      </c>
      <c r="C3939">
        <v>50</v>
      </c>
      <c r="D3939">
        <v>6.3</v>
      </c>
      <c r="E3939">
        <v>9</v>
      </c>
    </row>
    <row r="3940" spans="1:5" x14ac:dyDescent="0.3">
      <c r="A3940" t="s">
        <v>141</v>
      </c>
      <c r="B3940" s="1">
        <v>44710</v>
      </c>
      <c r="C3940">
        <v>2</v>
      </c>
      <c r="D3940">
        <v>12.2</v>
      </c>
      <c r="E3940">
        <v>20</v>
      </c>
    </row>
    <row r="3941" spans="1:5" x14ac:dyDescent="0.3">
      <c r="A3941" t="s">
        <v>112</v>
      </c>
      <c r="B3941" s="1">
        <v>44710</v>
      </c>
      <c r="C3941">
        <v>1</v>
      </c>
      <c r="D3941">
        <v>280.75</v>
      </c>
      <c r="E3941">
        <v>324</v>
      </c>
    </row>
    <row r="3942" spans="1:5" x14ac:dyDescent="0.3">
      <c r="A3942" t="s">
        <v>141</v>
      </c>
      <c r="B3942" s="1">
        <v>44710</v>
      </c>
      <c r="C3942">
        <v>1</v>
      </c>
      <c r="D3942">
        <v>12.2</v>
      </c>
      <c r="E3942">
        <v>20</v>
      </c>
    </row>
    <row r="3943" spans="1:5" x14ac:dyDescent="0.3">
      <c r="A3943" t="s">
        <v>157</v>
      </c>
      <c r="B3943" s="1">
        <v>44710</v>
      </c>
      <c r="C3943">
        <v>1</v>
      </c>
      <c r="D3943">
        <v>12</v>
      </c>
      <c r="E3943">
        <v>20</v>
      </c>
    </row>
    <row r="3944" spans="1:5" x14ac:dyDescent="0.3">
      <c r="A3944" t="s">
        <v>53</v>
      </c>
      <c r="B3944" s="1">
        <v>44710</v>
      </c>
      <c r="C3944">
        <v>1</v>
      </c>
      <c r="D3944">
        <v>23.4</v>
      </c>
      <c r="E3944">
        <v>38</v>
      </c>
    </row>
    <row r="3945" spans="1:5" x14ac:dyDescent="0.3">
      <c r="A3945" t="s">
        <v>23</v>
      </c>
      <c r="B3945" s="1">
        <v>44710</v>
      </c>
      <c r="C3945">
        <v>1</v>
      </c>
      <c r="D3945">
        <v>109.41</v>
      </c>
      <c r="E3945">
        <v>123</v>
      </c>
    </row>
    <row r="3946" spans="1:5" x14ac:dyDescent="0.3">
      <c r="A3946" t="s">
        <v>153</v>
      </c>
      <c r="B3946" s="1">
        <v>44710</v>
      </c>
      <c r="C3946">
        <v>1</v>
      </c>
      <c r="D3946">
        <v>10.34</v>
      </c>
      <c r="E3946">
        <v>12</v>
      </c>
    </row>
    <row r="3947" spans="1:5" x14ac:dyDescent="0.3">
      <c r="A3947" t="s">
        <v>11</v>
      </c>
      <c r="B3947" s="1">
        <v>44710</v>
      </c>
      <c r="C3947">
        <v>1</v>
      </c>
      <c r="D3947">
        <v>24.2</v>
      </c>
      <c r="E3947">
        <v>39</v>
      </c>
    </row>
    <row r="3948" spans="1:5" x14ac:dyDescent="0.3">
      <c r="A3948" t="s">
        <v>132</v>
      </c>
      <c r="B3948" s="1">
        <v>44710</v>
      </c>
      <c r="C3948">
        <v>1</v>
      </c>
      <c r="D3948">
        <v>58.53</v>
      </c>
      <c r="E3948">
        <v>84</v>
      </c>
    </row>
    <row r="3949" spans="1:5" x14ac:dyDescent="0.3">
      <c r="A3949" t="s">
        <v>132</v>
      </c>
      <c r="B3949" s="1">
        <v>44710</v>
      </c>
      <c r="C3949">
        <v>1</v>
      </c>
      <c r="D3949">
        <v>58.53</v>
      </c>
      <c r="E3949">
        <v>84</v>
      </c>
    </row>
    <row r="3950" spans="1:5" x14ac:dyDescent="0.3">
      <c r="A3950" t="s">
        <v>132</v>
      </c>
      <c r="B3950" s="1">
        <v>44710</v>
      </c>
      <c r="C3950">
        <v>1</v>
      </c>
      <c r="D3950">
        <v>58.53</v>
      </c>
      <c r="E3950">
        <v>84</v>
      </c>
    </row>
    <row r="3951" spans="1:5" x14ac:dyDescent="0.3">
      <c r="A3951" t="s">
        <v>65</v>
      </c>
      <c r="B3951" s="1">
        <v>44710</v>
      </c>
      <c r="C3951">
        <v>1</v>
      </c>
      <c r="D3951">
        <v>187.33</v>
      </c>
      <c r="E3951">
        <v>220</v>
      </c>
    </row>
    <row r="3952" spans="1:5" x14ac:dyDescent="0.3">
      <c r="A3952" t="s">
        <v>144</v>
      </c>
      <c r="B3952" s="1">
        <v>44710</v>
      </c>
      <c r="C3952">
        <v>1</v>
      </c>
      <c r="D3952">
        <v>51.98</v>
      </c>
      <c r="E3952">
        <v>81</v>
      </c>
    </row>
    <row r="3953" spans="1:5" x14ac:dyDescent="0.3">
      <c r="A3953" t="s">
        <v>93</v>
      </c>
      <c r="B3953" s="1">
        <v>44710</v>
      </c>
      <c r="C3953">
        <v>1</v>
      </c>
      <c r="D3953">
        <v>71.05</v>
      </c>
      <c r="E3953">
        <v>104</v>
      </c>
    </row>
    <row r="3954" spans="1:5" x14ac:dyDescent="0.3">
      <c r="A3954" t="s">
        <v>122</v>
      </c>
      <c r="B3954" s="1">
        <v>44710</v>
      </c>
      <c r="C3954">
        <v>1</v>
      </c>
      <c r="D3954">
        <v>20.86</v>
      </c>
      <c r="E3954">
        <v>26</v>
      </c>
    </row>
    <row r="3955" spans="1:5" x14ac:dyDescent="0.3">
      <c r="A3955" t="s">
        <v>32</v>
      </c>
      <c r="B3955" s="1">
        <v>44710</v>
      </c>
      <c r="C3955">
        <v>0.1</v>
      </c>
      <c r="D3955">
        <v>59.59</v>
      </c>
      <c r="E3955">
        <v>94</v>
      </c>
    </row>
    <row r="3956" spans="1:5" x14ac:dyDescent="0.3">
      <c r="A3956" t="s">
        <v>73</v>
      </c>
      <c r="B3956" s="1">
        <v>44710</v>
      </c>
      <c r="C3956">
        <v>1</v>
      </c>
      <c r="D3956">
        <v>8.06</v>
      </c>
      <c r="E3956">
        <v>14</v>
      </c>
    </row>
    <row r="3957" spans="1:5" x14ac:dyDescent="0.3">
      <c r="A3957" t="s">
        <v>91</v>
      </c>
      <c r="B3957" s="1">
        <v>44710</v>
      </c>
      <c r="C3957">
        <v>1</v>
      </c>
      <c r="D3957">
        <v>31.23</v>
      </c>
      <c r="E3957">
        <v>51</v>
      </c>
    </row>
    <row r="3958" spans="1:5" x14ac:dyDescent="0.3">
      <c r="A3958" t="s">
        <v>36</v>
      </c>
      <c r="B3958" s="1">
        <v>44710</v>
      </c>
      <c r="C3958">
        <v>1</v>
      </c>
      <c r="D3958">
        <v>32.67</v>
      </c>
      <c r="E3958">
        <v>41</v>
      </c>
    </row>
    <row r="3959" spans="1:5" x14ac:dyDescent="0.3">
      <c r="A3959" t="s">
        <v>36</v>
      </c>
      <c r="B3959" s="1">
        <v>44710</v>
      </c>
      <c r="C3959">
        <v>1</v>
      </c>
      <c r="D3959">
        <v>32.67</v>
      </c>
      <c r="E3959">
        <v>41</v>
      </c>
    </row>
    <row r="3960" spans="1:5" x14ac:dyDescent="0.3">
      <c r="A3960" t="s">
        <v>20</v>
      </c>
      <c r="B3960" s="1">
        <v>44710</v>
      </c>
      <c r="C3960">
        <v>1</v>
      </c>
      <c r="D3960">
        <v>19.71</v>
      </c>
      <c r="E3960">
        <v>25</v>
      </c>
    </row>
    <row r="3961" spans="1:5" x14ac:dyDescent="0.3">
      <c r="A3961" t="s">
        <v>20</v>
      </c>
      <c r="B3961" s="1">
        <v>44710</v>
      </c>
      <c r="C3961">
        <v>1</v>
      </c>
      <c r="D3961">
        <v>19.71</v>
      </c>
      <c r="E3961">
        <v>25</v>
      </c>
    </row>
    <row r="3962" spans="1:5" x14ac:dyDescent="0.3">
      <c r="A3962" t="s">
        <v>20</v>
      </c>
      <c r="B3962" s="1">
        <v>44710</v>
      </c>
      <c r="C3962">
        <v>1</v>
      </c>
      <c r="D3962">
        <v>19.71</v>
      </c>
      <c r="E3962">
        <v>25</v>
      </c>
    </row>
    <row r="3963" spans="1:5" x14ac:dyDescent="0.3">
      <c r="A3963" t="s">
        <v>20</v>
      </c>
      <c r="B3963" s="1">
        <v>44710</v>
      </c>
      <c r="C3963">
        <v>1</v>
      </c>
      <c r="D3963">
        <v>19.71</v>
      </c>
      <c r="E3963">
        <v>25</v>
      </c>
    </row>
    <row r="3964" spans="1:5" x14ac:dyDescent="0.3">
      <c r="A3964" t="s">
        <v>20</v>
      </c>
      <c r="B3964" s="1">
        <v>44710</v>
      </c>
      <c r="C3964">
        <v>1</v>
      </c>
      <c r="D3964">
        <v>19.71</v>
      </c>
      <c r="E3964">
        <v>25</v>
      </c>
    </row>
    <row r="3965" spans="1:5" x14ac:dyDescent="0.3">
      <c r="A3965" t="s">
        <v>108</v>
      </c>
      <c r="B3965" s="1">
        <v>44710</v>
      </c>
      <c r="C3965">
        <v>1</v>
      </c>
      <c r="D3965">
        <v>29.56</v>
      </c>
      <c r="E3965">
        <v>45</v>
      </c>
    </row>
    <row r="3966" spans="1:5" x14ac:dyDescent="0.3">
      <c r="A3966" t="s">
        <v>108</v>
      </c>
      <c r="B3966" s="1">
        <v>44710</v>
      </c>
      <c r="C3966">
        <v>1</v>
      </c>
      <c r="D3966">
        <v>29.56</v>
      </c>
      <c r="E3966">
        <v>45</v>
      </c>
    </row>
    <row r="3967" spans="1:5" x14ac:dyDescent="0.3">
      <c r="A3967" t="s">
        <v>108</v>
      </c>
      <c r="B3967" s="1">
        <v>44710</v>
      </c>
      <c r="C3967">
        <v>1</v>
      </c>
      <c r="D3967">
        <v>29.56</v>
      </c>
      <c r="E3967">
        <v>45</v>
      </c>
    </row>
    <row r="3968" spans="1:5" x14ac:dyDescent="0.3">
      <c r="A3968" t="s">
        <v>108</v>
      </c>
      <c r="B3968" s="1">
        <v>44710</v>
      </c>
      <c r="C3968">
        <v>1</v>
      </c>
      <c r="D3968">
        <v>29.56</v>
      </c>
      <c r="E3968">
        <v>45</v>
      </c>
    </row>
    <row r="3969" spans="1:5" x14ac:dyDescent="0.3">
      <c r="A3969" t="s">
        <v>116</v>
      </c>
      <c r="B3969" s="1">
        <v>44710</v>
      </c>
      <c r="C3969">
        <v>1</v>
      </c>
      <c r="D3969">
        <v>105.42</v>
      </c>
      <c r="E3969">
        <v>126</v>
      </c>
    </row>
    <row r="3970" spans="1:5" x14ac:dyDescent="0.3">
      <c r="A3970" t="s">
        <v>70</v>
      </c>
      <c r="B3970" s="1">
        <v>44710</v>
      </c>
      <c r="C3970">
        <v>1</v>
      </c>
      <c r="D3970">
        <v>164.67</v>
      </c>
      <c r="E3970">
        <v>210</v>
      </c>
    </row>
    <row r="3971" spans="1:5" x14ac:dyDescent="0.3">
      <c r="A3971" t="s">
        <v>14</v>
      </c>
      <c r="B3971" s="1">
        <v>44710</v>
      </c>
      <c r="C3971">
        <v>0.2</v>
      </c>
      <c r="D3971">
        <v>443.94</v>
      </c>
      <c r="E3971">
        <v>613</v>
      </c>
    </row>
    <row r="3972" spans="1:5" x14ac:dyDescent="0.3">
      <c r="A3972" t="s">
        <v>22</v>
      </c>
      <c r="B3972" s="1">
        <v>44710</v>
      </c>
      <c r="C3972">
        <v>2</v>
      </c>
      <c r="D3972">
        <v>30.3</v>
      </c>
      <c r="E3972">
        <v>49</v>
      </c>
    </row>
    <row r="3973" spans="1:5" x14ac:dyDescent="0.3">
      <c r="A3973" t="s">
        <v>5</v>
      </c>
      <c r="B3973" s="1">
        <v>44710</v>
      </c>
      <c r="C3973">
        <v>1</v>
      </c>
      <c r="D3973">
        <v>145.6</v>
      </c>
      <c r="E3973">
        <v>169</v>
      </c>
    </row>
    <row r="3974" spans="1:5" x14ac:dyDescent="0.3">
      <c r="A3974" t="s">
        <v>49</v>
      </c>
      <c r="B3974" s="1">
        <v>44710</v>
      </c>
      <c r="C3974">
        <v>1</v>
      </c>
      <c r="D3974">
        <v>15.58</v>
      </c>
      <c r="E3974">
        <v>19</v>
      </c>
    </row>
    <row r="3975" spans="1:5" x14ac:dyDescent="0.3">
      <c r="A3975" t="s">
        <v>92</v>
      </c>
      <c r="B3975" s="1">
        <v>44710</v>
      </c>
      <c r="C3975">
        <v>2</v>
      </c>
      <c r="D3975">
        <v>6.3</v>
      </c>
      <c r="E3975">
        <v>9</v>
      </c>
    </row>
    <row r="3976" spans="1:5" x14ac:dyDescent="0.3">
      <c r="A3976" t="s">
        <v>140</v>
      </c>
      <c r="B3976" s="1">
        <v>44710</v>
      </c>
      <c r="C3976">
        <v>1</v>
      </c>
      <c r="D3976">
        <v>158.29</v>
      </c>
      <c r="E3976">
        <v>190</v>
      </c>
    </row>
    <row r="3977" spans="1:5" x14ac:dyDescent="0.3">
      <c r="A3977" t="s">
        <v>7</v>
      </c>
      <c r="B3977" s="1">
        <v>44710</v>
      </c>
      <c r="C3977">
        <v>1</v>
      </c>
      <c r="D3977">
        <v>88.43</v>
      </c>
      <c r="E3977">
        <v>104</v>
      </c>
    </row>
    <row r="3978" spans="1:5" x14ac:dyDescent="0.3">
      <c r="A3978" t="s">
        <v>158</v>
      </c>
      <c r="B3978" s="1">
        <v>44710</v>
      </c>
      <c r="C3978">
        <v>1</v>
      </c>
      <c r="D3978">
        <v>23.8</v>
      </c>
      <c r="E3978">
        <v>31</v>
      </c>
    </row>
    <row r="3979" spans="1:5" x14ac:dyDescent="0.3">
      <c r="A3979" t="s">
        <v>158</v>
      </c>
      <c r="B3979" s="1">
        <v>44710</v>
      </c>
      <c r="C3979">
        <v>1</v>
      </c>
      <c r="D3979">
        <v>23.8</v>
      </c>
      <c r="E3979">
        <v>31</v>
      </c>
    </row>
    <row r="3980" spans="1:5" x14ac:dyDescent="0.3">
      <c r="A3980" t="s">
        <v>158</v>
      </c>
      <c r="B3980" s="1">
        <v>44710</v>
      </c>
      <c r="C3980">
        <v>1</v>
      </c>
      <c r="D3980">
        <v>23.8</v>
      </c>
      <c r="E3980">
        <v>31</v>
      </c>
    </row>
    <row r="3981" spans="1:5" x14ac:dyDescent="0.3">
      <c r="A3981" t="s">
        <v>158</v>
      </c>
      <c r="B3981" s="1">
        <v>44710</v>
      </c>
      <c r="C3981">
        <v>1</v>
      </c>
      <c r="D3981">
        <v>23.8</v>
      </c>
      <c r="E3981">
        <v>31</v>
      </c>
    </row>
    <row r="3982" spans="1:5" x14ac:dyDescent="0.3">
      <c r="A3982" t="s">
        <v>158</v>
      </c>
      <c r="B3982" s="1">
        <v>44710</v>
      </c>
      <c r="C3982">
        <v>1</v>
      </c>
      <c r="D3982">
        <v>23.8</v>
      </c>
      <c r="E3982">
        <v>31</v>
      </c>
    </row>
    <row r="3983" spans="1:5" x14ac:dyDescent="0.3">
      <c r="A3983" t="s">
        <v>158</v>
      </c>
      <c r="B3983" s="1">
        <v>44710</v>
      </c>
      <c r="C3983">
        <v>1</v>
      </c>
      <c r="D3983">
        <v>23.8</v>
      </c>
      <c r="E3983">
        <v>31</v>
      </c>
    </row>
    <row r="3984" spans="1:5" x14ac:dyDescent="0.3">
      <c r="A3984" t="s">
        <v>158</v>
      </c>
      <c r="B3984" s="1">
        <v>44710</v>
      </c>
      <c r="C3984">
        <v>1</v>
      </c>
      <c r="D3984">
        <v>23.8</v>
      </c>
      <c r="E3984">
        <v>31</v>
      </c>
    </row>
    <row r="3985" spans="1:5" x14ac:dyDescent="0.3">
      <c r="A3985" t="s">
        <v>158</v>
      </c>
      <c r="B3985" s="1">
        <v>44710</v>
      </c>
      <c r="C3985">
        <v>1</v>
      </c>
      <c r="D3985">
        <v>23.8</v>
      </c>
      <c r="E3985">
        <v>31</v>
      </c>
    </row>
    <row r="3986" spans="1:5" x14ac:dyDescent="0.3">
      <c r="A3986" t="s">
        <v>158</v>
      </c>
      <c r="B3986" s="1">
        <v>44710</v>
      </c>
      <c r="C3986">
        <v>1</v>
      </c>
      <c r="D3986">
        <v>23.8</v>
      </c>
      <c r="E3986">
        <v>31</v>
      </c>
    </row>
    <row r="3987" spans="1:5" x14ac:dyDescent="0.3">
      <c r="A3987" t="s">
        <v>95</v>
      </c>
      <c r="B3987" s="1">
        <v>44710</v>
      </c>
      <c r="C3987">
        <v>1</v>
      </c>
      <c r="D3987">
        <v>131.07</v>
      </c>
      <c r="E3987">
        <v>206</v>
      </c>
    </row>
    <row r="3988" spans="1:5" x14ac:dyDescent="0.3">
      <c r="A3988" t="s">
        <v>124</v>
      </c>
      <c r="B3988" s="1">
        <v>44710</v>
      </c>
      <c r="C3988">
        <v>1</v>
      </c>
      <c r="D3988">
        <v>42.85</v>
      </c>
      <c r="E3988">
        <v>70</v>
      </c>
    </row>
    <row r="3989" spans="1:5" x14ac:dyDescent="0.3">
      <c r="A3989" t="s">
        <v>105</v>
      </c>
      <c r="B3989" s="1">
        <v>44710</v>
      </c>
      <c r="C3989">
        <v>1</v>
      </c>
      <c r="D3989">
        <v>28.45</v>
      </c>
      <c r="E3989">
        <v>47</v>
      </c>
    </row>
    <row r="3990" spans="1:5" x14ac:dyDescent="0.3">
      <c r="A3990" t="s">
        <v>125</v>
      </c>
      <c r="B3990" s="1">
        <v>44710</v>
      </c>
      <c r="C3990">
        <v>1</v>
      </c>
      <c r="D3990">
        <v>331.43</v>
      </c>
      <c r="E3990">
        <v>431</v>
      </c>
    </row>
    <row r="3991" spans="1:5" x14ac:dyDescent="0.3">
      <c r="A3991" t="s">
        <v>117</v>
      </c>
      <c r="B3991" s="1">
        <v>44710</v>
      </c>
      <c r="C3991">
        <v>1</v>
      </c>
      <c r="D3991">
        <v>23.14</v>
      </c>
      <c r="E3991">
        <v>28</v>
      </c>
    </row>
    <row r="3992" spans="1:5" x14ac:dyDescent="0.3">
      <c r="A3992" t="s">
        <v>117</v>
      </c>
      <c r="B3992" s="1">
        <v>44710</v>
      </c>
      <c r="C3992">
        <v>1</v>
      </c>
      <c r="D3992">
        <v>23.14</v>
      </c>
      <c r="E3992">
        <v>28</v>
      </c>
    </row>
    <row r="3993" spans="1:5" x14ac:dyDescent="0.3">
      <c r="A3993" t="s">
        <v>27</v>
      </c>
      <c r="B3993" s="1">
        <v>44710</v>
      </c>
      <c r="C3993">
        <v>1</v>
      </c>
      <c r="D3993">
        <v>102.34</v>
      </c>
      <c r="E3993">
        <v>157</v>
      </c>
    </row>
    <row r="3994" spans="1:5" x14ac:dyDescent="0.3">
      <c r="A3994" t="s">
        <v>90</v>
      </c>
      <c r="B3994" s="1">
        <v>44710</v>
      </c>
      <c r="C3994">
        <v>1</v>
      </c>
      <c r="D3994">
        <v>390.04</v>
      </c>
      <c r="E3994">
        <v>469</v>
      </c>
    </row>
    <row r="3995" spans="1:5" x14ac:dyDescent="0.3">
      <c r="A3995" t="s">
        <v>88</v>
      </c>
      <c r="B3995" s="1">
        <v>44710</v>
      </c>
      <c r="C3995">
        <v>1</v>
      </c>
      <c r="D3995">
        <v>132</v>
      </c>
      <c r="E3995">
        <v>202</v>
      </c>
    </row>
    <row r="3996" spans="1:5" x14ac:dyDescent="0.3">
      <c r="A3996" t="s">
        <v>121</v>
      </c>
      <c r="B3996" s="1">
        <v>44710</v>
      </c>
      <c r="C3996">
        <v>1</v>
      </c>
      <c r="D3996">
        <v>11.41</v>
      </c>
      <c r="E3996">
        <v>19</v>
      </c>
    </row>
    <row r="3997" spans="1:5" x14ac:dyDescent="0.3">
      <c r="A3997" t="s">
        <v>134</v>
      </c>
      <c r="B3997" s="1">
        <v>44710</v>
      </c>
      <c r="C3997">
        <v>1</v>
      </c>
      <c r="D3997">
        <v>26.6</v>
      </c>
      <c r="E3997">
        <v>42</v>
      </c>
    </row>
    <row r="3998" spans="1:5" x14ac:dyDescent="0.3">
      <c r="A3998" t="s">
        <v>75</v>
      </c>
      <c r="B3998" s="1">
        <v>44710</v>
      </c>
      <c r="C3998">
        <v>0.2</v>
      </c>
      <c r="D3998">
        <v>466.1</v>
      </c>
      <c r="E3998">
        <v>709</v>
      </c>
    </row>
    <row r="3999" spans="1:5" x14ac:dyDescent="0.3">
      <c r="A3999" t="s">
        <v>62</v>
      </c>
      <c r="B3999" s="1">
        <v>44710</v>
      </c>
      <c r="C3999">
        <v>1</v>
      </c>
      <c r="D3999">
        <v>25.29</v>
      </c>
      <c r="E3999">
        <v>30</v>
      </c>
    </row>
    <row r="4000" spans="1:5" x14ac:dyDescent="0.3">
      <c r="A4000" t="s">
        <v>121</v>
      </c>
      <c r="B4000" s="1">
        <v>44710</v>
      </c>
      <c r="C4000">
        <v>1</v>
      </c>
      <c r="D4000">
        <v>11.41</v>
      </c>
      <c r="E4000">
        <v>19</v>
      </c>
    </row>
    <row r="4001" spans="1:5" x14ac:dyDescent="0.3">
      <c r="A4001" t="s">
        <v>9</v>
      </c>
      <c r="B4001" s="1">
        <v>44710</v>
      </c>
      <c r="C4001">
        <v>1</v>
      </c>
      <c r="D4001">
        <v>80.69</v>
      </c>
      <c r="E4001">
        <v>98</v>
      </c>
    </row>
    <row r="4002" spans="1:5" x14ac:dyDescent="0.3">
      <c r="A4002" t="s">
        <v>39</v>
      </c>
      <c r="B4002" s="1">
        <v>44710</v>
      </c>
      <c r="C4002">
        <v>1</v>
      </c>
      <c r="D4002">
        <v>9.9499999999999993</v>
      </c>
      <c r="E4002">
        <v>17</v>
      </c>
    </row>
    <row r="4003" spans="1:5" x14ac:dyDescent="0.3">
      <c r="A4003" t="s">
        <v>39</v>
      </c>
      <c r="B4003" s="1">
        <v>44710</v>
      </c>
      <c r="C4003">
        <v>2</v>
      </c>
      <c r="D4003">
        <v>9.9499999999999993</v>
      </c>
      <c r="E4003">
        <v>17</v>
      </c>
    </row>
    <row r="4004" spans="1:5" x14ac:dyDescent="0.3">
      <c r="A4004" t="s">
        <v>90</v>
      </c>
      <c r="B4004" s="1">
        <v>44710</v>
      </c>
      <c r="C4004">
        <v>1</v>
      </c>
      <c r="D4004">
        <v>397.03</v>
      </c>
      <c r="E4004">
        <v>477</v>
      </c>
    </row>
    <row r="4005" spans="1:5" x14ac:dyDescent="0.3">
      <c r="A4005" t="s">
        <v>5</v>
      </c>
      <c r="B4005" s="1">
        <v>44710</v>
      </c>
      <c r="C4005">
        <v>1</v>
      </c>
      <c r="D4005">
        <v>145.6</v>
      </c>
      <c r="E4005">
        <v>172</v>
      </c>
    </row>
    <row r="4006" spans="1:5" x14ac:dyDescent="0.3">
      <c r="A4006" t="s">
        <v>18</v>
      </c>
      <c r="B4006" s="1">
        <v>44710</v>
      </c>
      <c r="C4006">
        <v>1</v>
      </c>
      <c r="D4006">
        <v>44</v>
      </c>
      <c r="E4006">
        <v>70</v>
      </c>
    </row>
    <row r="4007" spans="1:5" x14ac:dyDescent="0.3">
      <c r="A4007" t="s">
        <v>18</v>
      </c>
      <c r="B4007" s="1">
        <v>44710</v>
      </c>
      <c r="C4007">
        <v>1</v>
      </c>
      <c r="D4007">
        <v>44</v>
      </c>
      <c r="E4007">
        <v>70</v>
      </c>
    </row>
    <row r="4008" spans="1:5" x14ac:dyDescent="0.3">
      <c r="A4008" t="s">
        <v>18</v>
      </c>
      <c r="B4008" s="1">
        <v>44710</v>
      </c>
      <c r="C4008">
        <v>1</v>
      </c>
      <c r="D4008">
        <v>44</v>
      </c>
      <c r="E4008">
        <v>70</v>
      </c>
    </row>
    <row r="4009" spans="1:5" x14ac:dyDescent="0.3">
      <c r="A4009" t="s">
        <v>18</v>
      </c>
      <c r="B4009" s="1">
        <v>44710</v>
      </c>
      <c r="C4009">
        <v>1</v>
      </c>
      <c r="D4009">
        <v>44</v>
      </c>
      <c r="E4009">
        <v>70</v>
      </c>
    </row>
    <row r="4010" spans="1:5" x14ac:dyDescent="0.3">
      <c r="A4010" t="s">
        <v>18</v>
      </c>
      <c r="B4010" s="1">
        <v>44710</v>
      </c>
      <c r="C4010">
        <v>1</v>
      </c>
      <c r="D4010">
        <v>44</v>
      </c>
      <c r="E4010">
        <v>70</v>
      </c>
    </row>
    <row r="4011" spans="1:5" x14ac:dyDescent="0.3">
      <c r="A4011" t="s">
        <v>31</v>
      </c>
      <c r="B4011" s="1">
        <v>44710</v>
      </c>
      <c r="C4011">
        <v>1</v>
      </c>
      <c r="D4011">
        <v>13.05</v>
      </c>
      <c r="E4011">
        <v>18</v>
      </c>
    </row>
    <row r="4012" spans="1:5" x14ac:dyDescent="0.3">
      <c r="A4012" t="s">
        <v>31</v>
      </c>
      <c r="B4012" s="1">
        <v>44710</v>
      </c>
      <c r="C4012">
        <v>1</v>
      </c>
      <c r="D4012">
        <v>13.05</v>
      </c>
      <c r="E4012">
        <v>18</v>
      </c>
    </row>
    <row r="4013" spans="1:5" x14ac:dyDescent="0.3">
      <c r="A4013" t="s">
        <v>158</v>
      </c>
      <c r="B4013" s="1">
        <v>44710</v>
      </c>
      <c r="C4013">
        <v>1</v>
      </c>
      <c r="D4013">
        <v>31.75</v>
      </c>
      <c r="E4013">
        <v>39</v>
      </c>
    </row>
    <row r="4014" spans="1:5" x14ac:dyDescent="0.3">
      <c r="A4014" t="s">
        <v>158</v>
      </c>
      <c r="B4014" s="1">
        <v>44710</v>
      </c>
      <c r="C4014">
        <v>1</v>
      </c>
      <c r="D4014">
        <v>31.75</v>
      </c>
      <c r="E4014">
        <v>39</v>
      </c>
    </row>
    <row r="4015" spans="1:5" x14ac:dyDescent="0.3">
      <c r="A4015" t="s">
        <v>158</v>
      </c>
      <c r="B4015" s="1">
        <v>44710</v>
      </c>
      <c r="C4015">
        <v>1</v>
      </c>
      <c r="D4015">
        <v>31.75</v>
      </c>
      <c r="E4015">
        <v>39</v>
      </c>
    </row>
    <row r="4016" spans="1:5" x14ac:dyDescent="0.3">
      <c r="A4016" t="s">
        <v>129</v>
      </c>
      <c r="B4016" s="1">
        <v>44710</v>
      </c>
      <c r="C4016">
        <v>0.16</v>
      </c>
      <c r="D4016">
        <v>491.7</v>
      </c>
      <c r="E4016">
        <v>592</v>
      </c>
    </row>
    <row r="4017" spans="1:5" x14ac:dyDescent="0.3">
      <c r="A4017" t="s">
        <v>93</v>
      </c>
      <c r="B4017" s="1">
        <v>44710</v>
      </c>
      <c r="C4017">
        <v>1</v>
      </c>
      <c r="D4017">
        <v>71.05</v>
      </c>
      <c r="E4017">
        <v>106</v>
      </c>
    </row>
    <row r="4018" spans="1:5" x14ac:dyDescent="0.3">
      <c r="A4018" t="s">
        <v>55</v>
      </c>
      <c r="B4018" s="1">
        <v>44710</v>
      </c>
      <c r="C4018">
        <v>1</v>
      </c>
      <c r="D4018">
        <v>77.63</v>
      </c>
      <c r="E4018">
        <v>95</v>
      </c>
    </row>
    <row r="4019" spans="1:5" x14ac:dyDescent="0.3">
      <c r="A4019" t="s">
        <v>102</v>
      </c>
      <c r="B4019" s="1">
        <v>44710</v>
      </c>
      <c r="C4019">
        <v>1</v>
      </c>
      <c r="D4019">
        <v>26.29</v>
      </c>
      <c r="E4019">
        <v>33</v>
      </c>
    </row>
    <row r="4020" spans="1:5" x14ac:dyDescent="0.3">
      <c r="A4020" t="s">
        <v>102</v>
      </c>
      <c r="B4020" s="1">
        <v>44710</v>
      </c>
      <c r="C4020">
        <v>1</v>
      </c>
      <c r="D4020">
        <v>26.29</v>
      </c>
      <c r="E4020">
        <v>33</v>
      </c>
    </row>
    <row r="4021" spans="1:5" x14ac:dyDescent="0.3">
      <c r="A4021" t="s">
        <v>115</v>
      </c>
      <c r="B4021" s="1">
        <v>44710</v>
      </c>
      <c r="C4021">
        <v>1</v>
      </c>
      <c r="D4021">
        <v>69.849999999999994</v>
      </c>
      <c r="E4021">
        <v>88</v>
      </c>
    </row>
    <row r="4022" spans="1:5" x14ac:dyDescent="0.3">
      <c r="A4022" t="s">
        <v>22</v>
      </c>
      <c r="B4022" s="1">
        <v>44710</v>
      </c>
      <c r="C4022">
        <v>1</v>
      </c>
      <c r="D4022">
        <v>30.3</v>
      </c>
      <c r="E4022">
        <v>49</v>
      </c>
    </row>
    <row r="4023" spans="1:5" x14ac:dyDescent="0.3">
      <c r="A4023" t="s">
        <v>141</v>
      </c>
      <c r="B4023" s="1">
        <v>44710</v>
      </c>
      <c r="C4023">
        <v>1</v>
      </c>
      <c r="D4023">
        <v>12.2</v>
      </c>
      <c r="E4023">
        <v>20</v>
      </c>
    </row>
    <row r="4024" spans="1:5" x14ac:dyDescent="0.3">
      <c r="A4024" t="s">
        <v>141</v>
      </c>
      <c r="B4024" s="1">
        <v>44710</v>
      </c>
      <c r="C4024">
        <v>2</v>
      </c>
      <c r="D4024">
        <v>12.2</v>
      </c>
      <c r="E4024">
        <v>20</v>
      </c>
    </row>
    <row r="4025" spans="1:5" x14ac:dyDescent="0.3">
      <c r="A4025" t="s">
        <v>156</v>
      </c>
      <c r="B4025" s="1">
        <v>44710</v>
      </c>
      <c r="C4025">
        <v>1</v>
      </c>
      <c r="D4025">
        <v>251.37</v>
      </c>
      <c r="E4025">
        <v>352</v>
      </c>
    </row>
    <row r="4026" spans="1:5" x14ac:dyDescent="0.3">
      <c r="A4026" t="s">
        <v>47</v>
      </c>
      <c r="B4026" s="1">
        <v>44710</v>
      </c>
      <c r="C4026">
        <v>1</v>
      </c>
      <c r="D4026">
        <v>42.85</v>
      </c>
      <c r="E4026">
        <v>67</v>
      </c>
    </row>
    <row r="4027" spans="1:5" x14ac:dyDescent="0.3">
      <c r="A4027" t="s">
        <v>32</v>
      </c>
      <c r="B4027" s="1">
        <v>44710</v>
      </c>
      <c r="C4027">
        <v>1</v>
      </c>
      <c r="D4027">
        <v>105</v>
      </c>
      <c r="E4027">
        <v>165</v>
      </c>
    </row>
    <row r="4028" spans="1:5" x14ac:dyDescent="0.3">
      <c r="A4028" t="s">
        <v>122</v>
      </c>
      <c r="B4028" s="1">
        <v>44710</v>
      </c>
      <c r="C4028">
        <v>1</v>
      </c>
      <c r="D4028">
        <v>20.39</v>
      </c>
      <c r="E4028">
        <v>25</v>
      </c>
    </row>
    <row r="4029" spans="1:5" x14ac:dyDescent="0.3">
      <c r="A4029" t="s">
        <v>124</v>
      </c>
      <c r="B4029" s="1">
        <v>44710</v>
      </c>
      <c r="C4029">
        <v>1</v>
      </c>
      <c r="D4029">
        <v>42.85</v>
      </c>
      <c r="E4029">
        <v>70</v>
      </c>
    </row>
    <row r="4030" spans="1:5" x14ac:dyDescent="0.3">
      <c r="A4030" t="s">
        <v>24</v>
      </c>
      <c r="B4030" s="1">
        <v>44710</v>
      </c>
      <c r="C4030">
        <v>1</v>
      </c>
      <c r="D4030">
        <v>103.46</v>
      </c>
      <c r="E4030">
        <v>121</v>
      </c>
    </row>
    <row r="4031" spans="1:5" x14ac:dyDescent="0.3">
      <c r="A4031" t="s">
        <v>12</v>
      </c>
      <c r="B4031" s="1">
        <v>44710</v>
      </c>
      <c r="C4031">
        <v>1</v>
      </c>
      <c r="D4031">
        <v>56.98</v>
      </c>
      <c r="E4031">
        <v>72</v>
      </c>
    </row>
    <row r="4032" spans="1:5" x14ac:dyDescent="0.3">
      <c r="A4032" t="s">
        <v>63</v>
      </c>
      <c r="B4032" s="1">
        <v>44710</v>
      </c>
      <c r="C4032">
        <v>1</v>
      </c>
      <c r="D4032">
        <v>71.38</v>
      </c>
      <c r="E4032">
        <v>86</v>
      </c>
    </row>
    <row r="4033" spans="1:5" x14ac:dyDescent="0.3">
      <c r="A4033" t="s">
        <v>63</v>
      </c>
      <c r="B4033" s="1">
        <v>44710</v>
      </c>
      <c r="C4033">
        <v>1</v>
      </c>
      <c r="D4033">
        <v>71.38</v>
      </c>
      <c r="E4033">
        <v>86</v>
      </c>
    </row>
    <row r="4034" spans="1:5" x14ac:dyDescent="0.3">
      <c r="A4034" t="s">
        <v>63</v>
      </c>
      <c r="B4034" s="1">
        <v>44710</v>
      </c>
      <c r="C4034">
        <v>1</v>
      </c>
      <c r="D4034">
        <v>71.38</v>
      </c>
      <c r="E4034">
        <v>86</v>
      </c>
    </row>
    <row r="4035" spans="1:5" x14ac:dyDescent="0.3">
      <c r="A4035" t="s">
        <v>114</v>
      </c>
      <c r="B4035" s="1">
        <v>44710</v>
      </c>
      <c r="C4035">
        <v>1</v>
      </c>
      <c r="D4035">
        <v>74.8</v>
      </c>
      <c r="E4035">
        <v>94</v>
      </c>
    </row>
    <row r="4036" spans="1:5" x14ac:dyDescent="0.3">
      <c r="A4036" t="s">
        <v>46</v>
      </c>
      <c r="B4036" s="1">
        <v>44710</v>
      </c>
      <c r="C4036">
        <v>1</v>
      </c>
      <c r="D4036">
        <v>19.43</v>
      </c>
      <c r="E4036">
        <v>24</v>
      </c>
    </row>
    <row r="4037" spans="1:5" x14ac:dyDescent="0.3">
      <c r="A4037" t="s">
        <v>101</v>
      </c>
      <c r="B4037" s="1">
        <v>44710</v>
      </c>
      <c r="C4037">
        <v>1</v>
      </c>
      <c r="D4037">
        <v>32.46</v>
      </c>
      <c r="E4037">
        <v>51</v>
      </c>
    </row>
    <row r="4038" spans="1:5" x14ac:dyDescent="0.3">
      <c r="A4038" t="s">
        <v>74</v>
      </c>
      <c r="B4038" s="1">
        <v>44710</v>
      </c>
      <c r="C4038">
        <v>1</v>
      </c>
      <c r="D4038">
        <v>86.64</v>
      </c>
      <c r="E4038">
        <v>108</v>
      </c>
    </row>
    <row r="4039" spans="1:5" x14ac:dyDescent="0.3">
      <c r="A4039" t="s">
        <v>157</v>
      </c>
      <c r="B4039" s="1">
        <v>44710</v>
      </c>
      <c r="C4039">
        <v>1</v>
      </c>
      <c r="D4039">
        <v>12</v>
      </c>
      <c r="E4039">
        <v>20</v>
      </c>
    </row>
    <row r="4040" spans="1:5" x14ac:dyDescent="0.3">
      <c r="A4040" t="s">
        <v>7</v>
      </c>
      <c r="B4040" s="1">
        <v>44710</v>
      </c>
      <c r="C4040">
        <v>1</v>
      </c>
      <c r="D4040">
        <v>88.43</v>
      </c>
      <c r="E4040">
        <v>106</v>
      </c>
    </row>
    <row r="4041" spans="1:5" x14ac:dyDescent="0.3">
      <c r="A4041" t="s">
        <v>50</v>
      </c>
      <c r="B4041" s="1">
        <v>44710</v>
      </c>
      <c r="C4041">
        <v>1</v>
      </c>
      <c r="D4041">
        <v>43.86</v>
      </c>
      <c r="E4041">
        <v>55</v>
      </c>
    </row>
    <row r="4042" spans="1:5" x14ac:dyDescent="0.3">
      <c r="A4042" t="s">
        <v>112</v>
      </c>
      <c r="B4042" s="1">
        <v>44710</v>
      </c>
      <c r="C4042">
        <v>1</v>
      </c>
      <c r="D4042">
        <v>251.13</v>
      </c>
      <c r="E4042">
        <v>295</v>
      </c>
    </row>
    <row r="4043" spans="1:5" x14ac:dyDescent="0.3">
      <c r="A4043" t="s">
        <v>20</v>
      </c>
      <c r="B4043" s="1">
        <v>44710</v>
      </c>
      <c r="C4043">
        <v>1</v>
      </c>
      <c r="D4043">
        <v>19.71</v>
      </c>
      <c r="E4043">
        <v>25</v>
      </c>
    </row>
    <row r="4044" spans="1:5" x14ac:dyDescent="0.3">
      <c r="A4044" t="s">
        <v>66</v>
      </c>
      <c r="B4044" s="1">
        <v>44710</v>
      </c>
      <c r="C4044">
        <v>1</v>
      </c>
      <c r="D4044">
        <v>30.56</v>
      </c>
      <c r="E4044">
        <v>36</v>
      </c>
    </row>
    <row r="4045" spans="1:5" x14ac:dyDescent="0.3">
      <c r="A4045" t="s">
        <v>100</v>
      </c>
      <c r="B4045" s="1">
        <v>44710</v>
      </c>
      <c r="C4045">
        <v>1</v>
      </c>
      <c r="D4045">
        <v>35.49</v>
      </c>
      <c r="E4045">
        <v>55</v>
      </c>
    </row>
    <row r="4046" spans="1:5" x14ac:dyDescent="0.3">
      <c r="A4046" t="s">
        <v>102</v>
      </c>
      <c r="B4046" s="1">
        <v>44710</v>
      </c>
      <c r="C4046">
        <v>1</v>
      </c>
      <c r="D4046">
        <v>26.29</v>
      </c>
      <c r="E4046">
        <v>33</v>
      </c>
    </row>
    <row r="4047" spans="1:5" x14ac:dyDescent="0.3">
      <c r="A4047" t="s">
        <v>19</v>
      </c>
      <c r="B4047" s="1">
        <v>44710</v>
      </c>
      <c r="C4047">
        <v>1</v>
      </c>
      <c r="D4047">
        <v>82.34</v>
      </c>
      <c r="E4047">
        <v>103</v>
      </c>
    </row>
    <row r="4048" spans="1:5" x14ac:dyDescent="0.3">
      <c r="A4048" t="s">
        <v>152</v>
      </c>
      <c r="B4048" s="1">
        <v>44710</v>
      </c>
      <c r="C4048">
        <v>1</v>
      </c>
      <c r="D4048">
        <v>110.13</v>
      </c>
      <c r="E4048">
        <v>138</v>
      </c>
    </row>
    <row r="4049" spans="1:5" x14ac:dyDescent="0.3">
      <c r="A4049" t="s">
        <v>66</v>
      </c>
      <c r="B4049" s="1">
        <v>44710</v>
      </c>
      <c r="C4049">
        <v>1</v>
      </c>
      <c r="D4049">
        <v>32</v>
      </c>
      <c r="E4049">
        <v>36</v>
      </c>
    </row>
    <row r="4050" spans="1:5" x14ac:dyDescent="0.3">
      <c r="A4050" t="s">
        <v>93</v>
      </c>
      <c r="B4050" s="1">
        <v>44710</v>
      </c>
      <c r="C4050">
        <v>1</v>
      </c>
      <c r="D4050">
        <v>71.05</v>
      </c>
      <c r="E4050">
        <v>101</v>
      </c>
    </row>
    <row r="4051" spans="1:5" x14ac:dyDescent="0.3">
      <c r="A4051" t="s">
        <v>45</v>
      </c>
      <c r="B4051" s="1">
        <v>44710</v>
      </c>
      <c r="C4051">
        <v>2</v>
      </c>
      <c r="D4051">
        <v>26.16</v>
      </c>
      <c r="E4051">
        <v>42</v>
      </c>
    </row>
    <row r="4052" spans="1:5" x14ac:dyDescent="0.3">
      <c r="A4052" t="s">
        <v>5</v>
      </c>
      <c r="B4052" s="1">
        <v>44710</v>
      </c>
      <c r="C4052">
        <v>1</v>
      </c>
      <c r="D4052">
        <v>145.6</v>
      </c>
      <c r="E4052">
        <v>172</v>
      </c>
    </row>
    <row r="4053" spans="1:5" x14ac:dyDescent="0.3">
      <c r="A4053" t="s">
        <v>41</v>
      </c>
      <c r="B4053" s="1">
        <v>44710</v>
      </c>
      <c r="C4053">
        <v>3</v>
      </c>
      <c r="D4053">
        <v>10.9</v>
      </c>
      <c r="E4053">
        <v>18</v>
      </c>
    </row>
    <row r="4054" spans="1:5" x14ac:dyDescent="0.3">
      <c r="A4054" t="s">
        <v>41</v>
      </c>
      <c r="B4054" s="1">
        <v>44710</v>
      </c>
      <c r="C4054">
        <v>2</v>
      </c>
      <c r="D4054">
        <v>11.1</v>
      </c>
      <c r="E4054">
        <v>18</v>
      </c>
    </row>
    <row r="4055" spans="1:5" x14ac:dyDescent="0.3">
      <c r="A4055" t="s">
        <v>7</v>
      </c>
      <c r="B4055" s="1">
        <v>44710</v>
      </c>
      <c r="C4055">
        <v>1</v>
      </c>
      <c r="D4055">
        <v>88.43</v>
      </c>
      <c r="E4055">
        <v>104</v>
      </c>
    </row>
    <row r="4056" spans="1:5" x14ac:dyDescent="0.3">
      <c r="A4056" t="s">
        <v>21</v>
      </c>
      <c r="B4056" s="1">
        <v>44710</v>
      </c>
      <c r="C4056">
        <v>1</v>
      </c>
      <c r="D4056">
        <v>184.39</v>
      </c>
      <c r="E4056">
        <v>260</v>
      </c>
    </row>
    <row r="4057" spans="1:5" x14ac:dyDescent="0.3">
      <c r="A4057" t="s">
        <v>152</v>
      </c>
      <c r="B4057" s="1">
        <v>44710</v>
      </c>
      <c r="C4057">
        <v>1</v>
      </c>
      <c r="D4057">
        <v>110.96</v>
      </c>
      <c r="E4057">
        <v>139</v>
      </c>
    </row>
    <row r="4058" spans="1:5" x14ac:dyDescent="0.3">
      <c r="A4058" t="s">
        <v>7</v>
      </c>
      <c r="B4058" s="1">
        <v>44710</v>
      </c>
      <c r="C4058">
        <v>1</v>
      </c>
      <c r="D4058">
        <v>88.43</v>
      </c>
      <c r="E4058">
        <v>104</v>
      </c>
    </row>
    <row r="4059" spans="1:5" x14ac:dyDescent="0.3">
      <c r="A4059" t="s">
        <v>52</v>
      </c>
      <c r="B4059" s="1">
        <v>44710</v>
      </c>
      <c r="C4059">
        <v>1</v>
      </c>
      <c r="D4059">
        <v>205</v>
      </c>
      <c r="E4059">
        <v>250</v>
      </c>
    </row>
    <row r="4060" spans="1:5" x14ac:dyDescent="0.3">
      <c r="A4060" t="s">
        <v>61</v>
      </c>
      <c r="B4060" s="1">
        <v>44710</v>
      </c>
      <c r="C4060">
        <v>1</v>
      </c>
      <c r="D4060">
        <v>33.08</v>
      </c>
      <c r="E4060">
        <v>51</v>
      </c>
    </row>
    <row r="4061" spans="1:5" x14ac:dyDescent="0.3">
      <c r="A4061" t="s">
        <v>66</v>
      </c>
      <c r="B4061" s="1">
        <v>44710</v>
      </c>
      <c r="C4061">
        <v>1</v>
      </c>
      <c r="D4061">
        <v>30.6</v>
      </c>
      <c r="E4061">
        <v>36</v>
      </c>
    </row>
    <row r="4062" spans="1:5" x14ac:dyDescent="0.3">
      <c r="A4062" t="s">
        <v>66</v>
      </c>
      <c r="B4062" s="1">
        <v>44710</v>
      </c>
      <c r="C4062">
        <v>1</v>
      </c>
      <c r="D4062">
        <v>30.6</v>
      </c>
      <c r="E4062">
        <v>36</v>
      </c>
    </row>
    <row r="4063" spans="1:5" x14ac:dyDescent="0.3">
      <c r="A4063" t="s">
        <v>25</v>
      </c>
      <c r="B4063" s="1">
        <v>44710</v>
      </c>
      <c r="C4063">
        <v>1</v>
      </c>
      <c r="D4063">
        <v>147.18</v>
      </c>
      <c r="E4063">
        <v>177</v>
      </c>
    </row>
    <row r="4064" spans="1:5" x14ac:dyDescent="0.3">
      <c r="A4064" t="s">
        <v>156</v>
      </c>
      <c r="B4064" s="1">
        <v>44710</v>
      </c>
      <c r="C4064">
        <v>1</v>
      </c>
      <c r="D4064">
        <v>251.37</v>
      </c>
      <c r="E4064">
        <v>352</v>
      </c>
    </row>
    <row r="4065" spans="1:5" x14ac:dyDescent="0.3">
      <c r="A4065" t="s">
        <v>116</v>
      </c>
      <c r="B4065" s="1">
        <v>44710</v>
      </c>
      <c r="C4065">
        <v>1</v>
      </c>
      <c r="D4065">
        <v>105.42</v>
      </c>
      <c r="E4065">
        <v>126</v>
      </c>
    </row>
    <row r="4066" spans="1:5" x14ac:dyDescent="0.3">
      <c r="A4066" t="s">
        <v>149</v>
      </c>
      <c r="B4066" s="1">
        <v>44710</v>
      </c>
      <c r="C4066">
        <v>1</v>
      </c>
      <c r="D4066">
        <v>219</v>
      </c>
      <c r="E4066">
        <v>307</v>
      </c>
    </row>
    <row r="4067" spans="1:5" x14ac:dyDescent="0.3">
      <c r="A4067" t="s">
        <v>149</v>
      </c>
      <c r="B4067" s="1">
        <v>44710</v>
      </c>
      <c r="C4067">
        <v>1</v>
      </c>
      <c r="D4067">
        <v>219</v>
      </c>
      <c r="E4067">
        <v>307</v>
      </c>
    </row>
    <row r="4068" spans="1:5" x14ac:dyDescent="0.3">
      <c r="A4068" t="s">
        <v>149</v>
      </c>
      <c r="B4068" s="1">
        <v>44710</v>
      </c>
      <c r="C4068">
        <v>1</v>
      </c>
      <c r="D4068">
        <v>219</v>
      </c>
      <c r="E4068">
        <v>307</v>
      </c>
    </row>
    <row r="4069" spans="1:5" x14ac:dyDescent="0.3">
      <c r="A4069" t="s">
        <v>11</v>
      </c>
      <c r="B4069" s="1">
        <v>44710</v>
      </c>
      <c r="C4069">
        <v>1</v>
      </c>
      <c r="D4069">
        <v>24.2</v>
      </c>
      <c r="E4069">
        <v>39</v>
      </c>
    </row>
    <row r="4070" spans="1:5" x14ac:dyDescent="0.3">
      <c r="A4070" t="s">
        <v>57</v>
      </c>
      <c r="B4070" s="1">
        <v>44710</v>
      </c>
      <c r="C4070">
        <v>1</v>
      </c>
      <c r="D4070">
        <v>227.82</v>
      </c>
      <c r="E4070">
        <v>267</v>
      </c>
    </row>
    <row r="4071" spans="1:5" x14ac:dyDescent="0.3">
      <c r="A4071" t="s">
        <v>63</v>
      </c>
      <c r="B4071" s="1">
        <v>44710</v>
      </c>
      <c r="C4071">
        <v>1</v>
      </c>
      <c r="D4071">
        <v>71.38</v>
      </c>
      <c r="E4071">
        <v>86</v>
      </c>
    </row>
    <row r="4072" spans="1:5" x14ac:dyDescent="0.3">
      <c r="A4072" t="s">
        <v>63</v>
      </c>
      <c r="B4072" s="1">
        <v>44710</v>
      </c>
      <c r="C4072">
        <v>1</v>
      </c>
      <c r="D4072">
        <v>71.38</v>
      </c>
      <c r="E4072">
        <v>86</v>
      </c>
    </row>
    <row r="4073" spans="1:5" x14ac:dyDescent="0.3">
      <c r="A4073" t="s">
        <v>7</v>
      </c>
      <c r="B4073" s="1">
        <v>44710</v>
      </c>
      <c r="C4073">
        <v>1</v>
      </c>
      <c r="D4073">
        <v>88.43</v>
      </c>
      <c r="E4073">
        <v>104</v>
      </c>
    </row>
    <row r="4074" spans="1:5" x14ac:dyDescent="0.3">
      <c r="A4074" t="s">
        <v>120</v>
      </c>
      <c r="B4074" s="1">
        <v>44710</v>
      </c>
      <c r="C4074">
        <v>1</v>
      </c>
      <c r="D4074">
        <v>159.74</v>
      </c>
      <c r="E4074">
        <v>219</v>
      </c>
    </row>
    <row r="4075" spans="1:5" x14ac:dyDescent="0.3">
      <c r="A4075" t="s">
        <v>25</v>
      </c>
      <c r="B4075" s="1">
        <v>44710</v>
      </c>
      <c r="C4075">
        <v>1</v>
      </c>
      <c r="D4075">
        <v>148.52000000000001</v>
      </c>
      <c r="E4075">
        <v>178</v>
      </c>
    </row>
    <row r="4076" spans="1:5" x14ac:dyDescent="0.3">
      <c r="A4076" t="s">
        <v>57</v>
      </c>
      <c r="B4076" s="1">
        <v>44710</v>
      </c>
      <c r="C4076">
        <v>1</v>
      </c>
      <c r="D4076">
        <v>230.46</v>
      </c>
      <c r="E4076">
        <v>270</v>
      </c>
    </row>
    <row r="4077" spans="1:5" x14ac:dyDescent="0.3">
      <c r="A4077" t="s">
        <v>19</v>
      </c>
      <c r="B4077" s="1">
        <v>44710</v>
      </c>
      <c r="C4077">
        <v>1</v>
      </c>
      <c r="D4077">
        <v>80.760000000000005</v>
      </c>
      <c r="E4077">
        <v>101</v>
      </c>
    </row>
    <row r="4078" spans="1:5" x14ac:dyDescent="0.3">
      <c r="A4078" t="s">
        <v>101</v>
      </c>
      <c r="B4078" s="1">
        <v>44710</v>
      </c>
      <c r="C4078">
        <v>1</v>
      </c>
      <c r="D4078">
        <v>33.26</v>
      </c>
      <c r="E4078">
        <v>53</v>
      </c>
    </row>
    <row r="4079" spans="1:5" x14ac:dyDescent="0.3">
      <c r="A4079" t="s">
        <v>87</v>
      </c>
      <c r="B4079" s="1">
        <v>44710</v>
      </c>
      <c r="C4079">
        <v>1</v>
      </c>
      <c r="D4079">
        <v>323.66000000000003</v>
      </c>
      <c r="E4079">
        <v>389</v>
      </c>
    </row>
    <row r="4080" spans="1:5" x14ac:dyDescent="0.3">
      <c r="A4080" t="s">
        <v>36</v>
      </c>
      <c r="B4080" s="1">
        <v>44710</v>
      </c>
      <c r="C4080">
        <v>1</v>
      </c>
      <c r="D4080">
        <v>22</v>
      </c>
      <c r="E4080">
        <v>28</v>
      </c>
    </row>
    <row r="4081" spans="1:5" x14ac:dyDescent="0.3">
      <c r="A4081" t="s">
        <v>36</v>
      </c>
      <c r="B4081" s="1">
        <v>44710</v>
      </c>
      <c r="C4081">
        <v>1</v>
      </c>
      <c r="D4081">
        <v>22</v>
      </c>
      <c r="E4081">
        <v>28</v>
      </c>
    </row>
    <row r="4082" spans="1:5" x14ac:dyDescent="0.3">
      <c r="A4082" t="s">
        <v>36</v>
      </c>
      <c r="B4082" s="1">
        <v>44710</v>
      </c>
      <c r="C4082">
        <v>1</v>
      </c>
      <c r="D4082">
        <v>22</v>
      </c>
      <c r="E4082">
        <v>28</v>
      </c>
    </row>
    <row r="4083" spans="1:5" x14ac:dyDescent="0.3">
      <c r="A4083" t="s">
        <v>36</v>
      </c>
      <c r="B4083" s="1">
        <v>44710</v>
      </c>
      <c r="C4083">
        <v>1</v>
      </c>
      <c r="D4083">
        <v>22</v>
      </c>
      <c r="E4083">
        <v>28</v>
      </c>
    </row>
    <row r="4084" spans="1:5" x14ac:dyDescent="0.3">
      <c r="A4084" t="s">
        <v>36</v>
      </c>
      <c r="B4084" s="1">
        <v>44710</v>
      </c>
      <c r="C4084">
        <v>1</v>
      </c>
      <c r="D4084">
        <v>22</v>
      </c>
      <c r="E4084">
        <v>28</v>
      </c>
    </row>
    <row r="4085" spans="1:5" x14ac:dyDescent="0.3">
      <c r="A4085" t="s">
        <v>36</v>
      </c>
      <c r="B4085" s="1">
        <v>44710</v>
      </c>
      <c r="C4085">
        <v>1</v>
      </c>
      <c r="D4085">
        <v>22</v>
      </c>
      <c r="E4085">
        <v>28</v>
      </c>
    </row>
    <row r="4086" spans="1:5" x14ac:dyDescent="0.3">
      <c r="A4086" t="s">
        <v>38</v>
      </c>
      <c r="B4086" s="1">
        <v>44710</v>
      </c>
      <c r="C4086">
        <v>1</v>
      </c>
      <c r="D4086">
        <v>28.91</v>
      </c>
      <c r="E4086">
        <v>45</v>
      </c>
    </row>
    <row r="4087" spans="1:5" x14ac:dyDescent="0.3">
      <c r="A4087" t="s">
        <v>38</v>
      </c>
      <c r="B4087" s="1">
        <v>44710</v>
      </c>
      <c r="C4087">
        <v>1</v>
      </c>
      <c r="D4087">
        <v>28.91</v>
      </c>
      <c r="E4087">
        <v>45</v>
      </c>
    </row>
    <row r="4088" spans="1:5" x14ac:dyDescent="0.3">
      <c r="A4088" t="s">
        <v>38</v>
      </c>
      <c r="B4088" s="1">
        <v>44710</v>
      </c>
      <c r="C4088">
        <v>1</v>
      </c>
      <c r="D4088">
        <v>28.91</v>
      </c>
      <c r="E4088">
        <v>45</v>
      </c>
    </row>
    <row r="4089" spans="1:5" x14ac:dyDescent="0.3">
      <c r="A4089" t="s">
        <v>38</v>
      </c>
      <c r="B4089" s="1">
        <v>44710</v>
      </c>
      <c r="C4089">
        <v>1</v>
      </c>
      <c r="D4089">
        <v>28.91</v>
      </c>
      <c r="E4089">
        <v>45</v>
      </c>
    </row>
    <row r="4090" spans="1:5" x14ac:dyDescent="0.3">
      <c r="A4090" t="s">
        <v>38</v>
      </c>
      <c r="B4090" s="1">
        <v>44710</v>
      </c>
      <c r="C4090">
        <v>1</v>
      </c>
      <c r="D4090">
        <v>28.91</v>
      </c>
      <c r="E4090">
        <v>45</v>
      </c>
    </row>
    <row r="4091" spans="1:5" x14ac:dyDescent="0.3">
      <c r="A4091" t="s">
        <v>38</v>
      </c>
      <c r="B4091" s="1">
        <v>44710</v>
      </c>
      <c r="C4091">
        <v>1</v>
      </c>
      <c r="D4091">
        <v>28.91</v>
      </c>
      <c r="E4091">
        <v>45</v>
      </c>
    </row>
    <row r="4092" spans="1:5" x14ac:dyDescent="0.3">
      <c r="A4092" t="s">
        <v>6</v>
      </c>
      <c r="B4092" s="1">
        <v>44710</v>
      </c>
      <c r="C4092">
        <v>0.1</v>
      </c>
      <c r="D4092">
        <v>457.55</v>
      </c>
      <c r="E4092">
        <v>572</v>
      </c>
    </row>
    <row r="4093" spans="1:5" x14ac:dyDescent="0.3">
      <c r="A4093" t="s">
        <v>6</v>
      </c>
      <c r="B4093" s="1">
        <v>44710</v>
      </c>
      <c r="C4093">
        <v>0.1</v>
      </c>
      <c r="D4093">
        <v>430.78</v>
      </c>
      <c r="E4093">
        <v>539</v>
      </c>
    </row>
    <row r="4094" spans="1:5" x14ac:dyDescent="0.3">
      <c r="A4094" t="s">
        <v>134</v>
      </c>
      <c r="B4094" s="1">
        <v>44710</v>
      </c>
      <c r="C4094">
        <v>1</v>
      </c>
      <c r="D4094">
        <v>35.200000000000003</v>
      </c>
      <c r="E4094">
        <v>54</v>
      </c>
    </row>
    <row r="4095" spans="1:5" x14ac:dyDescent="0.3">
      <c r="A4095" t="s">
        <v>141</v>
      </c>
      <c r="B4095" s="1">
        <v>44710</v>
      </c>
      <c r="C4095">
        <v>1</v>
      </c>
      <c r="D4095">
        <v>12.2</v>
      </c>
      <c r="E4095">
        <v>20</v>
      </c>
    </row>
    <row r="4096" spans="1:5" x14ac:dyDescent="0.3">
      <c r="A4096" t="s">
        <v>35</v>
      </c>
      <c r="B4096" s="1">
        <v>44710</v>
      </c>
      <c r="C4096">
        <v>1</v>
      </c>
      <c r="D4096">
        <v>33.11</v>
      </c>
      <c r="E4096">
        <v>51</v>
      </c>
    </row>
    <row r="4097" spans="1:5" x14ac:dyDescent="0.3">
      <c r="A4097" t="s">
        <v>35</v>
      </c>
      <c r="B4097" s="1">
        <v>44710</v>
      </c>
      <c r="C4097">
        <v>1</v>
      </c>
      <c r="D4097">
        <v>33.11</v>
      </c>
      <c r="E4097">
        <v>51</v>
      </c>
    </row>
    <row r="4098" spans="1:5" x14ac:dyDescent="0.3">
      <c r="A4098" t="s">
        <v>96</v>
      </c>
      <c r="B4098" s="1">
        <v>44710</v>
      </c>
      <c r="C4098">
        <v>1</v>
      </c>
      <c r="D4098">
        <v>70.930000000000007</v>
      </c>
      <c r="E4098">
        <v>101</v>
      </c>
    </row>
    <row r="4099" spans="1:5" x14ac:dyDescent="0.3">
      <c r="A4099" t="s">
        <v>11</v>
      </c>
      <c r="B4099" s="1">
        <v>44710</v>
      </c>
      <c r="C4099">
        <v>1</v>
      </c>
      <c r="D4099">
        <v>24.2</v>
      </c>
      <c r="E4099">
        <v>39</v>
      </c>
    </row>
    <row r="4100" spans="1:5" x14ac:dyDescent="0.3">
      <c r="A4100" t="s">
        <v>133</v>
      </c>
      <c r="B4100" s="1">
        <v>44710</v>
      </c>
      <c r="C4100">
        <v>10</v>
      </c>
      <c r="D4100">
        <v>6.13</v>
      </c>
      <c r="E4100">
        <v>10</v>
      </c>
    </row>
    <row r="4101" spans="1:5" x14ac:dyDescent="0.3">
      <c r="A4101" t="s">
        <v>65</v>
      </c>
      <c r="B4101" s="1">
        <v>44710</v>
      </c>
      <c r="C4101">
        <v>1</v>
      </c>
      <c r="D4101">
        <v>187.33</v>
      </c>
      <c r="E4101">
        <v>220</v>
      </c>
    </row>
    <row r="4102" spans="1:5" x14ac:dyDescent="0.3">
      <c r="A4102" t="s">
        <v>91</v>
      </c>
      <c r="B4102" s="1">
        <v>44710</v>
      </c>
      <c r="C4102">
        <v>1</v>
      </c>
      <c r="D4102">
        <v>37.340000000000003</v>
      </c>
      <c r="E4102">
        <v>65</v>
      </c>
    </row>
    <row r="4103" spans="1:5" x14ac:dyDescent="0.3">
      <c r="A4103" t="s">
        <v>45</v>
      </c>
      <c r="B4103" s="1">
        <v>44710</v>
      </c>
      <c r="C4103">
        <v>6</v>
      </c>
      <c r="D4103">
        <v>28.21</v>
      </c>
      <c r="E4103">
        <v>46</v>
      </c>
    </row>
    <row r="4104" spans="1:5" x14ac:dyDescent="0.3">
      <c r="A4104" t="s">
        <v>85</v>
      </c>
      <c r="B4104" s="1">
        <v>44710</v>
      </c>
      <c r="C4104">
        <v>1</v>
      </c>
      <c r="D4104">
        <v>15.13</v>
      </c>
      <c r="E4104">
        <v>23</v>
      </c>
    </row>
    <row r="4105" spans="1:5" x14ac:dyDescent="0.3">
      <c r="A4105" t="s">
        <v>85</v>
      </c>
      <c r="B4105" s="1">
        <v>44710</v>
      </c>
      <c r="C4105">
        <v>1</v>
      </c>
      <c r="D4105">
        <v>15.13</v>
      </c>
      <c r="E4105">
        <v>23</v>
      </c>
    </row>
    <row r="4106" spans="1:5" x14ac:dyDescent="0.3">
      <c r="A4106" t="s">
        <v>133</v>
      </c>
      <c r="B4106" s="1">
        <v>44710</v>
      </c>
      <c r="C4106">
        <v>1</v>
      </c>
      <c r="D4106">
        <v>5.0999999999999996</v>
      </c>
      <c r="E4106">
        <v>9</v>
      </c>
    </row>
    <row r="4107" spans="1:5" x14ac:dyDescent="0.3">
      <c r="A4107" t="s">
        <v>51</v>
      </c>
      <c r="B4107" s="1">
        <v>44710</v>
      </c>
      <c r="C4107">
        <v>1</v>
      </c>
      <c r="D4107">
        <v>2.2999999999999998</v>
      </c>
      <c r="E4107">
        <v>4</v>
      </c>
    </row>
    <row r="4108" spans="1:5" x14ac:dyDescent="0.3">
      <c r="A4108" t="s">
        <v>51</v>
      </c>
      <c r="B4108" s="1">
        <v>44710</v>
      </c>
      <c r="C4108">
        <v>3</v>
      </c>
      <c r="D4108">
        <v>2.2999999999999998</v>
      </c>
      <c r="E4108">
        <v>4</v>
      </c>
    </row>
    <row r="4109" spans="1:5" x14ac:dyDescent="0.3">
      <c r="A4109" t="s">
        <v>87</v>
      </c>
      <c r="B4109" s="1">
        <v>44710</v>
      </c>
      <c r="C4109">
        <v>1</v>
      </c>
      <c r="D4109">
        <v>323.67</v>
      </c>
      <c r="E4109">
        <v>366</v>
      </c>
    </row>
    <row r="4110" spans="1:5" x14ac:dyDescent="0.3">
      <c r="A4110" t="s">
        <v>56</v>
      </c>
      <c r="B4110" s="1">
        <v>44710</v>
      </c>
      <c r="C4110">
        <v>1</v>
      </c>
      <c r="D4110">
        <v>43.97</v>
      </c>
      <c r="E4110">
        <v>67</v>
      </c>
    </row>
    <row r="4111" spans="1:5" x14ac:dyDescent="0.3">
      <c r="A4111" t="s">
        <v>123</v>
      </c>
      <c r="B4111" s="1">
        <v>44710</v>
      </c>
      <c r="C4111">
        <v>1</v>
      </c>
      <c r="D4111">
        <v>62.34</v>
      </c>
      <c r="E4111">
        <v>78</v>
      </c>
    </row>
    <row r="4112" spans="1:5" x14ac:dyDescent="0.3">
      <c r="A4112" t="s">
        <v>123</v>
      </c>
      <c r="B4112" s="1">
        <v>44710</v>
      </c>
      <c r="C4112">
        <v>1</v>
      </c>
      <c r="D4112">
        <v>62.34</v>
      </c>
      <c r="E4112">
        <v>78</v>
      </c>
    </row>
    <row r="4113" spans="1:5" x14ac:dyDescent="0.3">
      <c r="A4113" t="s">
        <v>123</v>
      </c>
      <c r="B4113" s="1">
        <v>44710</v>
      </c>
      <c r="C4113">
        <v>1</v>
      </c>
      <c r="D4113">
        <v>62.79</v>
      </c>
      <c r="E4113">
        <v>78</v>
      </c>
    </row>
    <row r="4114" spans="1:5" x14ac:dyDescent="0.3">
      <c r="A4114" t="s">
        <v>123</v>
      </c>
      <c r="B4114" s="1">
        <v>44710</v>
      </c>
      <c r="C4114">
        <v>1</v>
      </c>
      <c r="D4114">
        <v>62.79</v>
      </c>
      <c r="E4114">
        <v>78</v>
      </c>
    </row>
    <row r="4115" spans="1:5" x14ac:dyDescent="0.3">
      <c r="A4115" t="s">
        <v>123</v>
      </c>
      <c r="B4115" s="1">
        <v>44710</v>
      </c>
      <c r="C4115">
        <v>1</v>
      </c>
      <c r="D4115">
        <v>62.79</v>
      </c>
      <c r="E4115">
        <v>78</v>
      </c>
    </row>
    <row r="4116" spans="1:5" x14ac:dyDescent="0.3">
      <c r="A4116" t="s">
        <v>106</v>
      </c>
      <c r="B4116" s="1">
        <v>44710</v>
      </c>
      <c r="C4116">
        <v>1</v>
      </c>
      <c r="D4116">
        <v>40.54</v>
      </c>
      <c r="E4116">
        <v>50</v>
      </c>
    </row>
    <row r="4117" spans="1:5" x14ac:dyDescent="0.3">
      <c r="A4117" t="s">
        <v>118</v>
      </c>
      <c r="B4117" s="1">
        <v>44710</v>
      </c>
      <c r="C4117">
        <v>1</v>
      </c>
      <c r="D4117">
        <v>10.66</v>
      </c>
      <c r="E4117">
        <v>13</v>
      </c>
    </row>
    <row r="4118" spans="1:5" x14ac:dyDescent="0.3">
      <c r="A4118" t="s">
        <v>118</v>
      </c>
      <c r="B4118" s="1">
        <v>44710</v>
      </c>
      <c r="C4118">
        <v>1</v>
      </c>
      <c r="D4118">
        <v>10.66</v>
      </c>
      <c r="E4118">
        <v>13</v>
      </c>
    </row>
    <row r="4119" spans="1:5" x14ac:dyDescent="0.3">
      <c r="A4119" t="s">
        <v>146</v>
      </c>
      <c r="B4119" s="1">
        <v>44710</v>
      </c>
      <c r="C4119">
        <v>1</v>
      </c>
      <c r="D4119">
        <v>412.93</v>
      </c>
      <c r="E4119">
        <v>463</v>
      </c>
    </row>
    <row r="4120" spans="1:5" x14ac:dyDescent="0.3">
      <c r="A4120" t="s">
        <v>98</v>
      </c>
      <c r="B4120" s="1">
        <v>44710</v>
      </c>
      <c r="C4120">
        <v>1</v>
      </c>
      <c r="D4120">
        <v>110.99</v>
      </c>
      <c r="E4120">
        <v>136</v>
      </c>
    </row>
    <row r="4121" spans="1:5" x14ac:dyDescent="0.3">
      <c r="A4121" t="s">
        <v>55</v>
      </c>
      <c r="B4121" s="1">
        <v>44710</v>
      </c>
      <c r="C4121">
        <v>1</v>
      </c>
      <c r="D4121">
        <v>77.510000000000005</v>
      </c>
      <c r="E4121">
        <v>94</v>
      </c>
    </row>
    <row r="4122" spans="1:5" x14ac:dyDescent="0.3">
      <c r="A4122" t="s">
        <v>148</v>
      </c>
      <c r="B4122" s="1">
        <v>44710</v>
      </c>
      <c r="C4122">
        <v>1</v>
      </c>
      <c r="D4122">
        <v>36.97</v>
      </c>
      <c r="E4122">
        <v>57</v>
      </c>
    </row>
    <row r="4123" spans="1:5" x14ac:dyDescent="0.3">
      <c r="A4123" t="s">
        <v>143</v>
      </c>
      <c r="B4123" s="1">
        <v>44710</v>
      </c>
      <c r="C4123">
        <v>1</v>
      </c>
      <c r="D4123">
        <v>46.59</v>
      </c>
      <c r="E4123">
        <v>71</v>
      </c>
    </row>
    <row r="4124" spans="1:5" x14ac:dyDescent="0.3">
      <c r="A4124" t="s">
        <v>57</v>
      </c>
      <c r="B4124" s="1">
        <v>44710</v>
      </c>
      <c r="C4124">
        <v>1</v>
      </c>
      <c r="D4124">
        <v>233.74</v>
      </c>
      <c r="E4124">
        <v>274</v>
      </c>
    </row>
    <row r="4125" spans="1:5" x14ac:dyDescent="0.3">
      <c r="A4125" t="s">
        <v>7</v>
      </c>
      <c r="B4125" s="1">
        <v>44710</v>
      </c>
      <c r="C4125">
        <v>1</v>
      </c>
      <c r="D4125">
        <v>88.73</v>
      </c>
      <c r="E4125">
        <v>104</v>
      </c>
    </row>
    <row r="4126" spans="1:5" x14ac:dyDescent="0.3">
      <c r="A4126" t="s">
        <v>110</v>
      </c>
      <c r="B4126" s="1">
        <v>44710</v>
      </c>
      <c r="C4126">
        <v>1</v>
      </c>
      <c r="D4126">
        <v>267.8</v>
      </c>
      <c r="E4126">
        <v>375</v>
      </c>
    </row>
    <row r="4127" spans="1:5" x14ac:dyDescent="0.3">
      <c r="A4127" t="s">
        <v>24</v>
      </c>
      <c r="B4127" s="1">
        <v>44710</v>
      </c>
      <c r="C4127">
        <v>1</v>
      </c>
      <c r="D4127">
        <v>102.47</v>
      </c>
      <c r="E4127">
        <v>121</v>
      </c>
    </row>
    <row r="4128" spans="1:5" x14ac:dyDescent="0.3">
      <c r="A4128" t="s">
        <v>23</v>
      </c>
      <c r="B4128" s="1">
        <v>44710</v>
      </c>
      <c r="C4128">
        <v>1</v>
      </c>
      <c r="D4128">
        <v>109.41</v>
      </c>
      <c r="E4128">
        <v>123</v>
      </c>
    </row>
    <row r="4129" spans="1:5" x14ac:dyDescent="0.3">
      <c r="A4129" t="s">
        <v>128</v>
      </c>
      <c r="B4129" s="1">
        <v>44710</v>
      </c>
      <c r="C4129">
        <v>1</v>
      </c>
      <c r="D4129">
        <v>255.9</v>
      </c>
      <c r="E4129">
        <v>359</v>
      </c>
    </row>
    <row r="4130" spans="1:5" x14ac:dyDescent="0.3">
      <c r="A4130" t="s">
        <v>111</v>
      </c>
      <c r="B4130" s="1">
        <v>44710</v>
      </c>
      <c r="C4130">
        <v>1</v>
      </c>
      <c r="D4130">
        <v>162.30000000000001</v>
      </c>
      <c r="E4130">
        <v>195</v>
      </c>
    </row>
    <row r="4131" spans="1:5" x14ac:dyDescent="0.3">
      <c r="A4131" t="s">
        <v>45</v>
      </c>
      <c r="B4131" s="1">
        <v>44710</v>
      </c>
      <c r="C4131">
        <v>1</v>
      </c>
      <c r="D4131">
        <v>28.85</v>
      </c>
      <c r="E4131">
        <v>47</v>
      </c>
    </row>
    <row r="4132" spans="1:5" x14ac:dyDescent="0.3">
      <c r="A4132" t="s">
        <v>35</v>
      </c>
      <c r="B4132" s="1">
        <v>44710</v>
      </c>
      <c r="C4132">
        <v>1</v>
      </c>
      <c r="D4132">
        <v>33.11</v>
      </c>
      <c r="E4132">
        <v>51</v>
      </c>
    </row>
    <row r="4133" spans="1:5" x14ac:dyDescent="0.3">
      <c r="A4133" t="s">
        <v>67</v>
      </c>
      <c r="B4133" s="1">
        <v>44710</v>
      </c>
      <c r="C4133">
        <v>1</v>
      </c>
      <c r="D4133">
        <v>55.04</v>
      </c>
      <c r="E4133">
        <v>80</v>
      </c>
    </row>
    <row r="4134" spans="1:5" x14ac:dyDescent="0.3">
      <c r="A4134" t="s">
        <v>10</v>
      </c>
      <c r="B4134" s="1">
        <v>44710</v>
      </c>
      <c r="C4134">
        <v>1</v>
      </c>
      <c r="D4134">
        <v>11.33</v>
      </c>
      <c r="E4134">
        <v>13</v>
      </c>
    </row>
    <row r="4135" spans="1:5" x14ac:dyDescent="0.3">
      <c r="A4135" t="s">
        <v>10</v>
      </c>
      <c r="B4135" s="1">
        <v>44710</v>
      </c>
      <c r="C4135">
        <v>1</v>
      </c>
      <c r="D4135">
        <v>11.33</v>
      </c>
      <c r="E4135">
        <v>13</v>
      </c>
    </row>
    <row r="4136" spans="1:5" x14ac:dyDescent="0.3">
      <c r="A4136" t="s">
        <v>129</v>
      </c>
      <c r="B4136" s="1">
        <v>44710</v>
      </c>
      <c r="C4136">
        <v>0.08</v>
      </c>
      <c r="D4136">
        <v>495.19</v>
      </c>
      <c r="E4136">
        <v>596</v>
      </c>
    </row>
    <row r="4137" spans="1:5" x14ac:dyDescent="0.3">
      <c r="A4137" t="s">
        <v>45</v>
      </c>
      <c r="B4137" s="1">
        <v>44710</v>
      </c>
      <c r="C4137">
        <v>1</v>
      </c>
      <c r="D4137">
        <v>29.26</v>
      </c>
      <c r="E4137">
        <v>48</v>
      </c>
    </row>
    <row r="4138" spans="1:5" x14ac:dyDescent="0.3">
      <c r="A4138" t="s">
        <v>87</v>
      </c>
      <c r="B4138" s="1">
        <v>44710</v>
      </c>
      <c r="C4138">
        <v>1</v>
      </c>
      <c r="D4138">
        <v>323.66000000000003</v>
      </c>
      <c r="E4138">
        <v>370</v>
      </c>
    </row>
    <row r="4139" spans="1:5" x14ac:dyDescent="0.3">
      <c r="A4139" t="s">
        <v>138</v>
      </c>
      <c r="B4139" s="1">
        <v>44710</v>
      </c>
      <c r="C4139">
        <v>1</v>
      </c>
      <c r="D4139">
        <v>44.4</v>
      </c>
      <c r="E4139">
        <v>77</v>
      </c>
    </row>
    <row r="4140" spans="1:5" x14ac:dyDescent="0.3">
      <c r="A4140" t="s">
        <v>47</v>
      </c>
      <c r="B4140" s="1">
        <v>44710</v>
      </c>
      <c r="C4140">
        <v>1</v>
      </c>
      <c r="D4140">
        <v>42.85</v>
      </c>
      <c r="E4140">
        <v>67</v>
      </c>
    </row>
    <row r="4141" spans="1:5" x14ac:dyDescent="0.3">
      <c r="A4141" t="s">
        <v>65</v>
      </c>
      <c r="B4141" s="1">
        <v>44710</v>
      </c>
      <c r="C4141">
        <v>1</v>
      </c>
      <c r="D4141">
        <v>187.36</v>
      </c>
      <c r="E4141">
        <v>220</v>
      </c>
    </row>
    <row r="4142" spans="1:5" x14ac:dyDescent="0.3">
      <c r="A4142" t="s">
        <v>49</v>
      </c>
      <c r="B4142" s="1">
        <v>44710</v>
      </c>
      <c r="C4142">
        <v>1</v>
      </c>
      <c r="D4142">
        <v>15.82</v>
      </c>
      <c r="E4142">
        <v>20</v>
      </c>
    </row>
    <row r="4143" spans="1:5" x14ac:dyDescent="0.3">
      <c r="A4143" t="s">
        <v>95</v>
      </c>
      <c r="B4143" s="1">
        <v>44710</v>
      </c>
      <c r="C4143">
        <v>1</v>
      </c>
      <c r="D4143">
        <v>111.95</v>
      </c>
      <c r="E4143">
        <v>171</v>
      </c>
    </row>
    <row r="4144" spans="1:5" x14ac:dyDescent="0.3">
      <c r="A4144" t="s">
        <v>17</v>
      </c>
      <c r="B4144" s="1">
        <v>44710</v>
      </c>
      <c r="C4144">
        <v>1</v>
      </c>
      <c r="D4144">
        <v>388.58</v>
      </c>
      <c r="E4144">
        <v>467</v>
      </c>
    </row>
    <row r="4145" spans="1:5" x14ac:dyDescent="0.3">
      <c r="A4145" t="s">
        <v>8</v>
      </c>
      <c r="B4145" s="1">
        <v>44710</v>
      </c>
      <c r="C4145">
        <v>1</v>
      </c>
      <c r="D4145">
        <v>47.82</v>
      </c>
      <c r="E4145">
        <v>77</v>
      </c>
    </row>
    <row r="4146" spans="1:5" x14ac:dyDescent="0.3">
      <c r="A4146" t="s">
        <v>58</v>
      </c>
      <c r="B4146" s="1">
        <v>44710</v>
      </c>
      <c r="C4146">
        <v>1</v>
      </c>
      <c r="D4146">
        <v>76.739999999999995</v>
      </c>
      <c r="E4146">
        <v>93</v>
      </c>
    </row>
    <row r="4147" spans="1:5" x14ac:dyDescent="0.3">
      <c r="A4147" t="s">
        <v>28</v>
      </c>
      <c r="B4147" s="1">
        <v>44710</v>
      </c>
      <c r="C4147">
        <v>1</v>
      </c>
      <c r="D4147">
        <v>122.75</v>
      </c>
      <c r="E4147">
        <v>174</v>
      </c>
    </row>
    <row r="4148" spans="1:5" x14ac:dyDescent="0.3">
      <c r="A4148" t="s">
        <v>20</v>
      </c>
      <c r="B4148" s="1">
        <v>44710</v>
      </c>
      <c r="C4148">
        <v>1</v>
      </c>
      <c r="D4148">
        <v>19.71</v>
      </c>
      <c r="E4148">
        <v>26</v>
      </c>
    </row>
    <row r="4149" spans="1:5" x14ac:dyDescent="0.3">
      <c r="A4149" t="s">
        <v>20</v>
      </c>
      <c r="B4149" s="1">
        <v>44710</v>
      </c>
      <c r="C4149">
        <v>1</v>
      </c>
      <c r="D4149">
        <v>19.71</v>
      </c>
      <c r="E4149">
        <v>26</v>
      </c>
    </row>
    <row r="4150" spans="1:5" x14ac:dyDescent="0.3">
      <c r="A4150" t="s">
        <v>12</v>
      </c>
      <c r="B4150" s="1">
        <v>44710</v>
      </c>
      <c r="C4150">
        <v>1</v>
      </c>
      <c r="D4150">
        <v>56.03</v>
      </c>
      <c r="E4150">
        <v>70</v>
      </c>
    </row>
    <row r="4151" spans="1:5" x14ac:dyDescent="0.3">
      <c r="A4151" t="s">
        <v>131</v>
      </c>
      <c r="B4151" s="1">
        <v>44710</v>
      </c>
      <c r="C4151">
        <v>1</v>
      </c>
      <c r="D4151">
        <v>350.97</v>
      </c>
      <c r="E4151">
        <v>404</v>
      </c>
    </row>
    <row r="4152" spans="1:5" x14ac:dyDescent="0.3">
      <c r="A4152" t="s">
        <v>117</v>
      </c>
      <c r="B4152" s="1">
        <v>44710</v>
      </c>
      <c r="C4152">
        <v>1</v>
      </c>
      <c r="D4152">
        <v>23.14</v>
      </c>
      <c r="E4152">
        <v>28</v>
      </c>
    </row>
    <row r="4153" spans="1:5" x14ac:dyDescent="0.3">
      <c r="A4153" t="s">
        <v>93</v>
      </c>
      <c r="B4153" s="1">
        <v>44710</v>
      </c>
      <c r="C4153">
        <v>1</v>
      </c>
      <c r="D4153">
        <v>71.05</v>
      </c>
      <c r="E4153">
        <v>106</v>
      </c>
    </row>
    <row r="4154" spans="1:5" x14ac:dyDescent="0.3">
      <c r="A4154" t="s">
        <v>5</v>
      </c>
      <c r="B4154" s="1">
        <v>44710</v>
      </c>
      <c r="C4154">
        <v>1</v>
      </c>
      <c r="D4154">
        <v>145.6</v>
      </c>
      <c r="E4154">
        <v>169</v>
      </c>
    </row>
    <row r="4155" spans="1:5" x14ac:dyDescent="0.3">
      <c r="A4155" t="s">
        <v>57</v>
      </c>
      <c r="B4155" s="1">
        <v>44710</v>
      </c>
      <c r="C4155">
        <v>1</v>
      </c>
      <c r="D4155">
        <v>296.88</v>
      </c>
      <c r="E4155">
        <v>348</v>
      </c>
    </row>
    <row r="4156" spans="1:5" x14ac:dyDescent="0.3">
      <c r="A4156" t="s">
        <v>57</v>
      </c>
      <c r="B4156" s="1">
        <v>44710</v>
      </c>
      <c r="C4156">
        <v>1</v>
      </c>
      <c r="D4156">
        <v>296.88</v>
      </c>
      <c r="E4156">
        <v>348</v>
      </c>
    </row>
    <row r="4157" spans="1:5" x14ac:dyDescent="0.3">
      <c r="A4157" t="s">
        <v>142</v>
      </c>
      <c r="B4157" s="1">
        <v>44710</v>
      </c>
      <c r="C4157">
        <v>1</v>
      </c>
      <c r="D4157">
        <v>12.86</v>
      </c>
      <c r="E4157">
        <v>15</v>
      </c>
    </row>
    <row r="4158" spans="1:5" x14ac:dyDescent="0.3">
      <c r="A4158" t="s">
        <v>142</v>
      </c>
      <c r="B4158" s="1">
        <v>44710</v>
      </c>
      <c r="C4158">
        <v>1</v>
      </c>
      <c r="D4158">
        <v>12.86</v>
      </c>
      <c r="E4158">
        <v>15</v>
      </c>
    </row>
    <row r="4159" spans="1:5" x14ac:dyDescent="0.3">
      <c r="A4159" t="s">
        <v>142</v>
      </c>
      <c r="B4159" s="1">
        <v>44710</v>
      </c>
      <c r="C4159">
        <v>1</v>
      </c>
      <c r="D4159">
        <v>12.86</v>
      </c>
      <c r="E4159">
        <v>15</v>
      </c>
    </row>
    <row r="4160" spans="1:5" x14ac:dyDescent="0.3">
      <c r="A4160" t="s">
        <v>142</v>
      </c>
      <c r="B4160" s="1">
        <v>44710</v>
      </c>
      <c r="C4160">
        <v>1</v>
      </c>
      <c r="D4160">
        <v>12.86</v>
      </c>
      <c r="E4160">
        <v>15</v>
      </c>
    </row>
    <row r="4161" spans="1:5" x14ac:dyDescent="0.3">
      <c r="A4161" t="s">
        <v>107</v>
      </c>
      <c r="B4161" s="1">
        <v>44710</v>
      </c>
      <c r="C4161">
        <v>1</v>
      </c>
      <c r="D4161">
        <v>71</v>
      </c>
      <c r="E4161">
        <v>88</v>
      </c>
    </row>
    <row r="4162" spans="1:5" x14ac:dyDescent="0.3">
      <c r="A4162" t="s">
        <v>31</v>
      </c>
      <c r="B4162" s="1">
        <v>44710</v>
      </c>
      <c r="C4162">
        <v>1</v>
      </c>
      <c r="D4162">
        <v>14.4</v>
      </c>
      <c r="E4162">
        <v>19</v>
      </c>
    </row>
    <row r="4163" spans="1:5" x14ac:dyDescent="0.3">
      <c r="A4163" t="s">
        <v>31</v>
      </c>
      <c r="B4163" s="1">
        <v>44710</v>
      </c>
      <c r="C4163">
        <v>1</v>
      </c>
      <c r="D4163">
        <v>14.4</v>
      </c>
      <c r="E4163">
        <v>19</v>
      </c>
    </row>
    <row r="4164" spans="1:5" x14ac:dyDescent="0.3">
      <c r="A4164" t="s">
        <v>31</v>
      </c>
      <c r="B4164" s="1">
        <v>44710</v>
      </c>
      <c r="C4164">
        <v>1</v>
      </c>
      <c r="D4164">
        <v>14.4</v>
      </c>
      <c r="E4164">
        <v>19</v>
      </c>
    </row>
    <row r="4165" spans="1:5" x14ac:dyDescent="0.3">
      <c r="A4165" t="s">
        <v>31</v>
      </c>
      <c r="B4165" s="1">
        <v>44710</v>
      </c>
      <c r="C4165">
        <v>1</v>
      </c>
      <c r="D4165">
        <v>14.4</v>
      </c>
      <c r="E4165">
        <v>19</v>
      </c>
    </row>
    <row r="4166" spans="1:5" x14ac:dyDescent="0.3">
      <c r="A4166" t="s">
        <v>31</v>
      </c>
      <c r="B4166" s="1">
        <v>44710</v>
      </c>
      <c r="C4166">
        <v>1</v>
      </c>
      <c r="D4166">
        <v>14.4</v>
      </c>
      <c r="E4166">
        <v>19</v>
      </c>
    </row>
    <row r="4167" spans="1:5" x14ac:dyDescent="0.3">
      <c r="A4167" t="s">
        <v>47</v>
      </c>
      <c r="B4167" s="1">
        <v>44710</v>
      </c>
      <c r="C4167">
        <v>1</v>
      </c>
      <c r="D4167">
        <v>43</v>
      </c>
      <c r="E4167">
        <v>66</v>
      </c>
    </row>
    <row r="4168" spans="1:5" x14ac:dyDescent="0.3">
      <c r="A4168" t="s">
        <v>47</v>
      </c>
      <c r="B4168" s="1">
        <v>44710</v>
      </c>
      <c r="C4168">
        <v>1</v>
      </c>
      <c r="D4168">
        <v>43</v>
      </c>
      <c r="E4168">
        <v>66</v>
      </c>
    </row>
    <row r="4169" spans="1:5" x14ac:dyDescent="0.3">
      <c r="A4169" t="s">
        <v>47</v>
      </c>
      <c r="B4169" s="1">
        <v>44710</v>
      </c>
      <c r="C4169">
        <v>1</v>
      </c>
      <c r="D4169">
        <v>43</v>
      </c>
      <c r="E4169">
        <v>66</v>
      </c>
    </row>
    <row r="4170" spans="1:5" x14ac:dyDescent="0.3">
      <c r="A4170" t="s">
        <v>122</v>
      </c>
      <c r="B4170" s="1">
        <v>44710</v>
      </c>
      <c r="C4170">
        <v>1</v>
      </c>
      <c r="D4170">
        <v>23.27</v>
      </c>
      <c r="E4170">
        <v>28</v>
      </c>
    </row>
    <row r="4171" spans="1:5" x14ac:dyDescent="0.3">
      <c r="A4171" t="s">
        <v>122</v>
      </c>
      <c r="B4171" s="1">
        <v>44710</v>
      </c>
      <c r="C4171">
        <v>1</v>
      </c>
      <c r="D4171">
        <v>23.27</v>
      </c>
      <c r="E4171">
        <v>28</v>
      </c>
    </row>
    <row r="4172" spans="1:5" x14ac:dyDescent="0.3">
      <c r="A4172" t="s">
        <v>122</v>
      </c>
      <c r="B4172" s="1">
        <v>44710</v>
      </c>
      <c r="C4172">
        <v>1</v>
      </c>
      <c r="D4172">
        <v>23.27</v>
      </c>
      <c r="E4172">
        <v>28</v>
      </c>
    </row>
    <row r="4173" spans="1:5" x14ac:dyDescent="0.3">
      <c r="A4173" t="s">
        <v>25</v>
      </c>
      <c r="B4173" s="1">
        <v>44710</v>
      </c>
      <c r="C4173">
        <v>1</v>
      </c>
      <c r="D4173">
        <v>148.52000000000001</v>
      </c>
      <c r="E4173">
        <v>178</v>
      </c>
    </row>
    <row r="4174" spans="1:5" x14ac:dyDescent="0.3">
      <c r="A4174" t="s">
        <v>25</v>
      </c>
      <c r="B4174" s="1">
        <v>44710</v>
      </c>
      <c r="C4174">
        <v>1</v>
      </c>
      <c r="D4174">
        <v>147.18</v>
      </c>
      <c r="E4174">
        <v>177</v>
      </c>
    </row>
    <row r="4175" spans="1:5" x14ac:dyDescent="0.3">
      <c r="A4175" t="s">
        <v>25</v>
      </c>
      <c r="B4175" s="1">
        <v>44710</v>
      </c>
      <c r="C4175">
        <v>1</v>
      </c>
      <c r="D4175">
        <v>147.18</v>
      </c>
      <c r="E4175">
        <v>177</v>
      </c>
    </row>
    <row r="4176" spans="1:5" x14ac:dyDescent="0.3">
      <c r="A4176" t="s">
        <v>70</v>
      </c>
      <c r="B4176" s="1">
        <v>44710</v>
      </c>
      <c r="C4176">
        <v>1</v>
      </c>
      <c r="D4176">
        <v>166.31</v>
      </c>
      <c r="E4176">
        <v>200</v>
      </c>
    </row>
    <row r="4177" spans="1:5" x14ac:dyDescent="0.3">
      <c r="A4177" t="s">
        <v>70</v>
      </c>
      <c r="B4177" s="1">
        <v>44710</v>
      </c>
      <c r="C4177">
        <v>1</v>
      </c>
      <c r="D4177">
        <v>166.31</v>
      </c>
      <c r="E4177">
        <v>200</v>
      </c>
    </row>
    <row r="4178" spans="1:5" x14ac:dyDescent="0.3">
      <c r="A4178" t="s">
        <v>70</v>
      </c>
      <c r="B4178" s="1">
        <v>44710</v>
      </c>
      <c r="C4178">
        <v>1</v>
      </c>
      <c r="D4178">
        <v>165.06</v>
      </c>
      <c r="E4178">
        <v>199</v>
      </c>
    </row>
    <row r="4179" spans="1:5" x14ac:dyDescent="0.3">
      <c r="A4179" t="s">
        <v>156</v>
      </c>
      <c r="B4179" s="1">
        <v>44710</v>
      </c>
      <c r="C4179">
        <v>1</v>
      </c>
      <c r="D4179">
        <v>248.25</v>
      </c>
      <c r="E4179">
        <v>341</v>
      </c>
    </row>
    <row r="4180" spans="1:5" x14ac:dyDescent="0.3">
      <c r="A4180" t="s">
        <v>125</v>
      </c>
      <c r="B4180" s="1">
        <v>44710</v>
      </c>
      <c r="C4180">
        <v>1</v>
      </c>
      <c r="D4180">
        <v>337.24</v>
      </c>
      <c r="E4180">
        <v>446</v>
      </c>
    </row>
    <row r="4181" spans="1:5" x14ac:dyDescent="0.3">
      <c r="A4181" t="s">
        <v>24</v>
      </c>
      <c r="B4181" s="1">
        <v>44710</v>
      </c>
      <c r="C4181">
        <v>1</v>
      </c>
      <c r="D4181">
        <v>102.47</v>
      </c>
      <c r="E4181">
        <v>121</v>
      </c>
    </row>
    <row r="4182" spans="1:5" x14ac:dyDescent="0.3">
      <c r="A4182" t="s">
        <v>24</v>
      </c>
      <c r="B4182" s="1">
        <v>44710</v>
      </c>
      <c r="C4182">
        <v>1</v>
      </c>
      <c r="D4182">
        <v>102.47</v>
      </c>
      <c r="E4182">
        <v>121</v>
      </c>
    </row>
    <row r="4183" spans="1:5" x14ac:dyDescent="0.3">
      <c r="A4183" t="s">
        <v>47</v>
      </c>
      <c r="B4183" s="1">
        <v>44710</v>
      </c>
      <c r="C4183">
        <v>1</v>
      </c>
      <c r="D4183">
        <v>43</v>
      </c>
      <c r="E4183">
        <v>66</v>
      </c>
    </row>
    <row r="4184" spans="1:5" x14ac:dyDescent="0.3">
      <c r="A4184" t="s">
        <v>122</v>
      </c>
      <c r="B4184" s="1">
        <v>44710</v>
      </c>
      <c r="C4184">
        <v>1</v>
      </c>
      <c r="D4184">
        <v>20.39</v>
      </c>
      <c r="E4184">
        <v>25</v>
      </c>
    </row>
    <row r="4185" spans="1:5" x14ac:dyDescent="0.3">
      <c r="A4185" t="s">
        <v>156</v>
      </c>
      <c r="B4185" s="1">
        <v>44710</v>
      </c>
      <c r="C4185">
        <v>1</v>
      </c>
      <c r="D4185">
        <v>251.37</v>
      </c>
      <c r="E4185">
        <v>335</v>
      </c>
    </row>
    <row r="4186" spans="1:5" x14ac:dyDescent="0.3">
      <c r="A4186" t="s">
        <v>95</v>
      </c>
      <c r="B4186" s="1">
        <v>44710</v>
      </c>
      <c r="C4186">
        <v>0.2</v>
      </c>
      <c r="D4186">
        <v>133.25</v>
      </c>
      <c r="E4186">
        <v>204</v>
      </c>
    </row>
    <row r="4187" spans="1:5" x14ac:dyDescent="0.3">
      <c r="A4187" t="s">
        <v>26</v>
      </c>
      <c r="B4187" s="1">
        <v>44710</v>
      </c>
      <c r="C4187">
        <v>0.1</v>
      </c>
      <c r="D4187">
        <v>984.92</v>
      </c>
      <c r="E4187">
        <v>1330</v>
      </c>
    </row>
    <row r="4188" spans="1:5" x14ac:dyDescent="0.3">
      <c r="A4188" t="s">
        <v>102</v>
      </c>
      <c r="B4188" s="1">
        <v>44710</v>
      </c>
      <c r="C4188">
        <v>1</v>
      </c>
      <c r="D4188">
        <v>26.11</v>
      </c>
      <c r="E4188">
        <v>32</v>
      </c>
    </row>
    <row r="4189" spans="1:5" x14ac:dyDescent="0.3">
      <c r="A4189" t="s">
        <v>57</v>
      </c>
      <c r="B4189" s="1">
        <v>44710</v>
      </c>
      <c r="C4189">
        <v>1</v>
      </c>
      <c r="D4189">
        <v>233.74</v>
      </c>
      <c r="E4189">
        <v>274</v>
      </c>
    </row>
    <row r="4190" spans="1:5" x14ac:dyDescent="0.3">
      <c r="A4190" t="s">
        <v>129</v>
      </c>
      <c r="B4190" s="1">
        <v>44710</v>
      </c>
      <c r="C4190">
        <v>0.12</v>
      </c>
      <c r="D4190">
        <v>491.72</v>
      </c>
      <c r="E4190">
        <v>592</v>
      </c>
    </row>
    <row r="4191" spans="1:5" x14ac:dyDescent="0.3">
      <c r="A4191" t="s">
        <v>91</v>
      </c>
      <c r="B4191" s="1">
        <v>44710</v>
      </c>
      <c r="C4191">
        <v>1</v>
      </c>
      <c r="D4191">
        <v>31.28</v>
      </c>
      <c r="E4191">
        <v>51</v>
      </c>
    </row>
    <row r="4192" spans="1:5" x14ac:dyDescent="0.3">
      <c r="A4192" t="s">
        <v>65</v>
      </c>
      <c r="B4192" s="1">
        <v>44710</v>
      </c>
      <c r="C4192">
        <v>1</v>
      </c>
      <c r="D4192">
        <v>187.33</v>
      </c>
      <c r="E4192">
        <v>220</v>
      </c>
    </row>
    <row r="4193" spans="1:5" x14ac:dyDescent="0.3">
      <c r="A4193" t="s">
        <v>21</v>
      </c>
      <c r="B4193" s="1">
        <v>44710</v>
      </c>
      <c r="C4193">
        <v>1</v>
      </c>
      <c r="D4193">
        <v>184.57</v>
      </c>
      <c r="E4193">
        <v>253</v>
      </c>
    </row>
    <row r="4194" spans="1:5" x14ac:dyDescent="0.3">
      <c r="A4194" t="s">
        <v>128</v>
      </c>
      <c r="B4194" s="1">
        <v>44709</v>
      </c>
      <c r="C4194">
        <v>1</v>
      </c>
      <c r="D4194">
        <v>269.2</v>
      </c>
      <c r="E4194">
        <v>359</v>
      </c>
    </row>
    <row r="4195" spans="1:5" x14ac:dyDescent="0.3">
      <c r="A4195" t="s">
        <v>24</v>
      </c>
      <c r="B4195" s="1">
        <v>44709</v>
      </c>
      <c r="C4195">
        <v>1</v>
      </c>
      <c r="D4195">
        <v>103.46</v>
      </c>
      <c r="E4195">
        <v>121</v>
      </c>
    </row>
    <row r="4196" spans="1:5" x14ac:dyDescent="0.3">
      <c r="A4196" t="s">
        <v>24</v>
      </c>
      <c r="B4196" s="1">
        <v>44709</v>
      </c>
      <c r="C4196">
        <v>1</v>
      </c>
      <c r="D4196">
        <v>103.46</v>
      </c>
      <c r="E4196">
        <v>121</v>
      </c>
    </row>
    <row r="4197" spans="1:5" x14ac:dyDescent="0.3">
      <c r="A4197" t="s">
        <v>56</v>
      </c>
      <c r="B4197" s="1">
        <v>44709</v>
      </c>
      <c r="C4197">
        <v>1</v>
      </c>
      <c r="D4197">
        <v>45.36</v>
      </c>
      <c r="E4197">
        <v>71</v>
      </c>
    </row>
    <row r="4198" spans="1:5" x14ac:dyDescent="0.3">
      <c r="A4198" t="s">
        <v>52</v>
      </c>
      <c r="B4198" s="1">
        <v>44709</v>
      </c>
      <c r="C4198">
        <v>1</v>
      </c>
      <c r="D4198">
        <v>205</v>
      </c>
      <c r="E4198">
        <v>250</v>
      </c>
    </row>
    <row r="4199" spans="1:5" x14ac:dyDescent="0.3">
      <c r="A4199" t="s">
        <v>11</v>
      </c>
      <c r="B4199" s="1">
        <v>44709</v>
      </c>
      <c r="C4199">
        <v>1</v>
      </c>
      <c r="D4199">
        <v>24.2</v>
      </c>
      <c r="E4199">
        <v>39</v>
      </c>
    </row>
    <row r="4200" spans="1:5" x14ac:dyDescent="0.3">
      <c r="A4200" t="s">
        <v>106</v>
      </c>
      <c r="B4200" s="1">
        <v>44709</v>
      </c>
      <c r="C4200">
        <v>1</v>
      </c>
      <c r="D4200">
        <v>42.24</v>
      </c>
      <c r="E4200">
        <v>53</v>
      </c>
    </row>
    <row r="4201" spans="1:5" x14ac:dyDescent="0.3">
      <c r="A4201" t="s">
        <v>78</v>
      </c>
      <c r="B4201" s="1">
        <v>44709</v>
      </c>
      <c r="C4201">
        <v>1</v>
      </c>
      <c r="D4201">
        <v>69.599999999999994</v>
      </c>
      <c r="E4201">
        <v>90</v>
      </c>
    </row>
    <row r="4202" spans="1:5" x14ac:dyDescent="0.3">
      <c r="A4202" t="s">
        <v>98</v>
      </c>
      <c r="B4202" s="1">
        <v>44709</v>
      </c>
      <c r="C4202">
        <v>1</v>
      </c>
      <c r="D4202">
        <v>110.99</v>
      </c>
      <c r="E4202">
        <v>136</v>
      </c>
    </row>
    <row r="4203" spans="1:5" x14ac:dyDescent="0.3">
      <c r="A4203" t="s">
        <v>56</v>
      </c>
      <c r="B4203" s="1">
        <v>44709</v>
      </c>
      <c r="C4203">
        <v>1</v>
      </c>
      <c r="D4203">
        <v>43.97</v>
      </c>
      <c r="E4203">
        <v>70</v>
      </c>
    </row>
    <row r="4204" spans="1:5" x14ac:dyDescent="0.3">
      <c r="A4204" t="s">
        <v>22</v>
      </c>
      <c r="B4204" s="1">
        <v>44709</v>
      </c>
      <c r="C4204">
        <v>1</v>
      </c>
      <c r="D4204">
        <v>30.3</v>
      </c>
      <c r="E4204">
        <v>49</v>
      </c>
    </row>
    <row r="4205" spans="1:5" x14ac:dyDescent="0.3">
      <c r="A4205" t="s">
        <v>131</v>
      </c>
      <c r="B4205" s="1">
        <v>44709</v>
      </c>
      <c r="C4205">
        <v>1</v>
      </c>
      <c r="D4205">
        <v>350.97</v>
      </c>
      <c r="E4205">
        <v>404</v>
      </c>
    </row>
    <row r="4206" spans="1:5" x14ac:dyDescent="0.3">
      <c r="A4206" t="s">
        <v>155</v>
      </c>
      <c r="B4206" s="1">
        <v>44709</v>
      </c>
      <c r="C4206">
        <v>0.24</v>
      </c>
      <c r="D4206">
        <v>487.04</v>
      </c>
      <c r="E4206">
        <v>731</v>
      </c>
    </row>
    <row r="4207" spans="1:5" x14ac:dyDescent="0.3">
      <c r="A4207" t="s">
        <v>26</v>
      </c>
      <c r="B4207" s="1">
        <v>44709</v>
      </c>
      <c r="C4207">
        <v>0.1</v>
      </c>
      <c r="D4207">
        <v>984.79</v>
      </c>
      <c r="E4207">
        <v>1300</v>
      </c>
    </row>
    <row r="4208" spans="1:5" x14ac:dyDescent="0.3">
      <c r="A4208" t="s">
        <v>59</v>
      </c>
      <c r="B4208" s="1">
        <v>44709</v>
      </c>
      <c r="C4208">
        <v>2</v>
      </c>
      <c r="D4208">
        <v>14.14</v>
      </c>
      <c r="E4208">
        <v>23</v>
      </c>
    </row>
    <row r="4209" spans="1:5" x14ac:dyDescent="0.3">
      <c r="A4209" t="s">
        <v>16</v>
      </c>
      <c r="B4209" s="1">
        <v>44709</v>
      </c>
      <c r="C4209">
        <v>1</v>
      </c>
      <c r="D4209">
        <v>43.49</v>
      </c>
      <c r="E4209">
        <v>67</v>
      </c>
    </row>
    <row r="4210" spans="1:5" x14ac:dyDescent="0.3">
      <c r="A4210" t="s">
        <v>97</v>
      </c>
      <c r="B4210" s="1">
        <v>44709</v>
      </c>
      <c r="C4210">
        <v>1</v>
      </c>
      <c r="D4210">
        <v>426.66</v>
      </c>
      <c r="E4210">
        <v>564</v>
      </c>
    </row>
    <row r="4211" spans="1:5" x14ac:dyDescent="0.3">
      <c r="A4211" t="s">
        <v>122</v>
      </c>
      <c r="B4211" s="1">
        <v>44709</v>
      </c>
      <c r="C4211">
        <v>1</v>
      </c>
      <c r="D4211">
        <v>20.75</v>
      </c>
      <c r="E4211">
        <v>25</v>
      </c>
    </row>
    <row r="4212" spans="1:5" x14ac:dyDescent="0.3">
      <c r="A4212" t="s">
        <v>128</v>
      </c>
      <c r="B4212" s="1">
        <v>44709</v>
      </c>
      <c r="C4212">
        <v>1</v>
      </c>
      <c r="D4212">
        <v>261.16000000000003</v>
      </c>
      <c r="E4212">
        <v>345</v>
      </c>
    </row>
    <row r="4213" spans="1:5" x14ac:dyDescent="0.3">
      <c r="A4213" t="s">
        <v>93</v>
      </c>
      <c r="B4213" s="1">
        <v>44709</v>
      </c>
      <c r="C4213">
        <v>1</v>
      </c>
      <c r="D4213">
        <v>71.05</v>
      </c>
      <c r="E4213">
        <v>104</v>
      </c>
    </row>
    <row r="4214" spans="1:5" x14ac:dyDescent="0.3">
      <c r="A4214" t="s">
        <v>127</v>
      </c>
      <c r="B4214" s="1">
        <v>44709</v>
      </c>
      <c r="C4214">
        <v>1</v>
      </c>
      <c r="D4214">
        <v>121</v>
      </c>
      <c r="E4214">
        <v>169</v>
      </c>
    </row>
    <row r="4215" spans="1:5" x14ac:dyDescent="0.3">
      <c r="A4215" t="s">
        <v>24</v>
      </c>
      <c r="B4215" s="1">
        <v>44709</v>
      </c>
      <c r="C4215">
        <v>1</v>
      </c>
      <c r="D4215">
        <v>103.49</v>
      </c>
      <c r="E4215">
        <v>122</v>
      </c>
    </row>
    <row r="4216" spans="1:5" x14ac:dyDescent="0.3">
      <c r="A4216" t="s">
        <v>48</v>
      </c>
      <c r="B4216" s="1">
        <v>44709</v>
      </c>
      <c r="C4216">
        <v>1</v>
      </c>
      <c r="D4216">
        <v>39.83</v>
      </c>
      <c r="E4216">
        <v>63</v>
      </c>
    </row>
    <row r="4217" spans="1:5" x14ac:dyDescent="0.3">
      <c r="A4217" t="s">
        <v>7</v>
      </c>
      <c r="B4217" s="1">
        <v>44709</v>
      </c>
      <c r="C4217">
        <v>1</v>
      </c>
      <c r="D4217">
        <v>88.43</v>
      </c>
      <c r="E4217">
        <v>110</v>
      </c>
    </row>
    <row r="4218" spans="1:5" x14ac:dyDescent="0.3">
      <c r="A4218" t="s">
        <v>7</v>
      </c>
      <c r="B4218" s="1">
        <v>44709</v>
      </c>
      <c r="C4218">
        <v>1</v>
      </c>
      <c r="D4218">
        <v>88.43</v>
      </c>
      <c r="E4218">
        <v>110</v>
      </c>
    </row>
    <row r="4219" spans="1:5" x14ac:dyDescent="0.3">
      <c r="A4219" t="s">
        <v>134</v>
      </c>
      <c r="B4219" s="1">
        <v>44709</v>
      </c>
      <c r="C4219">
        <v>1</v>
      </c>
      <c r="D4219">
        <v>33</v>
      </c>
      <c r="E4219">
        <v>51</v>
      </c>
    </row>
    <row r="4220" spans="1:5" x14ac:dyDescent="0.3">
      <c r="A4220" t="s">
        <v>48</v>
      </c>
      <c r="B4220" s="1">
        <v>44709</v>
      </c>
      <c r="C4220">
        <v>1</v>
      </c>
      <c r="D4220">
        <v>35.200000000000003</v>
      </c>
      <c r="E4220">
        <v>55</v>
      </c>
    </row>
    <row r="4221" spans="1:5" x14ac:dyDescent="0.3">
      <c r="A4221" t="s">
        <v>100</v>
      </c>
      <c r="B4221" s="1">
        <v>44709</v>
      </c>
      <c r="C4221">
        <v>1</v>
      </c>
      <c r="D4221">
        <v>35.49</v>
      </c>
      <c r="E4221">
        <v>54</v>
      </c>
    </row>
    <row r="4222" spans="1:5" x14ac:dyDescent="0.3">
      <c r="A4222" t="s">
        <v>23</v>
      </c>
      <c r="B4222" s="1">
        <v>44709</v>
      </c>
      <c r="C4222">
        <v>1</v>
      </c>
      <c r="D4222">
        <v>109.41</v>
      </c>
      <c r="E4222">
        <v>123</v>
      </c>
    </row>
    <row r="4223" spans="1:5" x14ac:dyDescent="0.3">
      <c r="A4223" t="s">
        <v>148</v>
      </c>
      <c r="B4223" s="1">
        <v>44709</v>
      </c>
      <c r="C4223">
        <v>1</v>
      </c>
      <c r="D4223">
        <v>36.97</v>
      </c>
      <c r="E4223">
        <v>57</v>
      </c>
    </row>
    <row r="4224" spans="1:5" x14ac:dyDescent="0.3">
      <c r="A4224" t="s">
        <v>32</v>
      </c>
      <c r="B4224" s="1">
        <v>44709</v>
      </c>
      <c r="C4224">
        <v>1</v>
      </c>
      <c r="D4224">
        <v>125.73</v>
      </c>
      <c r="E4224">
        <v>192</v>
      </c>
    </row>
    <row r="4225" spans="1:5" x14ac:dyDescent="0.3">
      <c r="A4225" t="s">
        <v>49</v>
      </c>
      <c r="B4225" s="1">
        <v>44709</v>
      </c>
      <c r="C4225">
        <v>1</v>
      </c>
      <c r="D4225">
        <v>15.53</v>
      </c>
      <c r="E4225">
        <v>19</v>
      </c>
    </row>
    <row r="4226" spans="1:5" x14ac:dyDescent="0.3">
      <c r="A4226" t="s">
        <v>49</v>
      </c>
      <c r="B4226" s="1">
        <v>44709</v>
      </c>
      <c r="C4226">
        <v>1</v>
      </c>
      <c r="D4226">
        <v>15.53</v>
      </c>
      <c r="E4226">
        <v>19</v>
      </c>
    </row>
    <row r="4227" spans="1:5" x14ac:dyDescent="0.3">
      <c r="A4227" t="s">
        <v>100</v>
      </c>
      <c r="B4227" s="1">
        <v>44709</v>
      </c>
      <c r="C4227">
        <v>1</v>
      </c>
      <c r="D4227">
        <v>36.99</v>
      </c>
      <c r="E4227">
        <v>57</v>
      </c>
    </row>
    <row r="4228" spans="1:5" x14ac:dyDescent="0.3">
      <c r="A4228" t="s">
        <v>100</v>
      </c>
      <c r="B4228" s="1">
        <v>44709</v>
      </c>
      <c r="C4228">
        <v>1</v>
      </c>
      <c r="D4228">
        <v>36.99</v>
      </c>
      <c r="E4228">
        <v>57</v>
      </c>
    </row>
    <row r="4229" spans="1:5" x14ac:dyDescent="0.3">
      <c r="A4229" t="s">
        <v>11</v>
      </c>
      <c r="B4229" s="1">
        <v>44709</v>
      </c>
      <c r="C4229">
        <v>1</v>
      </c>
      <c r="D4229">
        <v>24.2</v>
      </c>
      <c r="E4229">
        <v>39</v>
      </c>
    </row>
    <row r="4230" spans="1:5" x14ac:dyDescent="0.3">
      <c r="A4230" t="s">
        <v>112</v>
      </c>
      <c r="B4230" s="1">
        <v>44709</v>
      </c>
      <c r="C4230">
        <v>1</v>
      </c>
      <c r="D4230">
        <v>281.47000000000003</v>
      </c>
      <c r="E4230">
        <v>334</v>
      </c>
    </row>
    <row r="4231" spans="1:5" x14ac:dyDescent="0.3">
      <c r="A4231" t="s">
        <v>76</v>
      </c>
      <c r="B4231" s="1">
        <v>44709</v>
      </c>
      <c r="C4231">
        <v>1</v>
      </c>
      <c r="D4231">
        <v>30.36</v>
      </c>
      <c r="E4231">
        <v>37</v>
      </c>
    </row>
    <row r="4232" spans="1:5" x14ac:dyDescent="0.3">
      <c r="A4232" t="s">
        <v>11</v>
      </c>
      <c r="B4232" s="1">
        <v>44709</v>
      </c>
      <c r="C4232">
        <v>1</v>
      </c>
      <c r="D4232">
        <v>24.2</v>
      </c>
      <c r="E4232">
        <v>39</v>
      </c>
    </row>
    <row r="4233" spans="1:5" x14ac:dyDescent="0.3">
      <c r="A4233" t="s">
        <v>94</v>
      </c>
      <c r="B4233" s="1">
        <v>44709</v>
      </c>
      <c r="C4233">
        <v>1</v>
      </c>
      <c r="D4233">
        <v>37.729999999999997</v>
      </c>
      <c r="E4233">
        <v>48</v>
      </c>
    </row>
    <row r="4234" spans="1:5" x14ac:dyDescent="0.3">
      <c r="A4234" t="s">
        <v>94</v>
      </c>
      <c r="B4234" s="1">
        <v>44709</v>
      </c>
      <c r="C4234">
        <v>1</v>
      </c>
      <c r="D4234">
        <v>27.31</v>
      </c>
      <c r="E4234">
        <v>39</v>
      </c>
    </row>
    <row r="4235" spans="1:5" x14ac:dyDescent="0.3">
      <c r="A4235" t="s">
        <v>94</v>
      </c>
      <c r="B4235" s="1">
        <v>44709</v>
      </c>
      <c r="C4235">
        <v>1</v>
      </c>
      <c r="D4235">
        <v>27.31</v>
      </c>
      <c r="E4235">
        <v>39</v>
      </c>
    </row>
    <row r="4236" spans="1:5" x14ac:dyDescent="0.3">
      <c r="A4236" t="s">
        <v>94</v>
      </c>
      <c r="B4236" s="1">
        <v>44709</v>
      </c>
      <c r="C4236">
        <v>1</v>
      </c>
      <c r="D4236">
        <v>27.31</v>
      </c>
      <c r="E4236">
        <v>39</v>
      </c>
    </row>
    <row r="4237" spans="1:5" x14ac:dyDescent="0.3">
      <c r="A4237" t="s">
        <v>94</v>
      </c>
      <c r="B4237" s="1">
        <v>44709</v>
      </c>
      <c r="C4237">
        <v>1</v>
      </c>
      <c r="D4237">
        <v>27.31</v>
      </c>
      <c r="E4237">
        <v>39</v>
      </c>
    </row>
    <row r="4238" spans="1:5" x14ac:dyDescent="0.3">
      <c r="A4238" t="s">
        <v>95</v>
      </c>
      <c r="B4238" s="1">
        <v>44709</v>
      </c>
      <c r="C4238">
        <v>0.5</v>
      </c>
      <c r="D4238">
        <v>130.65</v>
      </c>
      <c r="E4238">
        <v>199</v>
      </c>
    </row>
    <row r="4239" spans="1:5" x14ac:dyDescent="0.3">
      <c r="A4239" t="s">
        <v>159</v>
      </c>
      <c r="B4239" s="1">
        <v>44709</v>
      </c>
      <c r="C4239">
        <v>1</v>
      </c>
      <c r="D4239">
        <v>52.11</v>
      </c>
      <c r="E4239">
        <v>65</v>
      </c>
    </row>
    <row r="4240" spans="1:5" x14ac:dyDescent="0.3">
      <c r="A4240" t="s">
        <v>56</v>
      </c>
      <c r="B4240" s="1">
        <v>44709</v>
      </c>
      <c r="C4240">
        <v>1</v>
      </c>
      <c r="D4240">
        <v>45.42</v>
      </c>
      <c r="E4240">
        <v>70</v>
      </c>
    </row>
    <row r="4241" spans="1:5" x14ac:dyDescent="0.3">
      <c r="A4241" t="s">
        <v>8</v>
      </c>
      <c r="B4241" s="1">
        <v>44709</v>
      </c>
      <c r="C4241">
        <v>1</v>
      </c>
      <c r="D4241">
        <v>47.67</v>
      </c>
      <c r="E4241">
        <v>77</v>
      </c>
    </row>
    <row r="4242" spans="1:5" x14ac:dyDescent="0.3">
      <c r="A4242" t="s">
        <v>47</v>
      </c>
      <c r="B4242" s="1">
        <v>44709</v>
      </c>
      <c r="C4242">
        <v>1</v>
      </c>
      <c r="D4242">
        <v>42.85</v>
      </c>
      <c r="E4242">
        <v>67</v>
      </c>
    </row>
    <row r="4243" spans="1:5" x14ac:dyDescent="0.3">
      <c r="A4243" t="s">
        <v>122</v>
      </c>
      <c r="B4243" s="1">
        <v>44709</v>
      </c>
      <c r="C4243">
        <v>1</v>
      </c>
      <c r="D4243">
        <v>20.86</v>
      </c>
      <c r="E4243">
        <v>26</v>
      </c>
    </row>
    <row r="4244" spans="1:5" x14ac:dyDescent="0.3">
      <c r="A4244" t="s">
        <v>69</v>
      </c>
      <c r="B4244" s="1">
        <v>44709</v>
      </c>
      <c r="C4244">
        <v>1</v>
      </c>
      <c r="D4244">
        <v>19.989999999999998</v>
      </c>
      <c r="E4244">
        <v>24</v>
      </c>
    </row>
    <row r="4245" spans="1:5" x14ac:dyDescent="0.3">
      <c r="A4245" t="s">
        <v>69</v>
      </c>
      <c r="B4245" s="1">
        <v>44709</v>
      </c>
      <c r="C4245">
        <v>1</v>
      </c>
      <c r="D4245">
        <v>19.989999999999998</v>
      </c>
      <c r="E4245">
        <v>24</v>
      </c>
    </row>
    <row r="4246" spans="1:5" x14ac:dyDescent="0.3">
      <c r="A4246" t="s">
        <v>69</v>
      </c>
      <c r="B4246" s="1">
        <v>44709</v>
      </c>
      <c r="C4246">
        <v>1</v>
      </c>
      <c r="D4246">
        <v>19.989999999999998</v>
      </c>
      <c r="E4246">
        <v>24</v>
      </c>
    </row>
    <row r="4247" spans="1:5" x14ac:dyDescent="0.3">
      <c r="A4247" t="s">
        <v>69</v>
      </c>
      <c r="B4247" s="1">
        <v>44709</v>
      </c>
      <c r="C4247">
        <v>1</v>
      </c>
      <c r="D4247">
        <v>19.989999999999998</v>
      </c>
      <c r="E4247">
        <v>24</v>
      </c>
    </row>
    <row r="4248" spans="1:5" x14ac:dyDescent="0.3">
      <c r="A4248" t="s">
        <v>69</v>
      </c>
      <c r="B4248" s="1">
        <v>44709</v>
      </c>
      <c r="C4248">
        <v>1</v>
      </c>
      <c r="D4248">
        <v>19.989999999999998</v>
      </c>
      <c r="E4248">
        <v>24</v>
      </c>
    </row>
    <row r="4249" spans="1:5" x14ac:dyDescent="0.3">
      <c r="A4249" t="s">
        <v>69</v>
      </c>
      <c r="B4249" s="1">
        <v>44709</v>
      </c>
      <c r="C4249">
        <v>1</v>
      </c>
      <c r="D4249">
        <v>19.989999999999998</v>
      </c>
      <c r="E4249">
        <v>24</v>
      </c>
    </row>
    <row r="4250" spans="1:5" x14ac:dyDescent="0.3">
      <c r="A4250" t="s">
        <v>48</v>
      </c>
      <c r="B4250" s="1">
        <v>44709</v>
      </c>
      <c r="C4250">
        <v>1</v>
      </c>
      <c r="D4250">
        <v>39</v>
      </c>
      <c r="E4250">
        <v>60</v>
      </c>
    </row>
    <row r="4251" spans="1:5" x14ac:dyDescent="0.3">
      <c r="A4251" t="s">
        <v>26</v>
      </c>
      <c r="B4251" s="1">
        <v>44709</v>
      </c>
      <c r="C4251">
        <v>0.2</v>
      </c>
      <c r="D4251">
        <v>984.79</v>
      </c>
      <c r="E4251">
        <v>1300</v>
      </c>
    </row>
    <row r="4252" spans="1:5" x14ac:dyDescent="0.3">
      <c r="A4252" t="s">
        <v>26</v>
      </c>
      <c r="B4252" s="1">
        <v>44709</v>
      </c>
      <c r="C4252">
        <v>0.2</v>
      </c>
      <c r="D4252">
        <v>989.8</v>
      </c>
      <c r="E4252">
        <v>1307</v>
      </c>
    </row>
    <row r="4253" spans="1:5" x14ac:dyDescent="0.3">
      <c r="A4253" t="s">
        <v>70</v>
      </c>
      <c r="B4253" s="1">
        <v>44709</v>
      </c>
      <c r="C4253">
        <v>1</v>
      </c>
      <c r="D4253">
        <v>163.37</v>
      </c>
      <c r="E4253">
        <v>197</v>
      </c>
    </row>
    <row r="4254" spans="1:5" x14ac:dyDescent="0.3">
      <c r="A4254" t="s">
        <v>62</v>
      </c>
      <c r="B4254" s="1">
        <v>44709</v>
      </c>
      <c r="C4254">
        <v>1</v>
      </c>
      <c r="D4254">
        <v>25.29</v>
      </c>
      <c r="E4254">
        <v>30</v>
      </c>
    </row>
    <row r="4255" spans="1:5" x14ac:dyDescent="0.3">
      <c r="A4255" t="s">
        <v>62</v>
      </c>
      <c r="B4255" s="1">
        <v>44709</v>
      </c>
      <c r="C4255">
        <v>1</v>
      </c>
      <c r="D4255">
        <v>25.29</v>
      </c>
      <c r="E4255">
        <v>30</v>
      </c>
    </row>
    <row r="4256" spans="1:5" x14ac:dyDescent="0.3">
      <c r="A4256" t="s">
        <v>22</v>
      </c>
      <c r="B4256" s="1">
        <v>44709</v>
      </c>
      <c r="C4256">
        <v>1</v>
      </c>
      <c r="D4256">
        <v>30.3</v>
      </c>
      <c r="E4256">
        <v>49</v>
      </c>
    </row>
    <row r="4257" spans="1:5" x14ac:dyDescent="0.3">
      <c r="A4257" t="s">
        <v>117</v>
      </c>
      <c r="B4257" s="1">
        <v>44709</v>
      </c>
      <c r="C4257">
        <v>1</v>
      </c>
      <c r="D4257">
        <v>23.14</v>
      </c>
      <c r="E4257">
        <v>28</v>
      </c>
    </row>
    <row r="4258" spans="1:5" x14ac:dyDescent="0.3">
      <c r="A4258" t="s">
        <v>117</v>
      </c>
      <c r="B4258" s="1">
        <v>44709</v>
      </c>
      <c r="C4258">
        <v>1</v>
      </c>
      <c r="D4258">
        <v>23.14</v>
      </c>
      <c r="E4258">
        <v>28</v>
      </c>
    </row>
    <row r="4259" spans="1:5" x14ac:dyDescent="0.3">
      <c r="A4259" t="s">
        <v>24</v>
      </c>
      <c r="B4259" s="1">
        <v>44709</v>
      </c>
      <c r="C4259">
        <v>1</v>
      </c>
      <c r="D4259">
        <v>103.5</v>
      </c>
      <c r="E4259">
        <v>119</v>
      </c>
    </row>
    <row r="4260" spans="1:5" x14ac:dyDescent="0.3">
      <c r="A4260" t="s">
        <v>78</v>
      </c>
      <c r="B4260" s="1">
        <v>44709</v>
      </c>
      <c r="C4260">
        <v>1</v>
      </c>
      <c r="D4260">
        <v>69.7</v>
      </c>
      <c r="E4260">
        <v>88</v>
      </c>
    </row>
    <row r="4261" spans="1:5" x14ac:dyDescent="0.3">
      <c r="A4261" t="s">
        <v>7</v>
      </c>
      <c r="B4261" s="1">
        <v>44709</v>
      </c>
      <c r="C4261">
        <v>1</v>
      </c>
      <c r="D4261">
        <v>88.43</v>
      </c>
      <c r="E4261">
        <v>106</v>
      </c>
    </row>
    <row r="4262" spans="1:5" x14ac:dyDescent="0.3">
      <c r="A4262" t="s">
        <v>45</v>
      </c>
      <c r="B4262" s="1">
        <v>44709</v>
      </c>
      <c r="C4262">
        <v>2</v>
      </c>
      <c r="D4262">
        <v>29.26</v>
      </c>
      <c r="E4262">
        <v>48</v>
      </c>
    </row>
    <row r="4263" spans="1:5" x14ac:dyDescent="0.3">
      <c r="A4263" t="s">
        <v>14</v>
      </c>
      <c r="B4263" s="1">
        <v>44709</v>
      </c>
      <c r="C4263">
        <v>0.3</v>
      </c>
      <c r="D4263">
        <v>466.1</v>
      </c>
      <c r="E4263">
        <v>644</v>
      </c>
    </row>
    <row r="4264" spans="1:5" x14ac:dyDescent="0.3">
      <c r="A4264" t="s">
        <v>119</v>
      </c>
      <c r="B4264" s="1">
        <v>44709</v>
      </c>
      <c r="C4264">
        <v>3.5714299999999997E-2</v>
      </c>
      <c r="D4264">
        <v>656.19</v>
      </c>
      <c r="E4264">
        <v>722</v>
      </c>
    </row>
    <row r="4265" spans="1:5" x14ac:dyDescent="0.3">
      <c r="A4265" t="s">
        <v>24</v>
      </c>
      <c r="B4265" s="1">
        <v>44709</v>
      </c>
      <c r="C4265">
        <v>1</v>
      </c>
      <c r="D4265">
        <v>103.5</v>
      </c>
      <c r="E4265">
        <v>119</v>
      </c>
    </row>
    <row r="4266" spans="1:5" x14ac:dyDescent="0.3">
      <c r="A4266" t="s">
        <v>74</v>
      </c>
      <c r="B4266" s="1">
        <v>44709</v>
      </c>
      <c r="C4266">
        <v>1</v>
      </c>
      <c r="D4266">
        <v>86.64</v>
      </c>
      <c r="E4266">
        <v>108</v>
      </c>
    </row>
    <row r="4267" spans="1:5" x14ac:dyDescent="0.3">
      <c r="A4267" t="s">
        <v>45</v>
      </c>
      <c r="B4267" s="1">
        <v>44709</v>
      </c>
      <c r="C4267">
        <v>1</v>
      </c>
      <c r="D4267">
        <v>29.26</v>
      </c>
      <c r="E4267">
        <v>48</v>
      </c>
    </row>
    <row r="4268" spans="1:5" x14ac:dyDescent="0.3">
      <c r="A4268" t="s">
        <v>151</v>
      </c>
      <c r="B4268" s="1">
        <v>44709</v>
      </c>
      <c r="C4268">
        <v>1</v>
      </c>
      <c r="D4268">
        <v>23.23</v>
      </c>
      <c r="E4268">
        <v>29</v>
      </c>
    </row>
    <row r="4269" spans="1:5" x14ac:dyDescent="0.3">
      <c r="A4269" t="s">
        <v>96</v>
      </c>
      <c r="B4269" s="1">
        <v>44709</v>
      </c>
      <c r="C4269">
        <v>1</v>
      </c>
      <c r="D4269">
        <v>70.930000000000007</v>
      </c>
      <c r="E4269">
        <v>101</v>
      </c>
    </row>
    <row r="4270" spans="1:5" x14ac:dyDescent="0.3">
      <c r="A4270" t="s">
        <v>104</v>
      </c>
      <c r="B4270" s="1">
        <v>44709</v>
      </c>
      <c r="C4270">
        <v>1</v>
      </c>
      <c r="D4270">
        <v>45.44</v>
      </c>
      <c r="E4270">
        <v>57</v>
      </c>
    </row>
    <row r="4271" spans="1:5" x14ac:dyDescent="0.3">
      <c r="A4271" t="s">
        <v>104</v>
      </c>
      <c r="B4271" s="1">
        <v>44709</v>
      </c>
      <c r="C4271">
        <v>1</v>
      </c>
      <c r="D4271">
        <v>45.44</v>
      </c>
      <c r="E4271">
        <v>57</v>
      </c>
    </row>
    <row r="4272" spans="1:5" x14ac:dyDescent="0.3">
      <c r="A4272" t="s">
        <v>157</v>
      </c>
      <c r="B4272" s="1">
        <v>44709</v>
      </c>
      <c r="C4272">
        <v>1</v>
      </c>
      <c r="D4272">
        <v>12</v>
      </c>
      <c r="E4272">
        <v>20</v>
      </c>
    </row>
    <row r="4273" spans="1:5" x14ac:dyDescent="0.3">
      <c r="A4273" t="s">
        <v>118</v>
      </c>
      <c r="B4273" s="1">
        <v>44709</v>
      </c>
      <c r="C4273">
        <v>1</v>
      </c>
      <c r="D4273">
        <v>10.63</v>
      </c>
      <c r="E4273">
        <v>13</v>
      </c>
    </row>
    <row r="4274" spans="1:5" x14ac:dyDescent="0.3">
      <c r="A4274" t="s">
        <v>128</v>
      </c>
      <c r="B4274" s="1">
        <v>44709</v>
      </c>
      <c r="C4274">
        <v>1</v>
      </c>
      <c r="D4274">
        <v>282.82</v>
      </c>
      <c r="E4274">
        <v>396</v>
      </c>
    </row>
    <row r="4275" spans="1:5" x14ac:dyDescent="0.3">
      <c r="A4275" t="s">
        <v>35</v>
      </c>
      <c r="B4275" s="1">
        <v>44709</v>
      </c>
      <c r="C4275">
        <v>1</v>
      </c>
      <c r="D4275">
        <v>35</v>
      </c>
      <c r="E4275">
        <v>55</v>
      </c>
    </row>
    <row r="4276" spans="1:5" x14ac:dyDescent="0.3">
      <c r="A4276" t="s">
        <v>47</v>
      </c>
      <c r="B4276" s="1">
        <v>44709</v>
      </c>
      <c r="C4276">
        <v>1</v>
      </c>
      <c r="D4276">
        <v>42.67</v>
      </c>
      <c r="E4276">
        <v>67</v>
      </c>
    </row>
    <row r="4277" spans="1:5" x14ac:dyDescent="0.3">
      <c r="A4277" t="s">
        <v>26</v>
      </c>
      <c r="B4277" s="1">
        <v>44709</v>
      </c>
      <c r="C4277">
        <v>1</v>
      </c>
      <c r="D4277">
        <v>1080.31</v>
      </c>
      <c r="E4277">
        <v>1138</v>
      </c>
    </row>
    <row r="4278" spans="1:5" x14ac:dyDescent="0.3">
      <c r="A4278" t="s">
        <v>44</v>
      </c>
      <c r="B4278" s="1">
        <v>44709</v>
      </c>
      <c r="C4278">
        <v>1</v>
      </c>
      <c r="D4278">
        <v>65.010000000000005</v>
      </c>
      <c r="E4278">
        <v>101</v>
      </c>
    </row>
    <row r="4279" spans="1:5" x14ac:dyDescent="0.3">
      <c r="A4279" t="s">
        <v>127</v>
      </c>
      <c r="B4279" s="1">
        <v>44709</v>
      </c>
      <c r="C4279">
        <v>1</v>
      </c>
      <c r="D4279">
        <v>119.8</v>
      </c>
      <c r="E4279">
        <v>165</v>
      </c>
    </row>
    <row r="4280" spans="1:5" x14ac:dyDescent="0.3">
      <c r="A4280" t="s">
        <v>119</v>
      </c>
      <c r="B4280" s="1">
        <v>44709</v>
      </c>
      <c r="C4280">
        <v>3.5714299999999997E-2</v>
      </c>
      <c r="D4280">
        <v>656.19</v>
      </c>
      <c r="E4280">
        <v>722</v>
      </c>
    </row>
    <row r="4281" spans="1:5" x14ac:dyDescent="0.3">
      <c r="A4281" t="s">
        <v>91</v>
      </c>
      <c r="B4281" s="1">
        <v>44709</v>
      </c>
      <c r="C4281">
        <v>1</v>
      </c>
      <c r="D4281">
        <v>35.68</v>
      </c>
      <c r="E4281">
        <v>58</v>
      </c>
    </row>
    <row r="4282" spans="1:5" x14ac:dyDescent="0.3">
      <c r="A4282" t="s">
        <v>52</v>
      </c>
      <c r="B4282" s="1">
        <v>44709</v>
      </c>
      <c r="C4282">
        <v>1</v>
      </c>
      <c r="D4282">
        <v>205</v>
      </c>
      <c r="E4282">
        <v>250</v>
      </c>
    </row>
    <row r="4283" spans="1:5" x14ac:dyDescent="0.3">
      <c r="A4283" t="s">
        <v>138</v>
      </c>
      <c r="B4283" s="1">
        <v>44709</v>
      </c>
      <c r="C4283">
        <v>2</v>
      </c>
      <c r="D4283">
        <v>46.5</v>
      </c>
      <c r="E4283">
        <v>75</v>
      </c>
    </row>
    <row r="4284" spans="1:5" x14ac:dyDescent="0.3">
      <c r="A4284" t="s">
        <v>35</v>
      </c>
      <c r="B4284" s="1">
        <v>44709</v>
      </c>
      <c r="C4284">
        <v>1</v>
      </c>
      <c r="D4284">
        <v>33.11</v>
      </c>
      <c r="E4284">
        <v>51</v>
      </c>
    </row>
    <row r="4285" spans="1:5" x14ac:dyDescent="0.3">
      <c r="A4285" t="s">
        <v>120</v>
      </c>
      <c r="B4285" s="1">
        <v>44709</v>
      </c>
      <c r="C4285">
        <v>1</v>
      </c>
      <c r="D4285">
        <v>132.07</v>
      </c>
      <c r="E4285">
        <v>181</v>
      </c>
    </row>
    <row r="4286" spans="1:5" x14ac:dyDescent="0.3">
      <c r="A4286" t="s">
        <v>50</v>
      </c>
      <c r="B4286" s="1">
        <v>44709</v>
      </c>
      <c r="C4286">
        <v>1</v>
      </c>
      <c r="D4286">
        <v>43.86</v>
      </c>
      <c r="E4286">
        <v>55</v>
      </c>
    </row>
    <row r="4287" spans="1:5" x14ac:dyDescent="0.3">
      <c r="A4287" t="s">
        <v>141</v>
      </c>
      <c r="B4287" s="1">
        <v>44709</v>
      </c>
      <c r="C4287">
        <v>5</v>
      </c>
      <c r="D4287">
        <v>12.2</v>
      </c>
      <c r="E4287">
        <v>20</v>
      </c>
    </row>
    <row r="4288" spans="1:5" x14ac:dyDescent="0.3">
      <c r="A4288" t="s">
        <v>157</v>
      </c>
      <c r="B4288" s="1">
        <v>44709</v>
      </c>
      <c r="C4288">
        <v>5</v>
      </c>
      <c r="D4288">
        <v>12</v>
      </c>
      <c r="E4288">
        <v>20</v>
      </c>
    </row>
    <row r="4289" spans="1:5" x14ac:dyDescent="0.3">
      <c r="A4289" t="s">
        <v>48</v>
      </c>
      <c r="B4289" s="1">
        <v>44709</v>
      </c>
      <c r="C4289">
        <v>1</v>
      </c>
      <c r="D4289">
        <v>39.83</v>
      </c>
      <c r="E4289">
        <v>63</v>
      </c>
    </row>
    <row r="4290" spans="1:5" x14ac:dyDescent="0.3">
      <c r="A4290" t="s">
        <v>154</v>
      </c>
      <c r="B4290" s="1">
        <v>44709</v>
      </c>
      <c r="C4290">
        <v>1</v>
      </c>
      <c r="D4290">
        <v>124.03</v>
      </c>
      <c r="E4290">
        <v>151</v>
      </c>
    </row>
    <row r="4291" spans="1:5" x14ac:dyDescent="0.3">
      <c r="A4291" t="s">
        <v>23</v>
      </c>
      <c r="B4291" s="1">
        <v>44709</v>
      </c>
      <c r="C4291">
        <v>1</v>
      </c>
      <c r="D4291">
        <v>110.21</v>
      </c>
      <c r="E4291">
        <v>124</v>
      </c>
    </row>
    <row r="4292" spans="1:5" x14ac:dyDescent="0.3">
      <c r="A4292" t="s">
        <v>25</v>
      </c>
      <c r="B4292" s="1">
        <v>44709</v>
      </c>
      <c r="C4292">
        <v>1</v>
      </c>
      <c r="D4292">
        <v>147.4</v>
      </c>
      <c r="E4292">
        <v>177</v>
      </c>
    </row>
    <row r="4293" spans="1:5" x14ac:dyDescent="0.3">
      <c r="A4293" t="s">
        <v>12</v>
      </c>
      <c r="B4293" s="1">
        <v>44709</v>
      </c>
      <c r="C4293">
        <v>1</v>
      </c>
      <c r="D4293">
        <v>56.1</v>
      </c>
      <c r="E4293">
        <v>70</v>
      </c>
    </row>
    <row r="4294" spans="1:5" x14ac:dyDescent="0.3">
      <c r="A4294" t="s">
        <v>47</v>
      </c>
      <c r="B4294" s="1">
        <v>44709</v>
      </c>
      <c r="C4294">
        <v>1</v>
      </c>
      <c r="D4294">
        <v>43</v>
      </c>
      <c r="E4294">
        <v>66</v>
      </c>
    </row>
    <row r="4295" spans="1:5" x14ac:dyDescent="0.3">
      <c r="A4295" t="s">
        <v>12</v>
      </c>
      <c r="B4295" s="1">
        <v>44709</v>
      </c>
      <c r="C4295">
        <v>1</v>
      </c>
      <c r="D4295">
        <v>56.98</v>
      </c>
      <c r="E4295">
        <v>72</v>
      </c>
    </row>
    <row r="4296" spans="1:5" x14ac:dyDescent="0.3">
      <c r="A4296" t="s">
        <v>103</v>
      </c>
      <c r="B4296" s="1">
        <v>44709</v>
      </c>
      <c r="C4296">
        <v>1</v>
      </c>
      <c r="D4296">
        <v>46.32</v>
      </c>
      <c r="E4296">
        <v>72</v>
      </c>
    </row>
    <row r="4297" spans="1:5" x14ac:dyDescent="0.3">
      <c r="A4297" t="s">
        <v>100</v>
      </c>
      <c r="B4297" s="1">
        <v>44709</v>
      </c>
      <c r="C4297">
        <v>1</v>
      </c>
      <c r="D4297">
        <v>35.49</v>
      </c>
      <c r="E4297">
        <v>55</v>
      </c>
    </row>
    <row r="4298" spans="1:5" x14ac:dyDescent="0.3">
      <c r="A4298" t="s">
        <v>9</v>
      </c>
      <c r="B4298" s="1">
        <v>44709</v>
      </c>
      <c r="C4298">
        <v>1</v>
      </c>
      <c r="D4298">
        <v>80.69</v>
      </c>
      <c r="E4298">
        <v>100</v>
      </c>
    </row>
    <row r="4299" spans="1:5" x14ac:dyDescent="0.3">
      <c r="A4299" t="s">
        <v>115</v>
      </c>
      <c r="B4299" s="1">
        <v>44709</v>
      </c>
      <c r="C4299">
        <v>1</v>
      </c>
      <c r="D4299">
        <v>71.02</v>
      </c>
      <c r="E4299">
        <v>88</v>
      </c>
    </row>
    <row r="4300" spans="1:5" x14ac:dyDescent="0.3">
      <c r="A4300" t="s">
        <v>115</v>
      </c>
      <c r="B4300" s="1">
        <v>44709</v>
      </c>
      <c r="C4300">
        <v>1</v>
      </c>
      <c r="D4300">
        <v>71.31</v>
      </c>
      <c r="E4300">
        <v>88</v>
      </c>
    </row>
    <row r="4301" spans="1:5" x14ac:dyDescent="0.3">
      <c r="A4301" t="s">
        <v>141</v>
      </c>
      <c r="B4301" s="1">
        <v>44709</v>
      </c>
      <c r="C4301">
        <v>4</v>
      </c>
      <c r="D4301">
        <v>12.2</v>
      </c>
      <c r="E4301">
        <v>20</v>
      </c>
    </row>
    <row r="4302" spans="1:5" x14ac:dyDescent="0.3">
      <c r="A4302" t="s">
        <v>147</v>
      </c>
      <c r="B4302" s="1">
        <v>44709</v>
      </c>
      <c r="C4302">
        <v>1</v>
      </c>
      <c r="D4302">
        <v>136.94999999999999</v>
      </c>
      <c r="E4302">
        <v>194</v>
      </c>
    </row>
    <row r="4303" spans="1:5" x14ac:dyDescent="0.3">
      <c r="A4303" t="s">
        <v>77</v>
      </c>
      <c r="B4303" s="1">
        <v>44709</v>
      </c>
      <c r="C4303">
        <v>1</v>
      </c>
      <c r="D4303">
        <v>60.62</v>
      </c>
      <c r="E4303">
        <v>76</v>
      </c>
    </row>
    <row r="4304" spans="1:5" x14ac:dyDescent="0.3">
      <c r="A4304" t="s">
        <v>119</v>
      </c>
      <c r="B4304" s="1">
        <v>44709</v>
      </c>
      <c r="C4304">
        <v>3.5714299999999997E-2</v>
      </c>
      <c r="D4304">
        <v>656.19</v>
      </c>
      <c r="E4304">
        <v>722</v>
      </c>
    </row>
    <row r="4305" spans="1:5" x14ac:dyDescent="0.3">
      <c r="A4305" t="s">
        <v>56</v>
      </c>
      <c r="B4305" s="1">
        <v>44709</v>
      </c>
      <c r="C4305">
        <v>1</v>
      </c>
      <c r="D4305">
        <v>44.9</v>
      </c>
      <c r="E4305">
        <v>69</v>
      </c>
    </row>
    <row r="4306" spans="1:5" x14ac:dyDescent="0.3">
      <c r="A4306" t="s">
        <v>56</v>
      </c>
      <c r="B4306" s="1">
        <v>44709</v>
      </c>
      <c r="C4306">
        <v>1</v>
      </c>
      <c r="D4306">
        <v>43.97</v>
      </c>
      <c r="E4306">
        <v>67</v>
      </c>
    </row>
    <row r="4307" spans="1:5" x14ac:dyDescent="0.3">
      <c r="A4307" t="s">
        <v>87</v>
      </c>
      <c r="B4307" s="1">
        <v>44709</v>
      </c>
      <c r="C4307">
        <v>1</v>
      </c>
      <c r="D4307">
        <v>323.66000000000003</v>
      </c>
      <c r="E4307">
        <v>370</v>
      </c>
    </row>
    <row r="4308" spans="1:5" x14ac:dyDescent="0.3">
      <c r="A4308" t="s">
        <v>24</v>
      </c>
      <c r="B4308" s="1">
        <v>44709</v>
      </c>
      <c r="C4308">
        <v>1</v>
      </c>
      <c r="D4308">
        <v>107.76</v>
      </c>
      <c r="E4308">
        <v>127</v>
      </c>
    </row>
    <row r="4309" spans="1:5" x14ac:dyDescent="0.3">
      <c r="A4309" t="s">
        <v>17</v>
      </c>
      <c r="B4309" s="1">
        <v>44709</v>
      </c>
      <c r="C4309">
        <v>1</v>
      </c>
      <c r="D4309">
        <v>390.54</v>
      </c>
      <c r="E4309">
        <v>469</v>
      </c>
    </row>
    <row r="4310" spans="1:5" x14ac:dyDescent="0.3">
      <c r="A4310" t="s">
        <v>115</v>
      </c>
      <c r="B4310" s="1">
        <v>44709</v>
      </c>
      <c r="C4310">
        <v>1</v>
      </c>
      <c r="D4310">
        <v>71.31</v>
      </c>
      <c r="E4310">
        <v>88</v>
      </c>
    </row>
    <row r="4311" spans="1:5" x14ac:dyDescent="0.3">
      <c r="A4311" t="s">
        <v>45</v>
      </c>
      <c r="B4311" s="1">
        <v>44709</v>
      </c>
      <c r="C4311">
        <v>6</v>
      </c>
      <c r="D4311">
        <v>26.16</v>
      </c>
      <c r="E4311">
        <v>42</v>
      </c>
    </row>
    <row r="4312" spans="1:5" x14ac:dyDescent="0.3">
      <c r="A4312" t="s">
        <v>57</v>
      </c>
      <c r="B4312" s="1">
        <v>44709</v>
      </c>
      <c r="C4312">
        <v>1</v>
      </c>
      <c r="D4312">
        <v>233.74</v>
      </c>
      <c r="E4312">
        <v>274</v>
      </c>
    </row>
    <row r="4313" spans="1:5" x14ac:dyDescent="0.3">
      <c r="A4313" t="s">
        <v>65</v>
      </c>
      <c r="B4313" s="1">
        <v>44709</v>
      </c>
      <c r="C4313">
        <v>1</v>
      </c>
      <c r="D4313">
        <v>187.33</v>
      </c>
      <c r="E4313">
        <v>220</v>
      </c>
    </row>
    <row r="4314" spans="1:5" x14ac:dyDescent="0.3">
      <c r="A4314" t="s">
        <v>26</v>
      </c>
      <c r="B4314" s="1">
        <v>44709</v>
      </c>
      <c r="C4314">
        <v>0.2</v>
      </c>
      <c r="D4314">
        <v>986.58</v>
      </c>
      <c r="E4314">
        <v>1234</v>
      </c>
    </row>
    <row r="4315" spans="1:5" x14ac:dyDescent="0.3">
      <c r="A4315" t="s">
        <v>18</v>
      </c>
      <c r="B4315" s="1">
        <v>44709</v>
      </c>
      <c r="C4315">
        <v>1</v>
      </c>
      <c r="D4315">
        <v>42</v>
      </c>
      <c r="E4315">
        <v>64</v>
      </c>
    </row>
    <row r="4316" spans="1:5" x14ac:dyDescent="0.3">
      <c r="A4316" t="s">
        <v>48</v>
      </c>
      <c r="B4316" s="1">
        <v>44709</v>
      </c>
      <c r="C4316">
        <v>1</v>
      </c>
      <c r="D4316">
        <v>38.82</v>
      </c>
      <c r="E4316">
        <v>61</v>
      </c>
    </row>
    <row r="4317" spans="1:5" x14ac:dyDescent="0.3">
      <c r="A4317" t="s">
        <v>31</v>
      </c>
      <c r="B4317" s="1">
        <v>44709</v>
      </c>
      <c r="C4317">
        <v>1</v>
      </c>
      <c r="D4317">
        <v>13.05</v>
      </c>
      <c r="E4317">
        <v>18</v>
      </c>
    </row>
    <row r="4318" spans="1:5" x14ac:dyDescent="0.3">
      <c r="A4318" t="s">
        <v>44</v>
      </c>
      <c r="B4318" s="1">
        <v>44709</v>
      </c>
      <c r="C4318">
        <v>1</v>
      </c>
      <c r="D4318">
        <v>65.459999999999994</v>
      </c>
      <c r="E4318">
        <v>102</v>
      </c>
    </row>
    <row r="4319" spans="1:5" x14ac:dyDescent="0.3">
      <c r="A4319" t="s">
        <v>44</v>
      </c>
      <c r="B4319" s="1">
        <v>44709</v>
      </c>
      <c r="C4319">
        <v>1</v>
      </c>
      <c r="D4319">
        <v>65.459999999999994</v>
      </c>
      <c r="E4319">
        <v>102</v>
      </c>
    </row>
    <row r="4320" spans="1:5" x14ac:dyDescent="0.3">
      <c r="A4320" t="s">
        <v>22</v>
      </c>
      <c r="B4320" s="1">
        <v>44709</v>
      </c>
      <c r="C4320">
        <v>1</v>
      </c>
      <c r="D4320">
        <v>30.3</v>
      </c>
      <c r="E4320">
        <v>49</v>
      </c>
    </row>
    <row r="4321" spans="1:5" x14ac:dyDescent="0.3">
      <c r="A4321" t="s">
        <v>104</v>
      </c>
      <c r="B4321" s="1">
        <v>44709</v>
      </c>
      <c r="C4321">
        <v>1</v>
      </c>
      <c r="D4321">
        <v>45.33</v>
      </c>
      <c r="E4321">
        <v>58</v>
      </c>
    </row>
    <row r="4322" spans="1:5" x14ac:dyDescent="0.3">
      <c r="A4322" t="s">
        <v>104</v>
      </c>
      <c r="B4322" s="1">
        <v>44709</v>
      </c>
      <c r="C4322">
        <v>1</v>
      </c>
      <c r="D4322">
        <v>45.33</v>
      </c>
      <c r="E4322">
        <v>58</v>
      </c>
    </row>
    <row r="4323" spans="1:5" x14ac:dyDescent="0.3">
      <c r="A4323" t="s">
        <v>47</v>
      </c>
      <c r="B4323" s="1">
        <v>44709</v>
      </c>
      <c r="C4323">
        <v>1</v>
      </c>
      <c r="D4323">
        <v>43</v>
      </c>
      <c r="E4323">
        <v>66</v>
      </c>
    </row>
    <row r="4324" spans="1:5" x14ac:dyDescent="0.3">
      <c r="A4324" t="s">
        <v>47</v>
      </c>
      <c r="B4324" s="1">
        <v>44709</v>
      </c>
      <c r="C4324">
        <v>1</v>
      </c>
      <c r="D4324">
        <v>43</v>
      </c>
      <c r="E4324">
        <v>66</v>
      </c>
    </row>
    <row r="4325" spans="1:5" x14ac:dyDescent="0.3">
      <c r="A4325" t="s">
        <v>122</v>
      </c>
      <c r="B4325" s="1">
        <v>44709</v>
      </c>
      <c r="C4325">
        <v>1</v>
      </c>
      <c r="D4325">
        <v>20.39</v>
      </c>
      <c r="E4325">
        <v>25</v>
      </c>
    </row>
    <row r="4326" spans="1:5" x14ac:dyDescent="0.3">
      <c r="A4326" t="s">
        <v>122</v>
      </c>
      <c r="B4326" s="1">
        <v>44709</v>
      </c>
      <c r="C4326">
        <v>1</v>
      </c>
      <c r="D4326">
        <v>20.39</v>
      </c>
      <c r="E4326">
        <v>25</v>
      </c>
    </row>
    <row r="4327" spans="1:5" x14ac:dyDescent="0.3">
      <c r="A4327" t="s">
        <v>50</v>
      </c>
      <c r="B4327" s="1">
        <v>44709</v>
      </c>
      <c r="C4327">
        <v>1</v>
      </c>
      <c r="D4327">
        <v>44.86</v>
      </c>
      <c r="E4327">
        <v>56</v>
      </c>
    </row>
    <row r="4328" spans="1:5" x14ac:dyDescent="0.3">
      <c r="A4328" t="s">
        <v>50</v>
      </c>
      <c r="B4328" s="1">
        <v>44709</v>
      </c>
      <c r="C4328">
        <v>1</v>
      </c>
      <c r="D4328">
        <v>43.92</v>
      </c>
      <c r="E4328">
        <v>55</v>
      </c>
    </row>
    <row r="4329" spans="1:5" x14ac:dyDescent="0.3">
      <c r="A4329" t="s">
        <v>17</v>
      </c>
      <c r="B4329" s="1">
        <v>44709</v>
      </c>
      <c r="C4329">
        <v>1</v>
      </c>
      <c r="D4329">
        <v>390.54</v>
      </c>
      <c r="E4329">
        <v>469</v>
      </c>
    </row>
    <row r="4330" spans="1:5" x14ac:dyDescent="0.3">
      <c r="A4330" t="s">
        <v>92</v>
      </c>
      <c r="B4330" s="1">
        <v>44709</v>
      </c>
      <c r="C4330">
        <v>3</v>
      </c>
      <c r="D4330">
        <v>6.3</v>
      </c>
      <c r="E4330">
        <v>9</v>
      </c>
    </row>
    <row r="4331" spans="1:5" x14ac:dyDescent="0.3">
      <c r="A4331" t="s">
        <v>121</v>
      </c>
      <c r="B4331" s="1">
        <v>44709</v>
      </c>
      <c r="C4331">
        <v>1</v>
      </c>
      <c r="D4331">
        <v>11.41</v>
      </c>
      <c r="E4331">
        <v>19</v>
      </c>
    </row>
    <row r="4332" spans="1:5" x14ac:dyDescent="0.3">
      <c r="A4332" t="s">
        <v>107</v>
      </c>
      <c r="B4332" s="1">
        <v>44709</v>
      </c>
      <c r="C4332">
        <v>1</v>
      </c>
      <c r="D4332">
        <v>70.77</v>
      </c>
      <c r="E4332">
        <v>88</v>
      </c>
    </row>
    <row r="4333" spans="1:5" x14ac:dyDescent="0.3">
      <c r="A4333" t="s">
        <v>8</v>
      </c>
      <c r="B4333" s="1">
        <v>44709</v>
      </c>
      <c r="C4333">
        <v>2</v>
      </c>
      <c r="D4333">
        <v>47.67</v>
      </c>
      <c r="E4333">
        <v>77</v>
      </c>
    </row>
    <row r="4334" spans="1:5" x14ac:dyDescent="0.3">
      <c r="A4334" t="s">
        <v>146</v>
      </c>
      <c r="B4334" s="1">
        <v>44709</v>
      </c>
      <c r="C4334">
        <v>1</v>
      </c>
      <c r="D4334">
        <v>402.29</v>
      </c>
      <c r="E4334">
        <v>451</v>
      </c>
    </row>
    <row r="4335" spans="1:5" x14ac:dyDescent="0.3">
      <c r="A4335" t="s">
        <v>33</v>
      </c>
      <c r="B4335" s="1">
        <v>44709</v>
      </c>
      <c r="C4335">
        <v>1</v>
      </c>
      <c r="D4335">
        <v>20.8</v>
      </c>
      <c r="E4335">
        <v>25</v>
      </c>
    </row>
    <row r="4336" spans="1:5" x14ac:dyDescent="0.3">
      <c r="A4336" t="s">
        <v>33</v>
      </c>
      <c r="B4336" s="1">
        <v>44709</v>
      </c>
      <c r="C4336">
        <v>1</v>
      </c>
      <c r="D4336">
        <v>20.8</v>
      </c>
      <c r="E4336">
        <v>25</v>
      </c>
    </row>
    <row r="4337" spans="1:5" x14ac:dyDescent="0.3">
      <c r="A4337" t="s">
        <v>90</v>
      </c>
      <c r="B4337" s="1">
        <v>44709</v>
      </c>
      <c r="C4337">
        <v>1</v>
      </c>
      <c r="D4337">
        <v>383.81</v>
      </c>
      <c r="E4337">
        <v>480</v>
      </c>
    </row>
    <row r="4338" spans="1:5" x14ac:dyDescent="0.3">
      <c r="A4338" t="s">
        <v>33</v>
      </c>
      <c r="B4338" s="1">
        <v>44709</v>
      </c>
      <c r="C4338">
        <v>1</v>
      </c>
      <c r="D4338">
        <v>20.8</v>
      </c>
      <c r="E4338">
        <v>25</v>
      </c>
    </row>
    <row r="4339" spans="1:5" x14ac:dyDescent="0.3">
      <c r="A4339" t="s">
        <v>33</v>
      </c>
      <c r="B4339" s="1">
        <v>44709</v>
      </c>
      <c r="C4339">
        <v>1</v>
      </c>
      <c r="D4339">
        <v>20.8</v>
      </c>
      <c r="E4339">
        <v>25</v>
      </c>
    </row>
    <row r="4340" spans="1:5" x14ac:dyDescent="0.3">
      <c r="A4340" t="s">
        <v>33</v>
      </c>
      <c r="B4340" s="1">
        <v>44709</v>
      </c>
      <c r="C4340">
        <v>1</v>
      </c>
      <c r="D4340">
        <v>20.8</v>
      </c>
      <c r="E4340">
        <v>25</v>
      </c>
    </row>
    <row r="4341" spans="1:5" x14ac:dyDescent="0.3">
      <c r="A4341" t="s">
        <v>13</v>
      </c>
      <c r="B4341" s="1">
        <v>44709</v>
      </c>
      <c r="C4341">
        <v>1</v>
      </c>
      <c r="D4341">
        <v>119.06</v>
      </c>
      <c r="E4341">
        <v>143</v>
      </c>
    </row>
    <row r="4342" spans="1:5" x14ac:dyDescent="0.3">
      <c r="A4342" t="s">
        <v>143</v>
      </c>
      <c r="B4342" s="1">
        <v>44709</v>
      </c>
      <c r="C4342">
        <v>1</v>
      </c>
      <c r="D4342">
        <v>45.54</v>
      </c>
      <c r="E4342">
        <v>70</v>
      </c>
    </row>
    <row r="4343" spans="1:5" x14ac:dyDescent="0.3">
      <c r="A4343" t="s">
        <v>144</v>
      </c>
      <c r="B4343" s="1">
        <v>44709</v>
      </c>
      <c r="C4343">
        <v>1</v>
      </c>
      <c r="D4343">
        <v>51.32</v>
      </c>
      <c r="E4343">
        <v>73</v>
      </c>
    </row>
    <row r="4344" spans="1:5" x14ac:dyDescent="0.3">
      <c r="A4344" t="s">
        <v>144</v>
      </c>
      <c r="B4344" s="1">
        <v>44709</v>
      </c>
      <c r="C4344">
        <v>1</v>
      </c>
      <c r="D4344">
        <v>51.32</v>
      </c>
      <c r="E4344">
        <v>73</v>
      </c>
    </row>
    <row r="4345" spans="1:5" x14ac:dyDescent="0.3">
      <c r="A4345" t="s">
        <v>144</v>
      </c>
      <c r="B4345" s="1">
        <v>44709</v>
      </c>
      <c r="C4345">
        <v>1</v>
      </c>
      <c r="D4345">
        <v>51.32</v>
      </c>
      <c r="E4345">
        <v>73</v>
      </c>
    </row>
    <row r="4346" spans="1:5" x14ac:dyDescent="0.3">
      <c r="A4346" t="s">
        <v>144</v>
      </c>
      <c r="B4346" s="1">
        <v>44709</v>
      </c>
      <c r="C4346">
        <v>1</v>
      </c>
      <c r="D4346">
        <v>51.32</v>
      </c>
      <c r="E4346">
        <v>73</v>
      </c>
    </row>
    <row r="4347" spans="1:5" x14ac:dyDescent="0.3">
      <c r="A4347" t="s">
        <v>144</v>
      </c>
      <c r="B4347" s="1">
        <v>44709</v>
      </c>
      <c r="C4347">
        <v>1</v>
      </c>
      <c r="D4347">
        <v>51.32</v>
      </c>
      <c r="E4347">
        <v>73</v>
      </c>
    </row>
    <row r="4348" spans="1:5" x14ac:dyDescent="0.3">
      <c r="A4348" t="s">
        <v>6</v>
      </c>
      <c r="B4348" s="1">
        <v>44709</v>
      </c>
      <c r="C4348">
        <v>0.2</v>
      </c>
      <c r="D4348">
        <v>421.52</v>
      </c>
      <c r="E4348">
        <v>527</v>
      </c>
    </row>
    <row r="4349" spans="1:5" x14ac:dyDescent="0.3">
      <c r="A4349" t="s">
        <v>56</v>
      </c>
      <c r="B4349" s="1">
        <v>44709</v>
      </c>
      <c r="C4349">
        <v>1</v>
      </c>
      <c r="D4349">
        <v>43.97</v>
      </c>
      <c r="E4349">
        <v>67</v>
      </c>
    </row>
    <row r="4350" spans="1:5" x14ac:dyDescent="0.3">
      <c r="A4350" t="s">
        <v>23</v>
      </c>
      <c r="B4350" s="1">
        <v>44709</v>
      </c>
      <c r="C4350">
        <v>1</v>
      </c>
      <c r="D4350">
        <v>110.21</v>
      </c>
      <c r="E4350">
        <v>124</v>
      </c>
    </row>
    <row r="4351" spans="1:5" x14ac:dyDescent="0.3">
      <c r="A4351" t="s">
        <v>45</v>
      </c>
      <c r="B4351" s="1">
        <v>44709</v>
      </c>
      <c r="C4351">
        <v>1</v>
      </c>
      <c r="D4351">
        <v>28.85</v>
      </c>
      <c r="E4351">
        <v>47</v>
      </c>
    </row>
    <row r="4352" spans="1:5" x14ac:dyDescent="0.3">
      <c r="A4352" t="s">
        <v>20</v>
      </c>
      <c r="B4352" s="1">
        <v>44709</v>
      </c>
      <c r="C4352">
        <v>1</v>
      </c>
      <c r="D4352">
        <v>22.62</v>
      </c>
      <c r="E4352">
        <v>29</v>
      </c>
    </row>
    <row r="4353" spans="1:5" x14ac:dyDescent="0.3">
      <c r="A4353" t="s">
        <v>20</v>
      </c>
      <c r="B4353" s="1">
        <v>44709</v>
      </c>
      <c r="C4353">
        <v>1</v>
      </c>
      <c r="D4353">
        <v>22.62</v>
      </c>
      <c r="E4353">
        <v>29</v>
      </c>
    </row>
    <row r="4354" spans="1:5" x14ac:dyDescent="0.3">
      <c r="A4354" t="s">
        <v>20</v>
      </c>
      <c r="B4354" s="1">
        <v>44709</v>
      </c>
      <c r="C4354">
        <v>1</v>
      </c>
      <c r="D4354">
        <v>22.62</v>
      </c>
      <c r="E4354">
        <v>29</v>
      </c>
    </row>
    <row r="4355" spans="1:5" x14ac:dyDescent="0.3">
      <c r="A4355" t="s">
        <v>69</v>
      </c>
      <c r="B4355" s="1">
        <v>44709</v>
      </c>
      <c r="C4355">
        <v>1</v>
      </c>
      <c r="D4355">
        <v>19.989999999999998</v>
      </c>
      <c r="E4355">
        <v>24</v>
      </c>
    </row>
    <row r="4356" spans="1:5" x14ac:dyDescent="0.3">
      <c r="A4356" t="s">
        <v>60</v>
      </c>
      <c r="B4356" s="1">
        <v>44709</v>
      </c>
      <c r="C4356">
        <v>1</v>
      </c>
      <c r="D4356">
        <v>56.76</v>
      </c>
      <c r="E4356">
        <v>71</v>
      </c>
    </row>
    <row r="4357" spans="1:5" x14ac:dyDescent="0.3">
      <c r="A4357" t="s">
        <v>60</v>
      </c>
      <c r="B4357" s="1">
        <v>44709</v>
      </c>
      <c r="C4357">
        <v>1</v>
      </c>
      <c r="D4357">
        <v>56.76</v>
      </c>
      <c r="E4357">
        <v>71</v>
      </c>
    </row>
    <row r="4358" spans="1:5" x14ac:dyDescent="0.3">
      <c r="A4358" t="s">
        <v>9</v>
      </c>
      <c r="B4358" s="1">
        <v>44709</v>
      </c>
      <c r="C4358">
        <v>1</v>
      </c>
      <c r="D4358">
        <v>81.91</v>
      </c>
      <c r="E4358">
        <v>99</v>
      </c>
    </row>
    <row r="4359" spans="1:5" x14ac:dyDescent="0.3">
      <c r="A4359" t="s">
        <v>9</v>
      </c>
      <c r="B4359" s="1">
        <v>44709</v>
      </c>
      <c r="C4359">
        <v>1</v>
      </c>
      <c r="D4359">
        <v>81.91</v>
      </c>
      <c r="E4359">
        <v>99</v>
      </c>
    </row>
    <row r="4360" spans="1:5" x14ac:dyDescent="0.3">
      <c r="A4360" t="s">
        <v>122</v>
      </c>
      <c r="B4360" s="1">
        <v>44709</v>
      </c>
      <c r="C4360">
        <v>1</v>
      </c>
      <c r="D4360">
        <v>20.39</v>
      </c>
      <c r="E4360">
        <v>25</v>
      </c>
    </row>
    <row r="4361" spans="1:5" x14ac:dyDescent="0.3">
      <c r="A4361" t="s">
        <v>71</v>
      </c>
      <c r="B4361" s="1">
        <v>44709</v>
      </c>
      <c r="C4361">
        <v>1</v>
      </c>
      <c r="D4361">
        <v>57.59</v>
      </c>
      <c r="E4361">
        <v>82</v>
      </c>
    </row>
    <row r="4362" spans="1:5" x14ac:dyDescent="0.3">
      <c r="A4362" t="s">
        <v>71</v>
      </c>
      <c r="B4362" s="1">
        <v>44709</v>
      </c>
      <c r="C4362">
        <v>1</v>
      </c>
      <c r="D4362">
        <v>57.59</v>
      </c>
      <c r="E4362">
        <v>82</v>
      </c>
    </row>
    <row r="4363" spans="1:5" x14ac:dyDescent="0.3">
      <c r="A4363" t="s">
        <v>120</v>
      </c>
      <c r="B4363" s="1">
        <v>44709</v>
      </c>
      <c r="C4363">
        <v>1</v>
      </c>
      <c r="D4363">
        <v>132.07</v>
      </c>
      <c r="E4363">
        <v>181</v>
      </c>
    </row>
    <row r="4364" spans="1:5" x14ac:dyDescent="0.3">
      <c r="A4364" t="s">
        <v>98</v>
      </c>
      <c r="B4364" s="1">
        <v>44709</v>
      </c>
      <c r="C4364">
        <v>1</v>
      </c>
      <c r="D4364">
        <v>111.21</v>
      </c>
      <c r="E4364">
        <v>134</v>
      </c>
    </row>
    <row r="4365" spans="1:5" x14ac:dyDescent="0.3">
      <c r="A4365" t="s">
        <v>129</v>
      </c>
      <c r="B4365" s="1">
        <v>44709</v>
      </c>
      <c r="C4365">
        <v>0.2</v>
      </c>
      <c r="D4365">
        <v>495.41</v>
      </c>
      <c r="E4365">
        <v>596</v>
      </c>
    </row>
    <row r="4366" spans="1:5" x14ac:dyDescent="0.3">
      <c r="A4366" t="s">
        <v>122</v>
      </c>
      <c r="B4366" s="1">
        <v>44709</v>
      </c>
      <c r="C4366">
        <v>1</v>
      </c>
      <c r="D4366">
        <v>21.26</v>
      </c>
      <c r="E4366">
        <v>26</v>
      </c>
    </row>
    <row r="4367" spans="1:5" x14ac:dyDescent="0.3">
      <c r="A4367" t="s">
        <v>16</v>
      </c>
      <c r="B4367" s="1">
        <v>44709</v>
      </c>
      <c r="C4367">
        <v>1</v>
      </c>
      <c r="D4367">
        <v>45.71</v>
      </c>
      <c r="E4367">
        <v>72</v>
      </c>
    </row>
    <row r="4368" spans="1:5" x14ac:dyDescent="0.3">
      <c r="A4368" t="s">
        <v>88</v>
      </c>
      <c r="B4368" s="1">
        <v>44709</v>
      </c>
      <c r="C4368">
        <v>1</v>
      </c>
      <c r="D4368">
        <v>132</v>
      </c>
      <c r="E4368">
        <v>202</v>
      </c>
    </row>
    <row r="4369" spans="1:5" x14ac:dyDescent="0.3">
      <c r="A4369" t="s">
        <v>106</v>
      </c>
      <c r="B4369" s="1">
        <v>44709</v>
      </c>
      <c r="C4369">
        <v>1</v>
      </c>
      <c r="D4369">
        <v>41.14</v>
      </c>
      <c r="E4369">
        <v>51</v>
      </c>
    </row>
    <row r="4370" spans="1:5" x14ac:dyDescent="0.3">
      <c r="A4370" t="s">
        <v>55</v>
      </c>
      <c r="B4370" s="1">
        <v>44709</v>
      </c>
      <c r="C4370">
        <v>1</v>
      </c>
      <c r="D4370">
        <v>77.42</v>
      </c>
      <c r="E4370">
        <v>94</v>
      </c>
    </row>
    <row r="4371" spans="1:5" x14ac:dyDescent="0.3">
      <c r="A4371" t="s">
        <v>77</v>
      </c>
      <c r="B4371" s="1">
        <v>44709</v>
      </c>
      <c r="C4371">
        <v>1</v>
      </c>
      <c r="D4371">
        <v>60.68</v>
      </c>
      <c r="E4371">
        <v>76</v>
      </c>
    </row>
    <row r="4372" spans="1:5" x14ac:dyDescent="0.3">
      <c r="A4372" t="s">
        <v>66</v>
      </c>
      <c r="B4372" s="1">
        <v>44709</v>
      </c>
      <c r="C4372">
        <v>1</v>
      </c>
      <c r="D4372">
        <v>30.6</v>
      </c>
      <c r="E4372">
        <v>36</v>
      </c>
    </row>
    <row r="4373" spans="1:5" x14ac:dyDescent="0.3">
      <c r="A4373" t="s">
        <v>89</v>
      </c>
      <c r="B4373" s="1">
        <v>44709</v>
      </c>
      <c r="C4373">
        <v>1</v>
      </c>
      <c r="D4373">
        <v>80.69</v>
      </c>
      <c r="E4373">
        <v>117</v>
      </c>
    </row>
    <row r="4374" spans="1:5" x14ac:dyDescent="0.3">
      <c r="A4374" t="s">
        <v>47</v>
      </c>
      <c r="B4374" s="1">
        <v>44709</v>
      </c>
      <c r="C4374">
        <v>1</v>
      </c>
      <c r="D4374">
        <v>42.85</v>
      </c>
      <c r="E4374">
        <v>67</v>
      </c>
    </row>
    <row r="4375" spans="1:5" x14ac:dyDescent="0.3">
      <c r="A4375" t="s">
        <v>39</v>
      </c>
      <c r="B4375" s="1">
        <v>44709</v>
      </c>
      <c r="C4375">
        <v>2</v>
      </c>
      <c r="D4375">
        <v>9.9499999999999993</v>
      </c>
      <c r="E4375">
        <v>17</v>
      </c>
    </row>
    <row r="4376" spans="1:5" x14ac:dyDescent="0.3">
      <c r="A4376" t="s">
        <v>66</v>
      </c>
      <c r="B4376" s="1">
        <v>44709</v>
      </c>
      <c r="C4376">
        <v>1</v>
      </c>
      <c r="D4376">
        <v>31.08</v>
      </c>
      <c r="E4376">
        <v>36</v>
      </c>
    </row>
    <row r="4377" spans="1:5" x14ac:dyDescent="0.3">
      <c r="A4377" t="s">
        <v>47</v>
      </c>
      <c r="B4377" s="1">
        <v>44709</v>
      </c>
      <c r="C4377">
        <v>1</v>
      </c>
      <c r="D4377">
        <v>42.85</v>
      </c>
      <c r="E4377">
        <v>67</v>
      </c>
    </row>
    <row r="4378" spans="1:5" x14ac:dyDescent="0.3">
      <c r="A4378" t="s">
        <v>21</v>
      </c>
      <c r="B4378" s="1">
        <v>44709</v>
      </c>
      <c r="C4378">
        <v>1</v>
      </c>
      <c r="D4378">
        <v>184.57</v>
      </c>
      <c r="E4378">
        <v>253</v>
      </c>
    </row>
    <row r="4379" spans="1:5" x14ac:dyDescent="0.3">
      <c r="A4379" t="s">
        <v>122</v>
      </c>
      <c r="B4379" s="1">
        <v>44709</v>
      </c>
      <c r="C4379">
        <v>1</v>
      </c>
      <c r="D4379">
        <v>20.86</v>
      </c>
      <c r="E4379">
        <v>26</v>
      </c>
    </row>
    <row r="4380" spans="1:5" x14ac:dyDescent="0.3">
      <c r="A4380" t="s">
        <v>115</v>
      </c>
      <c r="B4380" s="1">
        <v>44709</v>
      </c>
      <c r="C4380">
        <v>1</v>
      </c>
      <c r="D4380">
        <v>69.849999999999994</v>
      </c>
      <c r="E4380">
        <v>88</v>
      </c>
    </row>
    <row r="4381" spans="1:5" x14ac:dyDescent="0.3">
      <c r="A4381" t="s">
        <v>72</v>
      </c>
      <c r="B4381" s="1">
        <v>44709</v>
      </c>
      <c r="C4381">
        <v>1</v>
      </c>
      <c r="D4381">
        <v>558.1</v>
      </c>
      <c r="E4381">
        <v>737</v>
      </c>
    </row>
    <row r="4382" spans="1:5" x14ac:dyDescent="0.3">
      <c r="A4382" t="s">
        <v>147</v>
      </c>
      <c r="B4382" s="1">
        <v>44709</v>
      </c>
      <c r="C4382">
        <v>1</v>
      </c>
      <c r="D4382">
        <v>135.37</v>
      </c>
      <c r="E4382">
        <v>189</v>
      </c>
    </row>
    <row r="4383" spans="1:5" x14ac:dyDescent="0.3">
      <c r="A4383" t="s">
        <v>69</v>
      </c>
      <c r="B4383" s="1">
        <v>44709</v>
      </c>
      <c r="C4383">
        <v>1</v>
      </c>
      <c r="D4383">
        <v>19.989999999999998</v>
      </c>
      <c r="E4383">
        <v>24</v>
      </c>
    </row>
    <row r="4384" spans="1:5" x14ac:dyDescent="0.3">
      <c r="A4384" t="s">
        <v>10</v>
      </c>
      <c r="B4384" s="1">
        <v>44709</v>
      </c>
      <c r="C4384">
        <v>1</v>
      </c>
      <c r="D4384">
        <v>11.33</v>
      </c>
      <c r="E4384">
        <v>13</v>
      </c>
    </row>
    <row r="4385" spans="1:5" x14ac:dyDescent="0.3">
      <c r="A4385" t="s">
        <v>10</v>
      </c>
      <c r="B4385" s="1">
        <v>44709</v>
      </c>
      <c r="C4385">
        <v>1</v>
      </c>
      <c r="D4385">
        <v>11.33</v>
      </c>
      <c r="E4385">
        <v>13</v>
      </c>
    </row>
    <row r="4386" spans="1:5" x14ac:dyDescent="0.3">
      <c r="A4386" t="s">
        <v>45</v>
      </c>
      <c r="B4386" s="1">
        <v>44709</v>
      </c>
      <c r="C4386">
        <v>3</v>
      </c>
      <c r="D4386">
        <v>28.85</v>
      </c>
      <c r="E4386">
        <v>47</v>
      </c>
    </row>
    <row r="4387" spans="1:5" x14ac:dyDescent="0.3">
      <c r="A4387" t="s">
        <v>20</v>
      </c>
      <c r="B4387" s="1">
        <v>44709</v>
      </c>
      <c r="C4387">
        <v>1</v>
      </c>
      <c r="D4387">
        <v>19.71</v>
      </c>
      <c r="E4387">
        <v>25</v>
      </c>
    </row>
    <row r="4388" spans="1:5" x14ac:dyDescent="0.3">
      <c r="A4388" t="s">
        <v>20</v>
      </c>
      <c r="B4388" s="1">
        <v>44709</v>
      </c>
      <c r="C4388">
        <v>1</v>
      </c>
      <c r="D4388">
        <v>19.71</v>
      </c>
      <c r="E4388">
        <v>25</v>
      </c>
    </row>
    <row r="4389" spans="1:5" x14ac:dyDescent="0.3">
      <c r="A4389" t="s">
        <v>20</v>
      </c>
      <c r="B4389" s="1">
        <v>44709</v>
      </c>
      <c r="C4389">
        <v>1</v>
      </c>
      <c r="D4389">
        <v>19.71</v>
      </c>
      <c r="E4389">
        <v>25</v>
      </c>
    </row>
    <row r="4390" spans="1:5" x14ac:dyDescent="0.3">
      <c r="A4390" t="s">
        <v>28</v>
      </c>
      <c r="B4390" s="1">
        <v>44709</v>
      </c>
      <c r="C4390">
        <v>1</v>
      </c>
      <c r="D4390">
        <v>122.75</v>
      </c>
      <c r="E4390">
        <v>174</v>
      </c>
    </row>
    <row r="4391" spans="1:5" x14ac:dyDescent="0.3">
      <c r="A4391" t="s">
        <v>139</v>
      </c>
      <c r="B4391" s="1">
        <v>44709</v>
      </c>
      <c r="C4391">
        <v>1</v>
      </c>
      <c r="D4391">
        <v>24.18</v>
      </c>
      <c r="E4391">
        <v>40</v>
      </c>
    </row>
    <row r="4392" spans="1:5" x14ac:dyDescent="0.3">
      <c r="A4392" t="s">
        <v>113</v>
      </c>
      <c r="B4392" s="1">
        <v>44709</v>
      </c>
      <c r="C4392">
        <v>1</v>
      </c>
      <c r="D4392">
        <v>125.56</v>
      </c>
      <c r="E4392">
        <v>175</v>
      </c>
    </row>
    <row r="4393" spans="1:5" x14ac:dyDescent="0.3">
      <c r="A4393" t="s">
        <v>23</v>
      </c>
      <c r="B4393" s="1">
        <v>44709</v>
      </c>
      <c r="C4393">
        <v>1</v>
      </c>
      <c r="D4393">
        <v>109.41</v>
      </c>
      <c r="E4393">
        <v>123</v>
      </c>
    </row>
    <row r="4394" spans="1:5" x14ac:dyDescent="0.3">
      <c r="A4394" t="s">
        <v>57</v>
      </c>
      <c r="B4394" s="1">
        <v>44709</v>
      </c>
      <c r="C4394">
        <v>1</v>
      </c>
      <c r="D4394">
        <v>225.2</v>
      </c>
      <c r="E4394">
        <v>264</v>
      </c>
    </row>
    <row r="4395" spans="1:5" x14ac:dyDescent="0.3">
      <c r="A4395" t="s">
        <v>25</v>
      </c>
      <c r="B4395" s="1">
        <v>44709</v>
      </c>
      <c r="C4395">
        <v>1</v>
      </c>
      <c r="D4395">
        <v>147.18</v>
      </c>
      <c r="E4395">
        <v>176</v>
      </c>
    </row>
    <row r="4396" spans="1:5" x14ac:dyDescent="0.3">
      <c r="A4396" t="s">
        <v>79</v>
      </c>
      <c r="B4396" s="1">
        <v>44709</v>
      </c>
      <c r="C4396">
        <v>1</v>
      </c>
      <c r="D4396">
        <v>148.5</v>
      </c>
      <c r="E4396">
        <v>177</v>
      </c>
    </row>
    <row r="4397" spans="1:5" x14ac:dyDescent="0.3">
      <c r="A4397" t="s">
        <v>153</v>
      </c>
      <c r="B4397" s="1">
        <v>44709</v>
      </c>
      <c r="C4397">
        <v>1</v>
      </c>
      <c r="D4397">
        <v>10.34</v>
      </c>
      <c r="E4397">
        <v>12</v>
      </c>
    </row>
    <row r="4398" spans="1:5" x14ac:dyDescent="0.3">
      <c r="A4398" t="s">
        <v>67</v>
      </c>
      <c r="B4398" s="1">
        <v>44709</v>
      </c>
      <c r="C4398">
        <v>1</v>
      </c>
      <c r="D4398">
        <v>55.04</v>
      </c>
      <c r="E4398">
        <v>79</v>
      </c>
    </row>
    <row r="4399" spans="1:5" x14ac:dyDescent="0.3">
      <c r="A4399" t="s">
        <v>122</v>
      </c>
      <c r="B4399" s="1">
        <v>44709</v>
      </c>
      <c r="C4399">
        <v>1</v>
      </c>
      <c r="D4399">
        <v>20.86</v>
      </c>
      <c r="E4399">
        <v>26</v>
      </c>
    </row>
    <row r="4400" spans="1:5" x14ac:dyDescent="0.3">
      <c r="A4400" t="s">
        <v>106</v>
      </c>
      <c r="B4400" s="1">
        <v>44709</v>
      </c>
      <c r="C4400">
        <v>1</v>
      </c>
      <c r="D4400">
        <v>41.66</v>
      </c>
      <c r="E4400">
        <v>51</v>
      </c>
    </row>
    <row r="4401" spans="1:5" x14ac:dyDescent="0.3">
      <c r="A4401" t="s">
        <v>65</v>
      </c>
      <c r="B4401" s="1">
        <v>44709</v>
      </c>
      <c r="C4401">
        <v>1</v>
      </c>
      <c r="D4401">
        <v>176.42</v>
      </c>
      <c r="E4401">
        <v>207</v>
      </c>
    </row>
    <row r="4402" spans="1:5" x14ac:dyDescent="0.3">
      <c r="A4402" t="s">
        <v>115</v>
      </c>
      <c r="B4402" s="1">
        <v>44709</v>
      </c>
      <c r="C4402">
        <v>1</v>
      </c>
      <c r="D4402">
        <v>69.849999999999994</v>
      </c>
      <c r="E4402">
        <v>88</v>
      </c>
    </row>
    <row r="4403" spans="1:5" x14ac:dyDescent="0.3">
      <c r="A4403" t="s">
        <v>99</v>
      </c>
      <c r="B4403" s="1">
        <v>44709</v>
      </c>
      <c r="C4403">
        <v>1</v>
      </c>
      <c r="D4403">
        <v>64.25</v>
      </c>
      <c r="E4403">
        <v>77</v>
      </c>
    </row>
    <row r="4404" spans="1:5" x14ac:dyDescent="0.3">
      <c r="A4404" t="s">
        <v>7</v>
      </c>
      <c r="B4404" s="1">
        <v>44709</v>
      </c>
      <c r="C4404">
        <v>1</v>
      </c>
      <c r="D4404">
        <v>88.43</v>
      </c>
      <c r="E4404">
        <v>110</v>
      </c>
    </row>
    <row r="4405" spans="1:5" x14ac:dyDescent="0.3">
      <c r="A4405" t="s">
        <v>93</v>
      </c>
      <c r="B4405" s="1">
        <v>44709</v>
      </c>
      <c r="C4405">
        <v>1</v>
      </c>
      <c r="D4405">
        <v>71.05</v>
      </c>
      <c r="E4405">
        <v>106</v>
      </c>
    </row>
    <row r="4406" spans="1:5" x14ac:dyDescent="0.3">
      <c r="A4406" t="s">
        <v>51</v>
      </c>
      <c r="B4406" s="1">
        <v>44709</v>
      </c>
      <c r="C4406">
        <v>4</v>
      </c>
      <c r="D4406">
        <v>2.0499999999999998</v>
      </c>
      <c r="E4406">
        <v>4</v>
      </c>
    </row>
    <row r="4407" spans="1:5" x14ac:dyDescent="0.3">
      <c r="A4407" t="s">
        <v>79</v>
      </c>
      <c r="B4407" s="1">
        <v>44709</v>
      </c>
      <c r="C4407">
        <v>1</v>
      </c>
      <c r="D4407">
        <v>148.5</v>
      </c>
      <c r="E4407">
        <v>180</v>
      </c>
    </row>
    <row r="4408" spans="1:5" x14ac:dyDescent="0.3">
      <c r="A4408" t="s">
        <v>47</v>
      </c>
      <c r="B4408" s="1">
        <v>44709</v>
      </c>
      <c r="C4408">
        <v>1</v>
      </c>
      <c r="D4408">
        <v>43.45</v>
      </c>
      <c r="E4408">
        <v>67</v>
      </c>
    </row>
    <row r="4409" spans="1:5" x14ac:dyDescent="0.3">
      <c r="A4409" t="s">
        <v>23</v>
      </c>
      <c r="B4409" s="1">
        <v>44709</v>
      </c>
      <c r="C4409">
        <v>1</v>
      </c>
      <c r="D4409">
        <v>110.21</v>
      </c>
      <c r="E4409">
        <v>124</v>
      </c>
    </row>
    <row r="4410" spans="1:5" x14ac:dyDescent="0.3">
      <c r="A4410" t="s">
        <v>7</v>
      </c>
      <c r="B4410" s="1">
        <v>44709</v>
      </c>
      <c r="C4410">
        <v>1</v>
      </c>
      <c r="D4410">
        <v>88.43</v>
      </c>
      <c r="E4410">
        <v>106</v>
      </c>
    </row>
    <row r="4411" spans="1:5" x14ac:dyDescent="0.3">
      <c r="A4411" t="s">
        <v>7</v>
      </c>
      <c r="B4411" s="1">
        <v>44709</v>
      </c>
      <c r="C4411">
        <v>1</v>
      </c>
      <c r="D4411">
        <v>88.43</v>
      </c>
      <c r="E4411">
        <v>106</v>
      </c>
    </row>
    <row r="4412" spans="1:5" x14ac:dyDescent="0.3">
      <c r="A4412" t="s">
        <v>65</v>
      </c>
      <c r="B4412" s="1">
        <v>44709</v>
      </c>
      <c r="C4412">
        <v>1</v>
      </c>
      <c r="D4412">
        <v>184.45</v>
      </c>
      <c r="E4412">
        <v>216</v>
      </c>
    </row>
    <row r="4413" spans="1:5" x14ac:dyDescent="0.3">
      <c r="A4413" t="s">
        <v>9</v>
      </c>
      <c r="B4413" s="1">
        <v>44709</v>
      </c>
      <c r="C4413">
        <v>1</v>
      </c>
      <c r="D4413">
        <v>80.69</v>
      </c>
      <c r="E4413">
        <v>100</v>
      </c>
    </row>
    <row r="4414" spans="1:5" x14ac:dyDescent="0.3">
      <c r="A4414" t="s">
        <v>132</v>
      </c>
      <c r="B4414" s="1">
        <v>44709</v>
      </c>
      <c r="C4414">
        <v>1</v>
      </c>
      <c r="D4414">
        <v>58.53</v>
      </c>
      <c r="E4414">
        <v>87</v>
      </c>
    </row>
    <row r="4415" spans="1:5" x14ac:dyDescent="0.3">
      <c r="A4415" t="s">
        <v>17</v>
      </c>
      <c r="B4415" s="1">
        <v>44709</v>
      </c>
      <c r="C4415">
        <v>1</v>
      </c>
      <c r="D4415">
        <v>387.42</v>
      </c>
      <c r="E4415">
        <v>465</v>
      </c>
    </row>
    <row r="4416" spans="1:5" x14ac:dyDescent="0.3">
      <c r="A4416" t="s">
        <v>22</v>
      </c>
      <c r="B4416" s="1">
        <v>44709</v>
      </c>
      <c r="C4416">
        <v>1</v>
      </c>
      <c r="D4416">
        <v>30.3</v>
      </c>
      <c r="E4416">
        <v>49</v>
      </c>
    </row>
    <row r="4417" spans="1:5" x14ac:dyDescent="0.3">
      <c r="A4417" t="s">
        <v>118</v>
      </c>
      <c r="B4417" s="1">
        <v>44709</v>
      </c>
      <c r="C4417">
        <v>1</v>
      </c>
      <c r="D4417">
        <v>10.66</v>
      </c>
      <c r="E4417">
        <v>13</v>
      </c>
    </row>
    <row r="4418" spans="1:5" x14ac:dyDescent="0.3">
      <c r="A4418" t="s">
        <v>103</v>
      </c>
      <c r="B4418" s="1">
        <v>44709</v>
      </c>
      <c r="C4418">
        <v>1</v>
      </c>
      <c r="D4418">
        <v>45.88</v>
      </c>
      <c r="E4418">
        <v>73</v>
      </c>
    </row>
    <row r="4419" spans="1:5" x14ac:dyDescent="0.3">
      <c r="A4419" t="s">
        <v>103</v>
      </c>
      <c r="B4419" s="1">
        <v>44709</v>
      </c>
      <c r="C4419">
        <v>1</v>
      </c>
      <c r="D4419">
        <v>46.32</v>
      </c>
      <c r="E4419">
        <v>72</v>
      </c>
    </row>
    <row r="4420" spans="1:5" x14ac:dyDescent="0.3">
      <c r="A4420" t="s">
        <v>103</v>
      </c>
      <c r="B4420" s="1">
        <v>44709</v>
      </c>
      <c r="C4420">
        <v>1</v>
      </c>
      <c r="D4420">
        <v>46.32</v>
      </c>
      <c r="E4420">
        <v>72</v>
      </c>
    </row>
    <row r="4421" spans="1:5" x14ac:dyDescent="0.3">
      <c r="A4421" t="s">
        <v>54</v>
      </c>
      <c r="B4421" s="1">
        <v>44709</v>
      </c>
      <c r="C4421">
        <v>1</v>
      </c>
      <c r="D4421">
        <v>731.05</v>
      </c>
      <c r="E4421">
        <v>944</v>
      </c>
    </row>
    <row r="4422" spans="1:5" x14ac:dyDescent="0.3">
      <c r="A4422" t="s">
        <v>142</v>
      </c>
      <c r="B4422" s="1">
        <v>44709</v>
      </c>
      <c r="C4422">
        <v>1</v>
      </c>
      <c r="D4422">
        <v>12.86</v>
      </c>
      <c r="E4422">
        <v>15</v>
      </c>
    </row>
    <row r="4423" spans="1:5" x14ac:dyDescent="0.3">
      <c r="A4423" t="s">
        <v>146</v>
      </c>
      <c r="B4423" s="1">
        <v>44709</v>
      </c>
      <c r="C4423">
        <v>1</v>
      </c>
      <c r="D4423">
        <v>411.54</v>
      </c>
      <c r="E4423">
        <v>461</v>
      </c>
    </row>
    <row r="4424" spans="1:5" x14ac:dyDescent="0.3">
      <c r="A4424" t="s">
        <v>10</v>
      </c>
      <c r="B4424" s="1">
        <v>44709</v>
      </c>
      <c r="C4424">
        <v>1</v>
      </c>
      <c r="D4424">
        <v>11.67</v>
      </c>
      <c r="E4424">
        <v>14</v>
      </c>
    </row>
    <row r="4425" spans="1:5" x14ac:dyDescent="0.3">
      <c r="A4425" t="s">
        <v>58</v>
      </c>
      <c r="B4425" s="1">
        <v>44709</v>
      </c>
      <c r="C4425">
        <v>1</v>
      </c>
      <c r="D4425">
        <v>76.739999999999995</v>
      </c>
      <c r="E4425">
        <v>93</v>
      </c>
    </row>
    <row r="4426" spans="1:5" x14ac:dyDescent="0.3">
      <c r="A4426" t="s">
        <v>58</v>
      </c>
      <c r="B4426" s="1">
        <v>44709</v>
      </c>
      <c r="C4426">
        <v>1</v>
      </c>
      <c r="D4426">
        <v>76.739999999999995</v>
      </c>
      <c r="E4426">
        <v>93</v>
      </c>
    </row>
    <row r="4427" spans="1:5" x14ac:dyDescent="0.3">
      <c r="A4427" t="s">
        <v>58</v>
      </c>
      <c r="B4427" s="1">
        <v>44709</v>
      </c>
      <c r="C4427">
        <v>1</v>
      </c>
      <c r="D4427">
        <v>76.739999999999995</v>
      </c>
      <c r="E4427">
        <v>93</v>
      </c>
    </row>
    <row r="4428" spans="1:5" x14ac:dyDescent="0.3">
      <c r="A4428" t="s">
        <v>58</v>
      </c>
      <c r="B4428" s="1">
        <v>44709</v>
      </c>
      <c r="C4428">
        <v>1</v>
      </c>
      <c r="D4428">
        <v>82.25</v>
      </c>
      <c r="E4428">
        <v>99</v>
      </c>
    </row>
    <row r="4429" spans="1:5" x14ac:dyDescent="0.3">
      <c r="A4429" t="s">
        <v>58</v>
      </c>
      <c r="B4429" s="1">
        <v>44709</v>
      </c>
      <c r="C4429">
        <v>1</v>
      </c>
      <c r="D4429">
        <v>82.25</v>
      </c>
      <c r="E4429">
        <v>99</v>
      </c>
    </row>
    <row r="4430" spans="1:5" x14ac:dyDescent="0.3">
      <c r="A4430" t="s">
        <v>51</v>
      </c>
      <c r="B4430" s="1">
        <v>44709</v>
      </c>
      <c r="C4430">
        <v>12</v>
      </c>
      <c r="D4430">
        <v>2.1800000000000002</v>
      </c>
      <c r="E4430">
        <v>4</v>
      </c>
    </row>
    <row r="4431" spans="1:5" x14ac:dyDescent="0.3">
      <c r="A4431" t="s">
        <v>54</v>
      </c>
      <c r="B4431" s="1">
        <v>44709</v>
      </c>
      <c r="C4431">
        <v>1</v>
      </c>
      <c r="D4431">
        <v>731.05</v>
      </c>
      <c r="E4431">
        <v>944</v>
      </c>
    </row>
    <row r="4432" spans="1:5" x14ac:dyDescent="0.3">
      <c r="A4432" t="s">
        <v>7</v>
      </c>
      <c r="B4432" s="1">
        <v>44709</v>
      </c>
      <c r="C4432">
        <v>1</v>
      </c>
      <c r="D4432">
        <v>88.07</v>
      </c>
      <c r="E4432">
        <v>104</v>
      </c>
    </row>
    <row r="4433" spans="1:5" x14ac:dyDescent="0.3">
      <c r="A4433" t="s">
        <v>8</v>
      </c>
      <c r="B4433" s="1">
        <v>44709</v>
      </c>
      <c r="C4433">
        <v>2</v>
      </c>
      <c r="D4433">
        <v>47.67</v>
      </c>
      <c r="E4433">
        <v>77</v>
      </c>
    </row>
    <row r="4434" spans="1:5" x14ac:dyDescent="0.3">
      <c r="A4434" t="s">
        <v>72</v>
      </c>
      <c r="B4434" s="1">
        <v>44709</v>
      </c>
      <c r="C4434">
        <v>1</v>
      </c>
      <c r="D4434">
        <v>558.1</v>
      </c>
      <c r="E4434">
        <v>737</v>
      </c>
    </row>
    <row r="4435" spans="1:5" x14ac:dyDescent="0.3">
      <c r="A4435" t="s">
        <v>54</v>
      </c>
      <c r="B4435" s="1">
        <v>44709</v>
      </c>
      <c r="C4435">
        <v>1</v>
      </c>
      <c r="D4435">
        <v>731.05</v>
      </c>
      <c r="E4435">
        <v>944</v>
      </c>
    </row>
    <row r="4436" spans="1:5" x14ac:dyDescent="0.3">
      <c r="A4436" t="s">
        <v>32</v>
      </c>
      <c r="B4436" s="1">
        <v>44709</v>
      </c>
      <c r="C4436">
        <v>1</v>
      </c>
      <c r="D4436">
        <v>105</v>
      </c>
      <c r="E4436">
        <v>161</v>
      </c>
    </row>
    <row r="4437" spans="1:5" x14ac:dyDescent="0.3">
      <c r="A4437" t="s">
        <v>51</v>
      </c>
      <c r="B4437" s="1">
        <v>44709</v>
      </c>
      <c r="C4437">
        <v>4</v>
      </c>
      <c r="D4437">
        <v>2.0499999999999998</v>
      </c>
      <c r="E4437">
        <v>4</v>
      </c>
    </row>
    <row r="4438" spans="1:5" x14ac:dyDescent="0.3">
      <c r="A4438" t="s">
        <v>100</v>
      </c>
      <c r="B4438" s="1">
        <v>44709</v>
      </c>
      <c r="C4438">
        <v>1</v>
      </c>
      <c r="D4438">
        <v>35.49</v>
      </c>
      <c r="E4438">
        <v>54</v>
      </c>
    </row>
    <row r="4439" spans="1:5" x14ac:dyDescent="0.3">
      <c r="A4439" t="s">
        <v>18</v>
      </c>
      <c r="B4439" s="1">
        <v>44709</v>
      </c>
      <c r="C4439">
        <v>1</v>
      </c>
      <c r="D4439">
        <v>44</v>
      </c>
      <c r="E4439">
        <v>69</v>
      </c>
    </row>
    <row r="4440" spans="1:5" x14ac:dyDescent="0.3">
      <c r="A4440" t="s">
        <v>18</v>
      </c>
      <c r="B4440" s="1">
        <v>44709</v>
      </c>
      <c r="C4440">
        <v>1</v>
      </c>
      <c r="D4440">
        <v>44</v>
      </c>
      <c r="E4440">
        <v>69</v>
      </c>
    </row>
    <row r="4441" spans="1:5" x14ac:dyDescent="0.3">
      <c r="A4441" t="s">
        <v>115</v>
      </c>
      <c r="B4441" s="1">
        <v>44709</v>
      </c>
      <c r="C4441">
        <v>1</v>
      </c>
      <c r="D4441">
        <v>69.849999999999994</v>
      </c>
      <c r="E4441">
        <v>88</v>
      </c>
    </row>
    <row r="4442" spans="1:5" x14ac:dyDescent="0.3">
      <c r="A4442" t="s">
        <v>115</v>
      </c>
      <c r="B4442" s="1">
        <v>44709</v>
      </c>
      <c r="C4442">
        <v>1</v>
      </c>
      <c r="D4442">
        <v>69.849999999999994</v>
      </c>
      <c r="E4442">
        <v>88</v>
      </c>
    </row>
    <row r="4443" spans="1:5" x14ac:dyDescent="0.3">
      <c r="A4443" t="s">
        <v>115</v>
      </c>
      <c r="B4443" s="1">
        <v>44709</v>
      </c>
      <c r="C4443">
        <v>1</v>
      </c>
      <c r="D4443">
        <v>69.849999999999994</v>
      </c>
      <c r="E4443">
        <v>88</v>
      </c>
    </row>
    <row r="4444" spans="1:5" x14ac:dyDescent="0.3">
      <c r="A4444" t="s">
        <v>29</v>
      </c>
      <c r="B4444" s="1">
        <v>44709</v>
      </c>
      <c r="C4444">
        <v>1</v>
      </c>
      <c r="D4444">
        <v>484.85</v>
      </c>
      <c r="E4444">
        <v>640</v>
      </c>
    </row>
    <row r="4445" spans="1:5" x14ac:dyDescent="0.3">
      <c r="A4445" t="s">
        <v>78</v>
      </c>
      <c r="B4445" s="1">
        <v>44709</v>
      </c>
      <c r="C4445">
        <v>1</v>
      </c>
      <c r="D4445">
        <v>69.7</v>
      </c>
      <c r="E4445">
        <v>88</v>
      </c>
    </row>
    <row r="4446" spans="1:5" x14ac:dyDescent="0.3">
      <c r="A4446" t="s">
        <v>92</v>
      </c>
      <c r="B4446" s="1">
        <v>44709</v>
      </c>
      <c r="C4446">
        <v>6</v>
      </c>
      <c r="D4446">
        <v>6.2</v>
      </c>
      <c r="E4446">
        <v>9</v>
      </c>
    </row>
    <row r="4447" spans="1:5" x14ac:dyDescent="0.3">
      <c r="A4447" t="s">
        <v>34</v>
      </c>
      <c r="B4447" s="1">
        <v>44709</v>
      </c>
      <c r="C4447">
        <v>1</v>
      </c>
      <c r="D4447">
        <v>199.32</v>
      </c>
      <c r="E4447">
        <v>230</v>
      </c>
    </row>
    <row r="4448" spans="1:5" x14ac:dyDescent="0.3">
      <c r="A4448" t="s">
        <v>17</v>
      </c>
      <c r="B4448" s="1">
        <v>44709</v>
      </c>
      <c r="C4448">
        <v>1</v>
      </c>
      <c r="D4448">
        <v>388.58</v>
      </c>
      <c r="E4448">
        <v>467</v>
      </c>
    </row>
    <row r="4449" spans="1:5" x14ac:dyDescent="0.3">
      <c r="A4449" t="s">
        <v>115</v>
      </c>
      <c r="B4449" s="1">
        <v>44709</v>
      </c>
      <c r="C4449">
        <v>1</v>
      </c>
      <c r="D4449">
        <v>69.849999999999994</v>
      </c>
      <c r="E4449">
        <v>88</v>
      </c>
    </row>
    <row r="4450" spans="1:5" x14ac:dyDescent="0.3">
      <c r="A4450" t="s">
        <v>99</v>
      </c>
      <c r="B4450" s="1">
        <v>44709</v>
      </c>
      <c r="C4450">
        <v>1</v>
      </c>
      <c r="D4450">
        <v>64.25</v>
      </c>
      <c r="E4450">
        <v>77</v>
      </c>
    </row>
    <row r="4451" spans="1:5" x14ac:dyDescent="0.3">
      <c r="A4451" t="s">
        <v>48</v>
      </c>
      <c r="B4451" s="1">
        <v>44709</v>
      </c>
      <c r="C4451">
        <v>1</v>
      </c>
      <c r="D4451">
        <v>38.82</v>
      </c>
      <c r="E4451">
        <v>61</v>
      </c>
    </row>
    <row r="4452" spans="1:5" x14ac:dyDescent="0.3">
      <c r="A4452" t="s">
        <v>51</v>
      </c>
      <c r="B4452" s="1">
        <v>44709</v>
      </c>
      <c r="C4452">
        <v>16</v>
      </c>
      <c r="D4452">
        <v>2.0099999999999998</v>
      </c>
      <c r="E4452">
        <v>4</v>
      </c>
    </row>
    <row r="4453" spans="1:5" x14ac:dyDescent="0.3">
      <c r="A4453" t="s">
        <v>31</v>
      </c>
      <c r="B4453" s="1">
        <v>44709</v>
      </c>
      <c r="C4453">
        <v>1</v>
      </c>
      <c r="D4453">
        <v>13.05</v>
      </c>
      <c r="E4453">
        <v>18</v>
      </c>
    </row>
    <row r="4454" spans="1:5" x14ac:dyDescent="0.3">
      <c r="A4454" t="s">
        <v>5</v>
      </c>
      <c r="B4454" s="1">
        <v>44709</v>
      </c>
      <c r="C4454">
        <v>1</v>
      </c>
      <c r="D4454">
        <v>145.6</v>
      </c>
      <c r="E4454">
        <v>172</v>
      </c>
    </row>
    <row r="4455" spans="1:5" x14ac:dyDescent="0.3">
      <c r="A4455" t="s">
        <v>47</v>
      </c>
      <c r="B4455" s="1">
        <v>44709</v>
      </c>
      <c r="C4455">
        <v>1</v>
      </c>
      <c r="D4455">
        <v>42.85</v>
      </c>
      <c r="E4455">
        <v>66</v>
      </c>
    </row>
    <row r="4456" spans="1:5" x14ac:dyDescent="0.3">
      <c r="A4456" t="s">
        <v>56</v>
      </c>
      <c r="B4456" s="1">
        <v>44709</v>
      </c>
      <c r="C4456">
        <v>1</v>
      </c>
      <c r="D4456">
        <v>44.7</v>
      </c>
      <c r="E4456">
        <v>68</v>
      </c>
    </row>
    <row r="4457" spans="1:5" x14ac:dyDescent="0.3">
      <c r="A4457" t="s">
        <v>56</v>
      </c>
      <c r="B4457" s="1">
        <v>44709</v>
      </c>
      <c r="C4457">
        <v>1</v>
      </c>
      <c r="D4457">
        <v>44.7</v>
      </c>
      <c r="E4457">
        <v>68</v>
      </c>
    </row>
    <row r="4458" spans="1:5" x14ac:dyDescent="0.3">
      <c r="A4458" t="s">
        <v>55</v>
      </c>
      <c r="B4458" s="1">
        <v>44709</v>
      </c>
      <c r="C4458">
        <v>1</v>
      </c>
      <c r="D4458">
        <v>77.510000000000005</v>
      </c>
      <c r="E4458">
        <v>95</v>
      </c>
    </row>
    <row r="4459" spans="1:5" x14ac:dyDescent="0.3">
      <c r="A4459" t="s">
        <v>125</v>
      </c>
      <c r="B4459" s="1">
        <v>44709</v>
      </c>
      <c r="C4459">
        <v>1</v>
      </c>
      <c r="D4459">
        <v>384.12</v>
      </c>
      <c r="E4459">
        <v>404.74</v>
      </c>
    </row>
    <row r="4460" spans="1:5" x14ac:dyDescent="0.3">
      <c r="A4460" t="s">
        <v>125</v>
      </c>
      <c r="B4460" s="1">
        <v>44709</v>
      </c>
      <c r="C4460">
        <v>1</v>
      </c>
      <c r="D4460">
        <v>384.12</v>
      </c>
      <c r="E4460">
        <v>404.74</v>
      </c>
    </row>
    <row r="4461" spans="1:5" x14ac:dyDescent="0.3">
      <c r="A4461" t="s">
        <v>125</v>
      </c>
      <c r="B4461" s="1">
        <v>44709</v>
      </c>
      <c r="C4461">
        <v>1</v>
      </c>
      <c r="D4461">
        <v>384.12</v>
      </c>
      <c r="E4461">
        <v>404.74</v>
      </c>
    </row>
    <row r="4462" spans="1:5" x14ac:dyDescent="0.3">
      <c r="A4462" t="s">
        <v>22</v>
      </c>
      <c r="B4462" s="1">
        <v>44709</v>
      </c>
      <c r="C4462">
        <v>1</v>
      </c>
      <c r="D4462">
        <v>30.3</v>
      </c>
      <c r="E4462">
        <v>49</v>
      </c>
    </row>
    <row r="4463" spans="1:5" x14ac:dyDescent="0.3">
      <c r="A4463" t="s">
        <v>20</v>
      </c>
      <c r="B4463" s="1">
        <v>44709</v>
      </c>
      <c r="C4463">
        <v>1</v>
      </c>
      <c r="D4463">
        <v>19.71</v>
      </c>
      <c r="E4463">
        <v>25</v>
      </c>
    </row>
    <row r="4464" spans="1:5" x14ac:dyDescent="0.3">
      <c r="A4464" t="s">
        <v>20</v>
      </c>
      <c r="B4464" s="1">
        <v>44709</v>
      </c>
      <c r="C4464">
        <v>1</v>
      </c>
      <c r="D4464">
        <v>19.71</v>
      </c>
      <c r="E4464">
        <v>25</v>
      </c>
    </row>
    <row r="4465" spans="1:5" x14ac:dyDescent="0.3">
      <c r="A4465" t="s">
        <v>79</v>
      </c>
      <c r="B4465" s="1">
        <v>44709</v>
      </c>
      <c r="C4465">
        <v>1</v>
      </c>
      <c r="D4465">
        <v>148.5</v>
      </c>
      <c r="E4465">
        <v>177</v>
      </c>
    </row>
    <row r="4466" spans="1:5" x14ac:dyDescent="0.3">
      <c r="A4466" t="s">
        <v>30</v>
      </c>
      <c r="B4466" s="1">
        <v>44709</v>
      </c>
      <c r="C4466">
        <v>1</v>
      </c>
      <c r="D4466">
        <v>156.19999999999999</v>
      </c>
      <c r="E4466">
        <v>189</v>
      </c>
    </row>
    <row r="4467" spans="1:5" x14ac:dyDescent="0.3">
      <c r="A4467" t="s">
        <v>95</v>
      </c>
      <c r="B4467" s="1">
        <v>44709</v>
      </c>
      <c r="C4467">
        <v>1</v>
      </c>
      <c r="D4467">
        <v>131.07</v>
      </c>
      <c r="E4467">
        <v>206</v>
      </c>
    </row>
    <row r="4468" spans="1:5" x14ac:dyDescent="0.3">
      <c r="A4468" t="s">
        <v>26</v>
      </c>
      <c r="B4468" s="1">
        <v>44709</v>
      </c>
      <c r="C4468">
        <v>0.4</v>
      </c>
      <c r="D4468">
        <v>994.36</v>
      </c>
      <c r="E4468">
        <v>1343</v>
      </c>
    </row>
    <row r="4469" spans="1:5" x14ac:dyDescent="0.3">
      <c r="A4469" t="s">
        <v>54</v>
      </c>
      <c r="B4469" s="1">
        <v>44709</v>
      </c>
      <c r="C4469">
        <v>1</v>
      </c>
      <c r="D4469">
        <v>731.05</v>
      </c>
      <c r="E4469">
        <v>944</v>
      </c>
    </row>
    <row r="4470" spans="1:5" x14ac:dyDescent="0.3">
      <c r="A4470" t="s">
        <v>47</v>
      </c>
      <c r="B4470" s="1">
        <v>44709</v>
      </c>
      <c r="C4470">
        <v>1</v>
      </c>
      <c r="D4470">
        <v>42.85</v>
      </c>
      <c r="E4470">
        <v>67</v>
      </c>
    </row>
    <row r="4471" spans="1:5" x14ac:dyDescent="0.3">
      <c r="A4471" t="s">
        <v>101</v>
      </c>
      <c r="B4471" s="1">
        <v>44709</v>
      </c>
      <c r="C4471">
        <v>1</v>
      </c>
      <c r="D4471">
        <v>33.06</v>
      </c>
      <c r="E4471">
        <v>52</v>
      </c>
    </row>
    <row r="4472" spans="1:5" x14ac:dyDescent="0.3">
      <c r="A4472" t="s">
        <v>83</v>
      </c>
      <c r="B4472" s="1">
        <v>44709</v>
      </c>
      <c r="C4472">
        <v>1</v>
      </c>
      <c r="D4472">
        <v>207.76</v>
      </c>
      <c r="E4472">
        <v>246</v>
      </c>
    </row>
    <row r="4473" spans="1:5" x14ac:dyDescent="0.3">
      <c r="A4473" t="s">
        <v>6</v>
      </c>
      <c r="B4473" s="1">
        <v>44709</v>
      </c>
      <c r="C4473">
        <v>0.4</v>
      </c>
      <c r="D4473">
        <v>472.13</v>
      </c>
      <c r="E4473">
        <v>591</v>
      </c>
    </row>
    <row r="4474" spans="1:5" x14ac:dyDescent="0.3">
      <c r="A4474" t="s">
        <v>115</v>
      </c>
      <c r="B4474" s="1">
        <v>44709</v>
      </c>
      <c r="C4474">
        <v>1</v>
      </c>
      <c r="D4474">
        <v>69.849999999999994</v>
      </c>
      <c r="E4474">
        <v>88</v>
      </c>
    </row>
    <row r="4475" spans="1:5" x14ac:dyDescent="0.3">
      <c r="A4475" t="s">
        <v>69</v>
      </c>
      <c r="B4475" s="1">
        <v>44709</v>
      </c>
      <c r="C4475">
        <v>1</v>
      </c>
      <c r="D4475">
        <v>19.989999999999998</v>
      </c>
      <c r="E4475">
        <v>24</v>
      </c>
    </row>
    <row r="4476" spans="1:5" x14ac:dyDescent="0.3">
      <c r="A4476" t="s">
        <v>19</v>
      </c>
      <c r="B4476" s="1">
        <v>44709</v>
      </c>
      <c r="C4476">
        <v>1</v>
      </c>
      <c r="D4476">
        <v>80.760000000000005</v>
      </c>
      <c r="E4476">
        <v>101</v>
      </c>
    </row>
    <row r="4477" spans="1:5" x14ac:dyDescent="0.3">
      <c r="A4477" t="s">
        <v>19</v>
      </c>
      <c r="B4477" s="1">
        <v>44709</v>
      </c>
      <c r="C4477">
        <v>1</v>
      </c>
      <c r="D4477">
        <v>80.760000000000005</v>
      </c>
      <c r="E4477">
        <v>101</v>
      </c>
    </row>
    <row r="4478" spans="1:5" x14ac:dyDescent="0.3">
      <c r="A4478" t="s">
        <v>90</v>
      </c>
      <c r="B4478" s="1">
        <v>44709</v>
      </c>
      <c r="C4478">
        <v>1</v>
      </c>
      <c r="D4478">
        <v>397.02</v>
      </c>
      <c r="E4478">
        <v>489</v>
      </c>
    </row>
    <row r="4479" spans="1:5" x14ac:dyDescent="0.3">
      <c r="A4479" t="s">
        <v>98</v>
      </c>
      <c r="B4479" s="1">
        <v>44709</v>
      </c>
      <c r="C4479">
        <v>1</v>
      </c>
      <c r="D4479">
        <v>112.66</v>
      </c>
      <c r="E4479">
        <v>136</v>
      </c>
    </row>
    <row r="4480" spans="1:5" x14ac:dyDescent="0.3">
      <c r="A4480" t="s">
        <v>66</v>
      </c>
      <c r="B4480" s="1">
        <v>44709</v>
      </c>
      <c r="C4480">
        <v>1</v>
      </c>
      <c r="D4480">
        <v>30.6</v>
      </c>
      <c r="E4480">
        <v>36</v>
      </c>
    </row>
    <row r="4481" spans="1:5" x14ac:dyDescent="0.3">
      <c r="A4481" t="s">
        <v>66</v>
      </c>
      <c r="B4481" s="1">
        <v>44709</v>
      </c>
      <c r="C4481">
        <v>1</v>
      </c>
      <c r="D4481">
        <v>30.6</v>
      </c>
      <c r="E4481">
        <v>36</v>
      </c>
    </row>
    <row r="4482" spans="1:5" x14ac:dyDescent="0.3">
      <c r="A4482" t="s">
        <v>101</v>
      </c>
      <c r="B4482" s="1">
        <v>44709</v>
      </c>
      <c r="C4482">
        <v>1</v>
      </c>
      <c r="D4482">
        <v>31.62</v>
      </c>
      <c r="E4482">
        <v>49</v>
      </c>
    </row>
    <row r="4483" spans="1:5" x14ac:dyDescent="0.3">
      <c r="A4483" t="s">
        <v>101</v>
      </c>
      <c r="B4483" s="1">
        <v>44709</v>
      </c>
      <c r="C4483">
        <v>1</v>
      </c>
      <c r="D4483">
        <v>31.62</v>
      </c>
      <c r="E4483">
        <v>49</v>
      </c>
    </row>
    <row r="4484" spans="1:5" x14ac:dyDescent="0.3">
      <c r="A4484" t="s">
        <v>127</v>
      </c>
      <c r="B4484" s="1">
        <v>44709</v>
      </c>
      <c r="C4484">
        <v>1</v>
      </c>
      <c r="D4484">
        <v>121</v>
      </c>
      <c r="E4484">
        <v>169</v>
      </c>
    </row>
    <row r="4485" spans="1:5" x14ac:dyDescent="0.3">
      <c r="A4485" t="s">
        <v>51</v>
      </c>
      <c r="B4485" s="1">
        <v>44709</v>
      </c>
      <c r="C4485">
        <v>8</v>
      </c>
      <c r="D4485">
        <v>2.1800000000000002</v>
      </c>
      <c r="E4485">
        <v>4</v>
      </c>
    </row>
    <row r="4486" spans="1:5" x14ac:dyDescent="0.3">
      <c r="A4486" t="s">
        <v>100</v>
      </c>
      <c r="B4486" s="1">
        <v>44709</v>
      </c>
      <c r="C4486">
        <v>1</v>
      </c>
      <c r="D4486">
        <v>37.42</v>
      </c>
      <c r="E4486">
        <v>57</v>
      </c>
    </row>
    <row r="4487" spans="1:5" x14ac:dyDescent="0.3">
      <c r="A4487" t="s">
        <v>14</v>
      </c>
      <c r="B4487" s="1">
        <v>44709</v>
      </c>
      <c r="C4487">
        <v>0.2</v>
      </c>
      <c r="D4487">
        <v>455.4</v>
      </c>
      <c r="E4487">
        <v>602</v>
      </c>
    </row>
    <row r="4488" spans="1:5" x14ac:dyDescent="0.3">
      <c r="A4488" t="s">
        <v>112</v>
      </c>
      <c r="B4488" s="1">
        <v>44709</v>
      </c>
      <c r="C4488">
        <v>1</v>
      </c>
      <c r="D4488">
        <v>291.3</v>
      </c>
      <c r="E4488">
        <v>345</v>
      </c>
    </row>
    <row r="4489" spans="1:5" x14ac:dyDescent="0.3">
      <c r="A4489" t="s">
        <v>91</v>
      </c>
      <c r="B4489" s="1">
        <v>44709</v>
      </c>
      <c r="C4489">
        <v>1</v>
      </c>
      <c r="D4489">
        <v>31.23</v>
      </c>
      <c r="E4489">
        <v>51</v>
      </c>
    </row>
    <row r="4490" spans="1:5" x14ac:dyDescent="0.3">
      <c r="A4490" t="s">
        <v>24</v>
      </c>
      <c r="B4490" s="1">
        <v>44709</v>
      </c>
      <c r="C4490">
        <v>1</v>
      </c>
      <c r="D4490">
        <v>107.3</v>
      </c>
      <c r="E4490">
        <v>126</v>
      </c>
    </row>
    <row r="4491" spans="1:5" x14ac:dyDescent="0.3">
      <c r="A4491" t="s">
        <v>93</v>
      </c>
      <c r="B4491" s="1">
        <v>44709</v>
      </c>
      <c r="C4491">
        <v>1</v>
      </c>
      <c r="D4491">
        <v>68.599999999999994</v>
      </c>
      <c r="E4491">
        <v>98</v>
      </c>
    </row>
    <row r="4492" spans="1:5" x14ac:dyDescent="0.3">
      <c r="A4492" t="s">
        <v>21</v>
      </c>
      <c r="B4492" s="1">
        <v>44709</v>
      </c>
      <c r="C4492">
        <v>1</v>
      </c>
      <c r="D4492">
        <v>184.39</v>
      </c>
      <c r="E4492">
        <v>257</v>
      </c>
    </row>
    <row r="4493" spans="1:5" x14ac:dyDescent="0.3">
      <c r="A4493" t="s">
        <v>65</v>
      </c>
      <c r="B4493" s="1">
        <v>44709</v>
      </c>
      <c r="C4493">
        <v>1</v>
      </c>
      <c r="D4493">
        <v>187.12</v>
      </c>
      <c r="E4493">
        <v>219</v>
      </c>
    </row>
    <row r="4494" spans="1:5" x14ac:dyDescent="0.3">
      <c r="A4494" t="s">
        <v>23</v>
      </c>
      <c r="B4494" s="1">
        <v>44709</v>
      </c>
      <c r="C4494">
        <v>1</v>
      </c>
      <c r="D4494">
        <v>109.41</v>
      </c>
      <c r="E4494">
        <v>123</v>
      </c>
    </row>
    <row r="4495" spans="1:5" x14ac:dyDescent="0.3">
      <c r="A4495" t="s">
        <v>7</v>
      </c>
      <c r="B4495" s="1">
        <v>44709</v>
      </c>
      <c r="C4495">
        <v>1</v>
      </c>
      <c r="D4495">
        <v>88.43</v>
      </c>
      <c r="E4495">
        <v>110</v>
      </c>
    </row>
    <row r="4496" spans="1:5" x14ac:dyDescent="0.3">
      <c r="A4496" t="s">
        <v>125</v>
      </c>
      <c r="B4496" s="1">
        <v>44709</v>
      </c>
      <c r="C4496">
        <v>1</v>
      </c>
      <c r="D4496">
        <v>329.97</v>
      </c>
      <c r="E4496">
        <v>426</v>
      </c>
    </row>
    <row r="4497" spans="1:5" x14ac:dyDescent="0.3">
      <c r="A4497" t="s">
        <v>86</v>
      </c>
      <c r="B4497" s="1">
        <v>44709</v>
      </c>
      <c r="C4497">
        <v>1</v>
      </c>
      <c r="D4497">
        <v>47.4</v>
      </c>
      <c r="E4497">
        <v>76</v>
      </c>
    </row>
    <row r="4498" spans="1:5" x14ac:dyDescent="0.3">
      <c r="A4498" t="s">
        <v>104</v>
      </c>
      <c r="B4498" s="1">
        <v>44709</v>
      </c>
      <c r="C4498">
        <v>1</v>
      </c>
      <c r="D4498">
        <v>45.33</v>
      </c>
      <c r="E4498">
        <v>58</v>
      </c>
    </row>
    <row r="4499" spans="1:5" x14ac:dyDescent="0.3">
      <c r="A4499" t="s">
        <v>26</v>
      </c>
      <c r="B4499" s="1">
        <v>44709</v>
      </c>
      <c r="C4499">
        <v>0.2</v>
      </c>
      <c r="D4499">
        <v>984.79</v>
      </c>
      <c r="E4499">
        <v>1350</v>
      </c>
    </row>
    <row r="4500" spans="1:5" x14ac:dyDescent="0.3">
      <c r="A4500" t="s">
        <v>86</v>
      </c>
      <c r="B4500" s="1">
        <v>44709</v>
      </c>
      <c r="C4500">
        <v>5</v>
      </c>
      <c r="D4500">
        <v>47.4</v>
      </c>
      <c r="E4500">
        <v>76</v>
      </c>
    </row>
    <row r="4501" spans="1:5" x14ac:dyDescent="0.3">
      <c r="A4501" t="s">
        <v>111</v>
      </c>
      <c r="B4501" s="1">
        <v>44709</v>
      </c>
      <c r="C4501">
        <v>1</v>
      </c>
      <c r="D4501">
        <v>177.79</v>
      </c>
      <c r="E4501">
        <v>193</v>
      </c>
    </row>
    <row r="4502" spans="1:5" x14ac:dyDescent="0.3">
      <c r="A4502" t="s">
        <v>152</v>
      </c>
      <c r="B4502" s="1">
        <v>44709</v>
      </c>
      <c r="C4502">
        <v>1</v>
      </c>
      <c r="D4502">
        <v>107.99</v>
      </c>
      <c r="E4502">
        <v>135</v>
      </c>
    </row>
    <row r="4503" spans="1:5" x14ac:dyDescent="0.3">
      <c r="A4503" t="s">
        <v>99</v>
      </c>
      <c r="B4503" s="1">
        <v>44709</v>
      </c>
      <c r="C4503">
        <v>1</v>
      </c>
      <c r="D4503">
        <v>64.25</v>
      </c>
      <c r="E4503">
        <v>77</v>
      </c>
    </row>
    <row r="4504" spans="1:5" x14ac:dyDescent="0.3">
      <c r="A4504" t="s">
        <v>150</v>
      </c>
      <c r="B4504" s="1">
        <v>44709</v>
      </c>
      <c r="C4504">
        <v>1</v>
      </c>
      <c r="D4504">
        <v>82.64</v>
      </c>
      <c r="E4504">
        <v>129</v>
      </c>
    </row>
    <row r="4505" spans="1:5" x14ac:dyDescent="0.3">
      <c r="A4505" t="s">
        <v>62</v>
      </c>
      <c r="B4505" s="1">
        <v>44709</v>
      </c>
      <c r="C4505">
        <v>1</v>
      </c>
      <c r="D4505">
        <v>25.15</v>
      </c>
      <c r="E4505">
        <v>30</v>
      </c>
    </row>
    <row r="4506" spans="1:5" x14ac:dyDescent="0.3">
      <c r="A4506" t="s">
        <v>93</v>
      </c>
      <c r="B4506" s="1">
        <v>44709</v>
      </c>
      <c r="C4506">
        <v>1</v>
      </c>
      <c r="D4506">
        <v>71.040000000000006</v>
      </c>
      <c r="E4506">
        <v>101</v>
      </c>
    </row>
    <row r="4507" spans="1:5" x14ac:dyDescent="0.3">
      <c r="A4507" t="s">
        <v>128</v>
      </c>
      <c r="B4507" s="1">
        <v>44709</v>
      </c>
      <c r="C4507">
        <v>1</v>
      </c>
      <c r="D4507">
        <v>294.18</v>
      </c>
      <c r="E4507">
        <v>406</v>
      </c>
    </row>
    <row r="4508" spans="1:5" x14ac:dyDescent="0.3">
      <c r="A4508" t="s">
        <v>144</v>
      </c>
      <c r="B4508" s="1">
        <v>44709</v>
      </c>
      <c r="C4508">
        <v>1</v>
      </c>
      <c r="D4508">
        <v>51.5</v>
      </c>
      <c r="E4508">
        <v>80</v>
      </c>
    </row>
    <row r="4509" spans="1:5" x14ac:dyDescent="0.3">
      <c r="A4509" t="s">
        <v>127</v>
      </c>
      <c r="B4509" s="1">
        <v>44709</v>
      </c>
      <c r="C4509">
        <v>1</v>
      </c>
      <c r="D4509">
        <v>118.82</v>
      </c>
      <c r="E4509">
        <v>161</v>
      </c>
    </row>
    <row r="4510" spans="1:5" x14ac:dyDescent="0.3">
      <c r="A4510" t="s">
        <v>57</v>
      </c>
      <c r="B4510" s="1">
        <v>44709</v>
      </c>
      <c r="C4510">
        <v>1</v>
      </c>
      <c r="D4510">
        <v>233.74</v>
      </c>
      <c r="E4510">
        <v>274</v>
      </c>
    </row>
    <row r="4511" spans="1:5" x14ac:dyDescent="0.3">
      <c r="A4511" t="s">
        <v>66</v>
      </c>
      <c r="B4511" s="1">
        <v>44709</v>
      </c>
      <c r="C4511">
        <v>1</v>
      </c>
      <c r="D4511">
        <v>30.6</v>
      </c>
      <c r="E4511">
        <v>36</v>
      </c>
    </row>
    <row r="4512" spans="1:5" x14ac:dyDescent="0.3">
      <c r="A4512" t="s">
        <v>66</v>
      </c>
      <c r="B4512" s="1">
        <v>44709</v>
      </c>
      <c r="C4512">
        <v>1</v>
      </c>
      <c r="D4512">
        <v>30.6</v>
      </c>
      <c r="E4512">
        <v>36</v>
      </c>
    </row>
    <row r="4513" spans="1:5" x14ac:dyDescent="0.3">
      <c r="A4513" t="s">
        <v>136</v>
      </c>
      <c r="B4513" s="1">
        <v>44709</v>
      </c>
      <c r="C4513">
        <v>1</v>
      </c>
      <c r="D4513">
        <v>289.58999999999997</v>
      </c>
      <c r="E4513">
        <v>386</v>
      </c>
    </row>
    <row r="4514" spans="1:5" x14ac:dyDescent="0.3">
      <c r="A4514" t="s">
        <v>140</v>
      </c>
      <c r="B4514" s="1">
        <v>44709</v>
      </c>
      <c r="C4514">
        <v>1</v>
      </c>
      <c r="D4514">
        <v>157.13</v>
      </c>
      <c r="E4514">
        <v>189</v>
      </c>
    </row>
    <row r="4515" spans="1:5" x14ac:dyDescent="0.3">
      <c r="A4515" t="s">
        <v>23</v>
      </c>
      <c r="B4515" s="1">
        <v>44709</v>
      </c>
      <c r="C4515">
        <v>1</v>
      </c>
      <c r="D4515">
        <v>109.41</v>
      </c>
      <c r="E4515">
        <v>123</v>
      </c>
    </row>
    <row r="4516" spans="1:5" x14ac:dyDescent="0.3">
      <c r="A4516" t="s">
        <v>104</v>
      </c>
      <c r="B4516" s="1">
        <v>44709</v>
      </c>
      <c r="C4516">
        <v>1</v>
      </c>
      <c r="D4516">
        <v>44.68</v>
      </c>
      <c r="E4516">
        <v>56</v>
      </c>
    </row>
    <row r="4517" spans="1:5" x14ac:dyDescent="0.3">
      <c r="A4517" t="s">
        <v>24</v>
      </c>
      <c r="B4517" s="1">
        <v>44709</v>
      </c>
      <c r="C4517">
        <v>1</v>
      </c>
      <c r="D4517">
        <v>102.47</v>
      </c>
      <c r="E4517">
        <v>121</v>
      </c>
    </row>
    <row r="4518" spans="1:5" x14ac:dyDescent="0.3">
      <c r="A4518" t="s">
        <v>92</v>
      </c>
      <c r="B4518" s="1">
        <v>44709</v>
      </c>
      <c r="C4518">
        <v>10</v>
      </c>
      <c r="D4518">
        <v>6.24</v>
      </c>
      <c r="E4518">
        <v>9</v>
      </c>
    </row>
    <row r="4519" spans="1:5" x14ac:dyDescent="0.3">
      <c r="A4519" t="s">
        <v>110</v>
      </c>
      <c r="B4519" s="1">
        <v>44709</v>
      </c>
      <c r="C4519">
        <v>1</v>
      </c>
      <c r="D4519">
        <v>267.8</v>
      </c>
      <c r="E4519">
        <v>375</v>
      </c>
    </row>
    <row r="4520" spans="1:5" x14ac:dyDescent="0.3">
      <c r="A4520" t="s">
        <v>75</v>
      </c>
      <c r="B4520" s="1">
        <v>44709</v>
      </c>
      <c r="C4520">
        <v>0.1</v>
      </c>
      <c r="D4520">
        <v>464.4</v>
      </c>
      <c r="E4520">
        <v>706</v>
      </c>
    </row>
    <row r="4521" spans="1:5" x14ac:dyDescent="0.3">
      <c r="A4521" t="s">
        <v>155</v>
      </c>
      <c r="B4521" s="1">
        <v>44709</v>
      </c>
      <c r="C4521">
        <v>0.2</v>
      </c>
      <c r="D4521">
        <v>448.8</v>
      </c>
      <c r="E4521">
        <v>683</v>
      </c>
    </row>
    <row r="4522" spans="1:5" x14ac:dyDescent="0.3">
      <c r="A4522" t="s">
        <v>61</v>
      </c>
      <c r="B4522" s="1">
        <v>44709</v>
      </c>
      <c r="C4522">
        <v>1</v>
      </c>
      <c r="D4522">
        <v>32.85</v>
      </c>
      <c r="E4522">
        <v>52</v>
      </c>
    </row>
    <row r="4523" spans="1:5" x14ac:dyDescent="0.3">
      <c r="A4523" t="s">
        <v>5</v>
      </c>
      <c r="B4523" s="1">
        <v>44709</v>
      </c>
      <c r="C4523">
        <v>1</v>
      </c>
      <c r="D4523">
        <v>145.6</v>
      </c>
      <c r="E4523">
        <v>172</v>
      </c>
    </row>
    <row r="4524" spans="1:5" x14ac:dyDescent="0.3">
      <c r="A4524" t="s">
        <v>5</v>
      </c>
      <c r="B4524" s="1">
        <v>44709</v>
      </c>
      <c r="C4524">
        <v>1</v>
      </c>
      <c r="D4524">
        <v>145.6</v>
      </c>
      <c r="E4524">
        <v>172</v>
      </c>
    </row>
    <row r="4525" spans="1:5" x14ac:dyDescent="0.3">
      <c r="A4525" t="s">
        <v>81</v>
      </c>
      <c r="B4525" s="1">
        <v>44708</v>
      </c>
      <c r="C4525">
        <v>1</v>
      </c>
      <c r="D4525">
        <v>43.63</v>
      </c>
      <c r="E4525">
        <v>54</v>
      </c>
    </row>
    <row r="4526" spans="1:5" x14ac:dyDescent="0.3">
      <c r="A4526" t="s">
        <v>28</v>
      </c>
      <c r="B4526" s="1">
        <v>44708</v>
      </c>
      <c r="C4526">
        <v>1</v>
      </c>
      <c r="D4526">
        <v>150.03</v>
      </c>
      <c r="E4526">
        <v>206</v>
      </c>
    </row>
    <row r="4527" spans="1:5" x14ac:dyDescent="0.3">
      <c r="A4527" t="s">
        <v>45</v>
      </c>
      <c r="B4527" s="1">
        <v>44708</v>
      </c>
      <c r="C4527">
        <v>1</v>
      </c>
      <c r="D4527">
        <v>26.16</v>
      </c>
      <c r="E4527">
        <v>42</v>
      </c>
    </row>
    <row r="4528" spans="1:5" x14ac:dyDescent="0.3">
      <c r="A4528" t="s">
        <v>15</v>
      </c>
      <c r="B4528" s="1">
        <v>44708</v>
      </c>
      <c r="C4528">
        <v>1</v>
      </c>
      <c r="D4528">
        <v>55.5</v>
      </c>
      <c r="E4528">
        <v>87</v>
      </c>
    </row>
    <row r="4529" spans="1:5" x14ac:dyDescent="0.3">
      <c r="A4529" t="s">
        <v>7</v>
      </c>
      <c r="B4529" s="1">
        <v>44708</v>
      </c>
      <c r="C4529">
        <v>1</v>
      </c>
      <c r="D4529">
        <v>88.43</v>
      </c>
      <c r="E4529">
        <v>110</v>
      </c>
    </row>
    <row r="4530" spans="1:5" x14ac:dyDescent="0.3">
      <c r="A4530" t="s">
        <v>109</v>
      </c>
      <c r="B4530" s="1">
        <v>44708</v>
      </c>
      <c r="C4530">
        <v>1</v>
      </c>
      <c r="D4530">
        <v>87.23</v>
      </c>
      <c r="E4530">
        <v>105</v>
      </c>
    </row>
    <row r="4531" spans="1:5" x14ac:dyDescent="0.3">
      <c r="A4531" t="s">
        <v>109</v>
      </c>
      <c r="B4531" s="1">
        <v>44708</v>
      </c>
      <c r="C4531">
        <v>1</v>
      </c>
      <c r="D4531">
        <v>87.23</v>
      </c>
      <c r="E4531">
        <v>105</v>
      </c>
    </row>
    <row r="4532" spans="1:5" x14ac:dyDescent="0.3">
      <c r="A4532" t="s">
        <v>109</v>
      </c>
      <c r="B4532" s="1">
        <v>44708</v>
      </c>
      <c r="C4532">
        <v>1</v>
      </c>
      <c r="D4532">
        <v>87.23</v>
      </c>
      <c r="E4532">
        <v>105</v>
      </c>
    </row>
    <row r="4533" spans="1:5" x14ac:dyDescent="0.3">
      <c r="A4533" t="s">
        <v>45</v>
      </c>
      <c r="B4533" s="1">
        <v>44708</v>
      </c>
      <c r="C4533">
        <v>1</v>
      </c>
      <c r="D4533">
        <v>28.21</v>
      </c>
      <c r="E4533">
        <v>46</v>
      </c>
    </row>
    <row r="4534" spans="1:5" x14ac:dyDescent="0.3">
      <c r="A4534" t="s">
        <v>121</v>
      </c>
      <c r="B4534" s="1">
        <v>44708</v>
      </c>
      <c r="C4534">
        <v>1</v>
      </c>
      <c r="D4534">
        <v>11.41</v>
      </c>
      <c r="E4534">
        <v>19</v>
      </c>
    </row>
    <row r="4535" spans="1:5" x14ac:dyDescent="0.3">
      <c r="A4535" t="s">
        <v>148</v>
      </c>
      <c r="B4535" s="1">
        <v>44708</v>
      </c>
      <c r="C4535">
        <v>1</v>
      </c>
      <c r="D4535">
        <v>36.97</v>
      </c>
      <c r="E4535">
        <v>57</v>
      </c>
    </row>
    <row r="4536" spans="1:5" x14ac:dyDescent="0.3">
      <c r="A4536" t="s">
        <v>122</v>
      </c>
      <c r="B4536" s="1">
        <v>44708</v>
      </c>
      <c r="C4536">
        <v>1</v>
      </c>
      <c r="D4536">
        <v>23.27</v>
      </c>
      <c r="E4536">
        <v>28</v>
      </c>
    </row>
    <row r="4537" spans="1:5" x14ac:dyDescent="0.3">
      <c r="A4537" t="s">
        <v>92</v>
      </c>
      <c r="B4537" s="1">
        <v>44708</v>
      </c>
      <c r="C4537">
        <v>12</v>
      </c>
      <c r="D4537">
        <v>6.24</v>
      </c>
      <c r="E4537">
        <v>9</v>
      </c>
    </row>
    <row r="4538" spans="1:5" x14ac:dyDescent="0.3">
      <c r="A4538" t="s">
        <v>92</v>
      </c>
      <c r="B4538" s="1">
        <v>44708</v>
      </c>
      <c r="C4538">
        <v>3</v>
      </c>
      <c r="D4538">
        <v>6.6</v>
      </c>
      <c r="E4538">
        <v>9</v>
      </c>
    </row>
    <row r="4539" spans="1:5" x14ac:dyDescent="0.3">
      <c r="A4539" t="s">
        <v>48</v>
      </c>
      <c r="B4539" s="1">
        <v>44708</v>
      </c>
      <c r="C4539">
        <v>1</v>
      </c>
      <c r="D4539">
        <v>38.82</v>
      </c>
      <c r="E4539">
        <v>59</v>
      </c>
    </row>
    <row r="4540" spans="1:5" x14ac:dyDescent="0.3">
      <c r="A4540" t="s">
        <v>109</v>
      </c>
      <c r="B4540" s="1">
        <v>44708</v>
      </c>
      <c r="C4540">
        <v>1</v>
      </c>
      <c r="D4540">
        <v>87.23</v>
      </c>
      <c r="E4540">
        <v>105</v>
      </c>
    </row>
    <row r="4541" spans="1:5" x14ac:dyDescent="0.3">
      <c r="A4541" t="s">
        <v>109</v>
      </c>
      <c r="B4541" s="1">
        <v>44708</v>
      </c>
      <c r="C4541">
        <v>1</v>
      </c>
      <c r="D4541">
        <v>87.23</v>
      </c>
      <c r="E4541">
        <v>105</v>
      </c>
    </row>
    <row r="4542" spans="1:5" x14ac:dyDescent="0.3">
      <c r="A4542" t="s">
        <v>109</v>
      </c>
      <c r="B4542" s="1">
        <v>44708</v>
      </c>
      <c r="C4542">
        <v>1</v>
      </c>
      <c r="D4542">
        <v>87.23</v>
      </c>
      <c r="E4542">
        <v>105</v>
      </c>
    </row>
    <row r="4543" spans="1:5" x14ac:dyDescent="0.3">
      <c r="A4543" t="s">
        <v>109</v>
      </c>
      <c r="B4543" s="1">
        <v>44708</v>
      </c>
      <c r="C4543">
        <v>1</v>
      </c>
      <c r="D4543">
        <v>87.23</v>
      </c>
      <c r="E4543">
        <v>105</v>
      </c>
    </row>
    <row r="4544" spans="1:5" x14ac:dyDescent="0.3">
      <c r="A4544" t="s">
        <v>109</v>
      </c>
      <c r="B4544" s="1">
        <v>44708</v>
      </c>
      <c r="C4544">
        <v>1</v>
      </c>
      <c r="D4544">
        <v>87.23</v>
      </c>
      <c r="E4544">
        <v>105</v>
      </c>
    </row>
    <row r="4545" spans="1:5" x14ac:dyDescent="0.3">
      <c r="A4545" t="s">
        <v>110</v>
      </c>
      <c r="B4545" s="1">
        <v>44708</v>
      </c>
      <c r="C4545">
        <v>1</v>
      </c>
      <c r="D4545">
        <v>267.8</v>
      </c>
      <c r="E4545">
        <v>375</v>
      </c>
    </row>
    <row r="4546" spans="1:5" x14ac:dyDescent="0.3">
      <c r="A4546" t="s">
        <v>134</v>
      </c>
      <c r="B4546" s="1">
        <v>44708</v>
      </c>
      <c r="C4546">
        <v>1</v>
      </c>
      <c r="D4546">
        <v>33</v>
      </c>
      <c r="E4546">
        <v>51</v>
      </c>
    </row>
    <row r="4547" spans="1:5" x14ac:dyDescent="0.3">
      <c r="A4547" t="s">
        <v>134</v>
      </c>
      <c r="B4547" s="1">
        <v>44708</v>
      </c>
      <c r="C4547">
        <v>1</v>
      </c>
      <c r="D4547">
        <v>26.86</v>
      </c>
      <c r="E4547">
        <v>41</v>
      </c>
    </row>
    <row r="4548" spans="1:5" x14ac:dyDescent="0.3">
      <c r="A4548" t="s">
        <v>44</v>
      </c>
      <c r="B4548" s="1">
        <v>44708</v>
      </c>
      <c r="C4548">
        <v>1</v>
      </c>
      <c r="D4548">
        <v>65.010000000000005</v>
      </c>
      <c r="E4548">
        <v>101</v>
      </c>
    </row>
    <row r="4549" spans="1:5" x14ac:dyDescent="0.3">
      <c r="A4549" t="s">
        <v>24</v>
      </c>
      <c r="B4549" s="1">
        <v>44708</v>
      </c>
      <c r="C4549">
        <v>1</v>
      </c>
      <c r="D4549">
        <v>102.47</v>
      </c>
      <c r="E4549">
        <v>121</v>
      </c>
    </row>
    <row r="4550" spans="1:5" x14ac:dyDescent="0.3">
      <c r="A4550" t="s">
        <v>117</v>
      </c>
      <c r="B4550" s="1">
        <v>44708</v>
      </c>
      <c r="C4550">
        <v>1</v>
      </c>
      <c r="D4550">
        <v>23.14</v>
      </c>
      <c r="E4550">
        <v>28</v>
      </c>
    </row>
    <row r="4551" spans="1:5" x14ac:dyDescent="0.3">
      <c r="A4551" t="s">
        <v>11</v>
      </c>
      <c r="B4551" s="1">
        <v>44708</v>
      </c>
      <c r="C4551">
        <v>1</v>
      </c>
      <c r="D4551">
        <v>24.2</v>
      </c>
      <c r="E4551">
        <v>39</v>
      </c>
    </row>
    <row r="4552" spans="1:5" x14ac:dyDescent="0.3">
      <c r="A4552" t="s">
        <v>24</v>
      </c>
      <c r="B4552" s="1">
        <v>44708</v>
      </c>
      <c r="C4552">
        <v>1</v>
      </c>
      <c r="D4552">
        <v>102.47</v>
      </c>
      <c r="E4552">
        <v>121</v>
      </c>
    </row>
    <row r="4553" spans="1:5" x14ac:dyDescent="0.3">
      <c r="A4553" t="s">
        <v>19</v>
      </c>
      <c r="B4553" s="1">
        <v>44708</v>
      </c>
      <c r="C4553">
        <v>1</v>
      </c>
      <c r="D4553">
        <v>80.760000000000005</v>
      </c>
      <c r="E4553">
        <v>101</v>
      </c>
    </row>
    <row r="4554" spans="1:5" x14ac:dyDescent="0.3">
      <c r="A4554" t="s">
        <v>19</v>
      </c>
      <c r="B4554" s="1">
        <v>44708</v>
      </c>
      <c r="C4554">
        <v>1</v>
      </c>
      <c r="D4554">
        <v>80.760000000000005</v>
      </c>
      <c r="E4554">
        <v>101</v>
      </c>
    </row>
    <row r="4555" spans="1:5" x14ac:dyDescent="0.3">
      <c r="A4555" t="s">
        <v>7</v>
      </c>
      <c r="B4555" s="1">
        <v>44708</v>
      </c>
      <c r="C4555">
        <v>1</v>
      </c>
      <c r="D4555">
        <v>88.43</v>
      </c>
      <c r="E4555">
        <v>106</v>
      </c>
    </row>
    <row r="4556" spans="1:5" x14ac:dyDescent="0.3">
      <c r="A4556" t="s">
        <v>18</v>
      </c>
      <c r="B4556" s="1">
        <v>44708</v>
      </c>
      <c r="C4556">
        <v>1</v>
      </c>
      <c r="D4556">
        <v>44</v>
      </c>
      <c r="E4556">
        <v>69</v>
      </c>
    </row>
    <row r="4557" spans="1:5" x14ac:dyDescent="0.3">
      <c r="A4557" t="s">
        <v>18</v>
      </c>
      <c r="B4557" s="1">
        <v>44708</v>
      </c>
      <c r="C4557">
        <v>1</v>
      </c>
      <c r="D4557">
        <v>46</v>
      </c>
      <c r="E4557">
        <v>72</v>
      </c>
    </row>
    <row r="4558" spans="1:5" x14ac:dyDescent="0.3">
      <c r="A4558" t="s">
        <v>25</v>
      </c>
      <c r="B4558" s="1">
        <v>44708</v>
      </c>
      <c r="C4558">
        <v>1</v>
      </c>
      <c r="D4558">
        <v>147.18</v>
      </c>
      <c r="E4558">
        <v>177</v>
      </c>
    </row>
    <row r="4559" spans="1:5" x14ac:dyDescent="0.3">
      <c r="A4559" t="s">
        <v>103</v>
      </c>
      <c r="B4559" s="1">
        <v>44708</v>
      </c>
      <c r="C4559">
        <v>1</v>
      </c>
      <c r="D4559">
        <v>45.88</v>
      </c>
      <c r="E4559">
        <v>73</v>
      </c>
    </row>
    <row r="4560" spans="1:5" x14ac:dyDescent="0.3">
      <c r="A4560" t="s">
        <v>39</v>
      </c>
      <c r="B4560" s="1">
        <v>44708</v>
      </c>
      <c r="C4560">
        <v>2</v>
      </c>
      <c r="D4560">
        <v>9.9499999999999993</v>
      </c>
      <c r="E4560">
        <v>17</v>
      </c>
    </row>
    <row r="4561" spans="1:5" x14ac:dyDescent="0.3">
      <c r="A4561" t="s">
        <v>9</v>
      </c>
      <c r="B4561" s="1">
        <v>44708</v>
      </c>
      <c r="C4561">
        <v>1</v>
      </c>
      <c r="D4561">
        <v>80.73</v>
      </c>
      <c r="E4561">
        <v>100</v>
      </c>
    </row>
    <row r="4562" spans="1:5" x14ac:dyDescent="0.3">
      <c r="A4562" t="s">
        <v>122</v>
      </c>
      <c r="B4562" s="1">
        <v>44708</v>
      </c>
      <c r="C4562">
        <v>1</v>
      </c>
      <c r="D4562">
        <v>21.23</v>
      </c>
      <c r="E4562">
        <v>26</v>
      </c>
    </row>
    <row r="4563" spans="1:5" x14ac:dyDescent="0.3">
      <c r="A4563" t="s">
        <v>26</v>
      </c>
      <c r="B4563" s="1">
        <v>44708</v>
      </c>
      <c r="C4563">
        <v>0.1</v>
      </c>
      <c r="D4563">
        <v>991.73</v>
      </c>
      <c r="E4563">
        <v>1280</v>
      </c>
    </row>
    <row r="4564" spans="1:5" x14ac:dyDescent="0.3">
      <c r="A4564" t="s">
        <v>76</v>
      </c>
      <c r="B4564" s="1">
        <v>44708</v>
      </c>
      <c r="C4564">
        <v>1</v>
      </c>
      <c r="D4564">
        <v>31.28</v>
      </c>
      <c r="E4564">
        <v>38</v>
      </c>
    </row>
    <row r="4565" spans="1:5" x14ac:dyDescent="0.3">
      <c r="A4565" t="s">
        <v>76</v>
      </c>
      <c r="B4565" s="1">
        <v>44708</v>
      </c>
      <c r="C4565">
        <v>1</v>
      </c>
      <c r="D4565">
        <v>31.28</v>
      </c>
      <c r="E4565">
        <v>38</v>
      </c>
    </row>
    <row r="4566" spans="1:5" x14ac:dyDescent="0.3">
      <c r="A4566" t="s">
        <v>76</v>
      </c>
      <c r="B4566" s="1">
        <v>44708</v>
      </c>
      <c r="C4566">
        <v>1</v>
      </c>
      <c r="D4566">
        <v>31.28</v>
      </c>
      <c r="E4566">
        <v>38</v>
      </c>
    </row>
    <row r="4567" spans="1:5" x14ac:dyDescent="0.3">
      <c r="A4567" t="s">
        <v>94</v>
      </c>
      <c r="B4567" s="1">
        <v>44708</v>
      </c>
      <c r="C4567">
        <v>1</v>
      </c>
      <c r="D4567">
        <v>38.97</v>
      </c>
      <c r="E4567">
        <v>50</v>
      </c>
    </row>
    <row r="4568" spans="1:5" x14ac:dyDescent="0.3">
      <c r="A4568" t="s">
        <v>94</v>
      </c>
      <c r="B4568" s="1">
        <v>44708</v>
      </c>
      <c r="C4568">
        <v>1</v>
      </c>
      <c r="D4568">
        <v>31.13</v>
      </c>
      <c r="E4568">
        <v>43</v>
      </c>
    </row>
    <row r="4569" spans="1:5" x14ac:dyDescent="0.3">
      <c r="A4569" t="s">
        <v>94</v>
      </c>
      <c r="B4569" s="1">
        <v>44708</v>
      </c>
      <c r="C4569">
        <v>1</v>
      </c>
      <c r="D4569">
        <v>31.13</v>
      </c>
      <c r="E4569">
        <v>43</v>
      </c>
    </row>
    <row r="4570" spans="1:5" x14ac:dyDescent="0.3">
      <c r="A4570" t="s">
        <v>94</v>
      </c>
      <c r="B4570" s="1">
        <v>44708</v>
      </c>
      <c r="C4570">
        <v>1</v>
      </c>
      <c r="D4570">
        <v>31.13</v>
      </c>
      <c r="E4570">
        <v>43</v>
      </c>
    </row>
    <row r="4571" spans="1:5" x14ac:dyDescent="0.3">
      <c r="A4571" t="s">
        <v>94</v>
      </c>
      <c r="B4571" s="1">
        <v>44708</v>
      </c>
      <c r="C4571">
        <v>1</v>
      </c>
      <c r="D4571">
        <v>31.13</v>
      </c>
      <c r="E4571">
        <v>43</v>
      </c>
    </row>
    <row r="4572" spans="1:5" x14ac:dyDescent="0.3">
      <c r="A4572" t="s">
        <v>94</v>
      </c>
      <c r="B4572" s="1">
        <v>44708</v>
      </c>
      <c r="C4572">
        <v>1</v>
      </c>
      <c r="D4572">
        <v>31.13</v>
      </c>
      <c r="E4572">
        <v>43</v>
      </c>
    </row>
    <row r="4573" spans="1:5" x14ac:dyDescent="0.3">
      <c r="A4573" t="s">
        <v>94</v>
      </c>
      <c r="B4573" s="1">
        <v>44708</v>
      </c>
      <c r="C4573">
        <v>1</v>
      </c>
      <c r="D4573">
        <v>31.13</v>
      </c>
      <c r="E4573">
        <v>43</v>
      </c>
    </row>
    <row r="4574" spans="1:5" x14ac:dyDescent="0.3">
      <c r="A4574" t="s">
        <v>94</v>
      </c>
      <c r="B4574" s="1">
        <v>44708</v>
      </c>
      <c r="C4574">
        <v>1</v>
      </c>
      <c r="D4574">
        <v>31.13</v>
      </c>
      <c r="E4574">
        <v>43</v>
      </c>
    </row>
    <row r="4575" spans="1:5" x14ac:dyDescent="0.3">
      <c r="A4575" t="s">
        <v>94</v>
      </c>
      <c r="B4575" s="1">
        <v>44708</v>
      </c>
      <c r="C4575">
        <v>1</v>
      </c>
      <c r="D4575">
        <v>31.13</v>
      </c>
      <c r="E4575">
        <v>43</v>
      </c>
    </row>
    <row r="4576" spans="1:5" x14ac:dyDescent="0.3">
      <c r="A4576" t="s">
        <v>94</v>
      </c>
      <c r="B4576" s="1">
        <v>44708</v>
      </c>
      <c r="C4576">
        <v>1</v>
      </c>
      <c r="D4576">
        <v>31.13</v>
      </c>
      <c r="E4576">
        <v>43</v>
      </c>
    </row>
    <row r="4577" spans="1:5" x14ac:dyDescent="0.3">
      <c r="A4577" t="s">
        <v>145</v>
      </c>
      <c r="B4577" s="1">
        <v>44708</v>
      </c>
      <c r="C4577">
        <v>1</v>
      </c>
      <c r="D4577">
        <v>25.3</v>
      </c>
      <c r="E4577">
        <v>31</v>
      </c>
    </row>
    <row r="4578" spans="1:5" x14ac:dyDescent="0.3">
      <c r="A4578" t="s">
        <v>145</v>
      </c>
      <c r="B4578" s="1">
        <v>44708</v>
      </c>
      <c r="C4578">
        <v>1</v>
      </c>
      <c r="D4578">
        <v>25.3</v>
      </c>
      <c r="E4578">
        <v>31</v>
      </c>
    </row>
    <row r="4579" spans="1:5" x14ac:dyDescent="0.3">
      <c r="A4579" t="s">
        <v>95</v>
      </c>
      <c r="B4579" s="1">
        <v>44708</v>
      </c>
      <c r="C4579">
        <v>1</v>
      </c>
      <c r="D4579">
        <v>103.49</v>
      </c>
      <c r="E4579">
        <v>161</v>
      </c>
    </row>
    <row r="4580" spans="1:5" x14ac:dyDescent="0.3">
      <c r="A4580" t="s">
        <v>48</v>
      </c>
      <c r="B4580" s="1">
        <v>44708</v>
      </c>
      <c r="C4580">
        <v>1</v>
      </c>
      <c r="D4580">
        <v>38.11</v>
      </c>
      <c r="E4580">
        <v>58</v>
      </c>
    </row>
    <row r="4581" spans="1:5" x14ac:dyDescent="0.3">
      <c r="A4581" t="s">
        <v>93</v>
      </c>
      <c r="B4581" s="1">
        <v>44708</v>
      </c>
      <c r="C4581">
        <v>1</v>
      </c>
      <c r="D4581">
        <v>68.599999999999994</v>
      </c>
      <c r="E4581">
        <v>98</v>
      </c>
    </row>
    <row r="4582" spans="1:5" x14ac:dyDescent="0.3">
      <c r="A4582" t="s">
        <v>137</v>
      </c>
      <c r="B4582" s="1">
        <v>44708</v>
      </c>
      <c r="C4582">
        <v>1</v>
      </c>
      <c r="D4582">
        <v>8.18</v>
      </c>
      <c r="E4582">
        <v>15</v>
      </c>
    </row>
    <row r="4583" spans="1:5" x14ac:dyDescent="0.3">
      <c r="A4583" t="s">
        <v>11</v>
      </c>
      <c r="B4583" s="1">
        <v>44708</v>
      </c>
      <c r="C4583">
        <v>1</v>
      </c>
      <c r="D4583">
        <v>24.2</v>
      </c>
      <c r="E4583">
        <v>39</v>
      </c>
    </row>
    <row r="4584" spans="1:5" x14ac:dyDescent="0.3">
      <c r="A4584" t="s">
        <v>24</v>
      </c>
      <c r="B4584" s="1">
        <v>44708</v>
      </c>
      <c r="C4584">
        <v>1</v>
      </c>
      <c r="D4584">
        <v>96.14</v>
      </c>
      <c r="E4584">
        <v>118</v>
      </c>
    </row>
    <row r="4585" spans="1:5" x14ac:dyDescent="0.3">
      <c r="A4585" t="s">
        <v>139</v>
      </c>
      <c r="B4585" s="1">
        <v>44708</v>
      </c>
      <c r="C4585">
        <v>2</v>
      </c>
      <c r="D4585">
        <v>24.18</v>
      </c>
      <c r="E4585">
        <v>39</v>
      </c>
    </row>
    <row r="4586" spans="1:5" x14ac:dyDescent="0.3">
      <c r="A4586" t="s">
        <v>78</v>
      </c>
      <c r="B4586" s="1">
        <v>44708</v>
      </c>
      <c r="C4586">
        <v>1</v>
      </c>
      <c r="D4586">
        <v>69.7</v>
      </c>
      <c r="E4586">
        <v>88</v>
      </c>
    </row>
    <row r="4587" spans="1:5" x14ac:dyDescent="0.3">
      <c r="A4587" t="s">
        <v>52</v>
      </c>
      <c r="B4587" s="1">
        <v>44708</v>
      </c>
      <c r="C4587">
        <v>1</v>
      </c>
      <c r="D4587">
        <v>220.88</v>
      </c>
      <c r="E4587">
        <v>262</v>
      </c>
    </row>
    <row r="4588" spans="1:5" x14ac:dyDescent="0.3">
      <c r="A4588" t="s">
        <v>29</v>
      </c>
      <c r="B4588" s="1">
        <v>44708</v>
      </c>
      <c r="C4588">
        <v>1</v>
      </c>
      <c r="D4588">
        <v>481.17</v>
      </c>
      <c r="E4588">
        <v>621</v>
      </c>
    </row>
    <row r="4589" spans="1:5" x14ac:dyDescent="0.3">
      <c r="A4589" t="s">
        <v>104</v>
      </c>
      <c r="B4589" s="1">
        <v>44708</v>
      </c>
      <c r="C4589">
        <v>1</v>
      </c>
      <c r="D4589">
        <v>44.68</v>
      </c>
      <c r="E4589">
        <v>56</v>
      </c>
    </row>
    <row r="4590" spans="1:5" x14ac:dyDescent="0.3">
      <c r="A4590" t="s">
        <v>6</v>
      </c>
      <c r="B4590" s="1">
        <v>44708</v>
      </c>
      <c r="C4590">
        <v>0.4</v>
      </c>
      <c r="D4590">
        <v>507.48</v>
      </c>
      <c r="E4590">
        <v>635</v>
      </c>
    </row>
    <row r="4591" spans="1:5" x14ac:dyDescent="0.3">
      <c r="A4591" t="s">
        <v>18</v>
      </c>
      <c r="B4591" s="1">
        <v>44708</v>
      </c>
      <c r="C4591">
        <v>1</v>
      </c>
      <c r="D4591">
        <v>46</v>
      </c>
      <c r="E4591">
        <v>72</v>
      </c>
    </row>
    <row r="4592" spans="1:5" x14ac:dyDescent="0.3">
      <c r="A4592" t="s">
        <v>48</v>
      </c>
      <c r="B4592" s="1">
        <v>44708</v>
      </c>
      <c r="C4592">
        <v>1</v>
      </c>
      <c r="D4592">
        <v>41.47</v>
      </c>
      <c r="E4592">
        <v>64</v>
      </c>
    </row>
    <row r="4593" spans="1:5" x14ac:dyDescent="0.3">
      <c r="A4593" t="s">
        <v>48</v>
      </c>
      <c r="B4593" s="1">
        <v>44708</v>
      </c>
      <c r="C4593">
        <v>1</v>
      </c>
      <c r="D4593">
        <v>41.47</v>
      </c>
      <c r="E4593">
        <v>64</v>
      </c>
    </row>
    <row r="4594" spans="1:5" x14ac:dyDescent="0.3">
      <c r="A4594" t="s">
        <v>48</v>
      </c>
      <c r="B4594" s="1">
        <v>44708</v>
      </c>
      <c r="C4594">
        <v>1</v>
      </c>
      <c r="D4594">
        <v>38.11</v>
      </c>
      <c r="E4594">
        <v>58</v>
      </c>
    </row>
    <row r="4595" spans="1:5" x14ac:dyDescent="0.3">
      <c r="A4595" t="s">
        <v>9</v>
      </c>
      <c r="B4595" s="1">
        <v>44708</v>
      </c>
      <c r="C4595">
        <v>1</v>
      </c>
      <c r="D4595">
        <v>81.91</v>
      </c>
      <c r="E4595">
        <v>99</v>
      </c>
    </row>
    <row r="4596" spans="1:5" x14ac:dyDescent="0.3">
      <c r="A4596" t="s">
        <v>85</v>
      </c>
      <c r="B4596" s="1">
        <v>44708</v>
      </c>
      <c r="C4596">
        <v>1</v>
      </c>
      <c r="D4596">
        <v>18.010000000000002</v>
      </c>
      <c r="E4596">
        <v>28</v>
      </c>
    </row>
    <row r="4597" spans="1:5" x14ac:dyDescent="0.3">
      <c r="A4597" t="s">
        <v>48</v>
      </c>
      <c r="B4597" s="1">
        <v>44708</v>
      </c>
      <c r="C4597">
        <v>1</v>
      </c>
      <c r="D4597">
        <v>38.82</v>
      </c>
      <c r="E4597">
        <v>59</v>
      </c>
    </row>
    <row r="4598" spans="1:5" x14ac:dyDescent="0.3">
      <c r="A4598" t="s">
        <v>7</v>
      </c>
      <c r="B4598" s="1">
        <v>44708</v>
      </c>
      <c r="C4598">
        <v>1</v>
      </c>
      <c r="D4598">
        <v>88.43</v>
      </c>
      <c r="E4598">
        <v>104</v>
      </c>
    </row>
    <row r="4599" spans="1:5" x14ac:dyDescent="0.3">
      <c r="A4599" t="s">
        <v>6</v>
      </c>
      <c r="B4599" s="1">
        <v>44708</v>
      </c>
      <c r="C4599">
        <v>0.4</v>
      </c>
      <c r="D4599">
        <v>421.52</v>
      </c>
      <c r="E4599">
        <v>527</v>
      </c>
    </row>
    <row r="4600" spans="1:5" x14ac:dyDescent="0.3">
      <c r="A4600" t="s">
        <v>88</v>
      </c>
      <c r="B4600" s="1">
        <v>44708</v>
      </c>
      <c r="C4600">
        <v>0.5</v>
      </c>
      <c r="D4600">
        <v>108</v>
      </c>
      <c r="E4600">
        <v>165</v>
      </c>
    </row>
    <row r="4601" spans="1:5" x14ac:dyDescent="0.3">
      <c r="A4601" t="s">
        <v>16</v>
      </c>
      <c r="B4601" s="1">
        <v>44708</v>
      </c>
      <c r="C4601">
        <v>1</v>
      </c>
      <c r="D4601">
        <v>44.03</v>
      </c>
      <c r="E4601">
        <v>70</v>
      </c>
    </row>
    <row r="4602" spans="1:5" x14ac:dyDescent="0.3">
      <c r="A4602" t="s">
        <v>32</v>
      </c>
      <c r="B4602" s="1">
        <v>44708</v>
      </c>
      <c r="C4602">
        <v>1</v>
      </c>
      <c r="D4602">
        <v>149.72999999999999</v>
      </c>
      <c r="E4602">
        <v>233</v>
      </c>
    </row>
    <row r="4603" spans="1:5" x14ac:dyDescent="0.3">
      <c r="A4603" t="s">
        <v>7</v>
      </c>
      <c r="B4603" s="1">
        <v>44708</v>
      </c>
      <c r="C4603">
        <v>1</v>
      </c>
      <c r="D4603">
        <v>88.43</v>
      </c>
      <c r="E4603">
        <v>106</v>
      </c>
    </row>
    <row r="4604" spans="1:5" x14ac:dyDescent="0.3">
      <c r="A4604" t="s">
        <v>59</v>
      </c>
      <c r="B4604" s="1">
        <v>44708</v>
      </c>
      <c r="C4604">
        <v>2</v>
      </c>
      <c r="D4604">
        <v>14.55</v>
      </c>
      <c r="E4604">
        <v>24</v>
      </c>
    </row>
    <row r="4605" spans="1:5" x14ac:dyDescent="0.3">
      <c r="A4605" t="s">
        <v>21</v>
      </c>
      <c r="B4605" s="1">
        <v>44708</v>
      </c>
      <c r="C4605">
        <v>1</v>
      </c>
      <c r="D4605">
        <v>182.55</v>
      </c>
      <c r="E4605">
        <v>251</v>
      </c>
    </row>
    <row r="4606" spans="1:5" x14ac:dyDescent="0.3">
      <c r="A4606" t="s">
        <v>52</v>
      </c>
      <c r="B4606" s="1">
        <v>44708</v>
      </c>
      <c r="C4606">
        <v>1</v>
      </c>
      <c r="D4606">
        <v>221.19</v>
      </c>
      <c r="E4606">
        <v>262</v>
      </c>
    </row>
    <row r="4607" spans="1:5" x14ac:dyDescent="0.3">
      <c r="A4607" t="s">
        <v>98</v>
      </c>
      <c r="B4607" s="1">
        <v>44708</v>
      </c>
      <c r="C4607">
        <v>1</v>
      </c>
      <c r="D4607">
        <v>111.48</v>
      </c>
      <c r="E4607">
        <v>134</v>
      </c>
    </row>
    <row r="4608" spans="1:5" x14ac:dyDescent="0.3">
      <c r="A4608" t="s">
        <v>36</v>
      </c>
      <c r="B4608" s="1">
        <v>44708</v>
      </c>
      <c r="C4608">
        <v>1</v>
      </c>
      <c r="D4608">
        <v>22</v>
      </c>
      <c r="E4608">
        <v>28</v>
      </c>
    </row>
    <row r="4609" spans="1:5" x14ac:dyDescent="0.3">
      <c r="A4609" t="s">
        <v>37</v>
      </c>
      <c r="B4609" s="1">
        <v>44708</v>
      </c>
      <c r="C4609">
        <v>1</v>
      </c>
      <c r="D4609">
        <v>51.84</v>
      </c>
      <c r="E4609">
        <v>65</v>
      </c>
    </row>
    <row r="4610" spans="1:5" x14ac:dyDescent="0.3">
      <c r="A4610" t="s">
        <v>122</v>
      </c>
      <c r="B4610" s="1">
        <v>44708</v>
      </c>
      <c r="C4610">
        <v>1</v>
      </c>
      <c r="D4610">
        <v>20.86</v>
      </c>
      <c r="E4610">
        <v>26</v>
      </c>
    </row>
    <row r="4611" spans="1:5" x14ac:dyDescent="0.3">
      <c r="A4611" t="s">
        <v>146</v>
      </c>
      <c r="B4611" s="1">
        <v>44708</v>
      </c>
      <c r="C4611">
        <v>1</v>
      </c>
      <c r="D4611">
        <v>402.29</v>
      </c>
      <c r="E4611">
        <v>451</v>
      </c>
    </row>
    <row r="4612" spans="1:5" x14ac:dyDescent="0.3">
      <c r="A4612" t="s">
        <v>131</v>
      </c>
      <c r="B4612" s="1">
        <v>44708</v>
      </c>
      <c r="C4612">
        <v>1</v>
      </c>
      <c r="D4612">
        <v>361.91</v>
      </c>
      <c r="E4612">
        <v>424</v>
      </c>
    </row>
    <row r="4613" spans="1:5" x14ac:dyDescent="0.3">
      <c r="A4613" t="s">
        <v>62</v>
      </c>
      <c r="B4613" s="1">
        <v>44708</v>
      </c>
      <c r="C4613">
        <v>1</v>
      </c>
      <c r="D4613">
        <v>25.62</v>
      </c>
      <c r="E4613">
        <v>31</v>
      </c>
    </row>
    <row r="4614" spans="1:5" x14ac:dyDescent="0.3">
      <c r="A4614" t="s">
        <v>50</v>
      </c>
      <c r="B4614" s="1">
        <v>44708</v>
      </c>
      <c r="C4614">
        <v>1</v>
      </c>
      <c r="D4614">
        <v>43.55</v>
      </c>
      <c r="E4614">
        <v>54</v>
      </c>
    </row>
    <row r="4615" spans="1:5" x14ac:dyDescent="0.3">
      <c r="A4615" t="s">
        <v>90</v>
      </c>
      <c r="B4615" s="1">
        <v>44708</v>
      </c>
      <c r="C4615">
        <v>1</v>
      </c>
      <c r="D4615">
        <v>384.2</v>
      </c>
      <c r="E4615">
        <v>462</v>
      </c>
    </row>
    <row r="4616" spans="1:5" x14ac:dyDescent="0.3">
      <c r="A4616" t="s">
        <v>44</v>
      </c>
      <c r="B4616" s="1">
        <v>44708</v>
      </c>
      <c r="C4616">
        <v>1</v>
      </c>
      <c r="D4616">
        <v>63.83</v>
      </c>
      <c r="E4616">
        <v>98</v>
      </c>
    </row>
    <row r="4617" spans="1:5" x14ac:dyDescent="0.3">
      <c r="A4617" t="s">
        <v>5</v>
      </c>
      <c r="B4617" s="1">
        <v>44708</v>
      </c>
      <c r="C4617">
        <v>1</v>
      </c>
      <c r="D4617">
        <v>131.57</v>
      </c>
      <c r="E4617">
        <v>158</v>
      </c>
    </row>
    <row r="4618" spans="1:5" x14ac:dyDescent="0.3">
      <c r="A4618" t="s">
        <v>39</v>
      </c>
      <c r="B4618" s="1">
        <v>44708</v>
      </c>
      <c r="C4618">
        <v>2</v>
      </c>
      <c r="D4618">
        <v>35.409999999999997</v>
      </c>
      <c r="E4618">
        <v>58</v>
      </c>
    </row>
    <row r="4619" spans="1:5" x14ac:dyDescent="0.3">
      <c r="A4619" t="s">
        <v>74</v>
      </c>
      <c r="B4619" s="1">
        <v>44708</v>
      </c>
      <c r="C4619">
        <v>1</v>
      </c>
      <c r="D4619">
        <v>89.27</v>
      </c>
      <c r="E4619">
        <v>111</v>
      </c>
    </row>
    <row r="4620" spans="1:5" x14ac:dyDescent="0.3">
      <c r="A4620" t="s">
        <v>24</v>
      </c>
      <c r="B4620" s="1">
        <v>44708</v>
      </c>
      <c r="C4620">
        <v>1</v>
      </c>
      <c r="D4620">
        <v>96.14</v>
      </c>
      <c r="E4620">
        <v>118</v>
      </c>
    </row>
    <row r="4621" spans="1:5" x14ac:dyDescent="0.3">
      <c r="A4621" t="s">
        <v>57</v>
      </c>
      <c r="B4621" s="1">
        <v>44708</v>
      </c>
      <c r="C4621">
        <v>1</v>
      </c>
      <c r="D4621">
        <v>233.74</v>
      </c>
      <c r="E4621">
        <v>274</v>
      </c>
    </row>
    <row r="4622" spans="1:5" x14ac:dyDescent="0.3">
      <c r="A4622" t="s">
        <v>95</v>
      </c>
      <c r="B4622" s="1">
        <v>44708</v>
      </c>
      <c r="C4622">
        <v>1</v>
      </c>
      <c r="D4622">
        <v>131.07</v>
      </c>
      <c r="E4622">
        <v>206</v>
      </c>
    </row>
    <row r="4623" spans="1:5" x14ac:dyDescent="0.3">
      <c r="A4623" t="s">
        <v>26</v>
      </c>
      <c r="B4623" s="1">
        <v>44708</v>
      </c>
      <c r="C4623">
        <v>0.1</v>
      </c>
      <c r="D4623">
        <v>989.8</v>
      </c>
      <c r="E4623">
        <v>1307</v>
      </c>
    </row>
    <row r="4624" spans="1:5" x14ac:dyDescent="0.3">
      <c r="A4624" t="s">
        <v>120</v>
      </c>
      <c r="B4624" s="1">
        <v>44708</v>
      </c>
      <c r="C4624">
        <v>1</v>
      </c>
      <c r="D4624">
        <v>132.07</v>
      </c>
      <c r="E4624">
        <v>192</v>
      </c>
    </row>
    <row r="4625" spans="1:5" x14ac:dyDescent="0.3">
      <c r="A4625" t="s">
        <v>139</v>
      </c>
      <c r="B4625" s="1">
        <v>44708</v>
      </c>
      <c r="C4625">
        <v>2</v>
      </c>
      <c r="D4625">
        <v>24.18</v>
      </c>
      <c r="E4625">
        <v>39</v>
      </c>
    </row>
    <row r="4626" spans="1:5" x14ac:dyDescent="0.3">
      <c r="A4626" t="s">
        <v>114</v>
      </c>
      <c r="B4626" s="1">
        <v>44708</v>
      </c>
      <c r="C4626">
        <v>1</v>
      </c>
      <c r="D4626">
        <v>74.8</v>
      </c>
      <c r="E4626">
        <v>92</v>
      </c>
    </row>
    <row r="4627" spans="1:5" x14ac:dyDescent="0.3">
      <c r="A4627" t="s">
        <v>22</v>
      </c>
      <c r="B4627" s="1">
        <v>44708</v>
      </c>
      <c r="C4627">
        <v>1</v>
      </c>
      <c r="D4627">
        <v>30.3</v>
      </c>
      <c r="E4627">
        <v>49</v>
      </c>
    </row>
    <row r="4628" spans="1:5" x14ac:dyDescent="0.3">
      <c r="A4628" t="s">
        <v>91</v>
      </c>
      <c r="B4628" s="1">
        <v>44708</v>
      </c>
      <c r="C4628">
        <v>1</v>
      </c>
      <c r="D4628">
        <v>35.68</v>
      </c>
      <c r="E4628">
        <v>58</v>
      </c>
    </row>
    <row r="4629" spans="1:5" x14ac:dyDescent="0.3">
      <c r="A4629" t="s">
        <v>24</v>
      </c>
      <c r="B4629" s="1">
        <v>44708</v>
      </c>
      <c r="C4629">
        <v>1</v>
      </c>
      <c r="D4629">
        <v>96.14</v>
      </c>
      <c r="E4629">
        <v>118</v>
      </c>
    </row>
    <row r="4630" spans="1:5" x14ac:dyDescent="0.3">
      <c r="A4630" t="s">
        <v>72</v>
      </c>
      <c r="B4630" s="1">
        <v>44708</v>
      </c>
      <c r="C4630">
        <v>1</v>
      </c>
      <c r="D4630">
        <v>556.51</v>
      </c>
      <c r="E4630">
        <v>735</v>
      </c>
    </row>
    <row r="4631" spans="1:5" x14ac:dyDescent="0.3">
      <c r="A4631" t="s">
        <v>97</v>
      </c>
      <c r="B4631" s="1">
        <v>44708</v>
      </c>
      <c r="C4631">
        <v>1</v>
      </c>
      <c r="D4631">
        <v>426.66</v>
      </c>
      <c r="E4631">
        <v>564</v>
      </c>
    </row>
    <row r="4632" spans="1:5" x14ac:dyDescent="0.3">
      <c r="A4632" t="s">
        <v>17</v>
      </c>
      <c r="B4632" s="1">
        <v>44708</v>
      </c>
      <c r="C4632">
        <v>1</v>
      </c>
      <c r="D4632">
        <v>388.58</v>
      </c>
      <c r="E4632">
        <v>467</v>
      </c>
    </row>
    <row r="4633" spans="1:5" x14ac:dyDescent="0.3">
      <c r="A4633" t="s">
        <v>13</v>
      </c>
      <c r="B4633" s="1">
        <v>44708</v>
      </c>
      <c r="C4633">
        <v>1</v>
      </c>
      <c r="D4633">
        <v>128.79</v>
      </c>
      <c r="E4633">
        <v>153</v>
      </c>
    </row>
    <row r="4634" spans="1:5" x14ac:dyDescent="0.3">
      <c r="A4634" t="s">
        <v>19</v>
      </c>
      <c r="B4634" s="1">
        <v>44708</v>
      </c>
      <c r="C4634">
        <v>1</v>
      </c>
      <c r="D4634">
        <v>81.69</v>
      </c>
      <c r="E4634">
        <v>102</v>
      </c>
    </row>
    <row r="4635" spans="1:5" x14ac:dyDescent="0.3">
      <c r="A4635" t="s">
        <v>8</v>
      </c>
      <c r="B4635" s="1">
        <v>44708</v>
      </c>
      <c r="C4635">
        <v>1</v>
      </c>
      <c r="D4635">
        <v>47.83</v>
      </c>
      <c r="E4635">
        <v>78</v>
      </c>
    </row>
    <row r="4636" spans="1:5" x14ac:dyDescent="0.3">
      <c r="A4636" t="s">
        <v>133</v>
      </c>
      <c r="B4636" s="1">
        <v>44708</v>
      </c>
      <c r="C4636">
        <v>2</v>
      </c>
      <c r="D4636">
        <v>6.19</v>
      </c>
      <c r="E4636">
        <v>11</v>
      </c>
    </row>
    <row r="4637" spans="1:5" x14ac:dyDescent="0.3">
      <c r="A4637" t="s">
        <v>133</v>
      </c>
      <c r="B4637" s="1">
        <v>44708</v>
      </c>
      <c r="C4637">
        <v>1</v>
      </c>
      <c r="D4637">
        <v>6.19</v>
      </c>
      <c r="E4637">
        <v>11</v>
      </c>
    </row>
    <row r="4638" spans="1:5" x14ac:dyDescent="0.3">
      <c r="A4638" t="s">
        <v>73</v>
      </c>
      <c r="B4638" s="1">
        <v>44708</v>
      </c>
      <c r="C4638">
        <v>4</v>
      </c>
      <c r="D4638">
        <v>8.07</v>
      </c>
      <c r="E4638">
        <v>14</v>
      </c>
    </row>
    <row r="4639" spans="1:5" x14ac:dyDescent="0.3">
      <c r="A4639" t="s">
        <v>45</v>
      </c>
      <c r="B4639" s="1">
        <v>44708</v>
      </c>
      <c r="C4639">
        <v>2</v>
      </c>
      <c r="D4639">
        <v>28.13</v>
      </c>
      <c r="E4639">
        <v>46</v>
      </c>
    </row>
    <row r="4640" spans="1:5" x14ac:dyDescent="0.3">
      <c r="A4640" t="s">
        <v>7</v>
      </c>
      <c r="B4640" s="1">
        <v>44708</v>
      </c>
      <c r="C4640">
        <v>1</v>
      </c>
      <c r="D4640">
        <v>88.43</v>
      </c>
      <c r="E4640">
        <v>104</v>
      </c>
    </row>
    <row r="4641" spans="1:5" x14ac:dyDescent="0.3">
      <c r="A4641" t="s">
        <v>131</v>
      </c>
      <c r="B4641" s="1">
        <v>44708</v>
      </c>
      <c r="C4641">
        <v>1</v>
      </c>
      <c r="D4641">
        <v>363</v>
      </c>
      <c r="E4641">
        <v>436</v>
      </c>
    </row>
    <row r="4642" spans="1:5" x14ac:dyDescent="0.3">
      <c r="A4642" t="s">
        <v>57</v>
      </c>
      <c r="B4642" s="1">
        <v>44708</v>
      </c>
      <c r="C4642">
        <v>1</v>
      </c>
      <c r="D4642">
        <v>233.74</v>
      </c>
      <c r="E4642">
        <v>274</v>
      </c>
    </row>
    <row r="4643" spans="1:5" x14ac:dyDescent="0.3">
      <c r="A4643" t="s">
        <v>59</v>
      </c>
      <c r="B4643" s="1">
        <v>44708</v>
      </c>
      <c r="C4643">
        <v>2</v>
      </c>
      <c r="D4643">
        <v>14.55</v>
      </c>
      <c r="E4643">
        <v>24</v>
      </c>
    </row>
    <row r="4644" spans="1:5" x14ac:dyDescent="0.3">
      <c r="A4644" t="s">
        <v>26</v>
      </c>
      <c r="B4644" s="1">
        <v>44708</v>
      </c>
      <c r="C4644">
        <v>3.3333300000000003E-2</v>
      </c>
      <c r="D4644">
        <v>1182.26</v>
      </c>
      <c r="E4644">
        <v>1537</v>
      </c>
    </row>
    <row r="4645" spans="1:5" x14ac:dyDescent="0.3">
      <c r="A4645" t="s">
        <v>117</v>
      </c>
      <c r="B4645" s="1">
        <v>44708</v>
      </c>
      <c r="C4645">
        <v>1</v>
      </c>
      <c r="D4645">
        <v>23.14</v>
      </c>
      <c r="E4645">
        <v>28</v>
      </c>
    </row>
    <row r="4646" spans="1:5" x14ac:dyDescent="0.3">
      <c r="A4646" t="s">
        <v>118</v>
      </c>
      <c r="B4646" s="1">
        <v>44708</v>
      </c>
      <c r="C4646">
        <v>1</v>
      </c>
      <c r="D4646">
        <v>10.63</v>
      </c>
      <c r="E4646">
        <v>13</v>
      </c>
    </row>
    <row r="4647" spans="1:5" x14ac:dyDescent="0.3">
      <c r="A4647" t="s">
        <v>41</v>
      </c>
      <c r="B4647" s="1">
        <v>44708</v>
      </c>
      <c r="C4647">
        <v>1</v>
      </c>
      <c r="D4647">
        <v>11.63</v>
      </c>
      <c r="E4647">
        <v>19</v>
      </c>
    </row>
    <row r="4648" spans="1:5" x14ac:dyDescent="0.3">
      <c r="A4648" t="s">
        <v>154</v>
      </c>
      <c r="B4648" s="1">
        <v>44708</v>
      </c>
      <c r="C4648">
        <v>1</v>
      </c>
      <c r="D4648">
        <v>124.5</v>
      </c>
      <c r="E4648">
        <v>149</v>
      </c>
    </row>
    <row r="4649" spans="1:5" x14ac:dyDescent="0.3">
      <c r="A4649" t="s">
        <v>154</v>
      </c>
      <c r="B4649" s="1">
        <v>44708</v>
      </c>
      <c r="C4649">
        <v>1</v>
      </c>
      <c r="D4649">
        <v>124.5</v>
      </c>
      <c r="E4649">
        <v>149</v>
      </c>
    </row>
    <row r="4650" spans="1:5" x14ac:dyDescent="0.3">
      <c r="A4650" t="s">
        <v>13</v>
      </c>
      <c r="B4650" s="1">
        <v>44708</v>
      </c>
      <c r="C4650">
        <v>1</v>
      </c>
      <c r="D4650">
        <v>120.36</v>
      </c>
      <c r="E4650">
        <v>145</v>
      </c>
    </row>
    <row r="4651" spans="1:5" x14ac:dyDescent="0.3">
      <c r="A4651" t="s">
        <v>115</v>
      </c>
      <c r="B4651" s="1">
        <v>44708</v>
      </c>
      <c r="C4651">
        <v>1</v>
      </c>
      <c r="D4651">
        <v>69.849999999999994</v>
      </c>
      <c r="E4651">
        <v>88</v>
      </c>
    </row>
    <row r="4652" spans="1:5" x14ac:dyDescent="0.3">
      <c r="A4652" t="s">
        <v>25</v>
      </c>
      <c r="B4652" s="1">
        <v>44708</v>
      </c>
      <c r="C4652">
        <v>1</v>
      </c>
      <c r="D4652">
        <v>151.22</v>
      </c>
      <c r="E4652">
        <v>181</v>
      </c>
    </row>
    <row r="4653" spans="1:5" x14ac:dyDescent="0.3">
      <c r="A4653" t="s">
        <v>140</v>
      </c>
      <c r="B4653" s="1">
        <v>44708</v>
      </c>
      <c r="C4653">
        <v>1</v>
      </c>
      <c r="D4653">
        <v>157.12</v>
      </c>
      <c r="E4653">
        <v>189</v>
      </c>
    </row>
    <row r="4654" spans="1:5" x14ac:dyDescent="0.3">
      <c r="A4654" t="s">
        <v>19</v>
      </c>
      <c r="B4654" s="1">
        <v>44708</v>
      </c>
      <c r="C4654">
        <v>1</v>
      </c>
      <c r="D4654">
        <v>81.290000000000006</v>
      </c>
      <c r="E4654">
        <v>103</v>
      </c>
    </row>
    <row r="4655" spans="1:5" x14ac:dyDescent="0.3">
      <c r="A4655" t="s">
        <v>139</v>
      </c>
      <c r="B4655" s="1">
        <v>44708</v>
      </c>
      <c r="C4655">
        <v>1</v>
      </c>
      <c r="D4655">
        <v>24.18</v>
      </c>
      <c r="E4655">
        <v>40</v>
      </c>
    </row>
    <row r="4656" spans="1:5" x14ac:dyDescent="0.3">
      <c r="A4656" t="s">
        <v>56</v>
      </c>
      <c r="B4656" s="1">
        <v>44708</v>
      </c>
      <c r="C4656">
        <v>1</v>
      </c>
      <c r="D4656">
        <v>45.36</v>
      </c>
      <c r="E4656">
        <v>71</v>
      </c>
    </row>
    <row r="4657" spans="1:5" x14ac:dyDescent="0.3">
      <c r="A4657" t="s">
        <v>127</v>
      </c>
      <c r="B4657" s="1">
        <v>44708</v>
      </c>
      <c r="C4657">
        <v>1</v>
      </c>
      <c r="D4657">
        <v>119.28</v>
      </c>
      <c r="E4657">
        <v>169</v>
      </c>
    </row>
    <row r="4658" spans="1:5" x14ac:dyDescent="0.3">
      <c r="A4658" t="s">
        <v>135</v>
      </c>
      <c r="B4658" s="1">
        <v>44708</v>
      </c>
      <c r="C4658">
        <v>1</v>
      </c>
      <c r="D4658">
        <v>72.88</v>
      </c>
      <c r="E4658">
        <v>90</v>
      </c>
    </row>
    <row r="4659" spans="1:5" x14ac:dyDescent="0.3">
      <c r="A4659" t="s">
        <v>31</v>
      </c>
      <c r="B4659" s="1">
        <v>44708</v>
      </c>
      <c r="C4659">
        <v>1</v>
      </c>
      <c r="D4659">
        <v>13.05</v>
      </c>
      <c r="E4659">
        <v>18</v>
      </c>
    </row>
    <row r="4660" spans="1:5" x14ac:dyDescent="0.3">
      <c r="A4660" t="s">
        <v>31</v>
      </c>
      <c r="B4660" s="1">
        <v>44708</v>
      </c>
      <c r="C4660">
        <v>1</v>
      </c>
      <c r="D4660">
        <v>13.05</v>
      </c>
      <c r="E4660">
        <v>18</v>
      </c>
    </row>
    <row r="4661" spans="1:5" x14ac:dyDescent="0.3">
      <c r="A4661" t="s">
        <v>110</v>
      </c>
      <c r="B4661" s="1">
        <v>44708</v>
      </c>
      <c r="C4661">
        <v>1</v>
      </c>
      <c r="D4661">
        <v>215.6</v>
      </c>
      <c r="E4661">
        <v>285</v>
      </c>
    </row>
    <row r="4662" spans="1:5" x14ac:dyDescent="0.3">
      <c r="A4662" t="s">
        <v>146</v>
      </c>
      <c r="B4662" s="1">
        <v>44708</v>
      </c>
      <c r="C4662">
        <v>1</v>
      </c>
      <c r="D4662">
        <v>407.84</v>
      </c>
      <c r="E4662">
        <v>457</v>
      </c>
    </row>
    <row r="4663" spans="1:5" x14ac:dyDescent="0.3">
      <c r="A4663" t="s">
        <v>136</v>
      </c>
      <c r="B4663" s="1">
        <v>44708</v>
      </c>
      <c r="C4663">
        <v>1</v>
      </c>
      <c r="D4663">
        <v>286.19</v>
      </c>
      <c r="E4663">
        <v>395</v>
      </c>
    </row>
    <row r="4664" spans="1:5" x14ac:dyDescent="0.3">
      <c r="A4664" t="s">
        <v>5</v>
      </c>
      <c r="B4664" s="1">
        <v>44708</v>
      </c>
      <c r="C4664">
        <v>1</v>
      </c>
      <c r="D4664">
        <v>130.75</v>
      </c>
      <c r="E4664">
        <v>160</v>
      </c>
    </row>
    <row r="4665" spans="1:5" x14ac:dyDescent="0.3">
      <c r="A4665" t="s">
        <v>11</v>
      </c>
      <c r="B4665" s="1">
        <v>44708</v>
      </c>
      <c r="C4665">
        <v>1</v>
      </c>
      <c r="D4665">
        <v>24.2</v>
      </c>
      <c r="E4665">
        <v>39</v>
      </c>
    </row>
    <row r="4666" spans="1:5" x14ac:dyDescent="0.3">
      <c r="A4666" t="s">
        <v>90</v>
      </c>
      <c r="B4666" s="1">
        <v>44708</v>
      </c>
      <c r="C4666">
        <v>1</v>
      </c>
      <c r="D4666">
        <v>397.02</v>
      </c>
      <c r="E4666">
        <v>489</v>
      </c>
    </row>
    <row r="4667" spans="1:5" x14ac:dyDescent="0.3">
      <c r="A4667" t="s">
        <v>122</v>
      </c>
      <c r="B4667" s="1">
        <v>44708</v>
      </c>
      <c r="C4667">
        <v>1</v>
      </c>
      <c r="D4667">
        <v>21.23</v>
      </c>
      <c r="E4667">
        <v>26</v>
      </c>
    </row>
    <row r="4668" spans="1:5" x14ac:dyDescent="0.3">
      <c r="A4668" t="s">
        <v>16</v>
      </c>
      <c r="B4668" s="1">
        <v>44708</v>
      </c>
      <c r="C4668">
        <v>1</v>
      </c>
      <c r="D4668">
        <v>44.03</v>
      </c>
      <c r="E4668">
        <v>70</v>
      </c>
    </row>
    <row r="4669" spans="1:5" x14ac:dyDescent="0.3">
      <c r="A4669" t="s">
        <v>115</v>
      </c>
      <c r="B4669" s="1">
        <v>44708</v>
      </c>
      <c r="C4669">
        <v>1</v>
      </c>
      <c r="D4669">
        <v>69.849999999999994</v>
      </c>
      <c r="E4669">
        <v>88</v>
      </c>
    </row>
    <row r="4670" spans="1:5" x14ac:dyDescent="0.3">
      <c r="A4670" t="s">
        <v>120</v>
      </c>
      <c r="B4670" s="1">
        <v>44708</v>
      </c>
      <c r="C4670">
        <v>1</v>
      </c>
      <c r="D4670">
        <v>130.35</v>
      </c>
      <c r="E4670">
        <v>182</v>
      </c>
    </row>
    <row r="4671" spans="1:5" x14ac:dyDescent="0.3">
      <c r="A4671" t="s">
        <v>62</v>
      </c>
      <c r="B4671" s="1">
        <v>44708</v>
      </c>
      <c r="C4671">
        <v>1</v>
      </c>
      <c r="D4671">
        <v>24.74</v>
      </c>
      <c r="E4671">
        <v>30</v>
      </c>
    </row>
    <row r="4672" spans="1:5" x14ac:dyDescent="0.3">
      <c r="A4672" t="s">
        <v>62</v>
      </c>
      <c r="B4672" s="1">
        <v>44708</v>
      </c>
      <c r="C4672">
        <v>1</v>
      </c>
      <c r="D4672">
        <v>24.74</v>
      </c>
      <c r="E4672">
        <v>30</v>
      </c>
    </row>
    <row r="4673" spans="1:5" x14ac:dyDescent="0.3">
      <c r="A4673" t="s">
        <v>87</v>
      </c>
      <c r="B4673" s="1">
        <v>44708</v>
      </c>
      <c r="C4673">
        <v>1</v>
      </c>
      <c r="D4673">
        <v>323.66000000000003</v>
      </c>
      <c r="E4673">
        <v>370</v>
      </c>
    </row>
    <row r="4674" spans="1:5" x14ac:dyDescent="0.3">
      <c r="A4674" t="s">
        <v>67</v>
      </c>
      <c r="B4674" s="1">
        <v>44708</v>
      </c>
      <c r="C4674">
        <v>1</v>
      </c>
      <c r="D4674">
        <v>55.64</v>
      </c>
      <c r="E4674">
        <v>79</v>
      </c>
    </row>
    <row r="4675" spans="1:5" x14ac:dyDescent="0.3">
      <c r="A4675" t="s">
        <v>98</v>
      </c>
      <c r="B4675" s="1">
        <v>44708</v>
      </c>
      <c r="C4675">
        <v>1</v>
      </c>
      <c r="D4675">
        <v>110.99</v>
      </c>
      <c r="E4675">
        <v>136</v>
      </c>
    </row>
    <row r="4676" spans="1:5" x14ac:dyDescent="0.3">
      <c r="A4676" t="s">
        <v>54</v>
      </c>
      <c r="B4676" s="1">
        <v>44708</v>
      </c>
      <c r="C4676">
        <v>1</v>
      </c>
      <c r="D4676">
        <v>731.05</v>
      </c>
      <c r="E4676">
        <v>944</v>
      </c>
    </row>
    <row r="4677" spans="1:5" x14ac:dyDescent="0.3">
      <c r="A4677" t="s">
        <v>54</v>
      </c>
      <c r="B4677" s="1">
        <v>44708</v>
      </c>
      <c r="C4677">
        <v>1</v>
      </c>
      <c r="D4677">
        <v>731.05</v>
      </c>
      <c r="E4677">
        <v>944</v>
      </c>
    </row>
    <row r="4678" spans="1:5" x14ac:dyDescent="0.3">
      <c r="A4678" t="s">
        <v>74</v>
      </c>
      <c r="B4678" s="1">
        <v>44708</v>
      </c>
      <c r="C4678">
        <v>1</v>
      </c>
      <c r="D4678">
        <v>87.52</v>
      </c>
      <c r="E4678">
        <v>109</v>
      </c>
    </row>
    <row r="4679" spans="1:5" x14ac:dyDescent="0.3">
      <c r="A4679" t="s">
        <v>116</v>
      </c>
      <c r="B4679" s="1">
        <v>44708</v>
      </c>
      <c r="C4679">
        <v>1</v>
      </c>
      <c r="D4679">
        <v>101.43</v>
      </c>
      <c r="E4679">
        <v>120</v>
      </c>
    </row>
    <row r="4680" spans="1:5" x14ac:dyDescent="0.3">
      <c r="A4680" t="s">
        <v>151</v>
      </c>
      <c r="B4680" s="1">
        <v>44708</v>
      </c>
      <c r="C4680">
        <v>1</v>
      </c>
      <c r="D4680">
        <v>24.03</v>
      </c>
      <c r="E4680">
        <v>29</v>
      </c>
    </row>
    <row r="4681" spans="1:5" x14ac:dyDescent="0.3">
      <c r="A4681" t="s">
        <v>32</v>
      </c>
      <c r="B4681" s="1">
        <v>44708</v>
      </c>
      <c r="C4681">
        <v>1</v>
      </c>
      <c r="D4681">
        <v>105</v>
      </c>
      <c r="E4681">
        <v>161</v>
      </c>
    </row>
    <row r="4682" spans="1:5" x14ac:dyDescent="0.3">
      <c r="A4682" t="s">
        <v>11</v>
      </c>
      <c r="B4682" s="1">
        <v>44708</v>
      </c>
      <c r="C4682">
        <v>2</v>
      </c>
      <c r="D4682">
        <v>24.2</v>
      </c>
      <c r="E4682">
        <v>39</v>
      </c>
    </row>
    <row r="4683" spans="1:5" x14ac:dyDescent="0.3">
      <c r="A4683" t="s">
        <v>25</v>
      </c>
      <c r="B4683" s="1">
        <v>44708</v>
      </c>
      <c r="C4683">
        <v>1</v>
      </c>
      <c r="D4683">
        <v>147.18</v>
      </c>
      <c r="E4683">
        <v>177</v>
      </c>
    </row>
    <row r="4684" spans="1:5" x14ac:dyDescent="0.3">
      <c r="A4684" t="s">
        <v>20</v>
      </c>
      <c r="B4684" s="1">
        <v>44708</v>
      </c>
      <c r="C4684">
        <v>1</v>
      </c>
      <c r="D4684">
        <v>22.62</v>
      </c>
      <c r="E4684">
        <v>29</v>
      </c>
    </row>
    <row r="4685" spans="1:5" x14ac:dyDescent="0.3">
      <c r="A4685" t="s">
        <v>20</v>
      </c>
      <c r="B4685" s="1">
        <v>44708</v>
      </c>
      <c r="C4685">
        <v>1</v>
      </c>
      <c r="D4685">
        <v>22.62</v>
      </c>
      <c r="E4685">
        <v>29</v>
      </c>
    </row>
    <row r="4686" spans="1:5" x14ac:dyDescent="0.3">
      <c r="A4686" t="s">
        <v>127</v>
      </c>
      <c r="B4686" s="1">
        <v>44708</v>
      </c>
      <c r="C4686">
        <v>1</v>
      </c>
      <c r="D4686">
        <v>118.82</v>
      </c>
      <c r="E4686">
        <v>168</v>
      </c>
    </row>
    <row r="4687" spans="1:5" x14ac:dyDescent="0.3">
      <c r="A4687" t="s">
        <v>77</v>
      </c>
      <c r="B4687" s="1">
        <v>44708</v>
      </c>
      <c r="C4687">
        <v>1</v>
      </c>
      <c r="D4687">
        <v>60.62</v>
      </c>
      <c r="E4687">
        <v>76</v>
      </c>
    </row>
    <row r="4688" spans="1:5" x14ac:dyDescent="0.3">
      <c r="A4688" t="s">
        <v>9</v>
      </c>
      <c r="B4688" s="1">
        <v>44708</v>
      </c>
      <c r="C4688">
        <v>1</v>
      </c>
      <c r="D4688">
        <v>81.17</v>
      </c>
      <c r="E4688">
        <v>99</v>
      </c>
    </row>
    <row r="4689" spans="1:5" x14ac:dyDescent="0.3">
      <c r="A4689" t="s">
        <v>61</v>
      </c>
      <c r="B4689" s="1">
        <v>44708</v>
      </c>
      <c r="C4689">
        <v>1</v>
      </c>
      <c r="D4689">
        <v>32.909999999999997</v>
      </c>
      <c r="E4689">
        <v>51</v>
      </c>
    </row>
    <row r="4690" spans="1:5" x14ac:dyDescent="0.3">
      <c r="A4690" t="s">
        <v>137</v>
      </c>
      <c r="B4690" s="1">
        <v>44708</v>
      </c>
      <c r="C4690">
        <v>1</v>
      </c>
      <c r="D4690">
        <v>10.53</v>
      </c>
      <c r="E4690">
        <v>18</v>
      </c>
    </row>
    <row r="4691" spans="1:5" x14ac:dyDescent="0.3">
      <c r="A4691" t="s">
        <v>72</v>
      </c>
      <c r="B4691" s="1">
        <v>44708</v>
      </c>
      <c r="C4691">
        <v>1</v>
      </c>
      <c r="D4691">
        <v>556.51</v>
      </c>
      <c r="E4691">
        <v>735</v>
      </c>
    </row>
    <row r="4692" spans="1:5" x14ac:dyDescent="0.3">
      <c r="A4692" t="s">
        <v>57</v>
      </c>
      <c r="B4692" s="1">
        <v>44708</v>
      </c>
      <c r="C4692">
        <v>1</v>
      </c>
      <c r="D4692">
        <v>233.74</v>
      </c>
      <c r="E4692">
        <v>274</v>
      </c>
    </row>
    <row r="4693" spans="1:5" x14ac:dyDescent="0.3">
      <c r="A4693" t="s">
        <v>83</v>
      </c>
      <c r="B4693" s="1">
        <v>44708</v>
      </c>
      <c r="C4693">
        <v>1</v>
      </c>
      <c r="D4693">
        <v>201.71</v>
      </c>
      <c r="E4693">
        <v>243</v>
      </c>
    </row>
    <row r="4694" spans="1:5" x14ac:dyDescent="0.3">
      <c r="A4694" t="s">
        <v>93</v>
      </c>
      <c r="B4694" s="1">
        <v>44708</v>
      </c>
      <c r="C4694">
        <v>1</v>
      </c>
      <c r="D4694">
        <v>71.040000000000006</v>
      </c>
      <c r="E4694">
        <v>101</v>
      </c>
    </row>
    <row r="4695" spans="1:5" x14ac:dyDescent="0.3">
      <c r="A4695" t="s">
        <v>91</v>
      </c>
      <c r="B4695" s="1">
        <v>44708</v>
      </c>
      <c r="C4695">
        <v>1</v>
      </c>
      <c r="D4695">
        <v>31.93</v>
      </c>
      <c r="E4695">
        <v>52</v>
      </c>
    </row>
    <row r="4696" spans="1:5" x14ac:dyDescent="0.3">
      <c r="A4696" t="s">
        <v>20</v>
      </c>
      <c r="B4696" s="1">
        <v>44708</v>
      </c>
      <c r="C4696">
        <v>1</v>
      </c>
      <c r="D4696">
        <v>19.71</v>
      </c>
      <c r="E4696">
        <v>25</v>
      </c>
    </row>
    <row r="4697" spans="1:5" x14ac:dyDescent="0.3">
      <c r="A4697" t="s">
        <v>20</v>
      </c>
      <c r="B4697" s="1">
        <v>44708</v>
      </c>
      <c r="C4697">
        <v>1</v>
      </c>
      <c r="D4697">
        <v>19.71</v>
      </c>
      <c r="E4697">
        <v>25</v>
      </c>
    </row>
    <row r="4698" spans="1:5" x14ac:dyDescent="0.3">
      <c r="A4698" t="s">
        <v>27</v>
      </c>
      <c r="B4698" s="1">
        <v>44708</v>
      </c>
      <c r="C4698">
        <v>1</v>
      </c>
      <c r="D4698">
        <v>102.34</v>
      </c>
      <c r="E4698">
        <v>157</v>
      </c>
    </row>
    <row r="4699" spans="1:5" x14ac:dyDescent="0.3">
      <c r="A4699" t="s">
        <v>88</v>
      </c>
      <c r="B4699" s="1">
        <v>44708</v>
      </c>
      <c r="C4699">
        <v>1</v>
      </c>
      <c r="D4699">
        <v>128.1</v>
      </c>
      <c r="E4699">
        <v>199</v>
      </c>
    </row>
    <row r="4700" spans="1:5" x14ac:dyDescent="0.3">
      <c r="A4700" t="s">
        <v>98</v>
      </c>
      <c r="B4700" s="1">
        <v>44708</v>
      </c>
      <c r="C4700">
        <v>1</v>
      </c>
      <c r="D4700">
        <v>110.99</v>
      </c>
      <c r="E4700">
        <v>136</v>
      </c>
    </row>
    <row r="4701" spans="1:5" x14ac:dyDescent="0.3">
      <c r="A4701" t="s">
        <v>122</v>
      </c>
      <c r="B4701" s="1">
        <v>44708</v>
      </c>
      <c r="C4701">
        <v>1</v>
      </c>
      <c r="D4701">
        <v>20.75</v>
      </c>
      <c r="E4701">
        <v>25</v>
      </c>
    </row>
    <row r="4702" spans="1:5" x14ac:dyDescent="0.3">
      <c r="A4702" t="s">
        <v>24</v>
      </c>
      <c r="B4702" s="1">
        <v>44708</v>
      </c>
      <c r="C4702">
        <v>1</v>
      </c>
      <c r="D4702">
        <v>96.43</v>
      </c>
      <c r="E4702">
        <v>113</v>
      </c>
    </row>
    <row r="4703" spans="1:5" x14ac:dyDescent="0.3">
      <c r="A4703" t="s">
        <v>47</v>
      </c>
      <c r="B4703" s="1">
        <v>44708</v>
      </c>
      <c r="C4703">
        <v>1</v>
      </c>
      <c r="D4703">
        <v>42.85</v>
      </c>
      <c r="E4703">
        <v>67</v>
      </c>
    </row>
    <row r="4704" spans="1:5" x14ac:dyDescent="0.3">
      <c r="A4704" t="s">
        <v>47</v>
      </c>
      <c r="B4704" s="1">
        <v>44708</v>
      </c>
      <c r="C4704">
        <v>1</v>
      </c>
      <c r="D4704">
        <v>42.85</v>
      </c>
      <c r="E4704">
        <v>67</v>
      </c>
    </row>
    <row r="4705" spans="1:5" x14ac:dyDescent="0.3">
      <c r="A4705" t="s">
        <v>152</v>
      </c>
      <c r="B4705" s="1">
        <v>44708</v>
      </c>
      <c r="C4705">
        <v>1</v>
      </c>
      <c r="D4705">
        <v>132.41</v>
      </c>
      <c r="E4705">
        <v>146</v>
      </c>
    </row>
    <row r="4706" spans="1:5" x14ac:dyDescent="0.3">
      <c r="A4706" t="s">
        <v>72</v>
      </c>
      <c r="B4706" s="1">
        <v>44708</v>
      </c>
      <c r="C4706">
        <v>1</v>
      </c>
      <c r="D4706">
        <v>556.51</v>
      </c>
      <c r="E4706">
        <v>735</v>
      </c>
    </row>
    <row r="4707" spans="1:5" x14ac:dyDescent="0.3">
      <c r="A4707" t="s">
        <v>35</v>
      </c>
      <c r="B4707" s="1">
        <v>44708</v>
      </c>
      <c r="C4707">
        <v>1</v>
      </c>
      <c r="D4707">
        <v>33.11</v>
      </c>
      <c r="E4707">
        <v>51</v>
      </c>
    </row>
    <row r="4708" spans="1:5" x14ac:dyDescent="0.3">
      <c r="A4708" t="s">
        <v>77</v>
      </c>
      <c r="B4708" s="1">
        <v>44708</v>
      </c>
      <c r="C4708">
        <v>1</v>
      </c>
      <c r="D4708">
        <v>60.68</v>
      </c>
      <c r="E4708">
        <v>76</v>
      </c>
    </row>
    <row r="4709" spans="1:5" x14ac:dyDescent="0.3">
      <c r="A4709" t="s">
        <v>47</v>
      </c>
      <c r="B4709" s="1">
        <v>44708</v>
      </c>
      <c r="C4709">
        <v>1</v>
      </c>
      <c r="D4709">
        <v>42.85</v>
      </c>
      <c r="E4709">
        <v>67</v>
      </c>
    </row>
    <row r="4710" spans="1:5" x14ac:dyDescent="0.3">
      <c r="A4710" t="s">
        <v>26</v>
      </c>
      <c r="B4710" s="1">
        <v>44708</v>
      </c>
      <c r="C4710">
        <v>0.1</v>
      </c>
      <c r="D4710">
        <v>986.58</v>
      </c>
      <c r="E4710">
        <v>1234</v>
      </c>
    </row>
    <row r="4711" spans="1:5" x14ac:dyDescent="0.3">
      <c r="A4711" t="s">
        <v>30</v>
      </c>
      <c r="B4711" s="1">
        <v>44708</v>
      </c>
      <c r="C4711">
        <v>1</v>
      </c>
      <c r="D4711">
        <v>156.19999999999999</v>
      </c>
      <c r="E4711">
        <v>186</v>
      </c>
    </row>
    <row r="4712" spans="1:5" x14ac:dyDescent="0.3">
      <c r="A4712" t="s">
        <v>22</v>
      </c>
      <c r="B4712" s="1">
        <v>44708</v>
      </c>
      <c r="C4712">
        <v>1</v>
      </c>
      <c r="D4712">
        <v>30.3</v>
      </c>
      <c r="E4712">
        <v>49</v>
      </c>
    </row>
    <row r="4713" spans="1:5" x14ac:dyDescent="0.3">
      <c r="A4713" t="s">
        <v>30</v>
      </c>
      <c r="B4713" s="1">
        <v>44708</v>
      </c>
      <c r="C4713">
        <v>1</v>
      </c>
      <c r="D4713">
        <v>156.19999999999999</v>
      </c>
      <c r="E4713">
        <v>189</v>
      </c>
    </row>
    <row r="4714" spans="1:5" x14ac:dyDescent="0.3">
      <c r="A4714" t="s">
        <v>36</v>
      </c>
      <c r="B4714" s="1">
        <v>44708</v>
      </c>
      <c r="C4714">
        <v>1</v>
      </c>
      <c r="D4714">
        <v>22.03</v>
      </c>
      <c r="E4714">
        <v>28</v>
      </c>
    </row>
    <row r="4715" spans="1:5" x14ac:dyDescent="0.3">
      <c r="A4715" t="s">
        <v>82</v>
      </c>
      <c r="B4715" s="1">
        <v>44708</v>
      </c>
      <c r="C4715">
        <v>1</v>
      </c>
      <c r="D4715">
        <v>38.07</v>
      </c>
      <c r="E4715">
        <v>48</v>
      </c>
    </row>
    <row r="4716" spans="1:5" x14ac:dyDescent="0.3">
      <c r="A4716" t="s">
        <v>128</v>
      </c>
      <c r="B4716" s="1">
        <v>44708</v>
      </c>
      <c r="C4716">
        <v>1</v>
      </c>
      <c r="D4716">
        <v>270.58999999999997</v>
      </c>
      <c r="E4716">
        <v>379</v>
      </c>
    </row>
    <row r="4717" spans="1:5" x14ac:dyDescent="0.3">
      <c r="A4717" t="s">
        <v>69</v>
      </c>
      <c r="B4717" s="1">
        <v>44708</v>
      </c>
      <c r="C4717">
        <v>1</v>
      </c>
      <c r="D4717">
        <v>19.989999999999998</v>
      </c>
      <c r="E4717">
        <v>24</v>
      </c>
    </row>
    <row r="4718" spans="1:5" x14ac:dyDescent="0.3">
      <c r="A4718" t="s">
        <v>90</v>
      </c>
      <c r="B4718" s="1">
        <v>44708</v>
      </c>
      <c r="C4718">
        <v>1</v>
      </c>
      <c r="D4718">
        <v>384.2</v>
      </c>
      <c r="E4718">
        <v>462</v>
      </c>
    </row>
    <row r="4719" spans="1:5" x14ac:dyDescent="0.3">
      <c r="A4719" t="s">
        <v>59</v>
      </c>
      <c r="B4719" s="1">
        <v>44708</v>
      </c>
      <c r="C4719">
        <v>1</v>
      </c>
      <c r="D4719">
        <v>14.55</v>
      </c>
      <c r="E4719">
        <v>24</v>
      </c>
    </row>
    <row r="4720" spans="1:5" x14ac:dyDescent="0.3">
      <c r="A4720" t="s">
        <v>124</v>
      </c>
      <c r="B4720" s="1">
        <v>44708</v>
      </c>
      <c r="C4720">
        <v>1</v>
      </c>
      <c r="D4720">
        <v>36.75</v>
      </c>
      <c r="E4720">
        <v>59</v>
      </c>
    </row>
    <row r="4721" spans="1:5" x14ac:dyDescent="0.3">
      <c r="A4721" t="s">
        <v>62</v>
      </c>
      <c r="B4721" s="1">
        <v>44708</v>
      </c>
      <c r="C4721">
        <v>1</v>
      </c>
      <c r="D4721">
        <v>25.62</v>
      </c>
      <c r="E4721">
        <v>31</v>
      </c>
    </row>
    <row r="4722" spans="1:5" x14ac:dyDescent="0.3">
      <c r="A4722" t="s">
        <v>36</v>
      </c>
      <c r="B4722" s="1">
        <v>44708</v>
      </c>
      <c r="C4722">
        <v>1</v>
      </c>
      <c r="D4722">
        <v>22</v>
      </c>
      <c r="E4722">
        <v>28</v>
      </c>
    </row>
    <row r="4723" spans="1:5" x14ac:dyDescent="0.3">
      <c r="A4723" t="s">
        <v>65</v>
      </c>
      <c r="B4723" s="1">
        <v>44708</v>
      </c>
      <c r="C4723">
        <v>1</v>
      </c>
      <c r="D4723">
        <v>187.95</v>
      </c>
      <c r="E4723">
        <v>220</v>
      </c>
    </row>
    <row r="4724" spans="1:5" x14ac:dyDescent="0.3">
      <c r="A4724" t="s">
        <v>24</v>
      </c>
      <c r="B4724" s="1">
        <v>44708</v>
      </c>
      <c r="C4724">
        <v>1</v>
      </c>
      <c r="D4724">
        <v>103.46</v>
      </c>
      <c r="E4724">
        <v>121</v>
      </c>
    </row>
    <row r="4725" spans="1:5" x14ac:dyDescent="0.3">
      <c r="A4725" t="s">
        <v>131</v>
      </c>
      <c r="B4725" s="1">
        <v>44708</v>
      </c>
      <c r="C4725">
        <v>1</v>
      </c>
      <c r="D4725">
        <v>347.89</v>
      </c>
      <c r="E4725">
        <v>460</v>
      </c>
    </row>
    <row r="4726" spans="1:5" x14ac:dyDescent="0.3">
      <c r="A4726" t="s">
        <v>57</v>
      </c>
      <c r="B4726" s="1">
        <v>44708</v>
      </c>
      <c r="C4726">
        <v>1</v>
      </c>
      <c r="D4726">
        <v>233.74</v>
      </c>
      <c r="E4726">
        <v>262</v>
      </c>
    </row>
    <row r="4727" spans="1:5" x14ac:dyDescent="0.3">
      <c r="A4727" t="s">
        <v>88</v>
      </c>
      <c r="B4727" s="1">
        <v>44708</v>
      </c>
      <c r="C4727">
        <v>0.5</v>
      </c>
      <c r="D4727">
        <v>132</v>
      </c>
      <c r="E4727">
        <v>202</v>
      </c>
    </row>
    <row r="4728" spans="1:5" x14ac:dyDescent="0.3">
      <c r="A4728" t="s">
        <v>65</v>
      </c>
      <c r="B4728" s="1">
        <v>44708</v>
      </c>
      <c r="C4728">
        <v>1</v>
      </c>
      <c r="D4728">
        <v>187.36</v>
      </c>
      <c r="E4728">
        <v>220</v>
      </c>
    </row>
    <row r="4729" spans="1:5" x14ac:dyDescent="0.3">
      <c r="A4729" t="s">
        <v>7</v>
      </c>
      <c r="B4729" s="1">
        <v>44708</v>
      </c>
      <c r="C4729">
        <v>1</v>
      </c>
      <c r="D4729">
        <v>87.6</v>
      </c>
      <c r="E4729">
        <v>103</v>
      </c>
    </row>
    <row r="4730" spans="1:5" x14ac:dyDescent="0.3">
      <c r="A4730" t="s">
        <v>124</v>
      </c>
      <c r="B4730" s="1">
        <v>44708</v>
      </c>
      <c r="C4730">
        <v>1</v>
      </c>
      <c r="D4730">
        <v>36.75</v>
      </c>
      <c r="E4730">
        <v>59</v>
      </c>
    </row>
    <row r="4731" spans="1:5" x14ac:dyDescent="0.3">
      <c r="A4731" t="s">
        <v>87</v>
      </c>
      <c r="B4731" s="1">
        <v>44708</v>
      </c>
      <c r="C4731">
        <v>1</v>
      </c>
      <c r="D4731">
        <v>323.66000000000003</v>
      </c>
      <c r="E4731">
        <v>389</v>
      </c>
    </row>
    <row r="4732" spans="1:5" x14ac:dyDescent="0.3">
      <c r="A4732" t="s">
        <v>142</v>
      </c>
      <c r="B4732" s="1">
        <v>44708</v>
      </c>
      <c r="C4732">
        <v>1</v>
      </c>
      <c r="D4732">
        <v>12.86</v>
      </c>
      <c r="E4732">
        <v>15</v>
      </c>
    </row>
    <row r="4733" spans="1:5" x14ac:dyDescent="0.3">
      <c r="A4733" t="s">
        <v>28</v>
      </c>
      <c r="B4733" s="1">
        <v>44708</v>
      </c>
      <c r="C4733">
        <v>1</v>
      </c>
      <c r="D4733">
        <v>122.75</v>
      </c>
      <c r="E4733">
        <v>174</v>
      </c>
    </row>
    <row r="4734" spans="1:5" x14ac:dyDescent="0.3">
      <c r="A4734" t="s">
        <v>139</v>
      </c>
      <c r="B4734" s="1">
        <v>44708</v>
      </c>
      <c r="C4734">
        <v>1</v>
      </c>
      <c r="D4734">
        <v>24.18</v>
      </c>
      <c r="E4734">
        <v>40</v>
      </c>
    </row>
    <row r="4735" spans="1:5" x14ac:dyDescent="0.3">
      <c r="A4735" t="s">
        <v>139</v>
      </c>
      <c r="B4735" s="1">
        <v>44708</v>
      </c>
      <c r="C4735">
        <v>1</v>
      </c>
      <c r="D4735">
        <v>24.18</v>
      </c>
      <c r="E4735">
        <v>40</v>
      </c>
    </row>
    <row r="4736" spans="1:5" x14ac:dyDescent="0.3">
      <c r="A4736" t="s">
        <v>122</v>
      </c>
      <c r="B4736" s="1">
        <v>44708</v>
      </c>
      <c r="C4736">
        <v>1</v>
      </c>
      <c r="D4736">
        <v>20.86</v>
      </c>
      <c r="E4736">
        <v>26</v>
      </c>
    </row>
    <row r="4737" spans="1:5" x14ac:dyDescent="0.3">
      <c r="A4737" t="s">
        <v>71</v>
      </c>
      <c r="B4737" s="1">
        <v>44708</v>
      </c>
      <c r="C4737">
        <v>1</v>
      </c>
      <c r="D4737">
        <v>54.1</v>
      </c>
      <c r="E4737">
        <v>77</v>
      </c>
    </row>
    <row r="4738" spans="1:5" x14ac:dyDescent="0.3">
      <c r="A4738" t="s">
        <v>71</v>
      </c>
      <c r="B4738" s="1">
        <v>44708</v>
      </c>
      <c r="C4738">
        <v>1</v>
      </c>
      <c r="D4738">
        <v>54.1</v>
      </c>
      <c r="E4738">
        <v>77</v>
      </c>
    </row>
    <row r="4739" spans="1:5" x14ac:dyDescent="0.3">
      <c r="A4739" t="s">
        <v>43</v>
      </c>
      <c r="B4739" s="1">
        <v>44708</v>
      </c>
      <c r="C4739">
        <v>1</v>
      </c>
      <c r="D4739">
        <v>146.88999999999999</v>
      </c>
      <c r="E4739">
        <v>174</v>
      </c>
    </row>
    <row r="4740" spans="1:5" x14ac:dyDescent="0.3">
      <c r="A4740" t="s">
        <v>137</v>
      </c>
      <c r="B4740" s="1">
        <v>44708</v>
      </c>
      <c r="C4740">
        <v>1</v>
      </c>
      <c r="D4740">
        <v>8.5</v>
      </c>
      <c r="E4740">
        <v>14</v>
      </c>
    </row>
    <row r="4741" spans="1:5" x14ac:dyDescent="0.3">
      <c r="A4741" t="s">
        <v>50</v>
      </c>
      <c r="B4741" s="1">
        <v>44708</v>
      </c>
      <c r="C4741">
        <v>1</v>
      </c>
      <c r="D4741">
        <v>43.86</v>
      </c>
      <c r="E4741">
        <v>55</v>
      </c>
    </row>
    <row r="4742" spans="1:5" x14ac:dyDescent="0.3">
      <c r="A4742" t="s">
        <v>144</v>
      </c>
      <c r="B4742" s="1">
        <v>44708</v>
      </c>
      <c r="C4742">
        <v>1</v>
      </c>
      <c r="D4742">
        <v>51.32</v>
      </c>
      <c r="E4742">
        <v>73</v>
      </c>
    </row>
    <row r="4743" spans="1:5" x14ac:dyDescent="0.3">
      <c r="A4743" t="s">
        <v>143</v>
      </c>
      <c r="B4743" s="1">
        <v>44708</v>
      </c>
      <c r="C4743">
        <v>1</v>
      </c>
      <c r="D4743">
        <v>42.74</v>
      </c>
      <c r="E4743">
        <v>68</v>
      </c>
    </row>
    <row r="4744" spans="1:5" x14ac:dyDescent="0.3">
      <c r="A4744" t="s">
        <v>65</v>
      </c>
      <c r="B4744" s="1">
        <v>44708</v>
      </c>
      <c r="C4744">
        <v>1</v>
      </c>
      <c r="D4744">
        <v>187.33</v>
      </c>
      <c r="E4744">
        <v>220</v>
      </c>
    </row>
    <row r="4745" spans="1:5" x14ac:dyDescent="0.3">
      <c r="A4745" t="s">
        <v>25</v>
      </c>
      <c r="B4745" s="1">
        <v>44708</v>
      </c>
      <c r="C4745">
        <v>1</v>
      </c>
      <c r="D4745">
        <v>147.18</v>
      </c>
      <c r="E4745">
        <v>177</v>
      </c>
    </row>
    <row r="4746" spans="1:5" x14ac:dyDescent="0.3">
      <c r="A4746" t="s">
        <v>154</v>
      </c>
      <c r="B4746" s="1">
        <v>44708</v>
      </c>
      <c r="C4746">
        <v>1</v>
      </c>
      <c r="D4746">
        <v>134.46</v>
      </c>
      <c r="E4746">
        <v>159</v>
      </c>
    </row>
    <row r="4747" spans="1:5" x14ac:dyDescent="0.3">
      <c r="A4747" t="s">
        <v>154</v>
      </c>
      <c r="B4747" s="1">
        <v>44708</v>
      </c>
      <c r="C4747">
        <v>1</v>
      </c>
      <c r="D4747">
        <v>134.46</v>
      </c>
      <c r="E4747">
        <v>159</v>
      </c>
    </row>
    <row r="4748" spans="1:5" x14ac:dyDescent="0.3">
      <c r="A4748" t="s">
        <v>93</v>
      </c>
      <c r="B4748" s="1">
        <v>44708</v>
      </c>
      <c r="C4748">
        <v>1</v>
      </c>
      <c r="D4748">
        <v>64.16</v>
      </c>
      <c r="E4748">
        <v>92</v>
      </c>
    </row>
    <row r="4749" spans="1:5" x14ac:dyDescent="0.3">
      <c r="A4749" t="s">
        <v>17</v>
      </c>
      <c r="B4749" s="1">
        <v>44708</v>
      </c>
      <c r="C4749">
        <v>1</v>
      </c>
      <c r="D4749">
        <v>392.26</v>
      </c>
      <c r="E4749">
        <v>471</v>
      </c>
    </row>
    <row r="4750" spans="1:5" x14ac:dyDescent="0.3">
      <c r="A4750" t="s">
        <v>16</v>
      </c>
      <c r="B4750" s="1">
        <v>44708</v>
      </c>
      <c r="C4750">
        <v>1</v>
      </c>
      <c r="D4750">
        <v>43.49</v>
      </c>
      <c r="E4750">
        <v>67</v>
      </c>
    </row>
    <row r="4751" spans="1:5" x14ac:dyDescent="0.3">
      <c r="A4751" t="s">
        <v>26</v>
      </c>
      <c r="B4751" s="1">
        <v>44708</v>
      </c>
      <c r="C4751">
        <v>0.1</v>
      </c>
      <c r="D4751">
        <v>986.58</v>
      </c>
      <c r="E4751">
        <v>1234</v>
      </c>
    </row>
    <row r="4752" spans="1:5" x14ac:dyDescent="0.3">
      <c r="A4752" t="s">
        <v>54</v>
      </c>
      <c r="B4752" s="1">
        <v>44708</v>
      </c>
      <c r="C4752">
        <v>1</v>
      </c>
      <c r="D4752">
        <v>731.05</v>
      </c>
      <c r="E4752">
        <v>944</v>
      </c>
    </row>
    <row r="4753" spans="1:5" x14ac:dyDescent="0.3">
      <c r="A4753" t="s">
        <v>138</v>
      </c>
      <c r="B4753" s="1">
        <v>44708</v>
      </c>
      <c r="C4753">
        <v>1</v>
      </c>
      <c r="D4753">
        <v>46.5</v>
      </c>
      <c r="E4753">
        <v>76</v>
      </c>
    </row>
    <row r="4754" spans="1:5" x14ac:dyDescent="0.3">
      <c r="A4754" t="s">
        <v>62</v>
      </c>
      <c r="B4754" s="1">
        <v>44708</v>
      </c>
      <c r="C4754">
        <v>1</v>
      </c>
      <c r="D4754">
        <v>25.62</v>
      </c>
      <c r="E4754">
        <v>31</v>
      </c>
    </row>
    <row r="4755" spans="1:5" x14ac:dyDescent="0.3">
      <c r="A4755" t="s">
        <v>32</v>
      </c>
      <c r="B4755" s="1">
        <v>44708</v>
      </c>
      <c r="C4755">
        <v>0.5</v>
      </c>
      <c r="D4755">
        <v>105</v>
      </c>
      <c r="E4755">
        <v>161</v>
      </c>
    </row>
    <row r="4756" spans="1:5" x14ac:dyDescent="0.3">
      <c r="A4756" t="s">
        <v>56</v>
      </c>
      <c r="B4756" s="1">
        <v>44708</v>
      </c>
      <c r="C4756">
        <v>1</v>
      </c>
      <c r="D4756">
        <v>45.42</v>
      </c>
      <c r="E4756">
        <v>70</v>
      </c>
    </row>
    <row r="4757" spans="1:5" x14ac:dyDescent="0.3">
      <c r="A4757" t="s">
        <v>56</v>
      </c>
      <c r="B4757" s="1">
        <v>44708</v>
      </c>
      <c r="C4757">
        <v>1</v>
      </c>
      <c r="D4757">
        <v>45.42</v>
      </c>
      <c r="E4757">
        <v>70</v>
      </c>
    </row>
    <row r="4758" spans="1:5" x14ac:dyDescent="0.3">
      <c r="A4758" t="s">
        <v>128</v>
      </c>
      <c r="B4758" s="1">
        <v>44708</v>
      </c>
      <c r="C4758">
        <v>1</v>
      </c>
      <c r="D4758">
        <v>269.2</v>
      </c>
      <c r="E4758">
        <v>359</v>
      </c>
    </row>
    <row r="4759" spans="1:5" x14ac:dyDescent="0.3">
      <c r="A4759" t="s">
        <v>88</v>
      </c>
      <c r="B4759" s="1">
        <v>44708</v>
      </c>
      <c r="C4759">
        <v>0.5</v>
      </c>
      <c r="D4759">
        <v>108</v>
      </c>
      <c r="E4759">
        <v>165</v>
      </c>
    </row>
    <row r="4760" spans="1:5" x14ac:dyDescent="0.3">
      <c r="A4760" t="s">
        <v>26</v>
      </c>
      <c r="B4760" s="1">
        <v>44708</v>
      </c>
      <c r="C4760">
        <v>1</v>
      </c>
      <c r="D4760">
        <v>984.92</v>
      </c>
      <c r="E4760">
        <v>1330</v>
      </c>
    </row>
    <row r="4761" spans="1:5" x14ac:dyDescent="0.3">
      <c r="A4761" t="s">
        <v>5</v>
      </c>
      <c r="B4761" s="1">
        <v>44708</v>
      </c>
      <c r="C4761">
        <v>1</v>
      </c>
      <c r="D4761">
        <v>130.75</v>
      </c>
      <c r="E4761">
        <v>157</v>
      </c>
    </row>
    <row r="4762" spans="1:5" x14ac:dyDescent="0.3">
      <c r="A4762" t="s">
        <v>24</v>
      </c>
      <c r="B4762" s="1">
        <v>44708</v>
      </c>
      <c r="C4762">
        <v>1</v>
      </c>
      <c r="D4762">
        <v>97.12</v>
      </c>
      <c r="E4762">
        <v>118</v>
      </c>
    </row>
    <row r="4763" spans="1:5" x14ac:dyDescent="0.3">
      <c r="A4763" t="s">
        <v>84</v>
      </c>
      <c r="B4763" s="1">
        <v>44708</v>
      </c>
      <c r="C4763">
        <v>1</v>
      </c>
      <c r="D4763">
        <v>153.22999999999999</v>
      </c>
      <c r="E4763">
        <v>177</v>
      </c>
    </row>
    <row r="4764" spans="1:5" x14ac:dyDescent="0.3">
      <c r="A4764" t="s">
        <v>84</v>
      </c>
      <c r="B4764" s="1">
        <v>44708</v>
      </c>
      <c r="C4764">
        <v>1</v>
      </c>
      <c r="D4764">
        <v>153.22999999999999</v>
      </c>
      <c r="E4764">
        <v>177</v>
      </c>
    </row>
    <row r="4765" spans="1:5" x14ac:dyDescent="0.3">
      <c r="A4765" t="s">
        <v>24</v>
      </c>
      <c r="B4765" s="1">
        <v>44708</v>
      </c>
      <c r="C4765">
        <v>1</v>
      </c>
      <c r="D4765">
        <v>103.46</v>
      </c>
      <c r="E4765">
        <v>121</v>
      </c>
    </row>
    <row r="4766" spans="1:5" x14ac:dyDescent="0.3">
      <c r="A4766" t="s">
        <v>40</v>
      </c>
      <c r="B4766" s="1">
        <v>44708</v>
      </c>
      <c r="C4766">
        <v>1</v>
      </c>
      <c r="D4766">
        <v>173.72</v>
      </c>
      <c r="E4766">
        <v>208</v>
      </c>
    </row>
    <row r="4767" spans="1:5" x14ac:dyDescent="0.3">
      <c r="A4767" t="s">
        <v>28</v>
      </c>
      <c r="B4767" s="1">
        <v>44708</v>
      </c>
      <c r="C4767">
        <v>1</v>
      </c>
      <c r="D4767">
        <v>147.96</v>
      </c>
      <c r="E4767">
        <v>200</v>
      </c>
    </row>
    <row r="4768" spans="1:5" x14ac:dyDescent="0.3">
      <c r="A4768" t="s">
        <v>5</v>
      </c>
      <c r="B4768" s="1">
        <v>44708</v>
      </c>
      <c r="C4768">
        <v>1</v>
      </c>
      <c r="D4768">
        <v>145.6</v>
      </c>
      <c r="E4768">
        <v>172</v>
      </c>
    </row>
    <row r="4769" spans="1:5" x14ac:dyDescent="0.3">
      <c r="A4769" t="s">
        <v>93</v>
      </c>
      <c r="B4769" s="1">
        <v>44708</v>
      </c>
      <c r="C4769">
        <v>1</v>
      </c>
      <c r="D4769">
        <v>70.97</v>
      </c>
      <c r="E4769">
        <v>106</v>
      </c>
    </row>
    <row r="4770" spans="1:5" x14ac:dyDescent="0.3">
      <c r="A4770" t="s">
        <v>88</v>
      </c>
      <c r="B4770" s="1">
        <v>44708</v>
      </c>
      <c r="C4770">
        <v>1</v>
      </c>
      <c r="D4770">
        <v>128.1</v>
      </c>
      <c r="E4770">
        <v>199</v>
      </c>
    </row>
    <row r="4771" spans="1:5" x14ac:dyDescent="0.3">
      <c r="A4771" t="s">
        <v>32</v>
      </c>
      <c r="B4771" s="1">
        <v>44708</v>
      </c>
      <c r="C4771">
        <v>1</v>
      </c>
      <c r="D4771">
        <v>150.1</v>
      </c>
      <c r="E4771">
        <v>233</v>
      </c>
    </row>
    <row r="4772" spans="1:5" x14ac:dyDescent="0.3">
      <c r="A4772" t="s">
        <v>55</v>
      </c>
      <c r="B4772" s="1">
        <v>44708</v>
      </c>
      <c r="C4772">
        <v>1</v>
      </c>
      <c r="D4772">
        <v>77.510000000000005</v>
      </c>
      <c r="E4772">
        <v>94</v>
      </c>
    </row>
    <row r="4773" spans="1:5" x14ac:dyDescent="0.3">
      <c r="A4773" t="s">
        <v>136</v>
      </c>
      <c r="B4773" s="1">
        <v>44708</v>
      </c>
      <c r="C4773">
        <v>1</v>
      </c>
      <c r="D4773">
        <v>286.72000000000003</v>
      </c>
      <c r="E4773">
        <v>402</v>
      </c>
    </row>
    <row r="4774" spans="1:5" x14ac:dyDescent="0.3">
      <c r="A4774" t="s">
        <v>36</v>
      </c>
      <c r="B4774" s="1">
        <v>44708</v>
      </c>
      <c r="C4774">
        <v>1</v>
      </c>
      <c r="D4774">
        <v>22</v>
      </c>
      <c r="E4774">
        <v>28</v>
      </c>
    </row>
    <row r="4775" spans="1:5" x14ac:dyDescent="0.3">
      <c r="A4775" t="s">
        <v>36</v>
      </c>
      <c r="B4775" s="1">
        <v>44708</v>
      </c>
      <c r="C4775">
        <v>1</v>
      </c>
      <c r="D4775">
        <v>22</v>
      </c>
      <c r="E4775">
        <v>28</v>
      </c>
    </row>
    <row r="4776" spans="1:5" x14ac:dyDescent="0.3">
      <c r="A4776" t="s">
        <v>36</v>
      </c>
      <c r="B4776" s="1">
        <v>44708</v>
      </c>
      <c r="C4776">
        <v>1</v>
      </c>
      <c r="D4776">
        <v>22</v>
      </c>
      <c r="E4776">
        <v>28</v>
      </c>
    </row>
    <row r="4777" spans="1:5" x14ac:dyDescent="0.3">
      <c r="A4777" t="s">
        <v>36</v>
      </c>
      <c r="B4777" s="1">
        <v>44708</v>
      </c>
      <c r="C4777">
        <v>1</v>
      </c>
      <c r="D4777">
        <v>22</v>
      </c>
      <c r="E4777">
        <v>28</v>
      </c>
    </row>
    <row r="4778" spans="1:5" x14ac:dyDescent="0.3">
      <c r="A4778" t="s">
        <v>36</v>
      </c>
      <c r="B4778" s="1">
        <v>44708</v>
      </c>
      <c r="C4778">
        <v>1</v>
      </c>
      <c r="D4778">
        <v>22</v>
      </c>
      <c r="E4778">
        <v>28</v>
      </c>
    </row>
    <row r="4779" spans="1:5" x14ac:dyDescent="0.3">
      <c r="A4779" t="s">
        <v>36</v>
      </c>
      <c r="B4779" s="1">
        <v>44708</v>
      </c>
      <c r="C4779">
        <v>1</v>
      </c>
      <c r="D4779">
        <v>22</v>
      </c>
      <c r="E4779">
        <v>28</v>
      </c>
    </row>
    <row r="4780" spans="1:5" x14ac:dyDescent="0.3">
      <c r="A4780" t="s">
        <v>40</v>
      </c>
      <c r="B4780" s="1">
        <v>44708</v>
      </c>
      <c r="C4780">
        <v>1</v>
      </c>
      <c r="D4780">
        <v>173.86</v>
      </c>
      <c r="E4780">
        <v>208</v>
      </c>
    </row>
    <row r="4781" spans="1:5" x14ac:dyDescent="0.3">
      <c r="A4781" t="s">
        <v>38</v>
      </c>
      <c r="B4781" s="1">
        <v>44708</v>
      </c>
      <c r="C4781">
        <v>1</v>
      </c>
      <c r="D4781">
        <v>28.91</v>
      </c>
      <c r="E4781">
        <v>45</v>
      </c>
    </row>
    <row r="4782" spans="1:5" x14ac:dyDescent="0.3">
      <c r="A4782" t="s">
        <v>38</v>
      </c>
      <c r="B4782" s="1">
        <v>44708</v>
      </c>
      <c r="C4782">
        <v>1</v>
      </c>
      <c r="D4782">
        <v>28.91</v>
      </c>
      <c r="E4782">
        <v>45</v>
      </c>
    </row>
    <row r="4783" spans="1:5" x14ac:dyDescent="0.3">
      <c r="A4783" t="s">
        <v>38</v>
      </c>
      <c r="B4783" s="1">
        <v>44708</v>
      </c>
      <c r="C4783">
        <v>1</v>
      </c>
      <c r="D4783">
        <v>28.91</v>
      </c>
      <c r="E4783">
        <v>45</v>
      </c>
    </row>
    <row r="4784" spans="1:5" x14ac:dyDescent="0.3">
      <c r="A4784" t="s">
        <v>38</v>
      </c>
      <c r="B4784" s="1">
        <v>44708</v>
      </c>
      <c r="C4784">
        <v>1</v>
      </c>
      <c r="D4784">
        <v>28.91</v>
      </c>
      <c r="E4784">
        <v>45</v>
      </c>
    </row>
    <row r="4785" spans="1:5" x14ac:dyDescent="0.3">
      <c r="A4785" t="s">
        <v>38</v>
      </c>
      <c r="B4785" s="1">
        <v>44708</v>
      </c>
      <c r="C4785">
        <v>1</v>
      </c>
      <c r="D4785">
        <v>28.91</v>
      </c>
      <c r="E4785">
        <v>45</v>
      </c>
    </row>
    <row r="4786" spans="1:5" x14ac:dyDescent="0.3">
      <c r="A4786" t="s">
        <v>38</v>
      </c>
      <c r="B4786" s="1">
        <v>44708</v>
      </c>
      <c r="C4786">
        <v>1</v>
      </c>
      <c r="D4786">
        <v>28.91</v>
      </c>
      <c r="E4786">
        <v>45</v>
      </c>
    </row>
    <row r="4787" spans="1:5" x14ac:dyDescent="0.3">
      <c r="A4787" t="s">
        <v>75</v>
      </c>
      <c r="B4787" s="1">
        <v>44708</v>
      </c>
      <c r="C4787">
        <v>0.08</v>
      </c>
      <c r="D4787">
        <v>466.1</v>
      </c>
      <c r="E4787">
        <v>709</v>
      </c>
    </row>
    <row r="4788" spans="1:5" x14ac:dyDescent="0.3">
      <c r="A4788" t="s">
        <v>28</v>
      </c>
      <c r="B4788" s="1">
        <v>44708</v>
      </c>
      <c r="C4788">
        <v>1</v>
      </c>
      <c r="D4788">
        <v>150.03</v>
      </c>
      <c r="E4788">
        <v>206</v>
      </c>
    </row>
    <row r="4789" spans="1:5" x14ac:dyDescent="0.3">
      <c r="A4789" t="s">
        <v>98</v>
      </c>
      <c r="B4789" s="1">
        <v>44708</v>
      </c>
      <c r="C4789">
        <v>1</v>
      </c>
      <c r="D4789">
        <v>111.32</v>
      </c>
      <c r="E4789">
        <v>134</v>
      </c>
    </row>
    <row r="4790" spans="1:5" x14ac:dyDescent="0.3">
      <c r="A4790" t="s">
        <v>151</v>
      </c>
      <c r="B4790" s="1">
        <v>44708</v>
      </c>
      <c r="C4790">
        <v>1</v>
      </c>
      <c r="D4790">
        <v>23.23</v>
      </c>
      <c r="E4790">
        <v>29</v>
      </c>
    </row>
    <row r="4791" spans="1:5" x14ac:dyDescent="0.3">
      <c r="A4791" t="s">
        <v>129</v>
      </c>
      <c r="B4791" s="1">
        <v>44708</v>
      </c>
      <c r="C4791">
        <v>0.04</v>
      </c>
      <c r="D4791">
        <v>491.7</v>
      </c>
      <c r="E4791">
        <v>592</v>
      </c>
    </row>
    <row r="4792" spans="1:5" x14ac:dyDescent="0.3">
      <c r="A4792" t="s">
        <v>102</v>
      </c>
      <c r="B4792" s="1">
        <v>44708</v>
      </c>
      <c r="C4792">
        <v>1</v>
      </c>
      <c r="D4792">
        <v>26.04</v>
      </c>
      <c r="E4792">
        <v>32</v>
      </c>
    </row>
    <row r="4793" spans="1:5" x14ac:dyDescent="0.3">
      <c r="A4793" t="s">
        <v>102</v>
      </c>
      <c r="B4793" s="1">
        <v>44708</v>
      </c>
      <c r="C4793">
        <v>1</v>
      </c>
      <c r="D4793">
        <v>26.04</v>
      </c>
      <c r="E4793">
        <v>32</v>
      </c>
    </row>
    <row r="4794" spans="1:5" x14ac:dyDescent="0.3">
      <c r="A4794" t="s">
        <v>102</v>
      </c>
      <c r="B4794" s="1">
        <v>44708</v>
      </c>
      <c r="C4794">
        <v>1</v>
      </c>
      <c r="D4794">
        <v>26.04</v>
      </c>
      <c r="E4794">
        <v>32</v>
      </c>
    </row>
    <row r="4795" spans="1:5" x14ac:dyDescent="0.3">
      <c r="A4795" t="s">
        <v>7</v>
      </c>
      <c r="B4795" s="1">
        <v>44708</v>
      </c>
      <c r="C4795">
        <v>1</v>
      </c>
      <c r="D4795">
        <v>88.43</v>
      </c>
      <c r="E4795">
        <v>106</v>
      </c>
    </row>
    <row r="4796" spans="1:5" x14ac:dyDescent="0.3">
      <c r="A4796" t="s">
        <v>129</v>
      </c>
      <c r="B4796" s="1">
        <v>44708</v>
      </c>
      <c r="C4796">
        <v>0.24</v>
      </c>
      <c r="D4796">
        <v>491.72</v>
      </c>
      <c r="E4796">
        <v>592</v>
      </c>
    </row>
    <row r="4797" spans="1:5" x14ac:dyDescent="0.3">
      <c r="A4797" t="s">
        <v>10</v>
      </c>
      <c r="B4797" s="1">
        <v>44708</v>
      </c>
      <c r="C4797">
        <v>1</v>
      </c>
      <c r="D4797">
        <v>11.33</v>
      </c>
      <c r="E4797">
        <v>13</v>
      </c>
    </row>
    <row r="4798" spans="1:5" x14ac:dyDescent="0.3">
      <c r="A4798" t="s">
        <v>131</v>
      </c>
      <c r="B4798" s="1">
        <v>44708</v>
      </c>
      <c r="C4798">
        <v>1</v>
      </c>
      <c r="D4798">
        <v>361.91</v>
      </c>
      <c r="E4798">
        <v>417</v>
      </c>
    </row>
    <row r="4799" spans="1:5" x14ac:dyDescent="0.3">
      <c r="A4799" t="s">
        <v>23</v>
      </c>
      <c r="B4799" s="1">
        <v>44708</v>
      </c>
      <c r="C4799">
        <v>1</v>
      </c>
      <c r="D4799">
        <v>109.41</v>
      </c>
      <c r="E4799">
        <v>123</v>
      </c>
    </row>
    <row r="4800" spans="1:5" x14ac:dyDescent="0.3">
      <c r="A4800" t="s">
        <v>65</v>
      </c>
      <c r="B4800" s="1">
        <v>44708</v>
      </c>
      <c r="C4800">
        <v>1</v>
      </c>
      <c r="D4800">
        <v>184.07</v>
      </c>
      <c r="E4800">
        <v>234</v>
      </c>
    </row>
    <row r="4801" spans="1:5" x14ac:dyDescent="0.3">
      <c r="A4801" t="s">
        <v>22</v>
      </c>
      <c r="B4801" s="1">
        <v>44708</v>
      </c>
      <c r="C4801">
        <v>4</v>
      </c>
      <c r="D4801">
        <v>30.3</v>
      </c>
      <c r="E4801">
        <v>49</v>
      </c>
    </row>
    <row r="4802" spans="1:5" x14ac:dyDescent="0.3">
      <c r="A4802" t="s">
        <v>141</v>
      </c>
      <c r="B4802" s="1">
        <v>44708</v>
      </c>
      <c r="C4802">
        <v>1</v>
      </c>
      <c r="D4802">
        <v>12.2</v>
      </c>
      <c r="E4802">
        <v>20</v>
      </c>
    </row>
    <row r="4803" spans="1:5" x14ac:dyDescent="0.3">
      <c r="A4803" t="s">
        <v>23</v>
      </c>
      <c r="B4803" s="1">
        <v>44708</v>
      </c>
      <c r="C4803">
        <v>1</v>
      </c>
      <c r="D4803">
        <v>109.41</v>
      </c>
      <c r="E4803">
        <v>123</v>
      </c>
    </row>
    <row r="4804" spans="1:5" x14ac:dyDescent="0.3">
      <c r="A4804" t="s">
        <v>55</v>
      </c>
      <c r="B4804" s="1">
        <v>44708</v>
      </c>
      <c r="C4804">
        <v>1</v>
      </c>
      <c r="D4804">
        <v>77.510000000000005</v>
      </c>
      <c r="E4804">
        <v>95</v>
      </c>
    </row>
    <row r="4805" spans="1:5" x14ac:dyDescent="0.3">
      <c r="A4805" t="s">
        <v>55</v>
      </c>
      <c r="B4805" s="1">
        <v>44708</v>
      </c>
      <c r="C4805">
        <v>1</v>
      </c>
      <c r="D4805">
        <v>77.510000000000005</v>
      </c>
      <c r="E4805">
        <v>95</v>
      </c>
    </row>
    <row r="4806" spans="1:5" x14ac:dyDescent="0.3">
      <c r="A4806" t="s">
        <v>62</v>
      </c>
      <c r="B4806" s="1">
        <v>44708</v>
      </c>
      <c r="C4806">
        <v>1</v>
      </c>
      <c r="D4806">
        <v>25.29</v>
      </c>
      <c r="E4806">
        <v>30</v>
      </c>
    </row>
    <row r="4807" spans="1:5" x14ac:dyDescent="0.3">
      <c r="A4807" t="s">
        <v>57</v>
      </c>
      <c r="B4807" s="1">
        <v>44708</v>
      </c>
      <c r="C4807">
        <v>1</v>
      </c>
      <c r="D4807">
        <v>227.82</v>
      </c>
      <c r="E4807">
        <v>267</v>
      </c>
    </row>
    <row r="4808" spans="1:5" x14ac:dyDescent="0.3">
      <c r="A4808" t="s">
        <v>30</v>
      </c>
      <c r="B4808" s="1">
        <v>44708</v>
      </c>
      <c r="C4808">
        <v>1</v>
      </c>
      <c r="D4808">
        <v>156.19999999999999</v>
      </c>
      <c r="E4808">
        <v>189</v>
      </c>
    </row>
    <row r="4809" spans="1:5" x14ac:dyDescent="0.3">
      <c r="A4809" t="s">
        <v>77</v>
      </c>
      <c r="B4809" s="1">
        <v>44708</v>
      </c>
      <c r="C4809">
        <v>1</v>
      </c>
      <c r="D4809">
        <v>60.68</v>
      </c>
      <c r="E4809">
        <v>76</v>
      </c>
    </row>
    <row r="4810" spans="1:5" x14ac:dyDescent="0.3">
      <c r="A4810" t="s">
        <v>143</v>
      </c>
      <c r="B4810" s="1">
        <v>44708</v>
      </c>
      <c r="C4810">
        <v>1</v>
      </c>
      <c r="D4810">
        <v>45.54</v>
      </c>
      <c r="E4810">
        <v>70</v>
      </c>
    </row>
    <row r="4811" spans="1:5" x14ac:dyDescent="0.3">
      <c r="A4811" t="s">
        <v>65</v>
      </c>
      <c r="B4811" s="1">
        <v>44708</v>
      </c>
      <c r="C4811">
        <v>1</v>
      </c>
      <c r="D4811">
        <v>185.56</v>
      </c>
      <c r="E4811">
        <v>218</v>
      </c>
    </row>
    <row r="4812" spans="1:5" x14ac:dyDescent="0.3">
      <c r="A4812" t="s">
        <v>66</v>
      </c>
      <c r="B4812" s="1">
        <v>44708</v>
      </c>
      <c r="C4812">
        <v>1</v>
      </c>
      <c r="D4812">
        <v>32</v>
      </c>
      <c r="E4812">
        <v>36</v>
      </c>
    </row>
    <row r="4813" spans="1:5" x14ac:dyDescent="0.3">
      <c r="A4813" t="s">
        <v>20</v>
      </c>
      <c r="B4813" s="1">
        <v>44708</v>
      </c>
      <c r="C4813">
        <v>1</v>
      </c>
      <c r="D4813">
        <v>19.66</v>
      </c>
      <c r="E4813">
        <v>25</v>
      </c>
    </row>
    <row r="4814" spans="1:5" x14ac:dyDescent="0.3">
      <c r="A4814" t="s">
        <v>20</v>
      </c>
      <c r="B4814" s="1">
        <v>44708</v>
      </c>
      <c r="C4814">
        <v>1</v>
      </c>
      <c r="D4814">
        <v>19.66</v>
      </c>
      <c r="E4814">
        <v>25</v>
      </c>
    </row>
    <row r="4815" spans="1:5" x14ac:dyDescent="0.3">
      <c r="A4815" t="s">
        <v>20</v>
      </c>
      <c r="B4815" s="1">
        <v>44708</v>
      </c>
      <c r="C4815">
        <v>1</v>
      </c>
      <c r="D4815">
        <v>22.62</v>
      </c>
      <c r="E4815">
        <v>29</v>
      </c>
    </row>
    <row r="4816" spans="1:5" x14ac:dyDescent="0.3">
      <c r="A4816" t="s">
        <v>20</v>
      </c>
      <c r="B4816" s="1">
        <v>44708</v>
      </c>
      <c r="C4816">
        <v>1</v>
      </c>
      <c r="D4816">
        <v>22.62</v>
      </c>
      <c r="E4816">
        <v>29</v>
      </c>
    </row>
    <row r="4817" spans="1:5" x14ac:dyDescent="0.3">
      <c r="A4817" t="s">
        <v>111</v>
      </c>
      <c r="B4817" s="1">
        <v>44708</v>
      </c>
      <c r="C4817">
        <v>1</v>
      </c>
      <c r="D4817">
        <v>159.58000000000001</v>
      </c>
      <c r="E4817">
        <v>193</v>
      </c>
    </row>
    <row r="4818" spans="1:5" x14ac:dyDescent="0.3">
      <c r="A4818" t="s">
        <v>21</v>
      </c>
      <c r="B4818" s="1">
        <v>44708</v>
      </c>
      <c r="C4818">
        <v>1</v>
      </c>
      <c r="D4818">
        <v>182.55</v>
      </c>
      <c r="E4818">
        <v>258</v>
      </c>
    </row>
    <row r="4819" spans="1:5" x14ac:dyDescent="0.3">
      <c r="A4819" t="s">
        <v>70</v>
      </c>
      <c r="B4819" s="1">
        <v>44708</v>
      </c>
      <c r="C4819">
        <v>1</v>
      </c>
      <c r="D4819">
        <v>163.37</v>
      </c>
      <c r="E4819">
        <v>197</v>
      </c>
    </row>
    <row r="4820" spans="1:5" x14ac:dyDescent="0.3">
      <c r="A4820" t="s">
        <v>21</v>
      </c>
      <c r="B4820" s="1">
        <v>44708</v>
      </c>
      <c r="C4820">
        <v>1</v>
      </c>
      <c r="D4820">
        <v>176.33</v>
      </c>
      <c r="E4820">
        <v>246</v>
      </c>
    </row>
    <row r="4821" spans="1:5" x14ac:dyDescent="0.3">
      <c r="A4821" t="s">
        <v>138</v>
      </c>
      <c r="B4821" s="1">
        <v>44708</v>
      </c>
      <c r="C4821">
        <v>6</v>
      </c>
      <c r="D4821">
        <v>46.5</v>
      </c>
      <c r="E4821">
        <v>76</v>
      </c>
    </row>
    <row r="4822" spans="1:5" x14ac:dyDescent="0.3">
      <c r="A4822" t="s">
        <v>156</v>
      </c>
      <c r="B4822" s="1">
        <v>44708</v>
      </c>
      <c r="C4822">
        <v>1</v>
      </c>
      <c r="D4822">
        <v>248.25</v>
      </c>
      <c r="E4822">
        <v>341</v>
      </c>
    </row>
    <row r="4823" spans="1:5" x14ac:dyDescent="0.3">
      <c r="A4823" t="s">
        <v>156</v>
      </c>
      <c r="B4823" s="1">
        <v>44708</v>
      </c>
      <c r="C4823">
        <v>1</v>
      </c>
      <c r="D4823">
        <v>248.25</v>
      </c>
      <c r="E4823">
        <v>341</v>
      </c>
    </row>
    <row r="4824" spans="1:5" x14ac:dyDescent="0.3">
      <c r="A4824" t="s">
        <v>6</v>
      </c>
      <c r="B4824" s="1">
        <v>44708</v>
      </c>
      <c r="C4824">
        <v>0.2</v>
      </c>
      <c r="D4824">
        <v>430.38</v>
      </c>
      <c r="E4824">
        <v>538</v>
      </c>
    </row>
    <row r="4825" spans="1:5" x14ac:dyDescent="0.3">
      <c r="A4825" t="s">
        <v>129</v>
      </c>
      <c r="B4825" s="1">
        <v>44708</v>
      </c>
      <c r="C4825">
        <v>0.08</v>
      </c>
      <c r="D4825">
        <v>495.5</v>
      </c>
      <c r="E4825">
        <v>596</v>
      </c>
    </row>
    <row r="4826" spans="1:5" x14ac:dyDescent="0.3">
      <c r="A4826" t="s">
        <v>88</v>
      </c>
      <c r="B4826" s="1">
        <v>44708</v>
      </c>
      <c r="C4826">
        <v>0.5</v>
      </c>
      <c r="D4826">
        <v>108</v>
      </c>
      <c r="E4826">
        <v>165</v>
      </c>
    </row>
    <row r="4827" spans="1:5" x14ac:dyDescent="0.3">
      <c r="A4827" t="s">
        <v>20</v>
      </c>
      <c r="B4827" s="1">
        <v>44708</v>
      </c>
      <c r="C4827">
        <v>1</v>
      </c>
      <c r="D4827">
        <v>19.71</v>
      </c>
      <c r="E4827">
        <v>25</v>
      </c>
    </row>
    <row r="4828" spans="1:5" x14ac:dyDescent="0.3">
      <c r="A4828" t="s">
        <v>10</v>
      </c>
      <c r="B4828" s="1">
        <v>44708</v>
      </c>
      <c r="C4828">
        <v>1</v>
      </c>
      <c r="D4828">
        <v>11.67</v>
      </c>
      <c r="E4828">
        <v>14</v>
      </c>
    </row>
    <row r="4829" spans="1:5" x14ac:dyDescent="0.3">
      <c r="A4829" t="s">
        <v>5</v>
      </c>
      <c r="B4829" s="1">
        <v>44708</v>
      </c>
      <c r="C4829">
        <v>1</v>
      </c>
      <c r="D4829">
        <v>137.13</v>
      </c>
      <c r="E4829">
        <v>164</v>
      </c>
    </row>
    <row r="4830" spans="1:5" x14ac:dyDescent="0.3">
      <c r="A4830" t="s">
        <v>61</v>
      </c>
      <c r="B4830" s="1">
        <v>44708</v>
      </c>
      <c r="C4830">
        <v>1</v>
      </c>
      <c r="D4830">
        <v>32.85</v>
      </c>
      <c r="E4830">
        <v>50</v>
      </c>
    </row>
    <row r="4831" spans="1:5" x14ac:dyDescent="0.3">
      <c r="A4831" t="s">
        <v>152</v>
      </c>
      <c r="B4831" s="1">
        <v>44708</v>
      </c>
      <c r="C4831">
        <v>1</v>
      </c>
      <c r="D4831">
        <v>107.99</v>
      </c>
      <c r="E4831">
        <v>135</v>
      </c>
    </row>
    <row r="4832" spans="1:5" x14ac:dyDescent="0.3">
      <c r="A4832" t="s">
        <v>73</v>
      </c>
      <c r="B4832" s="1">
        <v>44708</v>
      </c>
      <c r="C4832">
        <v>1</v>
      </c>
      <c r="D4832">
        <v>8.07</v>
      </c>
      <c r="E4832">
        <v>14</v>
      </c>
    </row>
    <row r="4833" spans="1:5" x14ac:dyDescent="0.3">
      <c r="A4833" t="s">
        <v>101</v>
      </c>
      <c r="B4833" s="1">
        <v>44708</v>
      </c>
      <c r="C4833">
        <v>1</v>
      </c>
      <c r="D4833">
        <v>31</v>
      </c>
      <c r="E4833">
        <v>48</v>
      </c>
    </row>
    <row r="4834" spans="1:5" x14ac:dyDescent="0.3">
      <c r="A4834" t="s">
        <v>96</v>
      </c>
      <c r="B4834" s="1">
        <v>44708</v>
      </c>
      <c r="C4834">
        <v>1</v>
      </c>
      <c r="D4834">
        <v>70.930000000000007</v>
      </c>
      <c r="E4834">
        <v>101</v>
      </c>
    </row>
    <row r="4835" spans="1:5" x14ac:dyDescent="0.3">
      <c r="A4835" t="s">
        <v>61</v>
      </c>
      <c r="B4835" s="1">
        <v>44708</v>
      </c>
      <c r="C4835">
        <v>1</v>
      </c>
      <c r="D4835">
        <v>32.85</v>
      </c>
      <c r="E4835">
        <v>50</v>
      </c>
    </row>
    <row r="4836" spans="1:5" x14ac:dyDescent="0.3">
      <c r="A4836" t="s">
        <v>65</v>
      </c>
      <c r="B4836" s="1">
        <v>44708</v>
      </c>
      <c r="C4836">
        <v>1</v>
      </c>
      <c r="D4836">
        <v>176.77</v>
      </c>
      <c r="E4836">
        <v>221</v>
      </c>
    </row>
    <row r="4837" spans="1:5" x14ac:dyDescent="0.3">
      <c r="A4837" t="s">
        <v>36</v>
      </c>
      <c r="B4837" s="1">
        <v>44708</v>
      </c>
      <c r="C4837">
        <v>1</v>
      </c>
      <c r="D4837">
        <v>22</v>
      </c>
      <c r="E4837">
        <v>28</v>
      </c>
    </row>
    <row r="4838" spans="1:5" x14ac:dyDescent="0.3">
      <c r="A4838" t="s">
        <v>36</v>
      </c>
      <c r="B4838" s="1">
        <v>44708</v>
      </c>
      <c r="C4838">
        <v>1</v>
      </c>
      <c r="D4838">
        <v>22</v>
      </c>
      <c r="E4838">
        <v>28</v>
      </c>
    </row>
    <row r="4839" spans="1:5" x14ac:dyDescent="0.3">
      <c r="A4839" t="s">
        <v>36</v>
      </c>
      <c r="B4839" s="1">
        <v>44708</v>
      </c>
      <c r="C4839">
        <v>1</v>
      </c>
      <c r="D4839">
        <v>22</v>
      </c>
      <c r="E4839">
        <v>28</v>
      </c>
    </row>
    <row r="4840" spans="1:5" x14ac:dyDescent="0.3">
      <c r="A4840" t="s">
        <v>37</v>
      </c>
      <c r="B4840" s="1">
        <v>44708</v>
      </c>
      <c r="C4840">
        <v>1</v>
      </c>
      <c r="D4840">
        <v>51.84</v>
      </c>
      <c r="E4840">
        <v>65</v>
      </c>
    </row>
    <row r="4841" spans="1:5" x14ac:dyDescent="0.3">
      <c r="A4841" t="s">
        <v>37</v>
      </c>
      <c r="B4841" s="1">
        <v>44708</v>
      </c>
      <c r="C4841">
        <v>1</v>
      </c>
      <c r="D4841">
        <v>51.84</v>
      </c>
      <c r="E4841">
        <v>65</v>
      </c>
    </row>
    <row r="4842" spans="1:5" x14ac:dyDescent="0.3">
      <c r="A4842" t="s">
        <v>26</v>
      </c>
      <c r="B4842" s="1">
        <v>44708</v>
      </c>
      <c r="C4842">
        <v>0.16666700000000001</v>
      </c>
      <c r="D4842">
        <v>984.79</v>
      </c>
      <c r="E4842">
        <v>1350</v>
      </c>
    </row>
    <row r="4843" spans="1:5" x14ac:dyDescent="0.3">
      <c r="A4843" t="s">
        <v>25</v>
      </c>
      <c r="B4843" s="1">
        <v>44708</v>
      </c>
      <c r="C4843">
        <v>1</v>
      </c>
      <c r="D4843">
        <v>147.4</v>
      </c>
      <c r="E4843">
        <v>177</v>
      </c>
    </row>
    <row r="4844" spans="1:5" x14ac:dyDescent="0.3">
      <c r="A4844" t="s">
        <v>42</v>
      </c>
      <c r="B4844" s="1">
        <v>44708</v>
      </c>
      <c r="C4844">
        <v>1</v>
      </c>
      <c r="D4844">
        <v>570.99</v>
      </c>
      <c r="E4844">
        <v>657</v>
      </c>
    </row>
    <row r="4845" spans="1:5" x14ac:dyDescent="0.3">
      <c r="A4845" t="s">
        <v>13</v>
      </c>
      <c r="B4845" s="1">
        <v>44708</v>
      </c>
      <c r="C4845">
        <v>1</v>
      </c>
      <c r="D4845">
        <v>120.36</v>
      </c>
      <c r="E4845">
        <v>145</v>
      </c>
    </row>
    <row r="4846" spans="1:5" x14ac:dyDescent="0.3">
      <c r="A4846" t="s">
        <v>9</v>
      </c>
      <c r="B4846" s="1">
        <v>44708</v>
      </c>
      <c r="C4846">
        <v>1</v>
      </c>
      <c r="D4846">
        <v>81.17</v>
      </c>
      <c r="E4846">
        <v>99</v>
      </c>
    </row>
    <row r="4847" spans="1:5" x14ac:dyDescent="0.3">
      <c r="A4847" t="s">
        <v>18</v>
      </c>
      <c r="B4847" s="1">
        <v>44707</v>
      </c>
      <c r="C4847">
        <v>1</v>
      </c>
      <c r="D4847">
        <v>42</v>
      </c>
      <c r="E4847">
        <v>64</v>
      </c>
    </row>
    <row r="4848" spans="1:5" x14ac:dyDescent="0.3">
      <c r="A4848" t="s">
        <v>22</v>
      </c>
      <c r="B4848" s="1">
        <v>44707</v>
      </c>
      <c r="C4848">
        <v>1</v>
      </c>
      <c r="D4848">
        <v>30.3</v>
      </c>
      <c r="E4848">
        <v>49</v>
      </c>
    </row>
    <row r="4849" spans="1:5" x14ac:dyDescent="0.3">
      <c r="A4849" t="s">
        <v>104</v>
      </c>
      <c r="B4849" s="1">
        <v>44707</v>
      </c>
      <c r="C4849">
        <v>1</v>
      </c>
      <c r="D4849">
        <v>45.33</v>
      </c>
      <c r="E4849">
        <v>58</v>
      </c>
    </row>
    <row r="4850" spans="1:5" x14ac:dyDescent="0.3">
      <c r="A4850" t="s">
        <v>134</v>
      </c>
      <c r="B4850" s="1">
        <v>44707</v>
      </c>
      <c r="C4850">
        <v>1</v>
      </c>
      <c r="D4850">
        <v>33</v>
      </c>
      <c r="E4850">
        <v>51</v>
      </c>
    </row>
    <row r="4851" spans="1:5" x14ac:dyDescent="0.3">
      <c r="A4851" t="s">
        <v>9</v>
      </c>
      <c r="B4851" s="1">
        <v>44707</v>
      </c>
      <c r="C4851">
        <v>1</v>
      </c>
      <c r="D4851">
        <v>80.73</v>
      </c>
      <c r="E4851">
        <v>100</v>
      </c>
    </row>
    <row r="4852" spans="1:5" x14ac:dyDescent="0.3">
      <c r="A4852" t="s">
        <v>24</v>
      </c>
      <c r="B4852" s="1">
        <v>44707</v>
      </c>
      <c r="C4852">
        <v>1</v>
      </c>
      <c r="D4852">
        <v>95.88</v>
      </c>
      <c r="E4852">
        <v>118</v>
      </c>
    </row>
    <row r="4853" spans="1:5" x14ac:dyDescent="0.3">
      <c r="A4853" t="s">
        <v>6</v>
      </c>
      <c r="B4853" s="1">
        <v>44707</v>
      </c>
      <c r="C4853">
        <v>0.2</v>
      </c>
      <c r="D4853">
        <v>431.48</v>
      </c>
      <c r="E4853">
        <v>540</v>
      </c>
    </row>
    <row r="4854" spans="1:5" x14ac:dyDescent="0.3">
      <c r="A4854" t="s">
        <v>122</v>
      </c>
      <c r="B4854" s="1">
        <v>44707</v>
      </c>
      <c r="C4854">
        <v>1</v>
      </c>
      <c r="D4854">
        <v>23.65</v>
      </c>
      <c r="E4854">
        <v>29</v>
      </c>
    </row>
    <row r="4855" spans="1:5" x14ac:dyDescent="0.3">
      <c r="A4855" t="s">
        <v>121</v>
      </c>
      <c r="B4855" s="1">
        <v>44707</v>
      </c>
      <c r="C4855">
        <v>4</v>
      </c>
      <c r="D4855">
        <v>11.41</v>
      </c>
      <c r="E4855">
        <v>19</v>
      </c>
    </row>
    <row r="4856" spans="1:5" x14ac:dyDescent="0.3">
      <c r="A4856" t="s">
        <v>121</v>
      </c>
      <c r="B4856" s="1">
        <v>44707</v>
      </c>
      <c r="C4856">
        <v>2</v>
      </c>
      <c r="D4856">
        <v>11.41</v>
      </c>
      <c r="E4856">
        <v>19</v>
      </c>
    </row>
    <row r="4857" spans="1:5" x14ac:dyDescent="0.3">
      <c r="A4857" t="s">
        <v>33</v>
      </c>
      <c r="B4857" s="1">
        <v>44707</v>
      </c>
      <c r="C4857">
        <v>1</v>
      </c>
      <c r="D4857">
        <v>20.76</v>
      </c>
      <c r="E4857">
        <v>25</v>
      </c>
    </row>
    <row r="4858" spans="1:5" x14ac:dyDescent="0.3">
      <c r="A4858" t="s">
        <v>33</v>
      </c>
      <c r="B4858" s="1">
        <v>44707</v>
      </c>
      <c r="C4858">
        <v>1</v>
      </c>
      <c r="D4858">
        <v>20.76</v>
      </c>
      <c r="E4858">
        <v>25</v>
      </c>
    </row>
    <row r="4859" spans="1:5" x14ac:dyDescent="0.3">
      <c r="A4859" t="s">
        <v>33</v>
      </c>
      <c r="B4859" s="1">
        <v>44707</v>
      </c>
      <c r="C4859">
        <v>1</v>
      </c>
      <c r="D4859">
        <v>20.76</v>
      </c>
      <c r="E4859">
        <v>25</v>
      </c>
    </row>
    <row r="4860" spans="1:5" x14ac:dyDescent="0.3">
      <c r="A4860" t="s">
        <v>34</v>
      </c>
      <c r="B4860" s="1">
        <v>44707</v>
      </c>
      <c r="C4860">
        <v>1</v>
      </c>
      <c r="D4860">
        <v>201.2</v>
      </c>
      <c r="E4860">
        <v>232</v>
      </c>
    </row>
    <row r="4861" spans="1:5" x14ac:dyDescent="0.3">
      <c r="A4861" t="s">
        <v>120</v>
      </c>
      <c r="B4861" s="1">
        <v>44707</v>
      </c>
      <c r="C4861">
        <v>1</v>
      </c>
      <c r="D4861">
        <v>133.72</v>
      </c>
      <c r="E4861">
        <v>189</v>
      </c>
    </row>
    <row r="4862" spans="1:5" x14ac:dyDescent="0.3">
      <c r="A4862" t="s">
        <v>58</v>
      </c>
      <c r="B4862" s="1">
        <v>44707</v>
      </c>
      <c r="C4862">
        <v>1</v>
      </c>
      <c r="D4862">
        <v>83.29</v>
      </c>
      <c r="E4862">
        <v>100</v>
      </c>
    </row>
    <row r="4863" spans="1:5" x14ac:dyDescent="0.3">
      <c r="A4863" t="s">
        <v>88</v>
      </c>
      <c r="B4863" s="1">
        <v>44707</v>
      </c>
      <c r="C4863">
        <v>1</v>
      </c>
      <c r="D4863">
        <v>128.1</v>
      </c>
      <c r="E4863">
        <v>199</v>
      </c>
    </row>
    <row r="4864" spans="1:5" x14ac:dyDescent="0.3">
      <c r="A4864" t="s">
        <v>91</v>
      </c>
      <c r="B4864" s="1">
        <v>44707</v>
      </c>
      <c r="C4864">
        <v>1</v>
      </c>
      <c r="D4864">
        <v>31.93</v>
      </c>
      <c r="E4864">
        <v>52</v>
      </c>
    </row>
    <row r="4865" spans="1:5" x14ac:dyDescent="0.3">
      <c r="A4865" t="s">
        <v>7</v>
      </c>
      <c r="B4865" s="1">
        <v>44707</v>
      </c>
      <c r="C4865">
        <v>1</v>
      </c>
      <c r="D4865">
        <v>88.43</v>
      </c>
      <c r="E4865">
        <v>110</v>
      </c>
    </row>
    <row r="4866" spans="1:5" x14ac:dyDescent="0.3">
      <c r="A4866" t="s">
        <v>24</v>
      </c>
      <c r="B4866" s="1">
        <v>44707</v>
      </c>
      <c r="C4866">
        <v>1</v>
      </c>
      <c r="D4866">
        <v>102.47</v>
      </c>
      <c r="E4866">
        <v>121</v>
      </c>
    </row>
    <row r="4867" spans="1:5" x14ac:dyDescent="0.3">
      <c r="A4867" t="s">
        <v>120</v>
      </c>
      <c r="B4867" s="1">
        <v>44707</v>
      </c>
      <c r="C4867">
        <v>1</v>
      </c>
      <c r="D4867">
        <v>133.72</v>
      </c>
      <c r="E4867">
        <v>189</v>
      </c>
    </row>
    <row r="4868" spans="1:5" x14ac:dyDescent="0.3">
      <c r="A4868" t="s">
        <v>124</v>
      </c>
      <c r="B4868" s="1">
        <v>44707</v>
      </c>
      <c r="C4868">
        <v>1</v>
      </c>
      <c r="D4868">
        <v>42.85</v>
      </c>
      <c r="E4868">
        <v>70</v>
      </c>
    </row>
    <row r="4869" spans="1:5" x14ac:dyDescent="0.3">
      <c r="A4869" t="s">
        <v>123</v>
      </c>
      <c r="B4869" s="1">
        <v>44707</v>
      </c>
      <c r="C4869">
        <v>1</v>
      </c>
      <c r="D4869">
        <v>63.69</v>
      </c>
      <c r="E4869">
        <v>79</v>
      </c>
    </row>
    <row r="4870" spans="1:5" x14ac:dyDescent="0.3">
      <c r="A4870" t="s">
        <v>123</v>
      </c>
      <c r="B4870" s="1">
        <v>44707</v>
      </c>
      <c r="C4870">
        <v>1</v>
      </c>
      <c r="D4870">
        <v>63.69</v>
      </c>
      <c r="E4870">
        <v>79</v>
      </c>
    </row>
    <row r="4871" spans="1:5" x14ac:dyDescent="0.3">
      <c r="A4871" t="s">
        <v>47</v>
      </c>
      <c r="B4871" s="1">
        <v>44707</v>
      </c>
      <c r="C4871">
        <v>1</v>
      </c>
      <c r="D4871">
        <v>43.08</v>
      </c>
      <c r="E4871">
        <v>66</v>
      </c>
    </row>
    <row r="4872" spans="1:5" x14ac:dyDescent="0.3">
      <c r="A4872" t="s">
        <v>47</v>
      </c>
      <c r="B4872" s="1">
        <v>44707</v>
      </c>
      <c r="C4872">
        <v>1</v>
      </c>
      <c r="D4872">
        <v>43.08</v>
      </c>
      <c r="E4872">
        <v>66</v>
      </c>
    </row>
    <row r="4873" spans="1:5" x14ac:dyDescent="0.3">
      <c r="A4873" t="s">
        <v>47</v>
      </c>
      <c r="B4873" s="1">
        <v>44707</v>
      </c>
      <c r="C4873">
        <v>1</v>
      </c>
      <c r="D4873">
        <v>43.08</v>
      </c>
      <c r="E4873">
        <v>66</v>
      </c>
    </row>
    <row r="4874" spans="1:5" x14ac:dyDescent="0.3">
      <c r="A4874" t="s">
        <v>20</v>
      </c>
      <c r="B4874" s="1">
        <v>44707</v>
      </c>
      <c r="C4874">
        <v>1</v>
      </c>
      <c r="D4874">
        <v>19.71</v>
      </c>
      <c r="E4874">
        <v>25</v>
      </c>
    </row>
    <row r="4875" spans="1:5" x14ac:dyDescent="0.3">
      <c r="A4875" t="s">
        <v>20</v>
      </c>
      <c r="B4875" s="1">
        <v>44707</v>
      </c>
      <c r="C4875">
        <v>1</v>
      </c>
      <c r="D4875">
        <v>19.71</v>
      </c>
      <c r="E4875">
        <v>25</v>
      </c>
    </row>
    <row r="4876" spans="1:5" x14ac:dyDescent="0.3">
      <c r="A4876" t="s">
        <v>20</v>
      </c>
      <c r="B4876" s="1">
        <v>44707</v>
      </c>
      <c r="C4876">
        <v>1</v>
      </c>
      <c r="D4876">
        <v>19.71</v>
      </c>
      <c r="E4876">
        <v>25</v>
      </c>
    </row>
    <row r="4877" spans="1:5" x14ac:dyDescent="0.3">
      <c r="A4877" t="s">
        <v>120</v>
      </c>
      <c r="B4877" s="1">
        <v>44707</v>
      </c>
      <c r="C4877">
        <v>1</v>
      </c>
      <c r="D4877">
        <v>133.72</v>
      </c>
      <c r="E4877">
        <v>189</v>
      </c>
    </row>
    <row r="4878" spans="1:5" x14ac:dyDescent="0.3">
      <c r="A4878" t="s">
        <v>49</v>
      </c>
      <c r="B4878" s="1">
        <v>44707</v>
      </c>
      <c r="C4878">
        <v>1</v>
      </c>
      <c r="D4878">
        <v>15.53</v>
      </c>
      <c r="E4878">
        <v>19</v>
      </c>
    </row>
    <row r="4879" spans="1:5" x14ac:dyDescent="0.3">
      <c r="A4879" t="s">
        <v>49</v>
      </c>
      <c r="B4879" s="1">
        <v>44707</v>
      </c>
      <c r="C4879">
        <v>1</v>
      </c>
      <c r="D4879">
        <v>15.8</v>
      </c>
      <c r="E4879">
        <v>19</v>
      </c>
    </row>
    <row r="4880" spans="1:5" x14ac:dyDescent="0.3">
      <c r="A4880" t="s">
        <v>49</v>
      </c>
      <c r="B4880" s="1">
        <v>44707</v>
      </c>
      <c r="C4880">
        <v>1</v>
      </c>
      <c r="D4880">
        <v>15.8</v>
      </c>
      <c r="E4880">
        <v>19</v>
      </c>
    </row>
    <row r="4881" spans="1:5" x14ac:dyDescent="0.3">
      <c r="A4881" t="s">
        <v>100</v>
      </c>
      <c r="B4881" s="1">
        <v>44707</v>
      </c>
      <c r="C4881">
        <v>1</v>
      </c>
      <c r="D4881">
        <v>36.99</v>
      </c>
      <c r="E4881">
        <v>57</v>
      </c>
    </row>
    <row r="4882" spans="1:5" x14ac:dyDescent="0.3">
      <c r="A4882" t="s">
        <v>100</v>
      </c>
      <c r="B4882" s="1">
        <v>44707</v>
      </c>
      <c r="C4882">
        <v>1</v>
      </c>
      <c r="D4882">
        <v>36.99</v>
      </c>
      <c r="E4882">
        <v>57</v>
      </c>
    </row>
    <row r="4883" spans="1:5" x14ac:dyDescent="0.3">
      <c r="A4883" t="s">
        <v>100</v>
      </c>
      <c r="B4883" s="1">
        <v>44707</v>
      </c>
      <c r="C4883">
        <v>1</v>
      </c>
      <c r="D4883">
        <v>36.99</v>
      </c>
      <c r="E4883">
        <v>57</v>
      </c>
    </row>
    <row r="4884" spans="1:5" x14ac:dyDescent="0.3">
      <c r="A4884" t="s">
        <v>41</v>
      </c>
      <c r="B4884" s="1">
        <v>44707</v>
      </c>
      <c r="C4884">
        <v>1</v>
      </c>
      <c r="D4884">
        <v>10.9</v>
      </c>
      <c r="E4884">
        <v>18</v>
      </c>
    </row>
    <row r="4885" spans="1:5" x14ac:dyDescent="0.3">
      <c r="A4885" t="s">
        <v>91</v>
      </c>
      <c r="B4885" s="1">
        <v>44707</v>
      </c>
      <c r="C4885">
        <v>1</v>
      </c>
      <c r="D4885">
        <v>37.18</v>
      </c>
      <c r="E4885">
        <v>64</v>
      </c>
    </row>
    <row r="4886" spans="1:5" x14ac:dyDescent="0.3">
      <c r="A4886" t="s">
        <v>6</v>
      </c>
      <c r="B4886" s="1">
        <v>44707</v>
      </c>
      <c r="C4886">
        <v>1</v>
      </c>
      <c r="D4886">
        <v>488.73</v>
      </c>
      <c r="E4886">
        <v>670</v>
      </c>
    </row>
    <row r="4887" spans="1:5" x14ac:dyDescent="0.3">
      <c r="A4887" t="s">
        <v>34</v>
      </c>
      <c r="B4887" s="1">
        <v>44707</v>
      </c>
      <c r="C4887">
        <v>1</v>
      </c>
      <c r="D4887">
        <v>201.2</v>
      </c>
      <c r="E4887">
        <v>232</v>
      </c>
    </row>
    <row r="4888" spans="1:5" x14ac:dyDescent="0.3">
      <c r="A4888" t="s">
        <v>7</v>
      </c>
      <c r="B4888" s="1">
        <v>44707</v>
      </c>
      <c r="C4888">
        <v>1</v>
      </c>
      <c r="D4888">
        <v>88.43</v>
      </c>
      <c r="E4888">
        <v>106</v>
      </c>
    </row>
    <row r="4889" spans="1:5" x14ac:dyDescent="0.3">
      <c r="A4889" t="s">
        <v>7</v>
      </c>
      <c r="B4889" s="1">
        <v>44707</v>
      </c>
      <c r="C4889">
        <v>1</v>
      </c>
      <c r="D4889">
        <v>88.43</v>
      </c>
      <c r="E4889">
        <v>106</v>
      </c>
    </row>
    <row r="4890" spans="1:5" x14ac:dyDescent="0.3">
      <c r="A4890" t="s">
        <v>23</v>
      </c>
      <c r="B4890" s="1">
        <v>44707</v>
      </c>
      <c r="C4890">
        <v>1</v>
      </c>
      <c r="D4890">
        <v>109.41</v>
      </c>
      <c r="E4890">
        <v>123</v>
      </c>
    </row>
    <row r="4891" spans="1:5" x14ac:dyDescent="0.3">
      <c r="A4891" t="s">
        <v>19</v>
      </c>
      <c r="B4891" s="1">
        <v>44707</v>
      </c>
      <c r="C4891">
        <v>1</v>
      </c>
      <c r="D4891">
        <v>82.68</v>
      </c>
      <c r="E4891">
        <v>103</v>
      </c>
    </row>
    <row r="4892" spans="1:5" x14ac:dyDescent="0.3">
      <c r="A4892" t="s">
        <v>120</v>
      </c>
      <c r="B4892" s="1">
        <v>44707</v>
      </c>
      <c r="C4892">
        <v>1</v>
      </c>
      <c r="D4892">
        <v>145.04</v>
      </c>
      <c r="E4892">
        <v>202</v>
      </c>
    </row>
    <row r="4893" spans="1:5" x14ac:dyDescent="0.3">
      <c r="A4893" t="s">
        <v>122</v>
      </c>
      <c r="B4893" s="1">
        <v>44707</v>
      </c>
      <c r="C4893">
        <v>1</v>
      </c>
      <c r="D4893">
        <v>20.86</v>
      </c>
      <c r="E4893">
        <v>26</v>
      </c>
    </row>
    <row r="4894" spans="1:5" x14ac:dyDescent="0.3">
      <c r="A4894" t="s">
        <v>120</v>
      </c>
      <c r="B4894" s="1">
        <v>44707</v>
      </c>
      <c r="C4894">
        <v>1</v>
      </c>
      <c r="D4894">
        <v>133.72</v>
      </c>
      <c r="E4894">
        <v>189</v>
      </c>
    </row>
    <row r="4895" spans="1:5" x14ac:dyDescent="0.3">
      <c r="A4895" t="s">
        <v>98</v>
      </c>
      <c r="B4895" s="1">
        <v>44707</v>
      </c>
      <c r="C4895">
        <v>1</v>
      </c>
      <c r="D4895">
        <v>111.32</v>
      </c>
      <c r="E4895">
        <v>134</v>
      </c>
    </row>
    <row r="4896" spans="1:5" x14ac:dyDescent="0.3">
      <c r="A4896" t="s">
        <v>153</v>
      </c>
      <c r="B4896" s="1">
        <v>44707</v>
      </c>
      <c r="C4896">
        <v>1</v>
      </c>
      <c r="D4896">
        <v>9.4600000000000009</v>
      </c>
      <c r="E4896">
        <v>11</v>
      </c>
    </row>
    <row r="4897" spans="1:5" x14ac:dyDescent="0.3">
      <c r="A4897" t="s">
        <v>153</v>
      </c>
      <c r="B4897" s="1">
        <v>44707</v>
      </c>
      <c r="C4897">
        <v>1</v>
      </c>
      <c r="D4897">
        <v>9.4600000000000009</v>
      </c>
      <c r="E4897">
        <v>11</v>
      </c>
    </row>
    <row r="4898" spans="1:5" x14ac:dyDescent="0.3">
      <c r="A4898" t="s">
        <v>14</v>
      </c>
      <c r="B4898" s="1">
        <v>44707</v>
      </c>
      <c r="C4898">
        <v>0.1</v>
      </c>
      <c r="D4898">
        <v>596.29</v>
      </c>
      <c r="E4898">
        <v>746</v>
      </c>
    </row>
    <row r="4899" spans="1:5" x14ac:dyDescent="0.3">
      <c r="A4899" t="s">
        <v>11</v>
      </c>
      <c r="B4899" s="1">
        <v>44707</v>
      </c>
      <c r="C4899">
        <v>1</v>
      </c>
      <c r="D4899">
        <v>24.2</v>
      </c>
      <c r="E4899">
        <v>39</v>
      </c>
    </row>
    <row r="4900" spans="1:5" x14ac:dyDescent="0.3">
      <c r="A4900" t="s">
        <v>19</v>
      </c>
      <c r="B4900" s="1">
        <v>44707</v>
      </c>
      <c r="C4900">
        <v>1</v>
      </c>
      <c r="D4900">
        <v>81.290000000000006</v>
      </c>
      <c r="E4900">
        <v>103</v>
      </c>
    </row>
    <row r="4901" spans="1:5" x14ac:dyDescent="0.3">
      <c r="A4901" t="s">
        <v>19</v>
      </c>
      <c r="B4901" s="1">
        <v>44707</v>
      </c>
      <c r="C4901">
        <v>1</v>
      </c>
      <c r="D4901">
        <v>81.290000000000006</v>
      </c>
      <c r="E4901">
        <v>103</v>
      </c>
    </row>
    <row r="4902" spans="1:5" x14ac:dyDescent="0.3">
      <c r="A4902" t="s">
        <v>83</v>
      </c>
      <c r="B4902" s="1">
        <v>44707</v>
      </c>
      <c r="C4902">
        <v>1</v>
      </c>
      <c r="D4902">
        <v>207.76</v>
      </c>
      <c r="E4902">
        <v>246</v>
      </c>
    </row>
    <row r="4903" spans="1:5" x14ac:dyDescent="0.3">
      <c r="A4903" t="s">
        <v>84</v>
      </c>
      <c r="B4903" s="1">
        <v>44707</v>
      </c>
      <c r="C4903">
        <v>1</v>
      </c>
      <c r="D4903">
        <v>175.74</v>
      </c>
      <c r="E4903">
        <v>220</v>
      </c>
    </row>
    <row r="4904" spans="1:5" x14ac:dyDescent="0.3">
      <c r="A4904" t="s">
        <v>120</v>
      </c>
      <c r="B4904" s="1">
        <v>44707</v>
      </c>
      <c r="C4904">
        <v>1</v>
      </c>
      <c r="D4904">
        <v>132.56</v>
      </c>
      <c r="E4904">
        <v>179</v>
      </c>
    </row>
    <row r="4905" spans="1:5" x14ac:dyDescent="0.3">
      <c r="A4905" t="s">
        <v>45</v>
      </c>
      <c r="B4905" s="1">
        <v>44707</v>
      </c>
      <c r="C4905">
        <v>1</v>
      </c>
      <c r="D4905">
        <v>28.85</v>
      </c>
      <c r="E4905">
        <v>47</v>
      </c>
    </row>
    <row r="4906" spans="1:5" x14ac:dyDescent="0.3">
      <c r="A4906" t="s">
        <v>41</v>
      </c>
      <c r="B4906" s="1">
        <v>44707</v>
      </c>
      <c r="C4906">
        <v>1</v>
      </c>
      <c r="D4906">
        <v>10.9</v>
      </c>
      <c r="E4906">
        <v>18</v>
      </c>
    </row>
    <row r="4907" spans="1:5" x14ac:dyDescent="0.3">
      <c r="A4907" t="s">
        <v>144</v>
      </c>
      <c r="B4907" s="1">
        <v>44707</v>
      </c>
      <c r="C4907">
        <v>1</v>
      </c>
      <c r="D4907">
        <v>51.98</v>
      </c>
      <c r="E4907">
        <v>81</v>
      </c>
    </row>
    <row r="4908" spans="1:5" x14ac:dyDescent="0.3">
      <c r="A4908" t="s">
        <v>6</v>
      </c>
      <c r="B4908" s="1">
        <v>44707</v>
      </c>
      <c r="C4908">
        <v>0.2</v>
      </c>
      <c r="D4908">
        <v>421.52</v>
      </c>
      <c r="E4908">
        <v>527</v>
      </c>
    </row>
    <row r="4909" spans="1:5" x14ac:dyDescent="0.3">
      <c r="A4909" t="s">
        <v>97</v>
      </c>
      <c r="B4909" s="1">
        <v>44707</v>
      </c>
      <c r="C4909">
        <v>1</v>
      </c>
      <c r="D4909">
        <v>426.66</v>
      </c>
      <c r="E4909">
        <v>564</v>
      </c>
    </row>
    <row r="4910" spans="1:5" x14ac:dyDescent="0.3">
      <c r="A4910" t="s">
        <v>115</v>
      </c>
      <c r="B4910" s="1">
        <v>44707</v>
      </c>
      <c r="C4910">
        <v>1</v>
      </c>
      <c r="D4910">
        <v>71.02</v>
      </c>
      <c r="E4910">
        <v>88</v>
      </c>
    </row>
    <row r="4911" spans="1:5" x14ac:dyDescent="0.3">
      <c r="A4911" t="s">
        <v>55</v>
      </c>
      <c r="B4911" s="1">
        <v>44707</v>
      </c>
      <c r="C4911">
        <v>1</v>
      </c>
      <c r="D4911">
        <v>77.510000000000005</v>
      </c>
      <c r="E4911">
        <v>94</v>
      </c>
    </row>
    <row r="4912" spans="1:5" x14ac:dyDescent="0.3">
      <c r="A4912" t="s">
        <v>24</v>
      </c>
      <c r="B4912" s="1">
        <v>44707</v>
      </c>
      <c r="C4912">
        <v>1</v>
      </c>
      <c r="D4912">
        <v>102.47</v>
      </c>
      <c r="E4912">
        <v>121</v>
      </c>
    </row>
    <row r="4913" spans="1:5" x14ac:dyDescent="0.3">
      <c r="A4913" t="s">
        <v>45</v>
      </c>
      <c r="B4913" s="1">
        <v>44707</v>
      </c>
      <c r="C4913">
        <v>2</v>
      </c>
      <c r="D4913">
        <v>29.26</v>
      </c>
      <c r="E4913">
        <v>48</v>
      </c>
    </row>
    <row r="4914" spans="1:5" x14ac:dyDescent="0.3">
      <c r="A4914" t="s">
        <v>13</v>
      </c>
      <c r="B4914" s="1">
        <v>44707</v>
      </c>
      <c r="C4914">
        <v>1</v>
      </c>
      <c r="D4914">
        <v>130.94999999999999</v>
      </c>
      <c r="E4914">
        <v>155</v>
      </c>
    </row>
    <row r="4915" spans="1:5" x14ac:dyDescent="0.3">
      <c r="A4915" t="s">
        <v>87</v>
      </c>
      <c r="B4915" s="1">
        <v>44707</v>
      </c>
      <c r="C4915">
        <v>1</v>
      </c>
      <c r="D4915">
        <v>323.66000000000003</v>
      </c>
      <c r="E4915">
        <v>370</v>
      </c>
    </row>
    <row r="4916" spans="1:5" x14ac:dyDescent="0.3">
      <c r="A4916" t="s">
        <v>45</v>
      </c>
      <c r="B4916" s="1">
        <v>44707</v>
      </c>
      <c r="C4916">
        <v>4</v>
      </c>
      <c r="D4916">
        <v>25.1</v>
      </c>
      <c r="E4916">
        <v>41</v>
      </c>
    </row>
    <row r="4917" spans="1:5" x14ac:dyDescent="0.3">
      <c r="A4917" t="s">
        <v>59</v>
      </c>
      <c r="B4917" s="1">
        <v>44707</v>
      </c>
      <c r="C4917">
        <v>3</v>
      </c>
      <c r="D4917">
        <v>16.78</v>
      </c>
      <c r="E4917">
        <v>28</v>
      </c>
    </row>
    <row r="4918" spans="1:5" x14ac:dyDescent="0.3">
      <c r="A4918" t="s">
        <v>6</v>
      </c>
      <c r="B4918" s="1">
        <v>44707</v>
      </c>
      <c r="C4918">
        <v>0.4</v>
      </c>
      <c r="D4918">
        <v>507.48</v>
      </c>
      <c r="E4918">
        <v>635</v>
      </c>
    </row>
    <row r="4919" spans="1:5" x14ac:dyDescent="0.3">
      <c r="A4919" t="s">
        <v>141</v>
      </c>
      <c r="B4919" s="1">
        <v>44707</v>
      </c>
      <c r="C4919">
        <v>2</v>
      </c>
      <c r="D4919">
        <v>12.2</v>
      </c>
      <c r="E4919">
        <v>20</v>
      </c>
    </row>
    <row r="4920" spans="1:5" x14ac:dyDescent="0.3">
      <c r="A4920" t="s">
        <v>142</v>
      </c>
      <c r="B4920" s="1">
        <v>44707</v>
      </c>
      <c r="C4920">
        <v>1</v>
      </c>
      <c r="D4920">
        <v>12.86</v>
      </c>
      <c r="E4920">
        <v>15</v>
      </c>
    </row>
    <row r="4921" spans="1:5" x14ac:dyDescent="0.3">
      <c r="A4921" t="s">
        <v>136</v>
      </c>
      <c r="B4921" s="1">
        <v>44707</v>
      </c>
      <c r="C4921">
        <v>1</v>
      </c>
      <c r="D4921">
        <v>287.61</v>
      </c>
      <c r="E4921">
        <v>403</v>
      </c>
    </row>
    <row r="4922" spans="1:5" x14ac:dyDescent="0.3">
      <c r="A4922" t="s">
        <v>29</v>
      </c>
      <c r="B4922" s="1">
        <v>44707</v>
      </c>
      <c r="C4922">
        <v>1</v>
      </c>
      <c r="D4922">
        <v>489.61</v>
      </c>
      <c r="E4922">
        <v>676</v>
      </c>
    </row>
    <row r="4923" spans="1:5" x14ac:dyDescent="0.3">
      <c r="A4923" t="s">
        <v>98</v>
      </c>
      <c r="B4923" s="1">
        <v>44707</v>
      </c>
      <c r="C4923">
        <v>1</v>
      </c>
      <c r="D4923">
        <v>112.66</v>
      </c>
      <c r="E4923">
        <v>136</v>
      </c>
    </row>
    <row r="4924" spans="1:5" x14ac:dyDescent="0.3">
      <c r="A4924" t="s">
        <v>26</v>
      </c>
      <c r="B4924" s="1">
        <v>44707</v>
      </c>
      <c r="C4924">
        <v>0.9</v>
      </c>
      <c r="D4924">
        <v>989.8</v>
      </c>
      <c r="E4924">
        <v>1238</v>
      </c>
    </row>
    <row r="4925" spans="1:5" x14ac:dyDescent="0.3">
      <c r="A4925" t="s">
        <v>93</v>
      </c>
      <c r="B4925" s="1">
        <v>44707</v>
      </c>
      <c r="C4925">
        <v>1</v>
      </c>
      <c r="D4925">
        <v>71.040000000000006</v>
      </c>
      <c r="E4925">
        <v>101</v>
      </c>
    </row>
    <row r="4926" spans="1:5" x14ac:dyDescent="0.3">
      <c r="A4926" t="s">
        <v>30</v>
      </c>
      <c r="B4926" s="1">
        <v>44707</v>
      </c>
      <c r="C4926">
        <v>1</v>
      </c>
      <c r="D4926">
        <v>156.19999999999999</v>
      </c>
      <c r="E4926">
        <v>186</v>
      </c>
    </row>
    <row r="4927" spans="1:5" x14ac:dyDescent="0.3">
      <c r="A4927" t="s">
        <v>95</v>
      </c>
      <c r="B4927" s="1">
        <v>44707</v>
      </c>
      <c r="C4927">
        <v>1</v>
      </c>
      <c r="D4927">
        <v>114.19</v>
      </c>
      <c r="E4927">
        <v>180</v>
      </c>
    </row>
    <row r="4928" spans="1:5" x14ac:dyDescent="0.3">
      <c r="A4928" t="s">
        <v>106</v>
      </c>
      <c r="B4928" s="1">
        <v>44707</v>
      </c>
      <c r="C4928">
        <v>1</v>
      </c>
      <c r="D4928">
        <v>40.17</v>
      </c>
      <c r="E4928">
        <v>50</v>
      </c>
    </row>
    <row r="4929" spans="1:5" x14ac:dyDescent="0.3">
      <c r="A4929" t="s">
        <v>157</v>
      </c>
      <c r="B4929" s="1">
        <v>44707</v>
      </c>
      <c r="C4929">
        <v>1</v>
      </c>
      <c r="D4929">
        <v>12</v>
      </c>
      <c r="E4929">
        <v>20</v>
      </c>
    </row>
    <row r="4930" spans="1:5" x14ac:dyDescent="0.3">
      <c r="A4930" t="s">
        <v>30</v>
      </c>
      <c r="B4930" s="1">
        <v>44707</v>
      </c>
      <c r="C4930">
        <v>1</v>
      </c>
      <c r="D4930">
        <v>156.19999999999999</v>
      </c>
      <c r="E4930">
        <v>186</v>
      </c>
    </row>
    <row r="4931" spans="1:5" x14ac:dyDescent="0.3">
      <c r="A4931" t="s">
        <v>47</v>
      </c>
      <c r="B4931" s="1">
        <v>44707</v>
      </c>
      <c r="C4931">
        <v>1</v>
      </c>
      <c r="D4931">
        <v>42.85</v>
      </c>
      <c r="E4931">
        <v>67</v>
      </c>
    </row>
    <row r="4932" spans="1:5" x14ac:dyDescent="0.3">
      <c r="A4932" t="s">
        <v>22</v>
      </c>
      <c r="B4932" s="1">
        <v>44707</v>
      </c>
      <c r="C4932">
        <v>1</v>
      </c>
      <c r="D4932">
        <v>30.3</v>
      </c>
      <c r="E4932">
        <v>49</v>
      </c>
    </row>
    <row r="4933" spans="1:5" x14ac:dyDescent="0.3">
      <c r="A4933" t="s">
        <v>54</v>
      </c>
      <c r="B4933" s="1">
        <v>44707</v>
      </c>
      <c r="C4933">
        <v>1</v>
      </c>
      <c r="D4933">
        <v>731.05</v>
      </c>
      <c r="E4933">
        <v>944</v>
      </c>
    </row>
    <row r="4934" spans="1:5" x14ac:dyDescent="0.3">
      <c r="A4934" t="s">
        <v>13</v>
      </c>
      <c r="B4934" s="1">
        <v>44707</v>
      </c>
      <c r="C4934">
        <v>1</v>
      </c>
      <c r="D4934">
        <v>66.959999999999994</v>
      </c>
      <c r="E4934">
        <v>73.87</v>
      </c>
    </row>
    <row r="4935" spans="1:5" x14ac:dyDescent="0.3">
      <c r="A4935" t="s">
        <v>48</v>
      </c>
      <c r="B4935" s="1">
        <v>44707</v>
      </c>
      <c r="C4935">
        <v>1</v>
      </c>
      <c r="D4935">
        <v>38.82</v>
      </c>
      <c r="E4935">
        <v>61</v>
      </c>
    </row>
    <row r="4936" spans="1:5" x14ac:dyDescent="0.3">
      <c r="A4936" t="s">
        <v>146</v>
      </c>
      <c r="B4936" s="1">
        <v>44707</v>
      </c>
      <c r="C4936">
        <v>1</v>
      </c>
      <c r="D4936">
        <v>402.29</v>
      </c>
      <c r="E4936">
        <v>451</v>
      </c>
    </row>
    <row r="4937" spans="1:5" x14ac:dyDescent="0.3">
      <c r="A4937" t="s">
        <v>92</v>
      </c>
      <c r="B4937" s="1">
        <v>44707</v>
      </c>
      <c r="C4937">
        <v>1</v>
      </c>
      <c r="D4937">
        <v>6.3</v>
      </c>
      <c r="E4937">
        <v>9</v>
      </c>
    </row>
    <row r="4938" spans="1:5" x14ac:dyDescent="0.3">
      <c r="A4938" t="s">
        <v>23</v>
      </c>
      <c r="B4938" s="1">
        <v>44707</v>
      </c>
      <c r="C4938">
        <v>1</v>
      </c>
      <c r="D4938">
        <v>109.41</v>
      </c>
      <c r="E4938">
        <v>123</v>
      </c>
    </row>
    <row r="4939" spans="1:5" x14ac:dyDescent="0.3">
      <c r="A4939" t="s">
        <v>9</v>
      </c>
      <c r="B4939" s="1">
        <v>44707</v>
      </c>
      <c r="C4939">
        <v>1</v>
      </c>
      <c r="D4939">
        <v>81.17</v>
      </c>
      <c r="E4939">
        <v>99</v>
      </c>
    </row>
    <row r="4940" spans="1:5" x14ac:dyDescent="0.3">
      <c r="A4940" t="s">
        <v>152</v>
      </c>
      <c r="B4940" s="1">
        <v>44707</v>
      </c>
      <c r="C4940">
        <v>1</v>
      </c>
      <c r="D4940">
        <v>107.99</v>
      </c>
      <c r="E4940">
        <v>135</v>
      </c>
    </row>
    <row r="4941" spans="1:5" x14ac:dyDescent="0.3">
      <c r="A4941" t="s">
        <v>91</v>
      </c>
      <c r="B4941" s="1">
        <v>44707</v>
      </c>
      <c r="C4941">
        <v>0.45652199999999998</v>
      </c>
      <c r="D4941">
        <v>37.18</v>
      </c>
      <c r="E4941">
        <v>64</v>
      </c>
    </row>
    <row r="4942" spans="1:5" x14ac:dyDescent="0.3">
      <c r="A4942" t="s">
        <v>91</v>
      </c>
      <c r="B4942" s="1">
        <v>44707</v>
      </c>
      <c r="C4942">
        <v>0.54347800000000002</v>
      </c>
      <c r="D4942">
        <v>37.18</v>
      </c>
      <c r="E4942">
        <v>64</v>
      </c>
    </row>
    <row r="4943" spans="1:5" x14ac:dyDescent="0.3">
      <c r="A4943" t="s">
        <v>97</v>
      </c>
      <c r="B4943" s="1">
        <v>44707</v>
      </c>
      <c r="C4943">
        <v>1</v>
      </c>
      <c r="D4943">
        <v>426.67</v>
      </c>
      <c r="E4943">
        <v>564</v>
      </c>
    </row>
    <row r="4944" spans="1:5" x14ac:dyDescent="0.3">
      <c r="A4944" t="s">
        <v>144</v>
      </c>
      <c r="B4944" s="1">
        <v>44707</v>
      </c>
      <c r="C4944">
        <v>1</v>
      </c>
      <c r="D4944">
        <v>51.32</v>
      </c>
      <c r="E4944">
        <v>73</v>
      </c>
    </row>
    <row r="4945" spans="1:5" x14ac:dyDescent="0.3">
      <c r="A4945" t="s">
        <v>49</v>
      </c>
      <c r="B4945" s="1">
        <v>44707</v>
      </c>
      <c r="C4945">
        <v>1</v>
      </c>
      <c r="D4945">
        <v>15.82</v>
      </c>
      <c r="E4945">
        <v>20</v>
      </c>
    </row>
    <row r="4946" spans="1:5" x14ac:dyDescent="0.3">
      <c r="A4946" t="s">
        <v>25</v>
      </c>
      <c r="B4946" s="1">
        <v>44707</v>
      </c>
      <c r="C4946">
        <v>1</v>
      </c>
      <c r="D4946">
        <v>147.18</v>
      </c>
      <c r="E4946">
        <v>173</v>
      </c>
    </row>
    <row r="4947" spans="1:5" x14ac:dyDescent="0.3">
      <c r="A4947" t="s">
        <v>69</v>
      </c>
      <c r="B4947" s="1">
        <v>44707</v>
      </c>
      <c r="C4947">
        <v>1</v>
      </c>
      <c r="D4947">
        <v>19.989999999999998</v>
      </c>
      <c r="E4947">
        <v>24</v>
      </c>
    </row>
    <row r="4948" spans="1:5" x14ac:dyDescent="0.3">
      <c r="A4948" t="s">
        <v>5</v>
      </c>
      <c r="B4948" s="1">
        <v>44707</v>
      </c>
      <c r="C4948">
        <v>1</v>
      </c>
      <c r="D4948">
        <v>130.75</v>
      </c>
      <c r="E4948">
        <v>157</v>
      </c>
    </row>
    <row r="4949" spans="1:5" x14ac:dyDescent="0.3">
      <c r="A4949" t="s">
        <v>17</v>
      </c>
      <c r="B4949" s="1">
        <v>44707</v>
      </c>
      <c r="C4949">
        <v>1</v>
      </c>
      <c r="D4949">
        <v>383.25</v>
      </c>
      <c r="E4949">
        <v>460</v>
      </c>
    </row>
    <row r="4950" spans="1:5" x14ac:dyDescent="0.3">
      <c r="A4950" t="s">
        <v>42</v>
      </c>
      <c r="B4950" s="1">
        <v>44707</v>
      </c>
      <c r="C4950">
        <v>1</v>
      </c>
      <c r="D4950">
        <v>570.99</v>
      </c>
      <c r="E4950">
        <v>657</v>
      </c>
    </row>
    <row r="4951" spans="1:5" x14ac:dyDescent="0.3">
      <c r="A4951" t="s">
        <v>19</v>
      </c>
      <c r="B4951" s="1">
        <v>44707</v>
      </c>
      <c r="C4951">
        <v>1</v>
      </c>
      <c r="D4951">
        <v>81.290000000000006</v>
      </c>
      <c r="E4951">
        <v>103</v>
      </c>
    </row>
    <row r="4952" spans="1:5" x14ac:dyDescent="0.3">
      <c r="A4952" t="s">
        <v>60</v>
      </c>
      <c r="B4952" s="1">
        <v>44707</v>
      </c>
      <c r="C4952">
        <v>1</v>
      </c>
      <c r="D4952">
        <v>58.08</v>
      </c>
      <c r="E4952">
        <v>73</v>
      </c>
    </row>
    <row r="4953" spans="1:5" x14ac:dyDescent="0.3">
      <c r="A4953" t="s">
        <v>119</v>
      </c>
      <c r="B4953" s="1">
        <v>44707</v>
      </c>
      <c r="C4953">
        <v>0.107143</v>
      </c>
      <c r="D4953">
        <v>656.19</v>
      </c>
      <c r="E4953">
        <v>722</v>
      </c>
    </row>
    <row r="4954" spans="1:5" x14ac:dyDescent="0.3">
      <c r="A4954" t="s">
        <v>105</v>
      </c>
      <c r="B4954" s="1">
        <v>44707</v>
      </c>
      <c r="C4954">
        <v>2</v>
      </c>
      <c r="D4954">
        <v>27.72</v>
      </c>
      <c r="E4954">
        <v>45</v>
      </c>
    </row>
    <row r="4955" spans="1:5" x14ac:dyDescent="0.3">
      <c r="A4955" t="s">
        <v>50</v>
      </c>
      <c r="B4955" s="1">
        <v>44707</v>
      </c>
      <c r="C4955">
        <v>1</v>
      </c>
      <c r="D4955">
        <v>44.86</v>
      </c>
      <c r="E4955">
        <v>56</v>
      </c>
    </row>
    <row r="4956" spans="1:5" x14ac:dyDescent="0.3">
      <c r="A4956" t="s">
        <v>56</v>
      </c>
      <c r="B4956" s="1">
        <v>44707</v>
      </c>
      <c r="C4956">
        <v>1</v>
      </c>
      <c r="D4956">
        <v>43.97</v>
      </c>
      <c r="E4956">
        <v>67</v>
      </c>
    </row>
    <row r="4957" spans="1:5" x14ac:dyDescent="0.3">
      <c r="A4957" t="s">
        <v>58</v>
      </c>
      <c r="B4957" s="1">
        <v>44707</v>
      </c>
      <c r="C4957">
        <v>1</v>
      </c>
      <c r="D4957">
        <v>84.36</v>
      </c>
      <c r="E4957">
        <v>102</v>
      </c>
    </row>
    <row r="4958" spans="1:5" x14ac:dyDescent="0.3">
      <c r="A4958" t="s">
        <v>25</v>
      </c>
      <c r="B4958" s="1">
        <v>44707</v>
      </c>
      <c r="C4958">
        <v>1</v>
      </c>
      <c r="D4958">
        <v>147.18</v>
      </c>
      <c r="E4958">
        <v>177</v>
      </c>
    </row>
    <row r="4959" spans="1:5" x14ac:dyDescent="0.3">
      <c r="A4959" t="s">
        <v>50</v>
      </c>
      <c r="B4959" s="1">
        <v>44707</v>
      </c>
      <c r="C4959">
        <v>1</v>
      </c>
      <c r="D4959">
        <v>43.86</v>
      </c>
      <c r="E4959">
        <v>55</v>
      </c>
    </row>
    <row r="4960" spans="1:5" x14ac:dyDescent="0.3">
      <c r="A4960" t="s">
        <v>14</v>
      </c>
      <c r="B4960" s="1">
        <v>44707</v>
      </c>
      <c r="C4960">
        <v>0.2</v>
      </c>
      <c r="D4960">
        <v>443.94</v>
      </c>
      <c r="E4960">
        <v>613</v>
      </c>
    </row>
    <row r="4961" spans="1:5" x14ac:dyDescent="0.3">
      <c r="A4961" t="s">
        <v>47</v>
      </c>
      <c r="B4961" s="1">
        <v>44707</v>
      </c>
      <c r="C4961">
        <v>1</v>
      </c>
      <c r="D4961">
        <v>43.08</v>
      </c>
      <c r="E4961">
        <v>66</v>
      </c>
    </row>
    <row r="4962" spans="1:5" x14ac:dyDescent="0.3">
      <c r="A4962" t="s">
        <v>63</v>
      </c>
      <c r="B4962" s="1">
        <v>44707</v>
      </c>
      <c r="C4962">
        <v>1</v>
      </c>
      <c r="D4962">
        <v>72.8</v>
      </c>
      <c r="E4962">
        <v>88</v>
      </c>
    </row>
    <row r="4963" spans="1:5" x14ac:dyDescent="0.3">
      <c r="A4963" t="s">
        <v>63</v>
      </c>
      <c r="B4963" s="1">
        <v>44707</v>
      </c>
      <c r="C4963">
        <v>1</v>
      </c>
      <c r="D4963">
        <v>72.8</v>
      </c>
      <c r="E4963">
        <v>88</v>
      </c>
    </row>
    <row r="4964" spans="1:5" x14ac:dyDescent="0.3">
      <c r="A4964" t="s">
        <v>66</v>
      </c>
      <c r="B4964" s="1">
        <v>44707</v>
      </c>
      <c r="C4964">
        <v>1</v>
      </c>
      <c r="D4964">
        <v>30.56</v>
      </c>
      <c r="E4964">
        <v>36</v>
      </c>
    </row>
    <row r="4965" spans="1:5" x14ac:dyDescent="0.3">
      <c r="A4965" t="s">
        <v>5</v>
      </c>
      <c r="B4965" s="1">
        <v>44707</v>
      </c>
      <c r="C4965">
        <v>1</v>
      </c>
      <c r="D4965">
        <v>146.1</v>
      </c>
      <c r="E4965">
        <v>173</v>
      </c>
    </row>
    <row r="4966" spans="1:5" x14ac:dyDescent="0.3">
      <c r="A4966" t="s">
        <v>89</v>
      </c>
      <c r="B4966" s="1">
        <v>44707</v>
      </c>
      <c r="C4966">
        <v>1</v>
      </c>
      <c r="D4966">
        <v>81.81</v>
      </c>
      <c r="E4966">
        <v>117</v>
      </c>
    </row>
    <row r="4967" spans="1:5" x14ac:dyDescent="0.3">
      <c r="A4967" t="s">
        <v>7</v>
      </c>
      <c r="B4967" s="1">
        <v>44707</v>
      </c>
      <c r="C4967">
        <v>1</v>
      </c>
      <c r="D4967">
        <v>88.43</v>
      </c>
      <c r="E4967">
        <v>110</v>
      </c>
    </row>
    <row r="4968" spans="1:5" x14ac:dyDescent="0.3">
      <c r="A4968" t="s">
        <v>62</v>
      </c>
      <c r="B4968" s="1">
        <v>44707</v>
      </c>
      <c r="C4968">
        <v>1</v>
      </c>
      <c r="D4968">
        <v>25.15</v>
      </c>
      <c r="E4968">
        <v>30</v>
      </c>
    </row>
    <row r="4969" spans="1:5" x14ac:dyDescent="0.3">
      <c r="A4969" t="s">
        <v>62</v>
      </c>
      <c r="B4969" s="1">
        <v>44707</v>
      </c>
      <c r="C4969">
        <v>1</v>
      </c>
      <c r="D4969">
        <v>25.15</v>
      </c>
      <c r="E4969">
        <v>30</v>
      </c>
    </row>
    <row r="4970" spans="1:5" x14ac:dyDescent="0.3">
      <c r="A4970" t="s">
        <v>5</v>
      </c>
      <c r="B4970" s="1">
        <v>44707</v>
      </c>
      <c r="C4970">
        <v>1</v>
      </c>
      <c r="D4970">
        <v>130.75</v>
      </c>
      <c r="E4970">
        <v>160</v>
      </c>
    </row>
    <row r="4971" spans="1:5" x14ac:dyDescent="0.3">
      <c r="A4971" t="s">
        <v>33</v>
      </c>
      <c r="B4971" s="1">
        <v>44707</v>
      </c>
      <c r="C4971">
        <v>1</v>
      </c>
      <c r="D4971">
        <v>21.52</v>
      </c>
      <c r="E4971">
        <v>26</v>
      </c>
    </row>
    <row r="4972" spans="1:5" x14ac:dyDescent="0.3">
      <c r="A4972" t="s">
        <v>33</v>
      </c>
      <c r="B4972" s="1">
        <v>44707</v>
      </c>
      <c r="C4972">
        <v>1</v>
      </c>
      <c r="D4972">
        <v>21.52</v>
      </c>
      <c r="E4972">
        <v>26</v>
      </c>
    </row>
    <row r="4973" spans="1:5" x14ac:dyDescent="0.3">
      <c r="A4973" t="s">
        <v>9</v>
      </c>
      <c r="B4973" s="1">
        <v>44707</v>
      </c>
      <c r="C4973">
        <v>1</v>
      </c>
      <c r="D4973">
        <v>81.87</v>
      </c>
      <c r="E4973">
        <v>99</v>
      </c>
    </row>
    <row r="4974" spans="1:5" x14ac:dyDescent="0.3">
      <c r="A4974" t="s">
        <v>83</v>
      </c>
      <c r="B4974" s="1">
        <v>44707</v>
      </c>
      <c r="C4974">
        <v>1</v>
      </c>
      <c r="D4974">
        <v>207.68</v>
      </c>
      <c r="E4974">
        <v>241</v>
      </c>
    </row>
    <row r="4975" spans="1:5" x14ac:dyDescent="0.3">
      <c r="A4975" t="s">
        <v>28</v>
      </c>
      <c r="B4975" s="1">
        <v>44707</v>
      </c>
      <c r="C4975">
        <v>1</v>
      </c>
      <c r="D4975">
        <v>148.83000000000001</v>
      </c>
      <c r="E4975">
        <v>207</v>
      </c>
    </row>
    <row r="4976" spans="1:5" x14ac:dyDescent="0.3">
      <c r="A4976" t="s">
        <v>91</v>
      </c>
      <c r="B4976" s="1">
        <v>44707</v>
      </c>
      <c r="C4976">
        <v>1</v>
      </c>
      <c r="D4976">
        <v>36.4</v>
      </c>
      <c r="E4976">
        <v>59</v>
      </c>
    </row>
    <row r="4977" spans="1:5" x14ac:dyDescent="0.3">
      <c r="A4977" t="s">
        <v>87</v>
      </c>
      <c r="B4977" s="1">
        <v>44707</v>
      </c>
      <c r="C4977">
        <v>1</v>
      </c>
      <c r="D4977">
        <v>323.66000000000003</v>
      </c>
      <c r="E4977">
        <v>370</v>
      </c>
    </row>
    <row r="4978" spans="1:5" x14ac:dyDescent="0.3">
      <c r="A4978" t="s">
        <v>9</v>
      </c>
      <c r="B4978" s="1">
        <v>44707</v>
      </c>
      <c r="C4978">
        <v>1</v>
      </c>
      <c r="D4978">
        <v>80.73</v>
      </c>
      <c r="E4978">
        <v>100</v>
      </c>
    </row>
    <row r="4979" spans="1:5" x14ac:dyDescent="0.3">
      <c r="A4979" t="s">
        <v>124</v>
      </c>
      <c r="B4979" s="1">
        <v>44707</v>
      </c>
      <c r="C4979">
        <v>1</v>
      </c>
      <c r="D4979">
        <v>36.75</v>
      </c>
      <c r="E4979">
        <v>59</v>
      </c>
    </row>
    <row r="4980" spans="1:5" x14ac:dyDescent="0.3">
      <c r="A4980" t="s">
        <v>144</v>
      </c>
      <c r="B4980" s="1">
        <v>44707</v>
      </c>
      <c r="C4980">
        <v>1</v>
      </c>
      <c r="D4980">
        <v>51.98</v>
      </c>
      <c r="E4980">
        <v>81</v>
      </c>
    </row>
    <row r="4981" spans="1:5" x14ac:dyDescent="0.3">
      <c r="A4981" t="s">
        <v>144</v>
      </c>
      <c r="B4981" s="1">
        <v>44707</v>
      </c>
      <c r="C4981">
        <v>1</v>
      </c>
      <c r="D4981">
        <v>51.98</v>
      </c>
      <c r="E4981">
        <v>81</v>
      </c>
    </row>
    <row r="4982" spans="1:5" x14ac:dyDescent="0.3">
      <c r="A4982" t="s">
        <v>35</v>
      </c>
      <c r="B4982" s="1">
        <v>44707</v>
      </c>
      <c r="C4982">
        <v>1</v>
      </c>
      <c r="D4982">
        <v>33.11</v>
      </c>
      <c r="E4982">
        <v>51</v>
      </c>
    </row>
    <row r="4983" spans="1:5" x14ac:dyDescent="0.3">
      <c r="A4983" t="s">
        <v>35</v>
      </c>
      <c r="B4983" s="1">
        <v>44707</v>
      </c>
      <c r="C4983">
        <v>1</v>
      </c>
      <c r="D4983">
        <v>33.11</v>
      </c>
      <c r="E4983">
        <v>51</v>
      </c>
    </row>
    <row r="4984" spans="1:5" x14ac:dyDescent="0.3">
      <c r="A4984" t="s">
        <v>35</v>
      </c>
      <c r="B4984" s="1">
        <v>44707</v>
      </c>
      <c r="C4984">
        <v>1</v>
      </c>
      <c r="D4984">
        <v>33.11</v>
      </c>
      <c r="E4984">
        <v>51</v>
      </c>
    </row>
    <row r="4985" spans="1:5" x14ac:dyDescent="0.3">
      <c r="A4985" t="s">
        <v>91</v>
      </c>
      <c r="B4985" s="1">
        <v>44707</v>
      </c>
      <c r="C4985">
        <v>1</v>
      </c>
      <c r="D4985">
        <v>36.4</v>
      </c>
      <c r="E4985">
        <v>59</v>
      </c>
    </row>
    <row r="4986" spans="1:5" x14ac:dyDescent="0.3">
      <c r="A4986" t="s">
        <v>9</v>
      </c>
      <c r="B4986" s="1">
        <v>44707</v>
      </c>
      <c r="C4986">
        <v>1</v>
      </c>
      <c r="D4986">
        <v>81.8</v>
      </c>
      <c r="E4986">
        <v>99</v>
      </c>
    </row>
    <row r="4987" spans="1:5" x14ac:dyDescent="0.3">
      <c r="A4987" t="s">
        <v>9</v>
      </c>
      <c r="B4987" s="1">
        <v>44707</v>
      </c>
      <c r="C4987">
        <v>1</v>
      </c>
      <c r="D4987">
        <v>81.8</v>
      </c>
      <c r="E4987">
        <v>99</v>
      </c>
    </row>
    <row r="4988" spans="1:5" x14ac:dyDescent="0.3">
      <c r="A4988" t="s">
        <v>50</v>
      </c>
      <c r="B4988" s="1">
        <v>44707</v>
      </c>
      <c r="C4988">
        <v>1</v>
      </c>
      <c r="D4988">
        <v>43.08</v>
      </c>
      <c r="E4988">
        <v>54</v>
      </c>
    </row>
    <row r="4989" spans="1:5" x14ac:dyDescent="0.3">
      <c r="A4989" t="s">
        <v>60</v>
      </c>
      <c r="B4989" s="1">
        <v>44707</v>
      </c>
      <c r="C4989">
        <v>1</v>
      </c>
      <c r="D4989">
        <v>58.15</v>
      </c>
      <c r="E4989">
        <v>72</v>
      </c>
    </row>
    <row r="4990" spans="1:5" x14ac:dyDescent="0.3">
      <c r="A4990" t="s">
        <v>92</v>
      </c>
      <c r="B4990" s="1">
        <v>44707</v>
      </c>
      <c r="C4990">
        <v>50</v>
      </c>
      <c r="D4990">
        <v>5.72</v>
      </c>
      <c r="E4990">
        <v>8</v>
      </c>
    </row>
    <row r="4991" spans="1:5" x14ac:dyDescent="0.3">
      <c r="A4991" t="s">
        <v>7</v>
      </c>
      <c r="B4991" s="1">
        <v>44707</v>
      </c>
      <c r="C4991">
        <v>1</v>
      </c>
      <c r="D4991">
        <v>87.6</v>
      </c>
      <c r="E4991">
        <v>103</v>
      </c>
    </row>
    <row r="4992" spans="1:5" x14ac:dyDescent="0.3">
      <c r="A4992" t="s">
        <v>54</v>
      </c>
      <c r="B4992" s="1">
        <v>44707</v>
      </c>
      <c r="C4992">
        <v>1</v>
      </c>
      <c r="D4992">
        <v>731.05</v>
      </c>
      <c r="E4992">
        <v>944</v>
      </c>
    </row>
    <row r="4993" spans="1:5" x14ac:dyDescent="0.3">
      <c r="A4993" t="s">
        <v>9</v>
      </c>
      <c r="B4993" s="1">
        <v>44707</v>
      </c>
      <c r="C4993">
        <v>1</v>
      </c>
      <c r="D4993">
        <v>80.73</v>
      </c>
      <c r="E4993">
        <v>100</v>
      </c>
    </row>
    <row r="4994" spans="1:5" x14ac:dyDescent="0.3">
      <c r="A4994" t="s">
        <v>152</v>
      </c>
      <c r="B4994" s="1">
        <v>44707</v>
      </c>
      <c r="C4994">
        <v>1</v>
      </c>
      <c r="D4994">
        <v>110.61</v>
      </c>
      <c r="E4994">
        <v>139</v>
      </c>
    </row>
    <row r="4995" spans="1:5" x14ac:dyDescent="0.3">
      <c r="A4995" t="s">
        <v>133</v>
      </c>
      <c r="B4995" s="1">
        <v>44707</v>
      </c>
      <c r="C4995">
        <v>10</v>
      </c>
      <c r="D4995">
        <v>6.13</v>
      </c>
      <c r="E4995">
        <v>10</v>
      </c>
    </row>
    <row r="4996" spans="1:5" x14ac:dyDescent="0.3">
      <c r="A4996" t="s">
        <v>98</v>
      </c>
      <c r="B4996" s="1">
        <v>44707</v>
      </c>
      <c r="C4996">
        <v>1</v>
      </c>
      <c r="D4996">
        <v>113.71</v>
      </c>
      <c r="E4996">
        <v>137</v>
      </c>
    </row>
    <row r="4997" spans="1:5" x14ac:dyDescent="0.3">
      <c r="A4997" t="s">
        <v>106</v>
      </c>
      <c r="B4997" s="1">
        <v>44707</v>
      </c>
      <c r="C4997">
        <v>1</v>
      </c>
      <c r="D4997">
        <v>41.43</v>
      </c>
      <c r="E4997">
        <v>51</v>
      </c>
    </row>
    <row r="4998" spans="1:5" x14ac:dyDescent="0.3">
      <c r="A4998" t="s">
        <v>91</v>
      </c>
      <c r="B4998" s="1">
        <v>44707</v>
      </c>
      <c r="C4998">
        <v>1</v>
      </c>
      <c r="D4998">
        <v>37.18</v>
      </c>
      <c r="E4998">
        <v>64</v>
      </c>
    </row>
    <row r="4999" spans="1:5" x14ac:dyDescent="0.3">
      <c r="A4999" t="s">
        <v>126</v>
      </c>
      <c r="B4999" s="1">
        <v>44707</v>
      </c>
      <c r="C4999">
        <v>1</v>
      </c>
      <c r="D4999">
        <v>27.79</v>
      </c>
      <c r="E4999">
        <v>35</v>
      </c>
    </row>
    <row r="5000" spans="1:5" x14ac:dyDescent="0.3">
      <c r="A5000" t="s">
        <v>126</v>
      </c>
      <c r="B5000" s="1">
        <v>44707</v>
      </c>
      <c r="C5000">
        <v>1</v>
      </c>
      <c r="D5000">
        <v>27.79</v>
      </c>
      <c r="E5000">
        <v>35</v>
      </c>
    </row>
    <row r="5001" spans="1:5" x14ac:dyDescent="0.3">
      <c r="A5001" t="s">
        <v>126</v>
      </c>
      <c r="B5001" s="1">
        <v>44707</v>
      </c>
      <c r="C5001">
        <v>1</v>
      </c>
      <c r="D5001">
        <v>27.79</v>
      </c>
      <c r="E5001">
        <v>35</v>
      </c>
    </row>
    <row r="5002" spans="1:5" x14ac:dyDescent="0.3">
      <c r="A5002" t="s">
        <v>126</v>
      </c>
      <c r="B5002" s="1">
        <v>44707</v>
      </c>
      <c r="C5002">
        <v>1</v>
      </c>
      <c r="D5002">
        <v>27.79</v>
      </c>
      <c r="E5002">
        <v>35</v>
      </c>
    </row>
    <row r="5003" spans="1:5" x14ac:dyDescent="0.3">
      <c r="A5003" t="s">
        <v>126</v>
      </c>
      <c r="B5003" s="1">
        <v>44707</v>
      </c>
      <c r="C5003">
        <v>1</v>
      </c>
      <c r="D5003">
        <v>27.79</v>
      </c>
      <c r="E5003">
        <v>35</v>
      </c>
    </row>
    <row r="5004" spans="1:5" x14ac:dyDescent="0.3">
      <c r="A5004" t="s">
        <v>126</v>
      </c>
      <c r="B5004" s="1">
        <v>44707</v>
      </c>
      <c r="C5004">
        <v>1</v>
      </c>
      <c r="D5004">
        <v>27.79</v>
      </c>
      <c r="E5004">
        <v>35</v>
      </c>
    </row>
    <row r="5005" spans="1:5" x14ac:dyDescent="0.3">
      <c r="A5005" t="s">
        <v>126</v>
      </c>
      <c r="B5005" s="1">
        <v>44707</v>
      </c>
      <c r="C5005">
        <v>1</v>
      </c>
      <c r="D5005">
        <v>27.79</v>
      </c>
      <c r="E5005">
        <v>35</v>
      </c>
    </row>
    <row r="5006" spans="1:5" x14ac:dyDescent="0.3">
      <c r="A5006" t="s">
        <v>126</v>
      </c>
      <c r="B5006" s="1">
        <v>44707</v>
      </c>
      <c r="C5006">
        <v>1</v>
      </c>
      <c r="D5006">
        <v>34.08</v>
      </c>
      <c r="E5006">
        <v>41</v>
      </c>
    </row>
    <row r="5007" spans="1:5" x14ac:dyDescent="0.3">
      <c r="A5007" t="s">
        <v>126</v>
      </c>
      <c r="B5007" s="1">
        <v>44707</v>
      </c>
      <c r="C5007">
        <v>1</v>
      </c>
      <c r="D5007">
        <v>34.08</v>
      </c>
      <c r="E5007">
        <v>41</v>
      </c>
    </row>
    <row r="5008" spans="1:5" x14ac:dyDescent="0.3">
      <c r="A5008" t="s">
        <v>126</v>
      </c>
      <c r="B5008" s="1">
        <v>44707</v>
      </c>
      <c r="C5008">
        <v>1</v>
      </c>
      <c r="D5008">
        <v>34.08</v>
      </c>
      <c r="E5008">
        <v>41</v>
      </c>
    </row>
    <row r="5009" spans="1:5" x14ac:dyDescent="0.3">
      <c r="A5009" t="s">
        <v>126</v>
      </c>
      <c r="B5009" s="1">
        <v>44707</v>
      </c>
      <c r="C5009">
        <v>1</v>
      </c>
      <c r="D5009">
        <v>34.08</v>
      </c>
      <c r="E5009">
        <v>41</v>
      </c>
    </row>
    <row r="5010" spans="1:5" x14ac:dyDescent="0.3">
      <c r="A5010" t="s">
        <v>126</v>
      </c>
      <c r="B5010" s="1">
        <v>44707</v>
      </c>
      <c r="C5010">
        <v>1</v>
      </c>
      <c r="D5010">
        <v>34.08</v>
      </c>
      <c r="E5010">
        <v>41</v>
      </c>
    </row>
    <row r="5011" spans="1:5" x14ac:dyDescent="0.3">
      <c r="A5011" t="s">
        <v>126</v>
      </c>
      <c r="B5011" s="1">
        <v>44707</v>
      </c>
      <c r="C5011">
        <v>1</v>
      </c>
      <c r="D5011">
        <v>34.08</v>
      </c>
      <c r="E5011">
        <v>41</v>
      </c>
    </row>
    <row r="5012" spans="1:5" x14ac:dyDescent="0.3">
      <c r="A5012" t="s">
        <v>126</v>
      </c>
      <c r="B5012" s="1">
        <v>44707</v>
      </c>
      <c r="C5012">
        <v>1</v>
      </c>
      <c r="D5012">
        <v>34.08</v>
      </c>
      <c r="E5012">
        <v>41</v>
      </c>
    </row>
    <row r="5013" spans="1:5" x14ac:dyDescent="0.3">
      <c r="A5013" t="s">
        <v>116</v>
      </c>
      <c r="B5013" s="1">
        <v>44707</v>
      </c>
      <c r="C5013">
        <v>1</v>
      </c>
      <c r="D5013">
        <v>108.68</v>
      </c>
      <c r="E5013">
        <v>128</v>
      </c>
    </row>
    <row r="5014" spans="1:5" x14ac:dyDescent="0.3">
      <c r="A5014" t="s">
        <v>23</v>
      </c>
      <c r="B5014" s="1">
        <v>44707</v>
      </c>
      <c r="C5014">
        <v>1</v>
      </c>
      <c r="D5014">
        <v>109.41</v>
      </c>
      <c r="E5014">
        <v>123</v>
      </c>
    </row>
    <row r="5015" spans="1:5" x14ac:dyDescent="0.3">
      <c r="A5015" t="s">
        <v>146</v>
      </c>
      <c r="B5015" s="1">
        <v>44707</v>
      </c>
      <c r="C5015">
        <v>1</v>
      </c>
      <c r="D5015">
        <v>402.29</v>
      </c>
      <c r="E5015">
        <v>451</v>
      </c>
    </row>
    <row r="5016" spans="1:5" x14ac:dyDescent="0.3">
      <c r="A5016" t="s">
        <v>18</v>
      </c>
      <c r="B5016" s="1">
        <v>44707</v>
      </c>
      <c r="C5016">
        <v>1</v>
      </c>
      <c r="D5016">
        <v>46</v>
      </c>
      <c r="E5016">
        <v>72</v>
      </c>
    </row>
    <row r="5017" spans="1:5" x14ac:dyDescent="0.3">
      <c r="A5017" t="s">
        <v>18</v>
      </c>
      <c r="B5017" s="1">
        <v>44707</v>
      </c>
      <c r="C5017">
        <v>1</v>
      </c>
      <c r="D5017">
        <v>46</v>
      </c>
      <c r="E5017">
        <v>72</v>
      </c>
    </row>
    <row r="5018" spans="1:5" x14ac:dyDescent="0.3">
      <c r="A5018" t="s">
        <v>90</v>
      </c>
      <c r="B5018" s="1">
        <v>44707</v>
      </c>
      <c r="C5018">
        <v>1</v>
      </c>
      <c r="D5018">
        <v>383.81</v>
      </c>
      <c r="E5018">
        <v>480</v>
      </c>
    </row>
    <row r="5019" spans="1:5" x14ac:dyDescent="0.3">
      <c r="A5019" t="s">
        <v>32</v>
      </c>
      <c r="B5019" s="1">
        <v>44707</v>
      </c>
      <c r="C5019">
        <v>0.3</v>
      </c>
      <c r="D5019">
        <v>150.1</v>
      </c>
      <c r="E5019">
        <v>229</v>
      </c>
    </row>
    <row r="5020" spans="1:5" x14ac:dyDescent="0.3">
      <c r="A5020" t="s">
        <v>118</v>
      </c>
      <c r="B5020" s="1">
        <v>44707</v>
      </c>
      <c r="C5020">
        <v>1</v>
      </c>
      <c r="D5020">
        <v>11.1</v>
      </c>
      <c r="E5020">
        <v>13</v>
      </c>
    </row>
    <row r="5021" spans="1:5" x14ac:dyDescent="0.3">
      <c r="A5021" t="s">
        <v>138</v>
      </c>
      <c r="B5021" s="1">
        <v>44707</v>
      </c>
      <c r="C5021">
        <v>1</v>
      </c>
      <c r="D5021">
        <v>46.5</v>
      </c>
      <c r="E5021">
        <v>75</v>
      </c>
    </row>
    <row r="5022" spans="1:5" x14ac:dyDescent="0.3">
      <c r="A5022" t="s">
        <v>66</v>
      </c>
      <c r="B5022" s="1">
        <v>44707</v>
      </c>
      <c r="C5022">
        <v>1</v>
      </c>
      <c r="D5022">
        <v>31.58</v>
      </c>
      <c r="E5022">
        <v>37</v>
      </c>
    </row>
    <row r="5023" spans="1:5" x14ac:dyDescent="0.3">
      <c r="A5023" t="s">
        <v>66</v>
      </c>
      <c r="B5023" s="1">
        <v>44707</v>
      </c>
      <c r="C5023">
        <v>1</v>
      </c>
      <c r="D5023">
        <v>30.6</v>
      </c>
      <c r="E5023">
        <v>36</v>
      </c>
    </row>
    <row r="5024" spans="1:5" x14ac:dyDescent="0.3">
      <c r="A5024" t="s">
        <v>90</v>
      </c>
      <c r="B5024" s="1">
        <v>44707</v>
      </c>
      <c r="C5024">
        <v>1</v>
      </c>
      <c r="D5024">
        <v>390.04</v>
      </c>
      <c r="E5024">
        <v>480</v>
      </c>
    </row>
    <row r="5025" spans="1:5" x14ac:dyDescent="0.3">
      <c r="A5025" t="s">
        <v>144</v>
      </c>
      <c r="B5025" s="1">
        <v>44707</v>
      </c>
      <c r="C5025">
        <v>1</v>
      </c>
      <c r="D5025">
        <v>53.93</v>
      </c>
      <c r="E5025">
        <v>77</v>
      </c>
    </row>
    <row r="5026" spans="1:5" x14ac:dyDescent="0.3">
      <c r="A5026" t="s">
        <v>129</v>
      </c>
      <c r="B5026" s="1">
        <v>44707</v>
      </c>
      <c r="C5026">
        <v>0.04</v>
      </c>
      <c r="D5026">
        <v>495.5</v>
      </c>
      <c r="E5026">
        <v>596</v>
      </c>
    </row>
    <row r="5027" spans="1:5" x14ac:dyDescent="0.3">
      <c r="A5027" t="s">
        <v>123</v>
      </c>
      <c r="B5027" s="1">
        <v>44707</v>
      </c>
      <c r="C5027">
        <v>1</v>
      </c>
      <c r="D5027">
        <v>62.7</v>
      </c>
      <c r="E5027">
        <v>78</v>
      </c>
    </row>
    <row r="5028" spans="1:5" x14ac:dyDescent="0.3">
      <c r="A5028" t="s">
        <v>123</v>
      </c>
      <c r="B5028" s="1">
        <v>44707</v>
      </c>
      <c r="C5028">
        <v>1</v>
      </c>
      <c r="D5028">
        <v>62.7</v>
      </c>
      <c r="E5028">
        <v>78</v>
      </c>
    </row>
    <row r="5029" spans="1:5" x14ac:dyDescent="0.3">
      <c r="A5029" t="s">
        <v>115</v>
      </c>
      <c r="B5029" s="1">
        <v>44707</v>
      </c>
      <c r="C5029">
        <v>1</v>
      </c>
      <c r="D5029">
        <v>71.23</v>
      </c>
      <c r="E5029">
        <v>88</v>
      </c>
    </row>
    <row r="5030" spans="1:5" x14ac:dyDescent="0.3">
      <c r="A5030" t="s">
        <v>128</v>
      </c>
      <c r="B5030" s="1">
        <v>44707</v>
      </c>
      <c r="C5030">
        <v>1</v>
      </c>
      <c r="D5030">
        <v>276.45999999999998</v>
      </c>
      <c r="E5030">
        <v>365</v>
      </c>
    </row>
    <row r="5031" spans="1:5" x14ac:dyDescent="0.3">
      <c r="A5031" t="s">
        <v>63</v>
      </c>
      <c r="B5031" s="1">
        <v>44707</v>
      </c>
      <c r="C5031">
        <v>1</v>
      </c>
      <c r="D5031">
        <v>71.45</v>
      </c>
      <c r="E5031">
        <v>86</v>
      </c>
    </row>
    <row r="5032" spans="1:5" x14ac:dyDescent="0.3">
      <c r="A5032" t="s">
        <v>31</v>
      </c>
      <c r="B5032" s="1">
        <v>44707</v>
      </c>
      <c r="C5032">
        <v>1</v>
      </c>
      <c r="D5032">
        <v>13.05</v>
      </c>
      <c r="E5032">
        <v>18</v>
      </c>
    </row>
    <row r="5033" spans="1:5" x14ac:dyDescent="0.3">
      <c r="A5033" t="s">
        <v>31</v>
      </c>
      <c r="B5033" s="1">
        <v>44707</v>
      </c>
      <c r="C5033">
        <v>1</v>
      </c>
      <c r="D5033">
        <v>13.05</v>
      </c>
      <c r="E5033">
        <v>18</v>
      </c>
    </row>
    <row r="5034" spans="1:5" x14ac:dyDescent="0.3">
      <c r="A5034" t="s">
        <v>31</v>
      </c>
      <c r="B5034" s="1">
        <v>44707</v>
      </c>
      <c r="C5034">
        <v>1</v>
      </c>
      <c r="D5034">
        <v>13.05</v>
      </c>
      <c r="E5034">
        <v>18</v>
      </c>
    </row>
    <row r="5035" spans="1:5" x14ac:dyDescent="0.3">
      <c r="A5035" t="s">
        <v>31</v>
      </c>
      <c r="B5035" s="1">
        <v>44707</v>
      </c>
      <c r="C5035">
        <v>1</v>
      </c>
      <c r="D5035">
        <v>13.05</v>
      </c>
      <c r="E5035">
        <v>18</v>
      </c>
    </row>
    <row r="5036" spans="1:5" x14ac:dyDescent="0.3">
      <c r="A5036" t="s">
        <v>31</v>
      </c>
      <c r="B5036" s="1">
        <v>44707</v>
      </c>
      <c r="C5036">
        <v>1</v>
      </c>
      <c r="D5036">
        <v>13.05</v>
      </c>
      <c r="E5036">
        <v>18</v>
      </c>
    </row>
    <row r="5037" spans="1:5" x14ac:dyDescent="0.3">
      <c r="A5037" t="s">
        <v>31</v>
      </c>
      <c r="B5037" s="1">
        <v>44707</v>
      </c>
      <c r="C5037">
        <v>1</v>
      </c>
      <c r="D5037">
        <v>13.05</v>
      </c>
      <c r="E5037">
        <v>18</v>
      </c>
    </row>
    <row r="5038" spans="1:5" x14ac:dyDescent="0.3">
      <c r="A5038" t="s">
        <v>31</v>
      </c>
      <c r="B5038" s="1">
        <v>44707</v>
      </c>
      <c r="C5038">
        <v>1</v>
      </c>
      <c r="D5038">
        <v>13.05</v>
      </c>
      <c r="E5038">
        <v>18</v>
      </c>
    </row>
    <row r="5039" spans="1:5" x14ac:dyDescent="0.3">
      <c r="A5039" t="s">
        <v>31</v>
      </c>
      <c r="B5039" s="1">
        <v>44707</v>
      </c>
      <c r="C5039">
        <v>1</v>
      </c>
      <c r="D5039">
        <v>13.05</v>
      </c>
      <c r="E5039">
        <v>18</v>
      </c>
    </row>
    <row r="5040" spans="1:5" x14ac:dyDescent="0.3">
      <c r="A5040" t="s">
        <v>31</v>
      </c>
      <c r="B5040" s="1">
        <v>44707</v>
      </c>
      <c r="C5040">
        <v>1</v>
      </c>
      <c r="D5040">
        <v>13.05</v>
      </c>
      <c r="E5040">
        <v>18</v>
      </c>
    </row>
    <row r="5041" spans="1:5" x14ac:dyDescent="0.3">
      <c r="A5041" t="s">
        <v>31</v>
      </c>
      <c r="B5041" s="1">
        <v>44707</v>
      </c>
      <c r="C5041">
        <v>1</v>
      </c>
      <c r="D5041">
        <v>13.05</v>
      </c>
      <c r="E5041">
        <v>18</v>
      </c>
    </row>
    <row r="5042" spans="1:5" x14ac:dyDescent="0.3">
      <c r="A5042" t="s">
        <v>124</v>
      </c>
      <c r="B5042" s="1">
        <v>44707</v>
      </c>
      <c r="C5042">
        <v>1</v>
      </c>
      <c r="D5042">
        <v>36.75</v>
      </c>
      <c r="E5042">
        <v>59</v>
      </c>
    </row>
    <row r="5043" spans="1:5" x14ac:dyDescent="0.3">
      <c r="A5043" t="s">
        <v>31</v>
      </c>
      <c r="B5043" s="1">
        <v>44707</v>
      </c>
      <c r="C5043">
        <v>1</v>
      </c>
      <c r="D5043">
        <v>13.05</v>
      </c>
      <c r="E5043">
        <v>18</v>
      </c>
    </row>
    <row r="5044" spans="1:5" x14ac:dyDescent="0.3">
      <c r="A5044" t="s">
        <v>31</v>
      </c>
      <c r="B5044" s="1">
        <v>44707</v>
      </c>
      <c r="C5044">
        <v>1</v>
      </c>
      <c r="D5044">
        <v>13.05</v>
      </c>
      <c r="E5044">
        <v>18</v>
      </c>
    </row>
    <row r="5045" spans="1:5" x14ac:dyDescent="0.3">
      <c r="A5045" t="s">
        <v>116</v>
      </c>
      <c r="B5045" s="1">
        <v>44707</v>
      </c>
      <c r="C5045">
        <v>1</v>
      </c>
      <c r="D5045">
        <v>101.43</v>
      </c>
      <c r="E5045">
        <v>120</v>
      </c>
    </row>
    <row r="5046" spans="1:5" x14ac:dyDescent="0.3">
      <c r="A5046" t="s">
        <v>61</v>
      </c>
      <c r="B5046" s="1">
        <v>44707</v>
      </c>
      <c r="C5046">
        <v>1</v>
      </c>
      <c r="D5046">
        <v>33.299999999999997</v>
      </c>
      <c r="E5046">
        <v>51</v>
      </c>
    </row>
    <row r="5047" spans="1:5" x14ac:dyDescent="0.3">
      <c r="A5047" t="s">
        <v>134</v>
      </c>
      <c r="B5047" s="1">
        <v>44707</v>
      </c>
      <c r="C5047">
        <v>1</v>
      </c>
      <c r="D5047">
        <v>33</v>
      </c>
      <c r="E5047">
        <v>51</v>
      </c>
    </row>
    <row r="5048" spans="1:5" x14ac:dyDescent="0.3">
      <c r="A5048" t="s">
        <v>134</v>
      </c>
      <c r="B5048" s="1">
        <v>44707</v>
      </c>
      <c r="C5048">
        <v>1</v>
      </c>
      <c r="D5048">
        <v>33</v>
      </c>
      <c r="E5048">
        <v>51</v>
      </c>
    </row>
    <row r="5049" spans="1:5" x14ac:dyDescent="0.3">
      <c r="A5049" t="s">
        <v>130</v>
      </c>
      <c r="B5049" s="1">
        <v>44707</v>
      </c>
      <c r="C5049">
        <v>1</v>
      </c>
      <c r="D5049">
        <v>23.37</v>
      </c>
      <c r="E5049">
        <v>29</v>
      </c>
    </row>
    <row r="5050" spans="1:5" x14ac:dyDescent="0.3">
      <c r="A5050" t="s">
        <v>130</v>
      </c>
      <c r="B5050" s="1">
        <v>44707</v>
      </c>
      <c r="C5050">
        <v>1</v>
      </c>
      <c r="D5050">
        <v>23.37</v>
      </c>
      <c r="E5050">
        <v>29</v>
      </c>
    </row>
    <row r="5051" spans="1:5" x14ac:dyDescent="0.3">
      <c r="A5051" t="s">
        <v>100</v>
      </c>
      <c r="B5051" s="1">
        <v>44707</v>
      </c>
      <c r="C5051">
        <v>1</v>
      </c>
      <c r="D5051">
        <v>36.99</v>
      </c>
      <c r="E5051">
        <v>59</v>
      </c>
    </row>
    <row r="5052" spans="1:5" x14ac:dyDescent="0.3">
      <c r="A5052" t="s">
        <v>42</v>
      </c>
      <c r="B5052" s="1">
        <v>44707</v>
      </c>
      <c r="C5052">
        <v>1</v>
      </c>
      <c r="D5052">
        <v>566.04</v>
      </c>
      <c r="E5052">
        <v>651</v>
      </c>
    </row>
    <row r="5053" spans="1:5" x14ac:dyDescent="0.3">
      <c r="A5053" t="s">
        <v>62</v>
      </c>
      <c r="B5053" s="1">
        <v>44707</v>
      </c>
      <c r="C5053">
        <v>1</v>
      </c>
      <c r="D5053">
        <v>25.29</v>
      </c>
      <c r="E5053">
        <v>30</v>
      </c>
    </row>
    <row r="5054" spans="1:5" x14ac:dyDescent="0.3">
      <c r="A5054" t="s">
        <v>56</v>
      </c>
      <c r="B5054" s="1">
        <v>44707</v>
      </c>
      <c r="C5054">
        <v>1</v>
      </c>
      <c r="D5054">
        <v>43.86</v>
      </c>
      <c r="E5054">
        <v>67</v>
      </c>
    </row>
    <row r="5055" spans="1:5" x14ac:dyDescent="0.3">
      <c r="A5055" t="s">
        <v>21</v>
      </c>
      <c r="B5055" s="1">
        <v>44707</v>
      </c>
      <c r="C5055">
        <v>1</v>
      </c>
      <c r="D5055">
        <v>176.33</v>
      </c>
      <c r="E5055">
        <v>246</v>
      </c>
    </row>
    <row r="5056" spans="1:5" x14ac:dyDescent="0.3">
      <c r="A5056" t="s">
        <v>21</v>
      </c>
      <c r="B5056" s="1">
        <v>44707</v>
      </c>
      <c r="C5056">
        <v>1</v>
      </c>
      <c r="D5056">
        <v>183.48</v>
      </c>
      <c r="E5056">
        <v>256</v>
      </c>
    </row>
    <row r="5057" spans="1:5" x14ac:dyDescent="0.3">
      <c r="A5057" t="s">
        <v>21</v>
      </c>
      <c r="B5057" s="1">
        <v>44707</v>
      </c>
      <c r="C5057">
        <v>1</v>
      </c>
      <c r="D5057">
        <v>183.48</v>
      </c>
      <c r="E5057">
        <v>256</v>
      </c>
    </row>
    <row r="5058" spans="1:5" x14ac:dyDescent="0.3">
      <c r="A5058" t="s">
        <v>21</v>
      </c>
      <c r="B5058" s="1">
        <v>44707</v>
      </c>
      <c r="C5058">
        <v>1</v>
      </c>
      <c r="D5058">
        <v>183.48</v>
      </c>
      <c r="E5058">
        <v>256</v>
      </c>
    </row>
    <row r="5059" spans="1:5" x14ac:dyDescent="0.3">
      <c r="A5059" t="s">
        <v>133</v>
      </c>
      <c r="B5059" s="1">
        <v>44707</v>
      </c>
      <c r="C5059">
        <v>4</v>
      </c>
      <c r="D5059">
        <v>4.63</v>
      </c>
      <c r="E5059">
        <v>8</v>
      </c>
    </row>
    <row r="5060" spans="1:5" x14ac:dyDescent="0.3">
      <c r="A5060" t="s">
        <v>51</v>
      </c>
      <c r="B5060" s="1">
        <v>44707</v>
      </c>
      <c r="C5060">
        <v>4</v>
      </c>
      <c r="D5060">
        <v>1.98</v>
      </c>
      <c r="E5060">
        <v>4</v>
      </c>
    </row>
    <row r="5061" spans="1:5" x14ac:dyDescent="0.3">
      <c r="A5061" t="s">
        <v>34</v>
      </c>
      <c r="B5061" s="1">
        <v>44707</v>
      </c>
      <c r="C5061">
        <v>1</v>
      </c>
      <c r="D5061">
        <v>200.35</v>
      </c>
      <c r="E5061">
        <v>235</v>
      </c>
    </row>
    <row r="5062" spans="1:5" x14ac:dyDescent="0.3">
      <c r="A5062" t="s">
        <v>152</v>
      </c>
      <c r="B5062" s="1">
        <v>44707</v>
      </c>
      <c r="C5062">
        <v>1</v>
      </c>
      <c r="D5062">
        <v>106.06</v>
      </c>
      <c r="E5062">
        <v>133</v>
      </c>
    </row>
    <row r="5063" spans="1:5" x14ac:dyDescent="0.3">
      <c r="A5063" t="s">
        <v>9</v>
      </c>
      <c r="B5063" s="1">
        <v>44707</v>
      </c>
      <c r="C5063">
        <v>1</v>
      </c>
      <c r="D5063">
        <v>81.17</v>
      </c>
      <c r="E5063">
        <v>99</v>
      </c>
    </row>
    <row r="5064" spans="1:5" x14ac:dyDescent="0.3">
      <c r="A5064" t="s">
        <v>98</v>
      </c>
      <c r="B5064" s="1">
        <v>44707</v>
      </c>
      <c r="C5064">
        <v>1</v>
      </c>
      <c r="D5064">
        <v>110.99</v>
      </c>
      <c r="E5064">
        <v>136</v>
      </c>
    </row>
    <row r="5065" spans="1:5" x14ac:dyDescent="0.3">
      <c r="A5065" t="s">
        <v>56</v>
      </c>
      <c r="B5065" s="1">
        <v>44707</v>
      </c>
      <c r="C5065">
        <v>1</v>
      </c>
      <c r="D5065">
        <v>43.97</v>
      </c>
      <c r="E5065">
        <v>70</v>
      </c>
    </row>
    <row r="5066" spans="1:5" x14ac:dyDescent="0.3">
      <c r="A5066" t="s">
        <v>74</v>
      </c>
      <c r="B5066" s="1">
        <v>44707</v>
      </c>
      <c r="C5066">
        <v>1</v>
      </c>
      <c r="D5066">
        <v>90.81</v>
      </c>
      <c r="E5066">
        <v>115</v>
      </c>
    </row>
    <row r="5067" spans="1:5" x14ac:dyDescent="0.3">
      <c r="A5067" t="s">
        <v>65</v>
      </c>
      <c r="B5067" s="1">
        <v>44707</v>
      </c>
      <c r="C5067">
        <v>1</v>
      </c>
      <c r="D5067">
        <v>184.07</v>
      </c>
      <c r="E5067">
        <v>234</v>
      </c>
    </row>
    <row r="5068" spans="1:5" x14ac:dyDescent="0.3">
      <c r="A5068" t="s">
        <v>98</v>
      </c>
      <c r="B5068" s="1">
        <v>44707</v>
      </c>
      <c r="C5068">
        <v>1</v>
      </c>
      <c r="D5068">
        <v>113.71</v>
      </c>
      <c r="E5068">
        <v>137</v>
      </c>
    </row>
    <row r="5069" spans="1:5" x14ac:dyDescent="0.3">
      <c r="A5069" t="s">
        <v>13</v>
      </c>
      <c r="B5069" s="1">
        <v>44707</v>
      </c>
      <c r="C5069">
        <v>1</v>
      </c>
      <c r="D5069">
        <v>133.38999999999999</v>
      </c>
      <c r="E5069">
        <v>158</v>
      </c>
    </row>
    <row r="5070" spans="1:5" x14ac:dyDescent="0.3">
      <c r="A5070" t="s">
        <v>36</v>
      </c>
      <c r="B5070" s="1">
        <v>44707</v>
      </c>
      <c r="C5070">
        <v>1</v>
      </c>
      <c r="D5070">
        <v>22.03</v>
      </c>
      <c r="E5070">
        <v>28</v>
      </c>
    </row>
    <row r="5071" spans="1:5" x14ac:dyDescent="0.3">
      <c r="A5071" t="s">
        <v>36</v>
      </c>
      <c r="B5071" s="1">
        <v>44707</v>
      </c>
      <c r="C5071">
        <v>1</v>
      </c>
      <c r="D5071">
        <v>22.03</v>
      </c>
      <c r="E5071">
        <v>28</v>
      </c>
    </row>
    <row r="5072" spans="1:5" x14ac:dyDescent="0.3">
      <c r="A5072" t="s">
        <v>82</v>
      </c>
      <c r="B5072" s="1">
        <v>44707</v>
      </c>
      <c r="C5072">
        <v>1</v>
      </c>
      <c r="D5072">
        <v>38.07</v>
      </c>
      <c r="E5072">
        <v>48</v>
      </c>
    </row>
    <row r="5073" spans="1:5" x14ac:dyDescent="0.3">
      <c r="A5073" t="s">
        <v>82</v>
      </c>
      <c r="B5073" s="1">
        <v>44707</v>
      </c>
      <c r="C5073">
        <v>1</v>
      </c>
      <c r="D5073">
        <v>38.07</v>
      </c>
      <c r="E5073">
        <v>48</v>
      </c>
    </row>
    <row r="5074" spans="1:5" x14ac:dyDescent="0.3">
      <c r="A5074" t="s">
        <v>7</v>
      </c>
      <c r="B5074" s="1">
        <v>44707</v>
      </c>
      <c r="C5074">
        <v>1</v>
      </c>
      <c r="D5074">
        <v>88.43</v>
      </c>
      <c r="E5074">
        <v>106</v>
      </c>
    </row>
    <row r="5075" spans="1:5" x14ac:dyDescent="0.3">
      <c r="A5075" t="s">
        <v>54</v>
      </c>
      <c r="B5075" s="1">
        <v>44707</v>
      </c>
      <c r="C5075">
        <v>1</v>
      </c>
      <c r="D5075">
        <v>731.05</v>
      </c>
      <c r="E5075">
        <v>944</v>
      </c>
    </row>
    <row r="5076" spans="1:5" x14ac:dyDescent="0.3">
      <c r="A5076" t="s">
        <v>93</v>
      </c>
      <c r="B5076" s="1">
        <v>44707</v>
      </c>
      <c r="C5076">
        <v>1</v>
      </c>
      <c r="D5076">
        <v>71.040000000000006</v>
      </c>
      <c r="E5076">
        <v>103</v>
      </c>
    </row>
    <row r="5077" spans="1:5" x14ac:dyDescent="0.3">
      <c r="A5077" t="s">
        <v>18</v>
      </c>
      <c r="B5077" s="1">
        <v>44707</v>
      </c>
      <c r="C5077">
        <v>1</v>
      </c>
      <c r="D5077">
        <v>42</v>
      </c>
      <c r="E5077">
        <v>64</v>
      </c>
    </row>
    <row r="5078" spans="1:5" x14ac:dyDescent="0.3">
      <c r="A5078" t="s">
        <v>18</v>
      </c>
      <c r="B5078" s="1">
        <v>44707</v>
      </c>
      <c r="C5078">
        <v>1</v>
      </c>
      <c r="D5078">
        <v>44</v>
      </c>
      <c r="E5078">
        <v>67</v>
      </c>
    </row>
    <row r="5079" spans="1:5" x14ac:dyDescent="0.3">
      <c r="A5079" t="s">
        <v>32</v>
      </c>
      <c r="B5079" s="1">
        <v>44707</v>
      </c>
      <c r="C5079">
        <v>1</v>
      </c>
      <c r="D5079">
        <v>105</v>
      </c>
      <c r="E5079">
        <v>165</v>
      </c>
    </row>
    <row r="5080" spans="1:5" x14ac:dyDescent="0.3">
      <c r="A5080" t="s">
        <v>98</v>
      </c>
      <c r="B5080" s="1">
        <v>44707</v>
      </c>
      <c r="C5080">
        <v>1</v>
      </c>
      <c r="D5080">
        <v>112.66</v>
      </c>
      <c r="E5080">
        <v>136</v>
      </c>
    </row>
    <row r="5081" spans="1:5" x14ac:dyDescent="0.3">
      <c r="A5081" t="s">
        <v>98</v>
      </c>
      <c r="B5081" s="1">
        <v>44707</v>
      </c>
      <c r="C5081">
        <v>1</v>
      </c>
      <c r="D5081">
        <v>112.66</v>
      </c>
      <c r="E5081">
        <v>136</v>
      </c>
    </row>
    <row r="5082" spans="1:5" x14ac:dyDescent="0.3">
      <c r="A5082" t="s">
        <v>36</v>
      </c>
      <c r="B5082" s="1">
        <v>44707</v>
      </c>
      <c r="C5082">
        <v>1</v>
      </c>
      <c r="D5082">
        <v>21.26</v>
      </c>
      <c r="E5082">
        <v>27</v>
      </c>
    </row>
    <row r="5083" spans="1:5" x14ac:dyDescent="0.3">
      <c r="A5083" t="s">
        <v>36</v>
      </c>
      <c r="B5083" s="1">
        <v>44707</v>
      </c>
      <c r="C5083">
        <v>1</v>
      </c>
      <c r="D5083">
        <v>21.26</v>
      </c>
      <c r="E5083">
        <v>27</v>
      </c>
    </row>
    <row r="5084" spans="1:5" x14ac:dyDescent="0.3">
      <c r="A5084" t="s">
        <v>48</v>
      </c>
      <c r="B5084" s="1">
        <v>44707</v>
      </c>
      <c r="C5084">
        <v>1</v>
      </c>
      <c r="D5084">
        <v>41.24</v>
      </c>
      <c r="E5084">
        <v>65</v>
      </c>
    </row>
    <row r="5085" spans="1:5" x14ac:dyDescent="0.3">
      <c r="A5085" t="s">
        <v>81</v>
      </c>
      <c r="B5085" s="1">
        <v>44707</v>
      </c>
      <c r="C5085">
        <v>1</v>
      </c>
      <c r="D5085">
        <v>40.14</v>
      </c>
      <c r="E5085">
        <v>49</v>
      </c>
    </row>
    <row r="5086" spans="1:5" x14ac:dyDescent="0.3">
      <c r="A5086" t="s">
        <v>72</v>
      </c>
      <c r="B5086" s="1">
        <v>44707</v>
      </c>
      <c r="C5086">
        <v>1</v>
      </c>
      <c r="D5086">
        <v>556.51</v>
      </c>
      <c r="E5086">
        <v>735</v>
      </c>
    </row>
    <row r="5087" spans="1:5" x14ac:dyDescent="0.3">
      <c r="A5087" t="s">
        <v>100</v>
      </c>
      <c r="B5087" s="1">
        <v>44707</v>
      </c>
      <c r="C5087">
        <v>1</v>
      </c>
      <c r="D5087">
        <v>37.479999999999997</v>
      </c>
      <c r="E5087">
        <v>57</v>
      </c>
    </row>
    <row r="5088" spans="1:5" x14ac:dyDescent="0.3">
      <c r="A5088" t="s">
        <v>65</v>
      </c>
      <c r="B5088" s="1">
        <v>44707</v>
      </c>
      <c r="C5088">
        <v>1</v>
      </c>
      <c r="D5088">
        <v>187.33</v>
      </c>
      <c r="E5088">
        <v>220</v>
      </c>
    </row>
    <row r="5089" spans="1:5" x14ac:dyDescent="0.3">
      <c r="A5089" t="s">
        <v>66</v>
      </c>
      <c r="B5089" s="1">
        <v>44707</v>
      </c>
      <c r="C5089">
        <v>1</v>
      </c>
      <c r="D5089">
        <v>30.56</v>
      </c>
      <c r="E5089">
        <v>36</v>
      </c>
    </row>
    <row r="5090" spans="1:5" x14ac:dyDescent="0.3">
      <c r="A5090" t="s">
        <v>66</v>
      </c>
      <c r="B5090" s="1">
        <v>44707</v>
      </c>
      <c r="C5090">
        <v>1</v>
      </c>
      <c r="D5090">
        <v>30.56</v>
      </c>
      <c r="E5090">
        <v>36</v>
      </c>
    </row>
    <row r="5091" spans="1:5" x14ac:dyDescent="0.3">
      <c r="A5091" t="s">
        <v>12</v>
      </c>
      <c r="B5091" s="1">
        <v>44707</v>
      </c>
      <c r="C5091">
        <v>1</v>
      </c>
      <c r="D5091">
        <v>56.08</v>
      </c>
      <c r="E5091">
        <v>70</v>
      </c>
    </row>
    <row r="5092" spans="1:5" x14ac:dyDescent="0.3">
      <c r="A5092" t="s">
        <v>99</v>
      </c>
      <c r="B5092" s="1">
        <v>44707</v>
      </c>
      <c r="C5092">
        <v>1</v>
      </c>
      <c r="D5092">
        <v>64.25</v>
      </c>
      <c r="E5092">
        <v>80</v>
      </c>
    </row>
    <row r="5093" spans="1:5" x14ac:dyDescent="0.3">
      <c r="A5093" t="s">
        <v>90</v>
      </c>
      <c r="B5093" s="1">
        <v>44707</v>
      </c>
      <c r="C5093">
        <v>1</v>
      </c>
      <c r="D5093">
        <v>384.2</v>
      </c>
      <c r="E5093">
        <v>462</v>
      </c>
    </row>
    <row r="5094" spans="1:5" x14ac:dyDescent="0.3">
      <c r="A5094" t="s">
        <v>150</v>
      </c>
      <c r="B5094" s="1">
        <v>44707</v>
      </c>
      <c r="C5094">
        <v>1</v>
      </c>
      <c r="D5094">
        <v>82.64</v>
      </c>
      <c r="E5094">
        <v>129</v>
      </c>
    </row>
    <row r="5095" spans="1:5" x14ac:dyDescent="0.3">
      <c r="A5095" t="s">
        <v>25</v>
      </c>
      <c r="B5095" s="1">
        <v>44707</v>
      </c>
      <c r="C5095">
        <v>1</v>
      </c>
      <c r="D5095">
        <v>147.18</v>
      </c>
      <c r="E5095">
        <v>177</v>
      </c>
    </row>
    <row r="5096" spans="1:5" x14ac:dyDescent="0.3">
      <c r="A5096" t="s">
        <v>81</v>
      </c>
      <c r="B5096" s="1">
        <v>44707</v>
      </c>
      <c r="C5096">
        <v>1</v>
      </c>
      <c r="D5096">
        <v>43.63</v>
      </c>
      <c r="E5096">
        <v>54</v>
      </c>
    </row>
    <row r="5097" spans="1:5" x14ac:dyDescent="0.3">
      <c r="A5097" t="s">
        <v>114</v>
      </c>
      <c r="B5097" s="1">
        <v>44707</v>
      </c>
      <c r="C5097">
        <v>1</v>
      </c>
      <c r="D5097">
        <v>74.8</v>
      </c>
      <c r="E5097">
        <v>94</v>
      </c>
    </row>
    <row r="5098" spans="1:5" x14ac:dyDescent="0.3">
      <c r="A5098" t="s">
        <v>43</v>
      </c>
      <c r="B5098" s="1">
        <v>44707</v>
      </c>
      <c r="C5098">
        <v>1</v>
      </c>
      <c r="D5098">
        <v>134.68</v>
      </c>
      <c r="E5098">
        <v>162</v>
      </c>
    </row>
    <row r="5099" spans="1:5" x14ac:dyDescent="0.3">
      <c r="A5099" t="s">
        <v>148</v>
      </c>
      <c r="B5099" s="1">
        <v>44707</v>
      </c>
      <c r="C5099">
        <v>1</v>
      </c>
      <c r="D5099">
        <v>36.97</v>
      </c>
      <c r="E5099">
        <v>57</v>
      </c>
    </row>
    <row r="5100" spans="1:5" x14ac:dyDescent="0.3">
      <c r="A5100" t="s">
        <v>148</v>
      </c>
      <c r="B5100" s="1">
        <v>44707</v>
      </c>
      <c r="C5100">
        <v>1</v>
      </c>
      <c r="D5100">
        <v>36.97</v>
      </c>
      <c r="E5100">
        <v>57</v>
      </c>
    </row>
    <row r="5101" spans="1:5" x14ac:dyDescent="0.3">
      <c r="A5101" t="s">
        <v>20</v>
      </c>
      <c r="B5101" s="1">
        <v>44707</v>
      </c>
      <c r="C5101">
        <v>1</v>
      </c>
      <c r="D5101">
        <v>19.71</v>
      </c>
      <c r="E5101">
        <v>25</v>
      </c>
    </row>
    <row r="5102" spans="1:5" x14ac:dyDescent="0.3">
      <c r="A5102" t="s">
        <v>20</v>
      </c>
      <c r="B5102" s="1">
        <v>44707</v>
      </c>
      <c r="C5102">
        <v>1</v>
      </c>
      <c r="D5102">
        <v>19.71</v>
      </c>
      <c r="E5102">
        <v>25</v>
      </c>
    </row>
    <row r="5103" spans="1:5" x14ac:dyDescent="0.3">
      <c r="A5103" t="s">
        <v>112</v>
      </c>
      <c r="B5103" s="1">
        <v>44707</v>
      </c>
      <c r="C5103">
        <v>1</v>
      </c>
      <c r="D5103">
        <v>251.13</v>
      </c>
      <c r="E5103">
        <v>295</v>
      </c>
    </row>
    <row r="5104" spans="1:5" x14ac:dyDescent="0.3">
      <c r="A5104" t="s">
        <v>102</v>
      </c>
      <c r="B5104" s="1">
        <v>44707</v>
      </c>
      <c r="C5104">
        <v>1</v>
      </c>
      <c r="D5104">
        <v>26</v>
      </c>
      <c r="E5104">
        <v>32</v>
      </c>
    </row>
    <row r="5105" spans="1:5" x14ac:dyDescent="0.3">
      <c r="A5105" t="s">
        <v>113</v>
      </c>
      <c r="B5105" s="1">
        <v>44707</v>
      </c>
      <c r="C5105">
        <v>1</v>
      </c>
      <c r="D5105">
        <v>170.01</v>
      </c>
      <c r="E5105">
        <v>240</v>
      </c>
    </row>
    <row r="5106" spans="1:5" x14ac:dyDescent="0.3">
      <c r="A5106" t="s">
        <v>91</v>
      </c>
      <c r="B5106" s="1">
        <v>44707</v>
      </c>
      <c r="C5106">
        <v>1</v>
      </c>
      <c r="D5106">
        <v>31.28</v>
      </c>
      <c r="E5106">
        <v>51</v>
      </c>
    </row>
    <row r="5107" spans="1:5" x14ac:dyDescent="0.3">
      <c r="A5107" t="s">
        <v>68</v>
      </c>
      <c r="B5107" s="1">
        <v>44707</v>
      </c>
      <c r="C5107">
        <v>1</v>
      </c>
      <c r="D5107">
        <v>69.41</v>
      </c>
      <c r="E5107">
        <v>104</v>
      </c>
    </row>
    <row r="5108" spans="1:5" x14ac:dyDescent="0.3">
      <c r="A5108" t="s">
        <v>20</v>
      </c>
      <c r="B5108" s="1">
        <v>44707</v>
      </c>
      <c r="C5108">
        <v>1</v>
      </c>
      <c r="D5108">
        <v>19.71</v>
      </c>
      <c r="E5108">
        <v>25</v>
      </c>
    </row>
    <row r="5109" spans="1:5" x14ac:dyDescent="0.3">
      <c r="A5109" t="s">
        <v>78</v>
      </c>
      <c r="B5109" s="1">
        <v>44707</v>
      </c>
      <c r="C5109">
        <v>1</v>
      </c>
      <c r="D5109">
        <v>69.290000000000006</v>
      </c>
      <c r="E5109">
        <v>88</v>
      </c>
    </row>
    <row r="5110" spans="1:5" x14ac:dyDescent="0.3">
      <c r="A5110" t="s">
        <v>84</v>
      </c>
      <c r="B5110" s="1">
        <v>44707</v>
      </c>
      <c r="C5110">
        <v>1</v>
      </c>
      <c r="D5110">
        <v>153.75</v>
      </c>
      <c r="E5110">
        <v>193</v>
      </c>
    </row>
    <row r="5111" spans="1:5" x14ac:dyDescent="0.3">
      <c r="A5111" t="s">
        <v>102</v>
      </c>
      <c r="B5111" s="1">
        <v>44707</v>
      </c>
      <c r="C5111">
        <v>1</v>
      </c>
      <c r="D5111">
        <v>26.8</v>
      </c>
      <c r="E5111">
        <v>33</v>
      </c>
    </row>
    <row r="5112" spans="1:5" x14ac:dyDescent="0.3">
      <c r="A5112" t="s">
        <v>99</v>
      </c>
      <c r="B5112" s="1">
        <v>44707</v>
      </c>
      <c r="C5112">
        <v>1</v>
      </c>
      <c r="D5112">
        <v>64.25</v>
      </c>
      <c r="E5112">
        <v>76</v>
      </c>
    </row>
    <row r="5113" spans="1:5" x14ac:dyDescent="0.3">
      <c r="A5113" t="s">
        <v>16</v>
      </c>
      <c r="B5113" s="1">
        <v>44707</v>
      </c>
      <c r="C5113">
        <v>1</v>
      </c>
      <c r="D5113">
        <v>34.51</v>
      </c>
      <c r="E5113">
        <v>54</v>
      </c>
    </row>
    <row r="5114" spans="1:5" x14ac:dyDescent="0.3">
      <c r="A5114" t="s">
        <v>16</v>
      </c>
      <c r="B5114" s="1">
        <v>44707</v>
      </c>
      <c r="C5114">
        <v>1</v>
      </c>
      <c r="D5114">
        <v>35.22</v>
      </c>
      <c r="E5114">
        <v>55</v>
      </c>
    </row>
    <row r="5115" spans="1:5" x14ac:dyDescent="0.3">
      <c r="A5115" t="s">
        <v>62</v>
      </c>
      <c r="B5115" s="1">
        <v>44707</v>
      </c>
      <c r="C5115">
        <v>1</v>
      </c>
      <c r="D5115">
        <v>25.15</v>
      </c>
      <c r="E5115">
        <v>30</v>
      </c>
    </row>
    <row r="5116" spans="1:5" x14ac:dyDescent="0.3">
      <c r="A5116" t="s">
        <v>9</v>
      </c>
      <c r="B5116" s="1">
        <v>44707</v>
      </c>
      <c r="C5116">
        <v>1</v>
      </c>
      <c r="D5116">
        <v>81.8</v>
      </c>
      <c r="E5116">
        <v>99</v>
      </c>
    </row>
    <row r="5117" spans="1:5" x14ac:dyDescent="0.3">
      <c r="A5117" t="s">
        <v>120</v>
      </c>
      <c r="B5117" s="1">
        <v>44707</v>
      </c>
      <c r="C5117">
        <v>1</v>
      </c>
      <c r="D5117">
        <v>159.74</v>
      </c>
      <c r="E5117">
        <v>219</v>
      </c>
    </row>
    <row r="5118" spans="1:5" x14ac:dyDescent="0.3">
      <c r="A5118" t="s">
        <v>75</v>
      </c>
      <c r="B5118" s="1">
        <v>44707</v>
      </c>
      <c r="C5118">
        <v>0.1</v>
      </c>
      <c r="D5118">
        <v>430.44</v>
      </c>
      <c r="E5118">
        <v>633</v>
      </c>
    </row>
    <row r="5119" spans="1:5" x14ac:dyDescent="0.3">
      <c r="A5119" t="s">
        <v>42</v>
      </c>
      <c r="B5119" s="1">
        <v>44707</v>
      </c>
      <c r="C5119">
        <v>1</v>
      </c>
      <c r="D5119">
        <v>566.04</v>
      </c>
      <c r="E5119">
        <v>651</v>
      </c>
    </row>
    <row r="5120" spans="1:5" x14ac:dyDescent="0.3">
      <c r="A5120" t="s">
        <v>60</v>
      </c>
      <c r="B5120" s="1">
        <v>44707</v>
      </c>
      <c r="C5120">
        <v>1</v>
      </c>
      <c r="D5120">
        <v>57.23</v>
      </c>
      <c r="E5120">
        <v>71</v>
      </c>
    </row>
    <row r="5121" spans="1:5" x14ac:dyDescent="0.3">
      <c r="A5121" t="s">
        <v>23</v>
      </c>
      <c r="B5121" s="1">
        <v>44707</v>
      </c>
      <c r="C5121">
        <v>1</v>
      </c>
      <c r="D5121">
        <v>109.41</v>
      </c>
      <c r="E5121">
        <v>123</v>
      </c>
    </row>
    <row r="5122" spans="1:5" x14ac:dyDescent="0.3">
      <c r="A5122" t="s">
        <v>8</v>
      </c>
      <c r="B5122" s="1">
        <v>44707</v>
      </c>
      <c r="C5122">
        <v>1</v>
      </c>
      <c r="D5122">
        <v>47.83</v>
      </c>
      <c r="E5122">
        <v>78</v>
      </c>
    </row>
    <row r="5123" spans="1:5" x14ac:dyDescent="0.3">
      <c r="A5123" t="s">
        <v>20</v>
      </c>
      <c r="B5123" s="1">
        <v>44707</v>
      </c>
      <c r="C5123">
        <v>1</v>
      </c>
      <c r="D5123">
        <v>19.71</v>
      </c>
      <c r="E5123">
        <v>25</v>
      </c>
    </row>
    <row r="5124" spans="1:5" x14ac:dyDescent="0.3">
      <c r="A5124" t="s">
        <v>20</v>
      </c>
      <c r="B5124" s="1">
        <v>44707</v>
      </c>
      <c r="C5124">
        <v>1</v>
      </c>
      <c r="D5124">
        <v>19.71</v>
      </c>
      <c r="E5124">
        <v>25</v>
      </c>
    </row>
    <row r="5125" spans="1:5" x14ac:dyDescent="0.3">
      <c r="A5125" t="s">
        <v>20</v>
      </c>
      <c r="B5125" s="1">
        <v>44707</v>
      </c>
      <c r="C5125">
        <v>1</v>
      </c>
      <c r="D5125">
        <v>19.71</v>
      </c>
      <c r="E5125">
        <v>25</v>
      </c>
    </row>
    <row r="5126" spans="1:5" x14ac:dyDescent="0.3">
      <c r="A5126" t="s">
        <v>122</v>
      </c>
      <c r="B5126" s="1">
        <v>44707</v>
      </c>
      <c r="C5126">
        <v>1</v>
      </c>
      <c r="D5126">
        <v>20.86</v>
      </c>
      <c r="E5126">
        <v>26</v>
      </c>
    </row>
    <row r="5127" spans="1:5" x14ac:dyDescent="0.3">
      <c r="A5127" t="s">
        <v>122</v>
      </c>
      <c r="B5127" s="1">
        <v>44707</v>
      </c>
      <c r="C5127">
        <v>1</v>
      </c>
      <c r="D5127">
        <v>20.86</v>
      </c>
      <c r="E5127">
        <v>26</v>
      </c>
    </row>
    <row r="5128" spans="1:5" x14ac:dyDescent="0.3">
      <c r="A5128" t="s">
        <v>49</v>
      </c>
      <c r="B5128" s="1">
        <v>44707</v>
      </c>
      <c r="C5128">
        <v>1</v>
      </c>
      <c r="D5128">
        <v>15.8</v>
      </c>
      <c r="E5128">
        <v>19</v>
      </c>
    </row>
    <row r="5129" spans="1:5" x14ac:dyDescent="0.3">
      <c r="A5129" t="s">
        <v>49</v>
      </c>
      <c r="B5129" s="1">
        <v>44707</v>
      </c>
      <c r="C5129">
        <v>1</v>
      </c>
      <c r="D5129">
        <v>16.02</v>
      </c>
      <c r="E5129">
        <v>19</v>
      </c>
    </row>
    <row r="5130" spans="1:5" x14ac:dyDescent="0.3">
      <c r="A5130" t="s">
        <v>11</v>
      </c>
      <c r="B5130" s="1">
        <v>44707</v>
      </c>
      <c r="C5130">
        <v>1</v>
      </c>
      <c r="D5130">
        <v>24.2</v>
      </c>
      <c r="E5130">
        <v>39</v>
      </c>
    </row>
    <row r="5131" spans="1:5" x14ac:dyDescent="0.3">
      <c r="A5131" t="s">
        <v>143</v>
      </c>
      <c r="B5131" s="1">
        <v>44707</v>
      </c>
      <c r="C5131">
        <v>1</v>
      </c>
      <c r="D5131">
        <v>46.92</v>
      </c>
      <c r="E5131">
        <v>72</v>
      </c>
    </row>
    <row r="5132" spans="1:5" x14ac:dyDescent="0.3">
      <c r="A5132" t="s">
        <v>155</v>
      </c>
      <c r="B5132" s="1">
        <v>44707</v>
      </c>
      <c r="C5132">
        <v>0.12</v>
      </c>
      <c r="D5132">
        <v>529.47</v>
      </c>
      <c r="E5132">
        <v>736</v>
      </c>
    </row>
    <row r="5133" spans="1:5" x14ac:dyDescent="0.3">
      <c r="A5133" t="s">
        <v>29</v>
      </c>
      <c r="B5133" s="1">
        <v>44707</v>
      </c>
      <c r="C5133">
        <v>1</v>
      </c>
      <c r="D5133">
        <v>484.85</v>
      </c>
      <c r="E5133">
        <v>640</v>
      </c>
    </row>
    <row r="5134" spans="1:5" x14ac:dyDescent="0.3">
      <c r="A5134" t="s">
        <v>12</v>
      </c>
      <c r="B5134" s="1">
        <v>44707</v>
      </c>
      <c r="C5134">
        <v>1</v>
      </c>
      <c r="D5134">
        <v>56.08</v>
      </c>
      <c r="E5134">
        <v>70</v>
      </c>
    </row>
    <row r="5135" spans="1:5" x14ac:dyDescent="0.3">
      <c r="A5135" t="s">
        <v>66</v>
      </c>
      <c r="B5135" s="1">
        <v>44707</v>
      </c>
      <c r="C5135">
        <v>1</v>
      </c>
      <c r="D5135">
        <v>30.6</v>
      </c>
      <c r="E5135">
        <v>36</v>
      </c>
    </row>
    <row r="5136" spans="1:5" x14ac:dyDescent="0.3">
      <c r="A5136" t="s">
        <v>66</v>
      </c>
      <c r="B5136" s="1">
        <v>44707</v>
      </c>
      <c r="C5136">
        <v>1</v>
      </c>
      <c r="D5136">
        <v>30.6</v>
      </c>
      <c r="E5136">
        <v>36</v>
      </c>
    </row>
    <row r="5137" spans="1:5" x14ac:dyDescent="0.3">
      <c r="A5137" t="s">
        <v>59</v>
      </c>
      <c r="B5137" s="1">
        <v>44707</v>
      </c>
      <c r="C5137">
        <v>2</v>
      </c>
      <c r="D5137">
        <v>13.11</v>
      </c>
      <c r="E5137">
        <v>21</v>
      </c>
    </row>
    <row r="5138" spans="1:5" x14ac:dyDescent="0.3">
      <c r="A5138" t="s">
        <v>34</v>
      </c>
      <c r="B5138" s="1">
        <v>44707</v>
      </c>
      <c r="C5138">
        <v>1</v>
      </c>
      <c r="D5138">
        <v>200.35</v>
      </c>
      <c r="E5138">
        <v>235</v>
      </c>
    </row>
    <row r="5139" spans="1:5" x14ac:dyDescent="0.3">
      <c r="A5139" t="s">
        <v>45</v>
      </c>
      <c r="B5139" s="1">
        <v>44707</v>
      </c>
      <c r="C5139">
        <v>1</v>
      </c>
      <c r="D5139">
        <v>33.07</v>
      </c>
      <c r="E5139">
        <v>54</v>
      </c>
    </row>
    <row r="5140" spans="1:5" x14ac:dyDescent="0.3">
      <c r="A5140" t="s">
        <v>112</v>
      </c>
      <c r="B5140" s="1">
        <v>44707</v>
      </c>
      <c r="C5140">
        <v>1</v>
      </c>
      <c r="D5140">
        <v>281.47000000000003</v>
      </c>
      <c r="E5140">
        <v>334</v>
      </c>
    </row>
    <row r="5141" spans="1:5" x14ac:dyDescent="0.3">
      <c r="A5141" t="s">
        <v>122</v>
      </c>
      <c r="B5141" s="1">
        <v>44707</v>
      </c>
      <c r="C5141">
        <v>1</v>
      </c>
      <c r="D5141">
        <v>20.75</v>
      </c>
      <c r="E5141">
        <v>25</v>
      </c>
    </row>
    <row r="5142" spans="1:5" x14ac:dyDescent="0.3">
      <c r="A5142" t="s">
        <v>19</v>
      </c>
      <c r="B5142" s="1">
        <v>44707</v>
      </c>
      <c r="C5142">
        <v>1</v>
      </c>
      <c r="D5142">
        <v>82.69</v>
      </c>
      <c r="E5142">
        <v>103</v>
      </c>
    </row>
    <row r="5143" spans="1:5" x14ac:dyDescent="0.3">
      <c r="A5143" t="s">
        <v>98</v>
      </c>
      <c r="B5143" s="1">
        <v>44707</v>
      </c>
      <c r="C5143">
        <v>1</v>
      </c>
      <c r="D5143">
        <v>112.66</v>
      </c>
      <c r="E5143">
        <v>136</v>
      </c>
    </row>
    <row r="5144" spans="1:5" x14ac:dyDescent="0.3">
      <c r="A5144" t="s">
        <v>23</v>
      </c>
      <c r="B5144" s="1">
        <v>44707</v>
      </c>
      <c r="C5144">
        <v>1</v>
      </c>
      <c r="D5144">
        <v>109.41</v>
      </c>
      <c r="E5144">
        <v>123</v>
      </c>
    </row>
    <row r="5145" spans="1:5" x14ac:dyDescent="0.3">
      <c r="A5145" t="s">
        <v>70</v>
      </c>
      <c r="B5145" s="1">
        <v>44707</v>
      </c>
      <c r="C5145">
        <v>1</v>
      </c>
      <c r="D5145">
        <v>167.24</v>
      </c>
      <c r="E5145">
        <v>201</v>
      </c>
    </row>
    <row r="5146" spans="1:5" x14ac:dyDescent="0.3">
      <c r="A5146" t="s">
        <v>26</v>
      </c>
      <c r="B5146" s="1">
        <v>44707</v>
      </c>
      <c r="C5146">
        <v>0.2</v>
      </c>
      <c r="D5146">
        <v>991.73</v>
      </c>
      <c r="E5146">
        <v>1280</v>
      </c>
    </row>
    <row r="5147" spans="1:5" x14ac:dyDescent="0.3">
      <c r="A5147" t="s">
        <v>143</v>
      </c>
      <c r="B5147" s="1">
        <v>44707</v>
      </c>
      <c r="C5147">
        <v>1</v>
      </c>
      <c r="D5147">
        <v>46.92</v>
      </c>
      <c r="E5147">
        <v>72</v>
      </c>
    </row>
    <row r="5148" spans="1:5" x14ac:dyDescent="0.3">
      <c r="A5148" t="s">
        <v>71</v>
      </c>
      <c r="B5148" s="1">
        <v>44707</v>
      </c>
      <c r="C5148">
        <v>1</v>
      </c>
      <c r="D5148">
        <v>54.1</v>
      </c>
      <c r="E5148">
        <v>77</v>
      </c>
    </row>
    <row r="5149" spans="1:5" x14ac:dyDescent="0.3">
      <c r="A5149" t="s">
        <v>105</v>
      </c>
      <c r="B5149" s="1">
        <v>44707</v>
      </c>
      <c r="C5149">
        <v>1</v>
      </c>
      <c r="D5149">
        <v>27.69</v>
      </c>
      <c r="E5149">
        <v>45</v>
      </c>
    </row>
    <row r="5150" spans="1:5" x14ac:dyDescent="0.3">
      <c r="A5150" t="s">
        <v>39</v>
      </c>
      <c r="B5150" s="1">
        <v>44707</v>
      </c>
      <c r="C5150">
        <v>10</v>
      </c>
      <c r="D5150">
        <v>11.94</v>
      </c>
      <c r="E5150">
        <v>20</v>
      </c>
    </row>
    <row r="5151" spans="1:5" x14ac:dyDescent="0.3">
      <c r="A5151" t="s">
        <v>100</v>
      </c>
      <c r="B5151" s="1">
        <v>44707</v>
      </c>
      <c r="C5151">
        <v>1</v>
      </c>
      <c r="D5151">
        <v>36.99</v>
      </c>
      <c r="E5151">
        <v>57</v>
      </c>
    </row>
    <row r="5152" spans="1:5" x14ac:dyDescent="0.3">
      <c r="A5152" t="s">
        <v>85</v>
      </c>
      <c r="B5152" s="1">
        <v>44707</v>
      </c>
      <c r="C5152">
        <v>3</v>
      </c>
      <c r="D5152">
        <v>17</v>
      </c>
      <c r="E5152">
        <v>26</v>
      </c>
    </row>
    <row r="5153" spans="1:5" x14ac:dyDescent="0.3">
      <c r="A5153" t="s">
        <v>9</v>
      </c>
      <c r="B5153" s="1">
        <v>44707</v>
      </c>
      <c r="C5153">
        <v>1</v>
      </c>
      <c r="D5153">
        <v>80.73</v>
      </c>
      <c r="E5153">
        <v>100</v>
      </c>
    </row>
    <row r="5154" spans="1:5" x14ac:dyDescent="0.3">
      <c r="A5154" t="s">
        <v>17</v>
      </c>
      <c r="B5154" s="1">
        <v>44707</v>
      </c>
      <c r="C5154">
        <v>1</v>
      </c>
      <c r="D5154">
        <v>378.06</v>
      </c>
      <c r="E5154">
        <v>454</v>
      </c>
    </row>
    <row r="5155" spans="1:5" x14ac:dyDescent="0.3">
      <c r="A5155" t="s">
        <v>132</v>
      </c>
      <c r="B5155" s="1">
        <v>44707</v>
      </c>
      <c r="C5155">
        <v>1</v>
      </c>
      <c r="D5155">
        <v>58.59</v>
      </c>
      <c r="E5155">
        <v>84</v>
      </c>
    </row>
    <row r="5156" spans="1:5" x14ac:dyDescent="0.3">
      <c r="A5156" t="s">
        <v>36</v>
      </c>
      <c r="B5156" s="1">
        <v>44707</v>
      </c>
      <c r="C5156">
        <v>1</v>
      </c>
      <c r="D5156">
        <v>22</v>
      </c>
      <c r="E5156">
        <v>28</v>
      </c>
    </row>
    <row r="5157" spans="1:5" x14ac:dyDescent="0.3">
      <c r="A5157" t="s">
        <v>36</v>
      </c>
      <c r="B5157" s="1">
        <v>44707</v>
      </c>
      <c r="C5157">
        <v>1</v>
      </c>
      <c r="D5157">
        <v>22</v>
      </c>
      <c r="E5157">
        <v>28</v>
      </c>
    </row>
    <row r="5158" spans="1:5" x14ac:dyDescent="0.3">
      <c r="A5158" t="s">
        <v>36</v>
      </c>
      <c r="B5158" s="1">
        <v>44707</v>
      </c>
      <c r="C5158">
        <v>1</v>
      </c>
      <c r="D5158">
        <v>22</v>
      </c>
      <c r="E5158">
        <v>28</v>
      </c>
    </row>
    <row r="5159" spans="1:5" x14ac:dyDescent="0.3">
      <c r="A5159" t="s">
        <v>36</v>
      </c>
      <c r="B5159" s="1">
        <v>44707</v>
      </c>
      <c r="C5159">
        <v>1</v>
      </c>
      <c r="D5159">
        <v>22</v>
      </c>
      <c r="E5159">
        <v>28</v>
      </c>
    </row>
    <row r="5160" spans="1:5" x14ac:dyDescent="0.3">
      <c r="A5160" t="s">
        <v>36</v>
      </c>
      <c r="B5160" s="1">
        <v>44707</v>
      </c>
      <c r="C5160">
        <v>1</v>
      </c>
      <c r="D5160">
        <v>22</v>
      </c>
      <c r="E5160">
        <v>28</v>
      </c>
    </row>
    <row r="5161" spans="1:5" x14ac:dyDescent="0.3">
      <c r="A5161" t="s">
        <v>36</v>
      </c>
      <c r="B5161" s="1">
        <v>44707</v>
      </c>
      <c r="C5161">
        <v>1</v>
      </c>
      <c r="D5161">
        <v>22</v>
      </c>
      <c r="E5161">
        <v>28</v>
      </c>
    </row>
    <row r="5162" spans="1:5" x14ac:dyDescent="0.3">
      <c r="A5162" t="s">
        <v>38</v>
      </c>
      <c r="B5162" s="1">
        <v>44707</v>
      </c>
      <c r="C5162">
        <v>1</v>
      </c>
      <c r="D5162">
        <v>28.8</v>
      </c>
      <c r="E5162">
        <v>45</v>
      </c>
    </row>
    <row r="5163" spans="1:5" x14ac:dyDescent="0.3">
      <c r="A5163" t="s">
        <v>38</v>
      </c>
      <c r="B5163" s="1">
        <v>44707</v>
      </c>
      <c r="C5163">
        <v>1</v>
      </c>
      <c r="D5163">
        <v>28.8</v>
      </c>
      <c r="E5163">
        <v>45</v>
      </c>
    </row>
    <row r="5164" spans="1:5" x14ac:dyDescent="0.3">
      <c r="A5164" t="s">
        <v>38</v>
      </c>
      <c r="B5164" s="1">
        <v>44707</v>
      </c>
      <c r="C5164">
        <v>1</v>
      </c>
      <c r="D5164">
        <v>28.8</v>
      </c>
      <c r="E5164">
        <v>45</v>
      </c>
    </row>
    <row r="5165" spans="1:5" x14ac:dyDescent="0.3">
      <c r="A5165" t="s">
        <v>38</v>
      </c>
      <c r="B5165" s="1">
        <v>44707</v>
      </c>
      <c r="C5165">
        <v>1</v>
      </c>
      <c r="D5165">
        <v>28.8</v>
      </c>
      <c r="E5165">
        <v>45</v>
      </c>
    </row>
    <row r="5166" spans="1:5" x14ac:dyDescent="0.3">
      <c r="A5166" t="s">
        <v>38</v>
      </c>
      <c r="B5166" s="1">
        <v>44707</v>
      </c>
      <c r="C5166">
        <v>1</v>
      </c>
      <c r="D5166">
        <v>28.8</v>
      </c>
      <c r="E5166">
        <v>45</v>
      </c>
    </row>
    <row r="5167" spans="1:5" x14ac:dyDescent="0.3">
      <c r="A5167" t="s">
        <v>38</v>
      </c>
      <c r="B5167" s="1">
        <v>44707</v>
      </c>
      <c r="C5167">
        <v>1</v>
      </c>
      <c r="D5167">
        <v>28.8</v>
      </c>
      <c r="E5167">
        <v>45</v>
      </c>
    </row>
    <row r="5168" spans="1:5" x14ac:dyDescent="0.3">
      <c r="A5168" t="s">
        <v>150</v>
      </c>
      <c r="B5168" s="1">
        <v>44707</v>
      </c>
      <c r="C5168">
        <v>1</v>
      </c>
      <c r="D5168">
        <v>77.400000000000006</v>
      </c>
      <c r="E5168">
        <v>118</v>
      </c>
    </row>
    <row r="5169" spans="1:5" x14ac:dyDescent="0.3">
      <c r="A5169" t="s">
        <v>156</v>
      </c>
      <c r="B5169" s="1">
        <v>44707</v>
      </c>
      <c r="C5169">
        <v>1</v>
      </c>
      <c r="D5169">
        <v>249.76</v>
      </c>
      <c r="E5169">
        <v>338</v>
      </c>
    </row>
    <row r="5170" spans="1:5" x14ac:dyDescent="0.3">
      <c r="A5170" t="s">
        <v>158</v>
      </c>
      <c r="B5170" s="1">
        <v>44707</v>
      </c>
      <c r="C5170">
        <v>1</v>
      </c>
      <c r="D5170">
        <v>24.52</v>
      </c>
      <c r="E5170">
        <v>32</v>
      </c>
    </row>
    <row r="5171" spans="1:5" x14ac:dyDescent="0.3">
      <c r="A5171" t="s">
        <v>158</v>
      </c>
      <c r="B5171" s="1">
        <v>44707</v>
      </c>
      <c r="C5171">
        <v>1</v>
      </c>
      <c r="D5171">
        <v>24.52</v>
      </c>
      <c r="E5171">
        <v>32</v>
      </c>
    </row>
    <row r="5172" spans="1:5" x14ac:dyDescent="0.3">
      <c r="A5172" t="s">
        <v>158</v>
      </c>
      <c r="B5172" s="1">
        <v>44707</v>
      </c>
      <c r="C5172">
        <v>1</v>
      </c>
      <c r="D5172">
        <v>24.52</v>
      </c>
      <c r="E5172">
        <v>32</v>
      </c>
    </row>
    <row r="5173" spans="1:5" x14ac:dyDescent="0.3">
      <c r="A5173" t="s">
        <v>158</v>
      </c>
      <c r="B5173" s="1">
        <v>44707</v>
      </c>
      <c r="C5173">
        <v>1</v>
      </c>
      <c r="D5173">
        <v>24.52</v>
      </c>
      <c r="E5173">
        <v>32</v>
      </c>
    </row>
    <row r="5174" spans="1:5" x14ac:dyDescent="0.3">
      <c r="A5174" t="s">
        <v>158</v>
      </c>
      <c r="B5174" s="1">
        <v>44707</v>
      </c>
      <c r="C5174">
        <v>1</v>
      </c>
      <c r="D5174">
        <v>24.52</v>
      </c>
      <c r="E5174">
        <v>32</v>
      </c>
    </row>
    <row r="5175" spans="1:5" x14ac:dyDescent="0.3">
      <c r="A5175" t="s">
        <v>158</v>
      </c>
      <c r="B5175" s="1">
        <v>44707</v>
      </c>
      <c r="C5175">
        <v>1</v>
      </c>
      <c r="D5175">
        <v>24.52</v>
      </c>
      <c r="E5175">
        <v>32</v>
      </c>
    </row>
    <row r="5176" spans="1:5" x14ac:dyDescent="0.3">
      <c r="A5176" t="s">
        <v>158</v>
      </c>
      <c r="B5176" s="1">
        <v>44707</v>
      </c>
      <c r="C5176">
        <v>1</v>
      </c>
      <c r="D5176">
        <v>24.52</v>
      </c>
      <c r="E5176">
        <v>32</v>
      </c>
    </row>
    <row r="5177" spans="1:5" x14ac:dyDescent="0.3">
      <c r="A5177" t="s">
        <v>158</v>
      </c>
      <c r="B5177" s="1">
        <v>44707</v>
      </c>
      <c r="C5177">
        <v>1</v>
      </c>
      <c r="D5177">
        <v>24.52</v>
      </c>
      <c r="E5177">
        <v>32</v>
      </c>
    </row>
    <row r="5178" spans="1:5" x14ac:dyDescent="0.3">
      <c r="A5178" t="s">
        <v>158</v>
      </c>
      <c r="B5178" s="1">
        <v>44707</v>
      </c>
      <c r="C5178">
        <v>1</v>
      </c>
      <c r="D5178">
        <v>24.52</v>
      </c>
      <c r="E5178">
        <v>32</v>
      </c>
    </row>
    <row r="5179" spans="1:5" x14ac:dyDescent="0.3">
      <c r="A5179" t="s">
        <v>158</v>
      </c>
      <c r="B5179" s="1">
        <v>44707</v>
      </c>
      <c r="C5179">
        <v>1</v>
      </c>
      <c r="D5179">
        <v>24.52</v>
      </c>
      <c r="E5179">
        <v>32</v>
      </c>
    </row>
    <row r="5180" spans="1:5" x14ac:dyDescent="0.3">
      <c r="A5180" t="s">
        <v>95</v>
      </c>
      <c r="B5180" s="1">
        <v>44707</v>
      </c>
      <c r="C5180">
        <v>1</v>
      </c>
      <c r="D5180">
        <v>131.07</v>
      </c>
      <c r="E5180">
        <v>206</v>
      </c>
    </row>
    <row r="5181" spans="1:5" x14ac:dyDescent="0.3">
      <c r="A5181" t="s">
        <v>68</v>
      </c>
      <c r="B5181" s="1">
        <v>44707</v>
      </c>
      <c r="C5181">
        <v>1</v>
      </c>
      <c r="D5181">
        <v>53.57</v>
      </c>
      <c r="E5181">
        <v>82</v>
      </c>
    </row>
    <row r="5182" spans="1:5" x14ac:dyDescent="0.3">
      <c r="A5182" t="s">
        <v>68</v>
      </c>
      <c r="B5182" s="1">
        <v>44707</v>
      </c>
      <c r="C5182">
        <v>1</v>
      </c>
      <c r="D5182">
        <v>53.57</v>
      </c>
      <c r="E5182">
        <v>82</v>
      </c>
    </row>
    <row r="5183" spans="1:5" x14ac:dyDescent="0.3">
      <c r="A5183" t="s">
        <v>56</v>
      </c>
      <c r="B5183" s="1">
        <v>44707</v>
      </c>
      <c r="C5183">
        <v>1</v>
      </c>
      <c r="D5183">
        <v>43.86</v>
      </c>
      <c r="E5183">
        <v>67</v>
      </c>
    </row>
    <row r="5184" spans="1:5" x14ac:dyDescent="0.3">
      <c r="A5184" t="s">
        <v>152</v>
      </c>
      <c r="B5184" s="1">
        <v>44707</v>
      </c>
      <c r="C5184">
        <v>1</v>
      </c>
      <c r="D5184">
        <v>107.99</v>
      </c>
      <c r="E5184">
        <v>135</v>
      </c>
    </row>
    <row r="5185" spans="1:5" x14ac:dyDescent="0.3">
      <c r="A5185" t="s">
        <v>73</v>
      </c>
      <c r="B5185" s="1">
        <v>44707</v>
      </c>
      <c r="C5185">
        <v>1</v>
      </c>
      <c r="D5185">
        <v>8.07</v>
      </c>
      <c r="E5185">
        <v>14</v>
      </c>
    </row>
    <row r="5186" spans="1:5" x14ac:dyDescent="0.3">
      <c r="A5186" t="s">
        <v>103</v>
      </c>
      <c r="B5186" s="1">
        <v>44707</v>
      </c>
      <c r="C5186">
        <v>1</v>
      </c>
      <c r="D5186">
        <v>45.88</v>
      </c>
      <c r="E5186">
        <v>73</v>
      </c>
    </row>
    <row r="5187" spans="1:5" x14ac:dyDescent="0.3">
      <c r="A5187" t="s">
        <v>39</v>
      </c>
      <c r="B5187" s="1">
        <v>44707</v>
      </c>
      <c r="C5187">
        <v>1</v>
      </c>
      <c r="D5187">
        <v>9.9499999999999993</v>
      </c>
      <c r="E5187">
        <v>17</v>
      </c>
    </row>
    <row r="5188" spans="1:5" x14ac:dyDescent="0.3">
      <c r="A5188" t="s">
        <v>15</v>
      </c>
      <c r="B5188" s="1">
        <v>44707</v>
      </c>
      <c r="C5188">
        <v>1</v>
      </c>
      <c r="D5188">
        <v>50.1</v>
      </c>
      <c r="E5188">
        <v>81</v>
      </c>
    </row>
    <row r="5189" spans="1:5" x14ac:dyDescent="0.3">
      <c r="A5189" t="s">
        <v>5</v>
      </c>
      <c r="B5189" s="1">
        <v>44707</v>
      </c>
      <c r="C5189">
        <v>1</v>
      </c>
      <c r="D5189">
        <v>145.6</v>
      </c>
      <c r="E5189">
        <v>172</v>
      </c>
    </row>
    <row r="5190" spans="1:5" x14ac:dyDescent="0.3">
      <c r="A5190" t="s">
        <v>120</v>
      </c>
      <c r="B5190" s="1">
        <v>44707</v>
      </c>
      <c r="C5190">
        <v>1</v>
      </c>
      <c r="D5190">
        <v>145.04</v>
      </c>
      <c r="E5190">
        <v>202</v>
      </c>
    </row>
    <row r="5191" spans="1:5" x14ac:dyDescent="0.3">
      <c r="A5191" t="s">
        <v>155</v>
      </c>
      <c r="B5191" s="1">
        <v>44707</v>
      </c>
      <c r="C5191">
        <v>0.72</v>
      </c>
      <c r="D5191">
        <v>508.78</v>
      </c>
      <c r="E5191">
        <v>687</v>
      </c>
    </row>
    <row r="5192" spans="1:5" x14ac:dyDescent="0.3">
      <c r="A5192" t="s">
        <v>34</v>
      </c>
      <c r="B5192" s="1">
        <v>44707</v>
      </c>
      <c r="C5192">
        <v>1</v>
      </c>
      <c r="D5192">
        <v>200.36</v>
      </c>
      <c r="E5192">
        <v>231</v>
      </c>
    </row>
    <row r="5193" spans="1:5" x14ac:dyDescent="0.3">
      <c r="A5193" t="s">
        <v>129</v>
      </c>
      <c r="B5193" s="1">
        <v>44707</v>
      </c>
      <c r="C5193">
        <v>0.16</v>
      </c>
      <c r="D5193">
        <v>493.92</v>
      </c>
      <c r="E5193">
        <v>595</v>
      </c>
    </row>
    <row r="5194" spans="1:5" x14ac:dyDescent="0.3">
      <c r="A5194" t="s">
        <v>93</v>
      </c>
      <c r="B5194" s="1">
        <v>44707</v>
      </c>
      <c r="C5194">
        <v>1</v>
      </c>
      <c r="D5194">
        <v>64.16</v>
      </c>
      <c r="E5194">
        <v>92</v>
      </c>
    </row>
    <row r="5195" spans="1:5" x14ac:dyDescent="0.3">
      <c r="A5195" t="s">
        <v>100</v>
      </c>
      <c r="B5195" s="1">
        <v>44707</v>
      </c>
      <c r="C5195">
        <v>1</v>
      </c>
      <c r="D5195">
        <v>35.49</v>
      </c>
      <c r="E5195">
        <v>54</v>
      </c>
    </row>
    <row r="5196" spans="1:5" x14ac:dyDescent="0.3">
      <c r="A5196" t="s">
        <v>13</v>
      </c>
      <c r="B5196" s="1">
        <v>44706</v>
      </c>
      <c r="C5196">
        <v>1</v>
      </c>
      <c r="D5196">
        <v>120.36</v>
      </c>
      <c r="E5196">
        <v>145</v>
      </c>
    </row>
    <row r="5197" spans="1:5" x14ac:dyDescent="0.3">
      <c r="A5197" t="s">
        <v>31</v>
      </c>
      <c r="B5197" s="1">
        <v>44706</v>
      </c>
      <c r="C5197">
        <v>1</v>
      </c>
      <c r="D5197">
        <v>13.05</v>
      </c>
      <c r="E5197">
        <v>18</v>
      </c>
    </row>
    <row r="5198" spans="1:5" x14ac:dyDescent="0.3">
      <c r="A5198" t="s">
        <v>18</v>
      </c>
      <c r="B5198" s="1">
        <v>44706</v>
      </c>
      <c r="C5198">
        <v>1</v>
      </c>
      <c r="D5198">
        <v>46</v>
      </c>
      <c r="E5198">
        <v>72</v>
      </c>
    </row>
    <row r="5199" spans="1:5" x14ac:dyDescent="0.3">
      <c r="A5199" t="s">
        <v>18</v>
      </c>
      <c r="B5199" s="1">
        <v>44706</v>
      </c>
      <c r="C5199">
        <v>1</v>
      </c>
      <c r="D5199">
        <v>46</v>
      </c>
      <c r="E5199">
        <v>72</v>
      </c>
    </row>
    <row r="5200" spans="1:5" x14ac:dyDescent="0.3">
      <c r="A5200" t="s">
        <v>122</v>
      </c>
      <c r="B5200" s="1">
        <v>44706</v>
      </c>
      <c r="C5200">
        <v>1</v>
      </c>
      <c r="D5200">
        <v>20.86</v>
      </c>
      <c r="E5200">
        <v>26</v>
      </c>
    </row>
    <row r="5201" spans="1:5" x14ac:dyDescent="0.3">
      <c r="A5201" t="s">
        <v>100</v>
      </c>
      <c r="B5201" s="1">
        <v>44706</v>
      </c>
      <c r="C5201">
        <v>1</v>
      </c>
      <c r="D5201">
        <v>35.49</v>
      </c>
      <c r="E5201">
        <v>55</v>
      </c>
    </row>
    <row r="5202" spans="1:5" x14ac:dyDescent="0.3">
      <c r="A5202" t="s">
        <v>7</v>
      </c>
      <c r="B5202" s="1">
        <v>44706</v>
      </c>
      <c r="C5202">
        <v>1</v>
      </c>
      <c r="D5202">
        <v>88.43</v>
      </c>
      <c r="E5202">
        <v>106</v>
      </c>
    </row>
    <row r="5203" spans="1:5" x14ac:dyDescent="0.3">
      <c r="A5203" t="s">
        <v>137</v>
      </c>
      <c r="B5203" s="1">
        <v>44706</v>
      </c>
      <c r="C5203">
        <v>1</v>
      </c>
      <c r="D5203">
        <v>9</v>
      </c>
      <c r="E5203">
        <v>15</v>
      </c>
    </row>
    <row r="5204" spans="1:5" x14ac:dyDescent="0.3">
      <c r="A5204" t="s">
        <v>120</v>
      </c>
      <c r="B5204" s="1">
        <v>44706</v>
      </c>
      <c r="C5204">
        <v>1</v>
      </c>
      <c r="D5204">
        <v>145.04</v>
      </c>
      <c r="E5204">
        <v>202</v>
      </c>
    </row>
    <row r="5205" spans="1:5" x14ac:dyDescent="0.3">
      <c r="A5205" t="s">
        <v>159</v>
      </c>
      <c r="B5205" s="1">
        <v>44706</v>
      </c>
      <c r="C5205">
        <v>1</v>
      </c>
      <c r="D5205">
        <v>52.11</v>
      </c>
      <c r="E5205">
        <v>65</v>
      </c>
    </row>
    <row r="5206" spans="1:5" x14ac:dyDescent="0.3">
      <c r="A5206" t="s">
        <v>139</v>
      </c>
      <c r="B5206" s="1">
        <v>44706</v>
      </c>
      <c r="C5206">
        <v>1</v>
      </c>
      <c r="D5206">
        <v>24.18</v>
      </c>
      <c r="E5206">
        <v>39</v>
      </c>
    </row>
    <row r="5207" spans="1:5" x14ac:dyDescent="0.3">
      <c r="A5207" t="s">
        <v>86</v>
      </c>
      <c r="B5207" s="1">
        <v>44706</v>
      </c>
      <c r="C5207">
        <v>2</v>
      </c>
      <c r="D5207">
        <v>47.4</v>
      </c>
      <c r="E5207">
        <v>77</v>
      </c>
    </row>
    <row r="5208" spans="1:5" x14ac:dyDescent="0.3">
      <c r="A5208" t="s">
        <v>48</v>
      </c>
      <c r="B5208" s="1">
        <v>44706</v>
      </c>
      <c r="C5208">
        <v>1</v>
      </c>
      <c r="D5208">
        <v>35.200000000000003</v>
      </c>
      <c r="E5208">
        <v>55</v>
      </c>
    </row>
    <row r="5209" spans="1:5" x14ac:dyDescent="0.3">
      <c r="A5209" t="s">
        <v>138</v>
      </c>
      <c r="B5209" s="1">
        <v>44706</v>
      </c>
      <c r="C5209">
        <v>1</v>
      </c>
      <c r="D5209">
        <v>39.6</v>
      </c>
      <c r="E5209">
        <v>69</v>
      </c>
    </row>
    <row r="5210" spans="1:5" x14ac:dyDescent="0.3">
      <c r="A5210" t="s">
        <v>132</v>
      </c>
      <c r="B5210" s="1">
        <v>44706</v>
      </c>
      <c r="C5210">
        <v>1</v>
      </c>
      <c r="D5210">
        <v>58.23</v>
      </c>
      <c r="E5210">
        <v>87</v>
      </c>
    </row>
    <row r="5211" spans="1:5" x14ac:dyDescent="0.3">
      <c r="A5211" t="s">
        <v>54</v>
      </c>
      <c r="B5211" s="1">
        <v>44706</v>
      </c>
      <c r="C5211">
        <v>1</v>
      </c>
      <c r="D5211">
        <v>731.05</v>
      </c>
      <c r="E5211">
        <v>944</v>
      </c>
    </row>
    <row r="5212" spans="1:5" x14ac:dyDescent="0.3">
      <c r="A5212" t="s">
        <v>124</v>
      </c>
      <c r="B5212" s="1">
        <v>44706</v>
      </c>
      <c r="C5212">
        <v>1</v>
      </c>
      <c r="D5212">
        <v>36.75</v>
      </c>
      <c r="E5212">
        <v>59</v>
      </c>
    </row>
    <row r="5213" spans="1:5" x14ac:dyDescent="0.3">
      <c r="A5213" t="s">
        <v>17</v>
      </c>
      <c r="B5213" s="1">
        <v>44706</v>
      </c>
      <c r="C5213">
        <v>1</v>
      </c>
      <c r="D5213">
        <v>378.06</v>
      </c>
      <c r="E5213">
        <v>454</v>
      </c>
    </row>
    <row r="5214" spans="1:5" x14ac:dyDescent="0.3">
      <c r="A5214" t="s">
        <v>91</v>
      </c>
      <c r="B5214" s="1">
        <v>44706</v>
      </c>
      <c r="C5214">
        <v>1</v>
      </c>
      <c r="D5214">
        <v>36.51</v>
      </c>
      <c r="E5214">
        <v>63</v>
      </c>
    </row>
    <row r="5215" spans="1:5" x14ac:dyDescent="0.3">
      <c r="A5215" t="s">
        <v>21</v>
      </c>
      <c r="B5215" s="1">
        <v>44706</v>
      </c>
      <c r="C5215">
        <v>1</v>
      </c>
      <c r="D5215">
        <v>183.48</v>
      </c>
      <c r="E5215">
        <v>256</v>
      </c>
    </row>
    <row r="5216" spans="1:5" x14ac:dyDescent="0.3">
      <c r="A5216" t="s">
        <v>53</v>
      </c>
      <c r="B5216" s="1">
        <v>44706</v>
      </c>
      <c r="C5216">
        <v>1</v>
      </c>
      <c r="D5216">
        <v>23.4</v>
      </c>
      <c r="E5216">
        <v>38</v>
      </c>
    </row>
    <row r="5217" spans="1:5" x14ac:dyDescent="0.3">
      <c r="A5217" t="s">
        <v>97</v>
      </c>
      <c r="B5217" s="1">
        <v>44706</v>
      </c>
      <c r="C5217">
        <v>1</v>
      </c>
      <c r="D5217">
        <v>426.66</v>
      </c>
      <c r="E5217">
        <v>564</v>
      </c>
    </row>
    <row r="5218" spans="1:5" x14ac:dyDescent="0.3">
      <c r="A5218" t="s">
        <v>44</v>
      </c>
      <c r="B5218" s="1">
        <v>44706</v>
      </c>
      <c r="C5218">
        <v>1</v>
      </c>
      <c r="D5218">
        <v>65.010000000000005</v>
      </c>
      <c r="E5218">
        <v>101</v>
      </c>
    </row>
    <row r="5219" spans="1:5" x14ac:dyDescent="0.3">
      <c r="A5219" t="s">
        <v>51</v>
      </c>
      <c r="B5219" s="1">
        <v>44706</v>
      </c>
      <c r="C5219">
        <v>4</v>
      </c>
      <c r="D5219">
        <v>1.98</v>
      </c>
      <c r="E5219">
        <v>4</v>
      </c>
    </row>
    <row r="5220" spans="1:5" x14ac:dyDescent="0.3">
      <c r="A5220" t="s">
        <v>22</v>
      </c>
      <c r="B5220" s="1">
        <v>44706</v>
      </c>
      <c r="C5220">
        <v>1</v>
      </c>
      <c r="D5220">
        <v>30.3</v>
      </c>
      <c r="E5220">
        <v>49</v>
      </c>
    </row>
    <row r="5221" spans="1:5" x14ac:dyDescent="0.3">
      <c r="A5221" t="s">
        <v>9</v>
      </c>
      <c r="B5221" s="1">
        <v>44706</v>
      </c>
      <c r="C5221">
        <v>1</v>
      </c>
      <c r="D5221">
        <v>77</v>
      </c>
      <c r="E5221">
        <v>94</v>
      </c>
    </row>
    <row r="5222" spans="1:5" x14ac:dyDescent="0.3">
      <c r="A5222" t="s">
        <v>9</v>
      </c>
      <c r="B5222" s="1">
        <v>44706</v>
      </c>
      <c r="C5222">
        <v>1</v>
      </c>
      <c r="D5222">
        <v>77</v>
      </c>
      <c r="E5222">
        <v>94</v>
      </c>
    </row>
    <row r="5223" spans="1:5" x14ac:dyDescent="0.3">
      <c r="A5223" t="s">
        <v>57</v>
      </c>
      <c r="B5223" s="1">
        <v>44706</v>
      </c>
      <c r="C5223">
        <v>1</v>
      </c>
      <c r="D5223">
        <v>233.48</v>
      </c>
      <c r="E5223">
        <v>274</v>
      </c>
    </row>
    <row r="5224" spans="1:5" x14ac:dyDescent="0.3">
      <c r="A5224" t="s">
        <v>73</v>
      </c>
      <c r="B5224" s="1">
        <v>44706</v>
      </c>
      <c r="C5224">
        <v>1</v>
      </c>
      <c r="D5224">
        <v>8.07</v>
      </c>
      <c r="E5224">
        <v>14</v>
      </c>
    </row>
    <row r="5225" spans="1:5" x14ac:dyDescent="0.3">
      <c r="A5225" t="s">
        <v>39</v>
      </c>
      <c r="B5225" s="1">
        <v>44706</v>
      </c>
      <c r="C5225">
        <v>3</v>
      </c>
      <c r="D5225">
        <v>9.9499999999999993</v>
      </c>
      <c r="E5225">
        <v>17</v>
      </c>
    </row>
    <row r="5226" spans="1:5" x14ac:dyDescent="0.3">
      <c r="A5226" t="s">
        <v>149</v>
      </c>
      <c r="B5226" s="1">
        <v>44706</v>
      </c>
      <c r="C5226">
        <v>1</v>
      </c>
      <c r="D5226">
        <v>220.76</v>
      </c>
      <c r="E5226">
        <v>303</v>
      </c>
    </row>
    <row r="5227" spans="1:5" x14ac:dyDescent="0.3">
      <c r="A5227" t="s">
        <v>100</v>
      </c>
      <c r="B5227" s="1">
        <v>44706</v>
      </c>
      <c r="C5227">
        <v>1</v>
      </c>
      <c r="D5227">
        <v>35.49</v>
      </c>
      <c r="E5227">
        <v>55</v>
      </c>
    </row>
    <row r="5228" spans="1:5" x14ac:dyDescent="0.3">
      <c r="A5228" t="s">
        <v>24</v>
      </c>
      <c r="B5228" s="1">
        <v>44706</v>
      </c>
      <c r="C5228">
        <v>1</v>
      </c>
      <c r="D5228">
        <v>102.47</v>
      </c>
      <c r="E5228">
        <v>121</v>
      </c>
    </row>
    <row r="5229" spans="1:5" x14ac:dyDescent="0.3">
      <c r="A5229" t="s">
        <v>132</v>
      </c>
      <c r="B5229" s="1">
        <v>44706</v>
      </c>
      <c r="C5229">
        <v>1</v>
      </c>
      <c r="D5229">
        <v>58.53</v>
      </c>
      <c r="E5229">
        <v>84</v>
      </c>
    </row>
    <row r="5230" spans="1:5" x14ac:dyDescent="0.3">
      <c r="A5230" t="s">
        <v>134</v>
      </c>
      <c r="B5230" s="1">
        <v>44706</v>
      </c>
      <c r="C5230">
        <v>1</v>
      </c>
      <c r="D5230">
        <v>27.28</v>
      </c>
      <c r="E5230">
        <v>43</v>
      </c>
    </row>
    <row r="5231" spans="1:5" x14ac:dyDescent="0.3">
      <c r="A5231" t="s">
        <v>141</v>
      </c>
      <c r="B5231" s="1">
        <v>44706</v>
      </c>
      <c r="C5231">
        <v>2</v>
      </c>
      <c r="D5231">
        <v>14.69</v>
      </c>
      <c r="E5231">
        <v>26</v>
      </c>
    </row>
    <row r="5232" spans="1:5" x14ac:dyDescent="0.3">
      <c r="A5232" t="s">
        <v>106</v>
      </c>
      <c r="B5232" s="1">
        <v>44706</v>
      </c>
      <c r="C5232">
        <v>1</v>
      </c>
      <c r="D5232">
        <v>40.54</v>
      </c>
      <c r="E5232">
        <v>50</v>
      </c>
    </row>
    <row r="5233" spans="1:5" x14ac:dyDescent="0.3">
      <c r="A5233" t="s">
        <v>22</v>
      </c>
      <c r="B5233" s="1">
        <v>44706</v>
      </c>
      <c r="C5233">
        <v>1</v>
      </c>
      <c r="D5233">
        <v>30.3</v>
      </c>
      <c r="E5233">
        <v>49</v>
      </c>
    </row>
    <row r="5234" spans="1:5" x14ac:dyDescent="0.3">
      <c r="A5234" t="s">
        <v>7</v>
      </c>
      <c r="B5234" s="1">
        <v>44706</v>
      </c>
      <c r="C5234">
        <v>1</v>
      </c>
      <c r="D5234">
        <v>88.43</v>
      </c>
      <c r="E5234">
        <v>106</v>
      </c>
    </row>
    <row r="5235" spans="1:5" x14ac:dyDescent="0.3">
      <c r="A5235" t="s">
        <v>7</v>
      </c>
      <c r="B5235" s="1">
        <v>44706</v>
      </c>
      <c r="C5235">
        <v>1</v>
      </c>
      <c r="D5235">
        <v>88.43</v>
      </c>
      <c r="E5235">
        <v>106</v>
      </c>
    </row>
    <row r="5236" spans="1:5" x14ac:dyDescent="0.3">
      <c r="A5236" t="s">
        <v>87</v>
      </c>
      <c r="B5236" s="1">
        <v>44706</v>
      </c>
      <c r="C5236">
        <v>1</v>
      </c>
      <c r="D5236">
        <v>323.66000000000003</v>
      </c>
      <c r="E5236">
        <v>370</v>
      </c>
    </row>
    <row r="5237" spans="1:5" x14ac:dyDescent="0.3">
      <c r="A5237" t="s">
        <v>22</v>
      </c>
      <c r="B5237" s="1">
        <v>44706</v>
      </c>
      <c r="C5237">
        <v>1</v>
      </c>
      <c r="D5237">
        <v>30.3</v>
      </c>
      <c r="E5237">
        <v>49</v>
      </c>
    </row>
    <row r="5238" spans="1:5" x14ac:dyDescent="0.3">
      <c r="A5238" t="s">
        <v>100</v>
      </c>
      <c r="B5238" s="1">
        <v>44706</v>
      </c>
      <c r="C5238">
        <v>1</v>
      </c>
      <c r="D5238">
        <v>35.49</v>
      </c>
      <c r="E5238">
        <v>55</v>
      </c>
    </row>
    <row r="5239" spans="1:5" x14ac:dyDescent="0.3">
      <c r="A5239" t="s">
        <v>11</v>
      </c>
      <c r="B5239" s="1">
        <v>44706</v>
      </c>
      <c r="C5239">
        <v>1</v>
      </c>
      <c r="D5239">
        <v>24.2</v>
      </c>
      <c r="E5239">
        <v>39</v>
      </c>
    </row>
    <row r="5240" spans="1:5" x14ac:dyDescent="0.3">
      <c r="A5240" t="s">
        <v>7</v>
      </c>
      <c r="B5240" s="1">
        <v>44706</v>
      </c>
      <c r="C5240">
        <v>1</v>
      </c>
      <c r="D5240">
        <v>89.27</v>
      </c>
      <c r="E5240">
        <v>105</v>
      </c>
    </row>
    <row r="5241" spans="1:5" x14ac:dyDescent="0.3">
      <c r="A5241" t="s">
        <v>29</v>
      </c>
      <c r="B5241" s="1">
        <v>44706</v>
      </c>
      <c r="C5241">
        <v>1</v>
      </c>
      <c r="D5241">
        <v>480.11</v>
      </c>
      <c r="E5241">
        <v>663</v>
      </c>
    </row>
    <row r="5242" spans="1:5" x14ac:dyDescent="0.3">
      <c r="A5242" t="s">
        <v>28</v>
      </c>
      <c r="B5242" s="1">
        <v>44706</v>
      </c>
      <c r="C5242">
        <v>1</v>
      </c>
      <c r="D5242">
        <v>148.83000000000001</v>
      </c>
      <c r="E5242">
        <v>207</v>
      </c>
    </row>
    <row r="5243" spans="1:5" x14ac:dyDescent="0.3">
      <c r="A5243" t="s">
        <v>65</v>
      </c>
      <c r="B5243" s="1">
        <v>44706</v>
      </c>
      <c r="C5243">
        <v>1</v>
      </c>
      <c r="D5243">
        <v>184.45</v>
      </c>
      <c r="E5243">
        <v>216</v>
      </c>
    </row>
    <row r="5244" spans="1:5" x14ac:dyDescent="0.3">
      <c r="A5244" t="s">
        <v>65</v>
      </c>
      <c r="B5244" s="1">
        <v>44706</v>
      </c>
      <c r="C5244">
        <v>1</v>
      </c>
      <c r="D5244">
        <v>184.45</v>
      </c>
      <c r="E5244">
        <v>216</v>
      </c>
    </row>
    <row r="5245" spans="1:5" x14ac:dyDescent="0.3">
      <c r="A5245" t="s">
        <v>34</v>
      </c>
      <c r="B5245" s="1">
        <v>44706</v>
      </c>
      <c r="C5245">
        <v>1</v>
      </c>
      <c r="D5245">
        <v>200.35</v>
      </c>
      <c r="E5245">
        <v>235</v>
      </c>
    </row>
    <row r="5246" spans="1:5" x14ac:dyDescent="0.3">
      <c r="A5246" t="s">
        <v>52</v>
      </c>
      <c r="B5246" s="1">
        <v>44706</v>
      </c>
      <c r="C5246">
        <v>1</v>
      </c>
      <c r="D5246">
        <v>206</v>
      </c>
      <c r="E5246">
        <v>251</v>
      </c>
    </row>
    <row r="5247" spans="1:5" x14ac:dyDescent="0.3">
      <c r="A5247" t="s">
        <v>21</v>
      </c>
      <c r="B5247" s="1">
        <v>44706</v>
      </c>
      <c r="C5247">
        <v>1</v>
      </c>
      <c r="D5247">
        <v>184.57</v>
      </c>
      <c r="E5247">
        <v>253</v>
      </c>
    </row>
    <row r="5248" spans="1:5" x14ac:dyDescent="0.3">
      <c r="A5248" t="s">
        <v>87</v>
      </c>
      <c r="B5248" s="1">
        <v>44706</v>
      </c>
      <c r="C5248">
        <v>1</v>
      </c>
      <c r="D5248">
        <v>323.66000000000003</v>
      </c>
      <c r="E5248">
        <v>370</v>
      </c>
    </row>
    <row r="5249" spans="1:5" x14ac:dyDescent="0.3">
      <c r="A5249" t="s">
        <v>120</v>
      </c>
      <c r="B5249" s="1">
        <v>44706</v>
      </c>
      <c r="C5249">
        <v>1</v>
      </c>
      <c r="D5249">
        <v>132.07</v>
      </c>
      <c r="E5249">
        <v>181</v>
      </c>
    </row>
    <row r="5250" spans="1:5" x14ac:dyDescent="0.3">
      <c r="A5250" t="s">
        <v>120</v>
      </c>
      <c r="B5250" s="1">
        <v>44706</v>
      </c>
      <c r="C5250">
        <v>1</v>
      </c>
      <c r="D5250">
        <v>132.07</v>
      </c>
      <c r="E5250">
        <v>181</v>
      </c>
    </row>
    <row r="5251" spans="1:5" x14ac:dyDescent="0.3">
      <c r="A5251" t="s">
        <v>86</v>
      </c>
      <c r="B5251" s="1">
        <v>44706</v>
      </c>
      <c r="C5251">
        <v>1</v>
      </c>
      <c r="D5251">
        <v>47.4</v>
      </c>
      <c r="E5251">
        <v>82</v>
      </c>
    </row>
    <row r="5252" spans="1:5" x14ac:dyDescent="0.3">
      <c r="A5252" t="s">
        <v>157</v>
      </c>
      <c r="B5252" s="1">
        <v>44706</v>
      </c>
      <c r="C5252">
        <v>1</v>
      </c>
      <c r="D5252">
        <v>12</v>
      </c>
      <c r="E5252">
        <v>20</v>
      </c>
    </row>
    <row r="5253" spans="1:5" x14ac:dyDescent="0.3">
      <c r="A5253" t="s">
        <v>78</v>
      </c>
      <c r="B5253" s="1">
        <v>44706</v>
      </c>
      <c r="C5253">
        <v>1</v>
      </c>
      <c r="D5253">
        <v>69.290000000000006</v>
      </c>
      <c r="E5253">
        <v>88</v>
      </c>
    </row>
    <row r="5254" spans="1:5" x14ac:dyDescent="0.3">
      <c r="A5254" t="s">
        <v>78</v>
      </c>
      <c r="B5254" s="1">
        <v>44706</v>
      </c>
      <c r="C5254">
        <v>1</v>
      </c>
      <c r="D5254">
        <v>69.290000000000006</v>
      </c>
      <c r="E5254">
        <v>88</v>
      </c>
    </row>
    <row r="5255" spans="1:5" x14ac:dyDescent="0.3">
      <c r="A5255" t="s">
        <v>23</v>
      </c>
      <c r="B5255" s="1">
        <v>44706</v>
      </c>
      <c r="C5255">
        <v>1</v>
      </c>
      <c r="D5255">
        <v>109.41</v>
      </c>
      <c r="E5255">
        <v>123</v>
      </c>
    </row>
    <row r="5256" spans="1:5" x14ac:dyDescent="0.3">
      <c r="A5256" t="s">
        <v>7</v>
      </c>
      <c r="B5256" s="1">
        <v>44706</v>
      </c>
      <c r="C5256">
        <v>1</v>
      </c>
      <c r="D5256">
        <v>88.43</v>
      </c>
      <c r="E5256">
        <v>104</v>
      </c>
    </row>
    <row r="5257" spans="1:5" x14ac:dyDescent="0.3">
      <c r="A5257" t="s">
        <v>153</v>
      </c>
      <c r="B5257" s="1">
        <v>44706</v>
      </c>
      <c r="C5257">
        <v>1</v>
      </c>
      <c r="D5257">
        <v>9.4600000000000009</v>
      </c>
      <c r="E5257">
        <v>11</v>
      </c>
    </row>
    <row r="5258" spans="1:5" x14ac:dyDescent="0.3">
      <c r="A5258" t="s">
        <v>24</v>
      </c>
      <c r="B5258" s="1">
        <v>44706</v>
      </c>
      <c r="C5258">
        <v>1</v>
      </c>
      <c r="D5258">
        <v>99.99</v>
      </c>
      <c r="E5258">
        <v>119</v>
      </c>
    </row>
    <row r="5259" spans="1:5" x14ac:dyDescent="0.3">
      <c r="A5259" t="s">
        <v>75</v>
      </c>
      <c r="B5259" s="1">
        <v>44706</v>
      </c>
      <c r="C5259">
        <v>0.06</v>
      </c>
      <c r="D5259">
        <v>463.1</v>
      </c>
      <c r="E5259">
        <v>649</v>
      </c>
    </row>
    <row r="5260" spans="1:5" x14ac:dyDescent="0.3">
      <c r="A5260" t="s">
        <v>111</v>
      </c>
      <c r="B5260" s="1">
        <v>44706</v>
      </c>
      <c r="C5260">
        <v>1</v>
      </c>
      <c r="D5260">
        <v>159.58000000000001</v>
      </c>
      <c r="E5260">
        <v>193</v>
      </c>
    </row>
    <row r="5261" spans="1:5" x14ac:dyDescent="0.3">
      <c r="A5261" t="s">
        <v>9</v>
      </c>
      <c r="B5261" s="1">
        <v>44706</v>
      </c>
      <c r="C5261">
        <v>1</v>
      </c>
      <c r="D5261">
        <v>80.73</v>
      </c>
      <c r="E5261">
        <v>100</v>
      </c>
    </row>
    <row r="5262" spans="1:5" x14ac:dyDescent="0.3">
      <c r="A5262" t="s">
        <v>66</v>
      </c>
      <c r="B5262" s="1">
        <v>44706</v>
      </c>
      <c r="C5262">
        <v>1</v>
      </c>
      <c r="D5262">
        <v>30.56</v>
      </c>
      <c r="E5262">
        <v>36</v>
      </c>
    </row>
    <row r="5263" spans="1:5" x14ac:dyDescent="0.3">
      <c r="A5263" t="s">
        <v>100</v>
      </c>
      <c r="B5263" s="1">
        <v>44706</v>
      </c>
      <c r="C5263">
        <v>1</v>
      </c>
      <c r="D5263">
        <v>36.99</v>
      </c>
      <c r="E5263">
        <v>59</v>
      </c>
    </row>
    <row r="5264" spans="1:5" x14ac:dyDescent="0.3">
      <c r="A5264" t="s">
        <v>90</v>
      </c>
      <c r="B5264" s="1">
        <v>44706</v>
      </c>
      <c r="C5264">
        <v>1</v>
      </c>
      <c r="D5264">
        <v>384.59</v>
      </c>
      <c r="E5264">
        <v>474</v>
      </c>
    </row>
    <row r="5265" spans="1:5" x14ac:dyDescent="0.3">
      <c r="A5265" t="s">
        <v>25</v>
      </c>
      <c r="B5265" s="1">
        <v>44706</v>
      </c>
      <c r="C5265">
        <v>1</v>
      </c>
      <c r="D5265">
        <v>147.18</v>
      </c>
      <c r="E5265">
        <v>177</v>
      </c>
    </row>
    <row r="5266" spans="1:5" x14ac:dyDescent="0.3">
      <c r="A5266" t="s">
        <v>57</v>
      </c>
      <c r="B5266" s="1">
        <v>44706</v>
      </c>
      <c r="C5266">
        <v>1</v>
      </c>
      <c r="D5266">
        <v>233.74</v>
      </c>
      <c r="E5266">
        <v>274</v>
      </c>
    </row>
    <row r="5267" spans="1:5" x14ac:dyDescent="0.3">
      <c r="A5267" t="s">
        <v>139</v>
      </c>
      <c r="B5267" s="1">
        <v>44706</v>
      </c>
      <c r="C5267">
        <v>1</v>
      </c>
      <c r="D5267">
        <v>24.18</v>
      </c>
      <c r="E5267">
        <v>39</v>
      </c>
    </row>
    <row r="5268" spans="1:5" x14ac:dyDescent="0.3">
      <c r="A5268" t="s">
        <v>19</v>
      </c>
      <c r="B5268" s="1">
        <v>44706</v>
      </c>
      <c r="C5268">
        <v>1</v>
      </c>
      <c r="D5268">
        <v>82.34</v>
      </c>
      <c r="E5268">
        <v>103</v>
      </c>
    </row>
    <row r="5269" spans="1:5" x14ac:dyDescent="0.3">
      <c r="A5269" t="s">
        <v>19</v>
      </c>
      <c r="B5269" s="1">
        <v>44706</v>
      </c>
      <c r="C5269">
        <v>1</v>
      </c>
      <c r="D5269">
        <v>82.34</v>
      </c>
      <c r="E5269">
        <v>103</v>
      </c>
    </row>
    <row r="5270" spans="1:5" x14ac:dyDescent="0.3">
      <c r="A5270" t="s">
        <v>19</v>
      </c>
      <c r="B5270" s="1">
        <v>44706</v>
      </c>
      <c r="C5270">
        <v>1</v>
      </c>
      <c r="D5270">
        <v>82.34</v>
      </c>
      <c r="E5270">
        <v>103</v>
      </c>
    </row>
    <row r="5271" spans="1:5" x14ac:dyDescent="0.3">
      <c r="A5271" t="s">
        <v>131</v>
      </c>
      <c r="B5271" s="1">
        <v>44706</v>
      </c>
      <c r="C5271">
        <v>1</v>
      </c>
      <c r="D5271">
        <v>361.9</v>
      </c>
      <c r="E5271">
        <v>424</v>
      </c>
    </row>
    <row r="5272" spans="1:5" x14ac:dyDescent="0.3">
      <c r="A5272" t="s">
        <v>19</v>
      </c>
      <c r="B5272" s="1">
        <v>44706</v>
      </c>
      <c r="C5272">
        <v>1</v>
      </c>
      <c r="D5272">
        <v>81.73</v>
      </c>
      <c r="E5272">
        <v>102</v>
      </c>
    </row>
    <row r="5273" spans="1:5" x14ac:dyDescent="0.3">
      <c r="A5273" t="s">
        <v>25</v>
      </c>
      <c r="B5273" s="1">
        <v>44706</v>
      </c>
      <c r="C5273">
        <v>1</v>
      </c>
      <c r="D5273">
        <v>147.18</v>
      </c>
      <c r="E5273">
        <v>177</v>
      </c>
    </row>
    <row r="5274" spans="1:5" x14ac:dyDescent="0.3">
      <c r="A5274" t="s">
        <v>48</v>
      </c>
      <c r="B5274" s="1">
        <v>44706</v>
      </c>
      <c r="C5274">
        <v>1</v>
      </c>
      <c r="D5274">
        <v>38.11</v>
      </c>
      <c r="E5274">
        <v>58</v>
      </c>
    </row>
    <row r="5275" spans="1:5" x14ac:dyDescent="0.3">
      <c r="A5275" t="s">
        <v>41</v>
      </c>
      <c r="B5275" s="1">
        <v>44706</v>
      </c>
      <c r="C5275">
        <v>1</v>
      </c>
      <c r="D5275">
        <v>11.63</v>
      </c>
      <c r="E5275">
        <v>19</v>
      </c>
    </row>
    <row r="5276" spans="1:5" x14ac:dyDescent="0.3">
      <c r="A5276" t="s">
        <v>143</v>
      </c>
      <c r="B5276" s="1">
        <v>44706</v>
      </c>
      <c r="C5276">
        <v>1</v>
      </c>
      <c r="D5276">
        <v>50.45</v>
      </c>
      <c r="E5276">
        <v>77</v>
      </c>
    </row>
    <row r="5277" spans="1:5" x14ac:dyDescent="0.3">
      <c r="A5277" t="s">
        <v>5</v>
      </c>
      <c r="B5277" s="1">
        <v>44706</v>
      </c>
      <c r="C5277">
        <v>1</v>
      </c>
      <c r="D5277">
        <v>145.6</v>
      </c>
      <c r="E5277">
        <v>172</v>
      </c>
    </row>
    <row r="5278" spans="1:5" x14ac:dyDescent="0.3">
      <c r="A5278" t="s">
        <v>46</v>
      </c>
      <c r="B5278" s="1">
        <v>44706</v>
      </c>
      <c r="C5278">
        <v>1</v>
      </c>
      <c r="D5278">
        <v>19.43</v>
      </c>
      <c r="E5278">
        <v>24</v>
      </c>
    </row>
    <row r="5279" spans="1:5" x14ac:dyDescent="0.3">
      <c r="A5279" t="s">
        <v>157</v>
      </c>
      <c r="B5279" s="1">
        <v>44706</v>
      </c>
      <c r="C5279">
        <v>1</v>
      </c>
      <c r="D5279">
        <v>12</v>
      </c>
      <c r="E5279">
        <v>21</v>
      </c>
    </row>
    <row r="5280" spans="1:5" x14ac:dyDescent="0.3">
      <c r="A5280" t="s">
        <v>130</v>
      </c>
      <c r="B5280" s="1">
        <v>44706</v>
      </c>
      <c r="C5280">
        <v>1</v>
      </c>
      <c r="D5280">
        <v>23.6</v>
      </c>
      <c r="E5280">
        <v>29</v>
      </c>
    </row>
    <row r="5281" spans="1:5" x14ac:dyDescent="0.3">
      <c r="A5281" t="s">
        <v>130</v>
      </c>
      <c r="B5281" s="1">
        <v>44706</v>
      </c>
      <c r="C5281">
        <v>1</v>
      </c>
      <c r="D5281">
        <v>23.6</v>
      </c>
      <c r="E5281">
        <v>29</v>
      </c>
    </row>
    <row r="5282" spans="1:5" x14ac:dyDescent="0.3">
      <c r="A5282" t="s">
        <v>130</v>
      </c>
      <c r="B5282" s="1">
        <v>44706</v>
      </c>
      <c r="C5282">
        <v>1</v>
      </c>
      <c r="D5282">
        <v>23.6</v>
      </c>
      <c r="E5282">
        <v>29</v>
      </c>
    </row>
    <row r="5283" spans="1:5" x14ac:dyDescent="0.3">
      <c r="A5283" t="s">
        <v>130</v>
      </c>
      <c r="B5283" s="1">
        <v>44706</v>
      </c>
      <c r="C5283">
        <v>1</v>
      </c>
      <c r="D5283">
        <v>23.6</v>
      </c>
      <c r="E5283">
        <v>29</v>
      </c>
    </row>
    <row r="5284" spans="1:5" x14ac:dyDescent="0.3">
      <c r="A5284" t="s">
        <v>130</v>
      </c>
      <c r="B5284" s="1">
        <v>44706</v>
      </c>
      <c r="C5284">
        <v>1</v>
      </c>
      <c r="D5284">
        <v>23.6</v>
      </c>
      <c r="E5284">
        <v>29</v>
      </c>
    </row>
    <row r="5285" spans="1:5" x14ac:dyDescent="0.3">
      <c r="A5285" t="s">
        <v>130</v>
      </c>
      <c r="B5285" s="1">
        <v>44706</v>
      </c>
      <c r="C5285">
        <v>1</v>
      </c>
      <c r="D5285">
        <v>23.6</v>
      </c>
      <c r="E5285">
        <v>29</v>
      </c>
    </row>
    <row r="5286" spans="1:5" x14ac:dyDescent="0.3">
      <c r="A5286" t="s">
        <v>130</v>
      </c>
      <c r="B5286" s="1">
        <v>44706</v>
      </c>
      <c r="C5286">
        <v>1</v>
      </c>
      <c r="D5286">
        <v>23.12</v>
      </c>
      <c r="E5286">
        <v>29</v>
      </c>
    </row>
    <row r="5287" spans="1:5" x14ac:dyDescent="0.3">
      <c r="A5287" t="s">
        <v>130</v>
      </c>
      <c r="B5287" s="1">
        <v>44706</v>
      </c>
      <c r="C5287">
        <v>1</v>
      </c>
      <c r="D5287">
        <v>23.12</v>
      </c>
      <c r="E5287">
        <v>29</v>
      </c>
    </row>
    <row r="5288" spans="1:5" x14ac:dyDescent="0.3">
      <c r="A5288" t="s">
        <v>58</v>
      </c>
      <c r="B5288" s="1">
        <v>44706</v>
      </c>
      <c r="C5288">
        <v>1</v>
      </c>
      <c r="D5288">
        <v>76.02</v>
      </c>
      <c r="E5288">
        <v>92</v>
      </c>
    </row>
    <row r="5289" spans="1:5" x14ac:dyDescent="0.3">
      <c r="A5289" t="s">
        <v>153</v>
      </c>
      <c r="B5289" s="1">
        <v>44706</v>
      </c>
      <c r="C5289">
        <v>1</v>
      </c>
      <c r="D5289">
        <v>10.34</v>
      </c>
      <c r="E5289">
        <v>12</v>
      </c>
    </row>
    <row r="5290" spans="1:5" x14ac:dyDescent="0.3">
      <c r="A5290" t="s">
        <v>153</v>
      </c>
      <c r="B5290" s="1">
        <v>44706</v>
      </c>
      <c r="C5290">
        <v>1</v>
      </c>
      <c r="D5290">
        <v>10.34</v>
      </c>
      <c r="E5290">
        <v>12</v>
      </c>
    </row>
    <row r="5291" spans="1:5" x14ac:dyDescent="0.3">
      <c r="A5291" t="s">
        <v>153</v>
      </c>
      <c r="B5291" s="1">
        <v>44706</v>
      </c>
      <c r="C5291">
        <v>1</v>
      </c>
      <c r="D5291">
        <v>10.34</v>
      </c>
      <c r="E5291">
        <v>12</v>
      </c>
    </row>
    <row r="5292" spans="1:5" x14ac:dyDescent="0.3">
      <c r="A5292" t="s">
        <v>104</v>
      </c>
      <c r="B5292" s="1">
        <v>44706</v>
      </c>
      <c r="C5292">
        <v>1</v>
      </c>
      <c r="D5292">
        <v>45.55</v>
      </c>
      <c r="E5292">
        <v>57</v>
      </c>
    </row>
    <row r="5293" spans="1:5" x14ac:dyDescent="0.3">
      <c r="A5293" t="s">
        <v>63</v>
      </c>
      <c r="B5293" s="1">
        <v>44706</v>
      </c>
      <c r="C5293">
        <v>1</v>
      </c>
      <c r="D5293">
        <v>71.45</v>
      </c>
      <c r="E5293">
        <v>86</v>
      </c>
    </row>
    <row r="5294" spans="1:5" x14ac:dyDescent="0.3">
      <c r="A5294" t="s">
        <v>63</v>
      </c>
      <c r="B5294" s="1">
        <v>44706</v>
      </c>
      <c r="C5294">
        <v>1</v>
      </c>
      <c r="D5294">
        <v>71.45</v>
      </c>
      <c r="E5294">
        <v>86</v>
      </c>
    </row>
    <row r="5295" spans="1:5" x14ac:dyDescent="0.3">
      <c r="A5295" t="s">
        <v>66</v>
      </c>
      <c r="B5295" s="1">
        <v>44706</v>
      </c>
      <c r="C5295">
        <v>1</v>
      </c>
      <c r="D5295">
        <v>30.56</v>
      </c>
      <c r="E5295">
        <v>36</v>
      </c>
    </row>
    <row r="5296" spans="1:5" x14ac:dyDescent="0.3">
      <c r="A5296" t="s">
        <v>66</v>
      </c>
      <c r="B5296" s="1">
        <v>44706</v>
      </c>
      <c r="C5296">
        <v>1</v>
      </c>
      <c r="D5296">
        <v>30.56</v>
      </c>
      <c r="E5296">
        <v>36</v>
      </c>
    </row>
    <row r="5297" spans="1:5" x14ac:dyDescent="0.3">
      <c r="A5297" t="s">
        <v>66</v>
      </c>
      <c r="B5297" s="1">
        <v>44706</v>
      </c>
      <c r="C5297">
        <v>1</v>
      </c>
      <c r="D5297">
        <v>30.56</v>
      </c>
      <c r="E5297">
        <v>36</v>
      </c>
    </row>
    <row r="5298" spans="1:5" x14ac:dyDescent="0.3">
      <c r="A5298" t="s">
        <v>72</v>
      </c>
      <c r="B5298" s="1">
        <v>44706</v>
      </c>
      <c r="C5298">
        <v>1</v>
      </c>
      <c r="D5298">
        <v>556.51</v>
      </c>
      <c r="E5298">
        <v>735</v>
      </c>
    </row>
    <row r="5299" spans="1:5" x14ac:dyDescent="0.3">
      <c r="A5299" t="s">
        <v>72</v>
      </c>
      <c r="B5299" s="1">
        <v>44706</v>
      </c>
      <c r="C5299">
        <v>1</v>
      </c>
      <c r="D5299">
        <v>556.51</v>
      </c>
      <c r="E5299">
        <v>735</v>
      </c>
    </row>
    <row r="5300" spans="1:5" x14ac:dyDescent="0.3">
      <c r="A5300" t="s">
        <v>24</v>
      </c>
      <c r="B5300" s="1">
        <v>44706</v>
      </c>
      <c r="C5300">
        <v>1</v>
      </c>
      <c r="D5300">
        <v>102.47</v>
      </c>
      <c r="E5300">
        <v>121</v>
      </c>
    </row>
    <row r="5301" spans="1:5" x14ac:dyDescent="0.3">
      <c r="A5301" t="s">
        <v>36</v>
      </c>
      <c r="B5301" s="1">
        <v>44706</v>
      </c>
      <c r="C5301">
        <v>1</v>
      </c>
      <c r="D5301">
        <v>22</v>
      </c>
      <c r="E5301">
        <v>28</v>
      </c>
    </row>
    <row r="5302" spans="1:5" x14ac:dyDescent="0.3">
      <c r="A5302" t="s">
        <v>36</v>
      </c>
      <c r="B5302" s="1">
        <v>44706</v>
      </c>
      <c r="C5302">
        <v>1</v>
      </c>
      <c r="D5302">
        <v>22</v>
      </c>
      <c r="E5302">
        <v>28</v>
      </c>
    </row>
    <row r="5303" spans="1:5" x14ac:dyDescent="0.3">
      <c r="A5303" t="s">
        <v>20</v>
      </c>
      <c r="B5303" s="1">
        <v>44706</v>
      </c>
      <c r="C5303">
        <v>1</v>
      </c>
      <c r="D5303">
        <v>22.66</v>
      </c>
      <c r="E5303">
        <v>30</v>
      </c>
    </row>
    <row r="5304" spans="1:5" x14ac:dyDescent="0.3">
      <c r="A5304" t="s">
        <v>20</v>
      </c>
      <c r="B5304" s="1">
        <v>44706</v>
      </c>
      <c r="C5304">
        <v>1</v>
      </c>
      <c r="D5304">
        <v>22.66</v>
      </c>
      <c r="E5304">
        <v>30</v>
      </c>
    </row>
    <row r="5305" spans="1:5" x14ac:dyDescent="0.3">
      <c r="A5305" t="s">
        <v>37</v>
      </c>
      <c r="B5305" s="1">
        <v>44706</v>
      </c>
      <c r="C5305">
        <v>1</v>
      </c>
      <c r="D5305">
        <v>51.84</v>
      </c>
      <c r="E5305">
        <v>65</v>
      </c>
    </row>
    <row r="5306" spans="1:5" x14ac:dyDescent="0.3">
      <c r="A5306" t="s">
        <v>37</v>
      </c>
      <c r="B5306" s="1">
        <v>44706</v>
      </c>
      <c r="C5306">
        <v>1</v>
      </c>
      <c r="D5306">
        <v>51.84</v>
      </c>
      <c r="E5306">
        <v>65</v>
      </c>
    </row>
    <row r="5307" spans="1:5" x14ac:dyDescent="0.3">
      <c r="A5307" t="s">
        <v>52</v>
      </c>
      <c r="B5307" s="1">
        <v>44706</v>
      </c>
      <c r="C5307">
        <v>1</v>
      </c>
      <c r="D5307">
        <v>202.48</v>
      </c>
      <c r="E5307">
        <v>243</v>
      </c>
    </row>
    <row r="5308" spans="1:5" x14ac:dyDescent="0.3">
      <c r="A5308" t="s">
        <v>45</v>
      </c>
      <c r="B5308" s="1">
        <v>44706</v>
      </c>
      <c r="C5308">
        <v>1</v>
      </c>
      <c r="D5308">
        <v>29.26</v>
      </c>
      <c r="E5308">
        <v>48</v>
      </c>
    </row>
    <row r="5309" spans="1:5" x14ac:dyDescent="0.3">
      <c r="A5309" t="s">
        <v>64</v>
      </c>
      <c r="B5309" s="1">
        <v>44706</v>
      </c>
      <c r="C5309">
        <v>1</v>
      </c>
      <c r="D5309">
        <v>200.39</v>
      </c>
      <c r="E5309">
        <v>265</v>
      </c>
    </row>
    <row r="5310" spans="1:5" x14ac:dyDescent="0.3">
      <c r="A5310" t="s">
        <v>64</v>
      </c>
      <c r="B5310" s="1">
        <v>44706</v>
      </c>
      <c r="C5310">
        <v>1</v>
      </c>
      <c r="D5310">
        <v>200.39</v>
      </c>
      <c r="E5310">
        <v>265</v>
      </c>
    </row>
    <row r="5311" spans="1:5" x14ac:dyDescent="0.3">
      <c r="A5311" t="s">
        <v>65</v>
      </c>
      <c r="B5311" s="1">
        <v>44706</v>
      </c>
      <c r="C5311">
        <v>1</v>
      </c>
      <c r="D5311">
        <v>184.07</v>
      </c>
      <c r="E5311">
        <v>234</v>
      </c>
    </row>
    <row r="5312" spans="1:5" x14ac:dyDescent="0.3">
      <c r="A5312" t="s">
        <v>65</v>
      </c>
      <c r="B5312" s="1">
        <v>44706</v>
      </c>
      <c r="C5312">
        <v>1</v>
      </c>
      <c r="D5312">
        <v>184.45</v>
      </c>
      <c r="E5312">
        <v>216</v>
      </c>
    </row>
    <row r="5313" spans="1:5" x14ac:dyDescent="0.3">
      <c r="A5313" t="s">
        <v>18</v>
      </c>
      <c r="B5313" s="1">
        <v>44706</v>
      </c>
      <c r="C5313">
        <v>1</v>
      </c>
      <c r="D5313">
        <v>46</v>
      </c>
      <c r="E5313">
        <v>70</v>
      </c>
    </row>
    <row r="5314" spans="1:5" x14ac:dyDescent="0.3">
      <c r="A5314" t="s">
        <v>18</v>
      </c>
      <c r="B5314" s="1">
        <v>44706</v>
      </c>
      <c r="C5314">
        <v>1</v>
      </c>
      <c r="D5314">
        <v>46</v>
      </c>
      <c r="E5314">
        <v>70</v>
      </c>
    </row>
    <row r="5315" spans="1:5" x14ac:dyDescent="0.3">
      <c r="A5315" t="s">
        <v>159</v>
      </c>
      <c r="B5315" s="1">
        <v>44706</v>
      </c>
      <c r="C5315">
        <v>1</v>
      </c>
      <c r="D5315">
        <v>50.53</v>
      </c>
      <c r="E5315">
        <v>63</v>
      </c>
    </row>
    <row r="5316" spans="1:5" x14ac:dyDescent="0.3">
      <c r="A5316" t="s">
        <v>99</v>
      </c>
      <c r="B5316" s="1">
        <v>44706</v>
      </c>
      <c r="C5316">
        <v>1</v>
      </c>
      <c r="D5316">
        <v>64.25</v>
      </c>
      <c r="E5316">
        <v>80</v>
      </c>
    </row>
    <row r="5317" spans="1:5" x14ac:dyDescent="0.3">
      <c r="A5317" t="s">
        <v>34</v>
      </c>
      <c r="B5317" s="1">
        <v>44706</v>
      </c>
      <c r="C5317">
        <v>1</v>
      </c>
      <c r="D5317">
        <v>201.2</v>
      </c>
      <c r="E5317">
        <v>232</v>
      </c>
    </row>
    <row r="5318" spans="1:5" x14ac:dyDescent="0.3">
      <c r="A5318" t="s">
        <v>11</v>
      </c>
      <c r="B5318" s="1">
        <v>44706</v>
      </c>
      <c r="C5318">
        <v>1</v>
      </c>
      <c r="D5318">
        <v>24.2</v>
      </c>
      <c r="E5318">
        <v>39</v>
      </c>
    </row>
    <row r="5319" spans="1:5" x14ac:dyDescent="0.3">
      <c r="A5319" t="s">
        <v>19</v>
      </c>
      <c r="B5319" s="1">
        <v>44706</v>
      </c>
      <c r="C5319">
        <v>1</v>
      </c>
      <c r="D5319">
        <v>81.58</v>
      </c>
      <c r="E5319">
        <v>102</v>
      </c>
    </row>
    <row r="5320" spans="1:5" x14ac:dyDescent="0.3">
      <c r="A5320" t="s">
        <v>71</v>
      </c>
      <c r="B5320" s="1">
        <v>44706</v>
      </c>
      <c r="C5320">
        <v>1</v>
      </c>
      <c r="D5320">
        <v>54.1</v>
      </c>
      <c r="E5320">
        <v>77</v>
      </c>
    </row>
    <row r="5321" spans="1:5" x14ac:dyDescent="0.3">
      <c r="A5321" t="s">
        <v>71</v>
      </c>
      <c r="B5321" s="1">
        <v>44706</v>
      </c>
      <c r="C5321">
        <v>1</v>
      </c>
      <c r="D5321">
        <v>54.1</v>
      </c>
      <c r="E5321">
        <v>77</v>
      </c>
    </row>
    <row r="5322" spans="1:5" x14ac:dyDescent="0.3">
      <c r="A5322" t="s">
        <v>34</v>
      </c>
      <c r="B5322" s="1">
        <v>44706</v>
      </c>
      <c r="C5322">
        <v>1</v>
      </c>
      <c r="D5322">
        <v>199.32</v>
      </c>
      <c r="E5322">
        <v>230</v>
      </c>
    </row>
    <row r="5323" spans="1:5" x14ac:dyDescent="0.3">
      <c r="A5323" t="s">
        <v>89</v>
      </c>
      <c r="B5323" s="1">
        <v>44706</v>
      </c>
      <c r="C5323">
        <v>1</v>
      </c>
      <c r="D5323">
        <v>80.62</v>
      </c>
      <c r="E5323">
        <v>115</v>
      </c>
    </row>
    <row r="5324" spans="1:5" x14ac:dyDescent="0.3">
      <c r="A5324" t="s">
        <v>153</v>
      </c>
      <c r="B5324" s="1">
        <v>44706</v>
      </c>
      <c r="C5324">
        <v>1</v>
      </c>
      <c r="D5324">
        <v>9.4600000000000009</v>
      </c>
      <c r="E5324">
        <v>11</v>
      </c>
    </row>
    <row r="5325" spans="1:5" x14ac:dyDescent="0.3">
      <c r="A5325" t="s">
        <v>57</v>
      </c>
      <c r="B5325" s="1">
        <v>44706</v>
      </c>
      <c r="C5325">
        <v>1</v>
      </c>
      <c r="D5325">
        <v>233.74</v>
      </c>
      <c r="E5325">
        <v>274</v>
      </c>
    </row>
    <row r="5326" spans="1:5" x14ac:dyDescent="0.3">
      <c r="A5326" t="s">
        <v>47</v>
      </c>
      <c r="B5326" s="1">
        <v>44706</v>
      </c>
      <c r="C5326">
        <v>1</v>
      </c>
      <c r="D5326">
        <v>43.08</v>
      </c>
      <c r="E5326">
        <v>66</v>
      </c>
    </row>
    <row r="5327" spans="1:5" x14ac:dyDescent="0.3">
      <c r="A5327" t="s">
        <v>46</v>
      </c>
      <c r="B5327" s="1">
        <v>44706</v>
      </c>
      <c r="C5327">
        <v>1</v>
      </c>
      <c r="D5327">
        <v>19.7</v>
      </c>
      <c r="E5327">
        <v>24</v>
      </c>
    </row>
    <row r="5328" spans="1:5" x14ac:dyDescent="0.3">
      <c r="A5328" t="s">
        <v>30</v>
      </c>
      <c r="B5328" s="1">
        <v>44706</v>
      </c>
      <c r="C5328">
        <v>1</v>
      </c>
      <c r="D5328">
        <v>156.19999999999999</v>
      </c>
      <c r="E5328">
        <v>186</v>
      </c>
    </row>
    <row r="5329" spans="1:5" x14ac:dyDescent="0.3">
      <c r="A5329" t="s">
        <v>40</v>
      </c>
      <c r="B5329" s="1">
        <v>44706</v>
      </c>
      <c r="C5329">
        <v>1</v>
      </c>
      <c r="D5329">
        <v>173.86</v>
      </c>
      <c r="E5329">
        <v>212</v>
      </c>
    </row>
    <row r="5330" spans="1:5" x14ac:dyDescent="0.3">
      <c r="A5330" t="s">
        <v>91</v>
      </c>
      <c r="B5330" s="1">
        <v>44706</v>
      </c>
      <c r="C5330">
        <v>1</v>
      </c>
      <c r="D5330">
        <v>35.68</v>
      </c>
      <c r="E5330">
        <v>58</v>
      </c>
    </row>
    <row r="5331" spans="1:5" x14ac:dyDescent="0.3">
      <c r="A5331" t="s">
        <v>77</v>
      </c>
      <c r="B5331" s="1">
        <v>44706</v>
      </c>
      <c r="C5331">
        <v>1</v>
      </c>
      <c r="D5331">
        <v>60.68</v>
      </c>
      <c r="E5331">
        <v>76</v>
      </c>
    </row>
    <row r="5332" spans="1:5" x14ac:dyDescent="0.3">
      <c r="A5332" t="s">
        <v>62</v>
      </c>
      <c r="B5332" s="1">
        <v>44706</v>
      </c>
      <c r="C5332">
        <v>1</v>
      </c>
      <c r="D5332">
        <v>23.82</v>
      </c>
      <c r="E5332">
        <v>29</v>
      </c>
    </row>
    <row r="5333" spans="1:5" x14ac:dyDescent="0.3">
      <c r="A5333" t="s">
        <v>7</v>
      </c>
      <c r="B5333" s="1">
        <v>44706</v>
      </c>
      <c r="C5333">
        <v>1</v>
      </c>
      <c r="D5333">
        <v>88.43</v>
      </c>
      <c r="E5333">
        <v>106</v>
      </c>
    </row>
    <row r="5334" spans="1:5" x14ac:dyDescent="0.3">
      <c r="A5334" t="s">
        <v>93</v>
      </c>
      <c r="B5334" s="1">
        <v>44706</v>
      </c>
      <c r="C5334">
        <v>1</v>
      </c>
      <c r="D5334">
        <v>71.040000000000006</v>
      </c>
      <c r="E5334">
        <v>101</v>
      </c>
    </row>
    <row r="5335" spans="1:5" x14ac:dyDescent="0.3">
      <c r="A5335" t="s">
        <v>153</v>
      </c>
      <c r="B5335" s="1">
        <v>44706</v>
      </c>
      <c r="C5335">
        <v>1</v>
      </c>
      <c r="D5335">
        <v>10.34</v>
      </c>
      <c r="E5335">
        <v>12</v>
      </c>
    </row>
    <row r="5336" spans="1:5" x14ac:dyDescent="0.3">
      <c r="A5336" t="s">
        <v>72</v>
      </c>
      <c r="B5336" s="1">
        <v>44706</v>
      </c>
      <c r="C5336">
        <v>1</v>
      </c>
      <c r="D5336">
        <v>556.51</v>
      </c>
      <c r="E5336">
        <v>735</v>
      </c>
    </row>
    <row r="5337" spans="1:5" x14ac:dyDescent="0.3">
      <c r="A5337" t="s">
        <v>119</v>
      </c>
      <c r="B5337" s="1">
        <v>44706</v>
      </c>
      <c r="C5337">
        <v>3.5714299999999997E-2</v>
      </c>
      <c r="D5337">
        <v>628.24</v>
      </c>
      <c r="E5337">
        <v>694</v>
      </c>
    </row>
    <row r="5338" spans="1:5" x14ac:dyDescent="0.3">
      <c r="A5338" t="s">
        <v>7</v>
      </c>
      <c r="B5338" s="1">
        <v>44706</v>
      </c>
      <c r="C5338">
        <v>1</v>
      </c>
      <c r="D5338">
        <v>89.27</v>
      </c>
      <c r="E5338">
        <v>105</v>
      </c>
    </row>
    <row r="5339" spans="1:5" x14ac:dyDescent="0.3">
      <c r="A5339" t="s">
        <v>96</v>
      </c>
      <c r="B5339" s="1">
        <v>44706</v>
      </c>
      <c r="C5339">
        <v>1</v>
      </c>
      <c r="D5339">
        <v>71.650000000000006</v>
      </c>
      <c r="E5339">
        <v>102</v>
      </c>
    </row>
    <row r="5340" spans="1:5" x14ac:dyDescent="0.3">
      <c r="A5340" t="s">
        <v>5</v>
      </c>
      <c r="B5340" s="1">
        <v>44706</v>
      </c>
      <c r="C5340">
        <v>1</v>
      </c>
      <c r="D5340">
        <v>146.1</v>
      </c>
      <c r="E5340">
        <v>173</v>
      </c>
    </row>
    <row r="5341" spans="1:5" x14ac:dyDescent="0.3">
      <c r="A5341" t="s">
        <v>100</v>
      </c>
      <c r="B5341" s="1">
        <v>44706</v>
      </c>
      <c r="C5341">
        <v>1</v>
      </c>
      <c r="D5341">
        <v>37.479999999999997</v>
      </c>
      <c r="E5341">
        <v>57</v>
      </c>
    </row>
    <row r="5342" spans="1:5" x14ac:dyDescent="0.3">
      <c r="A5342" t="s">
        <v>134</v>
      </c>
      <c r="B5342" s="1">
        <v>44706</v>
      </c>
      <c r="C5342">
        <v>1</v>
      </c>
      <c r="D5342">
        <v>35.200000000000003</v>
      </c>
      <c r="E5342">
        <v>54</v>
      </c>
    </row>
    <row r="5343" spans="1:5" x14ac:dyDescent="0.3">
      <c r="A5343" t="s">
        <v>22</v>
      </c>
      <c r="B5343" s="1">
        <v>44706</v>
      </c>
      <c r="C5343">
        <v>1</v>
      </c>
      <c r="D5343">
        <v>30.3</v>
      </c>
      <c r="E5343">
        <v>49</v>
      </c>
    </row>
    <row r="5344" spans="1:5" x14ac:dyDescent="0.3">
      <c r="A5344" t="s">
        <v>113</v>
      </c>
      <c r="B5344" s="1">
        <v>44706</v>
      </c>
      <c r="C5344">
        <v>1</v>
      </c>
      <c r="D5344">
        <v>160.82</v>
      </c>
      <c r="E5344">
        <v>221</v>
      </c>
    </row>
    <row r="5345" spans="1:5" x14ac:dyDescent="0.3">
      <c r="A5345" t="s">
        <v>75</v>
      </c>
      <c r="B5345" s="1">
        <v>44706</v>
      </c>
      <c r="C5345">
        <v>0.04</v>
      </c>
      <c r="D5345">
        <v>466.1</v>
      </c>
      <c r="E5345">
        <v>709</v>
      </c>
    </row>
    <row r="5346" spans="1:5" x14ac:dyDescent="0.3">
      <c r="A5346" t="s">
        <v>40</v>
      </c>
      <c r="B5346" s="1">
        <v>44706</v>
      </c>
      <c r="C5346">
        <v>1</v>
      </c>
      <c r="D5346">
        <v>173.61</v>
      </c>
      <c r="E5346">
        <v>208</v>
      </c>
    </row>
    <row r="5347" spans="1:5" x14ac:dyDescent="0.3">
      <c r="A5347" t="s">
        <v>112</v>
      </c>
      <c r="B5347" s="1">
        <v>44706</v>
      </c>
      <c r="C5347">
        <v>1</v>
      </c>
      <c r="D5347">
        <v>291.01</v>
      </c>
      <c r="E5347">
        <v>309</v>
      </c>
    </row>
    <row r="5348" spans="1:5" x14ac:dyDescent="0.3">
      <c r="A5348" t="s">
        <v>19</v>
      </c>
      <c r="B5348" s="1">
        <v>44706</v>
      </c>
      <c r="C5348">
        <v>1</v>
      </c>
      <c r="D5348">
        <v>82.34</v>
      </c>
      <c r="E5348">
        <v>103</v>
      </c>
    </row>
    <row r="5349" spans="1:5" x14ac:dyDescent="0.3">
      <c r="A5349" t="s">
        <v>23</v>
      </c>
      <c r="B5349" s="1">
        <v>44706</v>
      </c>
      <c r="C5349">
        <v>1</v>
      </c>
      <c r="D5349">
        <v>109.41</v>
      </c>
      <c r="E5349">
        <v>123</v>
      </c>
    </row>
    <row r="5350" spans="1:5" x14ac:dyDescent="0.3">
      <c r="A5350" t="s">
        <v>28</v>
      </c>
      <c r="B5350" s="1">
        <v>44706</v>
      </c>
      <c r="C5350">
        <v>1</v>
      </c>
      <c r="D5350">
        <v>148.83000000000001</v>
      </c>
      <c r="E5350">
        <v>207</v>
      </c>
    </row>
    <row r="5351" spans="1:5" x14ac:dyDescent="0.3">
      <c r="A5351" t="s">
        <v>95</v>
      </c>
      <c r="B5351" s="1">
        <v>44706</v>
      </c>
      <c r="C5351">
        <v>1</v>
      </c>
      <c r="D5351">
        <v>129.69</v>
      </c>
      <c r="E5351">
        <v>204</v>
      </c>
    </row>
    <row r="5352" spans="1:5" x14ac:dyDescent="0.3">
      <c r="A5352" t="s">
        <v>118</v>
      </c>
      <c r="B5352" s="1">
        <v>44706</v>
      </c>
      <c r="C5352">
        <v>1</v>
      </c>
      <c r="D5352">
        <v>10.66</v>
      </c>
      <c r="E5352">
        <v>13</v>
      </c>
    </row>
    <row r="5353" spans="1:5" x14ac:dyDescent="0.3">
      <c r="A5353" t="s">
        <v>118</v>
      </c>
      <c r="B5353" s="1">
        <v>44706</v>
      </c>
      <c r="C5353">
        <v>1</v>
      </c>
      <c r="D5353">
        <v>10.66</v>
      </c>
      <c r="E5353">
        <v>13</v>
      </c>
    </row>
    <row r="5354" spans="1:5" x14ac:dyDescent="0.3">
      <c r="A5354" t="s">
        <v>5</v>
      </c>
      <c r="B5354" s="1">
        <v>44706</v>
      </c>
      <c r="C5354">
        <v>1</v>
      </c>
      <c r="D5354">
        <v>145.6</v>
      </c>
      <c r="E5354">
        <v>169</v>
      </c>
    </row>
    <row r="5355" spans="1:5" x14ac:dyDescent="0.3">
      <c r="A5355" t="s">
        <v>12</v>
      </c>
      <c r="B5355" s="1">
        <v>44706</v>
      </c>
      <c r="C5355">
        <v>1</v>
      </c>
      <c r="D5355">
        <v>56.08</v>
      </c>
      <c r="E5355">
        <v>70</v>
      </c>
    </row>
    <row r="5356" spans="1:5" x14ac:dyDescent="0.3">
      <c r="A5356" t="s">
        <v>120</v>
      </c>
      <c r="B5356" s="1">
        <v>44706</v>
      </c>
      <c r="C5356">
        <v>1</v>
      </c>
      <c r="D5356">
        <v>132.07</v>
      </c>
      <c r="E5356">
        <v>192</v>
      </c>
    </row>
    <row r="5357" spans="1:5" x14ac:dyDescent="0.3">
      <c r="A5357" t="s">
        <v>24</v>
      </c>
      <c r="B5357" s="1">
        <v>44706</v>
      </c>
      <c r="C5357">
        <v>1</v>
      </c>
      <c r="D5357">
        <v>107.3</v>
      </c>
      <c r="E5357">
        <v>126</v>
      </c>
    </row>
    <row r="5358" spans="1:5" x14ac:dyDescent="0.3">
      <c r="A5358" t="s">
        <v>99</v>
      </c>
      <c r="B5358" s="1">
        <v>44706</v>
      </c>
      <c r="C5358">
        <v>1</v>
      </c>
      <c r="D5358">
        <v>65.52</v>
      </c>
      <c r="E5358">
        <v>77</v>
      </c>
    </row>
    <row r="5359" spans="1:5" x14ac:dyDescent="0.3">
      <c r="A5359" t="s">
        <v>76</v>
      </c>
      <c r="B5359" s="1">
        <v>44706</v>
      </c>
      <c r="C5359">
        <v>1</v>
      </c>
      <c r="D5359">
        <v>30.9</v>
      </c>
      <c r="E5359">
        <v>39</v>
      </c>
    </row>
    <row r="5360" spans="1:5" x14ac:dyDescent="0.3">
      <c r="A5360" t="s">
        <v>76</v>
      </c>
      <c r="B5360" s="1">
        <v>44706</v>
      </c>
      <c r="C5360">
        <v>1</v>
      </c>
      <c r="D5360">
        <v>30.9</v>
      </c>
      <c r="E5360">
        <v>39</v>
      </c>
    </row>
    <row r="5361" spans="1:5" x14ac:dyDescent="0.3">
      <c r="A5361" t="s">
        <v>76</v>
      </c>
      <c r="B5361" s="1">
        <v>44706</v>
      </c>
      <c r="C5361">
        <v>1</v>
      </c>
      <c r="D5361">
        <v>30.9</v>
      </c>
      <c r="E5361">
        <v>39</v>
      </c>
    </row>
    <row r="5362" spans="1:5" x14ac:dyDescent="0.3">
      <c r="A5362" t="s">
        <v>76</v>
      </c>
      <c r="B5362" s="1">
        <v>44706</v>
      </c>
      <c r="C5362">
        <v>1</v>
      </c>
      <c r="D5362">
        <v>30.9</v>
      </c>
      <c r="E5362">
        <v>39</v>
      </c>
    </row>
    <row r="5363" spans="1:5" x14ac:dyDescent="0.3">
      <c r="A5363" t="s">
        <v>39</v>
      </c>
      <c r="B5363" s="1">
        <v>44706</v>
      </c>
      <c r="C5363">
        <v>3</v>
      </c>
      <c r="D5363">
        <v>11.38</v>
      </c>
      <c r="E5363">
        <v>19</v>
      </c>
    </row>
    <row r="5364" spans="1:5" x14ac:dyDescent="0.3">
      <c r="A5364" t="s">
        <v>95</v>
      </c>
      <c r="B5364" s="1">
        <v>44706</v>
      </c>
      <c r="C5364">
        <v>0.1</v>
      </c>
      <c r="D5364">
        <v>129.69</v>
      </c>
      <c r="E5364">
        <v>204</v>
      </c>
    </row>
    <row r="5365" spans="1:5" x14ac:dyDescent="0.3">
      <c r="A5365" t="s">
        <v>141</v>
      </c>
      <c r="B5365" s="1">
        <v>44706</v>
      </c>
      <c r="C5365">
        <v>1</v>
      </c>
      <c r="D5365">
        <v>12.2</v>
      </c>
      <c r="E5365">
        <v>21</v>
      </c>
    </row>
    <row r="5366" spans="1:5" x14ac:dyDescent="0.3">
      <c r="A5366" t="s">
        <v>99</v>
      </c>
      <c r="B5366" s="1">
        <v>44706</v>
      </c>
      <c r="C5366">
        <v>1</v>
      </c>
      <c r="D5366">
        <v>64.25</v>
      </c>
      <c r="E5366">
        <v>79</v>
      </c>
    </row>
    <row r="5367" spans="1:5" x14ac:dyDescent="0.3">
      <c r="A5367" t="s">
        <v>79</v>
      </c>
      <c r="B5367" s="1">
        <v>44706</v>
      </c>
      <c r="C5367">
        <v>1</v>
      </c>
      <c r="D5367">
        <v>148.5</v>
      </c>
      <c r="E5367">
        <v>177</v>
      </c>
    </row>
    <row r="5368" spans="1:5" x14ac:dyDescent="0.3">
      <c r="A5368" t="s">
        <v>67</v>
      </c>
      <c r="B5368" s="1">
        <v>44706</v>
      </c>
      <c r="C5368">
        <v>1</v>
      </c>
      <c r="D5368">
        <v>55.04</v>
      </c>
      <c r="E5368">
        <v>80</v>
      </c>
    </row>
    <row r="5369" spans="1:5" x14ac:dyDescent="0.3">
      <c r="A5369" t="s">
        <v>67</v>
      </c>
      <c r="B5369" s="1">
        <v>44706</v>
      </c>
      <c r="C5369">
        <v>1</v>
      </c>
      <c r="D5369">
        <v>55.04</v>
      </c>
      <c r="E5369">
        <v>80</v>
      </c>
    </row>
    <row r="5370" spans="1:5" x14ac:dyDescent="0.3">
      <c r="A5370" t="s">
        <v>12</v>
      </c>
      <c r="B5370" s="1">
        <v>44706</v>
      </c>
      <c r="C5370">
        <v>1</v>
      </c>
      <c r="D5370">
        <v>56.84</v>
      </c>
      <c r="E5370">
        <v>70</v>
      </c>
    </row>
    <row r="5371" spans="1:5" x14ac:dyDescent="0.3">
      <c r="A5371" t="s">
        <v>23</v>
      </c>
      <c r="B5371" s="1">
        <v>44706</v>
      </c>
      <c r="C5371">
        <v>1</v>
      </c>
      <c r="D5371">
        <v>109.41</v>
      </c>
      <c r="E5371">
        <v>123</v>
      </c>
    </row>
    <row r="5372" spans="1:5" x14ac:dyDescent="0.3">
      <c r="A5372" t="s">
        <v>79</v>
      </c>
      <c r="B5372" s="1">
        <v>44706</v>
      </c>
      <c r="C5372">
        <v>1</v>
      </c>
      <c r="D5372">
        <v>152.93</v>
      </c>
      <c r="E5372">
        <v>181</v>
      </c>
    </row>
    <row r="5373" spans="1:5" x14ac:dyDescent="0.3">
      <c r="A5373" t="s">
        <v>7</v>
      </c>
      <c r="B5373" s="1">
        <v>44706</v>
      </c>
      <c r="C5373">
        <v>1</v>
      </c>
      <c r="D5373">
        <v>88.43</v>
      </c>
      <c r="E5373">
        <v>106</v>
      </c>
    </row>
    <row r="5374" spans="1:5" x14ac:dyDescent="0.3">
      <c r="A5374" t="s">
        <v>110</v>
      </c>
      <c r="B5374" s="1">
        <v>44706</v>
      </c>
      <c r="C5374">
        <v>1</v>
      </c>
      <c r="D5374">
        <v>232.26</v>
      </c>
      <c r="E5374">
        <v>326</v>
      </c>
    </row>
    <row r="5375" spans="1:5" x14ac:dyDescent="0.3">
      <c r="A5375" t="s">
        <v>58</v>
      </c>
      <c r="B5375" s="1">
        <v>44706</v>
      </c>
      <c r="C5375">
        <v>1</v>
      </c>
      <c r="D5375">
        <v>76.739999999999995</v>
      </c>
      <c r="E5375">
        <v>93</v>
      </c>
    </row>
    <row r="5376" spans="1:5" x14ac:dyDescent="0.3">
      <c r="A5376" t="s">
        <v>58</v>
      </c>
      <c r="B5376" s="1">
        <v>44706</v>
      </c>
      <c r="C5376">
        <v>1</v>
      </c>
      <c r="D5376">
        <v>76.739999999999995</v>
      </c>
      <c r="E5376">
        <v>93</v>
      </c>
    </row>
    <row r="5377" spans="1:5" x14ac:dyDescent="0.3">
      <c r="A5377" t="s">
        <v>79</v>
      </c>
      <c r="B5377" s="1">
        <v>44706</v>
      </c>
      <c r="C5377">
        <v>1</v>
      </c>
      <c r="D5377">
        <v>148.5</v>
      </c>
      <c r="E5377">
        <v>180</v>
      </c>
    </row>
    <row r="5378" spans="1:5" x14ac:dyDescent="0.3">
      <c r="A5378" t="s">
        <v>45</v>
      </c>
      <c r="B5378" s="1">
        <v>44706</v>
      </c>
      <c r="C5378">
        <v>1</v>
      </c>
      <c r="D5378">
        <v>28.85</v>
      </c>
      <c r="E5378">
        <v>47</v>
      </c>
    </row>
    <row r="5379" spans="1:5" x14ac:dyDescent="0.3">
      <c r="A5379" t="s">
        <v>95</v>
      </c>
      <c r="B5379" s="1">
        <v>44706</v>
      </c>
      <c r="C5379">
        <v>0.3</v>
      </c>
      <c r="D5379">
        <v>129.4</v>
      </c>
      <c r="E5379">
        <v>197</v>
      </c>
    </row>
    <row r="5380" spans="1:5" x14ac:dyDescent="0.3">
      <c r="A5380" t="s">
        <v>146</v>
      </c>
      <c r="B5380" s="1">
        <v>44706</v>
      </c>
      <c r="C5380">
        <v>1</v>
      </c>
      <c r="D5380">
        <v>402.29</v>
      </c>
      <c r="E5380">
        <v>451</v>
      </c>
    </row>
    <row r="5381" spans="1:5" x14ac:dyDescent="0.3">
      <c r="A5381" t="s">
        <v>107</v>
      </c>
      <c r="B5381" s="1">
        <v>44706</v>
      </c>
      <c r="C5381">
        <v>1</v>
      </c>
      <c r="D5381">
        <v>71</v>
      </c>
      <c r="E5381">
        <v>88</v>
      </c>
    </row>
    <row r="5382" spans="1:5" x14ac:dyDescent="0.3">
      <c r="A5382" t="s">
        <v>23</v>
      </c>
      <c r="B5382" s="1">
        <v>44706</v>
      </c>
      <c r="C5382">
        <v>1</v>
      </c>
      <c r="D5382">
        <v>109.41</v>
      </c>
      <c r="E5382">
        <v>123</v>
      </c>
    </row>
    <row r="5383" spans="1:5" x14ac:dyDescent="0.3">
      <c r="A5383" t="s">
        <v>23</v>
      </c>
      <c r="B5383" s="1">
        <v>44706</v>
      </c>
      <c r="C5383">
        <v>1</v>
      </c>
      <c r="D5383">
        <v>109.41</v>
      </c>
      <c r="E5383">
        <v>123</v>
      </c>
    </row>
    <row r="5384" spans="1:5" x14ac:dyDescent="0.3">
      <c r="A5384" t="s">
        <v>15</v>
      </c>
      <c r="B5384" s="1">
        <v>44706</v>
      </c>
      <c r="C5384">
        <v>1</v>
      </c>
      <c r="D5384">
        <v>55.5</v>
      </c>
      <c r="E5384">
        <v>87</v>
      </c>
    </row>
    <row r="5385" spans="1:5" x14ac:dyDescent="0.3">
      <c r="A5385" t="s">
        <v>136</v>
      </c>
      <c r="B5385" s="1">
        <v>44706</v>
      </c>
      <c r="C5385">
        <v>1</v>
      </c>
      <c r="D5385">
        <v>286.11</v>
      </c>
      <c r="E5385">
        <v>401</v>
      </c>
    </row>
    <row r="5386" spans="1:5" x14ac:dyDescent="0.3">
      <c r="A5386" t="s">
        <v>56</v>
      </c>
      <c r="B5386" s="1">
        <v>44706</v>
      </c>
      <c r="C5386">
        <v>1</v>
      </c>
      <c r="D5386">
        <v>43.97</v>
      </c>
      <c r="E5386">
        <v>70</v>
      </c>
    </row>
    <row r="5387" spans="1:5" x14ac:dyDescent="0.3">
      <c r="A5387" t="s">
        <v>117</v>
      </c>
      <c r="B5387" s="1">
        <v>44706</v>
      </c>
      <c r="C5387">
        <v>1</v>
      </c>
      <c r="D5387">
        <v>23.14</v>
      </c>
      <c r="E5387">
        <v>28</v>
      </c>
    </row>
    <row r="5388" spans="1:5" x14ac:dyDescent="0.3">
      <c r="A5388" t="s">
        <v>117</v>
      </c>
      <c r="B5388" s="1">
        <v>44706</v>
      </c>
      <c r="C5388">
        <v>1</v>
      </c>
      <c r="D5388">
        <v>23.14</v>
      </c>
      <c r="E5388">
        <v>28</v>
      </c>
    </row>
    <row r="5389" spans="1:5" x14ac:dyDescent="0.3">
      <c r="A5389" t="s">
        <v>47</v>
      </c>
      <c r="B5389" s="1">
        <v>44706</v>
      </c>
      <c r="C5389">
        <v>1</v>
      </c>
      <c r="D5389">
        <v>42.85</v>
      </c>
      <c r="E5389">
        <v>67</v>
      </c>
    </row>
    <row r="5390" spans="1:5" x14ac:dyDescent="0.3">
      <c r="A5390" t="s">
        <v>35</v>
      </c>
      <c r="B5390" s="1">
        <v>44706</v>
      </c>
      <c r="C5390">
        <v>1</v>
      </c>
      <c r="D5390">
        <v>33.11</v>
      </c>
      <c r="E5390">
        <v>51</v>
      </c>
    </row>
    <row r="5391" spans="1:5" x14ac:dyDescent="0.3">
      <c r="A5391" t="s">
        <v>6</v>
      </c>
      <c r="B5391" s="1">
        <v>44706</v>
      </c>
      <c r="C5391">
        <v>0.2</v>
      </c>
      <c r="D5391">
        <v>433.76</v>
      </c>
      <c r="E5391">
        <v>543</v>
      </c>
    </row>
    <row r="5392" spans="1:5" x14ac:dyDescent="0.3">
      <c r="A5392" t="s">
        <v>5</v>
      </c>
      <c r="B5392" s="1">
        <v>44706</v>
      </c>
      <c r="C5392">
        <v>1</v>
      </c>
      <c r="D5392">
        <v>145.6</v>
      </c>
      <c r="E5392">
        <v>172</v>
      </c>
    </row>
    <row r="5393" spans="1:5" x14ac:dyDescent="0.3">
      <c r="A5393" t="s">
        <v>30</v>
      </c>
      <c r="B5393" s="1">
        <v>44706</v>
      </c>
      <c r="C5393">
        <v>1</v>
      </c>
      <c r="D5393">
        <v>156.19999999999999</v>
      </c>
      <c r="E5393">
        <v>186</v>
      </c>
    </row>
    <row r="5394" spans="1:5" x14ac:dyDescent="0.3">
      <c r="A5394" t="s">
        <v>85</v>
      </c>
      <c r="B5394" s="1">
        <v>44706</v>
      </c>
      <c r="C5394">
        <v>1</v>
      </c>
      <c r="D5394">
        <v>18.010000000000002</v>
      </c>
      <c r="E5394">
        <v>28</v>
      </c>
    </row>
    <row r="5395" spans="1:5" x14ac:dyDescent="0.3">
      <c r="A5395" t="s">
        <v>85</v>
      </c>
      <c r="B5395" s="1">
        <v>44706</v>
      </c>
      <c r="C5395">
        <v>1</v>
      </c>
      <c r="D5395">
        <v>18.010000000000002</v>
      </c>
      <c r="E5395">
        <v>28</v>
      </c>
    </row>
    <row r="5396" spans="1:5" x14ac:dyDescent="0.3">
      <c r="A5396" t="s">
        <v>85</v>
      </c>
      <c r="B5396" s="1">
        <v>44706</v>
      </c>
      <c r="C5396">
        <v>1</v>
      </c>
      <c r="D5396">
        <v>18.010000000000002</v>
      </c>
      <c r="E5396">
        <v>28</v>
      </c>
    </row>
    <row r="5397" spans="1:5" x14ac:dyDescent="0.3">
      <c r="A5397" t="s">
        <v>117</v>
      </c>
      <c r="B5397" s="1">
        <v>44706</v>
      </c>
      <c r="C5397">
        <v>1</v>
      </c>
      <c r="D5397">
        <v>23.14</v>
      </c>
      <c r="E5397">
        <v>28</v>
      </c>
    </row>
    <row r="5398" spans="1:5" x14ac:dyDescent="0.3">
      <c r="A5398" t="s">
        <v>117</v>
      </c>
      <c r="B5398" s="1">
        <v>44706</v>
      </c>
      <c r="C5398">
        <v>1</v>
      </c>
      <c r="D5398">
        <v>23.14</v>
      </c>
      <c r="E5398">
        <v>28</v>
      </c>
    </row>
    <row r="5399" spans="1:5" x14ac:dyDescent="0.3">
      <c r="A5399" t="s">
        <v>117</v>
      </c>
      <c r="B5399" s="1">
        <v>44706</v>
      </c>
      <c r="C5399">
        <v>1</v>
      </c>
      <c r="D5399">
        <v>23.14</v>
      </c>
      <c r="E5399">
        <v>28</v>
      </c>
    </row>
    <row r="5400" spans="1:5" x14ac:dyDescent="0.3">
      <c r="A5400" t="s">
        <v>7</v>
      </c>
      <c r="B5400" s="1">
        <v>44706</v>
      </c>
      <c r="C5400">
        <v>1</v>
      </c>
      <c r="D5400">
        <v>89.27</v>
      </c>
      <c r="E5400">
        <v>111</v>
      </c>
    </row>
    <row r="5401" spans="1:5" x14ac:dyDescent="0.3">
      <c r="A5401" t="s">
        <v>69</v>
      </c>
      <c r="B5401" s="1">
        <v>44706</v>
      </c>
      <c r="C5401">
        <v>1</v>
      </c>
      <c r="D5401">
        <v>19.989999999999998</v>
      </c>
      <c r="E5401">
        <v>24</v>
      </c>
    </row>
    <row r="5402" spans="1:5" x14ac:dyDescent="0.3">
      <c r="A5402" t="s">
        <v>69</v>
      </c>
      <c r="B5402" s="1">
        <v>44706</v>
      </c>
      <c r="C5402">
        <v>1</v>
      </c>
      <c r="D5402">
        <v>19.989999999999998</v>
      </c>
      <c r="E5402">
        <v>24</v>
      </c>
    </row>
    <row r="5403" spans="1:5" x14ac:dyDescent="0.3">
      <c r="A5403" t="s">
        <v>105</v>
      </c>
      <c r="B5403" s="1">
        <v>44706</v>
      </c>
      <c r="C5403">
        <v>4</v>
      </c>
      <c r="D5403">
        <v>27.72</v>
      </c>
      <c r="E5403">
        <v>45</v>
      </c>
    </row>
    <row r="5404" spans="1:5" x14ac:dyDescent="0.3">
      <c r="A5404" t="s">
        <v>99</v>
      </c>
      <c r="B5404" s="1">
        <v>44706</v>
      </c>
      <c r="C5404">
        <v>1</v>
      </c>
      <c r="D5404">
        <v>64.25</v>
      </c>
      <c r="E5404">
        <v>77</v>
      </c>
    </row>
    <row r="5405" spans="1:5" x14ac:dyDescent="0.3">
      <c r="A5405" t="s">
        <v>24</v>
      </c>
      <c r="B5405" s="1">
        <v>44706</v>
      </c>
      <c r="C5405">
        <v>1</v>
      </c>
      <c r="D5405">
        <v>96.14</v>
      </c>
      <c r="E5405">
        <v>118</v>
      </c>
    </row>
    <row r="5406" spans="1:5" x14ac:dyDescent="0.3">
      <c r="A5406" t="s">
        <v>134</v>
      </c>
      <c r="B5406" s="1">
        <v>44706</v>
      </c>
      <c r="C5406">
        <v>1</v>
      </c>
      <c r="D5406">
        <v>26.86</v>
      </c>
      <c r="E5406">
        <v>43</v>
      </c>
    </row>
    <row r="5407" spans="1:5" x14ac:dyDescent="0.3">
      <c r="A5407" t="s">
        <v>134</v>
      </c>
      <c r="B5407" s="1">
        <v>44706</v>
      </c>
      <c r="C5407">
        <v>1</v>
      </c>
      <c r="D5407">
        <v>27.28</v>
      </c>
      <c r="E5407">
        <v>43</v>
      </c>
    </row>
    <row r="5408" spans="1:5" x14ac:dyDescent="0.3">
      <c r="A5408" t="s">
        <v>32</v>
      </c>
      <c r="B5408" s="1">
        <v>44706</v>
      </c>
      <c r="C5408">
        <v>1</v>
      </c>
      <c r="D5408">
        <v>105</v>
      </c>
      <c r="E5408">
        <v>165</v>
      </c>
    </row>
    <row r="5409" spans="1:5" x14ac:dyDescent="0.3">
      <c r="A5409" t="s">
        <v>26</v>
      </c>
      <c r="B5409" s="1">
        <v>44706</v>
      </c>
      <c r="C5409">
        <v>0.1</v>
      </c>
      <c r="D5409">
        <v>984.79</v>
      </c>
      <c r="E5409">
        <v>1350</v>
      </c>
    </row>
    <row r="5410" spans="1:5" x14ac:dyDescent="0.3">
      <c r="A5410" t="s">
        <v>15</v>
      </c>
      <c r="B5410" s="1">
        <v>44706</v>
      </c>
      <c r="C5410">
        <v>1</v>
      </c>
      <c r="D5410">
        <v>55.5</v>
      </c>
      <c r="E5410">
        <v>89</v>
      </c>
    </row>
    <row r="5411" spans="1:5" x14ac:dyDescent="0.3">
      <c r="A5411" t="s">
        <v>14</v>
      </c>
      <c r="B5411" s="1">
        <v>44706</v>
      </c>
      <c r="C5411">
        <v>0.3</v>
      </c>
      <c r="D5411">
        <v>466.1</v>
      </c>
      <c r="E5411">
        <v>644</v>
      </c>
    </row>
    <row r="5412" spans="1:5" x14ac:dyDescent="0.3">
      <c r="A5412" t="s">
        <v>26</v>
      </c>
      <c r="B5412" s="1">
        <v>44706</v>
      </c>
      <c r="C5412">
        <v>0.4</v>
      </c>
      <c r="D5412">
        <v>984.79</v>
      </c>
      <c r="E5412">
        <v>1271</v>
      </c>
    </row>
    <row r="5413" spans="1:5" x14ac:dyDescent="0.3">
      <c r="A5413" t="s">
        <v>36</v>
      </c>
      <c r="B5413" s="1">
        <v>44706</v>
      </c>
      <c r="C5413">
        <v>1</v>
      </c>
      <c r="D5413">
        <v>22.03</v>
      </c>
      <c r="E5413">
        <v>28</v>
      </c>
    </row>
    <row r="5414" spans="1:5" x14ac:dyDescent="0.3">
      <c r="A5414" t="s">
        <v>5</v>
      </c>
      <c r="B5414" s="1">
        <v>44706</v>
      </c>
      <c r="C5414">
        <v>1</v>
      </c>
      <c r="D5414">
        <v>130.75</v>
      </c>
      <c r="E5414">
        <v>157</v>
      </c>
    </row>
    <row r="5415" spans="1:5" x14ac:dyDescent="0.3">
      <c r="A5415" t="s">
        <v>42</v>
      </c>
      <c r="B5415" s="1">
        <v>44706</v>
      </c>
      <c r="C5415">
        <v>1</v>
      </c>
      <c r="D5415">
        <v>559.34</v>
      </c>
      <c r="E5415">
        <v>644</v>
      </c>
    </row>
    <row r="5416" spans="1:5" x14ac:dyDescent="0.3">
      <c r="A5416" t="s">
        <v>98</v>
      </c>
      <c r="B5416" s="1">
        <v>44706</v>
      </c>
      <c r="C5416">
        <v>1</v>
      </c>
      <c r="D5416">
        <v>111.32</v>
      </c>
      <c r="E5416">
        <v>134</v>
      </c>
    </row>
    <row r="5417" spans="1:5" x14ac:dyDescent="0.3">
      <c r="A5417" t="s">
        <v>110</v>
      </c>
      <c r="B5417" s="1">
        <v>44706</v>
      </c>
      <c r="C5417">
        <v>1</v>
      </c>
      <c r="D5417">
        <v>232.26</v>
      </c>
      <c r="E5417">
        <v>321</v>
      </c>
    </row>
    <row r="5418" spans="1:5" x14ac:dyDescent="0.3">
      <c r="A5418" t="s">
        <v>25</v>
      </c>
      <c r="B5418" s="1">
        <v>44706</v>
      </c>
      <c r="C5418">
        <v>1</v>
      </c>
      <c r="D5418">
        <v>147.4</v>
      </c>
      <c r="E5418">
        <v>177</v>
      </c>
    </row>
    <row r="5419" spans="1:5" x14ac:dyDescent="0.3">
      <c r="A5419" t="s">
        <v>107</v>
      </c>
      <c r="B5419" s="1">
        <v>44706</v>
      </c>
      <c r="C5419">
        <v>1</v>
      </c>
      <c r="D5419">
        <v>71.010000000000005</v>
      </c>
      <c r="E5419">
        <v>88</v>
      </c>
    </row>
    <row r="5420" spans="1:5" x14ac:dyDescent="0.3">
      <c r="A5420" t="s">
        <v>22</v>
      </c>
      <c r="B5420" s="1">
        <v>44706</v>
      </c>
      <c r="C5420">
        <v>1</v>
      </c>
      <c r="D5420">
        <v>30.3</v>
      </c>
      <c r="E5420">
        <v>49</v>
      </c>
    </row>
    <row r="5421" spans="1:5" x14ac:dyDescent="0.3">
      <c r="A5421" t="s">
        <v>7</v>
      </c>
      <c r="B5421" s="1">
        <v>44706</v>
      </c>
      <c r="C5421">
        <v>1</v>
      </c>
      <c r="D5421">
        <v>88.43</v>
      </c>
      <c r="E5421">
        <v>106</v>
      </c>
    </row>
    <row r="5422" spans="1:5" x14ac:dyDescent="0.3">
      <c r="A5422" t="s">
        <v>148</v>
      </c>
      <c r="B5422" s="1">
        <v>44706</v>
      </c>
      <c r="C5422">
        <v>1</v>
      </c>
      <c r="D5422">
        <v>36.97</v>
      </c>
      <c r="E5422">
        <v>57</v>
      </c>
    </row>
    <row r="5423" spans="1:5" x14ac:dyDescent="0.3">
      <c r="A5423" t="s">
        <v>58</v>
      </c>
      <c r="B5423" s="1">
        <v>44706</v>
      </c>
      <c r="C5423">
        <v>1</v>
      </c>
      <c r="D5423">
        <v>78.08</v>
      </c>
      <c r="E5423">
        <v>94</v>
      </c>
    </row>
    <row r="5424" spans="1:5" x14ac:dyDescent="0.3">
      <c r="A5424" t="s">
        <v>55</v>
      </c>
      <c r="B5424" s="1">
        <v>44706</v>
      </c>
      <c r="C5424">
        <v>1</v>
      </c>
      <c r="D5424">
        <v>88.02</v>
      </c>
      <c r="E5424">
        <v>104.27</v>
      </c>
    </row>
    <row r="5425" spans="1:5" x14ac:dyDescent="0.3">
      <c r="A5425" t="s">
        <v>72</v>
      </c>
      <c r="B5425" s="1">
        <v>44706</v>
      </c>
      <c r="C5425">
        <v>1</v>
      </c>
      <c r="D5425">
        <v>556.51</v>
      </c>
      <c r="E5425">
        <v>735</v>
      </c>
    </row>
    <row r="5426" spans="1:5" x14ac:dyDescent="0.3">
      <c r="A5426" t="s">
        <v>72</v>
      </c>
      <c r="B5426" s="1">
        <v>44706</v>
      </c>
      <c r="C5426">
        <v>1</v>
      </c>
      <c r="D5426">
        <v>556.51</v>
      </c>
      <c r="E5426">
        <v>735</v>
      </c>
    </row>
    <row r="5427" spans="1:5" x14ac:dyDescent="0.3">
      <c r="A5427" t="s">
        <v>47</v>
      </c>
      <c r="B5427" s="1">
        <v>44706</v>
      </c>
      <c r="C5427">
        <v>1</v>
      </c>
      <c r="D5427">
        <v>42.85</v>
      </c>
      <c r="E5427">
        <v>67</v>
      </c>
    </row>
    <row r="5428" spans="1:5" x14ac:dyDescent="0.3">
      <c r="A5428" t="s">
        <v>118</v>
      </c>
      <c r="B5428" s="1">
        <v>44706</v>
      </c>
      <c r="C5428">
        <v>1</v>
      </c>
      <c r="D5428">
        <v>10.66</v>
      </c>
      <c r="E5428">
        <v>13</v>
      </c>
    </row>
    <row r="5429" spans="1:5" x14ac:dyDescent="0.3">
      <c r="A5429" t="s">
        <v>81</v>
      </c>
      <c r="B5429" s="1">
        <v>44706</v>
      </c>
      <c r="C5429">
        <v>1</v>
      </c>
      <c r="D5429">
        <v>42.48</v>
      </c>
      <c r="E5429">
        <v>52</v>
      </c>
    </row>
    <row r="5430" spans="1:5" x14ac:dyDescent="0.3">
      <c r="A5430" t="s">
        <v>20</v>
      </c>
      <c r="B5430" s="1">
        <v>44706</v>
      </c>
      <c r="C5430">
        <v>1</v>
      </c>
      <c r="D5430">
        <v>19.71</v>
      </c>
      <c r="E5430">
        <v>26</v>
      </c>
    </row>
    <row r="5431" spans="1:5" x14ac:dyDescent="0.3">
      <c r="A5431" t="s">
        <v>20</v>
      </c>
      <c r="B5431" s="1">
        <v>44706</v>
      </c>
      <c r="C5431">
        <v>1</v>
      </c>
      <c r="D5431">
        <v>19.71</v>
      </c>
      <c r="E5431">
        <v>26</v>
      </c>
    </row>
    <row r="5432" spans="1:5" x14ac:dyDescent="0.3">
      <c r="A5432" t="s">
        <v>20</v>
      </c>
      <c r="B5432" s="1">
        <v>44706</v>
      </c>
      <c r="C5432">
        <v>1</v>
      </c>
      <c r="D5432">
        <v>19.71</v>
      </c>
      <c r="E5432">
        <v>26</v>
      </c>
    </row>
    <row r="5433" spans="1:5" x14ac:dyDescent="0.3">
      <c r="A5433" t="s">
        <v>18</v>
      </c>
      <c r="B5433" s="1">
        <v>44706</v>
      </c>
      <c r="C5433">
        <v>1</v>
      </c>
      <c r="D5433">
        <v>46</v>
      </c>
      <c r="E5433">
        <v>73</v>
      </c>
    </row>
    <row r="5434" spans="1:5" x14ac:dyDescent="0.3">
      <c r="A5434" t="s">
        <v>18</v>
      </c>
      <c r="B5434" s="1">
        <v>44706</v>
      </c>
      <c r="C5434">
        <v>1</v>
      </c>
      <c r="D5434">
        <v>46</v>
      </c>
      <c r="E5434">
        <v>73</v>
      </c>
    </row>
    <row r="5435" spans="1:5" x14ac:dyDescent="0.3">
      <c r="A5435" t="s">
        <v>21</v>
      </c>
      <c r="B5435" s="1">
        <v>44706</v>
      </c>
      <c r="C5435">
        <v>1</v>
      </c>
      <c r="D5435">
        <v>182.55</v>
      </c>
      <c r="E5435">
        <v>258</v>
      </c>
    </row>
    <row r="5436" spans="1:5" x14ac:dyDescent="0.3">
      <c r="A5436" t="s">
        <v>122</v>
      </c>
      <c r="B5436" s="1">
        <v>44706</v>
      </c>
      <c r="C5436">
        <v>1</v>
      </c>
      <c r="D5436">
        <v>20.86</v>
      </c>
      <c r="E5436">
        <v>26</v>
      </c>
    </row>
    <row r="5437" spans="1:5" x14ac:dyDescent="0.3">
      <c r="A5437" t="s">
        <v>136</v>
      </c>
      <c r="B5437" s="1">
        <v>44706</v>
      </c>
      <c r="C5437">
        <v>1</v>
      </c>
      <c r="D5437">
        <v>287.61</v>
      </c>
      <c r="E5437">
        <v>380</v>
      </c>
    </row>
    <row r="5438" spans="1:5" x14ac:dyDescent="0.3">
      <c r="A5438" t="s">
        <v>137</v>
      </c>
      <c r="B5438" s="1">
        <v>44706</v>
      </c>
      <c r="C5438">
        <v>1</v>
      </c>
      <c r="D5438">
        <v>10.53</v>
      </c>
      <c r="E5438">
        <v>18</v>
      </c>
    </row>
    <row r="5439" spans="1:5" x14ac:dyDescent="0.3">
      <c r="A5439" t="s">
        <v>141</v>
      </c>
      <c r="B5439" s="1">
        <v>44706</v>
      </c>
      <c r="C5439">
        <v>2</v>
      </c>
      <c r="D5439">
        <v>12.2</v>
      </c>
      <c r="E5439">
        <v>20</v>
      </c>
    </row>
    <row r="5440" spans="1:5" x14ac:dyDescent="0.3">
      <c r="A5440" t="s">
        <v>61</v>
      </c>
      <c r="B5440" s="1">
        <v>44706</v>
      </c>
      <c r="C5440">
        <v>1</v>
      </c>
      <c r="D5440">
        <v>32.979999999999997</v>
      </c>
      <c r="E5440">
        <v>52</v>
      </c>
    </row>
    <row r="5441" spans="1:5" x14ac:dyDescent="0.3">
      <c r="A5441" t="s">
        <v>137</v>
      </c>
      <c r="B5441" s="1">
        <v>44706</v>
      </c>
      <c r="C5441">
        <v>1</v>
      </c>
      <c r="D5441">
        <v>9</v>
      </c>
      <c r="E5441">
        <v>16</v>
      </c>
    </row>
    <row r="5442" spans="1:5" x14ac:dyDescent="0.3">
      <c r="A5442" t="s">
        <v>26</v>
      </c>
      <c r="B5442" s="1">
        <v>44706</v>
      </c>
      <c r="C5442">
        <v>0.1</v>
      </c>
      <c r="D5442">
        <v>984.79</v>
      </c>
      <c r="E5442">
        <v>1350</v>
      </c>
    </row>
    <row r="5443" spans="1:5" x14ac:dyDescent="0.3">
      <c r="A5443" t="s">
        <v>85</v>
      </c>
      <c r="B5443" s="1">
        <v>44706</v>
      </c>
      <c r="C5443">
        <v>1</v>
      </c>
      <c r="D5443">
        <v>16.62</v>
      </c>
      <c r="E5443">
        <v>26</v>
      </c>
    </row>
    <row r="5444" spans="1:5" x14ac:dyDescent="0.3">
      <c r="A5444" t="s">
        <v>13</v>
      </c>
      <c r="B5444" s="1">
        <v>44706</v>
      </c>
      <c r="C5444">
        <v>1</v>
      </c>
      <c r="D5444">
        <v>119.72</v>
      </c>
      <c r="E5444">
        <v>147</v>
      </c>
    </row>
    <row r="5445" spans="1:5" x14ac:dyDescent="0.3">
      <c r="A5445" t="s">
        <v>7</v>
      </c>
      <c r="B5445" s="1">
        <v>44706</v>
      </c>
      <c r="C5445">
        <v>1</v>
      </c>
      <c r="D5445">
        <v>88.43</v>
      </c>
      <c r="E5445">
        <v>106</v>
      </c>
    </row>
    <row r="5446" spans="1:5" x14ac:dyDescent="0.3">
      <c r="A5446" t="s">
        <v>70</v>
      </c>
      <c r="B5446" s="1">
        <v>44706</v>
      </c>
      <c r="C5446">
        <v>1</v>
      </c>
      <c r="D5446">
        <v>165.32</v>
      </c>
      <c r="E5446">
        <v>203</v>
      </c>
    </row>
    <row r="5447" spans="1:5" x14ac:dyDescent="0.3">
      <c r="A5447" t="s">
        <v>148</v>
      </c>
      <c r="B5447" s="1">
        <v>44706</v>
      </c>
      <c r="C5447">
        <v>1</v>
      </c>
      <c r="D5447">
        <v>37.75</v>
      </c>
      <c r="E5447">
        <v>58</v>
      </c>
    </row>
    <row r="5448" spans="1:5" x14ac:dyDescent="0.3">
      <c r="A5448" t="s">
        <v>42</v>
      </c>
      <c r="B5448" s="1">
        <v>44706</v>
      </c>
      <c r="C5448">
        <v>1</v>
      </c>
      <c r="D5448">
        <v>570.99</v>
      </c>
      <c r="E5448">
        <v>657</v>
      </c>
    </row>
    <row r="5449" spans="1:5" x14ac:dyDescent="0.3">
      <c r="A5449" t="s">
        <v>122</v>
      </c>
      <c r="B5449" s="1">
        <v>44706</v>
      </c>
      <c r="C5449">
        <v>1</v>
      </c>
      <c r="D5449">
        <v>20.48</v>
      </c>
      <c r="E5449">
        <v>25</v>
      </c>
    </row>
    <row r="5450" spans="1:5" x14ac:dyDescent="0.3">
      <c r="A5450" t="s">
        <v>122</v>
      </c>
      <c r="B5450" s="1">
        <v>44706</v>
      </c>
      <c r="C5450">
        <v>1</v>
      </c>
      <c r="D5450">
        <v>21.23</v>
      </c>
      <c r="E5450">
        <v>26</v>
      </c>
    </row>
    <row r="5451" spans="1:5" x14ac:dyDescent="0.3">
      <c r="A5451" t="s">
        <v>49</v>
      </c>
      <c r="B5451" s="1">
        <v>44706</v>
      </c>
      <c r="C5451">
        <v>1</v>
      </c>
      <c r="D5451">
        <v>15.8</v>
      </c>
      <c r="E5451">
        <v>19</v>
      </c>
    </row>
    <row r="5452" spans="1:5" x14ac:dyDescent="0.3">
      <c r="A5452" t="s">
        <v>49</v>
      </c>
      <c r="B5452" s="1">
        <v>44706</v>
      </c>
      <c r="C5452">
        <v>1</v>
      </c>
      <c r="D5452">
        <v>15.8</v>
      </c>
      <c r="E5452">
        <v>19</v>
      </c>
    </row>
    <row r="5453" spans="1:5" x14ac:dyDescent="0.3">
      <c r="A5453" t="s">
        <v>49</v>
      </c>
      <c r="B5453" s="1">
        <v>44706</v>
      </c>
      <c r="C5453">
        <v>1</v>
      </c>
      <c r="D5453">
        <v>15.32</v>
      </c>
      <c r="E5453">
        <v>19</v>
      </c>
    </row>
    <row r="5454" spans="1:5" x14ac:dyDescent="0.3">
      <c r="A5454" t="s">
        <v>47</v>
      </c>
      <c r="B5454" s="1">
        <v>44706</v>
      </c>
      <c r="C5454">
        <v>1</v>
      </c>
      <c r="D5454">
        <v>42.85</v>
      </c>
      <c r="E5454">
        <v>67</v>
      </c>
    </row>
    <row r="5455" spans="1:5" x14ac:dyDescent="0.3">
      <c r="A5455" t="s">
        <v>124</v>
      </c>
      <c r="B5455" s="1">
        <v>44706</v>
      </c>
      <c r="C5455">
        <v>1</v>
      </c>
      <c r="D5455">
        <v>42.85</v>
      </c>
      <c r="E5455">
        <v>70</v>
      </c>
    </row>
    <row r="5456" spans="1:5" x14ac:dyDescent="0.3">
      <c r="A5456" t="s">
        <v>18</v>
      </c>
      <c r="B5456" s="1">
        <v>44706</v>
      </c>
      <c r="C5456">
        <v>1</v>
      </c>
      <c r="D5456">
        <v>46</v>
      </c>
      <c r="E5456">
        <v>72</v>
      </c>
    </row>
    <row r="5457" spans="1:5" x14ac:dyDescent="0.3">
      <c r="A5457" t="s">
        <v>18</v>
      </c>
      <c r="B5457" s="1">
        <v>44706</v>
      </c>
      <c r="C5457">
        <v>1</v>
      </c>
      <c r="D5457">
        <v>46</v>
      </c>
      <c r="E5457">
        <v>72</v>
      </c>
    </row>
    <row r="5458" spans="1:5" x14ac:dyDescent="0.3">
      <c r="A5458" t="s">
        <v>18</v>
      </c>
      <c r="B5458" s="1">
        <v>44706</v>
      </c>
      <c r="C5458">
        <v>1</v>
      </c>
      <c r="D5458">
        <v>46</v>
      </c>
      <c r="E5458">
        <v>72</v>
      </c>
    </row>
    <row r="5459" spans="1:5" x14ac:dyDescent="0.3">
      <c r="A5459" t="s">
        <v>90</v>
      </c>
      <c r="B5459" s="1">
        <v>44706</v>
      </c>
      <c r="C5459">
        <v>1</v>
      </c>
      <c r="D5459">
        <v>384.2</v>
      </c>
      <c r="E5459">
        <v>473</v>
      </c>
    </row>
    <row r="5460" spans="1:5" x14ac:dyDescent="0.3">
      <c r="A5460" t="s">
        <v>65</v>
      </c>
      <c r="B5460" s="1">
        <v>44706</v>
      </c>
      <c r="C5460">
        <v>1</v>
      </c>
      <c r="D5460">
        <v>184.45</v>
      </c>
      <c r="E5460">
        <v>216</v>
      </c>
    </row>
    <row r="5461" spans="1:5" x14ac:dyDescent="0.3">
      <c r="A5461" t="s">
        <v>62</v>
      </c>
      <c r="B5461" s="1">
        <v>44706</v>
      </c>
      <c r="C5461">
        <v>1</v>
      </c>
      <c r="D5461">
        <v>25.29</v>
      </c>
      <c r="E5461">
        <v>30</v>
      </c>
    </row>
    <row r="5462" spans="1:5" x14ac:dyDescent="0.3">
      <c r="A5462" t="s">
        <v>62</v>
      </c>
      <c r="B5462" s="1">
        <v>44706</v>
      </c>
      <c r="C5462">
        <v>1</v>
      </c>
      <c r="D5462">
        <v>25.29</v>
      </c>
      <c r="E5462">
        <v>30</v>
      </c>
    </row>
    <row r="5463" spans="1:5" x14ac:dyDescent="0.3">
      <c r="A5463" t="s">
        <v>24</v>
      </c>
      <c r="B5463" s="1">
        <v>44706</v>
      </c>
      <c r="C5463">
        <v>1</v>
      </c>
      <c r="D5463">
        <v>102.47</v>
      </c>
      <c r="E5463">
        <v>121</v>
      </c>
    </row>
    <row r="5464" spans="1:5" x14ac:dyDescent="0.3">
      <c r="A5464" t="s">
        <v>62</v>
      </c>
      <c r="B5464" s="1">
        <v>44706</v>
      </c>
      <c r="C5464">
        <v>1</v>
      </c>
      <c r="D5464">
        <v>24.97</v>
      </c>
      <c r="E5464">
        <v>30</v>
      </c>
    </row>
    <row r="5465" spans="1:5" x14ac:dyDescent="0.3">
      <c r="A5465" t="s">
        <v>51</v>
      </c>
      <c r="B5465" s="1">
        <v>44706</v>
      </c>
      <c r="C5465">
        <v>200</v>
      </c>
      <c r="D5465">
        <v>2.0099999999999998</v>
      </c>
      <c r="E5465">
        <v>4</v>
      </c>
    </row>
    <row r="5466" spans="1:5" x14ac:dyDescent="0.3">
      <c r="A5466" t="s">
        <v>29</v>
      </c>
      <c r="B5466" s="1">
        <v>44706</v>
      </c>
      <c r="C5466">
        <v>1</v>
      </c>
      <c r="D5466">
        <v>480.05</v>
      </c>
      <c r="E5466">
        <v>634</v>
      </c>
    </row>
    <row r="5467" spans="1:5" x14ac:dyDescent="0.3">
      <c r="A5467" t="s">
        <v>15</v>
      </c>
      <c r="B5467" s="1">
        <v>44706</v>
      </c>
      <c r="C5467">
        <v>1</v>
      </c>
      <c r="D5467">
        <v>55.5</v>
      </c>
      <c r="E5467">
        <v>87</v>
      </c>
    </row>
    <row r="5468" spans="1:5" x14ac:dyDescent="0.3">
      <c r="A5468" t="s">
        <v>63</v>
      </c>
      <c r="B5468" s="1">
        <v>44706</v>
      </c>
      <c r="C5468">
        <v>1</v>
      </c>
      <c r="D5468">
        <v>71.45</v>
      </c>
      <c r="E5468">
        <v>86</v>
      </c>
    </row>
    <row r="5469" spans="1:5" x14ac:dyDescent="0.3">
      <c r="A5469" t="s">
        <v>63</v>
      </c>
      <c r="B5469" s="1">
        <v>44706</v>
      </c>
      <c r="C5469">
        <v>1</v>
      </c>
      <c r="D5469">
        <v>71.45</v>
      </c>
      <c r="E5469">
        <v>86</v>
      </c>
    </row>
    <row r="5470" spans="1:5" x14ac:dyDescent="0.3">
      <c r="A5470" t="s">
        <v>58</v>
      </c>
      <c r="B5470" s="1">
        <v>44706</v>
      </c>
      <c r="C5470">
        <v>1</v>
      </c>
      <c r="D5470">
        <v>80.86</v>
      </c>
      <c r="E5470">
        <v>98</v>
      </c>
    </row>
    <row r="5471" spans="1:5" x14ac:dyDescent="0.3">
      <c r="A5471" t="s">
        <v>23</v>
      </c>
      <c r="B5471" s="1">
        <v>44706</v>
      </c>
      <c r="C5471">
        <v>1</v>
      </c>
      <c r="D5471">
        <v>109.41</v>
      </c>
      <c r="E5471">
        <v>123</v>
      </c>
    </row>
    <row r="5472" spans="1:5" x14ac:dyDescent="0.3">
      <c r="A5472" t="s">
        <v>158</v>
      </c>
      <c r="B5472" s="1">
        <v>44706</v>
      </c>
      <c r="C5472">
        <v>1</v>
      </c>
      <c r="D5472">
        <v>31.17</v>
      </c>
      <c r="E5472">
        <v>39</v>
      </c>
    </row>
    <row r="5473" spans="1:5" x14ac:dyDescent="0.3">
      <c r="A5473" t="s">
        <v>158</v>
      </c>
      <c r="B5473" s="1">
        <v>44706</v>
      </c>
      <c r="C5473">
        <v>1</v>
      </c>
      <c r="D5473">
        <v>31.17</v>
      </c>
      <c r="E5473">
        <v>39</v>
      </c>
    </row>
    <row r="5474" spans="1:5" x14ac:dyDescent="0.3">
      <c r="A5474" t="s">
        <v>158</v>
      </c>
      <c r="B5474" s="1">
        <v>44706</v>
      </c>
      <c r="C5474">
        <v>1</v>
      </c>
      <c r="D5474">
        <v>31.17</v>
      </c>
      <c r="E5474">
        <v>39</v>
      </c>
    </row>
    <row r="5475" spans="1:5" x14ac:dyDescent="0.3">
      <c r="A5475" t="s">
        <v>98</v>
      </c>
      <c r="B5475" s="1">
        <v>44706</v>
      </c>
      <c r="C5475">
        <v>1</v>
      </c>
      <c r="D5475">
        <v>111.32</v>
      </c>
      <c r="E5475">
        <v>134</v>
      </c>
    </row>
    <row r="5476" spans="1:5" x14ac:dyDescent="0.3">
      <c r="A5476" t="s">
        <v>113</v>
      </c>
      <c r="B5476" s="1">
        <v>44706</v>
      </c>
      <c r="C5476">
        <v>1</v>
      </c>
      <c r="D5476">
        <v>126.69</v>
      </c>
      <c r="E5476">
        <v>179</v>
      </c>
    </row>
    <row r="5477" spans="1:5" x14ac:dyDescent="0.3">
      <c r="A5477" t="s">
        <v>93</v>
      </c>
      <c r="B5477" s="1">
        <v>44706</v>
      </c>
      <c r="C5477">
        <v>1</v>
      </c>
      <c r="D5477">
        <v>71.040000000000006</v>
      </c>
      <c r="E5477">
        <v>103</v>
      </c>
    </row>
    <row r="5478" spans="1:5" x14ac:dyDescent="0.3">
      <c r="A5478" t="s">
        <v>131</v>
      </c>
      <c r="B5478" s="1">
        <v>44706</v>
      </c>
      <c r="C5478">
        <v>1</v>
      </c>
      <c r="D5478">
        <v>361.08</v>
      </c>
      <c r="E5478">
        <v>416</v>
      </c>
    </row>
    <row r="5479" spans="1:5" x14ac:dyDescent="0.3">
      <c r="A5479" t="s">
        <v>45</v>
      </c>
      <c r="B5479" s="1">
        <v>44706</v>
      </c>
      <c r="C5479">
        <v>1</v>
      </c>
      <c r="D5479">
        <v>28.13</v>
      </c>
      <c r="E5479">
        <v>46</v>
      </c>
    </row>
    <row r="5480" spans="1:5" x14ac:dyDescent="0.3">
      <c r="A5480" t="s">
        <v>105</v>
      </c>
      <c r="B5480" s="1">
        <v>44706</v>
      </c>
      <c r="C5480">
        <v>3</v>
      </c>
      <c r="D5480">
        <v>27.72</v>
      </c>
      <c r="E5480">
        <v>45</v>
      </c>
    </row>
    <row r="5481" spans="1:5" x14ac:dyDescent="0.3">
      <c r="A5481" t="s">
        <v>105</v>
      </c>
      <c r="B5481" s="1">
        <v>44706</v>
      </c>
      <c r="C5481">
        <v>2</v>
      </c>
      <c r="D5481">
        <v>26.75</v>
      </c>
      <c r="E5481">
        <v>44</v>
      </c>
    </row>
    <row r="5482" spans="1:5" x14ac:dyDescent="0.3">
      <c r="A5482" t="s">
        <v>118</v>
      </c>
      <c r="B5482" s="1">
        <v>44706</v>
      </c>
      <c r="C5482">
        <v>1</v>
      </c>
      <c r="D5482">
        <v>11.1</v>
      </c>
      <c r="E5482">
        <v>13</v>
      </c>
    </row>
    <row r="5483" spans="1:5" x14ac:dyDescent="0.3">
      <c r="A5483" t="s">
        <v>70</v>
      </c>
      <c r="B5483" s="1">
        <v>44706</v>
      </c>
      <c r="C5483">
        <v>1</v>
      </c>
      <c r="D5483">
        <v>163.37</v>
      </c>
      <c r="E5483">
        <v>197</v>
      </c>
    </row>
    <row r="5484" spans="1:5" x14ac:dyDescent="0.3">
      <c r="A5484" t="s">
        <v>63</v>
      </c>
      <c r="B5484" s="1">
        <v>44706</v>
      </c>
      <c r="C5484">
        <v>1</v>
      </c>
      <c r="D5484">
        <v>71.45</v>
      </c>
      <c r="E5484">
        <v>86</v>
      </c>
    </row>
    <row r="5485" spans="1:5" x14ac:dyDescent="0.3">
      <c r="A5485" t="s">
        <v>76</v>
      </c>
      <c r="B5485" s="1">
        <v>44706</v>
      </c>
      <c r="C5485">
        <v>1</v>
      </c>
      <c r="D5485">
        <v>32.36</v>
      </c>
      <c r="E5485">
        <v>39</v>
      </c>
    </row>
    <row r="5486" spans="1:5" x14ac:dyDescent="0.3">
      <c r="A5486" t="s">
        <v>129</v>
      </c>
      <c r="B5486" s="1">
        <v>44706</v>
      </c>
      <c r="C5486">
        <v>0.08</v>
      </c>
      <c r="D5486">
        <v>491.7</v>
      </c>
      <c r="E5486">
        <v>592</v>
      </c>
    </row>
    <row r="5487" spans="1:5" x14ac:dyDescent="0.3">
      <c r="A5487" t="s">
        <v>26</v>
      </c>
      <c r="B5487" s="1">
        <v>44706</v>
      </c>
      <c r="C5487">
        <v>0.2</v>
      </c>
      <c r="D5487">
        <v>991.65</v>
      </c>
      <c r="E5487">
        <v>1240</v>
      </c>
    </row>
    <row r="5488" spans="1:5" x14ac:dyDescent="0.3">
      <c r="A5488" t="s">
        <v>31</v>
      </c>
      <c r="B5488" s="1">
        <v>44706</v>
      </c>
      <c r="C5488">
        <v>1</v>
      </c>
      <c r="D5488">
        <v>13.05</v>
      </c>
      <c r="E5488">
        <v>18</v>
      </c>
    </row>
    <row r="5489" spans="1:5" x14ac:dyDescent="0.3">
      <c r="A5489" t="s">
        <v>31</v>
      </c>
      <c r="B5489" s="1">
        <v>44706</v>
      </c>
      <c r="C5489">
        <v>1</v>
      </c>
      <c r="D5489">
        <v>13.05</v>
      </c>
      <c r="E5489">
        <v>18</v>
      </c>
    </row>
    <row r="5490" spans="1:5" x14ac:dyDescent="0.3">
      <c r="A5490" t="s">
        <v>31</v>
      </c>
      <c r="B5490" s="1">
        <v>44706</v>
      </c>
      <c r="C5490">
        <v>1</v>
      </c>
      <c r="D5490">
        <v>13.05</v>
      </c>
      <c r="E5490">
        <v>18</v>
      </c>
    </row>
    <row r="5491" spans="1:5" x14ac:dyDescent="0.3">
      <c r="A5491" t="s">
        <v>31</v>
      </c>
      <c r="B5491" s="1">
        <v>44706</v>
      </c>
      <c r="C5491">
        <v>1</v>
      </c>
      <c r="D5491">
        <v>13.05</v>
      </c>
      <c r="E5491">
        <v>18</v>
      </c>
    </row>
    <row r="5492" spans="1:5" x14ac:dyDescent="0.3">
      <c r="A5492" t="s">
        <v>31</v>
      </c>
      <c r="B5492" s="1">
        <v>44706</v>
      </c>
      <c r="C5492">
        <v>1</v>
      </c>
      <c r="D5492">
        <v>13.05</v>
      </c>
      <c r="E5492">
        <v>18</v>
      </c>
    </row>
    <row r="5493" spans="1:5" x14ac:dyDescent="0.3">
      <c r="A5493" t="s">
        <v>31</v>
      </c>
      <c r="B5493" s="1">
        <v>44706</v>
      </c>
      <c r="C5493">
        <v>1</v>
      </c>
      <c r="D5493">
        <v>13.05</v>
      </c>
      <c r="E5493">
        <v>18</v>
      </c>
    </row>
    <row r="5494" spans="1:5" x14ac:dyDescent="0.3">
      <c r="A5494" t="s">
        <v>31</v>
      </c>
      <c r="B5494" s="1">
        <v>44706</v>
      </c>
      <c r="C5494">
        <v>1</v>
      </c>
      <c r="D5494">
        <v>13.05</v>
      </c>
      <c r="E5494">
        <v>18</v>
      </c>
    </row>
    <row r="5495" spans="1:5" x14ac:dyDescent="0.3">
      <c r="A5495" t="s">
        <v>31</v>
      </c>
      <c r="B5495" s="1">
        <v>44706</v>
      </c>
      <c r="C5495">
        <v>1</v>
      </c>
      <c r="D5495">
        <v>13.05</v>
      </c>
      <c r="E5495">
        <v>18</v>
      </c>
    </row>
    <row r="5496" spans="1:5" x14ac:dyDescent="0.3">
      <c r="A5496" t="s">
        <v>31</v>
      </c>
      <c r="B5496" s="1">
        <v>44706</v>
      </c>
      <c r="C5496">
        <v>1</v>
      </c>
      <c r="D5496">
        <v>13.05</v>
      </c>
      <c r="E5496">
        <v>18</v>
      </c>
    </row>
    <row r="5497" spans="1:5" x14ac:dyDescent="0.3">
      <c r="A5497" t="s">
        <v>31</v>
      </c>
      <c r="B5497" s="1">
        <v>44706</v>
      </c>
      <c r="C5497">
        <v>1</v>
      </c>
      <c r="D5497">
        <v>13.05</v>
      </c>
      <c r="E5497">
        <v>18</v>
      </c>
    </row>
    <row r="5498" spans="1:5" x14ac:dyDescent="0.3">
      <c r="A5498" t="s">
        <v>31</v>
      </c>
      <c r="B5498" s="1">
        <v>44706</v>
      </c>
      <c r="C5498">
        <v>1</v>
      </c>
      <c r="D5498">
        <v>13.05</v>
      </c>
      <c r="E5498">
        <v>18</v>
      </c>
    </row>
    <row r="5499" spans="1:5" x14ac:dyDescent="0.3">
      <c r="A5499" t="s">
        <v>31</v>
      </c>
      <c r="B5499" s="1">
        <v>44706</v>
      </c>
      <c r="C5499">
        <v>1</v>
      </c>
      <c r="D5499">
        <v>13.05</v>
      </c>
      <c r="E5499">
        <v>18</v>
      </c>
    </row>
    <row r="5500" spans="1:5" x14ac:dyDescent="0.3">
      <c r="A5500" t="s">
        <v>31</v>
      </c>
      <c r="B5500" s="1">
        <v>44706</v>
      </c>
      <c r="C5500">
        <v>1</v>
      </c>
      <c r="D5500">
        <v>13.05</v>
      </c>
      <c r="E5500">
        <v>18</v>
      </c>
    </row>
    <row r="5501" spans="1:5" x14ac:dyDescent="0.3">
      <c r="A5501" t="s">
        <v>31</v>
      </c>
      <c r="B5501" s="1">
        <v>44706</v>
      </c>
      <c r="C5501">
        <v>1</v>
      </c>
      <c r="D5501">
        <v>13.05</v>
      </c>
      <c r="E5501">
        <v>18</v>
      </c>
    </row>
    <row r="5502" spans="1:5" x14ac:dyDescent="0.3">
      <c r="A5502" t="s">
        <v>31</v>
      </c>
      <c r="B5502" s="1">
        <v>44706</v>
      </c>
      <c r="C5502">
        <v>1</v>
      </c>
      <c r="D5502">
        <v>13.05</v>
      </c>
      <c r="E5502">
        <v>18</v>
      </c>
    </row>
    <row r="5503" spans="1:5" x14ac:dyDescent="0.3">
      <c r="A5503" t="s">
        <v>31</v>
      </c>
      <c r="B5503" s="1">
        <v>44706</v>
      </c>
      <c r="C5503">
        <v>1</v>
      </c>
      <c r="D5503">
        <v>13.05</v>
      </c>
      <c r="E5503">
        <v>18</v>
      </c>
    </row>
    <row r="5504" spans="1:5" x14ac:dyDescent="0.3">
      <c r="A5504" t="s">
        <v>31</v>
      </c>
      <c r="B5504" s="1">
        <v>44706</v>
      </c>
      <c r="C5504">
        <v>1</v>
      </c>
      <c r="D5504">
        <v>13.05</v>
      </c>
      <c r="E5504">
        <v>18</v>
      </c>
    </row>
    <row r="5505" spans="1:5" x14ac:dyDescent="0.3">
      <c r="A5505" t="s">
        <v>31</v>
      </c>
      <c r="B5505" s="1">
        <v>44706</v>
      </c>
      <c r="C5505">
        <v>1</v>
      </c>
      <c r="D5505">
        <v>13.05</v>
      </c>
      <c r="E5505">
        <v>18</v>
      </c>
    </row>
    <row r="5506" spans="1:5" x14ac:dyDescent="0.3">
      <c r="A5506" t="s">
        <v>31</v>
      </c>
      <c r="B5506" s="1">
        <v>44706</v>
      </c>
      <c r="C5506">
        <v>1</v>
      </c>
      <c r="D5506">
        <v>13.05</v>
      </c>
      <c r="E5506">
        <v>18</v>
      </c>
    </row>
    <row r="5507" spans="1:5" x14ac:dyDescent="0.3">
      <c r="A5507" t="s">
        <v>119</v>
      </c>
      <c r="B5507" s="1">
        <v>44706</v>
      </c>
      <c r="C5507">
        <v>3.5714299999999997E-2</v>
      </c>
      <c r="D5507">
        <v>656.19</v>
      </c>
      <c r="E5507">
        <v>722</v>
      </c>
    </row>
    <row r="5508" spans="1:5" x14ac:dyDescent="0.3">
      <c r="A5508" t="s">
        <v>114</v>
      </c>
      <c r="B5508" s="1">
        <v>44706</v>
      </c>
      <c r="C5508">
        <v>1</v>
      </c>
      <c r="D5508">
        <v>74.8</v>
      </c>
      <c r="E5508">
        <v>92</v>
      </c>
    </row>
    <row r="5509" spans="1:5" x14ac:dyDescent="0.3">
      <c r="A5509" t="s">
        <v>128</v>
      </c>
      <c r="B5509" s="1">
        <v>44706</v>
      </c>
      <c r="C5509">
        <v>1</v>
      </c>
      <c r="D5509">
        <v>265.7</v>
      </c>
      <c r="E5509">
        <v>365</v>
      </c>
    </row>
    <row r="5510" spans="1:5" x14ac:dyDescent="0.3">
      <c r="A5510" t="s">
        <v>23</v>
      </c>
      <c r="B5510" s="1">
        <v>44706</v>
      </c>
      <c r="C5510">
        <v>1</v>
      </c>
      <c r="D5510">
        <v>109.41</v>
      </c>
      <c r="E5510">
        <v>123</v>
      </c>
    </row>
    <row r="5511" spans="1:5" x14ac:dyDescent="0.3">
      <c r="A5511" t="s">
        <v>17</v>
      </c>
      <c r="B5511" s="1">
        <v>44706</v>
      </c>
      <c r="C5511">
        <v>1</v>
      </c>
      <c r="D5511">
        <v>378.06</v>
      </c>
      <c r="E5511">
        <v>454</v>
      </c>
    </row>
    <row r="5512" spans="1:5" x14ac:dyDescent="0.3">
      <c r="A5512" t="s">
        <v>11</v>
      </c>
      <c r="B5512" s="1">
        <v>44706</v>
      </c>
      <c r="C5512">
        <v>1</v>
      </c>
      <c r="D5512">
        <v>24.2</v>
      </c>
      <c r="E5512">
        <v>39</v>
      </c>
    </row>
    <row r="5513" spans="1:5" x14ac:dyDescent="0.3">
      <c r="A5513" t="s">
        <v>62</v>
      </c>
      <c r="B5513" s="1">
        <v>44706</v>
      </c>
      <c r="C5513">
        <v>1</v>
      </c>
      <c r="D5513">
        <v>24.97</v>
      </c>
      <c r="E5513">
        <v>30</v>
      </c>
    </row>
    <row r="5514" spans="1:5" x14ac:dyDescent="0.3">
      <c r="A5514" t="s">
        <v>62</v>
      </c>
      <c r="B5514" s="1">
        <v>44706</v>
      </c>
      <c r="C5514">
        <v>1</v>
      </c>
      <c r="D5514">
        <v>25.62</v>
      </c>
      <c r="E5514">
        <v>31</v>
      </c>
    </row>
    <row r="5515" spans="1:5" x14ac:dyDescent="0.3">
      <c r="A5515" t="s">
        <v>62</v>
      </c>
      <c r="B5515" s="1">
        <v>44706</v>
      </c>
      <c r="C5515">
        <v>1</v>
      </c>
      <c r="D5515">
        <v>25.15</v>
      </c>
      <c r="E5515">
        <v>30</v>
      </c>
    </row>
    <row r="5516" spans="1:5" x14ac:dyDescent="0.3">
      <c r="A5516" t="s">
        <v>62</v>
      </c>
      <c r="B5516" s="1">
        <v>44706</v>
      </c>
      <c r="C5516">
        <v>1</v>
      </c>
      <c r="D5516">
        <v>25.15</v>
      </c>
      <c r="E5516">
        <v>30</v>
      </c>
    </row>
    <row r="5517" spans="1:5" x14ac:dyDescent="0.3">
      <c r="A5517" t="s">
        <v>29</v>
      </c>
      <c r="B5517" s="1">
        <v>44706</v>
      </c>
      <c r="C5517">
        <v>1</v>
      </c>
      <c r="D5517">
        <v>489.61</v>
      </c>
      <c r="E5517">
        <v>661</v>
      </c>
    </row>
    <row r="5518" spans="1:5" x14ac:dyDescent="0.3">
      <c r="A5518" t="s">
        <v>149</v>
      </c>
      <c r="B5518" s="1">
        <v>44706</v>
      </c>
      <c r="C5518">
        <v>1</v>
      </c>
      <c r="D5518">
        <v>199.99</v>
      </c>
      <c r="E5518">
        <v>270</v>
      </c>
    </row>
    <row r="5519" spans="1:5" x14ac:dyDescent="0.3">
      <c r="A5519" t="s">
        <v>57</v>
      </c>
      <c r="B5519" s="1">
        <v>44706</v>
      </c>
      <c r="C5519">
        <v>1</v>
      </c>
      <c r="D5519">
        <v>233.74</v>
      </c>
      <c r="E5519">
        <v>262</v>
      </c>
    </row>
    <row r="5520" spans="1:5" x14ac:dyDescent="0.3">
      <c r="A5520" t="s">
        <v>31</v>
      </c>
      <c r="B5520" s="1">
        <v>44706</v>
      </c>
      <c r="C5520">
        <v>1</v>
      </c>
      <c r="D5520">
        <v>13.05</v>
      </c>
      <c r="E5520">
        <v>18</v>
      </c>
    </row>
    <row r="5521" spans="1:5" x14ac:dyDescent="0.3">
      <c r="A5521" t="s">
        <v>93</v>
      </c>
      <c r="B5521" s="1">
        <v>44706</v>
      </c>
      <c r="C5521">
        <v>1</v>
      </c>
      <c r="D5521">
        <v>68.599999999999994</v>
      </c>
      <c r="E5521">
        <v>98</v>
      </c>
    </row>
    <row r="5522" spans="1:5" x14ac:dyDescent="0.3">
      <c r="A5522" t="s">
        <v>96</v>
      </c>
      <c r="B5522" s="1">
        <v>44706</v>
      </c>
      <c r="C5522">
        <v>1</v>
      </c>
      <c r="D5522">
        <v>70.930000000000007</v>
      </c>
      <c r="E5522">
        <v>101</v>
      </c>
    </row>
    <row r="5523" spans="1:5" x14ac:dyDescent="0.3">
      <c r="A5523" t="s">
        <v>113</v>
      </c>
      <c r="B5523" s="1">
        <v>44706</v>
      </c>
      <c r="C5523">
        <v>1</v>
      </c>
      <c r="D5523">
        <v>126.69</v>
      </c>
      <c r="E5523">
        <v>179</v>
      </c>
    </row>
    <row r="5524" spans="1:5" x14ac:dyDescent="0.3">
      <c r="A5524" t="s">
        <v>113</v>
      </c>
      <c r="B5524" s="1">
        <v>44706</v>
      </c>
      <c r="C5524">
        <v>1</v>
      </c>
      <c r="D5524">
        <v>126.69</v>
      </c>
      <c r="E5524">
        <v>179</v>
      </c>
    </row>
    <row r="5525" spans="1:5" x14ac:dyDescent="0.3">
      <c r="A5525" t="s">
        <v>43</v>
      </c>
      <c r="B5525" s="1">
        <v>44706</v>
      </c>
      <c r="C5525">
        <v>1</v>
      </c>
      <c r="D5525">
        <v>146.88999999999999</v>
      </c>
      <c r="E5525">
        <v>174</v>
      </c>
    </row>
    <row r="5526" spans="1:5" x14ac:dyDescent="0.3">
      <c r="A5526" t="s">
        <v>26</v>
      </c>
      <c r="B5526" s="1">
        <v>44706</v>
      </c>
      <c r="C5526">
        <v>0.1</v>
      </c>
      <c r="D5526">
        <v>989.8</v>
      </c>
      <c r="E5526">
        <v>1238</v>
      </c>
    </row>
    <row r="5527" spans="1:5" x14ac:dyDescent="0.3">
      <c r="A5527" t="s">
        <v>25</v>
      </c>
      <c r="B5527" s="1">
        <v>44706</v>
      </c>
      <c r="C5527">
        <v>1</v>
      </c>
      <c r="D5527">
        <v>147.4</v>
      </c>
      <c r="E5527">
        <v>177</v>
      </c>
    </row>
    <row r="5528" spans="1:5" x14ac:dyDescent="0.3">
      <c r="A5528" t="s">
        <v>154</v>
      </c>
      <c r="B5528" s="1">
        <v>44706</v>
      </c>
      <c r="C5528">
        <v>1</v>
      </c>
      <c r="D5528">
        <v>125.78</v>
      </c>
      <c r="E5528">
        <v>150</v>
      </c>
    </row>
    <row r="5529" spans="1:5" x14ac:dyDescent="0.3">
      <c r="A5529" t="s">
        <v>91</v>
      </c>
      <c r="B5529" s="1">
        <v>44706</v>
      </c>
      <c r="C5529">
        <v>1</v>
      </c>
      <c r="D5529">
        <v>35.68</v>
      </c>
      <c r="E5529">
        <v>58</v>
      </c>
    </row>
    <row r="5530" spans="1:5" x14ac:dyDescent="0.3">
      <c r="A5530" t="s">
        <v>9</v>
      </c>
      <c r="B5530" s="1">
        <v>44706</v>
      </c>
      <c r="C5530">
        <v>1</v>
      </c>
      <c r="D5530">
        <v>80.73</v>
      </c>
      <c r="E5530">
        <v>100</v>
      </c>
    </row>
    <row r="5531" spans="1:5" x14ac:dyDescent="0.3">
      <c r="A5531" t="s">
        <v>47</v>
      </c>
      <c r="B5531" s="1">
        <v>44706</v>
      </c>
      <c r="C5531">
        <v>1</v>
      </c>
      <c r="D5531">
        <v>43.08</v>
      </c>
      <c r="E5531">
        <v>66</v>
      </c>
    </row>
    <row r="5532" spans="1:5" x14ac:dyDescent="0.3">
      <c r="A5532" t="s">
        <v>47</v>
      </c>
      <c r="B5532" s="1">
        <v>44706</v>
      </c>
      <c r="C5532">
        <v>1</v>
      </c>
      <c r="D5532">
        <v>43.08</v>
      </c>
      <c r="E5532">
        <v>66</v>
      </c>
    </row>
    <row r="5533" spans="1:5" x14ac:dyDescent="0.3">
      <c r="A5533" t="s">
        <v>8</v>
      </c>
      <c r="B5533" s="1">
        <v>44706</v>
      </c>
      <c r="C5533">
        <v>10</v>
      </c>
      <c r="D5533">
        <v>47.83</v>
      </c>
      <c r="E5533">
        <v>78</v>
      </c>
    </row>
    <row r="5534" spans="1:5" x14ac:dyDescent="0.3">
      <c r="A5534" t="s">
        <v>86</v>
      </c>
      <c r="B5534" s="1">
        <v>44706</v>
      </c>
      <c r="C5534">
        <v>3</v>
      </c>
      <c r="D5534">
        <v>47.4</v>
      </c>
      <c r="E5534">
        <v>77</v>
      </c>
    </row>
    <row r="5535" spans="1:5" x14ac:dyDescent="0.3">
      <c r="A5535" t="s">
        <v>24</v>
      </c>
      <c r="B5535" s="1">
        <v>44706</v>
      </c>
      <c r="C5535">
        <v>1</v>
      </c>
      <c r="D5535">
        <v>99.99</v>
      </c>
      <c r="E5535">
        <v>119</v>
      </c>
    </row>
    <row r="5536" spans="1:5" x14ac:dyDescent="0.3">
      <c r="A5536" t="s">
        <v>65</v>
      </c>
      <c r="B5536" s="1">
        <v>44706</v>
      </c>
      <c r="C5536">
        <v>1</v>
      </c>
      <c r="D5536">
        <v>176.77</v>
      </c>
      <c r="E5536">
        <v>221</v>
      </c>
    </row>
    <row r="5537" spans="1:5" x14ac:dyDescent="0.3">
      <c r="A5537" t="s">
        <v>98</v>
      </c>
      <c r="B5537" s="1">
        <v>44706</v>
      </c>
      <c r="C5537">
        <v>1</v>
      </c>
      <c r="D5537">
        <v>111.32</v>
      </c>
      <c r="E5537">
        <v>134</v>
      </c>
    </row>
    <row r="5538" spans="1:5" x14ac:dyDescent="0.3">
      <c r="A5538" t="s">
        <v>31</v>
      </c>
      <c r="B5538" s="1">
        <v>44706</v>
      </c>
      <c r="C5538">
        <v>1</v>
      </c>
      <c r="D5538">
        <v>13.05</v>
      </c>
      <c r="E5538">
        <v>18</v>
      </c>
    </row>
    <row r="5539" spans="1:5" x14ac:dyDescent="0.3">
      <c r="A5539" t="s">
        <v>103</v>
      </c>
      <c r="B5539" s="1">
        <v>44706</v>
      </c>
      <c r="C5539">
        <v>1</v>
      </c>
      <c r="D5539">
        <v>45.88</v>
      </c>
      <c r="E5539">
        <v>73</v>
      </c>
    </row>
    <row r="5540" spans="1:5" x14ac:dyDescent="0.3">
      <c r="A5540" t="s">
        <v>100</v>
      </c>
      <c r="B5540" s="1">
        <v>44706</v>
      </c>
      <c r="C5540">
        <v>1</v>
      </c>
      <c r="D5540">
        <v>39.49</v>
      </c>
      <c r="E5540">
        <v>62</v>
      </c>
    </row>
    <row r="5541" spans="1:5" x14ac:dyDescent="0.3">
      <c r="A5541" t="s">
        <v>8</v>
      </c>
      <c r="B5541" s="1">
        <v>44706</v>
      </c>
      <c r="C5541">
        <v>1</v>
      </c>
      <c r="D5541">
        <v>47.82</v>
      </c>
      <c r="E5541">
        <v>83</v>
      </c>
    </row>
    <row r="5542" spans="1:5" x14ac:dyDescent="0.3">
      <c r="A5542" t="s">
        <v>64</v>
      </c>
      <c r="B5542" s="1">
        <v>44706</v>
      </c>
      <c r="C5542">
        <v>1</v>
      </c>
      <c r="D5542">
        <v>198.66</v>
      </c>
      <c r="E5542">
        <v>273</v>
      </c>
    </row>
    <row r="5543" spans="1:5" x14ac:dyDescent="0.3">
      <c r="A5543" t="s">
        <v>7</v>
      </c>
      <c r="B5543" s="1">
        <v>44706</v>
      </c>
      <c r="C5543">
        <v>1</v>
      </c>
      <c r="D5543">
        <v>89.27</v>
      </c>
      <c r="E5543">
        <v>111</v>
      </c>
    </row>
    <row r="5544" spans="1:5" x14ac:dyDescent="0.3">
      <c r="A5544" t="s">
        <v>19</v>
      </c>
      <c r="B5544" s="1">
        <v>44706</v>
      </c>
      <c r="C5544">
        <v>1</v>
      </c>
      <c r="D5544">
        <v>80.760000000000005</v>
      </c>
      <c r="E5544">
        <v>101</v>
      </c>
    </row>
    <row r="5545" spans="1:5" x14ac:dyDescent="0.3">
      <c r="A5545" t="s">
        <v>156</v>
      </c>
      <c r="B5545" s="1">
        <v>44706</v>
      </c>
      <c r="C5545">
        <v>1</v>
      </c>
      <c r="D5545">
        <v>249.76</v>
      </c>
      <c r="E5545">
        <v>338</v>
      </c>
    </row>
    <row r="5546" spans="1:5" x14ac:dyDescent="0.3">
      <c r="A5546" t="s">
        <v>7</v>
      </c>
      <c r="B5546" s="1">
        <v>44706</v>
      </c>
      <c r="C5546">
        <v>1</v>
      </c>
      <c r="D5546">
        <v>87.93</v>
      </c>
      <c r="E5546">
        <v>104</v>
      </c>
    </row>
    <row r="5547" spans="1:5" x14ac:dyDescent="0.3">
      <c r="A5547" t="s">
        <v>55</v>
      </c>
      <c r="B5547" s="1">
        <v>44706</v>
      </c>
      <c r="C5547">
        <v>1</v>
      </c>
      <c r="D5547">
        <v>77.510000000000005</v>
      </c>
      <c r="E5547">
        <v>95</v>
      </c>
    </row>
    <row r="5548" spans="1:5" x14ac:dyDescent="0.3">
      <c r="A5548" t="s">
        <v>67</v>
      </c>
      <c r="B5548" s="1">
        <v>44706</v>
      </c>
      <c r="C5548">
        <v>1</v>
      </c>
      <c r="D5548">
        <v>54.32</v>
      </c>
      <c r="E5548">
        <v>78</v>
      </c>
    </row>
    <row r="5549" spans="1:5" x14ac:dyDescent="0.3">
      <c r="A5549" t="s">
        <v>20</v>
      </c>
      <c r="B5549" s="1">
        <v>44706</v>
      </c>
      <c r="C5549">
        <v>1</v>
      </c>
      <c r="D5549">
        <v>19.71</v>
      </c>
      <c r="E5549">
        <v>25</v>
      </c>
    </row>
    <row r="5550" spans="1:5" x14ac:dyDescent="0.3">
      <c r="A5550" t="s">
        <v>20</v>
      </c>
      <c r="B5550" s="1">
        <v>44706</v>
      </c>
      <c r="C5550">
        <v>1</v>
      </c>
      <c r="D5550">
        <v>19.71</v>
      </c>
      <c r="E5550">
        <v>25</v>
      </c>
    </row>
    <row r="5551" spans="1:5" x14ac:dyDescent="0.3">
      <c r="A5551" t="s">
        <v>36</v>
      </c>
      <c r="B5551" s="1">
        <v>44706</v>
      </c>
      <c r="C5551">
        <v>1</v>
      </c>
      <c r="D5551">
        <v>21.26</v>
      </c>
      <c r="E5551">
        <v>27</v>
      </c>
    </row>
    <row r="5552" spans="1:5" x14ac:dyDescent="0.3">
      <c r="A5552" t="s">
        <v>20</v>
      </c>
      <c r="B5552" s="1">
        <v>44706</v>
      </c>
      <c r="C5552">
        <v>1</v>
      </c>
      <c r="D5552">
        <v>19.71</v>
      </c>
      <c r="E5552">
        <v>23</v>
      </c>
    </row>
    <row r="5553" spans="1:5" x14ac:dyDescent="0.3">
      <c r="A5553" t="s">
        <v>52</v>
      </c>
      <c r="B5553" s="1">
        <v>44706</v>
      </c>
      <c r="C5553">
        <v>1</v>
      </c>
      <c r="D5553">
        <v>202.48</v>
      </c>
      <c r="E5553">
        <v>243</v>
      </c>
    </row>
    <row r="5554" spans="1:5" x14ac:dyDescent="0.3">
      <c r="A5554" t="s">
        <v>99</v>
      </c>
      <c r="B5554" s="1">
        <v>44706</v>
      </c>
      <c r="C5554">
        <v>1</v>
      </c>
      <c r="D5554">
        <v>65.52</v>
      </c>
      <c r="E5554">
        <v>77</v>
      </c>
    </row>
    <row r="5555" spans="1:5" x14ac:dyDescent="0.3">
      <c r="A5555" t="s">
        <v>79</v>
      </c>
      <c r="B5555" s="1">
        <v>44706</v>
      </c>
      <c r="C5555">
        <v>1</v>
      </c>
      <c r="D5555">
        <v>148.5</v>
      </c>
      <c r="E5555">
        <v>177</v>
      </c>
    </row>
    <row r="5556" spans="1:5" x14ac:dyDescent="0.3">
      <c r="A5556" t="s">
        <v>18</v>
      </c>
      <c r="B5556" s="1">
        <v>44706</v>
      </c>
      <c r="C5556">
        <v>1</v>
      </c>
      <c r="D5556">
        <v>46</v>
      </c>
      <c r="E5556">
        <v>72</v>
      </c>
    </row>
    <row r="5557" spans="1:5" x14ac:dyDescent="0.3">
      <c r="A5557" t="s">
        <v>12</v>
      </c>
      <c r="B5557" s="1">
        <v>44706</v>
      </c>
      <c r="C5557">
        <v>1</v>
      </c>
      <c r="D5557">
        <v>56.08</v>
      </c>
      <c r="E5557">
        <v>70</v>
      </c>
    </row>
    <row r="5558" spans="1:5" x14ac:dyDescent="0.3">
      <c r="A5558" t="s">
        <v>84</v>
      </c>
      <c r="B5558" s="1">
        <v>44706</v>
      </c>
      <c r="C5558">
        <v>1</v>
      </c>
      <c r="D5558">
        <v>153.22999999999999</v>
      </c>
      <c r="E5558">
        <v>192</v>
      </c>
    </row>
    <row r="5559" spans="1:5" x14ac:dyDescent="0.3">
      <c r="A5559" t="s">
        <v>25</v>
      </c>
      <c r="B5559" s="1">
        <v>44706</v>
      </c>
      <c r="C5559">
        <v>1</v>
      </c>
      <c r="D5559">
        <v>147.18</v>
      </c>
      <c r="E5559">
        <v>177</v>
      </c>
    </row>
    <row r="5560" spans="1:5" x14ac:dyDescent="0.3">
      <c r="A5560" t="s">
        <v>79</v>
      </c>
      <c r="B5560" s="1">
        <v>44706</v>
      </c>
      <c r="C5560">
        <v>1</v>
      </c>
      <c r="D5560">
        <v>148.5</v>
      </c>
      <c r="E5560">
        <v>180</v>
      </c>
    </row>
    <row r="5561" spans="1:5" x14ac:dyDescent="0.3">
      <c r="A5561" t="s">
        <v>92</v>
      </c>
      <c r="B5561" s="1">
        <v>44706</v>
      </c>
      <c r="C5561">
        <v>2</v>
      </c>
      <c r="D5561">
        <v>6.2</v>
      </c>
      <c r="E5561">
        <v>9</v>
      </c>
    </row>
    <row r="5562" spans="1:5" x14ac:dyDescent="0.3">
      <c r="A5562" t="s">
        <v>147</v>
      </c>
      <c r="B5562" s="1">
        <v>44706</v>
      </c>
      <c r="C5562">
        <v>1</v>
      </c>
      <c r="D5562">
        <v>135.72999999999999</v>
      </c>
      <c r="E5562">
        <v>189</v>
      </c>
    </row>
    <row r="5563" spans="1:5" x14ac:dyDescent="0.3">
      <c r="A5563" t="s">
        <v>62</v>
      </c>
      <c r="B5563" s="1">
        <v>44706</v>
      </c>
      <c r="C5563">
        <v>1</v>
      </c>
      <c r="D5563">
        <v>25.15</v>
      </c>
      <c r="E5563">
        <v>30</v>
      </c>
    </row>
    <row r="5564" spans="1:5" x14ac:dyDescent="0.3">
      <c r="A5564" t="s">
        <v>103</v>
      </c>
      <c r="B5564" s="1">
        <v>44706</v>
      </c>
      <c r="C5564">
        <v>1</v>
      </c>
      <c r="D5564">
        <v>45.88</v>
      </c>
      <c r="E5564">
        <v>73</v>
      </c>
    </row>
    <row r="5565" spans="1:5" x14ac:dyDescent="0.3">
      <c r="A5565" t="s">
        <v>101</v>
      </c>
      <c r="B5565" s="1">
        <v>44706</v>
      </c>
      <c r="C5565">
        <v>1</v>
      </c>
      <c r="D5565">
        <v>27.84</v>
      </c>
      <c r="E5565">
        <v>44</v>
      </c>
    </row>
    <row r="5566" spans="1:5" x14ac:dyDescent="0.3">
      <c r="A5566" t="s">
        <v>120</v>
      </c>
      <c r="B5566" s="1">
        <v>44706</v>
      </c>
      <c r="C5566">
        <v>1</v>
      </c>
      <c r="D5566">
        <v>149.15</v>
      </c>
      <c r="E5566">
        <v>162.96</v>
      </c>
    </row>
    <row r="5567" spans="1:5" x14ac:dyDescent="0.3">
      <c r="A5567" t="s">
        <v>120</v>
      </c>
      <c r="B5567" s="1">
        <v>44706</v>
      </c>
      <c r="C5567">
        <v>1</v>
      </c>
      <c r="D5567">
        <v>149.15</v>
      </c>
      <c r="E5567">
        <v>162.96</v>
      </c>
    </row>
    <row r="5568" spans="1:5" x14ac:dyDescent="0.3">
      <c r="A5568" t="s">
        <v>139</v>
      </c>
      <c r="B5568" s="1">
        <v>44706</v>
      </c>
      <c r="C5568">
        <v>1</v>
      </c>
      <c r="D5568">
        <v>24.18</v>
      </c>
      <c r="E5568">
        <v>40</v>
      </c>
    </row>
    <row r="5569" spans="1:5" x14ac:dyDescent="0.3">
      <c r="A5569" t="s">
        <v>124</v>
      </c>
      <c r="B5569" s="1">
        <v>44706</v>
      </c>
      <c r="C5569">
        <v>2</v>
      </c>
      <c r="D5569">
        <v>42.85</v>
      </c>
      <c r="E5569">
        <v>70</v>
      </c>
    </row>
    <row r="5570" spans="1:5" x14ac:dyDescent="0.3">
      <c r="A5570" t="s">
        <v>48</v>
      </c>
      <c r="B5570" s="1">
        <v>44706</v>
      </c>
      <c r="C5570">
        <v>1</v>
      </c>
      <c r="D5570">
        <v>38.11</v>
      </c>
      <c r="E5570">
        <v>60</v>
      </c>
    </row>
    <row r="5571" spans="1:5" x14ac:dyDescent="0.3">
      <c r="A5571" t="s">
        <v>18</v>
      </c>
      <c r="B5571" s="1">
        <v>44706</v>
      </c>
      <c r="C5571">
        <v>1</v>
      </c>
      <c r="D5571">
        <v>46</v>
      </c>
      <c r="E5571">
        <v>73</v>
      </c>
    </row>
    <row r="5572" spans="1:5" x14ac:dyDescent="0.3">
      <c r="A5572" t="s">
        <v>18</v>
      </c>
      <c r="B5572" s="1">
        <v>44706</v>
      </c>
      <c r="C5572">
        <v>1</v>
      </c>
      <c r="D5572">
        <v>46</v>
      </c>
      <c r="E5572">
        <v>73</v>
      </c>
    </row>
    <row r="5573" spans="1:5" x14ac:dyDescent="0.3">
      <c r="A5573" t="s">
        <v>51</v>
      </c>
      <c r="B5573" s="1">
        <v>44706</v>
      </c>
      <c r="C5573">
        <v>4</v>
      </c>
      <c r="D5573">
        <v>1.98</v>
      </c>
      <c r="E5573">
        <v>4</v>
      </c>
    </row>
    <row r="5574" spans="1:5" x14ac:dyDescent="0.3">
      <c r="A5574" t="s">
        <v>114</v>
      </c>
      <c r="B5574" s="1">
        <v>44706</v>
      </c>
      <c r="C5574">
        <v>1</v>
      </c>
      <c r="D5574">
        <v>74.8</v>
      </c>
      <c r="E5574">
        <v>92</v>
      </c>
    </row>
    <row r="5575" spans="1:5" x14ac:dyDescent="0.3">
      <c r="A5575" t="s">
        <v>20</v>
      </c>
      <c r="B5575" s="1">
        <v>44706</v>
      </c>
      <c r="C5575">
        <v>1</v>
      </c>
      <c r="D5575">
        <v>19.71</v>
      </c>
      <c r="E5575">
        <v>26</v>
      </c>
    </row>
    <row r="5576" spans="1:5" x14ac:dyDescent="0.3">
      <c r="A5576" t="s">
        <v>20</v>
      </c>
      <c r="B5576" s="1">
        <v>44706</v>
      </c>
      <c r="C5576">
        <v>1</v>
      </c>
      <c r="D5576">
        <v>19.71</v>
      </c>
      <c r="E5576">
        <v>26</v>
      </c>
    </row>
    <row r="5577" spans="1:5" x14ac:dyDescent="0.3">
      <c r="A5577" t="s">
        <v>20</v>
      </c>
      <c r="B5577" s="1">
        <v>44706</v>
      </c>
      <c r="C5577">
        <v>1</v>
      </c>
      <c r="D5577">
        <v>19.71</v>
      </c>
      <c r="E5577">
        <v>26</v>
      </c>
    </row>
    <row r="5578" spans="1:5" x14ac:dyDescent="0.3">
      <c r="A5578" t="s">
        <v>103</v>
      </c>
      <c r="B5578" s="1">
        <v>44706</v>
      </c>
      <c r="C5578">
        <v>1</v>
      </c>
      <c r="D5578">
        <v>45.88</v>
      </c>
      <c r="E5578">
        <v>73</v>
      </c>
    </row>
    <row r="5579" spans="1:5" x14ac:dyDescent="0.3">
      <c r="A5579" t="s">
        <v>103</v>
      </c>
      <c r="B5579" s="1">
        <v>44706</v>
      </c>
      <c r="C5579">
        <v>1</v>
      </c>
      <c r="D5579">
        <v>45.88</v>
      </c>
      <c r="E5579">
        <v>73</v>
      </c>
    </row>
    <row r="5580" spans="1:5" x14ac:dyDescent="0.3">
      <c r="A5580" t="s">
        <v>103</v>
      </c>
      <c r="B5580" s="1">
        <v>44706</v>
      </c>
      <c r="C5580">
        <v>1</v>
      </c>
      <c r="D5580">
        <v>45.88</v>
      </c>
      <c r="E5580">
        <v>73</v>
      </c>
    </row>
    <row r="5581" spans="1:5" x14ac:dyDescent="0.3">
      <c r="A5581" t="s">
        <v>122</v>
      </c>
      <c r="B5581" s="1">
        <v>44706</v>
      </c>
      <c r="C5581">
        <v>1</v>
      </c>
      <c r="D5581">
        <v>20.86</v>
      </c>
      <c r="E5581">
        <v>26</v>
      </c>
    </row>
    <row r="5582" spans="1:5" x14ac:dyDescent="0.3">
      <c r="A5582" t="s">
        <v>73</v>
      </c>
      <c r="B5582" s="1">
        <v>44705</v>
      </c>
      <c r="C5582">
        <v>4</v>
      </c>
      <c r="D5582">
        <v>8.07</v>
      </c>
      <c r="E5582">
        <v>14</v>
      </c>
    </row>
    <row r="5583" spans="1:5" x14ac:dyDescent="0.3">
      <c r="A5583" t="s">
        <v>7</v>
      </c>
      <c r="B5583" s="1">
        <v>44705</v>
      </c>
      <c r="C5583">
        <v>1</v>
      </c>
      <c r="D5583">
        <v>88.43</v>
      </c>
      <c r="E5583">
        <v>106</v>
      </c>
    </row>
    <row r="5584" spans="1:5" x14ac:dyDescent="0.3">
      <c r="A5584" t="s">
        <v>9</v>
      </c>
      <c r="B5584" s="1">
        <v>44705</v>
      </c>
      <c r="C5584">
        <v>1</v>
      </c>
      <c r="D5584">
        <v>80.73</v>
      </c>
      <c r="E5584">
        <v>100</v>
      </c>
    </row>
    <row r="5585" spans="1:5" x14ac:dyDescent="0.3">
      <c r="A5585" t="s">
        <v>26</v>
      </c>
      <c r="B5585" s="1">
        <v>44705</v>
      </c>
      <c r="C5585">
        <v>0.1</v>
      </c>
      <c r="D5585">
        <v>989.8</v>
      </c>
      <c r="E5585">
        <v>1307</v>
      </c>
    </row>
    <row r="5586" spans="1:5" x14ac:dyDescent="0.3">
      <c r="A5586" t="s">
        <v>20</v>
      </c>
      <c r="B5586" s="1">
        <v>44705</v>
      </c>
      <c r="C5586">
        <v>1</v>
      </c>
      <c r="D5586">
        <v>19.66</v>
      </c>
      <c r="E5586">
        <v>23</v>
      </c>
    </row>
    <row r="5587" spans="1:5" x14ac:dyDescent="0.3">
      <c r="A5587" t="s">
        <v>90</v>
      </c>
      <c r="B5587" s="1">
        <v>44705</v>
      </c>
      <c r="C5587">
        <v>1</v>
      </c>
      <c r="D5587">
        <v>391.02</v>
      </c>
      <c r="E5587">
        <v>470</v>
      </c>
    </row>
    <row r="5588" spans="1:5" x14ac:dyDescent="0.3">
      <c r="A5588" t="s">
        <v>45</v>
      </c>
      <c r="B5588" s="1">
        <v>44705</v>
      </c>
      <c r="C5588">
        <v>1</v>
      </c>
      <c r="D5588">
        <v>26.16</v>
      </c>
      <c r="E5588">
        <v>42</v>
      </c>
    </row>
    <row r="5589" spans="1:5" x14ac:dyDescent="0.3">
      <c r="A5589" t="s">
        <v>10</v>
      </c>
      <c r="B5589" s="1">
        <v>44705</v>
      </c>
      <c r="C5589">
        <v>1</v>
      </c>
      <c r="D5589">
        <v>10.34</v>
      </c>
      <c r="E5589">
        <v>13</v>
      </c>
    </row>
    <row r="5590" spans="1:5" x14ac:dyDescent="0.3">
      <c r="A5590" t="s">
        <v>132</v>
      </c>
      <c r="B5590" s="1">
        <v>44705</v>
      </c>
      <c r="C5590">
        <v>1</v>
      </c>
      <c r="D5590">
        <v>58.59</v>
      </c>
      <c r="E5590">
        <v>84</v>
      </c>
    </row>
    <row r="5591" spans="1:5" x14ac:dyDescent="0.3">
      <c r="A5591" t="s">
        <v>24</v>
      </c>
      <c r="B5591" s="1">
        <v>44705</v>
      </c>
      <c r="C5591">
        <v>1</v>
      </c>
      <c r="D5591">
        <v>95.88</v>
      </c>
      <c r="E5591">
        <v>118</v>
      </c>
    </row>
    <row r="5592" spans="1:5" x14ac:dyDescent="0.3">
      <c r="A5592" t="s">
        <v>74</v>
      </c>
      <c r="B5592" s="1">
        <v>44705</v>
      </c>
      <c r="C5592">
        <v>1</v>
      </c>
      <c r="D5592">
        <v>90.81</v>
      </c>
      <c r="E5592">
        <v>115</v>
      </c>
    </row>
    <row r="5593" spans="1:5" x14ac:dyDescent="0.3">
      <c r="A5593" t="s">
        <v>125</v>
      </c>
      <c r="B5593" s="1">
        <v>44705</v>
      </c>
      <c r="C5593">
        <v>1</v>
      </c>
      <c r="D5593">
        <v>336.92</v>
      </c>
      <c r="E5593">
        <v>445</v>
      </c>
    </row>
    <row r="5594" spans="1:5" x14ac:dyDescent="0.3">
      <c r="A5594" t="s">
        <v>101</v>
      </c>
      <c r="B5594" s="1">
        <v>44705</v>
      </c>
      <c r="C5594">
        <v>1</v>
      </c>
      <c r="D5594">
        <v>27.84</v>
      </c>
      <c r="E5594">
        <v>44</v>
      </c>
    </row>
    <row r="5595" spans="1:5" x14ac:dyDescent="0.3">
      <c r="A5595" t="s">
        <v>15</v>
      </c>
      <c r="B5595" s="1">
        <v>44705</v>
      </c>
      <c r="C5595">
        <v>1</v>
      </c>
      <c r="D5595">
        <v>37.85</v>
      </c>
      <c r="E5595">
        <v>62</v>
      </c>
    </row>
    <row r="5596" spans="1:5" x14ac:dyDescent="0.3">
      <c r="A5596" t="s">
        <v>20</v>
      </c>
      <c r="B5596" s="1">
        <v>44705</v>
      </c>
      <c r="C5596">
        <v>1</v>
      </c>
      <c r="D5596">
        <v>19.71</v>
      </c>
      <c r="E5596">
        <v>25</v>
      </c>
    </row>
    <row r="5597" spans="1:5" x14ac:dyDescent="0.3">
      <c r="A5597" t="s">
        <v>73</v>
      </c>
      <c r="B5597" s="1">
        <v>44705</v>
      </c>
      <c r="C5597">
        <v>1</v>
      </c>
      <c r="D5597">
        <v>8.07</v>
      </c>
      <c r="E5597">
        <v>14</v>
      </c>
    </row>
    <row r="5598" spans="1:5" x14ac:dyDescent="0.3">
      <c r="A5598" t="s">
        <v>74</v>
      </c>
      <c r="B5598" s="1">
        <v>44705</v>
      </c>
      <c r="C5598">
        <v>1</v>
      </c>
      <c r="D5598">
        <v>88.04</v>
      </c>
      <c r="E5598">
        <v>110</v>
      </c>
    </row>
    <row r="5599" spans="1:5" x14ac:dyDescent="0.3">
      <c r="A5599" t="s">
        <v>98</v>
      </c>
      <c r="B5599" s="1">
        <v>44705</v>
      </c>
      <c r="C5599">
        <v>1</v>
      </c>
      <c r="D5599">
        <v>110.84</v>
      </c>
      <c r="E5599">
        <v>134</v>
      </c>
    </row>
    <row r="5600" spans="1:5" x14ac:dyDescent="0.3">
      <c r="A5600" t="s">
        <v>136</v>
      </c>
      <c r="B5600" s="1">
        <v>44705</v>
      </c>
      <c r="C5600">
        <v>1</v>
      </c>
      <c r="D5600">
        <v>285.86</v>
      </c>
      <c r="E5600">
        <v>378</v>
      </c>
    </row>
    <row r="5601" spans="1:5" x14ac:dyDescent="0.3">
      <c r="A5601" t="s">
        <v>151</v>
      </c>
      <c r="B5601" s="1">
        <v>44705</v>
      </c>
      <c r="C5601">
        <v>1</v>
      </c>
      <c r="D5601">
        <v>23.23</v>
      </c>
      <c r="E5601">
        <v>29</v>
      </c>
    </row>
    <row r="5602" spans="1:5" x14ac:dyDescent="0.3">
      <c r="A5602" t="s">
        <v>157</v>
      </c>
      <c r="B5602" s="1">
        <v>44705</v>
      </c>
      <c r="C5602">
        <v>1</v>
      </c>
      <c r="D5602">
        <v>12</v>
      </c>
      <c r="E5602">
        <v>20</v>
      </c>
    </row>
    <row r="5603" spans="1:5" x14ac:dyDescent="0.3">
      <c r="A5603" t="s">
        <v>23</v>
      </c>
      <c r="B5603" s="1">
        <v>44705</v>
      </c>
      <c r="C5603">
        <v>1</v>
      </c>
      <c r="D5603">
        <v>155.43</v>
      </c>
      <c r="E5603">
        <v>162.82</v>
      </c>
    </row>
    <row r="5604" spans="1:5" x14ac:dyDescent="0.3">
      <c r="A5604" t="s">
        <v>23</v>
      </c>
      <c r="B5604" s="1">
        <v>44705</v>
      </c>
      <c r="C5604">
        <v>1</v>
      </c>
      <c r="D5604">
        <v>155.43</v>
      </c>
      <c r="E5604">
        <v>162.82</v>
      </c>
    </row>
    <row r="5605" spans="1:5" x14ac:dyDescent="0.3">
      <c r="A5605" t="s">
        <v>70</v>
      </c>
      <c r="B5605" s="1">
        <v>44705</v>
      </c>
      <c r="C5605">
        <v>1</v>
      </c>
      <c r="D5605">
        <v>185.13</v>
      </c>
      <c r="E5605">
        <v>196.66</v>
      </c>
    </row>
    <row r="5606" spans="1:5" x14ac:dyDescent="0.3">
      <c r="A5606" t="s">
        <v>12</v>
      </c>
      <c r="B5606" s="1">
        <v>44705</v>
      </c>
      <c r="C5606">
        <v>1</v>
      </c>
      <c r="D5606">
        <v>59.4</v>
      </c>
      <c r="E5606">
        <v>62.2</v>
      </c>
    </row>
    <row r="5607" spans="1:5" x14ac:dyDescent="0.3">
      <c r="A5607" t="s">
        <v>26</v>
      </c>
      <c r="B5607" s="1">
        <v>44705</v>
      </c>
      <c r="C5607">
        <v>0.1</v>
      </c>
      <c r="D5607">
        <v>991.65</v>
      </c>
      <c r="E5607">
        <v>1240</v>
      </c>
    </row>
    <row r="5608" spans="1:5" x14ac:dyDescent="0.3">
      <c r="A5608" t="s">
        <v>32</v>
      </c>
      <c r="B5608" s="1">
        <v>44705</v>
      </c>
      <c r="C5608">
        <v>0.1</v>
      </c>
      <c r="D5608">
        <v>103.53</v>
      </c>
      <c r="E5608">
        <v>159</v>
      </c>
    </row>
    <row r="5609" spans="1:5" x14ac:dyDescent="0.3">
      <c r="A5609" t="s">
        <v>91</v>
      </c>
      <c r="B5609" s="1">
        <v>44705</v>
      </c>
      <c r="C5609">
        <v>1</v>
      </c>
      <c r="D5609">
        <v>31.93</v>
      </c>
      <c r="E5609">
        <v>52</v>
      </c>
    </row>
    <row r="5610" spans="1:5" x14ac:dyDescent="0.3">
      <c r="A5610" t="s">
        <v>114</v>
      </c>
      <c r="B5610" s="1">
        <v>44705</v>
      </c>
      <c r="C5610">
        <v>1</v>
      </c>
      <c r="D5610">
        <v>74.8</v>
      </c>
      <c r="E5610">
        <v>94</v>
      </c>
    </row>
    <row r="5611" spans="1:5" x14ac:dyDescent="0.3">
      <c r="A5611" t="s">
        <v>47</v>
      </c>
      <c r="B5611" s="1">
        <v>44705</v>
      </c>
      <c r="C5611">
        <v>1</v>
      </c>
      <c r="D5611">
        <v>43.08</v>
      </c>
      <c r="E5611">
        <v>66</v>
      </c>
    </row>
    <row r="5612" spans="1:5" x14ac:dyDescent="0.3">
      <c r="A5612" t="s">
        <v>90</v>
      </c>
      <c r="B5612" s="1">
        <v>44705</v>
      </c>
      <c r="C5612">
        <v>1</v>
      </c>
      <c r="D5612">
        <v>397.76</v>
      </c>
      <c r="E5612">
        <v>490</v>
      </c>
    </row>
    <row r="5613" spans="1:5" x14ac:dyDescent="0.3">
      <c r="A5613" t="s">
        <v>36</v>
      </c>
      <c r="B5613" s="1">
        <v>44705</v>
      </c>
      <c r="C5613">
        <v>1</v>
      </c>
      <c r="D5613">
        <v>32.67</v>
      </c>
      <c r="E5613">
        <v>41</v>
      </c>
    </row>
    <row r="5614" spans="1:5" x14ac:dyDescent="0.3">
      <c r="A5614" t="s">
        <v>48</v>
      </c>
      <c r="B5614" s="1">
        <v>44705</v>
      </c>
      <c r="C5614">
        <v>1</v>
      </c>
      <c r="D5614">
        <v>38.11</v>
      </c>
      <c r="E5614">
        <v>58</v>
      </c>
    </row>
    <row r="5615" spans="1:5" x14ac:dyDescent="0.3">
      <c r="A5615" t="s">
        <v>28</v>
      </c>
      <c r="B5615" s="1">
        <v>44705</v>
      </c>
      <c r="C5615">
        <v>1</v>
      </c>
      <c r="D5615">
        <v>150.03</v>
      </c>
      <c r="E5615">
        <v>206</v>
      </c>
    </row>
    <row r="5616" spans="1:5" x14ac:dyDescent="0.3">
      <c r="A5616" t="s">
        <v>19</v>
      </c>
      <c r="B5616" s="1">
        <v>44705</v>
      </c>
      <c r="C5616">
        <v>1</v>
      </c>
      <c r="D5616">
        <v>82.34</v>
      </c>
      <c r="E5616">
        <v>103</v>
      </c>
    </row>
    <row r="5617" spans="1:5" x14ac:dyDescent="0.3">
      <c r="A5617" t="s">
        <v>31</v>
      </c>
      <c r="B5617" s="1">
        <v>44705</v>
      </c>
      <c r="C5617">
        <v>1</v>
      </c>
      <c r="D5617">
        <v>13.05</v>
      </c>
      <c r="E5617">
        <v>18</v>
      </c>
    </row>
    <row r="5618" spans="1:5" x14ac:dyDescent="0.3">
      <c r="A5618" t="s">
        <v>31</v>
      </c>
      <c r="B5618" s="1">
        <v>44705</v>
      </c>
      <c r="C5618">
        <v>1</v>
      </c>
      <c r="D5618">
        <v>13.05</v>
      </c>
      <c r="E5618">
        <v>18</v>
      </c>
    </row>
    <row r="5619" spans="1:5" x14ac:dyDescent="0.3">
      <c r="A5619" t="s">
        <v>31</v>
      </c>
      <c r="B5619" s="1">
        <v>44705</v>
      </c>
      <c r="C5619">
        <v>1</v>
      </c>
      <c r="D5619">
        <v>13.1</v>
      </c>
      <c r="E5619">
        <v>18</v>
      </c>
    </row>
    <row r="5620" spans="1:5" x14ac:dyDescent="0.3">
      <c r="A5620" t="s">
        <v>59</v>
      </c>
      <c r="B5620" s="1">
        <v>44705</v>
      </c>
      <c r="C5620">
        <v>1</v>
      </c>
      <c r="D5620">
        <v>11.59</v>
      </c>
      <c r="E5620">
        <v>19</v>
      </c>
    </row>
    <row r="5621" spans="1:5" x14ac:dyDescent="0.3">
      <c r="A5621" t="s">
        <v>133</v>
      </c>
      <c r="B5621" s="1">
        <v>44705</v>
      </c>
      <c r="C5621">
        <v>10</v>
      </c>
      <c r="D5621">
        <v>8.58</v>
      </c>
      <c r="E5621">
        <v>9</v>
      </c>
    </row>
    <row r="5622" spans="1:5" x14ac:dyDescent="0.3">
      <c r="A5622" t="s">
        <v>9</v>
      </c>
      <c r="B5622" s="1">
        <v>44705</v>
      </c>
      <c r="C5622">
        <v>1</v>
      </c>
      <c r="D5622">
        <v>81.8</v>
      </c>
      <c r="E5622">
        <v>99</v>
      </c>
    </row>
    <row r="5623" spans="1:5" x14ac:dyDescent="0.3">
      <c r="A5623" t="s">
        <v>9</v>
      </c>
      <c r="B5623" s="1">
        <v>44705</v>
      </c>
      <c r="C5623">
        <v>1</v>
      </c>
      <c r="D5623">
        <v>81.8</v>
      </c>
      <c r="E5623">
        <v>99</v>
      </c>
    </row>
    <row r="5624" spans="1:5" x14ac:dyDescent="0.3">
      <c r="A5624" t="s">
        <v>127</v>
      </c>
      <c r="B5624" s="1">
        <v>44705</v>
      </c>
      <c r="C5624">
        <v>1</v>
      </c>
      <c r="D5624">
        <v>119.8</v>
      </c>
      <c r="E5624">
        <v>165</v>
      </c>
    </row>
    <row r="5625" spans="1:5" x14ac:dyDescent="0.3">
      <c r="A5625" t="s">
        <v>41</v>
      </c>
      <c r="B5625" s="1">
        <v>44705</v>
      </c>
      <c r="C5625">
        <v>2</v>
      </c>
      <c r="D5625">
        <v>11.63</v>
      </c>
      <c r="E5625">
        <v>19</v>
      </c>
    </row>
    <row r="5626" spans="1:5" x14ac:dyDescent="0.3">
      <c r="A5626" t="s">
        <v>48</v>
      </c>
      <c r="B5626" s="1">
        <v>44705</v>
      </c>
      <c r="C5626">
        <v>1</v>
      </c>
      <c r="D5626">
        <v>39</v>
      </c>
      <c r="E5626">
        <v>60</v>
      </c>
    </row>
    <row r="5627" spans="1:5" x14ac:dyDescent="0.3">
      <c r="A5627" t="s">
        <v>127</v>
      </c>
      <c r="B5627" s="1">
        <v>44705</v>
      </c>
      <c r="C5627">
        <v>1</v>
      </c>
      <c r="D5627">
        <v>119.63</v>
      </c>
      <c r="E5627">
        <v>164</v>
      </c>
    </row>
    <row r="5628" spans="1:5" x14ac:dyDescent="0.3">
      <c r="A5628" t="s">
        <v>49</v>
      </c>
      <c r="B5628" s="1">
        <v>44705</v>
      </c>
      <c r="C5628">
        <v>1</v>
      </c>
      <c r="D5628">
        <v>15.32</v>
      </c>
      <c r="E5628">
        <v>19</v>
      </c>
    </row>
    <row r="5629" spans="1:5" x14ac:dyDescent="0.3">
      <c r="A5629" t="s">
        <v>129</v>
      </c>
      <c r="B5629" s="1">
        <v>44705</v>
      </c>
      <c r="C5629">
        <v>0.08</v>
      </c>
      <c r="D5629">
        <v>491.7</v>
      </c>
      <c r="E5629">
        <v>592</v>
      </c>
    </row>
    <row r="5630" spans="1:5" x14ac:dyDescent="0.3">
      <c r="A5630" t="s">
        <v>129</v>
      </c>
      <c r="B5630" s="1">
        <v>44705</v>
      </c>
      <c r="C5630">
        <v>0.08</v>
      </c>
      <c r="D5630">
        <v>495.17</v>
      </c>
      <c r="E5630">
        <v>596</v>
      </c>
    </row>
    <row r="5631" spans="1:5" x14ac:dyDescent="0.3">
      <c r="A5631" t="s">
        <v>62</v>
      </c>
      <c r="B5631" s="1">
        <v>44705</v>
      </c>
      <c r="C5631">
        <v>1</v>
      </c>
      <c r="D5631">
        <v>25.62</v>
      </c>
      <c r="E5631">
        <v>31</v>
      </c>
    </row>
    <row r="5632" spans="1:5" x14ac:dyDescent="0.3">
      <c r="A5632" t="s">
        <v>62</v>
      </c>
      <c r="B5632" s="1">
        <v>44705</v>
      </c>
      <c r="C5632">
        <v>1</v>
      </c>
      <c r="D5632">
        <v>25.62</v>
      </c>
      <c r="E5632">
        <v>31</v>
      </c>
    </row>
    <row r="5633" spans="1:5" x14ac:dyDescent="0.3">
      <c r="A5633" t="s">
        <v>91</v>
      </c>
      <c r="B5633" s="1">
        <v>44705</v>
      </c>
      <c r="C5633">
        <v>1</v>
      </c>
      <c r="D5633">
        <v>36.51</v>
      </c>
      <c r="E5633">
        <v>63</v>
      </c>
    </row>
    <row r="5634" spans="1:5" x14ac:dyDescent="0.3">
      <c r="A5634" t="s">
        <v>139</v>
      </c>
      <c r="B5634" s="1">
        <v>44705</v>
      </c>
      <c r="C5634">
        <v>1</v>
      </c>
      <c r="D5634">
        <v>24.18</v>
      </c>
      <c r="E5634">
        <v>40</v>
      </c>
    </row>
    <row r="5635" spans="1:5" x14ac:dyDescent="0.3">
      <c r="A5635" t="s">
        <v>159</v>
      </c>
      <c r="B5635" s="1">
        <v>44705</v>
      </c>
      <c r="C5635">
        <v>1</v>
      </c>
      <c r="D5635">
        <v>52.11</v>
      </c>
      <c r="E5635">
        <v>65</v>
      </c>
    </row>
    <row r="5636" spans="1:5" x14ac:dyDescent="0.3">
      <c r="A5636" t="s">
        <v>48</v>
      </c>
      <c r="B5636" s="1">
        <v>44705</v>
      </c>
      <c r="C5636">
        <v>1</v>
      </c>
      <c r="D5636">
        <v>38.67</v>
      </c>
      <c r="E5636">
        <v>59</v>
      </c>
    </row>
    <row r="5637" spans="1:5" x14ac:dyDescent="0.3">
      <c r="A5637" t="s">
        <v>118</v>
      </c>
      <c r="B5637" s="1">
        <v>44705</v>
      </c>
      <c r="C5637">
        <v>1</v>
      </c>
      <c r="D5637">
        <v>10.63</v>
      </c>
      <c r="E5637">
        <v>13</v>
      </c>
    </row>
    <row r="5638" spans="1:5" x14ac:dyDescent="0.3">
      <c r="A5638" t="s">
        <v>118</v>
      </c>
      <c r="B5638" s="1">
        <v>44705</v>
      </c>
      <c r="C5638">
        <v>1</v>
      </c>
      <c r="D5638">
        <v>10.63</v>
      </c>
      <c r="E5638">
        <v>13</v>
      </c>
    </row>
    <row r="5639" spans="1:5" x14ac:dyDescent="0.3">
      <c r="A5639" t="s">
        <v>50</v>
      </c>
      <c r="B5639" s="1">
        <v>44705</v>
      </c>
      <c r="C5639">
        <v>1</v>
      </c>
      <c r="D5639">
        <v>44.86</v>
      </c>
      <c r="E5639">
        <v>56</v>
      </c>
    </row>
    <row r="5640" spans="1:5" x14ac:dyDescent="0.3">
      <c r="A5640" t="s">
        <v>50</v>
      </c>
      <c r="B5640" s="1">
        <v>44705</v>
      </c>
      <c r="C5640">
        <v>1</v>
      </c>
      <c r="D5640">
        <v>44.86</v>
      </c>
      <c r="E5640">
        <v>56</v>
      </c>
    </row>
    <row r="5641" spans="1:5" x14ac:dyDescent="0.3">
      <c r="A5641" t="s">
        <v>93</v>
      </c>
      <c r="B5641" s="1">
        <v>44705</v>
      </c>
      <c r="C5641">
        <v>1</v>
      </c>
      <c r="D5641">
        <v>68.599999999999994</v>
      </c>
      <c r="E5641">
        <v>98</v>
      </c>
    </row>
    <row r="5642" spans="1:5" x14ac:dyDescent="0.3">
      <c r="A5642" t="s">
        <v>95</v>
      </c>
      <c r="B5642" s="1">
        <v>44705</v>
      </c>
      <c r="C5642">
        <v>1</v>
      </c>
      <c r="D5642">
        <v>131.07</v>
      </c>
      <c r="E5642">
        <v>206</v>
      </c>
    </row>
    <row r="5643" spans="1:5" x14ac:dyDescent="0.3">
      <c r="A5643" t="s">
        <v>66</v>
      </c>
      <c r="B5643" s="1">
        <v>44705</v>
      </c>
      <c r="C5643">
        <v>1</v>
      </c>
      <c r="D5643">
        <v>30.6</v>
      </c>
      <c r="E5643">
        <v>36</v>
      </c>
    </row>
    <row r="5644" spans="1:5" x14ac:dyDescent="0.3">
      <c r="A5644" t="s">
        <v>11</v>
      </c>
      <c r="B5644" s="1">
        <v>44705</v>
      </c>
      <c r="C5644">
        <v>2</v>
      </c>
      <c r="D5644">
        <v>24.2</v>
      </c>
      <c r="E5644">
        <v>39</v>
      </c>
    </row>
    <row r="5645" spans="1:5" x14ac:dyDescent="0.3">
      <c r="A5645" t="s">
        <v>54</v>
      </c>
      <c r="B5645" s="1">
        <v>44705</v>
      </c>
      <c r="C5645">
        <v>1</v>
      </c>
      <c r="D5645">
        <v>731.05</v>
      </c>
      <c r="E5645">
        <v>944</v>
      </c>
    </row>
    <row r="5646" spans="1:5" x14ac:dyDescent="0.3">
      <c r="A5646" t="s">
        <v>8</v>
      </c>
      <c r="B5646" s="1">
        <v>44705</v>
      </c>
      <c r="C5646">
        <v>1</v>
      </c>
      <c r="D5646">
        <v>47.03</v>
      </c>
      <c r="E5646">
        <v>77</v>
      </c>
    </row>
    <row r="5647" spans="1:5" x14ac:dyDescent="0.3">
      <c r="A5647" t="s">
        <v>25</v>
      </c>
      <c r="B5647" s="1">
        <v>44705</v>
      </c>
      <c r="C5647">
        <v>1</v>
      </c>
      <c r="D5647">
        <v>147.4</v>
      </c>
      <c r="E5647">
        <v>177</v>
      </c>
    </row>
    <row r="5648" spans="1:5" x14ac:dyDescent="0.3">
      <c r="A5648" t="s">
        <v>69</v>
      </c>
      <c r="B5648" s="1">
        <v>44705</v>
      </c>
      <c r="C5648">
        <v>1</v>
      </c>
      <c r="D5648">
        <v>19.989999999999998</v>
      </c>
      <c r="E5648">
        <v>24</v>
      </c>
    </row>
    <row r="5649" spans="1:5" x14ac:dyDescent="0.3">
      <c r="A5649" t="s">
        <v>141</v>
      </c>
      <c r="B5649" s="1">
        <v>44705</v>
      </c>
      <c r="C5649">
        <v>1</v>
      </c>
      <c r="D5649">
        <v>14.69</v>
      </c>
      <c r="E5649">
        <v>26</v>
      </c>
    </row>
    <row r="5650" spans="1:5" x14ac:dyDescent="0.3">
      <c r="A5650" t="s">
        <v>7</v>
      </c>
      <c r="B5650" s="1">
        <v>44705</v>
      </c>
      <c r="C5650">
        <v>1</v>
      </c>
      <c r="D5650">
        <v>87.6</v>
      </c>
      <c r="E5650">
        <v>109</v>
      </c>
    </row>
    <row r="5651" spans="1:5" x14ac:dyDescent="0.3">
      <c r="A5651" t="s">
        <v>7</v>
      </c>
      <c r="B5651" s="1">
        <v>44705</v>
      </c>
      <c r="C5651">
        <v>1</v>
      </c>
      <c r="D5651">
        <v>87.6</v>
      </c>
      <c r="E5651">
        <v>109</v>
      </c>
    </row>
    <row r="5652" spans="1:5" x14ac:dyDescent="0.3">
      <c r="A5652" t="s">
        <v>122</v>
      </c>
      <c r="B5652" s="1">
        <v>44705</v>
      </c>
      <c r="C5652">
        <v>1</v>
      </c>
      <c r="D5652">
        <v>20.86</v>
      </c>
      <c r="E5652">
        <v>26</v>
      </c>
    </row>
    <row r="5653" spans="1:5" x14ac:dyDescent="0.3">
      <c r="A5653" t="s">
        <v>127</v>
      </c>
      <c r="B5653" s="1">
        <v>44705</v>
      </c>
      <c r="C5653">
        <v>1</v>
      </c>
      <c r="D5653">
        <v>121.2</v>
      </c>
      <c r="E5653">
        <v>171</v>
      </c>
    </row>
    <row r="5654" spans="1:5" x14ac:dyDescent="0.3">
      <c r="A5654" t="s">
        <v>41</v>
      </c>
      <c r="B5654" s="1">
        <v>44705</v>
      </c>
      <c r="C5654">
        <v>5</v>
      </c>
      <c r="D5654">
        <v>11.63</v>
      </c>
      <c r="E5654">
        <v>19</v>
      </c>
    </row>
    <row r="5655" spans="1:5" x14ac:dyDescent="0.3">
      <c r="A5655" t="s">
        <v>25</v>
      </c>
      <c r="B5655" s="1">
        <v>44705</v>
      </c>
      <c r="C5655">
        <v>1</v>
      </c>
      <c r="D5655">
        <v>162.91</v>
      </c>
      <c r="E5655">
        <v>185.47</v>
      </c>
    </row>
    <row r="5656" spans="1:5" x14ac:dyDescent="0.3">
      <c r="A5656" t="s">
        <v>112</v>
      </c>
      <c r="B5656" s="1">
        <v>44705</v>
      </c>
      <c r="C5656">
        <v>1</v>
      </c>
      <c r="D5656">
        <v>281.47000000000003</v>
      </c>
      <c r="E5656">
        <v>334</v>
      </c>
    </row>
    <row r="5657" spans="1:5" x14ac:dyDescent="0.3">
      <c r="A5657" t="s">
        <v>142</v>
      </c>
      <c r="B5657" s="1">
        <v>44705</v>
      </c>
      <c r="C5657">
        <v>1</v>
      </c>
      <c r="D5657">
        <v>12.86</v>
      </c>
      <c r="E5657">
        <v>15</v>
      </c>
    </row>
    <row r="5658" spans="1:5" x14ac:dyDescent="0.3">
      <c r="A5658" t="s">
        <v>26</v>
      </c>
      <c r="B5658" s="1">
        <v>44705</v>
      </c>
      <c r="C5658">
        <v>0.2</v>
      </c>
      <c r="D5658">
        <v>991.65</v>
      </c>
      <c r="E5658">
        <v>1240</v>
      </c>
    </row>
    <row r="5659" spans="1:5" x14ac:dyDescent="0.3">
      <c r="A5659" t="s">
        <v>41</v>
      </c>
      <c r="B5659" s="1">
        <v>44705</v>
      </c>
      <c r="C5659">
        <v>1</v>
      </c>
      <c r="D5659">
        <v>11.63</v>
      </c>
      <c r="E5659">
        <v>19</v>
      </c>
    </row>
    <row r="5660" spans="1:5" x14ac:dyDescent="0.3">
      <c r="A5660" t="s">
        <v>41</v>
      </c>
      <c r="B5660" s="1">
        <v>44705</v>
      </c>
      <c r="C5660">
        <v>1</v>
      </c>
      <c r="D5660">
        <v>10.92</v>
      </c>
      <c r="E5660">
        <v>18</v>
      </c>
    </row>
    <row r="5661" spans="1:5" x14ac:dyDescent="0.3">
      <c r="A5661" t="s">
        <v>141</v>
      </c>
      <c r="B5661" s="1">
        <v>44705</v>
      </c>
      <c r="C5661">
        <v>1</v>
      </c>
      <c r="D5661">
        <v>12.2</v>
      </c>
      <c r="E5661">
        <v>20</v>
      </c>
    </row>
    <row r="5662" spans="1:5" x14ac:dyDescent="0.3">
      <c r="A5662" t="s">
        <v>87</v>
      </c>
      <c r="B5662" s="1">
        <v>44705</v>
      </c>
      <c r="C5662">
        <v>1</v>
      </c>
      <c r="D5662">
        <v>347.96</v>
      </c>
      <c r="E5662">
        <v>394</v>
      </c>
    </row>
    <row r="5663" spans="1:5" x14ac:dyDescent="0.3">
      <c r="A5663" t="s">
        <v>115</v>
      </c>
      <c r="B5663" s="1">
        <v>44705</v>
      </c>
      <c r="C5663">
        <v>1</v>
      </c>
      <c r="D5663">
        <v>71.31</v>
      </c>
      <c r="E5663">
        <v>88</v>
      </c>
    </row>
    <row r="5664" spans="1:5" x14ac:dyDescent="0.3">
      <c r="A5664" t="s">
        <v>7</v>
      </c>
      <c r="B5664" s="1">
        <v>44705</v>
      </c>
      <c r="C5664">
        <v>1</v>
      </c>
      <c r="D5664">
        <v>88.36</v>
      </c>
      <c r="E5664">
        <v>110</v>
      </c>
    </row>
    <row r="5665" spans="1:5" x14ac:dyDescent="0.3">
      <c r="A5665" t="s">
        <v>145</v>
      </c>
      <c r="B5665" s="1">
        <v>44705</v>
      </c>
      <c r="C5665">
        <v>1</v>
      </c>
      <c r="D5665">
        <v>25.3</v>
      </c>
      <c r="E5665">
        <v>31</v>
      </c>
    </row>
    <row r="5666" spans="1:5" x14ac:dyDescent="0.3">
      <c r="A5666" t="s">
        <v>134</v>
      </c>
      <c r="B5666" s="1">
        <v>44705</v>
      </c>
      <c r="C5666">
        <v>1</v>
      </c>
      <c r="D5666">
        <v>30.95</v>
      </c>
      <c r="E5666">
        <v>48</v>
      </c>
    </row>
    <row r="5667" spans="1:5" x14ac:dyDescent="0.3">
      <c r="A5667" t="s">
        <v>100</v>
      </c>
      <c r="B5667" s="1">
        <v>44705</v>
      </c>
      <c r="C5667">
        <v>1</v>
      </c>
      <c r="D5667">
        <v>35.99</v>
      </c>
      <c r="E5667">
        <v>55</v>
      </c>
    </row>
    <row r="5668" spans="1:5" x14ac:dyDescent="0.3">
      <c r="A5668" t="s">
        <v>47</v>
      </c>
      <c r="B5668" s="1">
        <v>44705</v>
      </c>
      <c r="C5668">
        <v>1</v>
      </c>
      <c r="D5668">
        <v>42.85</v>
      </c>
      <c r="E5668">
        <v>67</v>
      </c>
    </row>
    <row r="5669" spans="1:5" x14ac:dyDescent="0.3">
      <c r="A5669" t="s">
        <v>10</v>
      </c>
      <c r="B5669" s="1">
        <v>44705</v>
      </c>
      <c r="C5669">
        <v>1</v>
      </c>
      <c r="D5669">
        <v>10.34</v>
      </c>
      <c r="E5669">
        <v>13</v>
      </c>
    </row>
    <row r="5670" spans="1:5" x14ac:dyDescent="0.3">
      <c r="A5670" t="s">
        <v>10</v>
      </c>
      <c r="B5670" s="1">
        <v>44705</v>
      </c>
      <c r="C5670">
        <v>1</v>
      </c>
      <c r="D5670">
        <v>10.34</v>
      </c>
      <c r="E5670">
        <v>13</v>
      </c>
    </row>
    <row r="5671" spans="1:5" x14ac:dyDescent="0.3">
      <c r="A5671" t="s">
        <v>19</v>
      </c>
      <c r="B5671" s="1">
        <v>44705</v>
      </c>
      <c r="C5671">
        <v>1</v>
      </c>
      <c r="D5671">
        <v>80.760000000000005</v>
      </c>
      <c r="E5671">
        <v>101</v>
      </c>
    </row>
    <row r="5672" spans="1:5" x14ac:dyDescent="0.3">
      <c r="A5672" t="s">
        <v>128</v>
      </c>
      <c r="B5672" s="1">
        <v>44705</v>
      </c>
      <c r="C5672">
        <v>1</v>
      </c>
      <c r="D5672">
        <v>269.2</v>
      </c>
      <c r="E5672">
        <v>359</v>
      </c>
    </row>
    <row r="5673" spans="1:5" x14ac:dyDescent="0.3">
      <c r="A5673" t="s">
        <v>124</v>
      </c>
      <c r="B5673" s="1">
        <v>44705</v>
      </c>
      <c r="C5673">
        <v>2</v>
      </c>
      <c r="D5673">
        <v>42.85</v>
      </c>
      <c r="E5673">
        <v>70</v>
      </c>
    </row>
    <row r="5674" spans="1:5" x14ac:dyDescent="0.3">
      <c r="A5674" t="s">
        <v>131</v>
      </c>
      <c r="B5674" s="1">
        <v>44705</v>
      </c>
      <c r="C5674">
        <v>1</v>
      </c>
      <c r="D5674">
        <v>361.91</v>
      </c>
      <c r="E5674">
        <v>417</v>
      </c>
    </row>
    <row r="5675" spans="1:5" x14ac:dyDescent="0.3">
      <c r="A5675" t="s">
        <v>31</v>
      </c>
      <c r="B5675" s="1">
        <v>44705</v>
      </c>
      <c r="C5675">
        <v>1</v>
      </c>
      <c r="D5675">
        <v>13.19</v>
      </c>
      <c r="E5675">
        <v>18</v>
      </c>
    </row>
    <row r="5676" spans="1:5" x14ac:dyDescent="0.3">
      <c r="A5676" t="s">
        <v>31</v>
      </c>
      <c r="B5676" s="1">
        <v>44705</v>
      </c>
      <c r="C5676">
        <v>1</v>
      </c>
      <c r="D5676">
        <v>13.19</v>
      </c>
      <c r="E5676">
        <v>18</v>
      </c>
    </row>
    <row r="5677" spans="1:5" x14ac:dyDescent="0.3">
      <c r="A5677" t="s">
        <v>31</v>
      </c>
      <c r="B5677" s="1">
        <v>44705</v>
      </c>
      <c r="C5677">
        <v>1</v>
      </c>
      <c r="D5677">
        <v>13.19</v>
      </c>
      <c r="E5677">
        <v>18</v>
      </c>
    </row>
    <row r="5678" spans="1:5" x14ac:dyDescent="0.3">
      <c r="A5678" t="s">
        <v>31</v>
      </c>
      <c r="B5678" s="1">
        <v>44705</v>
      </c>
      <c r="C5678">
        <v>1</v>
      </c>
      <c r="D5678">
        <v>13.19</v>
      </c>
      <c r="E5678">
        <v>18</v>
      </c>
    </row>
    <row r="5679" spans="1:5" x14ac:dyDescent="0.3">
      <c r="A5679" t="s">
        <v>31</v>
      </c>
      <c r="B5679" s="1">
        <v>44705</v>
      </c>
      <c r="C5679">
        <v>1</v>
      </c>
      <c r="D5679">
        <v>13.19</v>
      </c>
      <c r="E5679">
        <v>18</v>
      </c>
    </row>
    <row r="5680" spans="1:5" x14ac:dyDescent="0.3">
      <c r="A5680" t="s">
        <v>31</v>
      </c>
      <c r="B5680" s="1">
        <v>44705</v>
      </c>
      <c r="C5680">
        <v>1</v>
      </c>
      <c r="D5680">
        <v>13.19</v>
      </c>
      <c r="E5680">
        <v>18</v>
      </c>
    </row>
    <row r="5681" spans="1:5" x14ac:dyDescent="0.3">
      <c r="A5681" t="s">
        <v>31</v>
      </c>
      <c r="B5681" s="1">
        <v>44705</v>
      </c>
      <c r="C5681">
        <v>1</v>
      </c>
      <c r="D5681">
        <v>13.19</v>
      </c>
      <c r="E5681">
        <v>18</v>
      </c>
    </row>
    <row r="5682" spans="1:5" x14ac:dyDescent="0.3">
      <c r="A5682" t="s">
        <v>31</v>
      </c>
      <c r="B5682" s="1">
        <v>44705</v>
      </c>
      <c r="C5682">
        <v>1</v>
      </c>
      <c r="D5682">
        <v>13.19</v>
      </c>
      <c r="E5682">
        <v>18</v>
      </c>
    </row>
    <row r="5683" spans="1:5" x14ac:dyDescent="0.3">
      <c r="A5683" t="s">
        <v>31</v>
      </c>
      <c r="B5683" s="1">
        <v>44705</v>
      </c>
      <c r="C5683">
        <v>1</v>
      </c>
      <c r="D5683">
        <v>13.19</v>
      </c>
      <c r="E5683">
        <v>18</v>
      </c>
    </row>
    <row r="5684" spans="1:5" x14ac:dyDescent="0.3">
      <c r="A5684" t="s">
        <v>31</v>
      </c>
      <c r="B5684" s="1">
        <v>44705</v>
      </c>
      <c r="C5684">
        <v>1</v>
      </c>
      <c r="D5684">
        <v>13.19</v>
      </c>
      <c r="E5684">
        <v>18</v>
      </c>
    </row>
    <row r="5685" spans="1:5" x14ac:dyDescent="0.3">
      <c r="A5685" t="s">
        <v>9</v>
      </c>
      <c r="B5685" s="1">
        <v>44705</v>
      </c>
      <c r="C5685">
        <v>1</v>
      </c>
      <c r="D5685">
        <v>80.73</v>
      </c>
      <c r="E5685">
        <v>100</v>
      </c>
    </row>
    <row r="5686" spans="1:5" x14ac:dyDescent="0.3">
      <c r="A5686" t="s">
        <v>41</v>
      </c>
      <c r="B5686" s="1">
        <v>44705</v>
      </c>
      <c r="C5686">
        <v>1</v>
      </c>
      <c r="D5686">
        <v>10.9</v>
      </c>
      <c r="E5686">
        <v>18</v>
      </c>
    </row>
    <row r="5687" spans="1:5" x14ac:dyDescent="0.3">
      <c r="A5687" t="s">
        <v>23</v>
      </c>
      <c r="B5687" s="1">
        <v>44705</v>
      </c>
      <c r="C5687">
        <v>1</v>
      </c>
      <c r="D5687">
        <v>109.41</v>
      </c>
      <c r="E5687">
        <v>123</v>
      </c>
    </row>
    <row r="5688" spans="1:5" x14ac:dyDescent="0.3">
      <c r="A5688" t="s">
        <v>128</v>
      </c>
      <c r="B5688" s="1">
        <v>44705</v>
      </c>
      <c r="C5688">
        <v>1</v>
      </c>
      <c r="D5688">
        <v>265.69</v>
      </c>
      <c r="E5688">
        <v>372</v>
      </c>
    </row>
    <row r="5689" spans="1:5" x14ac:dyDescent="0.3">
      <c r="A5689" t="s">
        <v>49</v>
      </c>
      <c r="B5689" s="1">
        <v>44705</v>
      </c>
      <c r="C5689">
        <v>1</v>
      </c>
      <c r="D5689">
        <v>16.02</v>
      </c>
      <c r="E5689">
        <v>19</v>
      </c>
    </row>
    <row r="5690" spans="1:5" x14ac:dyDescent="0.3">
      <c r="A5690" t="s">
        <v>120</v>
      </c>
      <c r="B5690" s="1">
        <v>44705</v>
      </c>
      <c r="C5690">
        <v>1</v>
      </c>
      <c r="D5690">
        <v>132.07</v>
      </c>
      <c r="E5690">
        <v>192</v>
      </c>
    </row>
    <row r="5691" spans="1:5" x14ac:dyDescent="0.3">
      <c r="A5691" t="s">
        <v>30</v>
      </c>
      <c r="B5691" s="1">
        <v>44705</v>
      </c>
      <c r="C5691">
        <v>1</v>
      </c>
      <c r="D5691">
        <v>156.19999999999999</v>
      </c>
      <c r="E5691">
        <v>186</v>
      </c>
    </row>
    <row r="5692" spans="1:5" x14ac:dyDescent="0.3">
      <c r="A5692" t="s">
        <v>19</v>
      </c>
      <c r="B5692" s="1">
        <v>44705</v>
      </c>
      <c r="C5692">
        <v>1</v>
      </c>
      <c r="D5692">
        <v>80.760000000000005</v>
      </c>
      <c r="E5692">
        <v>101</v>
      </c>
    </row>
    <row r="5693" spans="1:5" x14ac:dyDescent="0.3">
      <c r="A5693" t="s">
        <v>19</v>
      </c>
      <c r="B5693" s="1">
        <v>44705</v>
      </c>
      <c r="C5693">
        <v>1</v>
      </c>
      <c r="D5693">
        <v>81.69</v>
      </c>
      <c r="E5693">
        <v>102</v>
      </c>
    </row>
    <row r="5694" spans="1:5" x14ac:dyDescent="0.3">
      <c r="A5694" t="s">
        <v>19</v>
      </c>
      <c r="B5694" s="1">
        <v>44705</v>
      </c>
      <c r="C5694">
        <v>1</v>
      </c>
      <c r="D5694">
        <v>81.69</v>
      </c>
      <c r="E5694">
        <v>102</v>
      </c>
    </row>
    <row r="5695" spans="1:5" x14ac:dyDescent="0.3">
      <c r="A5695" t="s">
        <v>66</v>
      </c>
      <c r="B5695" s="1">
        <v>44705</v>
      </c>
      <c r="C5695">
        <v>1</v>
      </c>
      <c r="D5695">
        <v>30.6</v>
      </c>
      <c r="E5695">
        <v>37</v>
      </c>
    </row>
    <row r="5696" spans="1:5" x14ac:dyDescent="0.3">
      <c r="A5696" t="s">
        <v>66</v>
      </c>
      <c r="B5696" s="1">
        <v>44705</v>
      </c>
      <c r="C5696">
        <v>1</v>
      </c>
      <c r="D5696">
        <v>30.6</v>
      </c>
      <c r="E5696">
        <v>37</v>
      </c>
    </row>
    <row r="5697" spans="1:5" x14ac:dyDescent="0.3">
      <c r="A5697" t="s">
        <v>39</v>
      </c>
      <c r="B5697" s="1">
        <v>44705</v>
      </c>
      <c r="C5697">
        <v>2</v>
      </c>
      <c r="D5697">
        <v>9.9499999999999993</v>
      </c>
      <c r="E5697">
        <v>17</v>
      </c>
    </row>
    <row r="5698" spans="1:5" x14ac:dyDescent="0.3">
      <c r="A5698" t="s">
        <v>45</v>
      </c>
      <c r="B5698" s="1">
        <v>44705</v>
      </c>
      <c r="C5698">
        <v>2</v>
      </c>
      <c r="D5698">
        <v>28.85</v>
      </c>
      <c r="E5698">
        <v>47</v>
      </c>
    </row>
    <row r="5699" spans="1:5" x14ac:dyDescent="0.3">
      <c r="A5699" t="s">
        <v>10</v>
      </c>
      <c r="B5699" s="1">
        <v>44705</v>
      </c>
      <c r="C5699">
        <v>1</v>
      </c>
      <c r="D5699">
        <v>10.34</v>
      </c>
      <c r="E5699">
        <v>13</v>
      </c>
    </row>
    <row r="5700" spans="1:5" x14ac:dyDescent="0.3">
      <c r="A5700" t="s">
        <v>10</v>
      </c>
      <c r="B5700" s="1">
        <v>44705</v>
      </c>
      <c r="C5700">
        <v>1</v>
      </c>
      <c r="D5700">
        <v>10.34</v>
      </c>
      <c r="E5700">
        <v>13</v>
      </c>
    </row>
    <row r="5701" spans="1:5" x14ac:dyDescent="0.3">
      <c r="A5701" t="s">
        <v>50</v>
      </c>
      <c r="B5701" s="1">
        <v>44705</v>
      </c>
      <c r="C5701">
        <v>1</v>
      </c>
      <c r="D5701">
        <v>43.86</v>
      </c>
      <c r="E5701">
        <v>55</v>
      </c>
    </row>
    <row r="5702" spans="1:5" x14ac:dyDescent="0.3">
      <c r="A5702" t="s">
        <v>6</v>
      </c>
      <c r="B5702" s="1">
        <v>44705</v>
      </c>
      <c r="C5702">
        <v>1</v>
      </c>
      <c r="D5702">
        <v>438.89</v>
      </c>
      <c r="E5702">
        <v>549</v>
      </c>
    </row>
    <row r="5703" spans="1:5" x14ac:dyDescent="0.3">
      <c r="A5703" t="s">
        <v>26</v>
      </c>
      <c r="B5703" s="1">
        <v>44705</v>
      </c>
      <c r="C5703">
        <v>0.2</v>
      </c>
      <c r="D5703">
        <v>989.8</v>
      </c>
      <c r="E5703">
        <v>1307</v>
      </c>
    </row>
    <row r="5704" spans="1:5" x14ac:dyDescent="0.3">
      <c r="A5704" t="s">
        <v>26</v>
      </c>
      <c r="B5704" s="1">
        <v>44705</v>
      </c>
      <c r="C5704">
        <v>0.2</v>
      </c>
      <c r="D5704">
        <v>989.8</v>
      </c>
      <c r="E5704">
        <v>1307</v>
      </c>
    </row>
    <row r="5705" spans="1:5" x14ac:dyDescent="0.3">
      <c r="A5705" t="s">
        <v>7</v>
      </c>
      <c r="B5705" s="1">
        <v>44705</v>
      </c>
      <c r="C5705">
        <v>1</v>
      </c>
      <c r="D5705">
        <v>89.53</v>
      </c>
      <c r="E5705">
        <v>108</v>
      </c>
    </row>
    <row r="5706" spans="1:5" x14ac:dyDescent="0.3">
      <c r="A5706" t="s">
        <v>7</v>
      </c>
      <c r="B5706" s="1">
        <v>44705</v>
      </c>
      <c r="C5706">
        <v>1</v>
      </c>
      <c r="D5706">
        <v>88.43</v>
      </c>
      <c r="E5706">
        <v>106</v>
      </c>
    </row>
    <row r="5707" spans="1:5" x14ac:dyDescent="0.3">
      <c r="A5707" t="s">
        <v>7</v>
      </c>
      <c r="B5707" s="1">
        <v>44705</v>
      </c>
      <c r="C5707">
        <v>1</v>
      </c>
      <c r="D5707">
        <v>88.43</v>
      </c>
      <c r="E5707">
        <v>106</v>
      </c>
    </row>
    <row r="5708" spans="1:5" x14ac:dyDescent="0.3">
      <c r="A5708" t="s">
        <v>7</v>
      </c>
      <c r="B5708" s="1">
        <v>44705</v>
      </c>
      <c r="C5708">
        <v>1</v>
      </c>
      <c r="D5708">
        <v>88.43</v>
      </c>
      <c r="E5708">
        <v>106</v>
      </c>
    </row>
    <row r="5709" spans="1:5" x14ac:dyDescent="0.3">
      <c r="A5709" t="s">
        <v>7</v>
      </c>
      <c r="B5709" s="1">
        <v>44705</v>
      </c>
      <c r="C5709">
        <v>1</v>
      </c>
      <c r="D5709">
        <v>88.43</v>
      </c>
      <c r="E5709">
        <v>106</v>
      </c>
    </row>
    <row r="5710" spans="1:5" x14ac:dyDescent="0.3">
      <c r="A5710" t="s">
        <v>7</v>
      </c>
      <c r="B5710" s="1">
        <v>44705</v>
      </c>
      <c r="C5710">
        <v>1</v>
      </c>
      <c r="D5710">
        <v>88.43</v>
      </c>
      <c r="E5710">
        <v>106</v>
      </c>
    </row>
    <row r="5711" spans="1:5" x14ac:dyDescent="0.3">
      <c r="A5711" t="s">
        <v>7</v>
      </c>
      <c r="B5711" s="1">
        <v>44705</v>
      </c>
      <c r="C5711">
        <v>1</v>
      </c>
      <c r="D5711">
        <v>88.43</v>
      </c>
      <c r="E5711">
        <v>106</v>
      </c>
    </row>
    <row r="5712" spans="1:5" x14ac:dyDescent="0.3">
      <c r="A5712" t="s">
        <v>122</v>
      </c>
      <c r="B5712" s="1">
        <v>44705</v>
      </c>
      <c r="C5712">
        <v>1</v>
      </c>
      <c r="D5712">
        <v>21.23</v>
      </c>
      <c r="E5712">
        <v>26</v>
      </c>
    </row>
    <row r="5713" spans="1:5" x14ac:dyDescent="0.3">
      <c r="A5713" t="s">
        <v>51</v>
      </c>
      <c r="B5713" s="1">
        <v>44705</v>
      </c>
      <c r="C5713">
        <v>4</v>
      </c>
      <c r="D5713">
        <v>2.0499999999999998</v>
      </c>
      <c r="E5713">
        <v>4</v>
      </c>
    </row>
    <row r="5714" spans="1:5" x14ac:dyDescent="0.3">
      <c r="A5714" t="s">
        <v>51</v>
      </c>
      <c r="B5714" s="1">
        <v>44705</v>
      </c>
      <c r="C5714">
        <v>4</v>
      </c>
      <c r="D5714">
        <v>2.0499999999999998</v>
      </c>
      <c r="E5714">
        <v>4</v>
      </c>
    </row>
    <row r="5715" spans="1:5" x14ac:dyDescent="0.3">
      <c r="A5715" t="s">
        <v>17</v>
      </c>
      <c r="B5715" s="1">
        <v>44705</v>
      </c>
      <c r="C5715">
        <v>1</v>
      </c>
      <c r="D5715">
        <v>388.58</v>
      </c>
      <c r="E5715">
        <v>467</v>
      </c>
    </row>
    <row r="5716" spans="1:5" x14ac:dyDescent="0.3">
      <c r="A5716" t="s">
        <v>56</v>
      </c>
      <c r="B5716" s="1">
        <v>44705</v>
      </c>
      <c r="C5716">
        <v>1</v>
      </c>
      <c r="D5716">
        <v>43.97</v>
      </c>
      <c r="E5716">
        <v>67</v>
      </c>
    </row>
    <row r="5717" spans="1:5" x14ac:dyDescent="0.3">
      <c r="A5717" t="s">
        <v>106</v>
      </c>
      <c r="B5717" s="1">
        <v>44705</v>
      </c>
      <c r="C5717">
        <v>1</v>
      </c>
      <c r="D5717">
        <v>41.74</v>
      </c>
      <c r="E5717">
        <v>51</v>
      </c>
    </row>
    <row r="5718" spans="1:5" x14ac:dyDescent="0.3">
      <c r="A5718" t="s">
        <v>49</v>
      </c>
      <c r="B5718" s="1">
        <v>44705</v>
      </c>
      <c r="C5718">
        <v>1</v>
      </c>
      <c r="D5718">
        <v>15.82</v>
      </c>
      <c r="E5718">
        <v>20</v>
      </c>
    </row>
    <row r="5719" spans="1:5" x14ac:dyDescent="0.3">
      <c r="A5719" t="s">
        <v>24</v>
      </c>
      <c r="B5719" s="1">
        <v>44705</v>
      </c>
      <c r="C5719">
        <v>1</v>
      </c>
      <c r="D5719">
        <v>96.14</v>
      </c>
      <c r="E5719">
        <v>118</v>
      </c>
    </row>
    <row r="5720" spans="1:5" x14ac:dyDescent="0.3">
      <c r="A5720" t="s">
        <v>115</v>
      </c>
      <c r="B5720" s="1">
        <v>44705</v>
      </c>
      <c r="C5720">
        <v>1</v>
      </c>
      <c r="D5720">
        <v>71.23</v>
      </c>
      <c r="E5720">
        <v>88</v>
      </c>
    </row>
    <row r="5721" spans="1:5" x14ac:dyDescent="0.3">
      <c r="A5721" t="s">
        <v>43</v>
      </c>
      <c r="B5721" s="1">
        <v>44705</v>
      </c>
      <c r="C5721">
        <v>1</v>
      </c>
      <c r="D5721">
        <v>134.68</v>
      </c>
      <c r="E5721">
        <v>162</v>
      </c>
    </row>
    <row r="5722" spans="1:5" x14ac:dyDescent="0.3">
      <c r="A5722" t="s">
        <v>118</v>
      </c>
      <c r="B5722" s="1">
        <v>44705</v>
      </c>
      <c r="C5722">
        <v>1</v>
      </c>
      <c r="D5722">
        <v>10.66</v>
      </c>
      <c r="E5722">
        <v>13</v>
      </c>
    </row>
    <row r="5723" spans="1:5" x14ac:dyDescent="0.3">
      <c r="A5723" t="s">
        <v>51</v>
      </c>
      <c r="B5723" s="1">
        <v>44705</v>
      </c>
      <c r="C5723">
        <v>4</v>
      </c>
      <c r="D5723">
        <v>2.1800000000000002</v>
      </c>
      <c r="E5723">
        <v>4</v>
      </c>
    </row>
    <row r="5724" spans="1:5" x14ac:dyDescent="0.3">
      <c r="A5724" t="s">
        <v>93</v>
      </c>
      <c r="B5724" s="1">
        <v>44705</v>
      </c>
      <c r="C5724">
        <v>1</v>
      </c>
      <c r="D5724">
        <v>71.040000000000006</v>
      </c>
      <c r="E5724">
        <v>101</v>
      </c>
    </row>
    <row r="5725" spans="1:5" x14ac:dyDescent="0.3">
      <c r="A5725" t="s">
        <v>122</v>
      </c>
      <c r="B5725" s="1">
        <v>44705</v>
      </c>
      <c r="C5725">
        <v>1</v>
      </c>
      <c r="D5725">
        <v>23.9</v>
      </c>
      <c r="E5725">
        <v>29</v>
      </c>
    </row>
    <row r="5726" spans="1:5" x14ac:dyDescent="0.3">
      <c r="A5726" t="s">
        <v>44</v>
      </c>
      <c r="B5726" s="1">
        <v>44705</v>
      </c>
      <c r="C5726">
        <v>1</v>
      </c>
      <c r="D5726">
        <v>69.959999999999994</v>
      </c>
      <c r="E5726">
        <v>112</v>
      </c>
    </row>
    <row r="5727" spans="1:5" x14ac:dyDescent="0.3">
      <c r="A5727" t="s">
        <v>140</v>
      </c>
      <c r="B5727" s="1">
        <v>44705</v>
      </c>
      <c r="C5727">
        <v>1</v>
      </c>
      <c r="D5727">
        <v>159.22</v>
      </c>
      <c r="E5727">
        <v>191</v>
      </c>
    </row>
    <row r="5728" spans="1:5" x14ac:dyDescent="0.3">
      <c r="A5728" t="s">
        <v>93</v>
      </c>
      <c r="B5728" s="1">
        <v>44705</v>
      </c>
      <c r="C5728">
        <v>1</v>
      </c>
      <c r="D5728">
        <v>71.040000000000006</v>
      </c>
      <c r="E5728">
        <v>103</v>
      </c>
    </row>
    <row r="5729" spans="1:5" x14ac:dyDescent="0.3">
      <c r="A5729" t="s">
        <v>93</v>
      </c>
      <c r="B5729" s="1">
        <v>44705</v>
      </c>
      <c r="C5729">
        <v>1</v>
      </c>
      <c r="D5729">
        <v>71.040000000000006</v>
      </c>
      <c r="E5729">
        <v>103</v>
      </c>
    </row>
    <row r="5730" spans="1:5" x14ac:dyDescent="0.3">
      <c r="A5730" t="s">
        <v>93</v>
      </c>
      <c r="B5730" s="1">
        <v>44705</v>
      </c>
      <c r="C5730">
        <v>1</v>
      </c>
      <c r="D5730">
        <v>71.040000000000006</v>
      </c>
      <c r="E5730">
        <v>103</v>
      </c>
    </row>
    <row r="5731" spans="1:5" x14ac:dyDescent="0.3">
      <c r="A5731" t="s">
        <v>9</v>
      </c>
      <c r="B5731" s="1">
        <v>44705</v>
      </c>
      <c r="C5731">
        <v>1</v>
      </c>
      <c r="D5731">
        <v>77</v>
      </c>
      <c r="E5731">
        <v>94</v>
      </c>
    </row>
    <row r="5732" spans="1:5" x14ac:dyDescent="0.3">
      <c r="A5732" t="s">
        <v>10</v>
      </c>
      <c r="B5732" s="1">
        <v>44705</v>
      </c>
      <c r="C5732">
        <v>1</v>
      </c>
      <c r="D5732">
        <v>10.34</v>
      </c>
      <c r="E5732">
        <v>13</v>
      </c>
    </row>
    <row r="5733" spans="1:5" x14ac:dyDescent="0.3">
      <c r="A5733" t="s">
        <v>10</v>
      </c>
      <c r="B5733" s="1">
        <v>44705</v>
      </c>
      <c r="C5733">
        <v>1</v>
      </c>
      <c r="D5733">
        <v>10.34</v>
      </c>
      <c r="E5733">
        <v>13</v>
      </c>
    </row>
    <row r="5734" spans="1:5" x14ac:dyDescent="0.3">
      <c r="A5734" t="s">
        <v>25</v>
      </c>
      <c r="B5734" s="1">
        <v>44705</v>
      </c>
      <c r="C5734">
        <v>1</v>
      </c>
      <c r="D5734">
        <v>147.4</v>
      </c>
      <c r="E5734">
        <v>177</v>
      </c>
    </row>
    <row r="5735" spans="1:5" x14ac:dyDescent="0.3">
      <c r="A5735" t="s">
        <v>97</v>
      </c>
      <c r="B5735" s="1">
        <v>44705</v>
      </c>
      <c r="C5735">
        <v>1</v>
      </c>
      <c r="D5735">
        <v>426.67</v>
      </c>
      <c r="E5735">
        <v>564</v>
      </c>
    </row>
    <row r="5736" spans="1:5" x14ac:dyDescent="0.3">
      <c r="A5736" t="s">
        <v>20</v>
      </c>
      <c r="B5736" s="1">
        <v>44705</v>
      </c>
      <c r="C5736">
        <v>1</v>
      </c>
      <c r="D5736">
        <v>22.66</v>
      </c>
      <c r="E5736">
        <v>30</v>
      </c>
    </row>
    <row r="5737" spans="1:5" x14ac:dyDescent="0.3">
      <c r="A5737" t="s">
        <v>125</v>
      </c>
      <c r="B5737" s="1">
        <v>44705</v>
      </c>
      <c r="C5737">
        <v>1</v>
      </c>
      <c r="D5737">
        <v>327.48</v>
      </c>
      <c r="E5737">
        <v>433</v>
      </c>
    </row>
    <row r="5738" spans="1:5" x14ac:dyDescent="0.3">
      <c r="A5738" t="s">
        <v>135</v>
      </c>
      <c r="B5738" s="1">
        <v>44705</v>
      </c>
      <c r="C5738">
        <v>1</v>
      </c>
      <c r="D5738">
        <v>72.31</v>
      </c>
      <c r="E5738">
        <v>90</v>
      </c>
    </row>
    <row r="5739" spans="1:5" x14ac:dyDescent="0.3">
      <c r="A5739" t="s">
        <v>135</v>
      </c>
      <c r="B5739" s="1">
        <v>44705</v>
      </c>
      <c r="C5739">
        <v>1</v>
      </c>
      <c r="D5739">
        <v>72.31</v>
      </c>
      <c r="E5739">
        <v>90</v>
      </c>
    </row>
    <row r="5740" spans="1:5" x14ac:dyDescent="0.3">
      <c r="A5740" t="s">
        <v>135</v>
      </c>
      <c r="B5740" s="1">
        <v>44705</v>
      </c>
      <c r="C5740">
        <v>1</v>
      </c>
      <c r="D5740">
        <v>72.31</v>
      </c>
      <c r="E5740">
        <v>90</v>
      </c>
    </row>
    <row r="5741" spans="1:5" x14ac:dyDescent="0.3">
      <c r="A5741" t="s">
        <v>135</v>
      </c>
      <c r="B5741" s="1">
        <v>44705</v>
      </c>
      <c r="C5741">
        <v>1</v>
      </c>
      <c r="D5741">
        <v>72.31</v>
      </c>
      <c r="E5741">
        <v>90</v>
      </c>
    </row>
    <row r="5742" spans="1:5" x14ac:dyDescent="0.3">
      <c r="A5742" t="s">
        <v>135</v>
      </c>
      <c r="B5742" s="1">
        <v>44705</v>
      </c>
      <c r="C5742">
        <v>1</v>
      </c>
      <c r="D5742">
        <v>72.31</v>
      </c>
      <c r="E5742">
        <v>90</v>
      </c>
    </row>
    <row r="5743" spans="1:5" x14ac:dyDescent="0.3">
      <c r="A5743" t="s">
        <v>135</v>
      </c>
      <c r="B5743" s="1">
        <v>44705</v>
      </c>
      <c r="C5743">
        <v>1</v>
      </c>
      <c r="D5743">
        <v>72.31</v>
      </c>
      <c r="E5743">
        <v>90</v>
      </c>
    </row>
    <row r="5744" spans="1:5" x14ac:dyDescent="0.3">
      <c r="A5744" t="s">
        <v>98</v>
      </c>
      <c r="B5744" s="1">
        <v>44705</v>
      </c>
      <c r="C5744">
        <v>1</v>
      </c>
      <c r="D5744">
        <v>111.21</v>
      </c>
      <c r="E5744">
        <v>131</v>
      </c>
    </row>
    <row r="5745" spans="1:5" x14ac:dyDescent="0.3">
      <c r="A5745" t="s">
        <v>25</v>
      </c>
      <c r="B5745" s="1">
        <v>44705</v>
      </c>
      <c r="C5745">
        <v>1</v>
      </c>
      <c r="D5745">
        <v>147.18</v>
      </c>
      <c r="E5745">
        <v>176</v>
      </c>
    </row>
    <row r="5746" spans="1:5" x14ac:dyDescent="0.3">
      <c r="A5746" t="s">
        <v>8</v>
      </c>
      <c r="B5746" s="1">
        <v>44705</v>
      </c>
      <c r="C5746">
        <v>1</v>
      </c>
      <c r="D5746">
        <v>47.03</v>
      </c>
      <c r="E5746">
        <v>77</v>
      </c>
    </row>
    <row r="5747" spans="1:5" x14ac:dyDescent="0.3">
      <c r="A5747" t="s">
        <v>25</v>
      </c>
      <c r="B5747" s="1">
        <v>44705</v>
      </c>
      <c r="C5747">
        <v>1</v>
      </c>
      <c r="D5747">
        <v>147.18</v>
      </c>
      <c r="E5747">
        <v>176</v>
      </c>
    </row>
    <row r="5748" spans="1:5" x14ac:dyDescent="0.3">
      <c r="A5748" t="s">
        <v>25</v>
      </c>
      <c r="B5748" s="1">
        <v>44705</v>
      </c>
      <c r="C5748">
        <v>1</v>
      </c>
      <c r="D5748">
        <v>147.18</v>
      </c>
      <c r="E5748">
        <v>176</v>
      </c>
    </row>
    <row r="5749" spans="1:5" x14ac:dyDescent="0.3">
      <c r="A5749" t="s">
        <v>104</v>
      </c>
      <c r="B5749" s="1">
        <v>44705</v>
      </c>
      <c r="C5749">
        <v>1</v>
      </c>
      <c r="D5749">
        <v>44.37</v>
      </c>
      <c r="E5749">
        <v>56</v>
      </c>
    </row>
    <row r="5750" spans="1:5" x14ac:dyDescent="0.3">
      <c r="A5750" t="s">
        <v>114</v>
      </c>
      <c r="B5750" s="1">
        <v>44705</v>
      </c>
      <c r="C5750">
        <v>1</v>
      </c>
      <c r="D5750">
        <v>74.8</v>
      </c>
      <c r="E5750">
        <v>92</v>
      </c>
    </row>
    <row r="5751" spans="1:5" x14ac:dyDescent="0.3">
      <c r="A5751" t="s">
        <v>104</v>
      </c>
      <c r="B5751" s="1">
        <v>44705</v>
      </c>
      <c r="C5751">
        <v>1</v>
      </c>
      <c r="D5751">
        <v>44.37</v>
      </c>
      <c r="E5751">
        <v>56</v>
      </c>
    </row>
    <row r="5752" spans="1:5" x14ac:dyDescent="0.3">
      <c r="A5752" t="s">
        <v>76</v>
      </c>
      <c r="B5752" s="1">
        <v>44705</v>
      </c>
      <c r="C5752">
        <v>1</v>
      </c>
      <c r="D5752">
        <v>34.07</v>
      </c>
      <c r="E5752">
        <v>41</v>
      </c>
    </row>
    <row r="5753" spans="1:5" x14ac:dyDescent="0.3">
      <c r="A5753" t="s">
        <v>11</v>
      </c>
      <c r="B5753" s="1">
        <v>44705</v>
      </c>
      <c r="C5753">
        <v>1</v>
      </c>
      <c r="D5753">
        <v>24.2</v>
      </c>
      <c r="E5753">
        <v>39</v>
      </c>
    </row>
    <row r="5754" spans="1:5" x14ac:dyDescent="0.3">
      <c r="A5754" t="s">
        <v>7</v>
      </c>
      <c r="B5754" s="1">
        <v>44705</v>
      </c>
      <c r="C5754">
        <v>1</v>
      </c>
      <c r="D5754">
        <v>88.74</v>
      </c>
      <c r="E5754">
        <v>104</v>
      </c>
    </row>
    <row r="5755" spans="1:5" x14ac:dyDescent="0.3">
      <c r="A5755" t="s">
        <v>78</v>
      </c>
      <c r="B5755" s="1">
        <v>44705</v>
      </c>
      <c r="C5755">
        <v>1</v>
      </c>
      <c r="D5755">
        <v>69.290000000000006</v>
      </c>
      <c r="E5755">
        <v>88</v>
      </c>
    </row>
    <row r="5756" spans="1:5" x14ac:dyDescent="0.3">
      <c r="A5756" t="s">
        <v>98</v>
      </c>
      <c r="B5756" s="1">
        <v>44705</v>
      </c>
      <c r="C5756">
        <v>1</v>
      </c>
      <c r="D5756">
        <v>112.37</v>
      </c>
      <c r="E5756">
        <v>135</v>
      </c>
    </row>
    <row r="5757" spans="1:5" x14ac:dyDescent="0.3">
      <c r="A5757" t="s">
        <v>26</v>
      </c>
      <c r="B5757" s="1">
        <v>44705</v>
      </c>
      <c r="C5757">
        <v>0.3</v>
      </c>
      <c r="D5757">
        <v>989.8</v>
      </c>
      <c r="E5757">
        <v>1238</v>
      </c>
    </row>
    <row r="5758" spans="1:5" x14ac:dyDescent="0.3">
      <c r="A5758" t="s">
        <v>98</v>
      </c>
      <c r="B5758" s="1">
        <v>44705</v>
      </c>
      <c r="C5758">
        <v>1</v>
      </c>
      <c r="D5758">
        <v>111.32</v>
      </c>
      <c r="E5758">
        <v>134</v>
      </c>
    </row>
    <row r="5759" spans="1:5" x14ac:dyDescent="0.3">
      <c r="A5759" t="s">
        <v>26</v>
      </c>
      <c r="B5759" s="1">
        <v>44705</v>
      </c>
      <c r="C5759">
        <v>0.1</v>
      </c>
      <c r="D5759">
        <v>994.36</v>
      </c>
      <c r="E5759">
        <v>1343</v>
      </c>
    </row>
    <row r="5760" spans="1:5" x14ac:dyDescent="0.3">
      <c r="A5760" t="s">
        <v>98</v>
      </c>
      <c r="B5760" s="1">
        <v>44705</v>
      </c>
      <c r="C5760">
        <v>1</v>
      </c>
      <c r="D5760">
        <v>112.37</v>
      </c>
      <c r="E5760">
        <v>135</v>
      </c>
    </row>
    <row r="5761" spans="1:5" x14ac:dyDescent="0.3">
      <c r="A5761" t="s">
        <v>25</v>
      </c>
      <c r="B5761" s="1">
        <v>44705</v>
      </c>
      <c r="C5761">
        <v>1</v>
      </c>
      <c r="D5761">
        <v>147.18</v>
      </c>
      <c r="E5761">
        <v>177</v>
      </c>
    </row>
    <row r="5762" spans="1:5" x14ac:dyDescent="0.3">
      <c r="A5762" t="s">
        <v>23</v>
      </c>
      <c r="B5762" s="1">
        <v>44705</v>
      </c>
      <c r="C5762">
        <v>1</v>
      </c>
      <c r="D5762">
        <v>109.41</v>
      </c>
      <c r="E5762">
        <v>123</v>
      </c>
    </row>
    <row r="5763" spans="1:5" x14ac:dyDescent="0.3">
      <c r="A5763" t="s">
        <v>114</v>
      </c>
      <c r="B5763" s="1">
        <v>44705</v>
      </c>
      <c r="C5763">
        <v>1</v>
      </c>
      <c r="D5763">
        <v>74.8</v>
      </c>
      <c r="E5763">
        <v>92</v>
      </c>
    </row>
    <row r="5764" spans="1:5" x14ac:dyDescent="0.3">
      <c r="A5764" t="s">
        <v>114</v>
      </c>
      <c r="B5764" s="1">
        <v>44705</v>
      </c>
      <c r="C5764">
        <v>1</v>
      </c>
      <c r="D5764">
        <v>74.8</v>
      </c>
      <c r="E5764">
        <v>92</v>
      </c>
    </row>
    <row r="5765" spans="1:5" x14ac:dyDescent="0.3">
      <c r="A5765" t="s">
        <v>153</v>
      </c>
      <c r="B5765" s="1">
        <v>44705</v>
      </c>
      <c r="C5765">
        <v>1</v>
      </c>
      <c r="D5765">
        <v>10.34</v>
      </c>
      <c r="E5765">
        <v>12</v>
      </c>
    </row>
    <row r="5766" spans="1:5" x14ac:dyDescent="0.3">
      <c r="A5766" t="s">
        <v>28</v>
      </c>
      <c r="B5766" s="1">
        <v>44705</v>
      </c>
      <c r="C5766">
        <v>1</v>
      </c>
      <c r="D5766">
        <v>122.75</v>
      </c>
      <c r="E5766">
        <v>174</v>
      </c>
    </row>
    <row r="5767" spans="1:5" x14ac:dyDescent="0.3">
      <c r="A5767" t="s">
        <v>156</v>
      </c>
      <c r="B5767" s="1">
        <v>44705</v>
      </c>
      <c r="C5767">
        <v>1</v>
      </c>
      <c r="D5767">
        <v>249.76</v>
      </c>
      <c r="E5767">
        <v>338</v>
      </c>
    </row>
    <row r="5768" spans="1:5" x14ac:dyDescent="0.3">
      <c r="A5768" t="s">
        <v>156</v>
      </c>
      <c r="B5768" s="1">
        <v>44705</v>
      </c>
      <c r="C5768">
        <v>1</v>
      </c>
      <c r="D5768">
        <v>249.76</v>
      </c>
      <c r="E5768">
        <v>338</v>
      </c>
    </row>
    <row r="5769" spans="1:5" x14ac:dyDescent="0.3">
      <c r="A5769" t="s">
        <v>79</v>
      </c>
      <c r="B5769" s="1">
        <v>44705</v>
      </c>
      <c r="C5769">
        <v>1</v>
      </c>
      <c r="D5769">
        <v>148.5</v>
      </c>
      <c r="E5769">
        <v>177</v>
      </c>
    </row>
    <row r="5770" spans="1:5" x14ac:dyDescent="0.3">
      <c r="A5770" t="s">
        <v>96</v>
      </c>
      <c r="B5770" s="1">
        <v>44705</v>
      </c>
      <c r="C5770">
        <v>1</v>
      </c>
      <c r="D5770">
        <v>72.42</v>
      </c>
      <c r="E5770">
        <v>103</v>
      </c>
    </row>
    <row r="5771" spans="1:5" x14ac:dyDescent="0.3">
      <c r="A5771" t="s">
        <v>23</v>
      </c>
      <c r="B5771" s="1">
        <v>44705</v>
      </c>
      <c r="C5771">
        <v>1</v>
      </c>
      <c r="D5771">
        <v>109.41</v>
      </c>
      <c r="E5771">
        <v>123</v>
      </c>
    </row>
    <row r="5772" spans="1:5" x14ac:dyDescent="0.3">
      <c r="A5772" t="s">
        <v>23</v>
      </c>
      <c r="B5772" s="1">
        <v>44705</v>
      </c>
      <c r="C5772">
        <v>1</v>
      </c>
      <c r="D5772">
        <v>109.41</v>
      </c>
      <c r="E5772">
        <v>123</v>
      </c>
    </row>
    <row r="5773" spans="1:5" x14ac:dyDescent="0.3">
      <c r="A5773" t="s">
        <v>129</v>
      </c>
      <c r="B5773" s="1">
        <v>44705</v>
      </c>
      <c r="C5773">
        <v>0.2</v>
      </c>
      <c r="D5773">
        <v>495.41</v>
      </c>
      <c r="E5773">
        <v>596</v>
      </c>
    </row>
    <row r="5774" spans="1:5" x14ac:dyDescent="0.3">
      <c r="A5774" t="s">
        <v>129</v>
      </c>
      <c r="B5774" s="1">
        <v>44705</v>
      </c>
      <c r="C5774">
        <v>0.2</v>
      </c>
      <c r="D5774">
        <v>495.19</v>
      </c>
      <c r="E5774">
        <v>596</v>
      </c>
    </row>
    <row r="5775" spans="1:5" x14ac:dyDescent="0.3">
      <c r="A5775" t="s">
        <v>20</v>
      </c>
      <c r="B5775" s="1">
        <v>44705</v>
      </c>
      <c r="C5775">
        <v>1</v>
      </c>
      <c r="D5775">
        <v>19.66</v>
      </c>
      <c r="E5775">
        <v>25</v>
      </c>
    </row>
    <row r="5776" spans="1:5" x14ac:dyDescent="0.3">
      <c r="A5776" t="s">
        <v>20</v>
      </c>
      <c r="B5776" s="1">
        <v>44705</v>
      </c>
      <c r="C5776">
        <v>1</v>
      </c>
      <c r="D5776">
        <v>19.66</v>
      </c>
      <c r="E5776">
        <v>25</v>
      </c>
    </row>
    <row r="5777" spans="1:5" x14ac:dyDescent="0.3">
      <c r="A5777" t="s">
        <v>53</v>
      </c>
      <c r="B5777" s="1">
        <v>44705</v>
      </c>
      <c r="C5777">
        <v>1</v>
      </c>
      <c r="D5777">
        <v>24.6</v>
      </c>
      <c r="E5777">
        <v>40</v>
      </c>
    </row>
    <row r="5778" spans="1:5" x14ac:dyDescent="0.3">
      <c r="A5778" t="s">
        <v>152</v>
      </c>
      <c r="B5778" s="1">
        <v>44705</v>
      </c>
      <c r="C5778">
        <v>1</v>
      </c>
      <c r="D5778">
        <v>107.99</v>
      </c>
      <c r="E5778">
        <v>135</v>
      </c>
    </row>
    <row r="5779" spans="1:5" x14ac:dyDescent="0.3">
      <c r="A5779" t="s">
        <v>16</v>
      </c>
      <c r="B5779" s="1">
        <v>44705</v>
      </c>
      <c r="C5779">
        <v>1</v>
      </c>
      <c r="D5779">
        <v>43.49</v>
      </c>
      <c r="E5779">
        <v>67</v>
      </c>
    </row>
    <row r="5780" spans="1:5" x14ac:dyDescent="0.3">
      <c r="A5780" t="s">
        <v>6</v>
      </c>
      <c r="B5780" s="1">
        <v>44705</v>
      </c>
      <c r="C5780">
        <v>0.4</v>
      </c>
      <c r="D5780">
        <v>431.48</v>
      </c>
      <c r="E5780">
        <v>540</v>
      </c>
    </row>
    <row r="5781" spans="1:5" x14ac:dyDescent="0.3">
      <c r="A5781" t="s">
        <v>142</v>
      </c>
      <c r="B5781" s="1">
        <v>44705</v>
      </c>
      <c r="C5781">
        <v>1</v>
      </c>
      <c r="D5781">
        <v>12.86</v>
      </c>
      <c r="E5781">
        <v>15</v>
      </c>
    </row>
    <row r="5782" spans="1:5" x14ac:dyDescent="0.3">
      <c r="A5782" t="s">
        <v>142</v>
      </c>
      <c r="B5782" s="1">
        <v>44705</v>
      </c>
      <c r="C5782">
        <v>1</v>
      </c>
      <c r="D5782">
        <v>12.86</v>
      </c>
      <c r="E5782">
        <v>15</v>
      </c>
    </row>
    <row r="5783" spans="1:5" x14ac:dyDescent="0.3">
      <c r="A5783" t="s">
        <v>142</v>
      </c>
      <c r="B5783" s="1">
        <v>44705</v>
      </c>
      <c r="C5783">
        <v>1</v>
      </c>
      <c r="D5783">
        <v>12.86</v>
      </c>
      <c r="E5783">
        <v>15</v>
      </c>
    </row>
    <row r="5784" spans="1:5" x14ac:dyDescent="0.3">
      <c r="A5784" t="s">
        <v>142</v>
      </c>
      <c r="B5784" s="1">
        <v>44705</v>
      </c>
      <c r="C5784">
        <v>1</v>
      </c>
      <c r="D5784">
        <v>12.86</v>
      </c>
      <c r="E5784">
        <v>15</v>
      </c>
    </row>
    <row r="5785" spans="1:5" x14ac:dyDescent="0.3">
      <c r="A5785" t="s">
        <v>142</v>
      </c>
      <c r="B5785" s="1">
        <v>44705</v>
      </c>
      <c r="C5785">
        <v>1</v>
      </c>
      <c r="D5785">
        <v>12.86</v>
      </c>
      <c r="E5785">
        <v>15</v>
      </c>
    </row>
    <row r="5786" spans="1:5" x14ac:dyDescent="0.3">
      <c r="A5786" t="s">
        <v>142</v>
      </c>
      <c r="B5786" s="1">
        <v>44705</v>
      </c>
      <c r="C5786">
        <v>1</v>
      </c>
      <c r="D5786">
        <v>12.86</v>
      </c>
      <c r="E5786">
        <v>15</v>
      </c>
    </row>
    <row r="5787" spans="1:5" x14ac:dyDescent="0.3">
      <c r="A5787" t="s">
        <v>8</v>
      </c>
      <c r="B5787" s="1">
        <v>44705</v>
      </c>
      <c r="C5787">
        <v>2</v>
      </c>
      <c r="D5787">
        <v>58.34</v>
      </c>
      <c r="E5787">
        <v>92</v>
      </c>
    </row>
    <row r="5788" spans="1:5" x14ac:dyDescent="0.3">
      <c r="A5788" t="s">
        <v>9</v>
      </c>
      <c r="B5788" s="1">
        <v>44705</v>
      </c>
      <c r="C5788">
        <v>1</v>
      </c>
      <c r="D5788">
        <v>80.73</v>
      </c>
      <c r="E5788">
        <v>98</v>
      </c>
    </row>
    <row r="5789" spans="1:5" x14ac:dyDescent="0.3">
      <c r="A5789" t="s">
        <v>10</v>
      </c>
      <c r="B5789" s="1">
        <v>44705</v>
      </c>
      <c r="C5789">
        <v>1</v>
      </c>
      <c r="D5789">
        <v>10.34</v>
      </c>
      <c r="E5789">
        <v>13</v>
      </c>
    </row>
    <row r="5790" spans="1:5" x14ac:dyDescent="0.3">
      <c r="A5790" t="s">
        <v>153</v>
      </c>
      <c r="B5790" s="1">
        <v>44705</v>
      </c>
      <c r="C5790">
        <v>1</v>
      </c>
      <c r="D5790">
        <v>9.4600000000000009</v>
      </c>
      <c r="E5790">
        <v>11</v>
      </c>
    </row>
    <row r="5791" spans="1:5" x14ac:dyDescent="0.3">
      <c r="A5791" t="s">
        <v>127</v>
      </c>
      <c r="B5791" s="1">
        <v>44705</v>
      </c>
      <c r="C5791">
        <v>1</v>
      </c>
      <c r="D5791">
        <v>119.8</v>
      </c>
      <c r="E5791">
        <v>169</v>
      </c>
    </row>
    <row r="5792" spans="1:5" x14ac:dyDescent="0.3">
      <c r="A5792" t="s">
        <v>66</v>
      </c>
      <c r="B5792" s="1">
        <v>44705</v>
      </c>
      <c r="C5792">
        <v>1</v>
      </c>
      <c r="D5792">
        <v>30.56</v>
      </c>
      <c r="E5792">
        <v>36</v>
      </c>
    </row>
    <row r="5793" spans="1:5" x14ac:dyDescent="0.3">
      <c r="A5793" t="s">
        <v>102</v>
      </c>
      <c r="B5793" s="1">
        <v>44705</v>
      </c>
      <c r="C5793">
        <v>1</v>
      </c>
      <c r="D5793">
        <v>26.11</v>
      </c>
      <c r="E5793">
        <v>32</v>
      </c>
    </row>
    <row r="5794" spans="1:5" x14ac:dyDescent="0.3">
      <c r="A5794" t="s">
        <v>102</v>
      </c>
      <c r="B5794" s="1">
        <v>44705</v>
      </c>
      <c r="C5794">
        <v>1</v>
      </c>
      <c r="D5794">
        <v>26.11</v>
      </c>
      <c r="E5794">
        <v>32</v>
      </c>
    </row>
    <row r="5795" spans="1:5" x14ac:dyDescent="0.3">
      <c r="A5795" t="s">
        <v>102</v>
      </c>
      <c r="B5795" s="1">
        <v>44705</v>
      </c>
      <c r="C5795">
        <v>1</v>
      </c>
      <c r="D5795">
        <v>26.11</v>
      </c>
      <c r="E5795">
        <v>32</v>
      </c>
    </row>
    <row r="5796" spans="1:5" x14ac:dyDescent="0.3">
      <c r="A5796" t="s">
        <v>102</v>
      </c>
      <c r="B5796" s="1">
        <v>44705</v>
      </c>
      <c r="C5796">
        <v>1</v>
      </c>
      <c r="D5796">
        <v>26.11</v>
      </c>
      <c r="E5796">
        <v>32</v>
      </c>
    </row>
    <row r="5797" spans="1:5" x14ac:dyDescent="0.3">
      <c r="A5797" t="s">
        <v>102</v>
      </c>
      <c r="B5797" s="1">
        <v>44705</v>
      </c>
      <c r="C5797">
        <v>1</v>
      </c>
      <c r="D5797">
        <v>26.11</v>
      </c>
      <c r="E5797">
        <v>32</v>
      </c>
    </row>
    <row r="5798" spans="1:5" x14ac:dyDescent="0.3">
      <c r="A5798" t="s">
        <v>102</v>
      </c>
      <c r="B5798" s="1">
        <v>44705</v>
      </c>
      <c r="C5798">
        <v>1</v>
      </c>
      <c r="D5798">
        <v>26.11</v>
      </c>
      <c r="E5798">
        <v>32</v>
      </c>
    </row>
    <row r="5799" spans="1:5" x14ac:dyDescent="0.3">
      <c r="A5799" t="s">
        <v>66</v>
      </c>
      <c r="B5799" s="1">
        <v>44705</v>
      </c>
      <c r="C5799">
        <v>1</v>
      </c>
      <c r="D5799">
        <v>33</v>
      </c>
      <c r="E5799">
        <v>38</v>
      </c>
    </row>
    <row r="5800" spans="1:5" x14ac:dyDescent="0.3">
      <c r="A5800" t="s">
        <v>66</v>
      </c>
      <c r="B5800" s="1">
        <v>44705</v>
      </c>
      <c r="C5800">
        <v>1</v>
      </c>
      <c r="D5800">
        <v>33</v>
      </c>
      <c r="E5800">
        <v>38</v>
      </c>
    </row>
    <row r="5801" spans="1:5" x14ac:dyDescent="0.3">
      <c r="A5801" t="s">
        <v>66</v>
      </c>
      <c r="B5801" s="1">
        <v>44705</v>
      </c>
      <c r="C5801">
        <v>1</v>
      </c>
      <c r="D5801">
        <v>33</v>
      </c>
      <c r="E5801">
        <v>38</v>
      </c>
    </row>
    <row r="5802" spans="1:5" x14ac:dyDescent="0.3">
      <c r="A5802" t="s">
        <v>66</v>
      </c>
      <c r="B5802" s="1">
        <v>44705</v>
      </c>
      <c r="C5802">
        <v>1</v>
      </c>
      <c r="D5802">
        <v>33</v>
      </c>
      <c r="E5802">
        <v>38</v>
      </c>
    </row>
    <row r="5803" spans="1:5" x14ac:dyDescent="0.3">
      <c r="A5803" t="s">
        <v>66</v>
      </c>
      <c r="B5803" s="1">
        <v>44705</v>
      </c>
      <c r="C5803">
        <v>1</v>
      </c>
      <c r="D5803">
        <v>33</v>
      </c>
      <c r="E5803">
        <v>38</v>
      </c>
    </row>
    <row r="5804" spans="1:5" x14ac:dyDescent="0.3">
      <c r="A5804" t="s">
        <v>66</v>
      </c>
      <c r="B5804" s="1">
        <v>44705</v>
      </c>
      <c r="C5804">
        <v>1</v>
      </c>
      <c r="D5804">
        <v>33</v>
      </c>
      <c r="E5804">
        <v>38</v>
      </c>
    </row>
    <row r="5805" spans="1:5" x14ac:dyDescent="0.3">
      <c r="A5805" t="s">
        <v>66</v>
      </c>
      <c r="B5805" s="1">
        <v>44705</v>
      </c>
      <c r="C5805">
        <v>1</v>
      </c>
      <c r="D5805">
        <v>33</v>
      </c>
      <c r="E5805">
        <v>38</v>
      </c>
    </row>
    <row r="5806" spans="1:5" x14ac:dyDescent="0.3">
      <c r="A5806" t="s">
        <v>66</v>
      </c>
      <c r="B5806" s="1">
        <v>44705</v>
      </c>
      <c r="C5806">
        <v>1</v>
      </c>
      <c r="D5806">
        <v>33</v>
      </c>
      <c r="E5806">
        <v>38</v>
      </c>
    </row>
    <row r="5807" spans="1:5" x14ac:dyDescent="0.3">
      <c r="A5807" t="s">
        <v>66</v>
      </c>
      <c r="B5807" s="1">
        <v>44705</v>
      </c>
      <c r="C5807">
        <v>1</v>
      </c>
      <c r="D5807">
        <v>33</v>
      </c>
      <c r="E5807">
        <v>38</v>
      </c>
    </row>
    <row r="5808" spans="1:5" x14ac:dyDescent="0.3">
      <c r="A5808" t="s">
        <v>66</v>
      </c>
      <c r="B5808" s="1">
        <v>44705</v>
      </c>
      <c r="C5808">
        <v>1</v>
      </c>
      <c r="D5808">
        <v>33</v>
      </c>
      <c r="E5808">
        <v>38</v>
      </c>
    </row>
    <row r="5809" spans="1:5" x14ac:dyDescent="0.3">
      <c r="A5809" t="s">
        <v>66</v>
      </c>
      <c r="B5809" s="1">
        <v>44705</v>
      </c>
      <c r="C5809">
        <v>1</v>
      </c>
      <c r="D5809">
        <v>33</v>
      </c>
      <c r="E5809">
        <v>38</v>
      </c>
    </row>
    <row r="5810" spans="1:5" x14ac:dyDescent="0.3">
      <c r="A5810" t="s">
        <v>66</v>
      </c>
      <c r="B5810" s="1">
        <v>44705</v>
      </c>
      <c r="C5810">
        <v>1</v>
      </c>
      <c r="D5810">
        <v>33</v>
      </c>
      <c r="E5810">
        <v>38</v>
      </c>
    </row>
    <row r="5811" spans="1:5" x14ac:dyDescent="0.3">
      <c r="A5811" t="s">
        <v>66</v>
      </c>
      <c r="B5811" s="1">
        <v>44705</v>
      </c>
      <c r="C5811">
        <v>1</v>
      </c>
      <c r="D5811">
        <v>33</v>
      </c>
      <c r="E5811">
        <v>38</v>
      </c>
    </row>
    <row r="5812" spans="1:5" x14ac:dyDescent="0.3">
      <c r="A5812" t="s">
        <v>66</v>
      </c>
      <c r="B5812" s="1">
        <v>44705</v>
      </c>
      <c r="C5812">
        <v>1</v>
      </c>
      <c r="D5812">
        <v>33</v>
      </c>
      <c r="E5812">
        <v>38</v>
      </c>
    </row>
    <row r="5813" spans="1:5" x14ac:dyDescent="0.3">
      <c r="A5813" t="s">
        <v>66</v>
      </c>
      <c r="B5813" s="1">
        <v>44705</v>
      </c>
      <c r="C5813">
        <v>1</v>
      </c>
      <c r="D5813">
        <v>33</v>
      </c>
      <c r="E5813">
        <v>38</v>
      </c>
    </row>
    <row r="5814" spans="1:5" x14ac:dyDescent="0.3">
      <c r="A5814" t="s">
        <v>66</v>
      </c>
      <c r="B5814" s="1">
        <v>44705</v>
      </c>
      <c r="C5814">
        <v>1</v>
      </c>
      <c r="D5814">
        <v>33</v>
      </c>
      <c r="E5814">
        <v>38</v>
      </c>
    </row>
    <row r="5815" spans="1:5" x14ac:dyDescent="0.3">
      <c r="A5815" t="s">
        <v>66</v>
      </c>
      <c r="B5815" s="1">
        <v>44705</v>
      </c>
      <c r="C5815">
        <v>1</v>
      </c>
      <c r="D5815">
        <v>33</v>
      </c>
      <c r="E5815">
        <v>38</v>
      </c>
    </row>
    <row r="5816" spans="1:5" x14ac:dyDescent="0.3">
      <c r="A5816" t="s">
        <v>66</v>
      </c>
      <c r="B5816" s="1">
        <v>44705</v>
      </c>
      <c r="C5816">
        <v>1</v>
      </c>
      <c r="D5816">
        <v>33</v>
      </c>
      <c r="E5816">
        <v>38</v>
      </c>
    </row>
    <row r="5817" spans="1:5" x14ac:dyDescent="0.3">
      <c r="A5817" t="s">
        <v>66</v>
      </c>
      <c r="B5817" s="1">
        <v>44705</v>
      </c>
      <c r="C5817">
        <v>1</v>
      </c>
      <c r="D5817">
        <v>33</v>
      </c>
      <c r="E5817">
        <v>38</v>
      </c>
    </row>
    <row r="5818" spans="1:5" x14ac:dyDescent="0.3">
      <c r="A5818" t="s">
        <v>66</v>
      </c>
      <c r="B5818" s="1">
        <v>44705</v>
      </c>
      <c r="C5818">
        <v>1</v>
      </c>
      <c r="D5818">
        <v>33</v>
      </c>
      <c r="E5818">
        <v>38</v>
      </c>
    </row>
    <row r="5819" spans="1:5" x14ac:dyDescent="0.3">
      <c r="A5819" t="s">
        <v>34</v>
      </c>
      <c r="B5819" s="1">
        <v>44705</v>
      </c>
      <c r="C5819">
        <v>1</v>
      </c>
      <c r="D5819">
        <v>202.19</v>
      </c>
      <c r="E5819">
        <v>233</v>
      </c>
    </row>
    <row r="5820" spans="1:5" x14ac:dyDescent="0.3">
      <c r="A5820" t="s">
        <v>56</v>
      </c>
      <c r="B5820" s="1">
        <v>44705</v>
      </c>
      <c r="C5820">
        <v>1</v>
      </c>
      <c r="D5820">
        <v>43.86</v>
      </c>
      <c r="E5820">
        <v>67</v>
      </c>
    </row>
    <row r="5821" spans="1:5" x14ac:dyDescent="0.3">
      <c r="A5821" t="s">
        <v>65</v>
      </c>
      <c r="B5821" s="1">
        <v>44705</v>
      </c>
      <c r="C5821">
        <v>1</v>
      </c>
      <c r="D5821">
        <v>184.07</v>
      </c>
      <c r="E5821">
        <v>234</v>
      </c>
    </row>
    <row r="5822" spans="1:5" x14ac:dyDescent="0.3">
      <c r="A5822" t="s">
        <v>36</v>
      </c>
      <c r="B5822" s="1">
        <v>44705</v>
      </c>
      <c r="C5822">
        <v>1</v>
      </c>
      <c r="D5822">
        <v>22.03</v>
      </c>
      <c r="E5822">
        <v>28</v>
      </c>
    </row>
    <row r="5823" spans="1:5" x14ac:dyDescent="0.3">
      <c r="A5823" t="s">
        <v>36</v>
      </c>
      <c r="B5823" s="1">
        <v>44705</v>
      </c>
      <c r="C5823">
        <v>1</v>
      </c>
      <c r="D5823">
        <v>22.03</v>
      </c>
      <c r="E5823">
        <v>28</v>
      </c>
    </row>
    <row r="5824" spans="1:5" x14ac:dyDescent="0.3">
      <c r="A5824" t="s">
        <v>36</v>
      </c>
      <c r="B5824" s="1">
        <v>44705</v>
      </c>
      <c r="C5824">
        <v>1</v>
      </c>
      <c r="D5824">
        <v>22.03</v>
      </c>
      <c r="E5824">
        <v>28</v>
      </c>
    </row>
    <row r="5825" spans="1:5" x14ac:dyDescent="0.3">
      <c r="A5825" t="s">
        <v>150</v>
      </c>
      <c r="B5825" s="1">
        <v>44705</v>
      </c>
      <c r="C5825">
        <v>2</v>
      </c>
      <c r="D5825">
        <v>82.64</v>
      </c>
      <c r="E5825">
        <v>129</v>
      </c>
    </row>
    <row r="5826" spans="1:5" x14ac:dyDescent="0.3">
      <c r="A5826" t="s">
        <v>39</v>
      </c>
      <c r="B5826" s="1">
        <v>44705</v>
      </c>
      <c r="C5826">
        <v>1</v>
      </c>
      <c r="D5826">
        <v>9.9499999999999993</v>
      </c>
      <c r="E5826">
        <v>17</v>
      </c>
    </row>
    <row r="5827" spans="1:5" x14ac:dyDescent="0.3">
      <c r="A5827" t="s">
        <v>95</v>
      </c>
      <c r="B5827" s="1">
        <v>44705</v>
      </c>
      <c r="C5827">
        <v>1</v>
      </c>
      <c r="D5827">
        <v>113.11</v>
      </c>
      <c r="E5827">
        <v>174</v>
      </c>
    </row>
    <row r="5828" spans="1:5" x14ac:dyDescent="0.3">
      <c r="A5828" t="s">
        <v>55</v>
      </c>
      <c r="B5828" s="1">
        <v>44705</v>
      </c>
      <c r="C5828">
        <v>1</v>
      </c>
      <c r="D5828">
        <v>77.78</v>
      </c>
      <c r="E5828">
        <v>97</v>
      </c>
    </row>
    <row r="5829" spans="1:5" x14ac:dyDescent="0.3">
      <c r="A5829" t="s">
        <v>93</v>
      </c>
      <c r="B5829" s="1">
        <v>44705</v>
      </c>
      <c r="C5829">
        <v>1</v>
      </c>
      <c r="D5829">
        <v>70.97</v>
      </c>
      <c r="E5829">
        <v>106</v>
      </c>
    </row>
    <row r="5830" spans="1:5" x14ac:dyDescent="0.3">
      <c r="A5830" t="s">
        <v>93</v>
      </c>
      <c r="B5830" s="1">
        <v>44705</v>
      </c>
      <c r="C5830">
        <v>1</v>
      </c>
      <c r="D5830">
        <v>70.97</v>
      </c>
      <c r="E5830">
        <v>106</v>
      </c>
    </row>
    <row r="5831" spans="1:5" x14ac:dyDescent="0.3">
      <c r="A5831" t="s">
        <v>93</v>
      </c>
      <c r="B5831" s="1">
        <v>44705</v>
      </c>
      <c r="C5831">
        <v>1</v>
      </c>
      <c r="D5831">
        <v>70.97</v>
      </c>
      <c r="E5831">
        <v>106</v>
      </c>
    </row>
    <row r="5832" spans="1:5" x14ac:dyDescent="0.3">
      <c r="A5832" t="s">
        <v>59</v>
      </c>
      <c r="B5832" s="1">
        <v>44705</v>
      </c>
      <c r="C5832">
        <v>1</v>
      </c>
      <c r="D5832">
        <v>13.11</v>
      </c>
      <c r="E5832">
        <v>21</v>
      </c>
    </row>
    <row r="5833" spans="1:5" x14ac:dyDescent="0.3">
      <c r="A5833" t="s">
        <v>65</v>
      </c>
      <c r="B5833" s="1">
        <v>44705</v>
      </c>
      <c r="C5833">
        <v>1</v>
      </c>
      <c r="D5833">
        <v>184.45</v>
      </c>
      <c r="E5833">
        <v>235</v>
      </c>
    </row>
    <row r="5834" spans="1:5" x14ac:dyDescent="0.3">
      <c r="A5834" t="s">
        <v>7</v>
      </c>
      <c r="B5834" s="1">
        <v>44705</v>
      </c>
      <c r="C5834">
        <v>1</v>
      </c>
      <c r="D5834">
        <v>88.43</v>
      </c>
      <c r="E5834">
        <v>106</v>
      </c>
    </row>
    <row r="5835" spans="1:5" x14ac:dyDescent="0.3">
      <c r="A5835" t="s">
        <v>77</v>
      </c>
      <c r="B5835" s="1">
        <v>44705</v>
      </c>
      <c r="C5835">
        <v>1</v>
      </c>
      <c r="D5835">
        <v>60.68</v>
      </c>
      <c r="E5835">
        <v>76</v>
      </c>
    </row>
    <row r="5836" spans="1:5" x14ac:dyDescent="0.3">
      <c r="A5836" t="s">
        <v>77</v>
      </c>
      <c r="B5836" s="1">
        <v>44705</v>
      </c>
      <c r="C5836">
        <v>1</v>
      </c>
      <c r="D5836">
        <v>60.68</v>
      </c>
      <c r="E5836">
        <v>76</v>
      </c>
    </row>
    <row r="5837" spans="1:5" x14ac:dyDescent="0.3">
      <c r="A5837" t="s">
        <v>50</v>
      </c>
      <c r="B5837" s="1">
        <v>44705</v>
      </c>
      <c r="C5837">
        <v>1</v>
      </c>
      <c r="D5837">
        <v>42.99</v>
      </c>
      <c r="E5837">
        <v>54</v>
      </c>
    </row>
    <row r="5838" spans="1:5" x14ac:dyDescent="0.3">
      <c r="A5838" t="s">
        <v>113</v>
      </c>
      <c r="B5838" s="1">
        <v>44705</v>
      </c>
      <c r="C5838">
        <v>1</v>
      </c>
      <c r="D5838">
        <v>159.4</v>
      </c>
      <c r="E5838">
        <v>216</v>
      </c>
    </row>
    <row r="5839" spans="1:5" x14ac:dyDescent="0.3">
      <c r="A5839" t="s">
        <v>7</v>
      </c>
      <c r="B5839" s="1">
        <v>44705</v>
      </c>
      <c r="C5839">
        <v>1</v>
      </c>
      <c r="D5839">
        <v>89.27</v>
      </c>
      <c r="E5839">
        <v>111</v>
      </c>
    </row>
    <row r="5840" spans="1:5" x14ac:dyDescent="0.3">
      <c r="A5840" t="s">
        <v>24</v>
      </c>
      <c r="B5840" s="1">
        <v>44705</v>
      </c>
      <c r="C5840">
        <v>1</v>
      </c>
      <c r="D5840">
        <v>107.3</v>
      </c>
      <c r="E5840">
        <v>126</v>
      </c>
    </row>
    <row r="5841" spans="1:5" x14ac:dyDescent="0.3">
      <c r="A5841" t="s">
        <v>98</v>
      </c>
      <c r="B5841" s="1">
        <v>44705</v>
      </c>
      <c r="C5841">
        <v>1</v>
      </c>
      <c r="D5841">
        <v>111.85</v>
      </c>
      <c r="E5841">
        <v>135</v>
      </c>
    </row>
    <row r="5842" spans="1:5" x14ac:dyDescent="0.3">
      <c r="A5842" t="s">
        <v>98</v>
      </c>
      <c r="B5842" s="1">
        <v>44705</v>
      </c>
      <c r="C5842">
        <v>1</v>
      </c>
      <c r="D5842">
        <v>111.85</v>
      </c>
      <c r="E5842">
        <v>135</v>
      </c>
    </row>
    <row r="5843" spans="1:5" x14ac:dyDescent="0.3">
      <c r="A5843" t="s">
        <v>98</v>
      </c>
      <c r="B5843" s="1">
        <v>44705</v>
      </c>
      <c r="C5843">
        <v>1</v>
      </c>
      <c r="D5843">
        <v>111.85</v>
      </c>
      <c r="E5843">
        <v>135</v>
      </c>
    </row>
    <row r="5844" spans="1:5" x14ac:dyDescent="0.3">
      <c r="A5844" t="s">
        <v>98</v>
      </c>
      <c r="B5844" s="1">
        <v>44705</v>
      </c>
      <c r="C5844">
        <v>1</v>
      </c>
      <c r="D5844">
        <v>111.85</v>
      </c>
      <c r="E5844">
        <v>135</v>
      </c>
    </row>
    <row r="5845" spans="1:5" x14ac:dyDescent="0.3">
      <c r="A5845" t="s">
        <v>93</v>
      </c>
      <c r="B5845" s="1">
        <v>44705</v>
      </c>
      <c r="C5845">
        <v>1</v>
      </c>
      <c r="D5845">
        <v>68.599999999999994</v>
      </c>
      <c r="E5845">
        <v>98</v>
      </c>
    </row>
    <row r="5846" spans="1:5" x14ac:dyDescent="0.3">
      <c r="A5846" t="s">
        <v>106</v>
      </c>
      <c r="B5846" s="1">
        <v>44705</v>
      </c>
      <c r="C5846">
        <v>1</v>
      </c>
      <c r="D5846">
        <v>42.02</v>
      </c>
      <c r="E5846">
        <v>52</v>
      </c>
    </row>
    <row r="5847" spans="1:5" x14ac:dyDescent="0.3">
      <c r="A5847" t="s">
        <v>54</v>
      </c>
      <c r="B5847" s="1">
        <v>44705</v>
      </c>
      <c r="C5847">
        <v>1</v>
      </c>
      <c r="D5847">
        <v>723.11</v>
      </c>
      <c r="E5847">
        <v>933</v>
      </c>
    </row>
    <row r="5848" spans="1:5" x14ac:dyDescent="0.3">
      <c r="A5848" t="s">
        <v>57</v>
      </c>
      <c r="B5848" s="1">
        <v>44705</v>
      </c>
      <c r="C5848">
        <v>1</v>
      </c>
      <c r="D5848">
        <v>225.2</v>
      </c>
      <c r="E5848">
        <v>264</v>
      </c>
    </row>
    <row r="5849" spans="1:5" x14ac:dyDescent="0.3">
      <c r="A5849" t="s">
        <v>125</v>
      </c>
      <c r="B5849" s="1">
        <v>44705</v>
      </c>
      <c r="C5849">
        <v>1</v>
      </c>
      <c r="D5849">
        <v>334.02</v>
      </c>
      <c r="E5849">
        <v>441</v>
      </c>
    </row>
    <row r="5850" spans="1:5" x14ac:dyDescent="0.3">
      <c r="A5850" t="s">
        <v>23</v>
      </c>
      <c r="B5850" s="1">
        <v>44705</v>
      </c>
      <c r="C5850">
        <v>1</v>
      </c>
      <c r="D5850">
        <v>109.41</v>
      </c>
      <c r="E5850">
        <v>123</v>
      </c>
    </row>
    <row r="5851" spans="1:5" x14ac:dyDescent="0.3">
      <c r="A5851" t="s">
        <v>18</v>
      </c>
      <c r="B5851" s="1">
        <v>44705</v>
      </c>
      <c r="C5851">
        <v>1</v>
      </c>
      <c r="D5851">
        <v>46</v>
      </c>
      <c r="E5851">
        <v>73</v>
      </c>
    </row>
    <row r="5852" spans="1:5" x14ac:dyDescent="0.3">
      <c r="A5852" t="s">
        <v>18</v>
      </c>
      <c r="B5852" s="1">
        <v>44705</v>
      </c>
      <c r="C5852">
        <v>1</v>
      </c>
      <c r="D5852">
        <v>46</v>
      </c>
      <c r="E5852">
        <v>73</v>
      </c>
    </row>
    <row r="5853" spans="1:5" x14ac:dyDescent="0.3">
      <c r="A5853" t="s">
        <v>144</v>
      </c>
      <c r="B5853" s="1">
        <v>44705</v>
      </c>
      <c r="C5853">
        <v>1</v>
      </c>
      <c r="D5853">
        <v>51.62</v>
      </c>
      <c r="E5853">
        <v>75</v>
      </c>
    </row>
    <row r="5854" spans="1:5" x14ac:dyDescent="0.3">
      <c r="A5854" t="s">
        <v>85</v>
      </c>
      <c r="B5854" s="1">
        <v>44705</v>
      </c>
      <c r="C5854">
        <v>1</v>
      </c>
      <c r="D5854">
        <v>16.62</v>
      </c>
      <c r="E5854">
        <v>26</v>
      </c>
    </row>
    <row r="5855" spans="1:5" x14ac:dyDescent="0.3">
      <c r="A5855" t="s">
        <v>85</v>
      </c>
      <c r="B5855" s="1">
        <v>44705</v>
      </c>
      <c r="C5855">
        <v>1</v>
      </c>
      <c r="D5855">
        <v>16.62</v>
      </c>
      <c r="E5855">
        <v>26</v>
      </c>
    </row>
    <row r="5856" spans="1:5" x14ac:dyDescent="0.3">
      <c r="A5856" t="s">
        <v>141</v>
      </c>
      <c r="B5856" s="1">
        <v>44705</v>
      </c>
      <c r="C5856">
        <v>2</v>
      </c>
      <c r="D5856">
        <v>10.76</v>
      </c>
      <c r="E5856">
        <v>18</v>
      </c>
    </row>
    <row r="5857" spans="1:5" x14ac:dyDescent="0.3">
      <c r="A5857" t="s">
        <v>114</v>
      </c>
      <c r="B5857" s="1">
        <v>44705</v>
      </c>
      <c r="C5857">
        <v>1</v>
      </c>
      <c r="D5857">
        <v>74.8</v>
      </c>
      <c r="E5857">
        <v>92</v>
      </c>
    </row>
    <row r="5858" spans="1:5" x14ac:dyDescent="0.3">
      <c r="A5858" t="s">
        <v>122</v>
      </c>
      <c r="B5858" s="1">
        <v>44705</v>
      </c>
      <c r="C5858">
        <v>1</v>
      </c>
      <c r="D5858">
        <v>20.78</v>
      </c>
      <c r="E5858">
        <v>26</v>
      </c>
    </row>
    <row r="5859" spans="1:5" x14ac:dyDescent="0.3">
      <c r="A5859" t="s">
        <v>76</v>
      </c>
      <c r="B5859" s="1">
        <v>44705</v>
      </c>
      <c r="C5859">
        <v>1</v>
      </c>
      <c r="D5859">
        <v>30.9</v>
      </c>
      <c r="E5859">
        <v>39</v>
      </c>
    </row>
    <row r="5860" spans="1:5" x14ac:dyDescent="0.3">
      <c r="A5860" t="s">
        <v>125</v>
      </c>
      <c r="B5860" s="1">
        <v>44705</v>
      </c>
      <c r="C5860">
        <v>1</v>
      </c>
      <c r="D5860">
        <v>341.96</v>
      </c>
      <c r="E5860">
        <v>442</v>
      </c>
    </row>
    <row r="5861" spans="1:5" x14ac:dyDescent="0.3">
      <c r="A5861" t="s">
        <v>100</v>
      </c>
      <c r="B5861" s="1">
        <v>44705</v>
      </c>
      <c r="C5861">
        <v>1</v>
      </c>
      <c r="D5861">
        <v>36.29</v>
      </c>
      <c r="E5861">
        <v>57</v>
      </c>
    </row>
    <row r="5862" spans="1:5" x14ac:dyDescent="0.3">
      <c r="A5862" t="s">
        <v>152</v>
      </c>
      <c r="B5862" s="1">
        <v>44705</v>
      </c>
      <c r="C5862">
        <v>1</v>
      </c>
      <c r="D5862">
        <v>107.99</v>
      </c>
      <c r="E5862">
        <v>135</v>
      </c>
    </row>
    <row r="5863" spans="1:5" x14ac:dyDescent="0.3">
      <c r="A5863" t="s">
        <v>7</v>
      </c>
      <c r="B5863" s="1">
        <v>44705</v>
      </c>
      <c r="C5863">
        <v>1</v>
      </c>
      <c r="D5863">
        <v>87.6</v>
      </c>
      <c r="E5863">
        <v>108</v>
      </c>
    </row>
    <row r="5864" spans="1:5" x14ac:dyDescent="0.3">
      <c r="A5864" t="s">
        <v>59</v>
      </c>
      <c r="B5864" s="1">
        <v>44705</v>
      </c>
      <c r="C5864">
        <v>1</v>
      </c>
      <c r="D5864">
        <v>13.11</v>
      </c>
      <c r="E5864">
        <v>21</v>
      </c>
    </row>
    <row r="5865" spans="1:5" x14ac:dyDescent="0.3">
      <c r="A5865" t="s">
        <v>5</v>
      </c>
      <c r="B5865" s="1">
        <v>44705</v>
      </c>
      <c r="C5865">
        <v>1</v>
      </c>
      <c r="D5865">
        <v>145.6</v>
      </c>
      <c r="E5865">
        <v>172</v>
      </c>
    </row>
    <row r="5866" spans="1:5" x14ac:dyDescent="0.3">
      <c r="A5866" t="s">
        <v>53</v>
      </c>
      <c r="B5866" s="1">
        <v>44705</v>
      </c>
      <c r="C5866">
        <v>1</v>
      </c>
      <c r="D5866">
        <v>24.6</v>
      </c>
      <c r="E5866">
        <v>40</v>
      </c>
    </row>
    <row r="5867" spans="1:5" x14ac:dyDescent="0.3">
      <c r="A5867" t="s">
        <v>57</v>
      </c>
      <c r="B5867" s="1">
        <v>44705</v>
      </c>
      <c r="C5867">
        <v>1</v>
      </c>
      <c r="D5867">
        <v>233.74</v>
      </c>
      <c r="E5867">
        <v>274</v>
      </c>
    </row>
    <row r="5868" spans="1:5" x14ac:dyDescent="0.3">
      <c r="A5868" t="s">
        <v>43</v>
      </c>
      <c r="B5868" s="1">
        <v>44705</v>
      </c>
      <c r="C5868">
        <v>1</v>
      </c>
      <c r="D5868">
        <v>134.09</v>
      </c>
      <c r="E5868">
        <v>161</v>
      </c>
    </row>
    <row r="5869" spans="1:5" x14ac:dyDescent="0.3">
      <c r="A5869" t="s">
        <v>25</v>
      </c>
      <c r="B5869" s="1">
        <v>44705</v>
      </c>
      <c r="C5869">
        <v>1</v>
      </c>
      <c r="D5869">
        <v>147.18</v>
      </c>
      <c r="E5869">
        <v>177</v>
      </c>
    </row>
    <row r="5870" spans="1:5" x14ac:dyDescent="0.3">
      <c r="A5870" t="s">
        <v>18</v>
      </c>
      <c r="B5870" s="1">
        <v>44705</v>
      </c>
      <c r="C5870">
        <v>1</v>
      </c>
      <c r="D5870">
        <v>46</v>
      </c>
      <c r="E5870">
        <v>70</v>
      </c>
    </row>
    <row r="5871" spans="1:5" x14ac:dyDescent="0.3">
      <c r="A5871" t="s">
        <v>57</v>
      </c>
      <c r="B5871" s="1">
        <v>44705</v>
      </c>
      <c r="C5871">
        <v>1</v>
      </c>
      <c r="D5871">
        <v>227.82</v>
      </c>
      <c r="E5871">
        <v>267</v>
      </c>
    </row>
    <row r="5872" spans="1:5" x14ac:dyDescent="0.3">
      <c r="A5872" t="s">
        <v>30</v>
      </c>
      <c r="B5872" s="1">
        <v>44705</v>
      </c>
      <c r="C5872">
        <v>1</v>
      </c>
      <c r="D5872">
        <v>156.19999999999999</v>
      </c>
      <c r="E5872">
        <v>186</v>
      </c>
    </row>
    <row r="5873" spans="1:5" x14ac:dyDescent="0.3">
      <c r="A5873" t="s">
        <v>18</v>
      </c>
      <c r="B5873" s="1">
        <v>44705</v>
      </c>
      <c r="C5873">
        <v>1</v>
      </c>
      <c r="D5873">
        <v>46</v>
      </c>
      <c r="E5873">
        <v>73</v>
      </c>
    </row>
    <row r="5874" spans="1:5" x14ac:dyDescent="0.3">
      <c r="A5874" t="s">
        <v>151</v>
      </c>
      <c r="B5874" s="1">
        <v>44705</v>
      </c>
      <c r="C5874">
        <v>1</v>
      </c>
      <c r="D5874">
        <v>23.23</v>
      </c>
      <c r="E5874">
        <v>29</v>
      </c>
    </row>
    <row r="5875" spans="1:5" x14ac:dyDescent="0.3">
      <c r="A5875" t="s">
        <v>56</v>
      </c>
      <c r="B5875" s="1">
        <v>44705</v>
      </c>
      <c r="C5875">
        <v>1</v>
      </c>
      <c r="D5875">
        <v>43.97</v>
      </c>
      <c r="E5875">
        <v>67</v>
      </c>
    </row>
    <row r="5876" spans="1:5" x14ac:dyDescent="0.3">
      <c r="A5876" t="s">
        <v>56</v>
      </c>
      <c r="B5876" s="1">
        <v>44705</v>
      </c>
      <c r="C5876">
        <v>1</v>
      </c>
      <c r="D5876">
        <v>43.97</v>
      </c>
      <c r="E5876">
        <v>67</v>
      </c>
    </row>
    <row r="5877" spans="1:5" x14ac:dyDescent="0.3">
      <c r="A5877" t="s">
        <v>108</v>
      </c>
      <c r="B5877" s="1">
        <v>44705</v>
      </c>
      <c r="C5877">
        <v>1</v>
      </c>
      <c r="D5877">
        <v>29.56</v>
      </c>
      <c r="E5877">
        <v>45</v>
      </c>
    </row>
    <row r="5878" spans="1:5" x14ac:dyDescent="0.3">
      <c r="A5878" t="s">
        <v>108</v>
      </c>
      <c r="B5878" s="1">
        <v>44705</v>
      </c>
      <c r="C5878">
        <v>1</v>
      </c>
      <c r="D5878">
        <v>29.56</v>
      </c>
      <c r="E5878">
        <v>45</v>
      </c>
    </row>
    <row r="5879" spans="1:5" x14ac:dyDescent="0.3">
      <c r="A5879" t="s">
        <v>108</v>
      </c>
      <c r="B5879" s="1">
        <v>44705</v>
      </c>
      <c r="C5879">
        <v>1</v>
      </c>
      <c r="D5879">
        <v>29.56</v>
      </c>
      <c r="E5879">
        <v>45</v>
      </c>
    </row>
    <row r="5880" spans="1:5" x14ac:dyDescent="0.3">
      <c r="A5880" t="s">
        <v>45</v>
      </c>
      <c r="B5880" s="1">
        <v>44705</v>
      </c>
      <c r="C5880">
        <v>2</v>
      </c>
      <c r="D5880">
        <v>26.71</v>
      </c>
      <c r="E5880">
        <v>46</v>
      </c>
    </row>
    <row r="5881" spans="1:5" x14ac:dyDescent="0.3">
      <c r="A5881" t="s">
        <v>145</v>
      </c>
      <c r="B5881" s="1">
        <v>44705</v>
      </c>
      <c r="C5881">
        <v>1</v>
      </c>
      <c r="D5881">
        <v>25.3</v>
      </c>
      <c r="E5881">
        <v>31</v>
      </c>
    </row>
    <row r="5882" spans="1:5" x14ac:dyDescent="0.3">
      <c r="A5882" t="s">
        <v>33</v>
      </c>
      <c r="B5882" s="1">
        <v>44705</v>
      </c>
      <c r="C5882">
        <v>1</v>
      </c>
      <c r="D5882">
        <v>21.14</v>
      </c>
      <c r="E5882">
        <v>25</v>
      </c>
    </row>
    <row r="5883" spans="1:5" x14ac:dyDescent="0.3">
      <c r="A5883" t="s">
        <v>33</v>
      </c>
      <c r="B5883" s="1">
        <v>44705</v>
      </c>
      <c r="C5883">
        <v>1</v>
      </c>
      <c r="D5883">
        <v>21.14</v>
      </c>
      <c r="E5883">
        <v>25</v>
      </c>
    </row>
    <row r="5884" spans="1:5" x14ac:dyDescent="0.3">
      <c r="A5884" t="s">
        <v>33</v>
      </c>
      <c r="B5884" s="1">
        <v>44705</v>
      </c>
      <c r="C5884">
        <v>1</v>
      </c>
      <c r="D5884">
        <v>21.14</v>
      </c>
      <c r="E5884">
        <v>25</v>
      </c>
    </row>
    <row r="5885" spans="1:5" x14ac:dyDescent="0.3">
      <c r="A5885" t="s">
        <v>7</v>
      </c>
      <c r="B5885" s="1">
        <v>44705</v>
      </c>
      <c r="C5885">
        <v>1</v>
      </c>
      <c r="D5885">
        <v>89.27</v>
      </c>
      <c r="E5885">
        <v>111</v>
      </c>
    </row>
    <row r="5886" spans="1:5" x14ac:dyDescent="0.3">
      <c r="A5886" t="s">
        <v>7</v>
      </c>
      <c r="B5886" s="1">
        <v>44705</v>
      </c>
      <c r="C5886">
        <v>1</v>
      </c>
      <c r="D5886">
        <v>89.27</v>
      </c>
      <c r="E5886">
        <v>111</v>
      </c>
    </row>
    <row r="5887" spans="1:5" x14ac:dyDescent="0.3">
      <c r="A5887" t="s">
        <v>34</v>
      </c>
      <c r="B5887" s="1">
        <v>44705</v>
      </c>
      <c r="C5887">
        <v>1</v>
      </c>
      <c r="D5887">
        <v>199.32</v>
      </c>
      <c r="E5887">
        <v>230</v>
      </c>
    </row>
    <row r="5888" spans="1:5" x14ac:dyDescent="0.3">
      <c r="A5888" t="s">
        <v>119</v>
      </c>
      <c r="B5888" s="1">
        <v>44705</v>
      </c>
      <c r="C5888">
        <v>3.5714299999999997E-2</v>
      </c>
      <c r="D5888">
        <v>632.12</v>
      </c>
      <c r="E5888">
        <v>698</v>
      </c>
    </row>
    <row r="5889" spans="1:5" x14ac:dyDescent="0.3">
      <c r="A5889" t="s">
        <v>36</v>
      </c>
      <c r="B5889" s="1">
        <v>44705</v>
      </c>
      <c r="C5889">
        <v>1</v>
      </c>
      <c r="D5889">
        <v>22</v>
      </c>
      <c r="E5889">
        <v>28</v>
      </c>
    </row>
    <row r="5890" spans="1:5" x14ac:dyDescent="0.3">
      <c r="A5890" t="s">
        <v>36</v>
      </c>
      <c r="B5890" s="1">
        <v>44705</v>
      </c>
      <c r="C5890">
        <v>1</v>
      </c>
      <c r="D5890">
        <v>22</v>
      </c>
      <c r="E5890">
        <v>28</v>
      </c>
    </row>
    <row r="5891" spans="1:5" x14ac:dyDescent="0.3">
      <c r="A5891" t="s">
        <v>36</v>
      </c>
      <c r="B5891" s="1">
        <v>44705</v>
      </c>
      <c r="C5891">
        <v>1</v>
      </c>
      <c r="D5891">
        <v>22</v>
      </c>
      <c r="E5891">
        <v>28</v>
      </c>
    </row>
    <row r="5892" spans="1:5" x14ac:dyDescent="0.3">
      <c r="A5892" t="s">
        <v>36</v>
      </c>
      <c r="B5892" s="1">
        <v>44705</v>
      </c>
      <c r="C5892">
        <v>1</v>
      </c>
      <c r="D5892">
        <v>22</v>
      </c>
      <c r="E5892">
        <v>28</v>
      </c>
    </row>
    <row r="5893" spans="1:5" x14ac:dyDescent="0.3">
      <c r="A5893" t="s">
        <v>98</v>
      </c>
      <c r="B5893" s="1">
        <v>44705</v>
      </c>
      <c r="C5893">
        <v>1</v>
      </c>
      <c r="D5893">
        <v>111.85</v>
      </c>
      <c r="E5893">
        <v>135</v>
      </c>
    </row>
    <row r="5894" spans="1:5" x14ac:dyDescent="0.3">
      <c r="A5894" t="s">
        <v>93</v>
      </c>
      <c r="B5894" s="1">
        <v>44705</v>
      </c>
      <c r="C5894">
        <v>1</v>
      </c>
      <c r="D5894">
        <v>68.599999999999994</v>
      </c>
      <c r="E5894">
        <v>98</v>
      </c>
    </row>
    <row r="5895" spans="1:5" x14ac:dyDescent="0.3">
      <c r="A5895" t="s">
        <v>72</v>
      </c>
      <c r="B5895" s="1">
        <v>44705</v>
      </c>
      <c r="C5895">
        <v>1</v>
      </c>
      <c r="D5895">
        <v>556.51</v>
      </c>
      <c r="E5895">
        <v>735</v>
      </c>
    </row>
    <row r="5896" spans="1:5" x14ac:dyDescent="0.3">
      <c r="A5896" t="s">
        <v>107</v>
      </c>
      <c r="B5896" s="1">
        <v>44705</v>
      </c>
      <c r="C5896">
        <v>1</v>
      </c>
      <c r="D5896">
        <v>69.41</v>
      </c>
      <c r="E5896">
        <v>86</v>
      </c>
    </row>
    <row r="5897" spans="1:5" x14ac:dyDescent="0.3">
      <c r="A5897" t="s">
        <v>32</v>
      </c>
      <c r="B5897" s="1">
        <v>44705</v>
      </c>
      <c r="C5897">
        <v>0.5</v>
      </c>
      <c r="D5897">
        <v>105</v>
      </c>
      <c r="E5897">
        <v>161</v>
      </c>
    </row>
    <row r="5898" spans="1:5" x14ac:dyDescent="0.3">
      <c r="A5898" t="s">
        <v>124</v>
      </c>
      <c r="B5898" s="1">
        <v>44705</v>
      </c>
      <c r="C5898">
        <v>1</v>
      </c>
      <c r="D5898">
        <v>36.75</v>
      </c>
      <c r="E5898">
        <v>59</v>
      </c>
    </row>
    <row r="5899" spans="1:5" x14ac:dyDescent="0.3">
      <c r="A5899" t="s">
        <v>132</v>
      </c>
      <c r="B5899" s="1">
        <v>44705</v>
      </c>
      <c r="C5899">
        <v>1</v>
      </c>
      <c r="D5899">
        <v>60.02</v>
      </c>
      <c r="E5899">
        <v>88</v>
      </c>
    </row>
    <row r="5900" spans="1:5" x14ac:dyDescent="0.3">
      <c r="A5900" t="s">
        <v>7</v>
      </c>
      <c r="B5900" s="1">
        <v>44705</v>
      </c>
      <c r="C5900">
        <v>1</v>
      </c>
      <c r="D5900">
        <v>87.6</v>
      </c>
      <c r="E5900">
        <v>103</v>
      </c>
    </row>
    <row r="5901" spans="1:5" x14ac:dyDescent="0.3">
      <c r="A5901" t="s">
        <v>23</v>
      </c>
      <c r="B5901" s="1">
        <v>44705</v>
      </c>
      <c r="C5901">
        <v>1</v>
      </c>
      <c r="D5901">
        <v>109.41</v>
      </c>
      <c r="E5901">
        <v>123</v>
      </c>
    </row>
    <row r="5902" spans="1:5" x14ac:dyDescent="0.3">
      <c r="A5902" t="s">
        <v>57</v>
      </c>
      <c r="B5902" s="1">
        <v>44705</v>
      </c>
      <c r="C5902">
        <v>1</v>
      </c>
      <c r="D5902">
        <v>233.74</v>
      </c>
      <c r="E5902">
        <v>262</v>
      </c>
    </row>
    <row r="5903" spans="1:5" x14ac:dyDescent="0.3">
      <c r="A5903" t="s">
        <v>140</v>
      </c>
      <c r="B5903" s="1">
        <v>44705</v>
      </c>
      <c r="C5903">
        <v>1</v>
      </c>
      <c r="D5903">
        <v>155.13</v>
      </c>
      <c r="E5903">
        <v>187</v>
      </c>
    </row>
    <row r="5904" spans="1:5" x14ac:dyDescent="0.3">
      <c r="A5904" t="s">
        <v>24</v>
      </c>
      <c r="B5904" s="1">
        <v>44705</v>
      </c>
      <c r="C5904">
        <v>1</v>
      </c>
      <c r="D5904">
        <v>102.47</v>
      </c>
      <c r="E5904">
        <v>121</v>
      </c>
    </row>
    <row r="5905" spans="1:5" x14ac:dyDescent="0.3">
      <c r="A5905" t="s">
        <v>56</v>
      </c>
      <c r="B5905" s="1">
        <v>44705</v>
      </c>
      <c r="C5905">
        <v>1</v>
      </c>
      <c r="D5905">
        <v>43.97</v>
      </c>
      <c r="E5905">
        <v>70</v>
      </c>
    </row>
    <row r="5906" spans="1:5" x14ac:dyDescent="0.3">
      <c r="A5906" t="s">
        <v>57</v>
      </c>
      <c r="B5906" s="1">
        <v>44705</v>
      </c>
      <c r="C5906">
        <v>1</v>
      </c>
      <c r="D5906">
        <v>232.7</v>
      </c>
      <c r="E5906">
        <v>291</v>
      </c>
    </row>
    <row r="5907" spans="1:5" x14ac:dyDescent="0.3">
      <c r="A5907" t="s">
        <v>57</v>
      </c>
      <c r="B5907" s="1">
        <v>44705</v>
      </c>
      <c r="C5907">
        <v>1</v>
      </c>
      <c r="D5907">
        <v>233.76</v>
      </c>
      <c r="E5907">
        <v>274</v>
      </c>
    </row>
    <row r="5908" spans="1:5" x14ac:dyDescent="0.3">
      <c r="A5908" t="s">
        <v>23</v>
      </c>
      <c r="B5908" s="1">
        <v>44705</v>
      </c>
      <c r="C5908">
        <v>1</v>
      </c>
      <c r="D5908">
        <v>110.07</v>
      </c>
      <c r="E5908">
        <v>124</v>
      </c>
    </row>
    <row r="5909" spans="1:5" x14ac:dyDescent="0.3">
      <c r="A5909" t="s">
        <v>86</v>
      </c>
      <c r="B5909" s="1">
        <v>44705</v>
      </c>
      <c r="C5909">
        <v>4</v>
      </c>
      <c r="D5909">
        <v>39.619999999999997</v>
      </c>
      <c r="E5909">
        <v>69</v>
      </c>
    </row>
    <row r="5910" spans="1:5" x14ac:dyDescent="0.3">
      <c r="A5910" t="s">
        <v>23</v>
      </c>
      <c r="B5910" s="1">
        <v>44705</v>
      </c>
      <c r="C5910">
        <v>1</v>
      </c>
      <c r="D5910">
        <v>109.41</v>
      </c>
      <c r="E5910">
        <v>123</v>
      </c>
    </row>
    <row r="5911" spans="1:5" x14ac:dyDescent="0.3">
      <c r="A5911" t="s">
        <v>98</v>
      </c>
      <c r="B5911" s="1">
        <v>44705</v>
      </c>
      <c r="C5911">
        <v>1</v>
      </c>
      <c r="D5911">
        <v>111.32</v>
      </c>
      <c r="E5911">
        <v>134</v>
      </c>
    </row>
    <row r="5912" spans="1:5" x14ac:dyDescent="0.3">
      <c r="A5912" t="s">
        <v>115</v>
      </c>
      <c r="B5912" s="1">
        <v>44705</v>
      </c>
      <c r="C5912">
        <v>1</v>
      </c>
      <c r="D5912">
        <v>71.02</v>
      </c>
      <c r="E5912">
        <v>88</v>
      </c>
    </row>
    <row r="5913" spans="1:5" x14ac:dyDescent="0.3">
      <c r="A5913" t="s">
        <v>91</v>
      </c>
      <c r="B5913" s="1">
        <v>44705</v>
      </c>
      <c r="C5913">
        <v>1</v>
      </c>
      <c r="D5913">
        <v>36.51</v>
      </c>
      <c r="E5913">
        <v>63</v>
      </c>
    </row>
    <row r="5914" spans="1:5" x14ac:dyDescent="0.3">
      <c r="A5914" t="s">
        <v>56</v>
      </c>
      <c r="B5914" s="1">
        <v>44705</v>
      </c>
      <c r="C5914">
        <v>1</v>
      </c>
      <c r="D5914">
        <v>43.97</v>
      </c>
      <c r="E5914">
        <v>67</v>
      </c>
    </row>
    <row r="5915" spans="1:5" x14ac:dyDescent="0.3">
      <c r="A5915" t="s">
        <v>24</v>
      </c>
      <c r="B5915" s="1">
        <v>44705</v>
      </c>
      <c r="C5915">
        <v>1</v>
      </c>
      <c r="D5915">
        <v>97.12</v>
      </c>
      <c r="E5915">
        <v>118</v>
      </c>
    </row>
    <row r="5916" spans="1:5" x14ac:dyDescent="0.3">
      <c r="A5916" t="s">
        <v>125</v>
      </c>
      <c r="B5916" s="1">
        <v>44705</v>
      </c>
      <c r="C5916">
        <v>1</v>
      </c>
      <c r="D5916">
        <v>337.24</v>
      </c>
      <c r="E5916">
        <v>446</v>
      </c>
    </row>
    <row r="5917" spans="1:5" x14ac:dyDescent="0.3">
      <c r="A5917" t="s">
        <v>69</v>
      </c>
      <c r="B5917" s="1">
        <v>44705</v>
      </c>
      <c r="C5917">
        <v>1</v>
      </c>
      <c r="D5917">
        <v>19.989999999999998</v>
      </c>
      <c r="E5917">
        <v>24</v>
      </c>
    </row>
    <row r="5918" spans="1:5" x14ac:dyDescent="0.3">
      <c r="A5918" t="s">
        <v>25</v>
      </c>
      <c r="B5918" s="1">
        <v>44705</v>
      </c>
      <c r="C5918">
        <v>1</v>
      </c>
      <c r="D5918">
        <v>147.18</v>
      </c>
      <c r="E5918">
        <v>177</v>
      </c>
    </row>
    <row r="5919" spans="1:5" x14ac:dyDescent="0.3">
      <c r="A5919" t="s">
        <v>65</v>
      </c>
      <c r="B5919" s="1">
        <v>44705</v>
      </c>
      <c r="C5919">
        <v>1</v>
      </c>
      <c r="D5919">
        <v>184.45</v>
      </c>
      <c r="E5919">
        <v>235</v>
      </c>
    </row>
    <row r="5920" spans="1:5" x14ac:dyDescent="0.3">
      <c r="A5920" t="s">
        <v>113</v>
      </c>
      <c r="B5920" s="1">
        <v>44705</v>
      </c>
      <c r="C5920">
        <v>1</v>
      </c>
      <c r="D5920">
        <v>170.01</v>
      </c>
      <c r="E5920">
        <v>240</v>
      </c>
    </row>
    <row r="5921" spans="1:5" x14ac:dyDescent="0.3">
      <c r="A5921" t="s">
        <v>20</v>
      </c>
      <c r="B5921" s="1">
        <v>44705</v>
      </c>
      <c r="C5921">
        <v>1</v>
      </c>
      <c r="D5921">
        <v>19.66</v>
      </c>
      <c r="E5921">
        <v>25</v>
      </c>
    </row>
    <row r="5922" spans="1:5" x14ac:dyDescent="0.3">
      <c r="A5922" t="s">
        <v>66</v>
      </c>
      <c r="B5922" s="1">
        <v>44705</v>
      </c>
      <c r="C5922">
        <v>1</v>
      </c>
      <c r="D5922">
        <v>30.6</v>
      </c>
      <c r="E5922">
        <v>36</v>
      </c>
    </row>
    <row r="5923" spans="1:5" x14ac:dyDescent="0.3">
      <c r="A5923" t="s">
        <v>66</v>
      </c>
      <c r="B5923" s="1">
        <v>44705</v>
      </c>
      <c r="C5923">
        <v>1</v>
      </c>
      <c r="D5923">
        <v>30.6</v>
      </c>
      <c r="E5923">
        <v>36</v>
      </c>
    </row>
    <row r="5924" spans="1:5" x14ac:dyDescent="0.3">
      <c r="A5924" t="s">
        <v>67</v>
      </c>
      <c r="B5924" s="1">
        <v>44705</v>
      </c>
      <c r="C5924">
        <v>1</v>
      </c>
      <c r="D5924">
        <v>55.98</v>
      </c>
      <c r="E5924">
        <v>80</v>
      </c>
    </row>
    <row r="5925" spans="1:5" x14ac:dyDescent="0.3">
      <c r="A5925" t="s">
        <v>26</v>
      </c>
      <c r="B5925" s="1">
        <v>44705</v>
      </c>
      <c r="C5925">
        <v>0.1</v>
      </c>
      <c r="D5925">
        <v>989.8</v>
      </c>
      <c r="E5925">
        <v>1307</v>
      </c>
    </row>
    <row r="5926" spans="1:5" x14ac:dyDescent="0.3">
      <c r="A5926" t="s">
        <v>23</v>
      </c>
      <c r="B5926" s="1">
        <v>44705</v>
      </c>
      <c r="C5926">
        <v>1</v>
      </c>
      <c r="D5926">
        <v>109.41</v>
      </c>
      <c r="E5926">
        <v>123</v>
      </c>
    </row>
    <row r="5927" spans="1:5" x14ac:dyDescent="0.3">
      <c r="A5927" t="s">
        <v>119</v>
      </c>
      <c r="B5927" s="1">
        <v>44705</v>
      </c>
      <c r="C5927">
        <v>0.17857100000000001</v>
      </c>
      <c r="D5927">
        <v>656.19</v>
      </c>
      <c r="E5927">
        <v>722</v>
      </c>
    </row>
    <row r="5928" spans="1:5" x14ac:dyDescent="0.3">
      <c r="A5928" t="s">
        <v>91</v>
      </c>
      <c r="B5928" s="1">
        <v>44705</v>
      </c>
      <c r="C5928">
        <v>1</v>
      </c>
      <c r="D5928">
        <v>35.68</v>
      </c>
      <c r="E5928">
        <v>58</v>
      </c>
    </row>
    <row r="5929" spans="1:5" x14ac:dyDescent="0.3">
      <c r="A5929" t="s">
        <v>50</v>
      </c>
      <c r="B5929" s="1">
        <v>44705</v>
      </c>
      <c r="C5929">
        <v>1</v>
      </c>
      <c r="D5929">
        <v>43.08</v>
      </c>
      <c r="E5929">
        <v>54</v>
      </c>
    </row>
    <row r="5930" spans="1:5" x14ac:dyDescent="0.3">
      <c r="A5930" t="s">
        <v>50</v>
      </c>
      <c r="B5930" s="1">
        <v>44705</v>
      </c>
      <c r="C5930">
        <v>1</v>
      </c>
      <c r="D5930">
        <v>43.08</v>
      </c>
      <c r="E5930">
        <v>54</v>
      </c>
    </row>
    <row r="5931" spans="1:5" x14ac:dyDescent="0.3">
      <c r="A5931" t="s">
        <v>24</v>
      </c>
      <c r="B5931" s="1">
        <v>44705</v>
      </c>
      <c r="C5931">
        <v>1</v>
      </c>
      <c r="D5931">
        <v>96.14</v>
      </c>
      <c r="E5931">
        <v>112</v>
      </c>
    </row>
    <row r="5932" spans="1:5" x14ac:dyDescent="0.3">
      <c r="A5932" t="s">
        <v>135</v>
      </c>
      <c r="B5932" s="1">
        <v>44705</v>
      </c>
      <c r="C5932">
        <v>1</v>
      </c>
      <c r="D5932">
        <v>72.31</v>
      </c>
      <c r="E5932">
        <v>90</v>
      </c>
    </row>
    <row r="5933" spans="1:5" x14ac:dyDescent="0.3">
      <c r="A5933" t="s">
        <v>128</v>
      </c>
      <c r="B5933" s="1">
        <v>44705</v>
      </c>
      <c r="C5933">
        <v>1</v>
      </c>
      <c r="D5933">
        <v>265.69</v>
      </c>
      <c r="E5933">
        <v>372</v>
      </c>
    </row>
    <row r="5934" spans="1:5" x14ac:dyDescent="0.3">
      <c r="A5934" t="s">
        <v>36</v>
      </c>
      <c r="B5934" s="1">
        <v>44705</v>
      </c>
      <c r="C5934">
        <v>1</v>
      </c>
      <c r="D5934">
        <v>32.67</v>
      </c>
      <c r="E5934">
        <v>41</v>
      </c>
    </row>
    <row r="5935" spans="1:5" x14ac:dyDescent="0.3">
      <c r="A5935" t="s">
        <v>148</v>
      </c>
      <c r="B5935" s="1">
        <v>44705</v>
      </c>
      <c r="C5935">
        <v>1</v>
      </c>
      <c r="D5935">
        <v>37.75</v>
      </c>
      <c r="E5935">
        <v>58</v>
      </c>
    </row>
    <row r="5936" spans="1:5" x14ac:dyDescent="0.3">
      <c r="A5936" t="s">
        <v>74</v>
      </c>
      <c r="B5936" s="1">
        <v>44705</v>
      </c>
      <c r="C5936">
        <v>1</v>
      </c>
      <c r="D5936">
        <v>89.61</v>
      </c>
      <c r="E5936">
        <v>111</v>
      </c>
    </row>
    <row r="5937" spans="1:5" x14ac:dyDescent="0.3">
      <c r="A5937" t="s">
        <v>128</v>
      </c>
      <c r="B5937" s="1">
        <v>44705</v>
      </c>
      <c r="C5937">
        <v>1</v>
      </c>
      <c r="D5937">
        <v>279</v>
      </c>
      <c r="E5937">
        <v>391</v>
      </c>
    </row>
    <row r="5938" spans="1:5" x14ac:dyDescent="0.3">
      <c r="A5938" t="s">
        <v>41</v>
      </c>
      <c r="B5938" s="1">
        <v>44705</v>
      </c>
      <c r="C5938">
        <v>1</v>
      </c>
      <c r="D5938">
        <v>10.92</v>
      </c>
      <c r="E5938">
        <v>18</v>
      </c>
    </row>
    <row r="5939" spans="1:5" x14ac:dyDescent="0.3">
      <c r="A5939" t="s">
        <v>35</v>
      </c>
      <c r="B5939" s="1">
        <v>44704</v>
      </c>
      <c r="C5939">
        <v>1</v>
      </c>
      <c r="D5939">
        <v>31.85</v>
      </c>
      <c r="E5939">
        <v>49</v>
      </c>
    </row>
    <row r="5940" spans="1:5" x14ac:dyDescent="0.3">
      <c r="A5940" t="s">
        <v>138</v>
      </c>
      <c r="B5940" s="1">
        <v>44704</v>
      </c>
      <c r="C5940">
        <v>2</v>
      </c>
      <c r="D5940">
        <v>46.5</v>
      </c>
      <c r="E5940">
        <v>75</v>
      </c>
    </row>
    <row r="5941" spans="1:5" x14ac:dyDescent="0.3">
      <c r="A5941" t="s">
        <v>11</v>
      </c>
      <c r="B5941" s="1">
        <v>44704</v>
      </c>
      <c r="C5941">
        <v>1</v>
      </c>
      <c r="D5941">
        <v>24.2</v>
      </c>
      <c r="E5941">
        <v>39</v>
      </c>
    </row>
    <row r="5942" spans="1:5" x14ac:dyDescent="0.3">
      <c r="A5942" t="s">
        <v>9</v>
      </c>
      <c r="B5942" s="1">
        <v>44704</v>
      </c>
      <c r="C5942">
        <v>1</v>
      </c>
      <c r="D5942">
        <v>80.73</v>
      </c>
      <c r="E5942">
        <v>100</v>
      </c>
    </row>
    <row r="5943" spans="1:5" x14ac:dyDescent="0.3">
      <c r="A5943" t="s">
        <v>93</v>
      </c>
      <c r="B5943" s="1">
        <v>44704</v>
      </c>
      <c r="C5943">
        <v>1</v>
      </c>
      <c r="D5943">
        <v>71.040000000000006</v>
      </c>
      <c r="E5943">
        <v>103</v>
      </c>
    </row>
    <row r="5944" spans="1:5" x14ac:dyDescent="0.3">
      <c r="A5944" t="s">
        <v>22</v>
      </c>
      <c r="B5944" s="1">
        <v>44704</v>
      </c>
      <c r="C5944">
        <v>1</v>
      </c>
      <c r="D5944">
        <v>30.3</v>
      </c>
      <c r="E5944">
        <v>49</v>
      </c>
    </row>
    <row r="5945" spans="1:5" x14ac:dyDescent="0.3">
      <c r="A5945" t="s">
        <v>11</v>
      </c>
      <c r="B5945" s="1">
        <v>44704</v>
      </c>
      <c r="C5945">
        <v>1</v>
      </c>
      <c r="D5945">
        <v>24.2</v>
      </c>
      <c r="E5945">
        <v>39</v>
      </c>
    </row>
    <row r="5946" spans="1:5" x14ac:dyDescent="0.3">
      <c r="A5946" t="s">
        <v>22</v>
      </c>
      <c r="B5946" s="1">
        <v>44704</v>
      </c>
      <c r="C5946">
        <v>1</v>
      </c>
      <c r="D5946">
        <v>30.3</v>
      </c>
      <c r="E5946">
        <v>49</v>
      </c>
    </row>
    <row r="5947" spans="1:5" x14ac:dyDescent="0.3">
      <c r="A5947" t="s">
        <v>21</v>
      </c>
      <c r="B5947" s="1">
        <v>44704</v>
      </c>
      <c r="C5947">
        <v>1</v>
      </c>
      <c r="D5947">
        <v>182.55</v>
      </c>
      <c r="E5947">
        <v>258</v>
      </c>
    </row>
    <row r="5948" spans="1:5" x14ac:dyDescent="0.3">
      <c r="A5948" t="s">
        <v>29</v>
      </c>
      <c r="B5948" s="1">
        <v>44704</v>
      </c>
      <c r="C5948">
        <v>1</v>
      </c>
      <c r="D5948">
        <v>480.05</v>
      </c>
      <c r="E5948">
        <v>658</v>
      </c>
    </row>
    <row r="5949" spans="1:5" x14ac:dyDescent="0.3">
      <c r="A5949" t="s">
        <v>127</v>
      </c>
      <c r="B5949" s="1">
        <v>44704</v>
      </c>
      <c r="C5949">
        <v>1</v>
      </c>
      <c r="D5949">
        <v>121.2</v>
      </c>
      <c r="E5949">
        <v>171</v>
      </c>
    </row>
    <row r="5950" spans="1:5" x14ac:dyDescent="0.3">
      <c r="A5950" t="s">
        <v>42</v>
      </c>
      <c r="B5950" s="1">
        <v>44704</v>
      </c>
      <c r="C5950">
        <v>1</v>
      </c>
      <c r="D5950">
        <v>566.04</v>
      </c>
      <c r="E5950">
        <v>634</v>
      </c>
    </row>
    <row r="5951" spans="1:5" x14ac:dyDescent="0.3">
      <c r="A5951" t="s">
        <v>123</v>
      </c>
      <c r="B5951" s="1">
        <v>44704</v>
      </c>
      <c r="C5951">
        <v>1</v>
      </c>
      <c r="D5951">
        <v>62.79</v>
      </c>
      <c r="E5951">
        <v>78</v>
      </c>
    </row>
    <row r="5952" spans="1:5" x14ac:dyDescent="0.3">
      <c r="A5952" t="s">
        <v>11</v>
      </c>
      <c r="B5952" s="1">
        <v>44704</v>
      </c>
      <c r="C5952">
        <v>1</v>
      </c>
      <c r="D5952">
        <v>24.2</v>
      </c>
      <c r="E5952">
        <v>39</v>
      </c>
    </row>
    <row r="5953" spans="1:5" x14ac:dyDescent="0.3">
      <c r="A5953" t="s">
        <v>14</v>
      </c>
      <c r="B5953" s="1">
        <v>44704</v>
      </c>
      <c r="C5953">
        <v>0.1</v>
      </c>
      <c r="D5953">
        <v>501.97</v>
      </c>
      <c r="E5953">
        <v>673</v>
      </c>
    </row>
    <row r="5954" spans="1:5" x14ac:dyDescent="0.3">
      <c r="A5954" t="s">
        <v>26</v>
      </c>
      <c r="B5954" s="1">
        <v>44704</v>
      </c>
      <c r="C5954">
        <v>0.1</v>
      </c>
      <c r="D5954">
        <v>989.8</v>
      </c>
      <c r="E5954">
        <v>1307</v>
      </c>
    </row>
    <row r="5955" spans="1:5" x14ac:dyDescent="0.3">
      <c r="A5955" t="s">
        <v>138</v>
      </c>
      <c r="B5955" s="1">
        <v>44704</v>
      </c>
      <c r="C5955">
        <v>1</v>
      </c>
      <c r="D5955">
        <v>46.5</v>
      </c>
      <c r="E5955">
        <v>75</v>
      </c>
    </row>
    <row r="5956" spans="1:5" x14ac:dyDescent="0.3">
      <c r="A5956" t="s">
        <v>153</v>
      </c>
      <c r="B5956" s="1">
        <v>44704</v>
      </c>
      <c r="C5956">
        <v>1</v>
      </c>
      <c r="D5956">
        <v>9.4600000000000009</v>
      </c>
      <c r="E5956">
        <v>11</v>
      </c>
    </row>
    <row r="5957" spans="1:5" x14ac:dyDescent="0.3">
      <c r="A5957" t="s">
        <v>47</v>
      </c>
      <c r="B5957" s="1">
        <v>44704</v>
      </c>
      <c r="C5957">
        <v>1</v>
      </c>
      <c r="D5957">
        <v>43.08</v>
      </c>
      <c r="E5957">
        <v>66</v>
      </c>
    </row>
    <row r="5958" spans="1:5" x14ac:dyDescent="0.3">
      <c r="A5958" t="s">
        <v>123</v>
      </c>
      <c r="B5958" s="1">
        <v>44704</v>
      </c>
      <c r="C5958">
        <v>1</v>
      </c>
      <c r="D5958">
        <v>63.69</v>
      </c>
      <c r="E5958">
        <v>79</v>
      </c>
    </row>
    <row r="5959" spans="1:5" x14ac:dyDescent="0.3">
      <c r="A5959" t="s">
        <v>12</v>
      </c>
      <c r="B5959" s="1">
        <v>44704</v>
      </c>
      <c r="C5959">
        <v>1</v>
      </c>
      <c r="D5959">
        <v>56.24</v>
      </c>
      <c r="E5959">
        <v>70</v>
      </c>
    </row>
    <row r="5960" spans="1:5" x14ac:dyDescent="0.3">
      <c r="A5960" t="s">
        <v>12</v>
      </c>
      <c r="B5960" s="1">
        <v>44704</v>
      </c>
      <c r="C5960">
        <v>1</v>
      </c>
      <c r="D5960">
        <v>60.55</v>
      </c>
      <c r="E5960">
        <v>74</v>
      </c>
    </row>
    <row r="5961" spans="1:5" x14ac:dyDescent="0.3">
      <c r="A5961" t="s">
        <v>12</v>
      </c>
      <c r="B5961" s="1">
        <v>44704</v>
      </c>
      <c r="C5961">
        <v>1</v>
      </c>
      <c r="D5961">
        <v>60.55</v>
      </c>
      <c r="E5961">
        <v>74</v>
      </c>
    </row>
    <row r="5962" spans="1:5" x14ac:dyDescent="0.3">
      <c r="A5962" t="s">
        <v>12</v>
      </c>
      <c r="B5962" s="1">
        <v>44704</v>
      </c>
      <c r="C5962">
        <v>1</v>
      </c>
      <c r="D5962">
        <v>60.55</v>
      </c>
      <c r="E5962">
        <v>74</v>
      </c>
    </row>
    <row r="5963" spans="1:5" x14ac:dyDescent="0.3">
      <c r="A5963" t="s">
        <v>93</v>
      </c>
      <c r="B5963" s="1">
        <v>44704</v>
      </c>
      <c r="C5963">
        <v>1</v>
      </c>
      <c r="D5963">
        <v>65.400000000000006</v>
      </c>
      <c r="E5963">
        <v>93</v>
      </c>
    </row>
    <row r="5964" spans="1:5" x14ac:dyDescent="0.3">
      <c r="A5964" t="s">
        <v>49</v>
      </c>
      <c r="B5964" s="1">
        <v>44704</v>
      </c>
      <c r="C5964">
        <v>1</v>
      </c>
      <c r="D5964">
        <v>15.82</v>
      </c>
      <c r="E5964">
        <v>20</v>
      </c>
    </row>
    <row r="5965" spans="1:5" x14ac:dyDescent="0.3">
      <c r="A5965" t="s">
        <v>25</v>
      </c>
      <c r="B5965" s="1">
        <v>44704</v>
      </c>
      <c r="C5965">
        <v>1</v>
      </c>
      <c r="D5965">
        <v>147.18</v>
      </c>
      <c r="E5965">
        <v>176</v>
      </c>
    </row>
    <row r="5966" spans="1:5" x14ac:dyDescent="0.3">
      <c r="A5966" t="s">
        <v>8</v>
      </c>
      <c r="B5966" s="1">
        <v>44704</v>
      </c>
      <c r="C5966">
        <v>1</v>
      </c>
      <c r="D5966">
        <v>47.03</v>
      </c>
      <c r="E5966">
        <v>77</v>
      </c>
    </row>
    <row r="5967" spans="1:5" x14ac:dyDescent="0.3">
      <c r="A5967" t="s">
        <v>19</v>
      </c>
      <c r="B5967" s="1">
        <v>44704</v>
      </c>
      <c r="C5967">
        <v>1</v>
      </c>
      <c r="D5967">
        <v>80.760000000000005</v>
      </c>
      <c r="E5967">
        <v>101</v>
      </c>
    </row>
    <row r="5968" spans="1:5" x14ac:dyDescent="0.3">
      <c r="A5968" t="s">
        <v>75</v>
      </c>
      <c r="B5968" s="1">
        <v>44704</v>
      </c>
      <c r="C5968">
        <v>0.22</v>
      </c>
      <c r="D5968">
        <v>463.1</v>
      </c>
      <c r="E5968">
        <v>704</v>
      </c>
    </row>
    <row r="5969" spans="1:5" x14ac:dyDescent="0.3">
      <c r="A5969" t="s">
        <v>155</v>
      </c>
      <c r="B5969" s="1">
        <v>44704</v>
      </c>
      <c r="C5969">
        <v>0.08</v>
      </c>
      <c r="D5969">
        <v>495.72</v>
      </c>
      <c r="E5969">
        <v>754</v>
      </c>
    </row>
    <row r="5970" spans="1:5" x14ac:dyDescent="0.3">
      <c r="A5970" t="s">
        <v>24</v>
      </c>
      <c r="B5970" s="1">
        <v>44704</v>
      </c>
      <c r="C5970">
        <v>1</v>
      </c>
      <c r="D5970">
        <v>96.14</v>
      </c>
      <c r="E5970">
        <v>112</v>
      </c>
    </row>
    <row r="5971" spans="1:5" x14ac:dyDescent="0.3">
      <c r="A5971" t="s">
        <v>26</v>
      </c>
      <c r="B5971" s="1">
        <v>44704</v>
      </c>
      <c r="C5971">
        <v>0.2</v>
      </c>
      <c r="D5971">
        <v>991.65</v>
      </c>
      <c r="E5971">
        <v>1240</v>
      </c>
    </row>
    <row r="5972" spans="1:5" x14ac:dyDescent="0.3">
      <c r="A5972" t="s">
        <v>18</v>
      </c>
      <c r="B5972" s="1">
        <v>44704</v>
      </c>
      <c r="C5972">
        <v>1</v>
      </c>
      <c r="D5972">
        <v>44</v>
      </c>
      <c r="E5972">
        <v>70</v>
      </c>
    </row>
    <row r="5973" spans="1:5" x14ac:dyDescent="0.3">
      <c r="A5973" t="s">
        <v>37</v>
      </c>
      <c r="B5973" s="1">
        <v>44704</v>
      </c>
      <c r="C5973">
        <v>1</v>
      </c>
      <c r="D5973">
        <v>36.86</v>
      </c>
      <c r="E5973">
        <v>47</v>
      </c>
    </row>
    <row r="5974" spans="1:5" x14ac:dyDescent="0.3">
      <c r="A5974" t="s">
        <v>52</v>
      </c>
      <c r="B5974" s="1">
        <v>44704</v>
      </c>
      <c r="C5974">
        <v>1</v>
      </c>
      <c r="D5974">
        <v>206</v>
      </c>
      <c r="E5974">
        <v>251</v>
      </c>
    </row>
    <row r="5975" spans="1:5" x14ac:dyDescent="0.3">
      <c r="A5975" t="s">
        <v>107</v>
      </c>
      <c r="B5975" s="1">
        <v>44704</v>
      </c>
      <c r="C5975">
        <v>1</v>
      </c>
      <c r="D5975">
        <v>71.03</v>
      </c>
      <c r="E5975">
        <v>88</v>
      </c>
    </row>
    <row r="5976" spans="1:5" x14ac:dyDescent="0.3">
      <c r="A5976" t="s">
        <v>13</v>
      </c>
      <c r="B5976" s="1">
        <v>44704</v>
      </c>
      <c r="C5976">
        <v>1</v>
      </c>
      <c r="D5976">
        <v>119.06</v>
      </c>
      <c r="E5976">
        <v>143</v>
      </c>
    </row>
    <row r="5977" spans="1:5" x14ac:dyDescent="0.3">
      <c r="A5977" t="s">
        <v>140</v>
      </c>
      <c r="B5977" s="1">
        <v>44704</v>
      </c>
      <c r="C5977">
        <v>1</v>
      </c>
      <c r="D5977">
        <v>154.78</v>
      </c>
      <c r="E5977">
        <v>187</v>
      </c>
    </row>
    <row r="5978" spans="1:5" x14ac:dyDescent="0.3">
      <c r="A5978" t="s">
        <v>33</v>
      </c>
      <c r="B5978" s="1">
        <v>44704</v>
      </c>
      <c r="C5978">
        <v>1</v>
      </c>
      <c r="D5978">
        <v>21.13</v>
      </c>
      <c r="E5978">
        <v>25</v>
      </c>
    </row>
    <row r="5979" spans="1:5" x14ac:dyDescent="0.3">
      <c r="A5979" t="s">
        <v>33</v>
      </c>
      <c r="B5979" s="1">
        <v>44704</v>
      </c>
      <c r="C5979">
        <v>1</v>
      </c>
      <c r="D5979">
        <v>21.13</v>
      </c>
      <c r="E5979">
        <v>25</v>
      </c>
    </row>
    <row r="5980" spans="1:5" x14ac:dyDescent="0.3">
      <c r="A5980" t="s">
        <v>33</v>
      </c>
      <c r="B5980" s="1">
        <v>44704</v>
      </c>
      <c r="C5980">
        <v>1</v>
      </c>
      <c r="D5980">
        <v>21.13</v>
      </c>
      <c r="E5980">
        <v>25</v>
      </c>
    </row>
    <row r="5981" spans="1:5" x14ac:dyDescent="0.3">
      <c r="A5981" t="s">
        <v>33</v>
      </c>
      <c r="B5981" s="1">
        <v>44704</v>
      </c>
      <c r="C5981">
        <v>1</v>
      </c>
      <c r="D5981">
        <v>21.13</v>
      </c>
      <c r="E5981">
        <v>25</v>
      </c>
    </row>
    <row r="5982" spans="1:5" x14ac:dyDescent="0.3">
      <c r="A5982" t="s">
        <v>33</v>
      </c>
      <c r="B5982" s="1">
        <v>44704</v>
      </c>
      <c r="C5982">
        <v>1</v>
      </c>
      <c r="D5982">
        <v>21.13</v>
      </c>
      <c r="E5982">
        <v>25</v>
      </c>
    </row>
    <row r="5983" spans="1:5" x14ac:dyDescent="0.3">
      <c r="A5983" t="s">
        <v>76</v>
      </c>
      <c r="B5983" s="1">
        <v>44704</v>
      </c>
      <c r="C5983">
        <v>1</v>
      </c>
      <c r="D5983">
        <v>30.9</v>
      </c>
      <c r="E5983">
        <v>39</v>
      </c>
    </row>
    <row r="5984" spans="1:5" x14ac:dyDescent="0.3">
      <c r="A5984" t="s">
        <v>76</v>
      </c>
      <c r="B5984" s="1">
        <v>44704</v>
      </c>
      <c r="C5984">
        <v>1</v>
      </c>
      <c r="D5984">
        <v>30.9</v>
      </c>
      <c r="E5984">
        <v>39</v>
      </c>
    </row>
    <row r="5985" spans="1:5" x14ac:dyDescent="0.3">
      <c r="A5985" t="s">
        <v>18</v>
      </c>
      <c r="B5985" s="1">
        <v>44704</v>
      </c>
      <c r="C5985">
        <v>1</v>
      </c>
      <c r="D5985">
        <v>46</v>
      </c>
      <c r="E5985">
        <v>72</v>
      </c>
    </row>
    <row r="5986" spans="1:5" x14ac:dyDescent="0.3">
      <c r="A5986" t="s">
        <v>18</v>
      </c>
      <c r="B5986" s="1">
        <v>44704</v>
      </c>
      <c r="C5986">
        <v>1</v>
      </c>
      <c r="D5986">
        <v>46</v>
      </c>
      <c r="E5986">
        <v>72</v>
      </c>
    </row>
    <row r="5987" spans="1:5" x14ac:dyDescent="0.3">
      <c r="A5987" t="s">
        <v>18</v>
      </c>
      <c r="B5987" s="1">
        <v>44704</v>
      </c>
      <c r="C5987">
        <v>1</v>
      </c>
      <c r="D5987">
        <v>44</v>
      </c>
      <c r="E5987">
        <v>69</v>
      </c>
    </row>
    <row r="5988" spans="1:5" x14ac:dyDescent="0.3">
      <c r="A5988" t="s">
        <v>77</v>
      </c>
      <c r="B5988" s="1">
        <v>44704</v>
      </c>
      <c r="C5988">
        <v>1</v>
      </c>
      <c r="D5988">
        <v>57.35</v>
      </c>
      <c r="E5988">
        <v>72</v>
      </c>
    </row>
    <row r="5989" spans="1:5" x14ac:dyDescent="0.3">
      <c r="A5989" t="s">
        <v>50</v>
      </c>
      <c r="B5989" s="1">
        <v>44704</v>
      </c>
      <c r="C5989">
        <v>1</v>
      </c>
      <c r="D5989">
        <v>43.86</v>
      </c>
      <c r="E5989">
        <v>55</v>
      </c>
    </row>
    <row r="5990" spans="1:5" x14ac:dyDescent="0.3">
      <c r="A5990" t="s">
        <v>5</v>
      </c>
      <c r="B5990" s="1">
        <v>44704</v>
      </c>
      <c r="C5990">
        <v>1</v>
      </c>
      <c r="D5990">
        <v>145.6</v>
      </c>
      <c r="E5990">
        <v>172</v>
      </c>
    </row>
    <row r="5991" spans="1:5" x14ac:dyDescent="0.3">
      <c r="A5991" t="s">
        <v>32</v>
      </c>
      <c r="B5991" s="1">
        <v>44704</v>
      </c>
      <c r="C5991">
        <v>1</v>
      </c>
      <c r="D5991">
        <v>105</v>
      </c>
      <c r="E5991">
        <v>165</v>
      </c>
    </row>
    <row r="5992" spans="1:5" x14ac:dyDescent="0.3">
      <c r="A5992" t="s">
        <v>41</v>
      </c>
      <c r="B5992" s="1">
        <v>44704</v>
      </c>
      <c r="C5992">
        <v>1</v>
      </c>
      <c r="D5992">
        <v>10.92</v>
      </c>
      <c r="E5992">
        <v>18</v>
      </c>
    </row>
    <row r="5993" spans="1:5" x14ac:dyDescent="0.3">
      <c r="A5993" t="s">
        <v>41</v>
      </c>
      <c r="B5993" s="1">
        <v>44704</v>
      </c>
      <c r="C5993">
        <v>1</v>
      </c>
      <c r="D5993">
        <v>10.92</v>
      </c>
      <c r="E5993">
        <v>18</v>
      </c>
    </row>
    <row r="5994" spans="1:5" x14ac:dyDescent="0.3">
      <c r="A5994" t="s">
        <v>65</v>
      </c>
      <c r="B5994" s="1">
        <v>44704</v>
      </c>
      <c r="C5994">
        <v>1</v>
      </c>
      <c r="D5994">
        <v>184.07</v>
      </c>
      <c r="E5994">
        <v>234</v>
      </c>
    </row>
    <row r="5995" spans="1:5" x14ac:dyDescent="0.3">
      <c r="A5995" t="s">
        <v>28</v>
      </c>
      <c r="B5995" s="1">
        <v>44704</v>
      </c>
      <c r="C5995">
        <v>1</v>
      </c>
      <c r="D5995">
        <v>147.96</v>
      </c>
      <c r="E5995">
        <v>200</v>
      </c>
    </row>
    <row r="5996" spans="1:5" x14ac:dyDescent="0.3">
      <c r="A5996" t="s">
        <v>9</v>
      </c>
      <c r="B5996" s="1">
        <v>44704</v>
      </c>
      <c r="C5996">
        <v>1</v>
      </c>
      <c r="D5996">
        <v>80.73</v>
      </c>
      <c r="E5996">
        <v>100</v>
      </c>
    </row>
    <row r="5997" spans="1:5" x14ac:dyDescent="0.3">
      <c r="A5997" t="s">
        <v>66</v>
      </c>
      <c r="B5997" s="1">
        <v>44704</v>
      </c>
      <c r="C5997">
        <v>1</v>
      </c>
      <c r="D5997">
        <v>30.56</v>
      </c>
      <c r="E5997">
        <v>36</v>
      </c>
    </row>
    <row r="5998" spans="1:5" x14ac:dyDescent="0.3">
      <c r="A5998" t="s">
        <v>46</v>
      </c>
      <c r="B5998" s="1">
        <v>44704</v>
      </c>
      <c r="C5998">
        <v>1</v>
      </c>
      <c r="D5998">
        <v>19.600000000000001</v>
      </c>
      <c r="E5998">
        <v>24</v>
      </c>
    </row>
    <row r="5999" spans="1:5" x14ac:dyDescent="0.3">
      <c r="A5999" t="s">
        <v>146</v>
      </c>
      <c r="B5999" s="1">
        <v>44704</v>
      </c>
      <c r="C5999">
        <v>1</v>
      </c>
      <c r="D5999">
        <v>412.35</v>
      </c>
      <c r="E5999">
        <v>462</v>
      </c>
    </row>
    <row r="6000" spans="1:5" x14ac:dyDescent="0.3">
      <c r="A6000" t="s">
        <v>146</v>
      </c>
      <c r="B6000" s="1">
        <v>44704</v>
      </c>
      <c r="C6000">
        <v>1</v>
      </c>
      <c r="D6000">
        <v>412.35</v>
      </c>
      <c r="E6000">
        <v>462</v>
      </c>
    </row>
    <row r="6001" spans="1:5" x14ac:dyDescent="0.3">
      <c r="A6001" t="s">
        <v>39</v>
      </c>
      <c r="B6001" s="1">
        <v>44704</v>
      </c>
      <c r="C6001">
        <v>2</v>
      </c>
      <c r="D6001">
        <v>11.94</v>
      </c>
      <c r="E6001">
        <v>20</v>
      </c>
    </row>
    <row r="6002" spans="1:5" x14ac:dyDescent="0.3">
      <c r="A6002" t="s">
        <v>131</v>
      </c>
      <c r="B6002" s="1">
        <v>44704</v>
      </c>
      <c r="C6002">
        <v>1</v>
      </c>
      <c r="D6002">
        <v>361.08</v>
      </c>
      <c r="E6002">
        <v>416</v>
      </c>
    </row>
    <row r="6003" spans="1:5" x14ac:dyDescent="0.3">
      <c r="A6003" t="s">
        <v>85</v>
      </c>
      <c r="B6003" s="1">
        <v>44704</v>
      </c>
      <c r="C6003">
        <v>1</v>
      </c>
      <c r="D6003">
        <v>18.010000000000002</v>
      </c>
      <c r="E6003">
        <v>28</v>
      </c>
    </row>
    <row r="6004" spans="1:5" x14ac:dyDescent="0.3">
      <c r="A6004" t="s">
        <v>9</v>
      </c>
      <c r="B6004" s="1">
        <v>44704</v>
      </c>
      <c r="C6004">
        <v>1</v>
      </c>
      <c r="D6004">
        <v>80.73</v>
      </c>
      <c r="E6004">
        <v>100</v>
      </c>
    </row>
    <row r="6005" spans="1:5" x14ac:dyDescent="0.3">
      <c r="A6005" t="s">
        <v>117</v>
      </c>
      <c r="B6005" s="1">
        <v>44704</v>
      </c>
      <c r="C6005">
        <v>1</v>
      </c>
      <c r="D6005">
        <v>23.14</v>
      </c>
      <c r="E6005">
        <v>28</v>
      </c>
    </row>
    <row r="6006" spans="1:5" x14ac:dyDescent="0.3">
      <c r="A6006" t="s">
        <v>117</v>
      </c>
      <c r="B6006" s="1">
        <v>44704</v>
      </c>
      <c r="C6006">
        <v>1</v>
      </c>
      <c r="D6006">
        <v>23.14</v>
      </c>
      <c r="E6006">
        <v>28</v>
      </c>
    </row>
    <row r="6007" spans="1:5" x14ac:dyDescent="0.3">
      <c r="A6007" t="s">
        <v>117</v>
      </c>
      <c r="B6007" s="1">
        <v>44704</v>
      </c>
      <c r="C6007">
        <v>1</v>
      </c>
      <c r="D6007">
        <v>23.14</v>
      </c>
      <c r="E6007">
        <v>28</v>
      </c>
    </row>
    <row r="6008" spans="1:5" x14ac:dyDescent="0.3">
      <c r="A6008" t="s">
        <v>117</v>
      </c>
      <c r="B6008" s="1">
        <v>44704</v>
      </c>
      <c r="C6008">
        <v>1</v>
      </c>
      <c r="D6008">
        <v>23.14</v>
      </c>
      <c r="E6008">
        <v>28</v>
      </c>
    </row>
    <row r="6009" spans="1:5" x14ac:dyDescent="0.3">
      <c r="A6009" t="s">
        <v>117</v>
      </c>
      <c r="B6009" s="1">
        <v>44704</v>
      </c>
      <c r="C6009">
        <v>1</v>
      </c>
      <c r="D6009">
        <v>23.14</v>
      </c>
      <c r="E6009">
        <v>28</v>
      </c>
    </row>
    <row r="6010" spans="1:5" x14ac:dyDescent="0.3">
      <c r="A6010" t="s">
        <v>47</v>
      </c>
      <c r="B6010" s="1">
        <v>44704</v>
      </c>
      <c r="C6010">
        <v>1</v>
      </c>
      <c r="D6010">
        <v>42.85</v>
      </c>
      <c r="E6010">
        <v>67</v>
      </c>
    </row>
    <row r="6011" spans="1:5" x14ac:dyDescent="0.3">
      <c r="A6011" t="s">
        <v>104</v>
      </c>
      <c r="B6011" s="1">
        <v>44704</v>
      </c>
      <c r="C6011">
        <v>1</v>
      </c>
      <c r="D6011">
        <v>44.68</v>
      </c>
      <c r="E6011">
        <v>56</v>
      </c>
    </row>
    <row r="6012" spans="1:5" x14ac:dyDescent="0.3">
      <c r="A6012" t="s">
        <v>30</v>
      </c>
      <c r="B6012" s="1">
        <v>44704</v>
      </c>
      <c r="C6012">
        <v>1</v>
      </c>
      <c r="D6012">
        <v>156.19999999999999</v>
      </c>
      <c r="E6012">
        <v>186</v>
      </c>
    </row>
    <row r="6013" spans="1:5" x14ac:dyDescent="0.3">
      <c r="A6013" t="s">
        <v>20</v>
      </c>
      <c r="B6013" s="1">
        <v>44704</v>
      </c>
      <c r="C6013">
        <v>1</v>
      </c>
      <c r="D6013">
        <v>19.66</v>
      </c>
      <c r="E6013">
        <v>25</v>
      </c>
    </row>
    <row r="6014" spans="1:5" x14ac:dyDescent="0.3">
      <c r="A6014" t="s">
        <v>46</v>
      </c>
      <c r="B6014" s="1">
        <v>44704</v>
      </c>
      <c r="C6014">
        <v>1</v>
      </c>
      <c r="D6014">
        <v>19.7</v>
      </c>
      <c r="E6014">
        <v>24</v>
      </c>
    </row>
    <row r="6015" spans="1:5" x14ac:dyDescent="0.3">
      <c r="A6015" t="s">
        <v>15</v>
      </c>
      <c r="B6015" s="1">
        <v>44704</v>
      </c>
      <c r="C6015">
        <v>1</v>
      </c>
      <c r="D6015">
        <v>55.5</v>
      </c>
      <c r="E6015">
        <v>87</v>
      </c>
    </row>
    <row r="6016" spans="1:5" x14ac:dyDescent="0.3">
      <c r="A6016" t="s">
        <v>152</v>
      </c>
      <c r="B6016" s="1">
        <v>44704</v>
      </c>
      <c r="C6016">
        <v>1</v>
      </c>
      <c r="D6016">
        <v>114.52</v>
      </c>
      <c r="E6016">
        <v>144</v>
      </c>
    </row>
    <row r="6017" spans="1:5" x14ac:dyDescent="0.3">
      <c r="A6017" t="s">
        <v>72</v>
      </c>
      <c r="B6017" s="1">
        <v>44704</v>
      </c>
      <c r="C6017">
        <v>1</v>
      </c>
      <c r="D6017">
        <v>556.51</v>
      </c>
      <c r="E6017">
        <v>735</v>
      </c>
    </row>
    <row r="6018" spans="1:5" x14ac:dyDescent="0.3">
      <c r="A6018" t="s">
        <v>48</v>
      </c>
      <c r="B6018" s="1">
        <v>44704</v>
      </c>
      <c r="C6018">
        <v>1</v>
      </c>
      <c r="D6018">
        <v>38.11</v>
      </c>
      <c r="E6018">
        <v>60</v>
      </c>
    </row>
    <row r="6019" spans="1:5" x14ac:dyDescent="0.3">
      <c r="A6019" t="s">
        <v>85</v>
      </c>
      <c r="B6019" s="1">
        <v>44704</v>
      </c>
      <c r="C6019">
        <v>1</v>
      </c>
      <c r="D6019">
        <v>15.51</v>
      </c>
      <c r="E6019">
        <v>25</v>
      </c>
    </row>
    <row r="6020" spans="1:5" x14ac:dyDescent="0.3">
      <c r="A6020" t="s">
        <v>85</v>
      </c>
      <c r="B6020" s="1">
        <v>44704</v>
      </c>
      <c r="C6020">
        <v>1</v>
      </c>
      <c r="D6020">
        <v>15.51</v>
      </c>
      <c r="E6020">
        <v>25</v>
      </c>
    </row>
    <row r="6021" spans="1:5" x14ac:dyDescent="0.3">
      <c r="A6021" t="s">
        <v>25</v>
      </c>
      <c r="B6021" s="1">
        <v>44704</v>
      </c>
      <c r="C6021">
        <v>1</v>
      </c>
      <c r="D6021">
        <v>151.22</v>
      </c>
      <c r="E6021">
        <v>181</v>
      </c>
    </row>
    <row r="6022" spans="1:5" x14ac:dyDescent="0.3">
      <c r="A6022" t="s">
        <v>74</v>
      </c>
      <c r="B6022" s="1">
        <v>44704</v>
      </c>
      <c r="C6022">
        <v>1</v>
      </c>
      <c r="D6022">
        <v>90.81</v>
      </c>
      <c r="E6022">
        <v>115</v>
      </c>
    </row>
    <row r="6023" spans="1:5" x14ac:dyDescent="0.3">
      <c r="A6023" t="s">
        <v>77</v>
      </c>
      <c r="B6023" s="1">
        <v>44704</v>
      </c>
      <c r="C6023">
        <v>1</v>
      </c>
      <c r="D6023">
        <v>57.35</v>
      </c>
      <c r="E6023">
        <v>72</v>
      </c>
    </row>
    <row r="6024" spans="1:5" x14ac:dyDescent="0.3">
      <c r="A6024" t="s">
        <v>29</v>
      </c>
      <c r="B6024" s="1">
        <v>44704</v>
      </c>
      <c r="C6024">
        <v>1</v>
      </c>
      <c r="D6024">
        <v>489.61</v>
      </c>
      <c r="E6024">
        <v>661</v>
      </c>
    </row>
    <row r="6025" spans="1:5" x14ac:dyDescent="0.3">
      <c r="A6025" t="s">
        <v>92</v>
      </c>
      <c r="B6025" s="1">
        <v>44704</v>
      </c>
      <c r="C6025">
        <v>1</v>
      </c>
      <c r="D6025">
        <v>15</v>
      </c>
      <c r="E6025">
        <v>20</v>
      </c>
    </row>
    <row r="6026" spans="1:5" x14ac:dyDescent="0.3">
      <c r="A6026" t="s">
        <v>50</v>
      </c>
      <c r="B6026" s="1">
        <v>44704</v>
      </c>
      <c r="C6026">
        <v>1</v>
      </c>
      <c r="D6026">
        <v>44.86</v>
      </c>
      <c r="E6026">
        <v>56</v>
      </c>
    </row>
    <row r="6027" spans="1:5" x14ac:dyDescent="0.3">
      <c r="A6027" t="s">
        <v>56</v>
      </c>
      <c r="B6027" s="1">
        <v>44704</v>
      </c>
      <c r="C6027">
        <v>1</v>
      </c>
      <c r="D6027">
        <v>43.97</v>
      </c>
      <c r="E6027">
        <v>69</v>
      </c>
    </row>
    <row r="6028" spans="1:5" x14ac:dyDescent="0.3">
      <c r="A6028" t="s">
        <v>67</v>
      </c>
      <c r="B6028" s="1">
        <v>44704</v>
      </c>
      <c r="C6028">
        <v>1</v>
      </c>
      <c r="D6028">
        <v>54.32</v>
      </c>
      <c r="E6028">
        <v>78</v>
      </c>
    </row>
    <row r="6029" spans="1:5" x14ac:dyDescent="0.3">
      <c r="A6029" t="s">
        <v>19</v>
      </c>
      <c r="B6029" s="1">
        <v>44704</v>
      </c>
      <c r="C6029">
        <v>1</v>
      </c>
      <c r="D6029">
        <v>81.95</v>
      </c>
      <c r="E6029">
        <v>104</v>
      </c>
    </row>
    <row r="6030" spans="1:5" x14ac:dyDescent="0.3">
      <c r="A6030" t="s">
        <v>146</v>
      </c>
      <c r="B6030" s="1">
        <v>44704</v>
      </c>
      <c r="C6030">
        <v>1</v>
      </c>
      <c r="D6030">
        <v>412.85</v>
      </c>
      <c r="E6030">
        <v>463</v>
      </c>
    </row>
    <row r="6031" spans="1:5" x14ac:dyDescent="0.3">
      <c r="A6031" t="s">
        <v>128</v>
      </c>
      <c r="B6031" s="1">
        <v>44704</v>
      </c>
      <c r="C6031">
        <v>1</v>
      </c>
      <c r="D6031">
        <v>330.34</v>
      </c>
      <c r="E6031">
        <v>456</v>
      </c>
    </row>
    <row r="6032" spans="1:5" x14ac:dyDescent="0.3">
      <c r="A6032" t="s">
        <v>20</v>
      </c>
      <c r="B6032" s="1">
        <v>44704</v>
      </c>
      <c r="C6032">
        <v>1</v>
      </c>
      <c r="D6032">
        <v>19.71</v>
      </c>
      <c r="E6032">
        <v>26</v>
      </c>
    </row>
    <row r="6033" spans="1:5" x14ac:dyDescent="0.3">
      <c r="A6033" t="s">
        <v>103</v>
      </c>
      <c r="B6033" s="1">
        <v>44704</v>
      </c>
      <c r="C6033">
        <v>1</v>
      </c>
      <c r="D6033">
        <v>45.88</v>
      </c>
      <c r="E6033">
        <v>73</v>
      </c>
    </row>
    <row r="6034" spans="1:5" x14ac:dyDescent="0.3">
      <c r="A6034" t="s">
        <v>127</v>
      </c>
      <c r="B6034" s="1">
        <v>44704</v>
      </c>
      <c r="C6034">
        <v>1</v>
      </c>
      <c r="D6034">
        <v>119.8</v>
      </c>
      <c r="E6034">
        <v>169</v>
      </c>
    </row>
    <row r="6035" spans="1:5" x14ac:dyDescent="0.3">
      <c r="A6035" t="s">
        <v>99</v>
      </c>
      <c r="B6035" s="1">
        <v>44704</v>
      </c>
      <c r="C6035">
        <v>1</v>
      </c>
      <c r="D6035">
        <v>64.25</v>
      </c>
      <c r="E6035">
        <v>80</v>
      </c>
    </row>
    <row r="6036" spans="1:5" x14ac:dyDescent="0.3">
      <c r="A6036" t="s">
        <v>5</v>
      </c>
      <c r="B6036" s="1">
        <v>44704</v>
      </c>
      <c r="C6036">
        <v>1</v>
      </c>
      <c r="D6036">
        <v>130.75</v>
      </c>
      <c r="E6036">
        <v>157</v>
      </c>
    </row>
    <row r="6037" spans="1:5" x14ac:dyDescent="0.3">
      <c r="A6037" t="s">
        <v>72</v>
      </c>
      <c r="B6037" s="1">
        <v>44704</v>
      </c>
      <c r="C6037">
        <v>1</v>
      </c>
      <c r="D6037">
        <v>556.51</v>
      </c>
      <c r="E6037">
        <v>735</v>
      </c>
    </row>
    <row r="6038" spans="1:5" x14ac:dyDescent="0.3">
      <c r="A6038" t="s">
        <v>115</v>
      </c>
      <c r="B6038" s="1">
        <v>44704</v>
      </c>
      <c r="C6038">
        <v>1</v>
      </c>
      <c r="D6038">
        <v>71.02</v>
      </c>
      <c r="E6038">
        <v>88</v>
      </c>
    </row>
    <row r="6039" spans="1:5" x14ac:dyDescent="0.3">
      <c r="A6039" t="s">
        <v>59</v>
      </c>
      <c r="B6039" s="1">
        <v>44704</v>
      </c>
      <c r="C6039">
        <v>1</v>
      </c>
      <c r="D6039">
        <v>13.11</v>
      </c>
      <c r="E6039">
        <v>21</v>
      </c>
    </row>
    <row r="6040" spans="1:5" x14ac:dyDescent="0.3">
      <c r="A6040" t="s">
        <v>24</v>
      </c>
      <c r="B6040" s="1">
        <v>44704</v>
      </c>
      <c r="C6040">
        <v>1</v>
      </c>
      <c r="D6040">
        <v>95.88</v>
      </c>
      <c r="E6040">
        <v>118</v>
      </c>
    </row>
    <row r="6041" spans="1:5" x14ac:dyDescent="0.3">
      <c r="A6041" t="s">
        <v>47</v>
      </c>
      <c r="B6041" s="1">
        <v>44704</v>
      </c>
      <c r="C6041">
        <v>1</v>
      </c>
      <c r="D6041">
        <v>43</v>
      </c>
      <c r="E6041">
        <v>68</v>
      </c>
    </row>
    <row r="6042" spans="1:5" x14ac:dyDescent="0.3">
      <c r="A6042" t="s">
        <v>87</v>
      </c>
      <c r="B6042" s="1">
        <v>44704</v>
      </c>
      <c r="C6042">
        <v>1</v>
      </c>
      <c r="D6042">
        <v>323.66000000000003</v>
      </c>
      <c r="E6042">
        <v>389</v>
      </c>
    </row>
    <row r="6043" spans="1:5" x14ac:dyDescent="0.3">
      <c r="A6043" t="s">
        <v>57</v>
      </c>
      <c r="B6043" s="1">
        <v>44704</v>
      </c>
      <c r="C6043">
        <v>1</v>
      </c>
      <c r="D6043">
        <v>233.74</v>
      </c>
      <c r="E6043">
        <v>274</v>
      </c>
    </row>
    <row r="6044" spans="1:5" x14ac:dyDescent="0.3">
      <c r="A6044" t="s">
        <v>156</v>
      </c>
      <c r="B6044" s="1">
        <v>44704</v>
      </c>
      <c r="C6044">
        <v>1</v>
      </c>
      <c r="D6044">
        <v>251.37</v>
      </c>
      <c r="E6044">
        <v>352</v>
      </c>
    </row>
    <row r="6045" spans="1:5" x14ac:dyDescent="0.3">
      <c r="A6045" t="s">
        <v>60</v>
      </c>
      <c r="B6045" s="1">
        <v>44704</v>
      </c>
      <c r="C6045">
        <v>1</v>
      </c>
      <c r="D6045">
        <v>57.64</v>
      </c>
      <c r="E6045">
        <v>72</v>
      </c>
    </row>
    <row r="6046" spans="1:5" x14ac:dyDescent="0.3">
      <c r="A6046" t="s">
        <v>60</v>
      </c>
      <c r="B6046" s="1">
        <v>44704</v>
      </c>
      <c r="C6046">
        <v>1</v>
      </c>
      <c r="D6046">
        <v>57.64</v>
      </c>
      <c r="E6046">
        <v>72</v>
      </c>
    </row>
    <row r="6047" spans="1:5" x14ac:dyDescent="0.3">
      <c r="A6047" t="s">
        <v>111</v>
      </c>
      <c r="B6047" s="1">
        <v>44704</v>
      </c>
      <c r="C6047">
        <v>1</v>
      </c>
      <c r="D6047">
        <v>174.23</v>
      </c>
      <c r="E6047">
        <v>189.14</v>
      </c>
    </row>
    <row r="6048" spans="1:5" x14ac:dyDescent="0.3">
      <c r="A6048" t="s">
        <v>43</v>
      </c>
      <c r="B6048" s="1">
        <v>44704</v>
      </c>
      <c r="C6048">
        <v>1</v>
      </c>
      <c r="D6048">
        <v>134.09</v>
      </c>
      <c r="E6048">
        <v>161</v>
      </c>
    </row>
    <row r="6049" spans="1:5" x14ac:dyDescent="0.3">
      <c r="A6049" t="s">
        <v>93</v>
      </c>
      <c r="B6049" s="1">
        <v>44704</v>
      </c>
      <c r="C6049">
        <v>1</v>
      </c>
      <c r="D6049">
        <v>68.599999999999994</v>
      </c>
      <c r="E6049">
        <v>98</v>
      </c>
    </row>
    <row r="6050" spans="1:5" x14ac:dyDescent="0.3">
      <c r="A6050" t="s">
        <v>146</v>
      </c>
      <c r="B6050" s="1">
        <v>44704</v>
      </c>
      <c r="C6050">
        <v>1</v>
      </c>
      <c r="D6050">
        <v>407.84</v>
      </c>
      <c r="E6050">
        <v>457</v>
      </c>
    </row>
    <row r="6051" spans="1:5" x14ac:dyDescent="0.3">
      <c r="A6051" t="s">
        <v>131</v>
      </c>
      <c r="B6051" s="1">
        <v>44704</v>
      </c>
      <c r="C6051">
        <v>1</v>
      </c>
      <c r="D6051">
        <v>361.08</v>
      </c>
      <c r="E6051">
        <v>416</v>
      </c>
    </row>
    <row r="6052" spans="1:5" x14ac:dyDescent="0.3">
      <c r="A6052" t="s">
        <v>121</v>
      </c>
      <c r="B6052" s="1">
        <v>44704</v>
      </c>
      <c r="C6052">
        <v>3</v>
      </c>
      <c r="D6052">
        <v>11.41</v>
      </c>
      <c r="E6052">
        <v>19</v>
      </c>
    </row>
    <row r="6053" spans="1:5" x14ac:dyDescent="0.3">
      <c r="A6053" t="s">
        <v>41</v>
      </c>
      <c r="B6053" s="1">
        <v>44704</v>
      </c>
      <c r="C6053">
        <v>1</v>
      </c>
      <c r="D6053">
        <v>10.9</v>
      </c>
      <c r="E6053">
        <v>18</v>
      </c>
    </row>
    <row r="6054" spans="1:5" x14ac:dyDescent="0.3">
      <c r="A6054" t="s">
        <v>22</v>
      </c>
      <c r="B6054" s="1">
        <v>44704</v>
      </c>
      <c r="C6054">
        <v>1</v>
      </c>
      <c r="D6054">
        <v>30.3</v>
      </c>
      <c r="E6054">
        <v>49</v>
      </c>
    </row>
    <row r="6055" spans="1:5" x14ac:dyDescent="0.3">
      <c r="A6055" t="s">
        <v>59</v>
      </c>
      <c r="B6055" s="1">
        <v>44704</v>
      </c>
      <c r="C6055">
        <v>1</v>
      </c>
      <c r="D6055">
        <v>14.55</v>
      </c>
      <c r="E6055">
        <v>24</v>
      </c>
    </row>
    <row r="6056" spans="1:5" x14ac:dyDescent="0.3">
      <c r="A6056" t="s">
        <v>47</v>
      </c>
      <c r="B6056" s="1">
        <v>44704</v>
      </c>
      <c r="C6056">
        <v>1</v>
      </c>
      <c r="D6056">
        <v>42.85</v>
      </c>
      <c r="E6056">
        <v>67</v>
      </c>
    </row>
    <row r="6057" spans="1:5" x14ac:dyDescent="0.3">
      <c r="A6057" t="s">
        <v>11</v>
      </c>
      <c r="B6057" s="1">
        <v>44704</v>
      </c>
      <c r="C6057">
        <v>1</v>
      </c>
      <c r="D6057">
        <v>24.2</v>
      </c>
      <c r="E6057">
        <v>39</v>
      </c>
    </row>
    <row r="6058" spans="1:5" x14ac:dyDescent="0.3">
      <c r="A6058" t="s">
        <v>9</v>
      </c>
      <c r="B6058" s="1">
        <v>44704</v>
      </c>
      <c r="C6058">
        <v>1</v>
      </c>
      <c r="D6058">
        <v>80.73</v>
      </c>
      <c r="E6058">
        <v>100</v>
      </c>
    </row>
    <row r="6059" spans="1:5" x14ac:dyDescent="0.3">
      <c r="A6059" t="s">
        <v>27</v>
      </c>
      <c r="B6059" s="1">
        <v>44704</v>
      </c>
      <c r="C6059">
        <v>1</v>
      </c>
      <c r="D6059">
        <v>106.88</v>
      </c>
      <c r="E6059">
        <v>164</v>
      </c>
    </row>
    <row r="6060" spans="1:5" x14ac:dyDescent="0.3">
      <c r="A6060" t="s">
        <v>141</v>
      </c>
      <c r="B6060" s="1">
        <v>44704</v>
      </c>
      <c r="C6060">
        <v>1</v>
      </c>
      <c r="D6060">
        <v>12.2</v>
      </c>
      <c r="E6060">
        <v>20</v>
      </c>
    </row>
    <row r="6061" spans="1:5" x14ac:dyDescent="0.3">
      <c r="A6061" t="s">
        <v>7</v>
      </c>
      <c r="B6061" s="1">
        <v>44704</v>
      </c>
      <c r="C6061">
        <v>1</v>
      </c>
      <c r="D6061">
        <v>88.43</v>
      </c>
      <c r="E6061">
        <v>106</v>
      </c>
    </row>
    <row r="6062" spans="1:5" x14ac:dyDescent="0.3">
      <c r="A6062" t="s">
        <v>7</v>
      </c>
      <c r="B6062" s="1">
        <v>44704</v>
      </c>
      <c r="C6062">
        <v>1</v>
      </c>
      <c r="D6062">
        <v>88.43</v>
      </c>
      <c r="E6062">
        <v>106</v>
      </c>
    </row>
    <row r="6063" spans="1:5" x14ac:dyDescent="0.3">
      <c r="A6063" t="s">
        <v>10</v>
      </c>
      <c r="B6063" s="1">
        <v>44704</v>
      </c>
      <c r="C6063">
        <v>1</v>
      </c>
      <c r="D6063">
        <v>10.34</v>
      </c>
      <c r="E6063">
        <v>13</v>
      </c>
    </row>
    <row r="6064" spans="1:5" x14ac:dyDescent="0.3">
      <c r="A6064" t="s">
        <v>91</v>
      </c>
      <c r="B6064" s="1">
        <v>44704</v>
      </c>
      <c r="C6064">
        <v>1</v>
      </c>
      <c r="D6064">
        <v>35.68</v>
      </c>
      <c r="E6064">
        <v>58</v>
      </c>
    </row>
    <row r="6065" spans="1:5" x14ac:dyDescent="0.3">
      <c r="A6065" t="s">
        <v>23</v>
      </c>
      <c r="B6065" s="1">
        <v>44704</v>
      </c>
      <c r="C6065">
        <v>1</v>
      </c>
      <c r="D6065">
        <v>109.41</v>
      </c>
      <c r="E6065">
        <v>123</v>
      </c>
    </row>
    <row r="6066" spans="1:5" x14ac:dyDescent="0.3">
      <c r="A6066" t="s">
        <v>5</v>
      </c>
      <c r="B6066" s="1">
        <v>44704</v>
      </c>
      <c r="C6066">
        <v>1</v>
      </c>
      <c r="D6066">
        <v>131.57</v>
      </c>
      <c r="E6066">
        <v>158</v>
      </c>
    </row>
    <row r="6067" spans="1:5" x14ac:dyDescent="0.3">
      <c r="A6067" t="s">
        <v>55</v>
      </c>
      <c r="B6067" s="1">
        <v>44704</v>
      </c>
      <c r="C6067">
        <v>1</v>
      </c>
      <c r="D6067">
        <v>77.78</v>
      </c>
      <c r="E6067">
        <v>97</v>
      </c>
    </row>
    <row r="6068" spans="1:5" x14ac:dyDescent="0.3">
      <c r="A6068" t="s">
        <v>65</v>
      </c>
      <c r="B6068" s="1">
        <v>44704</v>
      </c>
      <c r="C6068">
        <v>1</v>
      </c>
      <c r="D6068">
        <v>184.45</v>
      </c>
      <c r="E6068">
        <v>216</v>
      </c>
    </row>
    <row r="6069" spans="1:5" x14ac:dyDescent="0.3">
      <c r="A6069" t="s">
        <v>71</v>
      </c>
      <c r="B6069" s="1">
        <v>44704</v>
      </c>
      <c r="C6069">
        <v>1</v>
      </c>
      <c r="D6069">
        <v>57.59</v>
      </c>
      <c r="E6069">
        <v>82</v>
      </c>
    </row>
    <row r="6070" spans="1:5" x14ac:dyDescent="0.3">
      <c r="A6070" t="s">
        <v>75</v>
      </c>
      <c r="B6070" s="1">
        <v>44704</v>
      </c>
      <c r="C6070">
        <v>0.1</v>
      </c>
      <c r="D6070">
        <v>463.1</v>
      </c>
      <c r="E6070">
        <v>649</v>
      </c>
    </row>
    <row r="6071" spans="1:5" x14ac:dyDescent="0.3">
      <c r="A6071" t="s">
        <v>92</v>
      </c>
      <c r="B6071" s="1">
        <v>44704</v>
      </c>
      <c r="C6071">
        <v>1</v>
      </c>
      <c r="D6071">
        <v>15</v>
      </c>
      <c r="E6071">
        <v>20</v>
      </c>
    </row>
    <row r="6072" spans="1:5" x14ac:dyDescent="0.3">
      <c r="A6072" t="s">
        <v>20</v>
      </c>
      <c r="B6072" s="1">
        <v>44704</v>
      </c>
      <c r="C6072">
        <v>1</v>
      </c>
      <c r="D6072">
        <v>19.66</v>
      </c>
      <c r="E6072">
        <v>25</v>
      </c>
    </row>
    <row r="6073" spans="1:5" x14ac:dyDescent="0.3">
      <c r="A6073" t="s">
        <v>146</v>
      </c>
      <c r="B6073" s="1">
        <v>44704</v>
      </c>
      <c r="C6073">
        <v>1</v>
      </c>
      <c r="D6073">
        <v>407.84</v>
      </c>
      <c r="E6073">
        <v>457</v>
      </c>
    </row>
    <row r="6074" spans="1:5" x14ac:dyDescent="0.3">
      <c r="A6074" t="s">
        <v>18</v>
      </c>
      <c r="B6074" s="1">
        <v>44704</v>
      </c>
      <c r="C6074">
        <v>1</v>
      </c>
      <c r="D6074">
        <v>46</v>
      </c>
      <c r="E6074">
        <v>70</v>
      </c>
    </row>
    <row r="6075" spans="1:5" x14ac:dyDescent="0.3">
      <c r="A6075" t="s">
        <v>7</v>
      </c>
      <c r="B6075" s="1">
        <v>44704</v>
      </c>
      <c r="C6075">
        <v>1</v>
      </c>
      <c r="D6075">
        <v>89.27</v>
      </c>
      <c r="E6075">
        <v>105</v>
      </c>
    </row>
    <row r="6076" spans="1:5" x14ac:dyDescent="0.3">
      <c r="A6076" t="s">
        <v>45</v>
      </c>
      <c r="B6076" s="1">
        <v>44704</v>
      </c>
      <c r="C6076">
        <v>1</v>
      </c>
      <c r="D6076">
        <v>29.82</v>
      </c>
      <c r="E6076">
        <v>49</v>
      </c>
    </row>
    <row r="6077" spans="1:5" x14ac:dyDescent="0.3">
      <c r="A6077" t="s">
        <v>24</v>
      </c>
      <c r="B6077" s="1">
        <v>44704</v>
      </c>
      <c r="C6077">
        <v>1</v>
      </c>
      <c r="D6077">
        <v>96.14</v>
      </c>
      <c r="E6077">
        <v>112</v>
      </c>
    </row>
    <row r="6078" spans="1:5" x14ac:dyDescent="0.3">
      <c r="A6078" t="s">
        <v>47</v>
      </c>
      <c r="B6078" s="1">
        <v>44704</v>
      </c>
      <c r="C6078">
        <v>1</v>
      </c>
      <c r="D6078">
        <v>43.08</v>
      </c>
      <c r="E6078">
        <v>66</v>
      </c>
    </row>
    <row r="6079" spans="1:5" x14ac:dyDescent="0.3">
      <c r="A6079" t="s">
        <v>122</v>
      </c>
      <c r="B6079" s="1">
        <v>44704</v>
      </c>
      <c r="C6079">
        <v>1</v>
      </c>
      <c r="D6079">
        <v>20.86</v>
      </c>
      <c r="E6079">
        <v>26</v>
      </c>
    </row>
    <row r="6080" spans="1:5" x14ac:dyDescent="0.3">
      <c r="A6080" t="s">
        <v>26</v>
      </c>
      <c r="B6080" s="1">
        <v>44704</v>
      </c>
      <c r="C6080">
        <v>0.5</v>
      </c>
      <c r="D6080">
        <v>984.79</v>
      </c>
      <c r="E6080">
        <v>1350</v>
      </c>
    </row>
    <row r="6081" spans="1:5" x14ac:dyDescent="0.3">
      <c r="A6081" t="s">
        <v>65</v>
      </c>
      <c r="B6081" s="1">
        <v>44704</v>
      </c>
      <c r="C6081">
        <v>1</v>
      </c>
      <c r="D6081">
        <v>184.45</v>
      </c>
      <c r="E6081">
        <v>235</v>
      </c>
    </row>
    <row r="6082" spans="1:5" x14ac:dyDescent="0.3">
      <c r="A6082" t="s">
        <v>12</v>
      </c>
      <c r="B6082" s="1">
        <v>44704</v>
      </c>
      <c r="C6082">
        <v>1</v>
      </c>
      <c r="D6082">
        <v>64.23</v>
      </c>
      <c r="E6082">
        <v>76</v>
      </c>
    </row>
    <row r="6083" spans="1:5" x14ac:dyDescent="0.3">
      <c r="A6083" t="s">
        <v>50</v>
      </c>
      <c r="B6083" s="1">
        <v>44704</v>
      </c>
      <c r="C6083">
        <v>1</v>
      </c>
      <c r="D6083">
        <v>42.99</v>
      </c>
      <c r="E6083">
        <v>54</v>
      </c>
    </row>
    <row r="6084" spans="1:5" x14ac:dyDescent="0.3">
      <c r="A6084" t="s">
        <v>19</v>
      </c>
      <c r="B6084" s="1">
        <v>44704</v>
      </c>
      <c r="C6084">
        <v>1</v>
      </c>
      <c r="D6084">
        <v>82.34</v>
      </c>
      <c r="E6084">
        <v>103</v>
      </c>
    </row>
    <row r="6085" spans="1:5" x14ac:dyDescent="0.3">
      <c r="A6085" t="s">
        <v>9</v>
      </c>
      <c r="B6085" s="1">
        <v>44704</v>
      </c>
      <c r="C6085">
        <v>1</v>
      </c>
      <c r="D6085">
        <v>80.73</v>
      </c>
      <c r="E6085">
        <v>100</v>
      </c>
    </row>
    <row r="6086" spans="1:5" x14ac:dyDescent="0.3">
      <c r="A6086" t="s">
        <v>54</v>
      </c>
      <c r="B6086" s="1">
        <v>44704</v>
      </c>
      <c r="C6086">
        <v>1</v>
      </c>
      <c r="D6086">
        <v>723.11</v>
      </c>
      <c r="E6086">
        <v>933</v>
      </c>
    </row>
    <row r="6087" spans="1:5" x14ac:dyDescent="0.3">
      <c r="A6087" t="s">
        <v>47</v>
      </c>
      <c r="B6087" s="1">
        <v>44704</v>
      </c>
      <c r="C6087">
        <v>1</v>
      </c>
      <c r="D6087">
        <v>43</v>
      </c>
      <c r="E6087">
        <v>68</v>
      </c>
    </row>
    <row r="6088" spans="1:5" x14ac:dyDescent="0.3">
      <c r="A6088" t="s">
        <v>48</v>
      </c>
      <c r="B6088" s="1">
        <v>44704</v>
      </c>
      <c r="C6088">
        <v>1</v>
      </c>
      <c r="D6088">
        <v>38.11</v>
      </c>
      <c r="E6088">
        <v>60</v>
      </c>
    </row>
    <row r="6089" spans="1:5" x14ac:dyDescent="0.3">
      <c r="A6089" t="s">
        <v>41</v>
      </c>
      <c r="B6089" s="1">
        <v>44704</v>
      </c>
      <c r="C6089">
        <v>2</v>
      </c>
      <c r="D6089">
        <v>11.52</v>
      </c>
      <c r="E6089">
        <v>20</v>
      </c>
    </row>
    <row r="6090" spans="1:5" x14ac:dyDescent="0.3">
      <c r="A6090" t="s">
        <v>93</v>
      </c>
      <c r="B6090" s="1">
        <v>44704</v>
      </c>
      <c r="C6090">
        <v>1</v>
      </c>
      <c r="D6090">
        <v>71.040000000000006</v>
      </c>
      <c r="E6090">
        <v>103</v>
      </c>
    </row>
    <row r="6091" spans="1:5" x14ac:dyDescent="0.3">
      <c r="A6091" t="s">
        <v>22</v>
      </c>
      <c r="B6091" s="1">
        <v>44704</v>
      </c>
      <c r="C6091">
        <v>1</v>
      </c>
      <c r="D6091">
        <v>30.3</v>
      </c>
      <c r="E6091">
        <v>49</v>
      </c>
    </row>
    <row r="6092" spans="1:5" x14ac:dyDescent="0.3">
      <c r="A6092" t="s">
        <v>30</v>
      </c>
      <c r="B6092" s="1">
        <v>44704</v>
      </c>
      <c r="C6092">
        <v>1</v>
      </c>
      <c r="D6092">
        <v>156.19999999999999</v>
      </c>
      <c r="E6092">
        <v>186</v>
      </c>
    </row>
    <row r="6093" spans="1:5" x14ac:dyDescent="0.3">
      <c r="A6093" t="s">
        <v>65</v>
      </c>
      <c r="B6093" s="1">
        <v>44704</v>
      </c>
      <c r="C6093">
        <v>1</v>
      </c>
      <c r="D6093">
        <v>187.12</v>
      </c>
      <c r="E6093">
        <v>219</v>
      </c>
    </row>
    <row r="6094" spans="1:5" x14ac:dyDescent="0.3">
      <c r="A6094" t="s">
        <v>76</v>
      </c>
      <c r="B6094" s="1">
        <v>44704</v>
      </c>
      <c r="C6094">
        <v>1</v>
      </c>
      <c r="D6094">
        <v>30.56</v>
      </c>
      <c r="E6094">
        <v>37</v>
      </c>
    </row>
    <row r="6095" spans="1:5" x14ac:dyDescent="0.3">
      <c r="A6095" t="s">
        <v>103</v>
      </c>
      <c r="B6095" s="1">
        <v>44704</v>
      </c>
      <c r="C6095">
        <v>1</v>
      </c>
      <c r="D6095">
        <v>45.88</v>
      </c>
      <c r="E6095">
        <v>73</v>
      </c>
    </row>
    <row r="6096" spans="1:5" x14ac:dyDescent="0.3">
      <c r="A6096" t="s">
        <v>23</v>
      </c>
      <c r="B6096" s="1">
        <v>44704</v>
      </c>
      <c r="C6096">
        <v>1</v>
      </c>
      <c r="D6096">
        <v>109.41</v>
      </c>
      <c r="E6096">
        <v>123</v>
      </c>
    </row>
    <row r="6097" spans="1:5" x14ac:dyDescent="0.3">
      <c r="A6097" t="s">
        <v>92</v>
      </c>
      <c r="B6097" s="1">
        <v>44704</v>
      </c>
      <c r="C6097">
        <v>10</v>
      </c>
      <c r="D6097">
        <v>6.2</v>
      </c>
      <c r="E6097">
        <v>9</v>
      </c>
    </row>
    <row r="6098" spans="1:5" x14ac:dyDescent="0.3">
      <c r="A6098" t="s">
        <v>42</v>
      </c>
      <c r="B6098" s="1">
        <v>44704</v>
      </c>
      <c r="C6098">
        <v>1</v>
      </c>
      <c r="D6098">
        <v>570.99</v>
      </c>
      <c r="E6098">
        <v>657</v>
      </c>
    </row>
    <row r="6099" spans="1:5" x14ac:dyDescent="0.3">
      <c r="A6099" t="s">
        <v>84</v>
      </c>
      <c r="B6099" s="1">
        <v>44704</v>
      </c>
      <c r="C6099">
        <v>1</v>
      </c>
      <c r="D6099">
        <v>153.22999999999999</v>
      </c>
      <c r="E6099">
        <v>192</v>
      </c>
    </row>
    <row r="6100" spans="1:5" x14ac:dyDescent="0.3">
      <c r="A6100" t="s">
        <v>84</v>
      </c>
      <c r="B6100" s="1">
        <v>44704</v>
      </c>
      <c r="C6100">
        <v>1</v>
      </c>
      <c r="D6100">
        <v>153.75</v>
      </c>
      <c r="E6100">
        <v>193</v>
      </c>
    </row>
    <row r="6101" spans="1:5" x14ac:dyDescent="0.3">
      <c r="A6101" t="s">
        <v>25</v>
      </c>
      <c r="B6101" s="1">
        <v>44704</v>
      </c>
      <c r="C6101">
        <v>1</v>
      </c>
      <c r="D6101">
        <v>147.18</v>
      </c>
      <c r="E6101">
        <v>180</v>
      </c>
    </row>
    <row r="6102" spans="1:5" x14ac:dyDescent="0.3">
      <c r="A6102" t="s">
        <v>28</v>
      </c>
      <c r="B6102" s="1">
        <v>44704</v>
      </c>
      <c r="C6102">
        <v>1</v>
      </c>
      <c r="D6102">
        <v>122.75</v>
      </c>
      <c r="E6102">
        <v>174</v>
      </c>
    </row>
    <row r="6103" spans="1:5" x14ac:dyDescent="0.3">
      <c r="A6103" t="s">
        <v>58</v>
      </c>
      <c r="B6103" s="1">
        <v>44704</v>
      </c>
      <c r="C6103">
        <v>1</v>
      </c>
      <c r="D6103">
        <v>88.35</v>
      </c>
      <c r="E6103">
        <v>107</v>
      </c>
    </row>
    <row r="6104" spans="1:5" x14ac:dyDescent="0.3">
      <c r="A6104" t="s">
        <v>56</v>
      </c>
      <c r="B6104" s="1">
        <v>44704</v>
      </c>
      <c r="C6104">
        <v>1</v>
      </c>
      <c r="D6104">
        <v>43.97</v>
      </c>
      <c r="E6104">
        <v>69</v>
      </c>
    </row>
    <row r="6105" spans="1:5" x14ac:dyDescent="0.3">
      <c r="A6105" t="s">
        <v>111</v>
      </c>
      <c r="B6105" s="1">
        <v>44704</v>
      </c>
      <c r="C6105">
        <v>1</v>
      </c>
      <c r="D6105">
        <v>163.29</v>
      </c>
      <c r="E6105">
        <v>196</v>
      </c>
    </row>
    <row r="6106" spans="1:5" x14ac:dyDescent="0.3">
      <c r="A6106" t="s">
        <v>147</v>
      </c>
      <c r="B6106" s="1">
        <v>44704</v>
      </c>
      <c r="C6106">
        <v>1</v>
      </c>
      <c r="D6106">
        <v>135.47</v>
      </c>
      <c r="E6106">
        <v>183</v>
      </c>
    </row>
    <row r="6107" spans="1:5" x14ac:dyDescent="0.3">
      <c r="A6107" t="s">
        <v>56</v>
      </c>
      <c r="B6107" s="1">
        <v>44704</v>
      </c>
      <c r="C6107">
        <v>1</v>
      </c>
      <c r="D6107">
        <v>43.97</v>
      </c>
      <c r="E6107">
        <v>69</v>
      </c>
    </row>
    <row r="6108" spans="1:5" x14ac:dyDescent="0.3">
      <c r="A6108" t="s">
        <v>83</v>
      </c>
      <c r="B6108" s="1">
        <v>44704</v>
      </c>
      <c r="C6108">
        <v>1</v>
      </c>
      <c r="D6108">
        <v>201.63</v>
      </c>
      <c r="E6108">
        <v>240</v>
      </c>
    </row>
    <row r="6109" spans="1:5" x14ac:dyDescent="0.3">
      <c r="A6109" t="s">
        <v>92</v>
      </c>
      <c r="B6109" s="1">
        <v>44704</v>
      </c>
      <c r="C6109">
        <v>5</v>
      </c>
      <c r="D6109">
        <v>6.6</v>
      </c>
      <c r="E6109">
        <v>9</v>
      </c>
    </row>
    <row r="6110" spans="1:5" x14ac:dyDescent="0.3">
      <c r="A6110" t="s">
        <v>92</v>
      </c>
      <c r="B6110" s="1">
        <v>44704</v>
      </c>
      <c r="C6110">
        <v>1</v>
      </c>
      <c r="D6110">
        <v>6.6</v>
      </c>
      <c r="E6110">
        <v>9</v>
      </c>
    </row>
    <row r="6111" spans="1:5" x14ac:dyDescent="0.3">
      <c r="A6111" t="s">
        <v>43</v>
      </c>
      <c r="B6111" s="1">
        <v>44704</v>
      </c>
      <c r="C6111">
        <v>1</v>
      </c>
      <c r="D6111">
        <v>135.04</v>
      </c>
      <c r="E6111">
        <v>162</v>
      </c>
    </row>
    <row r="6112" spans="1:5" x14ac:dyDescent="0.3">
      <c r="A6112" t="s">
        <v>147</v>
      </c>
      <c r="B6112" s="1">
        <v>44704</v>
      </c>
      <c r="C6112">
        <v>1</v>
      </c>
      <c r="D6112">
        <v>136.94999999999999</v>
      </c>
      <c r="E6112">
        <v>188</v>
      </c>
    </row>
    <row r="6113" spans="1:5" x14ac:dyDescent="0.3">
      <c r="A6113" t="s">
        <v>54</v>
      </c>
      <c r="B6113" s="1">
        <v>44704</v>
      </c>
      <c r="C6113">
        <v>1</v>
      </c>
      <c r="D6113">
        <v>723.11</v>
      </c>
      <c r="E6113">
        <v>933</v>
      </c>
    </row>
    <row r="6114" spans="1:5" x14ac:dyDescent="0.3">
      <c r="A6114" t="s">
        <v>39</v>
      </c>
      <c r="B6114" s="1">
        <v>44704</v>
      </c>
      <c r="C6114">
        <v>3</v>
      </c>
      <c r="D6114">
        <v>9.9499999999999993</v>
      </c>
      <c r="E6114">
        <v>17</v>
      </c>
    </row>
    <row r="6115" spans="1:5" x14ac:dyDescent="0.3">
      <c r="A6115" t="s">
        <v>6</v>
      </c>
      <c r="B6115" s="1">
        <v>44704</v>
      </c>
      <c r="C6115">
        <v>1</v>
      </c>
      <c r="D6115">
        <v>438.89</v>
      </c>
      <c r="E6115">
        <v>549</v>
      </c>
    </row>
    <row r="6116" spans="1:5" x14ac:dyDescent="0.3">
      <c r="A6116" t="s">
        <v>102</v>
      </c>
      <c r="B6116" s="1">
        <v>44704</v>
      </c>
      <c r="C6116">
        <v>1</v>
      </c>
      <c r="D6116">
        <v>26.11</v>
      </c>
      <c r="E6116">
        <v>32</v>
      </c>
    </row>
    <row r="6117" spans="1:5" x14ac:dyDescent="0.3">
      <c r="A6117" t="s">
        <v>102</v>
      </c>
      <c r="B6117" s="1">
        <v>44704</v>
      </c>
      <c r="C6117">
        <v>1</v>
      </c>
      <c r="D6117">
        <v>26.54</v>
      </c>
      <c r="E6117">
        <v>33</v>
      </c>
    </row>
    <row r="6118" spans="1:5" x14ac:dyDescent="0.3">
      <c r="A6118" t="s">
        <v>114</v>
      </c>
      <c r="B6118" s="1">
        <v>44704</v>
      </c>
      <c r="C6118">
        <v>1</v>
      </c>
      <c r="D6118">
        <v>74.36</v>
      </c>
      <c r="E6118">
        <v>91</v>
      </c>
    </row>
    <row r="6119" spans="1:5" x14ac:dyDescent="0.3">
      <c r="A6119" t="s">
        <v>35</v>
      </c>
      <c r="B6119" s="1">
        <v>44704</v>
      </c>
      <c r="C6119">
        <v>1</v>
      </c>
      <c r="D6119">
        <v>35</v>
      </c>
      <c r="E6119">
        <v>55</v>
      </c>
    </row>
    <row r="6120" spans="1:5" x14ac:dyDescent="0.3">
      <c r="A6120" t="s">
        <v>122</v>
      </c>
      <c r="B6120" s="1">
        <v>44704</v>
      </c>
      <c r="C6120">
        <v>1</v>
      </c>
      <c r="D6120">
        <v>20.78</v>
      </c>
      <c r="E6120">
        <v>26</v>
      </c>
    </row>
    <row r="6121" spans="1:5" x14ac:dyDescent="0.3">
      <c r="A6121" t="s">
        <v>90</v>
      </c>
      <c r="B6121" s="1">
        <v>44704</v>
      </c>
      <c r="C6121">
        <v>1</v>
      </c>
      <c r="D6121">
        <v>478.39</v>
      </c>
      <c r="E6121">
        <v>501</v>
      </c>
    </row>
    <row r="6122" spans="1:5" x14ac:dyDescent="0.3">
      <c r="A6122" t="s">
        <v>99</v>
      </c>
      <c r="B6122" s="1">
        <v>44704</v>
      </c>
      <c r="C6122">
        <v>1</v>
      </c>
      <c r="D6122">
        <v>64.25</v>
      </c>
      <c r="E6122">
        <v>76</v>
      </c>
    </row>
    <row r="6123" spans="1:5" x14ac:dyDescent="0.3">
      <c r="A6123" t="s">
        <v>146</v>
      </c>
      <c r="B6123" s="1">
        <v>44704</v>
      </c>
      <c r="C6123">
        <v>1</v>
      </c>
      <c r="D6123">
        <v>407.84</v>
      </c>
      <c r="E6123">
        <v>457</v>
      </c>
    </row>
    <row r="6124" spans="1:5" x14ac:dyDescent="0.3">
      <c r="A6124" t="s">
        <v>128</v>
      </c>
      <c r="B6124" s="1">
        <v>44704</v>
      </c>
      <c r="C6124">
        <v>1</v>
      </c>
      <c r="D6124">
        <v>300.88</v>
      </c>
      <c r="E6124">
        <v>398</v>
      </c>
    </row>
    <row r="6125" spans="1:5" x14ac:dyDescent="0.3">
      <c r="A6125" t="s">
        <v>37</v>
      </c>
      <c r="B6125" s="1">
        <v>44704</v>
      </c>
      <c r="C6125">
        <v>1</v>
      </c>
      <c r="D6125">
        <v>36.86</v>
      </c>
      <c r="E6125">
        <v>47</v>
      </c>
    </row>
    <row r="6126" spans="1:5" x14ac:dyDescent="0.3">
      <c r="A6126" t="s">
        <v>37</v>
      </c>
      <c r="B6126" s="1">
        <v>44704</v>
      </c>
      <c r="C6126">
        <v>1</v>
      </c>
      <c r="D6126">
        <v>36.86</v>
      </c>
      <c r="E6126">
        <v>47</v>
      </c>
    </row>
    <row r="6127" spans="1:5" x14ac:dyDescent="0.3">
      <c r="A6127" t="s">
        <v>37</v>
      </c>
      <c r="B6127" s="1">
        <v>44704</v>
      </c>
      <c r="C6127">
        <v>1</v>
      </c>
      <c r="D6127">
        <v>36.86</v>
      </c>
      <c r="E6127">
        <v>47</v>
      </c>
    </row>
    <row r="6128" spans="1:5" x14ac:dyDescent="0.3">
      <c r="A6128" t="s">
        <v>37</v>
      </c>
      <c r="B6128" s="1">
        <v>44704</v>
      </c>
      <c r="C6128">
        <v>1</v>
      </c>
      <c r="D6128">
        <v>36.86</v>
      </c>
      <c r="E6128">
        <v>47</v>
      </c>
    </row>
    <row r="6129" spans="1:5" x14ac:dyDescent="0.3">
      <c r="A6129" t="s">
        <v>37</v>
      </c>
      <c r="B6129" s="1">
        <v>44704</v>
      </c>
      <c r="C6129">
        <v>1</v>
      </c>
      <c r="D6129">
        <v>36.86</v>
      </c>
      <c r="E6129">
        <v>47</v>
      </c>
    </row>
    <row r="6130" spans="1:5" x14ac:dyDescent="0.3">
      <c r="A6130" t="s">
        <v>37</v>
      </c>
      <c r="B6130" s="1">
        <v>44704</v>
      </c>
      <c r="C6130">
        <v>1</v>
      </c>
      <c r="D6130">
        <v>36.86</v>
      </c>
      <c r="E6130">
        <v>47</v>
      </c>
    </row>
    <row r="6131" spans="1:5" x14ac:dyDescent="0.3">
      <c r="A6131" t="s">
        <v>38</v>
      </c>
      <c r="B6131" s="1">
        <v>44704</v>
      </c>
      <c r="C6131">
        <v>1</v>
      </c>
      <c r="D6131">
        <v>22.31</v>
      </c>
      <c r="E6131">
        <v>35</v>
      </c>
    </row>
    <row r="6132" spans="1:5" x14ac:dyDescent="0.3">
      <c r="A6132" t="s">
        <v>38</v>
      </c>
      <c r="B6132" s="1">
        <v>44704</v>
      </c>
      <c r="C6132">
        <v>1</v>
      </c>
      <c r="D6132">
        <v>28.8</v>
      </c>
      <c r="E6132">
        <v>45</v>
      </c>
    </row>
    <row r="6133" spans="1:5" x14ac:dyDescent="0.3">
      <c r="A6133" t="s">
        <v>38</v>
      </c>
      <c r="B6133" s="1">
        <v>44704</v>
      </c>
      <c r="C6133">
        <v>1</v>
      </c>
      <c r="D6133">
        <v>28.8</v>
      </c>
      <c r="E6133">
        <v>45</v>
      </c>
    </row>
    <row r="6134" spans="1:5" x14ac:dyDescent="0.3">
      <c r="A6134" t="s">
        <v>38</v>
      </c>
      <c r="B6134" s="1">
        <v>44704</v>
      </c>
      <c r="C6134">
        <v>1</v>
      </c>
      <c r="D6134">
        <v>28.8</v>
      </c>
      <c r="E6134">
        <v>45</v>
      </c>
    </row>
    <row r="6135" spans="1:5" x14ac:dyDescent="0.3">
      <c r="A6135" t="s">
        <v>38</v>
      </c>
      <c r="B6135" s="1">
        <v>44704</v>
      </c>
      <c r="C6135">
        <v>1</v>
      </c>
      <c r="D6135">
        <v>28.8</v>
      </c>
      <c r="E6135">
        <v>45</v>
      </c>
    </row>
    <row r="6136" spans="1:5" x14ac:dyDescent="0.3">
      <c r="A6136" t="s">
        <v>38</v>
      </c>
      <c r="B6136" s="1">
        <v>44704</v>
      </c>
      <c r="C6136">
        <v>1</v>
      </c>
      <c r="D6136">
        <v>28.8</v>
      </c>
      <c r="E6136">
        <v>45</v>
      </c>
    </row>
    <row r="6137" spans="1:5" x14ac:dyDescent="0.3">
      <c r="A6137" t="s">
        <v>28</v>
      </c>
      <c r="B6137" s="1">
        <v>44704</v>
      </c>
      <c r="C6137">
        <v>1</v>
      </c>
      <c r="D6137">
        <v>150.03</v>
      </c>
      <c r="E6137">
        <v>209</v>
      </c>
    </row>
    <row r="6138" spans="1:5" x14ac:dyDescent="0.3">
      <c r="A6138" t="s">
        <v>35</v>
      </c>
      <c r="B6138" s="1">
        <v>44704</v>
      </c>
      <c r="C6138">
        <v>1</v>
      </c>
      <c r="D6138">
        <v>31.85</v>
      </c>
      <c r="E6138">
        <v>49</v>
      </c>
    </row>
    <row r="6139" spans="1:5" x14ac:dyDescent="0.3">
      <c r="A6139" t="s">
        <v>132</v>
      </c>
      <c r="B6139" s="1">
        <v>44704</v>
      </c>
      <c r="C6139">
        <v>1</v>
      </c>
      <c r="D6139">
        <v>58.23</v>
      </c>
      <c r="E6139">
        <v>87</v>
      </c>
    </row>
    <row r="6140" spans="1:5" x14ac:dyDescent="0.3">
      <c r="A6140" t="s">
        <v>132</v>
      </c>
      <c r="B6140" s="1">
        <v>44704</v>
      </c>
      <c r="C6140">
        <v>1</v>
      </c>
      <c r="D6140">
        <v>58.59</v>
      </c>
      <c r="E6140">
        <v>84</v>
      </c>
    </row>
    <row r="6141" spans="1:5" x14ac:dyDescent="0.3">
      <c r="A6141" t="s">
        <v>120</v>
      </c>
      <c r="B6141" s="1">
        <v>44704</v>
      </c>
      <c r="C6141">
        <v>1</v>
      </c>
      <c r="D6141">
        <v>145.04</v>
      </c>
      <c r="E6141">
        <v>202</v>
      </c>
    </row>
    <row r="6142" spans="1:5" x14ac:dyDescent="0.3">
      <c r="A6142" t="s">
        <v>7</v>
      </c>
      <c r="B6142" s="1">
        <v>44704</v>
      </c>
      <c r="C6142">
        <v>1</v>
      </c>
      <c r="D6142">
        <v>88.11</v>
      </c>
      <c r="E6142">
        <v>104</v>
      </c>
    </row>
    <row r="6143" spans="1:5" x14ac:dyDescent="0.3">
      <c r="A6143" t="s">
        <v>7</v>
      </c>
      <c r="B6143" s="1">
        <v>44704</v>
      </c>
      <c r="C6143">
        <v>1</v>
      </c>
      <c r="D6143">
        <v>87.6</v>
      </c>
      <c r="E6143">
        <v>109</v>
      </c>
    </row>
    <row r="6144" spans="1:5" x14ac:dyDescent="0.3">
      <c r="A6144" t="s">
        <v>32</v>
      </c>
      <c r="B6144" s="1">
        <v>44704</v>
      </c>
      <c r="C6144">
        <v>0.1</v>
      </c>
      <c r="D6144">
        <v>105</v>
      </c>
      <c r="E6144">
        <v>161</v>
      </c>
    </row>
    <row r="6145" spans="1:5" x14ac:dyDescent="0.3">
      <c r="A6145" t="s">
        <v>102</v>
      </c>
      <c r="B6145" s="1">
        <v>44704</v>
      </c>
      <c r="C6145">
        <v>1</v>
      </c>
      <c r="D6145">
        <v>26.18</v>
      </c>
      <c r="E6145">
        <v>33</v>
      </c>
    </row>
    <row r="6146" spans="1:5" x14ac:dyDescent="0.3">
      <c r="A6146" t="s">
        <v>128</v>
      </c>
      <c r="B6146" s="1">
        <v>44704</v>
      </c>
      <c r="C6146">
        <v>1</v>
      </c>
      <c r="D6146">
        <v>279.55</v>
      </c>
      <c r="E6146">
        <v>392</v>
      </c>
    </row>
    <row r="6147" spans="1:5" x14ac:dyDescent="0.3">
      <c r="A6147" t="s">
        <v>12</v>
      </c>
      <c r="B6147" s="1">
        <v>44704</v>
      </c>
      <c r="C6147">
        <v>1</v>
      </c>
      <c r="D6147">
        <v>60.55</v>
      </c>
      <c r="E6147">
        <v>74</v>
      </c>
    </row>
    <row r="6148" spans="1:5" x14ac:dyDescent="0.3">
      <c r="A6148" t="s">
        <v>111</v>
      </c>
      <c r="B6148" s="1">
        <v>44704</v>
      </c>
      <c r="C6148">
        <v>1</v>
      </c>
      <c r="D6148">
        <v>163.29</v>
      </c>
      <c r="E6148">
        <v>196</v>
      </c>
    </row>
    <row r="6149" spans="1:5" x14ac:dyDescent="0.3">
      <c r="A6149" t="s">
        <v>77</v>
      </c>
      <c r="B6149" s="1">
        <v>44704</v>
      </c>
      <c r="C6149">
        <v>1</v>
      </c>
      <c r="D6149">
        <v>57.35</v>
      </c>
      <c r="E6149">
        <v>72</v>
      </c>
    </row>
    <row r="6150" spans="1:5" x14ac:dyDescent="0.3">
      <c r="A6150" t="s">
        <v>149</v>
      </c>
      <c r="B6150" s="1">
        <v>44704</v>
      </c>
      <c r="C6150">
        <v>1</v>
      </c>
      <c r="D6150">
        <v>223.14</v>
      </c>
      <c r="E6150">
        <v>313</v>
      </c>
    </row>
    <row r="6151" spans="1:5" x14ac:dyDescent="0.3">
      <c r="A6151" t="s">
        <v>101</v>
      </c>
      <c r="B6151" s="1">
        <v>44704</v>
      </c>
      <c r="C6151">
        <v>1</v>
      </c>
      <c r="D6151">
        <v>38.01</v>
      </c>
      <c r="E6151">
        <v>60</v>
      </c>
    </row>
    <row r="6152" spans="1:5" x14ac:dyDescent="0.3">
      <c r="A6152" t="s">
        <v>101</v>
      </c>
      <c r="B6152" s="1">
        <v>44704</v>
      </c>
      <c r="C6152">
        <v>1</v>
      </c>
      <c r="D6152">
        <v>38.01</v>
      </c>
      <c r="E6152">
        <v>60</v>
      </c>
    </row>
    <row r="6153" spans="1:5" x14ac:dyDescent="0.3">
      <c r="A6153" t="s">
        <v>101</v>
      </c>
      <c r="B6153" s="1">
        <v>44704</v>
      </c>
      <c r="C6153">
        <v>1</v>
      </c>
      <c r="D6153">
        <v>38.01</v>
      </c>
      <c r="E6153">
        <v>60</v>
      </c>
    </row>
    <row r="6154" spans="1:5" x14ac:dyDescent="0.3">
      <c r="A6154" t="s">
        <v>60</v>
      </c>
      <c r="B6154" s="1">
        <v>44704</v>
      </c>
      <c r="C6154">
        <v>1</v>
      </c>
      <c r="D6154">
        <v>58.15</v>
      </c>
      <c r="E6154">
        <v>72</v>
      </c>
    </row>
    <row r="6155" spans="1:5" x14ac:dyDescent="0.3">
      <c r="A6155" t="s">
        <v>97</v>
      </c>
      <c r="B6155" s="1">
        <v>44704</v>
      </c>
      <c r="C6155">
        <v>1</v>
      </c>
      <c r="D6155">
        <v>426.66</v>
      </c>
      <c r="E6155">
        <v>564</v>
      </c>
    </row>
    <row r="6156" spans="1:5" x14ac:dyDescent="0.3">
      <c r="A6156" t="s">
        <v>41</v>
      </c>
      <c r="B6156" s="1">
        <v>44704</v>
      </c>
      <c r="C6156">
        <v>1</v>
      </c>
      <c r="D6156">
        <v>12.35</v>
      </c>
      <c r="E6156">
        <v>22</v>
      </c>
    </row>
    <row r="6157" spans="1:5" x14ac:dyDescent="0.3">
      <c r="A6157" t="s">
        <v>100</v>
      </c>
      <c r="B6157" s="1">
        <v>44704</v>
      </c>
      <c r="C6157">
        <v>1</v>
      </c>
      <c r="D6157">
        <v>36.99</v>
      </c>
      <c r="E6157">
        <v>57</v>
      </c>
    </row>
    <row r="6158" spans="1:5" x14ac:dyDescent="0.3">
      <c r="A6158" t="s">
        <v>23</v>
      </c>
      <c r="B6158" s="1">
        <v>44704</v>
      </c>
      <c r="C6158">
        <v>1</v>
      </c>
      <c r="D6158">
        <v>109.41</v>
      </c>
      <c r="E6158">
        <v>123</v>
      </c>
    </row>
    <row r="6159" spans="1:5" x14ac:dyDescent="0.3">
      <c r="A6159" t="s">
        <v>67</v>
      </c>
      <c r="B6159" s="1">
        <v>44704</v>
      </c>
      <c r="C6159">
        <v>1</v>
      </c>
      <c r="D6159">
        <v>64.91</v>
      </c>
      <c r="E6159">
        <v>93</v>
      </c>
    </row>
    <row r="6160" spans="1:5" x14ac:dyDescent="0.3">
      <c r="A6160" t="s">
        <v>95</v>
      </c>
      <c r="B6160" s="1">
        <v>44704</v>
      </c>
      <c r="C6160">
        <v>3</v>
      </c>
      <c r="D6160">
        <v>131.07</v>
      </c>
      <c r="E6160">
        <v>206</v>
      </c>
    </row>
    <row r="6161" spans="1:5" x14ac:dyDescent="0.3">
      <c r="A6161" t="s">
        <v>72</v>
      </c>
      <c r="B6161" s="1">
        <v>44704</v>
      </c>
      <c r="C6161">
        <v>1</v>
      </c>
      <c r="D6161">
        <v>556.51</v>
      </c>
      <c r="E6161">
        <v>735</v>
      </c>
    </row>
    <row r="6162" spans="1:5" x14ac:dyDescent="0.3">
      <c r="A6162" t="s">
        <v>19</v>
      </c>
      <c r="B6162" s="1">
        <v>44704</v>
      </c>
      <c r="C6162">
        <v>1</v>
      </c>
      <c r="D6162">
        <v>81.95</v>
      </c>
      <c r="E6162">
        <v>104</v>
      </c>
    </row>
    <row r="6163" spans="1:5" x14ac:dyDescent="0.3">
      <c r="A6163" t="s">
        <v>23</v>
      </c>
      <c r="B6163" s="1">
        <v>44704</v>
      </c>
      <c r="C6163">
        <v>1</v>
      </c>
      <c r="D6163">
        <v>109.41</v>
      </c>
      <c r="E6163">
        <v>123</v>
      </c>
    </row>
    <row r="6164" spans="1:5" x14ac:dyDescent="0.3">
      <c r="A6164" t="s">
        <v>78</v>
      </c>
      <c r="B6164" s="1">
        <v>44704</v>
      </c>
      <c r="C6164">
        <v>1</v>
      </c>
      <c r="D6164">
        <v>69.290000000000006</v>
      </c>
      <c r="E6164">
        <v>88</v>
      </c>
    </row>
    <row r="6165" spans="1:5" x14ac:dyDescent="0.3">
      <c r="A6165" t="s">
        <v>36</v>
      </c>
      <c r="B6165" s="1">
        <v>44704</v>
      </c>
      <c r="C6165">
        <v>1</v>
      </c>
      <c r="D6165">
        <v>22</v>
      </c>
      <c r="E6165">
        <v>28</v>
      </c>
    </row>
    <row r="6166" spans="1:5" x14ac:dyDescent="0.3">
      <c r="A6166" t="s">
        <v>36</v>
      </c>
      <c r="B6166" s="1">
        <v>44704</v>
      </c>
      <c r="C6166">
        <v>1</v>
      </c>
      <c r="D6166">
        <v>22</v>
      </c>
      <c r="E6166">
        <v>28</v>
      </c>
    </row>
    <row r="6167" spans="1:5" x14ac:dyDescent="0.3">
      <c r="A6167" t="s">
        <v>36</v>
      </c>
      <c r="B6167" s="1">
        <v>44704</v>
      </c>
      <c r="C6167">
        <v>1</v>
      </c>
      <c r="D6167">
        <v>22</v>
      </c>
      <c r="E6167">
        <v>28</v>
      </c>
    </row>
    <row r="6168" spans="1:5" x14ac:dyDescent="0.3">
      <c r="A6168" t="s">
        <v>20</v>
      </c>
      <c r="B6168" s="1">
        <v>44704</v>
      </c>
      <c r="C6168">
        <v>1</v>
      </c>
      <c r="D6168">
        <v>22.66</v>
      </c>
      <c r="E6168">
        <v>30</v>
      </c>
    </row>
    <row r="6169" spans="1:5" x14ac:dyDescent="0.3">
      <c r="A6169" t="s">
        <v>37</v>
      </c>
      <c r="B6169" s="1">
        <v>44704</v>
      </c>
      <c r="C6169">
        <v>1</v>
      </c>
      <c r="D6169">
        <v>51.84</v>
      </c>
      <c r="E6169">
        <v>65</v>
      </c>
    </row>
    <row r="6170" spans="1:5" x14ac:dyDescent="0.3">
      <c r="A6170" t="s">
        <v>37</v>
      </c>
      <c r="B6170" s="1">
        <v>44704</v>
      </c>
      <c r="C6170">
        <v>1</v>
      </c>
      <c r="D6170">
        <v>51.84</v>
      </c>
      <c r="E6170">
        <v>65</v>
      </c>
    </row>
    <row r="6171" spans="1:5" x14ac:dyDescent="0.3">
      <c r="A6171" t="s">
        <v>37</v>
      </c>
      <c r="B6171" s="1">
        <v>44704</v>
      </c>
      <c r="C6171">
        <v>1</v>
      </c>
      <c r="D6171">
        <v>51.84</v>
      </c>
      <c r="E6171">
        <v>65</v>
      </c>
    </row>
    <row r="6172" spans="1:5" x14ac:dyDescent="0.3">
      <c r="A6172" t="s">
        <v>37</v>
      </c>
      <c r="B6172" s="1">
        <v>44704</v>
      </c>
      <c r="C6172">
        <v>1</v>
      </c>
      <c r="D6172">
        <v>36.86</v>
      </c>
      <c r="E6172">
        <v>47</v>
      </c>
    </row>
    <row r="6173" spans="1:5" x14ac:dyDescent="0.3">
      <c r="A6173" t="s">
        <v>40</v>
      </c>
      <c r="B6173" s="1">
        <v>44704</v>
      </c>
      <c r="C6173">
        <v>1</v>
      </c>
      <c r="D6173">
        <v>172.76</v>
      </c>
      <c r="E6173">
        <v>207</v>
      </c>
    </row>
    <row r="6174" spans="1:5" x14ac:dyDescent="0.3">
      <c r="A6174" t="s">
        <v>134</v>
      </c>
      <c r="B6174" s="1">
        <v>44704</v>
      </c>
      <c r="C6174">
        <v>1</v>
      </c>
      <c r="D6174">
        <v>35.200000000000003</v>
      </c>
      <c r="E6174">
        <v>54</v>
      </c>
    </row>
    <row r="6175" spans="1:5" x14ac:dyDescent="0.3">
      <c r="A6175" t="s">
        <v>134</v>
      </c>
      <c r="B6175" s="1">
        <v>44704</v>
      </c>
      <c r="C6175">
        <v>1</v>
      </c>
      <c r="D6175">
        <v>30.95</v>
      </c>
      <c r="E6175">
        <v>48</v>
      </c>
    </row>
    <row r="6176" spans="1:5" x14ac:dyDescent="0.3">
      <c r="A6176" t="s">
        <v>134</v>
      </c>
      <c r="B6176" s="1">
        <v>44704</v>
      </c>
      <c r="C6176">
        <v>1</v>
      </c>
      <c r="D6176">
        <v>30.95</v>
      </c>
      <c r="E6176">
        <v>48</v>
      </c>
    </row>
    <row r="6177" spans="1:5" x14ac:dyDescent="0.3">
      <c r="A6177" t="s">
        <v>134</v>
      </c>
      <c r="B6177" s="1">
        <v>44704</v>
      </c>
      <c r="C6177">
        <v>1</v>
      </c>
      <c r="D6177">
        <v>30.95</v>
      </c>
      <c r="E6177">
        <v>48</v>
      </c>
    </row>
    <row r="6178" spans="1:5" x14ac:dyDescent="0.3">
      <c r="A6178" t="s">
        <v>134</v>
      </c>
      <c r="B6178" s="1">
        <v>44704</v>
      </c>
      <c r="C6178">
        <v>1</v>
      </c>
      <c r="D6178">
        <v>30.95</v>
      </c>
      <c r="E6178">
        <v>48</v>
      </c>
    </row>
    <row r="6179" spans="1:5" x14ac:dyDescent="0.3">
      <c r="A6179" t="s">
        <v>63</v>
      </c>
      <c r="B6179" s="1">
        <v>44704</v>
      </c>
      <c r="C6179">
        <v>1</v>
      </c>
      <c r="D6179">
        <v>71.45</v>
      </c>
      <c r="E6179">
        <v>86</v>
      </c>
    </row>
    <row r="6180" spans="1:5" x14ac:dyDescent="0.3">
      <c r="A6180" t="s">
        <v>63</v>
      </c>
      <c r="B6180" s="1">
        <v>44704</v>
      </c>
      <c r="C6180">
        <v>1</v>
      </c>
      <c r="D6180">
        <v>71.45</v>
      </c>
      <c r="E6180">
        <v>86</v>
      </c>
    </row>
    <row r="6181" spans="1:5" x14ac:dyDescent="0.3">
      <c r="A6181" t="s">
        <v>42</v>
      </c>
      <c r="B6181" s="1">
        <v>44704</v>
      </c>
      <c r="C6181">
        <v>1</v>
      </c>
      <c r="D6181">
        <v>568.22</v>
      </c>
      <c r="E6181">
        <v>711</v>
      </c>
    </row>
    <row r="6182" spans="1:5" x14ac:dyDescent="0.3">
      <c r="A6182" t="s">
        <v>11</v>
      </c>
      <c r="B6182" s="1">
        <v>44704</v>
      </c>
      <c r="C6182">
        <v>2</v>
      </c>
      <c r="D6182">
        <v>24.2</v>
      </c>
      <c r="E6182">
        <v>39</v>
      </c>
    </row>
    <row r="6183" spans="1:5" x14ac:dyDescent="0.3">
      <c r="A6183" t="s">
        <v>64</v>
      </c>
      <c r="B6183" s="1">
        <v>44704</v>
      </c>
      <c r="C6183">
        <v>1</v>
      </c>
      <c r="D6183">
        <v>201.41</v>
      </c>
      <c r="E6183">
        <v>278</v>
      </c>
    </row>
    <row r="6184" spans="1:5" x14ac:dyDescent="0.3">
      <c r="A6184" t="s">
        <v>134</v>
      </c>
      <c r="B6184" s="1">
        <v>44704</v>
      </c>
      <c r="C6184">
        <v>1</v>
      </c>
      <c r="D6184">
        <v>26.86</v>
      </c>
      <c r="E6184">
        <v>41</v>
      </c>
    </row>
    <row r="6185" spans="1:5" x14ac:dyDescent="0.3">
      <c r="A6185" t="s">
        <v>134</v>
      </c>
      <c r="B6185" s="1">
        <v>44704</v>
      </c>
      <c r="C6185">
        <v>1</v>
      </c>
      <c r="D6185">
        <v>26.86</v>
      </c>
      <c r="E6185">
        <v>41</v>
      </c>
    </row>
    <row r="6186" spans="1:5" x14ac:dyDescent="0.3">
      <c r="A6186" t="s">
        <v>105</v>
      </c>
      <c r="B6186" s="1">
        <v>44704</v>
      </c>
      <c r="C6186">
        <v>1</v>
      </c>
      <c r="D6186">
        <v>26.9</v>
      </c>
      <c r="E6186">
        <v>44</v>
      </c>
    </row>
    <row r="6187" spans="1:5" x14ac:dyDescent="0.3">
      <c r="A6187" t="s">
        <v>90</v>
      </c>
      <c r="B6187" s="1">
        <v>44704</v>
      </c>
      <c r="C6187">
        <v>1</v>
      </c>
      <c r="D6187">
        <v>397.02</v>
      </c>
      <c r="E6187">
        <v>489</v>
      </c>
    </row>
    <row r="6188" spans="1:5" x14ac:dyDescent="0.3">
      <c r="A6188" t="s">
        <v>7</v>
      </c>
      <c r="B6188" s="1">
        <v>44704</v>
      </c>
      <c r="C6188">
        <v>1</v>
      </c>
      <c r="D6188">
        <v>87.6</v>
      </c>
      <c r="E6188">
        <v>109</v>
      </c>
    </row>
    <row r="6189" spans="1:5" x14ac:dyDescent="0.3">
      <c r="A6189" t="s">
        <v>87</v>
      </c>
      <c r="B6189" s="1">
        <v>44704</v>
      </c>
      <c r="C6189">
        <v>1</v>
      </c>
      <c r="D6189">
        <v>347.96</v>
      </c>
      <c r="E6189">
        <v>394</v>
      </c>
    </row>
    <row r="6190" spans="1:5" x14ac:dyDescent="0.3">
      <c r="A6190" t="s">
        <v>12</v>
      </c>
      <c r="B6190" s="1">
        <v>44704</v>
      </c>
      <c r="C6190">
        <v>1</v>
      </c>
      <c r="D6190">
        <v>60.55</v>
      </c>
      <c r="E6190">
        <v>74</v>
      </c>
    </row>
    <row r="6191" spans="1:5" x14ac:dyDescent="0.3">
      <c r="A6191" t="s">
        <v>32</v>
      </c>
      <c r="B6191" s="1">
        <v>44704</v>
      </c>
      <c r="C6191">
        <v>1</v>
      </c>
      <c r="D6191">
        <v>125.73</v>
      </c>
      <c r="E6191">
        <v>192</v>
      </c>
    </row>
    <row r="6192" spans="1:5" x14ac:dyDescent="0.3">
      <c r="A6192" t="s">
        <v>24</v>
      </c>
      <c r="B6192" s="1">
        <v>44704</v>
      </c>
      <c r="C6192">
        <v>1</v>
      </c>
      <c r="D6192">
        <v>107.3</v>
      </c>
      <c r="E6192">
        <v>126</v>
      </c>
    </row>
    <row r="6193" spans="1:5" x14ac:dyDescent="0.3">
      <c r="A6193" t="s">
        <v>74</v>
      </c>
      <c r="B6193" s="1">
        <v>44704</v>
      </c>
      <c r="C6193">
        <v>1</v>
      </c>
      <c r="D6193">
        <v>89.28</v>
      </c>
      <c r="E6193">
        <v>111</v>
      </c>
    </row>
    <row r="6194" spans="1:5" x14ac:dyDescent="0.3">
      <c r="A6194" t="s">
        <v>36</v>
      </c>
      <c r="B6194" s="1">
        <v>44704</v>
      </c>
      <c r="C6194">
        <v>1</v>
      </c>
      <c r="D6194">
        <v>32.67</v>
      </c>
      <c r="E6194">
        <v>41</v>
      </c>
    </row>
    <row r="6195" spans="1:5" x14ac:dyDescent="0.3">
      <c r="A6195" t="s">
        <v>20</v>
      </c>
      <c r="B6195" s="1">
        <v>44704</v>
      </c>
      <c r="C6195">
        <v>1</v>
      </c>
      <c r="D6195">
        <v>19.66</v>
      </c>
      <c r="E6195">
        <v>25</v>
      </c>
    </row>
    <row r="6196" spans="1:5" x14ac:dyDescent="0.3">
      <c r="A6196" t="s">
        <v>49</v>
      </c>
      <c r="B6196" s="1">
        <v>44704</v>
      </c>
      <c r="C6196">
        <v>1</v>
      </c>
      <c r="D6196">
        <v>15.32</v>
      </c>
      <c r="E6196">
        <v>19</v>
      </c>
    </row>
    <row r="6197" spans="1:5" x14ac:dyDescent="0.3">
      <c r="A6197" t="s">
        <v>105</v>
      </c>
      <c r="B6197" s="1">
        <v>44704</v>
      </c>
      <c r="C6197">
        <v>1</v>
      </c>
      <c r="D6197">
        <v>26.9</v>
      </c>
      <c r="E6197">
        <v>44</v>
      </c>
    </row>
    <row r="6198" spans="1:5" x14ac:dyDescent="0.3">
      <c r="A6198" t="s">
        <v>15</v>
      </c>
      <c r="B6198" s="1">
        <v>44704</v>
      </c>
      <c r="C6198">
        <v>1</v>
      </c>
      <c r="D6198">
        <v>34.18</v>
      </c>
      <c r="E6198">
        <v>56</v>
      </c>
    </row>
    <row r="6199" spans="1:5" x14ac:dyDescent="0.3">
      <c r="A6199" t="s">
        <v>35</v>
      </c>
      <c r="B6199" s="1">
        <v>44704</v>
      </c>
      <c r="C6199">
        <v>1</v>
      </c>
      <c r="D6199">
        <v>35</v>
      </c>
      <c r="E6199">
        <v>55</v>
      </c>
    </row>
    <row r="6200" spans="1:5" x14ac:dyDescent="0.3">
      <c r="A6200" t="s">
        <v>54</v>
      </c>
      <c r="B6200" s="1">
        <v>44704</v>
      </c>
      <c r="C6200">
        <v>1</v>
      </c>
      <c r="D6200">
        <v>723.11</v>
      </c>
      <c r="E6200">
        <v>933</v>
      </c>
    </row>
    <row r="6201" spans="1:5" x14ac:dyDescent="0.3">
      <c r="A6201" t="s">
        <v>32</v>
      </c>
      <c r="B6201" s="1">
        <v>44704</v>
      </c>
      <c r="C6201">
        <v>1</v>
      </c>
      <c r="D6201">
        <v>105</v>
      </c>
      <c r="E6201">
        <v>165</v>
      </c>
    </row>
    <row r="6202" spans="1:5" x14ac:dyDescent="0.3">
      <c r="A6202" t="s">
        <v>65</v>
      </c>
      <c r="B6202" s="1">
        <v>44704</v>
      </c>
      <c r="C6202">
        <v>1</v>
      </c>
      <c r="D6202">
        <v>184.07</v>
      </c>
      <c r="E6202">
        <v>216</v>
      </c>
    </row>
    <row r="6203" spans="1:5" x14ac:dyDescent="0.3">
      <c r="A6203" t="s">
        <v>90</v>
      </c>
      <c r="B6203" s="1">
        <v>44704</v>
      </c>
      <c r="C6203">
        <v>1</v>
      </c>
      <c r="D6203">
        <v>383.81</v>
      </c>
      <c r="E6203">
        <v>480</v>
      </c>
    </row>
    <row r="6204" spans="1:5" x14ac:dyDescent="0.3">
      <c r="A6204" t="s">
        <v>156</v>
      </c>
      <c r="B6204" s="1">
        <v>44704</v>
      </c>
      <c r="C6204">
        <v>1</v>
      </c>
      <c r="D6204">
        <v>249.63</v>
      </c>
      <c r="E6204">
        <v>350</v>
      </c>
    </row>
    <row r="6205" spans="1:5" x14ac:dyDescent="0.3">
      <c r="A6205" t="s">
        <v>122</v>
      </c>
      <c r="B6205" s="1">
        <v>44704</v>
      </c>
      <c r="C6205">
        <v>1</v>
      </c>
      <c r="D6205">
        <v>20.78</v>
      </c>
      <c r="E6205">
        <v>26</v>
      </c>
    </row>
    <row r="6206" spans="1:5" x14ac:dyDescent="0.3">
      <c r="A6206" t="s">
        <v>92</v>
      </c>
      <c r="B6206" s="1">
        <v>44704</v>
      </c>
      <c r="C6206">
        <v>2</v>
      </c>
      <c r="D6206">
        <v>6.2</v>
      </c>
      <c r="E6206">
        <v>9</v>
      </c>
    </row>
    <row r="6207" spans="1:5" x14ac:dyDescent="0.3">
      <c r="A6207" t="s">
        <v>29</v>
      </c>
      <c r="B6207" s="1">
        <v>44704</v>
      </c>
      <c r="C6207">
        <v>1</v>
      </c>
      <c r="D6207">
        <v>480.05</v>
      </c>
      <c r="E6207">
        <v>625</v>
      </c>
    </row>
    <row r="6208" spans="1:5" x14ac:dyDescent="0.3">
      <c r="A6208" t="s">
        <v>158</v>
      </c>
      <c r="B6208" s="1">
        <v>44704</v>
      </c>
      <c r="C6208">
        <v>1</v>
      </c>
      <c r="D6208">
        <v>31.75</v>
      </c>
      <c r="E6208">
        <v>39</v>
      </c>
    </row>
    <row r="6209" spans="1:5" x14ac:dyDescent="0.3">
      <c r="A6209" t="s">
        <v>158</v>
      </c>
      <c r="B6209" s="1">
        <v>44704</v>
      </c>
      <c r="C6209">
        <v>1</v>
      </c>
      <c r="D6209">
        <v>31.75</v>
      </c>
      <c r="E6209">
        <v>39</v>
      </c>
    </row>
    <row r="6210" spans="1:5" x14ac:dyDescent="0.3">
      <c r="A6210" t="s">
        <v>158</v>
      </c>
      <c r="B6210" s="1">
        <v>44704</v>
      </c>
      <c r="C6210">
        <v>1</v>
      </c>
      <c r="D6210">
        <v>31.75</v>
      </c>
      <c r="E6210">
        <v>39</v>
      </c>
    </row>
    <row r="6211" spans="1:5" x14ac:dyDescent="0.3">
      <c r="A6211" t="s">
        <v>158</v>
      </c>
      <c r="B6211" s="1">
        <v>44704</v>
      </c>
      <c r="C6211">
        <v>1</v>
      </c>
      <c r="D6211">
        <v>31.75</v>
      </c>
      <c r="E6211">
        <v>39</v>
      </c>
    </row>
    <row r="6212" spans="1:5" x14ac:dyDescent="0.3">
      <c r="A6212" t="s">
        <v>158</v>
      </c>
      <c r="B6212" s="1">
        <v>44704</v>
      </c>
      <c r="C6212">
        <v>1</v>
      </c>
      <c r="D6212">
        <v>31.75</v>
      </c>
      <c r="E6212">
        <v>39</v>
      </c>
    </row>
    <row r="6213" spans="1:5" x14ac:dyDescent="0.3">
      <c r="A6213" t="s">
        <v>158</v>
      </c>
      <c r="B6213" s="1">
        <v>44704</v>
      </c>
      <c r="C6213">
        <v>1</v>
      </c>
      <c r="D6213">
        <v>31.75</v>
      </c>
      <c r="E6213">
        <v>39</v>
      </c>
    </row>
    <row r="6214" spans="1:5" x14ac:dyDescent="0.3">
      <c r="A6214" t="s">
        <v>158</v>
      </c>
      <c r="B6214" s="1">
        <v>44704</v>
      </c>
      <c r="C6214">
        <v>1</v>
      </c>
      <c r="D6214">
        <v>31.75</v>
      </c>
      <c r="E6214">
        <v>39</v>
      </c>
    </row>
    <row r="6215" spans="1:5" x14ac:dyDescent="0.3">
      <c r="A6215" t="s">
        <v>158</v>
      </c>
      <c r="B6215" s="1">
        <v>44704</v>
      </c>
      <c r="C6215">
        <v>1</v>
      </c>
      <c r="D6215">
        <v>31.75</v>
      </c>
      <c r="E6215">
        <v>39</v>
      </c>
    </row>
    <row r="6216" spans="1:5" x14ac:dyDescent="0.3">
      <c r="A6216" t="s">
        <v>158</v>
      </c>
      <c r="B6216" s="1">
        <v>44704</v>
      </c>
      <c r="C6216">
        <v>1</v>
      </c>
      <c r="D6216">
        <v>31.75</v>
      </c>
      <c r="E6216">
        <v>39</v>
      </c>
    </row>
    <row r="6217" spans="1:5" x14ac:dyDescent="0.3">
      <c r="A6217" t="s">
        <v>158</v>
      </c>
      <c r="B6217" s="1">
        <v>44704</v>
      </c>
      <c r="C6217">
        <v>1</v>
      </c>
      <c r="D6217">
        <v>31.75</v>
      </c>
      <c r="E6217">
        <v>39</v>
      </c>
    </row>
    <row r="6218" spans="1:5" x14ac:dyDescent="0.3">
      <c r="A6218" t="s">
        <v>158</v>
      </c>
      <c r="B6218" s="1">
        <v>44704</v>
      </c>
      <c r="C6218">
        <v>1</v>
      </c>
      <c r="D6218">
        <v>31.75</v>
      </c>
      <c r="E6218">
        <v>39</v>
      </c>
    </row>
    <row r="6219" spans="1:5" x14ac:dyDescent="0.3">
      <c r="A6219" t="s">
        <v>158</v>
      </c>
      <c r="B6219" s="1">
        <v>44704</v>
      </c>
      <c r="C6219">
        <v>1</v>
      </c>
      <c r="D6219">
        <v>31.75</v>
      </c>
      <c r="E6219">
        <v>39</v>
      </c>
    </row>
    <row r="6220" spans="1:5" x14ac:dyDescent="0.3">
      <c r="A6220" t="s">
        <v>114</v>
      </c>
      <c r="B6220" s="1">
        <v>44704</v>
      </c>
      <c r="C6220">
        <v>1</v>
      </c>
      <c r="D6220">
        <v>74.8</v>
      </c>
      <c r="E6220">
        <v>92</v>
      </c>
    </row>
    <row r="6221" spans="1:5" x14ac:dyDescent="0.3">
      <c r="A6221" t="s">
        <v>75</v>
      </c>
      <c r="B6221" s="1">
        <v>44704</v>
      </c>
      <c r="C6221">
        <v>0.1</v>
      </c>
      <c r="D6221">
        <v>466.1</v>
      </c>
      <c r="E6221">
        <v>709</v>
      </c>
    </row>
    <row r="6222" spans="1:5" x14ac:dyDescent="0.3">
      <c r="A6222" t="s">
        <v>28</v>
      </c>
      <c r="B6222" s="1">
        <v>44704</v>
      </c>
      <c r="C6222">
        <v>1</v>
      </c>
      <c r="D6222">
        <v>122.75</v>
      </c>
      <c r="E6222">
        <v>174</v>
      </c>
    </row>
    <row r="6223" spans="1:5" x14ac:dyDescent="0.3">
      <c r="A6223" t="s">
        <v>73</v>
      </c>
      <c r="B6223" s="1">
        <v>44704</v>
      </c>
      <c r="C6223">
        <v>1</v>
      </c>
      <c r="D6223">
        <v>7.97</v>
      </c>
      <c r="E6223">
        <v>13</v>
      </c>
    </row>
    <row r="6224" spans="1:5" x14ac:dyDescent="0.3">
      <c r="A6224" t="s">
        <v>26</v>
      </c>
      <c r="B6224" s="1">
        <v>44704</v>
      </c>
      <c r="C6224">
        <v>0.4</v>
      </c>
      <c r="D6224">
        <v>1026.1199999999999</v>
      </c>
      <c r="E6224">
        <v>1283</v>
      </c>
    </row>
    <row r="6225" spans="1:5" x14ac:dyDescent="0.3">
      <c r="A6225" t="s">
        <v>58</v>
      </c>
      <c r="B6225" s="1">
        <v>44704</v>
      </c>
      <c r="C6225">
        <v>1</v>
      </c>
      <c r="D6225">
        <v>76.739999999999995</v>
      </c>
      <c r="E6225">
        <v>93</v>
      </c>
    </row>
    <row r="6226" spans="1:5" x14ac:dyDescent="0.3">
      <c r="A6226" t="s">
        <v>7</v>
      </c>
      <c r="B6226" s="1">
        <v>44704</v>
      </c>
      <c r="C6226">
        <v>1</v>
      </c>
      <c r="D6226">
        <v>89.27</v>
      </c>
      <c r="E6226">
        <v>105</v>
      </c>
    </row>
    <row r="6227" spans="1:5" x14ac:dyDescent="0.3">
      <c r="A6227" t="s">
        <v>32</v>
      </c>
      <c r="B6227" s="1">
        <v>44704</v>
      </c>
      <c r="C6227">
        <v>1</v>
      </c>
      <c r="D6227">
        <v>125.73</v>
      </c>
      <c r="E6227">
        <v>192</v>
      </c>
    </row>
    <row r="6228" spans="1:5" x14ac:dyDescent="0.3">
      <c r="A6228" t="s">
        <v>115</v>
      </c>
      <c r="B6228" s="1">
        <v>44704</v>
      </c>
      <c r="C6228">
        <v>1</v>
      </c>
      <c r="D6228">
        <v>71.02</v>
      </c>
      <c r="E6228">
        <v>88</v>
      </c>
    </row>
    <row r="6229" spans="1:5" x14ac:dyDescent="0.3">
      <c r="A6229" t="s">
        <v>58</v>
      </c>
      <c r="B6229" s="1">
        <v>44704</v>
      </c>
      <c r="C6229">
        <v>1</v>
      </c>
      <c r="D6229">
        <v>88.35</v>
      </c>
      <c r="E6229">
        <v>107</v>
      </c>
    </row>
    <row r="6230" spans="1:5" x14ac:dyDescent="0.3">
      <c r="A6230" t="s">
        <v>29</v>
      </c>
      <c r="B6230" s="1">
        <v>44704</v>
      </c>
      <c r="C6230">
        <v>1</v>
      </c>
      <c r="D6230">
        <v>489.61</v>
      </c>
      <c r="E6230">
        <v>661</v>
      </c>
    </row>
    <row r="6231" spans="1:5" x14ac:dyDescent="0.3">
      <c r="A6231" t="s">
        <v>10</v>
      </c>
      <c r="B6231" s="1">
        <v>44704</v>
      </c>
      <c r="C6231">
        <v>1</v>
      </c>
      <c r="D6231">
        <v>11.55</v>
      </c>
      <c r="E6231">
        <v>14</v>
      </c>
    </row>
    <row r="6232" spans="1:5" x14ac:dyDescent="0.3">
      <c r="A6232" t="s">
        <v>53</v>
      </c>
      <c r="B6232" s="1">
        <v>44704</v>
      </c>
      <c r="C6232">
        <v>2</v>
      </c>
      <c r="D6232">
        <v>23.4</v>
      </c>
      <c r="E6232">
        <v>38</v>
      </c>
    </row>
    <row r="6233" spans="1:5" x14ac:dyDescent="0.3">
      <c r="A6233" t="s">
        <v>20</v>
      </c>
      <c r="B6233" s="1">
        <v>44704</v>
      </c>
      <c r="C6233">
        <v>1</v>
      </c>
      <c r="D6233">
        <v>19.66</v>
      </c>
      <c r="E6233">
        <v>25</v>
      </c>
    </row>
    <row r="6234" spans="1:5" x14ac:dyDescent="0.3">
      <c r="A6234" t="s">
        <v>96</v>
      </c>
      <c r="B6234" s="1">
        <v>44704</v>
      </c>
      <c r="C6234">
        <v>1</v>
      </c>
      <c r="D6234">
        <v>71.650000000000006</v>
      </c>
      <c r="E6234">
        <v>102</v>
      </c>
    </row>
    <row r="6235" spans="1:5" x14ac:dyDescent="0.3">
      <c r="A6235" t="s">
        <v>26</v>
      </c>
      <c r="B6235" s="1">
        <v>44704</v>
      </c>
      <c r="C6235">
        <v>0.1</v>
      </c>
      <c r="D6235">
        <v>989.8</v>
      </c>
      <c r="E6235">
        <v>1238</v>
      </c>
    </row>
    <row r="6236" spans="1:5" x14ac:dyDescent="0.3">
      <c r="A6236" t="s">
        <v>134</v>
      </c>
      <c r="B6236" s="1">
        <v>44704</v>
      </c>
      <c r="C6236">
        <v>1</v>
      </c>
      <c r="D6236">
        <v>27.41</v>
      </c>
      <c r="E6236">
        <v>42</v>
      </c>
    </row>
    <row r="6237" spans="1:5" x14ac:dyDescent="0.3">
      <c r="A6237" t="s">
        <v>66</v>
      </c>
      <c r="B6237" s="1">
        <v>44704</v>
      </c>
      <c r="C6237">
        <v>1</v>
      </c>
      <c r="D6237">
        <v>31.08</v>
      </c>
      <c r="E6237">
        <v>36</v>
      </c>
    </row>
    <row r="6238" spans="1:5" x14ac:dyDescent="0.3">
      <c r="A6238" t="s">
        <v>66</v>
      </c>
      <c r="B6238" s="1">
        <v>44704</v>
      </c>
      <c r="C6238">
        <v>1</v>
      </c>
      <c r="D6238">
        <v>31.08</v>
      </c>
      <c r="E6238">
        <v>36</v>
      </c>
    </row>
    <row r="6239" spans="1:5" x14ac:dyDescent="0.3">
      <c r="A6239" t="s">
        <v>115</v>
      </c>
      <c r="B6239" s="1">
        <v>44704</v>
      </c>
      <c r="C6239">
        <v>1</v>
      </c>
      <c r="D6239">
        <v>78.12</v>
      </c>
      <c r="E6239">
        <v>90.16</v>
      </c>
    </row>
    <row r="6240" spans="1:5" x14ac:dyDescent="0.3">
      <c r="A6240" t="s">
        <v>122</v>
      </c>
      <c r="B6240" s="1">
        <v>44704</v>
      </c>
      <c r="C6240">
        <v>1</v>
      </c>
      <c r="D6240">
        <v>20.78</v>
      </c>
      <c r="E6240">
        <v>26</v>
      </c>
    </row>
    <row r="6241" spans="1:5" x14ac:dyDescent="0.3">
      <c r="A6241" t="s">
        <v>58</v>
      </c>
      <c r="B6241" s="1">
        <v>44704</v>
      </c>
      <c r="C6241">
        <v>1</v>
      </c>
      <c r="D6241">
        <v>76.739999999999995</v>
      </c>
      <c r="E6241">
        <v>93</v>
      </c>
    </row>
    <row r="6242" spans="1:5" x14ac:dyDescent="0.3">
      <c r="A6242" t="s">
        <v>85</v>
      </c>
      <c r="B6242" s="1">
        <v>44704</v>
      </c>
      <c r="C6242">
        <v>1</v>
      </c>
      <c r="D6242">
        <v>17</v>
      </c>
      <c r="E6242">
        <v>26</v>
      </c>
    </row>
    <row r="6243" spans="1:5" x14ac:dyDescent="0.3">
      <c r="A6243" t="s">
        <v>140</v>
      </c>
      <c r="B6243" s="1">
        <v>44704</v>
      </c>
      <c r="C6243">
        <v>1</v>
      </c>
      <c r="D6243">
        <v>156.07</v>
      </c>
      <c r="E6243">
        <v>188</v>
      </c>
    </row>
    <row r="6244" spans="1:5" x14ac:dyDescent="0.3">
      <c r="A6244" t="s">
        <v>7</v>
      </c>
      <c r="B6244" s="1">
        <v>44704</v>
      </c>
      <c r="C6244">
        <v>1</v>
      </c>
      <c r="D6244">
        <v>87.6</v>
      </c>
      <c r="E6244">
        <v>109</v>
      </c>
    </row>
    <row r="6245" spans="1:5" x14ac:dyDescent="0.3">
      <c r="A6245" t="s">
        <v>79</v>
      </c>
      <c r="B6245" s="1">
        <v>44704</v>
      </c>
      <c r="C6245">
        <v>1</v>
      </c>
      <c r="D6245">
        <v>148.5</v>
      </c>
      <c r="E6245">
        <v>177</v>
      </c>
    </row>
    <row r="6246" spans="1:5" x14ac:dyDescent="0.3">
      <c r="A6246" t="s">
        <v>30</v>
      </c>
      <c r="B6246" s="1">
        <v>44704</v>
      </c>
      <c r="C6246">
        <v>1</v>
      </c>
      <c r="D6246">
        <v>155.94</v>
      </c>
      <c r="E6246">
        <v>185</v>
      </c>
    </row>
    <row r="6247" spans="1:5" x14ac:dyDescent="0.3">
      <c r="A6247" t="s">
        <v>70</v>
      </c>
      <c r="B6247" s="1">
        <v>44704</v>
      </c>
      <c r="C6247">
        <v>1</v>
      </c>
      <c r="D6247">
        <v>165.32</v>
      </c>
      <c r="E6247">
        <v>203</v>
      </c>
    </row>
    <row r="6248" spans="1:5" x14ac:dyDescent="0.3">
      <c r="A6248" t="s">
        <v>27</v>
      </c>
      <c r="B6248" s="1">
        <v>44704</v>
      </c>
      <c r="C6248">
        <v>1</v>
      </c>
      <c r="D6248">
        <v>106.88</v>
      </c>
      <c r="E6248">
        <v>164</v>
      </c>
    </row>
    <row r="6249" spans="1:5" x14ac:dyDescent="0.3">
      <c r="A6249" t="s">
        <v>50</v>
      </c>
      <c r="B6249" s="1">
        <v>44704</v>
      </c>
      <c r="C6249">
        <v>1</v>
      </c>
      <c r="D6249">
        <v>43.86</v>
      </c>
      <c r="E6249">
        <v>56</v>
      </c>
    </row>
    <row r="6250" spans="1:5" x14ac:dyDescent="0.3">
      <c r="A6250" t="s">
        <v>25</v>
      </c>
      <c r="B6250" s="1">
        <v>44704</v>
      </c>
      <c r="C6250">
        <v>1</v>
      </c>
      <c r="D6250">
        <v>147.18</v>
      </c>
      <c r="E6250">
        <v>177</v>
      </c>
    </row>
    <row r="6251" spans="1:5" x14ac:dyDescent="0.3">
      <c r="A6251" t="s">
        <v>32</v>
      </c>
      <c r="B6251" s="1">
        <v>44704</v>
      </c>
      <c r="C6251">
        <v>0.5</v>
      </c>
      <c r="D6251">
        <v>125.73</v>
      </c>
      <c r="E6251">
        <v>192</v>
      </c>
    </row>
    <row r="6252" spans="1:5" x14ac:dyDescent="0.3">
      <c r="A6252" t="s">
        <v>135</v>
      </c>
      <c r="B6252" s="1">
        <v>44704</v>
      </c>
      <c r="C6252">
        <v>1</v>
      </c>
      <c r="D6252">
        <v>83.16</v>
      </c>
      <c r="E6252">
        <v>101</v>
      </c>
    </row>
    <row r="6253" spans="1:5" x14ac:dyDescent="0.3">
      <c r="A6253" t="s">
        <v>135</v>
      </c>
      <c r="B6253" s="1">
        <v>44704</v>
      </c>
      <c r="C6253">
        <v>1</v>
      </c>
      <c r="D6253">
        <v>83.16</v>
      </c>
      <c r="E6253">
        <v>101</v>
      </c>
    </row>
    <row r="6254" spans="1:5" x14ac:dyDescent="0.3">
      <c r="A6254" t="s">
        <v>30</v>
      </c>
      <c r="B6254" s="1">
        <v>44704</v>
      </c>
      <c r="C6254">
        <v>1</v>
      </c>
      <c r="D6254">
        <v>156.19999999999999</v>
      </c>
      <c r="E6254">
        <v>186</v>
      </c>
    </row>
    <row r="6255" spans="1:5" x14ac:dyDescent="0.3">
      <c r="A6255" t="s">
        <v>30</v>
      </c>
      <c r="B6255" s="1">
        <v>44704</v>
      </c>
      <c r="C6255">
        <v>1</v>
      </c>
      <c r="D6255">
        <v>156.19999999999999</v>
      </c>
      <c r="E6255">
        <v>186</v>
      </c>
    </row>
    <row r="6256" spans="1:5" x14ac:dyDescent="0.3">
      <c r="A6256" t="s">
        <v>98</v>
      </c>
      <c r="B6256" s="1">
        <v>44704</v>
      </c>
      <c r="C6256">
        <v>1</v>
      </c>
      <c r="D6256">
        <v>110.84</v>
      </c>
      <c r="E6256">
        <v>134</v>
      </c>
    </row>
    <row r="6257" spans="1:5" x14ac:dyDescent="0.3">
      <c r="A6257" t="s">
        <v>66</v>
      </c>
      <c r="B6257" s="1">
        <v>44704</v>
      </c>
      <c r="C6257">
        <v>1</v>
      </c>
      <c r="D6257">
        <v>30.6</v>
      </c>
      <c r="E6257">
        <v>36</v>
      </c>
    </row>
    <row r="6258" spans="1:5" x14ac:dyDescent="0.3">
      <c r="A6258" t="s">
        <v>143</v>
      </c>
      <c r="B6258" s="1">
        <v>44704</v>
      </c>
      <c r="C6258">
        <v>1</v>
      </c>
      <c r="D6258">
        <v>46.59</v>
      </c>
      <c r="E6258">
        <v>71</v>
      </c>
    </row>
    <row r="6259" spans="1:5" x14ac:dyDescent="0.3">
      <c r="A6259" t="s">
        <v>29</v>
      </c>
      <c r="B6259" s="1">
        <v>44704</v>
      </c>
      <c r="C6259">
        <v>1</v>
      </c>
      <c r="D6259">
        <v>480.11</v>
      </c>
      <c r="E6259">
        <v>663</v>
      </c>
    </row>
    <row r="6260" spans="1:5" x14ac:dyDescent="0.3">
      <c r="A6260" t="s">
        <v>96</v>
      </c>
      <c r="B6260" s="1">
        <v>44704</v>
      </c>
      <c r="C6260">
        <v>1</v>
      </c>
      <c r="D6260">
        <v>70.930000000000007</v>
      </c>
      <c r="E6260">
        <v>106</v>
      </c>
    </row>
    <row r="6261" spans="1:5" x14ac:dyDescent="0.3">
      <c r="A6261" t="s">
        <v>65</v>
      </c>
      <c r="B6261" s="1">
        <v>44704</v>
      </c>
      <c r="C6261">
        <v>1</v>
      </c>
      <c r="D6261">
        <v>184.45</v>
      </c>
      <c r="E6261">
        <v>216</v>
      </c>
    </row>
    <row r="6262" spans="1:5" x14ac:dyDescent="0.3">
      <c r="A6262" t="s">
        <v>78</v>
      </c>
      <c r="B6262" s="1">
        <v>44704</v>
      </c>
      <c r="C6262">
        <v>1</v>
      </c>
      <c r="D6262">
        <v>69.290000000000006</v>
      </c>
      <c r="E6262">
        <v>88</v>
      </c>
    </row>
    <row r="6263" spans="1:5" x14ac:dyDescent="0.3">
      <c r="A6263" t="s">
        <v>80</v>
      </c>
      <c r="B6263" s="1">
        <v>44704</v>
      </c>
      <c r="C6263">
        <v>1</v>
      </c>
      <c r="D6263">
        <v>22.17</v>
      </c>
      <c r="E6263">
        <v>34</v>
      </c>
    </row>
    <row r="6264" spans="1:5" x14ac:dyDescent="0.3">
      <c r="A6264" t="s">
        <v>80</v>
      </c>
      <c r="B6264" s="1">
        <v>44704</v>
      </c>
      <c r="C6264">
        <v>1</v>
      </c>
      <c r="D6264">
        <v>22.17</v>
      </c>
      <c r="E6264">
        <v>34</v>
      </c>
    </row>
    <row r="6265" spans="1:5" x14ac:dyDescent="0.3">
      <c r="A6265" t="s">
        <v>80</v>
      </c>
      <c r="B6265" s="1">
        <v>44704</v>
      </c>
      <c r="C6265">
        <v>1</v>
      </c>
      <c r="D6265">
        <v>22.17</v>
      </c>
      <c r="E6265">
        <v>34</v>
      </c>
    </row>
    <row r="6266" spans="1:5" x14ac:dyDescent="0.3">
      <c r="A6266" t="s">
        <v>80</v>
      </c>
      <c r="B6266" s="1">
        <v>44704</v>
      </c>
      <c r="C6266">
        <v>1</v>
      </c>
      <c r="D6266">
        <v>22.17</v>
      </c>
      <c r="E6266">
        <v>34</v>
      </c>
    </row>
    <row r="6267" spans="1:5" x14ac:dyDescent="0.3">
      <c r="A6267" t="s">
        <v>50</v>
      </c>
      <c r="B6267" s="1">
        <v>44704</v>
      </c>
      <c r="C6267">
        <v>1</v>
      </c>
      <c r="D6267">
        <v>42.99</v>
      </c>
      <c r="E6267">
        <v>54</v>
      </c>
    </row>
    <row r="6268" spans="1:5" x14ac:dyDescent="0.3">
      <c r="A6268" t="s">
        <v>50</v>
      </c>
      <c r="B6268" s="1">
        <v>44704</v>
      </c>
      <c r="C6268">
        <v>1</v>
      </c>
      <c r="D6268">
        <v>42.99</v>
      </c>
      <c r="E6268">
        <v>54</v>
      </c>
    </row>
    <row r="6269" spans="1:5" x14ac:dyDescent="0.3">
      <c r="A6269" t="s">
        <v>118</v>
      </c>
      <c r="B6269" s="1">
        <v>44704</v>
      </c>
      <c r="C6269">
        <v>1</v>
      </c>
      <c r="D6269">
        <v>10.66</v>
      </c>
      <c r="E6269">
        <v>13</v>
      </c>
    </row>
    <row r="6270" spans="1:5" x14ac:dyDescent="0.3">
      <c r="A6270" t="s">
        <v>28</v>
      </c>
      <c r="B6270" s="1">
        <v>44704</v>
      </c>
      <c r="C6270">
        <v>1</v>
      </c>
      <c r="D6270">
        <v>150.03</v>
      </c>
      <c r="E6270">
        <v>212</v>
      </c>
    </row>
    <row r="6271" spans="1:5" x14ac:dyDescent="0.3">
      <c r="A6271" t="s">
        <v>5</v>
      </c>
      <c r="B6271" s="1">
        <v>44704</v>
      </c>
      <c r="C6271">
        <v>1</v>
      </c>
      <c r="D6271">
        <v>146.1</v>
      </c>
      <c r="E6271">
        <v>173</v>
      </c>
    </row>
    <row r="6272" spans="1:5" x14ac:dyDescent="0.3">
      <c r="A6272" t="s">
        <v>155</v>
      </c>
      <c r="B6272" s="1">
        <v>44704</v>
      </c>
      <c r="C6272">
        <v>0.08</v>
      </c>
      <c r="D6272">
        <v>508.78</v>
      </c>
      <c r="E6272">
        <v>687</v>
      </c>
    </row>
    <row r="6273" spans="1:5" x14ac:dyDescent="0.3">
      <c r="A6273" t="s">
        <v>155</v>
      </c>
      <c r="B6273" s="1">
        <v>44704</v>
      </c>
      <c r="C6273">
        <v>0.16</v>
      </c>
      <c r="D6273">
        <v>495.54</v>
      </c>
      <c r="E6273">
        <v>694</v>
      </c>
    </row>
    <row r="6274" spans="1:5" x14ac:dyDescent="0.3">
      <c r="A6274" t="s">
        <v>115</v>
      </c>
      <c r="B6274" s="1">
        <v>44704</v>
      </c>
      <c r="C6274">
        <v>1</v>
      </c>
      <c r="D6274">
        <v>71.02</v>
      </c>
      <c r="E6274">
        <v>88</v>
      </c>
    </row>
    <row r="6275" spans="1:5" x14ac:dyDescent="0.3">
      <c r="A6275" t="s">
        <v>75</v>
      </c>
      <c r="B6275" s="1">
        <v>44704</v>
      </c>
      <c r="C6275">
        <v>0.1</v>
      </c>
      <c r="D6275">
        <v>433.37</v>
      </c>
      <c r="E6275">
        <v>607</v>
      </c>
    </row>
    <row r="6276" spans="1:5" x14ac:dyDescent="0.3">
      <c r="A6276" t="s">
        <v>122</v>
      </c>
      <c r="B6276" s="1">
        <v>44704</v>
      </c>
      <c r="C6276">
        <v>1</v>
      </c>
      <c r="D6276">
        <v>23.42</v>
      </c>
      <c r="E6276">
        <v>28</v>
      </c>
    </row>
    <row r="6277" spans="1:5" x14ac:dyDescent="0.3">
      <c r="A6277" t="s">
        <v>66</v>
      </c>
      <c r="B6277" s="1">
        <v>44704</v>
      </c>
      <c r="C6277">
        <v>1</v>
      </c>
      <c r="D6277">
        <v>30.6</v>
      </c>
      <c r="E6277">
        <v>36</v>
      </c>
    </row>
    <row r="6278" spans="1:5" x14ac:dyDescent="0.3">
      <c r="A6278" t="s">
        <v>36</v>
      </c>
      <c r="B6278" s="1">
        <v>44704</v>
      </c>
      <c r="C6278">
        <v>1</v>
      </c>
      <c r="D6278">
        <v>21.26</v>
      </c>
      <c r="E6278">
        <v>27</v>
      </c>
    </row>
    <row r="6279" spans="1:5" x14ac:dyDescent="0.3">
      <c r="A6279" t="s">
        <v>36</v>
      </c>
      <c r="B6279" s="1">
        <v>44704</v>
      </c>
      <c r="C6279">
        <v>1</v>
      </c>
      <c r="D6279">
        <v>21.26</v>
      </c>
      <c r="E6279">
        <v>27</v>
      </c>
    </row>
    <row r="6280" spans="1:5" x14ac:dyDescent="0.3">
      <c r="A6280" t="s">
        <v>36</v>
      </c>
      <c r="B6280" s="1">
        <v>44704</v>
      </c>
      <c r="C6280">
        <v>1</v>
      </c>
      <c r="D6280">
        <v>21.26</v>
      </c>
      <c r="E6280">
        <v>27</v>
      </c>
    </row>
    <row r="6281" spans="1:5" x14ac:dyDescent="0.3">
      <c r="A6281" t="s">
        <v>36</v>
      </c>
      <c r="B6281" s="1">
        <v>44704</v>
      </c>
      <c r="C6281">
        <v>1</v>
      </c>
      <c r="D6281">
        <v>21.26</v>
      </c>
      <c r="E6281">
        <v>27</v>
      </c>
    </row>
    <row r="6282" spans="1:5" x14ac:dyDescent="0.3">
      <c r="A6282" t="s">
        <v>36</v>
      </c>
      <c r="B6282" s="1">
        <v>44704</v>
      </c>
      <c r="C6282">
        <v>1</v>
      </c>
      <c r="D6282">
        <v>21.26</v>
      </c>
      <c r="E6282">
        <v>27</v>
      </c>
    </row>
    <row r="6283" spans="1:5" x14ac:dyDescent="0.3">
      <c r="A6283" t="s">
        <v>36</v>
      </c>
      <c r="B6283" s="1">
        <v>44704</v>
      </c>
      <c r="C6283">
        <v>1</v>
      </c>
      <c r="D6283">
        <v>21.26</v>
      </c>
      <c r="E6283">
        <v>27</v>
      </c>
    </row>
    <row r="6284" spans="1:5" x14ac:dyDescent="0.3">
      <c r="A6284" t="s">
        <v>38</v>
      </c>
      <c r="B6284" s="1">
        <v>44704</v>
      </c>
      <c r="C6284">
        <v>1</v>
      </c>
      <c r="D6284">
        <v>27.64</v>
      </c>
      <c r="E6284">
        <v>43</v>
      </c>
    </row>
    <row r="6285" spans="1:5" x14ac:dyDescent="0.3">
      <c r="A6285" t="s">
        <v>38</v>
      </c>
      <c r="B6285" s="1">
        <v>44704</v>
      </c>
      <c r="C6285">
        <v>1</v>
      </c>
      <c r="D6285">
        <v>27.64</v>
      </c>
      <c r="E6285">
        <v>43</v>
      </c>
    </row>
    <row r="6286" spans="1:5" x14ac:dyDescent="0.3">
      <c r="A6286" t="s">
        <v>38</v>
      </c>
      <c r="B6286" s="1">
        <v>44704</v>
      </c>
      <c r="C6286">
        <v>1</v>
      </c>
      <c r="D6286">
        <v>27.64</v>
      </c>
      <c r="E6286">
        <v>43</v>
      </c>
    </row>
    <row r="6287" spans="1:5" x14ac:dyDescent="0.3">
      <c r="A6287" t="s">
        <v>48</v>
      </c>
      <c r="B6287" s="1">
        <v>44704</v>
      </c>
      <c r="C6287">
        <v>1</v>
      </c>
      <c r="D6287">
        <v>41.54</v>
      </c>
      <c r="E6287">
        <v>65</v>
      </c>
    </row>
    <row r="6288" spans="1:5" x14ac:dyDescent="0.3">
      <c r="A6288" t="s">
        <v>52</v>
      </c>
      <c r="B6288" s="1">
        <v>44704</v>
      </c>
      <c r="C6288">
        <v>1</v>
      </c>
      <c r="D6288">
        <v>205</v>
      </c>
      <c r="E6288">
        <v>250</v>
      </c>
    </row>
    <row r="6289" spans="1:5" x14ac:dyDescent="0.3">
      <c r="A6289" t="s">
        <v>5</v>
      </c>
      <c r="B6289" s="1">
        <v>44704</v>
      </c>
      <c r="C6289">
        <v>1</v>
      </c>
      <c r="D6289">
        <v>131.57</v>
      </c>
      <c r="E6289">
        <v>158</v>
      </c>
    </row>
    <row r="6290" spans="1:5" x14ac:dyDescent="0.3">
      <c r="A6290" t="s">
        <v>83</v>
      </c>
      <c r="B6290" s="1">
        <v>44704</v>
      </c>
      <c r="C6290">
        <v>1</v>
      </c>
      <c r="D6290">
        <v>207.77</v>
      </c>
      <c r="E6290">
        <v>241</v>
      </c>
    </row>
    <row r="6291" spans="1:5" x14ac:dyDescent="0.3">
      <c r="A6291" t="s">
        <v>66</v>
      </c>
      <c r="B6291" s="1">
        <v>44704</v>
      </c>
      <c r="C6291">
        <v>1</v>
      </c>
      <c r="D6291">
        <v>30.6</v>
      </c>
      <c r="E6291">
        <v>36</v>
      </c>
    </row>
    <row r="6292" spans="1:5" x14ac:dyDescent="0.3">
      <c r="A6292" t="s">
        <v>149</v>
      </c>
      <c r="B6292" s="1">
        <v>44704</v>
      </c>
      <c r="C6292">
        <v>1</v>
      </c>
      <c r="D6292">
        <v>220</v>
      </c>
      <c r="E6292">
        <v>308</v>
      </c>
    </row>
    <row r="6293" spans="1:5" x14ac:dyDescent="0.3">
      <c r="A6293" t="s">
        <v>149</v>
      </c>
      <c r="B6293" s="1">
        <v>44704</v>
      </c>
      <c r="C6293">
        <v>1</v>
      </c>
      <c r="D6293">
        <v>220</v>
      </c>
      <c r="E6293">
        <v>308</v>
      </c>
    </row>
    <row r="6294" spans="1:5" x14ac:dyDescent="0.3">
      <c r="A6294" t="s">
        <v>149</v>
      </c>
      <c r="B6294" s="1">
        <v>44704</v>
      </c>
      <c r="C6294">
        <v>1</v>
      </c>
      <c r="D6294">
        <v>220</v>
      </c>
      <c r="E6294">
        <v>308</v>
      </c>
    </row>
    <row r="6295" spans="1:5" x14ac:dyDescent="0.3">
      <c r="A6295" t="s">
        <v>57</v>
      </c>
      <c r="B6295" s="1">
        <v>44704</v>
      </c>
      <c r="C6295">
        <v>1</v>
      </c>
      <c r="D6295">
        <v>233.74</v>
      </c>
      <c r="E6295">
        <v>274</v>
      </c>
    </row>
    <row r="6296" spans="1:5" x14ac:dyDescent="0.3">
      <c r="A6296" t="s">
        <v>83</v>
      </c>
      <c r="B6296" s="1">
        <v>44704</v>
      </c>
      <c r="C6296">
        <v>1</v>
      </c>
      <c r="D6296">
        <v>201.71</v>
      </c>
      <c r="E6296">
        <v>239</v>
      </c>
    </row>
    <row r="6297" spans="1:5" x14ac:dyDescent="0.3">
      <c r="A6297" t="s">
        <v>29</v>
      </c>
      <c r="B6297" s="1">
        <v>44704</v>
      </c>
      <c r="C6297">
        <v>1</v>
      </c>
      <c r="D6297">
        <v>480.11</v>
      </c>
      <c r="E6297">
        <v>663</v>
      </c>
    </row>
    <row r="6298" spans="1:5" x14ac:dyDescent="0.3">
      <c r="A6298" t="s">
        <v>47</v>
      </c>
      <c r="B6298" s="1">
        <v>44704</v>
      </c>
      <c r="C6298">
        <v>1</v>
      </c>
      <c r="D6298">
        <v>43.08</v>
      </c>
      <c r="E6298">
        <v>66</v>
      </c>
    </row>
    <row r="6299" spans="1:5" x14ac:dyDescent="0.3">
      <c r="A6299" t="s">
        <v>97</v>
      </c>
      <c r="B6299" s="1">
        <v>44704</v>
      </c>
      <c r="C6299">
        <v>1</v>
      </c>
      <c r="D6299">
        <v>421.97</v>
      </c>
      <c r="E6299">
        <v>545</v>
      </c>
    </row>
    <row r="6300" spans="1:5" x14ac:dyDescent="0.3">
      <c r="A6300" t="s">
        <v>23</v>
      </c>
      <c r="B6300" s="1">
        <v>44704</v>
      </c>
      <c r="C6300">
        <v>1</v>
      </c>
      <c r="D6300">
        <v>110.08</v>
      </c>
      <c r="E6300">
        <v>124</v>
      </c>
    </row>
    <row r="6301" spans="1:5" x14ac:dyDescent="0.3">
      <c r="A6301" t="s">
        <v>62</v>
      </c>
      <c r="B6301" s="1">
        <v>44704</v>
      </c>
      <c r="C6301">
        <v>1</v>
      </c>
      <c r="D6301">
        <v>25.62</v>
      </c>
      <c r="E6301">
        <v>31</v>
      </c>
    </row>
    <row r="6302" spans="1:5" x14ac:dyDescent="0.3">
      <c r="A6302" t="s">
        <v>47</v>
      </c>
      <c r="B6302" s="1">
        <v>44704</v>
      </c>
      <c r="C6302">
        <v>1</v>
      </c>
      <c r="D6302">
        <v>43.08</v>
      </c>
      <c r="E6302">
        <v>66</v>
      </c>
    </row>
    <row r="6303" spans="1:5" x14ac:dyDescent="0.3">
      <c r="A6303" t="s">
        <v>7</v>
      </c>
      <c r="B6303" s="1">
        <v>44704</v>
      </c>
      <c r="C6303">
        <v>1</v>
      </c>
      <c r="D6303">
        <v>87.6</v>
      </c>
      <c r="E6303">
        <v>109</v>
      </c>
    </row>
    <row r="6304" spans="1:5" x14ac:dyDescent="0.3">
      <c r="A6304" t="s">
        <v>25</v>
      </c>
      <c r="B6304" s="1">
        <v>44704</v>
      </c>
      <c r="C6304">
        <v>1</v>
      </c>
      <c r="D6304">
        <v>147.18</v>
      </c>
      <c r="E6304">
        <v>177</v>
      </c>
    </row>
    <row r="6305" spans="1:5" x14ac:dyDescent="0.3">
      <c r="A6305" t="s">
        <v>83</v>
      </c>
      <c r="B6305" s="1">
        <v>44704</v>
      </c>
      <c r="C6305">
        <v>1</v>
      </c>
      <c r="D6305">
        <v>201.71</v>
      </c>
      <c r="E6305">
        <v>239</v>
      </c>
    </row>
    <row r="6306" spans="1:5" x14ac:dyDescent="0.3">
      <c r="A6306" t="s">
        <v>143</v>
      </c>
      <c r="B6306" s="1">
        <v>44704</v>
      </c>
      <c r="C6306">
        <v>1</v>
      </c>
      <c r="D6306">
        <v>45.54</v>
      </c>
      <c r="E6306">
        <v>70</v>
      </c>
    </row>
    <row r="6307" spans="1:5" x14ac:dyDescent="0.3">
      <c r="A6307" t="s">
        <v>143</v>
      </c>
      <c r="B6307" s="1">
        <v>44704</v>
      </c>
      <c r="C6307">
        <v>1</v>
      </c>
      <c r="D6307">
        <v>45.54</v>
      </c>
      <c r="E6307">
        <v>70</v>
      </c>
    </row>
    <row r="6308" spans="1:5" x14ac:dyDescent="0.3">
      <c r="A6308" t="s">
        <v>87</v>
      </c>
      <c r="B6308" s="1">
        <v>44704</v>
      </c>
      <c r="C6308">
        <v>1</v>
      </c>
      <c r="D6308">
        <v>347.96</v>
      </c>
      <c r="E6308">
        <v>394</v>
      </c>
    </row>
    <row r="6309" spans="1:5" x14ac:dyDescent="0.3">
      <c r="A6309" t="s">
        <v>5</v>
      </c>
      <c r="B6309" s="1">
        <v>44704</v>
      </c>
      <c r="C6309">
        <v>1</v>
      </c>
      <c r="D6309">
        <v>145.6</v>
      </c>
      <c r="E6309">
        <v>169</v>
      </c>
    </row>
    <row r="6310" spans="1:5" x14ac:dyDescent="0.3">
      <c r="A6310" t="s">
        <v>18</v>
      </c>
      <c r="B6310" s="1">
        <v>44704</v>
      </c>
      <c r="C6310">
        <v>1</v>
      </c>
      <c r="D6310">
        <v>46</v>
      </c>
      <c r="E6310">
        <v>73</v>
      </c>
    </row>
    <row r="6311" spans="1:5" x14ac:dyDescent="0.3">
      <c r="A6311" t="s">
        <v>7</v>
      </c>
      <c r="B6311" s="1">
        <v>44704</v>
      </c>
      <c r="C6311">
        <v>1</v>
      </c>
      <c r="D6311">
        <v>87.6</v>
      </c>
      <c r="E6311">
        <v>109</v>
      </c>
    </row>
    <row r="6312" spans="1:5" x14ac:dyDescent="0.3">
      <c r="A6312" t="s">
        <v>98</v>
      </c>
      <c r="B6312" s="1">
        <v>44704</v>
      </c>
      <c r="C6312">
        <v>1</v>
      </c>
      <c r="D6312">
        <v>112.37</v>
      </c>
      <c r="E6312">
        <v>135</v>
      </c>
    </row>
    <row r="6313" spans="1:5" x14ac:dyDescent="0.3">
      <c r="A6313" t="s">
        <v>26</v>
      </c>
      <c r="B6313" s="1">
        <v>44704</v>
      </c>
      <c r="C6313">
        <v>0.1</v>
      </c>
      <c r="D6313">
        <v>989.8</v>
      </c>
      <c r="E6313">
        <v>1307</v>
      </c>
    </row>
    <row r="6314" spans="1:5" x14ac:dyDescent="0.3">
      <c r="A6314" t="s">
        <v>156</v>
      </c>
      <c r="B6314" s="1">
        <v>44704</v>
      </c>
      <c r="C6314">
        <v>1</v>
      </c>
      <c r="D6314">
        <v>251.37</v>
      </c>
      <c r="E6314">
        <v>347</v>
      </c>
    </row>
    <row r="6315" spans="1:5" x14ac:dyDescent="0.3">
      <c r="A6315" t="s">
        <v>50</v>
      </c>
      <c r="B6315" s="1">
        <v>44704</v>
      </c>
      <c r="C6315">
        <v>1</v>
      </c>
      <c r="D6315">
        <v>42.99</v>
      </c>
      <c r="E6315">
        <v>54</v>
      </c>
    </row>
    <row r="6316" spans="1:5" x14ac:dyDescent="0.3">
      <c r="A6316" t="s">
        <v>79</v>
      </c>
      <c r="B6316" s="1">
        <v>44704</v>
      </c>
      <c r="C6316">
        <v>1</v>
      </c>
      <c r="D6316">
        <v>148.5</v>
      </c>
      <c r="E6316">
        <v>177</v>
      </c>
    </row>
    <row r="6317" spans="1:5" x14ac:dyDescent="0.3">
      <c r="A6317" t="s">
        <v>95</v>
      </c>
      <c r="B6317" s="1">
        <v>44704</v>
      </c>
      <c r="C6317">
        <v>1</v>
      </c>
      <c r="D6317">
        <v>131.07</v>
      </c>
      <c r="E6317">
        <v>206</v>
      </c>
    </row>
    <row r="6318" spans="1:5" x14ac:dyDescent="0.3">
      <c r="A6318" t="s">
        <v>124</v>
      </c>
      <c r="B6318" s="1">
        <v>44704</v>
      </c>
      <c r="C6318">
        <v>1</v>
      </c>
      <c r="D6318">
        <v>42.85</v>
      </c>
      <c r="E6318">
        <v>70</v>
      </c>
    </row>
    <row r="6319" spans="1:5" x14ac:dyDescent="0.3">
      <c r="A6319" t="s">
        <v>69</v>
      </c>
      <c r="B6319" s="1">
        <v>44704</v>
      </c>
      <c r="C6319">
        <v>1</v>
      </c>
      <c r="D6319">
        <v>19.989999999999998</v>
      </c>
      <c r="E6319">
        <v>24</v>
      </c>
    </row>
    <row r="6320" spans="1:5" x14ac:dyDescent="0.3">
      <c r="A6320" t="s">
        <v>57</v>
      </c>
      <c r="B6320" s="1">
        <v>44704</v>
      </c>
      <c r="C6320">
        <v>1</v>
      </c>
      <c r="D6320">
        <v>225.2</v>
      </c>
      <c r="E6320">
        <v>264</v>
      </c>
    </row>
    <row r="6321" spans="1:5" x14ac:dyDescent="0.3">
      <c r="A6321" t="s">
        <v>78</v>
      </c>
      <c r="B6321" s="1">
        <v>44704</v>
      </c>
      <c r="C6321">
        <v>1</v>
      </c>
      <c r="D6321">
        <v>69.290000000000006</v>
      </c>
      <c r="E6321">
        <v>88</v>
      </c>
    </row>
    <row r="6322" spans="1:5" x14ac:dyDescent="0.3">
      <c r="A6322" t="s">
        <v>110</v>
      </c>
      <c r="B6322" s="1">
        <v>44704</v>
      </c>
      <c r="C6322">
        <v>1</v>
      </c>
      <c r="D6322">
        <v>215.6</v>
      </c>
      <c r="E6322">
        <v>302</v>
      </c>
    </row>
    <row r="6323" spans="1:5" x14ac:dyDescent="0.3">
      <c r="A6323" t="s">
        <v>149</v>
      </c>
      <c r="B6323" s="1">
        <v>44704</v>
      </c>
      <c r="C6323">
        <v>1</v>
      </c>
      <c r="D6323">
        <v>218.9</v>
      </c>
      <c r="E6323">
        <v>296</v>
      </c>
    </row>
    <row r="6324" spans="1:5" x14ac:dyDescent="0.3">
      <c r="A6324" t="s">
        <v>149</v>
      </c>
      <c r="B6324" s="1">
        <v>44704</v>
      </c>
      <c r="C6324">
        <v>1</v>
      </c>
      <c r="D6324">
        <v>218.9</v>
      </c>
      <c r="E6324">
        <v>296</v>
      </c>
    </row>
    <row r="6325" spans="1:5" x14ac:dyDescent="0.3">
      <c r="A6325" t="s">
        <v>98</v>
      </c>
      <c r="B6325" s="1">
        <v>44704</v>
      </c>
      <c r="C6325">
        <v>1</v>
      </c>
      <c r="D6325">
        <v>111.85</v>
      </c>
      <c r="E6325">
        <v>135</v>
      </c>
    </row>
    <row r="6326" spans="1:5" x14ac:dyDescent="0.3">
      <c r="A6326" t="s">
        <v>93</v>
      </c>
      <c r="B6326" s="1">
        <v>44704</v>
      </c>
      <c r="C6326">
        <v>1</v>
      </c>
      <c r="D6326">
        <v>68.599999999999994</v>
      </c>
      <c r="E6326">
        <v>98</v>
      </c>
    </row>
    <row r="6327" spans="1:5" x14ac:dyDescent="0.3">
      <c r="A6327" t="s">
        <v>155</v>
      </c>
      <c r="B6327" s="1">
        <v>44704</v>
      </c>
      <c r="C6327">
        <v>0.16</v>
      </c>
      <c r="D6327">
        <v>495.54</v>
      </c>
      <c r="E6327">
        <v>694</v>
      </c>
    </row>
    <row r="6328" spans="1:5" x14ac:dyDescent="0.3">
      <c r="A6328" t="s">
        <v>70</v>
      </c>
      <c r="B6328" s="1">
        <v>44704</v>
      </c>
      <c r="C6328">
        <v>1</v>
      </c>
      <c r="D6328">
        <v>163.37</v>
      </c>
      <c r="E6328">
        <v>197</v>
      </c>
    </row>
    <row r="6329" spans="1:5" x14ac:dyDescent="0.3">
      <c r="A6329" t="s">
        <v>132</v>
      </c>
      <c r="B6329" s="1">
        <v>44704</v>
      </c>
      <c r="C6329">
        <v>1</v>
      </c>
      <c r="D6329">
        <v>58.23</v>
      </c>
      <c r="E6329">
        <v>87</v>
      </c>
    </row>
    <row r="6330" spans="1:5" x14ac:dyDescent="0.3">
      <c r="A6330" t="s">
        <v>49</v>
      </c>
      <c r="B6330" s="1">
        <v>44704</v>
      </c>
      <c r="C6330">
        <v>1</v>
      </c>
      <c r="D6330">
        <v>15.8</v>
      </c>
      <c r="E6330">
        <v>19</v>
      </c>
    </row>
    <row r="6331" spans="1:5" x14ac:dyDescent="0.3">
      <c r="A6331" t="s">
        <v>102</v>
      </c>
      <c r="B6331" s="1">
        <v>44704</v>
      </c>
      <c r="C6331">
        <v>1</v>
      </c>
      <c r="D6331">
        <v>26</v>
      </c>
      <c r="E6331">
        <v>32</v>
      </c>
    </row>
    <row r="6332" spans="1:5" x14ac:dyDescent="0.3">
      <c r="A6332" t="s">
        <v>147</v>
      </c>
      <c r="B6332" s="1">
        <v>44704</v>
      </c>
      <c r="C6332">
        <v>1</v>
      </c>
      <c r="D6332">
        <v>135.47</v>
      </c>
      <c r="E6332">
        <v>183</v>
      </c>
    </row>
    <row r="6333" spans="1:5" x14ac:dyDescent="0.3">
      <c r="A6333" t="s">
        <v>85</v>
      </c>
      <c r="B6333" s="1">
        <v>44704</v>
      </c>
      <c r="C6333">
        <v>1</v>
      </c>
      <c r="D6333">
        <v>15.51</v>
      </c>
      <c r="E6333">
        <v>25</v>
      </c>
    </row>
    <row r="6334" spans="1:5" x14ac:dyDescent="0.3">
      <c r="A6334" t="s">
        <v>85</v>
      </c>
      <c r="B6334" s="1">
        <v>44704</v>
      </c>
      <c r="C6334">
        <v>1</v>
      </c>
      <c r="D6334">
        <v>15.51</v>
      </c>
      <c r="E6334">
        <v>25</v>
      </c>
    </row>
    <row r="6335" spans="1:5" x14ac:dyDescent="0.3">
      <c r="A6335" t="s">
        <v>85</v>
      </c>
      <c r="B6335" s="1">
        <v>44704</v>
      </c>
      <c r="C6335">
        <v>1</v>
      </c>
      <c r="D6335">
        <v>15.51</v>
      </c>
      <c r="E6335">
        <v>25</v>
      </c>
    </row>
    <row r="6336" spans="1:5" x14ac:dyDescent="0.3">
      <c r="A6336" t="s">
        <v>31</v>
      </c>
      <c r="B6336" s="1">
        <v>44704</v>
      </c>
      <c r="C6336">
        <v>1</v>
      </c>
      <c r="D6336">
        <v>13.05</v>
      </c>
      <c r="E6336">
        <v>18</v>
      </c>
    </row>
    <row r="6337" spans="1:5" x14ac:dyDescent="0.3">
      <c r="A6337" t="s">
        <v>31</v>
      </c>
      <c r="B6337" s="1">
        <v>44704</v>
      </c>
      <c r="C6337">
        <v>1</v>
      </c>
      <c r="D6337">
        <v>13.05</v>
      </c>
      <c r="E6337">
        <v>18</v>
      </c>
    </row>
    <row r="6338" spans="1:5" x14ac:dyDescent="0.3">
      <c r="A6338" t="s">
        <v>31</v>
      </c>
      <c r="B6338" s="1">
        <v>44704</v>
      </c>
      <c r="C6338">
        <v>1</v>
      </c>
      <c r="D6338">
        <v>13.05</v>
      </c>
      <c r="E6338">
        <v>18</v>
      </c>
    </row>
    <row r="6339" spans="1:5" x14ac:dyDescent="0.3">
      <c r="A6339" t="s">
        <v>31</v>
      </c>
      <c r="B6339" s="1">
        <v>44704</v>
      </c>
      <c r="C6339">
        <v>1</v>
      </c>
      <c r="D6339">
        <v>13.05</v>
      </c>
      <c r="E6339">
        <v>18</v>
      </c>
    </row>
    <row r="6340" spans="1:5" x14ac:dyDescent="0.3">
      <c r="A6340" t="s">
        <v>31</v>
      </c>
      <c r="B6340" s="1">
        <v>44704</v>
      </c>
      <c r="C6340">
        <v>1</v>
      </c>
      <c r="D6340">
        <v>13.05</v>
      </c>
      <c r="E6340">
        <v>18</v>
      </c>
    </row>
    <row r="6341" spans="1:5" x14ac:dyDescent="0.3">
      <c r="A6341" t="s">
        <v>45</v>
      </c>
      <c r="B6341" s="1">
        <v>44704</v>
      </c>
      <c r="C6341">
        <v>1</v>
      </c>
      <c r="D6341">
        <v>26.71</v>
      </c>
      <c r="E6341">
        <v>46</v>
      </c>
    </row>
    <row r="6342" spans="1:5" x14ac:dyDescent="0.3">
      <c r="A6342" t="s">
        <v>55</v>
      </c>
      <c r="B6342" s="1">
        <v>44704</v>
      </c>
      <c r="C6342">
        <v>1</v>
      </c>
      <c r="D6342">
        <v>77.510000000000005</v>
      </c>
      <c r="E6342">
        <v>94</v>
      </c>
    </row>
    <row r="6343" spans="1:5" x14ac:dyDescent="0.3">
      <c r="A6343" t="s">
        <v>35</v>
      </c>
      <c r="B6343" s="1">
        <v>44704</v>
      </c>
      <c r="C6343">
        <v>1</v>
      </c>
      <c r="D6343">
        <v>35</v>
      </c>
      <c r="E6343">
        <v>54</v>
      </c>
    </row>
    <row r="6344" spans="1:5" x14ac:dyDescent="0.3">
      <c r="A6344" t="s">
        <v>35</v>
      </c>
      <c r="B6344" s="1">
        <v>44704</v>
      </c>
      <c r="C6344">
        <v>1</v>
      </c>
      <c r="D6344">
        <v>35</v>
      </c>
      <c r="E6344">
        <v>54</v>
      </c>
    </row>
    <row r="6345" spans="1:5" x14ac:dyDescent="0.3">
      <c r="A6345" t="s">
        <v>115</v>
      </c>
      <c r="B6345" s="1">
        <v>44704</v>
      </c>
      <c r="C6345">
        <v>1</v>
      </c>
      <c r="D6345">
        <v>71.02</v>
      </c>
      <c r="E6345">
        <v>88</v>
      </c>
    </row>
    <row r="6346" spans="1:5" x14ac:dyDescent="0.3">
      <c r="A6346" t="s">
        <v>92</v>
      </c>
      <c r="B6346" s="1">
        <v>44704</v>
      </c>
      <c r="C6346">
        <v>2</v>
      </c>
      <c r="D6346">
        <v>6.2</v>
      </c>
      <c r="E6346">
        <v>9</v>
      </c>
    </row>
    <row r="6347" spans="1:5" x14ac:dyDescent="0.3">
      <c r="A6347" t="s">
        <v>20</v>
      </c>
      <c r="B6347" s="1">
        <v>44704</v>
      </c>
      <c r="C6347">
        <v>1</v>
      </c>
      <c r="D6347">
        <v>19.66</v>
      </c>
      <c r="E6347">
        <v>25</v>
      </c>
    </row>
    <row r="6348" spans="1:5" x14ac:dyDescent="0.3">
      <c r="A6348" t="s">
        <v>20</v>
      </c>
      <c r="B6348" s="1">
        <v>44704</v>
      </c>
      <c r="C6348">
        <v>1</v>
      </c>
      <c r="D6348">
        <v>19.66</v>
      </c>
      <c r="E6348">
        <v>25</v>
      </c>
    </row>
    <row r="6349" spans="1:5" x14ac:dyDescent="0.3">
      <c r="A6349" t="s">
        <v>5</v>
      </c>
      <c r="B6349" s="1">
        <v>44704</v>
      </c>
      <c r="C6349">
        <v>1</v>
      </c>
      <c r="D6349">
        <v>132.94</v>
      </c>
      <c r="E6349">
        <v>160</v>
      </c>
    </row>
    <row r="6350" spans="1:5" x14ac:dyDescent="0.3">
      <c r="A6350" t="s">
        <v>122</v>
      </c>
      <c r="B6350" s="1">
        <v>44704</v>
      </c>
      <c r="C6350">
        <v>1</v>
      </c>
      <c r="D6350">
        <v>22.5</v>
      </c>
      <c r="E6350">
        <v>27</v>
      </c>
    </row>
    <row r="6351" spans="1:5" x14ac:dyDescent="0.3">
      <c r="A6351" t="s">
        <v>127</v>
      </c>
      <c r="B6351" s="1">
        <v>44704</v>
      </c>
      <c r="C6351">
        <v>1</v>
      </c>
      <c r="D6351">
        <v>119.8</v>
      </c>
      <c r="E6351">
        <v>169</v>
      </c>
    </row>
    <row r="6352" spans="1:5" x14ac:dyDescent="0.3">
      <c r="A6352" t="s">
        <v>40</v>
      </c>
      <c r="B6352" s="1">
        <v>44704</v>
      </c>
      <c r="C6352">
        <v>1</v>
      </c>
      <c r="D6352">
        <v>172.76</v>
      </c>
      <c r="E6352">
        <v>207</v>
      </c>
    </row>
    <row r="6353" spans="1:5" x14ac:dyDescent="0.3">
      <c r="A6353" t="s">
        <v>135</v>
      </c>
      <c r="B6353" s="1">
        <v>44704</v>
      </c>
      <c r="C6353">
        <v>1</v>
      </c>
      <c r="D6353">
        <v>73.5</v>
      </c>
      <c r="E6353">
        <v>91</v>
      </c>
    </row>
    <row r="6354" spans="1:5" x14ac:dyDescent="0.3">
      <c r="A6354" t="s">
        <v>122</v>
      </c>
      <c r="B6354" s="1">
        <v>44704</v>
      </c>
      <c r="C6354">
        <v>1</v>
      </c>
      <c r="D6354">
        <v>22.5</v>
      </c>
      <c r="E6354">
        <v>27</v>
      </c>
    </row>
    <row r="6355" spans="1:5" x14ac:dyDescent="0.3">
      <c r="A6355" t="s">
        <v>100</v>
      </c>
      <c r="B6355" s="1">
        <v>44704</v>
      </c>
      <c r="C6355">
        <v>1</v>
      </c>
      <c r="D6355">
        <v>39.49</v>
      </c>
      <c r="E6355">
        <v>62</v>
      </c>
    </row>
    <row r="6356" spans="1:5" x14ac:dyDescent="0.3">
      <c r="A6356" t="s">
        <v>77</v>
      </c>
      <c r="B6356" s="1">
        <v>44704</v>
      </c>
      <c r="C6356">
        <v>1</v>
      </c>
      <c r="D6356">
        <v>60.3</v>
      </c>
      <c r="E6356">
        <v>75</v>
      </c>
    </row>
    <row r="6357" spans="1:5" x14ac:dyDescent="0.3">
      <c r="A6357" t="s">
        <v>39</v>
      </c>
      <c r="B6357" s="1">
        <v>44704</v>
      </c>
      <c r="C6357">
        <v>2</v>
      </c>
      <c r="D6357">
        <v>9.9499999999999993</v>
      </c>
      <c r="E6357">
        <v>17</v>
      </c>
    </row>
    <row r="6358" spans="1:5" x14ac:dyDescent="0.3">
      <c r="A6358" t="s">
        <v>67</v>
      </c>
      <c r="B6358" s="1">
        <v>44704</v>
      </c>
      <c r="C6358">
        <v>1</v>
      </c>
      <c r="D6358">
        <v>55.46</v>
      </c>
      <c r="E6358">
        <v>79</v>
      </c>
    </row>
    <row r="6359" spans="1:5" x14ac:dyDescent="0.3">
      <c r="A6359" t="s">
        <v>97</v>
      </c>
      <c r="B6359" s="1">
        <v>44704</v>
      </c>
      <c r="C6359">
        <v>1</v>
      </c>
      <c r="D6359">
        <v>487.96</v>
      </c>
      <c r="E6359">
        <v>511</v>
      </c>
    </row>
    <row r="6360" spans="1:5" x14ac:dyDescent="0.3">
      <c r="A6360" t="s">
        <v>56</v>
      </c>
      <c r="B6360" s="1">
        <v>44704</v>
      </c>
      <c r="C6360">
        <v>1</v>
      </c>
      <c r="D6360">
        <v>43.97</v>
      </c>
      <c r="E6360">
        <v>67</v>
      </c>
    </row>
    <row r="6361" spans="1:5" x14ac:dyDescent="0.3">
      <c r="A6361" t="s">
        <v>56</v>
      </c>
      <c r="B6361" s="1">
        <v>44704</v>
      </c>
      <c r="C6361">
        <v>1</v>
      </c>
      <c r="D6361">
        <v>43.97</v>
      </c>
      <c r="E6361">
        <v>67</v>
      </c>
    </row>
    <row r="6362" spans="1:5" x14ac:dyDescent="0.3">
      <c r="A6362" t="s">
        <v>70</v>
      </c>
      <c r="B6362" s="1">
        <v>44704</v>
      </c>
      <c r="C6362">
        <v>1</v>
      </c>
      <c r="D6362">
        <v>184.39</v>
      </c>
      <c r="E6362">
        <v>218</v>
      </c>
    </row>
    <row r="6363" spans="1:5" x14ac:dyDescent="0.3">
      <c r="A6363" t="s">
        <v>154</v>
      </c>
      <c r="B6363" s="1">
        <v>44704</v>
      </c>
      <c r="C6363">
        <v>1</v>
      </c>
      <c r="D6363">
        <v>124.78</v>
      </c>
      <c r="E6363">
        <v>149</v>
      </c>
    </row>
    <row r="6364" spans="1:5" x14ac:dyDescent="0.3">
      <c r="A6364" t="s">
        <v>154</v>
      </c>
      <c r="B6364" s="1">
        <v>44704</v>
      </c>
      <c r="C6364">
        <v>1</v>
      </c>
      <c r="D6364">
        <v>124.78</v>
      </c>
      <c r="E6364">
        <v>149</v>
      </c>
    </row>
    <row r="6365" spans="1:5" x14ac:dyDescent="0.3">
      <c r="A6365" t="s">
        <v>154</v>
      </c>
      <c r="B6365" s="1">
        <v>44704</v>
      </c>
      <c r="C6365">
        <v>1</v>
      </c>
      <c r="D6365">
        <v>124.78</v>
      </c>
      <c r="E6365">
        <v>149</v>
      </c>
    </row>
    <row r="6366" spans="1:5" x14ac:dyDescent="0.3">
      <c r="A6366" t="s">
        <v>154</v>
      </c>
      <c r="B6366" s="1">
        <v>44704</v>
      </c>
      <c r="C6366">
        <v>1</v>
      </c>
      <c r="D6366">
        <v>125.78</v>
      </c>
      <c r="E6366">
        <v>150</v>
      </c>
    </row>
    <row r="6367" spans="1:5" x14ac:dyDescent="0.3">
      <c r="A6367" t="s">
        <v>74</v>
      </c>
      <c r="B6367" s="1">
        <v>44704</v>
      </c>
      <c r="C6367">
        <v>1</v>
      </c>
      <c r="D6367">
        <v>88.33</v>
      </c>
      <c r="E6367">
        <v>110</v>
      </c>
    </row>
    <row r="6368" spans="1:5" x14ac:dyDescent="0.3">
      <c r="A6368" t="s">
        <v>99</v>
      </c>
      <c r="B6368" s="1">
        <v>44704</v>
      </c>
      <c r="C6368">
        <v>1</v>
      </c>
      <c r="D6368">
        <v>64.25</v>
      </c>
      <c r="E6368">
        <v>76</v>
      </c>
    </row>
    <row r="6369" spans="1:5" x14ac:dyDescent="0.3">
      <c r="A6369" t="s">
        <v>62</v>
      </c>
      <c r="B6369" s="1">
        <v>44704</v>
      </c>
      <c r="C6369">
        <v>1</v>
      </c>
      <c r="D6369">
        <v>24.97</v>
      </c>
      <c r="E6369">
        <v>30</v>
      </c>
    </row>
    <row r="6370" spans="1:5" x14ac:dyDescent="0.3">
      <c r="A6370" t="s">
        <v>146</v>
      </c>
      <c r="B6370" s="1">
        <v>44704</v>
      </c>
      <c r="C6370">
        <v>1</v>
      </c>
      <c r="D6370">
        <v>407.84</v>
      </c>
      <c r="E6370">
        <v>457</v>
      </c>
    </row>
    <row r="6371" spans="1:5" x14ac:dyDescent="0.3">
      <c r="A6371" t="s">
        <v>51</v>
      </c>
      <c r="B6371" s="1">
        <v>44703</v>
      </c>
      <c r="C6371">
        <v>4</v>
      </c>
      <c r="D6371">
        <v>2.1800000000000002</v>
      </c>
      <c r="E6371">
        <v>4</v>
      </c>
    </row>
    <row r="6372" spans="1:5" x14ac:dyDescent="0.3">
      <c r="A6372" t="s">
        <v>160</v>
      </c>
      <c r="B6372" s="1">
        <v>44703</v>
      </c>
      <c r="C6372">
        <v>1</v>
      </c>
      <c r="D6372">
        <v>80.73</v>
      </c>
      <c r="E6372">
        <v>100</v>
      </c>
    </row>
    <row r="6373" spans="1:5" x14ac:dyDescent="0.3">
      <c r="A6373" t="s">
        <v>31</v>
      </c>
      <c r="B6373" s="1">
        <v>44703</v>
      </c>
      <c r="C6373">
        <v>1</v>
      </c>
      <c r="D6373">
        <v>13.05</v>
      </c>
      <c r="E6373">
        <v>18</v>
      </c>
    </row>
    <row r="6374" spans="1:5" x14ac:dyDescent="0.3">
      <c r="A6374" t="s">
        <v>31</v>
      </c>
      <c r="B6374" s="1">
        <v>44703</v>
      </c>
      <c r="C6374">
        <v>1</v>
      </c>
      <c r="D6374">
        <v>13.05</v>
      </c>
      <c r="E6374">
        <v>18</v>
      </c>
    </row>
    <row r="6375" spans="1:5" x14ac:dyDescent="0.3">
      <c r="A6375" t="s">
        <v>31</v>
      </c>
      <c r="B6375" s="1">
        <v>44703</v>
      </c>
      <c r="C6375">
        <v>1</v>
      </c>
      <c r="D6375">
        <v>13.05</v>
      </c>
      <c r="E6375">
        <v>18</v>
      </c>
    </row>
    <row r="6376" spans="1:5" x14ac:dyDescent="0.3">
      <c r="A6376" t="s">
        <v>31</v>
      </c>
      <c r="B6376" s="1">
        <v>44703</v>
      </c>
      <c r="C6376">
        <v>1</v>
      </c>
      <c r="D6376">
        <v>13.05</v>
      </c>
      <c r="E6376">
        <v>18</v>
      </c>
    </row>
    <row r="6377" spans="1:5" x14ac:dyDescent="0.3">
      <c r="A6377" t="s">
        <v>31</v>
      </c>
      <c r="B6377" s="1">
        <v>44703</v>
      </c>
      <c r="C6377">
        <v>1</v>
      </c>
      <c r="D6377">
        <v>13.05</v>
      </c>
      <c r="E6377">
        <v>18</v>
      </c>
    </row>
    <row r="6378" spans="1:5" x14ac:dyDescent="0.3">
      <c r="A6378" t="s">
        <v>114</v>
      </c>
      <c r="B6378" s="1">
        <v>44703</v>
      </c>
      <c r="C6378">
        <v>1</v>
      </c>
      <c r="D6378">
        <v>74.8</v>
      </c>
      <c r="E6378">
        <v>94</v>
      </c>
    </row>
    <row r="6379" spans="1:5" x14ac:dyDescent="0.3">
      <c r="A6379" t="s">
        <v>18</v>
      </c>
      <c r="B6379" s="1">
        <v>44703</v>
      </c>
      <c r="C6379">
        <v>1</v>
      </c>
      <c r="D6379">
        <v>46</v>
      </c>
      <c r="E6379">
        <v>72</v>
      </c>
    </row>
    <row r="6380" spans="1:5" x14ac:dyDescent="0.3">
      <c r="A6380" t="s">
        <v>52</v>
      </c>
      <c r="B6380" s="1">
        <v>44703</v>
      </c>
      <c r="C6380">
        <v>1</v>
      </c>
      <c r="D6380">
        <v>205</v>
      </c>
      <c r="E6380">
        <v>250</v>
      </c>
    </row>
    <row r="6381" spans="1:5" x14ac:dyDescent="0.3">
      <c r="A6381" t="s">
        <v>35</v>
      </c>
      <c r="B6381" s="1">
        <v>44703</v>
      </c>
      <c r="C6381">
        <v>1</v>
      </c>
      <c r="D6381">
        <v>35</v>
      </c>
      <c r="E6381">
        <v>54</v>
      </c>
    </row>
    <row r="6382" spans="1:5" x14ac:dyDescent="0.3">
      <c r="A6382" t="s">
        <v>151</v>
      </c>
      <c r="B6382" s="1">
        <v>44703</v>
      </c>
      <c r="C6382">
        <v>1</v>
      </c>
      <c r="D6382">
        <v>26.81</v>
      </c>
      <c r="E6382">
        <v>32</v>
      </c>
    </row>
    <row r="6383" spans="1:5" x14ac:dyDescent="0.3">
      <c r="A6383" t="s">
        <v>125</v>
      </c>
      <c r="B6383" s="1">
        <v>44703</v>
      </c>
      <c r="C6383">
        <v>1</v>
      </c>
      <c r="D6383">
        <v>332.31</v>
      </c>
      <c r="E6383">
        <v>439</v>
      </c>
    </row>
    <row r="6384" spans="1:5" x14ac:dyDescent="0.3">
      <c r="A6384" t="s">
        <v>36</v>
      </c>
      <c r="B6384" s="1">
        <v>44703</v>
      </c>
      <c r="C6384">
        <v>1</v>
      </c>
      <c r="D6384">
        <v>22</v>
      </c>
      <c r="E6384">
        <v>28</v>
      </c>
    </row>
    <row r="6385" spans="1:5" x14ac:dyDescent="0.3">
      <c r="A6385" t="s">
        <v>36</v>
      </c>
      <c r="B6385" s="1">
        <v>44703</v>
      </c>
      <c r="C6385">
        <v>1</v>
      </c>
      <c r="D6385">
        <v>22</v>
      </c>
      <c r="E6385">
        <v>28</v>
      </c>
    </row>
    <row r="6386" spans="1:5" x14ac:dyDescent="0.3">
      <c r="A6386" t="s">
        <v>20</v>
      </c>
      <c r="B6386" s="1">
        <v>44703</v>
      </c>
      <c r="C6386">
        <v>1</v>
      </c>
      <c r="D6386">
        <v>22.66</v>
      </c>
      <c r="E6386">
        <v>30</v>
      </c>
    </row>
    <row r="6387" spans="1:5" x14ac:dyDescent="0.3">
      <c r="A6387" t="s">
        <v>20</v>
      </c>
      <c r="B6387" s="1">
        <v>44703</v>
      </c>
      <c r="C6387">
        <v>1</v>
      </c>
      <c r="D6387">
        <v>22.66</v>
      </c>
      <c r="E6387">
        <v>30</v>
      </c>
    </row>
    <row r="6388" spans="1:5" x14ac:dyDescent="0.3">
      <c r="A6388" t="s">
        <v>131</v>
      </c>
      <c r="B6388" s="1">
        <v>44703</v>
      </c>
      <c r="C6388">
        <v>1</v>
      </c>
      <c r="D6388">
        <v>356.07</v>
      </c>
      <c r="E6388">
        <v>428</v>
      </c>
    </row>
    <row r="6389" spans="1:5" x14ac:dyDescent="0.3">
      <c r="A6389" t="s">
        <v>39</v>
      </c>
      <c r="B6389" s="1">
        <v>44703</v>
      </c>
      <c r="C6389">
        <v>2</v>
      </c>
      <c r="D6389">
        <v>9.9499999999999993</v>
      </c>
      <c r="E6389">
        <v>17</v>
      </c>
    </row>
    <row r="6390" spans="1:5" x14ac:dyDescent="0.3">
      <c r="A6390" t="s">
        <v>24</v>
      </c>
      <c r="B6390" s="1">
        <v>44703</v>
      </c>
      <c r="C6390">
        <v>1</v>
      </c>
      <c r="D6390">
        <v>96.43</v>
      </c>
      <c r="E6390">
        <v>113</v>
      </c>
    </row>
    <row r="6391" spans="1:5" x14ac:dyDescent="0.3">
      <c r="A6391" t="s">
        <v>27</v>
      </c>
      <c r="B6391" s="1">
        <v>44703</v>
      </c>
      <c r="C6391">
        <v>1</v>
      </c>
      <c r="D6391">
        <v>106.88</v>
      </c>
      <c r="E6391">
        <v>164</v>
      </c>
    </row>
    <row r="6392" spans="1:5" x14ac:dyDescent="0.3">
      <c r="A6392" t="s">
        <v>159</v>
      </c>
      <c r="B6392" s="1">
        <v>44703</v>
      </c>
      <c r="C6392">
        <v>1</v>
      </c>
      <c r="D6392">
        <v>50.63</v>
      </c>
      <c r="E6392">
        <v>65</v>
      </c>
    </row>
    <row r="6393" spans="1:5" x14ac:dyDescent="0.3">
      <c r="A6393" t="s">
        <v>134</v>
      </c>
      <c r="B6393" s="1">
        <v>44703</v>
      </c>
      <c r="C6393">
        <v>1</v>
      </c>
      <c r="D6393">
        <v>26.87</v>
      </c>
      <c r="E6393">
        <v>41</v>
      </c>
    </row>
    <row r="6394" spans="1:5" x14ac:dyDescent="0.3">
      <c r="A6394" t="s">
        <v>84</v>
      </c>
      <c r="B6394" s="1">
        <v>44703</v>
      </c>
      <c r="C6394">
        <v>1</v>
      </c>
      <c r="D6394">
        <v>175.74</v>
      </c>
      <c r="E6394">
        <v>220</v>
      </c>
    </row>
    <row r="6395" spans="1:5" x14ac:dyDescent="0.3">
      <c r="A6395" t="s">
        <v>45</v>
      </c>
      <c r="B6395" s="1">
        <v>44703</v>
      </c>
      <c r="C6395">
        <v>1</v>
      </c>
      <c r="D6395">
        <v>29.26</v>
      </c>
      <c r="E6395">
        <v>48</v>
      </c>
    </row>
    <row r="6396" spans="1:5" x14ac:dyDescent="0.3">
      <c r="A6396" t="s">
        <v>65</v>
      </c>
      <c r="B6396" s="1">
        <v>44703</v>
      </c>
      <c r="C6396">
        <v>1</v>
      </c>
      <c r="D6396">
        <v>185.56</v>
      </c>
      <c r="E6396">
        <v>218</v>
      </c>
    </row>
    <row r="6397" spans="1:5" x14ac:dyDescent="0.3">
      <c r="A6397" t="s">
        <v>115</v>
      </c>
      <c r="B6397" s="1">
        <v>44703</v>
      </c>
      <c r="C6397">
        <v>1</v>
      </c>
      <c r="D6397">
        <v>71.31</v>
      </c>
      <c r="E6397">
        <v>88</v>
      </c>
    </row>
    <row r="6398" spans="1:5" x14ac:dyDescent="0.3">
      <c r="A6398" t="s">
        <v>104</v>
      </c>
      <c r="B6398" s="1">
        <v>44703</v>
      </c>
      <c r="C6398">
        <v>1</v>
      </c>
      <c r="D6398">
        <v>45.33</v>
      </c>
      <c r="E6398">
        <v>58</v>
      </c>
    </row>
    <row r="6399" spans="1:5" x14ac:dyDescent="0.3">
      <c r="A6399" t="s">
        <v>69</v>
      </c>
      <c r="B6399" s="1">
        <v>44703</v>
      </c>
      <c r="C6399">
        <v>1</v>
      </c>
      <c r="D6399">
        <v>19.989999999999998</v>
      </c>
      <c r="E6399">
        <v>24</v>
      </c>
    </row>
    <row r="6400" spans="1:5" x14ac:dyDescent="0.3">
      <c r="A6400" t="s">
        <v>15</v>
      </c>
      <c r="B6400" s="1">
        <v>44703</v>
      </c>
      <c r="C6400">
        <v>1</v>
      </c>
      <c r="D6400">
        <v>55.5</v>
      </c>
      <c r="E6400">
        <v>87</v>
      </c>
    </row>
    <row r="6401" spans="1:5" x14ac:dyDescent="0.3">
      <c r="A6401" t="s">
        <v>64</v>
      </c>
      <c r="B6401" s="1">
        <v>44703</v>
      </c>
      <c r="C6401">
        <v>1</v>
      </c>
      <c r="D6401">
        <v>201.41</v>
      </c>
      <c r="E6401">
        <v>278</v>
      </c>
    </row>
    <row r="6402" spans="1:5" x14ac:dyDescent="0.3">
      <c r="A6402" t="s">
        <v>60</v>
      </c>
      <c r="B6402" s="1">
        <v>44703</v>
      </c>
      <c r="C6402">
        <v>1</v>
      </c>
      <c r="D6402">
        <v>57.64</v>
      </c>
      <c r="E6402">
        <v>72</v>
      </c>
    </row>
    <row r="6403" spans="1:5" x14ac:dyDescent="0.3">
      <c r="A6403" t="s">
        <v>122</v>
      </c>
      <c r="B6403" s="1">
        <v>44703</v>
      </c>
      <c r="C6403">
        <v>1</v>
      </c>
      <c r="D6403">
        <v>23.27</v>
      </c>
      <c r="E6403">
        <v>28</v>
      </c>
    </row>
    <row r="6404" spans="1:5" x14ac:dyDescent="0.3">
      <c r="A6404" t="s">
        <v>122</v>
      </c>
      <c r="B6404" s="1">
        <v>44703</v>
      </c>
      <c r="C6404">
        <v>1</v>
      </c>
      <c r="D6404">
        <v>23.27</v>
      </c>
      <c r="E6404">
        <v>28</v>
      </c>
    </row>
    <row r="6405" spans="1:5" x14ac:dyDescent="0.3">
      <c r="A6405" t="s">
        <v>122</v>
      </c>
      <c r="B6405" s="1">
        <v>44703</v>
      </c>
      <c r="C6405">
        <v>1</v>
      </c>
      <c r="D6405">
        <v>23.27</v>
      </c>
      <c r="E6405">
        <v>28</v>
      </c>
    </row>
    <row r="6406" spans="1:5" x14ac:dyDescent="0.3">
      <c r="A6406" t="s">
        <v>122</v>
      </c>
      <c r="B6406" s="1">
        <v>44703</v>
      </c>
      <c r="C6406">
        <v>1</v>
      </c>
      <c r="D6406">
        <v>23.27</v>
      </c>
      <c r="E6406">
        <v>28</v>
      </c>
    </row>
    <row r="6407" spans="1:5" x14ac:dyDescent="0.3">
      <c r="A6407" t="s">
        <v>28</v>
      </c>
      <c r="B6407" s="1">
        <v>44703</v>
      </c>
      <c r="C6407">
        <v>1</v>
      </c>
      <c r="D6407">
        <v>148.83000000000001</v>
      </c>
      <c r="E6407">
        <v>207</v>
      </c>
    </row>
    <row r="6408" spans="1:5" x14ac:dyDescent="0.3">
      <c r="A6408" t="s">
        <v>92</v>
      </c>
      <c r="B6408" s="1">
        <v>44703</v>
      </c>
      <c r="C6408">
        <v>1</v>
      </c>
      <c r="D6408">
        <v>15</v>
      </c>
      <c r="E6408">
        <v>20</v>
      </c>
    </row>
    <row r="6409" spans="1:5" x14ac:dyDescent="0.3">
      <c r="A6409" t="s">
        <v>7</v>
      </c>
      <c r="B6409" s="1">
        <v>44703</v>
      </c>
      <c r="C6409">
        <v>1</v>
      </c>
      <c r="D6409">
        <v>89.27</v>
      </c>
      <c r="E6409">
        <v>113</v>
      </c>
    </row>
    <row r="6410" spans="1:5" x14ac:dyDescent="0.3">
      <c r="A6410" t="s">
        <v>134</v>
      </c>
      <c r="B6410" s="1">
        <v>44703</v>
      </c>
      <c r="C6410">
        <v>1</v>
      </c>
      <c r="D6410">
        <v>27.41</v>
      </c>
      <c r="E6410">
        <v>42</v>
      </c>
    </row>
    <row r="6411" spans="1:5" x14ac:dyDescent="0.3">
      <c r="A6411" t="s">
        <v>134</v>
      </c>
      <c r="B6411" s="1">
        <v>44703</v>
      </c>
      <c r="C6411">
        <v>1</v>
      </c>
      <c r="D6411">
        <v>27.41</v>
      </c>
      <c r="E6411">
        <v>42</v>
      </c>
    </row>
    <row r="6412" spans="1:5" x14ac:dyDescent="0.3">
      <c r="A6412" t="s">
        <v>134</v>
      </c>
      <c r="B6412" s="1">
        <v>44703</v>
      </c>
      <c r="C6412">
        <v>1</v>
      </c>
      <c r="D6412">
        <v>27.41</v>
      </c>
      <c r="E6412">
        <v>42</v>
      </c>
    </row>
    <row r="6413" spans="1:5" x14ac:dyDescent="0.3">
      <c r="A6413" t="s">
        <v>24</v>
      </c>
      <c r="B6413" s="1">
        <v>44703</v>
      </c>
      <c r="C6413">
        <v>1</v>
      </c>
      <c r="D6413">
        <v>96.43</v>
      </c>
      <c r="E6413">
        <v>113</v>
      </c>
    </row>
    <row r="6414" spans="1:5" x14ac:dyDescent="0.3">
      <c r="A6414" t="s">
        <v>88</v>
      </c>
      <c r="B6414" s="1">
        <v>44703</v>
      </c>
      <c r="C6414">
        <v>0.2</v>
      </c>
      <c r="D6414">
        <v>106.51</v>
      </c>
      <c r="E6414">
        <v>163</v>
      </c>
    </row>
    <row r="6415" spans="1:5" x14ac:dyDescent="0.3">
      <c r="A6415" t="s">
        <v>62</v>
      </c>
      <c r="B6415" s="1">
        <v>44703</v>
      </c>
      <c r="C6415">
        <v>1</v>
      </c>
      <c r="D6415">
        <v>25.62</v>
      </c>
      <c r="E6415">
        <v>31</v>
      </c>
    </row>
    <row r="6416" spans="1:5" x14ac:dyDescent="0.3">
      <c r="A6416" t="s">
        <v>5</v>
      </c>
      <c r="B6416" s="1">
        <v>44703</v>
      </c>
      <c r="C6416">
        <v>1</v>
      </c>
      <c r="D6416">
        <v>132.94</v>
      </c>
      <c r="E6416">
        <v>160</v>
      </c>
    </row>
    <row r="6417" spans="1:5" x14ac:dyDescent="0.3">
      <c r="A6417" t="s">
        <v>36</v>
      </c>
      <c r="B6417" s="1">
        <v>44703</v>
      </c>
      <c r="C6417">
        <v>1</v>
      </c>
      <c r="D6417">
        <v>22</v>
      </c>
      <c r="E6417">
        <v>28</v>
      </c>
    </row>
    <row r="6418" spans="1:5" x14ac:dyDescent="0.3">
      <c r="A6418" t="s">
        <v>36</v>
      </c>
      <c r="B6418" s="1">
        <v>44703</v>
      </c>
      <c r="C6418">
        <v>1</v>
      </c>
      <c r="D6418">
        <v>22</v>
      </c>
      <c r="E6418">
        <v>28</v>
      </c>
    </row>
    <row r="6419" spans="1:5" x14ac:dyDescent="0.3">
      <c r="A6419" t="s">
        <v>118</v>
      </c>
      <c r="B6419" s="1">
        <v>44703</v>
      </c>
      <c r="C6419">
        <v>1</v>
      </c>
      <c r="D6419">
        <v>11.1</v>
      </c>
      <c r="E6419">
        <v>13</v>
      </c>
    </row>
    <row r="6420" spans="1:5" x14ac:dyDescent="0.3">
      <c r="A6420" t="s">
        <v>150</v>
      </c>
      <c r="B6420" s="1">
        <v>44703</v>
      </c>
      <c r="C6420">
        <v>1</v>
      </c>
      <c r="D6420">
        <v>82.64</v>
      </c>
      <c r="E6420">
        <v>129</v>
      </c>
    </row>
    <row r="6421" spans="1:5" x14ac:dyDescent="0.3">
      <c r="A6421" t="s">
        <v>156</v>
      </c>
      <c r="B6421" s="1">
        <v>44703</v>
      </c>
      <c r="C6421">
        <v>1</v>
      </c>
      <c r="D6421">
        <v>249.76</v>
      </c>
      <c r="E6421">
        <v>350</v>
      </c>
    </row>
    <row r="6422" spans="1:5" x14ac:dyDescent="0.3">
      <c r="A6422" t="s">
        <v>42</v>
      </c>
      <c r="B6422" s="1">
        <v>44703</v>
      </c>
      <c r="C6422">
        <v>1</v>
      </c>
      <c r="D6422">
        <v>566.04</v>
      </c>
      <c r="E6422">
        <v>634</v>
      </c>
    </row>
    <row r="6423" spans="1:5" x14ac:dyDescent="0.3">
      <c r="A6423" t="s">
        <v>91</v>
      </c>
      <c r="B6423" s="1">
        <v>44703</v>
      </c>
      <c r="C6423">
        <v>1</v>
      </c>
      <c r="D6423">
        <v>36.51</v>
      </c>
      <c r="E6423">
        <v>63</v>
      </c>
    </row>
    <row r="6424" spans="1:5" x14ac:dyDescent="0.3">
      <c r="A6424" t="s">
        <v>34</v>
      </c>
      <c r="B6424" s="1">
        <v>44703</v>
      </c>
      <c r="C6424">
        <v>1</v>
      </c>
      <c r="D6424">
        <v>199.32</v>
      </c>
      <c r="E6424">
        <v>230</v>
      </c>
    </row>
    <row r="6425" spans="1:5" x14ac:dyDescent="0.3">
      <c r="A6425" t="s">
        <v>129</v>
      </c>
      <c r="B6425" s="1">
        <v>44703</v>
      </c>
      <c r="C6425">
        <v>0.12</v>
      </c>
      <c r="D6425">
        <v>495.19</v>
      </c>
      <c r="E6425">
        <v>596</v>
      </c>
    </row>
    <row r="6426" spans="1:5" x14ac:dyDescent="0.3">
      <c r="A6426" t="s">
        <v>110</v>
      </c>
      <c r="B6426" s="1">
        <v>44703</v>
      </c>
      <c r="C6426">
        <v>1</v>
      </c>
      <c r="D6426">
        <v>215.6</v>
      </c>
      <c r="E6426">
        <v>302</v>
      </c>
    </row>
    <row r="6427" spans="1:5" x14ac:dyDescent="0.3">
      <c r="A6427" t="s">
        <v>96</v>
      </c>
      <c r="B6427" s="1">
        <v>44703</v>
      </c>
      <c r="C6427">
        <v>1</v>
      </c>
      <c r="D6427">
        <v>72.42</v>
      </c>
      <c r="E6427">
        <v>103</v>
      </c>
    </row>
    <row r="6428" spans="1:5" x14ac:dyDescent="0.3">
      <c r="A6428" t="s">
        <v>18</v>
      </c>
      <c r="B6428" s="1">
        <v>44703</v>
      </c>
      <c r="C6428">
        <v>1</v>
      </c>
      <c r="D6428">
        <v>46</v>
      </c>
      <c r="E6428">
        <v>70</v>
      </c>
    </row>
    <row r="6429" spans="1:5" x14ac:dyDescent="0.3">
      <c r="A6429" t="s">
        <v>54</v>
      </c>
      <c r="B6429" s="1">
        <v>44703</v>
      </c>
      <c r="C6429">
        <v>1</v>
      </c>
      <c r="D6429">
        <v>723.11</v>
      </c>
      <c r="E6429">
        <v>933</v>
      </c>
    </row>
    <row r="6430" spans="1:5" x14ac:dyDescent="0.3">
      <c r="A6430" t="s">
        <v>129</v>
      </c>
      <c r="B6430" s="1">
        <v>44703</v>
      </c>
      <c r="C6430">
        <v>0.12</v>
      </c>
      <c r="D6430">
        <v>495.19</v>
      </c>
      <c r="E6430">
        <v>596</v>
      </c>
    </row>
    <row r="6431" spans="1:5" x14ac:dyDescent="0.3">
      <c r="A6431" t="s">
        <v>50</v>
      </c>
      <c r="B6431" s="1">
        <v>44703</v>
      </c>
      <c r="C6431">
        <v>1</v>
      </c>
      <c r="D6431">
        <v>43.86</v>
      </c>
      <c r="E6431">
        <v>55</v>
      </c>
    </row>
    <row r="6432" spans="1:5" x14ac:dyDescent="0.3">
      <c r="A6432" t="s">
        <v>50</v>
      </c>
      <c r="B6432" s="1">
        <v>44703</v>
      </c>
      <c r="C6432">
        <v>1</v>
      </c>
      <c r="D6432">
        <v>43.86</v>
      </c>
      <c r="E6432">
        <v>55</v>
      </c>
    </row>
    <row r="6433" spans="1:5" x14ac:dyDescent="0.3">
      <c r="A6433" t="s">
        <v>31</v>
      </c>
      <c r="B6433" s="1">
        <v>44703</v>
      </c>
      <c r="C6433">
        <v>1</v>
      </c>
      <c r="D6433">
        <v>13.19</v>
      </c>
      <c r="E6433">
        <v>18</v>
      </c>
    </row>
    <row r="6434" spans="1:5" x14ac:dyDescent="0.3">
      <c r="A6434" t="s">
        <v>31</v>
      </c>
      <c r="B6434" s="1">
        <v>44703</v>
      </c>
      <c r="C6434">
        <v>1</v>
      </c>
      <c r="D6434">
        <v>13.19</v>
      </c>
      <c r="E6434">
        <v>18</v>
      </c>
    </row>
    <row r="6435" spans="1:5" x14ac:dyDescent="0.3">
      <c r="A6435" t="s">
        <v>93</v>
      </c>
      <c r="B6435" s="1">
        <v>44703</v>
      </c>
      <c r="C6435">
        <v>1</v>
      </c>
      <c r="D6435">
        <v>77.760000000000005</v>
      </c>
      <c r="E6435">
        <v>111</v>
      </c>
    </row>
    <row r="6436" spans="1:5" x14ac:dyDescent="0.3">
      <c r="A6436" t="s">
        <v>80</v>
      </c>
      <c r="B6436" s="1">
        <v>44703</v>
      </c>
      <c r="C6436">
        <v>1</v>
      </c>
      <c r="D6436">
        <v>28.19</v>
      </c>
      <c r="E6436">
        <v>45</v>
      </c>
    </row>
    <row r="6437" spans="1:5" x14ac:dyDescent="0.3">
      <c r="A6437" t="s">
        <v>95</v>
      </c>
      <c r="B6437" s="1">
        <v>44703</v>
      </c>
      <c r="C6437">
        <v>0.3</v>
      </c>
      <c r="D6437">
        <v>129.4</v>
      </c>
      <c r="E6437">
        <v>197</v>
      </c>
    </row>
    <row r="6438" spans="1:5" x14ac:dyDescent="0.3">
      <c r="A6438" t="s">
        <v>95</v>
      </c>
      <c r="B6438" s="1">
        <v>44703</v>
      </c>
      <c r="C6438">
        <v>0.2</v>
      </c>
      <c r="D6438">
        <v>130.65</v>
      </c>
      <c r="E6438">
        <v>199</v>
      </c>
    </row>
    <row r="6439" spans="1:5" x14ac:dyDescent="0.3">
      <c r="A6439" t="s">
        <v>52</v>
      </c>
      <c r="B6439" s="1">
        <v>44703</v>
      </c>
      <c r="C6439">
        <v>1</v>
      </c>
      <c r="D6439">
        <v>221.19</v>
      </c>
      <c r="E6439">
        <v>262</v>
      </c>
    </row>
    <row r="6440" spans="1:5" x14ac:dyDescent="0.3">
      <c r="A6440" t="s">
        <v>36</v>
      </c>
      <c r="B6440" s="1">
        <v>44703</v>
      </c>
      <c r="C6440">
        <v>1</v>
      </c>
      <c r="D6440">
        <v>22</v>
      </c>
      <c r="E6440">
        <v>28</v>
      </c>
    </row>
    <row r="6441" spans="1:5" x14ac:dyDescent="0.3">
      <c r="A6441" t="s">
        <v>29</v>
      </c>
      <c r="B6441" s="1">
        <v>44703</v>
      </c>
      <c r="C6441">
        <v>1</v>
      </c>
      <c r="D6441">
        <v>480.05</v>
      </c>
      <c r="E6441">
        <v>625</v>
      </c>
    </row>
    <row r="6442" spans="1:5" x14ac:dyDescent="0.3">
      <c r="A6442" t="s">
        <v>137</v>
      </c>
      <c r="B6442" s="1">
        <v>44703</v>
      </c>
      <c r="C6442">
        <v>1</v>
      </c>
      <c r="D6442">
        <v>9.6199999999999992</v>
      </c>
      <c r="E6442">
        <v>16</v>
      </c>
    </row>
    <row r="6443" spans="1:5" x14ac:dyDescent="0.3">
      <c r="A6443" t="s">
        <v>137</v>
      </c>
      <c r="B6443" s="1">
        <v>44703</v>
      </c>
      <c r="C6443">
        <v>2</v>
      </c>
      <c r="D6443">
        <v>9.6199999999999992</v>
      </c>
      <c r="E6443">
        <v>16</v>
      </c>
    </row>
    <row r="6444" spans="1:5" x14ac:dyDescent="0.3">
      <c r="A6444" t="s">
        <v>20</v>
      </c>
      <c r="B6444" s="1">
        <v>44703</v>
      </c>
      <c r="C6444">
        <v>1</v>
      </c>
      <c r="D6444">
        <v>19.71</v>
      </c>
      <c r="E6444">
        <v>25</v>
      </c>
    </row>
    <row r="6445" spans="1:5" x14ac:dyDescent="0.3">
      <c r="A6445" t="s">
        <v>87</v>
      </c>
      <c r="B6445" s="1">
        <v>44703</v>
      </c>
      <c r="C6445">
        <v>1</v>
      </c>
      <c r="D6445">
        <v>347.96</v>
      </c>
      <c r="E6445">
        <v>394</v>
      </c>
    </row>
    <row r="6446" spans="1:5" x14ac:dyDescent="0.3">
      <c r="A6446" t="s">
        <v>84</v>
      </c>
      <c r="B6446" s="1">
        <v>44703</v>
      </c>
      <c r="C6446">
        <v>1</v>
      </c>
      <c r="D6446">
        <v>153.22999999999999</v>
      </c>
      <c r="E6446">
        <v>177</v>
      </c>
    </row>
    <row r="6447" spans="1:5" x14ac:dyDescent="0.3">
      <c r="A6447" t="s">
        <v>100</v>
      </c>
      <c r="B6447" s="1">
        <v>44703</v>
      </c>
      <c r="C6447">
        <v>1</v>
      </c>
      <c r="D6447">
        <v>35.49</v>
      </c>
      <c r="E6447">
        <v>55</v>
      </c>
    </row>
    <row r="6448" spans="1:5" x14ac:dyDescent="0.3">
      <c r="A6448" t="s">
        <v>36</v>
      </c>
      <c r="B6448" s="1">
        <v>44703</v>
      </c>
      <c r="C6448">
        <v>1</v>
      </c>
      <c r="D6448">
        <v>22.93</v>
      </c>
      <c r="E6448">
        <v>29</v>
      </c>
    </row>
    <row r="6449" spans="1:5" x14ac:dyDescent="0.3">
      <c r="A6449" t="s">
        <v>20</v>
      </c>
      <c r="B6449" s="1">
        <v>44703</v>
      </c>
      <c r="C6449">
        <v>1</v>
      </c>
      <c r="D6449">
        <v>19.71</v>
      </c>
      <c r="E6449">
        <v>25</v>
      </c>
    </row>
    <row r="6450" spans="1:5" x14ac:dyDescent="0.3">
      <c r="A6450" t="s">
        <v>34</v>
      </c>
      <c r="B6450" s="1">
        <v>44703</v>
      </c>
      <c r="C6450">
        <v>1</v>
      </c>
      <c r="D6450">
        <v>199.32</v>
      </c>
      <c r="E6450">
        <v>230</v>
      </c>
    </row>
    <row r="6451" spans="1:5" x14ac:dyDescent="0.3">
      <c r="A6451" t="s">
        <v>28</v>
      </c>
      <c r="B6451" s="1">
        <v>44703</v>
      </c>
      <c r="C6451">
        <v>1</v>
      </c>
      <c r="D6451">
        <v>150.03</v>
      </c>
      <c r="E6451">
        <v>212</v>
      </c>
    </row>
    <row r="6452" spans="1:5" x14ac:dyDescent="0.3">
      <c r="A6452" t="s">
        <v>6</v>
      </c>
      <c r="B6452" s="1">
        <v>44703</v>
      </c>
      <c r="C6452">
        <v>0.2</v>
      </c>
      <c r="D6452">
        <v>433.76</v>
      </c>
      <c r="E6452">
        <v>543</v>
      </c>
    </row>
    <row r="6453" spans="1:5" x14ac:dyDescent="0.3">
      <c r="A6453" t="s">
        <v>56</v>
      </c>
      <c r="B6453" s="1">
        <v>44703</v>
      </c>
      <c r="C6453">
        <v>1</v>
      </c>
      <c r="D6453">
        <v>43.97</v>
      </c>
      <c r="E6453">
        <v>69</v>
      </c>
    </row>
    <row r="6454" spans="1:5" x14ac:dyDescent="0.3">
      <c r="A6454" t="s">
        <v>87</v>
      </c>
      <c r="B6454" s="1">
        <v>44703</v>
      </c>
      <c r="C6454">
        <v>1</v>
      </c>
      <c r="D6454">
        <v>323.66000000000003</v>
      </c>
      <c r="E6454">
        <v>389</v>
      </c>
    </row>
    <row r="6455" spans="1:5" x14ac:dyDescent="0.3">
      <c r="A6455" t="s">
        <v>160</v>
      </c>
      <c r="B6455" s="1">
        <v>44703</v>
      </c>
      <c r="C6455">
        <v>1</v>
      </c>
      <c r="D6455">
        <v>80.73</v>
      </c>
      <c r="E6455">
        <v>100</v>
      </c>
    </row>
    <row r="6456" spans="1:5" x14ac:dyDescent="0.3">
      <c r="A6456" t="s">
        <v>160</v>
      </c>
      <c r="B6456" s="1">
        <v>44703</v>
      </c>
      <c r="C6456">
        <v>1</v>
      </c>
      <c r="D6456">
        <v>80.73</v>
      </c>
      <c r="E6456">
        <v>100</v>
      </c>
    </row>
    <row r="6457" spans="1:5" x14ac:dyDescent="0.3">
      <c r="A6457" t="s">
        <v>34</v>
      </c>
      <c r="B6457" s="1">
        <v>44703</v>
      </c>
      <c r="C6457">
        <v>1</v>
      </c>
      <c r="D6457">
        <v>199.32</v>
      </c>
      <c r="E6457">
        <v>230</v>
      </c>
    </row>
    <row r="6458" spans="1:5" x14ac:dyDescent="0.3">
      <c r="A6458" t="s">
        <v>150</v>
      </c>
      <c r="B6458" s="1">
        <v>44703</v>
      </c>
      <c r="C6458">
        <v>1</v>
      </c>
      <c r="D6458">
        <v>82.64</v>
      </c>
      <c r="E6458">
        <v>129</v>
      </c>
    </row>
    <row r="6459" spans="1:5" x14ac:dyDescent="0.3">
      <c r="A6459" t="s">
        <v>149</v>
      </c>
      <c r="B6459" s="1">
        <v>44703</v>
      </c>
      <c r="C6459">
        <v>1</v>
      </c>
      <c r="D6459">
        <v>220</v>
      </c>
      <c r="E6459">
        <v>308</v>
      </c>
    </row>
    <row r="6460" spans="1:5" x14ac:dyDescent="0.3">
      <c r="A6460" t="s">
        <v>149</v>
      </c>
      <c r="B6460" s="1">
        <v>44703</v>
      </c>
      <c r="C6460">
        <v>1</v>
      </c>
      <c r="D6460">
        <v>220</v>
      </c>
      <c r="E6460">
        <v>308</v>
      </c>
    </row>
    <row r="6461" spans="1:5" x14ac:dyDescent="0.3">
      <c r="A6461" t="s">
        <v>135</v>
      </c>
      <c r="B6461" s="1">
        <v>44703</v>
      </c>
      <c r="C6461">
        <v>1</v>
      </c>
      <c r="D6461">
        <v>71.209999999999994</v>
      </c>
      <c r="E6461">
        <v>89</v>
      </c>
    </row>
    <row r="6462" spans="1:5" x14ac:dyDescent="0.3">
      <c r="A6462" t="s">
        <v>135</v>
      </c>
      <c r="B6462" s="1">
        <v>44703</v>
      </c>
      <c r="C6462">
        <v>1</v>
      </c>
      <c r="D6462">
        <v>71.209999999999994</v>
      </c>
      <c r="E6462">
        <v>89</v>
      </c>
    </row>
    <row r="6463" spans="1:5" x14ac:dyDescent="0.3">
      <c r="A6463" t="s">
        <v>25</v>
      </c>
      <c r="B6463" s="1">
        <v>44703</v>
      </c>
      <c r="C6463">
        <v>1</v>
      </c>
      <c r="D6463">
        <v>147.18</v>
      </c>
      <c r="E6463">
        <v>180</v>
      </c>
    </row>
    <row r="6464" spans="1:5" x14ac:dyDescent="0.3">
      <c r="A6464" t="s">
        <v>27</v>
      </c>
      <c r="B6464" s="1">
        <v>44703</v>
      </c>
      <c r="C6464">
        <v>1</v>
      </c>
      <c r="D6464">
        <v>106.88</v>
      </c>
      <c r="E6464">
        <v>164</v>
      </c>
    </row>
    <row r="6465" spans="1:5" x14ac:dyDescent="0.3">
      <c r="A6465" t="s">
        <v>140</v>
      </c>
      <c r="B6465" s="1">
        <v>44703</v>
      </c>
      <c r="C6465">
        <v>1</v>
      </c>
      <c r="D6465">
        <v>155.13</v>
      </c>
      <c r="E6465">
        <v>187</v>
      </c>
    </row>
    <row r="6466" spans="1:5" x14ac:dyDescent="0.3">
      <c r="A6466" t="s">
        <v>140</v>
      </c>
      <c r="B6466" s="1">
        <v>44703</v>
      </c>
      <c r="C6466">
        <v>1</v>
      </c>
      <c r="D6466">
        <v>155.13</v>
      </c>
      <c r="E6466">
        <v>187</v>
      </c>
    </row>
    <row r="6467" spans="1:5" x14ac:dyDescent="0.3">
      <c r="A6467" t="s">
        <v>113</v>
      </c>
      <c r="B6467" s="1">
        <v>44703</v>
      </c>
      <c r="C6467">
        <v>1</v>
      </c>
      <c r="D6467">
        <v>136.57</v>
      </c>
      <c r="E6467">
        <v>158</v>
      </c>
    </row>
    <row r="6468" spans="1:5" x14ac:dyDescent="0.3">
      <c r="A6468" t="s">
        <v>47</v>
      </c>
      <c r="B6468" s="1">
        <v>44703</v>
      </c>
      <c r="C6468">
        <v>1</v>
      </c>
      <c r="D6468">
        <v>43.08</v>
      </c>
      <c r="E6468">
        <v>66</v>
      </c>
    </row>
    <row r="6469" spans="1:5" x14ac:dyDescent="0.3">
      <c r="A6469" t="s">
        <v>31</v>
      </c>
      <c r="B6469" s="1">
        <v>44703</v>
      </c>
      <c r="C6469">
        <v>1</v>
      </c>
      <c r="D6469">
        <v>13.05</v>
      </c>
      <c r="E6469">
        <v>18</v>
      </c>
    </row>
    <row r="6470" spans="1:5" x14ac:dyDescent="0.3">
      <c r="A6470" t="s">
        <v>57</v>
      </c>
      <c r="B6470" s="1">
        <v>44703</v>
      </c>
      <c r="C6470">
        <v>1</v>
      </c>
      <c r="D6470">
        <v>225.2</v>
      </c>
      <c r="E6470">
        <v>264</v>
      </c>
    </row>
    <row r="6471" spans="1:5" x14ac:dyDescent="0.3">
      <c r="A6471" t="s">
        <v>160</v>
      </c>
      <c r="B6471" s="1">
        <v>44703</v>
      </c>
      <c r="C6471">
        <v>1</v>
      </c>
      <c r="D6471">
        <v>81.8</v>
      </c>
      <c r="E6471">
        <v>99</v>
      </c>
    </row>
    <row r="6472" spans="1:5" x14ac:dyDescent="0.3">
      <c r="A6472" t="s">
        <v>159</v>
      </c>
      <c r="B6472" s="1">
        <v>44703</v>
      </c>
      <c r="C6472">
        <v>1</v>
      </c>
      <c r="D6472">
        <v>52.24</v>
      </c>
      <c r="E6472">
        <v>64</v>
      </c>
    </row>
    <row r="6473" spans="1:5" x14ac:dyDescent="0.3">
      <c r="A6473" t="s">
        <v>159</v>
      </c>
      <c r="B6473" s="1">
        <v>44703</v>
      </c>
      <c r="C6473">
        <v>1</v>
      </c>
      <c r="D6473">
        <v>52.24</v>
      </c>
      <c r="E6473">
        <v>64</v>
      </c>
    </row>
    <row r="6474" spans="1:5" x14ac:dyDescent="0.3">
      <c r="A6474" t="s">
        <v>7</v>
      </c>
      <c r="B6474" s="1">
        <v>44703</v>
      </c>
      <c r="C6474">
        <v>1</v>
      </c>
      <c r="D6474">
        <v>87.6</v>
      </c>
      <c r="E6474">
        <v>109</v>
      </c>
    </row>
    <row r="6475" spans="1:5" x14ac:dyDescent="0.3">
      <c r="A6475" t="s">
        <v>160</v>
      </c>
      <c r="B6475" s="1">
        <v>44703</v>
      </c>
      <c r="C6475">
        <v>1</v>
      </c>
      <c r="D6475">
        <v>81.8</v>
      </c>
      <c r="E6475">
        <v>99</v>
      </c>
    </row>
    <row r="6476" spans="1:5" x14ac:dyDescent="0.3">
      <c r="A6476" t="s">
        <v>56</v>
      </c>
      <c r="B6476" s="1">
        <v>44703</v>
      </c>
      <c r="C6476">
        <v>1</v>
      </c>
      <c r="D6476">
        <v>43.97</v>
      </c>
      <c r="E6476">
        <v>67</v>
      </c>
    </row>
    <row r="6477" spans="1:5" x14ac:dyDescent="0.3">
      <c r="A6477" t="s">
        <v>57</v>
      </c>
      <c r="B6477" s="1">
        <v>44703</v>
      </c>
      <c r="C6477">
        <v>1</v>
      </c>
      <c r="D6477">
        <v>233.74</v>
      </c>
      <c r="E6477">
        <v>262</v>
      </c>
    </row>
    <row r="6478" spans="1:5" x14ac:dyDescent="0.3">
      <c r="A6478" t="s">
        <v>60</v>
      </c>
      <c r="B6478" s="1">
        <v>44703</v>
      </c>
      <c r="C6478">
        <v>1</v>
      </c>
      <c r="D6478">
        <v>58.08</v>
      </c>
      <c r="E6478">
        <v>73</v>
      </c>
    </row>
    <row r="6479" spans="1:5" x14ac:dyDescent="0.3">
      <c r="A6479" t="s">
        <v>56</v>
      </c>
      <c r="B6479" s="1">
        <v>44703</v>
      </c>
      <c r="C6479">
        <v>1</v>
      </c>
      <c r="D6479">
        <v>43.86</v>
      </c>
      <c r="E6479">
        <v>67</v>
      </c>
    </row>
    <row r="6480" spans="1:5" x14ac:dyDescent="0.3">
      <c r="A6480" t="s">
        <v>147</v>
      </c>
      <c r="B6480" s="1">
        <v>44703</v>
      </c>
      <c r="C6480">
        <v>1</v>
      </c>
      <c r="D6480">
        <v>136.72999999999999</v>
      </c>
      <c r="E6480">
        <v>185</v>
      </c>
    </row>
    <row r="6481" spans="1:5" x14ac:dyDescent="0.3">
      <c r="A6481" t="s">
        <v>95</v>
      </c>
      <c r="B6481" s="1">
        <v>44703</v>
      </c>
      <c r="C6481">
        <v>1</v>
      </c>
      <c r="D6481">
        <v>131.07</v>
      </c>
      <c r="E6481">
        <v>206</v>
      </c>
    </row>
    <row r="6482" spans="1:5" x14ac:dyDescent="0.3">
      <c r="A6482" t="s">
        <v>93</v>
      </c>
      <c r="B6482" s="1">
        <v>44703</v>
      </c>
      <c r="C6482">
        <v>1</v>
      </c>
      <c r="D6482">
        <v>84.22</v>
      </c>
      <c r="E6482">
        <v>124</v>
      </c>
    </row>
    <row r="6483" spans="1:5" x14ac:dyDescent="0.3">
      <c r="A6483" t="s">
        <v>24</v>
      </c>
      <c r="B6483" s="1">
        <v>44703</v>
      </c>
      <c r="C6483">
        <v>1</v>
      </c>
      <c r="D6483">
        <v>96.14</v>
      </c>
      <c r="E6483">
        <v>118</v>
      </c>
    </row>
    <row r="6484" spans="1:5" x14ac:dyDescent="0.3">
      <c r="A6484" t="s">
        <v>141</v>
      </c>
      <c r="B6484" s="1">
        <v>44703</v>
      </c>
      <c r="C6484">
        <v>1</v>
      </c>
      <c r="D6484">
        <v>10.76</v>
      </c>
      <c r="E6484">
        <v>18</v>
      </c>
    </row>
    <row r="6485" spans="1:5" x14ac:dyDescent="0.3">
      <c r="A6485" t="s">
        <v>155</v>
      </c>
      <c r="B6485" s="1">
        <v>44703</v>
      </c>
      <c r="C6485">
        <v>0.2</v>
      </c>
      <c r="D6485">
        <v>508.78</v>
      </c>
      <c r="E6485">
        <v>687</v>
      </c>
    </row>
    <row r="6486" spans="1:5" x14ac:dyDescent="0.3">
      <c r="A6486" t="s">
        <v>96</v>
      </c>
      <c r="B6486" s="1">
        <v>44703</v>
      </c>
      <c r="C6486">
        <v>1</v>
      </c>
      <c r="D6486">
        <v>72.42</v>
      </c>
      <c r="E6486">
        <v>103</v>
      </c>
    </row>
    <row r="6487" spans="1:5" x14ac:dyDescent="0.3">
      <c r="A6487" t="s">
        <v>53</v>
      </c>
      <c r="B6487" s="1">
        <v>44703</v>
      </c>
      <c r="C6487">
        <v>1</v>
      </c>
      <c r="D6487">
        <v>23.4</v>
      </c>
      <c r="E6487">
        <v>38</v>
      </c>
    </row>
    <row r="6488" spans="1:5" x14ac:dyDescent="0.3">
      <c r="A6488" t="s">
        <v>87</v>
      </c>
      <c r="B6488" s="1">
        <v>44703</v>
      </c>
      <c r="C6488">
        <v>1</v>
      </c>
      <c r="D6488">
        <v>323.66000000000003</v>
      </c>
      <c r="E6488">
        <v>389</v>
      </c>
    </row>
    <row r="6489" spans="1:5" x14ac:dyDescent="0.3">
      <c r="A6489" t="s">
        <v>159</v>
      </c>
      <c r="B6489" s="1">
        <v>44703</v>
      </c>
      <c r="C6489">
        <v>1</v>
      </c>
      <c r="D6489">
        <v>51.18</v>
      </c>
      <c r="E6489">
        <v>63</v>
      </c>
    </row>
    <row r="6490" spans="1:5" x14ac:dyDescent="0.3">
      <c r="A6490" t="s">
        <v>32</v>
      </c>
      <c r="B6490" s="1">
        <v>44703</v>
      </c>
      <c r="C6490">
        <v>1</v>
      </c>
      <c r="D6490">
        <v>105</v>
      </c>
      <c r="E6490">
        <v>165</v>
      </c>
    </row>
    <row r="6491" spans="1:5" x14ac:dyDescent="0.3">
      <c r="A6491" t="s">
        <v>31</v>
      </c>
      <c r="B6491" s="1">
        <v>44703</v>
      </c>
      <c r="C6491">
        <v>1</v>
      </c>
      <c r="D6491">
        <v>13.19</v>
      </c>
      <c r="E6491">
        <v>18</v>
      </c>
    </row>
    <row r="6492" spans="1:5" x14ac:dyDescent="0.3">
      <c r="A6492" t="s">
        <v>59</v>
      </c>
      <c r="B6492" s="1">
        <v>44703</v>
      </c>
      <c r="C6492">
        <v>4</v>
      </c>
      <c r="D6492">
        <v>14.14</v>
      </c>
      <c r="E6492">
        <v>23</v>
      </c>
    </row>
    <row r="6493" spans="1:5" x14ac:dyDescent="0.3">
      <c r="A6493" t="s">
        <v>30</v>
      </c>
      <c r="B6493" s="1">
        <v>44703</v>
      </c>
      <c r="C6493">
        <v>1</v>
      </c>
      <c r="D6493">
        <v>156.19999999999999</v>
      </c>
      <c r="E6493">
        <v>186</v>
      </c>
    </row>
    <row r="6494" spans="1:5" x14ac:dyDescent="0.3">
      <c r="A6494" t="s">
        <v>19</v>
      </c>
      <c r="B6494" s="1">
        <v>44703</v>
      </c>
      <c r="C6494">
        <v>1</v>
      </c>
      <c r="D6494">
        <v>81.73</v>
      </c>
      <c r="E6494">
        <v>102</v>
      </c>
    </row>
    <row r="6495" spans="1:5" x14ac:dyDescent="0.3">
      <c r="A6495" t="s">
        <v>99</v>
      </c>
      <c r="B6495" s="1">
        <v>44703</v>
      </c>
      <c r="C6495">
        <v>1</v>
      </c>
      <c r="D6495">
        <v>74.3</v>
      </c>
      <c r="E6495">
        <v>91</v>
      </c>
    </row>
    <row r="6496" spans="1:5" x14ac:dyDescent="0.3">
      <c r="A6496" t="s">
        <v>5</v>
      </c>
      <c r="B6496" s="1">
        <v>44703</v>
      </c>
      <c r="C6496">
        <v>1</v>
      </c>
      <c r="D6496">
        <v>145.6</v>
      </c>
      <c r="E6496">
        <v>172</v>
      </c>
    </row>
    <row r="6497" spans="1:5" x14ac:dyDescent="0.3">
      <c r="A6497" t="s">
        <v>7</v>
      </c>
      <c r="B6497" s="1">
        <v>44703</v>
      </c>
      <c r="C6497">
        <v>1</v>
      </c>
      <c r="D6497">
        <v>89.27</v>
      </c>
      <c r="E6497">
        <v>113</v>
      </c>
    </row>
    <row r="6498" spans="1:5" x14ac:dyDescent="0.3">
      <c r="A6498" t="s">
        <v>83</v>
      </c>
      <c r="B6498" s="1">
        <v>44703</v>
      </c>
      <c r="C6498">
        <v>1</v>
      </c>
      <c r="D6498">
        <v>207.77</v>
      </c>
      <c r="E6498">
        <v>241</v>
      </c>
    </row>
    <row r="6499" spans="1:5" x14ac:dyDescent="0.3">
      <c r="A6499" t="s">
        <v>31</v>
      </c>
      <c r="B6499" s="1">
        <v>44703</v>
      </c>
      <c r="C6499">
        <v>1</v>
      </c>
      <c r="D6499">
        <v>13.1</v>
      </c>
      <c r="E6499">
        <v>18</v>
      </c>
    </row>
    <row r="6500" spans="1:5" x14ac:dyDescent="0.3">
      <c r="A6500" t="s">
        <v>31</v>
      </c>
      <c r="B6500" s="1">
        <v>44703</v>
      </c>
      <c r="C6500">
        <v>1</v>
      </c>
      <c r="D6500">
        <v>13.1</v>
      </c>
      <c r="E6500">
        <v>18</v>
      </c>
    </row>
    <row r="6501" spans="1:5" x14ac:dyDescent="0.3">
      <c r="A6501" t="s">
        <v>31</v>
      </c>
      <c r="B6501" s="1">
        <v>44703</v>
      </c>
      <c r="C6501">
        <v>1</v>
      </c>
      <c r="D6501">
        <v>13.1</v>
      </c>
      <c r="E6501">
        <v>18</v>
      </c>
    </row>
    <row r="6502" spans="1:5" x14ac:dyDescent="0.3">
      <c r="A6502" t="s">
        <v>31</v>
      </c>
      <c r="B6502" s="1">
        <v>44703</v>
      </c>
      <c r="C6502">
        <v>1</v>
      </c>
      <c r="D6502">
        <v>13.1</v>
      </c>
      <c r="E6502">
        <v>18</v>
      </c>
    </row>
    <row r="6503" spans="1:5" x14ac:dyDescent="0.3">
      <c r="A6503" t="s">
        <v>31</v>
      </c>
      <c r="B6503" s="1">
        <v>44703</v>
      </c>
      <c r="C6503">
        <v>1</v>
      </c>
      <c r="D6503">
        <v>13.1</v>
      </c>
      <c r="E6503">
        <v>18</v>
      </c>
    </row>
    <row r="6504" spans="1:5" x14ac:dyDescent="0.3">
      <c r="A6504" t="s">
        <v>93</v>
      </c>
      <c r="B6504" s="1">
        <v>44703</v>
      </c>
      <c r="C6504">
        <v>1</v>
      </c>
      <c r="D6504">
        <v>84.22</v>
      </c>
      <c r="E6504">
        <v>124</v>
      </c>
    </row>
    <row r="6505" spans="1:5" x14ac:dyDescent="0.3">
      <c r="A6505" t="s">
        <v>131</v>
      </c>
      <c r="B6505" s="1">
        <v>44703</v>
      </c>
      <c r="C6505">
        <v>1</v>
      </c>
      <c r="D6505">
        <v>360</v>
      </c>
      <c r="E6505">
        <v>414</v>
      </c>
    </row>
    <row r="6506" spans="1:5" x14ac:dyDescent="0.3">
      <c r="A6506" t="s">
        <v>147</v>
      </c>
      <c r="B6506" s="1">
        <v>44703</v>
      </c>
      <c r="C6506">
        <v>1</v>
      </c>
      <c r="D6506">
        <v>137.55000000000001</v>
      </c>
      <c r="E6506">
        <v>189</v>
      </c>
    </row>
    <row r="6507" spans="1:5" x14ac:dyDescent="0.3">
      <c r="A6507" t="s">
        <v>36</v>
      </c>
      <c r="B6507" s="1">
        <v>44703</v>
      </c>
      <c r="C6507">
        <v>1</v>
      </c>
      <c r="D6507">
        <v>32.67</v>
      </c>
      <c r="E6507">
        <v>41</v>
      </c>
    </row>
    <row r="6508" spans="1:5" x14ac:dyDescent="0.3">
      <c r="A6508" t="s">
        <v>36</v>
      </c>
      <c r="B6508" s="1">
        <v>44703</v>
      </c>
      <c r="C6508">
        <v>1</v>
      </c>
      <c r="D6508">
        <v>32.67</v>
      </c>
      <c r="E6508">
        <v>41</v>
      </c>
    </row>
    <row r="6509" spans="1:5" x14ac:dyDescent="0.3">
      <c r="A6509" t="s">
        <v>36</v>
      </c>
      <c r="B6509" s="1">
        <v>44703</v>
      </c>
      <c r="C6509">
        <v>1</v>
      </c>
      <c r="D6509">
        <v>32.67</v>
      </c>
      <c r="E6509">
        <v>41</v>
      </c>
    </row>
    <row r="6510" spans="1:5" x14ac:dyDescent="0.3">
      <c r="A6510" t="s">
        <v>36</v>
      </c>
      <c r="B6510" s="1">
        <v>44703</v>
      </c>
      <c r="C6510">
        <v>1</v>
      </c>
      <c r="D6510">
        <v>32.67</v>
      </c>
      <c r="E6510">
        <v>41</v>
      </c>
    </row>
    <row r="6511" spans="1:5" x14ac:dyDescent="0.3">
      <c r="A6511" t="s">
        <v>36</v>
      </c>
      <c r="B6511" s="1">
        <v>44703</v>
      </c>
      <c r="C6511">
        <v>1</v>
      </c>
      <c r="D6511">
        <v>32.67</v>
      </c>
      <c r="E6511">
        <v>41</v>
      </c>
    </row>
    <row r="6512" spans="1:5" x14ac:dyDescent="0.3">
      <c r="A6512" t="s">
        <v>36</v>
      </c>
      <c r="B6512" s="1">
        <v>44703</v>
      </c>
      <c r="C6512">
        <v>1</v>
      </c>
      <c r="D6512">
        <v>32.67</v>
      </c>
      <c r="E6512">
        <v>41</v>
      </c>
    </row>
    <row r="6513" spans="1:5" x14ac:dyDescent="0.3">
      <c r="A6513" t="s">
        <v>99</v>
      </c>
      <c r="B6513" s="1">
        <v>44703</v>
      </c>
      <c r="C6513">
        <v>1</v>
      </c>
      <c r="D6513">
        <v>64.25</v>
      </c>
      <c r="E6513">
        <v>80</v>
      </c>
    </row>
    <row r="6514" spans="1:5" x14ac:dyDescent="0.3">
      <c r="A6514" t="s">
        <v>140</v>
      </c>
      <c r="B6514" s="1">
        <v>44703</v>
      </c>
      <c r="C6514">
        <v>1</v>
      </c>
      <c r="D6514">
        <v>156.22999999999999</v>
      </c>
      <c r="E6514">
        <v>188</v>
      </c>
    </row>
    <row r="6515" spans="1:5" x14ac:dyDescent="0.3">
      <c r="A6515" t="s">
        <v>17</v>
      </c>
      <c r="B6515" s="1">
        <v>44703</v>
      </c>
      <c r="C6515">
        <v>1</v>
      </c>
      <c r="D6515">
        <v>378.06</v>
      </c>
      <c r="E6515">
        <v>454</v>
      </c>
    </row>
    <row r="6516" spans="1:5" x14ac:dyDescent="0.3">
      <c r="A6516" t="s">
        <v>113</v>
      </c>
      <c r="B6516" s="1">
        <v>44703</v>
      </c>
      <c r="C6516">
        <v>1</v>
      </c>
      <c r="D6516">
        <v>125.56</v>
      </c>
      <c r="E6516">
        <v>175</v>
      </c>
    </row>
    <row r="6517" spans="1:5" x14ac:dyDescent="0.3">
      <c r="A6517" t="s">
        <v>53</v>
      </c>
      <c r="B6517" s="1">
        <v>44703</v>
      </c>
      <c r="C6517">
        <v>1</v>
      </c>
      <c r="D6517">
        <v>23.4</v>
      </c>
      <c r="E6517">
        <v>41</v>
      </c>
    </row>
    <row r="6518" spans="1:5" x14ac:dyDescent="0.3">
      <c r="A6518" t="s">
        <v>45</v>
      </c>
      <c r="B6518" s="1">
        <v>44703</v>
      </c>
      <c r="C6518">
        <v>1</v>
      </c>
      <c r="D6518">
        <v>28.13</v>
      </c>
      <c r="E6518">
        <v>46</v>
      </c>
    </row>
    <row r="6519" spans="1:5" x14ac:dyDescent="0.3">
      <c r="A6519" t="s">
        <v>50</v>
      </c>
      <c r="B6519" s="1">
        <v>44703</v>
      </c>
      <c r="C6519">
        <v>1</v>
      </c>
      <c r="D6519">
        <v>44.71</v>
      </c>
      <c r="E6519">
        <v>55</v>
      </c>
    </row>
    <row r="6520" spans="1:5" x14ac:dyDescent="0.3">
      <c r="A6520" t="s">
        <v>48</v>
      </c>
      <c r="B6520" s="1">
        <v>44703</v>
      </c>
      <c r="C6520">
        <v>1</v>
      </c>
      <c r="D6520">
        <v>38.67</v>
      </c>
      <c r="E6520">
        <v>59</v>
      </c>
    </row>
    <row r="6521" spans="1:5" x14ac:dyDescent="0.3">
      <c r="A6521" t="s">
        <v>24</v>
      </c>
      <c r="B6521" s="1">
        <v>44703</v>
      </c>
      <c r="C6521">
        <v>1</v>
      </c>
      <c r="D6521">
        <v>96.14</v>
      </c>
      <c r="E6521">
        <v>112</v>
      </c>
    </row>
    <row r="6522" spans="1:5" x14ac:dyDescent="0.3">
      <c r="A6522" t="s">
        <v>132</v>
      </c>
      <c r="B6522" s="1">
        <v>44703</v>
      </c>
      <c r="C6522">
        <v>1</v>
      </c>
      <c r="D6522">
        <v>58.53</v>
      </c>
      <c r="E6522">
        <v>84</v>
      </c>
    </row>
    <row r="6523" spans="1:5" x14ac:dyDescent="0.3">
      <c r="A6523" t="s">
        <v>57</v>
      </c>
      <c r="B6523" s="1">
        <v>44703</v>
      </c>
      <c r="C6523">
        <v>1</v>
      </c>
      <c r="D6523">
        <v>263.33</v>
      </c>
      <c r="E6523">
        <v>280.32</v>
      </c>
    </row>
    <row r="6524" spans="1:5" x14ac:dyDescent="0.3">
      <c r="A6524" t="s">
        <v>87</v>
      </c>
      <c r="B6524" s="1">
        <v>44703</v>
      </c>
      <c r="C6524">
        <v>1</v>
      </c>
      <c r="D6524">
        <v>333.63</v>
      </c>
      <c r="E6524">
        <v>399</v>
      </c>
    </row>
    <row r="6525" spans="1:5" x14ac:dyDescent="0.3">
      <c r="A6525" t="s">
        <v>98</v>
      </c>
      <c r="B6525" s="1">
        <v>44703</v>
      </c>
      <c r="C6525">
        <v>1</v>
      </c>
      <c r="D6525">
        <v>110.99</v>
      </c>
      <c r="E6525">
        <v>136</v>
      </c>
    </row>
    <row r="6526" spans="1:5" x14ac:dyDescent="0.3">
      <c r="A6526" t="s">
        <v>47</v>
      </c>
      <c r="B6526" s="1">
        <v>44703</v>
      </c>
      <c r="C6526">
        <v>1</v>
      </c>
      <c r="D6526">
        <v>43</v>
      </c>
      <c r="E6526">
        <v>68</v>
      </c>
    </row>
    <row r="6527" spans="1:5" x14ac:dyDescent="0.3">
      <c r="A6527" t="s">
        <v>50</v>
      </c>
      <c r="B6527" s="1">
        <v>44703</v>
      </c>
      <c r="C6527">
        <v>1</v>
      </c>
      <c r="D6527">
        <v>42.99</v>
      </c>
      <c r="E6527">
        <v>54</v>
      </c>
    </row>
    <row r="6528" spans="1:5" x14ac:dyDescent="0.3">
      <c r="A6528" t="s">
        <v>50</v>
      </c>
      <c r="B6528" s="1">
        <v>44703</v>
      </c>
      <c r="C6528">
        <v>1</v>
      </c>
      <c r="D6528">
        <v>42.99</v>
      </c>
      <c r="E6528">
        <v>54</v>
      </c>
    </row>
    <row r="6529" spans="1:5" x14ac:dyDescent="0.3">
      <c r="A6529" t="s">
        <v>160</v>
      </c>
      <c r="B6529" s="1">
        <v>44703</v>
      </c>
      <c r="C6529">
        <v>1</v>
      </c>
      <c r="D6529">
        <v>80.73</v>
      </c>
      <c r="E6529">
        <v>100</v>
      </c>
    </row>
    <row r="6530" spans="1:5" x14ac:dyDescent="0.3">
      <c r="A6530" t="s">
        <v>24</v>
      </c>
      <c r="B6530" s="1">
        <v>44703</v>
      </c>
      <c r="C6530">
        <v>1</v>
      </c>
      <c r="D6530">
        <v>107.3</v>
      </c>
      <c r="E6530">
        <v>126</v>
      </c>
    </row>
    <row r="6531" spans="1:5" x14ac:dyDescent="0.3">
      <c r="A6531" t="s">
        <v>75</v>
      </c>
      <c r="B6531" s="1">
        <v>44703</v>
      </c>
      <c r="C6531">
        <v>0.06</v>
      </c>
      <c r="D6531">
        <v>463.1</v>
      </c>
      <c r="E6531">
        <v>649</v>
      </c>
    </row>
    <row r="6532" spans="1:5" x14ac:dyDescent="0.3">
      <c r="A6532" t="s">
        <v>30</v>
      </c>
      <c r="B6532" s="1">
        <v>44703</v>
      </c>
      <c r="C6532">
        <v>1</v>
      </c>
      <c r="D6532">
        <v>156.19999999999999</v>
      </c>
      <c r="E6532">
        <v>189</v>
      </c>
    </row>
    <row r="6533" spans="1:5" x14ac:dyDescent="0.3">
      <c r="A6533" t="s">
        <v>125</v>
      </c>
      <c r="B6533" s="1">
        <v>44703</v>
      </c>
      <c r="C6533">
        <v>1</v>
      </c>
      <c r="D6533">
        <v>394.12</v>
      </c>
      <c r="E6533">
        <v>521</v>
      </c>
    </row>
    <row r="6534" spans="1:5" x14ac:dyDescent="0.3">
      <c r="A6534" t="s">
        <v>36</v>
      </c>
      <c r="B6534" s="1">
        <v>44703</v>
      </c>
      <c r="C6534">
        <v>1</v>
      </c>
      <c r="D6534">
        <v>22</v>
      </c>
      <c r="E6534">
        <v>28</v>
      </c>
    </row>
    <row r="6535" spans="1:5" x14ac:dyDescent="0.3">
      <c r="A6535" t="s">
        <v>36</v>
      </c>
      <c r="B6535" s="1">
        <v>44703</v>
      </c>
      <c r="C6535">
        <v>1</v>
      </c>
      <c r="D6535">
        <v>22</v>
      </c>
      <c r="E6535">
        <v>28</v>
      </c>
    </row>
    <row r="6536" spans="1:5" x14ac:dyDescent="0.3">
      <c r="A6536" t="s">
        <v>36</v>
      </c>
      <c r="B6536" s="1">
        <v>44703</v>
      </c>
      <c r="C6536">
        <v>1</v>
      </c>
      <c r="D6536">
        <v>22</v>
      </c>
      <c r="E6536">
        <v>28</v>
      </c>
    </row>
    <row r="6537" spans="1:5" x14ac:dyDescent="0.3">
      <c r="A6537" t="s">
        <v>20</v>
      </c>
      <c r="B6537" s="1">
        <v>44703</v>
      </c>
      <c r="C6537">
        <v>1</v>
      </c>
      <c r="D6537">
        <v>22.66</v>
      </c>
      <c r="E6537">
        <v>30</v>
      </c>
    </row>
    <row r="6538" spans="1:5" x14ac:dyDescent="0.3">
      <c r="A6538" t="s">
        <v>20</v>
      </c>
      <c r="B6538" s="1">
        <v>44703</v>
      </c>
      <c r="C6538">
        <v>1</v>
      </c>
      <c r="D6538">
        <v>22.66</v>
      </c>
      <c r="E6538">
        <v>30</v>
      </c>
    </row>
    <row r="6539" spans="1:5" x14ac:dyDescent="0.3">
      <c r="A6539" t="s">
        <v>37</v>
      </c>
      <c r="B6539" s="1">
        <v>44703</v>
      </c>
      <c r="C6539">
        <v>1</v>
      </c>
      <c r="D6539">
        <v>36.86</v>
      </c>
      <c r="E6539">
        <v>47</v>
      </c>
    </row>
    <row r="6540" spans="1:5" x14ac:dyDescent="0.3">
      <c r="A6540" t="s">
        <v>37</v>
      </c>
      <c r="B6540" s="1">
        <v>44703</v>
      </c>
      <c r="C6540">
        <v>1</v>
      </c>
      <c r="D6540">
        <v>36.86</v>
      </c>
      <c r="E6540">
        <v>47</v>
      </c>
    </row>
    <row r="6541" spans="1:5" x14ac:dyDescent="0.3">
      <c r="A6541" t="s">
        <v>40</v>
      </c>
      <c r="B6541" s="1">
        <v>44703</v>
      </c>
      <c r="C6541">
        <v>1</v>
      </c>
      <c r="D6541">
        <v>173.86</v>
      </c>
      <c r="E6541">
        <v>212</v>
      </c>
    </row>
    <row r="6542" spans="1:5" x14ac:dyDescent="0.3">
      <c r="A6542" t="s">
        <v>40</v>
      </c>
      <c r="B6542" s="1">
        <v>44703</v>
      </c>
      <c r="C6542">
        <v>1</v>
      </c>
      <c r="D6542">
        <v>173.86</v>
      </c>
      <c r="E6542">
        <v>212</v>
      </c>
    </row>
    <row r="6543" spans="1:5" x14ac:dyDescent="0.3">
      <c r="A6543" t="s">
        <v>70</v>
      </c>
      <c r="B6543" s="1">
        <v>44703</v>
      </c>
      <c r="C6543">
        <v>1</v>
      </c>
      <c r="D6543">
        <v>165.32</v>
      </c>
      <c r="E6543">
        <v>203</v>
      </c>
    </row>
    <row r="6544" spans="1:5" x14ac:dyDescent="0.3">
      <c r="A6544" t="s">
        <v>41</v>
      </c>
      <c r="B6544" s="1">
        <v>44703</v>
      </c>
      <c r="C6544">
        <v>3</v>
      </c>
      <c r="D6544">
        <v>10.9</v>
      </c>
      <c r="E6544">
        <v>18</v>
      </c>
    </row>
    <row r="6545" spans="1:5" x14ac:dyDescent="0.3">
      <c r="A6545" t="s">
        <v>7</v>
      </c>
      <c r="B6545" s="1">
        <v>44703</v>
      </c>
      <c r="C6545">
        <v>1</v>
      </c>
      <c r="D6545">
        <v>88.11</v>
      </c>
      <c r="E6545">
        <v>104</v>
      </c>
    </row>
    <row r="6546" spans="1:5" x14ac:dyDescent="0.3">
      <c r="A6546" t="s">
        <v>130</v>
      </c>
      <c r="B6546" s="1">
        <v>44703</v>
      </c>
      <c r="C6546">
        <v>1</v>
      </c>
      <c r="D6546">
        <v>23.6</v>
      </c>
      <c r="E6546">
        <v>29</v>
      </c>
    </row>
    <row r="6547" spans="1:5" x14ac:dyDescent="0.3">
      <c r="A6547" t="s">
        <v>26</v>
      </c>
      <c r="B6547" s="1">
        <v>44703</v>
      </c>
      <c r="C6547">
        <v>0.1</v>
      </c>
      <c r="D6547">
        <v>989.8</v>
      </c>
      <c r="E6547">
        <v>1307</v>
      </c>
    </row>
    <row r="6548" spans="1:5" x14ac:dyDescent="0.3">
      <c r="A6548" t="s">
        <v>7</v>
      </c>
      <c r="B6548" s="1">
        <v>44703</v>
      </c>
      <c r="C6548">
        <v>1</v>
      </c>
      <c r="D6548">
        <v>89.27</v>
      </c>
      <c r="E6548">
        <v>113</v>
      </c>
    </row>
    <row r="6549" spans="1:5" x14ac:dyDescent="0.3">
      <c r="A6549" t="s">
        <v>7</v>
      </c>
      <c r="B6549" s="1">
        <v>44703</v>
      </c>
      <c r="C6549">
        <v>1</v>
      </c>
      <c r="D6549">
        <v>89.27</v>
      </c>
      <c r="E6549">
        <v>113</v>
      </c>
    </row>
    <row r="6550" spans="1:5" x14ac:dyDescent="0.3">
      <c r="A6550" t="s">
        <v>20</v>
      </c>
      <c r="B6550" s="1">
        <v>44703</v>
      </c>
      <c r="C6550">
        <v>1</v>
      </c>
      <c r="D6550">
        <v>19.71</v>
      </c>
      <c r="E6550">
        <v>25</v>
      </c>
    </row>
    <row r="6551" spans="1:5" x14ac:dyDescent="0.3">
      <c r="A6551" t="s">
        <v>8</v>
      </c>
      <c r="B6551" s="1">
        <v>44703</v>
      </c>
      <c r="C6551">
        <v>1</v>
      </c>
      <c r="D6551">
        <v>47.83</v>
      </c>
      <c r="E6551">
        <v>78</v>
      </c>
    </row>
    <row r="6552" spans="1:5" x14ac:dyDescent="0.3">
      <c r="A6552" t="s">
        <v>7</v>
      </c>
      <c r="B6552" s="1">
        <v>44703</v>
      </c>
      <c r="C6552">
        <v>1</v>
      </c>
      <c r="D6552">
        <v>89.27</v>
      </c>
      <c r="E6552">
        <v>113</v>
      </c>
    </row>
    <row r="6553" spans="1:5" x14ac:dyDescent="0.3">
      <c r="A6553" t="s">
        <v>155</v>
      </c>
      <c r="B6553" s="1">
        <v>44703</v>
      </c>
      <c r="C6553">
        <v>0.08</v>
      </c>
      <c r="D6553">
        <v>495.72</v>
      </c>
      <c r="E6553">
        <v>719</v>
      </c>
    </row>
    <row r="6554" spans="1:5" x14ac:dyDescent="0.3">
      <c r="A6554" t="s">
        <v>15</v>
      </c>
      <c r="B6554" s="1">
        <v>44703</v>
      </c>
      <c r="C6554">
        <v>1</v>
      </c>
      <c r="D6554">
        <v>50.1</v>
      </c>
      <c r="E6554">
        <v>80</v>
      </c>
    </row>
    <row r="6555" spans="1:5" x14ac:dyDescent="0.3">
      <c r="A6555" t="s">
        <v>25</v>
      </c>
      <c r="B6555" s="1">
        <v>44703</v>
      </c>
      <c r="C6555">
        <v>1</v>
      </c>
      <c r="D6555">
        <v>147.18</v>
      </c>
      <c r="E6555">
        <v>177</v>
      </c>
    </row>
    <row r="6556" spans="1:5" x14ac:dyDescent="0.3">
      <c r="A6556" t="s">
        <v>97</v>
      </c>
      <c r="B6556" s="1">
        <v>44703</v>
      </c>
      <c r="C6556">
        <v>1</v>
      </c>
      <c r="D6556">
        <v>416.67</v>
      </c>
      <c r="E6556">
        <v>550</v>
      </c>
    </row>
    <row r="6557" spans="1:5" x14ac:dyDescent="0.3">
      <c r="A6557" t="s">
        <v>35</v>
      </c>
      <c r="B6557" s="1">
        <v>44703</v>
      </c>
      <c r="C6557">
        <v>1</v>
      </c>
      <c r="D6557">
        <v>35</v>
      </c>
      <c r="E6557">
        <v>55</v>
      </c>
    </row>
    <row r="6558" spans="1:5" x14ac:dyDescent="0.3">
      <c r="A6558" t="s">
        <v>35</v>
      </c>
      <c r="B6558" s="1">
        <v>44703</v>
      </c>
      <c r="C6558">
        <v>1</v>
      </c>
      <c r="D6558">
        <v>35</v>
      </c>
      <c r="E6558">
        <v>55</v>
      </c>
    </row>
    <row r="6559" spans="1:5" x14ac:dyDescent="0.3">
      <c r="A6559" t="s">
        <v>16</v>
      </c>
      <c r="B6559" s="1">
        <v>44703</v>
      </c>
      <c r="C6559">
        <v>1</v>
      </c>
      <c r="D6559">
        <v>43.49</v>
      </c>
      <c r="E6559">
        <v>67</v>
      </c>
    </row>
    <row r="6560" spans="1:5" x14ac:dyDescent="0.3">
      <c r="A6560" t="s">
        <v>50</v>
      </c>
      <c r="B6560" s="1">
        <v>44703</v>
      </c>
      <c r="C6560">
        <v>1</v>
      </c>
      <c r="D6560">
        <v>42.99</v>
      </c>
      <c r="E6560">
        <v>54</v>
      </c>
    </row>
    <row r="6561" spans="1:5" x14ac:dyDescent="0.3">
      <c r="A6561" t="s">
        <v>25</v>
      </c>
      <c r="B6561" s="1">
        <v>44703</v>
      </c>
      <c r="C6561">
        <v>1</v>
      </c>
      <c r="D6561">
        <v>147.18</v>
      </c>
      <c r="E6561">
        <v>180</v>
      </c>
    </row>
    <row r="6562" spans="1:5" x14ac:dyDescent="0.3">
      <c r="A6562" t="s">
        <v>19</v>
      </c>
      <c r="B6562" s="1">
        <v>44703</v>
      </c>
      <c r="C6562">
        <v>1</v>
      </c>
      <c r="D6562">
        <v>81.95</v>
      </c>
      <c r="E6562">
        <v>104</v>
      </c>
    </row>
    <row r="6563" spans="1:5" x14ac:dyDescent="0.3">
      <c r="A6563" t="s">
        <v>90</v>
      </c>
      <c r="B6563" s="1">
        <v>44703</v>
      </c>
      <c r="C6563">
        <v>1</v>
      </c>
      <c r="D6563">
        <v>390.04</v>
      </c>
      <c r="E6563">
        <v>480</v>
      </c>
    </row>
    <row r="6564" spans="1:5" x14ac:dyDescent="0.3">
      <c r="A6564" t="s">
        <v>63</v>
      </c>
      <c r="B6564" s="1">
        <v>44703</v>
      </c>
      <c r="C6564">
        <v>1</v>
      </c>
      <c r="D6564">
        <v>71.45</v>
      </c>
      <c r="E6564">
        <v>86</v>
      </c>
    </row>
    <row r="6565" spans="1:5" x14ac:dyDescent="0.3">
      <c r="A6565" t="s">
        <v>129</v>
      </c>
      <c r="B6565" s="1">
        <v>44703</v>
      </c>
      <c r="C6565">
        <v>0.6</v>
      </c>
      <c r="D6565">
        <v>495.17</v>
      </c>
      <c r="E6565">
        <v>596</v>
      </c>
    </row>
    <row r="6566" spans="1:5" x14ac:dyDescent="0.3">
      <c r="A6566" t="s">
        <v>25</v>
      </c>
      <c r="B6566" s="1">
        <v>44703</v>
      </c>
      <c r="C6566">
        <v>1</v>
      </c>
      <c r="D6566">
        <v>147.18</v>
      </c>
      <c r="E6566">
        <v>177</v>
      </c>
    </row>
    <row r="6567" spans="1:5" x14ac:dyDescent="0.3">
      <c r="A6567" t="s">
        <v>156</v>
      </c>
      <c r="B6567" s="1">
        <v>44703</v>
      </c>
      <c r="C6567">
        <v>1</v>
      </c>
      <c r="D6567">
        <v>249.76</v>
      </c>
      <c r="E6567">
        <v>350</v>
      </c>
    </row>
    <row r="6568" spans="1:5" x14ac:dyDescent="0.3">
      <c r="A6568" t="s">
        <v>156</v>
      </c>
      <c r="B6568" s="1">
        <v>44703</v>
      </c>
      <c r="C6568">
        <v>1</v>
      </c>
      <c r="D6568">
        <v>249.76</v>
      </c>
      <c r="E6568">
        <v>350</v>
      </c>
    </row>
    <row r="6569" spans="1:5" x14ac:dyDescent="0.3">
      <c r="A6569" t="s">
        <v>156</v>
      </c>
      <c r="B6569" s="1">
        <v>44703</v>
      </c>
      <c r="C6569">
        <v>1</v>
      </c>
      <c r="D6569">
        <v>249.76</v>
      </c>
      <c r="E6569">
        <v>350</v>
      </c>
    </row>
    <row r="6570" spans="1:5" x14ac:dyDescent="0.3">
      <c r="A6570" t="s">
        <v>20</v>
      </c>
      <c r="B6570" s="1">
        <v>44703</v>
      </c>
      <c r="C6570">
        <v>1</v>
      </c>
      <c r="D6570">
        <v>19.71</v>
      </c>
      <c r="E6570">
        <v>25</v>
      </c>
    </row>
    <row r="6571" spans="1:5" x14ac:dyDescent="0.3">
      <c r="A6571" t="s">
        <v>20</v>
      </c>
      <c r="B6571" s="1">
        <v>44703</v>
      </c>
      <c r="C6571">
        <v>1</v>
      </c>
      <c r="D6571">
        <v>19.71</v>
      </c>
      <c r="E6571">
        <v>25</v>
      </c>
    </row>
    <row r="6572" spans="1:5" x14ac:dyDescent="0.3">
      <c r="A6572" t="s">
        <v>136</v>
      </c>
      <c r="B6572" s="1">
        <v>44703</v>
      </c>
      <c r="C6572">
        <v>1</v>
      </c>
      <c r="D6572">
        <v>289.58999999999997</v>
      </c>
      <c r="E6572">
        <v>386</v>
      </c>
    </row>
    <row r="6573" spans="1:5" x14ac:dyDescent="0.3">
      <c r="A6573" t="s">
        <v>56</v>
      </c>
      <c r="B6573" s="1">
        <v>44703</v>
      </c>
      <c r="C6573">
        <v>1</v>
      </c>
      <c r="D6573">
        <v>43.97</v>
      </c>
      <c r="E6573">
        <v>70</v>
      </c>
    </row>
    <row r="6574" spans="1:5" x14ac:dyDescent="0.3">
      <c r="A6574" t="s">
        <v>56</v>
      </c>
      <c r="B6574" s="1">
        <v>44703</v>
      </c>
      <c r="C6574">
        <v>1</v>
      </c>
      <c r="D6574">
        <v>43.97</v>
      </c>
      <c r="E6574">
        <v>70</v>
      </c>
    </row>
    <row r="6575" spans="1:5" x14ac:dyDescent="0.3">
      <c r="A6575" t="s">
        <v>47</v>
      </c>
      <c r="B6575" s="1">
        <v>44703</v>
      </c>
      <c r="C6575">
        <v>1</v>
      </c>
      <c r="D6575">
        <v>43.08</v>
      </c>
      <c r="E6575">
        <v>66</v>
      </c>
    </row>
    <row r="6576" spans="1:5" x14ac:dyDescent="0.3">
      <c r="A6576" t="s">
        <v>52</v>
      </c>
      <c r="B6576" s="1">
        <v>44703</v>
      </c>
      <c r="C6576">
        <v>1</v>
      </c>
      <c r="D6576">
        <v>202.48</v>
      </c>
      <c r="E6576">
        <v>243</v>
      </c>
    </row>
    <row r="6577" spans="1:5" x14ac:dyDescent="0.3">
      <c r="A6577" t="s">
        <v>20</v>
      </c>
      <c r="B6577" s="1">
        <v>44703</v>
      </c>
      <c r="C6577">
        <v>1</v>
      </c>
      <c r="D6577">
        <v>19.71</v>
      </c>
      <c r="E6577">
        <v>25</v>
      </c>
    </row>
    <row r="6578" spans="1:5" x14ac:dyDescent="0.3">
      <c r="A6578" t="s">
        <v>20</v>
      </c>
      <c r="B6578" s="1">
        <v>44703</v>
      </c>
      <c r="C6578">
        <v>1</v>
      </c>
      <c r="D6578">
        <v>19.71</v>
      </c>
      <c r="E6578">
        <v>25</v>
      </c>
    </row>
    <row r="6579" spans="1:5" x14ac:dyDescent="0.3">
      <c r="A6579" t="s">
        <v>56</v>
      </c>
      <c r="B6579" s="1">
        <v>44703</v>
      </c>
      <c r="C6579">
        <v>1</v>
      </c>
      <c r="D6579">
        <v>43.97</v>
      </c>
      <c r="E6579">
        <v>67</v>
      </c>
    </row>
    <row r="6580" spans="1:5" x14ac:dyDescent="0.3">
      <c r="A6580" t="s">
        <v>6</v>
      </c>
      <c r="B6580" s="1">
        <v>44703</v>
      </c>
      <c r="C6580">
        <v>1</v>
      </c>
      <c r="D6580">
        <v>430.78</v>
      </c>
      <c r="E6580">
        <v>539</v>
      </c>
    </row>
    <row r="6581" spans="1:5" x14ac:dyDescent="0.3">
      <c r="A6581" t="s">
        <v>57</v>
      </c>
      <c r="B6581" s="1">
        <v>44703</v>
      </c>
      <c r="C6581">
        <v>1</v>
      </c>
      <c r="D6581">
        <v>227.82</v>
      </c>
      <c r="E6581">
        <v>267</v>
      </c>
    </row>
    <row r="6582" spans="1:5" x14ac:dyDescent="0.3">
      <c r="A6582" t="s">
        <v>57</v>
      </c>
      <c r="B6582" s="1">
        <v>44703</v>
      </c>
      <c r="C6582">
        <v>1</v>
      </c>
      <c r="D6582">
        <v>227.82</v>
      </c>
      <c r="E6582">
        <v>267</v>
      </c>
    </row>
    <row r="6583" spans="1:5" x14ac:dyDescent="0.3">
      <c r="A6583" t="s">
        <v>144</v>
      </c>
      <c r="B6583" s="1">
        <v>44703</v>
      </c>
      <c r="C6583">
        <v>1</v>
      </c>
      <c r="D6583">
        <v>53.93</v>
      </c>
      <c r="E6583">
        <v>77</v>
      </c>
    </row>
    <row r="6584" spans="1:5" x14ac:dyDescent="0.3">
      <c r="A6584" t="s">
        <v>57</v>
      </c>
      <c r="B6584" s="1">
        <v>44703</v>
      </c>
      <c r="C6584">
        <v>1</v>
      </c>
      <c r="D6584">
        <v>227.82</v>
      </c>
      <c r="E6584">
        <v>267</v>
      </c>
    </row>
    <row r="6585" spans="1:5" x14ac:dyDescent="0.3">
      <c r="A6585" t="s">
        <v>125</v>
      </c>
      <c r="B6585" s="1">
        <v>44703</v>
      </c>
      <c r="C6585">
        <v>1</v>
      </c>
      <c r="D6585">
        <v>331.43</v>
      </c>
      <c r="E6585">
        <v>431</v>
      </c>
    </row>
    <row r="6586" spans="1:5" x14ac:dyDescent="0.3">
      <c r="A6586" t="s">
        <v>50</v>
      </c>
      <c r="B6586" s="1">
        <v>44703</v>
      </c>
      <c r="C6586">
        <v>1</v>
      </c>
      <c r="D6586">
        <v>43.86</v>
      </c>
      <c r="E6586">
        <v>56</v>
      </c>
    </row>
    <row r="6587" spans="1:5" x14ac:dyDescent="0.3">
      <c r="A6587" t="s">
        <v>160</v>
      </c>
      <c r="B6587" s="1">
        <v>44703</v>
      </c>
      <c r="C6587">
        <v>1</v>
      </c>
      <c r="D6587">
        <v>80.73</v>
      </c>
      <c r="E6587">
        <v>98</v>
      </c>
    </row>
    <row r="6588" spans="1:5" x14ac:dyDescent="0.3">
      <c r="A6588" t="s">
        <v>153</v>
      </c>
      <c r="B6588" s="1">
        <v>44703</v>
      </c>
      <c r="C6588">
        <v>1</v>
      </c>
      <c r="D6588">
        <v>10.34</v>
      </c>
      <c r="E6588">
        <v>12</v>
      </c>
    </row>
    <row r="6589" spans="1:5" x14ac:dyDescent="0.3">
      <c r="A6589" t="s">
        <v>7</v>
      </c>
      <c r="B6589" s="1">
        <v>44703</v>
      </c>
      <c r="C6589">
        <v>1</v>
      </c>
      <c r="D6589">
        <v>89.27</v>
      </c>
      <c r="E6589">
        <v>113</v>
      </c>
    </row>
    <row r="6590" spans="1:5" x14ac:dyDescent="0.3">
      <c r="A6590" t="s">
        <v>70</v>
      </c>
      <c r="B6590" s="1">
        <v>44703</v>
      </c>
      <c r="C6590">
        <v>1</v>
      </c>
      <c r="D6590">
        <v>165.32</v>
      </c>
      <c r="E6590">
        <v>203</v>
      </c>
    </row>
    <row r="6591" spans="1:5" x14ac:dyDescent="0.3">
      <c r="A6591" t="s">
        <v>87</v>
      </c>
      <c r="B6591" s="1">
        <v>44703</v>
      </c>
      <c r="C6591">
        <v>1</v>
      </c>
      <c r="D6591">
        <v>323.67</v>
      </c>
      <c r="E6591">
        <v>389</v>
      </c>
    </row>
    <row r="6592" spans="1:5" x14ac:dyDescent="0.3">
      <c r="A6592" t="s">
        <v>133</v>
      </c>
      <c r="B6592" s="1">
        <v>44703</v>
      </c>
      <c r="C6592">
        <v>1</v>
      </c>
      <c r="D6592">
        <v>5.0999999999999996</v>
      </c>
      <c r="E6592">
        <v>9</v>
      </c>
    </row>
    <row r="6593" spans="1:5" x14ac:dyDescent="0.3">
      <c r="A6593" t="s">
        <v>24</v>
      </c>
      <c r="B6593" s="1">
        <v>44703</v>
      </c>
      <c r="C6593">
        <v>1</v>
      </c>
      <c r="D6593">
        <v>97.12</v>
      </c>
      <c r="E6593">
        <v>118</v>
      </c>
    </row>
    <row r="6594" spans="1:5" x14ac:dyDescent="0.3">
      <c r="A6594" t="s">
        <v>77</v>
      </c>
      <c r="B6594" s="1">
        <v>44703</v>
      </c>
      <c r="C6594">
        <v>1</v>
      </c>
      <c r="D6594">
        <v>61.89</v>
      </c>
      <c r="E6594">
        <v>77</v>
      </c>
    </row>
    <row r="6595" spans="1:5" x14ac:dyDescent="0.3">
      <c r="A6595" t="s">
        <v>58</v>
      </c>
      <c r="B6595" s="1">
        <v>44703</v>
      </c>
      <c r="C6595">
        <v>1</v>
      </c>
      <c r="D6595">
        <v>76.739999999999995</v>
      </c>
      <c r="E6595">
        <v>93</v>
      </c>
    </row>
    <row r="6596" spans="1:5" x14ac:dyDescent="0.3">
      <c r="A6596" t="s">
        <v>58</v>
      </c>
      <c r="B6596" s="1">
        <v>44703</v>
      </c>
      <c r="C6596">
        <v>1</v>
      </c>
      <c r="D6596">
        <v>76.739999999999995</v>
      </c>
      <c r="E6596">
        <v>93</v>
      </c>
    </row>
    <row r="6597" spans="1:5" x14ac:dyDescent="0.3">
      <c r="A6597" t="s">
        <v>58</v>
      </c>
      <c r="B6597" s="1">
        <v>44703</v>
      </c>
      <c r="C6597">
        <v>1</v>
      </c>
      <c r="D6597">
        <v>76.739999999999995</v>
      </c>
      <c r="E6597">
        <v>93</v>
      </c>
    </row>
    <row r="6598" spans="1:5" x14ac:dyDescent="0.3">
      <c r="A6598" t="s">
        <v>20</v>
      </c>
      <c r="B6598" s="1">
        <v>44703</v>
      </c>
      <c r="C6598">
        <v>1</v>
      </c>
      <c r="D6598">
        <v>19.66</v>
      </c>
      <c r="E6598">
        <v>25</v>
      </c>
    </row>
    <row r="6599" spans="1:5" x14ac:dyDescent="0.3">
      <c r="A6599" t="s">
        <v>20</v>
      </c>
      <c r="B6599" s="1">
        <v>44703</v>
      </c>
      <c r="C6599">
        <v>1</v>
      </c>
      <c r="D6599">
        <v>19.66</v>
      </c>
      <c r="E6599">
        <v>25</v>
      </c>
    </row>
    <row r="6600" spans="1:5" x14ac:dyDescent="0.3">
      <c r="A6600" t="s">
        <v>47</v>
      </c>
      <c r="B6600" s="1">
        <v>44703</v>
      </c>
      <c r="C6600">
        <v>1</v>
      </c>
      <c r="D6600">
        <v>43.08</v>
      </c>
      <c r="E6600">
        <v>67</v>
      </c>
    </row>
    <row r="6601" spans="1:5" x14ac:dyDescent="0.3">
      <c r="A6601" t="s">
        <v>58</v>
      </c>
      <c r="B6601" s="1">
        <v>44703</v>
      </c>
      <c r="C6601">
        <v>1</v>
      </c>
      <c r="D6601">
        <v>78</v>
      </c>
      <c r="E6601">
        <v>94</v>
      </c>
    </row>
    <row r="6602" spans="1:5" x14ac:dyDescent="0.3">
      <c r="A6602" t="s">
        <v>58</v>
      </c>
      <c r="B6602" s="1">
        <v>44703</v>
      </c>
      <c r="C6602">
        <v>1</v>
      </c>
      <c r="D6602">
        <v>76.739999999999995</v>
      </c>
      <c r="E6602">
        <v>93</v>
      </c>
    </row>
    <row r="6603" spans="1:5" x14ac:dyDescent="0.3">
      <c r="A6603" t="s">
        <v>69</v>
      </c>
      <c r="B6603" s="1">
        <v>44703</v>
      </c>
      <c r="C6603">
        <v>1</v>
      </c>
      <c r="D6603">
        <v>19.989999999999998</v>
      </c>
      <c r="E6603">
        <v>24</v>
      </c>
    </row>
    <row r="6604" spans="1:5" x14ac:dyDescent="0.3">
      <c r="A6604" t="s">
        <v>69</v>
      </c>
      <c r="B6604" s="1">
        <v>44703</v>
      </c>
      <c r="C6604">
        <v>1</v>
      </c>
      <c r="D6604">
        <v>19.989999999999998</v>
      </c>
      <c r="E6604">
        <v>24</v>
      </c>
    </row>
    <row r="6605" spans="1:5" x14ac:dyDescent="0.3">
      <c r="A6605" t="s">
        <v>69</v>
      </c>
      <c r="B6605" s="1">
        <v>44703</v>
      </c>
      <c r="C6605">
        <v>1</v>
      </c>
      <c r="D6605">
        <v>19.989999999999998</v>
      </c>
      <c r="E6605">
        <v>24</v>
      </c>
    </row>
    <row r="6606" spans="1:5" x14ac:dyDescent="0.3">
      <c r="A6606" t="s">
        <v>57</v>
      </c>
      <c r="B6606" s="1">
        <v>44703</v>
      </c>
      <c r="C6606">
        <v>1</v>
      </c>
      <c r="D6606">
        <v>233.76</v>
      </c>
      <c r="E6606">
        <v>274</v>
      </c>
    </row>
    <row r="6607" spans="1:5" x14ac:dyDescent="0.3">
      <c r="A6607" t="s">
        <v>20</v>
      </c>
      <c r="B6607" s="1">
        <v>44703</v>
      </c>
      <c r="C6607">
        <v>1</v>
      </c>
      <c r="D6607">
        <v>19.71</v>
      </c>
      <c r="E6607">
        <v>23</v>
      </c>
    </row>
    <row r="6608" spans="1:5" x14ac:dyDescent="0.3">
      <c r="A6608" t="s">
        <v>107</v>
      </c>
      <c r="B6608" s="1">
        <v>44703</v>
      </c>
      <c r="C6608">
        <v>1</v>
      </c>
      <c r="D6608">
        <v>70.319999999999993</v>
      </c>
      <c r="E6608">
        <v>87</v>
      </c>
    </row>
    <row r="6609" spans="1:5" x14ac:dyDescent="0.3">
      <c r="A6609" t="s">
        <v>47</v>
      </c>
      <c r="B6609" s="1">
        <v>44703</v>
      </c>
      <c r="C6609">
        <v>1</v>
      </c>
      <c r="D6609">
        <v>43.08</v>
      </c>
      <c r="E6609">
        <v>67</v>
      </c>
    </row>
    <row r="6610" spans="1:5" x14ac:dyDescent="0.3">
      <c r="A6610" t="s">
        <v>47</v>
      </c>
      <c r="B6610" s="1">
        <v>44703</v>
      </c>
      <c r="C6610">
        <v>1</v>
      </c>
      <c r="D6610">
        <v>43.08</v>
      </c>
      <c r="E6610">
        <v>67</v>
      </c>
    </row>
    <row r="6611" spans="1:5" x14ac:dyDescent="0.3">
      <c r="A6611" t="s">
        <v>88</v>
      </c>
      <c r="B6611" s="1">
        <v>44703</v>
      </c>
      <c r="C6611">
        <v>0.5</v>
      </c>
      <c r="D6611">
        <v>106.51</v>
      </c>
      <c r="E6611">
        <v>163</v>
      </c>
    </row>
    <row r="6612" spans="1:5" x14ac:dyDescent="0.3">
      <c r="A6612" t="s">
        <v>106</v>
      </c>
      <c r="B6612" s="1">
        <v>44703</v>
      </c>
      <c r="C6612">
        <v>1</v>
      </c>
      <c r="D6612">
        <v>42.24</v>
      </c>
      <c r="E6612">
        <v>53</v>
      </c>
    </row>
    <row r="6613" spans="1:5" x14ac:dyDescent="0.3">
      <c r="A6613" t="s">
        <v>7</v>
      </c>
      <c r="B6613" s="1">
        <v>44703</v>
      </c>
      <c r="C6613">
        <v>1</v>
      </c>
      <c r="D6613">
        <v>87.6</v>
      </c>
      <c r="E6613">
        <v>109</v>
      </c>
    </row>
    <row r="6614" spans="1:5" x14ac:dyDescent="0.3">
      <c r="A6614" t="s">
        <v>127</v>
      </c>
      <c r="B6614" s="1">
        <v>44703</v>
      </c>
      <c r="C6614">
        <v>1</v>
      </c>
      <c r="D6614">
        <v>120.97</v>
      </c>
      <c r="E6614">
        <v>166</v>
      </c>
    </row>
    <row r="6615" spans="1:5" x14ac:dyDescent="0.3">
      <c r="A6615" t="s">
        <v>56</v>
      </c>
      <c r="B6615" s="1">
        <v>44703</v>
      </c>
      <c r="C6615">
        <v>1</v>
      </c>
      <c r="D6615">
        <v>43.97</v>
      </c>
      <c r="E6615">
        <v>69</v>
      </c>
    </row>
    <row r="6616" spans="1:5" x14ac:dyDescent="0.3">
      <c r="A6616" t="s">
        <v>56</v>
      </c>
      <c r="B6616" s="1">
        <v>44703</v>
      </c>
      <c r="C6616">
        <v>1</v>
      </c>
      <c r="D6616">
        <v>43.97</v>
      </c>
      <c r="E6616">
        <v>69</v>
      </c>
    </row>
    <row r="6617" spans="1:5" x14ac:dyDescent="0.3">
      <c r="A6617" t="s">
        <v>100</v>
      </c>
      <c r="B6617" s="1">
        <v>44703</v>
      </c>
      <c r="C6617">
        <v>1</v>
      </c>
      <c r="D6617">
        <v>36.29</v>
      </c>
      <c r="E6617">
        <v>57</v>
      </c>
    </row>
    <row r="6618" spans="1:5" x14ac:dyDescent="0.3">
      <c r="A6618" t="s">
        <v>131</v>
      </c>
      <c r="B6618" s="1">
        <v>44703</v>
      </c>
      <c r="C6618">
        <v>1</v>
      </c>
      <c r="D6618">
        <v>360</v>
      </c>
      <c r="E6618">
        <v>414</v>
      </c>
    </row>
    <row r="6619" spans="1:5" x14ac:dyDescent="0.3">
      <c r="A6619" t="s">
        <v>23</v>
      </c>
      <c r="B6619" s="1">
        <v>44703</v>
      </c>
      <c r="C6619">
        <v>1</v>
      </c>
      <c r="D6619">
        <v>109.41</v>
      </c>
      <c r="E6619">
        <v>123</v>
      </c>
    </row>
    <row r="6620" spans="1:5" x14ac:dyDescent="0.3">
      <c r="A6620" t="s">
        <v>77</v>
      </c>
      <c r="B6620" s="1">
        <v>44703</v>
      </c>
      <c r="C6620">
        <v>1</v>
      </c>
      <c r="D6620">
        <v>58.22</v>
      </c>
      <c r="E6620">
        <v>73</v>
      </c>
    </row>
    <row r="6621" spans="1:5" x14ac:dyDescent="0.3">
      <c r="A6621" t="s">
        <v>25</v>
      </c>
      <c r="B6621" s="1">
        <v>44703</v>
      </c>
      <c r="C6621">
        <v>1</v>
      </c>
      <c r="D6621">
        <v>147.4</v>
      </c>
      <c r="E6621">
        <v>177</v>
      </c>
    </row>
    <row r="6622" spans="1:5" x14ac:dyDescent="0.3">
      <c r="A6622" t="s">
        <v>75</v>
      </c>
      <c r="B6622" s="1">
        <v>44703</v>
      </c>
      <c r="C6622">
        <v>0.2</v>
      </c>
      <c r="D6622">
        <v>463.1</v>
      </c>
      <c r="E6622">
        <v>649</v>
      </c>
    </row>
    <row r="6623" spans="1:5" x14ac:dyDescent="0.3">
      <c r="A6623" t="s">
        <v>15</v>
      </c>
      <c r="B6623" s="1">
        <v>44703</v>
      </c>
      <c r="C6623">
        <v>1</v>
      </c>
      <c r="D6623">
        <v>55.5</v>
      </c>
      <c r="E6623">
        <v>87</v>
      </c>
    </row>
    <row r="6624" spans="1:5" x14ac:dyDescent="0.3">
      <c r="A6624" t="s">
        <v>54</v>
      </c>
      <c r="B6624" s="1">
        <v>44703</v>
      </c>
      <c r="C6624">
        <v>1</v>
      </c>
      <c r="D6624">
        <v>723.11</v>
      </c>
      <c r="E6624">
        <v>933</v>
      </c>
    </row>
    <row r="6625" spans="1:5" x14ac:dyDescent="0.3">
      <c r="A6625" t="s">
        <v>142</v>
      </c>
      <c r="B6625" s="1">
        <v>44703</v>
      </c>
      <c r="C6625">
        <v>1</v>
      </c>
      <c r="D6625">
        <v>12.86</v>
      </c>
      <c r="E6625">
        <v>15</v>
      </c>
    </row>
    <row r="6626" spans="1:5" x14ac:dyDescent="0.3">
      <c r="A6626" t="s">
        <v>26</v>
      </c>
      <c r="B6626" s="1">
        <v>44703</v>
      </c>
      <c r="C6626">
        <v>0.2</v>
      </c>
      <c r="D6626">
        <v>984.79</v>
      </c>
      <c r="E6626">
        <v>1350</v>
      </c>
    </row>
    <row r="6627" spans="1:5" x14ac:dyDescent="0.3">
      <c r="A6627" t="s">
        <v>7</v>
      </c>
      <c r="B6627" s="1">
        <v>44703</v>
      </c>
      <c r="C6627">
        <v>1</v>
      </c>
      <c r="D6627">
        <v>89.27</v>
      </c>
      <c r="E6627">
        <v>113</v>
      </c>
    </row>
    <row r="6628" spans="1:5" x14ac:dyDescent="0.3">
      <c r="A6628" t="s">
        <v>7</v>
      </c>
      <c r="B6628" s="1">
        <v>44703</v>
      </c>
      <c r="C6628">
        <v>1</v>
      </c>
      <c r="D6628">
        <v>89.27</v>
      </c>
      <c r="E6628">
        <v>113</v>
      </c>
    </row>
    <row r="6629" spans="1:5" x14ac:dyDescent="0.3">
      <c r="A6629" t="s">
        <v>37</v>
      </c>
      <c r="B6629" s="1">
        <v>44703</v>
      </c>
      <c r="C6629">
        <v>1</v>
      </c>
      <c r="D6629">
        <v>36.86</v>
      </c>
      <c r="E6629">
        <v>47</v>
      </c>
    </row>
    <row r="6630" spans="1:5" x14ac:dyDescent="0.3">
      <c r="A6630" t="s">
        <v>111</v>
      </c>
      <c r="B6630" s="1">
        <v>44703</v>
      </c>
      <c r="C6630">
        <v>1</v>
      </c>
      <c r="D6630">
        <v>177.87</v>
      </c>
      <c r="E6630">
        <v>202</v>
      </c>
    </row>
    <row r="6631" spans="1:5" x14ac:dyDescent="0.3">
      <c r="A6631" t="s">
        <v>134</v>
      </c>
      <c r="B6631" s="1">
        <v>44703</v>
      </c>
      <c r="C6631">
        <v>1</v>
      </c>
      <c r="D6631">
        <v>27.28</v>
      </c>
      <c r="E6631">
        <v>43</v>
      </c>
    </row>
    <row r="6632" spans="1:5" x14ac:dyDescent="0.3">
      <c r="A6632" t="s">
        <v>134</v>
      </c>
      <c r="B6632" s="1">
        <v>44703</v>
      </c>
      <c r="C6632">
        <v>1</v>
      </c>
      <c r="D6632">
        <v>26.86</v>
      </c>
      <c r="E6632">
        <v>43</v>
      </c>
    </row>
    <row r="6633" spans="1:5" x14ac:dyDescent="0.3">
      <c r="A6633" t="s">
        <v>88</v>
      </c>
      <c r="B6633" s="1">
        <v>44703</v>
      </c>
      <c r="C6633">
        <v>1</v>
      </c>
      <c r="D6633">
        <v>128.1</v>
      </c>
      <c r="E6633">
        <v>199</v>
      </c>
    </row>
    <row r="6634" spans="1:5" x14ac:dyDescent="0.3">
      <c r="A6634" t="s">
        <v>132</v>
      </c>
      <c r="B6634" s="1">
        <v>44703</v>
      </c>
      <c r="C6634">
        <v>1</v>
      </c>
      <c r="D6634">
        <v>58.59</v>
      </c>
      <c r="E6634">
        <v>84</v>
      </c>
    </row>
    <row r="6635" spans="1:5" x14ac:dyDescent="0.3">
      <c r="A6635" t="s">
        <v>109</v>
      </c>
      <c r="B6635" s="1">
        <v>44703</v>
      </c>
      <c r="C6635">
        <v>1</v>
      </c>
      <c r="D6635">
        <v>87.23</v>
      </c>
      <c r="E6635">
        <v>105</v>
      </c>
    </row>
    <row r="6636" spans="1:5" x14ac:dyDescent="0.3">
      <c r="A6636" t="s">
        <v>59</v>
      </c>
      <c r="B6636" s="1">
        <v>44703</v>
      </c>
      <c r="C6636">
        <v>6</v>
      </c>
      <c r="D6636">
        <v>13.11</v>
      </c>
      <c r="E6636">
        <v>21</v>
      </c>
    </row>
    <row r="6637" spans="1:5" x14ac:dyDescent="0.3">
      <c r="A6637" t="s">
        <v>134</v>
      </c>
      <c r="B6637" s="1">
        <v>44703</v>
      </c>
      <c r="C6637">
        <v>1</v>
      </c>
      <c r="D6637">
        <v>26.87</v>
      </c>
      <c r="E6637">
        <v>41</v>
      </c>
    </row>
    <row r="6638" spans="1:5" x14ac:dyDescent="0.3">
      <c r="A6638" t="s">
        <v>134</v>
      </c>
      <c r="B6638" s="1">
        <v>44703</v>
      </c>
      <c r="C6638">
        <v>1</v>
      </c>
      <c r="D6638">
        <v>26.87</v>
      </c>
      <c r="E6638">
        <v>41</v>
      </c>
    </row>
    <row r="6639" spans="1:5" x14ac:dyDescent="0.3">
      <c r="A6639" t="s">
        <v>134</v>
      </c>
      <c r="B6639" s="1">
        <v>44703</v>
      </c>
      <c r="C6639">
        <v>1</v>
      </c>
      <c r="D6639">
        <v>26.87</v>
      </c>
      <c r="E6639">
        <v>41</v>
      </c>
    </row>
    <row r="6640" spans="1:5" x14ac:dyDescent="0.3">
      <c r="A6640" t="s">
        <v>134</v>
      </c>
      <c r="B6640" s="1">
        <v>44703</v>
      </c>
      <c r="C6640">
        <v>1</v>
      </c>
      <c r="D6640">
        <v>26.87</v>
      </c>
      <c r="E6640">
        <v>41</v>
      </c>
    </row>
    <row r="6641" spans="1:5" x14ac:dyDescent="0.3">
      <c r="A6641" t="s">
        <v>134</v>
      </c>
      <c r="B6641" s="1">
        <v>44703</v>
      </c>
      <c r="C6641">
        <v>1</v>
      </c>
      <c r="D6641">
        <v>26.87</v>
      </c>
      <c r="E6641">
        <v>41</v>
      </c>
    </row>
    <row r="6642" spans="1:5" x14ac:dyDescent="0.3">
      <c r="A6642" t="s">
        <v>25</v>
      </c>
      <c r="B6642" s="1">
        <v>44703</v>
      </c>
      <c r="C6642">
        <v>1</v>
      </c>
      <c r="D6642">
        <v>147.18</v>
      </c>
      <c r="E6642">
        <v>177</v>
      </c>
    </row>
    <row r="6643" spans="1:5" x14ac:dyDescent="0.3">
      <c r="A6643" t="s">
        <v>115</v>
      </c>
      <c r="B6643" s="1">
        <v>44703</v>
      </c>
      <c r="C6643">
        <v>1</v>
      </c>
      <c r="D6643">
        <v>70.95</v>
      </c>
      <c r="E6643">
        <v>89</v>
      </c>
    </row>
    <row r="6644" spans="1:5" x14ac:dyDescent="0.3">
      <c r="A6644" t="s">
        <v>91</v>
      </c>
      <c r="B6644" s="1">
        <v>44703</v>
      </c>
      <c r="C6644">
        <v>1</v>
      </c>
      <c r="D6644">
        <v>35.340000000000003</v>
      </c>
      <c r="E6644">
        <v>58</v>
      </c>
    </row>
    <row r="6645" spans="1:5" x14ac:dyDescent="0.3">
      <c r="A6645" t="s">
        <v>7</v>
      </c>
      <c r="B6645" s="1">
        <v>44703</v>
      </c>
      <c r="C6645">
        <v>1</v>
      </c>
      <c r="D6645">
        <v>89.27</v>
      </c>
      <c r="E6645">
        <v>113</v>
      </c>
    </row>
    <row r="6646" spans="1:5" x14ac:dyDescent="0.3">
      <c r="A6646" t="s">
        <v>62</v>
      </c>
      <c r="B6646" s="1">
        <v>44703</v>
      </c>
      <c r="C6646">
        <v>1</v>
      </c>
      <c r="D6646">
        <v>25.29</v>
      </c>
      <c r="E6646">
        <v>30</v>
      </c>
    </row>
    <row r="6647" spans="1:5" x14ac:dyDescent="0.3">
      <c r="A6647" t="s">
        <v>108</v>
      </c>
      <c r="B6647" s="1">
        <v>44703</v>
      </c>
      <c r="C6647">
        <v>1</v>
      </c>
      <c r="D6647">
        <v>29.56</v>
      </c>
      <c r="E6647">
        <v>45</v>
      </c>
    </row>
    <row r="6648" spans="1:5" x14ac:dyDescent="0.3">
      <c r="A6648" t="s">
        <v>108</v>
      </c>
      <c r="B6648" s="1">
        <v>44703</v>
      </c>
      <c r="C6648">
        <v>1</v>
      </c>
      <c r="D6648">
        <v>29.56</v>
      </c>
      <c r="E6648">
        <v>45</v>
      </c>
    </row>
    <row r="6649" spans="1:5" x14ac:dyDescent="0.3">
      <c r="A6649" t="s">
        <v>108</v>
      </c>
      <c r="B6649" s="1">
        <v>44703</v>
      </c>
      <c r="C6649">
        <v>1</v>
      </c>
      <c r="D6649">
        <v>29.56</v>
      </c>
      <c r="E6649">
        <v>45</v>
      </c>
    </row>
    <row r="6650" spans="1:5" x14ac:dyDescent="0.3">
      <c r="A6650" t="s">
        <v>108</v>
      </c>
      <c r="B6650" s="1">
        <v>44703</v>
      </c>
      <c r="C6650">
        <v>1</v>
      </c>
      <c r="D6650">
        <v>29.56</v>
      </c>
      <c r="E6650">
        <v>45</v>
      </c>
    </row>
    <row r="6651" spans="1:5" x14ac:dyDescent="0.3">
      <c r="A6651" t="s">
        <v>108</v>
      </c>
      <c r="B6651" s="1">
        <v>44703</v>
      </c>
      <c r="C6651">
        <v>1</v>
      </c>
      <c r="D6651">
        <v>16.37</v>
      </c>
      <c r="E6651">
        <v>27</v>
      </c>
    </row>
    <row r="6652" spans="1:5" x14ac:dyDescent="0.3">
      <c r="A6652" t="s">
        <v>108</v>
      </c>
      <c r="B6652" s="1">
        <v>44703</v>
      </c>
      <c r="C6652">
        <v>1</v>
      </c>
      <c r="D6652">
        <v>16.37</v>
      </c>
      <c r="E6652">
        <v>27</v>
      </c>
    </row>
    <row r="6653" spans="1:5" x14ac:dyDescent="0.3">
      <c r="A6653" t="s">
        <v>108</v>
      </c>
      <c r="B6653" s="1">
        <v>44703</v>
      </c>
      <c r="C6653">
        <v>1</v>
      </c>
      <c r="D6653">
        <v>16.37</v>
      </c>
      <c r="E6653">
        <v>27</v>
      </c>
    </row>
    <row r="6654" spans="1:5" x14ac:dyDescent="0.3">
      <c r="A6654" t="s">
        <v>108</v>
      </c>
      <c r="B6654" s="1">
        <v>44703</v>
      </c>
      <c r="C6654">
        <v>1</v>
      </c>
      <c r="D6654">
        <v>16.37</v>
      </c>
      <c r="E6654">
        <v>27</v>
      </c>
    </row>
    <row r="6655" spans="1:5" x14ac:dyDescent="0.3">
      <c r="A6655" t="s">
        <v>70</v>
      </c>
      <c r="B6655" s="1">
        <v>44703</v>
      </c>
      <c r="C6655">
        <v>1</v>
      </c>
      <c r="D6655">
        <v>165.32</v>
      </c>
      <c r="E6655">
        <v>203</v>
      </c>
    </row>
    <row r="6656" spans="1:5" x14ac:dyDescent="0.3">
      <c r="A6656" t="s">
        <v>156</v>
      </c>
      <c r="B6656" s="1">
        <v>44703</v>
      </c>
      <c r="C6656">
        <v>1</v>
      </c>
      <c r="D6656">
        <v>248.71</v>
      </c>
      <c r="E6656">
        <v>329</v>
      </c>
    </row>
    <row r="6657" spans="1:5" x14ac:dyDescent="0.3">
      <c r="A6657" t="s">
        <v>56</v>
      </c>
      <c r="B6657" s="1">
        <v>44703</v>
      </c>
      <c r="C6657">
        <v>1</v>
      </c>
      <c r="D6657">
        <v>43.97</v>
      </c>
      <c r="E6657">
        <v>69</v>
      </c>
    </row>
    <row r="6658" spans="1:5" x14ac:dyDescent="0.3">
      <c r="A6658" t="s">
        <v>52</v>
      </c>
      <c r="B6658" s="1">
        <v>44703</v>
      </c>
      <c r="C6658">
        <v>1</v>
      </c>
      <c r="D6658">
        <v>203.72</v>
      </c>
      <c r="E6658">
        <v>245</v>
      </c>
    </row>
    <row r="6659" spans="1:5" x14ac:dyDescent="0.3">
      <c r="A6659" t="s">
        <v>122</v>
      </c>
      <c r="B6659" s="1">
        <v>44703</v>
      </c>
      <c r="C6659">
        <v>1</v>
      </c>
      <c r="D6659">
        <v>21.23</v>
      </c>
      <c r="E6659">
        <v>26</v>
      </c>
    </row>
    <row r="6660" spans="1:5" x14ac:dyDescent="0.3">
      <c r="A6660" t="s">
        <v>32</v>
      </c>
      <c r="B6660" s="1">
        <v>44703</v>
      </c>
      <c r="C6660">
        <v>1</v>
      </c>
      <c r="D6660">
        <v>105</v>
      </c>
      <c r="E6660">
        <v>165</v>
      </c>
    </row>
    <row r="6661" spans="1:5" x14ac:dyDescent="0.3">
      <c r="A6661" t="s">
        <v>143</v>
      </c>
      <c r="B6661" s="1">
        <v>44703</v>
      </c>
      <c r="C6661">
        <v>1</v>
      </c>
      <c r="D6661">
        <v>50.45</v>
      </c>
      <c r="E6661">
        <v>77</v>
      </c>
    </row>
    <row r="6662" spans="1:5" x14ac:dyDescent="0.3">
      <c r="A6662" t="s">
        <v>110</v>
      </c>
      <c r="B6662" s="1">
        <v>44703</v>
      </c>
      <c r="C6662">
        <v>1</v>
      </c>
      <c r="D6662">
        <v>215.6</v>
      </c>
      <c r="E6662">
        <v>302</v>
      </c>
    </row>
    <row r="6663" spans="1:5" x14ac:dyDescent="0.3">
      <c r="A6663" t="s">
        <v>143</v>
      </c>
      <c r="B6663" s="1">
        <v>44703</v>
      </c>
      <c r="C6663">
        <v>1</v>
      </c>
      <c r="D6663">
        <v>50.45</v>
      </c>
      <c r="E6663">
        <v>77</v>
      </c>
    </row>
    <row r="6664" spans="1:5" x14ac:dyDescent="0.3">
      <c r="A6664" t="s">
        <v>31</v>
      </c>
      <c r="B6664" s="1">
        <v>44703</v>
      </c>
      <c r="C6664">
        <v>1</v>
      </c>
      <c r="D6664">
        <v>13.05</v>
      </c>
      <c r="E6664">
        <v>18</v>
      </c>
    </row>
    <row r="6665" spans="1:5" x14ac:dyDescent="0.3">
      <c r="A6665" t="s">
        <v>31</v>
      </c>
      <c r="B6665" s="1">
        <v>44703</v>
      </c>
      <c r="C6665">
        <v>1</v>
      </c>
      <c r="D6665">
        <v>13.05</v>
      </c>
      <c r="E6665">
        <v>18</v>
      </c>
    </row>
    <row r="6666" spans="1:5" x14ac:dyDescent="0.3">
      <c r="A6666" t="s">
        <v>31</v>
      </c>
      <c r="B6666" s="1">
        <v>44703</v>
      </c>
      <c r="C6666">
        <v>1</v>
      </c>
      <c r="D6666">
        <v>13.05</v>
      </c>
      <c r="E6666">
        <v>18</v>
      </c>
    </row>
    <row r="6667" spans="1:5" x14ac:dyDescent="0.3">
      <c r="A6667" t="s">
        <v>31</v>
      </c>
      <c r="B6667" s="1">
        <v>44703</v>
      </c>
      <c r="C6667">
        <v>1</v>
      </c>
      <c r="D6667">
        <v>13.05</v>
      </c>
      <c r="E6667">
        <v>18</v>
      </c>
    </row>
    <row r="6668" spans="1:5" x14ac:dyDescent="0.3">
      <c r="A6668" t="s">
        <v>117</v>
      </c>
      <c r="B6668" s="1">
        <v>44703</v>
      </c>
      <c r="C6668">
        <v>1</v>
      </c>
      <c r="D6668">
        <v>23.14</v>
      </c>
      <c r="E6668">
        <v>28</v>
      </c>
    </row>
    <row r="6669" spans="1:5" x14ac:dyDescent="0.3">
      <c r="A6669" t="s">
        <v>117</v>
      </c>
      <c r="B6669" s="1">
        <v>44703</v>
      </c>
      <c r="C6669">
        <v>1</v>
      </c>
      <c r="D6669">
        <v>23.14</v>
      </c>
      <c r="E6669">
        <v>28</v>
      </c>
    </row>
    <row r="6670" spans="1:5" x14ac:dyDescent="0.3">
      <c r="A6670" t="s">
        <v>32</v>
      </c>
      <c r="B6670" s="1">
        <v>44703</v>
      </c>
      <c r="C6670">
        <v>0.5</v>
      </c>
      <c r="D6670">
        <v>105</v>
      </c>
      <c r="E6670">
        <v>161</v>
      </c>
    </row>
    <row r="6671" spans="1:5" x14ac:dyDescent="0.3">
      <c r="A6671" t="s">
        <v>42</v>
      </c>
      <c r="B6671" s="1">
        <v>44703</v>
      </c>
      <c r="C6671">
        <v>1</v>
      </c>
      <c r="D6671">
        <v>566.04</v>
      </c>
      <c r="E6671">
        <v>634</v>
      </c>
    </row>
    <row r="6672" spans="1:5" x14ac:dyDescent="0.3">
      <c r="A6672" t="s">
        <v>12</v>
      </c>
      <c r="B6672" s="1">
        <v>44703</v>
      </c>
      <c r="C6672">
        <v>1</v>
      </c>
      <c r="D6672">
        <v>56.03</v>
      </c>
      <c r="E6672">
        <v>70</v>
      </c>
    </row>
    <row r="6673" spans="1:5" x14ac:dyDescent="0.3">
      <c r="A6673" t="s">
        <v>83</v>
      </c>
      <c r="B6673" s="1">
        <v>44703</v>
      </c>
      <c r="C6673">
        <v>1</v>
      </c>
      <c r="D6673">
        <v>207.76</v>
      </c>
      <c r="E6673">
        <v>246</v>
      </c>
    </row>
    <row r="6674" spans="1:5" x14ac:dyDescent="0.3">
      <c r="A6674" t="s">
        <v>96</v>
      </c>
      <c r="B6674" s="1">
        <v>44703</v>
      </c>
      <c r="C6674">
        <v>1</v>
      </c>
      <c r="D6674">
        <v>70.930000000000007</v>
      </c>
      <c r="E6674">
        <v>106</v>
      </c>
    </row>
    <row r="6675" spans="1:5" x14ac:dyDescent="0.3">
      <c r="A6675" t="s">
        <v>57</v>
      </c>
      <c r="B6675" s="1">
        <v>44703</v>
      </c>
      <c r="C6675">
        <v>1</v>
      </c>
      <c r="D6675">
        <v>233.76</v>
      </c>
      <c r="E6675">
        <v>274</v>
      </c>
    </row>
    <row r="6676" spans="1:5" x14ac:dyDescent="0.3">
      <c r="A6676" t="s">
        <v>77</v>
      </c>
      <c r="B6676" s="1">
        <v>44703</v>
      </c>
      <c r="C6676">
        <v>1</v>
      </c>
      <c r="D6676">
        <v>61.89</v>
      </c>
      <c r="E6676">
        <v>77</v>
      </c>
    </row>
    <row r="6677" spans="1:5" x14ac:dyDescent="0.3">
      <c r="A6677" t="s">
        <v>20</v>
      </c>
      <c r="B6677" s="1">
        <v>44703</v>
      </c>
      <c r="C6677">
        <v>1</v>
      </c>
      <c r="D6677">
        <v>19.66</v>
      </c>
      <c r="E6677">
        <v>25</v>
      </c>
    </row>
    <row r="6678" spans="1:5" x14ac:dyDescent="0.3">
      <c r="A6678" t="s">
        <v>20</v>
      </c>
      <c r="B6678" s="1">
        <v>44703</v>
      </c>
      <c r="C6678">
        <v>1</v>
      </c>
      <c r="D6678">
        <v>19.66</v>
      </c>
      <c r="E6678">
        <v>25</v>
      </c>
    </row>
    <row r="6679" spans="1:5" x14ac:dyDescent="0.3">
      <c r="A6679" t="s">
        <v>69</v>
      </c>
      <c r="B6679" s="1">
        <v>44703</v>
      </c>
      <c r="C6679">
        <v>1</v>
      </c>
      <c r="D6679">
        <v>19.989999999999998</v>
      </c>
      <c r="E6679">
        <v>24</v>
      </c>
    </row>
    <row r="6680" spans="1:5" x14ac:dyDescent="0.3">
      <c r="A6680" t="s">
        <v>44</v>
      </c>
      <c r="B6680" s="1">
        <v>44703</v>
      </c>
      <c r="C6680">
        <v>1</v>
      </c>
      <c r="D6680">
        <v>64.260000000000005</v>
      </c>
      <c r="E6680">
        <v>101</v>
      </c>
    </row>
    <row r="6681" spans="1:5" x14ac:dyDescent="0.3">
      <c r="A6681" t="s">
        <v>98</v>
      </c>
      <c r="B6681" s="1">
        <v>44703</v>
      </c>
      <c r="C6681">
        <v>1</v>
      </c>
      <c r="D6681">
        <v>110.99</v>
      </c>
      <c r="E6681">
        <v>136</v>
      </c>
    </row>
    <row r="6682" spans="1:5" x14ac:dyDescent="0.3">
      <c r="A6682" t="s">
        <v>8</v>
      </c>
      <c r="B6682" s="1">
        <v>44703</v>
      </c>
      <c r="C6682">
        <v>1</v>
      </c>
      <c r="D6682">
        <v>47.83</v>
      </c>
      <c r="E6682">
        <v>77</v>
      </c>
    </row>
    <row r="6683" spans="1:5" x14ac:dyDescent="0.3">
      <c r="A6683" t="s">
        <v>138</v>
      </c>
      <c r="B6683" s="1">
        <v>44703</v>
      </c>
      <c r="C6683">
        <v>1</v>
      </c>
      <c r="D6683">
        <v>46.5</v>
      </c>
      <c r="E6683">
        <v>75</v>
      </c>
    </row>
    <row r="6684" spans="1:5" x14ac:dyDescent="0.3">
      <c r="A6684" t="s">
        <v>157</v>
      </c>
      <c r="B6684" s="1">
        <v>44703</v>
      </c>
      <c r="C6684">
        <v>3</v>
      </c>
      <c r="D6684">
        <v>12</v>
      </c>
      <c r="E6684">
        <v>20</v>
      </c>
    </row>
    <row r="6685" spans="1:5" x14ac:dyDescent="0.3">
      <c r="A6685" t="s">
        <v>45</v>
      </c>
      <c r="B6685" s="1">
        <v>44703</v>
      </c>
      <c r="C6685">
        <v>1</v>
      </c>
      <c r="D6685">
        <v>29.26</v>
      </c>
      <c r="E6685">
        <v>48</v>
      </c>
    </row>
    <row r="6686" spans="1:5" x14ac:dyDescent="0.3">
      <c r="A6686" t="s">
        <v>20</v>
      </c>
      <c r="B6686" s="1">
        <v>44703</v>
      </c>
      <c r="C6686">
        <v>1</v>
      </c>
      <c r="D6686">
        <v>22.62</v>
      </c>
      <c r="E6686">
        <v>29</v>
      </c>
    </row>
    <row r="6687" spans="1:5" x14ac:dyDescent="0.3">
      <c r="A6687" t="s">
        <v>99</v>
      </c>
      <c r="B6687" s="1">
        <v>44703</v>
      </c>
      <c r="C6687">
        <v>1</v>
      </c>
      <c r="D6687">
        <v>64.25</v>
      </c>
      <c r="E6687">
        <v>80</v>
      </c>
    </row>
    <row r="6688" spans="1:5" x14ac:dyDescent="0.3">
      <c r="A6688" t="s">
        <v>23</v>
      </c>
      <c r="B6688" s="1">
        <v>44703</v>
      </c>
      <c r="C6688">
        <v>1</v>
      </c>
      <c r="D6688">
        <v>109.41</v>
      </c>
      <c r="E6688">
        <v>123</v>
      </c>
    </row>
    <row r="6689" spans="1:5" x14ac:dyDescent="0.3">
      <c r="A6689" t="s">
        <v>18</v>
      </c>
      <c r="B6689" s="1">
        <v>44703</v>
      </c>
      <c r="C6689">
        <v>1</v>
      </c>
      <c r="D6689">
        <v>46</v>
      </c>
      <c r="E6689">
        <v>70</v>
      </c>
    </row>
    <row r="6690" spans="1:5" x14ac:dyDescent="0.3">
      <c r="A6690" t="s">
        <v>97</v>
      </c>
      <c r="B6690" s="1">
        <v>44703</v>
      </c>
      <c r="C6690">
        <v>1</v>
      </c>
      <c r="D6690">
        <v>416.67</v>
      </c>
      <c r="E6690">
        <v>550</v>
      </c>
    </row>
    <row r="6691" spans="1:5" x14ac:dyDescent="0.3">
      <c r="A6691" t="s">
        <v>122</v>
      </c>
      <c r="B6691" s="1">
        <v>44703</v>
      </c>
      <c r="C6691">
        <v>1</v>
      </c>
      <c r="D6691">
        <v>20.78</v>
      </c>
      <c r="E6691">
        <v>26</v>
      </c>
    </row>
    <row r="6692" spans="1:5" x14ac:dyDescent="0.3">
      <c r="A6692" t="s">
        <v>56</v>
      </c>
      <c r="B6692" s="1">
        <v>44703</v>
      </c>
      <c r="C6692">
        <v>1</v>
      </c>
      <c r="D6692">
        <v>43.86</v>
      </c>
      <c r="E6692">
        <v>67</v>
      </c>
    </row>
    <row r="6693" spans="1:5" x14ac:dyDescent="0.3">
      <c r="A6693" t="s">
        <v>7</v>
      </c>
      <c r="B6693" s="1">
        <v>44703</v>
      </c>
      <c r="C6693">
        <v>1</v>
      </c>
      <c r="D6693">
        <v>88.74</v>
      </c>
      <c r="E6693">
        <v>104</v>
      </c>
    </row>
    <row r="6694" spans="1:5" x14ac:dyDescent="0.3">
      <c r="A6694" t="s">
        <v>24</v>
      </c>
      <c r="B6694" s="1">
        <v>44703</v>
      </c>
      <c r="C6694">
        <v>1</v>
      </c>
      <c r="D6694">
        <v>96.14</v>
      </c>
      <c r="E6694">
        <v>112</v>
      </c>
    </row>
    <row r="6695" spans="1:5" x14ac:dyDescent="0.3">
      <c r="A6695" t="s">
        <v>62</v>
      </c>
      <c r="B6695" s="1">
        <v>44703</v>
      </c>
      <c r="C6695">
        <v>1</v>
      </c>
      <c r="D6695">
        <v>24.97</v>
      </c>
      <c r="E6695">
        <v>30</v>
      </c>
    </row>
    <row r="6696" spans="1:5" x14ac:dyDescent="0.3">
      <c r="A6696" t="s">
        <v>78</v>
      </c>
      <c r="B6696" s="1">
        <v>44703</v>
      </c>
      <c r="C6696">
        <v>1</v>
      </c>
      <c r="D6696">
        <v>69.599999999999994</v>
      </c>
      <c r="E6696">
        <v>88</v>
      </c>
    </row>
    <row r="6697" spans="1:5" x14ac:dyDescent="0.3">
      <c r="A6697" t="s">
        <v>139</v>
      </c>
      <c r="B6697" s="1">
        <v>44703</v>
      </c>
      <c r="C6697">
        <v>2</v>
      </c>
      <c r="D6697">
        <v>24.18</v>
      </c>
      <c r="E6697">
        <v>40</v>
      </c>
    </row>
    <row r="6698" spans="1:5" x14ac:dyDescent="0.3">
      <c r="A6698" t="s">
        <v>121</v>
      </c>
      <c r="B6698" s="1">
        <v>44703</v>
      </c>
      <c r="C6698">
        <v>3</v>
      </c>
      <c r="D6698">
        <v>11.41</v>
      </c>
      <c r="E6698">
        <v>19</v>
      </c>
    </row>
    <row r="6699" spans="1:5" x14ac:dyDescent="0.3">
      <c r="A6699" t="s">
        <v>58</v>
      </c>
      <c r="B6699" s="1">
        <v>44703</v>
      </c>
      <c r="C6699">
        <v>1</v>
      </c>
      <c r="D6699">
        <v>83.29</v>
      </c>
      <c r="E6699">
        <v>100</v>
      </c>
    </row>
    <row r="6700" spans="1:5" x14ac:dyDescent="0.3">
      <c r="A6700" t="s">
        <v>58</v>
      </c>
      <c r="B6700" s="1">
        <v>44703</v>
      </c>
      <c r="C6700">
        <v>1</v>
      </c>
      <c r="D6700">
        <v>83.29</v>
      </c>
      <c r="E6700">
        <v>100</v>
      </c>
    </row>
    <row r="6701" spans="1:5" x14ac:dyDescent="0.3">
      <c r="A6701" t="s">
        <v>56</v>
      </c>
      <c r="B6701" s="1">
        <v>44702</v>
      </c>
      <c r="C6701">
        <v>1</v>
      </c>
      <c r="D6701">
        <v>43.97</v>
      </c>
      <c r="E6701">
        <v>70</v>
      </c>
    </row>
    <row r="6702" spans="1:5" x14ac:dyDescent="0.3">
      <c r="A6702" t="s">
        <v>35</v>
      </c>
      <c r="B6702" s="1">
        <v>44702</v>
      </c>
      <c r="C6702">
        <v>1</v>
      </c>
      <c r="D6702">
        <v>35</v>
      </c>
      <c r="E6702">
        <v>54</v>
      </c>
    </row>
    <row r="6703" spans="1:5" x14ac:dyDescent="0.3">
      <c r="A6703" t="s">
        <v>145</v>
      </c>
      <c r="B6703" s="1">
        <v>44702</v>
      </c>
      <c r="C6703">
        <v>1</v>
      </c>
      <c r="D6703">
        <v>25.3</v>
      </c>
      <c r="E6703">
        <v>31</v>
      </c>
    </row>
    <row r="6704" spans="1:5" x14ac:dyDescent="0.3">
      <c r="A6704" t="s">
        <v>85</v>
      </c>
      <c r="B6704" s="1">
        <v>44702</v>
      </c>
      <c r="C6704">
        <v>1</v>
      </c>
      <c r="D6704">
        <v>16.62</v>
      </c>
      <c r="E6704">
        <v>26</v>
      </c>
    </row>
    <row r="6705" spans="1:5" x14ac:dyDescent="0.3">
      <c r="A6705" t="s">
        <v>56</v>
      </c>
      <c r="B6705" s="1">
        <v>44702</v>
      </c>
      <c r="C6705">
        <v>1</v>
      </c>
      <c r="D6705">
        <v>43.97</v>
      </c>
      <c r="E6705">
        <v>67</v>
      </c>
    </row>
    <row r="6706" spans="1:5" x14ac:dyDescent="0.3">
      <c r="A6706" t="s">
        <v>50</v>
      </c>
      <c r="B6706" s="1">
        <v>44702</v>
      </c>
      <c r="C6706">
        <v>1</v>
      </c>
      <c r="D6706">
        <v>44.86</v>
      </c>
      <c r="E6706">
        <v>56</v>
      </c>
    </row>
    <row r="6707" spans="1:5" x14ac:dyDescent="0.3">
      <c r="A6707" t="s">
        <v>65</v>
      </c>
      <c r="B6707" s="1">
        <v>44702</v>
      </c>
      <c r="C6707">
        <v>1</v>
      </c>
      <c r="D6707">
        <v>184.45</v>
      </c>
      <c r="E6707">
        <v>216</v>
      </c>
    </row>
    <row r="6708" spans="1:5" x14ac:dyDescent="0.3">
      <c r="A6708" t="s">
        <v>110</v>
      </c>
      <c r="B6708" s="1">
        <v>44702</v>
      </c>
      <c r="C6708">
        <v>1</v>
      </c>
      <c r="D6708">
        <v>240.43</v>
      </c>
      <c r="E6708">
        <v>325</v>
      </c>
    </row>
    <row r="6709" spans="1:5" x14ac:dyDescent="0.3">
      <c r="A6709" t="s">
        <v>37</v>
      </c>
      <c r="B6709" s="1">
        <v>44702</v>
      </c>
      <c r="C6709">
        <v>1</v>
      </c>
      <c r="D6709">
        <v>36.86</v>
      </c>
      <c r="E6709">
        <v>47</v>
      </c>
    </row>
    <row r="6710" spans="1:5" x14ac:dyDescent="0.3">
      <c r="A6710" t="s">
        <v>37</v>
      </c>
      <c r="B6710" s="1">
        <v>44702</v>
      </c>
      <c r="C6710">
        <v>1</v>
      </c>
      <c r="D6710">
        <v>36.86</v>
      </c>
      <c r="E6710">
        <v>47</v>
      </c>
    </row>
    <row r="6711" spans="1:5" x14ac:dyDescent="0.3">
      <c r="A6711" t="s">
        <v>57</v>
      </c>
      <c r="B6711" s="1">
        <v>44702</v>
      </c>
      <c r="C6711">
        <v>1</v>
      </c>
      <c r="D6711">
        <v>225.2</v>
      </c>
      <c r="E6711">
        <v>264</v>
      </c>
    </row>
    <row r="6712" spans="1:5" x14ac:dyDescent="0.3">
      <c r="A6712" t="s">
        <v>55</v>
      </c>
      <c r="B6712" s="1">
        <v>44702</v>
      </c>
      <c r="C6712">
        <v>1</v>
      </c>
      <c r="D6712">
        <v>87.88</v>
      </c>
      <c r="E6712">
        <v>99.75</v>
      </c>
    </row>
    <row r="6713" spans="1:5" x14ac:dyDescent="0.3">
      <c r="A6713" t="s">
        <v>25</v>
      </c>
      <c r="B6713" s="1">
        <v>44702</v>
      </c>
      <c r="C6713">
        <v>1</v>
      </c>
      <c r="D6713">
        <v>155.13</v>
      </c>
      <c r="E6713">
        <v>169.1</v>
      </c>
    </row>
    <row r="6714" spans="1:5" x14ac:dyDescent="0.3">
      <c r="A6714" t="s">
        <v>25</v>
      </c>
      <c r="B6714" s="1">
        <v>44702</v>
      </c>
      <c r="C6714">
        <v>1</v>
      </c>
      <c r="D6714">
        <v>155.13</v>
      </c>
      <c r="E6714">
        <v>169.1</v>
      </c>
    </row>
    <row r="6715" spans="1:5" x14ac:dyDescent="0.3">
      <c r="A6715" t="s">
        <v>25</v>
      </c>
      <c r="B6715" s="1">
        <v>44702</v>
      </c>
      <c r="C6715">
        <v>1</v>
      </c>
      <c r="D6715">
        <v>155.13</v>
      </c>
      <c r="E6715">
        <v>169.1</v>
      </c>
    </row>
    <row r="6716" spans="1:5" x14ac:dyDescent="0.3">
      <c r="A6716" t="s">
        <v>106</v>
      </c>
      <c r="B6716" s="1">
        <v>44702</v>
      </c>
      <c r="C6716">
        <v>1</v>
      </c>
      <c r="D6716">
        <v>41.74</v>
      </c>
      <c r="E6716">
        <v>51</v>
      </c>
    </row>
    <row r="6717" spans="1:5" x14ac:dyDescent="0.3">
      <c r="A6717" t="s">
        <v>20</v>
      </c>
      <c r="B6717" s="1">
        <v>44702</v>
      </c>
      <c r="C6717">
        <v>1</v>
      </c>
      <c r="D6717">
        <v>22.66</v>
      </c>
      <c r="E6717">
        <v>30</v>
      </c>
    </row>
    <row r="6718" spans="1:5" x14ac:dyDescent="0.3">
      <c r="A6718" t="s">
        <v>45</v>
      </c>
      <c r="B6718" s="1">
        <v>44702</v>
      </c>
      <c r="C6718">
        <v>10</v>
      </c>
      <c r="D6718">
        <v>26.71</v>
      </c>
      <c r="E6718">
        <v>46</v>
      </c>
    </row>
    <row r="6719" spans="1:5" x14ac:dyDescent="0.3">
      <c r="A6719" t="s">
        <v>40</v>
      </c>
      <c r="B6719" s="1">
        <v>44702</v>
      </c>
      <c r="C6719">
        <v>1</v>
      </c>
      <c r="D6719">
        <v>172.76</v>
      </c>
      <c r="E6719">
        <v>207</v>
      </c>
    </row>
    <row r="6720" spans="1:5" x14ac:dyDescent="0.3">
      <c r="A6720" t="s">
        <v>29</v>
      </c>
      <c r="B6720" s="1">
        <v>44702</v>
      </c>
      <c r="C6720">
        <v>1</v>
      </c>
      <c r="D6720">
        <v>480.05</v>
      </c>
      <c r="E6720">
        <v>658</v>
      </c>
    </row>
    <row r="6721" spans="1:5" x14ac:dyDescent="0.3">
      <c r="A6721" t="s">
        <v>85</v>
      </c>
      <c r="B6721" s="1">
        <v>44702</v>
      </c>
      <c r="C6721">
        <v>1</v>
      </c>
      <c r="D6721">
        <v>15.95</v>
      </c>
      <c r="E6721">
        <v>26</v>
      </c>
    </row>
    <row r="6722" spans="1:5" x14ac:dyDescent="0.3">
      <c r="A6722" t="s">
        <v>85</v>
      </c>
      <c r="B6722" s="1">
        <v>44702</v>
      </c>
      <c r="C6722">
        <v>1</v>
      </c>
      <c r="D6722">
        <v>15.95</v>
      </c>
      <c r="E6722">
        <v>26</v>
      </c>
    </row>
    <row r="6723" spans="1:5" x14ac:dyDescent="0.3">
      <c r="A6723" t="s">
        <v>85</v>
      </c>
      <c r="B6723" s="1">
        <v>44702</v>
      </c>
      <c r="C6723">
        <v>1</v>
      </c>
      <c r="D6723">
        <v>15.95</v>
      </c>
      <c r="E6723">
        <v>26</v>
      </c>
    </row>
    <row r="6724" spans="1:5" x14ac:dyDescent="0.3">
      <c r="A6724" t="s">
        <v>57</v>
      </c>
      <c r="B6724" s="1">
        <v>44702</v>
      </c>
      <c r="C6724">
        <v>1</v>
      </c>
      <c r="D6724">
        <v>225.2</v>
      </c>
      <c r="E6724">
        <v>264</v>
      </c>
    </row>
    <row r="6725" spans="1:5" x14ac:dyDescent="0.3">
      <c r="A6725" t="s">
        <v>70</v>
      </c>
      <c r="B6725" s="1">
        <v>44702</v>
      </c>
      <c r="C6725">
        <v>1</v>
      </c>
      <c r="D6725">
        <v>168.94</v>
      </c>
      <c r="E6725">
        <v>203</v>
      </c>
    </row>
    <row r="6726" spans="1:5" x14ac:dyDescent="0.3">
      <c r="A6726" t="s">
        <v>25</v>
      </c>
      <c r="B6726" s="1">
        <v>44702</v>
      </c>
      <c r="C6726">
        <v>1</v>
      </c>
      <c r="D6726">
        <v>147.18</v>
      </c>
      <c r="E6726">
        <v>177</v>
      </c>
    </row>
    <row r="6727" spans="1:5" x14ac:dyDescent="0.3">
      <c r="A6727" t="s">
        <v>47</v>
      </c>
      <c r="B6727" s="1">
        <v>44702</v>
      </c>
      <c r="C6727">
        <v>1</v>
      </c>
      <c r="D6727">
        <v>43.08</v>
      </c>
      <c r="E6727">
        <v>66</v>
      </c>
    </row>
    <row r="6728" spans="1:5" x14ac:dyDescent="0.3">
      <c r="A6728" t="s">
        <v>80</v>
      </c>
      <c r="B6728" s="1">
        <v>44702</v>
      </c>
      <c r="C6728">
        <v>1</v>
      </c>
      <c r="D6728">
        <v>22.17</v>
      </c>
      <c r="E6728">
        <v>34</v>
      </c>
    </row>
    <row r="6729" spans="1:5" x14ac:dyDescent="0.3">
      <c r="A6729" t="s">
        <v>28</v>
      </c>
      <c r="B6729" s="1">
        <v>44702</v>
      </c>
      <c r="C6729">
        <v>1</v>
      </c>
      <c r="D6729">
        <v>122.75</v>
      </c>
      <c r="E6729">
        <v>174</v>
      </c>
    </row>
    <row r="6730" spans="1:5" x14ac:dyDescent="0.3">
      <c r="A6730" t="s">
        <v>127</v>
      </c>
      <c r="B6730" s="1">
        <v>44702</v>
      </c>
      <c r="C6730">
        <v>1</v>
      </c>
      <c r="D6730">
        <v>119.8</v>
      </c>
      <c r="E6730">
        <v>165</v>
      </c>
    </row>
    <row r="6731" spans="1:5" x14ac:dyDescent="0.3">
      <c r="A6731" t="s">
        <v>24</v>
      </c>
      <c r="B6731" s="1">
        <v>44702</v>
      </c>
      <c r="C6731">
        <v>1</v>
      </c>
      <c r="D6731">
        <v>103.96</v>
      </c>
      <c r="E6731">
        <v>125</v>
      </c>
    </row>
    <row r="6732" spans="1:5" x14ac:dyDescent="0.3">
      <c r="A6732" t="s">
        <v>47</v>
      </c>
      <c r="B6732" s="1">
        <v>44702</v>
      </c>
      <c r="C6732">
        <v>1</v>
      </c>
      <c r="D6732">
        <v>42.85</v>
      </c>
      <c r="E6732">
        <v>66</v>
      </c>
    </row>
    <row r="6733" spans="1:5" x14ac:dyDescent="0.3">
      <c r="A6733" t="s">
        <v>20</v>
      </c>
      <c r="B6733" s="1">
        <v>44702</v>
      </c>
      <c r="C6733">
        <v>1</v>
      </c>
      <c r="D6733">
        <v>20.3</v>
      </c>
      <c r="E6733">
        <v>27</v>
      </c>
    </row>
    <row r="6734" spans="1:5" x14ac:dyDescent="0.3">
      <c r="A6734" t="s">
        <v>20</v>
      </c>
      <c r="B6734" s="1">
        <v>44702</v>
      </c>
      <c r="C6734">
        <v>1</v>
      </c>
      <c r="D6734">
        <v>20.3</v>
      </c>
      <c r="E6734">
        <v>27</v>
      </c>
    </row>
    <row r="6735" spans="1:5" x14ac:dyDescent="0.3">
      <c r="A6735" t="s">
        <v>85</v>
      </c>
      <c r="B6735" s="1">
        <v>44702</v>
      </c>
      <c r="C6735">
        <v>1</v>
      </c>
      <c r="D6735">
        <v>17.23</v>
      </c>
      <c r="E6735">
        <v>28</v>
      </c>
    </row>
    <row r="6736" spans="1:5" x14ac:dyDescent="0.3">
      <c r="A6736" t="s">
        <v>85</v>
      </c>
      <c r="B6736" s="1">
        <v>44702</v>
      </c>
      <c r="C6736">
        <v>1</v>
      </c>
      <c r="D6736">
        <v>17.23</v>
      </c>
      <c r="E6736">
        <v>28</v>
      </c>
    </row>
    <row r="6737" spans="1:5" x14ac:dyDescent="0.3">
      <c r="A6737" t="s">
        <v>65</v>
      </c>
      <c r="B6737" s="1">
        <v>44702</v>
      </c>
      <c r="C6737">
        <v>1</v>
      </c>
      <c r="D6737">
        <v>184.45</v>
      </c>
      <c r="E6737">
        <v>216</v>
      </c>
    </row>
    <row r="6738" spans="1:5" x14ac:dyDescent="0.3">
      <c r="A6738" t="s">
        <v>38</v>
      </c>
      <c r="B6738" s="1">
        <v>44702</v>
      </c>
      <c r="C6738">
        <v>1</v>
      </c>
      <c r="D6738">
        <v>22.31</v>
      </c>
      <c r="E6738">
        <v>35</v>
      </c>
    </row>
    <row r="6739" spans="1:5" x14ac:dyDescent="0.3">
      <c r="A6739" t="s">
        <v>38</v>
      </c>
      <c r="B6739" s="1">
        <v>44702</v>
      </c>
      <c r="C6739">
        <v>1</v>
      </c>
      <c r="D6739">
        <v>28.8</v>
      </c>
      <c r="E6739">
        <v>45</v>
      </c>
    </row>
    <row r="6740" spans="1:5" x14ac:dyDescent="0.3">
      <c r="A6740" t="s">
        <v>38</v>
      </c>
      <c r="B6740" s="1">
        <v>44702</v>
      </c>
      <c r="C6740">
        <v>1</v>
      </c>
      <c r="D6740">
        <v>28.8</v>
      </c>
      <c r="E6740">
        <v>45</v>
      </c>
    </row>
    <row r="6741" spans="1:5" x14ac:dyDescent="0.3">
      <c r="A6741" t="s">
        <v>38</v>
      </c>
      <c r="B6741" s="1">
        <v>44702</v>
      </c>
      <c r="C6741">
        <v>1</v>
      </c>
      <c r="D6741">
        <v>28.8</v>
      </c>
      <c r="E6741">
        <v>45</v>
      </c>
    </row>
    <row r="6742" spans="1:5" x14ac:dyDescent="0.3">
      <c r="A6742" t="s">
        <v>38</v>
      </c>
      <c r="B6742" s="1">
        <v>44702</v>
      </c>
      <c r="C6742">
        <v>1</v>
      </c>
      <c r="D6742">
        <v>28.8</v>
      </c>
      <c r="E6742">
        <v>45</v>
      </c>
    </row>
    <row r="6743" spans="1:5" x14ac:dyDescent="0.3">
      <c r="A6743" t="s">
        <v>38</v>
      </c>
      <c r="B6743" s="1">
        <v>44702</v>
      </c>
      <c r="C6743">
        <v>1</v>
      </c>
      <c r="D6743">
        <v>28.8</v>
      </c>
      <c r="E6743">
        <v>45</v>
      </c>
    </row>
    <row r="6744" spans="1:5" x14ac:dyDescent="0.3">
      <c r="A6744" t="s">
        <v>37</v>
      </c>
      <c r="B6744" s="1">
        <v>44702</v>
      </c>
      <c r="C6744">
        <v>1</v>
      </c>
      <c r="D6744">
        <v>36.86</v>
      </c>
      <c r="E6744">
        <v>47</v>
      </c>
    </row>
    <row r="6745" spans="1:5" x14ac:dyDescent="0.3">
      <c r="A6745" t="s">
        <v>37</v>
      </c>
      <c r="B6745" s="1">
        <v>44702</v>
      </c>
      <c r="C6745">
        <v>1</v>
      </c>
      <c r="D6745">
        <v>36.86</v>
      </c>
      <c r="E6745">
        <v>47</v>
      </c>
    </row>
    <row r="6746" spans="1:5" x14ac:dyDescent="0.3">
      <c r="A6746" t="s">
        <v>37</v>
      </c>
      <c r="B6746" s="1">
        <v>44702</v>
      </c>
      <c r="C6746">
        <v>1</v>
      </c>
      <c r="D6746">
        <v>36.86</v>
      </c>
      <c r="E6746">
        <v>47</v>
      </c>
    </row>
    <row r="6747" spans="1:5" x14ac:dyDescent="0.3">
      <c r="A6747" t="s">
        <v>37</v>
      </c>
      <c r="B6747" s="1">
        <v>44702</v>
      </c>
      <c r="C6747">
        <v>1</v>
      </c>
      <c r="D6747">
        <v>36.86</v>
      </c>
      <c r="E6747">
        <v>47</v>
      </c>
    </row>
    <row r="6748" spans="1:5" x14ac:dyDescent="0.3">
      <c r="A6748" t="s">
        <v>37</v>
      </c>
      <c r="B6748" s="1">
        <v>44702</v>
      </c>
      <c r="C6748">
        <v>1</v>
      </c>
      <c r="D6748">
        <v>36.86</v>
      </c>
      <c r="E6748">
        <v>47</v>
      </c>
    </row>
    <row r="6749" spans="1:5" x14ac:dyDescent="0.3">
      <c r="A6749" t="s">
        <v>37</v>
      </c>
      <c r="B6749" s="1">
        <v>44702</v>
      </c>
      <c r="C6749">
        <v>1</v>
      </c>
      <c r="D6749">
        <v>36.86</v>
      </c>
      <c r="E6749">
        <v>47</v>
      </c>
    </row>
    <row r="6750" spans="1:5" x14ac:dyDescent="0.3">
      <c r="A6750" t="s">
        <v>59</v>
      </c>
      <c r="B6750" s="1">
        <v>44702</v>
      </c>
      <c r="C6750">
        <v>3</v>
      </c>
      <c r="D6750">
        <v>13.11</v>
      </c>
      <c r="E6750">
        <v>21</v>
      </c>
    </row>
    <row r="6751" spans="1:5" x14ac:dyDescent="0.3">
      <c r="A6751" t="s">
        <v>62</v>
      </c>
      <c r="B6751" s="1">
        <v>44702</v>
      </c>
      <c r="C6751">
        <v>1</v>
      </c>
      <c r="D6751">
        <v>24.97</v>
      </c>
      <c r="E6751">
        <v>30</v>
      </c>
    </row>
    <row r="6752" spans="1:5" x14ac:dyDescent="0.3">
      <c r="A6752" t="s">
        <v>81</v>
      </c>
      <c r="B6752" s="1">
        <v>44702</v>
      </c>
      <c r="C6752">
        <v>1</v>
      </c>
      <c r="D6752">
        <v>42.48</v>
      </c>
      <c r="E6752">
        <v>52</v>
      </c>
    </row>
    <row r="6753" spans="1:5" x14ac:dyDescent="0.3">
      <c r="A6753" t="s">
        <v>92</v>
      </c>
      <c r="B6753" s="1">
        <v>44702</v>
      </c>
      <c r="C6753">
        <v>2</v>
      </c>
      <c r="D6753">
        <v>6.2</v>
      </c>
      <c r="E6753">
        <v>9</v>
      </c>
    </row>
    <row r="6754" spans="1:5" x14ac:dyDescent="0.3">
      <c r="A6754" t="s">
        <v>19</v>
      </c>
      <c r="B6754" s="1">
        <v>44702</v>
      </c>
      <c r="C6754">
        <v>1</v>
      </c>
      <c r="D6754">
        <v>80.760000000000005</v>
      </c>
      <c r="E6754">
        <v>101</v>
      </c>
    </row>
    <row r="6755" spans="1:5" x14ac:dyDescent="0.3">
      <c r="A6755" t="s">
        <v>135</v>
      </c>
      <c r="B6755" s="1">
        <v>44702</v>
      </c>
      <c r="C6755">
        <v>1</v>
      </c>
      <c r="D6755">
        <v>79.53</v>
      </c>
      <c r="E6755">
        <v>95</v>
      </c>
    </row>
    <row r="6756" spans="1:5" x14ac:dyDescent="0.3">
      <c r="A6756" t="s">
        <v>135</v>
      </c>
      <c r="B6756" s="1">
        <v>44702</v>
      </c>
      <c r="C6756">
        <v>1</v>
      </c>
      <c r="D6756">
        <v>79.53</v>
      </c>
      <c r="E6756">
        <v>95</v>
      </c>
    </row>
    <row r="6757" spans="1:5" x14ac:dyDescent="0.3">
      <c r="A6757" t="s">
        <v>135</v>
      </c>
      <c r="B6757" s="1">
        <v>44702</v>
      </c>
      <c r="C6757">
        <v>1</v>
      </c>
      <c r="D6757">
        <v>79.53</v>
      </c>
      <c r="E6757">
        <v>95</v>
      </c>
    </row>
    <row r="6758" spans="1:5" x14ac:dyDescent="0.3">
      <c r="A6758" t="s">
        <v>135</v>
      </c>
      <c r="B6758" s="1">
        <v>44702</v>
      </c>
      <c r="C6758">
        <v>1</v>
      </c>
      <c r="D6758">
        <v>71.209999999999994</v>
      </c>
      <c r="E6758">
        <v>89</v>
      </c>
    </row>
    <row r="6759" spans="1:5" x14ac:dyDescent="0.3">
      <c r="A6759" t="s">
        <v>135</v>
      </c>
      <c r="B6759" s="1">
        <v>44702</v>
      </c>
      <c r="C6759">
        <v>1</v>
      </c>
      <c r="D6759">
        <v>71.209999999999994</v>
      </c>
      <c r="E6759">
        <v>89</v>
      </c>
    </row>
    <row r="6760" spans="1:5" x14ac:dyDescent="0.3">
      <c r="A6760" t="s">
        <v>55</v>
      </c>
      <c r="B6760" s="1">
        <v>44702</v>
      </c>
      <c r="C6760">
        <v>1</v>
      </c>
      <c r="D6760">
        <v>77.63</v>
      </c>
      <c r="E6760">
        <v>95</v>
      </c>
    </row>
    <row r="6761" spans="1:5" x14ac:dyDescent="0.3">
      <c r="A6761" t="s">
        <v>136</v>
      </c>
      <c r="B6761" s="1">
        <v>44702</v>
      </c>
      <c r="C6761">
        <v>1</v>
      </c>
      <c r="D6761">
        <v>313.95</v>
      </c>
      <c r="E6761">
        <v>424</v>
      </c>
    </row>
    <row r="6762" spans="1:5" x14ac:dyDescent="0.3">
      <c r="A6762" t="s">
        <v>24</v>
      </c>
      <c r="B6762" s="1">
        <v>44702</v>
      </c>
      <c r="C6762">
        <v>1</v>
      </c>
      <c r="D6762">
        <v>107.3</v>
      </c>
      <c r="E6762">
        <v>126</v>
      </c>
    </row>
    <row r="6763" spans="1:5" x14ac:dyDescent="0.3">
      <c r="A6763" t="s">
        <v>23</v>
      </c>
      <c r="B6763" s="1">
        <v>44702</v>
      </c>
      <c r="C6763">
        <v>1</v>
      </c>
      <c r="D6763">
        <v>109.41</v>
      </c>
      <c r="E6763">
        <v>123</v>
      </c>
    </row>
    <row r="6764" spans="1:5" x14ac:dyDescent="0.3">
      <c r="A6764" t="s">
        <v>23</v>
      </c>
      <c r="B6764" s="1">
        <v>44702</v>
      </c>
      <c r="C6764">
        <v>1</v>
      </c>
      <c r="D6764">
        <v>109.41</v>
      </c>
      <c r="E6764">
        <v>123</v>
      </c>
    </row>
    <row r="6765" spans="1:5" x14ac:dyDescent="0.3">
      <c r="A6765" t="s">
        <v>23</v>
      </c>
      <c r="B6765" s="1">
        <v>44702</v>
      </c>
      <c r="C6765">
        <v>1</v>
      </c>
      <c r="D6765">
        <v>109.41</v>
      </c>
      <c r="E6765">
        <v>123</v>
      </c>
    </row>
    <row r="6766" spans="1:5" x14ac:dyDescent="0.3">
      <c r="A6766" t="s">
        <v>23</v>
      </c>
      <c r="B6766" s="1">
        <v>44702</v>
      </c>
      <c r="C6766">
        <v>1</v>
      </c>
      <c r="D6766">
        <v>109.41</v>
      </c>
      <c r="E6766">
        <v>123</v>
      </c>
    </row>
    <row r="6767" spans="1:5" x14ac:dyDescent="0.3">
      <c r="A6767" t="s">
        <v>80</v>
      </c>
      <c r="B6767" s="1">
        <v>44702</v>
      </c>
      <c r="C6767">
        <v>1</v>
      </c>
      <c r="D6767">
        <v>22.17</v>
      </c>
      <c r="E6767">
        <v>34</v>
      </c>
    </row>
    <row r="6768" spans="1:5" x14ac:dyDescent="0.3">
      <c r="A6768" t="s">
        <v>80</v>
      </c>
      <c r="B6768" s="1">
        <v>44702</v>
      </c>
      <c r="C6768">
        <v>1</v>
      </c>
      <c r="D6768">
        <v>22.17</v>
      </c>
      <c r="E6768">
        <v>34</v>
      </c>
    </row>
    <row r="6769" spans="1:5" x14ac:dyDescent="0.3">
      <c r="A6769" t="s">
        <v>80</v>
      </c>
      <c r="B6769" s="1">
        <v>44702</v>
      </c>
      <c r="C6769">
        <v>1</v>
      </c>
      <c r="D6769">
        <v>22.17</v>
      </c>
      <c r="E6769">
        <v>34</v>
      </c>
    </row>
    <row r="6770" spans="1:5" x14ac:dyDescent="0.3">
      <c r="A6770" t="s">
        <v>80</v>
      </c>
      <c r="B6770" s="1">
        <v>44702</v>
      </c>
      <c r="C6770">
        <v>1</v>
      </c>
      <c r="D6770">
        <v>22.17</v>
      </c>
      <c r="E6770">
        <v>34</v>
      </c>
    </row>
    <row r="6771" spans="1:5" x14ac:dyDescent="0.3">
      <c r="A6771" t="s">
        <v>119</v>
      </c>
      <c r="B6771" s="1">
        <v>44702</v>
      </c>
      <c r="C6771">
        <v>3.5714299999999997E-2</v>
      </c>
      <c r="D6771">
        <v>628.24</v>
      </c>
      <c r="E6771">
        <v>694</v>
      </c>
    </row>
    <row r="6772" spans="1:5" x14ac:dyDescent="0.3">
      <c r="A6772" t="s">
        <v>51</v>
      </c>
      <c r="B6772" s="1">
        <v>44702</v>
      </c>
      <c r="C6772">
        <v>20</v>
      </c>
      <c r="D6772">
        <v>2.1800000000000002</v>
      </c>
      <c r="E6772">
        <v>4</v>
      </c>
    </row>
    <row r="6773" spans="1:5" x14ac:dyDescent="0.3">
      <c r="A6773" t="s">
        <v>59</v>
      </c>
      <c r="B6773" s="1">
        <v>44702</v>
      </c>
      <c r="C6773">
        <v>4</v>
      </c>
      <c r="D6773">
        <v>14.14</v>
      </c>
      <c r="E6773">
        <v>23</v>
      </c>
    </row>
    <row r="6774" spans="1:5" x14ac:dyDescent="0.3">
      <c r="A6774" t="s">
        <v>96</v>
      </c>
      <c r="B6774" s="1">
        <v>44702</v>
      </c>
      <c r="C6774">
        <v>1</v>
      </c>
      <c r="D6774">
        <v>72.84</v>
      </c>
      <c r="E6774">
        <v>104</v>
      </c>
    </row>
    <row r="6775" spans="1:5" x14ac:dyDescent="0.3">
      <c r="A6775" t="s">
        <v>93</v>
      </c>
      <c r="B6775" s="1">
        <v>44702</v>
      </c>
      <c r="C6775">
        <v>1</v>
      </c>
      <c r="D6775">
        <v>68.599999999999994</v>
      </c>
      <c r="E6775">
        <v>98</v>
      </c>
    </row>
    <row r="6776" spans="1:5" x14ac:dyDescent="0.3">
      <c r="A6776" t="s">
        <v>100</v>
      </c>
      <c r="B6776" s="1">
        <v>44702</v>
      </c>
      <c r="C6776">
        <v>1</v>
      </c>
      <c r="D6776">
        <v>35.99</v>
      </c>
      <c r="E6776">
        <v>55</v>
      </c>
    </row>
    <row r="6777" spans="1:5" x14ac:dyDescent="0.3">
      <c r="A6777" t="s">
        <v>139</v>
      </c>
      <c r="B6777" s="1">
        <v>44702</v>
      </c>
      <c r="C6777">
        <v>2</v>
      </c>
      <c r="D6777">
        <v>24.18</v>
      </c>
      <c r="E6777">
        <v>40</v>
      </c>
    </row>
    <row r="6778" spans="1:5" x14ac:dyDescent="0.3">
      <c r="A6778" t="s">
        <v>86</v>
      </c>
      <c r="B6778" s="1">
        <v>44702</v>
      </c>
      <c r="C6778">
        <v>1</v>
      </c>
      <c r="D6778">
        <v>47.4</v>
      </c>
      <c r="E6778">
        <v>77</v>
      </c>
    </row>
    <row r="6779" spans="1:5" x14ac:dyDescent="0.3">
      <c r="A6779" t="s">
        <v>86</v>
      </c>
      <c r="B6779" s="1">
        <v>44702</v>
      </c>
      <c r="C6779">
        <v>1</v>
      </c>
      <c r="D6779">
        <v>47.4</v>
      </c>
      <c r="E6779">
        <v>77</v>
      </c>
    </row>
    <row r="6780" spans="1:5" x14ac:dyDescent="0.3">
      <c r="A6780" t="s">
        <v>153</v>
      </c>
      <c r="B6780" s="1">
        <v>44702</v>
      </c>
      <c r="C6780">
        <v>1</v>
      </c>
      <c r="D6780">
        <v>10.34</v>
      </c>
      <c r="E6780">
        <v>12</v>
      </c>
    </row>
    <row r="6781" spans="1:5" x14ac:dyDescent="0.3">
      <c r="A6781" t="s">
        <v>153</v>
      </c>
      <c r="B6781" s="1">
        <v>44702</v>
      </c>
      <c r="C6781">
        <v>1</v>
      </c>
      <c r="D6781">
        <v>10.34</v>
      </c>
      <c r="E6781">
        <v>12</v>
      </c>
    </row>
    <row r="6782" spans="1:5" x14ac:dyDescent="0.3">
      <c r="A6782" t="s">
        <v>66</v>
      </c>
      <c r="B6782" s="1">
        <v>44702</v>
      </c>
      <c r="C6782">
        <v>1</v>
      </c>
      <c r="D6782">
        <v>30.35</v>
      </c>
      <c r="E6782">
        <v>35</v>
      </c>
    </row>
    <row r="6783" spans="1:5" x14ac:dyDescent="0.3">
      <c r="A6783" t="s">
        <v>66</v>
      </c>
      <c r="B6783" s="1">
        <v>44702</v>
      </c>
      <c r="C6783">
        <v>1</v>
      </c>
      <c r="D6783">
        <v>30.35</v>
      </c>
      <c r="E6783">
        <v>35</v>
      </c>
    </row>
    <row r="6784" spans="1:5" x14ac:dyDescent="0.3">
      <c r="A6784" t="s">
        <v>66</v>
      </c>
      <c r="B6784" s="1">
        <v>44702</v>
      </c>
      <c r="C6784">
        <v>1</v>
      </c>
      <c r="D6784">
        <v>30.35</v>
      </c>
      <c r="E6784">
        <v>35</v>
      </c>
    </row>
    <row r="6785" spans="1:5" x14ac:dyDescent="0.3">
      <c r="A6785" t="s">
        <v>96</v>
      </c>
      <c r="B6785" s="1">
        <v>44702</v>
      </c>
      <c r="C6785">
        <v>1</v>
      </c>
      <c r="D6785">
        <v>70.930000000000007</v>
      </c>
      <c r="E6785">
        <v>101</v>
      </c>
    </row>
    <row r="6786" spans="1:5" x14ac:dyDescent="0.3">
      <c r="A6786" t="s">
        <v>96</v>
      </c>
      <c r="B6786" s="1">
        <v>44702</v>
      </c>
      <c r="C6786">
        <v>1</v>
      </c>
      <c r="D6786">
        <v>70.930000000000007</v>
      </c>
      <c r="E6786">
        <v>101</v>
      </c>
    </row>
    <row r="6787" spans="1:5" x14ac:dyDescent="0.3">
      <c r="A6787" t="s">
        <v>20</v>
      </c>
      <c r="B6787" s="1">
        <v>44702</v>
      </c>
      <c r="C6787">
        <v>1</v>
      </c>
      <c r="D6787">
        <v>19.66</v>
      </c>
      <c r="E6787">
        <v>25</v>
      </c>
    </row>
    <row r="6788" spans="1:5" x14ac:dyDescent="0.3">
      <c r="A6788" t="s">
        <v>20</v>
      </c>
      <c r="B6788" s="1">
        <v>44702</v>
      </c>
      <c r="C6788">
        <v>1</v>
      </c>
      <c r="D6788">
        <v>19.66</v>
      </c>
      <c r="E6788">
        <v>25</v>
      </c>
    </row>
    <row r="6789" spans="1:5" x14ac:dyDescent="0.3">
      <c r="A6789" t="s">
        <v>115</v>
      </c>
      <c r="B6789" s="1">
        <v>44702</v>
      </c>
      <c r="C6789">
        <v>1</v>
      </c>
      <c r="D6789">
        <v>71.900000000000006</v>
      </c>
      <c r="E6789">
        <v>89</v>
      </c>
    </row>
    <row r="6790" spans="1:5" x14ac:dyDescent="0.3">
      <c r="A6790" t="s">
        <v>82</v>
      </c>
      <c r="B6790" s="1">
        <v>44702</v>
      </c>
      <c r="C6790">
        <v>1</v>
      </c>
      <c r="D6790">
        <v>38.07</v>
      </c>
      <c r="E6790">
        <v>48</v>
      </c>
    </row>
    <row r="6791" spans="1:5" x14ac:dyDescent="0.3">
      <c r="A6791" t="s">
        <v>20</v>
      </c>
      <c r="B6791" s="1">
        <v>44702</v>
      </c>
      <c r="C6791">
        <v>1</v>
      </c>
      <c r="D6791">
        <v>19.71</v>
      </c>
      <c r="E6791">
        <v>25</v>
      </c>
    </row>
    <row r="6792" spans="1:5" x14ac:dyDescent="0.3">
      <c r="A6792" t="s">
        <v>26</v>
      </c>
      <c r="B6792" s="1">
        <v>44702</v>
      </c>
      <c r="C6792">
        <v>0.1</v>
      </c>
      <c r="D6792">
        <v>989.67</v>
      </c>
      <c r="E6792">
        <v>1356</v>
      </c>
    </row>
    <row r="6793" spans="1:5" x14ac:dyDescent="0.3">
      <c r="A6793" t="s">
        <v>36</v>
      </c>
      <c r="B6793" s="1">
        <v>44702</v>
      </c>
      <c r="C6793">
        <v>1</v>
      </c>
      <c r="D6793">
        <v>22.03</v>
      </c>
      <c r="E6793">
        <v>28</v>
      </c>
    </row>
    <row r="6794" spans="1:5" x14ac:dyDescent="0.3">
      <c r="A6794" t="s">
        <v>143</v>
      </c>
      <c r="B6794" s="1">
        <v>44702</v>
      </c>
      <c r="C6794">
        <v>1</v>
      </c>
      <c r="D6794">
        <v>42.19</v>
      </c>
      <c r="E6794">
        <v>65</v>
      </c>
    </row>
    <row r="6795" spans="1:5" x14ac:dyDescent="0.3">
      <c r="A6795" t="s">
        <v>136</v>
      </c>
      <c r="B6795" s="1">
        <v>44702</v>
      </c>
      <c r="C6795">
        <v>1</v>
      </c>
      <c r="D6795">
        <v>285.86</v>
      </c>
      <c r="E6795">
        <v>392</v>
      </c>
    </row>
    <row r="6796" spans="1:5" x14ac:dyDescent="0.3">
      <c r="A6796" t="s">
        <v>120</v>
      </c>
      <c r="B6796" s="1">
        <v>44702</v>
      </c>
      <c r="C6796">
        <v>1</v>
      </c>
      <c r="D6796">
        <v>132.07</v>
      </c>
      <c r="E6796">
        <v>181</v>
      </c>
    </row>
    <row r="6797" spans="1:5" x14ac:dyDescent="0.3">
      <c r="A6797" t="s">
        <v>120</v>
      </c>
      <c r="B6797" s="1">
        <v>44702</v>
      </c>
      <c r="C6797">
        <v>1</v>
      </c>
      <c r="D6797">
        <v>132.07</v>
      </c>
      <c r="E6797">
        <v>181</v>
      </c>
    </row>
    <row r="6798" spans="1:5" x14ac:dyDescent="0.3">
      <c r="A6798" t="s">
        <v>18</v>
      </c>
      <c r="B6798" s="1">
        <v>44702</v>
      </c>
      <c r="C6798">
        <v>1</v>
      </c>
      <c r="D6798">
        <v>44</v>
      </c>
      <c r="E6798">
        <v>70</v>
      </c>
    </row>
    <row r="6799" spans="1:5" x14ac:dyDescent="0.3">
      <c r="A6799" t="s">
        <v>23</v>
      </c>
      <c r="B6799" s="1">
        <v>44702</v>
      </c>
      <c r="C6799">
        <v>1</v>
      </c>
      <c r="D6799">
        <v>110.07</v>
      </c>
      <c r="E6799">
        <v>124</v>
      </c>
    </row>
    <row r="6800" spans="1:5" x14ac:dyDescent="0.3">
      <c r="A6800" t="s">
        <v>50</v>
      </c>
      <c r="B6800" s="1">
        <v>44702</v>
      </c>
      <c r="C6800">
        <v>1</v>
      </c>
      <c r="D6800">
        <v>44.71</v>
      </c>
      <c r="E6800">
        <v>55</v>
      </c>
    </row>
    <row r="6801" spans="1:5" x14ac:dyDescent="0.3">
      <c r="A6801" t="s">
        <v>148</v>
      </c>
      <c r="B6801" s="1">
        <v>44702</v>
      </c>
      <c r="C6801">
        <v>1</v>
      </c>
      <c r="D6801">
        <v>37.75</v>
      </c>
      <c r="E6801">
        <v>58</v>
      </c>
    </row>
    <row r="6802" spans="1:5" x14ac:dyDescent="0.3">
      <c r="A6802" t="s">
        <v>26</v>
      </c>
      <c r="B6802" s="1">
        <v>44702</v>
      </c>
      <c r="C6802">
        <v>0.1</v>
      </c>
      <c r="D6802">
        <v>987.84</v>
      </c>
      <c r="E6802">
        <v>1304</v>
      </c>
    </row>
    <row r="6803" spans="1:5" x14ac:dyDescent="0.3">
      <c r="A6803" t="s">
        <v>122</v>
      </c>
      <c r="B6803" s="1">
        <v>44702</v>
      </c>
      <c r="C6803">
        <v>1</v>
      </c>
      <c r="D6803">
        <v>20.78</v>
      </c>
      <c r="E6803">
        <v>26</v>
      </c>
    </row>
    <row r="6804" spans="1:5" x14ac:dyDescent="0.3">
      <c r="A6804" t="s">
        <v>45</v>
      </c>
      <c r="B6804" s="1">
        <v>44702</v>
      </c>
      <c r="C6804">
        <v>1</v>
      </c>
      <c r="D6804">
        <v>27.54</v>
      </c>
      <c r="E6804">
        <v>45</v>
      </c>
    </row>
    <row r="6805" spans="1:5" x14ac:dyDescent="0.3">
      <c r="A6805" t="s">
        <v>65</v>
      </c>
      <c r="B6805" s="1">
        <v>44702</v>
      </c>
      <c r="C6805">
        <v>1</v>
      </c>
      <c r="D6805">
        <v>184.07</v>
      </c>
      <c r="E6805">
        <v>216</v>
      </c>
    </row>
    <row r="6806" spans="1:5" x14ac:dyDescent="0.3">
      <c r="A6806" t="s">
        <v>48</v>
      </c>
      <c r="B6806" s="1">
        <v>44702</v>
      </c>
      <c r="C6806">
        <v>1</v>
      </c>
      <c r="D6806">
        <v>38.82</v>
      </c>
      <c r="E6806">
        <v>61</v>
      </c>
    </row>
    <row r="6807" spans="1:5" x14ac:dyDescent="0.3">
      <c r="A6807" t="s">
        <v>20</v>
      </c>
      <c r="B6807" s="1">
        <v>44702</v>
      </c>
      <c r="C6807">
        <v>1</v>
      </c>
      <c r="D6807">
        <v>19.66</v>
      </c>
      <c r="E6807">
        <v>25</v>
      </c>
    </row>
    <row r="6808" spans="1:5" x14ac:dyDescent="0.3">
      <c r="A6808" t="s">
        <v>50</v>
      </c>
      <c r="B6808" s="1">
        <v>44702</v>
      </c>
      <c r="C6808">
        <v>1</v>
      </c>
      <c r="D6808">
        <v>43.86</v>
      </c>
      <c r="E6808">
        <v>55</v>
      </c>
    </row>
    <row r="6809" spans="1:5" x14ac:dyDescent="0.3">
      <c r="A6809" t="s">
        <v>64</v>
      </c>
      <c r="B6809" s="1">
        <v>44702</v>
      </c>
      <c r="C6809">
        <v>1</v>
      </c>
      <c r="D6809">
        <v>201</v>
      </c>
      <c r="E6809">
        <v>266</v>
      </c>
    </row>
    <row r="6810" spans="1:5" x14ac:dyDescent="0.3">
      <c r="A6810" t="s">
        <v>55</v>
      </c>
      <c r="B6810" s="1">
        <v>44702</v>
      </c>
      <c r="C6810">
        <v>1</v>
      </c>
      <c r="D6810">
        <v>77.67</v>
      </c>
      <c r="E6810">
        <v>95</v>
      </c>
    </row>
    <row r="6811" spans="1:5" x14ac:dyDescent="0.3">
      <c r="A6811" t="s">
        <v>112</v>
      </c>
      <c r="B6811" s="1">
        <v>44702</v>
      </c>
      <c r="C6811">
        <v>1</v>
      </c>
      <c r="D6811">
        <v>291.3</v>
      </c>
      <c r="E6811">
        <v>345</v>
      </c>
    </row>
    <row r="6812" spans="1:5" x14ac:dyDescent="0.3">
      <c r="A6812" t="s">
        <v>5</v>
      </c>
      <c r="B6812" s="1">
        <v>44702</v>
      </c>
      <c r="C6812">
        <v>1</v>
      </c>
      <c r="D6812">
        <v>146.1</v>
      </c>
      <c r="E6812">
        <v>173</v>
      </c>
    </row>
    <row r="6813" spans="1:5" x14ac:dyDescent="0.3">
      <c r="A6813" t="s">
        <v>43</v>
      </c>
      <c r="B6813" s="1">
        <v>44702</v>
      </c>
      <c r="C6813">
        <v>1</v>
      </c>
      <c r="D6813">
        <v>134.68</v>
      </c>
      <c r="E6813">
        <v>162</v>
      </c>
    </row>
    <row r="6814" spans="1:5" x14ac:dyDescent="0.3">
      <c r="A6814" t="s">
        <v>91</v>
      </c>
      <c r="B6814" s="1">
        <v>44702</v>
      </c>
      <c r="C6814">
        <v>3</v>
      </c>
      <c r="D6814">
        <v>35.340000000000003</v>
      </c>
      <c r="E6814">
        <v>58</v>
      </c>
    </row>
    <row r="6815" spans="1:5" x14ac:dyDescent="0.3">
      <c r="A6815" t="s">
        <v>27</v>
      </c>
      <c r="B6815" s="1">
        <v>44702</v>
      </c>
      <c r="C6815">
        <v>1</v>
      </c>
      <c r="D6815">
        <v>106.88</v>
      </c>
      <c r="E6815">
        <v>164</v>
      </c>
    </row>
    <row r="6816" spans="1:5" x14ac:dyDescent="0.3">
      <c r="A6816" t="s">
        <v>8</v>
      </c>
      <c r="B6816" s="1">
        <v>44702</v>
      </c>
      <c r="C6816">
        <v>1</v>
      </c>
      <c r="D6816">
        <v>47.01</v>
      </c>
      <c r="E6816">
        <v>77</v>
      </c>
    </row>
    <row r="6817" spans="1:5" x14ac:dyDescent="0.3">
      <c r="A6817" t="s">
        <v>87</v>
      </c>
      <c r="B6817" s="1">
        <v>44702</v>
      </c>
      <c r="C6817">
        <v>1</v>
      </c>
      <c r="D6817">
        <v>337.82</v>
      </c>
      <c r="E6817">
        <v>403</v>
      </c>
    </row>
    <row r="6818" spans="1:5" x14ac:dyDescent="0.3">
      <c r="A6818" t="s">
        <v>69</v>
      </c>
      <c r="B6818" s="1">
        <v>44702</v>
      </c>
      <c r="C6818">
        <v>1</v>
      </c>
      <c r="D6818">
        <v>19.989999999999998</v>
      </c>
      <c r="E6818">
        <v>24</v>
      </c>
    </row>
    <row r="6819" spans="1:5" x14ac:dyDescent="0.3">
      <c r="A6819" t="s">
        <v>125</v>
      </c>
      <c r="B6819" s="1">
        <v>44702</v>
      </c>
      <c r="C6819">
        <v>1</v>
      </c>
      <c r="D6819">
        <v>330</v>
      </c>
      <c r="E6819">
        <v>436</v>
      </c>
    </row>
    <row r="6820" spans="1:5" x14ac:dyDescent="0.3">
      <c r="A6820" t="s">
        <v>48</v>
      </c>
      <c r="B6820" s="1">
        <v>44702</v>
      </c>
      <c r="C6820">
        <v>1</v>
      </c>
      <c r="D6820">
        <v>42.76</v>
      </c>
      <c r="E6820">
        <v>65</v>
      </c>
    </row>
    <row r="6821" spans="1:5" x14ac:dyDescent="0.3">
      <c r="A6821" t="s">
        <v>15</v>
      </c>
      <c r="B6821" s="1">
        <v>44702</v>
      </c>
      <c r="C6821">
        <v>1</v>
      </c>
      <c r="D6821">
        <v>50.1</v>
      </c>
      <c r="E6821">
        <v>80</v>
      </c>
    </row>
    <row r="6822" spans="1:5" x14ac:dyDescent="0.3">
      <c r="A6822" t="s">
        <v>134</v>
      </c>
      <c r="B6822" s="1">
        <v>44702</v>
      </c>
      <c r="C6822">
        <v>1</v>
      </c>
      <c r="D6822">
        <v>26.87</v>
      </c>
      <c r="E6822">
        <v>41</v>
      </c>
    </row>
    <row r="6823" spans="1:5" x14ac:dyDescent="0.3">
      <c r="A6823" t="s">
        <v>26</v>
      </c>
      <c r="B6823" s="1">
        <v>44702</v>
      </c>
      <c r="C6823">
        <v>0.3</v>
      </c>
      <c r="D6823">
        <v>984.79</v>
      </c>
      <c r="E6823">
        <v>1350</v>
      </c>
    </row>
    <row r="6824" spans="1:5" x14ac:dyDescent="0.3">
      <c r="A6824" t="s">
        <v>65</v>
      </c>
      <c r="B6824" s="1">
        <v>44702</v>
      </c>
      <c r="C6824">
        <v>1</v>
      </c>
      <c r="D6824">
        <v>185.56</v>
      </c>
      <c r="E6824">
        <v>218</v>
      </c>
    </row>
    <row r="6825" spans="1:5" x14ac:dyDescent="0.3">
      <c r="A6825" t="s">
        <v>15</v>
      </c>
      <c r="B6825" s="1">
        <v>44702</v>
      </c>
      <c r="C6825">
        <v>1</v>
      </c>
      <c r="D6825">
        <v>55.5</v>
      </c>
      <c r="E6825">
        <v>87</v>
      </c>
    </row>
    <row r="6826" spans="1:5" x14ac:dyDescent="0.3">
      <c r="A6826" t="s">
        <v>133</v>
      </c>
      <c r="B6826" s="1">
        <v>44702</v>
      </c>
      <c r="C6826">
        <v>1</v>
      </c>
      <c r="D6826">
        <v>5.0999999999999996</v>
      </c>
      <c r="E6826">
        <v>9</v>
      </c>
    </row>
    <row r="6827" spans="1:5" x14ac:dyDescent="0.3">
      <c r="A6827" t="s">
        <v>52</v>
      </c>
      <c r="B6827" s="1">
        <v>44702</v>
      </c>
      <c r="C6827">
        <v>1</v>
      </c>
      <c r="D6827">
        <v>221.19</v>
      </c>
      <c r="E6827">
        <v>262</v>
      </c>
    </row>
    <row r="6828" spans="1:5" x14ac:dyDescent="0.3">
      <c r="A6828" t="s">
        <v>19</v>
      </c>
      <c r="B6828" s="1">
        <v>44702</v>
      </c>
      <c r="C6828">
        <v>1</v>
      </c>
      <c r="D6828">
        <v>81.95</v>
      </c>
      <c r="E6828">
        <v>104</v>
      </c>
    </row>
    <row r="6829" spans="1:5" x14ac:dyDescent="0.3">
      <c r="A6829" t="s">
        <v>19</v>
      </c>
      <c r="B6829" s="1">
        <v>44702</v>
      </c>
      <c r="C6829">
        <v>1</v>
      </c>
      <c r="D6829">
        <v>81.95</v>
      </c>
      <c r="E6829">
        <v>104</v>
      </c>
    </row>
    <row r="6830" spans="1:5" x14ac:dyDescent="0.3">
      <c r="A6830" t="s">
        <v>19</v>
      </c>
      <c r="B6830" s="1">
        <v>44702</v>
      </c>
      <c r="C6830">
        <v>1</v>
      </c>
      <c r="D6830">
        <v>81.95</v>
      </c>
      <c r="E6830">
        <v>104</v>
      </c>
    </row>
    <row r="6831" spans="1:5" x14ac:dyDescent="0.3">
      <c r="A6831" t="s">
        <v>100</v>
      </c>
      <c r="B6831" s="1">
        <v>44702</v>
      </c>
      <c r="C6831">
        <v>1</v>
      </c>
      <c r="D6831">
        <v>35.82</v>
      </c>
      <c r="E6831">
        <v>57</v>
      </c>
    </row>
    <row r="6832" spans="1:5" x14ac:dyDescent="0.3">
      <c r="A6832" t="s">
        <v>48</v>
      </c>
      <c r="B6832" s="1">
        <v>44702</v>
      </c>
      <c r="C6832">
        <v>1</v>
      </c>
      <c r="D6832">
        <v>41.24</v>
      </c>
      <c r="E6832">
        <v>65</v>
      </c>
    </row>
    <row r="6833" spans="1:5" x14ac:dyDescent="0.3">
      <c r="A6833" t="s">
        <v>45</v>
      </c>
      <c r="B6833" s="1">
        <v>44702</v>
      </c>
      <c r="C6833">
        <v>1</v>
      </c>
      <c r="D6833">
        <v>27.21</v>
      </c>
      <c r="E6833">
        <v>44</v>
      </c>
    </row>
    <row r="6834" spans="1:5" x14ac:dyDescent="0.3">
      <c r="A6834" t="s">
        <v>132</v>
      </c>
      <c r="B6834" s="1">
        <v>44702</v>
      </c>
      <c r="C6834">
        <v>1</v>
      </c>
      <c r="D6834">
        <v>58.53</v>
      </c>
      <c r="E6834">
        <v>87</v>
      </c>
    </row>
    <row r="6835" spans="1:5" x14ac:dyDescent="0.3">
      <c r="A6835" t="s">
        <v>18</v>
      </c>
      <c r="B6835" s="1">
        <v>44702</v>
      </c>
      <c r="C6835">
        <v>1</v>
      </c>
      <c r="D6835">
        <v>46</v>
      </c>
      <c r="E6835">
        <v>70</v>
      </c>
    </row>
    <row r="6836" spans="1:5" x14ac:dyDescent="0.3">
      <c r="A6836" t="s">
        <v>13</v>
      </c>
      <c r="B6836" s="1">
        <v>44702</v>
      </c>
      <c r="C6836">
        <v>1</v>
      </c>
      <c r="D6836">
        <v>120.36</v>
      </c>
      <c r="E6836">
        <v>145</v>
      </c>
    </row>
    <row r="6837" spans="1:5" x14ac:dyDescent="0.3">
      <c r="A6837" t="s">
        <v>13</v>
      </c>
      <c r="B6837" s="1">
        <v>44702</v>
      </c>
      <c r="C6837">
        <v>1</v>
      </c>
      <c r="D6837">
        <v>120.36</v>
      </c>
      <c r="E6837">
        <v>145</v>
      </c>
    </row>
    <row r="6838" spans="1:5" x14ac:dyDescent="0.3">
      <c r="A6838" t="s">
        <v>34</v>
      </c>
      <c r="B6838" s="1">
        <v>44702</v>
      </c>
      <c r="C6838">
        <v>1</v>
      </c>
      <c r="D6838">
        <v>201.97</v>
      </c>
      <c r="E6838">
        <v>233</v>
      </c>
    </row>
    <row r="6839" spans="1:5" x14ac:dyDescent="0.3">
      <c r="A6839" t="s">
        <v>21</v>
      </c>
      <c r="B6839" s="1">
        <v>44702</v>
      </c>
      <c r="C6839">
        <v>1</v>
      </c>
      <c r="D6839">
        <v>182.55</v>
      </c>
      <c r="E6839">
        <v>251</v>
      </c>
    </row>
    <row r="6840" spans="1:5" x14ac:dyDescent="0.3">
      <c r="A6840" t="s">
        <v>85</v>
      </c>
      <c r="B6840" s="1">
        <v>44702</v>
      </c>
      <c r="C6840">
        <v>1</v>
      </c>
      <c r="D6840">
        <v>18.010000000000002</v>
      </c>
      <c r="E6840">
        <v>28</v>
      </c>
    </row>
    <row r="6841" spans="1:5" x14ac:dyDescent="0.3">
      <c r="A6841" t="s">
        <v>18</v>
      </c>
      <c r="B6841" s="1">
        <v>44702</v>
      </c>
      <c r="C6841">
        <v>1</v>
      </c>
      <c r="D6841">
        <v>44</v>
      </c>
      <c r="E6841">
        <v>67</v>
      </c>
    </row>
    <row r="6842" spans="1:5" x14ac:dyDescent="0.3">
      <c r="A6842" t="s">
        <v>67</v>
      </c>
      <c r="B6842" s="1">
        <v>44702</v>
      </c>
      <c r="C6842">
        <v>1</v>
      </c>
      <c r="D6842">
        <v>53.95</v>
      </c>
      <c r="E6842">
        <v>77</v>
      </c>
    </row>
    <row r="6843" spans="1:5" x14ac:dyDescent="0.3">
      <c r="A6843" t="s">
        <v>67</v>
      </c>
      <c r="B6843" s="1">
        <v>44702</v>
      </c>
      <c r="C6843">
        <v>1</v>
      </c>
      <c r="D6843">
        <v>53.95</v>
      </c>
      <c r="E6843">
        <v>77</v>
      </c>
    </row>
    <row r="6844" spans="1:5" x14ac:dyDescent="0.3">
      <c r="A6844" t="s">
        <v>17</v>
      </c>
      <c r="B6844" s="1">
        <v>44702</v>
      </c>
      <c r="C6844">
        <v>1</v>
      </c>
      <c r="D6844">
        <v>398.87</v>
      </c>
      <c r="E6844">
        <v>479</v>
      </c>
    </row>
    <row r="6845" spans="1:5" x14ac:dyDescent="0.3">
      <c r="A6845" t="s">
        <v>20</v>
      </c>
      <c r="B6845" s="1">
        <v>44702</v>
      </c>
      <c r="C6845">
        <v>1</v>
      </c>
      <c r="D6845">
        <v>19.66</v>
      </c>
      <c r="E6845">
        <v>25</v>
      </c>
    </row>
    <row r="6846" spans="1:5" x14ac:dyDescent="0.3">
      <c r="A6846" t="s">
        <v>20</v>
      </c>
      <c r="B6846" s="1">
        <v>44702</v>
      </c>
      <c r="C6846">
        <v>1</v>
      </c>
      <c r="D6846">
        <v>19.66</v>
      </c>
      <c r="E6846">
        <v>25</v>
      </c>
    </row>
    <row r="6847" spans="1:5" x14ac:dyDescent="0.3">
      <c r="A6847" t="s">
        <v>57</v>
      </c>
      <c r="B6847" s="1">
        <v>44702</v>
      </c>
      <c r="C6847">
        <v>1</v>
      </c>
      <c r="D6847">
        <v>233.74</v>
      </c>
      <c r="E6847">
        <v>274</v>
      </c>
    </row>
    <row r="6848" spans="1:5" x14ac:dyDescent="0.3">
      <c r="A6848" t="s">
        <v>85</v>
      </c>
      <c r="B6848" s="1">
        <v>44702</v>
      </c>
      <c r="C6848">
        <v>1</v>
      </c>
      <c r="D6848">
        <v>15.51</v>
      </c>
      <c r="E6848">
        <v>25</v>
      </c>
    </row>
    <row r="6849" spans="1:5" x14ac:dyDescent="0.3">
      <c r="A6849" t="s">
        <v>85</v>
      </c>
      <c r="B6849" s="1">
        <v>44702</v>
      </c>
      <c r="C6849">
        <v>1</v>
      </c>
      <c r="D6849">
        <v>15.51</v>
      </c>
      <c r="E6849">
        <v>25</v>
      </c>
    </row>
    <row r="6850" spans="1:5" x14ac:dyDescent="0.3">
      <c r="A6850" t="s">
        <v>6</v>
      </c>
      <c r="B6850" s="1">
        <v>44702</v>
      </c>
      <c r="C6850">
        <v>0.2</v>
      </c>
      <c r="D6850">
        <v>421.52</v>
      </c>
      <c r="E6850">
        <v>527</v>
      </c>
    </row>
    <row r="6851" spans="1:5" x14ac:dyDescent="0.3">
      <c r="A6851" t="s">
        <v>85</v>
      </c>
      <c r="B6851" s="1">
        <v>44702</v>
      </c>
      <c r="C6851">
        <v>1</v>
      </c>
      <c r="D6851">
        <v>18.010000000000002</v>
      </c>
      <c r="E6851">
        <v>28</v>
      </c>
    </row>
    <row r="6852" spans="1:5" x14ac:dyDescent="0.3">
      <c r="A6852" t="s">
        <v>85</v>
      </c>
      <c r="B6852" s="1">
        <v>44702</v>
      </c>
      <c r="C6852">
        <v>1</v>
      </c>
      <c r="D6852">
        <v>18.010000000000002</v>
      </c>
      <c r="E6852">
        <v>28</v>
      </c>
    </row>
    <row r="6853" spans="1:5" x14ac:dyDescent="0.3">
      <c r="A6853" t="s">
        <v>85</v>
      </c>
      <c r="B6853" s="1">
        <v>44702</v>
      </c>
      <c r="C6853">
        <v>1</v>
      </c>
      <c r="D6853">
        <v>18.010000000000002</v>
      </c>
      <c r="E6853">
        <v>28</v>
      </c>
    </row>
    <row r="6854" spans="1:5" x14ac:dyDescent="0.3">
      <c r="A6854" t="s">
        <v>85</v>
      </c>
      <c r="B6854" s="1">
        <v>44702</v>
      </c>
      <c r="C6854">
        <v>1</v>
      </c>
      <c r="D6854">
        <v>18.010000000000002</v>
      </c>
      <c r="E6854">
        <v>28</v>
      </c>
    </row>
    <row r="6855" spans="1:5" x14ac:dyDescent="0.3">
      <c r="A6855" t="s">
        <v>85</v>
      </c>
      <c r="B6855" s="1">
        <v>44702</v>
      </c>
      <c r="C6855">
        <v>1</v>
      </c>
      <c r="D6855">
        <v>18.010000000000002</v>
      </c>
      <c r="E6855">
        <v>28</v>
      </c>
    </row>
    <row r="6856" spans="1:5" x14ac:dyDescent="0.3">
      <c r="A6856" t="s">
        <v>41</v>
      </c>
      <c r="B6856" s="1">
        <v>44702</v>
      </c>
      <c r="C6856">
        <v>1</v>
      </c>
      <c r="D6856">
        <v>10.92</v>
      </c>
      <c r="E6856">
        <v>18</v>
      </c>
    </row>
    <row r="6857" spans="1:5" x14ac:dyDescent="0.3">
      <c r="A6857" t="s">
        <v>65</v>
      </c>
      <c r="B6857" s="1">
        <v>44702</v>
      </c>
      <c r="C6857">
        <v>1</v>
      </c>
      <c r="D6857">
        <v>184.45</v>
      </c>
      <c r="E6857">
        <v>216</v>
      </c>
    </row>
    <row r="6858" spans="1:5" x14ac:dyDescent="0.3">
      <c r="A6858" t="s">
        <v>56</v>
      </c>
      <c r="B6858" s="1">
        <v>44702</v>
      </c>
      <c r="C6858">
        <v>1</v>
      </c>
      <c r="D6858">
        <v>43.97</v>
      </c>
      <c r="E6858">
        <v>69</v>
      </c>
    </row>
    <row r="6859" spans="1:5" x14ac:dyDescent="0.3">
      <c r="A6859" t="s">
        <v>50</v>
      </c>
      <c r="B6859" s="1">
        <v>44702</v>
      </c>
      <c r="C6859">
        <v>1</v>
      </c>
      <c r="D6859">
        <v>42.99</v>
      </c>
      <c r="E6859">
        <v>54</v>
      </c>
    </row>
    <row r="6860" spans="1:5" x14ac:dyDescent="0.3">
      <c r="A6860" t="s">
        <v>31</v>
      </c>
      <c r="B6860" s="1">
        <v>44702</v>
      </c>
      <c r="C6860">
        <v>1</v>
      </c>
      <c r="D6860">
        <v>13.1</v>
      </c>
      <c r="E6860">
        <v>18</v>
      </c>
    </row>
    <row r="6861" spans="1:5" x14ac:dyDescent="0.3">
      <c r="A6861" t="s">
        <v>31</v>
      </c>
      <c r="B6861" s="1">
        <v>44702</v>
      </c>
      <c r="C6861">
        <v>1</v>
      </c>
      <c r="D6861">
        <v>13.1</v>
      </c>
      <c r="E6861">
        <v>18</v>
      </c>
    </row>
    <row r="6862" spans="1:5" x14ac:dyDescent="0.3">
      <c r="A6862" t="s">
        <v>31</v>
      </c>
      <c r="B6862" s="1">
        <v>44702</v>
      </c>
      <c r="C6862">
        <v>1</v>
      </c>
      <c r="D6862">
        <v>13.1</v>
      </c>
      <c r="E6862">
        <v>18</v>
      </c>
    </row>
    <row r="6863" spans="1:5" x14ac:dyDescent="0.3">
      <c r="A6863" t="s">
        <v>31</v>
      </c>
      <c r="B6863" s="1">
        <v>44702</v>
      </c>
      <c r="C6863">
        <v>1</v>
      </c>
      <c r="D6863">
        <v>13.1</v>
      </c>
      <c r="E6863">
        <v>18</v>
      </c>
    </row>
    <row r="6864" spans="1:5" x14ac:dyDescent="0.3">
      <c r="A6864" t="s">
        <v>31</v>
      </c>
      <c r="B6864" s="1">
        <v>44702</v>
      </c>
      <c r="C6864">
        <v>1</v>
      </c>
      <c r="D6864">
        <v>13.1</v>
      </c>
      <c r="E6864">
        <v>18</v>
      </c>
    </row>
    <row r="6865" spans="1:5" x14ac:dyDescent="0.3">
      <c r="A6865" t="s">
        <v>48</v>
      </c>
      <c r="B6865" s="1">
        <v>44702</v>
      </c>
      <c r="C6865">
        <v>1</v>
      </c>
      <c r="D6865">
        <v>38.67</v>
      </c>
      <c r="E6865">
        <v>59</v>
      </c>
    </row>
    <row r="6866" spans="1:5" x14ac:dyDescent="0.3">
      <c r="A6866" t="s">
        <v>28</v>
      </c>
      <c r="B6866" s="1">
        <v>44702</v>
      </c>
      <c r="C6866">
        <v>1</v>
      </c>
      <c r="D6866">
        <v>141.08000000000001</v>
      </c>
      <c r="E6866">
        <v>205</v>
      </c>
    </row>
    <row r="6867" spans="1:5" x14ac:dyDescent="0.3">
      <c r="A6867" t="s">
        <v>75</v>
      </c>
      <c r="B6867" s="1">
        <v>44702</v>
      </c>
      <c r="C6867">
        <v>0.14000000000000001</v>
      </c>
      <c r="D6867">
        <v>438.6</v>
      </c>
      <c r="E6867">
        <v>623</v>
      </c>
    </row>
    <row r="6868" spans="1:5" x14ac:dyDescent="0.3">
      <c r="A6868" t="s">
        <v>7</v>
      </c>
      <c r="B6868" s="1">
        <v>44702</v>
      </c>
      <c r="C6868">
        <v>1</v>
      </c>
      <c r="D6868">
        <v>87.6</v>
      </c>
      <c r="E6868">
        <v>109</v>
      </c>
    </row>
    <row r="6869" spans="1:5" x14ac:dyDescent="0.3">
      <c r="A6869" t="s">
        <v>7</v>
      </c>
      <c r="B6869" s="1">
        <v>44702</v>
      </c>
      <c r="C6869">
        <v>1</v>
      </c>
      <c r="D6869">
        <v>87.6</v>
      </c>
      <c r="E6869">
        <v>109</v>
      </c>
    </row>
    <row r="6870" spans="1:5" x14ac:dyDescent="0.3">
      <c r="A6870" t="s">
        <v>51</v>
      </c>
      <c r="B6870" s="1">
        <v>44702</v>
      </c>
      <c r="C6870">
        <v>8</v>
      </c>
      <c r="D6870">
        <v>1.98</v>
      </c>
      <c r="E6870">
        <v>4</v>
      </c>
    </row>
    <row r="6871" spans="1:5" x14ac:dyDescent="0.3">
      <c r="A6871" t="s">
        <v>51</v>
      </c>
      <c r="B6871" s="1">
        <v>44702</v>
      </c>
      <c r="C6871">
        <v>8</v>
      </c>
      <c r="D6871">
        <v>2.2999999999999998</v>
      </c>
      <c r="E6871">
        <v>4</v>
      </c>
    </row>
    <row r="6872" spans="1:5" x14ac:dyDescent="0.3">
      <c r="A6872" t="s">
        <v>100</v>
      </c>
      <c r="B6872" s="1">
        <v>44702</v>
      </c>
      <c r="C6872">
        <v>1</v>
      </c>
      <c r="D6872">
        <v>35.82</v>
      </c>
      <c r="E6872">
        <v>57</v>
      </c>
    </row>
    <row r="6873" spans="1:5" x14ac:dyDescent="0.3">
      <c r="A6873" t="s">
        <v>37</v>
      </c>
      <c r="B6873" s="1">
        <v>44702</v>
      </c>
      <c r="C6873">
        <v>1</v>
      </c>
      <c r="D6873">
        <v>36.86</v>
      </c>
      <c r="E6873">
        <v>47</v>
      </c>
    </row>
    <row r="6874" spans="1:5" x14ac:dyDescent="0.3">
      <c r="A6874" t="s">
        <v>37</v>
      </c>
      <c r="B6874" s="1">
        <v>44702</v>
      </c>
      <c r="C6874">
        <v>1</v>
      </c>
      <c r="D6874">
        <v>36.86</v>
      </c>
      <c r="E6874">
        <v>47</v>
      </c>
    </row>
    <row r="6875" spans="1:5" x14ac:dyDescent="0.3">
      <c r="A6875" t="s">
        <v>37</v>
      </c>
      <c r="B6875" s="1">
        <v>44702</v>
      </c>
      <c r="C6875">
        <v>1</v>
      </c>
      <c r="D6875">
        <v>36.86</v>
      </c>
      <c r="E6875">
        <v>47</v>
      </c>
    </row>
    <row r="6876" spans="1:5" x14ac:dyDescent="0.3">
      <c r="A6876" t="s">
        <v>20</v>
      </c>
      <c r="B6876" s="1">
        <v>44702</v>
      </c>
      <c r="C6876">
        <v>1</v>
      </c>
      <c r="D6876">
        <v>22.66</v>
      </c>
      <c r="E6876">
        <v>30</v>
      </c>
    </row>
    <row r="6877" spans="1:5" x14ac:dyDescent="0.3">
      <c r="A6877" t="s">
        <v>20</v>
      </c>
      <c r="B6877" s="1">
        <v>44702</v>
      </c>
      <c r="C6877">
        <v>1</v>
      </c>
      <c r="D6877">
        <v>22.66</v>
      </c>
      <c r="E6877">
        <v>30</v>
      </c>
    </row>
    <row r="6878" spans="1:5" x14ac:dyDescent="0.3">
      <c r="A6878" t="s">
        <v>7</v>
      </c>
      <c r="B6878" s="1">
        <v>44702</v>
      </c>
      <c r="C6878">
        <v>1</v>
      </c>
      <c r="D6878">
        <v>88.74</v>
      </c>
      <c r="E6878">
        <v>104</v>
      </c>
    </row>
    <row r="6879" spans="1:5" x14ac:dyDescent="0.3">
      <c r="A6879" t="s">
        <v>7</v>
      </c>
      <c r="B6879" s="1">
        <v>44702</v>
      </c>
      <c r="C6879">
        <v>1</v>
      </c>
      <c r="D6879">
        <v>88.68</v>
      </c>
      <c r="E6879">
        <v>104</v>
      </c>
    </row>
    <row r="6880" spans="1:5" x14ac:dyDescent="0.3">
      <c r="A6880" t="s">
        <v>149</v>
      </c>
      <c r="B6880" s="1">
        <v>44702</v>
      </c>
      <c r="C6880">
        <v>1</v>
      </c>
      <c r="D6880">
        <v>199.99</v>
      </c>
      <c r="E6880">
        <v>270</v>
      </c>
    </row>
    <row r="6881" spans="1:5" x14ac:dyDescent="0.3">
      <c r="A6881" t="s">
        <v>8</v>
      </c>
      <c r="B6881" s="1">
        <v>44702</v>
      </c>
      <c r="C6881">
        <v>1</v>
      </c>
      <c r="D6881">
        <v>47.82</v>
      </c>
      <c r="E6881">
        <v>83</v>
      </c>
    </row>
    <row r="6882" spans="1:5" x14ac:dyDescent="0.3">
      <c r="A6882" t="s">
        <v>17</v>
      </c>
      <c r="B6882" s="1">
        <v>44702</v>
      </c>
      <c r="C6882">
        <v>1</v>
      </c>
      <c r="D6882">
        <v>398.87</v>
      </c>
      <c r="E6882">
        <v>479</v>
      </c>
    </row>
    <row r="6883" spans="1:5" x14ac:dyDescent="0.3">
      <c r="A6883" t="s">
        <v>57</v>
      </c>
      <c r="B6883" s="1">
        <v>44702</v>
      </c>
      <c r="C6883">
        <v>1</v>
      </c>
      <c r="D6883">
        <v>233.76</v>
      </c>
      <c r="E6883">
        <v>274</v>
      </c>
    </row>
    <row r="6884" spans="1:5" x14ac:dyDescent="0.3">
      <c r="A6884" t="s">
        <v>152</v>
      </c>
      <c r="B6884" s="1">
        <v>44702</v>
      </c>
      <c r="C6884">
        <v>1</v>
      </c>
      <c r="D6884">
        <v>127.93</v>
      </c>
      <c r="E6884">
        <v>160</v>
      </c>
    </row>
    <row r="6885" spans="1:5" x14ac:dyDescent="0.3">
      <c r="A6885" t="s">
        <v>87</v>
      </c>
      <c r="B6885" s="1">
        <v>44702</v>
      </c>
      <c r="C6885">
        <v>1</v>
      </c>
      <c r="D6885">
        <v>323.66000000000003</v>
      </c>
      <c r="E6885">
        <v>389</v>
      </c>
    </row>
    <row r="6886" spans="1:5" x14ac:dyDescent="0.3">
      <c r="A6886" t="s">
        <v>65</v>
      </c>
      <c r="B6886" s="1">
        <v>44702</v>
      </c>
      <c r="C6886">
        <v>1</v>
      </c>
      <c r="D6886">
        <v>184.45</v>
      </c>
      <c r="E6886">
        <v>216</v>
      </c>
    </row>
    <row r="6887" spans="1:5" x14ac:dyDescent="0.3">
      <c r="A6887" t="s">
        <v>141</v>
      </c>
      <c r="B6887" s="1">
        <v>44702</v>
      </c>
      <c r="C6887">
        <v>3</v>
      </c>
      <c r="D6887">
        <v>10.76</v>
      </c>
      <c r="E6887">
        <v>18</v>
      </c>
    </row>
    <row r="6888" spans="1:5" x14ac:dyDescent="0.3">
      <c r="A6888" t="s">
        <v>26</v>
      </c>
      <c r="B6888" s="1">
        <v>44702</v>
      </c>
      <c r="C6888">
        <v>0.3</v>
      </c>
      <c r="D6888">
        <v>994.36</v>
      </c>
      <c r="E6888">
        <v>1343</v>
      </c>
    </row>
    <row r="6889" spans="1:5" x14ac:dyDescent="0.3">
      <c r="A6889" t="s">
        <v>47</v>
      </c>
      <c r="B6889" s="1">
        <v>44702</v>
      </c>
      <c r="C6889">
        <v>1</v>
      </c>
      <c r="D6889">
        <v>43.08</v>
      </c>
      <c r="E6889">
        <v>67</v>
      </c>
    </row>
    <row r="6890" spans="1:5" x14ac:dyDescent="0.3">
      <c r="A6890" t="s">
        <v>31</v>
      </c>
      <c r="B6890" s="1">
        <v>44702</v>
      </c>
      <c r="C6890">
        <v>1</v>
      </c>
      <c r="D6890">
        <v>13.05</v>
      </c>
      <c r="E6890">
        <v>18</v>
      </c>
    </row>
    <row r="6891" spans="1:5" x14ac:dyDescent="0.3">
      <c r="A6891" t="s">
        <v>160</v>
      </c>
      <c r="B6891" s="1">
        <v>44702</v>
      </c>
      <c r="C6891">
        <v>1</v>
      </c>
      <c r="D6891">
        <v>81.8</v>
      </c>
      <c r="E6891">
        <v>99</v>
      </c>
    </row>
    <row r="6892" spans="1:5" x14ac:dyDescent="0.3">
      <c r="A6892" t="s">
        <v>160</v>
      </c>
      <c r="B6892" s="1">
        <v>44702</v>
      </c>
      <c r="C6892">
        <v>1</v>
      </c>
      <c r="D6892">
        <v>81.8</v>
      </c>
      <c r="E6892">
        <v>99</v>
      </c>
    </row>
    <row r="6893" spans="1:5" x14ac:dyDescent="0.3">
      <c r="A6893" t="s">
        <v>45</v>
      </c>
      <c r="B6893" s="1">
        <v>44702</v>
      </c>
      <c r="C6893">
        <v>2</v>
      </c>
      <c r="D6893">
        <v>29.26</v>
      </c>
      <c r="E6893">
        <v>48</v>
      </c>
    </row>
    <row r="6894" spans="1:5" x14ac:dyDescent="0.3">
      <c r="A6894" t="s">
        <v>119</v>
      </c>
      <c r="B6894" s="1">
        <v>44702</v>
      </c>
      <c r="C6894">
        <v>0.107143</v>
      </c>
      <c r="D6894">
        <v>628.24</v>
      </c>
      <c r="E6894">
        <v>694</v>
      </c>
    </row>
    <row r="6895" spans="1:5" x14ac:dyDescent="0.3">
      <c r="A6895" t="s">
        <v>153</v>
      </c>
      <c r="B6895" s="1">
        <v>44702</v>
      </c>
      <c r="C6895">
        <v>1</v>
      </c>
      <c r="D6895">
        <v>9.4600000000000009</v>
      </c>
      <c r="E6895">
        <v>11</v>
      </c>
    </row>
    <row r="6896" spans="1:5" x14ac:dyDescent="0.3">
      <c r="A6896" t="s">
        <v>153</v>
      </c>
      <c r="B6896" s="1">
        <v>44702</v>
      </c>
      <c r="C6896">
        <v>1</v>
      </c>
      <c r="D6896">
        <v>9.4600000000000009</v>
      </c>
      <c r="E6896">
        <v>11</v>
      </c>
    </row>
    <row r="6897" spans="1:5" x14ac:dyDescent="0.3">
      <c r="A6897" t="s">
        <v>140</v>
      </c>
      <c r="B6897" s="1">
        <v>44702</v>
      </c>
      <c r="C6897">
        <v>1</v>
      </c>
      <c r="D6897">
        <v>153.88999999999999</v>
      </c>
      <c r="E6897">
        <v>186</v>
      </c>
    </row>
    <row r="6898" spans="1:5" x14ac:dyDescent="0.3">
      <c r="A6898" t="s">
        <v>7</v>
      </c>
      <c r="B6898" s="1">
        <v>44702</v>
      </c>
      <c r="C6898">
        <v>1</v>
      </c>
      <c r="D6898">
        <v>97.92</v>
      </c>
      <c r="E6898">
        <v>114</v>
      </c>
    </row>
    <row r="6899" spans="1:5" x14ac:dyDescent="0.3">
      <c r="A6899" t="s">
        <v>125</v>
      </c>
      <c r="B6899" s="1">
        <v>44702</v>
      </c>
      <c r="C6899">
        <v>1</v>
      </c>
      <c r="D6899">
        <v>327.48</v>
      </c>
      <c r="E6899">
        <v>433</v>
      </c>
    </row>
    <row r="6900" spans="1:5" x14ac:dyDescent="0.3">
      <c r="A6900" t="s">
        <v>28</v>
      </c>
      <c r="B6900" s="1">
        <v>44702</v>
      </c>
      <c r="C6900">
        <v>1</v>
      </c>
      <c r="D6900">
        <v>150.03</v>
      </c>
      <c r="E6900">
        <v>206</v>
      </c>
    </row>
    <row r="6901" spans="1:5" x14ac:dyDescent="0.3">
      <c r="A6901" t="s">
        <v>34</v>
      </c>
      <c r="B6901" s="1">
        <v>44702</v>
      </c>
      <c r="C6901">
        <v>1</v>
      </c>
      <c r="D6901">
        <v>199.32</v>
      </c>
      <c r="E6901">
        <v>230</v>
      </c>
    </row>
    <row r="6902" spans="1:5" x14ac:dyDescent="0.3">
      <c r="A6902" t="s">
        <v>10</v>
      </c>
      <c r="B6902" s="1">
        <v>44702</v>
      </c>
      <c r="C6902">
        <v>1</v>
      </c>
      <c r="D6902">
        <v>10.34</v>
      </c>
      <c r="E6902">
        <v>13</v>
      </c>
    </row>
    <row r="6903" spans="1:5" x14ac:dyDescent="0.3">
      <c r="A6903" t="s">
        <v>116</v>
      </c>
      <c r="B6903" s="1">
        <v>44702</v>
      </c>
      <c r="C6903">
        <v>1</v>
      </c>
      <c r="D6903">
        <v>101.43</v>
      </c>
      <c r="E6903">
        <v>120</v>
      </c>
    </row>
    <row r="6904" spans="1:5" x14ac:dyDescent="0.3">
      <c r="A6904" t="s">
        <v>129</v>
      </c>
      <c r="B6904" s="1">
        <v>44702</v>
      </c>
      <c r="C6904">
        <v>0.08</v>
      </c>
      <c r="D6904">
        <v>493.92</v>
      </c>
      <c r="E6904">
        <v>595</v>
      </c>
    </row>
    <row r="6905" spans="1:5" x14ac:dyDescent="0.3">
      <c r="A6905" t="s">
        <v>157</v>
      </c>
      <c r="B6905" s="1">
        <v>44702</v>
      </c>
      <c r="C6905">
        <v>1</v>
      </c>
      <c r="D6905">
        <v>12</v>
      </c>
      <c r="E6905">
        <v>21</v>
      </c>
    </row>
    <row r="6906" spans="1:5" x14ac:dyDescent="0.3">
      <c r="A6906" t="s">
        <v>24</v>
      </c>
      <c r="B6906" s="1">
        <v>44702</v>
      </c>
      <c r="C6906">
        <v>1</v>
      </c>
      <c r="D6906">
        <v>97.12</v>
      </c>
      <c r="E6906">
        <v>118</v>
      </c>
    </row>
    <row r="6907" spans="1:5" x14ac:dyDescent="0.3">
      <c r="A6907" t="s">
        <v>24</v>
      </c>
      <c r="B6907" s="1">
        <v>44702</v>
      </c>
      <c r="C6907">
        <v>1</v>
      </c>
      <c r="D6907">
        <v>97.12</v>
      </c>
      <c r="E6907">
        <v>118</v>
      </c>
    </row>
    <row r="6908" spans="1:5" x14ac:dyDescent="0.3">
      <c r="A6908" t="s">
        <v>122</v>
      </c>
      <c r="B6908" s="1">
        <v>44702</v>
      </c>
      <c r="C6908">
        <v>1</v>
      </c>
      <c r="D6908">
        <v>20.78</v>
      </c>
      <c r="E6908">
        <v>26</v>
      </c>
    </row>
    <row r="6909" spans="1:5" x14ac:dyDescent="0.3">
      <c r="A6909" t="s">
        <v>32</v>
      </c>
      <c r="B6909" s="1">
        <v>44702</v>
      </c>
      <c r="C6909">
        <v>1</v>
      </c>
      <c r="D6909">
        <v>105</v>
      </c>
      <c r="E6909">
        <v>161</v>
      </c>
    </row>
    <row r="6910" spans="1:5" x14ac:dyDescent="0.3">
      <c r="A6910" t="s">
        <v>7</v>
      </c>
      <c r="B6910" s="1">
        <v>44702</v>
      </c>
      <c r="C6910">
        <v>1</v>
      </c>
      <c r="D6910">
        <v>87.75</v>
      </c>
      <c r="E6910">
        <v>109</v>
      </c>
    </row>
    <row r="6911" spans="1:5" x14ac:dyDescent="0.3">
      <c r="A6911" t="s">
        <v>65</v>
      </c>
      <c r="B6911" s="1">
        <v>44702</v>
      </c>
      <c r="C6911">
        <v>1</v>
      </c>
      <c r="D6911">
        <v>185.56</v>
      </c>
      <c r="E6911">
        <v>218</v>
      </c>
    </row>
    <row r="6912" spans="1:5" x14ac:dyDescent="0.3">
      <c r="A6912" t="s">
        <v>27</v>
      </c>
      <c r="B6912" s="1">
        <v>44702</v>
      </c>
      <c r="C6912">
        <v>1</v>
      </c>
      <c r="D6912">
        <v>106.88</v>
      </c>
      <c r="E6912">
        <v>164</v>
      </c>
    </row>
    <row r="6913" spans="1:5" x14ac:dyDescent="0.3">
      <c r="A6913" t="s">
        <v>91</v>
      </c>
      <c r="B6913" s="1">
        <v>44702</v>
      </c>
      <c r="C6913">
        <v>1</v>
      </c>
      <c r="D6913">
        <v>36.4</v>
      </c>
      <c r="E6913">
        <v>59</v>
      </c>
    </row>
    <row r="6914" spans="1:5" x14ac:dyDescent="0.3">
      <c r="A6914" t="s">
        <v>95</v>
      </c>
      <c r="B6914" s="1">
        <v>44702</v>
      </c>
      <c r="C6914">
        <v>0.5</v>
      </c>
      <c r="D6914">
        <v>129.4</v>
      </c>
      <c r="E6914">
        <v>197</v>
      </c>
    </row>
    <row r="6915" spans="1:5" x14ac:dyDescent="0.3">
      <c r="A6915" t="s">
        <v>66</v>
      </c>
      <c r="B6915" s="1">
        <v>44702</v>
      </c>
      <c r="C6915">
        <v>1</v>
      </c>
      <c r="D6915">
        <v>32</v>
      </c>
      <c r="E6915">
        <v>36</v>
      </c>
    </row>
    <row r="6916" spans="1:5" x14ac:dyDescent="0.3">
      <c r="A6916" t="s">
        <v>114</v>
      </c>
      <c r="B6916" s="1">
        <v>44702</v>
      </c>
      <c r="C6916">
        <v>1</v>
      </c>
      <c r="D6916">
        <v>74.8</v>
      </c>
      <c r="E6916">
        <v>92</v>
      </c>
    </row>
    <row r="6917" spans="1:5" x14ac:dyDescent="0.3">
      <c r="A6917" t="s">
        <v>160</v>
      </c>
      <c r="B6917" s="1">
        <v>44702</v>
      </c>
      <c r="C6917">
        <v>1</v>
      </c>
      <c r="D6917">
        <v>81.8</v>
      </c>
      <c r="E6917">
        <v>99</v>
      </c>
    </row>
    <row r="6918" spans="1:5" x14ac:dyDescent="0.3">
      <c r="A6918" t="s">
        <v>65</v>
      </c>
      <c r="B6918" s="1">
        <v>44702</v>
      </c>
      <c r="C6918">
        <v>1</v>
      </c>
      <c r="D6918">
        <v>176.42</v>
      </c>
      <c r="E6918">
        <v>207</v>
      </c>
    </row>
    <row r="6919" spans="1:5" x14ac:dyDescent="0.3">
      <c r="A6919" t="s">
        <v>18</v>
      </c>
      <c r="B6919" s="1">
        <v>44702</v>
      </c>
      <c r="C6919">
        <v>1</v>
      </c>
      <c r="D6919">
        <v>46</v>
      </c>
      <c r="E6919">
        <v>70</v>
      </c>
    </row>
    <row r="6920" spans="1:5" x14ac:dyDescent="0.3">
      <c r="A6920" t="s">
        <v>32</v>
      </c>
      <c r="B6920" s="1">
        <v>44702</v>
      </c>
      <c r="C6920">
        <v>1</v>
      </c>
      <c r="D6920">
        <v>105</v>
      </c>
      <c r="E6920">
        <v>165</v>
      </c>
    </row>
    <row r="6921" spans="1:5" x14ac:dyDescent="0.3">
      <c r="A6921" t="s">
        <v>98</v>
      </c>
      <c r="B6921" s="1">
        <v>44702</v>
      </c>
      <c r="C6921">
        <v>1</v>
      </c>
      <c r="D6921">
        <v>110.99</v>
      </c>
      <c r="E6921">
        <v>136</v>
      </c>
    </row>
    <row r="6922" spans="1:5" x14ac:dyDescent="0.3">
      <c r="A6922" t="s">
        <v>47</v>
      </c>
      <c r="B6922" s="1">
        <v>44702</v>
      </c>
      <c r="C6922">
        <v>1</v>
      </c>
      <c r="D6922">
        <v>43.08</v>
      </c>
      <c r="E6922">
        <v>67</v>
      </c>
    </row>
    <row r="6923" spans="1:5" x14ac:dyDescent="0.3">
      <c r="A6923" t="s">
        <v>47</v>
      </c>
      <c r="B6923" s="1">
        <v>44702</v>
      </c>
      <c r="C6923">
        <v>1</v>
      </c>
      <c r="D6923">
        <v>43.08</v>
      </c>
      <c r="E6923">
        <v>67</v>
      </c>
    </row>
    <row r="6924" spans="1:5" x14ac:dyDescent="0.3">
      <c r="A6924" t="s">
        <v>24</v>
      </c>
      <c r="B6924" s="1">
        <v>44702</v>
      </c>
      <c r="C6924">
        <v>1</v>
      </c>
      <c r="D6924">
        <v>96.14</v>
      </c>
      <c r="E6924">
        <v>118</v>
      </c>
    </row>
    <row r="6925" spans="1:5" x14ac:dyDescent="0.3">
      <c r="A6925" t="s">
        <v>45</v>
      </c>
      <c r="B6925" s="1">
        <v>44702</v>
      </c>
      <c r="C6925">
        <v>3</v>
      </c>
      <c r="D6925">
        <v>28.85</v>
      </c>
      <c r="E6925">
        <v>47</v>
      </c>
    </row>
    <row r="6926" spans="1:5" x14ac:dyDescent="0.3">
      <c r="A6926" t="s">
        <v>12</v>
      </c>
      <c r="B6926" s="1">
        <v>44702</v>
      </c>
      <c r="C6926">
        <v>1</v>
      </c>
      <c r="D6926">
        <v>56.18</v>
      </c>
      <c r="E6926">
        <v>70</v>
      </c>
    </row>
    <row r="6927" spans="1:5" x14ac:dyDescent="0.3">
      <c r="A6927" t="s">
        <v>155</v>
      </c>
      <c r="B6927" s="1">
        <v>44702</v>
      </c>
      <c r="C6927">
        <v>0.24</v>
      </c>
      <c r="D6927">
        <v>498.53</v>
      </c>
      <c r="E6927">
        <v>698</v>
      </c>
    </row>
    <row r="6928" spans="1:5" x14ac:dyDescent="0.3">
      <c r="A6928" t="s">
        <v>7</v>
      </c>
      <c r="B6928" s="1">
        <v>44702</v>
      </c>
      <c r="C6928">
        <v>1</v>
      </c>
      <c r="D6928">
        <v>87.6</v>
      </c>
      <c r="E6928">
        <v>109</v>
      </c>
    </row>
    <row r="6929" spans="1:5" x14ac:dyDescent="0.3">
      <c r="A6929" t="s">
        <v>88</v>
      </c>
      <c r="B6929" s="1">
        <v>44702</v>
      </c>
      <c r="C6929">
        <v>0.3</v>
      </c>
      <c r="D6929">
        <v>106.51</v>
      </c>
      <c r="E6929">
        <v>163</v>
      </c>
    </row>
    <row r="6930" spans="1:5" x14ac:dyDescent="0.3">
      <c r="A6930" t="s">
        <v>105</v>
      </c>
      <c r="B6930" s="1">
        <v>44702</v>
      </c>
      <c r="C6930">
        <v>2</v>
      </c>
      <c r="D6930">
        <v>35.79</v>
      </c>
      <c r="E6930">
        <v>58</v>
      </c>
    </row>
    <row r="6931" spans="1:5" x14ac:dyDescent="0.3">
      <c r="A6931" t="s">
        <v>34</v>
      </c>
      <c r="B6931" s="1">
        <v>44702</v>
      </c>
      <c r="C6931">
        <v>1</v>
      </c>
      <c r="D6931">
        <v>199.32</v>
      </c>
      <c r="E6931">
        <v>230</v>
      </c>
    </row>
    <row r="6932" spans="1:5" x14ac:dyDescent="0.3">
      <c r="A6932" t="s">
        <v>24</v>
      </c>
      <c r="B6932" s="1">
        <v>44702</v>
      </c>
      <c r="C6932">
        <v>1</v>
      </c>
      <c r="D6932">
        <v>103.96</v>
      </c>
      <c r="E6932">
        <v>125</v>
      </c>
    </row>
    <row r="6933" spans="1:5" x14ac:dyDescent="0.3">
      <c r="A6933" t="s">
        <v>31</v>
      </c>
      <c r="B6933" s="1">
        <v>44702</v>
      </c>
      <c r="C6933">
        <v>1</v>
      </c>
      <c r="D6933">
        <v>13.05</v>
      </c>
      <c r="E6933">
        <v>18</v>
      </c>
    </row>
    <row r="6934" spans="1:5" x14ac:dyDescent="0.3">
      <c r="A6934" t="s">
        <v>31</v>
      </c>
      <c r="B6934" s="1">
        <v>44702</v>
      </c>
      <c r="C6934">
        <v>1</v>
      </c>
      <c r="D6934">
        <v>13.05</v>
      </c>
      <c r="E6934">
        <v>18</v>
      </c>
    </row>
    <row r="6935" spans="1:5" x14ac:dyDescent="0.3">
      <c r="A6935" t="s">
        <v>31</v>
      </c>
      <c r="B6935" s="1">
        <v>44702</v>
      </c>
      <c r="C6935">
        <v>1</v>
      </c>
      <c r="D6935">
        <v>13.05</v>
      </c>
      <c r="E6935">
        <v>18</v>
      </c>
    </row>
    <row r="6936" spans="1:5" x14ac:dyDescent="0.3">
      <c r="A6936" t="s">
        <v>31</v>
      </c>
      <c r="B6936" s="1">
        <v>44702</v>
      </c>
      <c r="C6936">
        <v>1</v>
      </c>
      <c r="D6936">
        <v>13.05</v>
      </c>
      <c r="E6936">
        <v>18</v>
      </c>
    </row>
    <row r="6937" spans="1:5" x14ac:dyDescent="0.3">
      <c r="A6937" t="s">
        <v>31</v>
      </c>
      <c r="B6937" s="1">
        <v>44702</v>
      </c>
      <c r="C6937">
        <v>1</v>
      </c>
      <c r="D6937">
        <v>13.05</v>
      </c>
      <c r="E6937">
        <v>18</v>
      </c>
    </row>
    <row r="6938" spans="1:5" x14ac:dyDescent="0.3">
      <c r="A6938" t="s">
        <v>31</v>
      </c>
      <c r="B6938" s="1">
        <v>44702</v>
      </c>
      <c r="C6938">
        <v>1</v>
      </c>
      <c r="D6938">
        <v>13.05</v>
      </c>
      <c r="E6938">
        <v>18</v>
      </c>
    </row>
    <row r="6939" spans="1:5" x14ac:dyDescent="0.3">
      <c r="A6939" t="s">
        <v>31</v>
      </c>
      <c r="B6939" s="1">
        <v>44702</v>
      </c>
      <c r="C6939">
        <v>1</v>
      </c>
      <c r="D6939">
        <v>13.05</v>
      </c>
      <c r="E6939">
        <v>18</v>
      </c>
    </row>
    <row r="6940" spans="1:5" x14ac:dyDescent="0.3">
      <c r="A6940" t="s">
        <v>31</v>
      </c>
      <c r="B6940" s="1">
        <v>44702</v>
      </c>
      <c r="C6940">
        <v>1</v>
      </c>
      <c r="D6940">
        <v>13.05</v>
      </c>
      <c r="E6940">
        <v>18</v>
      </c>
    </row>
    <row r="6941" spans="1:5" x14ac:dyDescent="0.3">
      <c r="A6941" t="s">
        <v>31</v>
      </c>
      <c r="B6941" s="1">
        <v>44702</v>
      </c>
      <c r="C6941">
        <v>1</v>
      </c>
      <c r="D6941">
        <v>13.05</v>
      </c>
      <c r="E6941">
        <v>18</v>
      </c>
    </row>
    <row r="6942" spans="1:5" x14ac:dyDescent="0.3">
      <c r="A6942" t="s">
        <v>31</v>
      </c>
      <c r="B6942" s="1">
        <v>44702</v>
      </c>
      <c r="C6942">
        <v>1</v>
      </c>
      <c r="D6942">
        <v>13.05</v>
      </c>
      <c r="E6942">
        <v>18</v>
      </c>
    </row>
    <row r="6943" spans="1:5" x14ac:dyDescent="0.3">
      <c r="A6943" t="s">
        <v>137</v>
      </c>
      <c r="B6943" s="1">
        <v>44702</v>
      </c>
      <c r="C6943">
        <v>1</v>
      </c>
      <c r="D6943">
        <v>7.13</v>
      </c>
      <c r="E6943">
        <v>12</v>
      </c>
    </row>
    <row r="6944" spans="1:5" x14ac:dyDescent="0.3">
      <c r="A6944" t="s">
        <v>66</v>
      </c>
      <c r="B6944" s="1">
        <v>44702</v>
      </c>
      <c r="C6944">
        <v>1</v>
      </c>
      <c r="D6944">
        <v>30.56</v>
      </c>
      <c r="E6944">
        <v>36</v>
      </c>
    </row>
    <row r="6945" spans="1:5" x14ac:dyDescent="0.3">
      <c r="A6945" t="s">
        <v>66</v>
      </c>
      <c r="B6945" s="1">
        <v>44702</v>
      </c>
      <c r="C6945">
        <v>1</v>
      </c>
      <c r="D6945">
        <v>30.56</v>
      </c>
      <c r="E6945">
        <v>36</v>
      </c>
    </row>
    <row r="6946" spans="1:5" x14ac:dyDescent="0.3">
      <c r="A6946" t="s">
        <v>66</v>
      </c>
      <c r="B6946" s="1">
        <v>44702</v>
      </c>
      <c r="C6946">
        <v>1</v>
      </c>
      <c r="D6946">
        <v>30.56</v>
      </c>
      <c r="E6946">
        <v>36</v>
      </c>
    </row>
    <row r="6947" spans="1:5" x14ac:dyDescent="0.3">
      <c r="A6947" t="s">
        <v>57</v>
      </c>
      <c r="B6947" s="1">
        <v>44702</v>
      </c>
      <c r="C6947">
        <v>1</v>
      </c>
      <c r="D6947">
        <v>225.2</v>
      </c>
      <c r="E6947">
        <v>264</v>
      </c>
    </row>
    <row r="6948" spans="1:5" x14ac:dyDescent="0.3">
      <c r="A6948" t="s">
        <v>123</v>
      </c>
      <c r="B6948" s="1">
        <v>44702</v>
      </c>
      <c r="C6948">
        <v>1</v>
      </c>
      <c r="D6948">
        <v>63.69</v>
      </c>
      <c r="E6948">
        <v>79</v>
      </c>
    </row>
    <row r="6949" spans="1:5" x14ac:dyDescent="0.3">
      <c r="A6949" t="s">
        <v>62</v>
      </c>
      <c r="B6949" s="1">
        <v>44702</v>
      </c>
      <c r="C6949">
        <v>1</v>
      </c>
      <c r="D6949">
        <v>25.71</v>
      </c>
      <c r="E6949">
        <v>31</v>
      </c>
    </row>
    <row r="6950" spans="1:5" x14ac:dyDescent="0.3">
      <c r="A6950" t="s">
        <v>65</v>
      </c>
      <c r="B6950" s="1">
        <v>44702</v>
      </c>
      <c r="C6950">
        <v>1</v>
      </c>
      <c r="D6950">
        <v>184.07</v>
      </c>
      <c r="E6950">
        <v>216</v>
      </c>
    </row>
    <row r="6951" spans="1:5" x14ac:dyDescent="0.3">
      <c r="A6951" t="s">
        <v>65</v>
      </c>
      <c r="B6951" s="1">
        <v>44702</v>
      </c>
      <c r="C6951">
        <v>1</v>
      </c>
      <c r="D6951">
        <v>184.07</v>
      </c>
      <c r="E6951">
        <v>216</v>
      </c>
    </row>
    <row r="6952" spans="1:5" x14ac:dyDescent="0.3">
      <c r="A6952" t="s">
        <v>48</v>
      </c>
      <c r="B6952" s="1">
        <v>44702</v>
      </c>
      <c r="C6952">
        <v>1</v>
      </c>
      <c r="D6952">
        <v>41.24</v>
      </c>
      <c r="E6952">
        <v>65</v>
      </c>
    </row>
    <row r="6953" spans="1:5" x14ac:dyDescent="0.3">
      <c r="A6953" t="s">
        <v>59</v>
      </c>
      <c r="B6953" s="1">
        <v>44702</v>
      </c>
      <c r="C6953">
        <v>1</v>
      </c>
      <c r="D6953">
        <v>11.59</v>
      </c>
      <c r="E6953">
        <v>19</v>
      </c>
    </row>
    <row r="6954" spans="1:5" x14ac:dyDescent="0.3">
      <c r="A6954" t="s">
        <v>104</v>
      </c>
      <c r="B6954" s="1">
        <v>44702</v>
      </c>
      <c r="C6954">
        <v>1</v>
      </c>
      <c r="D6954">
        <v>46</v>
      </c>
      <c r="E6954">
        <v>58</v>
      </c>
    </row>
    <row r="6955" spans="1:5" x14ac:dyDescent="0.3">
      <c r="A6955" t="s">
        <v>8</v>
      </c>
      <c r="B6955" s="1">
        <v>44702</v>
      </c>
      <c r="C6955">
        <v>1</v>
      </c>
      <c r="D6955">
        <v>47.03</v>
      </c>
      <c r="E6955">
        <v>76</v>
      </c>
    </row>
    <row r="6956" spans="1:5" x14ac:dyDescent="0.3">
      <c r="A6956" t="s">
        <v>43</v>
      </c>
      <c r="B6956" s="1">
        <v>44702</v>
      </c>
      <c r="C6956">
        <v>1</v>
      </c>
      <c r="D6956">
        <v>134.09</v>
      </c>
      <c r="E6956">
        <v>161</v>
      </c>
    </row>
    <row r="6957" spans="1:5" x14ac:dyDescent="0.3">
      <c r="A6957" t="s">
        <v>19</v>
      </c>
      <c r="B6957" s="1">
        <v>44702</v>
      </c>
      <c r="C6957">
        <v>1</v>
      </c>
      <c r="D6957">
        <v>82.69</v>
      </c>
      <c r="E6957">
        <v>103</v>
      </c>
    </row>
    <row r="6958" spans="1:5" x14ac:dyDescent="0.3">
      <c r="A6958" t="s">
        <v>24</v>
      </c>
      <c r="B6958" s="1">
        <v>44702</v>
      </c>
      <c r="C6958">
        <v>1</v>
      </c>
      <c r="D6958">
        <v>96.14</v>
      </c>
      <c r="E6958">
        <v>118</v>
      </c>
    </row>
    <row r="6959" spans="1:5" x14ac:dyDescent="0.3">
      <c r="A6959" t="s">
        <v>88</v>
      </c>
      <c r="B6959" s="1">
        <v>44702</v>
      </c>
      <c r="C6959">
        <v>0.1</v>
      </c>
      <c r="D6959">
        <v>106.51</v>
      </c>
      <c r="E6959">
        <v>163</v>
      </c>
    </row>
    <row r="6960" spans="1:5" x14ac:dyDescent="0.3">
      <c r="A6960" t="s">
        <v>35</v>
      </c>
      <c r="B6960" s="1">
        <v>44702</v>
      </c>
      <c r="C6960">
        <v>1</v>
      </c>
      <c r="D6960">
        <v>35</v>
      </c>
      <c r="E6960">
        <v>54</v>
      </c>
    </row>
    <row r="6961" spans="1:5" x14ac:dyDescent="0.3">
      <c r="A6961" t="s">
        <v>26</v>
      </c>
      <c r="B6961" s="1">
        <v>44702</v>
      </c>
      <c r="C6961">
        <v>0.33333299999999999</v>
      </c>
      <c r="D6961">
        <v>987.81</v>
      </c>
      <c r="E6961">
        <v>1235</v>
      </c>
    </row>
    <row r="6962" spans="1:5" x14ac:dyDescent="0.3">
      <c r="A6962" t="s">
        <v>65</v>
      </c>
      <c r="B6962" s="1">
        <v>44702</v>
      </c>
      <c r="C6962">
        <v>1</v>
      </c>
      <c r="D6962">
        <v>184.07</v>
      </c>
      <c r="E6962">
        <v>216</v>
      </c>
    </row>
    <row r="6963" spans="1:5" x14ac:dyDescent="0.3">
      <c r="A6963" t="s">
        <v>125</v>
      </c>
      <c r="B6963" s="1">
        <v>44702</v>
      </c>
      <c r="C6963">
        <v>1</v>
      </c>
      <c r="D6963">
        <v>331.43</v>
      </c>
      <c r="E6963">
        <v>431</v>
      </c>
    </row>
    <row r="6964" spans="1:5" x14ac:dyDescent="0.3">
      <c r="A6964" t="s">
        <v>69</v>
      </c>
      <c r="B6964" s="1">
        <v>44702</v>
      </c>
      <c r="C6964">
        <v>1</v>
      </c>
      <c r="D6964">
        <v>19.989999999999998</v>
      </c>
      <c r="E6964">
        <v>24</v>
      </c>
    </row>
    <row r="6965" spans="1:5" x14ac:dyDescent="0.3">
      <c r="A6965" t="s">
        <v>69</v>
      </c>
      <c r="B6965" s="1">
        <v>44702</v>
      </c>
      <c r="C6965">
        <v>1</v>
      </c>
      <c r="D6965">
        <v>19.989999999999998</v>
      </c>
      <c r="E6965">
        <v>24</v>
      </c>
    </row>
    <row r="6966" spans="1:5" x14ac:dyDescent="0.3">
      <c r="A6966" t="s">
        <v>24</v>
      </c>
      <c r="B6966" s="1">
        <v>44702</v>
      </c>
      <c r="C6966">
        <v>1</v>
      </c>
      <c r="D6966">
        <v>103.96</v>
      </c>
      <c r="E6966">
        <v>125</v>
      </c>
    </row>
    <row r="6967" spans="1:5" x14ac:dyDescent="0.3">
      <c r="A6967" t="s">
        <v>26</v>
      </c>
      <c r="B6967" s="1">
        <v>44702</v>
      </c>
      <c r="C6967">
        <v>0.1</v>
      </c>
      <c r="D6967">
        <v>989.8</v>
      </c>
      <c r="E6967">
        <v>1238</v>
      </c>
    </row>
    <row r="6968" spans="1:5" x14ac:dyDescent="0.3">
      <c r="A6968" t="s">
        <v>90</v>
      </c>
      <c r="B6968" s="1">
        <v>44702</v>
      </c>
      <c r="C6968">
        <v>1</v>
      </c>
      <c r="D6968">
        <v>397.76</v>
      </c>
      <c r="E6968">
        <v>490</v>
      </c>
    </row>
    <row r="6969" spans="1:5" x14ac:dyDescent="0.3">
      <c r="A6969" t="s">
        <v>156</v>
      </c>
      <c r="B6969" s="1">
        <v>44702</v>
      </c>
      <c r="C6969">
        <v>1</v>
      </c>
      <c r="D6969">
        <v>270.24</v>
      </c>
      <c r="E6969">
        <v>371</v>
      </c>
    </row>
    <row r="6970" spans="1:5" x14ac:dyDescent="0.3">
      <c r="A6970" t="s">
        <v>47</v>
      </c>
      <c r="B6970" s="1">
        <v>44702</v>
      </c>
      <c r="C6970">
        <v>1</v>
      </c>
      <c r="D6970">
        <v>43.08</v>
      </c>
      <c r="E6970">
        <v>67</v>
      </c>
    </row>
    <row r="6971" spans="1:5" x14ac:dyDescent="0.3">
      <c r="A6971" t="s">
        <v>150</v>
      </c>
      <c r="B6971" s="1">
        <v>44702</v>
      </c>
      <c r="C6971">
        <v>1</v>
      </c>
      <c r="D6971">
        <v>94.8</v>
      </c>
      <c r="E6971">
        <v>151</v>
      </c>
    </row>
    <row r="6972" spans="1:5" x14ac:dyDescent="0.3">
      <c r="A6972" t="s">
        <v>31</v>
      </c>
      <c r="B6972" s="1">
        <v>44702</v>
      </c>
      <c r="C6972">
        <v>1</v>
      </c>
      <c r="D6972">
        <v>13.05</v>
      </c>
      <c r="E6972">
        <v>18</v>
      </c>
    </row>
    <row r="6973" spans="1:5" x14ac:dyDescent="0.3">
      <c r="A6973" t="s">
        <v>6</v>
      </c>
      <c r="B6973" s="1">
        <v>44702</v>
      </c>
      <c r="C6973">
        <v>0.2</v>
      </c>
      <c r="D6973">
        <v>433.76</v>
      </c>
      <c r="E6973">
        <v>543</v>
      </c>
    </row>
    <row r="6974" spans="1:5" x14ac:dyDescent="0.3">
      <c r="A6974" t="s">
        <v>139</v>
      </c>
      <c r="B6974" s="1">
        <v>44702</v>
      </c>
      <c r="C6974">
        <v>1</v>
      </c>
      <c r="D6974">
        <v>24.18</v>
      </c>
      <c r="E6974">
        <v>39</v>
      </c>
    </row>
    <row r="6975" spans="1:5" x14ac:dyDescent="0.3">
      <c r="A6975" t="s">
        <v>86</v>
      </c>
      <c r="B6975" s="1">
        <v>44702</v>
      </c>
      <c r="C6975">
        <v>2</v>
      </c>
      <c r="D6975">
        <v>47.4</v>
      </c>
      <c r="E6975">
        <v>76</v>
      </c>
    </row>
    <row r="6976" spans="1:5" x14ac:dyDescent="0.3">
      <c r="A6976" t="s">
        <v>129</v>
      </c>
      <c r="B6976" s="1">
        <v>44702</v>
      </c>
      <c r="C6976">
        <v>0.08</v>
      </c>
      <c r="D6976">
        <v>495.19</v>
      </c>
      <c r="E6976">
        <v>606</v>
      </c>
    </row>
    <row r="6977" spans="1:5" x14ac:dyDescent="0.3">
      <c r="A6977" t="s">
        <v>19</v>
      </c>
      <c r="B6977" s="1">
        <v>44702</v>
      </c>
      <c r="C6977">
        <v>1</v>
      </c>
      <c r="D6977">
        <v>81.95</v>
      </c>
      <c r="E6977">
        <v>104</v>
      </c>
    </row>
    <row r="6978" spans="1:5" x14ac:dyDescent="0.3">
      <c r="A6978" t="s">
        <v>130</v>
      </c>
      <c r="B6978" s="1">
        <v>44702</v>
      </c>
      <c r="C6978">
        <v>1</v>
      </c>
      <c r="D6978">
        <v>23.6</v>
      </c>
      <c r="E6978">
        <v>29</v>
      </c>
    </row>
    <row r="6979" spans="1:5" x14ac:dyDescent="0.3">
      <c r="A6979" t="s">
        <v>23</v>
      </c>
      <c r="B6979" s="1">
        <v>44702</v>
      </c>
      <c r="C6979">
        <v>1</v>
      </c>
      <c r="D6979">
        <v>109.41</v>
      </c>
      <c r="E6979">
        <v>123</v>
      </c>
    </row>
    <row r="6980" spans="1:5" x14ac:dyDescent="0.3">
      <c r="A6980" t="s">
        <v>23</v>
      </c>
      <c r="B6980" s="1">
        <v>44702</v>
      </c>
      <c r="C6980">
        <v>1</v>
      </c>
      <c r="D6980">
        <v>109.41</v>
      </c>
      <c r="E6980">
        <v>123</v>
      </c>
    </row>
    <row r="6981" spans="1:5" x14ac:dyDescent="0.3">
      <c r="A6981" t="s">
        <v>155</v>
      </c>
      <c r="B6981" s="1">
        <v>44702</v>
      </c>
      <c r="C6981">
        <v>0.4</v>
      </c>
      <c r="D6981">
        <v>498.53</v>
      </c>
      <c r="E6981">
        <v>698</v>
      </c>
    </row>
    <row r="6982" spans="1:5" x14ac:dyDescent="0.3">
      <c r="A6982" t="s">
        <v>19</v>
      </c>
      <c r="B6982" s="1">
        <v>44702</v>
      </c>
      <c r="C6982">
        <v>1</v>
      </c>
      <c r="D6982">
        <v>81.95</v>
      </c>
      <c r="E6982">
        <v>104</v>
      </c>
    </row>
    <row r="6983" spans="1:5" x14ac:dyDescent="0.3">
      <c r="A6983" t="s">
        <v>19</v>
      </c>
      <c r="B6983" s="1">
        <v>44702</v>
      </c>
      <c r="C6983">
        <v>1</v>
      </c>
      <c r="D6983">
        <v>81.95</v>
      </c>
      <c r="E6983">
        <v>104</v>
      </c>
    </row>
    <row r="6984" spans="1:5" x14ac:dyDescent="0.3">
      <c r="A6984" t="s">
        <v>135</v>
      </c>
      <c r="B6984" s="1">
        <v>44702</v>
      </c>
      <c r="C6984">
        <v>1</v>
      </c>
      <c r="D6984">
        <v>72.88</v>
      </c>
      <c r="E6984">
        <v>90</v>
      </c>
    </row>
    <row r="6985" spans="1:5" x14ac:dyDescent="0.3">
      <c r="A6985" t="s">
        <v>146</v>
      </c>
      <c r="B6985" s="1">
        <v>44702</v>
      </c>
      <c r="C6985">
        <v>1</v>
      </c>
      <c r="D6985">
        <v>411.54</v>
      </c>
      <c r="E6985">
        <v>461</v>
      </c>
    </row>
    <row r="6986" spans="1:5" x14ac:dyDescent="0.3">
      <c r="A6986" t="s">
        <v>24</v>
      </c>
      <c r="B6986" s="1">
        <v>44702</v>
      </c>
      <c r="C6986">
        <v>1</v>
      </c>
      <c r="D6986">
        <v>98.67</v>
      </c>
      <c r="E6986">
        <v>123</v>
      </c>
    </row>
    <row r="6987" spans="1:5" x14ac:dyDescent="0.3">
      <c r="A6987" t="s">
        <v>24</v>
      </c>
      <c r="B6987" s="1">
        <v>44702</v>
      </c>
      <c r="C6987">
        <v>1</v>
      </c>
      <c r="D6987">
        <v>98.67</v>
      </c>
      <c r="E6987">
        <v>123</v>
      </c>
    </row>
    <row r="6988" spans="1:5" x14ac:dyDescent="0.3">
      <c r="A6988" t="s">
        <v>25</v>
      </c>
      <c r="B6988" s="1">
        <v>44702</v>
      </c>
      <c r="C6988">
        <v>1</v>
      </c>
      <c r="D6988">
        <v>147.18</v>
      </c>
      <c r="E6988">
        <v>173</v>
      </c>
    </row>
    <row r="6989" spans="1:5" x14ac:dyDescent="0.3">
      <c r="A6989" t="s">
        <v>151</v>
      </c>
      <c r="B6989" s="1">
        <v>44702</v>
      </c>
      <c r="C6989">
        <v>1</v>
      </c>
      <c r="D6989">
        <v>23.23</v>
      </c>
      <c r="E6989">
        <v>29</v>
      </c>
    </row>
    <row r="6990" spans="1:5" x14ac:dyDescent="0.3">
      <c r="A6990" t="s">
        <v>8</v>
      </c>
      <c r="B6990" s="1">
        <v>44702</v>
      </c>
      <c r="C6990">
        <v>1</v>
      </c>
      <c r="D6990">
        <v>47.83</v>
      </c>
      <c r="E6990">
        <v>77</v>
      </c>
    </row>
    <row r="6991" spans="1:5" x14ac:dyDescent="0.3">
      <c r="A6991" t="s">
        <v>110</v>
      </c>
      <c r="B6991" s="1">
        <v>44702</v>
      </c>
      <c r="C6991">
        <v>1</v>
      </c>
      <c r="D6991">
        <v>215.6</v>
      </c>
      <c r="E6991">
        <v>302</v>
      </c>
    </row>
    <row r="6992" spans="1:5" x14ac:dyDescent="0.3">
      <c r="A6992" t="s">
        <v>70</v>
      </c>
      <c r="B6992" s="1">
        <v>44702</v>
      </c>
      <c r="C6992">
        <v>1</v>
      </c>
      <c r="D6992">
        <v>162.19</v>
      </c>
      <c r="E6992">
        <v>196</v>
      </c>
    </row>
    <row r="6993" spans="1:5" x14ac:dyDescent="0.3">
      <c r="A6993" t="s">
        <v>111</v>
      </c>
      <c r="B6993" s="1">
        <v>44702</v>
      </c>
      <c r="C6993">
        <v>1</v>
      </c>
      <c r="D6993">
        <v>163.29</v>
      </c>
      <c r="E6993">
        <v>196</v>
      </c>
    </row>
    <row r="6994" spans="1:5" x14ac:dyDescent="0.3">
      <c r="A6994" t="s">
        <v>65</v>
      </c>
      <c r="B6994" s="1">
        <v>44702</v>
      </c>
      <c r="C6994">
        <v>1</v>
      </c>
      <c r="D6994">
        <v>184.45</v>
      </c>
      <c r="E6994">
        <v>235</v>
      </c>
    </row>
    <row r="6995" spans="1:5" x14ac:dyDescent="0.3">
      <c r="A6995" t="s">
        <v>20</v>
      </c>
      <c r="B6995" s="1">
        <v>44702</v>
      </c>
      <c r="C6995">
        <v>1</v>
      </c>
      <c r="D6995">
        <v>22.62</v>
      </c>
      <c r="E6995">
        <v>29</v>
      </c>
    </row>
    <row r="6996" spans="1:5" x14ac:dyDescent="0.3">
      <c r="A6996" t="s">
        <v>20</v>
      </c>
      <c r="B6996" s="1">
        <v>44702</v>
      </c>
      <c r="C6996">
        <v>1</v>
      </c>
      <c r="D6996">
        <v>22.62</v>
      </c>
      <c r="E6996">
        <v>29</v>
      </c>
    </row>
    <row r="6997" spans="1:5" x14ac:dyDescent="0.3">
      <c r="A6997" t="s">
        <v>20</v>
      </c>
      <c r="B6997" s="1">
        <v>44702</v>
      </c>
      <c r="C6997">
        <v>1</v>
      </c>
      <c r="D6997">
        <v>22.62</v>
      </c>
      <c r="E6997">
        <v>29</v>
      </c>
    </row>
    <row r="6998" spans="1:5" x14ac:dyDescent="0.3">
      <c r="A6998" t="s">
        <v>20</v>
      </c>
      <c r="B6998" s="1">
        <v>44702</v>
      </c>
      <c r="C6998">
        <v>1</v>
      </c>
      <c r="D6998">
        <v>22.62</v>
      </c>
      <c r="E6998">
        <v>29</v>
      </c>
    </row>
    <row r="6999" spans="1:5" x14ac:dyDescent="0.3">
      <c r="A6999" t="s">
        <v>7</v>
      </c>
      <c r="B6999" s="1">
        <v>44702</v>
      </c>
      <c r="C6999">
        <v>1</v>
      </c>
      <c r="D6999">
        <v>87.6</v>
      </c>
      <c r="E6999">
        <v>109</v>
      </c>
    </row>
    <row r="7000" spans="1:5" x14ac:dyDescent="0.3">
      <c r="A7000" t="s">
        <v>92</v>
      </c>
      <c r="B7000" s="1">
        <v>44702</v>
      </c>
      <c r="C7000">
        <v>1</v>
      </c>
      <c r="D7000">
        <v>6.6</v>
      </c>
      <c r="E7000">
        <v>9</v>
      </c>
    </row>
    <row r="7001" spans="1:5" x14ac:dyDescent="0.3">
      <c r="A7001" t="s">
        <v>35</v>
      </c>
      <c r="B7001" s="1">
        <v>44702</v>
      </c>
      <c r="C7001">
        <v>1</v>
      </c>
      <c r="D7001">
        <v>35</v>
      </c>
      <c r="E7001">
        <v>54</v>
      </c>
    </row>
    <row r="7002" spans="1:5" x14ac:dyDescent="0.3">
      <c r="A7002" t="s">
        <v>35</v>
      </c>
      <c r="B7002" s="1">
        <v>44702</v>
      </c>
      <c r="C7002">
        <v>1</v>
      </c>
      <c r="D7002">
        <v>35</v>
      </c>
      <c r="E7002">
        <v>54</v>
      </c>
    </row>
    <row r="7003" spans="1:5" x14ac:dyDescent="0.3">
      <c r="A7003" t="s">
        <v>13</v>
      </c>
      <c r="B7003" s="1">
        <v>44702</v>
      </c>
      <c r="C7003">
        <v>1</v>
      </c>
      <c r="D7003">
        <v>119.06</v>
      </c>
      <c r="E7003">
        <v>143</v>
      </c>
    </row>
    <row r="7004" spans="1:5" x14ac:dyDescent="0.3">
      <c r="A7004" t="s">
        <v>87</v>
      </c>
      <c r="B7004" s="1">
        <v>44702</v>
      </c>
      <c r="C7004">
        <v>1</v>
      </c>
      <c r="D7004">
        <v>348.66</v>
      </c>
      <c r="E7004">
        <v>395</v>
      </c>
    </row>
    <row r="7005" spans="1:5" x14ac:dyDescent="0.3">
      <c r="A7005" t="s">
        <v>28</v>
      </c>
      <c r="B7005" s="1">
        <v>44702</v>
      </c>
      <c r="C7005">
        <v>1</v>
      </c>
      <c r="D7005">
        <v>150.03</v>
      </c>
      <c r="E7005">
        <v>206</v>
      </c>
    </row>
    <row r="7006" spans="1:5" x14ac:dyDescent="0.3">
      <c r="A7006" t="s">
        <v>63</v>
      </c>
      <c r="B7006" s="1">
        <v>44702</v>
      </c>
      <c r="C7006">
        <v>1</v>
      </c>
      <c r="D7006">
        <v>71.45</v>
      </c>
      <c r="E7006">
        <v>90</v>
      </c>
    </row>
    <row r="7007" spans="1:5" x14ac:dyDescent="0.3">
      <c r="A7007" t="s">
        <v>58</v>
      </c>
      <c r="B7007" s="1">
        <v>44702</v>
      </c>
      <c r="C7007">
        <v>1</v>
      </c>
      <c r="D7007">
        <v>78</v>
      </c>
      <c r="E7007">
        <v>94</v>
      </c>
    </row>
    <row r="7008" spans="1:5" x14ac:dyDescent="0.3">
      <c r="A7008" t="s">
        <v>124</v>
      </c>
      <c r="B7008" s="1">
        <v>44702</v>
      </c>
      <c r="C7008">
        <v>1</v>
      </c>
      <c r="D7008">
        <v>42.85</v>
      </c>
      <c r="E7008">
        <v>70</v>
      </c>
    </row>
    <row r="7009" spans="1:5" x14ac:dyDescent="0.3">
      <c r="A7009" t="s">
        <v>95</v>
      </c>
      <c r="B7009" s="1">
        <v>44702</v>
      </c>
      <c r="C7009">
        <v>2</v>
      </c>
      <c r="D7009">
        <v>130.88999999999999</v>
      </c>
      <c r="E7009">
        <v>206</v>
      </c>
    </row>
    <row r="7010" spans="1:5" x14ac:dyDescent="0.3">
      <c r="A7010" t="s">
        <v>25</v>
      </c>
      <c r="B7010" s="1">
        <v>44702</v>
      </c>
      <c r="C7010">
        <v>1</v>
      </c>
      <c r="D7010">
        <v>147.4</v>
      </c>
      <c r="E7010">
        <v>177</v>
      </c>
    </row>
    <row r="7011" spans="1:5" x14ac:dyDescent="0.3">
      <c r="A7011" t="s">
        <v>128</v>
      </c>
      <c r="B7011" s="1">
        <v>44702</v>
      </c>
      <c r="C7011">
        <v>1</v>
      </c>
      <c r="D7011">
        <v>282.82</v>
      </c>
      <c r="E7011">
        <v>396</v>
      </c>
    </row>
    <row r="7012" spans="1:5" x14ac:dyDescent="0.3">
      <c r="A7012" t="s">
        <v>7</v>
      </c>
      <c r="B7012" s="1">
        <v>44702</v>
      </c>
      <c r="C7012">
        <v>1</v>
      </c>
      <c r="D7012">
        <v>89.27</v>
      </c>
      <c r="E7012">
        <v>113</v>
      </c>
    </row>
    <row r="7013" spans="1:5" x14ac:dyDescent="0.3">
      <c r="A7013" t="s">
        <v>77</v>
      </c>
      <c r="B7013" s="1">
        <v>44702</v>
      </c>
      <c r="C7013">
        <v>1</v>
      </c>
      <c r="D7013">
        <v>61.89</v>
      </c>
      <c r="E7013">
        <v>77</v>
      </c>
    </row>
    <row r="7014" spans="1:5" x14ac:dyDescent="0.3">
      <c r="A7014" t="s">
        <v>141</v>
      </c>
      <c r="B7014" s="1">
        <v>44702</v>
      </c>
      <c r="C7014">
        <v>1</v>
      </c>
      <c r="D7014">
        <v>12.2</v>
      </c>
      <c r="E7014">
        <v>20</v>
      </c>
    </row>
    <row r="7015" spans="1:5" x14ac:dyDescent="0.3">
      <c r="A7015" t="s">
        <v>160</v>
      </c>
      <c r="B7015" s="1">
        <v>44702</v>
      </c>
      <c r="C7015">
        <v>1</v>
      </c>
      <c r="D7015">
        <v>81.8</v>
      </c>
      <c r="E7015">
        <v>99</v>
      </c>
    </row>
    <row r="7016" spans="1:5" x14ac:dyDescent="0.3">
      <c r="A7016" t="s">
        <v>32</v>
      </c>
      <c r="B7016" s="1">
        <v>44702</v>
      </c>
      <c r="C7016">
        <v>2</v>
      </c>
      <c r="D7016">
        <v>105</v>
      </c>
      <c r="E7016">
        <v>165</v>
      </c>
    </row>
    <row r="7017" spans="1:5" x14ac:dyDescent="0.3">
      <c r="A7017" t="s">
        <v>16</v>
      </c>
      <c r="B7017" s="1">
        <v>44702</v>
      </c>
      <c r="C7017">
        <v>1</v>
      </c>
      <c r="D7017">
        <v>35.22</v>
      </c>
      <c r="E7017">
        <v>55</v>
      </c>
    </row>
    <row r="7018" spans="1:5" x14ac:dyDescent="0.3">
      <c r="A7018" t="s">
        <v>33</v>
      </c>
      <c r="B7018" s="1">
        <v>44702</v>
      </c>
      <c r="C7018">
        <v>1</v>
      </c>
      <c r="D7018">
        <v>21.75</v>
      </c>
      <c r="E7018">
        <v>26</v>
      </c>
    </row>
    <row r="7019" spans="1:5" x14ac:dyDescent="0.3">
      <c r="A7019" t="s">
        <v>122</v>
      </c>
      <c r="B7019" s="1">
        <v>44702</v>
      </c>
      <c r="C7019">
        <v>1</v>
      </c>
      <c r="D7019">
        <v>21.23</v>
      </c>
      <c r="E7019">
        <v>26</v>
      </c>
    </row>
    <row r="7020" spans="1:5" x14ac:dyDescent="0.3">
      <c r="A7020" t="s">
        <v>95</v>
      </c>
      <c r="B7020" s="1">
        <v>44702</v>
      </c>
      <c r="C7020">
        <v>1</v>
      </c>
      <c r="D7020">
        <v>130.88999999999999</v>
      </c>
      <c r="E7020">
        <v>206</v>
      </c>
    </row>
    <row r="7021" spans="1:5" x14ac:dyDescent="0.3">
      <c r="A7021" t="s">
        <v>144</v>
      </c>
      <c r="B7021" s="1">
        <v>44702</v>
      </c>
      <c r="C7021">
        <v>1</v>
      </c>
      <c r="D7021">
        <v>51.32</v>
      </c>
      <c r="E7021">
        <v>73</v>
      </c>
    </row>
    <row r="7022" spans="1:5" x14ac:dyDescent="0.3">
      <c r="A7022" t="s">
        <v>158</v>
      </c>
      <c r="B7022" s="1">
        <v>44702</v>
      </c>
      <c r="C7022">
        <v>1</v>
      </c>
      <c r="D7022">
        <v>24.52</v>
      </c>
      <c r="E7022">
        <v>32</v>
      </c>
    </row>
    <row r="7023" spans="1:5" x14ac:dyDescent="0.3">
      <c r="A7023" t="s">
        <v>158</v>
      </c>
      <c r="B7023" s="1">
        <v>44702</v>
      </c>
      <c r="C7023">
        <v>1</v>
      </c>
      <c r="D7023">
        <v>24.52</v>
      </c>
      <c r="E7023">
        <v>32</v>
      </c>
    </row>
    <row r="7024" spans="1:5" x14ac:dyDescent="0.3">
      <c r="A7024" t="s">
        <v>158</v>
      </c>
      <c r="B7024" s="1">
        <v>44702</v>
      </c>
      <c r="C7024">
        <v>1</v>
      </c>
      <c r="D7024">
        <v>24.52</v>
      </c>
      <c r="E7024">
        <v>32</v>
      </c>
    </row>
    <row r="7025" spans="1:5" x14ac:dyDescent="0.3">
      <c r="A7025" t="s">
        <v>158</v>
      </c>
      <c r="B7025" s="1">
        <v>44702</v>
      </c>
      <c r="C7025">
        <v>1</v>
      </c>
      <c r="D7025">
        <v>24.52</v>
      </c>
      <c r="E7025">
        <v>32</v>
      </c>
    </row>
    <row r="7026" spans="1:5" x14ac:dyDescent="0.3">
      <c r="A7026" t="s">
        <v>158</v>
      </c>
      <c r="B7026" s="1">
        <v>44702</v>
      </c>
      <c r="C7026">
        <v>1</v>
      </c>
      <c r="D7026">
        <v>24.52</v>
      </c>
      <c r="E7026">
        <v>32</v>
      </c>
    </row>
    <row r="7027" spans="1:5" x14ac:dyDescent="0.3">
      <c r="A7027" t="s">
        <v>158</v>
      </c>
      <c r="B7027" s="1">
        <v>44702</v>
      </c>
      <c r="C7027">
        <v>1</v>
      </c>
      <c r="D7027">
        <v>24.52</v>
      </c>
      <c r="E7027">
        <v>32</v>
      </c>
    </row>
    <row r="7028" spans="1:5" x14ac:dyDescent="0.3">
      <c r="A7028" t="s">
        <v>158</v>
      </c>
      <c r="B7028" s="1">
        <v>44702</v>
      </c>
      <c r="C7028">
        <v>1</v>
      </c>
      <c r="D7028">
        <v>24.52</v>
      </c>
      <c r="E7028">
        <v>32</v>
      </c>
    </row>
    <row r="7029" spans="1:5" x14ac:dyDescent="0.3">
      <c r="A7029" t="s">
        <v>158</v>
      </c>
      <c r="B7029" s="1">
        <v>44702</v>
      </c>
      <c r="C7029">
        <v>1</v>
      </c>
      <c r="D7029">
        <v>24.52</v>
      </c>
      <c r="E7029">
        <v>32</v>
      </c>
    </row>
    <row r="7030" spans="1:5" x14ac:dyDescent="0.3">
      <c r="A7030" t="s">
        <v>158</v>
      </c>
      <c r="B7030" s="1">
        <v>44702</v>
      </c>
      <c r="C7030">
        <v>1</v>
      </c>
      <c r="D7030">
        <v>24.52</v>
      </c>
      <c r="E7030">
        <v>32</v>
      </c>
    </row>
    <row r="7031" spans="1:5" x14ac:dyDescent="0.3">
      <c r="A7031" t="s">
        <v>158</v>
      </c>
      <c r="B7031" s="1">
        <v>44702</v>
      </c>
      <c r="C7031">
        <v>1</v>
      </c>
      <c r="D7031">
        <v>24.52</v>
      </c>
      <c r="E7031">
        <v>32</v>
      </c>
    </row>
    <row r="7032" spans="1:5" x14ac:dyDescent="0.3">
      <c r="A7032" t="s">
        <v>25</v>
      </c>
      <c r="B7032" s="1">
        <v>44702</v>
      </c>
      <c r="C7032">
        <v>1</v>
      </c>
      <c r="D7032">
        <v>147.18</v>
      </c>
      <c r="E7032">
        <v>177</v>
      </c>
    </row>
    <row r="7033" spans="1:5" x14ac:dyDescent="0.3">
      <c r="A7033" t="s">
        <v>53</v>
      </c>
      <c r="B7033" s="1">
        <v>44702</v>
      </c>
      <c r="C7033">
        <v>1</v>
      </c>
      <c r="D7033">
        <v>23.4</v>
      </c>
      <c r="E7033">
        <v>38</v>
      </c>
    </row>
    <row r="7034" spans="1:5" x14ac:dyDescent="0.3">
      <c r="A7034" t="s">
        <v>150</v>
      </c>
      <c r="B7034" s="1">
        <v>44702</v>
      </c>
      <c r="C7034">
        <v>1</v>
      </c>
      <c r="D7034">
        <v>82.64</v>
      </c>
      <c r="E7034">
        <v>129</v>
      </c>
    </row>
    <row r="7035" spans="1:5" x14ac:dyDescent="0.3">
      <c r="A7035" t="s">
        <v>147</v>
      </c>
      <c r="B7035" s="1">
        <v>44702</v>
      </c>
      <c r="C7035">
        <v>1</v>
      </c>
      <c r="D7035">
        <v>136.94999999999999</v>
      </c>
      <c r="E7035">
        <v>188</v>
      </c>
    </row>
    <row r="7036" spans="1:5" x14ac:dyDescent="0.3">
      <c r="A7036" t="s">
        <v>10</v>
      </c>
      <c r="B7036" s="1">
        <v>44702</v>
      </c>
      <c r="C7036">
        <v>1</v>
      </c>
      <c r="D7036">
        <v>10.34</v>
      </c>
      <c r="E7036">
        <v>13</v>
      </c>
    </row>
    <row r="7037" spans="1:5" x14ac:dyDescent="0.3">
      <c r="A7037" t="s">
        <v>21</v>
      </c>
      <c r="B7037" s="1">
        <v>44702</v>
      </c>
      <c r="C7037">
        <v>1</v>
      </c>
      <c r="D7037">
        <v>182.55</v>
      </c>
      <c r="E7037">
        <v>251</v>
      </c>
    </row>
    <row r="7038" spans="1:5" x14ac:dyDescent="0.3">
      <c r="A7038" t="s">
        <v>54</v>
      </c>
      <c r="B7038" s="1">
        <v>44702</v>
      </c>
      <c r="C7038">
        <v>1</v>
      </c>
      <c r="D7038">
        <v>643.5</v>
      </c>
      <c r="E7038">
        <v>831</v>
      </c>
    </row>
    <row r="7039" spans="1:5" x14ac:dyDescent="0.3">
      <c r="A7039" t="s">
        <v>31</v>
      </c>
      <c r="B7039" s="1">
        <v>44702</v>
      </c>
      <c r="C7039">
        <v>1</v>
      </c>
      <c r="D7039">
        <v>13.05</v>
      </c>
      <c r="E7039">
        <v>18</v>
      </c>
    </row>
    <row r="7040" spans="1:5" x14ac:dyDescent="0.3">
      <c r="A7040" t="s">
        <v>87</v>
      </c>
      <c r="B7040" s="1">
        <v>44702</v>
      </c>
      <c r="C7040">
        <v>1</v>
      </c>
      <c r="D7040">
        <v>351.11</v>
      </c>
      <c r="E7040">
        <v>416</v>
      </c>
    </row>
    <row r="7041" spans="1:5" x14ac:dyDescent="0.3">
      <c r="A7041" t="s">
        <v>90</v>
      </c>
      <c r="B7041" s="1">
        <v>44702</v>
      </c>
      <c r="C7041">
        <v>1</v>
      </c>
      <c r="D7041">
        <v>384.2</v>
      </c>
      <c r="E7041">
        <v>481</v>
      </c>
    </row>
    <row r="7042" spans="1:5" x14ac:dyDescent="0.3">
      <c r="A7042" t="s">
        <v>144</v>
      </c>
      <c r="B7042" s="1">
        <v>44702</v>
      </c>
      <c r="C7042">
        <v>1</v>
      </c>
      <c r="D7042">
        <v>51.62</v>
      </c>
      <c r="E7042">
        <v>75</v>
      </c>
    </row>
    <row r="7043" spans="1:5" x14ac:dyDescent="0.3">
      <c r="A7043" t="s">
        <v>10</v>
      </c>
      <c r="B7043" s="1">
        <v>44702</v>
      </c>
      <c r="C7043">
        <v>1</v>
      </c>
      <c r="D7043">
        <v>10.34</v>
      </c>
      <c r="E7043">
        <v>13</v>
      </c>
    </row>
    <row r="7044" spans="1:5" x14ac:dyDescent="0.3">
      <c r="A7044" t="s">
        <v>62</v>
      </c>
      <c r="B7044" s="1">
        <v>44702</v>
      </c>
      <c r="C7044">
        <v>1</v>
      </c>
      <c r="D7044">
        <v>25.15</v>
      </c>
      <c r="E7044">
        <v>30</v>
      </c>
    </row>
    <row r="7045" spans="1:5" x14ac:dyDescent="0.3">
      <c r="A7045" t="s">
        <v>73</v>
      </c>
      <c r="B7045" s="1">
        <v>44702</v>
      </c>
      <c r="C7045">
        <v>2</v>
      </c>
      <c r="D7045">
        <v>8.07</v>
      </c>
      <c r="E7045">
        <v>14</v>
      </c>
    </row>
    <row r="7046" spans="1:5" x14ac:dyDescent="0.3">
      <c r="A7046" t="s">
        <v>139</v>
      </c>
      <c r="B7046" s="1">
        <v>44702</v>
      </c>
      <c r="C7046">
        <v>1</v>
      </c>
      <c r="D7046">
        <v>24.18</v>
      </c>
      <c r="E7046">
        <v>40</v>
      </c>
    </row>
    <row r="7047" spans="1:5" x14ac:dyDescent="0.3">
      <c r="A7047" t="s">
        <v>86</v>
      </c>
      <c r="B7047" s="1">
        <v>44702</v>
      </c>
      <c r="C7047">
        <v>1</v>
      </c>
      <c r="D7047">
        <v>47.4</v>
      </c>
      <c r="E7047">
        <v>77</v>
      </c>
    </row>
    <row r="7048" spans="1:5" x14ac:dyDescent="0.3">
      <c r="A7048" t="s">
        <v>15</v>
      </c>
      <c r="B7048" s="1">
        <v>44702</v>
      </c>
      <c r="C7048">
        <v>4</v>
      </c>
      <c r="D7048">
        <v>34.18</v>
      </c>
      <c r="E7048">
        <v>56</v>
      </c>
    </row>
    <row r="7049" spans="1:5" x14ac:dyDescent="0.3">
      <c r="A7049" t="s">
        <v>148</v>
      </c>
      <c r="B7049" s="1">
        <v>44702</v>
      </c>
      <c r="C7049">
        <v>1</v>
      </c>
      <c r="D7049">
        <v>37.75</v>
      </c>
      <c r="E7049">
        <v>58</v>
      </c>
    </row>
    <row r="7050" spans="1:5" x14ac:dyDescent="0.3">
      <c r="A7050" t="s">
        <v>25</v>
      </c>
      <c r="B7050" s="1">
        <v>44702</v>
      </c>
      <c r="C7050">
        <v>1</v>
      </c>
      <c r="D7050">
        <v>147.18</v>
      </c>
      <c r="E7050">
        <v>177</v>
      </c>
    </row>
    <row r="7051" spans="1:5" x14ac:dyDescent="0.3">
      <c r="A7051" t="s">
        <v>87</v>
      </c>
      <c r="B7051" s="1">
        <v>44702</v>
      </c>
      <c r="C7051">
        <v>1</v>
      </c>
      <c r="D7051">
        <v>348.66</v>
      </c>
      <c r="E7051">
        <v>395</v>
      </c>
    </row>
    <row r="7052" spans="1:5" x14ac:dyDescent="0.3">
      <c r="A7052" t="s">
        <v>157</v>
      </c>
      <c r="B7052" s="1">
        <v>44702</v>
      </c>
      <c r="C7052">
        <v>2</v>
      </c>
      <c r="D7052">
        <v>12</v>
      </c>
      <c r="E7052">
        <v>20</v>
      </c>
    </row>
    <row r="7053" spans="1:5" x14ac:dyDescent="0.3">
      <c r="A7053" t="s">
        <v>110</v>
      </c>
      <c r="B7053" s="1">
        <v>44702</v>
      </c>
      <c r="C7053">
        <v>1</v>
      </c>
      <c r="D7053">
        <v>209.32</v>
      </c>
      <c r="E7053">
        <v>287</v>
      </c>
    </row>
    <row r="7054" spans="1:5" x14ac:dyDescent="0.3">
      <c r="A7054" t="s">
        <v>120</v>
      </c>
      <c r="B7054" s="1">
        <v>44702</v>
      </c>
      <c r="C7054">
        <v>1</v>
      </c>
      <c r="D7054">
        <v>132.07</v>
      </c>
      <c r="E7054">
        <v>181</v>
      </c>
    </row>
    <row r="7055" spans="1:5" x14ac:dyDescent="0.3">
      <c r="A7055" t="s">
        <v>56</v>
      </c>
      <c r="B7055" s="1">
        <v>44702</v>
      </c>
      <c r="C7055">
        <v>1</v>
      </c>
      <c r="D7055">
        <v>43.97</v>
      </c>
      <c r="E7055">
        <v>69</v>
      </c>
    </row>
    <row r="7056" spans="1:5" x14ac:dyDescent="0.3">
      <c r="A7056" t="s">
        <v>152</v>
      </c>
      <c r="B7056" s="1">
        <v>44702</v>
      </c>
      <c r="C7056">
        <v>1</v>
      </c>
      <c r="D7056">
        <v>109.67</v>
      </c>
      <c r="E7056">
        <v>138</v>
      </c>
    </row>
    <row r="7057" spans="1:5" x14ac:dyDescent="0.3">
      <c r="A7057" t="s">
        <v>19</v>
      </c>
      <c r="B7057" s="1">
        <v>44702</v>
      </c>
      <c r="C7057">
        <v>1</v>
      </c>
      <c r="D7057">
        <v>81.95</v>
      </c>
      <c r="E7057">
        <v>104</v>
      </c>
    </row>
    <row r="7058" spans="1:5" x14ac:dyDescent="0.3">
      <c r="A7058" t="s">
        <v>19</v>
      </c>
      <c r="B7058" s="1">
        <v>44702</v>
      </c>
      <c r="C7058">
        <v>1</v>
      </c>
      <c r="D7058">
        <v>81.95</v>
      </c>
      <c r="E7058">
        <v>104</v>
      </c>
    </row>
    <row r="7059" spans="1:5" x14ac:dyDescent="0.3">
      <c r="A7059" t="s">
        <v>50</v>
      </c>
      <c r="B7059" s="1">
        <v>44702</v>
      </c>
      <c r="C7059">
        <v>1</v>
      </c>
      <c r="D7059">
        <v>43.86</v>
      </c>
      <c r="E7059">
        <v>56</v>
      </c>
    </row>
    <row r="7060" spans="1:5" x14ac:dyDescent="0.3">
      <c r="A7060" t="s">
        <v>19</v>
      </c>
      <c r="B7060" s="1">
        <v>44702</v>
      </c>
      <c r="C7060">
        <v>1</v>
      </c>
      <c r="D7060">
        <v>81.69</v>
      </c>
      <c r="E7060">
        <v>102</v>
      </c>
    </row>
    <row r="7061" spans="1:5" x14ac:dyDescent="0.3">
      <c r="A7061" t="s">
        <v>124</v>
      </c>
      <c r="B7061" s="1">
        <v>44702</v>
      </c>
      <c r="C7061">
        <v>1</v>
      </c>
      <c r="D7061">
        <v>42.85</v>
      </c>
      <c r="E7061">
        <v>70</v>
      </c>
    </row>
    <row r="7062" spans="1:5" x14ac:dyDescent="0.3">
      <c r="A7062" t="s">
        <v>106</v>
      </c>
      <c r="B7062" s="1">
        <v>44702</v>
      </c>
      <c r="C7062">
        <v>1</v>
      </c>
      <c r="D7062">
        <v>40.17</v>
      </c>
      <c r="E7062">
        <v>50</v>
      </c>
    </row>
    <row r="7063" spans="1:5" x14ac:dyDescent="0.3">
      <c r="A7063" t="s">
        <v>7</v>
      </c>
      <c r="B7063" s="1">
        <v>44702</v>
      </c>
      <c r="C7063">
        <v>1</v>
      </c>
      <c r="D7063">
        <v>88.4</v>
      </c>
      <c r="E7063">
        <v>109</v>
      </c>
    </row>
    <row r="7064" spans="1:5" x14ac:dyDescent="0.3">
      <c r="A7064" t="s">
        <v>70</v>
      </c>
      <c r="B7064" s="1">
        <v>44702</v>
      </c>
      <c r="C7064">
        <v>1</v>
      </c>
      <c r="D7064">
        <v>165.32</v>
      </c>
      <c r="E7064">
        <v>203</v>
      </c>
    </row>
    <row r="7065" spans="1:5" x14ac:dyDescent="0.3">
      <c r="A7065" t="s">
        <v>105</v>
      </c>
      <c r="B7065" s="1">
        <v>44702</v>
      </c>
      <c r="C7065">
        <v>2</v>
      </c>
      <c r="D7065">
        <v>26.72</v>
      </c>
      <c r="E7065">
        <v>43</v>
      </c>
    </row>
    <row r="7066" spans="1:5" x14ac:dyDescent="0.3">
      <c r="A7066" t="s">
        <v>115</v>
      </c>
      <c r="B7066" s="1">
        <v>44702</v>
      </c>
      <c r="C7066">
        <v>1</v>
      </c>
      <c r="D7066">
        <v>71.900000000000006</v>
      </c>
      <c r="E7066">
        <v>89</v>
      </c>
    </row>
    <row r="7067" spans="1:5" x14ac:dyDescent="0.3">
      <c r="A7067" t="s">
        <v>35</v>
      </c>
      <c r="B7067" s="1">
        <v>44702</v>
      </c>
      <c r="C7067">
        <v>1</v>
      </c>
      <c r="D7067">
        <v>35</v>
      </c>
      <c r="E7067">
        <v>54</v>
      </c>
    </row>
    <row r="7068" spans="1:5" x14ac:dyDescent="0.3">
      <c r="A7068" t="s">
        <v>43</v>
      </c>
      <c r="B7068" s="1">
        <v>44702</v>
      </c>
      <c r="C7068">
        <v>1</v>
      </c>
      <c r="D7068">
        <v>134.94999999999999</v>
      </c>
      <c r="E7068">
        <v>162</v>
      </c>
    </row>
    <row r="7069" spans="1:5" x14ac:dyDescent="0.3">
      <c r="A7069" t="s">
        <v>86</v>
      </c>
      <c r="B7069" s="1">
        <v>44702</v>
      </c>
      <c r="C7069">
        <v>5</v>
      </c>
      <c r="D7069">
        <v>47.4</v>
      </c>
      <c r="E7069">
        <v>76</v>
      </c>
    </row>
    <row r="7070" spans="1:5" x14ac:dyDescent="0.3">
      <c r="A7070" t="s">
        <v>137</v>
      </c>
      <c r="B7070" s="1">
        <v>44702</v>
      </c>
      <c r="C7070">
        <v>1</v>
      </c>
      <c r="D7070">
        <v>7.13</v>
      </c>
      <c r="E7070">
        <v>12</v>
      </c>
    </row>
    <row r="7071" spans="1:5" x14ac:dyDescent="0.3">
      <c r="A7071" t="s">
        <v>27</v>
      </c>
      <c r="B7071" s="1">
        <v>44702</v>
      </c>
      <c r="C7071">
        <v>1</v>
      </c>
      <c r="D7071">
        <v>106.88</v>
      </c>
      <c r="E7071">
        <v>164</v>
      </c>
    </row>
    <row r="7072" spans="1:5" x14ac:dyDescent="0.3">
      <c r="A7072" t="s">
        <v>56</v>
      </c>
      <c r="B7072" s="1">
        <v>44702</v>
      </c>
      <c r="C7072">
        <v>1</v>
      </c>
      <c r="D7072">
        <v>43.97</v>
      </c>
      <c r="E7072">
        <v>69</v>
      </c>
    </row>
    <row r="7073" spans="1:5" x14ac:dyDescent="0.3">
      <c r="A7073" t="s">
        <v>19</v>
      </c>
      <c r="B7073" s="1">
        <v>44702</v>
      </c>
      <c r="C7073">
        <v>1</v>
      </c>
      <c r="D7073">
        <v>81.95</v>
      </c>
      <c r="E7073">
        <v>104</v>
      </c>
    </row>
    <row r="7074" spans="1:5" x14ac:dyDescent="0.3">
      <c r="A7074" t="s">
        <v>27</v>
      </c>
      <c r="B7074" s="1">
        <v>44702</v>
      </c>
      <c r="C7074">
        <v>1</v>
      </c>
      <c r="D7074">
        <v>106.88</v>
      </c>
      <c r="E7074">
        <v>164</v>
      </c>
    </row>
    <row r="7075" spans="1:5" x14ac:dyDescent="0.3">
      <c r="A7075" t="s">
        <v>147</v>
      </c>
      <c r="B7075" s="1">
        <v>44702</v>
      </c>
      <c r="C7075">
        <v>1</v>
      </c>
      <c r="D7075">
        <v>143</v>
      </c>
      <c r="E7075">
        <v>196</v>
      </c>
    </row>
    <row r="7076" spans="1:5" x14ac:dyDescent="0.3">
      <c r="A7076" t="s">
        <v>120</v>
      </c>
      <c r="B7076" s="1">
        <v>44702</v>
      </c>
      <c r="C7076">
        <v>1</v>
      </c>
      <c r="D7076">
        <v>131.01</v>
      </c>
      <c r="E7076">
        <v>180</v>
      </c>
    </row>
    <row r="7077" spans="1:5" x14ac:dyDescent="0.3">
      <c r="A7077" t="s">
        <v>70</v>
      </c>
      <c r="B7077" s="1">
        <v>44702</v>
      </c>
      <c r="C7077">
        <v>1</v>
      </c>
      <c r="D7077">
        <v>165.32</v>
      </c>
      <c r="E7077">
        <v>203</v>
      </c>
    </row>
    <row r="7078" spans="1:5" x14ac:dyDescent="0.3">
      <c r="A7078" t="s">
        <v>59</v>
      </c>
      <c r="B7078" s="1">
        <v>44702</v>
      </c>
      <c r="C7078">
        <v>2</v>
      </c>
      <c r="D7078">
        <v>13.11</v>
      </c>
      <c r="E7078">
        <v>21</v>
      </c>
    </row>
    <row r="7079" spans="1:5" x14ac:dyDescent="0.3">
      <c r="A7079" t="s">
        <v>105</v>
      </c>
      <c r="B7079" s="1">
        <v>44701</v>
      </c>
      <c r="C7079">
        <v>1</v>
      </c>
      <c r="D7079">
        <v>35.79</v>
      </c>
      <c r="E7079">
        <v>58</v>
      </c>
    </row>
    <row r="7080" spans="1:5" x14ac:dyDescent="0.3">
      <c r="A7080" t="s">
        <v>107</v>
      </c>
      <c r="B7080" s="1">
        <v>44701</v>
      </c>
      <c r="C7080">
        <v>1</v>
      </c>
      <c r="D7080">
        <v>70.3</v>
      </c>
      <c r="E7080">
        <v>87</v>
      </c>
    </row>
    <row r="7081" spans="1:5" x14ac:dyDescent="0.3">
      <c r="A7081" t="s">
        <v>62</v>
      </c>
      <c r="B7081" s="1">
        <v>44701</v>
      </c>
      <c r="C7081">
        <v>1</v>
      </c>
      <c r="D7081">
        <v>24.97</v>
      </c>
      <c r="E7081">
        <v>30</v>
      </c>
    </row>
    <row r="7082" spans="1:5" x14ac:dyDescent="0.3">
      <c r="A7082" t="s">
        <v>116</v>
      </c>
      <c r="B7082" s="1">
        <v>44701</v>
      </c>
      <c r="C7082">
        <v>1</v>
      </c>
      <c r="D7082">
        <v>101.43</v>
      </c>
      <c r="E7082">
        <v>120</v>
      </c>
    </row>
    <row r="7083" spans="1:5" x14ac:dyDescent="0.3">
      <c r="A7083" t="s">
        <v>104</v>
      </c>
      <c r="B7083" s="1">
        <v>44701</v>
      </c>
      <c r="C7083">
        <v>1</v>
      </c>
      <c r="D7083">
        <v>45.47</v>
      </c>
      <c r="E7083">
        <v>57</v>
      </c>
    </row>
    <row r="7084" spans="1:5" x14ac:dyDescent="0.3">
      <c r="A7084" t="s">
        <v>92</v>
      </c>
      <c r="B7084" s="1">
        <v>44701</v>
      </c>
      <c r="C7084">
        <v>5</v>
      </c>
      <c r="D7084">
        <v>15</v>
      </c>
      <c r="E7084">
        <v>20</v>
      </c>
    </row>
    <row r="7085" spans="1:5" x14ac:dyDescent="0.3">
      <c r="A7085" t="s">
        <v>24</v>
      </c>
      <c r="B7085" s="1">
        <v>44701</v>
      </c>
      <c r="C7085">
        <v>1</v>
      </c>
      <c r="D7085">
        <v>103.96</v>
      </c>
      <c r="E7085">
        <v>125</v>
      </c>
    </row>
    <row r="7086" spans="1:5" x14ac:dyDescent="0.3">
      <c r="A7086" t="s">
        <v>40</v>
      </c>
      <c r="B7086" s="1">
        <v>44701</v>
      </c>
      <c r="C7086">
        <v>1</v>
      </c>
      <c r="D7086">
        <v>173.36</v>
      </c>
      <c r="E7086">
        <v>208</v>
      </c>
    </row>
    <row r="7087" spans="1:5" x14ac:dyDescent="0.3">
      <c r="A7087" t="s">
        <v>117</v>
      </c>
      <c r="B7087" s="1">
        <v>44701</v>
      </c>
      <c r="C7087">
        <v>1</v>
      </c>
      <c r="D7087">
        <v>23.14</v>
      </c>
      <c r="E7087">
        <v>28</v>
      </c>
    </row>
    <row r="7088" spans="1:5" x14ac:dyDescent="0.3">
      <c r="A7088" t="s">
        <v>57</v>
      </c>
      <c r="B7088" s="1">
        <v>44701</v>
      </c>
      <c r="C7088">
        <v>1</v>
      </c>
      <c r="D7088">
        <v>225.2</v>
      </c>
      <c r="E7088">
        <v>264</v>
      </c>
    </row>
    <row r="7089" spans="1:5" x14ac:dyDescent="0.3">
      <c r="A7089" t="s">
        <v>27</v>
      </c>
      <c r="B7089" s="1">
        <v>44701</v>
      </c>
      <c r="C7089">
        <v>1</v>
      </c>
      <c r="D7089">
        <v>106.88</v>
      </c>
      <c r="E7089">
        <v>164</v>
      </c>
    </row>
    <row r="7090" spans="1:5" x14ac:dyDescent="0.3">
      <c r="A7090" t="s">
        <v>117</v>
      </c>
      <c r="B7090" s="1">
        <v>44701</v>
      </c>
      <c r="C7090">
        <v>1</v>
      </c>
      <c r="D7090">
        <v>23.14</v>
      </c>
      <c r="E7090">
        <v>28</v>
      </c>
    </row>
    <row r="7091" spans="1:5" x14ac:dyDescent="0.3">
      <c r="A7091" t="s">
        <v>7</v>
      </c>
      <c r="B7091" s="1">
        <v>44701</v>
      </c>
      <c r="C7091">
        <v>1</v>
      </c>
      <c r="D7091">
        <v>89.27</v>
      </c>
      <c r="E7091">
        <v>113</v>
      </c>
    </row>
    <row r="7092" spans="1:5" x14ac:dyDescent="0.3">
      <c r="A7092" t="s">
        <v>139</v>
      </c>
      <c r="B7092" s="1">
        <v>44701</v>
      </c>
      <c r="C7092">
        <v>1</v>
      </c>
      <c r="D7092">
        <v>24.18</v>
      </c>
      <c r="E7092">
        <v>39</v>
      </c>
    </row>
    <row r="7093" spans="1:5" x14ac:dyDescent="0.3">
      <c r="A7093" t="s">
        <v>45</v>
      </c>
      <c r="B7093" s="1">
        <v>44701</v>
      </c>
      <c r="C7093">
        <v>1</v>
      </c>
      <c r="D7093">
        <v>26.71</v>
      </c>
      <c r="E7093">
        <v>46</v>
      </c>
    </row>
    <row r="7094" spans="1:5" x14ac:dyDescent="0.3">
      <c r="A7094" t="s">
        <v>6</v>
      </c>
      <c r="B7094" s="1">
        <v>44701</v>
      </c>
      <c r="C7094">
        <v>0.2</v>
      </c>
      <c r="D7094">
        <v>421.52</v>
      </c>
      <c r="E7094">
        <v>527</v>
      </c>
    </row>
    <row r="7095" spans="1:5" x14ac:dyDescent="0.3">
      <c r="A7095" t="s">
        <v>104</v>
      </c>
      <c r="B7095" s="1">
        <v>44701</v>
      </c>
      <c r="C7095">
        <v>1</v>
      </c>
      <c r="D7095">
        <v>45.47</v>
      </c>
      <c r="E7095">
        <v>57</v>
      </c>
    </row>
    <row r="7096" spans="1:5" x14ac:dyDescent="0.3">
      <c r="A7096" t="s">
        <v>157</v>
      </c>
      <c r="B7096" s="1">
        <v>44701</v>
      </c>
      <c r="C7096">
        <v>2</v>
      </c>
      <c r="D7096">
        <v>12</v>
      </c>
      <c r="E7096">
        <v>20</v>
      </c>
    </row>
    <row r="7097" spans="1:5" x14ac:dyDescent="0.3">
      <c r="A7097" t="s">
        <v>47</v>
      </c>
      <c r="B7097" s="1">
        <v>44701</v>
      </c>
      <c r="C7097">
        <v>1</v>
      </c>
      <c r="D7097">
        <v>43.08</v>
      </c>
      <c r="E7097">
        <v>67</v>
      </c>
    </row>
    <row r="7098" spans="1:5" x14ac:dyDescent="0.3">
      <c r="A7098" t="s">
        <v>123</v>
      </c>
      <c r="B7098" s="1">
        <v>44701</v>
      </c>
      <c r="C7098">
        <v>1</v>
      </c>
      <c r="D7098">
        <v>62.79</v>
      </c>
      <c r="E7098">
        <v>78</v>
      </c>
    </row>
    <row r="7099" spans="1:5" x14ac:dyDescent="0.3">
      <c r="A7099" t="s">
        <v>7</v>
      </c>
      <c r="B7099" s="1">
        <v>44701</v>
      </c>
      <c r="C7099">
        <v>1</v>
      </c>
      <c r="D7099">
        <v>89.27</v>
      </c>
      <c r="E7099">
        <v>113</v>
      </c>
    </row>
    <row r="7100" spans="1:5" x14ac:dyDescent="0.3">
      <c r="A7100" t="s">
        <v>7</v>
      </c>
      <c r="B7100" s="1">
        <v>44701</v>
      </c>
      <c r="C7100">
        <v>1</v>
      </c>
      <c r="D7100">
        <v>89.27</v>
      </c>
      <c r="E7100">
        <v>113</v>
      </c>
    </row>
    <row r="7101" spans="1:5" x14ac:dyDescent="0.3">
      <c r="A7101" t="s">
        <v>24</v>
      </c>
      <c r="B7101" s="1">
        <v>44701</v>
      </c>
      <c r="C7101">
        <v>2</v>
      </c>
      <c r="D7101">
        <v>103.96</v>
      </c>
      <c r="E7101">
        <v>125</v>
      </c>
    </row>
    <row r="7102" spans="1:5" x14ac:dyDescent="0.3">
      <c r="A7102" t="s">
        <v>8</v>
      </c>
      <c r="B7102" s="1">
        <v>44701</v>
      </c>
      <c r="C7102">
        <v>2</v>
      </c>
      <c r="D7102">
        <v>47.83</v>
      </c>
      <c r="E7102">
        <v>77</v>
      </c>
    </row>
    <row r="7103" spans="1:5" x14ac:dyDescent="0.3">
      <c r="A7103" t="s">
        <v>86</v>
      </c>
      <c r="B7103" s="1">
        <v>44701</v>
      </c>
      <c r="C7103">
        <v>1</v>
      </c>
      <c r="D7103">
        <v>47.4</v>
      </c>
      <c r="E7103">
        <v>82</v>
      </c>
    </row>
    <row r="7104" spans="1:5" x14ac:dyDescent="0.3">
      <c r="A7104" t="s">
        <v>8</v>
      </c>
      <c r="B7104" s="1">
        <v>44701</v>
      </c>
      <c r="C7104">
        <v>1</v>
      </c>
      <c r="D7104">
        <v>47.83</v>
      </c>
      <c r="E7104">
        <v>77</v>
      </c>
    </row>
    <row r="7105" spans="1:5" x14ac:dyDescent="0.3">
      <c r="A7105" t="s">
        <v>45</v>
      </c>
      <c r="B7105" s="1">
        <v>44701</v>
      </c>
      <c r="C7105">
        <v>1</v>
      </c>
      <c r="D7105">
        <v>29.26</v>
      </c>
      <c r="E7105">
        <v>48</v>
      </c>
    </row>
    <row r="7106" spans="1:5" x14ac:dyDescent="0.3">
      <c r="A7106" t="s">
        <v>88</v>
      </c>
      <c r="B7106" s="1">
        <v>44701</v>
      </c>
      <c r="C7106">
        <v>1</v>
      </c>
      <c r="D7106">
        <v>123.98</v>
      </c>
      <c r="E7106">
        <v>195</v>
      </c>
    </row>
    <row r="7107" spans="1:5" x14ac:dyDescent="0.3">
      <c r="A7107" t="s">
        <v>106</v>
      </c>
      <c r="B7107" s="1">
        <v>44701</v>
      </c>
      <c r="C7107">
        <v>1</v>
      </c>
      <c r="D7107">
        <v>40.17</v>
      </c>
      <c r="E7107">
        <v>50</v>
      </c>
    </row>
    <row r="7108" spans="1:5" x14ac:dyDescent="0.3">
      <c r="A7108" t="s">
        <v>124</v>
      </c>
      <c r="B7108" s="1">
        <v>44701</v>
      </c>
      <c r="C7108">
        <v>1</v>
      </c>
      <c r="D7108">
        <v>42.85</v>
      </c>
      <c r="E7108">
        <v>70</v>
      </c>
    </row>
    <row r="7109" spans="1:5" x14ac:dyDescent="0.3">
      <c r="A7109" t="s">
        <v>7</v>
      </c>
      <c r="B7109" s="1">
        <v>44701</v>
      </c>
      <c r="C7109">
        <v>1</v>
      </c>
      <c r="D7109">
        <v>87.6</v>
      </c>
      <c r="E7109">
        <v>108</v>
      </c>
    </row>
    <row r="7110" spans="1:5" x14ac:dyDescent="0.3">
      <c r="A7110" t="s">
        <v>116</v>
      </c>
      <c r="B7110" s="1">
        <v>44701</v>
      </c>
      <c r="C7110">
        <v>1</v>
      </c>
      <c r="D7110">
        <v>109.07</v>
      </c>
      <c r="E7110">
        <v>128</v>
      </c>
    </row>
    <row r="7111" spans="1:5" x14ac:dyDescent="0.3">
      <c r="A7111" t="s">
        <v>26</v>
      </c>
      <c r="B7111" s="1">
        <v>44701</v>
      </c>
      <c r="C7111">
        <v>0.4</v>
      </c>
      <c r="D7111">
        <v>991.73</v>
      </c>
      <c r="E7111">
        <v>1280</v>
      </c>
    </row>
    <row r="7112" spans="1:5" x14ac:dyDescent="0.3">
      <c r="A7112" t="s">
        <v>25</v>
      </c>
      <c r="B7112" s="1">
        <v>44701</v>
      </c>
      <c r="C7112">
        <v>1</v>
      </c>
      <c r="D7112">
        <v>147.18</v>
      </c>
      <c r="E7112">
        <v>177</v>
      </c>
    </row>
    <row r="7113" spans="1:5" x14ac:dyDescent="0.3">
      <c r="A7113" t="s">
        <v>149</v>
      </c>
      <c r="B7113" s="1">
        <v>44701</v>
      </c>
      <c r="C7113">
        <v>1</v>
      </c>
      <c r="D7113">
        <v>223.14</v>
      </c>
      <c r="E7113">
        <v>313</v>
      </c>
    </row>
    <row r="7114" spans="1:5" x14ac:dyDescent="0.3">
      <c r="A7114" t="s">
        <v>81</v>
      </c>
      <c r="B7114" s="1">
        <v>44701</v>
      </c>
      <c r="C7114">
        <v>1</v>
      </c>
      <c r="D7114">
        <v>40.130000000000003</v>
      </c>
      <c r="E7114">
        <v>49</v>
      </c>
    </row>
    <row r="7115" spans="1:5" x14ac:dyDescent="0.3">
      <c r="A7115" t="s">
        <v>83</v>
      </c>
      <c r="B7115" s="1">
        <v>44701</v>
      </c>
      <c r="C7115">
        <v>1</v>
      </c>
      <c r="D7115">
        <v>207.77</v>
      </c>
      <c r="E7115">
        <v>241</v>
      </c>
    </row>
    <row r="7116" spans="1:5" x14ac:dyDescent="0.3">
      <c r="A7116" t="s">
        <v>52</v>
      </c>
      <c r="B7116" s="1">
        <v>44701</v>
      </c>
      <c r="C7116">
        <v>1</v>
      </c>
      <c r="D7116">
        <v>204.8</v>
      </c>
      <c r="E7116">
        <v>246</v>
      </c>
    </row>
    <row r="7117" spans="1:5" x14ac:dyDescent="0.3">
      <c r="A7117" t="s">
        <v>45</v>
      </c>
      <c r="B7117" s="1">
        <v>44701</v>
      </c>
      <c r="C7117">
        <v>1</v>
      </c>
      <c r="D7117">
        <v>33.07</v>
      </c>
      <c r="E7117">
        <v>54</v>
      </c>
    </row>
    <row r="7118" spans="1:5" x14ac:dyDescent="0.3">
      <c r="A7118" t="s">
        <v>91</v>
      </c>
      <c r="B7118" s="1">
        <v>44701</v>
      </c>
      <c r="C7118">
        <v>1</v>
      </c>
      <c r="D7118">
        <v>35</v>
      </c>
      <c r="E7118">
        <v>57</v>
      </c>
    </row>
    <row r="7119" spans="1:5" x14ac:dyDescent="0.3">
      <c r="A7119" t="s">
        <v>36</v>
      </c>
      <c r="B7119" s="1">
        <v>44701</v>
      </c>
      <c r="C7119">
        <v>1</v>
      </c>
      <c r="D7119">
        <v>22.93</v>
      </c>
      <c r="E7119">
        <v>29</v>
      </c>
    </row>
    <row r="7120" spans="1:5" x14ac:dyDescent="0.3">
      <c r="A7120" t="s">
        <v>82</v>
      </c>
      <c r="B7120" s="1">
        <v>44701</v>
      </c>
      <c r="C7120">
        <v>1</v>
      </c>
      <c r="D7120">
        <v>40.1</v>
      </c>
      <c r="E7120">
        <v>51</v>
      </c>
    </row>
    <row r="7121" spans="1:5" x14ac:dyDescent="0.3">
      <c r="A7121" t="s">
        <v>88</v>
      </c>
      <c r="B7121" s="1">
        <v>44701</v>
      </c>
      <c r="C7121">
        <v>0.1</v>
      </c>
      <c r="D7121">
        <v>106.51</v>
      </c>
      <c r="E7121">
        <v>163</v>
      </c>
    </row>
    <row r="7122" spans="1:5" x14ac:dyDescent="0.3">
      <c r="A7122" t="s">
        <v>16</v>
      </c>
      <c r="B7122" s="1">
        <v>44701</v>
      </c>
      <c r="C7122">
        <v>1</v>
      </c>
      <c r="D7122">
        <v>44.03</v>
      </c>
      <c r="E7122">
        <v>67</v>
      </c>
    </row>
    <row r="7123" spans="1:5" x14ac:dyDescent="0.3">
      <c r="A7123" t="s">
        <v>29</v>
      </c>
      <c r="B7123" s="1">
        <v>44701</v>
      </c>
      <c r="C7123">
        <v>1</v>
      </c>
      <c r="D7123">
        <v>480.05</v>
      </c>
      <c r="E7123">
        <v>625</v>
      </c>
    </row>
    <row r="7124" spans="1:5" x14ac:dyDescent="0.3">
      <c r="A7124" t="s">
        <v>134</v>
      </c>
      <c r="B7124" s="1">
        <v>44701</v>
      </c>
      <c r="C7124">
        <v>1</v>
      </c>
      <c r="D7124">
        <v>26.87</v>
      </c>
      <c r="E7124">
        <v>41</v>
      </c>
    </row>
    <row r="7125" spans="1:5" x14ac:dyDescent="0.3">
      <c r="A7125" t="s">
        <v>73</v>
      </c>
      <c r="B7125" s="1">
        <v>44701</v>
      </c>
      <c r="C7125">
        <v>1</v>
      </c>
      <c r="D7125">
        <v>7.97</v>
      </c>
      <c r="E7125">
        <v>13</v>
      </c>
    </row>
    <row r="7126" spans="1:5" x14ac:dyDescent="0.3">
      <c r="A7126" t="s">
        <v>50</v>
      </c>
      <c r="B7126" s="1">
        <v>44701</v>
      </c>
      <c r="C7126">
        <v>1</v>
      </c>
      <c r="D7126">
        <v>43.86</v>
      </c>
      <c r="E7126">
        <v>56</v>
      </c>
    </row>
    <row r="7127" spans="1:5" x14ac:dyDescent="0.3">
      <c r="A7127" t="s">
        <v>50</v>
      </c>
      <c r="B7127" s="1">
        <v>44701</v>
      </c>
      <c r="C7127">
        <v>1</v>
      </c>
      <c r="D7127">
        <v>43.86</v>
      </c>
      <c r="E7127">
        <v>56</v>
      </c>
    </row>
    <row r="7128" spans="1:5" x14ac:dyDescent="0.3">
      <c r="A7128" t="s">
        <v>28</v>
      </c>
      <c r="B7128" s="1">
        <v>44701</v>
      </c>
      <c r="C7128">
        <v>1</v>
      </c>
      <c r="D7128">
        <v>122.75</v>
      </c>
      <c r="E7128">
        <v>174</v>
      </c>
    </row>
    <row r="7129" spans="1:5" x14ac:dyDescent="0.3">
      <c r="A7129" t="s">
        <v>99</v>
      </c>
      <c r="B7129" s="1">
        <v>44701</v>
      </c>
      <c r="C7129">
        <v>1</v>
      </c>
      <c r="D7129">
        <v>64.25</v>
      </c>
      <c r="E7129">
        <v>79</v>
      </c>
    </row>
    <row r="7130" spans="1:5" x14ac:dyDescent="0.3">
      <c r="A7130" t="s">
        <v>62</v>
      </c>
      <c r="B7130" s="1">
        <v>44701</v>
      </c>
      <c r="C7130">
        <v>1</v>
      </c>
      <c r="D7130">
        <v>24.97</v>
      </c>
      <c r="E7130">
        <v>30</v>
      </c>
    </row>
    <row r="7131" spans="1:5" x14ac:dyDescent="0.3">
      <c r="A7131" t="s">
        <v>63</v>
      </c>
      <c r="B7131" s="1">
        <v>44701</v>
      </c>
      <c r="C7131">
        <v>1</v>
      </c>
      <c r="D7131">
        <v>71.45</v>
      </c>
      <c r="E7131">
        <v>86</v>
      </c>
    </row>
    <row r="7132" spans="1:5" x14ac:dyDescent="0.3">
      <c r="A7132" t="s">
        <v>63</v>
      </c>
      <c r="B7132" s="1">
        <v>44701</v>
      </c>
      <c r="C7132">
        <v>1</v>
      </c>
      <c r="D7132">
        <v>71.45</v>
      </c>
      <c r="E7132">
        <v>86</v>
      </c>
    </row>
    <row r="7133" spans="1:5" x14ac:dyDescent="0.3">
      <c r="A7133" t="s">
        <v>119</v>
      </c>
      <c r="B7133" s="1">
        <v>44701</v>
      </c>
      <c r="C7133">
        <v>0.107143</v>
      </c>
      <c r="D7133">
        <v>628.24</v>
      </c>
      <c r="E7133">
        <v>694</v>
      </c>
    </row>
    <row r="7134" spans="1:5" x14ac:dyDescent="0.3">
      <c r="A7134" t="s">
        <v>43</v>
      </c>
      <c r="B7134" s="1">
        <v>44701</v>
      </c>
      <c r="C7134">
        <v>1</v>
      </c>
      <c r="D7134">
        <v>134.68</v>
      </c>
      <c r="E7134">
        <v>162</v>
      </c>
    </row>
    <row r="7135" spans="1:5" x14ac:dyDescent="0.3">
      <c r="A7135" t="s">
        <v>43</v>
      </c>
      <c r="B7135" s="1">
        <v>44701</v>
      </c>
      <c r="C7135">
        <v>1</v>
      </c>
      <c r="D7135">
        <v>134.09</v>
      </c>
      <c r="E7135">
        <v>161</v>
      </c>
    </row>
    <row r="7136" spans="1:5" x14ac:dyDescent="0.3">
      <c r="A7136" t="s">
        <v>48</v>
      </c>
      <c r="B7136" s="1">
        <v>44701</v>
      </c>
      <c r="C7136">
        <v>1</v>
      </c>
      <c r="D7136">
        <v>38.67</v>
      </c>
      <c r="E7136">
        <v>59</v>
      </c>
    </row>
    <row r="7137" spans="1:5" x14ac:dyDescent="0.3">
      <c r="A7137" t="s">
        <v>21</v>
      </c>
      <c r="B7137" s="1">
        <v>44701</v>
      </c>
      <c r="C7137">
        <v>1</v>
      </c>
      <c r="D7137">
        <v>176.33</v>
      </c>
      <c r="E7137">
        <v>246</v>
      </c>
    </row>
    <row r="7138" spans="1:5" x14ac:dyDescent="0.3">
      <c r="A7138" t="s">
        <v>122</v>
      </c>
      <c r="B7138" s="1">
        <v>44701</v>
      </c>
      <c r="C7138">
        <v>1</v>
      </c>
      <c r="D7138">
        <v>23.9</v>
      </c>
      <c r="E7138">
        <v>29</v>
      </c>
    </row>
    <row r="7139" spans="1:5" x14ac:dyDescent="0.3">
      <c r="A7139" t="s">
        <v>122</v>
      </c>
      <c r="B7139" s="1">
        <v>44701</v>
      </c>
      <c r="C7139">
        <v>1</v>
      </c>
      <c r="D7139">
        <v>23.9</v>
      </c>
      <c r="E7139">
        <v>29</v>
      </c>
    </row>
    <row r="7140" spans="1:5" x14ac:dyDescent="0.3">
      <c r="A7140" t="s">
        <v>99</v>
      </c>
      <c r="B7140" s="1">
        <v>44701</v>
      </c>
      <c r="C7140">
        <v>1</v>
      </c>
      <c r="D7140">
        <v>64.44</v>
      </c>
      <c r="E7140">
        <v>80</v>
      </c>
    </row>
    <row r="7141" spans="1:5" x14ac:dyDescent="0.3">
      <c r="A7141" t="s">
        <v>99</v>
      </c>
      <c r="B7141" s="1">
        <v>44701</v>
      </c>
      <c r="C7141">
        <v>1</v>
      </c>
      <c r="D7141">
        <v>64.44</v>
      </c>
      <c r="E7141">
        <v>80</v>
      </c>
    </row>
    <row r="7142" spans="1:5" x14ac:dyDescent="0.3">
      <c r="A7142" t="s">
        <v>50</v>
      </c>
      <c r="B7142" s="1">
        <v>44701</v>
      </c>
      <c r="C7142">
        <v>1</v>
      </c>
      <c r="D7142">
        <v>43.86</v>
      </c>
      <c r="E7142">
        <v>55</v>
      </c>
    </row>
    <row r="7143" spans="1:5" x14ac:dyDescent="0.3">
      <c r="A7143" t="s">
        <v>51</v>
      </c>
      <c r="B7143" s="1">
        <v>44701</v>
      </c>
      <c r="C7143">
        <v>8</v>
      </c>
      <c r="D7143">
        <v>1.98</v>
      </c>
      <c r="E7143">
        <v>4</v>
      </c>
    </row>
    <row r="7144" spans="1:5" x14ac:dyDescent="0.3">
      <c r="A7144" t="s">
        <v>51</v>
      </c>
      <c r="B7144" s="1">
        <v>44701</v>
      </c>
      <c r="C7144">
        <v>16</v>
      </c>
      <c r="D7144">
        <v>1.98</v>
      </c>
      <c r="E7144">
        <v>4</v>
      </c>
    </row>
    <row r="7145" spans="1:5" x14ac:dyDescent="0.3">
      <c r="A7145" t="s">
        <v>56</v>
      </c>
      <c r="B7145" s="1">
        <v>44701</v>
      </c>
      <c r="C7145">
        <v>1</v>
      </c>
      <c r="D7145">
        <v>43.97</v>
      </c>
      <c r="E7145">
        <v>67</v>
      </c>
    </row>
    <row r="7146" spans="1:5" x14ac:dyDescent="0.3">
      <c r="A7146" t="s">
        <v>56</v>
      </c>
      <c r="B7146" s="1">
        <v>44701</v>
      </c>
      <c r="C7146">
        <v>1</v>
      </c>
      <c r="D7146">
        <v>43.97</v>
      </c>
      <c r="E7146">
        <v>67</v>
      </c>
    </row>
    <row r="7147" spans="1:5" x14ac:dyDescent="0.3">
      <c r="A7147" t="s">
        <v>25</v>
      </c>
      <c r="B7147" s="1">
        <v>44701</v>
      </c>
      <c r="C7147">
        <v>1</v>
      </c>
      <c r="D7147">
        <v>147.18</v>
      </c>
      <c r="E7147">
        <v>177</v>
      </c>
    </row>
    <row r="7148" spans="1:5" x14ac:dyDescent="0.3">
      <c r="A7148" t="s">
        <v>100</v>
      </c>
      <c r="B7148" s="1">
        <v>44701</v>
      </c>
      <c r="C7148">
        <v>1</v>
      </c>
      <c r="D7148">
        <v>35.82</v>
      </c>
      <c r="E7148">
        <v>57</v>
      </c>
    </row>
    <row r="7149" spans="1:5" x14ac:dyDescent="0.3">
      <c r="A7149" t="s">
        <v>6</v>
      </c>
      <c r="B7149" s="1">
        <v>44701</v>
      </c>
      <c r="C7149">
        <v>0.2</v>
      </c>
      <c r="D7149">
        <v>442.51</v>
      </c>
      <c r="E7149">
        <v>554</v>
      </c>
    </row>
    <row r="7150" spans="1:5" x14ac:dyDescent="0.3">
      <c r="A7150" t="s">
        <v>124</v>
      </c>
      <c r="B7150" s="1">
        <v>44701</v>
      </c>
      <c r="C7150">
        <v>1</v>
      </c>
      <c r="D7150">
        <v>36.06</v>
      </c>
      <c r="E7150">
        <v>59</v>
      </c>
    </row>
    <row r="7151" spans="1:5" x14ac:dyDescent="0.3">
      <c r="A7151" t="s">
        <v>18</v>
      </c>
      <c r="B7151" s="1">
        <v>44701</v>
      </c>
      <c r="C7151">
        <v>1</v>
      </c>
      <c r="D7151">
        <v>44</v>
      </c>
      <c r="E7151">
        <v>70</v>
      </c>
    </row>
    <row r="7152" spans="1:5" x14ac:dyDescent="0.3">
      <c r="A7152" t="s">
        <v>24</v>
      </c>
      <c r="B7152" s="1">
        <v>44701</v>
      </c>
      <c r="C7152">
        <v>1</v>
      </c>
      <c r="D7152">
        <v>96.43</v>
      </c>
      <c r="E7152">
        <v>113</v>
      </c>
    </row>
    <row r="7153" spans="1:5" x14ac:dyDescent="0.3">
      <c r="A7153" t="s">
        <v>24</v>
      </c>
      <c r="B7153" s="1">
        <v>44701</v>
      </c>
      <c r="C7153">
        <v>1</v>
      </c>
      <c r="D7153">
        <v>96.43</v>
      </c>
      <c r="E7153">
        <v>113</v>
      </c>
    </row>
    <row r="7154" spans="1:5" x14ac:dyDescent="0.3">
      <c r="A7154" t="s">
        <v>157</v>
      </c>
      <c r="B7154" s="1">
        <v>44701</v>
      </c>
      <c r="C7154">
        <v>1</v>
      </c>
      <c r="D7154">
        <v>12</v>
      </c>
      <c r="E7154">
        <v>20</v>
      </c>
    </row>
    <row r="7155" spans="1:5" x14ac:dyDescent="0.3">
      <c r="A7155" t="s">
        <v>150</v>
      </c>
      <c r="B7155" s="1">
        <v>44701</v>
      </c>
      <c r="C7155">
        <v>1</v>
      </c>
      <c r="D7155">
        <v>82.64</v>
      </c>
      <c r="E7155">
        <v>129</v>
      </c>
    </row>
    <row r="7156" spans="1:5" x14ac:dyDescent="0.3">
      <c r="A7156" t="s">
        <v>34</v>
      </c>
      <c r="B7156" s="1">
        <v>44701</v>
      </c>
      <c r="C7156">
        <v>1</v>
      </c>
      <c r="D7156">
        <v>199.32</v>
      </c>
      <c r="E7156">
        <v>230</v>
      </c>
    </row>
    <row r="7157" spans="1:5" x14ac:dyDescent="0.3">
      <c r="A7157" t="s">
        <v>117</v>
      </c>
      <c r="B7157" s="1">
        <v>44701</v>
      </c>
      <c r="C7157">
        <v>1</v>
      </c>
      <c r="D7157">
        <v>23.14</v>
      </c>
      <c r="E7157">
        <v>28</v>
      </c>
    </row>
    <row r="7158" spans="1:5" x14ac:dyDescent="0.3">
      <c r="A7158" t="s">
        <v>28</v>
      </c>
      <c r="B7158" s="1">
        <v>44701</v>
      </c>
      <c r="C7158">
        <v>1</v>
      </c>
      <c r="D7158">
        <v>147.80000000000001</v>
      </c>
      <c r="E7158">
        <v>209</v>
      </c>
    </row>
    <row r="7159" spans="1:5" x14ac:dyDescent="0.3">
      <c r="A7159" t="s">
        <v>88</v>
      </c>
      <c r="B7159" s="1">
        <v>44701</v>
      </c>
      <c r="C7159">
        <v>0.6</v>
      </c>
      <c r="D7159">
        <v>106.51</v>
      </c>
      <c r="E7159">
        <v>163</v>
      </c>
    </row>
    <row r="7160" spans="1:5" x14ac:dyDescent="0.3">
      <c r="A7160" t="s">
        <v>48</v>
      </c>
      <c r="B7160" s="1">
        <v>44701</v>
      </c>
      <c r="C7160">
        <v>1</v>
      </c>
      <c r="D7160">
        <v>38.82</v>
      </c>
      <c r="E7160">
        <v>61</v>
      </c>
    </row>
    <row r="7161" spans="1:5" x14ac:dyDescent="0.3">
      <c r="A7161" t="s">
        <v>48</v>
      </c>
      <c r="B7161" s="1">
        <v>44701</v>
      </c>
      <c r="C7161">
        <v>1</v>
      </c>
      <c r="D7161">
        <v>38.82</v>
      </c>
      <c r="E7161">
        <v>61</v>
      </c>
    </row>
    <row r="7162" spans="1:5" x14ac:dyDescent="0.3">
      <c r="A7162" t="s">
        <v>12</v>
      </c>
      <c r="B7162" s="1">
        <v>44701</v>
      </c>
      <c r="C7162">
        <v>1</v>
      </c>
      <c r="D7162">
        <v>56.08</v>
      </c>
      <c r="E7162">
        <v>70</v>
      </c>
    </row>
    <row r="7163" spans="1:5" x14ac:dyDescent="0.3">
      <c r="A7163" t="s">
        <v>159</v>
      </c>
      <c r="B7163" s="1">
        <v>44701</v>
      </c>
      <c r="C7163">
        <v>1</v>
      </c>
      <c r="D7163">
        <v>50.53</v>
      </c>
      <c r="E7163">
        <v>63</v>
      </c>
    </row>
    <row r="7164" spans="1:5" x14ac:dyDescent="0.3">
      <c r="A7164" t="s">
        <v>29</v>
      </c>
      <c r="B7164" s="1">
        <v>44701</v>
      </c>
      <c r="C7164">
        <v>1</v>
      </c>
      <c r="D7164">
        <v>480.05</v>
      </c>
      <c r="E7164">
        <v>625</v>
      </c>
    </row>
    <row r="7165" spans="1:5" x14ac:dyDescent="0.3">
      <c r="A7165" t="s">
        <v>24</v>
      </c>
      <c r="B7165" s="1">
        <v>44701</v>
      </c>
      <c r="C7165">
        <v>1</v>
      </c>
      <c r="D7165">
        <v>97.12</v>
      </c>
      <c r="E7165">
        <v>118</v>
      </c>
    </row>
    <row r="7166" spans="1:5" x14ac:dyDescent="0.3">
      <c r="A7166" t="s">
        <v>98</v>
      </c>
      <c r="B7166" s="1">
        <v>44701</v>
      </c>
      <c r="C7166">
        <v>1</v>
      </c>
      <c r="D7166">
        <v>113.71</v>
      </c>
      <c r="E7166">
        <v>137</v>
      </c>
    </row>
    <row r="7167" spans="1:5" x14ac:dyDescent="0.3">
      <c r="A7167" t="s">
        <v>93</v>
      </c>
      <c r="B7167" s="1">
        <v>44701</v>
      </c>
      <c r="C7167">
        <v>1</v>
      </c>
      <c r="D7167">
        <v>65.400000000000006</v>
      </c>
      <c r="E7167">
        <v>93</v>
      </c>
    </row>
    <row r="7168" spans="1:5" x14ac:dyDescent="0.3">
      <c r="A7168" t="s">
        <v>127</v>
      </c>
      <c r="B7168" s="1">
        <v>44701</v>
      </c>
      <c r="C7168">
        <v>1</v>
      </c>
      <c r="D7168">
        <v>121.31</v>
      </c>
      <c r="E7168">
        <v>169</v>
      </c>
    </row>
    <row r="7169" spans="1:5" x14ac:dyDescent="0.3">
      <c r="A7169" t="s">
        <v>101</v>
      </c>
      <c r="B7169" s="1">
        <v>44701</v>
      </c>
      <c r="C7169">
        <v>1</v>
      </c>
      <c r="D7169">
        <v>27.78</v>
      </c>
      <c r="E7169">
        <v>43</v>
      </c>
    </row>
    <row r="7170" spans="1:5" x14ac:dyDescent="0.3">
      <c r="A7170" t="s">
        <v>100</v>
      </c>
      <c r="B7170" s="1">
        <v>44701</v>
      </c>
      <c r="C7170">
        <v>1</v>
      </c>
      <c r="D7170">
        <v>35.630000000000003</v>
      </c>
      <c r="E7170">
        <v>55</v>
      </c>
    </row>
    <row r="7171" spans="1:5" x14ac:dyDescent="0.3">
      <c r="A7171" t="s">
        <v>34</v>
      </c>
      <c r="B7171" s="1">
        <v>44701</v>
      </c>
      <c r="C7171">
        <v>1</v>
      </c>
      <c r="D7171">
        <v>201.08</v>
      </c>
      <c r="E7171">
        <v>232</v>
      </c>
    </row>
    <row r="7172" spans="1:5" x14ac:dyDescent="0.3">
      <c r="A7172" t="s">
        <v>47</v>
      </c>
      <c r="B7172" s="1">
        <v>44701</v>
      </c>
      <c r="C7172">
        <v>1</v>
      </c>
      <c r="D7172">
        <v>43.08</v>
      </c>
      <c r="E7172">
        <v>67</v>
      </c>
    </row>
    <row r="7173" spans="1:5" x14ac:dyDescent="0.3">
      <c r="A7173" t="s">
        <v>23</v>
      </c>
      <c r="B7173" s="1">
        <v>44701</v>
      </c>
      <c r="C7173">
        <v>1</v>
      </c>
      <c r="D7173">
        <v>109.41</v>
      </c>
      <c r="E7173">
        <v>123</v>
      </c>
    </row>
    <row r="7174" spans="1:5" x14ac:dyDescent="0.3">
      <c r="A7174" t="s">
        <v>8</v>
      </c>
      <c r="B7174" s="1">
        <v>44701</v>
      </c>
      <c r="C7174">
        <v>2</v>
      </c>
      <c r="D7174">
        <v>47.83</v>
      </c>
      <c r="E7174">
        <v>78</v>
      </c>
    </row>
    <row r="7175" spans="1:5" x14ac:dyDescent="0.3">
      <c r="A7175" t="s">
        <v>64</v>
      </c>
      <c r="B7175" s="1">
        <v>44701</v>
      </c>
      <c r="C7175">
        <v>1</v>
      </c>
      <c r="D7175">
        <v>205.33</v>
      </c>
      <c r="E7175">
        <v>278</v>
      </c>
    </row>
    <row r="7176" spans="1:5" x14ac:dyDescent="0.3">
      <c r="A7176" t="s">
        <v>45</v>
      </c>
      <c r="B7176" s="1">
        <v>44701</v>
      </c>
      <c r="C7176">
        <v>1</v>
      </c>
      <c r="D7176">
        <v>27.54</v>
      </c>
      <c r="E7176">
        <v>45</v>
      </c>
    </row>
    <row r="7177" spans="1:5" x14ac:dyDescent="0.3">
      <c r="A7177" t="s">
        <v>109</v>
      </c>
      <c r="B7177" s="1">
        <v>44701</v>
      </c>
      <c r="C7177">
        <v>1</v>
      </c>
      <c r="D7177">
        <v>88.25</v>
      </c>
      <c r="E7177">
        <v>106</v>
      </c>
    </row>
    <row r="7178" spans="1:5" x14ac:dyDescent="0.3">
      <c r="A7178" t="s">
        <v>109</v>
      </c>
      <c r="B7178" s="1">
        <v>44701</v>
      </c>
      <c r="C7178">
        <v>1</v>
      </c>
      <c r="D7178">
        <v>88.25</v>
      </c>
      <c r="E7178">
        <v>106</v>
      </c>
    </row>
    <row r="7179" spans="1:5" x14ac:dyDescent="0.3">
      <c r="A7179" t="s">
        <v>25</v>
      </c>
      <c r="B7179" s="1">
        <v>44701</v>
      </c>
      <c r="C7179">
        <v>1</v>
      </c>
      <c r="D7179">
        <v>151.22</v>
      </c>
      <c r="E7179">
        <v>181</v>
      </c>
    </row>
    <row r="7180" spans="1:5" x14ac:dyDescent="0.3">
      <c r="A7180" t="s">
        <v>44</v>
      </c>
      <c r="B7180" s="1">
        <v>44701</v>
      </c>
      <c r="C7180">
        <v>1</v>
      </c>
      <c r="D7180">
        <v>69.27</v>
      </c>
      <c r="E7180">
        <v>108</v>
      </c>
    </row>
    <row r="7181" spans="1:5" x14ac:dyDescent="0.3">
      <c r="A7181" t="s">
        <v>156</v>
      </c>
      <c r="B7181" s="1">
        <v>44701</v>
      </c>
      <c r="C7181">
        <v>1</v>
      </c>
      <c r="D7181">
        <v>248.25</v>
      </c>
      <c r="E7181">
        <v>331</v>
      </c>
    </row>
    <row r="7182" spans="1:5" x14ac:dyDescent="0.3">
      <c r="A7182" t="s">
        <v>59</v>
      </c>
      <c r="B7182" s="1">
        <v>44701</v>
      </c>
      <c r="C7182">
        <v>2</v>
      </c>
      <c r="D7182">
        <v>11.59</v>
      </c>
      <c r="E7182">
        <v>19</v>
      </c>
    </row>
    <row r="7183" spans="1:5" x14ac:dyDescent="0.3">
      <c r="A7183" t="s">
        <v>154</v>
      </c>
      <c r="B7183" s="1">
        <v>44701</v>
      </c>
      <c r="C7183">
        <v>1</v>
      </c>
      <c r="D7183">
        <v>122.39</v>
      </c>
      <c r="E7183">
        <v>147</v>
      </c>
    </row>
    <row r="7184" spans="1:5" x14ac:dyDescent="0.3">
      <c r="A7184" t="s">
        <v>154</v>
      </c>
      <c r="B7184" s="1">
        <v>44701</v>
      </c>
      <c r="C7184">
        <v>1</v>
      </c>
      <c r="D7184">
        <v>122.39</v>
      </c>
      <c r="E7184">
        <v>147</v>
      </c>
    </row>
    <row r="7185" spans="1:5" x14ac:dyDescent="0.3">
      <c r="A7185" t="s">
        <v>154</v>
      </c>
      <c r="B7185" s="1">
        <v>44701</v>
      </c>
      <c r="C7185">
        <v>1</v>
      </c>
      <c r="D7185">
        <v>122.39</v>
      </c>
      <c r="E7185">
        <v>147</v>
      </c>
    </row>
    <row r="7186" spans="1:5" x14ac:dyDescent="0.3">
      <c r="A7186" t="s">
        <v>154</v>
      </c>
      <c r="B7186" s="1">
        <v>44701</v>
      </c>
      <c r="C7186">
        <v>1</v>
      </c>
      <c r="D7186">
        <v>122.39</v>
      </c>
      <c r="E7186">
        <v>147</v>
      </c>
    </row>
    <row r="7187" spans="1:5" x14ac:dyDescent="0.3">
      <c r="A7187" t="s">
        <v>154</v>
      </c>
      <c r="B7187" s="1">
        <v>44701</v>
      </c>
      <c r="C7187">
        <v>1</v>
      </c>
      <c r="D7187">
        <v>122.39</v>
      </c>
      <c r="E7187">
        <v>147</v>
      </c>
    </row>
    <row r="7188" spans="1:5" x14ac:dyDescent="0.3">
      <c r="A7188" t="s">
        <v>60</v>
      </c>
      <c r="B7188" s="1">
        <v>44701</v>
      </c>
      <c r="C7188">
        <v>1</v>
      </c>
      <c r="D7188">
        <v>58.06</v>
      </c>
      <c r="E7188">
        <v>72</v>
      </c>
    </row>
    <row r="7189" spans="1:5" x14ac:dyDescent="0.3">
      <c r="A7189" t="s">
        <v>23</v>
      </c>
      <c r="B7189" s="1">
        <v>44701</v>
      </c>
      <c r="C7189">
        <v>1</v>
      </c>
      <c r="D7189">
        <v>109.41</v>
      </c>
      <c r="E7189">
        <v>123</v>
      </c>
    </row>
    <row r="7190" spans="1:5" x14ac:dyDescent="0.3">
      <c r="A7190" t="s">
        <v>26</v>
      </c>
      <c r="B7190" s="1">
        <v>44701</v>
      </c>
      <c r="C7190">
        <v>6.6666699999999995E-2</v>
      </c>
      <c r="D7190">
        <v>1182.26</v>
      </c>
      <c r="E7190">
        <v>1537</v>
      </c>
    </row>
    <row r="7191" spans="1:5" x14ac:dyDescent="0.3">
      <c r="A7191" t="s">
        <v>26</v>
      </c>
      <c r="B7191" s="1">
        <v>44701</v>
      </c>
      <c r="C7191">
        <v>3.3333300000000003E-2</v>
      </c>
      <c r="D7191">
        <v>1182.26</v>
      </c>
      <c r="E7191">
        <v>1537</v>
      </c>
    </row>
    <row r="7192" spans="1:5" x14ac:dyDescent="0.3">
      <c r="A7192" t="s">
        <v>45</v>
      </c>
      <c r="B7192" s="1">
        <v>44701</v>
      </c>
      <c r="C7192">
        <v>4</v>
      </c>
      <c r="D7192">
        <v>25.1</v>
      </c>
      <c r="E7192">
        <v>41</v>
      </c>
    </row>
    <row r="7193" spans="1:5" x14ac:dyDescent="0.3">
      <c r="A7193" t="s">
        <v>14</v>
      </c>
      <c r="B7193" s="1">
        <v>44701</v>
      </c>
      <c r="C7193">
        <v>1</v>
      </c>
      <c r="D7193">
        <v>470.4</v>
      </c>
      <c r="E7193">
        <v>650</v>
      </c>
    </row>
    <row r="7194" spans="1:5" x14ac:dyDescent="0.3">
      <c r="A7194" t="s">
        <v>7</v>
      </c>
      <c r="B7194" s="1">
        <v>44701</v>
      </c>
      <c r="C7194">
        <v>1</v>
      </c>
      <c r="D7194">
        <v>89.27</v>
      </c>
      <c r="E7194">
        <v>113</v>
      </c>
    </row>
    <row r="7195" spans="1:5" x14ac:dyDescent="0.3">
      <c r="A7195" t="s">
        <v>122</v>
      </c>
      <c r="B7195" s="1">
        <v>44701</v>
      </c>
      <c r="C7195">
        <v>1</v>
      </c>
      <c r="D7195">
        <v>20.78</v>
      </c>
      <c r="E7195">
        <v>26</v>
      </c>
    </row>
    <row r="7196" spans="1:5" x14ac:dyDescent="0.3">
      <c r="A7196" t="s">
        <v>122</v>
      </c>
      <c r="B7196" s="1">
        <v>44701</v>
      </c>
      <c r="C7196">
        <v>1</v>
      </c>
      <c r="D7196">
        <v>20.78</v>
      </c>
      <c r="E7196">
        <v>26</v>
      </c>
    </row>
    <row r="7197" spans="1:5" x14ac:dyDescent="0.3">
      <c r="A7197" t="s">
        <v>99</v>
      </c>
      <c r="B7197" s="1">
        <v>44701</v>
      </c>
      <c r="C7197">
        <v>1</v>
      </c>
      <c r="D7197">
        <v>64.25</v>
      </c>
      <c r="E7197">
        <v>77</v>
      </c>
    </row>
    <row r="7198" spans="1:5" x14ac:dyDescent="0.3">
      <c r="A7198" t="s">
        <v>92</v>
      </c>
      <c r="B7198" s="1">
        <v>44701</v>
      </c>
      <c r="C7198">
        <v>1</v>
      </c>
      <c r="D7198">
        <v>6.2</v>
      </c>
      <c r="E7198">
        <v>9</v>
      </c>
    </row>
    <row r="7199" spans="1:5" x14ac:dyDescent="0.3">
      <c r="A7199" t="s">
        <v>48</v>
      </c>
      <c r="B7199" s="1">
        <v>44701</v>
      </c>
      <c r="C7199">
        <v>1</v>
      </c>
      <c r="D7199">
        <v>38.11</v>
      </c>
      <c r="E7199">
        <v>60</v>
      </c>
    </row>
    <row r="7200" spans="1:5" x14ac:dyDescent="0.3">
      <c r="A7200" t="s">
        <v>48</v>
      </c>
      <c r="B7200" s="1">
        <v>44701</v>
      </c>
      <c r="C7200">
        <v>1</v>
      </c>
      <c r="D7200">
        <v>38.11</v>
      </c>
      <c r="E7200">
        <v>60</v>
      </c>
    </row>
    <row r="7201" spans="1:5" x14ac:dyDescent="0.3">
      <c r="A7201" t="s">
        <v>48</v>
      </c>
      <c r="B7201" s="1">
        <v>44701</v>
      </c>
      <c r="C7201">
        <v>1</v>
      </c>
      <c r="D7201">
        <v>38.11</v>
      </c>
      <c r="E7201">
        <v>60</v>
      </c>
    </row>
    <row r="7202" spans="1:5" x14ac:dyDescent="0.3">
      <c r="A7202" t="s">
        <v>95</v>
      </c>
      <c r="B7202" s="1">
        <v>44701</v>
      </c>
      <c r="C7202">
        <v>1</v>
      </c>
      <c r="D7202">
        <v>131.07</v>
      </c>
      <c r="E7202">
        <v>206</v>
      </c>
    </row>
    <row r="7203" spans="1:5" x14ac:dyDescent="0.3">
      <c r="A7203" t="s">
        <v>77</v>
      </c>
      <c r="B7203" s="1">
        <v>44701</v>
      </c>
      <c r="C7203">
        <v>1</v>
      </c>
      <c r="D7203">
        <v>60.3</v>
      </c>
      <c r="E7203">
        <v>75</v>
      </c>
    </row>
    <row r="7204" spans="1:5" x14ac:dyDescent="0.3">
      <c r="A7204" t="s">
        <v>39</v>
      </c>
      <c r="B7204" s="1">
        <v>44701</v>
      </c>
      <c r="C7204">
        <v>1</v>
      </c>
      <c r="D7204">
        <v>15</v>
      </c>
      <c r="E7204">
        <v>25</v>
      </c>
    </row>
    <row r="7205" spans="1:5" x14ac:dyDescent="0.3">
      <c r="A7205" t="s">
        <v>107</v>
      </c>
      <c r="B7205" s="1">
        <v>44701</v>
      </c>
      <c r="C7205">
        <v>1</v>
      </c>
      <c r="D7205">
        <v>75.790000000000006</v>
      </c>
      <c r="E7205">
        <v>85</v>
      </c>
    </row>
    <row r="7206" spans="1:5" x14ac:dyDescent="0.3">
      <c r="A7206" t="s">
        <v>107</v>
      </c>
      <c r="B7206" s="1">
        <v>44701</v>
      </c>
      <c r="C7206">
        <v>1</v>
      </c>
      <c r="D7206">
        <v>75.790000000000006</v>
      </c>
      <c r="E7206">
        <v>85</v>
      </c>
    </row>
    <row r="7207" spans="1:5" x14ac:dyDescent="0.3">
      <c r="A7207" t="s">
        <v>107</v>
      </c>
      <c r="B7207" s="1">
        <v>44701</v>
      </c>
      <c r="C7207">
        <v>1</v>
      </c>
      <c r="D7207">
        <v>75.790000000000006</v>
      </c>
      <c r="E7207">
        <v>85</v>
      </c>
    </row>
    <row r="7208" spans="1:5" x14ac:dyDescent="0.3">
      <c r="A7208" t="s">
        <v>7</v>
      </c>
      <c r="B7208" s="1">
        <v>44701</v>
      </c>
      <c r="C7208">
        <v>1</v>
      </c>
      <c r="D7208">
        <v>87.6</v>
      </c>
      <c r="E7208">
        <v>103</v>
      </c>
    </row>
    <row r="7209" spans="1:5" x14ac:dyDescent="0.3">
      <c r="A7209" t="s">
        <v>127</v>
      </c>
      <c r="B7209" s="1">
        <v>44701</v>
      </c>
      <c r="C7209">
        <v>1</v>
      </c>
      <c r="D7209">
        <v>121.2</v>
      </c>
      <c r="E7209">
        <v>171</v>
      </c>
    </row>
    <row r="7210" spans="1:5" x14ac:dyDescent="0.3">
      <c r="A7210" t="s">
        <v>127</v>
      </c>
      <c r="B7210" s="1">
        <v>44701</v>
      </c>
      <c r="C7210">
        <v>1</v>
      </c>
      <c r="D7210">
        <v>121.06</v>
      </c>
      <c r="E7210">
        <v>176</v>
      </c>
    </row>
    <row r="7211" spans="1:5" x14ac:dyDescent="0.3">
      <c r="A7211" t="s">
        <v>138</v>
      </c>
      <c r="B7211" s="1">
        <v>44701</v>
      </c>
      <c r="C7211">
        <v>1</v>
      </c>
      <c r="D7211">
        <v>46.5</v>
      </c>
      <c r="E7211">
        <v>76</v>
      </c>
    </row>
    <row r="7212" spans="1:5" x14ac:dyDescent="0.3">
      <c r="A7212" t="s">
        <v>157</v>
      </c>
      <c r="B7212" s="1">
        <v>44701</v>
      </c>
      <c r="C7212">
        <v>2</v>
      </c>
      <c r="D7212">
        <v>12</v>
      </c>
      <c r="E7212">
        <v>20</v>
      </c>
    </row>
    <row r="7213" spans="1:5" x14ac:dyDescent="0.3">
      <c r="A7213" t="s">
        <v>129</v>
      </c>
      <c r="B7213" s="1">
        <v>44701</v>
      </c>
      <c r="C7213">
        <v>0.08</v>
      </c>
      <c r="D7213">
        <v>495.19</v>
      </c>
      <c r="E7213">
        <v>596</v>
      </c>
    </row>
    <row r="7214" spans="1:5" x14ac:dyDescent="0.3">
      <c r="A7214" t="s">
        <v>134</v>
      </c>
      <c r="B7214" s="1">
        <v>44701</v>
      </c>
      <c r="C7214">
        <v>1</v>
      </c>
      <c r="D7214">
        <v>26.87</v>
      </c>
      <c r="E7214">
        <v>41</v>
      </c>
    </row>
    <row r="7215" spans="1:5" x14ac:dyDescent="0.3">
      <c r="A7215" t="s">
        <v>134</v>
      </c>
      <c r="B7215" s="1">
        <v>44701</v>
      </c>
      <c r="C7215">
        <v>1</v>
      </c>
      <c r="D7215">
        <v>26.87</v>
      </c>
      <c r="E7215">
        <v>41</v>
      </c>
    </row>
    <row r="7216" spans="1:5" x14ac:dyDescent="0.3">
      <c r="A7216" t="s">
        <v>107</v>
      </c>
      <c r="B7216" s="1">
        <v>44701</v>
      </c>
      <c r="C7216">
        <v>1</v>
      </c>
      <c r="D7216">
        <v>69.41</v>
      </c>
      <c r="E7216">
        <v>86</v>
      </c>
    </row>
    <row r="7217" spans="1:5" x14ac:dyDescent="0.3">
      <c r="A7217" t="s">
        <v>122</v>
      </c>
      <c r="B7217" s="1">
        <v>44701</v>
      </c>
      <c r="C7217">
        <v>1</v>
      </c>
      <c r="D7217">
        <v>22.5</v>
      </c>
      <c r="E7217">
        <v>27</v>
      </c>
    </row>
    <row r="7218" spans="1:5" x14ac:dyDescent="0.3">
      <c r="A7218" t="s">
        <v>77</v>
      </c>
      <c r="B7218" s="1">
        <v>44701</v>
      </c>
      <c r="C7218">
        <v>1</v>
      </c>
      <c r="D7218">
        <v>57.35</v>
      </c>
      <c r="E7218">
        <v>72</v>
      </c>
    </row>
    <row r="7219" spans="1:5" x14ac:dyDescent="0.3">
      <c r="A7219" t="s">
        <v>77</v>
      </c>
      <c r="B7219" s="1">
        <v>44701</v>
      </c>
      <c r="C7219">
        <v>1</v>
      </c>
      <c r="D7219">
        <v>60.3</v>
      </c>
      <c r="E7219">
        <v>75</v>
      </c>
    </row>
    <row r="7220" spans="1:5" x14ac:dyDescent="0.3">
      <c r="A7220" t="s">
        <v>12</v>
      </c>
      <c r="B7220" s="1">
        <v>44701</v>
      </c>
      <c r="C7220">
        <v>1</v>
      </c>
      <c r="D7220">
        <v>56.84</v>
      </c>
      <c r="E7220">
        <v>70</v>
      </c>
    </row>
    <row r="7221" spans="1:5" x14ac:dyDescent="0.3">
      <c r="A7221" t="s">
        <v>148</v>
      </c>
      <c r="B7221" s="1">
        <v>44701</v>
      </c>
      <c r="C7221">
        <v>1</v>
      </c>
      <c r="D7221">
        <v>37.75</v>
      </c>
      <c r="E7221">
        <v>58</v>
      </c>
    </row>
    <row r="7222" spans="1:5" x14ac:dyDescent="0.3">
      <c r="A7222" t="s">
        <v>27</v>
      </c>
      <c r="B7222" s="1">
        <v>44701</v>
      </c>
      <c r="C7222">
        <v>1</v>
      </c>
      <c r="D7222">
        <v>106.88</v>
      </c>
      <c r="E7222">
        <v>164</v>
      </c>
    </row>
    <row r="7223" spans="1:5" x14ac:dyDescent="0.3">
      <c r="A7223" t="s">
        <v>148</v>
      </c>
      <c r="B7223" s="1">
        <v>44701</v>
      </c>
      <c r="C7223">
        <v>1</v>
      </c>
      <c r="D7223">
        <v>37.75</v>
      </c>
      <c r="E7223">
        <v>58</v>
      </c>
    </row>
    <row r="7224" spans="1:5" x14ac:dyDescent="0.3">
      <c r="A7224" t="s">
        <v>98</v>
      </c>
      <c r="B7224" s="1">
        <v>44701</v>
      </c>
      <c r="C7224">
        <v>1</v>
      </c>
      <c r="D7224">
        <v>110.86</v>
      </c>
      <c r="E7224">
        <v>134</v>
      </c>
    </row>
    <row r="7225" spans="1:5" x14ac:dyDescent="0.3">
      <c r="A7225" t="s">
        <v>19</v>
      </c>
      <c r="B7225" s="1">
        <v>44701</v>
      </c>
      <c r="C7225">
        <v>1</v>
      </c>
      <c r="D7225">
        <v>81.95</v>
      </c>
      <c r="E7225">
        <v>104</v>
      </c>
    </row>
    <row r="7226" spans="1:5" x14ac:dyDescent="0.3">
      <c r="A7226" t="s">
        <v>45</v>
      </c>
      <c r="B7226" s="1">
        <v>44701</v>
      </c>
      <c r="C7226">
        <v>2</v>
      </c>
      <c r="D7226">
        <v>27.21</v>
      </c>
      <c r="E7226">
        <v>44</v>
      </c>
    </row>
    <row r="7227" spans="1:5" x14ac:dyDescent="0.3">
      <c r="A7227" t="s">
        <v>50</v>
      </c>
      <c r="B7227" s="1">
        <v>44701</v>
      </c>
      <c r="C7227">
        <v>1</v>
      </c>
      <c r="D7227">
        <v>44.86</v>
      </c>
      <c r="E7227">
        <v>56</v>
      </c>
    </row>
    <row r="7228" spans="1:5" x14ac:dyDescent="0.3">
      <c r="A7228" t="s">
        <v>100</v>
      </c>
      <c r="B7228" s="1">
        <v>44701</v>
      </c>
      <c r="C7228">
        <v>1</v>
      </c>
      <c r="D7228">
        <v>39.49</v>
      </c>
      <c r="E7228">
        <v>61</v>
      </c>
    </row>
    <row r="7229" spans="1:5" x14ac:dyDescent="0.3">
      <c r="A7229" t="s">
        <v>64</v>
      </c>
      <c r="B7229" s="1">
        <v>44701</v>
      </c>
      <c r="C7229">
        <v>1</v>
      </c>
      <c r="D7229">
        <v>201</v>
      </c>
      <c r="E7229">
        <v>266</v>
      </c>
    </row>
    <row r="7230" spans="1:5" x14ac:dyDescent="0.3">
      <c r="A7230" t="s">
        <v>160</v>
      </c>
      <c r="B7230" s="1">
        <v>44701</v>
      </c>
      <c r="C7230">
        <v>1</v>
      </c>
      <c r="D7230">
        <v>80.73</v>
      </c>
      <c r="E7230">
        <v>98</v>
      </c>
    </row>
    <row r="7231" spans="1:5" x14ac:dyDescent="0.3">
      <c r="A7231" t="s">
        <v>34</v>
      </c>
      <c r="B7231" s="1">
        <v>44701</v>
      </c>
      <c r="C7231">
        <v>1</v>
      </c>
      <c r="D7231">
        <v>199.32</v>
      </c>
      <c r="E7231">
        <v>230</v>
      </c>
    </row>
    <row r="7232" spans="1:5" x14ac:dyDescent="0.3">
      <c r="A7232" t="s">
        <v>89</v>
      </c>
      <c r="B7232" s="1">
        <v>44701</v>
      </c>
      <c r="C7232">
        <v>1</v>
      </c>
      <c r="D7232">
        <v>80.62</v>
      </c>
      <c r="E7232">
        <v>115</v>
      </c>
    </row>
    <row r="7233" spans="1:5" x14ac:dyDescent="0.3">
      <c r="A7233" t="s">
        <v>66</v>
      </c>
      <c r="B7233" s="1">
        <v>44701</v>
      </c>
      <c r="C7233">
        <v>1</v>
      </c>
      <c r="D7233">
        <v>30.56</v>
      </c>
      <c r="E7233">
        <v>36</v>
      </c>
    </row>
    <row r="7234" spans="1:5" x14ac:dyDescent="0.3">
      <c r="A7234" t="s">
        <v>66</v>
      </c>
      <c r="B7234" s="1">
        <v>44701</v>
      </c>
      <c r="C7234">
        <v>1</v>
      </c>
      <c r="D7234">
        <v>30.56</v>
      </c>
      <c r="E7234">
        <v>36</v>
      </c>
    </row>
    <row r="7235" spans="1:5" x14ac:dyDescent="0.3">
      <c r="A7235" t="s">
        <v>8</v>
      </c>
      <c r="B7235" s="1">
        <v>44701</v>
      </c>
      <c r="C7235">
        <v>1</v>
      </c>
      <c r="D7235">
        <v>47.83</v>
      </c>
      <c r="E7235">
        <v>77</v>
      </c>
    </row>
    <row r="7236" spans="1:5" x14ac:dyDescent="0.3">
      <c r="A7236" t="s">
        <v>66</v>
      </c>
      <c r="B7236" s="1">
        <v>44701</v>
      </c>
      <c r="C7236">
        <v>1</v>
      </c>
      <c r="D7236">
        <v>30.56</v>
      </c>
      <c r="E7236">
        <v>36</v>
      </c>
    </row>
    <row r="7237" spans="1:5" x14ac:dyDescent="0.3">
      <c r="A7237" t="s">
        <v>66</v>
      </c>
      <c r="B7237" s="1">
        <v>44701</v>
      </c>
      <c r="C7237">
        <v>1</v>
      </c>
      <c r="D7237">
        <v>30.56</v>
      </c>
      <c r="E7237">
        <v>36</v>
      </c>
    </row>
    <row r="7238" spans="1:5" x14ac:dyDescent="0.3">
      <c r="A7238" t="s">
        <v>66</v>
      </c>
      <c r="B7238" s="1">
        <v>44701</v>
      </c>
      <c r="C7238">
        <v>1</v>
      </c>
      <c r="D7238">
        <v>30.56</v>
      </c>
      <c r="E7238">
        <v>36</v>
      </c>
    </row>
    <row r="7239" spans="1:5" x14ac:dyDescent="0.3">
      <c r="A7239" t="s">
        <v>149</v>
      </c>
      <c r="B7239" s="1">
        <v>44701</v>
      </c>
      <c r="C7239">
        <v>1</v>
      </c>
      <c r="D7239">
        <v>223.14</v>
      </c>
      <c r="E7239">
        <v>313</v>
      </c>
    </row>
    <row r="7240" spans="1:5" x14ac:dyDescent="0.3">
      <c r="A7240" t="s">
        <v>149</v>
      </c>
      <c r="B7240" s="1">
        <v>44701</v>
      </c>
      <c r="C7240">
        <v>1</v>
      </c>
      <c r="D7240">
        <v>223.14</v>
      </c>
      <c r="E7240">
        <v>313</v>
      </c>
    </row>
    <row r="7241" spans="1:5" x14ac:dyDescent="0.3">
      <c r="A7241" t="s">
        <v>28</v>
      </c>
      <c r="B7241" s="1">
        <v>44701</v>
      </c>
      <c r="C7241">
        <v>1</v>
      </c>
      <c r="D7241">
        <v>150.03</v>
      </c>
      <c r="E7241">
        <v>209</v>
      </c>
    </row>
    <row r="7242" spans="1:5" x14ac:dyDescent="0.3">
      <c r="A7242" t="s">
        <v>91</v>
      </c>
      <c r="B7242" s="1">
        <v>44701</v>
      </c>
      <c r="C7242">
        <v>1</v>
      </c>
      <c r="D7242">
        <v>35.340000000000003</v>
      </c>
      <c r="E7242">
        <v>58</v>
      </c>
    </row>
    <row r="7243" spans="1:5" x14ac:dyDescent="0.3">
      <c r="A7243" t="s">
        <v>7</v>
      </c>
      <c r="B7243" s="1">
        <v>44701</v>
      </c>
      <c r="C7243">
        <v>1</v>
      </c>
      <c r="D7243">
        <v>89.27</v>
      </c>
      <c r="E7243">
        <v>113</v>
      </c>
    </row>
    <row r="7244" spans="1:5" x14ac:dyDescent="0.3">
      <c r="A7244" t="s">
        <v>45</v>
      </c>
      <c r="B7244" s="1">
        <v>44701</v>
      </c>
      <c r="C7244">
        <v>3</v>
      </c>
      <c r="D7244">
        <v>29.26</v>
      </c>
      <c r="E7244">
        <v>48</v>
      </c>
    </row>
    <row r="7245" spans="1:5" x14ac:dyDescent="0.3">
      <c r="A7245" t="s">
        <v>45</v>
      </c>
      <c r="B7245" s="1">
        <v>44701</v>
      </c>
      <c r="C7245">
        <v>7</v>
      </c>
      <c r="D7245">
        <v>25.36</v>
      </c>
      <c r="E7245">
        <v>42</v>
      </c>
    </row>
    <row r="7246" spans="1:5" x14ac:dyDescent="0.3">
      <c r="A7246" t="s">
        <v>148</v>
      </c>
      <c r="B7246" s="1">
        <v>44701</v>
      </c>
      <c r="C7246">
        <v>1</v>
      </c>
      <c r="D7246">
        <v>37.75</v>
      </c>
      <c r="E7246">
        <v>58</v>
      </c>
    </row>
    <row r="7247" spans="1:5" x14ac:dyDescent="0.3">
      <c r="A7247" t="s">
        <v>148</v>
      </c>
      <c r="B7247" s="1">
        <v>44701</v>
      </c>
      <c r="C7247">
        <v>1</v>
      </c>
      <c r="D7247">
        <v>37.75</v>
      </c>
      <c r="E7247">
        <v>58</v>
      </c>
    </row>
    <row r="7248" spans="1:5" x14ac:dyDescent="0.3">
      <c r="A7248" t="s">
        <v>151</v>
      </c>
      <c r="B7248" s="1">
        <v>44701</v>
      </c>
      <c r="C7248">
        <v>1</v>
      </c>
      <c r="D7248">
        <v>23.23</v>
      </c>
      <c r="E7248">
        <v>29</v>
      </c>
    </row>
    <row r="7249" spans="1:5" x14ac:dyDescent="0.3">
      <c r="A7249" t="s">
        <v>151</v>
      </c>
      <c r="B7249" s="1">
        <v>44701</v>
      </c>
      <c r="C7249">
        <v>1</v>
      </c>
      <c r="D7249">
        <v>23.23</v>
      </c>
      <c r="E7249">
        <v>29</v>
      </c>
    </row>
    <row r="7250" spans="1:5" x14ac:dyDescent="0.3">
      <c r="A7250" t="s">
        <v>151</v>
      </c>
      <c r="B7250" s="1">
        <v>44701</v>
      </c>
      <c r="C7250">
        <v>1</v>
      </c>
      <c r="D7250">
        <v>26.8</v>
      </c>
      <c r="E7250">
        <v>32</v>
      </c>
    </row>
    <row r="7251" spans="1:5" x14ac:dyDescent="0.3">
      <c r="A7251" t="s">
        <v>151</v>
      </c>
      <c r="B7251" s="1">
        <v>44701</v>
      </c>
      <c r="C7251">
        <v>1</v>
      </c>
      <c r="D7251">
        <v>26.8</v>
      </c>
      <c r="E7251">
        <v>32</v>
      </c>
    </row>
    <row r="7252" spans="1:5" x14ac:dyDescent="0.3">
      <c r="A7252" t="s">
        <v>151</v>
      </c>
      <c r="B7252" s="1">
        <v>44701</v>
      </c>
      <c r="C7252">
        <v>1</v>
      </c>
      <c r="D7252">
        <v>26.8</v>
      </c>
      <c r="E7252">
        <v>32</v>
      </c>
    </row>
    <row r="7253" spans="1:5" x14ac:dyDescent="0.3">
      <c r="A7253" t="s">
        <v>116</v>
      </c>
      <c r="B7253" s="1">
        <v>44701</v>
      </c>
      <c r="C7253">
        <v>1</v>
      </c>
      <c r="D7253">
        <v>109.07</v>
      </c>
      <c r="E7253">
        <v>128</v>
      </c>
    </row>
    <row r="7254" spans="1:5" x14ac:dyDescent="0.3">
      <c r="A7254" t="s">
        <v>112</v>
      </c>
      <c r="B7254" s="1">
        <v>44701</v>
      </c>
      <c r="C7254">
        <v>1</v>
      </c>
      <c r="D7254">
        <v>281.47000000000003</v>
      </c>
      <c r="E7254">
        <v>334</v>
      </c>
    </row>
    <row r="7255" spans="1:5" x14ac:dyDescent="0.3">
      <c r="A7255" t="s">
        <v>156</v>
      </c>
      <c r="B7255" s="1">
        <v>44701</v>
      </c>
      <c r="C7255">
        <v>1</v>
      </c>
      <c r="D7255">
        <v>279.88</v>
      </c>
      <c r="E7255">
        <v>392</v>
      </c>
    </row>
    <row r="7256" spans="1:5" x14ac:dyDescent="0.3">
      <c r="A7256" t="s">
        <v>57</v>
      </c>
      <c r="B7256" s="1">
        <v>44701</v>
      </c>
      <c r="C7256">
        <v>1</v>
      </c>
      <c r="D7256">
        <v>232.47</v>
      </c>
      <c r="E7256">
        <v>272</v>
      </c>
    </row>
    <row r="7257" spans="1:5" x14ac:dyDescent="0.3">
      <c r="A7257" t="s">
        <v>5</v>
      </c>
      <c r="B7257" s="1">
        <v>44701</v>
      </c>
      <c r="C7257">
        <v>1</v>
      </c>
      <c r="D7257">
        <v>145.6</v>
      </c>
      <c r="E7257">
        <v>172</v>
      </c>
    </row>
    <row r="7258" spans="1:5" x14ac:dyDescent="0.3">
      <c r="A7258" t="s">
        <v>5</v>
      </c>
      <c r="B7258" s="1">
        <v>44701</v>
      </c>
      <c r="C7258">
        <v>1</v>
      </c>
      <c r="D7258">
        <v>145.6</v>
      </c>
      <c r="E7258">
        <v>172</v>
      </c>
    </row>
    <row r="7259" spans="1:5" x14ac:dyDescent="0.3">
      <c r="A7259" t="s">
        <v>21</v>
      </c>
      <c r="B7259" s="1">
        <v>44701</v>
      </c>
      <c r="C7259">
        <v>1</v>
      </c>
      <c r="D7259">
        <v>182.55</v>
      </c>
      <c r="E7259">
        <v>251</v>
      </c>
    </row>
    <row r="7260" spans="1:5" x14ac:dyDescent="0.3">
      <c r="A7260" t="s">
        <v>90</v>
      </c>
      <c r="B7260" s="1">
        <v>44701</v>
      </c>
      <c r="C7260">
        <v>1</v>
      </c>
      <c r="D7260">
        <v>384.2</v>
      </c>
      <c r="E7260">
        <v>462</v>
      </c>
    </row>
    <row r="7261" spans="1:5" x14ac:dyDescent="0.3">
      <c r="A7261" t="s">
        <v>59</v>
      </c>
      <c r="B7261" s="1">
        <v>44701</v>
      </c>
      <c r="C7261">
        <v>1</v>
      </c>
      <c r="D7261">
        <v>13.11</v>
      </c>
      <c r="E7261">
        <v>21</v>
      </c>
    </row>
    <row r="7262" spans="1:5" x14ac:dyDescent="0.3">
      <c r="A7262" t="s">
        <v>74</v>
      </c>
      <c r="B7262" s="1">
        <v>44701</v>
      </c>
      <c r="C7262">
        <v>1</v>
      </c>
      <c r="D7262">
        <v>88.04</v>
      </c>
      <c r="E7262">
        <v>110</v>
      </c>
    </row>
    <row r="7263" spans="1:5" x14ac:dyDescent="0.3">
      <c r="A7263" t="s">
        <v>43</v>
      </c>
      <c r="B7263" s="1">
        <v>44701</v>
      </c>
      <c r="C7263">
        <v>1</v>
      </c>
      <c r="D7263">
        <v>146.88999999999999</v>
      </c>
      <c r="E7263">
        <v>174</v>
      </c>
    </row>
    <row r="7264" spans="1:5" x14ac:dyDescent="0.3">
      <c r="A7264" t="s">
        <v>89</v>
      </c>
      <c r="B7264" s="1">
        <v>44701</v>
      </c>
      <c r="C7264">
        <v>1</v>
      </c>
      <c r="D7264">
        <v>80.62</v>
      </c>
      <c r="E7264">
        <v>115</v>
      </c>
    </row>
    <row r="7265" spans="1:5" x14ac:dyDescent="0.3">
      <c r="A7265" t="s">
        <v>56</v>
      </c>
      <c r="B7265" s="1">
        <v>44701</v>
      </c>
      <c r="C7265">
        <v>1</v>
      </c>
      <c r="D7265">
        <v>43.97</v>
      </c>
      <c r="E7265">
        <v>69</v>
      </c>
    </row>
    <row r="7266" spans="1:5" x14ac:dyDescent="0.3">
      <c r="A7266" t="s">
        <v>88</v>
      </c>
      <c r="B7266" s="1">
        <v>44701</v>
      </c>
      <c r="C7266">
        <v>1</v>
      </c>
      <c r="D7266">
        <v>108</v>
      </c>
      <c r="E7266">
        <v>165</v>
      </c>
    </row>
    <row r="7267" spans="1:5" x14ac:dyDescent="0.3">
      <c r="A7267" t="s">
        <v>7</v>
      </c>
      <c r="B7267" s="1">
        <v>44701</v>
      </c>
      <c r="C7267">
        <v>1</v>
      </c>
      <c r="D7267">
        <v>89.27</v>
      </c>
      <c r="E7267">
        <v>113</v>
      </c>
    </row>
    <row r="7268" spans="1:5" x14ac:dyDescent="0.3">
      <c r="A7268" t="s">
        <v>7</v>
      </c>
      <c r="B7268" s="1">
        <v>44701</v>
      </c>
      <c r="C7268">
        <v>1</v>
      </c>
      <c r="D7268">
        <v>89.27</v>
      </c>
      <c r="E7268">
        <v>113</v>
      </c>
    </row>
    <row r="7269" spans="1:5" x14ac:dyDescent="0.3">
      <c r="A7269" t="s">
        <v>7</v>
      </c>
      <c r="B7269" s="1">
        <v>44701</v>
      </c>
      <c r="C7269">
        <v>1</v>
      </c>
      <c r="D7269">
        <v>89.27</v>
      </c>
      <c r="E7269">
        <v>113</v>
      </c>
    </row>
    <row r="7270" spans="1:5" x14ac:dyDescent="0.3">
      <c r="A7270" t="s">
        <v>97</v>
      </c>
      <c r="B7270" s="1">
        <v>44701</v>
      </c>
      <c r="C7270">
        <v>1</v>
      </c>
      <c r="D7270">
        <v>416.67</v>
      </c>
      <c r="E7270">
        <v>550</v>
      </c>
    </row>
    <row r="7271" spans="1:5" x14ac:dyDescent="0.3">
      <c r="A7271" t="s">
        <v>67</v>
      </c>
      <c r="B7271" s="1">
        <v>44701</v>
      </c>
      <c r="C7271">
        <v>1</v>
      </c>
      <c r="D7271">
        <v>55.04</v>
      </c>
      <c r="E7271">
        <v>79</v>
      </c>
    </row>
    <row r="7272" spans="1:5" x14ac:dyDescent="0.3">
      <c r="A7272" t="s">
        <v>67</v>
      </c>
      <c r="B7272" s="1">
        <v>44701</v>
      </c>
      <c r="C7272">
        <v>1</v>
      </c>
      <c r="D7272">
        <v>55.04</v>
      </c>
      <c r="E7272">
        <v>79</v>
      </c>
    </row>
    <row r="7273" spans="1:5" x14ac:dyDescent="0.3">
      <c r="A7273" t="s">
        <v>67</v>
      </c>
      <c r="B7273" s="1">
        <v>44701</v>
      </c>
      <c r="C7273">
        <v>1</v>
      </c>
      <c r="D7273">
        <v>55.04</v>
      </c>
      <c r="E7273">
        <v>79</v>
      </c>
    </row>
    <row r="7274" spans="1:5" x14ac:dyDescent="0.3">
      <c r="A7274" t="s">
        <v>84</v>
      </c>
      <c r="B7274" s="1">
        <v>44701</v>
      </c>
      <c r="C7274">
        <v>1</v>
      </c>
      <c r="D7274">
        <v>175.74</v>
      </c>
      <c r="E7274">
        <v>220</v>
      </c>
    </row>
    <row r="7275" spans="1:5" x14ac:dyDescent="0.3">
      <c r="A7275" t="s">
        <v>30</v>
      </c>
      <c r="B7275" s="1">
        <v>44701</v>
      </c>
      <c r="C7275">
        <v>1</v>
      </c>
      <c r="D7275">
        <v>156.19999999999999</v>
      </c>
      <c r="E7275">
        <v>189</v>
      </c>
    </row>
    <row r="7276" spans="1:5" x14ac:dyDescent="0.3">
      <c r="A7276" t="s">
        <v>93</v>
      </c>
      <c r="B7276" s="1">
        <v>44701</v>
      </c>
      <c r="C7276">
        <v>1</v>
      </c>
      <c r="D7276">
        <v>65.400000000000006</v>
      </c>
      <c r="E7276">
        <v>93</v>
      </c>
    </row>
    <row r="7277" spans="1:5" x14ac:dyDescent="0.3">
      <c r="A7277" t="s">
        <v>119</v>
      </c>
      <c r="B7277" s="1">
        <v>44701</v>
      </c>
      <c r="C7277">
        <v>3.5714299999999997E-2</v>
      </c>
      <c r="D7277">
        <v>628.24</v>
      </c>
      <c r="E7277">
        <v>694</v>
      </c>
    </row>
    <row r="7278" spans="1:5" x14ac:dyDescent="0.3">
      <c r="A7278" t="s">
        <v>150</v>
      </c>
      <c r="B7278" s="1">
        <v>44701</v>
      </c>
      <c r="C7278">
        <v>1</v>
      </c>
      <c r="D7278">
        <v>82.64</v>
      </c>
      <c r="E7278">
        <v>129</v>
      </c>
    </row>
    <row r="7279" spans="1:5" x14ac:dyDescent="0.3">
      <c r="A7279" t="s">
        <v>117</v>
      </c>
      <c r="B7279" s="1">
        <v>44701</v>
      </c>
      <c r="C7279">
        <v>1</v>
      </c>
      <c r="D7279">
        <v>23.14</v>
      </c>
      <c r="E7279">
        <v>28</v>
      </c>
    </row>
    <row r="7280" spans="1:5" x14ac:dyDescent="0.3">
      <c r="A7280" t="s">
        <v>107</v>
      </c>
      <c r="B7280" s="1">
        <v>44701</v>
      </c>
      <c r="C7280">
        <v>1</v>
      </c>
      <c r="D7280">
        <v>77.989999999999995</v>
      </c>
      <c r="E7280">
        <v>95</v>
      </c>
    </row>
    <row r="7281" spans="1:5" x14ac:dyDescent="0.3">
      <c r="A7281" t="s">
        <v>136</v>
      </c>
      <c r="B7281" s="1">
        <v>44701</v>
      </c>
      <c r="C7281">
        <v>1</v>
      </c>
      <c r="D7281">
        <v>320.64999999999998</v>
      </c>
      <c r="E7281">
        <v>443</v>
      </c>
    </row>
    <row r="7282" spans="1:5" x14ac:dyDescent="0.3">
      <c r="A7282" t="s">
        <v>25</v>
      </c>
      <c r="B7282" s="1">
        <v>44701</v>
      </c>
      <c r="C7282">
        <v>1</v>
      </c>
      <c r="D7282">
        <v>147.18</v>
      </c>
      <c r="E7282">
        <v>177</v>
      </c>
    </row>
    <row r="7283" spans="1:5" x14ac:dyDescent="0.3">
      <c r="A7283" t="s">
        <v>26</v>
      </c>
      <c r="B7283" s="1">
        <v>44701</v>
      </c>
      <c r="C7283">
        <v>0.2</v>
      </c>
      <c r="D7283">
        <v>1026.1199999999999</v>
      </c>
      <c r="E7283">
        <v>1283</v>
      </c>
    </row>
    <row r="7284" spans="1:5" x14ac:dyDescent="0.3">
      <c r="A7284" t="s">
        <v>134</v>
      </c>
      <c r="B7284" s="1">
        <v>44701</v>
      </c>
      <c r="C7284">
        <v>1</v>
      </c>
      <c r="D7284">
        <v>30.95</v>
      </c>
      <c r="E7284">
        <v>48</v>
      </c>
    </row>
    <row r="7285" spans="1:5" x14ac:dyDescent="0.3">
      <c r="A7285" t="s">
        <v>134</v>
      </c>
      <c r="B7285" s="1">
        <v>44701</v>
      </c>
      <c r="C7285">
        <v>1</v>
      </c>
      <c r="D7285">
        <v>30.95</v>
      </c>
      <c r="E7285">
        <v>48</v>
      </c>
    </row>
    <row r="7286" spans="1:5" x14ac:dyDescent="0.3">
      <c r="A7286" t="s">
        <v>90</v>
      </c>
      <c r="B7286" s="1">
        <v>44701</v>
      </c>
      <c r="C7286">
        <v>1</v>
      </c>
      <c r="D7286">
        <v>391.02</v>
      </c>
      <c r="E7286">
        <v>481</v>
      </c>
    </row>
    <row r="7287" spans="1:5" x14ac:dyDescent="0.3">
      <c r="A7287" t="s">
        <v>78</v>
      </c>
      <c r="B7287" s="1">
        <v>44701</v>
      </c>
      <c r="C7287">
        <v>1</v>
      </c>
      <c r="D7287">
        <v>79.3</v>
      </c>
      <c r="E7287">
        <v>100</v>
      </c>
    </row>
    <row r="7288" spans="1:5" x14ac:dyDescent="0.3">
      <c r="A7288" t="s">
        <v>90</v>
      </c>
      <c r="B7288" s="1">
        <v>44701</v>
      </c>
      <c r="C7288">
        <v>1</v>
      </c>
      <c r="D7288">
        <v>384.2</v>
      </c>
      <c r="E7288">
        <v>473</v>
      </c>
    </row>
    <row r="7289" spans="1:5" x14ac:dyDescent="0.3">
      <c r="A7289" t="s">
        <v>66</v>
      </c>
      <c r="B7289" s="1">
        <v>44701</v>
      </c>
      <c r="C7289">
        <v>1</v>
      </c>
      <c r="D7289">
        <v>30.6</v>
      </c>
      <c r="E7289">
        <v>36</v>
      </c>
    </row>
    <row r="7290" spans="1:5" x14ac:dyDescent="0.3">
      <c r="A7290" t="s">
        <v>66</v>
      </c>
      <c r="B7290" s="1">
        <v>44701</v>
      </c>
      <c r="C7290">
        <v>1</v>
      </c>
      <c r="D7290">
        <v>30.6</v>
      </c>
      <c r="E7290">
        <v>36</v>
      </c>
    </row>
    <row r="7291" spans="1:5" x14ac:dyDescent="0.3">
      <c r="A7291" t="s">
        <v>66</v>
      </c>
      <c r="B7291" s="1">
        <v>44701</v>
      </c>
      <c r="C7291">
        <v>1</v>
      </c>
      <c r="D7291">
        <v>30.6</v>
      </c>
      <c r="E7291">
        <v>36</v>
      </c>
    </row>
    <row r="7292" spans="1:5" x14ac:dyDescent="0.3">
      <c r="A7292" t="s">
        <v>66</v>
      </c>
      <c r="B7292" s="1">
        <v>44701</v>
      </c>
      <c r="C7292">
        <v>1</v>
      </c>
      <c r="D7292">
        <v>30.6</v>
      </c>
      <c r="E7292">
        <v>36</v>
      </c>
    </row>
    <row r="7293" spans="1:5" x14ac:dyDescent="0.3">
      <c r="A7293" t="s">
        <v>66</v>
      </c>
      <c r="B7293" s="1">
        <v>44701</v>
      </c>
      <c r="C7293">
        <v>1</v>
      </c>
      <c r="D7293">
        <v>30.6</v>
      </c>
      <c r="E7293">
        <v>36</v>
      </c>
    </row>
    <row r="7294" spans="1:5" x14ac:dyDescent="0.3">
      <c r="A7294" t="s">
        <v>66</v>
      </c>
      <c r="B7294" s="1">
        <v>44701</v>
      </c>
      <c r="C7294">
        <v>1</v>
      </c>
      <c r="D7294">
        <v>30.6</v>
      </c>
      <c r="E7294">
        <v>36</v>
      </c>
    </row>
    <row r="7295" spans="1:5" x14ac:dyDescent="0.3">
      <c r="A7295" t="s">
        <v>66</v>
      </c>
      <c r="B7295" s="1">
        <v>44701</v>
      </c>
      <c r="C7295">
        <v>1</v>
      </c>
      <c r="D7295">
        <v>30.6</v>
      </c>
      <c r="E7295">
        <v>36</v>
      </c>
    </row>
    <row r="7296" spans="1:5" x14ac:dyDescent="0.3">
      <c r="A7296" t="s">
        <v>66</v>
      </c>
      <c r="B7296" s="1">
        <v>44701</v>
      </c>
      <c r="C7296">
        <v>1</v>
      </c>
      <c r="D7296">
        <v>30.6</v>
      </c>
      <c r="E7296">
        <v>36</v>
      </c>
    </row>
    <row r="7297" spans="1:5" x14ac:dyDescent="0.3">
      <c r="A7297" t="s">
        <v>66</v>
      </c>
      <c r="B7297" s="1">
        <v>44701</v>
      </c>
      <c r="C7297">
        <v>1</v>
      </c>
      <c r="D7297">
        <v>30.6</v>
      </c>
      <c r="E7297">
        <v>36</v>
      </c>
    </row>
    <row r="7298" spans="1:5" x14ac:dyDescent="0.3">
      <c r="A7298" t="s">
        <v>66</v>
      </c>
      <c r="B7298" s="1">
        <v>44701</v>
      </c>
      <c r="C7298">
        <v>1</v>
      </c>
      <c r="D7298">
        <v>30.6</v>
      </c>
      <c r="E7298">
        <v>36</v>
      </c>
    </row>
    <row r="7299" spans="1:5" x14ac:dyDescent="0.3">
      <c r="A7299" t="s">
        <v>7</v>
      </c>
      <c r="B7299" s="1">
        <v>44701</v>
      </c>
      <c r="C7299">
        <v>1</v>
      </c>
      <c r="D7299">
        <v>89.27</v>
      </c>
      <c r="E7299">
        <v>113</v>
      </c>
    </row>
    <row r="7300" spans="1:5" x14ac:dyDescent="0.3">
      <c r="A7300" t="s">
        <v>62</v>
      </c>
      <c r="B7300" s="1">
        <v>44701</v>
      </c>
      <c r="C7300">
        <v>1</v>
      </c>
      <c r="D7300">
        <v>24.97</v>
      </c>
      <c r="E7300">
        <v>30</v>
      </c>
    </row>
    <row r="7301" spans="1:5" x14ac:dyDescent="0.3">
      <c r="A7301" t="s">
        <v>62</v>
      </c>
      <c r="B7301" s="1">
        <v>44701</v>
      </c>
      <c r="C7301">
        <v>1</v>
      </c>
      <c r="D7301">
        <v>24.97</v>
      </c>
      <c r="E7301">
        <v>30</v>
      </c>
    </row>
    <row r="7302" spans="1:5" x14ac:dyDescent="0.3">
      <c r="A7302" t="s">
        <v>62</v>
      </c>
      <c r="B7302" s="1">
        <v>44701</v>
      </c>
      <c r="C7302">
        <v>1</v>
      </c>
      <c r="D7302">
        <v>24.97</v>
      </c>
      <c r="E7302">
        <v>30</v>
      </c>
    </row>
    <row r="7303" spans="1:5" x14ac:dyDescent="0.3">
      <c r="A7303" t="s">
        <v>62</v>
      </c>
      <c r="B7303" s="1">
        <v>44701</v>
      </c>
      <c r="C7303">
        <v>1</v>
      </c>
      <c r="D7303">
        <v>24.97</v>
      </c>
      <c r="E7303">
        <v>30</v>
      </c>
    </row>
    <row r="7304" spans="1:5" x14ac:dyDescent="0.3">
      <c r="A7304" t="s">
        <v>62</v>
      </c>
      <c r="B7304" s="1">
        <v>44701</v>
      </c>
      <c r="C7304">
        <v>1</v>
      </c>
      <c r="D7304">
        <v>24.97</v>
      </c>
      <c r="E7304">
        <v>30</v>
      </c>
    </row>
    <row r="7305" spans="1:5" x14ac:dyDescent="0.3">
      <c r="A7305" t="s">
        <v>46</v>
      </c>
      <c r="B7305" s="1">
        <v>44701</v>
      </c>
      <c r="C7305">
        <v>1</v>
      </c>
      <c r="D7305">
        <v>19.420000000000002</v>
      </c>
      <c r="E7305">
        <v>24</v>
      </c>
    </row>
    <row r="7306" spans="1:5" x14ac:dyDescent="0.3">
      <c r="A7306" t="s">
        <v>49</v>
      </c>
      <c r="B7306" s="1">
        <v>44701</v>
      </c>
      <c r="C7306">
        <v>1</v>
      </c>
      <c r="D7306">
        <v>16.25</v>
      </c>
      <c r="E7306">
        <v>20</v>
      </c>
    </row>
    <row r="7307" spans="1:5" x14ac:dyDescent="0.3">
      <c r="A7307" t="s">
        <v>36</v>
      </c>
      <c r="B7307" s="1">
        <v>44701</v>
      </c>
      <c r="C7307">
        <v>1</v>
      </c>
      <c r="D7307">
        <v>22.2</v>
      </c>
      <c r="E7307">
        <v>28</v>
      </c>
    </row>
    <row r="7308" spans="1:5" x14ac:dyDescent="0.3">
      <c r="A7308" t="s">
        <v>20</v>
      </c>
      <c r="B7308" s="1">
        <v>44701</v>
      </c>
      <c r="C7308">
        <v>1</v>
      </c>
      <c r="D7308">
        <v>22.66</v>
      </c>
      <c r="E7308">
        <v>30</v>
      </c>
    </row>
    <row r="7309" spans="1:5" x14ac:dyDescent="0.3">
      <c r="A7309" t="s">
        <v>20</v>
      </c>
      <c r="B7309" s="1">
        <v>44701</v>
      </c>
      <c r="C7309">
        <v>1</v>
      </c>
      <c r="D7309">
        <v>22.66</v>
      </c>
      <c r="E7309">
        <v>30</v>
      </c>
    </row>
    <row r="7310" spans="1:5" x14ac:dyDescent="0.3">
      <c r="A7310" t="s">
        <v>37</v>
      </c>
      <c r="B7310" s="1">
        <v>44701</v>
      </c>
      <c r="C7310">
        <v>1</v>
      </c>
      <c r="D7310">
        <v>36.86</v>
      </c>
      <c r="E7310">
        <v>47</v>
      </c>
    </row>
    <row r="7311" spans="1:5" x14ac:dyDescent="0.3">
      <c r="A7311" t="s">
        <v>37</v>
      </c>
      <c r="B7311" s="1">
        <v>44701</v>
      </c>
      <c r="C7311">
        <v>1</v>
      </c>
      <c r="D7311">
        <v>36.86</v>
      </c>
      <c r="E7311">
        <v>47</v>
      </c>
    </row>
    <row r="7312" spans="1:5" x14ac:dyDescent="0.3">
      <c r="A7312" t="s">
        <v>37</v>
      </c>
      <c r="B7312" s="1">
        <v>44701</v>
      </c>
      <c r="C7312">
        <v>1</v>
      </c>
      <c r="D7312">
        <v>36.86</v>
      </c>
      <c r="E7312">
        <v>47</v>
      </c>
    </row>
    <row r="7313" spans="1:5" x14ac:dyDescent="0.3">
      <c r="A7313" t="s">
        <v>50</v>
      </c>
      <c r="B7313" s="1">
        <v>44701</v>
      </c>
      <c r="C7313">
        <v>1</v>
      </c>
      <c r="D7313">
        <v>43.86</v>
      </c>
      <c r="E7313">
        <v>56</v>
      </c>
    </row>
    <row r="7314" spans="1:5" x14ac:dyDescent="0.3">
      <c r="A7314" t="s">
        <v>87</v>
      </c>
      <c r="B7314" s="1">
        <v>44701</v>
      </c>
      <c r="C7314">
        <v>1</v>
      </c>
      <c r="D7314">
        <v>348.66</v>
      </c>
      <c r="E7314">
        <v>414</v>
      </c>
    </row>
    <row r="7315" spans="1:5" x14ac:dyDescent="0.3">
      <c r="A7315" t="s">
        <v>63</v>
      </c>
      <c r="B7315" s="1">
        <v>44701</v>
      </c>
      <c r="C7315">
        <v>1</v>
      </c>
      <c r="D7315">
        <v>71.38</v>
      </c>
      <c r="E7315">
        <v>86</v>
      </c>
    </row>
    <row r="7316" spans="1:5" x14ac:dyDescent="0.3">
      <c r="A7316" t="s">
        <v>63</v>
      </c>
      <c r="B7316" s="1">
        <v>44701</v>
      </c>
      <c r="C7316">
        <v>1</v>
      </c>
      <c r="D7316">
        <v>71.38</v>
      </c>
      <c r="E7316">
        <v>86</v>
      </c>
    </row>
    <row r="7317" spans="1:5" x14ac:dyDescent="0.3">
      <c r="A7317" t="s">
        <v>49</v>
      </c>
      <c r="B7317" s="1">
        <v>44701</v>
      </c>
      <c r="C7317">
        <v>1</v>
      </c>
      <c r="D7317">
        <v>16.02</v>
      </c>
      <c r="E7317">
        <v>19</v>
      </c>
    </row>
    <row r="7318" spans="1:5" x14ac:dyDescent="0.3">
      <c r="A7318" t="s">
        <v>49</v>
      </c>
      <c r="B7318" s="1">
        <v>44701</v>
      </c>
      <c r="C7318">
        <v>1</v>
      </c>
      <c r="D7318">
        <v>16.02</v>
      </c>
      <c r="E7318">
        <v>19</v>
      </c>
    </row>
    <row r="7319" spans="1:5" x14ac:dyDescent="0.3">
      <c r="A7319" t="s">
        <v>25</v>
      </c>
      <c r="B7319" s="1">
        <v>44701</v>
      </c>
      <c r="C7319">
        <v>1</v>
      </c>
      <c r="D7319">
        <v>147.18</v>
      </c>
      <c r="E7319">
        <v>177</v>
      </c>
    </row>
    <row r="7320" spans="1:5" x14ac:dyDescent="0.3">
      <c r="A7320" t="s">
        <v>25</v>
      </c>
      <c r="B7320" s="1">
        <v>44701</v>
      </c>
      <c r="C7320">
        <v>1</v>
      </c>
      <c r="D7320">
        <v>147.18</v>
      </c>
      <c r="E7320">
        <v>177</v>
      </c>
    </row>
    <row r="7321" spans="1:5" x14ac:dyDescent="0.3">
      <c r="A7321" t="s">
        <v>55</v>
      </c>
      <c r="B7321" s="1">
        <v>44701</v>
      </c>
      <c r="C7321">
        <v>1</v>
      </c>
      <c r="D7321">
        <v>77.510000000000005</v>
      </c>
      <c r="E7321">
        <v>94</v>
      </c>
    </row>
    <row r="7322" spans="1:5" x14ac:dyDescent="0.3">
      <c r="A7322" t="s">
        <v>55</v>
      </c>
      <c r="B7322" s="1">
        <v>44701</v>
      </c>
      <c r="C7322">
        <v>1</v>
      </c>
      <c r="D7322">
        <v>77.510000000000005</v>
      </c>
      <c r="E7322">
        <v>94</v>
      </c>
    </row>
    <row r="7323" spans="1:5" x14ac:dyDescent="0.3">
      <c r="A7323" t="s">
        <v>30</v>
      </c>
      <c r="B7323" s="1">
        <v>44701</v>
      </c>
      <c r="C7323">
        <v>1</v>
      </c>
      <c r="D7323">
        <v>156.19999999999999</v>
      </c>
      <c r="E7323">
        <v>186</v>
      </c>
    </row>
    <row r="7324" spans="1:5" x14ac:dyDescent="0.3">
      <c r="A7324" t="s">
        <v>30</v>
      </c>
      <c r="B7324" s="1">
        <v>44701</v>
      </c>
      <c r="C7324">
        <v>1</v>
      </c>
      <c r="D7324">
        <v>156.19999999999999</v>
      </c>
      <c r="E7324">
        <v>186</v>
      </c>
    </row>
    <row r="7325" spans="1:5" x14ac:dyDescent="0.3">
      <c r="A7325" t="s">
        <v>20</v>
      </c>
      <c r="B7325" s="1">
        <v>44701</v>
      </c>
      <c r="C7325">
        <v>1</v>
      </c>
      <c r="D7325">
        <v>19.66</v>
      </c>
      <c r="E7325">
        <v>25</v>
      </c>
    </row>
    <row r="7326" spans="1:5" x14ac:dyDescent="0.3">
      <c r="A7326" t="s">
        <v>20</v>
      </c>
      <c r="B7326" s="1">
        <v>44701</v>
      </c>
      <c r="C7326">
        <v>1</v>
      </c>
      <c r="D7326">
        <v>19.66</v>
      </c>
      <c r="E7326">
        <v>25</v>
      </c>
    </row>
    <row r="7327" spans="1:5" x14ac:dyDescent="0.3">
      <c r="A7327" t="s">
        <v>19</v>
      </c>
      <c r="B7327" s="1">
        <v>44701</v>
      </c>
      <c r="C7327">
        <v>1</v>
      </c>
      <c r="D7327">
        <v>81.73</v>
      </c>
      <c r="E7327">
        <v>102</v>
      </c>
    </row>
    <row r="7328" spans="1:5" x14ac:dyDescent="0.3">
      <c r="A7328" t="s">
        <v>25</v>
      </c>
      <c r="B7328" s="1">
        <v>44701</v>
      </c>
      <c r="C7328">
        <v>1</v>
      </c>
      <c r="D7328">
        <v>147.18</v>
      </c>
      <c r="E7328">
        <v>177</v>
      </c>
    </row>
    <row r="7329" spans="1:5" x14ac:dyDescent="0.3">
      <c r="A7329" t="s">
        <v>113</v>
      </c>
      <c r="B7329" s="1">
        <v>44701</v>
      </c>
      <c r="C7329">
        <v>1</v>
      </c>
      <c r="D7329">
        <v>125.55</v>
      </c>
      <c r="E7329">
        <v>175</v>
      </c>
    </row>
    <row r="7330" spans="1:5" x14ac:dyDescent="0.3">
      <c r="A7330" t="s">
        <v>117</v>
      </c>
      <c r="B7330" s="1">
        <v>44701</v>
      </c>
      <c r="C7330">
        <v>1</v>
      </c>
      <c r="D7330">
        <v>23.14</v>
      </c>
      <c r="E7330">
        <v>28</v>
      </c>
    </row>
    <row r="7331" spans="1:5" x14ac:dyDescent="0.3">
      <c r="A7331" t="s">
        <v>75</v>
      </c>
      <c r="B7331" s="1">
        <v>44701</v>
      </c>
      <c r="C7331">
        <v>0.18</v>
      </c>
      <c r="D7331">
        <v>466.1</v>
      </c>
      <c r="E7331">
        <v>709</v>
      </c>
    </row>
    <row r="7332" spans="1:5" x14ac:dyDescent="0.3">
      <c r="A7332" t="s">
        <v>75</v>
      </c>
      <c r="B7332" s="1">
        <v>44701</v>
      </c>
      <c r="C7332">
        <v>0.12</v>
      </c>
      <c r="D7332">
        <v>438.6</v>
      </c>
      <c r="E7332">
        <v>667</v>
      </c>
    </row>
    <row r="7333" spans="1:5" x14ac:dyDescent="0.3">
      <c r="A7333" t="s">
        <v>136</v>
      </c>
      <c r="B7333" s="1">
        <v>44701</v>
      </c>
      <c r="C7333">
        <v>1</v>
      </c>
      <c r="D7333">
        <v>286.11</v>
      </c>
      <c r="E7333">
        <v>381</v>
      </c>
    </row>
    <row r="7334" spans="1:5" x14ac:dyDescent="0.3">
      <c r="A7334" t="s">
        <v>136</v>
      </c>
      <c r="B7334" s="1">
        <v>44701</v>
      </c>
      <c r="C7334">
        <v>1</v>
      </c>
      <c r="D7334">
        <v>286.11</v>
      </c>
      <c r="E7334">
        <v>381</v>
      </c>
    </row>
    <row r="7335" spans="1:5" x14ac:dyDescent="0.3">
      <c r="A7335" t="s">
        <v>24</v>
      </c>
      <c r="B7335" s="1">
        <v>44701</v>
      </c>
      <c r="C7335">
        <v>1</v>
      </c>
      <c r="D7335">
        <v>98.67</v>
      </c>
      <c r="E7335">
        <v>115</v>
      </c>
    </row>
    <row r="7336" spans="1:5" x14ac:dyDescent="0.3">
      <c r="A7336" t="s">
        <v>8</v>
      </c>
      <c r="B7336" s="1">
        <v>44701</v>
      </c>
      <c r="C7336">
        <v>1</v>
      </c>
      <c r="D7336">
        <v>47.01</v>
      </c>
      <c r="E7336">
        <v>77</v>
      </c>
    </row>
    <row r="7337" spans="1:5" x14ac:dyDescent="0.3">
      <c r="A7337" t="s">
        <v>36</v>
      </c>
      <c r="B7337" s="1">
        <v>44701</v>
      </c>
      <c r="C7337">
        <v>1</v>
      </c>
      <c r="D7337">
        <v>22.53</v>
      </c>
      <c r="E7337">
        <v>30</v>
      </c>
    </row>
    <row r="7338" spans="1:5" x14ac:dyDescent="0.3">
      <c r="A7338" t="s">
        <v>81</v>
      </c>
      <c r="B7338" s="1">
        <v>44701</v>
      </c>
      <c r="C7338">
        <v>1</v>
      </c>
      <c r="D7338">
        <v>42.48</v>
      </c>
      <c r="E7338">
        <v>52</v>
      </c>
    </row>
    <row r="7339" spans="1:5" x14ac:dyDescent="0.3">
      <c r="A7339" t="s">
        <v>20</v>
      </c>
      <c r="B7339" s="1">
        <v>44701</v>
      </c>
      <c r="C7339">
        <v>1</v>
      </c>
      <c r="D7339">
        <v>20.23</v>
      </c>
      <c r="E7339">
        <v>27</v>
      </c>
    </row>
    <row r="7340" spans="1:5" x14ac:dyDescent="0.3">
      <c r="A7340" t="s">
        <v>18</v>
      </c>
      <c r="B7340" s="1">
        <v>44701</v>
      </c>
      <c r="C7340">
        <v>1</v>
      </c>
      <c r="D7340">
        <v>44</v>
      </c>
      <c r="E7340">
        <v>70</v>
      </c>
    </row>
    <row r="7341" spans="1:5" x14ac:dyDescent="0.3">
      <c r="A7341" t="s">
        <v>25</v>
      </c>
      <c r="B7341" s="1">
        <v>44701</v>
      </c>
      <c r="C7341">
        <v>1</v>
      </c>
      <c r="D7341">
        <v>147.18</v>
      </c>
      <c r="E7341">
        <v>177</v>
      </c>
    </row>
    <row r="7342" spans="1:5" x14ac:dyDescent="0.3">
      <c r="A7342" t="s">
        <v>62</v>
      </c>
      <c r="B7342" s="1">
        <v>44701</v>
      </c>
      <c r="C7342">
        <v>1</v>
      </c>
      <c r="D7342">
        <v>25.29</v>
      </c>
      <c r="E7342">
        <v>30</v>
      </c>
    </row>
    <row r="7343" spans="1:5" x14ac:dyDescent="0.3">
      <c r="A7343" t="s">
        <v>129</v>
      </c>
      <c r="B7343" s="1">
        <v>44701</v>
      </c>
      <c r="C7343">
        <v>0.16</v>
      </c>
      <c r="D7343">
        <v>495.19</v>
      </c>
      <c r="E7343">
        <v>596</v>
      </c>
    </row>
    <row r="7344" spans="1:5" x14ac:dyDescent="0.3">
      <c r="A7344" t="s">
        <v>12</v>
      </c>
      <c r="B7344" s="1">
        <v>44701</v>
      </c>
      <c r="C7344">
        <v>1</v>
      </c>
      <c r="D7344">
        <v>56.18</v>
      </c>
      <c r="E7344">
        <v>70</v>
      </c>
    </row>
    <row r="7345" spans="1:5" x14ac:dyDescent="0.3">
      <c r="A7345" t="s">
        <v>12</v>
      </c>
      <c r="B7345" s="1">
        <v>44701</v>
      </c>
      <c r="C7345">
        <v>1</v>
      </c>
      <c r="D7345">
        <v>56.18</v>
      </c>
      <c r="E7345">
        <v>70</v>
      </c>
    </row>
    <row r="7346" spans="1:5" x14ac:dyDescent="0.3">
      <c r="A7346" t="s">
        <v>63</v>
      </c>
      <c r="B7346" s="1">
        <v>44701</v>
      </c>
      <c r="C7346">
        <v>1</v>
      </c>
      <c r="D7346">
        <v>71.38</v>
      </c>
      <c r="E7346">
        <v>86</v>
      </c>
    </row>
    <row r="7347" spans="1:5" x14ac:dyDescent="0.3">
      <c r="A7347" t="s">
        <v>63</v>
      </c>
      <c r="B7347" s="1">
        <v>44701</v>
      </c>
      <c r="C7347">
        <v>1</v>
      </c>
      <c r="D7347">
        <v>71.38</v>
      </c>
      <c r="E7347">
        <v>86</v>
      </c>
    </row>
    <row r="7348" spans="1:5" x14ac:dyDescent="0.3">
      <c r="A7348" t="s">
        <v>65</v>
      </c>
      <c r="B7348" s="1">
        <v>44701</v>
      </c>
      <c r="C7348">
        <v>1</v>
      </c>
      <c r="D7348">
        <v>184.45</v>
      </c>
      <c r="E7348">
        <v>216</v>
      </c>
    </row>
    <row r="7349" spans="1:5" x14ac:dyDescent="0.3">
      <c r="A7349" t="s">
        <v>133</v>
      </c>
      <c r="B7349" s="1">
        <v>44701</v>
      </c>
      <c r="C7349">
        <v>6</v>
      </c>
      <c r="D7349">
        <v>6.13</v>
      </c>
      <c r="E7349">
        <v>10</v>
      </c>
    </row>
    <row r="7350" spans="1:5" x14ac:dyDescent="0.3">
      <c r="A7350" t="s">
        <v>8</v>
      </c>
      <c r="B7350" s="1">
        <v>44701</v>
      </c>
      <c r="C7350">
        <v>1</v>
      </c>
      <c r="D7350">
        <v>47.83</v>
      </c>
      <c r="E7350">
        <v>77</v>
      </c>
    </row>
    <row r="7351" spans="1:5" x14ac:dyDescent="0.3">
      <c r="A7351" t="s">
        <v>73</v>
      </c>
      <c r="B7351" s="1">
        <v>44701</v>
      </c>
      <c r="C7351">
        <v>1</v>
      </c>
      <c r="D7351">
        <v>7.97</v>
      </c>
      <c r="E7351">
        <v>13</v>
      </c>
    </row>
    <row r="7352" spans="1:5" x14ac:dyDescent="0.3">
      <c r="A7352" t="s">
        <v>80</v>
      </c>
      <c r="B7352" s="1">
        <v>44701</v>
      </c>
      <c r="C7352">
        <v>1</v>
      </c>
      <c r="D7352">
        <v>28.19</v>
      </c>
      <c r="E7352">
        <v>45</v>
      </c>
    </row>
    <row r="7353" spans="1:5" x14ac:dyDescent="0.3">
      <c r="A7353" t="s">
        <v>80</v>
      </c>
      <c r="B7353" s="1">
        <v>44701</v>
      </c>
      <c r="C7353">
        <v>1</v>
      </c>
      <c r="D7353">
        <v>28.19</v>
      </c>
      <c r="E7353">
        <v>45</v>
      </c>
    </row>
    <row r="7354" spans="1:5" x14ac:dyDescent="0.3">
      <c r="A7354" t="s">
        <v>25</v>
      </c>
      <c r="B7354" s="1">
        <v>44701</v>
      </c>
      <c r="C7354">
        <v>1</v>
      </c>
      <c r="D7354">
        <v>147.18</v>
      </c>
      <c r="E7354">
        <v>177</v>
      </c>
    </row>
    <row r="7355" spans="1:5" x14ac:dyDescent="0.3">
      <c r="A7355" t="s">
        <v>83</v>
      </c>
      <c r="B7355" s="1">
        <v>44701</v>
      </c>
      <c r="C7355">
        <v>1</v>
      </c>
      <c r="D7355">
        <v>207.77</v>
      </c>
      <c r="E7355">
        <v>241</v>
      </c>
    </row>
    <row r="7356" spans="1:5" x14ac:dyDescent="0.3">
      <c r="A7356" t="s">
        <v>117</v>
      </c>
      <c r="B7356" s="1">
        <v>44701</v>
      </c>
      <c r="C7356">
        <v>1</v>
      </c>
      <c r="D7356">
        <v>23.14</v>
      </c>
      <c r="E7356">
        <v>28</v>
      </c>
    </row>
    <row r="7357" spans="1:5" x14ac:dyDescent="0.3">
      <c r="A7357" t="s">
        <v>117</v>
      </c>
      <c r="B7357" s="1">
        <v>44701</v>
      </c>
      <c r="C7357">
        <v>1</v>
      </c>
      <c r="D7357">
        <v>23.14</v>
      </c>
      <c r="E7357">
        <v>28</v>
      </c>
    </row>
    <row r="7358" spans="1:5" x14ac:dyDescent="0.3">
      <c r="A7358" t="s">
        <v>117</v>
      </c>
      <c r="B7358" s="1">
        <v>44701</v>
      </c>
      <c r="C7358">
        <v>1</v>
      </c>
      <c r="D7358">
        <v>23.14</v>
      </c>
      <c r="E7358">
        <v>28</v>
      </c>
    </row>
    <row r="7359" spans="1:5" x14ac:dyDescent="0.3">
      <c r="A7359" t="s">
        <v>117</v>
      </c>
      <c r="B7359" s="1">
        <v>44701</v>
      </c>
      <c r="C7359">
        <v>1</v>
      </c>
      <c r="D7359">
        <v>23.14</v>
      </c>
      <c r="E7359">
        <v>28</v>
      </c>
    </row>
    <row r="7360" spans="1:5" x14ac:dyDescent="0.3">
      <c r="A7360" t="s">
        <v>134</v>
      </c>
      <c r="B7360" s="1">
        <v>44701</v>
      </c>
      <c r="C7360">
        <v>1</v>
      </c>
      <c r="D7360">
        <v>30.95</v>
      </c>
      <c r="E7360">
        <v>48</v>
      </c>
    </row>
    <row r="7361" spans="1:5" x14ac:dyDescent="0.3">
      <c r="A7361" t="s">
        <v>134</v>
      </c>
      <c r="B7361" s="1">
        <v>44701</v>
      </c>
      <c r="C7361">
        <v>1</v>
      </c>
      <c r="D7361">
        <v>30.95</v>
      </c>
      <c r="E7361">
        <v>48</v>
      </c>
    </row>
    <row r="7362" spans="1:5" x14ac:dyDescent="0.3">
      <c r="A7362" t="s">
        <v>134</v>
      </c>
      <c r="B7362" s="1">
        <v>44701</v>
      </c>
      <c r="C7362">
        <v>1</v>
      </c>
      <c r="D7362">
        <v>30.95</v>
      </c>
      <c r="E7362">
        <v>48</v>
      </c>
    </row>
    <row r="7363" spans="1:5" x14ac:dyDescent="0.3">
      <c r="A7363" t="s">
        <v>134</v>
      </c>
      <c r="B7363" s="1">
        <v>44701</v>
      </c>
      <c r="C7363">
        <v>1</v>
      </c>
      <c r="D7363">
        <v>30.95</v>
      </c>
      <c r="E7363">
        <v>48</v>
      </c>
    </row>
    <row r="7364" spans="1:5" x14ac:dyDescent="0.3">
      <c r="A7364" t="s">
        <v>141</v>
      </c>
      <c r="B7364" s="1">
        <v>44701</v>
      </c>
      <c r="C7364">
        <v>2</v>
      </c>
      <c r="D7364">
        <v>10.76</v>
      </c>
      <c r="E7364">
        <v>18</v>
      </c>
    </row>
    <row r="7365" spans="1:5" x14ac:dyDescent="0.3">
      <c r="A7365" t="s">
        <v>141</v>
      </c>
      <c r="B7365" s="1">
        <v>44701</v>
      </c>
      <c r="C7365">
        <v>4</v>
      </c>
      <c r="D7365">
        <v>10.76</v>
      </c>
      <c r="E7365">
        <v>18</v>
      </c>
    </row>
    <row r="7366" spans="1:5" x14ac:dyDescent="0.3">
      <c r="A7366" t="s">
        <v>125</v>
      </c>
      <c r="B7366" s="1">
        <v>44701</v>
      </c>
      <c r="C7366">
        <v>1</v>
      </c>
      <c r="D7366">
        <v>334.02</v>
      </c>
      <c r="E7366">
        <v>441</v>
      </c>
    </row>
    <row r="7367" spans="1:5" x14ac:dyDescent="0.3">
      <c r="A7367" t="s">
        <v>12</v>
      </c>
      <c r="B7367" s="1">
        <v>44701</v>
      </c>
      <c r="C7367">
        <v>1</v>
      </c>
      <c r="D7367">
        <v>61.03</v>
      </c>
      <c r="E7367">
        <v>75</v>
      </c>
    </row>
    <row r="7368" spans="1:5" x14ac:dyDescent="0.3">
      <c r="A7368" t="s">
        <v>26</v>
      </c>
      <c r="B7368" s="1">
        <v>44701</v>
      </c>
      <c r="C7368">
        <v>0.2</v>
      </c>
      <c r="D7368">
        <v>989.8</v>
      </c>
      <c r="E7368">
        <v>1238</v>
      </c>
    </row>
    <row r="7369" spans="1:5" x14ac:dyDescent="0.3">
      <c r="A7369" t="s">
        <v>18</v>
      </c>
      <c r="B7369" s="1">
        <v>44701</v>
      </c>
      <c r="C7369">
        <v>1</v>
      </c>
      <c r="D7369">
        <v>46</v>
      </c>
      <c r="E7369">
        <v>70</v>
      </c>
    </row>
    <row r="7370" spans="1:5" x14ac:dyDescent="0.3">
      <c r="A7370" t="s">
        <v>28</v>
      </c>
      <c r="B7370" s="1">
        <v>44701</v>
      </c>
      <c r="C7370">
        <v>1</v>
      </c>
      <c r="D7370">
        <v>136.6</v>
      </c>
      <c r="E7370">
        <v>188</v>
      </c>
    </row>
    <row r="7371" spans="1:5" x14ac:dyDescent="0.3">
      <c r="A7371" t="s">
        <v>112</v>
      </c>
      <c r="B7371" s="1">
        <v>44701</v>
      </c>
      <c r="C7371">
        <v>1</v>
      </c>
      <c r="D7371">
        <v>255.77</v>
      </c>
      <c r="E7371">
        <v>310</v>
      </c>
    </row>
    <row r="7372" spans="1:5" x14ac:dyDescent="0.3">
      <c r="A7372" t="s">
        <v>77</v>
      </c>
      <c r="B7372" s="1">
        <v>44701</v>
      </c>
      <c r="C7372">
        <v>1</v>
      </c>
      <c r="D7372">
        <v>61.89</v>
      </c>
      <c r="E7372">
        <v>77</v>
      </c>
    </row>
    <row r="7373" spans="1:5" x14ac:dyDescent="0.3">
      <c r="A7373" t="s">
        <v>73</v>
      </c>
      <c r="B7373" s="1">
        <v>44701</v>
      </c>
      <c r="C7373">
        <v>1</v>
      </c>
      <c r="D7373">
        <v>7.97</v>
      </c>
      <c r="E7373">
        <v>13</v>
      </c>
    </row>
    <row r="7374" spans="1:5" x14ac:dyDescent="0.3">
      <c r="A7374" t="s">
        <v>48</v>
      </c>
      <c r="B7374" s="1">
        <v>44701</v>
      </c>
      <c r="C7374">
        <v>1</v>
      </c>
      <c r="D7374">
        <v>38.11</v>
      </c>
      <c r="E7374">
        <v>60</v>
      </c>
    </row>
    <row r="7375" spans="1:5" x14ac:dyDescent="0.3">
      <c r="A7375" t="s">
        <v>48</v>
      </c>
      <c r="B7375" s="1">
        <v>44701</v>
      </c>
      <c r="C7375">
        <v>1</v>
      </c>
      <c r="D7375">
        <v>38.11</v>
      </c>
      <c r="E7375">
        <v>60</v>
      </c>
    </row>
    <row r="7376" spans="1:5" x14ac:dyDescent="0.3">
      <c r="A7376" t="s">
        <v>48</v>
      </c>
      <c r="B7376" s="1">
        <v>44701</v>
      </c>
      <c r="C7376">
        <v>1</v>
      </c>
      <c r="D7376">
        <v>38.11</v>
      </c>
      <c r="E7376">
        <v>60</v>
      </c>
    </row>
    <row r="7377" spans="1:5" x14ac:dyDescent="0.3">
      <c r="A7377" t="s">
        <v>48</v>
      </c>
      <c r="B7377" s="1">
        <v>44701</v>
      </c>
      <c r="C7377">
        <v>1</v>
      </c>
      <c r="D7377">
        <v>38.11</v>
      </c>
      <c r="E7377">
        <v>60</v>
      </c>
    </row>
    <row r="7378" spans="1:5" x14ac:dyDescent="0.3">
      <c r="A7378" t="s">
        <v>48</v>
      </c>
      <c r="B7378" s="1">
        <v>44701</v>
      </c>
      <c r="C7378">
        <v>1</v>
      </c>
      <c r="D7378">
        <v>38.11</v>
      </c>
      <c r="E7378">
        <v>60</v>
      </c>
    </row>
    <row r="7379" spans="1:5" x14ac:dyDescent="0.3">
      <c r="A7379" t="s">
        <v>19</v>
      </c>
      <c r="B7379" s="1">
        <v>44701</v>
      </c>
      <c r="C7379">
        <v>1</v>
      </c>
      <c r="D7379">
        <v>82.69</v>
      </c>
      <c r="E7379">
        <v>103</v>
      </c>
    </row>
    <row r="7380" spans="1:5" x14ac:dyDescent="0.3">
      <c r="A7380" t="s">
        <v>31</v>
      </c>
      <c r="B7380" s="1">
        <v>44701</v>
      </c>
      <c r="C7380">
        <v>1</v>
      </c>
      <c r="D7380">
        <v>13.19</v>
      </c>
      <c r="E7380">
        <v>18</v>
      </c>
    </row>
    <row r="7381" spans="1:5" x14ac:dyDescent="0.3">
      <c r="A7381" t="s">
        <v>18</v>
      </c>
      <c r="B7381" s="1">
        <v>44701</v>
      </c>
      <c r="C7381">
        <v>1</v>
      </c>
      <c r="D7381">
        <v>44</v>
      </c>
      <c r="E7381">
        <v>69</v>
      </c>
    </row>
    <row r="7382" spans="1:5" x14ac:dyDescent="0.3">
      <c r="A7382" t="s">
        <v>135</v>
      </c>
      <c r="B7382" s="1">
        <v>44701</v>
      </c>
      <c r="C7382">
        <v>1</v>
      </c>
      <c r="D7382">
        <v>73.5</v>
      </c>
      <c r="E7382">
        <v>91</v>
      </c>
    </row>
    <row r="7383" spans="1:5" x14ac:dyDescent="0.3">
      <c r="A7383" t="s">
        <v>20</v>
      </c>
      <c r="B7383" s="1">
        <v>44701</v>
      </c>
      <c r="C7383">
        <v>1</v>
      </c>
      <c r="D7383">
        <v>19.71</v>
      </c>
      <c r="E7383">
        <v>25</v>
      </c>
    </row>
    <row r="7384" spans="1:5" x14ac:dyDescent="0.3">
      <c r="A7384" t="s">
        <v>20</v>
      </c>
      <c r="B7384" s="1">
        <v>44701</v>
      </c>
      <c r="C7384">
        <v>1</v>
      </c>
      <c r="D7384">
        <v>19.71</v>
      </c>
      <c r="E7384">
        <v>25</v>
      </c>
    </row>
    <row r="7385" spans="1:5" x14ac:dyDescent="0.3">
      <c r="A7385" t="s">
        <v>20</v>
      </c>
      <c r="B7385" s="1">
        <v>44701</v>
      </c>
      <c r="C7385">
        <v>1</v>
      </c>
      <c r="D7385">
        <v>19.71</v>
      </c>
      <c r="E7385">
        <v>25</v>
      </c>
    </row>
    <row r="7386" spans="1:5" x14ac:dyDescent="0.3">
      <c r="A7386" t="s">
        <v>112</v>
      </c>
      <c r="B7386" s="1">
        <v>44701</v>
      </c>
      <c r="C7386">
        <v>1</v>
      </c>
      <c r="D7386">
        <v>255.77</v>
      </c>
      <c r="E7386">
        <v>310</v>
      </c>
    </row>
    <row r="7387" spans="1:5" x14ac:dyDescent="0.3">
      <c r="A7387" t="s">
        <v>41</v>
      </c>
      <c r="B7387" s="1">
        <v>44701</v>
      </c>
      <c r="C7387">
        <v>1</v>
      </c>
      <c r="D7387">
        <v>10.92</v>
      </c>
      <c r="E7387">
        <v>18</v>
      </c>
    </row>
    <row r="7388" spans="1:5" x14ac:dyDescent="0.3">
      <c r="A7388" t="s">
        <v>68</v>
      </c>
      <c r="B7388" s="1">
        <v>44701</v>
      </c>
      <c r="C7388">
        <v>1</v>
      </c>
      <c r="D7388">
        <v>72.760000000000005</v>
      </c>
      <c r="E7388">
        <v>104</v>
      </c>
    </row>
    <row r="7389" spans="1:5" x14ac:dyDescent="0.3">
      <c r="A7389" t="s">
        <v>35</v>
      </c>
      <c r="B7389" s="1">
        <v>44701</v>
      </c>
      <c r="C7389">
        <v>1</v>
      </c>
      <c r="D7389">
        <v>35</v>
      </c>
      <c r="E7389">
        <v>54</v>
      </c>
    </row>
    <row r="7390" spans="1:5" x14ac:dyDescent="0.3">
      <c r="A7390" t="s">
        <v>35</v>
      </c>
      <c r="B7390" s="1">
        <v>44701</v>
      </c>
      <c r="C7390">
        <v>1</v>
      </c>
      <c r="D7390">
        <v>35</v>
      </c>
      <c r="E7390">
        <v>54</v>
      </c>
    </row>
    <row r="7391" spans="1:5" x14ac:dyDescent="0.3">
      <c r="A7391" t="s">
        <v>35</v>
      </c>
      <c r="B7391" s="1">
        <v>44701</v>
      </c>
      <c r="C7391">
        <v>1</v>
      </c>
      <c r="D7391">
        <v>35</v>
      </c>
      <c r="E7391">
        <v>54</v>
      </c>
    </row>
    <row r="7392" spans="1:5" x14ac:dyDescent="0.3">
      <c r="A7392" t="s">
        <v>28</v>
      </c>
      <c r="B7392" s="1">
        <v>44701</v>
      </c>
      <c r="C7392">
        <v>1</v>
      </c>
      <c r="D7392">
        <v>150.03</v>
      </c>
      <c r="E7392">
        <v>209</v>
      </c>
    </row>
    <row r="7393" spans="1:5" x14ac:dyDescent="0.3">
      <c r="A7393" t="s">
        <v>112</v>
      </c>
      <c r="B7393" s="1">
        <v>44701</v>
      </c>
      <c r="C7393">
        <v>1</v>
      </c>
      <c r="D7393">
        <v>291.3</v>
      </c>
      <c r="E7393">
        <v>345</v>
      </c>
    </row>
    <row r="7394" spans="1:5" x14ac:dyDescent="0.3">
      <c r="A7394" t="s">
        <v>47</v>
      </c>
      <c r="B7394" s="1">
        <v>44701</v>
      </c>
      <c r="C7394">
        <v>1</v>
      </c>
      <c r="D7394">
        <v>43</v>
      </c>
      <c r="E7394">
        <v>68</v>
      </c>
    </row>
    <row r="7395" spans="1:5" x14ac:dyDescent="0.3">
      <c r="A7395" t="s">
        <v>31</v>
      </c>
      <c r="B7395" s="1">
        <v>44701</v>
      </c>
      <c r="C7395">
        <v>1</v>
      </c>
      <c r="D7395">
        <v>13.19</v>
      </c>
      <c r="E7395">
        <v>18</v>
      </c>
    </row>
    <row r="7396" spans="1:5" x14ac:dyDescent="0.3">
      <c r="A7396" t="s">
        <v>31</v>
      </c>
      <c r="B7396" s="1">
        <v>44701</v>
      </c>
      <c r="C7396">
        <v>1</v>
      </c>
      <c r="D7396">
        <v>13.19</v>
      </c>
      <c r="E7396">
        <v>18</v>
      </c>
    </row>
    <row r="7397" spans="1:5" x14ac:dyDescent="0.3">
      <c r="A7397" t="s">
        <v>69</v>
      </c>
      <c r="B7397" s="1">
        <v>44701</v>
      </c>
      <c r="C7397">
        <v>1</v>
      </c>
      <c r="D7397">
        <v>19.989999999999998</v>
      </c>
      <c r="E7397">
        <v>24</v>
      </c>
    </row>
    <row r="7398" spans="1:5" x14ac:dyDescent="0.3">
      <c r="A7398" t="s">
        <v>69</v>
      </c>
      <c r="B7398" s="1">
        <v>44701</v>
      </c>
      <c r="C7398">
        <v>1</v>
      </c>
      <c r="D7398">
        <v>19.989999999999998</v>
      </c>
      <c r="E7398">
        <v>24</v>
      </c>
    </row>
    <row r="7399" spans="1:5" x14ac:dyDescent="0.3">
      <c r="A7399" t="s">
        <v>69</v>
      </c>
      <c r="B7399" s="1">
        <v>44701</v>
      </c>
      <c r="C7399">
        <v>1</v>
      </c>
      <c r="D7399">
        <v>19.989999999999998</v>
      </c>
      <c r="E7399">
        <v>24</v>
      </c>
    </row>
    <row r="7400" spans="1:5" x14ac:dyDescent="0.3">
      <c r="A7400" t="s">
        <v>69</v>
      </c>
      <c r="B7400" s="1">
        <v>44701</v>
      </c>
      <c r="C7400">
        <v>1</v>
      </c>
      <c r="D7400">
        <v>19.989999999999998</v>
      </c>
      <c r="E7400">
        <v>24</v>
      </c>
    </row>
    <row r="7401" spans="1:5" x14ac:dyDescent="0.3">
      <c r="A7401" t="s">
        <v>19</v>
      </c>
      <c r="B7401" s="1">
        <v>44701</v>
      </c>
      <c r="C7401">
        <v>1</v>
      </c>
      <c r="D7401">
        <v>81.69</v>
      </c>
      <c r="E7401">
        <v>102</v>
      </c>
    </row>
    <row r="7402" spans="1:5" x14ac:dyDescent="0.3">
      <c r="A7402" t="s">
        <v>27</v>
      </c>
      <c r="B7402" s="1">
        <v>44701</v>
      </c>
      <c r="C7402">
        <v>1</v>
      </c>
      <c r="D7402">
        <v>106.88</v>
      </c>
      <c r="E7402">
        <v>164</v>
      </c>
    </row>
    <row r="7403" spans="1:5" x14ac:dyDescent="0.3">
      <c r="A7403" t="s">
        <v>43</v>
      </c>
      <c r="B7403" s="1">
        <v>44701</v>
      </c>
      <c r="C7403">
        <v>1</v>
      </c>
      <c r="D7403">
        <v>134.09</v>
      </c>
      <c r="E7403">
        <v>161</v>
      </c>
    </row>
    <row r="7404" spans="1:5" x14ac:dyDescent="0.3">
      <c r="A7404" t="s">
        <v>147</v>
      </c>
      <c r="B7404" s="1">
        <v>44701</v>
      </c>
      <c r="C7404">
        <v>1</v>
      </c>
      <c r="D7404">
        <v>135.72999999999999</v>
      </c>
      <c r="E7404">
        <v>189</v>
      </c>
    </row>
    <row r="7405" spans="1:5" x14ac:dyDescent="0.3">
      <c r="A7405" t="s">
        <v>93</v>
      </c>
      <c r="B7405" s="1">
        <v>44701</v>
      </c>
      <c r="C7405">
        <v>1</v>
      </c>
      <c r="D7405">
        <v>66.180000000000007</v>
      </c>
      <c r="E7405">
        <v>94</v>
      </c>
    </row>
    <row r="7406" spans="1:5" x14ac:dyDescent="0.3">
      <c r="A7406" t="s">
        <v>93</v>
      </c>
      <c r="B7406" s="1">
        <v>44701</v>
      </c>
      <c r="C7406">
        <v>1</v>
      </c>
      <c r="D7406">
        <v>66.180000000000007</v>
      </c>
      <c r="E7406">
        <v>94</v>
      </c>
    </row>
    <row r="7407" spans="1:5" x14ac:dyDescent="0.3">
      <c r="A7407" t="s">
        <v>44</v>
      </c>
      <c r="B7407" s="1">
        <v>44701</v>
      </c>
      <c r="C7407">
        <v>1</v>
      </c>
      <c r="D7407">
        <v>69.27</v>
      </c>
      <c r="E7407">
        <v>108</v>
      </c>
    </row>
    <row r="7408" spans="1:5" x14ac:dyDescent="0.3">
      <c r="A7408" t="s">
        <v>66</v>
      </c>
      <c r="B7408" s="1">
        <v>44701</v>
      </c>
      <c r="C7408">
        <v>1</v>
      </c>
      <c r="D7408">
        <v>30.6</v>
      </c>
      <c r="E7408">
        <v>37</v>
      </c>
    </row>
    <row r="7409" spans="1:5" x14ac:dyDescent="0.3">
      <c r="A7409" t="s">
        <v>66</v>
      </c>
      <c r="B7409" s="1">
        <v>44701</v>
      </c>
      <c r="C7409">
        <v>1</v>
      </c>
      <c r="D7409">
        <v>30.6</v>
      </c>
      <c r="E7409">
        <v>37</v>
      </c>
    </row>
    <row r="7410" spans="1:5" x14ac:dyDescent="0.3">
      <c r="A7410" t="s">
        <v>66</v>
      </c>
      <c r="B7410" s="1">
        <v>44701</v>
      </c>
      <c r="C7410">
        <v>1</v>
      </c>
      <c r="D7410">
        <v>30.6</v>
      </c>
      <c r="E7410">
        <v>37</v>
      </c>
    </row>
    <row r="7411" spans="1:5" x14ac:dyDescent="0.3">
      <c r="A7411" t="s">
        <v>7</v>
      </c>
      <c r="B7411" s="1">
        <v>44701</v>
      </c>
      <c r="C7411">
        <v>1</v>
      </c>
      <c r="D7411">
        <v>88.36</v>
      </c>
      <c r="E7411">
        <v>110</v>
      </c>
    </row>
    <row r="7412" spans="1:5" x14ac:dyDescent="0.3">
      <c r="A7412" t="s">
        <v>50</v>
      </c>
      <c r="B7412" s="1">
        <v>44701</v>
      </c>
      <c r="C7412">
        <v>1</v>
      </c>
      <c r="D7412">
        <v>44.71</v>
      </c>
      <c r="E7412">
        <v>55</v>
      </c>
    </row>
    <row r="7413" spans="1:5" x14ac:dyDescent="0.3">
      <c r="A7413" t="s">
        <v>18</v>
      </c>
      <c r="B7413" s="1">
        <v>44701</v>
      </c>
      <c r="C7413">
        <v>1</v>
      </c>
      <c r="D7413">
        <v>44</v>
      </c>
      <c r="E7413">
        <v>70</v>
      </c>
    </row>
    <row r="7414" spans="1:5" x14ac:dyDescent="0.3">
      <c r="A7414" t="s">
        <v>18</v>
      </c>
      <c r="B7414" s="1">
        <v>44701</v>
      </c>
      <c r="C7414">
        <v>1</v>
      </c>
      <c r="D7414">
        <v>44</v>
      </c>
      <c r="E7414">
        <v>70</v>
      </c>
    </row>
    <row r="7415" spans="1:5" x14ac:dyDescent="0.3">
      <c r="A7415" t="s">
        <v>158</v>
      </c>
      <c r="B7415" s="1">
        <v>44701</v>
      </c>
      <c r="C7415">
        <v>1</v>
      </c>
      <c r="D7415">
        <v>33.979999999999997</v>
      </c>
      <c r="E7415">
        <v>42</v>
      </c>
    </row>
    <row r="7416" spans="1:5" x14ac:dyDescent="0.3">
      <c r="A7416" t="s">
        <v>158</v>
      </c>
      <c r="B7416" s="1">
        <v>44701</v>
      </c>
      <c r="C7416">
        <v>1</v>
      </c>
      <c r="D7416">
        <v>33.979999999999997</v>
      </c>
      <c r="E7416">
        <v>42</v>
      </c>
    </row>
    <row r="7417" spans="1:5" x14ac:dyDescent="0.3">
      <c r="A7417" t="s">
        <v>158</v>
      </c>
      <c r="B7417" s="1">
        <v>44701</v>
      </c>
      <c r="C7417">
        <v>1</v>
      </c>
      <c r="D7417">
        <v>33.979999999999997</v>
      </c>
      <c r="E7417">
        <v>42</v>
      </c>
    </row>
    <row r="7418" spans="1:5" x14ac:dyDescent="0.3">
      <c r="A7418" t="s">
        <v>158</v>
      </c>
      <c r="B7418" s="1">
        <v>44701</v>
      </c>
      <c r="C7418">
        <v>1</v>
      </c>
      <c r="D7418">
        <v>33.979999999999997</v>
      </c>
      <c r="E7418">
        <v>42</v>
      </c>
    </row>
    <row r="7419" spans="1:5" x14ac:dyDescent="0.3">
      <c r="A7419" t="s">
        <v>158</v>
      </c>
      <c r="B7419" s="1">
        <v>44701</v>
      </c>
      <c r="C7419">
        <v>1</v>
      </c>
      <c r="D7419">
        <v>33.979999999999997</v>
      </c>
      <c r="E7419">
        <v>42</v>
      </c>
    </row>
    <row r="7420" spans="1:5" x14ac:dyDescent="0.3">
      <c r="A7420" t="s">
        <v>158</v>
      </c>
      <c r="B7420" s="1">
        <v>44701</v>
      </c>
      <c r="C7420">
        <v>1</v>
      </c>
      <c r="D7420">
        <v>33.979999999999997</v>
      </c>
      <c r="E7420">
        <v>42</v>
      </c>
    </row>
    <row r="7421" spans="1:5" x14ac:dyDescent="0.3">
      <c r="A7421" t="s">
        <v>158</v>
      </c>
      <c r="B7421" s="1">
        <v>44701</v>
      </c>
      <c r="C7421">
        <v>1</v>
      </c>
      <c r="D7421">
        <v>33.979999999999997</v>
      </c>
      <c r="E7421">
        <v>42</v>
      </c>
    </row>
    <row r="7422" spans="1:5" x14ac:dyDescent="0.3">
      <c r="A7422" t="s">
        <v>158</v>
      </c>
      <c r="B7422" s="1">
        <v>44701</v>
      </c>
      <c r="C7422">
        <v>1</v>
      </c>
      <c r="D7422">
        <v>33.979999999999997</v>
      </c>
      <c r="E7422">
        <v>42</v>
      </c>
    </row>
    <row r="7423" spans="1:5" x14ac:dyDescent="0.3">
      <c r="A7423" t="s">
        <v>158</v>
      </c>
      <c r="B7423" s="1">
        <v>44701</v>
      </c>
      <c r="C7423">
        <v>1</v>
      </c>
      <c r="D7423">
        <v>33.979999999999997</v>
      </c>
      <c r="E7423">
        <v>42</v>
      </c>
    </row>
    <row r="7424" spans="1:5" x14ac:dyDescent="0.3">
      <c r="A7424" t="s">
        <v>158</v>
      </c>
      <c r="B7424" s="1">
        <v>44701</v>
      </c>
      <c r="C7424">
        <v>1</v>
      </c>
      <c r="D7424">
        <v>33.979999999999997</v>
      </c>
      <c r="E7424">
        <v>42</v>
      </c>
    </row>
    <row r="7425" spans="1:5" x14ac:dyDescent="0.3">
      <c r="A7425" t="s">
        <v>158</v>
      </c>
      <c r="B7425" s="1">
        <v>44701</v>
      </c>
      <c r="C7425">
        <v>1</v>
      </c>
      <c r="D7425">
        <v>33.979999999999997</v>
      </c>
      <c r="E7425">
        <v>42</v>
      </c>
    </row>
    <row r="7426" spans="1:5" x14ac:dyDescent="0.3">
      <c r="A7426" t="s">
        <v>158</v>
      </c>
      <c r="B7426" s="1">
        <v>44701</v>
      </c>
      <c r="C7426">
        <v>1</v>
      </c>
      <c r="D7426">
        <v>33.979999999999997</v>
      </c>
      <c r="E7426">
        <v>42</v>
      </c>
    </row>
    <row r="7427" spans="1:5" x14ac:dyDescent="0.3">
      <c r="A7427" t="s">
        <v>158</v>
      </c>
      <c r="B7427" s="1">
        <v>44701</v>
      </c>
      <c r="C7427">
        <v>1</v>
      </c>
      <c r="D7427">
        <v>33.979999999999997</v>
      </c>
      <c r="E7427">
        <v>42</v>
      </c>
    </row>
    <row r="7428" spans="1:5" x14ac:dyDescent="0.3">
      <c r="A7428" t="s">
        <v>158</v>
      </c>
      <c r="B7428" s="1">
        <v>44701</v>
      </c>
      <c r="C7428">
        <v>1</v>
      </c>
      <c r="D7428">
        <v>33.979999999999997</v>
      </c>
      <c r="E7428">
        <v>42</v>
      </c>
    </row>
    <row r="7429" spans="1:5" x14ac:dyDescent="0.3">
      <c r="A7429" t="s">
        <v>158</v>
      </c>
      <c r="B7429" s="1">
        <v>44701</v>
      </c>
      <c r="C7429">
        <v>1</v>
      </c>
      <c r="D7429">
        <v>33.979999999999997</v>
      </c>
      <c r="E7429">
        <v>42</v>
      </c>
    </row>
    <row r="7430" spans="1:5" x14ac:dyDescent="0.3">
      <c r="A7430" t="s">
        <v>158</v>
      </c>
      <c r="B7430" s="1">
        <v>44701</v>
      </c>
      <c r="C7430">
        <v>1</v>
      </c>
      <c r="D7430">
        <v>33.979999999999997</v>
      </c>
      <c r="E7430">
        <v>42</v>
      </c>
    </row>
    <row r="7431" spans="1:5" x14ac:dyDescent="0.3">
      <c r="A7431" t="s">
        <v>158</v>
      </c>
      <c r="B7431" s="1">
        <v>44701</v>
      </c>
      <c r="C7431">
        <v>1</v>
      </c>
      <c r="D7431">
        <v>33.979999999999997</v>
      </c>
      <c r="E7431">
        <v>42</v>
      </c>
    </row>
    <row r="7432" spans="1:5" x14ac:dyDescent="0.3">
      <c r="A7432" t="s">
        <v>158</v>
      </c>
      <c r="B7432" s="1">
        <v>44701</v>
      </c>
      <c r="C7432">
        <v>1</v>
      </c>
      <c r="D7432">
        <v>33.979999999999997</v>
      </c>
      <c r="E7432">
        <v>42</v>
      </c>
    </row>
    <row r="7433" spans="1:5" x14ac:dyDescent="0.3">
      <c r="A7433" t="s">
        <v>158</v>
      </c>
      <c r="B7433" s="1">
        <v>44701</v>
      </c>
      <c r="C7433">
        <v>1</v>
      </c>
      <c r="D7433">
        <v>33.979999999999997</v>
      </c>
      <c r="E7433">
        <v>42</v>
      </c>
    </row>
    <row r="7434" spans="1:5" x14ac:dyDescent="0.3">
      <c r="A7434" t="s">
        <v>158</v>
      </c>
      <c r="B7434" s="1">
        <v>44701</v>
      </c>
      <c r="C7434">
        <v>1</v>
      </c>
      <c r="D7434">
        <v>33.979999999999997</v>
      </c>
      <c r="E7434">
        <v>42</v>
      </c>
    </row>
    <row r="7435" spans="1:5" x14ac:dyDescent="0.3">
      <c r="A7435" t="s">
        <v>68</v>
      </c>
      <c r="B7435" s="1">
        <v>44701</v>
      </c>
      <c r="C7435">
        <v>1</v>
      </c>
      <c r="D7435">
        <v>62.36</v>
      </c>
      <c r="E7435">
        <v>92</v>
      </c>
    </row>
    <row r="7436" spans="1:5" x14ac:dyDescent="0.3">
      <c r="A7436" t="s">
        <v>68</v>
      </c>
      <c r="B7436" s="1">
        <v>44701</v>
      </c>
      <c r="C7436">
        <v>1</v>
      </c>
      <c r="D7436">
        <v>62.36</v>
      </c>
      <c r="E7436">
        <v>92</v>
      </c>
    </row>
    <row r="7437" spans="1:5" x14ac:dyDescent="0.3">
      <c r="A7437" t="s">
        <v>103</v>
      </c>
      <c r="B7437" s="1">
        <v>44701</v>
      </c>
      <c r="C7437">
        <v>1</v>
      </c>
      <c r="D7437">
        <v>24.84</v>
      </c>
      <c r="E7437">
        <v>38</v>
      </c>
    </row>
    <row r="7438" spans="1:5" x14ac:dyDescent="0.3">
      <c r="A7438" t="s">
        <v>103</v>
      </c>
      <c r="B7438" s="1">
        <v>44701</v>
      </c>
      <c r="C7438">
        <v>1</v>
      </c>
      <c r="D7438">
        <v>24.84</v>
      </c>
      <c r="E7438">
        <v>38</v>
      </c>
    </row>
    <row r="7439" spans="1:5" x14ac:dyDescent="0.3">
      <c r="A7439" t="s">
        <v>103</v>
      </c>
      <c r="B7439" s="1">
        <v>44701</v>
      </c>
      <c r="C7439">
        <v>1</v>
      </c>
      <c r="D7439">
        <v>24.84</v>
      </c>
      <c r="E7439">
        <v>38</v>
      </c>
    </row>
    <row r="7440" spans="1:5" x14ac:dyDescent="0.3">
      <c r="A7440" t="s">
        <v>103</v>
      </c>
      <c r="B7440" s="1">
        <v>44701</v>
      </c>
      <c r="C7440">
        <v>1</v>
      </c>
      <c r="D7440">
        <v>24.84</v>
      </c>
      <c r="E7440">
        <v>38</v>
      </c>
    </row>
    <row r="7441" spans="1:5" x14ac:dyDescent="0.3">
      <c r="A7441" t="s">
        <v>103</v>
      </c>
      <c r="B7441" s="1">
        <v>44701</v>
      </c>
      <c r="C7441">
        <v>1</v>
      </c>
      <c r="D7441">
        <v>24.84</v>
      </c>
      <c r="E7441">
        <v>38</v>
      </c>
    </row>
    <row r="7442" spans="1:5" x14ac:dyDescent="0.3">
      <c r="A7442" t="s">
        <v>156</v>
      </c>
      <c r="B7442" s="1">
        <v>44701</v>
      </c>
      <c r="C7442">
        <v>1</v>
      </c>
      <c r="D7442">
        <v>249.63</v>
      </c>
      <c r="E7442">
        <v>350</v>
      </c>
    </row>
    <row r="7443" spans="1:5" x14ac:dyDescent="0.3">
      <c r="A7443" t="s">
        <v>23</v>
      </c>
      <c r="B7443" s="1">
        <v>44701</v>
      </c>
      <c r="C7443">
        <v>1</v>
      </c>
      <c r="D7443">
        <v>110.08</v>
      </c>
      <c r="E7443">
        <v>124</v>
      </c>
    </row>
    <row r="7444" spans="1:5" x14ac:dyDescent="0.3">
      <c r="A7444" t="s">
        <v>48</v>
      </c>
      <c r="B7444" s="1">
        <v>44701</v>
      </c>
      <c r="C7444">
        <v>1</v>
      </c>
      <c r="D7444">
        <v>38.67</v>
      </c>
      <c r="E7444">
        <v>59</v>
      </c>
    </row>
    <row r="7445" spans="1:5" x14ac:dyDescent="0.3">
      <c r="A7445" t="s">
        <v>48</v>
      </c>
      <c r="B7445" s="1">
        <v>44701</v>
      </c>
      <c r="C7445">
        <v>1</v>
      </c>
      <c r="D7445">
        <v>38.67</v>
      </c>
      <c r="E7445">
        <v>59</v>
      </c>
    </row>
    <row r="7446" spans="1:5" x14ac:dyDescent="0.3">
      <c r="A7446" t="s">
        <v>12</v>
      </c>
      <c r="B7446" s="1">
        <v>44701</v>
      </c>
      <c r="C7446">
        <v>1</v>
      </c>
      <c r="D7446">
        <v>56.08</v>
      </c>
      <c r="E7446">
        <v>70</v>
      </c>
    </row>
    <row r="7447" spans="1:5" x14ac:dyDescent="0.3">
      <c r="A7447" t="s">
        <v>57</v>
      </c>
      <c r="B7447" s="1">
        <v>44701</v>
      </c>
      <c r="C7447">
        <v>1</v>
      </c>
      <c r="D7447">
        <v>232.47</v>
      </c>
      <c r="E7447">
        <v>272</v>
      </c>
    </row>
    <row r="7448" spans="1:5" x14ac:dyDescent="0.3">
      <c r="A7448" t="s">
        <v>12</v>
      </c>
      <c r="B7448" s="1">
        <v>44701</v>
      </c>
      <c r="C7448">
        <v>1</v>
      </c>
      <c r="D7448">
        <v>56.84</v>
      </c>
      <c r="E7448">
        <v>72</v>
      </c>
    </row>
    <row r="7449" spans="1:5" x14ac:dyDescent="0.3">
      <c r="A7449" t="s">
        <v>12</v>
      </c>
      <c r="B7449" s="1">
        <v>44701</v>
      </c>
      <c r="C7449">
        <v>1</v>
      </c>
      <c r="D7449">
        <v>56.84</v>
      </c>
      <c r="E7449">
        <v>72</v>
      </c>
    </row>
    <row r="7450" spans="1:5" x14ac:dyDescent="0.3">
      <c r="A7450" t="s">
        <v>12</v>
      </c>
      <c r="B7450" s="1">
        <v>44701</v>
      </c>
      <c r="C7450">
        <v>1</v>
      </c>
      <c r="D7450">
        <v>56.84</v>
      </c>
      <c r="E7450">
        <v>72</v>
      </c>
    </row>
    <row r="7451" spans="1:5" x14ac:dyDescent="0.3">
      <c r="A7451" t="s">
        <v>45</v>
      </c>
      <c r="B7451" s="1">
        <v>44701</v>
      </c>
      <c r="C7451">
        <v>1</v>
      </c>
      <c r="D7451">
        <v>28.13</v>
      </c>
      <c r="E7451">
        <v>46</v>
      </c>
    </row>
    <row r="7452" spans="1:5" x14ac:dyDescent="0.3">
      <c r="A7452" t="s">
        <v>37</v>
      </c>
      <c r="B7452" s="1">
        <v>44701</v>
      </c>
      <c r="C7452">
        <v>1</v>
      </c>
      <c r="D7452">
        <v>36.86</v>
      </c>
      <c r="E7452">
        <v>47</v>
      </c>
    </row>
    <row r="7453" spans="1:5" x14ac:dyDescent="0.3">
      <c r="A7453" t="s">
        <v>37</v>
      </c>
      <c r="B7453" s="1">
        <v>44701</v>
      </c>
      <c r="C7453">
        <v>1</v>
      </c>
      <c r="D7453">
        <v>36.86</v>
      </c>
      <c r="E7453">
        <v>47</v>
      </c>
    </row>
    <row r="7454" spans="1:5" x14ac:dyDescent="0.3">
      <c r="A7454" t="s">
        <v>37</v>
      </c>
      <c r="B7454" s="1">
        <v>44701</v>
      </c>
      <c r="C7454">
        <v>1</v>
      </c>
      <c r="D7454">
        <v>36.86</v>
      </c>
      <c r="E7454">
        <v>47</v>
      </c>
    </row>
    <row r="7455" spans="1:5" x14ac:dyDescent="0.3">
      <c r="A7455" t="s">
        <v>37</v>
      </c>
      <c r="B7455" s="1">
        <v>44701</v>
      </c>
      <c r="C7455">
        <v>1</v>
      </c>
      <c r="D7455">
        <v>36.86</v>
      </c>
      <c r="E7455">
        <v>47</v>
      </c>
    </row>
    <row r="7456" spans="1:5" x14ac:dyDescent="0.3">
      <c r="A7456" t="s">
        <v>37</v>
      </c>
      <c r="B7456" s="1">
        <v>44701</v>
      </c>
      <c r="C7456">
        <v>1</v>
      </c>
      <c r="D7456">
        <v>36.86</v>
      </c>
      <c r="E7456">
        <v>47</v>
      </c>
    </row>
    <row r="7457" spans="1:5" x14ac:dyDescent="0.3">
      <c r="A7457" t="s">
        <v>37</v>
      </c>
      <c r="B7457" s="1">
        <v>44701</v>
      </c>
      <c r="C7457">
        <v>1</v>
      </c>
      <c r="D7457">
        <v>36.86</v>
      </c>
      <c r="E7457">
        <v>47</v>
      </c>
    </row>
    <row r="7458" spans="1:5" x14ac:dyDescent="0.3">
      <c r="A7458" t="s">
        <v>38</v>
      </c>
      <c r="B7458" s="1">
        <v>44701</v>
      </c>
      <c r="C7458">
        <v>1</v>
      </c>
      <c r="D7458">
        <v>22.31</v>
      </c>
      <c r="E7458">
        <v>35</v>
      </c>
    </row>
    <row r="7459" spans="1:5" x14ac:dyDescent="0.3">
      <c r="A7459" t="s">
        <v>38</v>
      </c>
      <c r="B7459" s="1">
        <v>44701</v>
      </c>
      <c r="C7459">
        <v>1</v>
      </c>
      <c r="D7459">
        <v>22.31</v>
      </c>
      <c r="E7459">
        <v>35</v>
      </c>
    </row>
    <row r="7460" spans="1:5" x14ac:dyDescent="0.3">
      <c r="A7460" t="s">
        <v>38</v>
      </c>
      <c r="B7460" s="1">
        <v>44701</v>
      </c>
      <c r="C7460">
        <v>1</v>
      </c>
      <c r="D7460">
        <v>22.31</v>
      </c>
      <c r="E7460">
        <v>35</v>
      </c>
    </row>
    <row r="7461" spans="1:5" x14ac:dyDescent="0.3">
      <c r="A7461" t="s">
        <v>38</v>
      </c>
      <c r="B7461" s="1">
        <v>44701</v>
      </c>
      <c r="C7461">
        <v>1</v>
      </c>
      <c r="D7461">
        <v>22.31</v>
      </c>
      <c r="E7461">
        <v>35</v>
      </c>
    </row>
    <row r="7462" spans="1:5" x14ac:dyDescent="0.3">
      <c r="A7462" t="s">
        <v>38</v>
      </c>
      <c r="B7462" s="1">
        <v>44701</v>
      </c>
      <c r="C7462">
        <v>1</v>
      </c>
      <c r="D7462">
        <v>22.31</v>
      </c>
      <c r="E7462">
        <v>35</v>
      </c>
    </row>
    <row r="7463" spans="1:5" x14ac:dyDescent="0.3">
      <c r="A7463" t="s">
        <v>38</v>
      </c>
      <c r="B7463" s="1">
        <v>44701</v>
      </c>
      <c r="C7463">
        <v>1</v>
      </c>
      <c r="D7463">
        <v>22.31</v>
      </c>
      <c r="E7463">
        <v>35</v>
      </c>
    </row>
    <row r="7464" spans="1:5" x14ac:dyDescent="0.3">
      <c r="A7464" t="s">
        <v>29</v>
      </c>
      <c r="B7464" s="1">
        <v>44701</v>
      </c>
      <c r="C7464">
        <v>1</v>
      </c>
      <c r="D7464">
        <v>480.05</v>
      </c>
      <c r="E7464">
        <v>658</v>
      </c>
    </row>
    <row r="7465" spans="1:5" x14ac:dyDescent="0.3">
      <c r="A7465" t="s">
        <v>5</v>
      </c>
      <c r="B7465" s="1">
        <v>44701</v>
      </c>
      <c r="C7465">
        <v>1</v>
      </c>
      <c r="D7465">
        <v>132.94</v>
      </c>
      <c r="E7465">
        <v>160</v>
      </c>
    </row>
    <row r="7466" spans="1:5" x14ac:dyDescent="0.3">
      <c r="A7466" t="s">
        <v>47</v>
      </c>
      <c r="B7466" s="1">
        <v>44701</v>
      </c>
      <c r="C7466">
        <v>1</v>
      </c>
      <c r="D7466">
        <v>43.08</v>
      </c>
      <c r="E7466">
        <v>67</v>
      </c>
    </row>
    <row r="7467" spans="1:5" x14ac:dyDescent="0.3">
      <c r="A7467" t="s">
        <v>98</v>
      </c>
      <c r="B7467" s="1">
        <v>44701</v>
      </c>
      <c r="C7467">
        <v>1</v>
      </c>
      <c r="D7467">
        <v>110.84</v>
      </c>
      <c r="E7467">
        <v>134</v>
      </c>
    </row>
    <row r="7468" spans="1:5" x14ac:dyDescent="0.3">
      <c r="A7468" t="s">
        <v>24</v>
      </c>
      <c r="B7468" s="1">
        <v>44701</v>
      </c>
      <c r="C7468">
        <v>1</v>
      </c>
      <c r="D7468">
        <v>103.96</v>
      </c>
      <c r="E7468">
        <v>125</v>
      </c>
    </row>
    <row r="7469" spans="1:5" x14ac:dyDescent="0.3">
      <c r="A7469" t="s">
        <v>25</v>
      </c>
      <c r="B7469" s="1">
        <v>44701</v>
      </c>
      <c r="C7469">
        <v>1</v>
      </c>
      <c r="D7469">
        <v>147.18</v>
      </c>
      <c r="E7469">
        <v>177</v>
      </c>
    </row>
    <row r="7470" spans="1:5" x14ac:dyDescent="0.3">
      <c r="A7470" t="s">
        <v>143</v>
      </c>
      <c r="B7470" s="1">
        <v>44701</v>
      </c>
      <c r="C7470">
        <v>1</v>
      </c>
      <c r="D7470">
        <v>72.31</v>
      </c>
      <c r="E7470">
        <v>84</v>
      </c>
    </row>
    <row r="7471" spans="1:5" x14ac:dyDescent="0.3">
      <c r="A7471" t="s">
        <v>51</v>
      </c>
      <c r="B7471" s="1">
        <v>44701</v>
      </c>
      <c r="C7471">
        <v>24</v>
      </c>
      <c r="D7471">
        <v>2.1800000000000002</v>
      </c>
      <c r="E7471">
        <v>4</v>
      </c>
    </row>
    <row r="7472" spans="1:5" x14ac:dyDescent="0.3">
      <c r="A7472" t="s">
        <v>14</v>
      </c>
      <c r="B7472" s="1">
        <v>44701</v>
      </c>
      <c r="C7472">
        <v>0.3</v>
      </c>
      <c r="D7472">
        <v>460.86</v>
      </c>
      <c r="E7472">
        <v>636</v>
      </c>
    </row>
    <row r="7473" spans="1:5" x14ac:dyDescent="0.3">
      <c r="A7473" t="s">
        <v>159</v>
      </c>
      <c r="B7473" s="1">
        <v>44701</v>
      </c>
      <c r="C7473">
        <v>1</v>
      </c>
      <c r="D7473">
        <v>51.18</v>
      </c>
      <c r="E7473">
        <v>63</v>
      </c>
    </row>
    <row r="7474" spans="1:5" x14ac:dyDescent="0.3">
      <c r="A7474" t="s">
        <v>85</v>
      </c>
      <c r="B7474" s="1">
        <v>44701</v>
      </c>
      <c r="C7474">
        <v>1</v>
      </c>
      <c r="D7474">
        <v>18.010000000000002</v>
      </c>
      <c r="E7474">
        <v>28</v>
      </c>
    </row>
    <row r="7475" spans="1:5" x14ac:dyDescent="0.3">
      <c r="A7475" t="s">
        <v>85</v>
      </c>
      <c r="B7475" s="1">
        <v>44701</v>
      </c>
      <c r="C7475">
        <v>1</v>
      </c>
      <c r="D7475">
        <v>18.010000000000002</v>
      </c>
      <c r="E7475">
        <v>28</v>
      </c>
    </row>
    <row r="7476" spans="1:5" x14ac:dyDescent="0.3">
      <c r="A7476" t="s">
        <v>85</v>
      </c>
      <c r="B7476" s="1">
        <v>44701</v>
      </c>
      <c r="C7476">
        <v>1</v>
      </c>
      <c r="D7476">
        <v>18.010000000000002</v>
      </c>
      <c r="E7476">
        <v>28</v>
      </c>
    </row>
    <row r="7477" spans="1:5" x14ac:dyDescent="0.3">
      <c r="A7477" t="s">
        <v>85</v>
      </c>
      <c r="B7477" s="1">
        <v>44701</v>
      </c>
      <c r="C7477">
        <v>1</v>
      </c>
      <c r="D7477">
        <v>18.010000000000002</v>
      </c>
      <c r="E7477">
        <v>28</v>
      </c>
    </row>
    <row r="7478" spans="1:5" x14ac:dyDescent="0.3">
      <c r="A7478" t="s">
        <v>85</v>
      </c>
      <c r="B7478" s="1">
        <v>44701</v>
      </c>
      <c r="C7478">
        <v>1</v>
      </c>
      <c r="D7478">
        <v>15.95</v>
      </c>
      <c r="E7478">
        <v>25</v>
      </c>
    </row>
    <row r="7479" spans="1:5" x14ac:dyDescent="0.3">
      <c r="A7479" t="s">
        <v>60</v>
      </c>
      <c r="B7479" s="1">
        <v>44701</v>
      </c>
      <c r="C7479">
        <v>1</v>
      </c>
      <c r="D7479">
        <v>58.15</v>
      </c>
      <c r="E7479">
        <v>72</v>
      </c>
    </row>
    <row r="7480" spans="1:5" x14ac:dyDescent="0.3">
      <c r="A7480" t="s">
        <v>20</v>
      </c>
      <c r="B7480" s="1">
        <v>44701</v>
      </c>
      <c r="C7480">
        <v>1</v>
      </c>
      <c r="D7480">
        <v>19.71</v>
      </c>
      <c r="E7480">
        <v>25</v>
      </c>
    </row>
    <row r="7481" spans="1:5" x14ac:dyDescent="0.3">
      <c r="A7481" t="s">
        <v>80</v>
      </c>
      <c r="B7481" s="1">
        <v>44701</v>
      </c>
      <c r="C7481">
        <v>1</v>
      </c>
      <c r="D7481">
        <v>23.57</v>
      </c>
      <c r="E7481">
        <v>36</v>
      </c>
    </row>
    <row r="7482" spans="1:5" x14ac:dyDescent="0.3">
      <c r="A7482" t="s">
        <v>80</v>
      </c>
      <c r="B7482" s="1">
        <v>44701</v>
      </c>
      <c r="C7482">
        <v>1</v>
      </c>
      <c r="D7482">
        <v>23.57</v>
      </c>
      <c r="E7482">
        <v>36</v>
      </c>
    </row>
    <row r="7483" spans="1:5" x14ac:dyDescent="0.3">
      <c r="A7483" t="s">
        <v>34</v>
      </c>
      <c r="B7483" s="1">
        <v>44701</v>
      </c>
      <c r="C7483">
        <v>1</v>
      </c>
      <c r="D7483">
        <v>201.2</v>
      </c>
      <c r="E7483">
        <v>232</v>
      </c>
    </row>
    <row r="7484" spans="1:5" x14ac:dyDescent="0.3">
      <c r="A7484" t="s">
        <v>12</v>
      </c>
      <c r="B7484" s="1">
        <v>44701</v>
      </c>
      <c r="C7484">
        <v>1</v>
      </c>
      <c r="D7484">
        <v>56.08</v>
      </c>
      <c r="E7484">
        <v>70</v>
      </c>
    </row>
    <row r="7485" spans="1:5" x14ac:dyDescent="0.3">
      <c r="A7485" t="s">
        <v>42</v>
      </c>
      <c r="B7485" s="1">
        <v>44700</v>
      </c>
      <c r="C7485">
        <v>1</v>
      </c>
      <c r="D7485">
        <v>634.73</v>
      </c>
      <c r="E7485">
        <v>794</v>
      </c>
    </row>
    <row r="7486" spans="1:5" x14ac:dyDescent="0.3">
      <c r="A7486" t="s">
        <v>13</v>
      </c>
      <c r="B7486" s="1">
        <v>44700</v>
      </c>
      <c r="C7486">
        <v>1</v>
      </c>
      <c r="D7486">
        <v>119.72</v>
      </c>
      <c r="E7486">
        <v>147</v>
      </c>
    </row>
    <row r="7487" spans="1:5" x14ac:dyDescent="0.3">
      <c r="A7487" t="s">
        <v>35</v>
      </c>
      <c r="B7487" s="1">
        <v>44700</v>
      </c>
      <c r="C7487">
        <v>1</v>
      </c>
      <c r="D7487">
        <v>35</v>
      </c>
      <c r="E7487">
        <v>55</v>
      </c>
    </row>
    <row r="7488" spans="1:5" x14ac:dyDescent="0.3">
      <c r="A7488" t="s">
        <v>122</v>
      </c>
      <c r="B7488" s="1">
        <v>44700</v>
      </c>
      <c r="C7488">
        <v>1</v>
      </c>
      <c r="D7488">
        <v>20.78</v>
      </c>
      <c r="E7488">
        <v>26</v>
      </c>
    </row>
    <row r="7489" spans="1:5" x14ac:dyDescent="0.3">
      <c r="A7489" t="s">
        <v>19</v>
      </c>
      <c r="B7489" s="1">
        <v>44700</v>
      </c>
      <c r="C7489">
        <v>1</v>
      </c>
      <c r="D7489">
        <v>81.95</v>
      </c>
      <c r="E7489">
        <v>104</v>
      </c>
    </row>
    <row r="7490" spans="1:5" x14ac:dyDescent="0.3">
      <c r="A7490" t="s">
        <v>147</v>
      </c>
      <c r="B7490" s="1">
        <v>44700</v>
      </c>
      <c r="C7490">
        <v>1</v>
      </c>
      <c r="D7490">
        <v>136.94999999999999</v>
      </c>
      <c r="E7490">
        <v>188</v>
      </c>
    </row>
    <row r="7491" spans="1:5" x14ac:dyDescent="0.3">
      <c r="A7491" t="s">
        <v>102</v>
      </c>
      <c r="B7491" s="1">
        <v>44700</v>
      </c>
      <c r="C7491">
        <v>1</v>
      </c>
      <c r="D7491">
        <v>26.18</v>
      </c>
      <c r="E7491">
        <v>33</v>
      </c>
    </row>
    <row r="7492" spans="1:5" x14ac:dyDescent="0.3">
      <c r="A7492" t="s">
        <v>102</v>
      </c>
      <c r="B7492" s="1">
        <v>44700</v>
      </c>
      <c r="C7492">
        <v>1</v>
      </c>
      <c r="D7492">
        <v>26.18</v>
      </c>
      <c r="E7492">
        <v>33</v>
      </c>
    </row>
    <row r="7493" spans="1:5" x14ac:dyDescent="0.3">
      <c r="A7493" t="s">
        <v>102</v>
      </c>
      <c r="B7493" s="1">
        <v>44700</v>
      </c>
      <c r="C7493">
        <v>1</v>
      </c>
      <c r="D7493">
        <v>26.18</v>
      </c>
      <c r="E7493">
        <v>33</v>
      </c>
    </row>
    <row r="7494" spans="1:5" x14ac:dyDescent="0.3">
      <c r="A7494" t="s">
        <v>102</v>
      </c>
      <c r="B7494" s="1">
        <v>44700</v>
      </c>
      <c r="C7494">
        <v>1</v>
      </c>
      <c r="D7494">
        <v>26.18</v>
      </c>
      <c r="E7494">
        <v>33</v>
      </c>
    </row>
    <row r="7495" spans="1:5" x14ac:dyDescent="0.3">
      <c r="A7495" t="s">
        <v>102</v>
      </c>
      <c r="B7495" s="1">
        <v>44700</v>
      </c>
      <c r="C7495">
        <v>1</v>
      </c>
      <c r="D7495">
        <v>26.18</v>
      </c>
      <c r="E7495">
        <v>33</v>
      </c>
    </row>
    <row r="7496" spans="1:5" x14ac:dyDescent="0.3">
      <c r="A7496" t="s">
        <v>102</v>
      </c>
      <c r="B7496" s="1">
        <v>44700</v>
      </c>
      <c r="C7496">
        <v>1</v>
      </c>
      <c r="D7496">
        <v>26.18</v>
      </c>
      <c r="E7496">
        <v>33</v>
      </c>
    </row>
    <row r="7497" spans="1:5" x14ac:dyDescent="0.3">
      <c r="A7497" t="s">
        <v>102</v>
      </c>
      <c r="B7497" s="1">
        <v>44700</v>
      </c>
      <c r="C7497">
        <v>1</v>
      </c>
      <c r="D7497">
        <v>26.18</v>
      </c>
      <c r="E7497">
        <v>33</v>
      </c>
    </row>
    <row r="7498" spans="1:5" x14ac:dyDescent="0.3">
      <c r="A7498" t="s">
        <v>102</v>
      </c>
      <c r="B7498" s="1">
        <v>44700</v>
      </c>
      <c r="C7498">
        <v>1</v>
      </c>
      <c r="D7498">
        <v>26.18</v>
      </c>
      <c r="E7498">
        <v>33</v>
      </c>
    </row>
    <row r="7499" spans="1:5" x14ac:dyDescent="0.3">
      <c r="A7499" t="s">
        <v>102</v>
      </c>
      <c r="B7499" s="1">
        <v>44700</v>
      </c>
      <c r="C7499">
        <v>1</v>
      </c>
      <c r="D7499">
        <v>26.18</v>
      </c>
      <c r="E7499">
        <v>33</v>
      </c>
    </row>
    <row r="7500" spans="1:5" x14ac:dyDescent="0.3">
      <c r="A7500" t="s">
        <v>102</v>
      </c>
      <c r="B7500" s="1">
        <v>44700</v>
      </c>
      <c r="C7500">
        <v>1</v>
      </c>
      <c r="D7500">
        <v>26.18</v>
      </c>
      <c r="E7500">
        <v>33</v>
      </c>
    </row>
    <row r="7501" spans="1:5" x14ac:dyDescent="0.3">
      <c r="A7501" t="s">
        <v>56</v>
      </c>
      <c r="B7501" s="1">
        <v>44700</v>
      </c>
      <c r="C7501">
        <v>1</v>
      </c>
      <c r="D7501">
        <v>43.97</v>
      </c>
      <c r="E7501">
        <v>69</v>
      </c>
    </row>
    <row r="7502" spans="1:5" x14ac:dyDescent="0.3">
      <c r="A7502" t="s">
        <v>160</v>
      </c>
      <c r="B7502" s="1">
        <v>44700</v>
      </c>
      <c r="C7502">
        <v>1</v>
      </c>
      <c r="D7502">
        <v>80.73</v>
      </c>
      <c r="E7502">
        <v>100</v>
      </c>
    </row>
    <row r="7503" spans="1:5" x14ac:dyDescent="0.3">
      <c r="A7503" t="s">
        <v>104</v>
      </c>
      <c r="B7503" s="1">
        <v>44700</v>
      </c>
      <c r="C7503">
        <v>1</v>
      </c>
      <c r="D7503">
        <v>45.33</v>
      </c>
      <c r="E7503">
        <v>58</v>
      </c>
    </row>
    <row r="7504" spans="1:5" x14ac:dyDescent="0.3">
      <c r="A7504" t="s">
        <v>104</v>
      </c>
      <c r="B7504" s="1">
        <v>44700</v>
      </c>
      <c r="C7504">
        <v>1</v>
      </c>
      <c r="D7504">
        <v>45.33</v>
      </c>
      <c r="E7504">
        <v>58</v>
      </c>
    </row>
    <row r="7505" spans="1:5" x14ac:dyDescent="0.3">
      <c r="A7505" t="s">
        <v>115</v>
      </c>
      <c r="B7505" s="1">
        <v>44700</v>
      </c>
      <c r="C7505">
        <v>1</v>
      </c>
      <c r="D7505">
        <v>70.95</v>
      </c>
      <c r="E7505">
        <v>89</v>
      </c>
    </row>
    <row r="7506" spans="1:5" x14ac:dyDescent="0.3">
      <c r="A7506" t="s">
        <v>28</v>
      </c>
      <c r="B7506" s="1">
        <v>44700</v>
      </c>
      <c r="C7506">
        <v>1</v>
      </c>
      <c r="D7506">
        <v>136.6</v>
      </c>
      <c r="E7506">
        <v>188</v>
      </c>
    </row>
    <row r="7507" spans="1:5" x14ac:dyDescent="0.3">
      <c r="A7507" t="s">
        <v>100</v>
      </c>
      <c r="B7507" s="1">
        <v>44700</v>
      </c>
      <c r="C7507">
        <v>1</v>
      </c>
      <c r="D7507">
        <v>35.82</v>
      </c>
      <c r="E7507">
        <v>57</v>
      </c>
    </row>
    <row r="7508" spans="1:5" x14ac:dyDescent="0.3">
      <c r="A7508" t="s">
        <v>25</v>
      </c>
      <c r="B7508" s="1">
        <v>44700</v>
      </c>
      <c r="C7508">
        <v>1</v>
      </c>
      <c r="D7508">
        <v>147.18</v>
      </c>
      <c r="E7508">
        <v>177</v>
      </c>
    </row>
    <row r="7509" spans="1:5" x14ac:dyDescent="0.3">
      <c r="A7509" t="s">
        <v>124</v>
      </c>
      <c r="B7509" s="1">
        <v>44700</v>
      </c>
      <c r="C7509">
        <v>1</v>
      </c>
      <c r="D7509">
        <v>36.75</v>
      </c>
      <c r="E7509">
        <v>59</v>
      </c>
    </row>
    <row r="7510" spans="1:5" x14ac:dyDescent="0.3">
      <c r="A7510" t="s">
        <v>40</v>
      </c>
      <c r="B7510" s="1">
        <v>44700</v>
      </c>
      <c r="C7510">
        <v>1</v>
      </c>
      <c r="D7510">
        <v>173.86</v>
      </c>
      <c r="E7510">
        <v>212</v>
      </c>
    </row>
    <row r="7511" spans="1:5" x14ac:dyDescent="0.3">
      <c r="A7511" t="s">
        <v>7</v>
      </c>
      <c r="B7511" s="1">
        <v>44700</v>
      </c>
      <c r="C7511">
        <v>1</v>
      </c>
      <c r="D7511">
        <v>88.68</v>
      </c>
      <c r="E7511">
        <v>104</v>
      </c>
    </row>
    <row r="7512" spans="1:5" x14ac:dyDescent="0.3">
      <c r="A7512" t="s">
        <v>14</v>
      </c>
      <c r="B7512" s="1">
        <v>44700</v>
      </c>
      <c r="C7512">
        <v>0.3</v>
      </c>
      <c r="D7512">
        <v>446.41</v>
      </c>
      <c r="E7512">
        <v>576</v>
      </c>
    </row>
    <row r="7513" spans="1:5" x14ac:dyDescent="0.3">
      <c r="A7513" t="s">
        <v>137</v>
      </c>
      <c r="B7513" s="1">
        <v>44700</v>
      </c>
      <c r="C7513">
        <v>1</v>
      </c>
      <c r="D7513">
        <v>8.5</v>
      </c>
      <c r="E7513">
        <v>14</v>
      </c>
    </row>
    <row r="7514" spans="1:5" x14ac:dyDescent="0.3">
      <c r="A7514" t="s">
        <v>26</v>
      </c>
      <c r="B7514" s="1">
        <v>44700</v>
      </c>
      <c r="C7514">
        <v>0.1</v>
      </c>
      <c r="D7514">
        <v>987.81</v>
      </c>
      <c r="E7514">
        <v>1235</v>
      </c>
    </row>
    <row r="7515" spans="1:5" x14ac:dyDescent="0.3">
      <c r="A7515" t="s">
        <v>26</v>
      </c>
      <c r="B7515" s="1">
        <v>44700</v>
      </c>
      <c r="C7515">
        <v>6.6666699999999995E-2</v>
      </c>
      <c r="D7515">
        <v>987.81</v>
      </c>
      <c r="E7515">
        <v>1235</v>
      </c>
    </row>
    <row r="7516" spans="1:5" x14ac:dyDescent="0.3">
      <c r="A7516" t="s">
        <v>39</v>
      </c>
      <c r="B7516" s="1">
        <v>44700</v>
      </c>
      <c r="C7516">
        <v>2</v>
      </c>
      <c r="D7516">
        <v>8.76</v>
      </c>
      <c r="E7516">
        <v>15</v>
      </c>
    </row>
    <row r="7517" spans="1:5" x14ac:dyDescent="0.3">
      <c r="A7517" t="s">
        <v>39</v>
      </c>
      <c r="B7517" s="1">
        <v>44700</v>
      </c>
      <c r="C7517">
        <v>5</v>
      </c>
      <c r="D7517">
        <v>14.89</v>
      </c>
      <c r="E7517">
        <v>24</v>
      </c>
    </row>
    <row r="7518" spans="1:5" x14ac:dyDescent="0.3">
      <c r="A7518" t="s">
        <v>121</v>
      </c>
      <c r="B7518" s="1">
        <v>44700</v>
      </c>
      <c r="C7518">
        <v>2</v>
      </c>
      <c r="D7518">
        <v>11.41</v>
      </c>
      <c r="E7518">
        <v>19</v>
      </c>
    </row>
    <row r="7519" spans="1:5" x14ac:dyDescent="0.3">
      <c r="A7519" t="s">
        <v>110</v>
      </c>
      <c r="B7519" s="1">
        <v>44700</v>
      </c>
      <c r="C7519">
        <v>1</v>
      </c>
      <c r="D7519">
        <v>215.6</v>
      </c>
      <c r="E7519">
        <v>302</v>
      </c>
    </row>
    <row r="7520" spans="1:5" x14ac:dyDescent="0.3">
      <c r="A7520" t="s">
        <v>61</v>
      </c>
      <c r="B7520" s="1">
        <v>44700</v>
      </c>
      <c r="C7520">
        <v>1</v>
      </c>
      <c r="D7520">
        <v>33.11</v>
      </c>
      <c r="E7520">
        <v>51</v>
      </c>
    </row>
    <row r="7521" spans="1:5" x14ac:dyDescent="0.3">
      <c r="A7521" t="s">
        <v>46</v>
      </c>
      <c r="B7521" s="1">
        <v>44700</v>
      </c>
      <c r="C7521">
        <v>1</v>
      </c>
      <c r="D7521">
        <v>19.420000000000002</v>
      </c>
      <c r="E7521">
        <v>24</v>
      </c>
    </row>
    <row r="7522" spans="1:5" x14ac:dyDescent="0.3">
      <c r="A7522" t="s">
        <v>160</v>
      </c>
      <c r="B7522" s="1">
        <v>44700</v>
      </c>
      <c r="C7522">
        <v>1</v>
      </c>
      <c r="D7522">
        <v>80.73</v>
      </c>
      <c r="E7522">
        <v>98</v>
      </c>
    </row>
    <row r="7523" spans="1:5" x14ac:dyDescent="0.3">
      <c r="A7523" t="s">
        <v>160</v>
      </c>
      <c r="B7523" s="1">
        <v>44700</v>
      </c>
      <c r="C7523">
        <v>1</v>
      </c>
      <c r="D7523">
        <v>80.73</v>
      </c>
      <c r="E7523">
        <v>98</v>
      </c>
    </row>
    <row r="7524" spans="1:5" x14ac:dyDescent="0.3">
      <c r="A7524" t="s">
        <v>122</v>
      </c>
      <c r="B7524" s="1">
        <v>44700</v>
      </c>
      <c r="C7524">
        <v>1</v>
      </c>
      <c r="D7524">
        <v>21.23</v>
      </c>
      <c r="E7524">
        <v>26</v>
      </c>
    </row>
    <row r="7525" spans="1:5" x14ac:dyDescent="0.3">
      <c r="A7525" t="s">
        <v>41</v>
      </c>
      <c r="B7525" s="1">
        <v>44700</v>
      </c>
      <c r="C7525">
        <v>1</v>
      </c>
      <c r="D7525">
        <v>10.92</v>
      </c>
      <c r="E7525">
        <v>18</v>
      </c>
    </row>
    <row r="7526" spans="1:5" x14ac:dyDescent="0.3">
      <c r="A7526" t="s">
        <v>15</v>
      </c>
      <c r="B7526" s="1">
        <v>44700</v>
      </c>
      <c r="C7526">
        <v>1</v>
      </c>
      <c r="D7526">
        <v>55.5</v>
      </c>
      <c r="E7526">
        <v>87</v>
      </c>
    </row>
    <row r="7527" spans="1:5" x14ac:dyDescent="0.3">
      <c r="A7527" t="s">
        <v>129</v>
      </c>
      <c r="B7527" s="1">
        <v>44700</v>
      </c>
      <c r="C7527">
        <v>0.08</v>
      </c>
      <c r="D7527">
        <v>495.19</v>
      </c>
      <c r="E7527">
        <v>596</v>
      </c>
    </row>
    <row r="7528" spans="1:5" x14ac:dyDescent="0.3">
      <c r="A7528" t="s">
        <v>129</v>
      </c>
      <c r="B7528" s="1">
        <v>44700</v>
      </c>
      <c r="C7528">
        <v>0.04</v>
      </c>
      <c r="D7528">
        <v>496.39</v>
      </c>
      <c r="E7528">
        <v>597</v>
      </c>
    </row>
    <row r="7529" spans="1:5" x14ac:dyDescent="0.3">
      <c r="A7529" t="s">
        <v>24</v>
      </c>
      <c r="B7529" s="1">
        <v>44700</v>
      </c>
      <c r="C7529">
        <v>1</v>
      </c>
      <c r="D7529">
        <v>95.88</v>
      </c>
      <c r="E7529">
        <v>118</v>
      </c>
    </row>
    <row r="7530" spans="1:5" x14ac:dyDescent="0.3">
      <c r="A7530" t="s">
        <v>5</v>
      </c>
      <c r="B7530" s="1">
        <v>44700</v>
      </c>
      <c r="C7530">
        <v>1</v>
      </c>
      <c r="D7530">
        <v>145.6</v>
      </c>
      <c r="E7530">
        <v>172</v>
      </c>
    </row>
    <row r="7531" spans="1:5" x14ac:dyDescent="0.3">
      <c r="A7531" t="s">
        <v>8</v>
      </c>
      <c r="B7531" s="1">
        <v>44700</v>
      </c>
      <c r="C7531">
        <v>1</v>
      </c>
      <c r="D7531">
        <v>47.83</v>
      </c>
      <c r="E7531">
        <v>78</v>
      </c>
    </row>
    <row r="7532" spans="1:5" x14ac:dyDescent="0.3">
      <c r="A7532" t="s">
        <v>149</v>
      </c>
      <c r="B7532" s="1">
        <v>44700</v>
      </c>
      <c r="C7532">
        <v>1</v>
      </c>
      <c r="D7532">
        <v>223.14</v>
      </c>
      <c r="E7532">
        <v>313</v>
      </c>
    </row>
    <row r="7533" spans="1:5" x14ac:dyDescent="0.3">
      <c r="A7533" t="s">
        <v>103</v>
      </c>
      <c r="B7533" s="1">
        <v>44700</v>
      </c>
      <c r="C7533">
        <v>1</v>
      </c>
      <c r="D7533">
        <v>41.33</v>
      </c>
      <c r="E7533">
        <v>65</v>
      </c>
    </row>
    <row r="7534" spans="1:5" x14ac:dyDescent="0.3">
      <c r="A7534" t="s">
        <v>8</v>
      </c>
      <c r="B7534" s="1">
        <v>44700</v>
      </c>
      <c r="C7534">
        <v>1</v>
      </c>
      <c r="D7534">
        <v>47.83</v>
      </c>
      <c r="E7534">
        <v>77</v>
      </c>
    </row>
    <row r="7535" spans="1:5" x14ac:dyDescent="0.3">
      <c r="A7535" t="s">
        <v>20</v>
      </c>
      <c r="B7535" s="1">
        <v>44700</v>
      </c>
      <c r="C7535">
        <v>1</v>
      </c>
      <c r="D7535">
        <v>19.71</v>
      </c>
      <c r="E7535">
        <v>25</v>
      </c>
    </row>
    <row r="7536" spans="1:5" x14ac:dyDescent="0.3">
      <c r="A7536" t="s">
        <v>20</v>
      </c>
      <c r="B7536" s="1">
        <v>44700</v>
      </c>
      <c r="C7536">
        <v>1</v>
      </c>
      <c r="D7536">
        <v>19.71</v>
      </c>
      <c r="E7536">
        <v>25</v>
      </c>
    </row>
    <row r="7537" spans="1:5" x14ac:dyDescent="0.3">
      <c r="A7537" t="s">
        <v>20</v>
      </c>
      <c r="B7537" s="1">
        <v>44700</v>
      </c>
      <c r="C7537">
        <v>1</v>
      </c>
      <c r="D7537">
        <v>19.71</v>
      </c>
      <c r="E7537">
        <v>25</v>
      </c>
    </row>
    <row r="7538" spans="1:5" x14ac:dyDescent="0.3">
      <c r="A7538" t="s">
        <v>66</v>
      </c>
      <c r="B7538" s="1">
        <v>44700</v>
      </c>
      <c r="C7538">
        <v>1</v>
      </c>
      <c r="D7538">
        <v>30.6</v>
      </c>
      <c r="E7538">
        <v>36</v>
      </c>
    </row>
    <row r="7539" spans="1:5" x14ac:dyDescent="0.3">
      <c r="A7539" t="s">
        <v>160</v>
      </c>
      <c r="B7539" s="1">
        <v>44700</v>
      </c>
      <c r="C7539">
        <v>1</v>
      </c>
      <c r="D7539">
        <v>80.73</v>
      </c>
      <c r="E7539">
        <v>98</v>
      </c>
    </row>
    <row r="7540" spans="1:5" x14ac:dyDescent="0.3">
      <c r="A7540" t="s">
        <v>160</v>
      </c>
      <c r="B7540" s="1">
        <v>44700</v>
      </c>
      <c r="C7540">
        <v>1</v>
      </c>
      <c r="D7540">
        <v>80.73</v>
      </c>
      <c r="E7540">
        <v>98</v>
      </c>
    </row>
    <row r="7541" spans="1:5" x14ac:dyDescent="0.3">
      <c r="A7541" t="s">
        <v>70</v>
      </c>
      <c r="B7541" s="1">
        <v>44700</v>
      </c>
      <c r="C7541">
        <v>1</v>
      </c>
      <c r="D7541">
        <v>163.37</v>
      </c>
      <c r="E7541">
        <v>197</v>
      </c>
    </row>
    <row r="7542" spans="1:5" x14ac:dyDescent="0.3">
      <c r="A7542" t="s">
        <v>99</v>
      </c>
      <c r="B7542" s="1">
        <v>44700</v>
      </c>
      <c r="C7542">
        <v>1</v>
      </c>
      <c r="D7542">
        <v>64.44</v>
      </c>
      <c r="E7542">
        <v>80</v>
      </c>
    </row>
    <row r="7543" spans="1:5" x14ac:dyDescent="0.3">
      <c r="A7543" t="s">
        <v>139</v>
      </c>
      <c r="B7543" s="1">
        <v>44700</v>
      </c>
      <c r="C7543">
        <v>1</v>
      </c>
      <c r="D7543">
        <v>24.18</v>
      </c>
      <c r="E7543">
        <v>40</v>
      </c>
    </row>
    <row r="7544" spans="1:5" x14ac:dyDescent="0.3">
      <c r="A7544" t="s">
        <v>32</v>
      </c>
      <c r="B7544" s="1">
        <v>44700</v>
      </c>
      <c r="C7544">
        <v>1</v>
      </c>
      <c r="D7544">
        <v>125.73</v>
      </c>
      <c r="E7544">
        <v>192</v>
      </c>
    </row>
    <row r="7545" spans="1:5" x14ac:dyDescent="0.3">
      <c r="A7545" t="s">
        <v>83</v>
      </c>
      <c r="B7545" s="1">
        <v>44700</v>
      </c>
      <c r="C7545">
        <v>1</v>
      </c>
      <c r="D7545">
        <v>207.76</v>
      </c>
      <c r="E7545">
        <v>246</v>
      </c>
    </row>
    <row r="7546" spans="1:5" x14ac:dyDescent="0.3">
      <c r="A7546" t="s">
        <v>60</v>
      </c>
      <c r="B7546" s="1">
        <v>44700</v>
      </c>
      <c r="C7546">
        <v>1</v>
      </c>
      <c r="D7546">
        <v>58.08</v>
      </c>
      <c r="E7546">
        <v>73</v>
      </c>
    </row>
    <row r="7547" spans="1:5" x14ac:dyDescent="0.3">
      <c r="A7547" t="s">
        <v>86</v>
      </c>
      <c r="B7547" s="1">
        <v>44700</v>
      </c>
      <c r="C7547">
        <v>1</v>
      </c>
      <c r="D7547">
        <v>47.4</v>
      </c>
      <c r="E7547">
        <v>76</v>
      </c>
    </row>
    <row r="7548" spans="1:5" x14ac:dyDescent="0.3">
      <c r="A7548" t="s">
        <v>137</v>
      </c>
      <c r="B7548" s="1">
        <v>44700</v>
      </c>
      <c r="C7548">
        <v>1</v>
      </c>
      <c r="D7548">
        <v>8.5</v>
      </c>
      <c r="E7548">
        <v>14</v>
      </c>
    </row>
    <row r="7549" spans="1:5" x14ac:dyDescent="0.3">
      <c r="A7549" t="s">
        <v>137</v>
      </c>
      <c r="B7549" s="1">
        <v>44700</v>
      </c>
      <c r="C7549">
        <v>1</v>
      </c>
      <c r="D7549">
        <v>8.5</v>
      </c>
      <c r="E7549">
        <v>14</v>
      </c>
    </row>
    <row r="7550" spans="1:5" x14ac:dyDescent="0.3">
      <c r="A7550" t="s">
        <v>70</v>
      </c>
      <c r="B7550" s="1">
        <v>44700</v>
      </c>
      <c r="C7550">
        <v>1</v>
      </c>
      <c r="D7550">
        <v>185.19</v>
      </c>
      <c r="E7550">
        <v>219</v>
      </c>
    </row>
    <row r="7551" spans="1:5" x14ac:dyDescent="0.3">
      <c r="A7551" t="s">
        <v>41</v>
      </c>
      <c r="B7551" s="1">
        <v>44700</v>
      </c>
      <c r="C7551">
        <v>1</v>
      </c>
      <c r="D7551">
        <v>12.75</v>
      </c>
      <c r="E7551">
        <v>21</v>
      </c>
    </row>
    <row r="7552" spans="1:5" x14ac:dyDescent="0.3">
      <c r="A7552" t="s">
        <v>135</v>
      </c>
      <c r="B7552" s="1">
        <v>44700</v>
      </c>
      <c r="C7552">
        <v>1</v>
      </c>
      <c r="D7552">
        <v>71.209999999999994</v>
      </c>
      <c r="E7552">
        <v>89</v>
      </c>
    </row>
    <row r="7553" spans="1:5" x14ac:dyDescent="0.3">
      <c r="A7553" t="s">
        <v>66</v>
      </c>
      <c r="B7553" s="1">
        <v>44700</v>
      </c>
      <c r="C7553">
        <v>1</v>
      </c>
      <c r="D7553">
        <v>31.08</v>
      </c>
      <c r="E7553">
        <v>36</v>
      </c>
    </row>
    <row r="7554" spans="1:5" x14ac:dyDescent="0.3">
      <c r="A7554" t="s">
        <v>99</v>
      </c>
      <c r="B7554" s="1">
        <v>44700</v>
      </c>
      <c r="C7554">
        <v>1</v>
      </c>
      <c r="D7554">
        <v>64.25</v>
      </c>
      <c r="E7554">
        <v>77</v>
      </c>
    </row>
    <row r="7555" spans="1:5" x14ac:dyDescent="0.3">
      <c r="A7555" t="s">
        <v>20</v>
      </c>
      <c r="B7555" s="1">
        <v>44700</v>
      </c>
      <c r="C7555">
        <v>1</v>
      </c>
      <c r="D7555">
        <v>19.71</v>
      </c>
      <c r="E7555">
        <v>25</v>
      </c>
    </row>
    <row r="7556" spans="1:5" x14ac:dyDescent="0.3">
      <c r="A7556" t="s">
        <v>84</v>
      </c>
      <c r="B7556" s="1">
        <v>44700</v>
      </c>
      <c r="C7556">
        <v>1</v>
      </c>
      <c r="D7556">
        <v>153.74</v>
      </c>
      <c r="E7556">
        <v>193</v>
      </c>
    </row>
    <row r="7557" spans="1:5" x14ac:dyDescent="0.3">
      <c r="A7557" t="s">
        <v>127</v>
      </c>
      <c r="B7557" s="1">
        <v>44700</v>
      </c>
      <c r="C7557">
        <v>1</v>
      </c>
      <c r="D7557">
        <v>121.2</v>
      </c>
      <c r="E7557">
        <v>164</v>
      </c>
    </row>
    <row r="7558" spans="1:5" x14ac:dyDescent="0.3">
      <c r="A7558" t="s">
        <v>134</v>
      </c>
      <c r="B7558" s="1">
        <v>44700</v>
      </c>
      <c r="C7558">
        <v>1</v>
      </c>
      <c r="D7558">
        <v>27.41</v>
      </c>
      <c r="E7558">
        <v>42</v>
      </c>
    </row>
    <row r="7559" spans="1:5" x14ac:dyDescent="0.3">
      <c r="A7559" t="s">
        <v>97</v>
      </c>
      <c r="B7559" s="1">
        <v>44700</v>
      </c>
      <c r="C7559">
        <v>1</v>
      </c>
      <c r="D7559">
        <v>411.88</v>
      </c>
      <c r="E7559">
        <v>544</v>
      </c>
    </row>
    <row r="7560" spans="1:5" x14ac:dyDescent="0.3">
      <c r="A7560" t="s">
        <v>97</v>
      </c>
      <c r="B7560" s="1">
        <v>44700</v>
      </c>
      <c r="C7560">
        <v>1</v>
      </c>
      <c r="D7560">
        <v>411.88</v>
      </c>
      <c r="E7560">
        <v>544</v>
      </c>
    </row>
    <row r="7561" spans="1:5" x14ac:dyDescent="0.3">
      <c r="A7561" t="s">
        <v>30</v>
      </c>
      <c r="B7561" s="1">
        <v>44700</v>
      </c>
      <c r="C7561">
        <v>1</v>
      </c>
      <c r="D7561">
        <v>156.19999999999999</v>
      </c>
      <c r="E7561">
        <v>189</v>
      </c>
    </row>
    <row r="7562" spans="1:5" x14ac:dyDescent="0.3">
      <c r="A7562" t="s">
        <v>97</v>
      </c>
      <c r="B7562" s="1">
        <v>44700</v>
      </c>
      <c r="C7562">
        <v>1</v>
      </c>
      <c r="D7562">
        <v>411.88</v>
      </c>
      <c r="E7562">
        <v>544</v>
      </c>
    </row>
    <row r="7563" spans="1:5" x14ac:dyDescent="0.3">
      <c r="A7563" t="s">
        <v>97</v>
      </c>
      <c r="B7563" s="1">
        <v>44700</v>
      </c>
      <c r="C7563">
        <v>1</v>
      </c>
      <c r="D7563">
        <v>411.88</v>
      </c>
      <c r="E7563">
        <v>544</v>
      </c>
    </row>
    <row r="7564" spans="1:5" x14ac:dyDescent="0.3">
      <c r="A7564" t="s">
        <v>97</v>
      </c>
      <c r="B7564" s="1">
        <v>44700</v>
      </c>
      <c r="C7564">
        <v>1</v>
      </c>
      <c r="D7564">
        <v>411.88</v>
      </c>
      <c r="E7564">
        <v>544</v>
      </c>
    </row>
    <row r="7565" spans="1:5" x14ac:dyDescent="0.3">
      <c r="A7565" t="s">
        <v>28</v>
      </c>
      <c r="B7565" s="1">
        <v>44700</v>
      </c>
      <c r="C7565">
        <v>1</v>
      </c>
      <c r="D7565">
        <v>147.80000000000001</v>
      </c>
      <c r="E7565">
        <v>209</v>
      </c>
    </row>
    <row r="7566" spans="1:5" x14ac:dyDescent="0.3">
      <c r="A7566" t="s">
        <v>160</v>
      </c>
      <c r="B7566" s="1">
        <v>44700</v>
      </c>
      <c r="C7566">
        <v>1</v>
      </c>
      <c r="D7566">
        <v>80.73</v>
      </c>
      <c r="E7566">
        <v>98</v>
      </c>
    </row>
    <row r="7567" spans="1:5" x14ac:dyDescent="0.3">
      <c r="A7567" t="s">
        <v>160</v>
      </c>
      <c r="B7567" s="1">
        <v>44700</v>
      </c>
      <c r="C7567">
        <v>1</v>
      </c>
      <c r="D7567">
        <v>80.73</v>
      </c>
      <c r="E7567">
        <v>98</v>
      </c>
    </row>
    <row r="7568" spans="1:5" x14ac:dyDescent="0.3">
      <c r="A7568" t="s">
        <v>143</v>
      </c>
      <c r="B7568" s="1">
        <v>44700</v>
      </c>
      <c r="C7568">
        <v>1</v>
      </c>
      <c r="D7568">
        <v>46.59</v>
      </c>
      <c r="E7568">
        <v>71</v>
      </c>
    </row>
    <row r="7569" spans="1:5" x14ac:dyDescent="0.3">
      <c r="A7569" t="s">
        <v>50</v>
      </c>
      <c r="B7569" s="1">
        <v>44700</v>
      </c>
      <c r="C7569">
        <v>1</v>
      </c>
      <c r="D7569">
        <v>43.86</v>
      </c>
      <c r="E7569">
        <v>55</v>
      </c>
    </row>
    <row r="7570" spans="1:5" x14ac:dyDescent="0.3">
      <c r="A7570" t="s">
        <v>57</v>
      </c>
      <c r="B7570" s="1">
        <v>44700</v>
      </c>
      <c r="C7570">
        <v>1</v>
      </c>
      <c r="D7570">
        <v>225.2</v>
      </c>
      <c r="E7570">
        <v>264</v>
      </c>
    </row>
    <row r="7571" spans="1:5" x14ac:dyDescent="0.3">
      <c r="A7571" t="s">
        <v>132</v>
      </c>
      <c r="B7571" s="1">
        <v>44700</v>
      </c>
      <c r="C7571">
        <v>1</v>
      </c>
      <c r="D7571">
        <v>58.53</v>
      </c>
      <c r="E7571">
        <v>84</v>
      </c>
    </row>
    <row r="7572" spans="1:5" x14ac:dyDescent="0.3">
      <c r="A7572" t="s">
        <v>56</v>
      </c>
      <c r="B7572" s="1">
        <v>44700</v>
      </c>
      <c r="C7572">
        <v>1</v>
      </c>
      <c r="D7572">
        <v>43.86</v>
      </c>
      <c r="E7572">
        <v>67</v>
      </c>
    </row>
    <row r="7573" spans="1:5" x14ac:dyDescent="0.3">
      <c r="A7573" t="s">
        <v>51</v>
      </c>
      <c r="B7573" s="1">
        <v>44700</v>
      </c>
      <c r="C7573">
        <v>20</v>
      </c>
      <c r="D7573">
        <v>1.98</v>
      </c>
      <c r="E7573">
        <v>4</v>
      </c>
    </row>
    <row r="7574" spans="1:5" x14ac:dyDescent="0.3">
      <c r="A7574" t="s">
        <v>64</v>
      </c>
      <c r="B7574" s="1">
        <v>44700</v>
      </c>
      <c r="C7574">
        <v>1</v>
      </c>
      <c r="D7574">
        <v>198.66</v>
      </c>
      <c r="E7574">
        <v>277</v>
      </c>
    </row>
    <row r="7575" spans="1:5" x14ac:dyDescent="0.3">
      <c r="A7575" t="s">
        <v>5</v>
      </c>
      <c r="B7575" s="1">
        <v>44700</v>
      </c>
      <c r="C7575">
        <v>1</v>
      </c>
      <c r="D7575">
        <v>146.1</v>
      </c>
      <c r="E7575">
        <v>173</v>
      </c>
    </row>
    <row r="7576" spans="1:5" x14ac:dyDescent="0.3">
      <c r="A7576" t="s">
        <v>78</v>
      </c>
      <c r="B7576" s="1">
        <v>44700</v>
      </c>
      <c r="C7576">
        <v>1</v>
      </c>
      <c r="D7576">
        <v>70.540000000000006</v>
      </c>
      <c r="E7576">
        <v>89</v>
      </c>
    </row>
    <row r="7577" spans="1:5" x14ac:dyDescent="0.3">
      <c r="A7577" t="s">
        <v>43</v>
      </c>
      <c r="B7577" s="1">
        <v>44700</v>
      </c>
      <c r="C7577">
        <v>1</v>
      </c>
      <c r="D7577">
        <v>134.68</v>
      </c>
      <c r="E7577">
        <v>162</v>
      </c>
    </row>
    <row r="7578" spans="1:5" x14ac:dyDescent="0.3">
      <c r="A7578" t="s">
        <v>118</v>
      </c>
      <c r="B7578" s="1">
        <v>44700</v>
      </c>
      <c r="C7578">
        <v>1</v>
      </c>
      <c r="D7578">
        <v>11.1</v>
      </c>
      <c r="E7578">
        <v>13</v>
      </c>
    </row>
    <row r="7579" spans="1:5" x14ac:dyDescent="0.3">
      <c r="A7579" t="s">
        <v>79</v>
      </c>
      <c r="B7579" s="1">
        <v>44700</v>
      </c>
      <c r="C7579">
        <v>1</v>
      </c>
      <c r="D7579">
        <v>148.5</v>
      </c>
      <c r="E7579">
        <v>177</v>
      </c>
    </row>
    <row r="7580" spans="1:5" x14ac:dyDescent="0.3">
      <c r="A7580" t="s">
        <v>85</v>
      </c>
      <c r="B7580" s="1">
        <v>44700</v>
      </c>
      <c r="C7580">
        <v>1</v>
      </c>
      <c r="D7580">
        <v>16.62</v>
      </c>
      <c r="E7580">
        <v>26</v>
      </c>
    </row>
    <row r="7581" spans="1:5" x14ac:dyDescent="0.3">
      <c r="A7581" t="s">
        <v>5</v>
      </c>
      <c r="B7581" s="1">
        <v>44700</v>
      </c>
      <c r="C7581">
        <v>1</v>
      </c>
      <c r="D7581">
        <v>132.94</v>
      </c>
      <c r="E7581">
        <v>160</v>
      </c>
    </row>
    <row r="7582" spans="1:5" x14ac:dyDescent="0.3">
      <c r="A7582" t="s">
        <v>139</v>
      </c>
      <c r="B7582" s="1">
        <v>44700</v>
      </c>
      <c r="C7582">
        <v>1</v>
      </c>
      <c r="D7582">
        <v>24.18</v>
      </c>
      <c r="E7582">
        <v>40</v>
      </c>
    </row>
    <row r="7583" spans="1:5" x14ac:dyDescent="0.3">
      <c r="A7583" t="s">
        <v>18</v>
      </c>
      <c r="B7583" s="1">
        <v>44700</v>
      </c>
      <c r="C7583">
        <v>1</v>
      </c>
      <c r="D7583">
        <v>46</v>
      </c>
      <c r="E7583">
        <v>70</v>
      </c>
    </row>
    <row r="7584" spans="1:5" x14ac:dyDescent="0.3">
      <c r="A7584" t="s">
        <v>68</v>
      </c>
      <c r="B7584" s="1">
        <v>44700</v>
      </c>
      <c r="C7584">
        <v>1</v>
      </c>
      <c r="D7584">
        <v>69.41</v>
      </c>
      <c r="E7584">
        <v>104</v>
      </c>
    </row>
    <row r="7585" spans="1:5" x14ac:dyDescent="0.3">
      <c r="A7585" t="s">
        <v>5</v>
      </c>
      <c r="B7585" s="1">
        <v>44700</v>
      </c>
      <c r="C7585">
        <v>1</v>
      </c>
      <c r="D7585">
        <v>145.53</v>
      </c>
      <c r="E7585">
        <v>161</v>
      </c>
    </row>
    <row r="7586" spans="1:5" x14ac:dyDescent="0.3">
      <c r="A7586" t="s">
        <v>35</v>
      </c>
      <c r="B7586" s="1">
        <v>44700</v>
      </c>
      <c r="C7586">
        <v>1</v>
      </c>
      <c r="D7586">
        <v>35</v>
      </c>
      <c r="E7586">
        <v>54</v>
      </c>
    </row>
    <row r="7587" spans="1:5" x14ac:dyDescent="0.3">
      <c r="A7587" t="s">
        <v>92</v>
      </c>
      <c r="B7587" s="1">
        <v>44700</v>
      </c>
      <c r="C7587">
        <v>1</v>
      </c>
      <c r="D7587">
        <v>6.2</v>
      </c>
      <c r="E7587">
        <v>9</v>
      </c>
    </row>
    <row r="7588" spans="1:5" x14ac:dyDescent="0.3">
      <c r="A7588" t="s">
        <v>14</v>
      </c>
      <c r="B7588" s="1">
        <v>44700</v>
      </c>
      <c r="C7588">
        <v>0.2</v>
      </c>
      <c r="D7588">
        <v>513</v>
      </c>
      <c r="E7588">
        <v>678</v>
      </c>
    </row>
    <row r="7589" spans="1:5" x14ac:dyDescent="0.3">
      <c r="A7589" t="s">
        <v>17</v>
      </c>
      <c r="B7589" s="1">
        <v>44700</v>
      </c>
      <c r="C7589">
        <v>1</v>
      </c>
      <c r="D7589">
        <v>378.06</v>
      </c>
      <c r="E7589">
        <v>454</v>
      </c>
    </row>
    <row r="7590" spans="1:5" x14ac:dyDescent="0.3">
      <c r="A7590" t="s">
        <v>34</v>
      </c>
      <c r="B7590" s="1">
        <v>44700</v>
      </c>
      <c r="C7590">
        <v>1</v>
      </c>
      <c r="D7590">
        <v>201.97</v>
      </c>
      <c r="E7590">
        <v>233</v>
      </c>
    </row>
    <row r="7591" spans="1:5" x14ac:dyDescent="0.3">
      <c r="A7591" t="s">
        <v>72</v>
      </c>
      <c r="B7591" s="1">
        <v>44700</v>
      </c>
      <c r="C7591">
        <v>1</v>
      </c>
      <c r="D7591">
        <v>556.51</v>
      </c>
      <c r="E7591">
        <v>735</v>
      </c>
    </row>
    <row r="7592" spans="1:5" x14ac:dyDescent="0.3">
      <c r="A7592" t="s">
        <v>160</v>
      </c>
      <c r="B7592" s="1">
        <v>44700</v>
      </c>
      <c r="C7592">
        <v>1</v>
      </c>
      <c r="D7592">
        <v>81.87</v>
      </c>
      <c r="E7592">
        <v>99</v>
      </c>
    </row>
    <row r="7593" spans="1:5" x14ac:dyDescent="0.3">
      <c r="A7593" t="s">
        <v>160</v>
      </c>
      <c r="B7593" s="1">
        <v>44700</v>
      </c>
      <c r="C7593">
        <v>1</v>
      </c>
      <c r="D7593">
        <v>81.87</v>
      </c>
      <c r="E7593">
        <v>99</v>
      </c>
    </row>
    <row r="7594" spans="1:5" x14ac:dyDescent="0.3">
      <c r="A7594" t="s">
        <v>144</v>
      </c>
      <c r="B7594" s="1">
        <v>44700</v>
      </c>
      <c r="C7594">
        <v>1</v>
      </c>
      <c r="D7594">
        <v>51.32</v>
      </c>
      <c r="E7594">
        <v>73</v>
      </c>
    </row>
    <row r="7595" spans="1:5" x14ac:dyDescent="0.3">
      <c r="A7595" t="s">
        <v>139</v>
      </c>
      <c r="B7595" s="1">
        <v>44700</v>
      </c>
      <c r="C7595">
        <v>5</v>
      </c>
      <c r="D7595">
        <v>24.18</v>
      </c>
      <c r="E7595">
        <v>40</v>
      </c>
    </row>
    <row r="7596" spans="1:5" x14ac:dyDescent="0.3">
      <c r="A7596" t="s">
        <v>119</v>
      </c>
      <c r="B7596" s="1">
        <v>44700</v>
      </c>
      <c r="C7596">
        <v>3.5714299999999997E-2</v>
      </c>
      <c r="D7596">
        <v>628.24</v>
      </c>
      <c r="E7596">
        <v>694</v>
      </c>
    </row>
    <row r="7597" spans="1:5" x14ac:dyDescent="0.3">
      <c r="A7597" t="s">
        <v>8</v>
      </c>
      <c r="B7597" s="1">
        <v>44700</v>
      </c>
      <c r="C7597">
        <v>1</v>
      </c>
      <c r="D7597">
        <v>47.03</v>
      </c>
      <c r="E7597">
        <v>76</v>
      </c>
    </row>
    <row r="7598" spans="1:5" x14ac:dyDescent="0.3">
      <c r="A7598" t="s">
        <v>95</v>
      </c>
      <c r="B7598" s="1">
        <v>44700</v>
      </c>
      <c r="C7598">
        <v>1</v>
      </c>
      <c r="D7598">
        <v>130.88999999999999</v>
      </c>
      <c r="E7598">
        <v>206</v>
      </c>
    </row>
    <row r="7599" spans="1:5" x14ac:dyDescent="0.3">
      <c r="A7599" t="s">
        <v>106</v>
      </c>
      <c r="B7599" s="1">
        <v>44700</v>
      </c>
      <c r="C7599">
        <v>1</v>
      </c>
      <c r="D7599">
        <v>41.48</v>
      </c>
      <c r="E7599">
        <v>51</v>
      </c>
    </row>
    <row r="7600" spans="1:5" x14ac:dyDescent="0.3">
      <c r="A7600" t="s">
        <v>120</v>
      </c>
      <c r="B7600" s="1">
        <v>44700</v>
      </c>
      <c r="C7600">
        <v>1</v>
      </c>
      <c r="D7600">
        <v>145.04</v>
      </c>
      <c r="E7600">
        <v>202</v>
      </c>
    </row>
    <row r="7601" spans="1:5" x14ac:dyDescent="0.3">
      <c r="A7601" t="s">
        <v>115</v>
      </c>
      <c r="B7601" s="1">
        <v>44700</v>
      </c>
      <c r="C7601">
        <v>1</v>
      </c>
      <c r="D7601">
        <v>71.02</v>
      </c>
      <c r="E7601">
        <v>88</v>
      </c>
    </row>
    <row r="7602" spans="1:5" x14ac:dyDescent="0.3">
      <c r="A7602" t="s">
        <v>132</v>
      </c>
      <c r="B7602" s="1">
        <v>44700</v>
      </c>
      <c r="C7602">
        <v>1</v>
      </c>
      <c r="D7602">
        <v>58.53</v>
      </c>
      <c r="E7602">
        <v>84</v>
      </c>
    </row>
    <row r="7603" spans="1:5" x14ac:dyDescent="0.3">
      <c r="A7603" t="s">
        <v>132</v>
      </c>
      <c r="B7603" s="1">
        <v>44700</v>
      </c>
      <c r="C7603">
        <v>1</v>
      </c>
      <c r="D7603">
        <v>58.53</v>
      </c>
      <c r="E7603">
        <v>84</v>
      </c>
    </row>
    <row r="7604" spans="1:5" x14ac:dyDescent="0.3">
      <c r="A7604" t="s">
        <v>114</v>
      </c>
      <c r="B7604" s="1">
        <v>44700</v>
      </c>
      <c r="C7604">
        <v>1</v>
      </c>
      <c r="D7604">
        <v>74.8</v>
      </c>
      <c r="E7604">
        <v>92</v>
      </c>
    </row>
    <row r="7605" spans="1:5" x14ac:dyDescent="0.3">
      <c r="A7605" t="s">
        <v>46</v>
      </c>
      <c r="B7605" s="1">
        <v>44700</v>
      </c>
      <c r="C7605">
        <v>1</v>
      </c>
      <c r="D7605">
        <v>19.89</v>
      </c>
      <c r="E7605">
        <v>24</v>
      </c>
    </row>
    <row r="7606" spans="1:5" x14ac:dyDescent="0.3">
      <c r="A7606" t="s">
        <v>5</v>
      </c>
      <c r="B7606" s="1">
        <v>44700</v>
      </c>
      <c r="C7606">
        <v>1</v>
      </c>
      <c r="D7606">
        <v>145.6</v>
      </c>
      <c r="E7606">
        <v>172</v>
      </c>
    </row>
    <row r="7607" spans="1:5" x14ac:dyDescent="0.3">
      <c r="A7607" t="s">
        <v>31</v>
      </c>
      <c r="B7607" s="1">
        <v>44700</v>
      </c>
      <c r="C7607">
        <v>1</v>
      </c>
      <c r="D7607">
        <v>13.19</v>
      </c>
      <c r="E7607">
        <v>18</v>
      </c>
    </row>
    <row r="7608" spans="1:5" x14ac:dyDescent="0.3">
      <c r="A7608" t="s">
        <v>139</v>
      </c>
      <c r="B7608" s="1">
        <v>44700</v>
      </c>
      <c r="C7608">
        <v>1</v>
      </c>
      <c r="D7608">
        <v>24.18</v>
      </c>
      <c r="E7608">
        <v>39</v>
      </c>
    </row>
    <row r="7609" spans="1:5" x14ac:dyDescent="0.3">
      <c r="A7609" t="s">
        <v>139</v>
      </c>
      <c r="B7609" s="1">
        <v>44700</v>
      </c>
      <c r="C7609">
        <v>1</v>
      </c>
      <c r="D7609">
        <v>24.18</v>
      </c>
      <c r="E7609">
        <v>39</v>
      </c>
    </row>
    <row r="7610" spans="1:5" x14ac:dyDescent="0.3">
      <c r="A7610" t="s">
        <v>66</v>
      </c>
      <c r="B7610" s="1">
        <v>44700</v>
      </c>
      <c r="C7610">
        <v>1</v>
      </c>
      <c r="D7610">
        <v>32</v>
      </c>
      <c r="E7610">
        <v>36</v>
      </c>
    </row>
    <row r="7611" spans="1:5" x14ac:dyDescent="0.3">
      <c r="A7611" t="s">
        <v>97</v>
      </c>
      <c r="B7611" s="1">
        <v>44700</v>
      </c>
      <c r="C7611">
        <v>1</v>
      </c>
      <c r="D7611">
        <v>499.24</v>
      </c>
      <c r="E7611">
        <v>659</v>
      </c>
    </row>
    <row r="7612" spans="1:5" x14ac:dyDescent="0.3">
      <c r="A7612" t="s">
        <v>56</v>
      </c>
      <c r="B7612" s="1">
        <v>44700</v>
      </c>
      <c r="C7612">
        <v>1</v>
      </c>
      <c r="D7612">
        <v>43.97</v>
      </c>
      <c r="E7612">
        <v>69</v>
      </c>
    </row>
    <row r="7613" spans="1:5" x14ac:dyDescent="0.3">
      <c r="A7613" t="s">
        <v>56</v>
      </c>
      <c r="B7613" s="1">
        <v>44700</v>
      </c>
      <c r="C7613">
        <v>1</v>
      </c>
      <c r="D7613">
        <v>43.97</v>
      </c>
      <c r="E7613">
        <v>69</v>
      </c>
    </row>
    <row r="7614" spans="1:5" x14ac:dyDescent="0.3">
      <c r="A7614" t="s">
        <v>110</v>
      </c>
      <c r="B7614" s="1">
        <v>44700</v>
      </c>
      <c r="C7614">
        <v>1</v>
      </c>
      <c r="D7614">
        <v>206.53</v>
      </c>
      <c r="E7614">
        <v>290</v>
      </c>
    </row>
    <row r="7615" spans="1:5" x14ac:dyDescent="0.3">
      <c r="A7615" t="s">
        <v>8</v>
      </c>
      <c r="B7615" s="1">
        <v>44700</v>
      </c>
      <c r="C7615">
        <v>1</v>
      </c>
      <c r="D7615">
        <v>47.53</v>
      </c>
      <c r="E7615">
        <v>77</v>
      </c>
    </row>
    <row r="7616" spans="1:5" x14ac:dyDescent="0.3">
      <c r="A7616" t="s">
        <v>73</v>
      </c>
      <c r="B7616" s="1">
        <v>44700</v>
      </c>
      <c r="C7616">
        <v>1</v>
      </c>
      <c r="D7616">
        <v>7.97</v>
      </c>
      <c r="E7616">
        <v>13</v>
      </c>
    </row>
    <row r="7617" spans="1:5" x14ac:dyDescent="0.3">
      <c r="A7617" t="s">
        <v>84</v>
      </c>
      <c r="B7617" s="1">
        <v>44700</v>
      </c>
      <c r="C7617">
        <v>1</v>
      </c>
      <c r="D7617">
        <v>175.74</v>
      </c>
      <c r="E7617">
        <v>220</v>
      </c>
    </row>
    <row r="7618" spans="1:5" x14ac:dyDescent="0.3">
      <c r="A7618" t="s">
        <v>84</v>
      </c>
      <c r="B7618" s="1">
        <v>44700</v>
      </c>
      <c r="C7618">
        <v>1</v>
      </c>
      <c r="D7618">
        <v>175.74</v>
      </c>
      <c r="E7618">
        <v>220</v>
      </c>
    </row>
    <row r="7619" spans="1:5" x14ac:dyDescent="0.3">
      <c r="A7619" t="s">
        <v>18</v>
      </c>
      <c r="B7619" s="1">
        <v>44700</v>
      </c>
      <c r="C7619">
        <v>1</v>
      </c>
      <c r="D7619">
        <v>46</v>
      </c>
      <c r="E7619">
        <v>70</v>
      </c>
    </row>
    <row r="7620" spans="1:5" x14ac:dyDescent="0.3">
      <c r="A7620" t="s">
        <v>16</v>
      </c>
      <c r="B7620" s="1">
        <v>44700</v>
      </c>
      <c r="C7620">
        <v>1</v>
      </c>
      <c r="D7620">
        <v>44.03</v>
      </c>
      <c r="E7620">
        <v>67</v>
      </c>
    </row>
    <row r="7621" spans="1:5" x14ac:dyDescent="0.3">
      <c r="A7621" t="s">
        <v>85</v>
      </c>
      <c r="B7621" s="1">
        <v>44700</v>
      </c>
      <c r="C7621">
        <v>1</v>
      </c>
      <c r="D7621">
        <v>18.010000000000002</v>
      </c>
      <c r="E7621">
        <v>28</v>
      </c>
    </row>
    <row r="7622" spans="1:5" x14ac:dyDescent="0.3">
      <c r="A7622" t="s">
        <v>48</v>
      </c>
      <c r="B7622" s="1">
        <v>44700</v>
      </c>
      <c r="C7622">
        <v>1</v>
      </c>
      <c r="D7622">
        <v>42.76</v>
      </c>
      <c r="E7622">
        <v>65</v>
      </c>
    </row>
    <row r="7623" spans="1:5" x14ac:dyDescent="0.3">
      <c r="A7623" t="s">
        <v>155</v>
      </c>
      <c r="B7623" s="1">
        <v>44700</v>
      </c>
      <c r="C7623">
        <v>0.48</v>
      </c>
      <c r="D7623">
        <v>498.53</v>
      </c>
      <c r="E7623">
        <v>698</v>
      </c>
    </row>
    <row r="7624" spans="1:5" x14ac:dyDescent="0.3">
      <c r="A7624" t="s">
        <v>144</v>
      </c>
      <c r="B7624" s="1">
        <v>44700</v>
      </c>
      <c r="C7624">
        <v>1</v>
      </c>
      <c r="D7624">
        <v>51.32</v>
      </c>
      <c r="E7624">
        <v>80</v>
      </c>
    </row>
    <row r="7625" spans="1:5" x14ac:dyDescent="0.3">
      <c r="A7625" t="s">
        <v>93</v>
      </c>
      <c r="B7625" s="1">
        <v>44700</v>
      </c>
      <c r="C7625">
        <v>1</v>
      </c>
      <c r="D7625">
        <v>68.599999999999994</v>
      </c>
      <c r="E7625">
        <v>98</v>
      </c>
    </row>
    <row r="7626" spans="1:5" x14ac:dyDescent="0.3">
      <c r="A7626" t="s">
        <v>93</v>
      </c>
      <c r="B7626" s="1">
        <v>44700</v>
      </c>
      <c r="C7626">
        <v>1</v>
      </c>
      <c r="D7626">
        <v>68.599999999999994</v>
      </c>
      <c r="E7626">
        <v>98</v>
      </c>
    </row>
    <row r="7627" spans="1:5" x14ac:dyDescent="0.3">
      <c r="A7627" t="s">
        <v>127</v>
      </c>
      <c r="B7627" s="1">
        <v>44700</v>
      </c>
      <c r="C7627">
        <v>1</v>
      </c>
      <c r="D7627">
        <v>120.04</v>
      </c>
      <c r="E7627">
        <v>163</v>
      </c>
    </row>
    <row r="7628" spans="1:5" x14ac:dyDescent="0.3">
      <c r="A7628" t="s">
        <v>160</v>
      </c>
      <c r="B7628" s="1">
        <v>44700</v>
      </c>
      <c r="C7628">
        <v>1</v>
      </c>
      <c r="D7628">
        <v>81.8</v>
      </c>
      <c r="E7628">
        <v>99</v>
      </c>
    </row>
    <row r="7629" spans="1:5" x14ac:dyDescent="0.3">
      <c r="A7629" t="s">
        <v>56</v>
      </c>
      <c r="B7629" s="1">
        <v>44700</v>
      </c>
      <c r="C7629">
        <v>1</v>
      </c>
      <c r="D7629">
        <v>43.79</v>
      </c>
      <c r="E7629">
        <v>68</v>
      </c>
    </row>
    <row r="7630" spans="1:5" x14ac:dyDescent="0.3">
      <c r="A7630" t="s">
        <v>30</v>
      </c>
      <c r="B7630" s="1">
        <v>44700</v>
      </c>
      <c r="C7630">
        <v>1</v>
      </c>
      <c r="D7630">
        <v>156.19999999999999</v>
      </c>
      <c r="E7630">
        <v>186</v>
      </c>
    </row>
    <row r="7631" spans="1:5" x14ac:dyDescent="0.3">
      <c r="A7631" t="s">
        <v>57</v>
      </c>
      <c r="B7631" s="1">
        <v>44700</v>
      </c>
      <c r="C7631">
        <v>1</v>
      </c>
      <c r="D7631">
        <v>328.46</v>
      </c>
      <c r="E7631">
        <v>344</v>
      </c>
    </row>
    <row r="7632" spans="1:5" x14ac:dyDescent="0.3">
      <c r="A7632" t="s">
        <v>139</v>
      </c>
      <c r="B7632" s="1">
        <v>44700</v>
      </c>
      <c r="C7632">
        <v>1</v>
      </c>
      <c r="D7632">
        <v>24.18</v>
      </c>
      <c r="E7632">
        <v>40</v>
      </c>
    </row>
    <row r="7633" spans="1:5" x14ac:dyDescent="0.3">
      <c r="A7633" t="s">
        <v>8</v>
      </c>
      <c r="B7633" s="1">
        <v>44700</v>
      </c>
      <c r="C7633">
        <v>1</v>
      </c>
      <c r="D7633">
        <v>47.82</v>
      </c>
      <c r="E7633">
        <v>83</v>
      </c>
    </row>
    <row r="7634" spans="1:5" x14ac:dyDescent="0.3">
      <c r="A7634" t="s">
        <v>57</v>
      </c>
      <c r="B7634" s="1">
        <v>44700</v>
      </c>
      <c r="C7634">
        <v>1</v>
      </c>
      <c r="D7634">
        <v>232.47</v>
      </c>
      <c r="E7634">
        <v>272</v>
      </c>
    </row>
    <row r="7635" spans="1:5" x14ac:dyDescent="0.3">
      <c r="A7635" t="s">
        <v>18</v>
      </c>
      <c r="B7635" s="1">
        <v>44700</v>
      </c>
      <c r="C7635">
        <v>1</v>
      </c>
      <c r="D7635">
        <v>46</v>
      </c>
      <c r="E7635">
        <v>70</v>
      </c>
    </row>
    <row r="7636" spans="1:5" x14ac:dyDescent="0.3">
      <c r="A7636" t="s">
        <v>20</v>
      </c>
      <c r="B7636" s="1">
        <v>44700</v>
      </c>
      <c r="C7636">
        <v>1</v>
      </c>
      <c r="D7636">
        <v>19.66</v>
      </c>
      <c r="E7636">
        <v>25</v>
      </c>
    </row>
    <row r="7637" spans="1:5" x14ac:dyDescent="0.3">
      <c r="A7637" t="s">
        <v>47</v>
      </c>
      <c r="B7637" s="1">
        <v>44700</v>
      </c>
      <c r="C7637">
        <v>1</v>
      </c>
      <c r="D7637">
        <v>42.85</v>
      </c>
      <c r="E7637">
        <v>67</v>
      </c>
    </row>
    <row r="7638" spans="1:5" x14ac:dyDescent="0.3">
      <c r="A7638" t="s">
        <v>47</v>
      </c>
      <c r="B7638" s="1">
        <v>44700</v>
      </c>
      <c r="C7638">
        <v>1</v>
      </c>
      <c r="D7638">
        <v>42.85</v>
      </c>
      <c r="E7638">
        <v>67</v>
      </c>
    </row>
    <row r="7639" spans="1:5" x14ac:dyDescent="0.3">
      <c r="A7639" t="s">
        <v>122</v>
      </c>
      <c r="B7639" s="1">
        <v>44700</v>
      </c>
      <c r="C7639">
        <v>1</v>
      </c>
      <c r="D7639">
        <v>20.48</v>
      </c>
      <c r="E7639">
        <v>25</v>
      </c>
    </row>
    <row r="7640" spans="1:5" x14ac:dyDescent="0.3">
      <c r="A7640" t="s">
        <v>115</v>
      </c>
      <c r="B7640" s="1">
        <v>44700</v>
      </c>
      <c r="C7640">
        <v>1</v>
      </c>
      <c r="D7640">
        <v>71.23</v>
      </c>
      <c r="E7640">
        <v>88</v>
      </c>
    </row>
    <row r="7641" spans="1:5" x14ac:dyDescent="0.3">
      <c r="A7641" t="s">
        <v>115</v>
      </c>
      <c r="B7641" s="1">
        <v>44700</v>
      </c>
      <c r="C7641">
        <v>1</v>
      </c>
      <c r="D7641">
        <v>71.23</v>
      </c>
      <c r="E7641">
        <v>88</v>
      </c>
    </row>
    <row r="7642" spans="1:5" x14ac:dyDescent="0.3">
      <c r="A7642" t="s">
        <v>12</v>
      </c>
      <c r="B7642" s="1">
        <v>44700</v>
      </c>
      <c r="C7642">
        <v>1</v>
      </c>
      <c r="D7642">
        <v>62.48</v>
      </c>
      <c r="E7642">
        <v>67</v>
      </c>
    </row>
    <row r="7643" spans="1:5" x14ac:dyDescent="0.3">
      <c r="A7643" t="s">
        <v>12</v>
      </c>
      <c r="B7643" s="1">
        <v>44700</v>
      </c>
      <c r="C7643">
        <v>1</v>
      </c>
      <c r="D7643">
        <v>62.48</v>
      </c>
      <c r="E7643">
        <v>67</v>
      </c>
    </row>
    <row r="7644" spans="1:5" x14ac:dyDescent="0.3">
      <c r="A7644" t="s">
        <v>13</v>
      </c>
      <c r="B7644" s="1">
        <v>44700</v>
      </c>
      <c r="C7644">
        <v>1</v>
      </c>
      <c r="D7644">
        <v>119.72</v>
      </c>
      <c r="E7644">
        <v>147</v>
      </c>
    </row>
    <row r="7645" spans="1:5" x14ac:dyDescent="0.3">
      <c r="A7645" t="s">
        <v>19</v>
      </c>
      <c r="B7645" s="1">
        <v>44700</v>
      </c>
      <c r="C7645">
        <v>1</v>
      </c>
      <c r="D7645">
        <v>81.69</v>
      </c>
      <c r="E7645">
        <v>102</v>
      </c>
    </row>
    <row r="7646" spans="1:5" x14ac:dyDescent="0.3">
      <c r="A7646" t="s">
        <v>129</v>
      </c>
      <c r="B7646" s="1">
        <v>44700</v>
      </c>
      <c r="C7646">
        <v>0.2</v>
      </c>
      <c r="D7646">
        <v>495.19</v>
      </c>
      <c r="E7646">
        <v>596</v>
      </c>
    </row>
    <row r="7647" spans="1:5" x14ac:dyDescent="0.3">
      <c r="A7647" t="s">
        <v>7</v>
      </c>
      <c r="B7647" s="1">
        <v>44700</v>
      </c>
      <c r="C7647">
        <v>1</v>
      </c>
      <c r="D7647">
        <v>89.27</v>
      </c>
      <c r="E7647">
        <v>113</v>
      </c>
    </row>
    <row r="7648" spans="1:5" x14ac:dyDescent="0.3">
      <c r="A7648" t="s">
        <v>7</v>
      </c>
      <c r="B7648" s="1">
        <v>44700</v>
      </c>
      <c r="C7648">
        <v>1</v>
      </c>
      <c r="D7648">
        <v>89.27</v>
      </c>
      <c r="E7648">
        <v>113</v>
      </c>
    </row>
    <row r="7649" spans="1:5" x14ac:dyDescent="0.3">
      <c r="A7649" t="s">
        <v>7</v>
      </c>
      <c r="B7649" s="1">
        <v>44700</v>
      </c>
      <c r="C7649">
        <v>1</v>
      </c>
      <c r="D7649">
        <v>89.27</v>
      </c>
      <c r="E7649">
        <v>113</v>
      </c>
    </row>
    <row r="7650" spans="1:5" x14ac:dyDescent="0.3">
      <c r="A7650" t="s">
        <v>7</v>
      </c>
      <c r="B7650" s="1">
        <v>44700</v>
      </c>
      <c r="C7650">
        <v>1</v>
      </c>
      <c r="D7650">
        <v>89.27</v>
      </c>
      <c r="E7650">
        <v>113</v>
      </c>
    </row>
    <row r="7651" spans="1:5" x14ac:dyDescent="0.3">
      <c r="A7651" t="s">
        <v>7</v>
      </c>
      <c r="B7651" s="1">
        <v>44700</v>
      </c>
      <c r="C7651">
        <v>1</v>
      </c>
      <c r="D7651">
        <v>89.27</v>
      </c>
      <c r="E7651">
        <v>113</v>
      </c>
    </row>
    <row r="7652" spans="1:5" x14ac:dyDescent="0.3">
      <c r="A7652" t="s">
        <v>19</v>
      </c>
      <c r="B7652" s="1">
        <v>44700</v>
      </c>
      <c r="C7652">
        <v>1</v>
      </c>
      <c r="D7652">
        <v>81.95</v>
      </c>
      <c r="E7652">
        <v>104</v>
      </c>
    </row>
    <row r="7653" spans="1:5" x14ac:dyDescent="0.3">
      <c r="A7653" t="s">
        <v>19</v>
      </c>
      <c r="B7653" s="1">
        <v>44700</v>
      </c>
      <c r="C7653">
        <v>1</v>
      </c>
      <c r="D7653">
        <v>81.95</v>
      </c>
      <c r="E7653">
        <v>104</v>
      </c>
    </row>
    <row r="7654" spans="1:5" x14ac:dyDescent="0.3">
      <c r="A7654" t="s">
        <v>19</v>
      </c>
      <c r="B7654" s="1">
        <v>44700</v>
      </c>
      <c r="C7654">
        <v>1</v>
      </c>
      <c r="D7654">
        <v>81.95</v>
      </c>
      <c r="E7654">
        <v>104</v>
      </c>
    </row>
    <row r="7655" spans="1:5" x14ac:dyDescent="0.3">
      <c r="A7655" t="s">
        <v>19</v>
      </c>
      <c r="B7655" s="1">
        <v>44700</v>
      </c>
      <c r="C7655">
        <v>1</v>
      </c>
      <c r="D7655">
        <v>81.95</v>
      </c>
      <c r="E7655">
        <v>104</v>
      </c>
    </row>
    <row r="7656" spans="1:5" x14ac:dyDescent="0.3">
      <c r="A7656" t="s">
        <v>19</v>
      </c>
      <c r="B7656" s="1">
        <v>44700</v>
      </c>
      <c r="C7656">
        <v>1</v>
      </c>
      <c r="D7656">
        <v>81.95</v>
      </c>
      <c r="E7656">
        <v>104</v>
      </c>
    </row>
    <row r="7657" spans="1:5" x14ac:dyDescent="0.3">
      <c r="A7657" t="s">
        <v>56</v>
      </c>
      <c r="B7657" s="1">
        <v>44700</v>
      </c>
      <c r="C7657">
        <v>1</v>
      </c>
      <c r="D7657">
        <v>43.97</v>
      </c>
      <c r="E7657">
        <v>70</v>
      </c>
    </row>
    <row r="7658" spans="1:5" x14ac:dyDescent="0.3">
      <c r="A7658" t="s">
        <v>93</v>
      </c>
      <c r="B7658" s="1">
        <v>44700</v>
      </c>
      <c r="C7658">
        <v>1</v>
      </c>
      <c r="D7658">
        <v>71.040000000000006</v>
      </c>
      <c r="E7658">
        <v>103</v>
      </c>
    </row>
    <row r="7659" spans="1:5" x14ac:dyDescent="0.3">
      <c r="A7659" t="s">
        <v>90</v>
      </c>
      <c r="B7659" s="1">
        <v>44700</v>
      </c>
      <c r="C7659">
        <v>1</v>
      </c>
      <c r="D7659">
        <v>391.02</v>
      </c>
      <c r="E7659">
        <v>470</v>
      </c>
    </row>
    <row r="7660" spans="1:5" x14ac:dyDescent="0.3">
      <c r="A7660" t="s">
        <v>70</v>
      </c>
      <c r="B7660" s="1">
        <v>44700</v>
      </c>
      <c r="C7660">
        <v>1</v>
      </c>
      <c r="D7660">
        <v>171.37</v>
      </c>
      <c r="E7660">
        <v>205</v>
      </c>
    </row>
    <row r="7661" spans="1:5" x14ac:dyDescent="0.3">
      <c r="A7661" t="s">
        <v>70</v>
      </c>
      <c r="B7661" s="1">
        <v>44700</v>
      </c>
      <c r="C7661">
        <v>1</v>
      </c>
      <c r="D7661">
        <v>169.17</v>
      </c>
      <c r="E7661">
        <v>203</v>
      </c>
    </row>
    <row r="7662" spans="1:5" x14ac:dyDescent="0.3">
      <c r="A7662" t="s">
        <v>70</v>
      </c>
      <c r="B7662" s="1">
        <v>44700</v>
      </c>
      <c r="C7662">
        <v>1</v>
      </c>
      <c r="D7662">
        <v>169.17</v>
      </c>
      <c r="E7662">
        <v>203</v>
      </c>
    </row>
    <row r="7663" spans="1:5" x14ac:dyDescent="0.3">
      <c r="A7663" t="s">
        <v>20</v>
      </c>
      <c r="B7663" s="1">
        <v>44700</v>
      </c>
      <c r="C7663">
        <v>1</v>
      </c>
      <c r="D7663">
        <v>20.23</v>
      </c>
      <c r="E7663">
        <v>27</v>
      </c>
    </row>
    <row r="7664" spans="1:5" x14ac:dyDescent="0.3">
      <c r="A7664" t="s">
        <v>20</v>
      </c>
      <c r="B7664" s="1">
        <v>44700</v>
      </c>
      <c r="C7664">
        <v>1</v>
      </c>
      <c r="D7664">
        <v>20.23</v>
      </c>
      <c r="E7664">
        <v>27</v>
      </c>
    </row>
    <row r="7665" spans="1:5" x14ac:dyDescent="0.3">
      <c r="A7665" t="s">
        <v>20</v>
      </c>
      <c r="B7665" s="1">
        <v>44700</v>
      </c>
      <c r="C7665">
        <v>1</v>
      </c>
      <c r="D7665">
        <v>20.23</v>
      </c>
      <c r="E7665">
        <v>27</v>
      </c>
    </row>
    <row r="7666" spans="1:5" x14ac:dyDescent="0.3">
      <c r="A7666" t="s">
        <v>20</v>
      </c>
      <c r="B7666" s="1">
        <v>44700</v>
      </c>
      <c r="C7666">
        <v>1</v>
      </c>
      <c r="D7666">
        <v>20.23</v>
      </c>
      <c r="E7666">
        <v>27</v>
      </c>
    </row>
    <row r="7667" spans="1:5" x14ac:dyDescent="0.3">
      <c r="A7667" t="s">
        <v>122</v>
      </c>
      <c r="B7667" s="1">
        <v>44700</v>
      </c>
      <c r="C7667">
        <v>1</v>
      </c>
      <c r="D7667">
        <v>20.78</v>
      </c>
      <c r="E7667">
        <v>26</v>
      </c>
    </row>
    <row r="7668" spans="1:5" x14ac:dyDescent="0.3">
      <c r="A7668" t="s">
        <v>21</v>
      </c>
      <c r="B7668" s="1">
        <v>44700</v>
      </c>
      <c r="C7668">
        <v>1</v>
      </c>
      <c r="D7668">
        <v>182.17</v>
      </c>
      <c r="E7668">
        <v>257</v>
      </c>
    </row>
    <row r="7669" spans="1:5" x14ac:dyDescent="0.3">
      <c r="A7669" t="s">
        <v>91</v>
      </c>
      <c r="B7669" s="1">
        <v>44700</v>
      </c>
      <c r="C7669">
        <v>2</v>
      </c>
      <c r="D7669">
        <v>35</v>
      </c>
      <c r="E7669">
        <v>57</v>
      </c>
    </row>
    <row r="7670" spans="1:5" x14ac:dyDescent="0.3">
      <c r="A7670" t="s">
        <v>87</v>
      </c>
      <c r="B7670" s="1">
        <v>44700</v>
      </c>
      <c r="C7670">
        <v>1</v>
      </c>
      <c r="D7670">
        <v>351.11</v>
      </c>
      <c r="E7670">
        <v>416</v>
      </c>
    </row>
    <row r="7671" spans="1:5" x14ac:dyDescent="0.3">
      <c r="A7671" t="s">
        <v>70</v>
      </c>
      <c r="B7671" s="1">
        <v>44700</v>
      </c>
      <c r="C7671">
        <v>1</v>
      </c>
      <c r="D7671">
        <v>168.94</v>
      </c>
      <c r="E7671">
        <v>203</v>
      </c>
    </row>
    <row r="7672" spans="1:5" x14ac:dyDescent="0.3">
      <c r="A7672" t="s">
        <v>75</v>
      </c>
      <c r="B7672" s="1">
        <v>44700</v>
      </c>
      <c r="C7672">
        <v>0.08</v>
      </c>
      <c r="D7672">
        <v>463.1</v>
      </c>
      <c r="E7672">
        <v>704</v>
      </c>
    </row>
    <row r="7673" spans="1:5" x14ac:dyDescent="0.3">
      <c r="A7673" t="s">
        <v>130</v>
      </c>
      <c r="B7673" s="1">
        <v>44700</v>
      </c>
      <c r="C7673">
        <v>1</v>
      </c>
      <c r="D7673">
        <v>23.37</v>
      </c>
      <c r="E7673">
        <v>29</v>
      </c>
    </row>
    <row r="7674" spans="1:5" x14ac:dyDescent="0.3">
      <c r="A7674" t="s">
        <v>130</v>
      </c>
      <c r="B7674" s="1">
        <v>44700</v>
      </c>
      <c r="C7674">
        <v>1</v>
      </c>
      <c r="D7674">
        <v>23.37</v>
      </c>
      <c r="E7674">
        <v>29</v>
      </c>
    </row>
    <row r="7675" spans="1:5" x14ac:dyDescent="0.3">
      <c r="A7675" t="s">
        <v>130</v>
      </c>
      <c r="B7675" s="1">
        <v>44700</v>
      </c>
      <c r="C7675">
        <v>1</v>
      </c>
      <c r="D7675">
        <v>23.37</v>
      </c>
      <c r="E7675">
        <v>29</v>
      </c>
    </row>
    <row r="7676" spans="1:5" x14ac:dyDescent="0.3">
      <c r="A7676" t="s">
        <v>130</v>
      </c>
      <c r="B7676" s="1">
        <v>44700</v>
      </c>
      <c r="C7676">
        <v>1</v>
      </c>
      <c r="D7676">
        <v>23.37</v>
      </c>
      <c r="E7676">
        <v>29</v>
      </c>
    </row>
    <row r="7677" spans="1:5" x14ac:dyDescent="0.3">
      <c r="A7677" t="s">
        <v>130</v>
      </c>
      <c r="B7677" s="1">
        <v>44700</v>
      </c>
      <c r="C7677">
        <v>1</v>
      </c>
      <c r="D7677">
        <v>23.41</v>
      </c>
      <c r="E7677">
        <v>29</v>
      </c>
    </row>
    <row r="7678" spans="1:5" x14ac:dyDescent="0.3">
      <c r="A7678" t="s">
        <v>150</v>
      </c>
      <c r="B7678" s="1">
        <v>44700</v>
      </c>
      <c r="C7678">
        <v>1</v>
      </c>
      <c r="D7678">
        <v>94.8</v>
      </c>
      <c r="E7678">
        <v>151</v>
      </c>
    </row>
    <row r="7679" spans="1:5" x14ac:dyDescent="0.3">
      <c r="A7679" t="s">
        <v>10</v>
      </c>
      <c r="B7679" s="1">
        <v>44700</v>
      </c>
      <c r="C7679">
        <v>1</v>
      </c>
      <c r="D7679">
        <v>10.34</v>
      </c>
      <c r="E7679">
        <v>13</v>
      </c>
    </row>
    <row r="7680" spans="1:5" x14ac:dyDescent="0.3">
      <c r="A7680" t="s">
        <v>68</v>
      </c>
      <c r="B7680" s="1">
        <v>44700</v>
      </c>
      <c r="C7680">
        <v>1</v>
      </c>
      <c r="D7680">
        <v>53.57</v>
      </c>
      <c r="E7680">
        <v>82</v>
      </c>
    </row>
    <row r="7681" spans="1:5" x14ac:dyDescent="0.3">
      <c r="A7681" t="s">
        <v>68</v>
      </c>
      <c r="B7681" s="1">
        <v>44700</v>
      </c>
      <c r="C7681">
        <v>1</v>
      </c>
      <c r="D7681">
        <v>53.57</v>
      </c>
      <c r="E7681">
        <v>82</v>
      </c>
    </row>
    <row r="7682" spans="1:5" x14ac:dyDescent="0.3">
      <c r="A7682" t="s">
        <v>68</v>
      </c>
      <c r="B7682" s="1">
        <v>44700</v>
      </c>
      <c r="C7682">
        <v>1</v>
      </c>
      <c r="D7682">
        <v>53.57</v>
      </c>
      <c r="E7682">
        <v>82</v>
      </c>
    </row>
    <row r="7683" spans="1:5" x14ac:dyDescent="0.3">
      <c r="A7683" t="s">
        <v>68</v>
      </c>
      <c r="B7683" s="1">
        <v>44700</v>
      </c>
      <c r="C7683">
        <v>1</v>
      </c>
      <c r="D7683">
        <v>53.57</v>
      </c>
      <c r="E7683">
        <v>82</v>
      </c>
    </row>
    <row r="7684" spans="1:5" x14ac:dyDescent="0.3">
      <c r="A7684" t="s">
        <v>63</v>
      </c>
      <c r="B7684" s="1">
        <v>44700</v>
      </c>
      <c r="C7684">
        <v>1</v>
      </c>
      <c r="D7684">
        <v>71.790000000000006</v>
      </c>
      <c r="E7684">
        <v>87</v>
      </c>
    </row>
    <row r="7685" spans="1:5" x14ac:dyDescent="0.3">
      <c r="A7685" t="s">
        <v>45</v>
      </c>
      <c r="B7685" s="1">
        <v>44700</v>
      </c>
      <c r="C7685">
        <v>1</v>
      </c>
      <c r="D7685">
        <v>27.94</v>
      </c>
      <c r="E7685">
        <v>45</v>
      </c>
    </row>
    <row r="7686" spans="1:5" x14ac:dyDescent="0.3">
      <c r="A7686" t="s">
        <v>87</v>
      </c>
      <c r="B7686" s="1">
        <v>44700</v>
      </c>
      <c r="C7686">
        <v>1</v>
      </c>
      <c r="D7686">
        <v>348.66</v>
      </c>
      <c r="E7686">
        <v>395</v>
      </c>
    </row>
    <row r="7687" spans="1:5" x14ac:dyDescent="0.3">
      <c r="A7687" t="s">
        <v>140</v>
      </c>
      <c r="B7687" s="1">
        <v>44700</v>
      </c>
      <c r="C7687">
        <v>1</v>
      </c>
      <c r="D7687">
        <v>155.13</v>
      </c>
      <c r="E7687">
        <v>191</v>
      </c>
    </row>
    <row r="7688" spans="1:5" x14ac:dyDescent="0.3">
      <c r="A7688" t="s">
        <v>52</v>
      </c>
      <c r="B7688" s="1">
        <v>44700</v>
      </c>
      <c r="C7688">
        <v>1</v>
      </c>
      <c r="D7688">
        <v>214.9</v>
      </c>
      <c r="E7688">
        <v>230.86</v>
      </c>
    </row>
    <row r="7689" spans="1:5" x14ac:dyDescent="0.3">
      <c r="A7689" t="s">
        <v>76</v>
      </c>
      <c r="B7689" s="1">
        <v>44700</v>
      </c>
      <c r="C7689">
        <v>1</v>
      </c>
      <c r="D7689">
        <v>34.06</v>
      </c>
      <c r="E7689">
        <v>39.76</v>
      </c>
    </row>
    <row r="7690" spans="1:5" x14ac:dyDescent="0.3">
      <c r="A7690" t="s">
        <v>76</v>
      </c>
      <c r="B7690" s="1">
        <v>44700</v>
      </c>
      <c r="C7690">
        <v>1</v>
      </c>
      <c r="D7690">
        <v>34.06</v>
      </c>
      <c r="E7690">
        <v>39.76</v>
      </c>
    </row>
    <row r="7691" spans="1:5" x14ac:dyDescent="0.3">
      <c r="A7691" t="s">
        <v>24</v>
      </c>
      <c r="B7691" s="1">
        <v>44700</v>
      </c>
      <c r="C7691">
        <v>1</v>
      </c>
      <c r="D7691">
        <v>98.67</v>
      </c>
      <c r="E7691">
        <v>115</v>
      </c>
    </row>
    <row r="7692" spans="1:5" x14ac:dyDescent="0.3">
      <c r="A7692" t="s">
        <v>111</v>
      </c>
      <c r="B7692" s="1">
        <v>44700</v>
      </c>
      <c r="C7692">
        <v>1</v>
      </c>
      <c r="D7692">
        <v>159.58000000000001</v>
      </c>
      <c r="E7692">
        <v>193</v>
      </c>
    </row>
    <row r="7693" spans="1:5" x14ac:dyDescent="0.3">
      <c r="A7693" t="s">
        <v>55</v>
      </c>
      <c r="B7693" s="1">
        <v>44700</v>
      </c>
      <c r="C7693">
        <v>1</v>
      </c>
      <c r="D7693">
        <v>77.63</v>
      </c>
      <c r="E7693">
        <v>95</v>
      </c>
    </row>
    <row r="7694" spans="1:5" x14ac:dyDescent="0.3">
      <c r="A7694" t="s">
        <v>34</v>
      </c>
      <c r="B7694" s="1">
        <v>44700</v>
      </c>
      <c r="C7694">
        <v>1</v>
      </c>
      <c r="D7694">
        <v>201.97</v>
      </c>
      <c r="E7694">
        <v>233</v>
      </c>
    </row>
    <row r="7695" spans="1:5" x14ac:dyDescent="0.3">
      <c r="A7695" t="s">
        <v>85</v>
      </c>
      <c r="B7695" s="1">
        <v>44700</v>
      </c>
      <c r="C7695">
        <v>1</v>
      </c>
      <c r="D7695">
        <v>15.95</v>
      </c>
      <c r="E7695">
        <v>26</v>
      </c>
    </row>
    <row r="7696" spans="1:5" x14ac:dyDescent="0.3">
      <c r="A7696" t="s">
        <v>49</v>
      </c>
      <c r="B7696" s="1">
        <v>44700</v>
      </c>
      <c r="C7696">
        <v>1</v>
      </c>
      <c r="D7696">
        <v>16.02</v>
      </c>
      <c r="E7696">
        <v>19</v>
      </c>
    </row>
    <row r="7697" spans="1:5" x14ac:dyDescent="0.3">
      <c r="A7697" t="s">
        <v>138</v>
      </c>
      <c r="B7697" s="1">
        <v>44700</v>
      </c>
      <c r="C7697">
        <v>3</v>
      </c>
      <c r="D7697">
        <v>46.5</v>
      </c>
      <c r="E7697">
        <v>76</v>
      </c>
    </row>
    <row r="7698" spans="1:5" x14ac:dyDescent="0.3">
      <c r="A7698" t="s">
        <v>56</v>
      </c>
      <c r="B7698" s="1">
        <v>44700</v>
      </c>
      <c r="C7698">
        <v>1</v>
      </c>
      <c r="D7698">
        <v>43.97</v>
      </c>
      <c r="E7698">
        <v>67</v>
      </c>
    </row>
    <row r="7699" spans="1:5" x14ac:dyDescent="0.3">
      <c r="A7699" t="s">
        <v>50</v>
      </c>
      <c r="B7699" s="1">
        <v>44700</v>
      </c>
      <c r="C7699">
        <v>1</v>
      </c>
      <c r="D7699">
        <v>42.99</v>
      </c>
      <c r="E7699">
        <v>54</v>
      </c>
    </row>
    <row r="7700" spans="1:5" x14ac:dyDescent="0.3">
      <c r="A7700" t="s">
        <v>50</v>
      </c>
      <c r="B7700" s="1">
        <v>44700</v>
      </c>
      <c r="C7700">
        <v>1</v>
      </c>
      <c r="D7700">
        <v>44.71</v>
      </c>
      <c r="E7700">
        <v>55</v>
      </c>
    </row>
    <row r="7701" spans="1:5" x14ac:dyDescent="0.3">
      <c r="A7701" t="s">
        <v>95</v>
      </c>
      <c r="B7701" s="1">
        <v>44700</v>
      </c>
      <c r="C7701">
        <v>1</v>
      </c>
      <c r="D7701">
        <v>133.25</v>
      </c>
      <c r="E7701">
        <v>204</v>
      </c>
    </row>
    <row r="7702" spans="1:5" x14ac:dyDescent="0.3">
      <c r="A7702" t="s">
        <v>95</v>
      </c>
      <c r="B7702" s="1">
        <v>44700</v>
      </c>
      <c r="C7702">
        <v>2</v>
      </c>
      <c r="D7702">
        <v>133.25</v>
      </c>
      <c r="E7702">
        <v>204</v>
      </c>
    </row>
    <row r="7703" spans="1:5" x14ac:dyDescent="0.3">
      <c r="A7703" t="s">
        <v>103</v>
      </c>
      <c r="B7703" s="1">
        <v>44700</v>
      </c>
      <c r="C7703">
        <v>1</v>
      </c>
      <c r="D7703">
        <v>41.33</v>
      </c>
      <c r="E7703">
        <v>65</v>
      </c>
    </row>
    <row r="7704" spans="1:5" x14ac:dyDescent="0.3">
      <c r="A7704" t="s">
        <v>138</v>
      </c>
      <c r="B7704" s="1">
        <v>44700</v>
      </c>
      <c r="C7704">
        <v>1</v>
      </c>
      <c r="D7704">
        <v>46.5</v>
      </c>
      <c r="E7704">
        <v>76</v>
      </c>
    </row>
    <row r="7705" spans="1:5" x14ac:dyDescent="0.3">
      <c r="A7705" t="s">
        <v>103</v>
      </c>
      <c r="B7705" s="1">
        <v>44700</v>
      </c>
      <c r="C7705">
        <v>1</v>
      </c>
      <c r="D7705">
        <v>41.33</v>
      </c>
      <c r="E7705">
        <v>65</v>
      </c>
    </row>
    <row r="7706" spans="1:5" x14ac:dyDescent="0.3">
      <c r="A7706" t="s">
        <v>39</v>
      </c>
      <c r="B7706" s="1">
        <v>44700</v>
      </c>
      <c r="C7706">
        <v>4</v>
      </c>
      <c r="D7706">
        <v>13.72</v>
      </c>
      <c r="E7706">
        <v>23</v>
      </c>
    </row>
    <row r="7707" spans="1:5" x14ac:dyDescent="0.3">
      <c r="A7707" t="s">
        <v>18</v>
      </c>
      <c r="B7707" s="1">
        <v>44700</v>
      </c>
      <c r="C7707">
        <v>1</v>
      </c>
      <c r="D7707">
        <v>44</v>
      </c>
      <c r="E7707">
        <v>70</v>
      </c>
    </row>
    <row r="7708" spans="1:5" x14ac:dyDescent="0.3">
      <c r="A7708" t="s">
        <v>46</v>
      </c>
      <c r="B7708" s="1">
        <v>44700</v>
      </c>
      <c r="C7708">
        <v>1</v>
      </c>
      <c r="D7708">
        <v>19.420000000000002</v>
      </c>
      <c r="E7708">
        <v>24</v>
      </c>
    </row>
    <row r="7709" spans="1:5" x14ac:dyDescent="0.3">
      <c r="A7709" t="s">
        <v>95</v>
      </c>
      <c r="B7709" s="1">
        <v>44700</v>
      </c>
      <c r="C7709">
        <v>1</v>
      </c>
      <c r="D7709">
        <v>133.25</v>
      </c>
      <c r="E7709">
        <v>204</v>
      </c>
    </row>
    <row r="7710" spans="1:5" x14ac:dyDescent="0.3">
      <c r="A7710" t="s">
        <v>42</v>
      </c>
      <c r="B7710" s="1">
        <v>44700</v>
      </c>
      <c r="C7710">
        <v>1</v>
      </c>
      <c r="D7710">
        <v>566.04</v>
      </c>
      <c r="E7710">
        <v>634</v>
      </c>
    </row>
    <row r="7711" spans="1:5" x14ac:dyDescent="0.3">
      <c r="A7711" t="s">
        <v>25</v>
      </c>
      <c r="B7711" s="1">
        <v>44700</v>
      </c>
      <c r="C7711">
        <v>1</v>
      </c>
      <c r="D7711">
        <v>147.18</v>
      </c>
      <c r="E7711">
        <v>177</v>
      </c>
    </row>
    <row r="7712" spans="1:5" x14ac:dyDescent="0.3">
      <c r="A7712" t="s">
        <v>121</v>
      </c>
      <c r="B7712" s="1">
        <v>44700</v>
      </c>
      <c r="C7712">
        <v>1</v>
      </c>
      <c r="D7712">
        <v>11.41</v>
      </c>
      <c r="E7712">
        <v>19</v>
      </c>
    </row>
    <row r="7713" spans="1:5" x14ac:dyDescent="0.3">
      <c r="A7713" t="s">
        <v>62</v>
      </c>
      <c r="B7713" s="1">
        <v>44700</v>
      </c>
      <c r="C7713">
        <v>1</v>
      </c>
      <c r="D7713">
        <v>25.29</v>
      </c>
      <c r="E7713">
        <v>30</v>
      </c>
    </row>
    <row r="7714" spans="1:5" x14ac:dyDescent="0.3">
      <c r="A7714" t="s">
        <v>62</v>
      </c>
      <c r="B7714" s="1">
        <v>44700</v>
      </c>
      <c r="C7714">
        <v>1</v>
      </c>
      <c r="D7714">
        <v>24.97</v>
      </c>
      <c r="E7714">
        <v>30</v>
      </c>
    </row>
    <row r="7715" spans="1:5" x14ac:dyDescent="0.3">
      <c r="A7715" t="s">
        <v>12</v>
      </c>
      <c r="B7715" s="1">
        <v>44700</v>
      </c>
      <c r="C7715">
        <v>1</v>
      </c>
      <c r="D7715">
        <v>56.08</v>
      </c>
      <c r="E7715">
        <v>70</v>
      </c>
    </row>
    <row r="7716" spans="1:5" x14ac:dyDescent="0.3">
      <c r="A7716" t="s">
        <v>34</v>
      </c>
      <c r="B7716" s="1">
        <v>44700</v>
      </c>
      <c r="C7716">
        <v>1</v>
      </c>
      <c r="D7716">
        <v>200.35</v>
      </c>
      <c r="E7716">
        <v>235</v>
      </c>
    </row>
    <row r="7717" spans="1:5" x14ac:dyDescent="0.3">
      <c r="A7717" t="s">
        <v>30</v>
      </c>
      <c r="B7717" s="1">
        <v>44700</v>
      </c>
      <c r="C7717">
        <v>1</v>
      </c>
      <c r="D7717">
        <v>156.19999999999999</v>
      </c>
      <c r="E7717">
        <v>186</v>
      </c>
    </row>
    <row r="7718" spans="1:5" x14ac:dyDescent="0.3">
      <c r="A7718" t="s">
        <v>32</v>
      </c>
      <c r="B7718" s="1">
        <v>44700</v>
      </c>
      <c r="C7718">
        <v>1</v>
      </c>
      <c r="D7718">
        <v>103.92</v>
      </c>
      <c r="E7718">
        <v>159</v>
      </c>
    </row>
    <row r="7719" spans="1:5" x14ac:dyDescent="0.3">
      <c r="A7719" t="s">
        <v>23</v>
      </c>
      <c r="B7719" s="1">
        <v>44700</v>
      </c>
      <c r="C7719">
        <v>1</v>
      </c>
      <c r="D7719">
        <v>109.41</v>
      </c>
      <c r="E7719">
        <v>123</v>
      </c>
    </row>
    <row r="7720" spans="1:5" x14ac:dyDescent="0.3">
      <c r="A7720" t="s">
        <v>136</v>
      </c>
      <c r="B7720" s="1">
        <v>44700</v>
      </c>
      <c r="C7720">
        <v>1</v>
      </c>
      <c r="D7720">
        <v>289.58999999999997</v>
      </c>
      <c r="E7720">
        <v>386</v>
      </c>
    </row>
    <row r="7721" spans="1:5" x14ac:dyDescent="0.3">
      <c r="A7721" t="s">
        <v>154</v>
      </c>
      <c r="B7721" s="1">
        <v>44700</v>
      </c>
      <c r="C7721">
        <v>1</v>
      </c>
      <c r="D7721">
        <v>124.88</v>
      </c>
      <c r="E7721">
        <v>152</v>
      </c>
    </row>
    <row r="7722" spans="1:5" x14ac:dyDescent="0.3">
      <c r="A7722" t="s">
        <v>158</v>
      </c>
      <c r="B7722" s="1">
        <v>44700</v>
      </c>
      <c r="C7722">
        <v>1</v>
      </c>
      <c r="D7722">
        <v>31.21</v>
      </c>
      <c r="E7722">
        <v>39</v>
      </c>
    </row>
    <row r="7723" spans="1:5" x14ac:dyDescent="0.3">
      <c r="A7723" t="s">
        <v>158</v>
      </c>
      <c r="B7723" s="1">
        <v>44700</v>
      </c>
      <c r="C7723">
        <v>1</v>
      </c>
      <c r="D7723">
        <v>31.21</v>
      </c>
      <c r="E7723">
        <v>39</v>
      </c>
    </row>
    <row r="7724" spans="1:5" x14ac:dyDescent="0.3">
      <c r="A7724" t="s">
        <v>158</v>
      </c>
      <c r="B7724" s="1">
        <v>44700</v>
      </c>
      <c r="C7724">
        <v>1</v>
      </c>
      <c r="D7724">
        <v>31.21</v>
      </c>
      <c r="E7724">
        <v>39</v>
      </c>
    </row>
    <row r="7725" spans="1:5" x14ac:dyDescent="0.3">
      <c r="A7725" t="s">
        <v>158</v>
      </c>
      <c r="B7725" s="1">
        <v>44700</v>
      </c>
      <c r="C7725">
        <v>1</v>
      </c>
      <c r="D7725">
        <v>31.21</v>
      </c>
      <c r="E7725">
        <v>39</v>
      </c>
    </row>
    <row r="7726" spans="1:5" x14ac:dyDescent="0.3">
      <c r="A7726" t="s">
        <v>158</v>
      </c>
      <c r="B7726" s="1">
        <v>44700</v>
      </c>
      <c r="C7726">
        <v>1</v>
      </c>
      <c r="D7726">
        <v>31.21</v>
      </c>
      <c r="E7726">
        <v>39</v>
      </c>
    </row>
    <row r="7727" spans="1:5" x14ac:dyDescent="0.3">
      <c r="A7727" t="s">
        <v>12</v>
      </c>
      <c r="B7727" s="1">
        <v>44700</v>
      </c>
      <c r="C7727">
        <v>1</v>
      </c>
      <c r="D7727">
        <v>60.55</v>
      </c>
      <c r="E7727">
        <v>74</v>
      </c>
    </row>
    <row r="7728" spans="1:5" x14ac:dyDescent="0.3">
      <c r="A7728" t="s">
        <v>23</v>
      </c>
      <c r="B7728" s="1">
        <v>44700</v>
      </c>
      <c r="C7728">
        <v>1</v>
      </c>
      <c r="D7728">
        <v>109.41</v>
      </c>
      <c r="E7728">
        <v>123</v>
      </c>
    </row>
    <row r="7729" spans="1:5" x14ac:dyDescent="0.3">
      <c r="A7729" t="s">
        <v>36</v>
      </c>
      <c r="B7729" s="1">
        <v>44700</v>
      </c>
      <c r="C7729">
        <v>1</v>
      </c>
      <c r="D7729">
        <v>32.67</v>
      </c>
      <c r="E7729">
        <v>41</v>
      </c>
    </row>
    <row r="7730" spans="1:5" x14ac:dyDescent="0.3">
      <c r="A7730" t="s">
        <v>36</v>
      </c>
      <c r="B7730" s="1">
        <v>44700</v>
      </c>
      <c r="C7730">
        <v>1</v>
      </c>
      <c r="D7730">
        <v>32.67</v>
      </c>
      <c r="E7730">
        <v>41</v>
      </c>
    </row>
    <row r="7731" spans="1:5" x14ac:dyDescent="0.3">
      <c r="A7731" t="s">
        <v>157</v>
      </c>
      <c r="B7731" s="1">
        <v>44700</v>
      </c>
      <c r="C7731">
        <v>1</v>
      </c>
      <c r="D7731">
        <v>12</v>
      </c>
      <c r="E7731">
        <v>20</v>
      </c>
    </row>
    <row r="7732" spans="1:5" x14ac:dyDescent="0.3">
      <c r="A7732" t="s">
        <v>47</v>
      </c>
      <c r="B7732" s="1">
        <v>44700</v>
      </c>
      <c r="C7732">
        <v>1</v>
      </c>
      <c r="D7732">
        <v>42.85</v>
      </c>
      <c r="E7732">
        <v>67</v>
      </c>
    </row>
    <row r="7733" spans="1:5" x14ac:dyDescent="0.3">
      <c r="A7733" t="s">
        <v>73</v>
      </c>
      <c r="B7733" s="1">
        <v>44700</v>
      </c>
      <c r="C7733">
        <v>2</v>
      </c>
      <c r="D7733">
        <v>7.97</v>
      </c>
      <c r="E7733">
        <v>13</v>
      </c>
    </row>
    <row r="7734" spans="1:5" x14ac:dyDescent="0.3">
      <c r="A7734" t="s">
        <v>24</v>
      </c>
      <c r="B7734" s="1">
        <v>44700</v>
      </c>
      <c r="C7734">
        <v>4</v>
      </c>
      <c r="D7734">
        <v>103.96</v>
      </c>
      <c r="E7734">
        <v>125</v>
      </c>
    </row>
    <row r="7735" spans="1:5" x14ac:dyDescent="0.3">
      <c r="A7735" t="s">
        <v>28</v>
      </c>
      <c r="B7735" s="1">
        <v>44700</v>
      </c>
      <c r="C7735">
        <v>1</v>
      </c>
      <c r="D7735">
        <v>136.6</v>
      </c>
      <c r="E7735">
        <v>188</v>
      </c>
    </row>
    <row r="7736" spans="1:5" x14ac:dyDescent="0.3">
      <c r="A7736" t="s">
        <v>47</v>
      </c>
      <c r="B7736" s="1">
        <v>44700</v>
      </c>
      <c r="C7736">
        <v>1</v>
      </c>
      <c r="D7736">
        <v>43</v>
      </c>
      <c r="E7736">
        <v>68</v>
      </c>
    </row>
    <row r="7737" spans="1:5" x14ac:dyDescent="0.3">
      <c r="A7737" t="s">
        <v>130</v>
      </c>
      <c r="B7737" s="1">
        <v>44700</v>
      </c>
      <c r="C7737">
        <v>1</v>
      </c>
      <c r="D7737">
        <v>23.41</v>
      </c>
      <c r="E7737">
        <v>29</v>
      </c>
    </row>
    <row r="7738" spans="1:5" x14ac:dyDescent="0.3">
      <c r="A7738" t="s">
        <v>103</v>
      </c>
      <c r="B7738" s="1">
        <v>44700</v>
      </c>
      <c r="C7738">
        <v>1</v>
      </c>
      <c r="D7738">
        <v>24.84</v>
      </c>
      <c r="E7738">
        <v>38</v>
      </c>
    </row>
    <row r="7739" spans="1:5" x14ac:dyDescent="0.3">
      <c r="A7739" t="s">
        <v>103</v>
      </c>
      <c r="B7739" s="1">
        <v>44700</v>
      </c>
      <c r="C7739">
        <v>1</v>
      </c>
      <c r="D7739">
        <v>24.84</v>
      </c>
      <c r="E7739">
        <v>38</v>
      </c>
    </row>
    <row r="7740" spans="1:5" x14ac:dyDescent="0.3">
      <c r="A7740" t="s">
        <v>129</v>
      </c>
      <c r="B7740" s="1">
        <v>44700</v>
      </c>
      <c r="C7740">
        <v>0.12</v>
      </c>
      <c r="D7740">
        <v>495.5</v>
      </c>
      <c r="E7740">
        <v>596</v>
      </c>
    </row>
    <row r="7741" spans="1:5" x14ac:dyDescent="0.3">
      <c r="A7741" t="s">
        <v>66</v>
      </c>
      <c r="B7741" s="1">
        <v>44700</v>
      </c>
      <c r="C7741">
        <v>1</v>
      </c>
      <c r="D7741">
        <v>30.6</v>
      </c>
      <c r="E7741">
        <v>37</v>
      </c>
    </row>
    <row r="7742" spans="1:5" x14ac:dyDescent="0.3">
      <c r="A7742" t="s">
        <v>66</v>
      </c>
      <c r="B7742" s="1">
        <v>44700</v>
      </c>
      <c r="C7742">
        <v>1</v>
      </c>
      <c r="D7742">
        <v>30.6</v>
      </c>
      <c r="E7742">
        <v>37</v>
      </c>
    </row>
    <row r="7743" spans="1:5" x14ac:dyDescent="0.3">
      <c r="A7743" t="s">
        <v>42</v>
      </c>
      <c r="B7743" s="1">
        <v>44700</v>
      </c>
      <c r="C7743">
        <v>1</v>
      </c>
      <c r="D7743">
        <v>559.34</v>
      </c>
      <c r="E7743">
        <v>644</v>
      </c>
    </row>
    <row r="7744" spans="1:5" x14ac:dyDescent="0.3">
      <c r="A7744" t="s">
        <v>23</v>
      </c>
      <c r="B7744" s="1">
        <v>44700</v>
      </c>
      <c r="C7744">
        <v>1</v>
      </c>
      <c r="D7744">
        <v>109.41</v>
      </c>
      <c r="E7744">
        <v>123</v>
      </c>
    </row>
    <row r="7745" spans="1:5" x14ac:dyDescent="0.3">
      <c r="A7745" t="s">
        <v>12</v>
      </c>
      <c r="B7745" s="1">
        <v>44700</v>
      </c>
      <c r="C7745">
        <v>1</v>
      </c>
      <c r="D7745">
        <v>56.08</v>
      </c>
      <c r="E7745">
        <v>70</v>
      </c>
    </row>
    <row r="7746" spans="1:5" x14ac:dyDescent="0.3">
      <c r="A7746" t="s">
        <v>26</v>
      </c>
      <c r="B7746" s="1">
        <v>44700</v>
      </c>
      <c r="C7746">
        <v>0.1</v>
      </c>
      <c r="D7746">
        <v>987.84</v>
      </c>
      <c r="E7746">
        <v>1304</v>
      </c>
    </row>
    <row r="7747" spans="1:5" x14ac:dyDescent="0.3">
      <c r="A7747" t="s">
        <v>56</v>
      </c>
      <c r="B7747" s="1">
        <v>44700</v>
      </c>
      <c r="C7747">
        <v>1</v>
      </c>
      <c r="D7747">
        <v>43.97</v>
      </c>
      <c r="E7747">
        <v>67</v>
      </c>
    </row>
    <row r="7748" spans="1:5" x14ac:dyDescent="0.3">
      <c r="A7748" t="s">
        <v>43</v>
      </c>
      <c r="B7748" s="1">
        <v>44700</v>
      </c>
      <c r="C7748">
        <v>1</v>
      </c>
      <c r="D7748">
        <v>134.68</v>
      </c>
      <c r="E7748">
        <v>162</v>
      </c>
    </row>
    <row r="7749" spans="1:5" x14ac:dyDescent="0.3">
      <c r="A7749" t="s">
        <v>34</v>
      </c>
      <c r="B7749" s="1">
        <v>44700</v>
      </c>
      <c r="C7749">
        <v>1</v>
      </c>
      <c r="D7749">
        <v>201.2</v>
      </c>
      <c r="E7749">
        <v>232</v>
      </c>
    </row>
    <row r="7750" spans="1:5" x14ac:dyDescent="0.3">
      <c r="A7750" t="s">
        <v>42</v>
      </c>
      <c r="B7750" s="1">
        <v>44700</v>
      </c>
      <c r="C7750">
        <v>1</v>
      </c>
      <c r="D7750">
        <v>569.76</v>
      </c>
      <c r="E7750">
        <v>656</v>
      </c>
    </row>
    <row r="7751" spans="1:5" x14ac:dyDescent="0.3">
      <c r="A7751" t="s">
        <v>23</v>
      </c>
      <c r="B7751" s="1">
        <v>44700</v>
      </c>
      <c r="C7751">
        <v>1</v>
      </c>
      <c r="D7751">
        <v>110.08</v>
      </c>
      <c r="E7751">
        <v>124</v>
      </c>
    </row>
    <row r="7752" spans="1:5" x14ac:dyDescent="0.3">
      <c r="A7752" t="s">
        <v>23</v>
      </c>
      <c r="B7752" s="1">
        <v>44700</v>
      </c>
      <c r="C7752">
        <v>1</v>
      </c>
      <c r="D7752">
        <v>110.08</v>
      </c>
      <c r="E7752">
        <v>124</v>
      </c>
    </row>
    <row r="7753" spans="1:5" x14ac:dyDescent="0.3">
      <c r="A7753" t="s">
        <v>47</v>
      </c>
      <c r="B7753" s="1">
        <v>44700</v>
      </c>
      <c r="C7753">
        <v>1</v>
      </c>
      <c r="D7753">
        <v>42.85</v>
      </c>
      <c r="E7753">
        <v>67</v>
      </c>
    </row>
    <row r="7754" spans="1:5" x14ac:dyDescent="0.3">
      <c r="A7754" t="s">
        <v>85</v>
      </c>
      <c r="B7754" s="1">
        <v>44700</v>
      </c>
      <c r="C7754">
        <v>1</v>
      </c>
      <c r="D7754">
        <v>15.51</v>
      </c>
      <c r="E7754">
        <v>24</v>
      </c>
    </row>
    <row r="7755" spans="1:5" x14ac:dyDescent="0.3">
      <c r="A7755" t="s">
        <v>23</v>
      </c>
      <c r="B7755" s="1">
        <v>44700</v>
      </c>
      <c r="C7755">
        <v>1</v>
      </c>
      <c r="D7755">
        <v>109.41</v>
      </c>
      <c r="E7755">
        <v>123</v>
      </c>
    </row>
    <row r="7756" spans="1:5" x14ac:dyDescent="0.3">
      <c r="A7756" t="s">
        <v>75</v>
      </c>
      <c r="B7756" s="1">
        <v>44700</v>
      </c>
      <c r="C7756">
        <v>0.08</v>
      </c>
      <c r="D7756">
        <v>438.6</v>
      </c>
      <c r="E7756">
        <v>667</v>
      </c>
    </row>
    <row r="7757" spans="1:5" x14ac:dyDescent="0.3">
      <c r="A7757" t="s">
        <v>65</v>
      </c>
      <c r="B7757" s="1">
        <v>44700</v>
      </c>
      <c r="C7757">
        <v>1</v>
      </c>
      <c r="D7757">
        <v>184.45</v>
      </c>
      <c r="E7757">
        <v>216</v>
      </c>
    </row>
    <row r="7758" spans="1:5" x14ac:dyDescent="0.3">
      <c r="A7758" t="s">
        <v>47</v>
      </c>
      <c r="B7758" s="1">
        <v>44700</v>
      </c>
      <c r="C7758">
        <v>1</v>
      </c>
      <c r="D7758">
        <v>43</v>
      </c>
      <c r="E7758">
        <v>68</v>
      </c>
    </row>
    <row r="7759" spans="1:5" x14ac:dyDescent="0.3">
      <c r="A7759" t="s">
        <v>160</v>
      </c>
      <c r="B7759" s="1">
        <v>44700</v>
      </c>
      <c r="C7759">
        <v>1</v>
      </c>
      <c r="D7759">
        <v>81.8</v>
      </c>
      <c r="E7759">
        <v>99</v>
      </c>
    </row>
    <row r="7760" spans="1:5" x14ac:dyDescent="0.3">
      <c r="A7760" t="s">
        <v>54</v>
      </c>
      <c r="B7760" s="1">
        <v>44700</v>
      </c>
      <c r="C7760">
        <v>1</v>
      </c>
      <c r="D7760">
        <v>635.70000000000005</v>
      </c>
      <c r="E7760">
        <v>821</v>
      </c>
    </row>
    <row r="7761" spans="1:5" x14ac:dyDescent="0.3">
      <c r="A7761" t="s">
        <v>54</v>
      </c>
      <c r="B7761" s="1">
        <v>44700</v>
      </c>
      <c r="C7761">
        <v>1</v>
      </c>
      <c r="D7761">
        <v>635.70000000000005</v>
      </c>
      <c r="E7761">
        <v>821</v>
      </c>
    </row>
    <row r="7762" spans="1:5" x14ac:dyDescent="0.3">
      <c r="A7762" t="s">
        <v>28</v>
      </c>
      <c r="B7762" s="1">
        <v>44700</v>
      </c>
      <c r="C7762">
        <v>1</v>
      </c>
      <c r="D7762">
        <v>141.08000000000001</v>
      </c>
      <c r="E7762">
        <v>205</v>
      </c>
    </row>
    <row r="7763" spans="1:5" x14ac:dyDescent="0.3">
      <c r="A7763" t="s">
        <v>127</v>
      </c>
      <c r="B7763" s="1">
        <v>44700</v>
      </c>
      <c r="C7763">
        <v>1</v>
      </c>
      <c r="D7763">
        <v>120.97</v>
      </c>
      <c r="E7763">
        <v>166</v>
      </c>
    </row>
    <row r="7764" spans="1:5" x14ac:dyDescent="0.3">
      <c r="A7764" t="s">
        <v>129</v>
      </c>
      <c r="B7764" s="1">
        <v>44700</v>
      </c>
      <c r="C7764">
        <v>0.2</v>
      </c>
      <c r="D7764">
        <v>539.69000000000005</v>
      </c>
      <c r="E7764">
        <v>597</v>
      </c>
    </row>
    <row r="7765" spans="1:5" x14ac:dyDescent="0.3">
      <c r="A7765" t="s">
        <v>12</v>
      </c>
      <c r="B7765" s="1">
        <v>44700</v>
      </c>
      <c r="C7765">
        <v>1</v>
      </c>
      <c r="D7765">
        <v>56.84</v>
      </c>
      <c r="E7765">
        <v>72</v>
      </c>
    </row>
    <row r="7766" spans="1:5" x14ac:dyDescent="0.3">
      <c r="A7766" t="s">
        <v>12</v>
      </c>
      <c r="B7766" s="1">
        <v>44700</v>
      </c>
      <c r="C7766">
        <v>1</v>
      </c>
      <c r="D7766">
        <v>56.84</v>
      </c>
      <c r="E7766">
        <v>72</v>
      </c>
    </row>
    <row r="7767" spans="1:5" x14ac:dyDescent="0.3">
      <c r="A7767" t="s">
        <v>56</v>
      </c>
      <c r="B7767" s="1">
        <v>44700</v>
      </c>
      <c r="C7767">
        <v>1</v>
      </c>
      <c r="D7767">
        <v>43.97</v>
      </c>
      <c r="E7767">
        <v>67</v>
      </c>
    </row>
    <row r="7768" spans="1:5" x14ac:dyDescent="0.3">
      <c r="A7768" t="s">
        <v>121</v>
      </c>
      <c r="B7768" s="1">
        <v>44700</v>
      </c>
      <c r="C7768">
        <v>3</v>
      </c>
      <c r="D7768">
        <v>11.41</v>
      </c>
      <c r="E7768">
        <v>19</v>
      </c>
    </row>
    <row r="7769" spans="1:5" x14ac:dyDescent="0.3">
      <c r="A7769" t="s">
        <v>23</v>
      </c>
      <c r="B7769" s="1">
        <v>44700</v>
      </c>
      <c r="C7769">
        <v>1</v>
      </c>
      <c r="D7769">
        <v>112.85</v>
      </c>
      <c r="E7769">
        <v>127</v>
      </c>
    </row>
    <row r="7770" spans="1:5" x14ac:dyDescent="0.3">
      <c r="A7770" t="s">
        <v>23</v>
      </c>
      <c r="B7770" s="1">
        <v>44700</v>
      </c>
      <c r="C7770">
        <v>1</v>
      </c>
      <c r="D7770">
        <v>112.85</v>
      </c>
      <c r="E7770">
        <v>127</v>
      </c>
    </row>
    <row r="7771" spans="1:5" x14ac:dyDescent="0.3">
      <c r="A7771" t="s">
        <v>160</v>
      </c>
      <c r="B7771" s="1">
        <v>44700</v>
      </c>
      <c r="C7771">
        <v>1</v>
      </c>
      <c r="D7771">
        <v>77</v>
      </c>
      <c r="E7771">
        <v>94</v>
      </c>
    </row>
    <row r="7772" spans="1:5" x14ac:dyDescent="0.3">
      <c r="A7772" t="s">
        <v>132</v>
      </c>
      <c r="B7772" s="1">
        <v>44700</v>
      </c>
      <c r="C7772">
        <v>1</v>
      </c>
      <c r="D7772">
        <v>58.53</v>
      </c>
      <c r="E7772">
        <v>84</v>
      </c>
    </row>
    <row r="7773" spans="1:5" x14ac:dyDescent="0.3">
      <c r="A7773" t="s">
        <v>13</v>
      </c>
      <c r="B7773" s="1">
        <v>44700</v>
      </c>
      <c r="C7773">
        <v>1</v>
      </c>
      <c r="D7773">
        <v>120.36</v>
      </c>
      <c r="E7773">
        <v>145</v>
      </c>
    </row>
    <row r="7774" spans="1:5" x14ac:dyDescent="0.3">
      <c r="A7774" t="s">
        <v>31</v>
      </c>
      <c r="B7774" s="1">
        <v>44700</v>
      </c>
      <c r="C7774">
        <v>1</v>
      </c>
      <c r="D7774">
        <v>13.19</v>
      </c>
      <c r="E7774">
        <v>18</v>
      </c>
    </row>
    <row r="7775" spans="1:5" x14ac:dyDescent="0.3">
      <c r="A7775" t="s">
        <v>18</v>
      </c>
      <c r="B7775" s="1">
        <v>44700</v>
      </c>
      <c r="C7775">
        <v>1</v>
      </c>
      <c r="D7775">
        <v>44</v>
      </c>
      <c r="E7775">
        <v>67</v>
      </c>
    </row>
    <row r="7776" spans="1:5" x14ac:dyDescent="0.3">
      <c r="A7776" t="s">
        <v>14</v>
      </c>
      <c r="B7776" s="1">
        <v>44700</v>
      </c>
      <c r="C7776">
        <v>1</v>
      </c>
      <c r="D7776">
        <v>501.97</v>
      </c>
      <c r="E7776">
        <v>673</v>
      </c>
    </row>
    <row r="7777" spans="1:5" x14ac:dyDescent="0.3">
      <c r="A7777" t="s">
        <v>65</v>
      </c>
      <c r="B7777" s="1">
        <v>44700</v>
      </c>
      <c r="C7777">
        <v>1</v>
      </c>
      <c r="D7777">
        <v>184.07</v>
      </c>
      <c r="E7777">
        <v>216</v>
      </c>
    </row>
    <row r="7778" spans="1:5" x14ac:dyDescent="0.3">
      <c r="A7778" t="s">
        <v>134</v>
      </c>
      <c r="B7778" s="1">
        <v>44700</v>
      </c>
      <c r="C7778">
        <v>1</v>
      </c>
      <c r="D7778">
        <v>27.41</v>
      </c>
      <c r="E7778">
        <v>42</v>
      </c>
    </row>
    <row r="7779" spans="1:5" x14ac:dyDescent="0.3">
      <c r="A7779" t="s">
        <v>134</v>
      </c>
      <c r="B7779" s="1">
        <v>44700</v>
      </c>
      <c r="C7779">
        <v>1</v>
      </c>
      <c r="D7779">
        <v>27.41</v>
      </c>
      <c r="E7779">
        <v>42</v>
      </c>
    </row>
    <row r="7780" spans="1:5" x14ac:dyDescent="0.3">
      <c r="A7780" t="s">
        <v>134</v>
      </c>
      <c r="B7780" s="1">
        <v>44700</v>
      </c>
      <c r="C7780">
        <v>1</v>
      </c>
      <c r="D7780">
        <v>27.41</v>
      </c>
      <c r="E7780">
        <v>42</v>
      </c>
    </row>
    <row r="7781" spans="1:5" x14ac:dyDescent="0.3">
      <c r="A7781" t="s">
        <v>67</v>
      </c>
      <c r="B7781" s="1">
        <v>44700</v>
      </c>
      <c r="C7781">
        <v>1</v>
      </c>
      <c r="D7781">
        <v>54.32</v>
      </c>
      <c r="E7781">
        <v>83</v>
      </c>
    </row>
    <row r="7782" spans="1:5" x14ac:dyDescent="0.3">
      <c r="A7782" t="s">
        <v>67</v>
      </c>
      <c r="B7782" s="1">
        <v>44700</v>
      </c>
      <c r="C7782">
        <v>1</v>
      </c>
      <c r="D7782">
        <v>54.32</v>
      </c>
      <c r="E7782">
        <v>83</v>
      </c>
    </row>
    <row r="7783" spans="1:5" x14ac:dyDescent="0.3">
      <c r="A7783" t="s">
        <v>67</v>
      </c>
      <c r="B7783" s="1">
        <v>44700</v>
      </c>
      <c r="C7783">
        <v>1</v>
      </c>
      <c r="D7783">
        <v>54.32</v>
      </c>
      <c r="E7783">
        <v>83</v>
      </c>
    </row>
    <row r="7784" spans="1:5" x14ac:dyDescent="0.3">
      <c r="A7784" t="s">
        <v>26</v>
      </c>
      <c r="B7784" s="1">
        <v>44700</v>
      </c>
      <c r="C7784">
        <v>0.2</v>
      </c>
      <c r="D7784">
        <v>994.36</v>
      </c>
      <c r="E7784">
        <v>1343</v>
      </c>
    </row>
    <row r="7785" spans="1:5" x14ac:dyDescent="0.3">
      <c r="A7785" t="s">
        <v>110</v>
      </c>
      <c r="B7785" s="1">
        <v>44700</v>
      </c>
      <c r="C7785">
        <v>1</v>
      </c>
      <c r="D7785">
        <v>206.53</v>
      </c>
      <c r="E7785">
        <v>290</v>
      </c>
    </row>
    <row r="7786" spans="1:5" x14ac:dyDescent="0.3">
      <c r="A7786" t="s">
        <v>26</v>
      </c>
      <c r="B7786" s="1">
        <v>44700</v>
      </c>
      <c r="C7786">
        <v>0.1</v>
      </c>
      <c r="D7786">
        <v>989.8</v>
      </c>
      <c r="E7786">
        <v>1238</v>
      </c>
    </row>
    <row r="7787" spans="1:5" x14ac:dyDescent="0.3">
      <c r="A7787" t="s">
        <v>56</v>
      </c>
      <c r="B7787" s="1">
        <v>44700</v>
      </c>
      <c r="C7787">
        <v>1</v>
      </c>
      <c r="D7787">
        <v>43.97</v>
      </c>
      <c r="E7787">
        <v>69</v>
      </c>
    </row>
    <row r="7788" spans="1:5" x14ac:dyDescent="0.3">
      <c r="A7788" t="s">
        <v>71</v>
      </c>
      <c r="B7788" s="1">
        <v>44700</v>
      </c>
      <c r="C7788">
        <v>1</v>
      </c>
      <c r="D7788">
        <v>57.59</v>
      </c>
      <c r="E7788">
        <v>82</v>
      </c>
    </row>
    <row r="7789" spans="1:5" x14ac:dyDescent="0.3">
      <c r="A7789" t="s">
        <v>71</v>
      </c>
      <c r="B7789" s="1">
        <v>44700</v>
      </c>
      <c r="C7789">
        <v>1</v>
      </c>
      <c r="D7789">
        <v>57.59</v>
      </c>
      <c r="E7789">
        <v>82</v>
      </c>
    </row>
    <row r="7790" spans="1:5" x14ac:dyDescent="0.3">
      <c r="A7790" t="s">
        <v>151</v>
      </c>
      <c r="B7790" s="1">
        <v>44700</v>
      </c>
      <c r="C7790">
        <v>1</v>
      </c>
      <c r="D7790">
        <v>24.03</v>
      </c>
      <c r="E7790">
        <v>29</v>
      </c>
    </row>
    <row r="7791" spans="1:5" x14ac:dyDescent="0.3">
      <c r="A7791" t="s">
        <v>88</v>
      </c>
      <c r="B7791" s="1">
        <v>44700</v>
      </c>
      <c r="C7791">
        <v>1</v>
      </c>
      <c r="D7791">
        <v>106.51</v>
      </c>
      <c r="E7791">
        <v>163</v>
      </c>
    </row>
    <row r="7792" spans="1:5" x14ac:dyDescent="0.3">
      <c r="A7792" t="s">
        <v>124</v>
      </c>
      <c r="B7792" s="1">
        <v>44700</v>
      </c>
      <c r="C7792">
        <v>1</v>
      </c>
      <c r="D7792">
        <v>36.75</v>
      </c>
      <c r="E7792">
        <v>59</v>
      </c>
    </row>
    <row r="7793" spans="1:5" x14ac:dyDescent="0.3">
      <c r="A7793" t="s">
        <v>114</v>
      </c>
      <c r="B7793" s="1">
        <v>44700</v>
      </c>
      <c r="C7793">
        <v>1</v>
      </c>
      <c r="D7793">
        <v>74.8</v>
      </c>
      <c r="E7793">
        <v>92</v>
      </c>
    </row>
    <row r="7794" spans="1:5" x14ac:dyDescent="0.3">
      <c r="A7794" t="s">
        <v>59</v>
      </c>
      <c r="B7794" s="1">
        <v>44700</v>
      </c>
      <c r="C7794">
        <v>1</v>
      </c>
      <c r="D7794">
        <v>16.97</v>
      </c>
      <c r="E7794">
        <v>28</v>
      </c>
    </row>
    <row r="7795" spans="1:5" x14ac:dyDescent="0.3">
      <c r="A7795" t="s">
        <v>51</v>
      </c>
      <c r="B7795" s="1">
        <v>44700</v>
      </c>
      <c r="C7795">
        <v>8</v>
      </c>
      <c r="D7795">
        <v>1.98</v>
      </c>
      <c r="E7795">
        <v>4</v>
      </c>
    </row>
    <row r="7796" spans="1:5" x14ac:dyDescent="0.3">
      <c r="A7796" t="s">
        <v>81</v>
      </c>
      <c r="B7796" s="1">
        <v>44700</v>
      </c>
      <c r="C7796">
        <v>1</v>
      </c>
      <c r="D7796">
        <v>40.130000000000003</v>
      </c>
      <c r="E7796">
        <v>49</v>
      </c>
    </row>
    <row r="7797" spans="1:5" x14ac:dyDescent="0.3">
      <c r="A7797" t="s">
        <v>66</v>
      </c>
      <c r="B7797" s="1">
        <v>44700</v>
      </c>
      <c r="C7797">
        <v>1</v>
      </c>
      <c r="D7797">
        <v>30.6</v>
      </c>
      <c r="E7797">
        <v>37</v>
      </c>
    </row>
    <row r="7798" spans="1:5" x14ac:dyDescent="0.3">
      <c r="A7798" t="s">
        <v>47</v>
      </c>
      <c r="B7798" s="1">
        <v>44700</v>
      </c>
      <c r="C7798">
        <v>1</v>
      </c>
      <c r="D7798">
        <v>43.08</v>
      </c>
      <c r="E7798">
        <v>66</v>
      </c>
    </row>
    <row r="7799" spans="1:5" x14ac:dyDescent="0.3">
      <c r="A7799" t="s">
        <v>147</v>
      </c>
      <c r="B7799" s="1">
        <v>44700</v>
      </c>
      <c r="C7799">
        <v>1</v>
      </c>
      <c r="D7799">
        <v>135.01</v>
      </c>
      <c r="E7799">
        <v>191</v>
      </c>
    </row>
    <row r="7800" spans="1:5" x14ac:dyDescent="0.3">
      <c r="A7800" t="s">
        <v>78</v>
      </c>
      <c r="B7800" s="1">
        <v>44700</v>
      </c>
      <c r="C7800">
        <v>1</v>
      </c>
      <c r="D7800">
        <v>69.290000000000006</v>
      </c>
      <c r="E7800">
        <v>88</v>
      </c>
    </row>
    <row r="7801" spans="1:5" x14ac:dyDescent="0.3">
      <c r="A7801" t="s">
        <v>60</v>
      </c>
      <c r="B7801" s="1">
        <v>44700</v>
      </c>
      <c r="C7801">
        <v>1</v>
      </c>
      <c r="D7801">
        <v>58.08</v>
      </c>
      <c r="E7801">
        <v>73</v>
      </c>
    </row>
    <row r="7802" spans="1:5" x14ac:dyDescent="0.3">
      <c r="A7802" t="s">
        <v>60</v>
      </c>
      <c r="B7802" s="1">
        <v>44700</v>
      </c>
      <c r="C7802">
        <v>1</v>
      </c>
      <c r="D7802">
        <v>58.08</v>
      </c>
      <c r="E7802">
        <v>73</v>
      </c>
    </row>
    <row r="7803" spans="1:5" x14ac:dyDescent="0.3">
      <c r="A7803" t="s">
        <v>65</v>
      </c>
      <c r="B7803" s="1">
        <v>44700</v>
      </c>
      <c r="C7803">
        <v>1</v>
      </c>
      <c r="D7803">
        <v>184.07</v>
      </c>
      <c r="E7803">
        <v>216</v>
      </c>
    </row>
    <row r="7804" spans="1:5" x14ac:dyDescent="0.3">
      <c r="A7804" t="s">
        <v>12</v>
      </c>
      <c r="B7804" s="1">
        <v>44700</v>
      </c>
      <c r="C7804">
        <v>1</v>
      </c>
      <c r="D7804">
        <v>56.18</v>
      </c>
      <c r="E7804">
        <v>70</v>
      </c>
    </row>
    <row r="7805" spans="1:5" x14ac:dyDescent="0.3">
      <c r="A7805" t="s">
        <v>12</v>
      </c>
      <c r="B7805" s="1">
        <v>44700</v>
      </c>
      <c r="C7805">
        <v>1</v>
      </c>
      <c r="D7805">
        <v>55.81</v>
      </c>
      <c r="E7805">
        <v>69</v>
      </c>
    </row>
    <row r="7806" spans="1:5" x14ac:dyDescent="0.3">
      <c r="A7806" t="s">
        <v>137</v>
      </c>
      <c r="B7806" s="1">
        <v>44700</v>
      </c>
      <c r="C7806">
        <v>1</v>
      </c>
      <c r="D7806">
        <v>10.53</v>
      </c>
      <c r="E7806">
        <v>18</v>
      </c>
    </row>
    <row r="7807" spans="1:5" x14ac:dyDescent="0.3">
      <c r="A7807" t="s">
        <v>62</v>
      </c>
      <c r="B7807" s="1">
        <v>44700</v>
      </c>
      <c r="C7807">
        <v>1</v>
      </c>
      <c r="D7807">
        <v>24.97</v>
      </c>
      <c r="E7807">
        <v>30</v>
      </c>
    </row>
    <row r="7808" spans="1:5" x14ac:dyDescent="0.3">
      <c r="A7808" t="s">
        <v>62</v>
      </c>
      <c r="B7808" s="1">
        <v>44700</v>
      </c>
      <c r="C7808">
        <v>1</v>
      </c>
      <c r="D7808">
        <v>24.97</v>
      </c>
      <c r="E7808">
        <v>30</v>
      </c>
    </row>
    <row r="7809" spans="1:5" x14ac:dyDescent="0.3">
      <c r="A7809" t="s">
        <v>105</v>
      </c>
      <c r="B7809" s="1">
        <v>44700</v>
      </c>
      <c r="C7809">
        <v>3</v>
      </c>
      <c r="D7809">
        <v>26.9</v>
      </c>
      <c r="E7809">
        <v>44</v>
      </c>
    </row>
    <row r="7810" spans="1:5" x14ac:dyDescent="0.3">
      <c r="A7810" t="s">
        <v>66</v>
      </c>
      <c r="B7810" s="1">
        <v>44700</v>
      </c>
      <c r="C7810">
        <v>2</v>
      </c>
      <c r="D7810">
        <v>30.93</v>
      </c>
      <c r="E7810">
        <v>36</v>
      </c>
    </row>
    <row r="7811" spans="1:5" x14ac:dyDescent="0.3">
      <c r="A7811" t="s">
        <v>102</v>
      </c>
      <c r="B7811" s="1">
        <v>44700</v>
      </c>
      <c r="C7811">
        <v>1</v>
      </c>
      <c r="D7811">
        <v>26.18</v>
      </c>
      <c r="E7811">
        <v>33</v>
      </c>
    </row>
    <row r="7812" spans="1:5" x14ac:dyDescent="0.3">
      <c r="A7812" t="s">
        <v>102</v>
      </c>
      <c r="B7812" s="1">
        <v>44700</v>
      </c>
      <c r="C7812">
        <v>1</v>
      </c>
      <c r="D7812">
        <v>26.18</v>
      </c>
      <c r="E7812">
        <v>33</v>
      </c>
    </row>
    <row r="7813" spans="1:5" x14ac:dyDescent="0.3">
      <c r="A7813" t="s">
        <v>102</v>
      </c>
      <c r="B7813" s="1">
        <v>44700</v>
      </c>
      <c r="C7813">
        <v>1</v>
      </c>
      <c r="D7813">
        <v>26.18</v>
      </c>
      <c r="E7813">
        <v>33</v>
      </c>
    </row>
    <row r="7814" spans="1:5" x14ac:dyDescent="0.3">
      <c r="A7814" t="s">
        <v>35</v>
      </c>
      <c r="B7814" s="1">
        <v>44700</v>
      </c>
      <c r="C7814">
        <v>1</v>
      </c>
      <c r="D7814">
        <v>35</v>
      </c>
      <c r="E7814">
        <v>54</v>
      </c>
    </row>
    <row r="7815" spans="1:5" x14ac:dyDescent="0.3">
      <c r="A7815" t="s">
        <v>20</v>
      </c>
      <c r="B7815" s="1">
        <v>44700</v>
      </c>
      <c r="C7815">
        <v>1</v>
      </c>
      <c r="D7815">
        <v>19.71</v>
      </c>
      <c r="E7815">
        <v>25</v>
      </c>
    </row>
    <row r="7816" spans="1:5" x14ac:dyDescent="0.3">
      <c r="A7816" t="s">
        <v>52</v>
      </c>
      <c r="B7816" s="1">
        <v>44700</v>
      </c>
      <c r="C7816">
        <v>1</v>
      </c>
      <c r="D7816">
        <v>202.48</v>
      </c>
      <c r="E7816">
        <v>243</v>
      </c>
    </row>
    <row r="7817" spans="1:5" x14ac:dyDescent="0.3">
      <c r="A7817" t="s">
        <v>25</v>
      </c>
      <c r="B7817" s="1">
        <v>44700</v>
      </c>
      <c r="C7817">
        <v>1</v>
      </c>
      <c r="D7817">
        <v>147.18</v>
      </c>
      <c r="E7817">
        <v>177</v>
      </c>
    </row>
    <row r="7818" spans="1:5" x14ac:dyDescent="0.3">
      <c r="A7818" t="s">
        <v>99</v>
      </c>
      <c r="B7818" s="1">
        <v>44700</v>
      </c>
      <c r="C7818">
        <v>1</v>
      </c>
      <c r="D7818">
        <v>65.52</v>
      </c>
      <c r="E7818">
        <v>77</v>
      </c>
    </row>
    <row r="7819" spans="1:5" x14ac:dyDescent="0.3">
      <c r="A7819" t="s">
        <v>99</v>
      </c>
      <c r="B7819" s="1">
        <v>44700</v>
      </c>
      <c r="C7819">
        <v>1</v>
      </c>
      <c r="D7819">
        <v>65.52</v>
      </c>
      <c r="E7819">
        <v>77</v>
      </c>
    </row>
    <row r="7820" spans="1:5" x14ac:dyDescent="0.3">
      <c r="A7820" t="s">
        <v>20</v>
      </c>
      <c r="B7820" s="1">
        <v>44700</v>
      </c>
      <c r="C7820">
        <v>1</v>
      </c>
      <c r="D7820">
        <v>19.71</v>
      </c>
      <c r="E7820">
        <v>25</v>
      </c>
    </row>
    <row r="7821" spans="1:5" x14ac:dyDescent="0.3">
      <c r="A7821" t="s">
        <v>122</v>
      </c>
      <c r="B7821" s="1">
        <v>44700</v>
      </c>
      <c r="C7821">
        <v>1</v>
      </c>
      <c r="D7821">
        <v>23.42</v>
      </c>
      <c r="E7821">
        <v>28</v>
      </c>
    </row>
    <row r="7822" spans="1:5" x14ac:dyDescent="0.3">
      <c r="A7822" t="s">
        <v>122</v>
      </c>
      <c r="B7822" s="1">
        <v>44700</v>
      </c>
      <c r="C7822">
        <v>1</v>
      </c>
      <c r="D7822">
        <v>23.42</v>
      </c>
      <c r="E7822">
        <v>28</v>
      </c>
    </row>
    <row r="7823" spans="1:5" x14ac:dyDescent="0.3">
      <c r="A7823" t="s">
        <v>20</v>
      </c>
      <c r="B7823" s="1">
        <v>44700</v>
      </c>
      <c r="C7823">
        <v>1</v>
      </c>
      <c r="D7823">
        <v>19.71</v>
      </c>
      <c r="E7823">
        <v>25</v>
      </c>
    </row>
    <row r="7824" spans="1:5" x14ac:dyDescent="0.3">
      <c r="A7824" t="s">
        <v>112</v>
      </c>
      <c r="B7824" s="1">
        <v>44700</v>
      </c>
      <c r="C7824">
        <v>1</v>
      </c>
      <c r="D7824">
        <v>291.3</v>
      </c>
      <c r="E7824">
        <v>345</v>
      </c>
    </row>
    <row r="7825" spans="1:5" x14ac:dyDescent="0.3">
      <c r="A7825" t="s">
        <v>35</v>
      </c>
      <c r="B7825" s="1">
        <v>44700</v>
      </c>
      <c r="C7825">
        <v>1</v>
      </c>
      <c r="D7825">
        <v>35</v>
      </c>
      <c r="E7825">
        <v>54</v>
      </c>
    </row>
    <row r="7826" spans="1:5" x14ac:dyDescent="0.3">
      <c r="A7826" t="s">
        <v>35</v>
      </c>
      <c r="B7826" s="1">
        <v>44700</v>
      </c>
      <c r="C7826">
        <v>1</v>
      </c>
      <c r="D7826">
        <v>35</v>
      </c>
      <c r="E7826">
        <v>54</v>
      </c>
    </row>
    <row r="7827" spans="1:5" x14ac:dyDescent="0.3">
      <c r="A7827" t="s">
        <v>65</v>
      </c>
      <c r="B7827" s="1">
        <v>44700</v>
      </c>
      <c r="C7827">
        <v>1</v>
      </c>
      <c r="D7827">
        <v>184.07</v>
      </c>
      <c r="E7827">
        <v>216</v>
      </c>
    </row>
    <row r="7828" spans="1:5" x14ac:dyDescent="0.3">
      <c r="A7828" t="s">
        <v>65</v>
      </c>
      <c r="B7828" s="1">
        <v>44700</v>
      </c>
      <c r="C7828">
        <v>1</v>
      </c>
      <c r="D7828">
        <v>184.07</v>
      </c>
      <c r="E7828">
        <v>216</v>
      </c>
    </row>
    <row r="7829" spans="1:5" x14ac:dyDescent="0.3">
      <c r="A7829" t="s">
        <v>24</v>
      </c>
      <c r="B7829" s="1">
        <v>44700</v>
      </c>
      <c r="C7829">
        <v>1</v>
      </c>
      <c r="D7829">
        <v>96.14</v>
      </c>
      <c r="E7829">
        <v>118</v>
      </c>
    </row>
    <row r="7830" spans="1:5" x14ac:dyDescent="0.3">
      <c r="A7830" t="s">
        <v>31</v>
      </c>
      <c r="B7830" s="1">
        <v>44700</v>
      </c>
      <c r="C7830">
        <v>1</v>
      </c>
      <c r="D7830">
        <v>13.19</v>
      </c>
      <c r="E7830">
        <v>18</v>
      </c>
    </row>
    <row r="7831" spans="1:5" x14ac:dyDescent="0.3">
      <c r="A7831" t="s">
        <v>31</v>
      </c>
      <c r="B7831" s="1">
        <v>44700</v>
      </c>
      <c r="C7831">
        <v>1</v>
      </c>
      <c r="D7831">
        <v>13.19</v>
      </c>
      <c r="E7831">
        <v>18</v>
      </c>
    </row>
    <row r="7832" spans="1:5" x14ac:dyDescent="0.3">
      <c r="A7832" t="s">
        <v>31</v>
      </c>
      <c r="B7832" s="1">
        <v>44700</v>
      </c>
      <c r="C7832">
        <v>1</v>
      </c>
      <c r="D7832">
        <v>13.19</v>
      </c>
      <c r="E7832">
        <v>18</v>
      </c>
    </row>
    <row r="7833" spans="1:5" x14ac:dyDescent="0.3">
      <c r="A7833" t="s">
        <v>93</v>
      </c>
      <c r="B7833" s="1">
        <v>44700</v>
      </c>
      <c r="C7833">
        <v>1</v>
      </c>
      <c r="D7833">
        <v>66.180000000000007</v>
      </c>
      <c r="E7833">
        <v>94</v>
      </c>
    </row>
    <row r="7834" spans="1:5" x14ac:dyDescent="0.3">
      <c r="A7834" t="s">
        <v>65</v>
      </c>
      <c r="B7834" s="1">
        <v>44700</v>
      </c>
      <c r="C7834">
        <v>1</v>
      </c>
      <c r="D7834">
        <v>176.42</v>
      </c>
      <c r="E7834">
        <v>207</v>
      </c>
    </row>
    <row r="7835" spans="1:5" x14ac:dyDescent="0.3">
      <c r="A7835" t="s">
        <v>144</v>
      </c>
      <c r="B7835" s="1">
        <v>44700</v>
      </c>
      <c r="C7835">
        <v>1</v>
      </c>
      <c r="D7835">
        <v>52.23</v>
      </c>
      <c r="E7835">
        <v>81</v>
      </c>
    </row>
    <row r="7836" spans="1:5" x14ac:dyDescent="0.3">
      <c r="A7836" t="s">
        <v>113</v>
      </c>
      <c r="B7836" s="1">
        <v>44700</v>
      </c>
      <c r="C7836">
        <v>1</v>
      </c>
      <c r="D7836">
        <v>160.82</v>
      </c>
      <c r="E7836">
        <v>221</v>
      </c>
    </row>
    <row r="7837" spans="1:5" x14ac:dyDescent="0.3">
      <c r="A7837" t="s">
        <v>160</v>
      </c>
      <c r="B7837" s="1">
        <v>44699</v>
      </c>
      <c r="C7837">
        <v>1</v>
      </c>
      <c r="D7837">
        <v>80.73</v>
      </c>
      <c r="E7837">
        <v>100</v>
      </c>
    </row>
    <row r="7838" spans="1:5" x14ac:dyDescent="0.3">
      <c r="A7838" t="s">
        <v>75</v>
      </c>
      <c r="B7838" s="1">
        <v>44699</v>
      </c>
      <c r="C7838">
        <v>0.16</v>
      </c>
      <c r="D7838">
        <v>438.61</v>
      </c>
      <c r="E7838">
        <v>615</v>
      </c>
    </row>
    <row r="7839" spans="1:5" x14ac:dyDescent="0.3">
      <c r="A7839" t="s">
        <v>160</v>
      </c>
      <c r="B7839" s="1">
        <v>44699</v>
      </c>
      <c r="C7839">
        <v>1</v>
      </c>
      <c r="D7839">
        <v>80.73</v>
      </c>
      <c r="E7839">
        <v>100</v>
      </c>
    </row>
    <row r="7840" spans="1:5" x14ac:dyDescent="0.3">
      <c r="A7840" t="s">
        <v>53</v>
      </c>
      <c r="B7840" s="1">
        <v>44699</v>
      </c>
      <c r="C7840">
        <v>1</v>
      </c>
      <c r="D7840">
        <v>23.4</v>
      </c>
      <c r="E7840">
        <v>38</v>
      </c>
    </row>
    <row r="7841" spans="1:5" x14ac:dyDescent="0.3">
      <c r="A7841" t="s">
        <v>73</v>
      </c>
      <c r="B7841" s="1">
        <v>44699</v>
      </c>
      <c r="C7841">
        <v>1</v>
      </c>
      <c r="D7841">
        <v>7.97</v>
      </c>
      <c r="E7841">
        <v>13</v>
      </c>
    </row>
    <row r="7842" spans="1:5" x14ac:dyDescent="0.3">
      <c r="A7842" t="s">
        <v>47</v>
      </c>
      <c r="B7842" s="1">
        <v>44699</v>
      </c>
      <c r="C7842">
        <v>1</v>
      </c>
      <c r="D7842">
        <v>42.85</v>
      </c>
      <c r="E7842">
        <v>67</v>
      </c>
    </row>
    <row r="7843" spans="1:5" x14ac:dyDescent="0.3">
      <c r="A7843" t="s">
        <v>8</v>
      </c>
      <c r="B7843" s="1">
        <v>44699</v>
      </c>
      <c r="C7843">
        <v>1</v>
      </c>
      <c r="D7843">
        <v>47.03</v>
      </c>
      <c r="E7843">
        <v>76</v>
      </c>
    </row>
    <row r="7844" spans="1:5" x14ac:dyDescent="0.3">
      <c r="A7844" t="s">
        <v>86</v>
      </c>
      <c r="B7844" s="1">
        <v>44699</v>
      </c>
      <c r="C7844">
        <v>1</v>
      </c>
      <c r="D7844">
        <v>47.4</v>
      </c>
      <c r="E7844">
        <v>76</v>
      </c>
    </row>
    <row r="7845" spans="1:5" x14ac:dyDescent="0.3">
      <c r="A7845" t="s">
        <v>77</v>
      </c>
      <c r="B7845" s="1">
        <v>44699</v>
      </c>
      <c r="C7845">
        <v>1</v>
      </c>
      <c r="D7845">
        <v>60.3</v>
      </c>
      <c r="E7845">
        <v>75</v>
      </c>
    </row>
    <row r="7846" spans="1:5" x14ac:dyDescent="0.3">
      <c r="A7846" t="s">
        <v>104</v>
      </c>
      <c r="B7846" s="1">
        <v>44699</v>
      </c>
      <c r="C7846">
        <v>1</v>
      </c>
      <c r="D7846">
        <v>45.47</v>
      </c>
      <c r="E7846">
        <v>57</v>
      </c>
    </row>
    <row r="7847" spans="1:5" x14ac:dyDescent="0.3">
      <c r="A7847" t="s">
        <v>103</v>
      </c>
      <c r="B7847" s="1">
        <v>44699</v>
      </c>
      <c r="C7847">
        <v>1</v>
      </c>
      <c r="D7847">
        <v>41.33</v>
      </c>
      <c r="E7847">
        <v>65</v>
      </c>
    </row>
    <row r="7848" spans="1:5" x14ac:dyDescent="0.3">
      <c r="A7848" t="s">
        <v>64</v>
      </c>
      <c r="B7848" s="1">
        <v>44699</v>
      </c>
      <c r="C7848">
        <v>1</v>
      </c>
      <c r="D7848">
        <v>198.66</v>
      </c>
      <c r="E7848">
        <v>289</v>
      </c>
    </row>
    <row r="7849" spans="1:5" x14ac:dyDescent="0.3">
      <c r="A7849" t="s">
        <v>150</v>
      </c>
      <c r="B7849" s="1">
        <v>44699</v>
      </c>
      <c r="C7849">
        <v>1</v>
      </c>
      <c r="D7849">
        <v>80.14</v>
      </c>
      <c r="E7849">
        <v>126</v>
      </c>
    </row>
    <row r="7850" spans="1:5" x14ac:dyDescent="0.3">
      <c r="A7850" t="s">
        <v>136</v>
      </c>
      <c r="B7850" s="1">
        <v>44699</v>
      </c>
      <c r="C7850">
        <v>1</v>
      </c>
      <c r="D7850">
        <v>289.58999999999997</v>
      </c>
      <c r="E7850">
        <v>386</v>
      </c>
    </row>
    <row r="7851" spans="1:5" x14ac:dyDescent="0.3">
      <c r="A7851" t="s">
        <v>6</v>
      </c>
      <c r="B7851" s="1">
        <v>44699</v>
      </c>
      <c r="C7851">
        <v>0.2</v>
      </c>
      <c r="D7851">
        <v>430.38</v>
      </c>
      <c r="E7851">
        <v>538</v>
      </c>
    </row>
    <row r="7852" spans="1:5" x14ac:dyDescent="0.3">
      <c r="A7852" t="s">
        <v>6</v>
      </c>
      <c r="B7852" s="1">
        <v>44699</v>
      </c>
      <c r="C7852">
        <v>0.2</v>
      </c>
      <c r="D7852">
        <v>507.47</v>
      </c>
      <c r="E7852">
        <v>635</v>
      </c>
    </row>
    <row r="7853" spans="1:5" x14ac:dyDescent="0.3">
      <c r="A7853" t="s">
        <v>8</v>
      </c>
      <c r="B7853" s="1">
        <v>44699</v>
      </c>
      <c r="C7853">
        <v>1</v>
      </c>
      <c r="D7853">
        <v>47.82</v>
      </c>
      <c r="E7853">
        <v>83</v>
      </c>
    </row>
    <row r="7854" spans="1:5" x14ac:dyDescent="0.3">
      <c r="A7854" t="s">
        <v>8</v>
      </c>
      <c r="B7854" s="1">
        <v>44699</v>
      </c>
      <c r="C7854">
        <v>1</v>
      </c>
      <c r="D7854">
        <v>47.83</v>
      </c>
      <c r="E7854">
        <v>77</v>
      </c>
    </row>
    <row r="7855" spans="1:5" x14ac:dyDescent="0.3">
      <c r="A7855" t="s">
        <v>105</v>
      </c>
      <c r="B7855" s="1">
        <v>44699</v>
      </c>
      <c r="C7855">
        <v>5</v>
      </c>
      <c r="D7855">
        <v>26.72</v>
      </c>
      <c r="E7855">
        <v>43</v>
      </c>
    </row>
    <row r="7856" spans="1:5" x14ac:dyDescent="0.3">
      <c r="A7856" t="s">
        <v>123</v>
      </c>
      <c r="B7856" s="1">
        <v>44699</v>
      </c>
      <c r="C7856">
        <v>1</v>
      </c>
      <c r="D7856">
        <v>62.79</v>
      </c>
      <c r="E7856">
        <v>78</v>
      </c>
    </row>
    <row r="7857" spans="1:5" x14ac:dyDescent="0.3">
      <c r="A7857" t="s">
        <v>123</v>
      </c>
      <c r="B7857" s="1">
        <v>44699</v>
      </c>
      <c r="C7857">
        <v>1</v>
      </c>
      <c r="D7857">
        <v>62.79</v>
      </c>
      <c r="E7857">
        <v>78</v>
      </c>
    </row>
    <row r="7858" spans="1:5" x14ac:dyDescent="0.3">
      <c r="A7858" t="s">
        <v>138</v>
      </c>
      <c r="B7858" s="1">
        <v>44699</v>
      </c>
      <c r="C7858">
        <v>1</v>
      </c>
      <c r="D7858">
        <v>46.5</v>
      </c>
      <c r="E7858">
        <v>76</v>
      </c>
    </row>
    <row r="7859" spans="1:5" x14ac:dyDescent="0.3">
      <c r="A7859" t="s">
        <v>157</v>
      </c>
      <c r="B7859" s="1">
        <v>44699</v>
      </c>
      <c r="C7859">
        <v>2</v>
      </c>
      <c r="D7859">
        <v>12</v>
      </c>
      <c r="E7859">
        <v>20</v>
      </c>
    </row>
    <row r="7860" spans="1:5" x14ac:dyDescent="0.3">
      <c r="A7860" t="s">
        <v>75</v>
      </c>
      <c r="B7860" s="1">
        <v>44699</v>
      </c>
      <c r="C7860">
        <v>0.12</v>
      </c>
      <c r="D7860">
        <v>438.61</v>
      </c>
      <c r="E7860">
        <v>615</v>
      </c>
    </row>
    <row r="7861" spans="1:5" x14ac:dyDescent="0.3">
      <c r="A7861" t="s">
        <v>75</v>
      </c>
      <c r="B7861" s="1">
        <v>44699</v>
      </c>
      <c r="C7861">
        <v>0.06</v>
      </c>
      <c r="D7861">
        <v>438.61</v>
      </c>
      <c r="E7861">
        <v>615</v>
      </c>
    </row>
    <row r="7862" spans="1:5" x14ac:dyDescent="0.3">
      <c r="A7862" t="s">
        <v>133</v>
      </c>
      <c r="B7862" s="1">
        <v>44699</v>
      </c>
      <c r="C7862">
        <v>3</v>
      </c>
      <c r="D7862">
        <v>5.0999999999999996</v>
      </c>
      <c r="E7862">
        <v>9</v>
      </c>
    </row>
    <row r="7863" spans="1:5" x14ac:dyDescent="0.3">
      <c r="A7863" t="s">
        <v>75</v>
      </c>
      <c r="B7863" s="1">
        <v>44699</v>
      </c>
      <c r="C7863">
        <v>0.2</v>
      </c>
      <c r="D7863">
        <v>433.37</v>
      </c>
      <c r="E7863">
        <v>607</v>
      </c>
    </row>
    <row r="7864" spans="1:5" x14ac:dyDescent="0.3">
      <c r="A7864" t="s">
        <v>55</v>
      </c>
      <c r="B7864" s="1">
        <v>44699</v>
      </c>
      <c r="C7864">
        <v>1</v>
      </c>
      <c r="D7864">
        <v>77.63</v>
      </c>
      <c r="E7864">
        <v>95</v>
      </c>
    </row>
    <row r="7865" spans="1:5" x14ac:dyDescent="0.3">
      <c r="A7865" t="s">
        <v>7</v>
      </c>
      <c r="B7865" s="1">
        <v>44699</v>
      </c>
      <c r="C7865">
        <v>1</v>
      </c>
      <c r="D7865">
        <v>89.59</v>
      </c>
      <c r="E7865">
        <v>110</v>
      </c>
    </row>
    <row r="7866" spans="1:5" x14ac:dyDescent="0.3">
      <c r="A7866" t="s">
        <v>124</v>
      </c>
      <c r="B7866" s="1">
        <v>44699</v>
      </c>
      <c r="C7866">
        <v>1</v>
      </c>
      <c r="D7866">
        <v>36.75</v>
      </c>
      <c r="E7866">
        <v>59</v>
      </c>
    </row>
    <row r="7867" spans="1:5" x14ac:dyDescent="0.3">
      <c r="A7867" t="s">
        <v>159</v>
      </c>
      <c r="B7867" s="1">
        <v>44699</v>
      </c>
      <c r="C7867">
        <v>1</v>
      </c>
      <c r="D7867">
        <v>51.89</v>
      </c>
      <c r="E7867">
        <v>64</v>
      </c>
    </row>
    <row r="7868" spans="1:5" x14ac:dyDescent="0.3">
      <c r="A7868" t="s">
        <v>137</v>
      </c>
      <c r="B7868" s="1">
        <v>44699</v>
      </c>
      <c r="C7868">
        <v>1</v>
      </c>
      <c r="D7868">
        <v>7.13</v>
      </c>
      <c r="E7868">
        <v>12</v>
      </c>
    </row>
    <row r="7869" spans="1:5" x14ac:dyDescent="0.3">
      <c r="A7869" t="s">
        <v>160</v>
      </c>
      <c r="B7869" s="1">
        <v>44699</v>
      </c>
      <c r="C7869">
        <v>1</v>
      </c>
      <c r="D7869">
        <v>80.73</v>
      </c>
      <c r="E7869">
        <v>98</v>
      </c>
    </row>
    <row r="7870" spans="1:5" x14ac:dyDescent="0.3">
      <c r="A7870" t="s">
        <v>111</v>
      </c>
      <c r="B7870" s="1">
        <v>44699</v>
      </c>
      <c r="C7870">
        <v>1</v>
      </c>
      <c r="D7870">
        <v>119.16</v>
      </c>
      <c r="E7870">
        <v>129.34</v>
      </c>
    </row>
    <row r="7871" spans="1:5" x14ac:dyDescent="0.3">
      <c r="A7871" t="s">
        <v>111</v>
      </c>
      <c r="B7871" s="1">
        <v>44699</v>
      </c>
      <c r="C7871">
        <v>1</v>
      </c>
      <c r="D7871">
        <v>119.16</v>
      </c>
      <c r="E7871">
        <v>129.34</v>
      </c>
    </row>
    <row r="7872" spans="1:5" x14ac:dyDescent="0.3">
      <c r="A7872" t="s">
        <v>111</v>
      </c>
      <c r="B7872" s="1">
        <v>44699</v>
      </c>
      <c r="C7872">
        <v>1</v>
      </c>
      <c r="D7872">
        <v>119.16</v>
      </c>
      <c r="E7872">
        <v>129.34</v>
      </c>
    </row>
    <row r="7873" spans="1:5" x14ac:dyDescent="0.3">
      <c r="A7873" t="s">
        <v>8</v>
      </c>
      <c r="B7873" s="1">
        <v>44699</v>
      </c>
      <c r="C7873">
        <v>1</v>
      </c>
      <c r="D7873">
        <v>47.83</v>
      </c>
      <c r="E7873">
        <v>77</v>
      </c>
    </row>
    <row r="7874" spans="1:5" x14ac:dyDescent="0.3">
      <c r="A7874" t="s">
        <v>150</v>
      </c>
      <c r="B7874" s="1">
        <v>44699</v>
      </c>
      <c r="C7874">
        <v>1</v>
      </c>
      <c r="D7874">
        <v>82.64</v>
      </c>
      <c r="E7874">
        <v>129</v>
      </c>
    </row>
    <row r="7875" spans="1:5" x14ac:dyDescent="0.3">
      <c r="A7875" t="s">
        <v>159</v>
      </c>
      <c r="B7875" s="1">
        <v>44699</v>
      </c>
      <c r="C7875">
        <v>1</v>
      </c>
      <c r="D7875">
        <v>58.56</v>
      </c>
      <c r="E7875">
        <v>69.84</v>
      </c>
    </row>
    <row r="7876" spans="1:5" x14ac:dyDescent="0.3">
      <c r="A7876" t="s">
        <v>48</v>
      </c>
      <c r="B7876" s="1">
        <v>44699</v>
      </c>
      <c r="C7876">
        <v>1</v>
      </c>
      <c r="D7876">
        <v>42.76</v>
      </c>
      <c r="E7876">
        <v>65</v>
      </c>
    </row>
    <row r="7877" spans="1:5" x14ac:dyDescent="0.3">
      <c r="A7877" t="s">
        <v>45</v>
      </c>
      <c r="B7877" s="1">
        <v>44699</v>
      </c>
      <c r="C7877">
        <v>1</v>
      </c>
      <c r="D7877">
        <v>28.85</v>
      </c>
      <c r="E7877">
        <v>47</v>
      </c>
    </row>
    <row r="7878" spans="1:5" x14ac:dyDescent="0.3">
      <c r="A7878" t="s">
        <v>45</v>
      </c>
      <c r="B7878" s="1">
        <v>44699</v>
      </c>
      <c r="C7878">
        <v>1</v>
      </c>
      <c r="D7878">
        <v>25.2</v>
      </c>
      <c r="E7878">
        <v>41</v>
      </c>
    </row>
    <row r="7879" spans="1:5" x14ac:dyDescent="0.3">
      <c r="A7879" t="s">
        <v>74</v>
      </c>
      <c r="B7879" s="1">
        <v>44699</v>
      </c>
      <c r="C7879">
        <v>1</v>
      </c>
      <c r="D7879">
        <v>87.68</v>
      </c>
      <c r="E7879">
        <v>109</v>
      </c>
    </row>
    <row r="7880" spans="1:5" x14ac:dyDescent="0.3">
      <c r="A7880" t="s">
        <v>74</v>
      </c>
      <c r="B7880" s="1">
        <v>44699</v>
      </c>
      <c r="C7880">
        <v>1</v>
      </c>
      <c r="D7880">
        <v>88.11</v>
      </c>
      <c r="E7880">
        <v>110</v>
      </c>
    </row>
    <row r="7881" spans="1:5" x14ac:dyDescent="0.3">
      <c r="A7881" t="s">
        <v>6</v>
      </c>
      <c r="B7881" s="1">
        <v>44699</v>
      </c>
      <c r="C7881">
        <v>0.2</v>
      </c>
      <c r="D7881">
        <v>431.48</v>
      </c>
      <c r="E7881">
        <v>540</v>
      </c>
    </row>
    <row r="7882" spans="1:5" x14ac:dyDescent="0.3">
      <c r="A7882" t="s">
        <v>52</v>
      </c>
      <c r="B7882" s="1">
        <v>44699</v>
      </c>
      <c r="C7882">
        <v>1</v>
      </c>
      <c r="D7882">
        <v>220.88</v>
      </c>
      <c r="E7882">
        <v>262</v>
      </c>
    </row>
    <row r="7883" spans="1:5" x14ac:dyDescent="0.3">
      <c r="A7883" t="s">
        <v>24</v>
      </c>
      <c r="B7883" s="1">
        <v>44699</v>
      </c>
      <c r="C7883">
        <v>1</v>
      </c>
      <c r="D7883">
        <v>96.14</v>
      </c>
      <c r="E7883">
        <v>118</v>
      </c>
    </row>
    <row r="7884" spans="1:5" x14ac:dyDescent="0.3">
      <c r="A7884" t="s">
        <v>62</v>
      </c>
      <c r="B7884" s="1">
        <v>44699</v>
      </c>
      <c r="C7884">
        <v>1</v>
      </c>
      <c r="D7884">
        <v>25.19</v>
      </c>
      <c r="E7884">
        <v>30</v>
      </c>
    </row>
    <row r="7885" spans="1:5" x14ac:dyDescent="0.3">
      <c r="A7885" t="s">
        <v>24</v>
      </c>
      <c r="B7885" s="1">
        <v>44699</v>
      </c>
      <c r="C7885">
        <v>1</v>
      </c>
      <c r="D7885">
        <v>107.3</v>
      </c>
      <c r="E7885">
        <v>126</v>
      </c>
    </row>
    <row r="7886" spans="1:5" x14ac:dyDescent="0.3">
      <c r="A7886" t="s">
        <v>24</v>
      </c>
      <c r="B7886" s="1">
        <v>44699</v>
      </c>
      <c r="C7886">
        <v>1</v>
      </c>
      <c r="D7886">
        <v>107.3</v>
      </c>
      <c r="E7886">
        <v>126</v>
      </c>
    </row>
    <row r="7887" spans="1:5" x14ac:dyDescent="0.3">
      <c r="A7887" t="s">
        <v>78</v>
      </c>
      <c r="B7887" s="1">
        <v>44699</v>
      </c>
      <c r="C7887">
        <v>1</v>
      </c>
      <c r="D7887">
        <v>65.56</v>
      </c>
      <c r="E7887">
        <v>84</v>
      </c>
    </row>
    <row r="7888" spans="1:5" x14ac:dyDescent="0.3">
      <c r="A7888" t="s">
        <v>78</v>
      </c>
      <c r="B7888" s="1">
        <v>44699</v>
      </c>
      <c r="C7888">
        <v>1</v>
      </c>
      <c r="D7888">
        <v>65.56</v>
      </c>
      <c r="E7888">
        <v>84</v>
      </c>
    </row>
    <row r="7889" spans="1:5" x14ac:dyDescent="0.3">
      <c r="A7889" t="s">
        <v>98</v>
      </c>
      <c r="B7889" s="1">
        <v>44699</v>
      </c>
      <c r="C7889">
        <v>1</v>
      </c>
      <c r="D7889">
        <v>110.99</v>
      </c>
      <c r="E7889">
        <v>136</v>
      </c>
    </row>
    <row r="7890" spans="1:5" x14ac:dyDescent="0.3">
      <c r="A7890" t="s">
        <v>86</v>
      </c>
      <c r="B7890" s="1">
        <v>44699</v>
      </c>
      <c r="C7890">
        <v>1</v>
      </c>
      <c r="D7890">
        <v>47.4</v>
      </c>
      <c r="E7890">
        <v>77</v>
      </c>
    </row>
    <row r="7891" spans="1:5" x14ac:dyDescent="0.3">
      <c r="A7891" t="s">
        <v>147</v>
      </c>
      <c r="B7891" s="1">
        <v>44699</v>
      </c>
      <c r="C7891">
        <v>1</v>
      </c>
      <c r="D7891">
        <v>136.94999999999999</v>
      </c>
      <c r="E7891">
        <v>188</v>
      </c>
    </row>
    <row r="7892" spans="1:5" x14ac:dyDescent="0.3">
      <c r="A7892" t="s">
        <v>48</v>
      </c>
      <c r="B7892" s="1">
        <v>44699</v>
      </c>
      <c r="C7892">
        <v>1</v>
      </c>
      <c r="D7892">
        <v>38.67</v>
      </c>
      <c r="E7892">
        <v>59</v>
      </c>
    </row>
    <row r="7893" spans="1:5" x14ac:dyDescent="0.3">
      <c r="A7893" t="s">
        <v>89</v>
      </c>
      <c r="B7893" s="1">
        <v>44699</v>
      </c>
      <c r="C7893">
        <v>1</v>
      </c>
      <c r="D7893">
        <v>81.17</v>
      </c>
      <c r="E7893">
        <v>116</v>
      </c>
    </row>
    <row r="7894" spans="1:5" x14ac:dyDescent="0.3">
      <c r="A7894" t="s">
        <v>147</v>
      </c>
      <c r="B7894" s="1">
        <v>44699</v>
      </c>
      <c r="C7894">
        <v>1</v>
      </c>
      <c r="D7894">
        <v>137.55000000000001</v>
      </c>
      <c r="E7894">
        <v>189</v>
      </c>
    </row>
    <row r="7895" spans="1:5" x14ac:dyDescent="0.3">
      <c r="A7895" t="s">
        <v>99</v>
      </c>
      <c r="B7895" s="1">
        <v>44699</v>
      </c>
      <c r="C7895">
        <v>1</v>
      </c>
      <c r="D7895">
        <v>64.25</v>
      </c>
      <c r="E7895">
        <v>76</v>
      </c>
    </row>
    <row r="7896" spans="1:5" x14ac:dyDescent="0.3">
      <c r="A7896" t="s">
        <v>18</v>
      </c>
      <c r="B7896" s="1">
        <v>44699</v>
      </c>
      <c r="C7896">
        <v>1</v>
      </c>
      <c r="D7896">
        <v>46</v>
      </c>
      <c r="E7896">
        <v>70</v>
      </c>
    </row>
    <row r="7897" spans="1:5" x14ac:dyDescent="0.3">
      <c r="A7897" t="s">
        <v>24</v>
      </c>
      <c r="B7897" s="1">
        <v>44699</v>
      </c>
      <c r="C7897">
        <v>1</v>
      </c>
      <c r="D7897">
        <v>98.67</v>
      </c>
      <c r="E7897">
        <v>115</v>
      </c>
    </row>
    <row r="7898" spans="1:5" x14ac:dyDescent="0.3">
      <c r="A7898" t="s">
        <v>26</v>
      </c>
      <c r="B7898" s="1">
        <v>44699</v>
      </c>
      <c r="C7898">
        <v>3.3333300000000003E-2</v>
      </c>
      <c r="D7898">
        <v>987.81</v>
      </c>
      <c r="E7898">
        <v>1235</v>
      </c>
    </row>
    <row r="7899" spans="1:5" x14ac:dyDescent="0.3">
      <c r="A7899" t="s">
        <v>92</v>
      </c>
      <c r="B7899" s="1">
        <v>44699</v>
      </c>
      <c r="C7899">
        <v>8</v>
      </c>
      <c r="D7899">
        <v>6.45</v>
      </c>
      <c r="E7899">
        <v>9</v>
      </c>
    </row>
    <row r="7900" spans="1:5" x14ac:dyDescent="0.3">
      <c r="A7900" t="s">
        <v>92</v>
      </c>
      <c r="B7900" s="1">
        <v>44699</v>
      </c>
      <c r="C7900">
        <v>3</v>
      </c>
      <c r="D7900">
        <v>6.45</v>
      </c>
      <c r="E7900">
        <v>9</v>
      </c>
    </row>
    <row r="7901" spans="1:5" x14ac:dyDescent="0.3">
      <c r="A7901" t="s">
        <v>8</v>
      </c>
      <c r="B7901" s="1">
        <v>44699</v>
      </c>
      <c r="C7901">
        <v>1</v>
      </c>
      <c r="D7901">
        <v>47.03</v>
      </c>
      <c r="E7901">
        <v>76</v>
      </c>
    </row>
    <row r="7902" spans="1:5" x14ac:dyDescent="0.3">
      <c r="A7902" t="s">
        <v>93</v>
      </c>
      <c r="B7902" s="1">
        <v>44699</v>
      </c>
      <c r="C7902">
        <v>1</v>
      </c>
      <c r="D7902">
        <v>71.040000000000006</v>
      </c>
      <c r="E7902">
        <v>103</v>
      </c>
    </row>
    <row r="7903" spans="1:5" x14ac:dyDescent="0.3">
      <c r="A7903" t="s">
        <v>19</v>
      </c>
      <c r="B7903" s="1">
        <v>44699</v>
      </c>
      <c r="C7903">
        <v>1</v>
      </c>
      <c r="D7903">
        <v>81.73</v>
      </c>
      <c r="E7903">
        <v>102</v>
      </c>
    </row>
    <row r="7904" spans="1:5" x14ac:dyDescent="0.3">
      <c r="A7904" t="s">
        <v>125</v>
      </c>
      <c r="B7904" s="1">
        <v>44699</v>
      </c>
      <c r="C7904">
        <v>1</v>
      </c>
      <c r="D7904">
        <v>331.43</v>
      </c>
      <c r="E7904">
        <v>431</v>
      </c>
    </row>
    <row r="7905" spans="1:5" x14ac:dyDescent="0.3">
      <c r="A7905" t="s">
        <v>136</v>
      </c>
      <c r="B7905" s="1">
        <v>44699</v>
      </c>
      <c r="C7905">
        <v>1</v>
      </c>
      <c r="D7905">
        <v>286.11</v>
      </c>
      <c r="E7905">
        <v>401</v>
      </c>
    </row>
    <row r="7906" spans="1:5" x14ac:dyDescent="0.3">
      <c r="A7906" t="s">
        <v>52</v>
      </c>
      <c r="B7906" s="1">
        <v>44699</v>
      </c>
      <c r="C7906">
        <v>1</v>
      </c>
      <c r="D7906">
        <v>206</v>
      </c>
      <c r="E7906">
        <v>251</v>
      </c>
    </row>
    <row r="7907" spans="1:5" x14ac:dyDescent="0.3">
      <c r="A7907" t="s">
        <v>127</v>
      </c>
      <c r="B7907" s="1">
        <v>44699</v>
      </c>
      <c r="C7907">
        <v>1</v>
      </c>
      <c r="D7907">
        <v>121.2</v>
      </c>
      <c r="E7907">
        <v>171</v>
      </c>
    </row>
    <row r="7908" spans="1:5" x14ac:dyDescent="0.3">
      <c r="A7908" t="s">
        <v>150</v>
      </c>
      <c r="B7908" s="1">
        <v>44699</v>
      </c>
      <c r="C7908">
        <v>1</v>
      </c>
      <c r="D7908">
        <v>120.9</v>
      </c>
      <c r="E7908">
        <v>190</v>
      </c>
    </row>
    <row r="7909" spans="1:5" x14ac:dyDescent="0.3">
      <c r="A7909" t="s">
        <v>15</v>
      </c>
      <c r="B7909" s="1">
        <v>44699</v>
      </c>
      <c r="C7909">
        <v>1</v>
      </c>
      <c r="D7909">
        <v>55.5</v>
      </c>
      <c r="E7909">
        <v>87</v>
      </c>
    </row>
    <row r="7910" spans="1:5" x14ac:dyDescent="0.3">
      <c r="A7910" t="s">
        <v>7</v>
      </c>
      <c r="B7910" s="1">
        <v>44699</v>
      </c>
      <c r="C7910">
        <v>1</v>
      </c>
      <c r="D7910">
        <v>88.36</v>
      </c>
      <c r="E7910">
        <v>110</v>
      </c>
    </row>
    <row r="7911" spans="1:5" x14ac:dyDescent="0.3">
      <c r="A7911" t="s">
        <v>65</v>
      </c>
      <c r="B7911" s="1">
        <v>44699</v>
      </c>
      <c r="C7911">
        <v>1</v>
      </c>
      <c r="D7911">
        <v>184.07</v>
      </c>
      <c r="E7911">
        <v>216</v>
      </c>
    </row>
    <row r="7912" spans="1:5" x14ac:dyDescent="0.3">
      <c r="A7912" t="s">
        <v>36</v>
      </c>
      <c r="B7912" s="1">
        <v>44699</v>
      </c>
      <c r="C7912">
        <v>1</v>
      </c>
      <c r="D7912">
        <v>22.93</v>
      </c>
      <c r="E7912">
        <v>29</v>
      </c>
    </row>
    <row r="7913" spans="1:5" x14ac:dyDescent="0.3">
      <c r="A7913" t="s">
        <v>36</v>
      </c>
      <c r="B7913" s="1">
        <v>44699</v>
      </c>
      <c r="C7913">
        <v>1</v>
      </c>
      <c r="D7913">
        <v>22.93</v>
      </c>
      <c r="E7913">
        <v>29</v>
      </c>
    </row>
    <row r="7914" spans="1:5" x14ac:dyDescent="0.3">
      <c r="A7914" t="s">
        <v>36</v>
      </c>
      <c r="B7914" s="1">
        <v>44699</v>
      </c>
      <c r="C7914">
        <v>1</v>
      </c>
      <c r="D7914">
        <v>22.93</v>
      </c>
      <c r="E7914">
        <v>29</v>
      </c>
    </row>
    <row r="7915" spans="1:5" x14ac:dyDescent="0.3">
      <c r="A7915" t="s">
        <v>36</v>
      </c>
      <c r="B7915" s="1">
        <v>44699</v>
      </c>
      <c r="C7915">
        <v>1</v>
      </c>
      <c r="D7915">
        <v>22.93</v>
      </c>
      <c r="E7915">
        <v>29</v>
      </c>
    </row>
    <row r="7916" spans="1:5" x14ac:dyDescent="0.3">
      <c r="A7916" t="s">
        <v>36</v>
      </c>
      <c r="B7916" s="1">
        <v>44699</v>
      </c>
      <c r="C7916">
        <v>1</v>
      </c>
      <c r="D7916">
        <v>22.93</v>
      </c>
      <c r="E7916">
        <v>29</v>
      </c>
    </row>
    <row r="7917" spans="1:5" x14ac:dyDescent="0.3">
      <c r="A7917" t="s">
        <v>120</v>
      </c>
      <c r="B7917" s="1">
        <v>44699</v>
      </c>
      <c r="C7917">
        <v>1</v>
      </c>
      <c r="D7917">
        <v>132.56</v>
      </c>
      <c r="E7917">
        <v>187</v>
      </c>
    </row>
    <row r="7918" spans="1:5" x14ac:dyDescent="0.3">
      <c r="A7918" t="s">
        <v>82</v>
      </c>
      <c r="B7918" s="1">
        <v>44699</v>
      </c>
      <c r="C7918">
        <v>1</v>
      </c>
      <c r="D7918">
        <v>40.1</v>
      </c>
      <c r="E7918">
        <v>51</v>
      </c>
    </row>
    <row r="7919" spans="1:5" x14ac:dyDescent="0.3">
      <c r="A7919" t="s">
        <v>82</v>
      </c>
      <c r="B7919" s="1">
        <v>44699</v>
      </c>
      <c r="C7919">
        <v>1</v>
      </c>
      <c r="D7919">
        <v>40.1</v>
      </c>
      <c r="E7919">
        <v>51</v>
      </c>
    </row>
    <row r="7920" spans="1:5" x14ac:dyDescent="0.3">
      <c r="A7920" t="s">
        <v>82</v>
      </c>
      <c r="B7920" s="1">
        <v>44699</v>
      </c>
      <c r="C7920">
        <v>1</v>
      </c>
      <c r="D7920">
        <v>40.1</v>
      </c>
      <c r="E7920">
        <v>51</v>
      </c>
    </row>
    <row r="7921" spans="1:5" x14ac:dyDescent="0.3">
      <c r="A7921" t="s">
        <v>82</v>
      </c>
      <c r="B7921" s="1">
        <v>44699</v>
      </c>
      <c r="C7921">
        <v>1</v>
      </c>
      <c r="D7921">
        <v>40.1</v>
      </c>
      <c r="E7921">
        <v>51</v>
      </c>
    </row>
    <row r="7922" spans="1:5" x14ac:dyDescent="0.3">
      <c r="A7922" t="s">
        <v>82</v>
      </c>
      <c r="B7922" s="1">
        <v>44699</v>
      </c>
      <c r="C7922">
        <v>1</v>
      </c>
      <c r="D7922">
        <v>40.1</v>
      </c>
      <c r="E7922">
        <v>51</v>
      </c>
    </row>
    <row r="7923" spans="1:5" x14ac:dyDescent="0.3">
      <c r="A7923" t="s">
        <v>56</v>
      </c>
      <c r="B7923" s="1">
        <v>44699</v>
      </c>
      <c r="C7923">
        <v>1</v>
      </c>
      <c r="D7923">
        <v>43.86</v>
      </c>
      <c r="E7923">
        <v>67</v>
      </c>
    </row>
    <row r="7924" spans="1:5" x14ac:dyDescent="0.3">
      <c r="A7924" t="s">
        <v>101</v>
      </c>
      <c r="B7924" s="1">
        <v>44699</v>
      </c>
      <c r="C7924">
        <v>1</v>
      </c>
      <c r="D7924">
        <v>31</v>
      </c>
      <c r="E7924">
        <v>48</v>
      </c>
    </row>
    <row r="7925" spans="1:5" x14ac:dyDescent="0.3">
      <c r="A7925" t="s">
        <v>122</v>
      </c>
      <c r="B7925" s="1">
        <v>44699</v>
      </c>
      <c r="C7925">
        <v>1</v>
      </c>
      <c r="D7925">
        <v>14.52</v>
      </c>
      <c r="E7925">
        <v>15.21</v>
      </c>
    </row>
    <row r="7926" spans="1:5" x14ac:dyDescent="0.3">
      <c r="A7926" t="s">
        <v>7</v>
      </c>
      <c r="B7926" s="1">
        <v>44699</v>
      </c>
      <c r="C7926">
        <v>1</v>
      </c>
      <c r="D7926">
        <v>87.93</v>
      </c>
      <c r="E7926">
        <v>104</v>
      </c>
    </row>
    <row r="7927" spans="1:5" x14ac:dyDescent="0.3">
      <c r="A7927" t="s">
        <v>52</v>
      </c>
      <c r="B7927" s="1">
        <v>44699</v>
      </c>
      <c r="C7927">
        <v>1</v>
      </c>
      <c r="D7927">
        <v>206</v>
      </c>
      <c r="E7927">
        <v>251</v>
      </c>
    </row>
    <row r="7928" spans="1:5" x14ac:dyDescent="0.3">
      <c r="A7928" t="s">
        <v>154</v>
      </c>
      <c r="B7928" s="1">
        <v>44699</v>
      </c>
      <c r="C7928">
        <v>1</v>
      </c>
      <c r="D7928">
        <v>123.48</v>
      </c>
      <c r="E7928">
        <v>148</v>
      </c>
    </row>
    <row r="7929" spans="1:5" x14ac:dyDescent="0.3">
      <c r="A7929" t="s">
        <v>154</v>
      </c>
      <c r="B7929" s="1">
        <v>44699</v>
      </c>
      <c r="C7929">
        <v>1</v>
      </c>
      <c r="D7929">
        <v>123.48</v>
      </c>
      <c r="E7929">
        <v>148</v>
      </c>
    </row>
    <row r="7930" spans="1:5" x14ac:dyDescent="0.3">
      <c r="A7930" t="s">
        <v>154</v>
      </c>
      <c r="B7930" s="1">
        <v>44699</v>
      </c>
      <c r="C7930">
        <v>1</v>
      </c>
      <c r="D7930">
        <v>123.48</v>
      </c>
      <c r="E7930">
        <v>148</v>
      </c>
    </row>
    <row r="7931" spans="1:5" x14ac:dyDescent="0.3">
      <c r="A7931" t="s">
        <v>154</v>
      </c>
      <c r="B7931" s="1">
        <v>44699</v>
      </c>
      <c r="C7931">
        <v>1</v>
      </c>
      <c r="D7931">
        <v>123.48</v>
      </c>
      <c r="E7931">
        <v>148</v>
      </c>
    </row>
    <row r="7932" spans="1:5" x14ac:dyDescent="0.3">
      <c r="A7932" t="s">
        <v>55</v>
      </c>
      <c r="B7932" s="1">
        <v>44699</v>
      </c>
      <c r="C7932">
        <v>1</v>
      </c>
      <c r="D7932">
        <v>77.510000000000005</v>
      </c>
      <c r="E7932">
        <v>94</v>
      </c>
    </row>
    <row r="7933" spans="1:5" x14ac:dyDescent="0.3">
      <c r="A7933" t="s">
        <v>46</v>
      </c>
      <c r="B7933" s="1">
        <v>44699</v>
      </c>
      <c r="C7933">
        <v>1</v>
      </c>
      <c r="D7933">
        <v>19.420000000000002</v>
      </c>
      <c r="E7933">
        <v>24</v>
      </c>
    </row>
    <row r="7934" spans="1:5" x14ac:dyDescent="0.3">
      <c r="A7934" t="s">
        <v>46</v>
      </c>
      <c r="B7934" s="1">
        <v>44699</v>
      </c>
      <c r="C7934">
        <v>1</v>
      </c>
      <c r="D7934">
        <v>19.420000000000002</v>
      </c>
      <c r="E7934">
        <v>24</v>
      </c>
    </row>
    <row r="7935" spans="1:5" x14ac:dyDescent="0.3">
      <c r="A7935" t="s">
        <v>60</v>
      </c>
      <c r="B7935" s="1">
        <v>44699</v>
      </c>
      <c r="C7935">
        <v>1</v>
      </c>
      <c r="D7935">
        <v>58.08</v>
      </c>
      <c r="E7935">
        <v>72</v>
      </c>
    </row>
    <row r="7936" spans="1:5" x14ac:dyDescent="0.3">
      <c r="A7936" t="s">
        <v>155</v>
      </c>
      <c r="B7936" s="1">
        <v>44699</v>
      </c>
      <c r="C7936">
        <v>0.12</v>
      </c>
      <c r="D7936">
        <v>529.47</v>
      </c>
      <c r="E7936">
        <v>736</v>
      </c>
    </row>
    <row r="7937" spans="1:5" x14ac:dyDescent="0.3">
      <c r="A7937" t="s">
        <v>24</v>
      </c>
      <c r="B7937" s="1">
        <v>44699</v>
      </c>
      <c r="C7937">
        <v>1</v>
      </c>
      <c r="D7937">
        <v>106.05</v>
      </c>
      <c r="E7937">
        <v>125</v>
      </c>
    </row>
    <row r="7938" spans="1:5" x14ac:dyDescent="0.3">
      <c r="A7938" t="s">
        <v>106</v>
      </c>
      <c r="B7938" s="1">
        <v>44699</v>
      </c>
      <c r="C7938">
        <v>1</v>
      </c>
      <c r="D7938">
        <v>41.13</v>
      </c>
      <c r="E7938">
        <v>51</v>
      </c>
    </row>
    <row r="7939" spans="1:5" x14ac:dyDescent="0.3">
      <c r="A7939" t="s">
        <v>43</v>
      </c>
      <c r="B7939" s="1">
        <v>44699</v>
      </c>
      <c r="C7939">
        <v>1</v>
      </c>
      <c r="D7939">
        <v>135.9</v>
      </c>
      <c r="E7939">
        <v>163</v>
      </c>
    </row>
    <row r="7940" spans="1:5" x14ac:dyDescent="0.3">
      <c r="A7940" t="s">
        <v>45</v>
      </c>
      <c r="B7940" s="1">
        <v>44699</v>
      </c>
      <c r="C7940">
        <v>2</v>
      </c>
      <c r="D7940">
        <v>26.71</v>
      </c>
      <c r="E7940">
        <v>46</v>
      </c>
    </row>
    <row r="7941" spans="1:5" x14ac:dyDescent="0.3">
      <c r="A7941" t="s">
        <v>68</v>
      </c>
      <c r="B7941" s="1">
        <v>44699</v>
      </c>
      <c r="C7941">
        <v>1</v>
      </c>
      <c r="D7941">
        <v>59.86</v>
      </c>
      <c r="E7941">
        <v>94</v>
      </c>
    </row>
    <row r="7942" spans="1:5" x14ac:dyDescent="0.3">
      <c r="A7942" t="s">
        <v>6</v>
      </c>
      <c r="B7942" s="1">
        <v>44699</v>
      </c>
      <c r="C7942">
        <v>0.4</v>
      </c>
      <c r="D7942">
        <v>421.52</v>
      </c>
      <c r="E7942">
        <v>527</v>
      </c>
    </row>
    <row r="7943" spans="1:5" x14ac:dyDescent="0.3">
      <c r="A7943" t="s">
        <v>24</v>
      </c>
      <c r="B7943" s="1">
        <v>44699</v>
      </c>
      <c r="C7943">
        <v>1</v>
      </c>
      <c r="D7943">
        <v>107.3</v>
      </c>
      <c r="E7943">
        <v>126</v>
      </c>
    </row>
    <row r="7944" spans="1:5" x14ac:dyDescent="0.3">
      <c r="A7944" t="s">
        <v>85</v>
      </c>
      <c r="B7944" s="1">
        <v>44699</v>
      </c>
      <c r="C7944">
        <v>1</v>
      </c>
      <c r="D7944">
        <v>15.51</v>
      </c>
      <c r="E7944">
        <v>26</v>
      </c>
    </row>
    <row r="7945" spans="1:5" x14ac:dyDescent="0.3">
      <c r="A7945" t="s">
        <v>85</v>
      </c>
      <c r="B7945" s="1">
        <v>44699</v>
      </c>
      <c r="C7945">
        <v>1</v>
      </c>
      <c r="D7945">
        <v>15.51</v>
      </c>
      <c r="E7945">
        <v>26</v>
      </c>
    </row>
    <row r="7946" spans="1:5" x14ac:dyDescent="0.3">
      <c r="A7946" t="s">
        <v>19</v>
      </c>
      <c r="B7946" s="1">
        <v>44699</v>
      </c>
      <c r="C7946">
        <v>1</v>
      </c>
      <c r="D7946">
        <v>81.69</v>
      </c>
      <c r="E7946">
        <v>102</v>
      </c>
    </row>
    <row r="7947" spans="1:5" x14ac:dyDescent="0.3">
      <c r="A7947" t="s">
        <v>65</v>
      </c>
      <c r="B7947" s="1">
        <v>44699</v>
      </c>
      <c r="C7947">
        <v>1</v>
      </c>
      <c r="D7947">
        <v>184.45</v>
      </c>
      <c r="E7947">
        <v>216</v>
      </c>
    </row>
    <row r="7948" spans="1:5" x14ac:dyDescent="0.3">
      <c r="A7948" t="s">
        <v>18</v>
      </c>
      <c r="B7948" s="1">
        <v>44699</v>
      </c>
      <c r="C7948">
        <v>1</v>
      </c>
      <c r="D7948">
        <v>46</v>
      </c>
      <c r="E7948">
        <v>73</v>
      </c>
    </row>
    <row r="7949" spans="1:5" x14ac:dyDescent="0.3">
      <c r="A7949" t="s">
        <v>18</v>
      </c>
      <c r="B7949" s="1">
        <v>44699</v>
      </c>
      <c r="C7949">
        <v>1</v>
      </c>
      <c r="D7949">
        <v>46</v>
      </c>
      <c r="E7949">
        <v>73</v>
      </c>
    </row>
    <row r="7950" spans="1:5" x14ac:dyDescent="0.3">
      <c r="A7950" t="s">
        <v>18</v>
      </c>
      <c r="B7950" s="1">
        <v>44699</v>
      </c>
      <c r="C7950">
        <v>1</v>
      </c>
      <c r="D7950">
        <v>44</v>
      </c>
      <c r="E7950">
        <v>70</v>
      </c>
    </row>
    <row r="7951" spans="1:5" x14ac:dyDescent="0.3">
      <c r="A7951" t="s">
        <v>127</v>
      </c>
      <c r="B7951" s="1">
        <v>44699</v>
      </c>
      <c r="C7951">
        <v>1</v>
      </c>
      <c r="D7951">
        <v>119.8</v>
      </c>
      <c r="E7951">
        <v>165</v>
      </c>
    </row>
    <row r="7952" spans="1:5" x14ac:dyDescent="0.3">
      <c r="A7952" t="s">
        <v>5</v>
      </c>
      <c r="B7952" s="1">
        <v>44699</v>
      </c>
      <c r="C7952">
        <v>1</v>
      </c>
      <c r="D7952">
        <v>145.6</v>
      </c>
      <c r="E7952">
        <v>172</v>
      </c>
    </row>
    <row r="7953" spans="1:5" x14ac:dyDescent="0.3">
      <c r="A7953" t="s">
        <v>5</v>
      </c>
      <c r="B7953" s="1">
        <v>44699</v>
      </c>
      <c r="C7953">
        <v>1</v>
      </c>
      <c r="D7953">
        <v>145.6</v>
      </c>
      <c r="E7953">
        <v>169</v>
      </c>
    </row>
    <row r="7954" spans="1:5" x14ac:dyDescent="0.3">
      <c r="A7954" t="s">
        <v>61</v>
      </c>
      <c r="B7954" s="1">
        <v>44699</v>
      </c>
      <c r="C7954">
        <v>1</v>
      </c>
      <c r="D7954">
        <v>32.85</v>
      </c>
      <c r="E7954">
        <v>52</v>
      </c>
    </row>
    <row r="7955" spans="1:5" x14ac:dyDescent="0.3">
      <c r="A7955" t="s">
        <v>6</v>
      </c>
      <c r="B7955" s="1">
        <v>44699</v>
      </c>
      <c r="C7955">
        <v>0.4</v>
      </c>
      <c r="D7955">
        <v>421.52</v>
      </c>
      <c r="E7955">
        <v>527</v>
      </c>
    </row>
    <row r="7956" spans="1:5" x14ac:dyDescent="0.3">
      <c r="A7956" t="s">
        <v>47</v>
      </c>
      <c r="B7956" s="1">
        <v>44699</v>
      </c>
      <c r="C7956">
        <v>1</v>
      </c>
      <c r="D7956">
        <v>43.08</v>
      </c>
      <c r="E7956">
        <v>66</v>
      </c>
    </row>
    <row r="7957" spans="1:5" x14ac:dyDescent="0.3">
      <c r="A7957" t="s">
        <v>44</v>
      </c>
      <c r="B7957" s="1">
        <v>44699</v>
      </c>
      <c r="C7957">
        <v>1</v>
      </c>
      <c r="D7957">
        <v>68.88</v>
      </c>
      <c r="E7957">
        <v>109</v>
      </c>
    </row>
    <row r="7958" spans="1:5" x14ac:dyDescent="0.3">
      <c r="A7958" t="s">
        <v>95</v>
      </c>
      <c r="B7958" s="1">
        <v>44699</v>
      </c>
      <c r="C7958">
        <v>0.5</v>
      </c>
      <c r="D7958">
        <v>133.25</v>
      </c>
      <c r="E7958">
        <v>204</v>
      </c>
    </row>
    <row r="7959" spans="1:5" x14ac:dyDescent="0.3">
      <c r="A7959" t="s">
        <v>64</v>
      </c>
      <c r="B7959" s="1">
        <v>44699</v>
      </c>
      <c r="C7959">
        <v>1</v>
      </c>
      <c r="D7959">
        <v>199.69</v>
      </c>
      <c r="E7959">
        <v>270</v>
      </c>
    </row>
    <row r="7960" spans="1:5" x14ac:dyDescent="0.3">
      <c r="A7960" t="s">
        <v>114</v>
      </c>
      <c r="B7960" s="1">
        <v>44699</v>
      </c>
      <c r="C7960">
        <v>1</v>
      </c>
      <c r="D7960">
        <v>74.8</v>
      </c>
      <c r="E7960">
        <v>92</v>
      </c>
    </row>
    <row r="7961" spans="1:5" x14ac:dyDescent="0.3">
      <c r="A7961" t="s">
        <v>114</v>
      </c>
      <c r="B7961" s="1">
        <v>44699</v>
      </c>
      <c r="C7961">
        <v>1</v>
      </c>
      <c r="D7961">
        <v>74.8</v>
      </c>
      <c r="E7961">
        <v>92</v>
      </c>
    </row>
    <row r="7962" spans="1:5" x14ac:dyDescent="0.3">
      <c r="A7962" t="s">
        <v>30</v>
      </c>
      <c r="B7962" s="1">
        <v>44699</v>
      </c>
      <c r="C7962">
        <v>1</v>
      </c>
      <c r="D7962">
        <v>156.19999999999999</v>
      </c>
      <c r="E7962">
        <v>186</v>
      </c>
    </row>
    <row r="7963" spans="1:5" x14ac:dyDescent="0.3">
      <c r="A7963" t="s">
        <v>45</v>
      </c>
      <c r="B7963" s="1">
        <v>44699</v>
      </c>
      <c r="C7963">
        <v>1</v>
      </c>
      <c r="D7963">
        <v>27.94</v>
      </c>
      <c r="E7963">
        <v>45</v>
      </c>
    </row>
    <row r="7964" spans="1:5" x14ac:dyDescent="0.3">
      <c r="A7964" t="s">
        <v>54</v>
      </c>
      <c r="B7964" s="1">
        <v>44699</v>
      </c>
      <c r="C7964">
        <v>1</v>
      </c>
      <c r="D7964">
        <v>635.70000000000005</v>
      </c>
      <c r="E7964">
        <v>821</v>
      </c>
    </row>
    <row r="7965" spans="1:5" x14ac:dyDescent="0.3">
      <c r="A7965" t="s">
        <v>136</v>
      </c>
      <c r="B7965" s="1">
        <v>44699</v>
      </c>
      <c r="C7965">
        <v>1</v>
      </c>
      <c r="D7965">
        <v>320.64999999999998</v>
      </c>
      <c r="E7965">
        <v>443</v>
      </c>
    </row>
    <row r="7966" spans="1:5" x14ac:dyDescent="0.3">
      <c r="A7966" t="s">
        <v>16</v>
      </c>
      <c r="B7966" s="1">
        <v>44699</v>
      </c>
      <c r="C7966">
        <v>1</v>
      </c>
      <c r="D7966">
        <v>44.03</v>
      </c>
      <c r="E7966">
        <v>70</v>
      </c>
    </row>
    <row r="7967" spans="1:5" x14ac:dyDescent="0.3">
      <c r="A7967" t="s">
        <v>49</v>
      </c>
      <c r="B7967" s="1">
        <v>44699</v>
      </c>
      <c r="C7967">
        <v>1</v>
      </c>
      <c r="D7967">
        <v>16.25</v>
      </c>
      <c r="E7967">
        <v>20</v>
      </c>
    </row>
    <row r="7968" spans="1:5" x14ac:dyDescent="0.3">
      <c r="A7968" t="s">
        <v>49</v>
      </c>
      <c r="B7968" s="1">
        <v>44699</v>
      </c>
      <c r="C7968">
        <v>1</v>
      </c>
      <c r="D7968">
        <v>16.25</v>
      </c>
      <c r="E7968">
        <v>20</v>
      </c>
    </row>
    <row r="7969" spans="1:5" x14ac:dyDescent="0.3">
      <c r="A7969" t="s">
        <v>49</v>
      </c>
      <c r="B7969" s="1">
        <v>44699</v>
      </c>
      <c r="C7969">
        <v>1</v>
      </c>
      <c r="D7969">
        <v>16.25</v>
      </c>
      <c r="E7969">
        <v>20</v>
      </c>
    </row>
    <row r="7970" spans="1:5" x14ac:dyDescent="0.3">
      <c r="A7970" t="s">
        <v>49</v>
      </c>
      <c r="B7970" s="1">
        <v>44699</v>
      </c>
      <c r="C7970">
        <v>1</v>
      </c>
      <c r="D7970">
        <v>16.25</v>
      </c>
      <c r="E7970">
        <v>20</v>
      </c>
    </row>
    <row r="7971" spans="1:5" x14ac:dyDescent="0.3">
      <c r="A7971" t="s">
        <v>49</v>
      </c>
      <c r="B7971" s="1">
        <v>44699</v>
      </c>
      <c r="C7971">
        <v>1</v>
      </c>
      <c r="D7971">
        <v>16.25</v>
      </c>
      <c r="E7971">
        <v>20</v>
      </c>
    </row>
    <row r="7972" spans="1:5" x14ac:dyDescent="0.3">
      <c r="A7972" t="s">
        <v>49</v>
      </c>
      <c r="B7972" s="1">
        <v>44699</v>
      </c>
      <c r="C7972">
        <v>1</v>
      </c>
      <c r="D7972">
        <v>16.25</v>
      </c>
      <c r="E7972">
        <v>20</v>
      </c>
    </row>
    <row r="7973" spans="1:5" x14ac:dyDescent="0.3">
      <c r="A7973" t="s">
        <v>49</v>
      </c>
      <c r="B7973" s="1">
        <v>44699</v>
      </c>
      <c r="C7973">
        <v>1</v>
      </c>
      <c r="D7973">
        <v>16.25</v>
      </c>
      <c r="E7973">
        <v>20</v>
      </c>
    </row>
    <row r="7974" spans="1:5" x14ac:dyDescent="0.3">
      <c r="A7974" t="s">
        <v>49</v>
      </c>
      <c r="B7974" s="1">
        <v>44699</v>
      </c>
      <c r="C7974">
        <v>1</v>
      </c>
      <c r="D7974">
        <v>16.25</v>
      </c>
      <c r="E7974">
        <v>20</v>
      </c>
    </row>
    <row r="7975" spans="1:5" x14ac:dyDescent="0.3">
      <c r="A7975" t="s">
        <v>49</v>
      </c>
      <c r="B7975" s="1">
        <v>44699</v>
      </c>
      <c r="C7975">
        <v>1</v>
      </c>
      <c r="D7975">
        <v>16.25</v>
      </c>
      <c r="E7975">
        <v>20</v>
      </c>
    </row>
    <row r="7976" spans="1:5" x14ac:dyDescent="0.3">
      <c r="A7976" t="s">
        <v>49</v>
      </c>
      <c r="B7976" s="1">
        <v>44699</v>
      </c>
      <c r="C7976">
        <v>1</v>
      </c>
      <c r="D7976">
        <v>16.25</v>
      </c>
      <c r="E7976">
        <v>20</v>
      </c>
    </row>
    <row r="7977" spans="1:5" x14ac:dyDescent="0.3">
      <c r="A7977" t="s">
        <v>152</v>
      </c>
      <c r="B7977" s="1">
        <v>44699</v>
      </c>
      <c r="C7977">
        <v>1</v>
      </c>
      <c r="D7977">
        <v>109.67</v>
      </c>
      <c r="E7977">
        <v>138</v>
      </c>
    </row>
    <row r="7978" spans="1:5" x14ac:dyDescent="0.3">
      <c r="A7978" t="s">
        <v>110</v>
      </c>
      <c r="B7978" s="1">
        <v>44699</v>
      </c>
      <c r="C7978">
        <v>1</v>
      </c>
      <c r="D7978">
        <v>208.48</v>
      </c>
      <c r="E7978">
        <v>292</v>
      </c>
    </row>
    <row r="7979" spans="1:5" x14ac:dyDescent="0.3">
      <c r="A7979" t="s">
        <v>8</v>
      </c>
      <c r="B7979" s="1">
        <v>44699</v>
      </c>
      <c r="C7979">
        <v>1</v>
      </c>
      <c r="D7979">
        <v>47.83</v>
      </c>
      <c r="E7979">
        <v>77</v>
      </c>
    </row>
    <row r="7980" spans="1:5" x14ac:dyDescent="0.3">
      <c r="A7980" t="s">
        <v>156</v>
      </c>
      <c r="B7980" s="1">
        <v>44699</v>
      </c>
      <c r="C7980">
        <v>1</v>
      </c>
      <c r="D7980">
        <v>248.25</v>
      </c>
      <c r="E7980">
        <v>348</v>
      </c>
    </row>
    <row r="7981" spans="1:5" x14ac:dyDescent="0.3">
      <c r="A7981" t="s">
        <v>156</v>
      </c>
      <c r="B7981" s="1">
        <v>44699</v>
      </c>
      <c r="C7981">
        <v>1</v>
      </c>
      <c r="D7981">
        <v>248.25</v>
      </c>
      <c r="E7981">
        <v>348</v>
      </c>
    </row>
    <row r="7982" spans="1:5" x14ac:dyDescent="0.3">
      <c r="A7982" t="s">
        <v>145</v>
      </c>
      <c r="B7982" s="1">
        <v>44699</v>
      </c>
      <c r="C7982">
        <v>1</v>
      </c>
      <c r="D7982">
        <v>25.3</v>
      </c>
      <c r="E7982">
        <v>31</v>
      </c>
    </row>
    <row r="7983" spans="1:5" x14ac:dyDescent="0.3">
      <c r="A7983" t="s">
        <v>8</v>
      </c>
      <c r="B7983" s="1">
        <v>44699</v>
      </c>
      <c r="C7983">
        <v>1</v>
      </c>
      <c r="D7983">
        <v>47.03</v>
      </c>
      <c r="E7983">
        <v>76</v>
      </c>
    </row>
    <row r="7984" spans="1:5" x14ac:dyDescent="0.3">
      <c r="A7984" t="s">
        <v>47</v>
      </c>
      <c r="B7984" s="1">
        <v>44699</v>
      </c>
      <c r="C7984">
        <v>1</v>
      </c>
      <c r="D7984">
        <v>42.85</v>
      </c>
      <c r="E7984">
        <v>67</v>
      </c>
    </row>
    <row r="7985" spans="1:5" x14ac:dyDescent="0.3">
      <c r="A7985" t="s">
        <v>47</v>
      </c>
      <c r="B7985" s="1">
        <v>44699</v>
      </c>
      <c r="C7985">
        <v>1</v>
      </c>
      <c r="D7985">
        <v>42.85</v>
      </c>
      <c r="E7985">
        <v>67</v>
      </c>
    </row>
    <row r="7986" spans="1:5" x14ac:dyDescent="0.3">
      <c r="A7986" t="s">
        <v>116</v>
      </c>
      <c r="B7986" s="1">
        <v>44699</v>
      </c>
      <c r="C7986">
        <v>1</v>
      </c>
      <c r="D7986">
        <v>101.97</v>
      </c>
      <c r="E7986">
        <v>123</v>
      </c>
    </row>
    <row r="7987" spans="1:5" x14ac:dyDescent="0.3">
      <c r="A7987" t="s">
        <v>90</v>
      </c>
      <c r="B7987" s="1">
        <v>44699</v>
      </c>
      <c r="C7987">
        <v>1</v>
      </c>
      <c r="D7987">
        <v>384.2</v>
      </c>
      <c r="E7987">
        <v>473</v>
      </c>
    </row>
    <row r="7988" spans="1:5" x14ac:dyDescent="0.3">
      <c r="A7988" t="s">
        <v>66</v>
      </c>
      <c r="B7988" s="1">
        <v>44699</v>
      </c>
      <c r="C7988">
        <v>1</v>
      </c>
      <c r="D7988">
        <v>30.6</v>
      </c>
      <c r="E7988">
        <v>36</v>
      </c>
    </row>
    <row r="7989" spans="1:5" x14ac:dyDescent="0.3">
      <c r="A7989" t="s">
        <v>66</v>
      </c>
      <c r="B7989" s="1">
        <v>44699</v>
      </c>
      <c r="C7989">
        <v>1</v>
      </c>
      <c r="D7989">
        <v>30.6</v>
      </c>
      <c r="E7989">
        <v>36</v>
      </c>
    </row>
    <row r="7990" spans="1:5" x14ac:dyDescent="0.3">
      <c r="A7990" t="s">
        <v>66</v>
      </c>
      <c r="B7990" s="1">
        <v>44699</v>
      </c>
      <c r="C7990">
        <v>1</v>
      </c>
      <c r="D7990">
        <v>30.6</v>
      </c>
      <c r="E7990">
        <v>36</v>
      </c>
    </row>
    <row r="7991" spans="1:5" x14ac:dyDescent="0.3">
      <c r="A7991" t="s">
        <v>76</v>
      </c>
      <c r="B7991" s="1">
        <v>44699</v>
      </c>
      <c r="C7991">
        <v>1</v>
      </c>
      <c r="D7991">
        <v>30.9</v>
      </c>
      <c r="E7991">
        <v>39</v>
      </c>
    </row>
    <row r="7992" spans="1:5" x14ac:dyDescent="0.3">
      <c r="A7992" t="s">
        <v>52</v>
      </c>
      <c r="B7992" s="1">
        <v>44699</v>
      </c>
      <c r="C7992">
        <v>1</v>
      </c>
      <c r="D7992">
        <v>202.48</v>
      </c>
      <c r="E7992">
        <v>243</v>
      </c>
    </row>
    <row r="7993" spans="1:5" x14ac:dyDescent="0.3">
      <c r="A7993" t="s">
        <v>160</v>
      </c>
      <c r="B7993" s="1">
        <v>44699</v>
      </c>
      <c r="C7993">
        <v>1</v>
      </c>
      <c r="D7993">
        <v>80.73</v>
      </c>
      <c r="E7993">
        <v>100</v>
      </c>
    </row>
    <row r="7994" spans="1:5" x14ac:dyDescent="0.3">
      <c r="A7994" t="s">
        <v>40</v>
      </c>
      <c r="B7994" s="1">
        <v>44699</v>
      </c>
      <c r="C7994">
        <v>1</v>
      </c>
      <c r="D7994">
        <v>172.76</v>
      </c>
      <c r="E7994">
        <v>207</v>
      </c>
    </row>
    <row r="7995" spans="1:5" x14ac:dyDescent="0.3">
      <c r="A7995" t="s">
        <v>37</v>
      </c>
      <c r="B7995" s="1">
        <v>44699</v>
      </c>
      <c r="C7995">
        <v>1</v>
      </c>
      <c r="D7995">
        <v>36.86</v>
      </c>
      <c r="E7995">
        <v>47</v>
      </c>
    </row>
    <row r="7996" spans="1:5" x14ac:dyDescent="0.3">
      <c r="A7996" t="s">
        <v>37</v>
      </c>
      <c r="B7996" s="1">
        <v>44699</v>
      </c>
      <c r="C7996">
        <v>1</v>
      </c>
      <c r="D7996">
        <v>36.86</v>
      </c>
      <c r="E7996">
        <v>47</v>
      </c>
    </row>
    <row r="7997" spans="1:5" x14ac:dyDescent="0.3">
      <c r="A7997" t="s">
        <v>37</v>
      </c>
      <c r="B7997" s="1">
        <v>44699</v>
      </c>
      <c r="C7997">
        <v>1</v>
      </c>
      <c r="D7997">
        <v>36.86</v>
      </c>
      <c r="E7997">
        <v>47</v>
      </c>
    </row>
    <row r="7998" spans="1:5" x14ac:dyDescent="0.3">
      <c r="A7998" t="s">
        <v>37</v>
      </c>
      <c r="B7998" s="1">
        <v>44699</v>
      </c>
      <c r="C7998">
        <v>1</v>
      </c>
      <c r="D7998">
        <v>36.86</v>
      </c>
      <c r="E7998">
        <v>47</v>
      </c>
    </row>
    <row r="7999" spans="1:5" x14ac:dyDescent="0.3">
      <c r="A7999" t="s">
        <v>37</v>
      </c>
      <c r="B7999" s="1">
        <v>44699</v>
      </c>
      <c r="C7999">
        <v>1</v>
      </c>
      <c r="D7999">
        <v>36.86</v>
      </c>
      <c r="E7999">
        <v>47</v>
      </c>
    </row>
    <row r="8000" spans="1:5" x14ac:dyDescent="0.3">
      <c r="A8000" t="s">
        <v>37</v>
      </c>
      <c r="B8000" s="1">
        <v>44699</v>
      </c>
      <c r="C8000">
        <v>1</v>
      </c>
      <c r="D8000">
        <v>36.86</v>
      </c>
      <c r="E8000">
        <v>47</v>
      </c>
    </row>
    <row r="8001" spans="1:5" x14ac:dyDescent="0.3">
      <c r="A8001" t="s">
        <v>38</v>
      </c>
      <c r="B8001" s="1">
        <v>44699</v>
      </c>
      <c r="C8001">
        <v>1</v>
      </c>
      <c r="D8001">
        <v>22.31</v>
      </c>
      <c r="E8001">
        <v>35</v>
      </c>
    </row>
    <row r="8002" spans="1:5" x14ac:dyDescent="0.3">
      <c r="A8002" t="s">
        <v>38</v>
      </c>
      <c r="B8002" s="1">
        <v>44699</v>
      </c>
      <c r="C8002">
        <v>1</v>
      </c>
      <c r="D8002">
        <v>22.31</v>
      </c>
      <c r="E8002">
        <v>35</v>
      </c>
    </row>
    <row r="8003" spans="1:5" x14ac:dyDescent="0.3">
      <c r="A8003" t="s">
        <v>38</v>
      </c>
      <c r="B8003" s="1">
        <v>44699</v>
      </c>
      <c r="C8003">
        <v>1</v>
      </c>
      <c r="D8003">
        <v>22.31</v>
      </c>
      <c r="E8003">
        <v>35</v>
      </c>
    </row>
    <row r="8004" spans="1:5" x14ac:dyDescent="0.3">
      <c r="A8004" t="s">
        <v>38</v>
      </c>
      <c r="B8004" s="1">
        <v>44699</v>
      </c>
      <c r="C8004">
        <v>1</v>
      </c>
      <c r="D8004">
        <v>22.31</v>
      </c>
      <c r="E8004">
        <v>35</v>
      </c>
    </row>
    <row r="8005" spans="1:5" x14ac:dyDescent="0.3">
      <c r="A8005" t="s">
        <v>38</v>
      </c>
      <c r="B8005" s="1">
        <v>44699</v>
      </c>
      <c r="C8005">
        <v>1</v>
      </c>
      <c r="D8005">
        <v>22.31</v>
      </c>
      <c r="E8005">
        <v>35</v>
      </c>
    </row>
    <row r="8006" spans="1:5" x14ac:dyDescent="0.3">
      <c r="A8006" t="s">
        <v>38</v>
      </c>
      <c r="B8006" s="1">
        <v>44699</v>
      </c>
      <c r="C8006">
        <v>1</v>
      </c>
      <c r="D8006">
        <v>22.31</v>
      </c>
      <c r="E8006">
        <v>35</v>
      </c>
    </row>
    <row r="8007" spans="1:5" x14ac:dyDescent="0.3">
      <c r="A8007" t="s">
        <v>24</v>
      </c>
      <c r="B8007" s="1">
        <v>44699</v>
      </c>
      <c r="C8007">
        <v>1</v>
      </c>
      <c r="D8007">
        <v>103.96</v>
      </c>
      <c r="E8007">
        <v>125</v>
      </c>
    </row>
    <row r="8008" spans="1:5" x14ac:dyDescent="0.3">
      <c r="A8008" t="s">
        <v>78</v>
      </c>
      <c r="B8008" s="1">
        <v>44699</v>
      </c>
      <c r="C8008">
        <v>1</v>
      </c>
      <c r="D8008">
        <v>72.11</v>
      </c>
      <c r="E8008">
        <v>91</v>
      </c>
    </row>
    <row r="8009" spans="1:5" x14ac:dyDescent="0.3">
      <c r="A8009" t="s">
        <v>119</v>
      </c>
      <c r="B8009" s="1">
        <v>44699</v>
      </c>
      <c r="C8009">
        <v>3.5714299999999997E-2</v>
      </c>
      <c r="D8009">
        <v>642</v>
      </c>
      <c r="E8009">
        <v>708</v>
      </c>
    </row>
    <row r="8010" spans="1:5" x14ac:dyDescent="0.3">
      <c r="A8010" t="s">
        <v>78</v>
      </c>
      <c r="B8010" s="1">
        <v>44699</v>
      </c>
      <c r="C8010">
        <v>1</v>
      </c>
      <c r="D8010">
        <v>72.11</v>
      </c>
      <c r="E8010">
        <v>91</v>
      </c>
    </row>
    <row r="8011" spans="1:5" x14ac:dyDescent="0.3">
      <c r="A8011" t="s">
        <v>78</v>
      </c>
      <c r="B8011" s="1">
        <v>44699</v>
      </c>
      <c r="C8011">
        <v>1</v>
      </c>
      <c r="D8011">
        <v>72.11</v>
      </c>
      <c r="E8011">
        <v>91</v>
      </c>
    </row>
    <row r="8012" spans="1:5" x14ac:dyDescent="0.3">
      <c r="A8012" t="s">
        <v>79</v>
      </c>
      <c r="B8012" s="1">
        <v>44699</v>
      </c>
      <c r="C8012">
        <v>1</v>
      </c>
      <c r="D8012">
        <v>148.5</v>
      </c>
      <c r="E8012">
        <v>177</v>
      </c>
    </row>
    <row r="8013" spans="1:5" x14ac:dyDescent="0.3">
      <c r="A8013" t="s">
        <v>59</v>
      </c>
      <c r="B8013" s="1">
        <v>44699</v>
      </c>
      <c r="C8013">
        <v>2</v>
      </c>
      <c r="D8013">
        <v>14.14</v>
      </c>
      <c r="E8013">
        <v>23</v>
      </c>
    </row>
    <row r="8014" spans="1:5" x14ac:dyDescent="0.3">
      <c r="A8014" t="s">
        <v>58</v>
      </c>
      <c r="B8014" s="1">
        <v>44699</v>
      </c>
      <c r="C8014">
        <v>1</v>
      </c>
      <c r="D8014">
        <v>83.29</v>
      </c>
      <c r="E8014">
        <v>100</v>
      </c>
    </row>
    <row r="8015" spans="1:5" x14ac:dyDescent="0.3">
      <c r="A8015" t="s">
        <v>141</v>
      </c>
      <c r="B8015" s="1">
        <v>44699</v>
      </c>
      <c r="C8015">
        <v>3</v>
      </c>
      <c r="D8015">
        <v>14.69</v>
      </c>
      <c r="E8015">
        <v>26</v>
      </c>
    </row>
    <row r="8016" spans="1:5" x14ac:dyDescent="0.3">
      <c r="A8016" t="s">
        <v>91</v>
      </c>
      <c r="B8016" s="1">
        <v>44699</v>
      </c>
      <c r="C8016">
        <v>1</v>
      </c>
      <c r="D8016">
        <v>36.51</v>
      </c>
      <c r="E8016">
        <v>63</v>
      </c>
    </row>
    <row r="8017" spans="1:5" x14ac:dyDescent="0.3">
      <c r="A8017" t="s">
        <v>115</v>
      </c>
      <c r="B8017" s="1">
        <v>44699</v>
      </c>
      <c r="C8017">
        <v>1</v>
      </c>
      <c r="D8017">
        <v>71.02</v>
      </c>
      <c r="E8017">
        <v>88</v>
      </c>
    </row>
    <row r="8018" spans="1:5" x14ac:dyDescent="0.3">
      <c r="A8018" t="s">
        <v>99</v>
      </c>
      <c r="B8018" s="1">
        <v>44699</v>
      </c>
      <c r="C8018">
        <v>1</v>
      </c>
      <c r="D8018">
        <v>64.25</v>
      </c>
      <c r="E8018">
        <v>76</v>
      </c>
    </row>
    <row r="8019" spans="1:5" x14ac:dyDescent="0.3">
      <c r="A8019" t="s">
        <v>95</v>
      </c>
      <c r="B8019" s="1">
        <v>44699</v>
      </c>
      <c r="C8019">
        <v>1</v>
      </c>
      <c r="D8019">
        <v>130.65</v>
      </c>
      <c r="E8019">
        <v>199</v>
      </c>
    </row>
    <row r="8020" spans="1:5" x14ac:dyDescent="0.3">
      <c r="A8020" t="s">
        <v>91</v>
      </c>
      <c r="B8020" s="1">
        <v>44699</v>
      </c>
      <c r="C8020">
        <v>1</v>
      </c>
      <c r="D8020">
        <v>35.340000000000003</v>
      </c>
      <c r="E8020">
        <v>58</v>
      </c>
    </row>
    <row r="8021" spans="1:5" x14ac:dyDescent="0.3">
      <c r="A8021" t="s">
        <v>98</v>
      </c>
      <c r="B8021" s="1">
        <v>44699</v>
      </c>
      <c r="C8021">
        <v>1</v>
      </c>
      <c r="D8021">
        <v>110.84</v>
      </c>
      <c r="E8021">
        <v>134</v>
      </c>
    </row>
    <row r="8022" spans="1:5" x14ac:dyDescent="0.3">
      <c r="A8022" t="s">
        <v>25</v>
      </c>
      <c r="B8022" s="1">
        <v>44699</v>
      </c>
      <c r="C8022">
        <v>1</v>
      </c>
      <c r="D8022">
        <v>151.22</v>
      </c>
      <c r="E8022">
        <v>181</v>
      </c>
    </row>
    <row r="8023" spans="1:5" x14ac:dyDescent="0.3">
      <c r="A8023" t="s">
        <v>105</v>
      </c>
      <c r="B8023" s="1">
        <v>44699</v>
      </c>
      <c r="C8023">
        <v>1</v>
      </c>
      <c r="D8023">
        <v>27.69</v>
      </c>
      <c r="E8023">
        <v>45</v>
      </c>
    </row>
    <row r="8024" spans="1:5" x14ac:dyDescent="0.3">
      <c r="A8024" t="s">
        <v>149</v>
      </c>
      <c r="B8024" s="1">
        <v>44699</v>
      </c>
      <c r="C8024">
        <v>1</v>
      </c>
      <c r="D8024">
        <v>206.79</v>
      </c>
      <c r="E8024">
        <v>273</v>
      </c>
    </row>
    <row r="8025" spans="1:5" x14ac:dyDescent="0.3">
      <c r="A8025" t="s">
        <v>124</v>
      </c>
      <c r="B8025" s="1">
        <v>44699</v>
      </c>
      <c r="C8025">
        <v>1</v>
      </c>
      <c r="D8025">
        <v>42.85</v>
      </c>
      <c r="E8025">
        <v>70</v>
      </c>
    </row>
    <row r="8026" spans="1:5" x14ac:dyDescent="0.3">
      <c r="A8026" t="s">
        <v>155</v>
      </c>
      <c r="B8026" s="1">
        <v>44699</v>
      </c>
      <c r="C8026">
        <v>0.2</v>
      </c>
      <c r="D8026">
        <v>498.53</v>
      </c>
      <c r="E8026">
        <v>698</v>
      </c>
    </row>
    <row r="8027" spans="1:5" x14ac:dyDescent="0.3">
      <c r="A8027" t="s">
        <v>90</v>
      </c>
      <c r="B8027" s="1">
        <v>44699</v>
      </c>
      <c r="C8027">
        <v>1</v>
      </c>
      <c r="D8027">
        <v>384.2</v>
      </c>
      <c r="E8027">
        <v>462</v>
      </c>
    </row>
    <row r="8028" spans="1:5" x14ac:dyDescent="0.3">
      <c r="A8028" t="s">
        <v>124</v>
      </c>
      <c r="B8028" s="1">
        <v>44699</v>
      </c>
      <c r="C8028">
        <v>1</v>
      </c>
      <c r="D8028">
        <v>36.75</v>
      </c>
      <c r="E8028">
        <v>59</v>
      </c>
    </row>
    <row r="8029" spans="1:5" x14ac:dyDescent="0.3">
      <c r="A8029" t="s">
        <v>96</v>
      </c>
      <c r="B8029" s="1">
        <v>44699</v>
      </c>
      <c r="C8029">
        <v>1</v>
      </c>
      <c r="D8029">
        <v>96</v>
      </c>
      <c r="E8029">
        <v>96</v>
      </c>
    </row>
    <row r="8030" spans="1:5" x14ac:dyDescent="0.3">
      <c r="A8030" t="s">
        <v>147</v>
      </c>
      <c r="B8030" s="1">
        <v>44699</v>
      </c>
      <c r="C8030">
        <v>1</v>
      </c>
      <c r="D8030">
        <v>135.01</v>
      </c>
      <c r="E8030">
        <v>191</v>
      </c>
    </row>
    <row r="8031" spans="1:5" x14ac:dyDescent="0.3">
      <c r="A8031" t="s">
        <v>146</v>
      </c>
      <c r="B8031" s="1">
        <v>44699</v>
      </c>
      <c r="C8031">
        <v>1</v>
      </c>
      <c r="D8031">
        <v>402.2</v>
      </c>
      <c r="E8031">
        <v>451</v>
      </c>
    </row>
    <row r="8032" spans="1:5" x14ac:dyDescent="0.3">
      <c r="A8032" t="s">
        <v>38</v>
      </c>
      <c r="B8032" s="1">
        <v>44699</v>
      </c>
      <c r="C8032">
        <v>1</v>
      </c>
      <c r="D8032">
        <v>44.3</v>
      </c>
      <c r="E8032">
        <v>70</v>
      </c>
    </row>
    <row r="8033" spans="1:5" x14ac:dyDescent="0.3">
      <c r="A8033" t="s">
        <v>38</v>
      </c>
      <c r="B8033" s="1">
        <v>44699</v>
      </c>
      <c r="C8033">
        <v>1</v>
      </c>
      <c r="D8033">
        <v>44.3</v>
      </c>
      <c r="E8033">
        <v>70</v>
      </c>
    </row>
    <row r="8034" spans="1:5" x14ac:dyDescent="0.3">
      <c r="A8034" t="s">
        <v>38</v>
      </c>
      <c r="B8034" s="1">
        <v>44699</v>
      </c>
      <c r="C8034">
        <v>1</v>
      </c>
      <c r="D8034">
        <v>44.3</v>
      </c>
      <c r="E8034">
        <v>70</v>
      </c>
    </row>
    <row r="8035" spans="1:5" x14ac:dyDescent="0.3">
      <c r="A8035" t="s">
        <v>45</v>
      </c>
      <c r="B8035" s="1">
        <v>44699</v>
      </c>
      <c r="C8035">
        <v>5</v>
      </c>
      <c r="D8035">
        <v>27.94</v>
      </c>
      <c r="E8035">
        <v>45</v>
      </c>
    </row>
    <row r="8036" spans="1:5" x14ac:dyDescent="0.3">
      <c r="A8036" t="s">
        <v>122</v>
      </c>
      <c r="B8036" s="1">
        <v>44699</v>
      </c>
      <c r="C8036">
        <v>1</v>
      </c>
      <c r="D8036">
        <v>21.23</v>
      </c>
      <c r="E8036">
        <v>26</v>
      </c>
    </row>
    <row r="8037" spans="1:5" x14ac:dyDescent="0.3">
      <c r="A8037" t="s">
        <v>125</v>
      </c>
      <c r="B8037" s="1">
        <v>44699</v>
      </c>
      <c r="C8037">
        <v>1</v>
      </c>
      <c r="D8037">
        <v>334.02</v>
      </c>
      <c r="E8037">
        <v>441</v>
      </c>
    </row>
    <row r="8038" spans="1:5" x14ac:dyDescent="0.3">
      <c r="A8038" t="s">
        <v>131</v>
      </c>
      <c r="B8038" s="1">
        <v>44699</v>
      </c>
      <c r="C8038">
        <v>1</v>
      </c>
      <c r="D8038">
        <v>361.8</v>
      </c>
      <c r="E8038">
        <v>478</v>
      </c>
    </row>
    <row r="8039" spans="1:5" x14ac:dyDescent="0.3">
      <c r="A8039" t="s">
        <v>146</v>
      </c>
      <c r="B8039" s="1">
        <v>44699</v>
      </c>
      <c r="C8039">
        <v>1</v>
      </c>
      <c r="D8039">
        <v>406.36</v>
      </c>
      <c r="E8039">
        <v>456</v>
      </c>
    </row>
    <row r="8040" spans="1:5" x14ac:dyDescent="0.3">
      <c r="A8040" t="s">
        <v>157</v>
      </c>
      <c r="B8040" s="1">
        <v>44699</v>
      </c>
      <c r="C8040">
        <v>1</v>
      </c>
      <c r="D8040">
        <v>12</v>
      </c>
      <c r="E8040">
        <v>20</v>
      </c>
    </row>
    <row r="8041" spans="1:5" x14ac:dyDescent="0.3">
      <c r="A8041" t="s">
        <v>75</v>
      </c>
      <c r="B8041" s="1">
        <v>44699</v>
      </c>
      <c r="C8041">
        <v>0.2</v>
      </c>
      <c r="D8041">
        <v>438.61</v>
      </c>
      <c r="E8041">
        <v>615</v>
      </c>
    </row>
    <row r="8042" spans="1:5" x14ac:dyDescent="0.3">
      <c r="A8042" t="s">
        <v>8</v>
      </c>
      <c r="B8042" s="1">
        <v>44699</v>
      </c>
      <c r="C8042">
        <v>1</v>
      </c>
      <c r="D8042">
        <v>47.53</v>
      </c>
      <c r="E8042">
        <v>77</v>
      </c>
    </row>
    <row r="8043" spans="1:5" x14ac:dyDescent="0.3">
      <c r="A8043" t="s">
        <v>14</v>
      </c>
      <c r="B8043" s="1">
        <v>44699</v>
      </c>
      <c r="C8043">
        <v>0.2</v>
      </c>
      <c r="D8043">
        <v>596.29</v>
      </c>
      <c r="E8043">
        <v>746</v>
      </c>
    </row>
    <row r="8044" spans="1:5" x14ac:dyDescent="0.3">
      <c r="A8044" t="s">
        <v>77</v>
      </c>
      <c r="B8044" s="1">
        <v>44699</v>
      </c>
      <c r="C8044">
        <v>1</v>
      </c>
      <c r="D8044">
        <v>60.3</v>
      </c>
      <c r="E8044">
        <v>75</v>
      </c>
    </row>
    <row r="8045" spans="1:5" x14ac:dyDescent="0.3">
      <c r="A8045" t="s">
        <v>143</v>
      </c>
      <c r="B8045" s="1">
        <v>44699</v>
      </c>
      <c r="C8045">
        <v>1</v>
      </c>
      <c r="D8045">
        <v>46.01</v>
      </c>
      <c r="E8045">
        <v>70</v>
      </c>
    </row>
    <row r="8046" spans="1:5" x14ac:dyDescent="0.3">
      <c r="A8046" t="s">
        <v>45</v>
      </c>
      <c r="B8046" s="1">
        <v>44699</v>
      </c>
      <c r="C8046">
        <v>1</v>
      </c>
      <c r="D8046">
        <v>26.71</v>
      </c>
      <c r="E8046">
        <v>46</v>
      </c>
    </row>
    <row r="8047" spans="1:5" x14ac:dyDescent="0.3">
      <c r="A8047" t="s">
        <v>83</v>
      </c>
      <c r="B8047" s="1">
        <v>44699</v>
      </c>
      <c r="C8047">
        <v>1</v>
      </c>
      <c r="D8047">
        <v>207.76</v>
      </c>
      <c r="E8047">
        <v>246</v>
      </c>
    </row>
    <row r="8048" spans="1:5" x14ac:dyDescent="0.3">
      <c r="A8048" t="s">
        <v>57</v>
      </c>
      <c r="B8048" s="1">
        <v>44699</v>
      </c>
      <c r="C8048">
        <v>1</v>
      </c>
      <c r="D8048">
        <v>233.74</v>
      </c>
      <c r="E8048">
        <v>262</v>
      </c>
    </row>
    <row r="8049" spans="1:5" x14ac:dyDescent="0.3">
      <c r="A8049" t="s">
        <v>135</v>
      </c>
      <c r="B8049" s="1">
        <v>44699</v>
      </c>
      <c r="C8049">
        <v>1</v>
      </c>
      <c r="D8049">
        <v>73.5</v>
      </c>
      <c r="E8049">
        <v>91</v>
      </c>
    </row>
    <row r="8050" spans="1:5" x14ac:dyDescent="0.3">
      <c r="A8050" t="s">
        <v>103</v>
      </c>
      <c r="B8050" s="1">
        <v>44699</v>
      </c>
      <c r="C8050">
        <v>1</v>
      </c>
      <c r="D8050">
        <v>41.33</v>
      </c>
      <c r="E8050">
        <v>65</v>
      </c>
    </row>
    <row r="8051" spans="1:5" x14ac:dyDescent="0.3">
      <c r="A8051" t="s">
        <v>7</v>
      </c>
      <c r="B8051" s="1">
        <v>44699</v>
      </c>
      <c r="C8051">
        <v>1</v>
      </c>
      <c r="D8051">
        <v>89.27</v>
      </c>
      <c r="E8051">
        <v>113</v>
      </c>
    </row>
    <row r="8052" spans="1:5" x14ac:dyDescent="0.3">
      <c r="A8052" t="s">
        <v>138</v>
      </c>
      <c r="B8052" s="1">
        <v>44699</v>
      </c>
      <c r="C8052">
        <v>1</v>
      </c>
      <c r="D8052">
        <v>46.5</v>
      </c>
      <c r="E8052">
        <v>75</v>
      </c>
    </row>
    <row r="8053" spans="1:5" x14ac:dyDescent="0.3">
      <c r="A8053" t="s">
        <v>45</v>
      </c>
      <c r="B8053" s="1">
        <v>44699</v>
      </c>
      <c r="C8053">
        <v>1</v>
      </c>
      <c r="D8053">
        <v>27.94</v>
      </c>
      <c r="E8053">
        <v>45</v>
      </c>
    </row>
    <row r="8054" spans="1:5" x14ac:dyDescent="0.3">
      <c r="A8054" t="s">
        <v>133</v>
      </c>
      <c r="B8054" s="1">
        <v>44699</v>
      </c>
      <c r="C8054">
        <v>5</v>
      </c>
      <c r="D8054">
        <v>5.0999999999999996</v>
      </c>
      <c r="E8054">
        <v>9</v>
      </c>
    </row>
    <row r="8055" spans="1:5" x14ac:dyDescent="0.3">
      <c r="A8055" t="s">
        <v>133</v>
      </c>
      <c r="B8055" s="1">
        <v>44699</v>
      </c>
      <c r="C8055">
        <v>5</v>
      </c>
      <c r="D8055">
        <v>5.56</v>
      </c>
      <c r="E8055">
        <v>9</v>
      </c>
    </row>
    <row r="8056" spans="1:5" x14ac:dyDescent="0.3">
      <c r="A8056" t="s">
        <v>7</v>
      </c>
      <c r="B8056" s="1">
        <v>44699</v>
      </c>
      <c r="C8056">
        <v>1</v>
      </c>
      <c r="D8056">
        <v>87.75</v>
      </c>
      <c r="E8056">
        <v>109</v>
      </c>
    </row>
    <row r="8057" spans="1:5" x14ac:dyDescent="0.3">
      <c r="A8057" t="s">
        <v>45</v>
      </c>
      <c r="B8057" s="1">
        <v>44699</v>
      </c>
      <c r="C8057">
        <v>1</v>
      </c>
      <c r="D8057">
        <v>33.07</v>
      </c>
      <c r="E8057">
        <v>54</v>
      </c>
    </row>
    <row r="8058" spans="1:5" x14ac:dyDescent="0.3">
      <c r="A8058" t="s">
        <v>21</v>
      </c>
      <c r="B8058" s="1">
        <v>44699</v>
      </c>
      <c r="C8058">
        <v>1</v>
      </c>
      <c r="D8058">
        <v>185.31</v>
      </c>
      <c r="E8058">
        <v>269</v>
      </c>
    </row>
    <row r="8059" spans="1:5" x14ac:dyDescent="0.3">
      <c r="A8059" t="s">
        <v>21</v>
      </c>
      <c r="B8059" s="1">
        <v>44699</v>
      </c>
      <c r="C8059">
        <v>1</v>
      </c>
      <c r="D8059">
        <v>182.55</v>
      </c>
      <c r="E8059">
        <v>251</v>
      </c>
    </row>
    <row r="8060" spans="1:5" x14ac:dyDescent="0.3">
      <c r="A8060" t="s">
        <v>15</v>
      </c>
      <c r="B8060" s="1">
        <v>44699</v>
      </c>
      <c r="C8060">
        <v>1</v>
      </c>
      <c r="D8060">
        <v>55.5</v>
      </c>
      <c r="E8060">
        <v>87</v>
      </c>
    </row>
    <row r="8061" spans="1:5" x14ac:dyDescent="0.3">
      <c r="A8061" t="s">
        <v>48</v>
      </c>
      <c r="B8061" s="1">
        <v>44699</v>
      </c>
      <c r="C8061">
        <v>1</v>
      </c>
      <c r="D8061">
        <v>38.67</v>
      </c>
      <c r="E8061">
        <v>59</v>
      </c>
    </row>
    <row r="8062" spans="1:5" x14ac:dyDescent="0.3">
      <c r="A8062" t="s">
        <v>77</v>
      </c>
      <c r="B8062" s="1">
        <v>44699</v>
      </c>
      <c r="C8062">
        <v>1</v>
      </c>
      <c r="D8062">
        <v>60.3</v>
      </c>
      <c r="E8062">
        <v>75</v>
      </c>
    </row>
    <row r="8063" spans="1:5" x14ac:dyDescent="0.3">
      <c r="A8063" t="s">
        <v>141</v>
      </c>
      <c r="B8063" s="1">
        <v>44699</v>
      </c>
      <c r="C8063">
        <v>1</v>
      </c>
      <c r="D8063">
        <v>10.76</v>
      </c>
      <c r="E8063">
        <v>18</v>
      </c>
    </row>
    <row r="8064" spans="1:5" x14ac:dyDescent="0.3">
      <c r="A8064" t="s">
        <v>157</v>
      </c>
      <c r="B8064" s="1">
        <v>44699</v>
      </c>
      <c r="C8064">
        <v>1</v>
      </c>
      <c r="D8064">
        <v>12</v>
      </c>
      <c r="E8064">
        <v>20</v>
      </c>
    </row>
    <row r="8065" spans="1:5" x14ac:dyDescent="0.3">
      <c r="A8065" t="s">
        <v>80</v>
      </c>
      <c r="B8065" s="1">
        <v>44699</v>
      </c>
      <c r="C8065">
        <v>1</v>
      </c>
      <c r="D8065">
        <v>23.14</v>
      </c>
      <c r="E8065">
        <v>36</v>
      </c>
    </row>
    <row r="8066" spans="1:5" x14ac:dyDescent="0.3">
      <c r="A8066" t="s">
        <v>80</v>
      </c>
      <c r="B8066" s="1">
        <v>44699</v>
      </c>
      <c r="C8066">
        <v>1</v>
      </c>
      <c r="D8066">
        <v>23.14</v>
      </c>
      <c r="E8066">
        <v>36</v>
      </c>
    </row>
    <row r="8067" spans="1:5" x14ac:dyDescent="0.3">
      <c r="A8067" t="s">
        <v>80</v>
      </c>
      <c r="B8067" s="1">
        <v>44699</v>
      </c>
      <c r="C8067">
        <v>1</v>
      </c>
      <c r="D8067">
        <v>23.14</v>
      </c>
      <c r="E8067">
        <v>36</v>
      </c>
    </row>
    <row r="8068" spans="1:5" x14ac:dyDescent="0.3">
      <c r="A8068" t="s">
        <v>56</v>
      </c>
      <c r="B8068" s="1">
        <v>44699</v>
      </c>
      <c r="C8068">
        <v>1</v>
      </c>
      <c r="D8068">
        <v>43.97</v>
      </c>
      <c r="E8068">
        <v>69</v>
      </c>
    </row>
    <row r="8069" spans="1:5" x14ac:dyDescent="0.3">
      <c r="A8069" t="s">
        <v>24</v>
      </c>
      <c r="B8069" s="1">
        <v>44699</v>
      </c>
      <c r="C8069">
        <v>1</v>
      </c>
      <c r="D8069">
        <v>107.3</v>
      </c>
      <c r="E8069">
        <v>126</v>
      </c>
    </row>
    <row r="8070" spans="1:5" x14ac:dyDescent="0.3">
      <c r="A8070" t="s">
        <v>127</v>
      </c>
      <c r="B8070" s="1">
        <v>44699</v>
      </c>
      <c r="C8070">
        <v>1</v>
      </c>
      <c r="D8070">
        <v>127.08</v>
      </c>
      <c r="E8070">
        <v>180</v>
      </c>
    </row>
    <row r="8071" spans="1:5" x14ac:dyDescent="0.3">
      <c r="A8071" t="s">
        <v>107</v>
      </c>
      <c r="B8071" s="1">
        <v>44699</v>
      </c>
      <c r="C8071">
        <v>1</v>
      </c>
      <c r="D8071">
        <v>71.16</v>
      </c>
      <c r="E8071">
        <v>88</v>
      </c>
    </row>
    <row r="8072" spans="1:5" x14ac:dyDescent="0.3">
      <c r="A8072" t="s">
        <v>107</v>
      </c>
      <c r="B8072" s="1">
        <v>44699</v>
      </c>
      <c r="C8072">
        <v>1</v>
      </c>
      <c r="D8072">
        <v>71.16</v>
      </c>
      <c r="E8072">
        <v>88</v>
      </c>
    </row>
    <row r="8073" spans="1:5" x14ac:dyDescent="0.3">
      <c r="A8073" t="s">
        <v>29</v>
      </c>
      <c r="B8073" s="1">
        <v>44699</v>
      </c>
      <c r="C8073">
        <v>1</v>
      </c>
      <c r="D8073">
        <v>487.24</v>
      </c>
      <c r="E8073">
        <v>644</v>
      </c>
    </row>
    <row r="8074" spans="1:5" x14ac:dyDescent="0.3">
      <c r="A8074" t="s">
        <v>141</v>
      </c>
      <c r="B8074" s="1">
        <v>44699</v>
      </c>
      <c r="C8074">
        <v>1</v>
      </c>
      <c r="D8074">
        <v>10.76</v>
      </c>
      <c r="E8074">
        <v>18</v>
      </c>
    </row>
    <row r="8075" spans="1:5" x14ac:dyDescent="0.3">
      <c r="A8075" t="s">
        <v>28</v>
      </c>
      <c r="B8075" s="1">
        <v>44699</v>
      </c>
      <c r="C8075">
        <v>1</v>
      </c>
      <c r="D8075">
        <v>150.03</v>
      </c>
      <c r="E8075">
        <v>209</v>
      </c>
    </row>
    <row r="8076" spans="1:5" x14ac:dyDescent="0.3">
      <c r="A8076" t="s">
        <v>28</v>
      </c>
      <c r="B8076" s="1">
        <v>44699</v>
      </c>
      <c r="C8076">
        <v>1</v>
      </c>
      <c r="D8076">
        <v>147.69</v>
      </c>
      <c r="E8076">
        <v>203</v>
      </c>
    </row>
    <row r="8077" spans="1:5" x14ac:dyDescent="0.3">
      <c r="A8077" t="s">
        <v>45</v>
      </c>
      <c r="B8077" s="1">
        <v>44699</v>
      </c>
      <c r="C8077">
        <v>2</v>
      </c>
      <c r="D8077">
        <v>29.26</v>
      </c>
      <c r="E8077">
        <v>48</v>
      </c>
    </row>
    <row r="8078" spans="1:5" x14ac:dyDescent="0.3">
      <c r="A8078" t="s">
        <v>92</v>
      </c>
      <c r="B8078" s="1">
        <v>44699</v>
      </c>
      <c r="C8078">
        <v>2</v>
      </c>
      <c r="D8078">
        <v>6.2</v>
      </c>
      <c r="E8078">
        <v>9</v>
      </c>
    </row>
    <row r="8079" spans="1:5" x14ac:dyDescent="0.3">
      <c r="A8079" t="s">
        <v>147</v>
      </c>
      <c r="B8079" s="1">
        <v>44699</v>
      </c>
      <c r="C8079">
        <v>1</v>
      </c>
      <c r="D8079">
        <v>137.55000000000001</v>
      </c>
      <c r="E8079">
        <v>194</v>
      </c>
    </row>
    <row r="8080" spans="1:5" x14ac:dyDescent="0.3">
      <c r="A8080" t="s">
        <v>144</v>
      </c>
      <c r="B8080" s="1">
        <v>44699</v>
      </c>
      <c r="C8080">
        <v>1</v>
      </c>
      <c r="D8080">
        <v>51.32</v>
      </c>
      <c r="E8080">
        <v>73</v>
      </c>
    </row>
    <row r="8081" spans="1:5" x14ac:dyDescent="0.3">
      <c r="A8081" t="s">
        <v>12</v>
      </c>
      <c r="B8081" s="1">
        <v>44699</v>
      </c>
      <c r="C8081">
        <v>1</v>
      </c>
      <c r="D8081">
        <v>55.81</v>
      </c>
      <c r="E8081">
        <v>69</v>
      </c>
    </row>
    <row r="8082" spans="1:5" x14ac:dyDescent="0.3">
      <c r="A8082" t="s">
        <v>98</v>
      </c>
      <c r="B8082" s="1">
        <v>44699</v>
      </c>
      <c r="C8082">
        <v>1</v>
      </c>
      <c r="D8082">
        <v>113.71</v>
      </c>
      <c r="E8082">
        <v>137</v>
      </c>
    </row>
    <row r="8083" spans="1:5" x14ac:dyDescent="0.3">
      <c r="A8083" t="s">
        <v>25</v>
      </c>
      <c r="B8083" s="1">
        <v>44699</v>
      </c>
      <c r="C8083">
        <v>1</v>
      </c>
      <c r="D8083">
        <v>147.18</v>
      </c>
      <c r="E8083">
        <v>180</v>
      </c>
    </row>
    <row r="8084" spans="1:5" x14ac:dyDescent="0.3">
      <c r="A8084" t="s">
        <v>23</v>
      </c>
      <c r="B8084" s="1">
        <v>44699</v>
      </c>
      <c r="C8084">
        <v>1</v>
      </c>
      <c r="D8084">
        <v>110.18</v>
      </c>
      <c r="E8084">
        <v>124</v>
      </c>
    </row>
    <row r="8085" spans="1:5" x14ac:dyDescent="0.3">
      <c r="A8085" t="s">
        <v>79</v>
      </c>
      <c r="B8085" s="1">
        <v>44699</v>
      </c>
      <c r="C8085">
        <v>1</v>
      </c>
      <c r="D8085">
        <v>148.5</v>
      </c>
      <c r="E8085">
        <v>177</v>
      </c>
    </row>
    <row r="8086" spans="1:5" x14ac:dyDescent="0.3">
      <c r="A8086" t="s">
        <v>54</v>
      </c>
      <c r="B8086" s="1">
        <v>44699</v>
      </c>
      <c r="C8086">
        <v>1</v>
      </c>
      <c r="D8086">
        <v>635.70000000000005</v>
      </c>
      <c r="E8086">
        <v>821</v>
      </c>
    </row>
    <row r="8087" spans="1:5" x14ac:dyDescent="0.3">
      <c r="A8087" t="s">
        <v>138</v>
      </c>
      <c r="B8087" s="1">
        <v>44699</v>
      </c>
      <c r="C8087">
        <v>2</v>
      </c>
      <c r="D8087">
        <v>46.5</v>
      </c>
      <c r="E8087">
        <v>76</v>
      </c>
    </row>
    <row r="8088" spans="1:5" x14ac:dyDescent="0.3">
      <c r="A8088" t="s">
        <v>57</v>
      </c>
      <c r="B8088" s="1">
        <v>44699</v>
      </c>
      <c r="C8088">
        <v>1</v>
      </c>
      <c r="D8088">
        <v>296.88</v>
      </c>
      <c r="E8088">
        <v>348</v>
      </c>
    </row>
    <row r="8089" spans="1:5" x14ac:dyDescent="0.3">
      <c r="A8089" t="s">
        <v>77</v>
      </c>
      <c r="B8089" s="1">
        <v>44699</v>
      </c>
      <c r="C8089">
        <v>1</v>
      </c>
      <c r="D8089">
        <v>61.89</v>
      </c>
      <c r="E8089">
        <v>77</v>
      </c>
    </row>
    <row r="8090" spans="1:5" x14ac:dyDescent="0.3">
      <c r="A8090" t="s">
        <v>160</v>
      </c>
      <c r="B8090" s="1">
        <v>44699</v>
      </c>
      <c r="C8090">
        <v>1</v>
      </c>
      <c r="D8090">
        <v>81.8</v>
      </c>
      <c r="E8090">
        <v>99</v>
      </c>
    </row>
    <row r="8091" spans="1:5" x14ac:dyDescent="0.3">
      <c r="A8091" t="s">
        <v>160</v>
      </c>
      <c r="B8091" s="1">
        <v>44699</v>
      </c>
      <c r="C8091">
        <v>1</v>
      </c>
      <c r="D8091">
        <v>81.8</v>
      </c>
      <c r="E8091">
        <v>99</v>
      </c>
    </row>
    <row r="8092" spans="1:5" x14ac:dyDescent="0.3">
      <c r="A8092" t="s">
        <v>114</v>
      </c>
      <c r="B8092" s="1">
        <v>44699</v>
      </c>
      <c r="C8092">
        <v>1</v>
      </c>
      <c r="D8092">
        <v>74.8</v>
      </c>
      <c r="E8092">
        <v>92</v>
      </c>
    </row>
    <row r="8093" spans="1:5" x14ac:dyDescent="0.3">
      <c r="A8093" t="s">
        <v>93</v>
      </c>
      <c r="B8093" s="1">
        <v>44699</v>
      </c>
      <c r="C8093">
        <v>1</v>
      </c>
      <c r="D8093">
        <v>74.42</v>
      </c>
      <c r="E8093">
        <v>106</v>
      </c>
    </row>
    <row r="8094" spans="1:5" x14ac:dyDescent="0.3">
      <c r="A8094" t="s">
        <v>93</v>
      </c>
      <c r="B8094" s="1">
        <v>44699</v>
      </c>
      <c r="C8094">
        <v>1</v>
      </c>
      <c r="D8094">
        <v>74.42</v>
      </c>
      <c r="E8094">
        <v>106</v>
      </c>
    </row>
    <row r="8095" spans="1:5" x14ac:dyDescent="0.3">
      <c r="A8095" t="s">
        <v>93</v>
      </c>
      <c r="B8095" s="1">
        <v>44699</v>
      </c>
      <c r="C8095">
        <v>1</v>
      </c>
      <c r="D8095">
        <v>74.42</v>
      </c>
      <c r="E8095">
        <v>106</v>
      </c>
    </row>
    <row r="8096" spans="1:5" x14ac:dyDescent="0.3">
      <c r="A8096" t="s">
        <v>156</v>
      </c>
      <c r="B8096" s="1">
        <v>44699</v>
      </c>
      <c r="C8096">
        <v>1</v>
      </c>
      <c r="D8096">
        <v>247.83</v>
      </c>
      <c r="E8096">
        <v>342</v>
      </c>
    </row>
    <row r="8097" spans="1:5" x14ac:dyDescent="0.3">
      <c r="A8097" t="s">
        <v>122</v>
      </c>
      <c r="B8097" s="1">
        <v>44699</v>
      </c>
      <c r="C8097">
        <v>1</v>
      </c>
      <c r="D8097">
        <v>20.78</v>
      </c>
      <c r="E8097">
        <v>26</v>
      </c>
    </row>
    <row r="8098" spans="1:5" x14ac:dyDescent="0.3">
      <c r="A8098" t="s">
        <v>93</v>
      </c>
      <c r="B8098" s="1">
        <v>44699</v>
      </c>
      <c r="C8098">
        <v>1</v>
      </c>
      <c r="D8098">
        <v>84.22</v>
      </c>
      <c r="E8098">
        <v>124</v>
      </c>
    </row>
    <row r="8099" spans="1:5" x14ac:dyDescent="0.3">
      <c r="A8099" t="s">
        <v>149</v>
      </c>
      <c r="B8099" s="1">
        <v>44699</v>
      </c>
      <c r="C8099">
        <v>1</v>
      </c>
      <c r="D8099">
        <v>213.58</v>
      </c>
      <c r="E8099">
        <v>300</v>
      </c>
    </row>
    <row r="8100" spans="1:5" x14ac:dyDescent="0.3">
      <c r="A8100" t="s">
        <v>23</v>
      </c>
      <c r="B8100" s="1">
        <v>44699</v>
      </c>
      <c r="C8100">
        <v>1</v>
      </c>
      <c r="D8100">
        <v>109.41</v>
      </c>
      <c r="E8100">
        <v>123</v>
      </c>
    </row>
    <row r="8101" spans="1:5" x14ac:dyDescent="0.3">
      <c r="A8101" t="s">
        <v>65</v>
      </c>
      <c r="B8101" s="1">
        <v>44699</v>
      </c>
      <c r="C8101">
        <v>1</v>
      </c>
      <c r="D8101">
        <v>184.07</v>
      </c>
      <c r="E8101">
        <v>216</v>
      </c>
    </row>
    <row r="8102" spans="1:5" x14ac:dyDescent="0.3">
      <c r="A8102" t="s">
        <v>123</v>
      </c>
      <c r="B8102" s="1">
        <v>44699</v>
      </c>
      <c r="C8102">
        <v>1</v>
      </c>
      <c r="D8102">
        <v>68.680000000000007</v>
      </c>
      <c r="E8102">
        <v>84</v>
      </c>
    </row>
    <row r="8103" spans="1:5" x14ac:dyDescent="0.3">
      <c r="A8103" t="s">
        <v>54</v>
      </c>
      <c r="B8103" s="1">
        <v>44699</v>
      </c>
      <c r="C8103">
        <v>1</v>
      </c>
      <c r="D8103">
        <v>635.70000000000005</v>
      </c>
      <c r="E8103">
        <v>821</v>
      </c>
    </row>
    <row r="8104" spans="1:5" x14ac:dyDescent="0.3">
      <c r="A8104" t="s">
        <v>8</v>
      </c>
      <c r="B8104" s="1">
        <v>44699</v>
      </c>
      <c r="C8104">
        <v>1</v>
      </c>
      <c r="D8104">
        <v>47.83</v>
      </c>
      <c r="E8104">
        <v>77</v>
      </c>
    </row>
    <row r="8105" spans="1:5" x14ac:dyDescent="0.3">
      <c r="A8105" t="s">
        <v>21</v>
      </c>
      <c r="B8105" s="1">
        <v>44699</v>
      </c>
      <c r="C8105">
        <v>1</v>
      </c>
      <c r="D8105">
        <v>182.17</v>
      </c>
      <c r="E8105">
        <v>257</v>
      </c>
    </row>
    <row r="8106" spans="1:5" x14ac:dyDescent="0.3">
      <c r="A8106" t="s">
        <v>121</v>
      </c>
      <c r="B8106" s="1">
        <v>44699</v>
      </c>
      <c r="C8106">
        <v>2</v>
      </c>
      <c r="D8106">
        <v>7.96</v>
      </c>
      <c r="E8106">
        <v>13</v>
      </c>
    </row>
    <row r="8107" spans="1:5" x14ac:dyDescent="0.3">
      <c r="A8107" t="s">
        <v>39</v>
      </c>
      <c r="B8107" s="1">
        <v>44699</v>
      </c>
      <c r="C8107">
        <v>2</v>
      </c>
      <c r="D8107">
        <v>9.8800000000000008</v>
      </c>
      <c r="E8107">
        <v>16</v>
      </c>
    </row>
    <row r="8108" spans="1:5" x14ac:dyDescent="0.3">
      <c r="A8108" t="s">
        <v>39</v>
      </c>
      <c r="B8108" s="1">
        <v>44699</v>
      </c>
      <c r="C8108">
        <v>1</v>
      </c>
      <c r="D8108">
        <v>9.8800000000000008</v>
      </c>
      <c r="E8108">
        <v>16</v>
      </c>
    </row>
    <row r="8109" spans="1:5" x14ac:dyDescent="0.3">
      <c r="A8109" t="s">
        <v>20</v>
      </c>
      <c r="B8109" s="1">
        <v>44699</v>
      </c>
      <c r="C8109">
        <v>1</v>
      </c>
      <c r="D8109">
        <v>19.71</v>
      </c>
      <c r="E8109">
        <v>25</v>
      </c>
    </row>
    <row r="8110" spans="1:5" x14ac:dyDescent="0.3">
      <c r="A8110" t="s">
        <v>20</v>
      </c>
      <c r="B8110" s="1">
        <v>44699</v>
      </c>
      <c r="C8110">
        <v>1</v>
      </c>
      <c r="D8110">
        <v>19.71</v>
      </c>
      <c r="E8110">
        <v>25</v>
      </c>
    </row>
    <row r="8111" spans="1:5" x14ac:dyDescent="0.3">
      <c r="A8111" t="s">
        <v>8</v>
      </c>
      <c r="B8111" s="1">
        <v>44699</v>
      </c>
      <c r="C8111">
        <v>1</v>
      </c>
      <c r="D8111">
        <v>47.83</v>
      </c>
      <c r="E8111">
        <v>77</v>
      </c>
    </row>
    <row r="8112" spans="1:5" x14ac:dyDescent="0.3">
      <c r="A8112" t="s">
        <v>20</v>
      </c>
      <c r="B8112" s="1">
        <v>44699</v>
      </c>
      <c r="C8112">
        <v>1</v>
      </c>
      <c r="D8112">
        <v>19.71</v>
      </c>
      <c r="E8112">
        <v>25</v>
      </c>
    </row>
    <row r="8113" spans="1:5" x14ac:dyDescent="0.3">
      <c r="A8113" t="s">
        <v>159</v>
      </c>
      <c r="B8113" s="1">
        <v>44699</v>
      </c>
      <c r="C8113">
        <v>1</v>
      </c>
      <c r="D8113">
        <v>52.49</v>
      </c>
      <c r="E8113">
        <v>65</v>
      </c>
    </row>
    <row r="8114" spans="1:5" x14ac:dyDescent="0.3">
      <c r="A8114" t="s">
        <v>159</v>
      </c>
      <c r="B8114" s="1">
        <v>44699</v>
      </c>
      <c r="C8114">
        <v>1</v>
      </c>
      <c r="D8114">
        <v>52.49</v>
      </c>
      <c r="E8114">
        <v>65</v>
      </c>
    </row>
    <row r="8115" spans="1:5" x14ac:dyDescent="0.3">
      <c r="A8115" t="s">
        <v>23</v>
      </c>
      <c r="B8115" s="1">
        <v>44699</v>
      </c>
      <c r="C8115">
        <v>1</v>
      </c>
      <c r="D8115">
        <v>109.41</v>
      </c>
      <c r="E8115">
        <v>123</v>
      </c>
    </row>
    <row r="8116" spans="1:5" x14ac:dyDescent="0.3">
      <c r="A8116" t="s">
        <v>123</v>
      </c>
      <c r="B8116" s="1">
        <v>44699</v>
      </c>
      <c r="C8116">
        <v>1</v>
      </c>
      <c r="D8116">
        <v>62.79</v>
      </c>
      <c r="E8116">
        <v>78</v>
      </c>
    </row>
    <row r="8117" spans="1:5" x14ac:dyDescent="0.3">
      <c r="A8117" t="s">
        <v>123</v>
      </c>
      <c r="B8117" s="1">
        <v>44699</v>
      </c>
      <c r="C8117">
        <v>1</v>
      </c>
      <c r="D8117">
        <v>62.79</v>
      </c>
      <c r="E8117">
        <v>78</v>
      </c>
    </row>
    <row r="8118" spans="1:5" x14ac:dyDescent="0.3">
      <c r="A8118" t="s">
        <v>98</v>
      </c>
      <c r="B8118" s="1">
        <v>44699</v>
      </c>
      <c r="C8118">
        <v>1</v>
      </c>
      <c r="D8118">
        <v>110.84</v>
      </c>
      <c r="E8118">
        <v>134</v>
      </c>
    </row>
    <row r="8119" spans="1:5" x14ac:dyDescent="0.3">
      <c r="A8119" t="s">
        <v>120</v>
      </c>
      <c r="B8119" s="1">
        <v>44699</v>
      </c>
      <c r="C8119">
        <v>1</v>
      </c>
      <c r="D8119">
        <v>150.88999999999999</v>
      </c>
      <c r="E8119">
        <v>219</v>
      </c>
    </row>
    <row r="8120" spans="1:5" x14ac:dyDescent="0.3">
      <c r="A8120" t="s">
        <v>156</v>
      </c>
      <c r="B8120" s="1">
        <v>44699</v>
      </c>
      <c r="C8120">
        <v>1</v>
      </c>
      <c r="D8120">
        <v>248.71</v>
      </c>
      <c r="E8120">
        <v>349</v>
      </c>
    </row>
    <row r="8121" spans="1:5" x14ac:dyDescent="0.3">
      <c r="A8121" t="s">
        <v>116</v>
      </c>
      <c r="B8121" s="1">
        <v>44699</v>
      </c>
      <c r="C8121">
        <v>1</v>
      </c>
      <c r="D8121">
        <v>101.97</v>
      </c>
      <c r="E8121">
        <v>123</v>
      </c>
    </row>
    <row r="8122" spans="1:5" x14ac:dyDescent="0.3">
      <c r="A8122" t="s">
        <v>20</v>
      </c>
      <c r="B8122" s="1">
        <v>44699</v>
      </c>
      <c r="C8122">
        <v>1</v>
      </c>
      <c r="D8122">
        <v>19.71</v>
      </c>
      <c r="E8122">
        <v>25</v>
      </c>
    </row>
    <row r="8123" spans="1:5" x14ac:dyDescent="0.3">
      <c r="A8123" t="s">
        <v>157</v>
      </c>
      <c r="B8123" s="1">
        <v>44699</v>
      </c>
      <c r="C8123">
        <v>1</v>
      </c>
      <c r="D8123">
        <v>12</v>
      </c>
      <c r="E8123">
        <v>21</v>
      </c>
    </row>
    <row r="8124" spans="1:5" x14ac:dyDescent="0.3">
      <c r="A8124" t="s">
        <v>46</v>
      </c>
      <c r="B8124" s="1">
        <v>44699</v>
      </c>
      <c r="C8124">
        <v>1</v>
      </c>
      <c r="D8124">
        <v>19.420000000000002</v>
      </c>
      <c r="E8124">
        <v>24</v>
      </c>
    </row>
    <row r="8125" spans="1:5" x14ac:dyDescent="0.3">
      <c r="A8125" t="s">
        <v>32</v>
      </c>
      <c r="B8125" s="1">
        <v>44699</v>
      </c>
      <c r="C8125">
        <v>2</v>
      </c>
      <c r="D8125">
        <v>104.59</v>
      </c>
      <c r="E8125">
        <v>163</v>
      </c>
    </row>
    <row r="8126" spans="1:5" x14ac:dyDescent="0.3">
      <c r="A8126" t="s">
        <v>33</v>
      </c>
      <c r="B8126" s="1">
        <v>44699</v>
      </c>
      <c r="C8126">
        <v>1</v>
      </c>
      <c r="D8126">
        <v>21.13</v>
      </c>
      <c r="E8126">
        <v>25</v>
      </c>
    </row>
    <row r="8127" spans="1:5" x14ac:dyDescent="0.3">
      <c r="A8127" t="s">
        <v>33</v>
      </c>
      <c r="B8127" s="1">
        <v>44699</v>
      </c>
      <c r="C8127">
        <v>1</v>
      </c>
      <c r="D8127">
        <v>21.13</v>
      </c>
      <c r="E8127">
        <v>25</v>
      </c>
    </row>
    <row r="8128" spans="1:5" x14ac:dyDescent="0.3">
      <c r="A8128" t="s">
        <v>33</v>
      </c>
      <c r="B8128" s="1">
        <v>44699</v>
      </c>
      <c r="C8128">
        <v>1</v>
      </c>
      <c r="D8128">
        <v>21.13</v>
      </c>
      <c r="E8128">
        <v>25</v>
      </c>
    </row>
    <row r="8129" spans="1:5" x14ac:dyDescent="0.3">
      <c r="A8129" t="s">
        <v>33</v>
      </c>
      <c r="B8129" s="1">
        <v>44699</v>
      </c>
      <c r="C8129">
        <v>1</v>
      </c>
      <c r="D8129">
        <v>21.13</v>
      </c>
      <c r="E8129">
        <v>25</v>
      </c>
    </row>
    <row r="8130" spans="1:5" x14ac:dyDescent="0.3">
      <c r="A8130" t="s">
        <v>33</v>
      </c>
      <c r="B8130" s="1">
        <v>44699</v>
      </c>
      <c r="C8130">
        <v>1</v>
      </c>
      <c r="D8130">
        <v>21.13</v>
      </c>
      <c r="E8130">
        <v>25</v>
      </c>
    </row>
    <row r="8131" spans="1:5" x14ac:dyDescent="0.3">
      <c r="A8131" t="s">
        <v>33</v>
      </c>
      <c r="B8131" s="1">
        <v>44699</v>
      </c>
      <c r="C8131">
        <v>1</v>
      </c>
      <c r="D8131">
        <v>21.13</v>
      </c>
      <c r="E8131">
        <v>25</v>
      </c>
    </row>
    <row r="8132" spans="1:5" x14ac:dyDescent="0.3">
      <c r="A8132" t="s">
        <v>91</v>
      </c>
      <c r="B8132" s="1">
        <v>44699</v>
      </c>
      <c r="C8132">
        <v>1</v>
      </c>
      <c r="D8132">
        <v>31.93</v>
      </c>
      <c r="E8132">
        <v>52</v>
      </c>
    </row>
    <row r="8133" spans="1:5" x14ac:dyDescent="0.3">
      <c r="A8133" t="s">
        <v>151</v>
      </c>
      <c r="B8133" s="1">
        <v>44699</v>
      </c>
      <c r="C8133">
        <v>1</v>
      </c>
      <c r="D8133">
        <v>26.81</v>
      </c>
      <c r="E8133">
        <v>32</v>
      </c>
    </row>
    <row r="8134" spans="1:5" x14ac:dyDescent="0.3">
      <c r="A8134" t="s">
        <v>156</v>
      </c>
      <c r="B8134" s="1">
        <v>44699</v>
      </c>
      <c r="C8134">
        <v>1</v>
      </c>
      <c r="D8134">
        <v>249.76</v>
      </c>
      <c r="E8134">
        <v>345</v>
      </c>
    </row>
    <row r="8135" spans="1:5" x14ac:dyDescent="0.3">
      <c r="A8135" t="s">
        <v>99</v>
      </c>
      <c r="B8135" s="1">
        <v>44699</v>
      </c>
      <c r="C8135">
        <v>1</v>
      </c>
      <c r="D8135">
        <v>64.25</v>
      </c>
      <c r="E8135">
        <v>77</v>
      </c>
    </row>
    <row r="8136" spans="1:5" x14ac:dyDescent="0.3">
      <c r="A8136" t="s">
        <v>84</v>
      </c>
      <c r="B8136" s="1">
        <v>44699</v>
      </c>
      <c r="C8136">
        <v>1</v>
      </c>
      <c r="D8136">
        <v>153.22999999999999</v>
      </c>
      <c r="E8136">
        <v>192</v>
      </c>
    </row>
    <row r="8137" spans="1:5" x14ac:dyDescent="0.3">
      <c r="A8137" t="s">
        <v>66</v>
      </c>
      <c r="B8137" s="1">
        <v>44699</v>
      </c>
      <c r="C8137">
        <v>1</v>
      </c>
      <c r="D8137">
        <v>30.93</v>
      </c>
      <c r="E8137">
        <v>36</v>
      </c>
    </row>
    <row r="8138" spans="1:5" x14ac:dyDescent="0.3">
      <c r="A8138" t="s">
        <v>78</v>
      </c>
      <c r="B8138" s="1">
        <v>44699</v>
      </c>
      <c r="C8138">
        <v>1</v>
      </c>
      <c r="D8138">
        <v>70.540000000000006</v>
      </c>
      <c r="E8138">
        <v>89</v>
      </c>
    </row>
    <row r="8139" spans="1:5" x14ac:dyDescent="0.3">
      <c r="A8139" t="s">
        <v>115</v>
      </c>
      <c r="B8139" s="1">
        <v>44699</v>
      </c>
      <c r="C8139">
        <v>1</v>
      </c>
      <c r="D8139">
        <v>72.31</v>
      </c>
      <c r="E8139">
        <v>89</v>
      </c>
    </row>
    <row r="8140" spans="1:5" x14ac:dyDescent="0.3">
      <c r="A8140" t="s">
        <v>115</v>
      </c>
      <c r="B8140" s="1">
        <v>44699</v>
      </c>
      <c r="C8140">
        <v>1</v>
      </c>
      <c r="D8140">
        <v>72.42</v>
      </c>
      <c r="E8140">
        <v>89</v>
      </c>
    </row>
    <row r="8141" spans="1:5" x14ac:dyDescent="0.3">
      <c r="A8141" t="s">
        <v>115</v>
      </c>
      <c r="B8141" s="1">
        <v>44699</v>
      </c>
      <c r="C8141">
        <v>1</v>
      </c>
      <c r="D8141">
        <v>72.42</v>
      </c>
      <c r="E8141">
        <v>89</v>
      </c>
    </row>
    <row r="8142" spans="1:5" x14ac:dyDescent="0.3">
      <c r="A8142" t="s">
        <v>41</v>
      </c>
      <c r="B8142" s="1">
        <v>44699</v>
      </c>
      <c r="C8142">
        <v>1</v>
      </c>
      <c r="D8142">
        <v>10.9</v>
      </c>
      <c r="E8142">
        <v>18</v>
      </c>
    </row>
    <row r="8143" spans="1:5" x14ac:dyDescent="0.3">
      <c r="A8143" t="s">
        <v>47</v>
      </c>
      <c r="B8143" s="1">
        <v>44699</v>
      </c>
      <c r="C8143">
        <v>1</v>
      </c>
      <c r="D8143">
        <v>46.14</v>
      </c>
      <c r="E8143">
        <v>73</v>
      </c>
    </row>
    <row r="8144" spans="1:5" x14ac:dyDescent="0.3">
      <c r="A8144" t="s">
        <v>34</v>
      </c>
      <c r="B8144" s="1">
        <v>44699</v>
      </c>
      <c r="C8144">
        <v>1</v>
      </c>
      <c r="D8144">
        <v>200.35</v>
      </c>
      <c r="E8144">
        <v>235</v>
      </c>
    </row>
    <row r="8145" spans="1:5" x14ac:dyDescent="0.3">
      <c r="A8145" t="s">
        <v>56</v>
      </c>
      <c r="B8145" s="1">
        <v>44699</v>
      </c>
      <c r="C8145">
        <v>1</v>
      </c>
      <c r="D8145">
        <v>43.97</v>
      </c>
      <c r="E8145">
        <v>70</v>
      </c>
    </row>
    <row r="8146" spans="1:5" x14ac:dyDescent="0.3">
      <c r="A8146" t="s">
        <v>83</v>
      </c>
      <c r="B8146" s="1">
        <v>44699</v>
      </c>
      <c r="C8146">
        <v>1</v>
      </c>
      <c r="D8146">
        <v>207.76</v>
      </c>
      <c r="E8146">
        <v>246</v>
      </c>
    </row>
    <row r="8147" spans="1:5" x14ac:dyDescent="0.3">
      <c r="A8147" t="s">
        <v>158</v>
      </c>
      <c r="B8147" s="1">
        <v>44699</v>
      </c>
      <c r="C8147">
        <v>1</v>
      </c>
      <c r="D8147">
        <v>31.17</v>
      </c>
      <c r="E8147">
        <v>39</v>
      </c>
    </row>
    <row r="8148" spans="1:5" x14ac:dyDescent="0.3">
      <c r="A8148" t="s">
        <v>158</v>
      </c>
      <c r="B8148" s="1">
        <v>44699</v>
      </c>
      <c r="C8148">
        <v>1</v>
      </c>
      <c r="D8148">
        <v>31.17</v>
      </c>
      <c r="E8148">
        <v>39</v>
      </c>
    </row>
    <row r="8149" spans="1:5" x14ac:dyDescent="0.3">
      <c r="A8149" t="s">
        <v>158</v>
      </c>
      <c r="B8149" s="1">
        <v>44699</v>
      </c>
      <c r="C8149">
        <v>1</v>
      </c>
      <c r="D8149">
        <v>31.17</v>
      </c>
      <c r="E8149">
        <v>39</v>
      </c>
    </row>
    <row r="8150" spans="1:5" x14ac:dyDescent="0.3">
      <c r="A8150" t="s">
        <v>158</v>
      </c>
      <c r="B8150" s="1">
        <v>44699</v>
      </c>
      <c r="C8150">
        <v>1</v>
      </c>
      <c r="D8150">
        <v>31.17</v>
      </c>
      <c r="E8150">
        <v>39</v>
      </c>
    </row>
    <row r="8151" spans="1:5" x14ac:dyDescent="0.3">
      <c r="A8151" t="s">
        <v>93</v>
      </c>
      <c r="B8151" s="1">
        <v>44699</v>
      </c>
      <c r="C8151">
        <v>1</v>
      </c>
      <c r="D8151">
        <v>74.42</v>
      </c>
      <c r="E8151">
        <v>106</v>
      </c>
    </row>
    <row r="8152" spans="1:5" x14ac:dyDescent="0.3">
      <c r="A8152" t="s">
        <v>155</v>
      </c>
      <c r="B8152" s="1">
        <v>44699</v>
      </c>
      <c r="C8152">
        <v>0.16</v>
      </c>
      <c r="D8152">
        <v>495.72</v>
      </c>
      <c r="E8152">
        <v>719</v>
      </c>
    </row>
    <row r="8153" spans="1:5" x14ac:dyDescent="0.3">
      <c r="A8153" t="s">
        <v>114</v>
      </c>
      <c r="B8153" s="1">
        <v>44699</v>
      </c>
      <c r="C8153">
        <v>1</v>
      </c>
      <c r="D8153">
        <v>74.8</v>
      </c>
      <c r="E8153">
        <v>92</v>
      </c>
    </row>
    <row r="8154" spans="1:5" x14ac:dyDescent="0.3">
      <c r="A8154" t="s">
        <v>61</v>
      </c>
      <c r="B8154" s="1">
        <v>44699</v>
      </c>
      <c r="C8154">
        <v>1</v>
      </c>
      <c r="D8154">
        <v>33.11</v>
      </c>
      <c r="E8154">
        <v>51</v>
      </c>
    </row>
    <row r="8155" spans="1:5" x14ac:dyDescent="0.3">
      <c r="A8155" t="s">
        <v>112</v>
      </c>
      <c r="B8155" s="1">
        <v>44699</v>
      </c>
      <c r="C8155">
        <v>1</v>
      </c>
      <c r="D8155">
        <v>291.39</v>
      </c>
      <c r="E8155">
        <v>345</v>
      </c>
    </row>
    <row r="8156" spans="1:5" x14ac:dyDescent="0.3">
      <c r="A8156" t="s">
        <v>115</v>
      </c>
      <c r="B8156" s="1">
        <v>44699</v>
      </c>
      <c r="C8156">
        <v>1</v>
      </c>
      <c r="D8156">
        <v>71.02</v>
      </c>
      <c r="E8156">
        <v>88</v>
      </c>
    </row>
    <row r="8157" spans="1:5" x14ac:dyDescent="0.3">
      <c r="A8157" t="s">
        <v>23</v>
      </c>
      <c r="B8157" s="1">
        <v>44699</v>
      </c>
      <c r="C8157">
        <v>1</v>
      </c>
      <c r="D8157">
        <v>109.41</v>
      </c>
      <c r="E8157">
        <v>123</v>
      </c>
    </row>
    <row r="8158" spans="1:5" x14ac:dyDescent="0.3">
      <c r="A8158" t="s">
        <v>23</v>
      </c>
      <c r="B8158" s="1">
        <v>44699</v>
      </c>
      <c r="C8158">
        <v>1</v>
      </c>
      <c r="D8158">
        <v>109.41</v>
      </c>
      <c r="E8158">
        <v>123</v>
      </c>
    </row>
    <row r="8159" spans="1:5" x14ac:dyDescent="0.3">
      <c r="A8159" t="s">
        <v>122</v>
      </c>
      <c r="B8159" s="1">
        <v>44699</v>
      </c>
      <c r="C8159">
        <v>1</v>
      </c>
      <c r="D8159">
        <v>20.48</v>
      </c>
      <c r="E8159">
        <v>25</v>
      </c>
    </row>
    <row r="8160" spans="1:5" x14ac:dyDescent="0.3">
      <c r="A8160" t="s">
        <v>30</v>
      </c>
      <c r="B8160" s="1">
        <v>44699</v>
      </c>
      <c r="C8160">
        <v>1</v>
      </c>
      <c r="D8160">
        <v>156.19999999999999</v>
      </c>
      <c r="E8160">
        <v>186</v>
      </c>
    </row>
    <row r="8161" spans="1:5" x14ac:dyDescent="0.3">
      <c r="A8161" t="s">
        <v>8</v>
      </c>
      <c r="B8161" s="1">
        <v>44699</v>
      </c>
      <c r="C8161">
        <v>1</v>
      </c>
      <c r="D8161">
        <v>47.53</v>
      </c>
      <c r="E8161">
        <v>77</v>
      </c>
    </row>
    <row r="8162" spans="1:5" x14ac:dyDescent="0.3">
      <c r="A8162" t="s">
        <v>156</v>
      </c>
      <c r="B8162" s="1">
        <v>44699</v>
      </c>
      <c r="C8162">
        <v>1</v>
      </c>
      <c r="D8162">
        <v>249.76</v>
      </c>
      <c r="E8162">
        <v>345</v>
      </c>
    </row>
    <row r="8163" spans="1:5" x14ac:dyDescent="0.3">
      <c r="A8163" t="s">
        <v>95</v>
      </c>
      <c r="B8163" s="1">
        <v>44699</v>
      </c>
      <c r="C8163">
        <v>0.4</v>
      </c>
      <c r="D8163">
        <v>129.38</v>
      </c>
      <c r="E8163">
        <v>197</v>
      </c>
    </row>
    <row r="8164" spans="1:5" x14ac:dyDescent="0.3">
      <c r="A8164" t="s">
        <v>106</v>
      </c>
      <c r="B8164" s="1">
        <v>44699</v>
      </c>
      <c r="C8164">
        <v>1</v>
      </c>
      <c r="D8164">
        <v>41.74</v>
      </c>
      <c r="E8164">
        <v>51</v>
      </c>
    </row>
    <row r="8165" spans="1:5" x14ac:dyDescent="0.3">
      <c r="A8165" t="s">
        <v>91</v>
      </c>
      <c r="B8165" s="1">
        <v>44699</v>
      </c>
      <c r="C8165">
        <v>1</v>
      </c>
      <c r="D8165">
        <v>36.51</v>
      </c>
      <c r="E8165">
        <v>63</v>
      </c>
    </row>
    <row r="8166" spans="1:5" x14ac:dyDescent="0.3">
      <c r="A8166" t="s">
        <v>100</v>
      </c>
      <c r="B8166" s="1">
        <v>44699</v>
      </c>
      <c r="C8166">
        <v>1</v>
      </c>
      <c r="D8166">
        <v>35.630000000000003</v>
      </c>
      <c r="E8166">
        <v>55</v>
      </c>
    </row>
    <row r="8167" spans="1:5" x14ac:dyDescent="0.3">
      <c r="A8167" t="s">
        <v>47</v>
      </c>
      <c r="B8167" s="1">
        <v>44699</v>
      </c>
      <c r="C8167">
        <v>1</v>
      </c>
      <c r="D8167">
        <v>42.85</v>
      </c>
      <c r="E8167">
        <v>67</v>
      </c>
    </row>
    <row r="8168" spans="1:5" x14ac:dyDescent="0.3">
      <c r="A8168" t="s">
        <v>64</v>
      </c>
      <c r="B8168" s="1">
        <v>44699</v>
      </c>
      <c r="C8168">
        <v>1</v>
      </c>
      <c r="D8168">
        <v>202.51</v>
      </c>
      <c r="E8168">
        <v>270</v>
      </c>
    </row>
    <row r="8169" spans="1:5" x14ac:dyDescent="0.3">
      <c r="A8169" t="s">
        <v>65</v>
      </c>
      <c r="B8169" s="1">
        <v>44699</v>
      </c>
      <c r="C8169">
        <v>1</v>
      </c>
      <c r="D8169">
        <v>184.45</v>
      </c>
      <c r="E8169">
        <v>216</v>
      </c>
    </row>
    <row r="8170" spans="1:5" x14ac:dyDescent="0.3">
      <c r="A8170" t="s">
        <v>122</v>
      </c>
      <c r="B8170" s="1">
        <v>44699</v>
      </c>
      <c r="C8170">
        <v>1</v>
      </c>
      <c r="D8170">
        <v>20.78</v>
      </c>
      <c r="E8170">
        <v>26</v>
      </c>
    </row>
    <row r="8171" spans="1:5" x14ac:dyDescent="0.3">
      <c r="A8171" t="s">
        <v>57</v>
      </c>
      <c r="B8171" s="1">
        <v>44699</v>
      </c>
      <c r="C8171">
        <v>1</v>
      </c>
      <c r="D8171">
        <v>233.74</v>
      </c>
      <c r="E8171">
        <v>262</v>
      </c>
    </row>
    <row r="8172" spans="1:5" x14ac:dyDescent="0.3">
      <c r="A8172" t="s">
        <v>5</v>
      </c>
      <c r="B8172" s="1">
        <v>44699</v>
      </c>
      <c r="C8172">
        <v>1</v>
      </c>
      <c r="D8172">
        <v>145.6</v>
      </c>
      <c r="E8172">
        <v>172</v>
      </c>
    </row>
    <row r="8173" spans="1:5" x14ac:dyDescent="0.3">
      <c r="A8173" t="s">
        <v>56</v>
      </c>
      <c r="B8173" s="1">
        <v>44699</v>
      </c>
      <c r="C8173">
        <v>1</v>
      </c>
      <c r="D8173">
        <v>43.97</v>
      </c>
      <c r="E8173">
        <v>67</v>
      </c>
    </row>
    <row r="8174" spans="1:5" x14ac:dyDescent="0.3">
      <c r="A8174" t="s">
        <v>160</v>
      </c>
      <c r="B8174" s="1">
        <v>44699</v>
      </c>
      <c r="C8174">
        <v>1</v>
      </c>
      <c r="D8174">
        <v>80.73</v>
      </c>
      <c r="E8174">
        <v>98</v>
      </c>
    </row>
    <row r="8175" spans="1:5" x14ac:dyDescent="0.3">
      <c r="A8175" t="s">
        <v>160</v>
      </c>
      <c r="B8175" s="1">
        <v>44699</v>
      </c>
      <c r="C8175">
        <v>1</v>
      </c>
      <c r="D8175">
        <v>80.73</v>
      </c>
      <c r="E8175">
        <v>100</v>
      </c>
    </row>
    <row r="8176" spans="1:5" x14ac:dyDescent="0.3">
      <c r="A8176" t="s">
        <v>106</v>
      </c>
      <c r="B8176" s="1">
        <v>44699</v>
      </c>
      <c r="C8176">
        <v>1</v>
      </c>
      <c r="D8176">
        <v>40.54</v>
      </c>
      <c r="E8176">
        <v>50</v>
      </c>
    </row>
    <row r="8177" spans="1:5" x14ac:dyDescent="0.3">
      <c r="A8177" t="s">
        <v>106</v>
      </c>
      <c r="B8177" s="1">
        <v>44699</v>
      </c>
      <c r="C8177">
        <v>1</v>
      </c>
      <c r="D8177">
        <v>40.54</v>
      </c>
      <c r="E8177">
        <v>50</v>
      </c>
    </row>
    <row r="8178" spans="1:5" x14ac:dyDescent="0.3">
      <c r="A8178" t="s">
        <v>106</v>
      </c>
      <c r="B8178" s="1">
        <v>44699</v>
      </c>
      <c r="C8178">
        <v>1</v>
      </c>
      <c r="D8178">
        <v>40.54</v>
      </c>
      <c r="E8178">
        <v>50</v>
      </c>
    </row>
    <row r="8179" spans="1:5" x14ac:dyDescent="0.3">
      <c r="A8179" t="s">
        <v>51</v>
      </c>
      <c r="B8179" s="1">
        <v>44699</v>
      </c>
      <c r="C8179">
        <v>8</v>
      </c>
      <c r="D8179">
        <v>2.1800000000000002</v>
      </c>
      <c r="E8179">
        <v>4</v>
      </c>
    </row>
    <row r="8180" spans="1:5" x14ac:dyDescent="0.3">
      <c r="A8180" t="s">
        <v>20</v>
      </c>
      <c r="B8180" s="1">
        <v>44699</v>
      </c>
      <c r="C8180">
        <v>1</v>
      </c>
      <c r="D8180">
        <v>20.3</v>
      </c>
      <c r="E8180">
        <v>27</v>
      </c>
    </row>
    <row r="8181" spans="1:5" x14ac:dyDescent="0.3">
      <c r="A8181" t="s">
        <v>37</v>
      </c>
      <c r="B8181" s="1">
        <v>44699</v>
      </c>
      <c r="C8181">
        <v>1</v>
      </c>
      <c r="D8181">
        <v>36.86</v>
      </c>
      <c r="E8181">
        <v>47</v>
      </c>
    </row>
    <row r="8182" spans="1:5" x14ac:dyDescent="0.3">
      <c r="A8182" t="s">
        <v>62</v>
      </c>
      <c r="B8182" s="1">
        <v>44699</v>
      </c>
      <c r="C8182">
        <v>1</v>
      </c>
      <c r="D8182">
        <v>24.97</v>
      </c>
      <c r="E8182">
        <v>30</v>
      </c>
    </row>
    <row r="8183" spans="1:5" x14ac:dyDescent="0.3">
      <c r="A8183" t="s">
        <v>39</v>
      </c>
      <c r="B8183" s="1">
        <v>44699</v>
      </c>
      <c r="C8183">
        <v>4</v>
      </c>
      <c r="D8183">
        <v>11.83</v>
      </c>
      <c r="E8183">
        <v>20</v>
      </c>
    </row>
    <row r="8184" spans="1:5" x14ac:dyDescent="0.3">
      <c r="A8184" t="s">
        <v>48</v>
      </c>
      <c r="B8184" s="1">
        <v>44699</v>
      </c>
      <c r="C8184">
        <v>1</v>
      </c>
      <c r="D8184">
        <v>38.67</v>
      </c>
      <c r="E8184">
        <v>59</v>
      </c>
    </row>
    <row r="8185" spans="1:5" x14ac:dyDescent="0.3">
      <c r="A8185" t="s">
        <v>53</v>
      </c>
      <c r="B8185" s="1">
        <v>44699</v>
      </c>
      <c r="C8185">
        <v>1</v>
      </c>
      <c r="D8185">
        <v>23.4</v>
      </c>
      <c r="E8185">
        <v>38</v>
      </c>
    </row>
    <row r="8186" spans="1:5" x14ac:dyDescent="0.3">
      <c r="A8186" t="s">
        <v>18</v>
      </c>
      <c r="B8186" s="1">
        <v>44699</v>
      </c>
      <c r="C8186">
        <v>1</v>
      </c>
      <c r="D8186">
        <v>44</v>
      </c>
      <c r="E8186">
        <v>70</v>
      </c>
    </row>
    <row r="8187" spans="1:5" x14ac:dyDescent="0.3">
      <c r="A8187" t="s">
        <v>98</v>
      </c>
      <c r="B8187" s="1">
        <v>44699</v>
      </c>
      <c r="C8187">
        <v>1</v>
      </c>
      <c r="D8187">
        <v>112.36</v>
      </c>
      <c r="E8187">
        <v>135</v>
      </c>
    </row>
    <row r="8188" spans="1:5" x14ac:dyDescent="0.3">
      <c r="A8188" t="s">
        <v>72</v>
      </c>
      <c r="B8188" s="1">
        <v>44699</v>
      </c>
      <c r="C8188">
        <v>1</v>
      </c>
      <c r="D8188">
        <v>550.89</v>
      </c>
      <c r="E8188">
        <v>728</v>
      </c>
    </row>
    <row r="8189" spans="1:5" x14ac:dyDescent="0.3">
      <c r="A8189" t="s">
        <v>58</v>
      </c>
      <c r="B8189" s="1">
        <v>44699</v>
      </c>
      <c r="C8189">
        <v>1</v>
      </c>
      <c r="D8189">
        <v>78</v>
      </c>
      <c r="E8189">
        <v>94</v>
      </c>
    </row>
    <row r="8190" spans="1:5" x14ac:dyDescent="0.3">
      <c r="A8190" t="s">
        <v>58</v>
      </c>
      <c r="B8190" s="1">
        <v>44699</v>
      </c>
      <c r="C8190">
        <v>1</v>
      </c>
      <c r="D8190">
        <v>78</v>
      </c>
      <c r="E8190">
        <v>94</v>
      </c>
    </row>
    <row r="8191" spans="1:5" x14ac:dyDescent="0.3">
      <c r="A8191" t="s">
        <v>41</v>
      </c>
      <c r="B8191" s="1">
        <v>44699</v>
      </c>
      <c r="C8191">
        <v>1</v>
      </c>
      <c r="D8191">
        <v>12.75</v>
      </c>
      <c r="E8191">
        <v>21</v>
      </c>
    </row>
    <row r="8192" spans="1:5" x14ac:dyDescent="0.3">
      <c r="A8192" t="s">
        <v>66</v>
      </c>
      <c r="B8192" s="1">
        <v>44699</v>
      </c>
      <c r="C8192">
        <v>1</v>
      </c>
      <c r="D8192">
        <v>30.6</v>
      </c>
      <c r="E8192">
        <v>37</v>
      </c>
    </row>
    <row r="8193" spans="1:5" x14ac:dyDescent="0.3">
      <c r="A8193" t="s">
        <v>66</v>
      </c>
      <c r="B8193" s="1">
        <v>44699</v>
      </c>
      <c r="C8193">
        <v>1</v>
      </c>
      <c r="D8193">
        <v>30.6</v>
      </c>
      <c r="E8193">
        <v>37</v>
      </c>
    </row>
    <row r="8194" spans="1:5" x14ac:dyDescent="0.3">
      <c r="A8194" t="s">
        <v>18</v>
      </c>
      <c r="B8194" s="1">
        <v>44699</v>
      </c>
      <c r="C8194">
        <v>1</v>
      </c>
      <c r="D8194">
        <v>46</v>
      </c>
      <c r="E8194">
        <v>70</v>
      </c>
    </row>
    <row r="8195" spans="1:5" x14ac:dyDescent="0.3">
      <c r="A8195" t="s">
        <v>121</v>
      </c>
      <c r="B8195" s="1">
        <v>44699</v>
      </c>
      <c r="C8195">
        <v>1</v>
      </c>
      <c r="D8195">
        <v>7.96</v>
      </c>
      <c r="E8195">
        <v>13</v>
      </c>
    </row>
    <row r="8196" spans="1:5" x14ac:dyDescent="0.3">
      <c r="A8196" t="s">
        <v>27</v>
      </c>
      <c r="B8196" s="1">
        <v>44698</v>
      </c>
      <c r="C8196">
        <v>1</v>
      </c>
      <c r="D8196">
        <v>106.88</v>
      </c>
      <c r="E8196">
        <v>164</v>
      </c>
    </row>
    <row r="8197" spans="1:5" x14ac:dyDescent="0.3">
      <c r="A8197" t="s">
        <v>125</v>
      </c>
      <c r="B8197" s="1">
        <v>44698</v>
      </c>
      <c r="C8197">
        <v>1</v>
      </c>
      <c r="D8197">
        <v>331.43</v>
      </c>
      <c r="E8197">
        <v>431</v>
      </c>
    </row>
    <row r="8198" spans="1:5" x14ac:dyDescent="0.3">
      <c r="A8198" t="s">
        <v>156</v>
      </c>
      <c r="B8198" s="1">
        <v>44698</v>
      </c>
      <c r="C8198">
        <v>1</v>
      </c>
      <c r="D8198">
        <v>248.25</v>
      </c>
      <c r="E8198">
        <v>331</v>
      </c>
    </row>
    <row r="8199" spans="1:5" x14ac:dyDescent="0.3">
      <c r="A8199" t="s">
        <v>45</v>
      </c>
      <c r="B8199" s="1">
        <v>44698</v>
      </c>
      <c r="C8199">
        <v>1</v>
      </c>
      <c r="D8199">
        <v>27.94</v>
      </c>
      <c r="E8199">
        <v>45</v>
      </c>
    </row>
    <row r="8200" spans="1:5" x14ac:dyDescent="0.3">
      <c r="A8200" t="s">
        <v>27</v>
      </c>
      <c r="B8200" s="1">
        <v>44698</v>
      </c>
      <c r="C8200">
        <v>1</v>
      </c>
      <c r="D8200">
        <v>106.88</v>
      </c>
      <c r="E8200">
        <v>164</v>
      </c>
    </row>
    <row r="8201" spans="1:5" x14ac:dyDescent="0.3">
      <c r="A8201" t="s">
        <v>11</v>
      </c>
      <c r="B8201" s="1">
        <v>44698</v>
      </c>
      <c r="C8201">
        <v>1</v>
      </c>
      <c r="D8201">
        <v>24.2</v>
      </c>
      <c r="E8201">
        <v>39</v>
      </c>
    </row>
    <row r="8202" spans="1:5" x14ac:dyDescent="0.3">
      <c r="A8202" t="s">
        <v>19</v>
      </c>
      <c r="B8202" s="1">
        <v>44698</v>
      </c>
      <c r="C8202">
        <v>1</v>
      </c>
      <c r="D8202">
        <v>81.95</v>
      </c>
      <c r="E8202">
        <v>104</v>
      </c>
    </row>
    <row r="8203" spans="1:5" x14ac:dyDescent="0.3">
      <c r="A8203" t="s">
        <v>160</v>
      </c>
      <c r="B8203" s="1">
        <v>44698</v>
      </c>
      <c r="C8203">
        <v>1</v>
      </c>
      <c r="D8203">
        <v>80.73</v>
      </c>
      <c r="E8203">
        <v>100</v>
      </c>
    </row>
    <row r="8204" spans="1:5" x14ac:dyDescent="0.3">
      <c r="A8204" t="s">
        <v>28</v>
      </c>
      <c r="B8204" s="1">
        <v>44698</v>
      </c>
      <c r="C8204">
        <v>1</v>
      </c>
      <c r="D8204">
        <v>146.80000000000001</v>
      </c>
      <c r="E8204">
        <v>199</v>
      </c>
    </row>
    <row r="8205" spans="1:5" x14ac:dyDescent="0.3">
      <c r="A8205" t="s">
        <v>110</v>
      </c>
      <c r="B8205" s="1">
        <v>44698</v>
      </c>
      <c r="C8205">
        <v>1</v>
      </c>
      <c r="D8205">
        <v>206.53</v>
      </c>
      <c r="E8205">
        <v>290</v>
      </c>
    </row>
    <row r="8206" spans="1:5" x14ac:dyDescent="0.3">
      <c r="A8206" t="s">
        <v>11</v>
      </c>
      <c r="B8206" s="1">
        <v>44698</v>
      </c>
      <c r="C8206">
        <v>1</v>
      </c>
      <c r="D8206">
        <v>24.2</v>
      </c>
      <c r="E8206">
        <v>39</v>
      </c>
    </row>
    <row r="8207" spans="1:5" x14ac:dyDescent="0.3">
      <c r="A8207" t="s">
        <v>156</v>
      </c>
      <c r="B8207" s="1">
        <v>44698</v>
      </c>
      <c r="C8207">
        <v>1</v>
      </c>
      <c r="D8207">
        <v>248.25</v>
      </c>
      <c r="E8207">
        <v>343</v>
      </c>
    </row>
    <row r="8208" spans="1:5" x14ac:dyDescent="0.3">
      <c r="A8208" t="s">
        <v>92</v>
      </c>
      <c r="B8208" s="1">
        <v>44698</v>
      </c>
      <c r="C8208">
        <v>5</v>
      </c>
      <c r="D8208">
        <v>5.78</v>
      </c>
      <c r="E8208">
        <v>8</v>
      </c>
    </row>
    <row r="8209" spans="1:5" x14ac:dyDescent="0.3">
      <c r="A8209" t="s">
        <v>54</v>
      </c>
      <c r="B8209" s="1">
        <v>44698</v>
      </c>
      <c r="C8209">
        <v>1</v>
      </c>
      <c r="D8209">
        <v>635.70000000000005</v>
      </c>
      <c r="E8209">
        <v>821</v>
      </c>
    </row>
    <row r="8210" spans="1:5" x14ac:dyDescent="0.3">
      <c r="A8210" t="s">
        <v>78</v>
      </c>
      <c r="B8210" s="1">
        <v>44698</v>
      </c>
      <c r="C8210">
        <v>1</v>
      </c>
      <c r="D8210">
        <v>70.540000000000006</v>
      </c>
      <c r="E8210">
        <v>89</v>
      </c>
    </row>
    <row r="8211" spans="1:5" x14ac:dyDescent="0.3">
      <c r="A8211" t="s">
        <v>72</v>
      </c>
      <c r="B8211" s="1">
        <v>44698</v>
      </c>
      <c r="C8211">
        <v>1</v>
      </c>
      <c r="D8211">
        <v>550.89</v>
      </c>
      <c r="E8211">
        <v>728</v>
      </c>
    </row>
    <row r="8212" spans="1:5" x14ac:dyDescent="0.3">
      <c r="A8212" t="s">
        <v>72</v>
      </c>
      <c r="B8212" s="1">
        <v>44698</v>
      </c>
      <c r="C8212">
        <v>1</v>
      </c>
      <c r="D8212">
        <v>550.89</v>
      </c>
      <c r="E8212">
        <v>728</v>
      </c>
    </row>
    <row r="8213" spans="1:5" x14ac:dyDescent="0.3">
      <c r="A8213" t="s">
        <v>72</v>
      </c>
      <c r="B8213" s="1">
        <v>44698</v>
      </c>
      <c r="C8213">
        <v>1</v>
      </c>
      <c r="D8213">
        <v>550.89</v>
      </c>
      <c r="E8213">
        <v>728</v>
      </c>
    </row>
    <row r="8214" spans="1:5" x14ac:dyDescent="0.3">
      <c r="A8214" t="s">
        <v>25</v>
      </c>
      <c r="B8214" s="1">
        <v>44698</v>
      </c>
      <c r="C8214">
        <v>1</v>
      </c>
      <c r="D8214">
        <v>147.18</v>
      </c>
      <c r="E8214">
        <v>177</v>
      </c>
    </row>
    <row r="8215" spans="1:5" x14ac:dyDescent="0.3">
      <c r="A8215" t="s">
        <v>91</v>
      </c>
      <c r="B8215" s="1">
        <v>44698</v>
      </c>
      <c r="C8215">
        <v>1</v>
      </c>
      <c r="D8215">
        <v>38</v>
      </c>
      <c r="E8215">
        <v>66</v>
      </c>
    </row>
    <row r="8216" spans="1:5" x14ac:dyDescent="0.3">
      <c r="A8216" t="s">
        <v>10</v>
      </c>
      <c r="B8216" s="1">
        <v>44698</v>
      </c>
      <c r="C8216">
        <v>1</v>
      </c>
      <c r="D8216">
        <v>11.33</v>
      </c>
      <c r="E8216">
        <v>13</v>
      </c>
    </row>
    <row r="8217" spans="1:5" x14ac:dyDescent="0.3">
      <c r="A8217" t="s">
        <v>51</v>
      </c>
      <c r="B8217" s="1">
        <v>44698</v>
      </c>
      <c r="C8217">
        <v>8</v>
      </c>
      <c r="D8217">
        <v>2.04</v>
      </c>
      <c r="E8217">
        <v>4</v>
      </c>
    </row>
    <row r="8218" spans="1:5" x14ac:dyDescent="0.3">
      <c r="A8218" t="s">
        <v>106</v>
      </c>
      <c r="B8218" s="1">
        <v>44698</v>
      </c>
      <c r="C8218">
        <v>1</v>
      </c>
      <c r="D8218">
        <v>41.48</v>
      </c>
      <c r="E8218">
        <v>51</v>
      </c>
    </row>
    <row r="8219" spans="1:5" x14ac:dyDescent="0.3">
      <c r="A8219" t="s">
        <v>74</v>
      </c>
      <c r="B8219" s="1">
        <v>44698</v>
      </c>
      <c r="C8219">
        <v>1</v>
      </c>
      <c r="D8219">
        <v>88.49</v>
      </c>
      <c r="E8219">
        <v>110</v>
      </c>
    </row>
    <row r="8220" spans="1:5" x14ac:dyDescent="0.3">
      <c r="A8220" t="s">
        <v>156</v>
      </c>
      <c r="B8220" s="1">
        <v>44698</v>
      </c>
      <c r="C8220">
        <v>1</v>
      </c>
      <c r="D8220">
        <v>248.25</v>
      </c>
      <c r="E8220">
        <v>343</v>
      </c>
    </row>
    <row r="8221" spans="1:5" x14ac:dyDescent="0.3">
      <c r="A8221" t="s">
        <v>41</v>
      </c>
      <c r="B8221" s="1">
        <v>44698</v>
      </c>
      <c r="C8221">
        <v>3</v>
      </c>
      <c r="D8221">
        <v>12.75</v>
      </c>
      <c r="E8221">
        <v>21</v>
      </c>
    </row>
    <row r="8222" spans="1:5" x14ac:dyDescent="0.3">
      <c r="A8222" t="s">
        <v>39</v>
      </c>
      <c r="B8222" s="1">
        <v>44698</v>
      </c>
      <c r="C8222">
        <v>5</v>
      </c>
      <c r="D8222">
        <v>11.83</v>
      </c>
      <c r="E8222">
        <v>20</v>
      </c>
    </row>
    <row r="8223" spans="1:5" x14ac:dyDescent="0.3">
      <c r="A8223" t="s">
        <v>125</v>
      </c>
      <c r="B8223" s="1">
        <v>44698</v>
      </c>
      <c r="C8223">
        <v>1</v>
      </c>
      <c r="D8223">
        <v>331.43</v>
      </c>
      <c r="E8223">
        <v>431</v>
      </c>
    </row>
    <row r="8224" spans="1:5" x14ac:dyDescent="0.3">
      <c r="A8224" t="s">
        <v>11</v>
      </c>
      <c r="B8224" s="1">
        <v>44698</v>
      </c>
      <c r="C8224">
        <v>2</v>
      </c>
      <c r="D8224">
        <v>24.2</v>
      </c>
      <c r="E8224">
        <v>40</v>
      </c>
    </row>
    <row r="8225" spans="1:5" x14ac:dyDescent="0.3">
      <c r="A8225" t="s">
        <v>23</v>
      </c>
      <c r="B8225" s="1">
        <v>44698</v>
      </c>
      <c r="C8225">
        <v>1</v>
      </c>
      <c r="D8225">
        <v>109.41</v>
      </c>
      <c r="E8225">
        <v>123</v>
      </c>
    </row>
    <row r="8226" spans="1:5" x14ac:dyDescent="0.3">
      <c r="A8226" t="s">
        <v>68</v>
      </c>
      <c r="B8226" s="1">
        <v>44698</v>
      </c>
      <c r="C8226">
        <v>1</v>
      </c>
      <c r="D8226">
        <v>53.57</v>
      </c>
      <c r="E8226">
        <v>82</v>
      </c>
    </row>
    <row r="8227" spans="1:5" x14ac:dyDescent="0.3">
      <c r="A8227" t="s">
        <v>68</v>
      </c>
      <c r="B8227" s="1">
        <v>44698</v>
      </c>
      <c r="C8227">
        <v>1</v>
      </c>
      <c r="D8227">
        <v>53.57</v>
      </c>
      <c r="E8227">
        <v>82</v>
      </c>
    </row>
    <row r="8228" spans="1:5" x14ac:dyDescent="0.3">
      <c r="A8228" t="s">
        <v>134</v>
      </c>
      <c r="B8228" s="1">
        <v>44698</v>
      </c>
      <c r="C8228">
        <v>1</v>
      </c>
      <c r="D8228">
        <v>27.41</v>
      </c>
      <c r="E8228">
        <v>42</v>
      </c>
    </row>
    <row r="8229" spans="1:5" x14ac:dyDescent="0.3">
      <c r="A8229" t="s">
        <v>113</v>
      </c>
      <c r="B8229" s="1">
        <v>44698</v>
      </c>
      <c r="C8229">
        <v>1</v>
      </c>
      <c r="D8229">
        <v>159.4</v>
      </c>
      <c r="E8229">
        <v>216</v>
      </c>
    </row>
    <row r="8230" spans="1:5" x14ac:dyDescent="0.3">
      <c r="A8230" t="s">
        <v>66</v>
      </c>
      <c r="B8230" s="1">
        <v>44698</v>
      </c>
      <c r="C8230">
        <v>1</v>
      </c>
      <c r="D8230">
        <v>30.6</v>
      </c>
      <c r="E8230">
        <v>36</v>
      </c>
    </row>
    <row r="8231" spans="1:5" x14ac:dyDescent="0.3">
      <c r="A8231" t="s">
        <v>138</v>
      </c>
      <c r="B8231" s="1">
        <v>44698</v>
      </c>
      <c r="C8231">
        <v>2</v>
      </c>
      <c r="D8231">
        <v>44.4</v>
      </c>
      <c r="E8231">
        <v>77</v>
      </c>
    </row>
    <row r="8232" spans="1:5" x14ac:dyDescent="0.3">
      <c r="A8232" t="s">
        <v>121</v>
      </c>
      <c r="B8232" s="1">
        <v>44698</v>
      </c>
      <c r="C8232">
        <v>7</v>
      </c>
      <c r="D8232">
        <v>11.41</v>
      </c>
      <c r="E8232">
        <v>19</v>
      </c>
    </row>
    <row r="8233" spans="1:5" x14ac:dyDescent="0.3">
      <c r="A8233" t="s">
        <v>121</v>
      </c>
      <c r="B8233" s="1">
        <v>44698</v>
      </c>
      <c r="C8233">
        <v>3</v>
      </c>
      <c r="D8233">
        <v>7.24</v>
      </c>
      <c r="E8233">
        <v>12</v>
      </c>
    </row>
    <row r="8234" spans="1:5" x14ac:dyDescent="0.3">
      <c r="A8234" t="s">
        <v>32</v>
      </c>
      <c r="B8234" s="1">
        <v>44698</v>
      </c>
      <c r="C8234">
        <v>0.1</v>
      </c>
      <c r="D8234">
        <v>149.72999999999999</v>
      </c>
      <c r="E8234">
        <v>236</v>
      </c>
    </row>
    <row r="8235" spans="1:5" x14ac:dyDescent="0.3">
      <c r="A8235" t="s">
        <v>31</v>
      </c>
      <c r="B8235" s="1">
        <v>44698</v>
      </c>
      <c r="C8235">
        <v>1</v>
      </c>
      <c r="D8235">
        <v>13.19</v>
      </c>
      <c r="E8235">
        <v>18</v>
      </c>
    </row>
    <row r="8236" spans="1:5" x14ac:dyDescent="0.3">
      <c r="A8236" t="s">
        <v>10</v>
      </c>
      <c r="B8236" s="1">
        <v>44698</v>
      </c>
      <c r="C8236">
        <v>1</v>
      </c>
      <c r="D8236">
        <v>10.34</v>
      </c>
      <c r="E8236">
        <v>13</v>
      </c>
    </row>
    <row r="8237" spans="1:5" x14ac:dyDescent="0.3">
      <c r="A8237" t="s">
        <v>153</v>
      </c>
      <c r="B8237" s="1">
        <v>44698</v>
      </c>
      <c r="C8237">
        <v>1</v>
      </c>
      <c r="D8237">
        <v>9.4600000000000009</v>
      </c>
      <c r="E8237">
        <v>11</v>
      </c>
    </row>
    <row r="8238" spans="1:5" x14ac:dyDescent="0.3">
      <c r="A8238" t="s">
        <v>26</v>
      </c>
      <c r="B8238" s="1">
        <v>44698</v>
      </c>
      <c r="C8238">
        <v>0.1</v>
      </c>
      <c r="D8238">
        <v>994.36</v>
      </c>
      <c r="E8238">
        <v>1343</v>
      </c>
    </row>
    <row r="8239" spans="1:5" x14ac:dyDescent="0.3">
      <c r="A8239" t="s">
        <v>31</v>
      </c>
      <c r="B8239" s="1">
        <v>44698</v>
      </c>
      <c r="C8239">
        <v>1</v>
      </c>
      <c r="D8239">
        <v>13.19</v>
      </c>
      <c r="E8239">
        <v>18</v>
      </c>
    </row>
    <row r="8240" spans="1:5" x14ac:dyDescent="0.3">
      <c r="A8240" t="s">
        <v>31</v>
      </c>
      <c r="B8240" s="1">
        <v>44698</v>
      </c>
      <c r="C8240">
        <v>1</v>
      </c>
      <c r="D8240">
        <v>13.19</v>
      </c>
      <c r="E8240">
        <v>18</v>
      </c>
    </row>
    <row r="8241" spans="1:5" x14ac:dyDescent="0.3">
      <c r="A8241" t="s">
        <v>31</v>
      </c>
      <c r="B8241" s="1">
        <v>44698</v>
      </c>
      <c r="C8241">
        <v>1</v>
      </c>
      <c r="D8241">
        <v>13.19</v>
      </c>
      <c r="E8241">
        <v>18</v>
      </c>
    </row>
    <row r="8242" spans="1:5" x14ac:dyDescent="0.3">
      <c r="A8242" t="s">
        <v>31</v>
      </c>
      <c r="B8242" s="1">
        <v>44698</v>
      </c>
      <c r="C8242">
        <v>1</v>
      </c>
      <c r="D8242">
        <v>13.19</v>
      </c>
      <c r="E8242">
        <v>18</v>
      </c>
    </row>
    <row r="8243" spans="1:5" x14ac:dyDescent="0.3">
      <c r="A8243" t="s">
        <v>31</v>
      </c>
      <c r="B8243" s="1">
        <v>44698</v>
      </c>
      <c r="C8243">
        <v>1</v>
      </c>
      <c r="D8243">
        <v>13.19</v>
      </c>
      <c r="E8243">
        <v>18</v>
      </c>
    </row>
    <row r="8244" spans="1:5" x14ac:dyDescent="0.3">
      <c r="A8244" t="s">
        <v>137</v>
      </c>
      <c r="B8244" s="1">
        <v>44698</v>
      </c>
      <c r="C8244">
        <v>1</v>
      </c>
      <c r="D8244">
        <v>7.13</v>
      </c>
      <c r="E8244">
        <v>12</v>
      </c>
    </row>
    <row r="8245" spans="1:5" x14ac:dyDescent="0.3">
      <c r="A8245" t="s">
        <v>95</v>
      </c>
      <c r="B8245" s="1">
        <v>44698</v>
      </c>
      <c r="C8245">
        <v>1</v>
      </c>
      <c r="D8245">
        <v>130.88999999999999</v>
      </c>
      <c r="E8245">
        <v>206</v>
      </c>
    </row>
    <row r="8246" spans="1:5" x14ac:dyDescent="0.3">
      <c r="A8246" t="s">
        <v>75</v>
      </c>
      <c r="B8246" s="1">
        <v>44698</v>
      </c>
      <c r="C8246">
        <v>0.1</v>
      </c>
      <c r="D8246">
        <v>433.37</v>
      </c>
      <c r="E8246">
        <v>607</v>
      </c>
    </row>
    <row r="8247" spans="1:5" x14ac:dyDescent="0.3">
      <c r="A8247" t="s">
        <v>19</v>
      </c>
      <c r="B8247" s="1">
        <v>44698</v>
      </c>
      <c r="C8247">
        <v>1</v>
      </c>
      <c r="D8247">
        <v>82.18</v>
      </c>
      <c r="E8247">
        <v>103</v>
      </c>
    </row>
    <row r="8248" spans="1:5" x14ac:dyDescent="0.3">
      <c r="A8248" t="s">
        <v>101</v>
      </c>
      <c r="B8248" s="1">
        <v>44698</v>
      </c>
      <c r="C8248">
        <v>1</v>
      </c>
      <c r="D8248">
        <v>33.9</v>
      </c>
      <c r="E8248">
        <v>54</v>
      </c>
    </row>
    <row r="8249" spans="1:5" x14ac:dyDescent="0.3">
      <c r="A8249" t="s">
        <v>141</v>
      </c>
      <c r="B8249" s="1">
        <v>44698</v>
      </c>
      <c r="C8249">
        <v>2</v>
      </c>
      <c r="D8249">
        <v>10.76</v>
      </c>
      <c r="E8249">
        <v>18</v>
      </c>
    </row>
    <row r="8250" spans="1:5" x14ac:dyDescent="0.3">
      <c r="A8250" t="s">
        <v>20</v>
      </c>
      <c r="B8250" s="1">
        <v>44698</v>
      </c>
      <c r="C8250">
        <v>1</v>
      </c>
      <c r="D8250">
        <v>19.71</v>
      </c>
      <c r="E8250">
        <v>23</v>
      </c>
    </row>
    <row r="8251" spans="1:5" x14ac:dyDescent="0.3">
      <c r="A8251" t="s">
        <v>66</v>
      </c>
      <c r="B8251" s="1">
        <v>44698</v>
      </c>
      <c r="C8251">
        <v>1</v>
      </c>
      <c r="D8251">
        <v>32</v>
      </c>
      <c r="E8251">
        <v>36</v>
      </c>
    </row>
    <row r="8252" spans="1:5" x14ac:dyDescent="0.3">
      <c r="A8252" t="s">
        <v>28</v>
      </c>
      <c r="B8252" s="1">
        <v>44698</v>
      </c>
      <c r="C8252">
        <v>1</v>
      </c>
      <c r="D8252">
        <v>172.24</v>
      </c>
      <c r="E8252">
        <v>192</v>
      </c>
    </row>
    <row r="8253" spans="1:5" x14ac:dyDescent="0.3">
      <c r="A8253" t="s">
        <v>145</v>
      </c>
      <c r="B8253" s="1">
        <v>44698</v>
      </c>
      <c r="C8253">
        <v>1</v>
      </c>
      <c r="D8253">
        <v>25.3</v>
      </c>
      <c r="E8253">
        <v>31</v>
      </c>
    </row>
    <row r="8254" spans="1:5" x14ac:dyDescent="0.3">
      <c r="A8254" t="s">
        <v>145</v>
      </c>
      <c r="B8254" s="1">
        <v>44698</v>
      </c>
      <c r="C8254">
        <v>1</v>
      </c>
      <c r="D8254">
        <v>25.3</v>
      </c>
      <c r="E8254">
        <v>31</v>
      </c>
    </row>
    <row r="8255" spans="1:5" x14ac:dyDescent="0.3">
      <c r="A8255" t="s">
        <v>145</v>
      </c>
      <c r="B8255" s="1">
        <v>44698</v>
      </c>
      <c r="C8255">
        <v>1</v>
      </c>
      <c r="D8255">
        <v>25.3</v>
      </c>
      <c r="E8255">
        <v>31</v>
      </c>
    </row>
    <row r="8256" spans="1:5" x14ac:dyDescent="0.3">
      <c r="A8256" t="s">
        <v>145</v>
      </c>
      <c r="B8256" s="1">
        <v>44698</v>
      </c>
      <c r="C8256">
        <v>1</v>
      </c>
      <c r="D8256">
        <v>25.3</v>
      </c>
      <c r="E8256">
        <v>31</v>
      </c>
    </row>
    <row r="8257" spans="1:5" x14ac:dyDescent="0.3">
      <c r="A8257" t="s">
        <v>145</v>
      </c>
      <c r="B8257" s="1">
        <v>44698</v>
      </c>
      <c r="C8257">
        <v>1</v>
      </c>
      <c r="D8257">
        <v>25.3</v>
      </c>
      <c r="E8257">
        <v>31</v>
      </c>
    </row>
    <row r="8258" spans="1:5" x14ac:dyDescent="0.3">
      <c r="A8258" t="s">
        <v>45</v>
      </c>
      <c r="B8258" s="1">
        <v>44698</v>
      </c>
      <c r="C8258">
        <v>10</v>
      </c>
      <c r="D8258">
        <v>54.42</v>
      </c>
      <c r="E8258">
        <v>57</v>
      </c>
    </row>
    <row r="8259" spans="1:5" x14ac:dyDescent="0.3">
      <c r="A8259" t="s">
        <v>160</v>
      </c>
      <c r="B8259" s="1">
        <v>44698</v>
      </c>
      <c r="C8259">
        <v>1</v>
      </c>
      <c r="D8259">
        <v>80.73</v>
      </c>
      <c r="E8259">
        <v>100</v>
      </c>
    </row>
    <row r="8260" spans="1:5" x14ac:dyDescent="0.3">
      <c r="A8260" t="s">
        <v>40</v>
      </c>
      <c r="B8260" s="1">
        <v>44698</v>
      </c>
      <c r="C8260">
        <v>1</v>
      </c>
      <c r="D8260">
        <v>173.86</v>
      </c>
      <c r="E8260">
        <v>212</v>
      </c>
    </row>
    <row r="8261" spans="1:5" x14ac:dyDescent="0.3">
      <c r="A8261" t="s">
        <v>93</v>
      </c>
      <c r="B8261" s="1">
        <v>44698</v>
      </c>
      <c r="C8261">
        <v>0.122807</v>
      </c>
      <c r="D8261">
        <v>80.27</v>
      </c>
      <c r="E8261">
        <v>114</v>
      </c>
    </row>
    <row r="8262" spans="1:5" x14ac:dyDescent="0.3">
      <c r="A8262" t="s">
        <v>93</v>
      </c>
      <c r="B8262" s="1">
        <v>44698</v>
      </c>
      <c r="C8262">
        <v>0.877193</v>
      </c>
      <c r="D8262">
        <v>80.27</v>
      </c>
      <c r="E8262">
        <v>114</v>
      </c>
    </row>
    <row r="8263" spans="1:5" x14ac:dyDescent="0.3">
      <c r="A8263" t="s">
        <v>147</v>
      </c>
      <c r="B8263" s="1">
        <v>44698</v>
      </c>
      <c r="C8263">
        <v>1</v>
      </c>
      <c r="D8263">
        <v>135.72999999999999</v>
      </c>
      <c r="E8263">
        <v>189</v>
      </c>
    </row>
    <row r="8264" spans="1:5" x14ac:dyDescent="0.3">
      <c r="A8264" t="s">
        <v>78</v>
      </c>
      <c r="B8264" s="1">
        <v>44698</v>
      </c>
      <c r="C8264">
        <v>1</v>
      </c>
      <c r="D8264">
        <v>70.540000000000006</v>
      </c>
      <c r="E8264">
        <v>91</v>
      </c>
    </row>
    <row r="8265" spans="1:5" x14ac:dyDescent="0.3">
      <c r="A8265" t="s">
        <v>64</v>
      </c>
      <c r="B8265" s="1">
        <v>44698</v>
      </c>
      <c r="C8265">
        <v>1</v>
      </c>
      <c r="D8265">
        <v>205.33</v>
      </c>
      <c r="E8265">
        <v>278</v>
      </c>
    </row>
    <row r="8266" spans="1:5" x14ac:dyDescent="0.3">
      <c r="A8266" t="s">
        <v>41</v>
      </c>
      <c r="B8266" s="1">
        <v>44698</v>
      </c>
      <c r="C8266">
        <v>1</v>
      </c>
      <c r="D8266">
        <v>10.92</v>
      </c>
      <c r="E8266">
        <v>18</v>
      </c>
    </row>
    <row r="8267" spans="1:5" x14ac:dyDescent="0.3">
      <c r="A8267" t="s">
        <v>73</v>
      </c>
      <c r="B8267" s="1">
        <v>44698</v>
      </c>
      <c r="C8267">
        <v>2</v>
      </c>
      <c r="D8267">
        <v>7.97</v>
      </c>
      <c r="E8267">
        <v>13</v>
      </c>
    </row>
    <row r="8268" spans="1:5" x14ac:dyDescent="0.3">
      <c r="A8268" t="s">
        <v>100</v>
      </c>
      <c r="B8268" s="1">
        <v>44698</v>
      </c>
      <c r="C8268">
        <v>1</v>
      </c>
      <c r="D8268">
        <v>35.49</v>
      </c>
      <c r="E8268">
        <v>55</v>
      </c>
    </row>
    <row r="8269" spans="1:5" x14ac:dyDescent="0.3">
      <c r="A8269" t="s">
        <v>56</v>
      </c>
      <c r="B8269" s="1">
        <v>44698</v>
      </c>
      <c r="C8269">
        <v>1</v>
      </c>
      <c r="D8269">
        <v>43.97</v>
      </c>
      <c r="E8269">
        <v>70</v>
      </c>
    </row>
    <row r="8270" spans="1:5" x14ac:dyDescent="0.3">
      <c r="A8270" t="s">
        <v>52</v>
      </c>
      <c r="B8270" s="1">
        <v>44698</v>
      </c>
      <c r="C8270">
        <v>1</v>
      </c>
      <c r="D8270">
        <v>202.33</v>
      </c>
      <c r="E8270">
        <v>243</v>
      </c>
    </row>
    <row r="8271" spans="1:5" x14ac:dyDescent="0.3">
      <c r="A8271" t="s">
        <v>93</v>
      </c>
      <c r="B8271" s="1">
        <v>44698</v>
      </c>
      <c r="C8271">
        <v>1</v>
      </c>
      <c r="D8271">
        <v>74.42</v>
      </c>
      <c r="E8271">
        <v>106</v>
      </c>
    </row>
    <row r="8272" spans="1:5" x14ac:dyDescent="0.3">
      <c r="A8272" t="s">
        <v>160</v>
      </c>
      <c r="B8272" s="1">
        <v>44698</v>
      </c>
      <c r="C8272">
        <v>1</v>
      </c>
      <c r="D8272">
        <v>81.819999999999993</v>
      </c>
      <c r="E8272">
        <v>99</v>
      </c>
    </row>
    <row r="8273" spans="1:5" x14ac:dyDescent="0.3">
      <c r="A8273" t="s">
        <v>87</v>
      </c>
      <c r="B8273" s="1">
        <v>44698</v>
      </c>
      <c r="C8273">
        <v>1</v>
      </c>
      <c r="D8273">
        <v>337.26</v>
      </c>
      <c r="E8273">
        <v>402</v>
      </c>
    </row>
    <row r="8274" spans="1:5" x14ac:dyDescent="0.3">
      <c r="A8274" t="s">
        <v>26</v>
      </c>
      <c r="B8274" s="1">
        <v>44698</v>
      </c>
      <c r="C8274">
        <v>0.2</v>
      </c>
      <c r="D8274">
        <v>987.84</v>
      </c>
      <c r="E8274">
        <v>1304</v>
      </c>
    </row>
    <row r="8275" spans="1:5" x14ac:dyDescent="0.3">
      <c r="A8275" t="s">
        <v>16</v>
      </c>
      <c r="B8275" s="1">
        <v>44698</v>
      </c>
      <c r="C8275">
        <v>1</v>
      </c>
      <c r="D8275">
        <v>46.01</v>
      </c>
      <c r="E8275">
        <v>72</v>
      </c>
    </row>
    <row r="8276" spans="1:5" x14ac:dyDescent="0.3">
      <c r="A8276" t="s">
        <v>16</v>
      </c>
      <c r="B8276" s="1">
        <v>44698</v>
      </c>
      <c r="C8276">
        <v>1</v>
      </c>
      <c r="D8276">
        <v>43.62</v>
      </c>
      <c r="E8276">
        <v>68</v>
      </c>
    </row>
    <row r="8277" spans="1:5" x14ac:dyDescent="0.3">
      <c r="A8277" t="s">
        <v>19</v>
      </c>
      <c r="B8277" s="1">
        <v>44698</v>
      </c>
      <c r="C8277">
        <v>1</v>
      </c>
      <c r="D8277">
        <v>81.69</v>
      </c>
      <c r="E8277">
        <v>102</v>
      </c>
    </row>
    <row r="8278" spans="1:5" x14ac:dyDescent="0.3">
      <c r="A8278" t="s">
        <v>12</v>
      </c>
      <c r="B8278" s="1">
        <v>44698</v>
      </c>
      <c r="C8278">
        <v>1</v>
      </c>
      <c r="D8278">
        <v>59.96</v>
      </c>
      <c r="E8278">
        <v>74</v>
      </c>
    </row>
    <row r="8279" spans="1:5" x14ac:dyDescent="0.3">
      <c r="A8279" t="s">
        <v>12</v>
      </c>
      <c r="B8279" s="1">
        <v>44698</v>
      </c>
      <c r="C8279">
        <v>1</v>
      </c>
      <c r="D8279">
        <v>59.96</v>
      </c>
      <c r="E8279">
        <v>74</v>
      </c>
    </row>
    <row r="8280" spans="1:5" x14ac:dyDescent="0.3">
      <c r="A8280" t="s">
        <v>45</v>
      </c>
      <c r="B8280" s="1">
        <v>44698</v>
      </c>
      <c r="C8280">
        <v>3</v>
      </c>
      <c r="D8280">
        <v>27.54</v>
      </c>
      <c r="E8280">
        <v>45</v>
      </c>
    </row>
    <row r="8281" spans="1:5" x14ac:dyDescent="0.3">
      <c r="A8281" t="s">
        <v>48</v>
      </c>
      <c r="B8281" s="1">
        <v>44698</v>
      </c>
      <c r="C8281">
        <v>1</v>
      </c>
      <c r="D8281">
        <v>41.54</v>
      </c>
      <c r="E8281">
        <v>65</v>
      </c>
    </row>
    <row r="8282" spans="1:5" x14ac:dyDescent="0.3">
      <c r="A8282" t="s">
        <v>48</v>
      </c>
      <c r="B8282" s="1">
        <v>44698</v>
      </c>
      <c r="C8282">
        <v>1</v>
      </c>
      <c r="D8282">
        <v>41.54</v>
      </c>
      <c r="E8282">
        <v>65</v>
      </c>
    </row>
    <row r="8283" spans="1:5" x14ac:dyDescent="0.3">
      <c r="A8283" t="s">
        <v>41</v>
      </c>
      <c r="B8283" s="1">
        <v>44698</v>
      </c>
      <c r="C8283">
        <v>2</v>
      </c>
      <c r="D8283">
        <v>12.75</v>
      </c>
      <c r="E8283">
        <v>21</v>
      </c>
    </row>
    <row r="8284" spans="1:5" x14ac:dyDescent="0.3">
      <c r="A8284" t="s">
        <v>27</v>
      </c>
      <c r="B8284" s="1">
        <v>44698</v>
      </c>
      <c r="C8284">
        <v>1</v>
      </c>
      <c r="D8284">
        <v>106.88</v>
      </c>
      <c r="E8284">
        <v>164</v>
      </c>
    </row>
    <row r="8285" spans="1:5" x14ac:dyDescent="0.3">
      <c r="A8285" t="s">
        <v>47</v>
      </c>
      <c r="B8285" s="1">
        <v>44698</v>
      </c>
      <c r="C8285">
        <v>1</v>
      </c>
      <c r="D8285">
        <v>42.85</v>
      </c>
      <c r="E8285">
        <v>67</v>
      </c>
    </row>
    <row r="8286" spans="1:5" x14ac:dyDescent="0.3">
      <c r="A8286" t="s">
        <v>68</v>
      </c>
      <c r="B8286" s="1">
        <v>44698</v>
      </c>
      <c r="C8286">
        <v>1</v>
      </c>
      <c r="D8286">
        <v>53.57</v>
      </c>
      <c r="E8286">
        <v>82</v>
      </c>
    </row>
    <row r="8287" spans="1:5" x14ac:dyDescent="0.3">
      <c r="A8287" t="s">
        <v>141</v>
      </c>
      <c r="B8287" s="1">
        <v>44698</v>
      </c>
      <c r="C8287">
        <v>2</v>
      </c>
      <c r="D8287">
        <v>10.76</v>
      </c>
      <c r="E8287">
        <v>18</v>
      </c>
    </row>
    <row r="8288" spans="1:5" x14ac:dyDescent="0.3">
      <c r="A8288" t="s">
        <v>141</v>
      </c>
      <c r="B8288" s="1">
        <v>44698</v>
      </c>
      <c r="C8288">
        <v>4</v>
      </c>
      <c r="D8288">
        <v>10.76</v>
      </c>
      <c r="E8288">
        <v>18</v>
      </c>
    </row>
    <row r="8289" spans="1:5" x14ac:dyDescent="0.3">
      <c r="A8289" t="s">
        <v>91</v>
      </c>
      <c r="B8289" s="1">
        <v>44698</v>
      </c>
      <c r="C8289">
        <v>1</v>
      </c>
      <c r="D8289">
        <v>35.68</v>
      </c>
      <c r="E8289">
        <v>58</v>
      </c>
    </row>
    <row r="8290" spans="1:5" x14ac:dyDescent="0.3">
      <c r="A8290" t="s">
        <v>10</v>
      </c>
      <c r="B8290" s="1">
        <v>44698</v>
      </c>
      <c r="C8290">
        <v>1</v>
      </c>
      <c r="D8290">
        <v>10.34</v>
      </c>
      <c r="E8290">
        <v>13</v>
      </c>
    </row>
    <row r="8291" spans="1:5" x14ac:dyDescent="0.3">
      <c r="A8291" t="s">
        <v>153</v>
      </c>
      <c r="B8291" s="1">
        <v>44698</v>
      </c>
      <c r="C8291">
        <v>1</v>
      </c>
      <c r="D8291">
        <v>9.4600000000000009</v>
      </c>
      <c r="E8291">
        <v>11</v>
      </c>
    </row>
    <row r="8292" spans="1:5" x14ac:dyDescent="0.3">
      <c r="A8292" t="s">
        <v>21</v>
      </c>
      <c r="B8292" s="1">
        <v>44698</v>
      </c>
      <c r="C8292">
        <v>1</v>
      </c>
      <c r="D8292">
        <v>182.55</v>
      </c>
      <c r="E8292">
        <v>258</v>
      </c>
    </row>
    <row r="8293" spans="1:5" x14ac:dyDescent="0.3">
      <c r="A8293" t="s">
        <v>96</v>
      </c>
      <c r="B8293" s="1">
        <v>44698</v>
      </c>
      <c r="C8293">
        <v>1</v>
      </c>
      <c r="D8293">
        <v>71.17</v>
      </c>
      <c r="E8293">
        <v>102</v>
      </c>
    </row>
    <row r="8294" spans="1:5" x14ac:dyDescent="0.3">
      <c r="A8294" t="s">
        <v>78</v>
      </c>
      <c r="B8294" s="1">
        <v>44698</v>
      </c>
      <c r="C8294">
        <v>1</v>
      </c>
      <c r="D8294">
        <v>66.77</v>
      </c>
      <c r="E8294">
        <v>85</v>
      </c>
    </row>
    <row r="8295" spans="1:5" x14ac:dyDescent="0.3">
      <c r="A8295" t="s">
        <v>79</v>
      </c>
      <c r="B8295" s="1">
        <v>44698</v>
      </c>
      <c r="C8295">
        <v>1</v>
      </c>
      <c r="D8295">
        <v>148.5</v>
      </c>
      <c r="E8295">
        <v>177</v>
      </c>
    </row>
    <row r="8296" spans="1:5" x14ac:dyDescent="0.3">
      <c r="A8296" t="s">
        <v>79</v>
      </c>
      <c r="B8296" s="1">
        <v>44698</v>
      </c>
      <c r="C8296">
        <v>1</v>
      </c>
      <c r="D8296">
        <v>148.5</v>
      </c>
      <c r="E8296">
        <v>177</v>
      </c>
    </row>
    <row r="8297" spans="1:5" x14ac:dyDescent="0.3">
      <c r="A8297" t="s">
        <v>23</v>
      </c>
      <c r="B8297" s="1">
        <v>44698</v>
      </c>
      <c r="C8297">
        <v>1</v>
      </c>
      <c r="D8297">
        <v>110.18</v>
      </c>
      <c r="E8297">
        <v>124</v>
      </c>
    </row>
    <row r="8298" spans="1:5" x14ac:dyDescent="0.3">
      <c r="A8298" t="s">
        <v>81</v>
      </c>
      <c r="B8298" s="1">
        <v>44698</v>
      </c>
      <c r="C8298">
        <v>1</v>
      </c>
      <c r="D8298">
        <v>44.33</v>
      </c>
      <c r="E8298">
        <v>51</v>
      </c>
    </row>
    <row r="8299" spans="1:5" x14ac:dyDescent="0.3">
      <c r="A8299" t="s">
        <v>84</v>
      </c>
      <c r="B8299" s="1">
        <v>44698</v>
      </c>
      <c r="C8299">
        <v>1</v>
      </c>
      <c r="D8299">
        <v>153.75</v>
      </c>
      <c r="E8299">
        <v>193</v>
      </c>
    </row>
    <row r="8300" spans="1:5" x14ac:dyDescent="0.3">
      <c r="A8300" t="s">
        <v>23</v>
      </c>
      <c r="B8300" s="1">
        <v>44698</v>
      </c>
      <c r="C8300">
        <v>1</v>
      </c>
      <c r="D8300">
        <v>109.41</v>
      </c>
      <c r="E8300">
        <v>123</v>
      </c>
    </row>
    <row r="8301" spans="1:5" x14ac:dyDescent="0.3">
      <c r="A8301" t="s">
        <v>76</v>
      </c>
      <c r="B8301" s="1">
        <v>44698</v>
      </c>
      <c r="C8301">
        <v>1</v>
      </c>
      <c r="D8301">
        <v>30.4</v>
      </c>
      <c r="E8301">
        <v>37</v>
      </c>
    </row>
    <row r="8302" spans="1:5" x14ac:dyDescent="0.3">
      <c r="A8302" t="s">
        <v>122</v>
      </c>
      <c r="B8302" s="1">
        <v>44698</v>
      </c>
      <c r="C8302">
        <v>1</v>
      </c>
      <c r="D8302">
        <v>23.42</v>
      </c>
      <c r="E8302">
        <v>28</v>
      </c>
    </row>
    <row r="8303" spans="1:5" x14ac:dyDescent="0.3">
      <c r="A8303" t="s">
        <v>24</v>
      </c>
      <c r="B8303" s="1">
        <v>44698</v>
      </c>
      <c r="C8303">
        <v>1</v>
      </c>
      <c r="D8303">
        <v>106.05</v>
      </c>
      <c r="E8303">
        <v>125</v>
      </c>
    </row>
    <row r="8304" spans="1:5" x14ac:dyDescent="0.3">
      <c r="A8304" t="s">
        <v>65</v>
      </c>
      <c r="B8304" s="1">
        <v>44698</v>
      </c>
      <c r="C8304">
        <v>1</v>
      </c>
      <c r="D8304">
        <v>184.07</v>
      </c>
      <c r="E8304">
        <v>216</v>
      </c>
    </row>
    <row r="8305" spans="1:5" x14ac:dyDescent="0.3">
      <c r="A8305" t="s">
        <v>151</v>
      </c>
      <c r="B8305" s="1">
        <v>44698</v>
      </c>
      <c r="C8305">
        <v>1</v>
      </c>
      <c r="D8305">
        <v>24.24</v>
      </c>
      <c r="E8305">
        <v>30</v>
      </c>
    </row>
    <row r="8306" spans="1:5" x14ac:dyDescent="0.3">
      <c r="A8306" t="s">
        <v>118</v>
      </c>
      <c r="B8306" s="1">
        <v>44698</v>
      </c>
      <c r="C8306">
        <v>2</v>
      </c>
      <c r="D8306">
        <v>11.1</v>
      </c>
      <c r="E8306">
        <v>13</v>
      </c>
    </row>
    <row r="8307" spans="1:5" x14ac:dyDescent="0.3">
      <c r="A8307" t="s">
        <v>118</v>
      </c>
      <c r="B8307" s="1">
        <v>44698</v>
      </c>
      <c r="C8307">
        <v>1</v>
      </c>
      <c r="D8307">
        <v>11.1</v>
      </c>
      <c r="E8307">
        <v>13</v>
      </c>
    </row>
    <row r="8308" spans="1:5" x14ac:dyDescent="0.3">
      <c r="A8308" t="s">
        <v>133</v>
      </c>
      <c r="B8308" s="1">
        <v>44698</v>
      </c>
      <c r="C8308">
        <v>1</v>
      </c>
      <c r="D8308">
        <v>6.13</v>
      </c>
      <c r="E8308">
        <v>10</v>
      </c>
    </row>
    <row r="8309" spans="1:5" x14ac:dyDescent="0.3">
      <c r="A8309" t="s">
        <v>51</v>
      </c>
      <c r="B8309" s="1">
        <v>44698</v>
      </c>
      <c r="C8309">
        <v>8</v>
      </c>
      <c r="D8309">
        <v>2.0499999999999998</v>
      </c>
      <c r="E8309">
        <v>4</v>
      </c>
    </row>
    <row r="8310" spans="1:5" x14ac:dyDescent="0.3">
      <c r="A8310" t="s">
        <v>51</v>
      </c>
      <c r="B8310" s="1">
        <v>44698</v>
      </c>
      <c r="C8310">
        <v>4</v>
      </c>
      <c r="D8310">
        <v>2.0499999999999998</v>
      </c>
      <c r="E8310">
        <v>4</v>
      </c>
    </row>
    <row r="8311" spans="1:5" x14ac:dyDescent="0.3">
      <c r="A8311" t="s">
        <v>118</v>
      </c>
      <c r="B8311" s="1">
        <v>44698</v>
      </c>
      <c r="C8311">
        <v>1</v>
      </c>
      <c r="D8311">
        <v>10.79</v>
      </c>
      <c r="E8311">
        <v>13</v>
      </c>
    </row>
    <row r="8312" spans="1:5" x14ac:dyDescent="0.3">
      <c r="A8312" t="s">
        <v>159</v>
      </c>
      <c r="B8312" s="1">
        <v>44698</v>
      </c>
      <c r="C8312">
        <v>1</v>
      </c>
      <c r="D8312">
        <v>51.18</v>
      </c>
      <c r="E8312">
        <v>63</v>
      </c>
    </row>
    <row r="8313" spans="1:5" x14ac:dyDescent="0.3">
      <c r="A8313" t="s">
        <v>14</v>
      </c>
      <c r="B8313" s="1">
        <v>44698</v>
      </c>
      <c r="C8313">
        <v>0.3</v>
      </c>
      <c r="D8313">
        <v>596.29</v>
      </c>
      <c r="E8313">
        <v>746</v>
      </c>
    </row>
    <row r="8314" spans="1:5" x14ac:dyDescent="0.3">
      <c r="A8314" t="s">
        <v>24</v>
      </c>
      <c r="B8314" s="1">
        <v>44698</v>
      </c>
      <c r="C8314">
        <v>1</v>
      </c>
      <c r="D8314">
        <v>103.96</v>
      </c>
      <c r="E8314">
        <v>125</v>
      </c>
    </row>
    <row r="8315" spans="1:5" x14ac:dyDescent="0.3">
      <c r="A8315" t="s">
        <v>50</v>
      </c>
      <c r="B8315" s="1">
        <v>44698</v>
      </c>
      <c r="C8315">
        <v>1</v>
      </c>
      <c r="D8315">
        <v>43.86</v>
      </c>
      <c r="E8315">
        <v>56</v>
      </c>
    </row>
    <row r="8316" spans="1:5" x14ac:dyDescent="0.3">
      <c r="A8316" t="s">
        <v>96</v>
      </c>
      <c r="B8316" s="1">
        <v>44698</v>
      </c>
      <c r="C8316">
        <v>1</v>
      </c>
      <c r="D8316">
        <v>70.930000000000007</v>
      </c>
      <c r="E8316">
        <v>106</v>
      </c>
    </row>
    <row r="8317" spans="1:5" x14ac:dyDescent="0.3">
      <c r="A8317" t="s">
        <v>113</v>
      </c>
      <c r="B8317" s="1">
        <v>44698</v>
      </c>
      <c r="C8317">
        <v>1</v>
      </c>
      <c r="D8317">
        <v>125.55</v>
      </c>
      <c r="E8317">
        <v>183</v>
      </c>
    </row>
    <row r="8318" spans="1:5" x14ac:dyDescent="0.3">
      <c r="A8318" t="s">
        <v>20</v>
      </c>
      <c r="B8318" s="1">
        <v>44698</v>
      </c>
      <c r="C8318">
        <v>1</v>
      </c>
      <c r="D8318">
        <v>20.3</v>
      </c>
      <c r="E8318">
        <v>27</v>
      </c>
    </row>
    <row r="8319" spans="1:5" x14ac:dyDescent="0.3">
      <c r="A8319" t="s">
        <v>149</v>
      </c>
      <c r="B8319" s="1">
        <v>44698</v>
      </c>
      <c r="C8319">
        <v>1</v>
      </c>
      <c r="D8319">
        <v>213.58</v>
      </c>
      <c r="E8319">
        <v>300</v>
      </c>
    </row>
    <row r="8320" spans="1:5" x14ac:dyDescent="0.3">
      <c r="A8320" t="s">
        <v>73</v>
      </c>
      <c r="B8320" s="1">
        <v>44698</v>
      </c>
      <c r="C8320">
        <v>1</v>
      </c>
      <c r="D8320">
        <v>8.24</v>
      </c>
      <c r="E8320">
        <v>14</v>
      </c>
    </row>
    <row r="8321" spans="1:5" x14ac:dyDescent="0.3">
      <c r="A8321" t="s">
        <v>136</v>
      </c>
      <c r="B8321" s="1">
        <v>44698</v>
      </c>
      <c r="C8321">
        <v>1</v>
      </c>
      <c r="D8321">
        <v>285.86</v>
      </c>
      <c r="E8321">
        <v>401</v>
      </c>
    </row>
    <row r="8322" spans="1:5" x14ac:dyDescent="0.3">
      <c r="A8322" t="s">
        <v>23</v>
      </c>
      <c r="B8322" s="1">
        <v>44698</v>
      </c>
      <c r="C8322">
        <v>1</v>
      </c>
      <c r="D8322">
        <v>109.41</v>
      </c>
      <c r="E8322">
        <v>123</v>
      </c>
    </row>
    <row r="8323" spans="1:5" x14ac:dyDescent="0.3">
      <c r="A8323" t="s">
        <v>23</v>
      </c>
      <c r="B8323" s="1">
        <v>44698</v>
      </c>
      <c r="C8323">
        <v>1</v>
      </c>
      <c r="D8323">
        <v>109.41</v>
      </c>
      <c r="E8323">
        <v>123</v>
      </c>
    </row>
    <row r="8324" spans="1:5" x14ac:dyDescent="0.3">
      <c r="A8324" t="s">
        <v>160</v>
      </c>
      <c r="B8324" s="1">
        <v>44698</v>
      </c>
      <c r="C8324">
        <v>1</v>
      </c>
      <c r="D8324">
        <v>81.8</v>
      </c>
      <c r="E8324">
        <v>99</v>
      </c>
    </row>
    <row r="8325" spans="1:5" x14ac:dyDescent="0.3">
      <c r="A8325" t="s">
        <v>119</v>
      </c>
      <c r="B8325" s="1">
        <v>44698</v>
      </c>
      <c r="C8325">
        <v>3.5714299999999997E-2</v>
      </c>
      <c r="D8325">
        <v>656.19</v>
      </c>
      <c r="E8325">
        <v>722</v>
      </c>
    </row>
    <row r="8326" spans="1:5" x14ac:dyDescent="0.3">
      <c r="A8326" t="s">
        <v>116</v>
      </c>
      <c r="B8326" s="1">
        <v>44698</v>
      </c>
      <c r="C8326">
        <v>1</v>
      </c>
      <c r="D8326">
        <v>101.97</v>
      </c>
      <c r="E8326">
        <v>123</v>
      </c>
    </row>
    <row r="8327" spans="1:5" x14ac:dyDescent="0.3">
      <c r="A8327" t="s">
        <v>160</v>
      </c>
      <c r="B8327" s="1">
        <v>44698</v>
      </c>
      <c r="C8327">
        <v>1</v>
      </c>
      <c r="D8327">
        <v>81.8</v>
      </c>
      <c r="E8327">
        <v>99</v>
      </c>
    </row>
    <row r="8328" spans="1:5" x14ac:dyDescent="0.3">
      <c r="A8328" t="s">
        <v>25</v>
      </c>
      <c r="B8328" s="1">
        <v>44698</v>
      </c>
      <c r="C8328">
        <v>1</v>
      </c>
      <c r="D8328">
        <v>147.18</v>
      </c>
      <c r="E8328">
        <v>177</v>
      </c>
    </row>
    <row r="8329" spans="1:5" x14ac:dyDescent="0.3">
      <c r="A8329" t="s">
        <v>45</v>
      </c>
      <c r="B8329" s="1">
        <v>44698</v>
      </c>
      <c r="C8329">
        <v>1</v>
      </c>
      <c r="D8329">
        <v>27.94</v>
      </c>
      <c r="E8329">
        <v>45</v>
      </c>
    </row>
    <row r="8330" spans="1:5" x14ac:dyDescent="0.3">
      <c r="A8330" t="s">
        <v>146</v>
      </c>
      <c r="B8330" s="1">
        <v>44698</v>
      </c>
      <c r="C8330">
        <v>1</v>
      </c>
      <c r="D8330">
        <v>402.2</v>
      </c>
      <c r="E8330">
        <v>451</v>
      </c>
    </row>
    <row r="8331" spans="1:5" x14ac:dyDescent="0.3">
      <c r="A8331" t="s">
        <v>119</v>
      </c>
      <c r="B8331" s="1">
        <v>44698</v>
      </c>
      <c r="C8331">
        <v>3.5714299999999997E-2</v>
      </c>
      <c r="D8331">
        <v>656.19</v>
      </c>
      <c r="E8331">
        <v>722</v>
      </c>
    </row>
    <row r="8332" spans="1:5" x14ac:dyDescent="0.3">
      <c r="A8332" t="s">
        <v>62</v>
      </c>
      <c r="B8332" s="1">
        <v>44698</v>
      </c>
      <c r="C8332">
        <v>1</v>
      </c>
      <c r="D8332">
        <v>25.71</v>
      </c>
      <c r="E8332">
        <v>29.13</v>
      </c>
    </row>
    <row r="8333" spans="1:5" x14ac:dyDescent="0.3">
      <c r="A8333" t="s">
        <v>112</v>
      </c>
      <c r="B8333" s="1">
        <v>44698</v>
      </c>
      <c r="C8333">
        <v>1</v>
      </c>
      <c r="D8333">
        <v>273.63</v>
      </c>
      <c r="E8333">
        <v>290.45999999999998</v>
      </c>
    </row>
    <row r="8334" spans="1:5" x14ac:dyDescent="0.3">
      <c r="A8334" t="s">
        <v>32</v>
      </c>
      <c r="B8334" s="1">
        <v>44698</v>
      </c>
      <c r="C8334">
        <v>1</v>
      </c>
      <c r="D8334">
        <v>105</v>
      </c>
      <c r="E8334">
        <v>165</v>
      </c>
    </row>
    <row r="8335" spans="1:5" x14ac:dyDescent="0.3">
      <c r="A8335" t="s">
        <v>124</v>
      </c>
      <c r="B8335" s="1">
        <v>44698</v>
      </c>
      <c r="C8335">
        <v>1</v>
      </c>
      <c r="D8335">
        <v>42.85</v>
      </c>
      <c r="E8335">
        <v>70</v>
      </c>
    </row>
    <row r="8336" spans="1:5" x14ac:dyDescent="0.3">
      <c r="A8336" t="s">
        <v>160</v>
      </c>
      <c r="B8336" s="1">
        <v>44698</v>
      </c>
      <c r="C8336">
        <v>1</v>
      </c>
      <c r="D8336">
        <v>81.8</v>
      </c>
      <c r="E8336">
        <v>99</v>
      </c>
    </row>
    <row r="8337" spans="1:5" x14ac:dyDescent="0.3">
      <c r="A8337" t="s">
        <v>25</v>
      </c>
      <c r="B8337" s="1">
        <v>44698</v>
      </c>
      <c r="C8337">
        <v>1</v>
      </c>
      <c r="D8337">
        <v>147.18</v>
      </c>
      <c r="E8337">
        <v>177</v>
      </c>
    </row>
    <row r="8338" spans="1:5" x14ac:dyDescent="0.3">
      <c r="A8338" t="s">
        <v>26</v>
      </c>
      <c r="B8338" s="1">
        <v>44698</v>
      </c>
      <c r="C8338">
        <v>0.1</v>
      </c>
      <c r="D8338">
        <v>1182.26</v>
      </c>
      <c r="E8338">
        <v>1537</v>
      </c>
    </row>
    <row r="8339" spans="1:5" x14ac:dyDescent="0.3">
      <c r="A8339" t="s">
        <v>145</v>
      </c>
      <c r="B8339" s="1">
        <v>44698</v>
      </c>
      <c r="C8339">
        <v>1</v>
      </c>
      <c r="D8339">
        <v>25.3</v>
      </c>
      <c r="E8339">
        <v>31</v>
      </c>
    </row>
    <row r="8340" spans="1:5" x14ac:dyDescent="0.3">
      <c r="A8340" t="s">
        <v>145</v>
      </c>
      <c r="B8340" s="1">
        <v>44698</v>
      </c>
      <c r="C8340">
        <v>1</v>
      </c>
      <c r="D8340">
        <v>25.3</v>
      </c>
      <c r="E8340">
        <v>31</v>
      </c>
    </row>
    <row r="8341" spans="1:5" x14ac:dyDescent="0.3">
      <c r="A8341" t="s">
        <v>42</v>
      </c>
      <c r="B8341" s="1">
        <v>44698</v>
      </c>
      <c r="C8341">
        <v>1</v>
      </c>
      <c r="D8341">
        <v>569.76</v>
      </c>
      <c r="E8341">
        <v>656</v>
      </c>
    </row>
    <row r="8342" spans="1:5" x14ac:dyDescent="0.3">
      <c r="A8342" t="s">
        <v>56</v>
      </c>
      <c r="B8342" s="1">
        <v>44698</v>
      </c>
      <c r="C8342">
        <v>1</v>
      </c>
      <c r="D8342">
        <v>43.97</v>
      </c>
      <c r="E8342">
        <v>67</v>
      </c>
    </row>
    <row r="8343" spans="1:5" x14ac:dyDescent="0.3">
      <c r="A8343" t="s">
        <v>25</v>
      </c>
      <c r="B8343" s="1">
        <v>44698</v>
      </c>
      <c r="C8343">
        <v>1</v>
      </c>
      <c r="D8343">
        <v>147.18</v>
      </c>
      <c r="E8343">
        <v>177</v>
      </c>
    </row>
    <row r="8344" spans="1:5" x14ac:dyDescent="0.3">
      <c r="A8344" t="s">
        <v>70</v>
      </c>
      <c r="B8344" s="1">
        <v>44698</v>
      </c>
      <c r="C8344">
        <v>1</v>
      </c>
      <c r="D8344">
        <v>184.39</v>
      </c>
      <c r="E8344">
        <v>218</v>
      </c>
    </row>
    <row r="8345" spans="1:5" x14ac:dyDescent="0.3">
      <c r="A8345" t="s">
        <v>56</v>
      </c>
      <c r="B8345" s="1">
        <v>44698</v>
      </c>
      <c r="C8345">
        <v>1</v>
      </c>
      <c r="D8345">
        <v>43.86</v>
      </c>
      <c r="E8345">
        <v>67</v>
      </c>
    </row>
    <row r="8346" spans="1:5" x14ac:dyDescent="0.3">
      <c r="A8346" t="s">
        <v>111</v>
      </c>
      <c r="B8346" s="1">
        <v>44698</v>
      </c>
      <c r="C8346">
        <v>1</v>
      </c>
      <c r="D8346">
        <v>164.96</v>
      </c>
      <c r="E8346">
        <v>198</v>
      </c>
    </row>
    <row r="8347" spans="1:5" x14ac:dyDescent="0.3">
      <c r="A8347" t="s">
        <v>31</v>
      </c>
      <c r="B8347" s="1">
        <v>44698</v>
      </c>
      <c r="C8347">
        <v>1</v>
      </c>
      <c r="D8347">
        <v>12.59</v>
      </c>
      <c r="E8347">
        <v>17</v>
      </c>
    </row>
    <row r="8348" spans="1:5" x14ac:dyDescent="0.3">
      <c r="A8348" t="s">
        <v>136</v>
      </c>
      <c r="B8348" s="1">
        <v>44698</v>
      </c>
      <c r="C8348">
        <v>1</v>
      </c>
      <c r="D8348">
        <v>287.61</v>
      </c>
      <c r="E8348">
        <v>389</v>
      </c>
    </row>
    <row r="8349" spans="1:5" x14ac:dyDescent="0.3">
      <c r="A8349" t="s">
        <v>160</v>
      </c>
      <c r="B8349" s="1">
        <v>44698</v>
      </c>
      <c r="C8349">
        <v>1</v>
      </c>
      <c r="D8349">
        <v>81.8</v>
      </c>
      <c r="E8349">
        <v>99</v>
      </c>
    </row>
    <row r="8350" spans="1:5" x14ac:dyDescent="0.3">
      <c r="A8350" t="s">
        <v>96</v>
      </c>
      <c r="B8350" s="1">
        <v>44698</v>
      </c>
      <c r="C8350">
        <v>1</v>
      </c>
      <c r="D8350">
        <v>71.89</v>
      </c>
      <c r="E8350">
        <v>103</v>
      </c>
    </row>
    <row r="8351" spans="1:5" x14ac:dyDescent="0.3">
      <c r="A8351" t="s">
        <v>61</v>
      </c>
      <c r="B8351" s="1">
        <v>44698</v>
      </c>
      <c r="C8351">
        <v>1</v>
      </c>
      <c r="D8351">
        <v>32.85</v>
      </c>
      <c r="E8351">
        <v>50</v>
      </c>
    </row>
    <row r="8352" spans="1:5" x14ac:dyDescent="0.3">
      <c r="A8352" t="s">
        <v>24</v>
      </c>
      <c r="B8352" s="1">
        <v>44698</v>
      </c>
      <c r="C8352">
        <v>1</v>
      </c>
      <c r="D8352">
        <v>98.67</v>
      </c>
      <c r="E8352">
        <v>123</v>
      </c>
    </row>
    <row r="8353" spans="1:5" x14ac:dyDescent="0.3">
      <c r="A8353" t="s">
        <v>131</v>
      </c>
      <c r="B8353" s="1">
        <v>44698</v>
      </c>
      <c r="C8353">
        <v>1</v>
      </c>
      <c r="D8353">
        <v>361.91</v>
      </c>
      <c r="E8353">
        <v>417</v>
      </c>
    </row>
    <row r="8354" spans="1:5" x14ac:dyDescent="0.3">
      <c r="A8354" t="s">
        <v>39</v>
      </c>
      <c r="B8354" s="1">
        <v>44698</v>
      </c>
      <c r="C8354">
        <v>5</v>
      </c>
      <c r="D8354">
        <v>13.72</v>
      </c>
      <c r="E8354">
        <v>23</v>
      </c>
    </row>
    <row r="8355" spans="1:5" x14ac:dyDescent="0.3">
      <c r="A8355" t="s">
        <v>120</v>
      </c>
      <c r="B8355" s="1">
        <v>44698</v>
      </c>
      <c r="C8355">
        <v>1</v>
      </c>
      <c r="D8355">
        <v>132.56</v>
      </c>
      <c r="E8355">
        <v>187</v>
      </c>
    </row>
    <row r="8356" spans="1:5" x14ac:dyDescent="0.3">
      <c r="A8356" t="s">
        <v>84</v>
      </c>
      <c r="B8356" s="1">
        <v>44698</v>
      </c>
      <c r="C8356">
        <v>1</v>
      </c>
      <c r="D8356">
        <v>153.75</v>
      </c>
      <c r="E8356">
        <v>193</v>
      </c>
    </row>
    <row r="8357" spans="1:5" x14ac:dyDescent="0.3">
      <c r="A8357" t="s">
        <v>30</v>
      </c>
      <c r="B8357" s="1">
        <v>44698</v>
      </c>
      <c r="C8357">
        <v>1</v>
      </c>
      <c r="D8357">
        <v>156.19999999999999</v>
      </c>
      <c r="E8357">
        <v>189</v>
      </c>
    </row>
    <row r="8358" spans="1:5" x14ac:dyDescent="0.3">
      <c r="A8358" t="s">
        <v>124</v>
      </c>
      <c r="B8358" s="1">
        <v>44698</v>
      </c>
      <c r="C8358">
        <v>1</v>
      </c>
      <c r="D8358">
        <v>36.75</v>
      </c>
      <c r="E8358">
        <v>59</v>
      </c>
    </row>
    <row r="8359" spans="1:5" x14ac:dyDescent="0.3">
      <c r="A8359" t="s">
        <v>90</v>
      </c>
      <c r="B8359" s="1">
        <v>44698</v>
      </c>
      <c r="C8359">
        <v>1</v>
      </c>
      <c r="D8359">
        <v>384.2</v>
      </c>
      <c r="E8359">
        <v>473</v>
      </c>
    </row>
    <row r="8360" spans="1:5" x14ac:dyDescent="0.3">
      <c r="A8360" t="s">
        <v>131</v>
      </c>
      <c r="B8360" s="1">
        <v>44698</v>
      </c>
      <c r="C8360">
        <v>1</v>
      </c>
      <c r="D8360">
        <v>356.07</v>
      </c>
      <c r="E8360">
        <v>417</v>
      </c>
    </row>
    <row r="8361" spans="1:5" x14ac:dyDescent="0.3">
      <c r="A8361" t="s">
        <v>49</v>
      </c>
      <c r="B8361" s="1">
        <v>44698</v>
      </c>
      <c r="C8361">
        <v>1</v>
      </c>
      <c r="D8361">
        <v>16.579999999999998</v>
      </c>
      <c r="E8361">
        <v>20</v>
      </c>
    </row>
    <row r="8362" spans="1:5" x14ac:dyDescent="0.3">
      <c r="A8362" t="s">
        <v>104</v>
      </c>
      <c r="B8362" s="1">
        <v>44698</v>
      </c>
      <c r="C8362">
        <v>1</v>
      </c>
      <c r="D8362">
        <v>44.71</v>
      </c>
      <c r="E8362">
        <v>56</v>
      </c>
    </row>
    <row r="8363" spans="1:5" x14ac:dyDescent="0.3">
      <c r="A8363" t="s">
        <v>41</v>
      </c>
      <c r="B8363" s="1">
        <v>44698</v>
      </c>
      <c r="C8363">
        <v>2</v>
      </c>
      <c r="D8363">
        <v>10.92</v>
      </c>
      <c r="E8363">
        <v>18</v>
      </c>
    </row>
    <row r="8364" spans="1:5" x14ac:dyDescent="0.3">
      <c r="A8364" t="s">
        <v>116</v>
      </c>
      <c r="B8364" s="1">
        <v>44698</v>
      </c>
      <c r="C8364">
        <v>1</v>
      </c>
      <c r="D8364">
        <v>101.97</v>
      </c>
      <c r="E8364">
        <v>123</v>
      </c>
    </row>
    <row r="8365" spans="1:5" x14ac:dyDescent="0.3">
      <c r="A8365" t="s">
        <v>147</v>
      </c>
      <c r="B8365" s="1">
        <v>44698</v>
      </c>
      <c r="C8365">
        <v>1</v>
      </c>
      <c r="D8365">
        <v>137.55000000000001</v>
      </c>
      <c r="E8365">
        <v>194</v>
      </c>
    </row>
    <row r="8366" spans="1:5" x14ac:dyDescent="0.3">
      <c r="A8366" t="s">
        <v>65</v>
      </c>
      <c r="B8366" s="1">
        <v>44698</v>
      </c>
      <c r="C8366">
        <v>1</v>
      </c>
      <c r="D8366">
        <v>184.45</v>
      </c>
      <c r="E8366">
        <v>235</v>
      </c>
    </row>
    <row r="8367" spans="1:5" x14ac:dyDescent="0.3">
      <c r="A8367" t="s">
        <v>31</v>
      </c>
      <c r="B8367" s="1">
        <v>44698</v>
      </c>
      <c r="C8367">
        <v>1</v>
      </c>
      <c r="D8367">
        <v>13.19</v>
      </c>
      <c r="E8367">
        <v>18</v>
      </c>
    </row>
    <row r="8368" spans="1:5" x14ac:dyDescent="0.3">
      <c r="A8368" t="s">
        <v>93</v>
      </c>
      <c r="B8368" s="1">
        <v>44698</v>
      </c>
      <c r="C8368">
        <v>1</v>
      </c>
      <c r="D8368">
        <v>65.400000000000006</v>
      </c>
      <c r="E8368">
        <v>93</v>
      </c>
    </row>
    <row r="8369" spans="1:5" x14ac:dyDescent="0.3">
      <c r="A8369" t="s">
        <v>7</v>
      </c>
      <c r="B8369" s="1">
        <v>44698</v>
      </c>
      <c r="C8369">
        <v>1</v>
      </c>
      <c r="D8369">
        <v>87.93</v>
      </c>
      <c r="E8369">
        <v>104</v>
      </c>
    </row>
    <row r="8370" spans="1:5" x14ac:dyDescent="0.3">
      <c r="A8370" t="s">
        <v>135</v>
      </c>
      <c r="B8370" s="1">
        <v>44698</v>
      </c>
      <c r="C8370">
        <v>1</v>
      </c>
      <c r="D8370">
        <v>74.38</v>
      </c>
      <c r="E8370">
        <v>92</v>
      </c>
    </row>
    <row r="8371" spans="1:5" x14ac:dyDescent="0.3">
      <c r="A8371" t="s">
        <v>149</v>
      </c>
      <c r="B8371" s="1">
        <v>44698</v>
      </c>
      <c r="C8371">
        <v>1</v>
      </c>
      <c r="D8371">
        <v>199.99</v>
      </c>
      <c r="E8371">
        <v>278</v>
      </c>
    </row>
    <row r="8372" spans="1:5" x14ac:dyDescent="0.3">
      <c r="A8372" t="s">
        <v>157</v>
      </c>
      <c r="B8372" s="1">
        <v>44698</v>
      </c>
      <c r="C8372">
        <v>1</v>
      </c>
      <c r="D8372">
        <v>12</v>
      </c>
      <c r="E8372">
        <v>20</v>
      </c>
    </row>
    <row r="8373" spans="1:5" x14ac:dyDescent="0.3">
      <c r="A8373" t="s">
        <v>47</v>
      </c>
      <c r="B8373" s="1">
        <v>44698</v>
      </c>
      <c r="C8373">
        <v>1</v>
      </c>
      <c r="D8373">
        <v>42.85</v>
      </c>
      <c r="E8373">
        <v>67</v>
      </c>
    </row>
    <row r="8374" spans="1:5" x14ac:dyDescent="0.3">
      <c r="A8374" t="s">
        <v>36</v>
      </c>
      <c r="B8374" s="1">
        <v>44698</v>
      </c>
      <c r="C8374">
        <v>1</v>
      </c>
      <c r="D8374">
        <v>22.93</v>
      </c>
      <c r="E8374">
        <v>29</v>
      </c>
    </row>
    <row r="8375" spans="1:5" x14ac:dyDescent="0.3">
      <c r="A8375" t="s">
        <v>36</v>
      </c>
      <c r="B8375" s="1">
        <v>44698</v>
      </c>
      <c r="C8375">
        <v>1</v>
      </c>
      <c r="D8375">
        <v>22.93</v>
      </c>
      <c r="E8375">
        <v>29</v>
      </c>
    </row>
    <row r="8376" spans="1:5" x14ac:dyDescent="0.3">
      <c r="A8376" t="s">
        <v>36</v>
      </c>
      <c r="B8376" s="1">
        <v>44698</v>
      </c>
      <c r="C8376">
        <v>1</v>
      </c>
      <c r="D8376">
        <v>22.93</v>
      </c>
      <c r="E8376">
        <v>29</v>
      </c>
    </row>
    <row r="8377" spans="1:5" x14ac:dyDescent="0.3">
      <c r="A8377" t="s">
        <v>36</v>
      </c>
      <c r="B8377" s="1">
        <v>44698</v>
      </c>
      <c r="C8377">
        <v>1</v>
      </c>
      <c r="D8377">
        <v>22.93</v>
      </c>
      <c r="E8377">
        <v>29</v>
      </c>
    </row>
    <row r="8378" spans="1:5" x14ac:dyDescent="0.3">
      <c r="A8378" t="s">
        <v>64</v>
      </c>
      <c r="B8378" s="1">
        <v>44698</v>
      </c>
      <c r="C8378">
        <v>1</v>
      </c>
      <c r="D8378">
        <v>198.66</v>
      </c>
      <c r="E8378">
        <v>273</v>
      </c>
    </row>
    <row r="8379" spans="1:5" x14ac:dyDescent="0.3">
      <c r="A8379" t="s">
        <v>120</v>
      </c>
      <c r="B8379" s="1">
        <v>44698</v>
      </c>
      <c r="C8379">
        <v>1</v>
      </c>
      <c r="D8379">
        <v>132.26</v>
      </c>
      <c r="E8379">
        <v>182</v>
      </c>
    </row>
    <row r="8380" spans="1:5" x14ac:dyDescent="0.3">
      <c r="A8380" t="s">
        <v>136</v>
      </c>
      <c r="B8380" s="1">
        <v>44698</v>
      </c>
      <c r="C8380">
        <v>1</v>
      </c>
      <c r="D8380">
        <v>285.86</v>
      </c>
      <c r="E8380">
        <v>392</v>
      </c>
    </row>
    <row r="8381" spans="1:5" x14ac:dyDescent="0.3">
      <c r="A8381" t="s">
        <v>18</v>
      </c>
      <c r="B8381" s="1">
        <v>44698</v>
      </c>
      <c r="C8381">
        <v>1</v>
      </c>
      <c r="D8381">
        <v>44</v>
      </c>
      <c r="E8381">
        <v>67</v>
      </c>
    </row>
    <row r="8382" spans="1:5" x14ac:dyDescent="0.3">
      <c r="A8382" t="s">
        <v>18</v>
      </c>
      <c r="B8382" s="1">
        <v>44698</v>
      </c>
      <c r="C8382">
        <v>1</v>
      </c>
      <c r="D8382">
        <v>44</v>
      </c>
      <c r="E8382">
        <v>70</v>
      </c>
    </row>
    <row r="8383" spans="1:5" x14ac:dyDescent="0.3">
      <c r="A8383" t="s">
        <v>25</v>
      </c>
      <c r="B8383" s="1">
        <v>44698</v>
      </c>
      <c r="C8383">
        <v>1</v>
      </c>
      <c r="D8383">
        <v>147.18</v>
      </c>
      <c r="E8383">
        <v>177</v>
      </c>
    </row>
    <row r="8384" spans="1:5" x14ac:dyDescent="0.3">
      <c r="A8384" t="s">
        <v>47</v>
      </c>
      <c r="B8384" s="1">
        <v>44698</v>
      </c>
      <c r="C8384">
        <v>1</v>
      </c>
      <c r="D8384">
        <v>42.85</v>
      </c>
      <c r="E8384">
        <v>67</v>
      </c>
    </row>
    <row r="8385" spans="1:5" x14ac:dyDescent="0.3">
      <c r="A8385" t="s">
        <v>45</v>
      </c>
      <c r="B8385" s="1">
        <v>44698</v>
      </c>
      <c r="C8385">
        <v>1</v>
      </c>
      <c r="D8385">
        <v>27.94</v>
      </c>
      <c r="E8385">
        <v>45</v>
      </c>
    </row>
    <row r="8386" spans="1:5" x14ac:dyDescent="0.3">
      <c r="A8386" t="s">
        <v>28</v>
      </c>
      <c r="B8386" s="1">
        <v>44698</v>
      </c>
      <c r="C8386">
        <v>1</v>
      </c>
      <c r="D8386">
        <v>136.6</v>
      </c>
      <c r="E8386">
        <v>188</v>
      </c>
    </row>
    <row r="8387" spans="1:5" x14ac:dyDescent="0.3">
      <c r="A8387" t="s">
        <v>87</v>
      </c>
      <c r="B8387" s="1">
        <v>44698</v>
      </c>
      <c r="C8387">
        <v>1</v>
      </c>
      <c r="D8387">
        <v>348.66</v>
      </c>
      <c r="E8387">
        <v>414</v>
      </c>
    </row>
    <row r="8388" spans="1:5" x14ac:dyDescent="0.3">
      <c r="A8388" t="s">
        <v>138</v>
      </c>
      <c r="B8388" s="1">
        <v>44698</v>
      </c>
      <c r="C8388">
        <v>2</v>
      </c>
      <c r="D8388">
        <v>46.5</v>
      </c>
      <c r="E8388">
        <v>76</v>
      </c>
    </row>
    <row r="8389" spans="1:5" x14ac:dyDescent="0.3">
      <c r="A8389" t="s">
        <v>31</v>
      </c>
      <c r="B8389" s="1">
        <v>44698</v>
      </c>
      <c r="C8389">
        <v>1</v>
      </c>
      <c r="D8389">
        <v>13.19</v>
      </c>
      <c r="E8389">
        <v>18</v>
      </c>
    </row>
    <row r="8390" spans="1:5" x14ac:dyDescent="0.3">
      <c r="A8390" t="s">
        <v>90</v>
      </c>
      <c r="B8390" s="1">
        <v>44698</v>
      </c>
      <c r="C8390">
        <v>1</v>
      </c>
      <c r="D8390">
        <v>384.2</v>
      </c>
      <c r="E8390">
        <v>481</v>
      </c>
    </row>
    <row r="8391" spans="1:5" x14ac:dyDescent="0.3">
      <c r="A8391" t="s">
        <v>52</v>
      </c>
      <c r="B8391" s="1">
        <v>44698</v>
      </c>
      <c r="C8391">
        <v>1</v>
      </c>
      <c r="D8391">
        <v>221.19</v>
      </c>
      <c r="E8391">
        <v>262</v>
      </c>
    </row>
    <row r="8392" spans="1:5" x14ac:dyDescent="0.3">
      <c r="A8392" t="s">
        <v>61</v>
      </c>
      <c r="B8392" s="1">
        <v>44698</v>
      </c>
      <c r="C8392">
        <v>1</v>
      </c>
      <c r="D8392">
        <v>33.11</v>
      </c>
      <c r="E8392">
        <v>51</v>
      </c>
    </row>
    <row r="8393" spans="1:5" x14ac:dyDescent="0.3">
      <c r="A8393" t="s">
        <v>148</v>
      </c>
      <c r="B8393" s="1">
        <v>44698</v>
      </c>
      <c r="C8393">
        <v>1</v>
      </c>
      <c r="D8393">
        <v>37.75</v>
      </c>
      <c r="E8393">
        <v>58</v>
      </c>
    </row>
    <row r="8394" spans="1:5" x14ac:dyDescent="0.3">
      <c r="A8394" t="s">
        <v>35</v>
      </c>
      <c r="B8394" s="1">
        <v>44698</v>
      </c>
      <c r="C8394">
        <v>1</v>
      </c>
      <c r="D8394">
        <v>35</v>
      </c>
      <c r="E8394">
        <v>54</v>
      </c>
    </row>
    <row r="8395" spans="1:5" x14ac:dyDescent="0.3">
      <c r="A8395" t="s">
        <v>90</v>
      </c>
      <c r="B8395" s="1">
        <v>44698</v>
      </c>
      <c r="C8395">
        <v>1</v>
      </c>
      <c r="D8395">
        <v>384.2</v>
      </c>
      <c r="E8395">
        <v>462</v>
      </c>
    </row>
    <row r="8396" spans="1:5" x14ac:dyDescent="0.3">
      <c r="A8396" t="s">
        <v>48</v>
      </c>
      <c r="B8396" s="1">
        <v>44698</v>
      </c>
      <c r="C8396">
        <v>1</v>
      </c>
      <c r="D8396">
        <v>35.200000000000003</v>
      </c>
      <c r="E8396">
        <v>55</v>
      </c>
    </row>
    <row r="8397" spans="1:5" x14ac:dyDescent="0.3">
      <c r="A8397" t="s">
        <v>45</v>
      </c>
      <c r="B8397" s="1">
        <v>44698</v>
      </c>
      <c r="C8397">
        <v>1</v>
      </c>
      <c r="D8397">
        <v>25.25</v>
      </c>
      <c r="E8397">
        <v>41</v>
      </c>
    </row>
    <row r="8398" spans="1:5" x14ac:dyDescent="0.3">
      <c r="A8398" t="s">
        <v>160</v>
      </c>
      <c r="B8398" s="1">
        <v>44698</v>
      </c>
      <c r="C8398">
        <v>1</v>
      </c>
      <c r="D8398">
        <v>81.8</v>
      </c>
      <c r="E8398">
        <v>99</v>
      </c>
    </row>
    <row r="8399" spans="1:5" x14ac:dyDescent="0.3">
      <c r="A8399" t="s">
        <v>47</v>
      </c>
      <c r="B8399" s="1">
        <v>44698</v>
      </c>
      <c r="C8399">
        <v>1</v>
      </c>
      <c r="D8399">
        <v>46.14</v>
      </c>
      <c r="E8399">
        <v>73</v>
      </c>
    </row>
    <row r="8400" spans="1:5" x14ac:dyDescent="0.3">
      <c r="A8400" t="s">
        <v>88</v>
      </c>
      <c r="B8400" s="1">
        <v>44698</v>
      </c>
      <c r="C8400">
        <v>1</v>
      </c>
      <c r="D8400">
        <v>106.51</v>
      </c>
      <c r="E8400">
        <v>163</v>
      </c>
    </row>
    <row r="8401" spans="1:5" x14ac:dyDescent="0.3">
      <c r="A8401" t="s">
        <v>134</v>
      </c>
      <c r="B8401" s="1">
        <v>44698</v>
      </c>
      <c r="C8401">
        <v>1</v>
      </c>
      <c r="D8401">
        <v>26.6</v>
      </c>
      <c r="E8401">
        <v>42</v>
      </c>
    </row>
    <row r="8402" spans="1:5" x14ac:dyDescent="0.3">
      <c r="A8402" t="s">
        <v>157</v>
      </c>
      <c r="B8402" s="1">
        <v>44698</v>
      </c>
      <c r="C8402">
        <v>1</v>
      </c>
      <c r="D8402">
        <v>12</v>
      </c>
      <c r="E8402">
        <v>20</v>
      </c>
    </row>
    <row r="8403" spans="1:5" x14ac:dyDescent="0.3">
      <c r="A8403" t="s">
        <v>122</v>
      </c>
      <c r="B8403" s="1">
        <v>44698</v>
      </c>
      <c r="C8403">
        <v>1</v>
      </c>
      <c r="D8403">
        <v>20.78</v>
      </c>
      <c r="E8403">
        <v>26</v>
      </c>
    </row>
    <row r="8404" spans="1:5" x14ac:dyDescent="0.3">
      <c r="A8404" t="s">
        <v>24</v>
      </c>
      <c r="B8404" s="1">
        <v>44698</v>
      </c>
      <c r="C8404">
        <v>1</v>
      </c>
      <c r="D8404">
        <v>98.67</v>
      </c>
      <c r="E8404">
        <v>123</v>
      </c>
    </row>
    <row r="8405" spans="1:5" x14ac:dyDescent="0.3">
      <c r="A8405" t="s">
        <v>47</v>
      </c>
      <c r="B8405" s="1">
        <v>44698</v>
      </c>
      <c r="C8405">
        <v>1</v>
      </c>
      <c r="D8405">
        <v>43.08</v>
      </c>
      <c r="E8405">
        <v>66</v>
      </c>
    </row>
    <row r="8406" spans="1:5" x14ac:dyDescent="0.3">
      <c r="A8406" t="s">
        <v>56</v>
      </c>
      <c r="B8406" s="1">
        <v>44698</v>
      </c>
      <c r="C8406">
        <v>1</v>
      </c>
      <c r="D8406">
        <v>43.97</v>
      </c>
      <c r="E8406">
        <v>67</v>
      </c>
    </row>
    <row r="8407" spans="1:5" x14ac:dyDescent="0.3">
      <c r="A8407" t="s">
        <v>66</v>
      </c>
      <c r="B8407" s="1">
        <v>44698</v>
      </c>
      <c r="C8407">
        <v>1</v>
      </c>
      <c r="D8407">
        <v>30.6</v>
      </c>
      <c r="E8407">
        <v>36</v>
      </c>
    </row>
    <row r="8408" spans="1:5" x14ac:dyDescent="0.3">
      <c r="A8408" t="s">
        <v>66</v>
      </c>
      <c r="B8408" s="1">
        <v>44698</v>
      </c>
      <c r="C8408">
        <v>1</v>
      </c>
      <c r="D8408">
        <v>30.6</v>
      </c>
      <c r="E8408">
        <v>36</v>
      </c>
    </row>
    <row r="8409" spans="1:5" x14ac:dyDescent="0.3">
      <c r="A8409" t="s">
        <v>49</v>
      </c>
      <c r="B8409" s="1">
        <v>44698</v>
      </c>
      <c r="C8409">
        <v>1</v>
      </c>
      <c r="D8409">
        <v>16.02</v>
      </c>
      <c r="E8409">
        <v>19</v>
      </c>
    </row>
    <row r="8410" spans="1:5" x14ac:dyDescent="0.3">
      <c r="A8410" t="s">
        <v>49</v>
      </c>
      <c r="B8410" s="1">
        <v>44698</v>
      </c>
      <c r="C8410">
        <v>1</v>
      </c>
      <c r="D8410">
        <v>16.02</v>
      </c>
      <c r="E8410">
        <v>19</v>
      </c>
    </row>
    <row r="8411" spans="1:5" x14ac:dyDescent="0.3">
      <c r="A8411" t="s">
        <v>133</v>
      </c>
      <c r="B8411" s="1">
        <v>44698</v>
      </c>
      <c r="C8411">
        <v>20</v>
      </c>
      <c r="D8411">
        <v>6.13</v>
      </c>
      <c r="E8411">
        <v>10</v>
      </c>
    </row>
    <row r="8412" spans="1:5" x14ac:dyDescent="0.3">
      <c r="A8412" t="s">
        <v>72</v>
      </c>
      <c r="B8412" s="1">
        <v>44698</v>
      </c>
      <c r="C8412">
        <v>1</v>
      </c>
      <c r="D8412">
        <v>560.02</v>
      </c>
      <c r="E8412">
        <v>740</v>
      </c>
    </row>
    <row r="8413" spans="1:5" x14ac:dyDescent="0.3">
      <c r="A8413" t="s">
        <v>118</v>
      </c>
      <c r="B8413" s="1">
        <v>44698</v>
      </c>
      <c r="C8413">
        <v>1</v>
      </c>
      <c r="D8413">
        <v>10.79</v>
      </c>
      <c r="E8413">
        <v>13</v>
      </c>
    </row>
    <row r="8414" spans="1:5" x14ac:dyDescent="0.3">
      <c r="A8414" t="s">
        <v>118</v>
      </c>
      <c r="B8414" s="1">
        <v>44698</v>
      </c>
      <c r="C8414">
        <v>1</v>
      </c>
      <c r="D8414">
        <v>10.79</v>
      </c>
      <c r="E8414">
        <v>13</v>
      </c>
    </row>
    <row r="8415" spans="1:5" x14ac:dyDescent="0.3">
      <c r="A8415" t="s">
        <v>39</v>
      </c>
      <c r="B8415" s="1">
        <v>44698</v>
      </c>
      <c r="C8415">
        <v>2</v>
      </c>
      <c r="D8415">
        <v>17.190000000000001</v>
      </c>
      <c r="E8415">
        <v>28</v>
      </c>
    </row>
    <row r="8416" spans="1:5" x14ac:dyDescent="0.3">
      <c r="A8416" t="s">
        <v>57</v>
      </c>
      <c r="B8416" s="1">
        <v>44698</v>
      </c>
      <c r="C8416">
        <v>1</v>
      </c>
      <c r="D8416">
        <v>225.2</v>
      </c>
      <c r="E8416">
        <v>264</v>
      </c>
    </row>
    <row r="8417" spans="1:5" x14ac:dyDescent="0.3">
      <c r="A8417" t="s">
        <v>155</v>
      </c>
      <c r="B8417" s="1">
        <v>44698</v>
      </c>
      <c r="C8417">
        <v>0.24</v>
      </c>
      <c r="D8417">
        <v>498.53</v>
      </c>
      <c r="E8417">
        <v>698</v>
      </c>
    </row>
    <row r="8418" spans="1:5" x14ac:dyDescent="0.3">
      <c r="A8418" t="s">
        <v>153</v>
      </c>
      <c r="B8418" s="1">
        <v>44698</v>
      </c>
      <c r="C8418">
        <v>1</v>
      </c>
      <c r="D8418">
        <v>9.4600000000000009</v>
      </c>
      <c r="E8418">
        <v>11</v>
      </c>
    </row>
    <row r="8419" spans="1:5" x14ac:dyDescent="0.3">
      <c r="A8419" t="s">
        <v>27</v>
      </c>
      <c r="B8419" s="1">
        <v>44698</v>
      </c>
      <c r="C8419">
        <v>1</v>
      </c>
      <c r="D8419">
        <v>106.88</v>
      </c>
      <c r="E8419">
        <v>164</v>
      </c>
    </row>
    <row r="8420" spans="1:5" x14ac:dyDescent="0.3">
      <c r="A8420" t="s">
        <v>19</v>
      </c>
      <c r="B8420" s="1">
        <v>44698</v>
      </c>
      <c r="C8420">
        <v>1</v>
      </c>
      <c r="D8420">
        <v>82.54</v>
      </c>
      <c r="E8420">
        <v>103</v>
      </c>
    </row>
    <row r="8421" spans="1:5" x14ac:dyDescent="0.3">
      <c r="A8421" t="s">
        <v>88</v>
      </c>
      <c r="B8421" s="1">
        <v>44698</v>
      </c>
      <c r="C8421">
        <v>1</v>
      </c>
      <c r="D8421">
        <v>106.51</v>
      </c>
      <c r="E8421">
        <v>163</v>
      </c>
    </row>
    <row r="8422" spans="1:5" x14ac:dyDescent="0.3">
      <c r="A8422" t="s">
        <v>88</v>
      </c>
      <c r="B8422" s="1">
        <v>44698</v>
      </c>
      <c r="C8422">
        <v>0.5</v>
      </c>
      <c r="D8422">
        <v>106.51</v>
      </c>
      <c r="E8422">
        <v>163</v>
      </c>
    </row>
    <row r="8423" spans="1:5" x14ac:dyDescent="0.3">
      <c r="A8423" t="s">
        <v>106</v>
      </c>
      <c r="B8423" s="1">
        <v>44698</v>
      </c>
      <c r="C8423">
        <v>1</v>
      </c>
      <c r="D8423">
        <v>42.24</v>
      </c>
      <c r="E8423">
        <v>53</v>
      </c>
    </row>
    <row r="8424" spans="1:5" x14ac:dyDescent="0.3">
      <c r="A8424" t="s">
        <v>81</v>
      </c>
      <c r="B8424" s="1">
        <v>44698</v>
      </c>
      <c r="C8424">
        <v>1</v>
      </c>
      <c r="D8424">
        <v>40.130000000000003</v>
      </c>
      <c r="E8424">
        <v>49</v>
      </c>
    </row>
    <row r="8425" spans="1:5" x14ac:dyDescent="0.3">
      <c r="A8425" t="s">
        <v>20</v>
      </c>
      <c r="B8425" s="1">
        <v>44698</v>
      </c>
      <c r="C8425">
        <v>1</v>
      </c>
      <c r="D8425">
        <v>19.71</v>
      </c>
      <c r="E8425">
        <v>25</v>
      </c>
    </row>
    <row r="8426" spans="1:5" x14ac:dyDescent="0.3">
      <c r="A8426" t="s">
        <v>20</v>
      </c>
      <c r="B8426" s="1">
        <v>44698</v>
      </c>
      <c r="C8426">
        <v>1</v>
      </c>
      <c r="D8426">
        <v>19.71</v>
      </c>
      <c r="E8426">
        <v>25</v>
      </c>
    </row>
    <row r="8427" spans="1:5" x14ac:dyDescent="0.3">
      <c r="A8427" t="s">
        <v>20</v>
      </c>
      <c r="B8427" s="1">
        <v>44698</v>
      </c>
      <c r="C8427">
        <v>1</v>
      </c>
      <c r="D8427">
        <v>19.71</v>
      </c>
      <c r="E8427">
        <v>25</v>
      </c>
    </row>
    <row r="8428" spans="1:5" x14ac:dyDescent="0.3">
      <c r="A8428" t="s">
        <v>22</v>
      </c>
      <c r="B8428" s="1">
        <v>44698</v>
      </c>
      <c r="C8428">
        <v>1</v>
      </c>
      <c r="D8428">
        <v>30.3</v>
      </c>
      <c r="E8428">
        <v>49</v>
      </c>
    </row>
    <row r="8429" spans="1:5" x14ac:dyDescent="0.3">
      <c r="A8429" t="s">
        <v>105</v>
      </c>
      <c r="B8429" s="1">
        <v>44698</v>
      </c>
      <c r="C8429">
        <v>2</v>
      </c>
      <c r="D8429">
        <v>28.33</v>
      </c>
      <c r="E8429">
        <v>46</v>
      </c>
    </row>
    <row r="8430" spans="1:5" x14ac:dyDescent="0.3">
      <c r="A8430" t="s">
        <v>63</v>
      </c>
      <c r="B8430" s="1">
        <v>44698</v>
      </c>
      <c r="C8430">
        <v>1</v>
      </c>
      <c r="D8430">
        <v>73.3</v>
      </c>
      <c r="E8430">
        <v>88</v>
      </c>
    </row>
    <row r="8431" spans="1:5" x14ac:dyDescent="0.3">
      <c r="A8431" t="s">
        <v>112</v>
      </c>
      <c r="B8431" s="1">
        <v>44698</v>
      </c>
      <c r="C8431">
        <v>1</v>
      </c>
      <c r="D8431">
        <v>255.77</v>
      </c>
      <c r="E8431">
        <v>310</v>
      </c>
    </row>
    <row r="8432" spans="1:5" x14ac:dyDescent="0.3">
      <c r="A8432" t="s">
        <v>47</v>
      </c>
      <c r="B8432" s="1">
        <v>44698</v>
      </c>
      <c r="C8432">
        <v>1</v>
      </c>
      <c r="D8432">
        <v>43.08</v>
      </c>
      <c r="E8432">
        <v>66</v>
      </c>
    </row>
    <row r="8433" spans="1:5" x14ac:dyDescent="0.3">
      <c r="A8433" t="s">
        <v>47</v>
      </c>
      <c r="B8433" s="1">
        <v>44698</v>
      </c>
      <c r="C8433">
        <v>1</v>
      </c>
      <c r="D8433">
        <v>43.08</v>
      </c>
      <c r="E8433">
        <v>66</v>
      </c>
    </row>
    <row r="8434" spans="1:5" x14ac:dyDescent="0.3">
      <c r="A8434" t="s">
        <v>56</v>
      </c>
      <c r="B8434" s="1">
        <v>44698</v>
      </c>
      <c r="C8434">
        <v>1</v>
      </c>
      <c r="D8434">
        <v>43.97</v>
      </c>
      <c r="E8434">
        <v>67</v>
      </c>
    </row>
    <row r="8435" spans="1:5" x14ac:dyDescent="0.3">
      <c r="A8435" t="s">
        <v>56</v>
      </c>
      <c r="B8435" s="1">
        <v>44698</v>
      </c>
      <c r="C8435">
        <v>1</v>
      </c>
      <c r="D8435">
        <v>43.97</v>
      </c>
      <c r="E8435">
        <v>67</v>
      </c>
    </row>
    <row r="8436" spans="1:5" x14ac:dyDescent="0.3">
      <c r="A8436" t="s">
        <v>5</v>
      </c>
      <c r="B8436" s="1">
        <v>44698</v>
      </c>
      <c r="C8436">
        <v>1</v>
      </c>
      <c r="D8436">
        <v>145.6</v>
      </c>
      <c r="E8436">
        <v>172</v>
      </c>
    </row>
    <row r="8437" spans="1:5" x14ac:dyDescent="0.3">
      <c r="A8437" t="s">
        <v>157</v>
      </c>
      <c r="B8437" s="1">
        <v>44698</v>
      </c>
      <c r="C8437">
        <v>1</v>
      </c>
      <c r="D8437">
        <v>12</v>
      </c>
      <c r="E8437">
        <v>20</v>
      </c>
    </row>
    <row r="8438" spans="1:5" x14ac:dyDescent="0.3">
      <c r="A8438" t="s">
        <v>8</v>
      </c>
      <c r="B8438" s="1">
        <v>44698</v>
      </c>
      <c r="C8438">
        <v>1</v>
      </c>
      <c r="D8438">
        <v>47.53</v>
      </c>
      <c r="E8438">
        <v>77</v>
      </c>
    </row>
    <row r="8439" spans="1:5" x14ac:dyDescent="0.3">
      <c r="A8439" t="s">
        <v>136</v>
      </c>
      <c r="B8439" s="1">
        <v>44698</v>
      </c>
      <c r="C8439">
        <v>1</v>
      </c>
      <c r="D8439">
        <v>287.61</v>
      </c>
      <c r="E8439">
        <v>403</v>
      </c>
    </row>
    <row r="8440" spans="1:5" x14ac:dyDescent="0.3">
      <c r="A8440" t="s">
        <v>24</v>
      </c>
      <c r="B8440" s="1">
        <v>44698</v>
      </c>
      <c r="C8440">
        <v>1</v>
      </c>
      <c r="D8440">
        <v>98.67</v>
      </c>
      <c r="E8440">
        <v>123</v>
      </c>
    </row>
    <row r="8441" spans="1:5" x14ac:dyDescent="0.3">
      <c r="A8441" t="s">
        <v>21</v>
      </c>
      <c r="B8441" s="1">
        <v>44698</v>
      </c>
      <c r="C8441">
        <v>1</v>
      </c>
      <c r="D8441">
        <v>185.31</v>
      </c>
      <c r="E8441">
        <v>269</v>
      </c>
    </row>
    <row r="8442" spans="1:5" x14ac:dyDescent="0.3">
      <c r="A8442" t="s">
        <v>26</v>
      </c>
      <c r="B8442" s="1">
        <v>44698</v>
      </c>
      <c r="C8442">
        <v>0.1</v>
      </c>
      <c r="D8442">
        <v>987.84</v>
      </c>
      <c r="E8442">
        <v>1304</v>
      </c>
    </row>
    <row r="8443" spans="1:5" x14ac:dyDescent="0.3">
      <c r="A8443" t="s">
        <v>26</v>
      </c>
      <c r="B8443" s="1">
        <v>44698</v>
      </c>
      <c r="C8443">
        <v>0.1</v>
      </c>
      <c r="D8443">
        <v>1086.5899999999999</v>
      </c>
      <c r="E8443">
        <v>1391</v>
      </c>
    </row>
    <row r="8444" spans="1:5" x14ac:dyDescent="0.3">
      <c r="A8444" t="s">
        <v>95</v>
      </c>
      <c r="B8444" s="1">
        <v>44698</v>
      </c>
      <c r="C8444">
        <v>1</v>
      </c>
      <c r="D8444">
        <v>130.88999999999999</v>
      </c>
      <c r="E8444">
        <v>206</v>
      </c>
    </row>
    <row r="8445" spans="1:5" x14ac:dyDescent="0.3">
      <c r="A8445" t="s">
        <v>124</v>
      </c>
      <c r="B8445" s="1">
        <v>44698</v>
      </c>
      <c r="C8445">
        <v>1</v>
      </c>
      <c r="D8445">
        <v>42.85</v>
      </c>
      <c r="E8445">
        <v>70</v>
      </c>
    </row>
    <row r="8446" spans="1:5" x14ac:dyDescent="0.3">
      <c r="A8446" t="s">
        <v>48</v>
      </c>
      <c r="B8446" s="1">
        <v>44698</v>
      </c>
      <c r="C8446">
        <v>1</v>
      </c>
      <c r="D8446">
        <v>35.200000000000003</v>
      </c>
      <c r="E8446">
        <v>55</v>
      </c>
    </row>
    <row r="8447" spans="1:5" x14ac:dyDescent="0.3">
      <c r="A8447" t="s">
        <v>20</v>
      </c>
      <c r="B8447" s="1">
        <v>44698</v>
      </c>
      <c r="C8447">
        <v>1</v>
      </c>
      <c r="D8447">
        <v>19.71</v>
      </c>
      <c r="E8447">
        <v>25</v>
      </c>
    </row>
    <row r="8448" spans="1:5" x14ac:dyDescent="0.3">
      <c r="A8448" t="s">
        <v>156</v>
      </c>
      <c r="B8448" s="1">
        <v>44698</v>
      </c>
      <c r="C8448">
        <v>1</v>
      </c>
      <c r="D8448">
        <v>251.44</v>
      </c>
      <c r="E8448">
        <v>353</v>
      </c>
    </row>
    <row r="8449" spans="1:5" x14ac:dyDescent="0.3">
      <c r="A8449" t="s">
        <v>95</v>
      </c>
      <c r="B8449" s="1">
        <v>44698</v>
      </c>
      <c r="C8449">
        <v>1</v>
      </c>
      <c r="D8449">
        <v>129.38</v>
      </c>
      <c r="E8449">
        <v>197</v>
      </c>
    </row>
    <row r="8450" spans="1:5" x14ac:dyDescent="0.3">
      <c r="A8450" t="s">
        <v>23</v>
      </c>
      <c r="B8450" s="1">
        <v>44698</v>
      </c>
      <c r="C8450">
        <v>1</v>
      </c>
      <c r="D8450">
        <v>109.41</v>
      </c>
      <c r="E8450">
        <v>123</v>
      </c>
    </row>
    <row r="8451" spans="1:5" x14ac:dyDescent="0.3">
      <c r="A8451" t="s">
        <v>36</v>
      </c>
      <c r="B8451" s="1">
        <v>44698</v>
      </c>
      <c r="C8451">
        <v>1</v>
      </c>
      <c r="D8451">
        <v>22.93</v>
      </c>
      <c r="E8451">
        <v>29</v>
      </c>
    </row>
    <row r="8452" spans="1:5" x14ac:dyDescent="0.3">
      <c r="A8452" t="s">
        <v>20</v>
      </c>
      <c r="B8452" s="1">
        <v>44698</v>
      </c>
      <c r="C8452">
        <v>1</v>
      </c>
      <c r="D8452">
        <v>19.71</v>
      </c>
      <c r="E8452">
        <v>25</v>
      </c>
    </row>
    <row r="8453" spans="1:5" x14ac:dyDescent="0.3">
      <c r="A8453" t="s">
        <v>57</v>
      </c>
      <c r="B8453" s="1">
        <v>44698</v>
      </c>
      <c r="C8453">
        <v>1</v>
      </c>
      <c r="D8453">
        <v>225.2</v>
      </c>
      <c r="E8453">
        <v>264</v>
      </c>
    </row>
    <row r="8454" spans="1:5" x14ac:dyDescent="0.3">
      <c r="A8454" t="s">
        <v>82</v>
      </c>
      <c r="B8454" s="1">
        <v>44698</v>
      </c>
      <c r="C8454">
        <v>1</v>
      </c>
      <c r="D8454">
        <v>40.1</v>
      </c>
      <c r="E8454">
        <v>51</v>
      </c>
    </row>
    <row r="8455" spans="1:5" x14ac:dyDescent="0.3">
      <c r="A8455" t="s">
        <v>146</v>
      </c>
      <c r="B8455" s="1">
        <v>44698</v>
      </c>
      <c r="C8455">
        <v>1</v>
      </c>
      <c r="D8455">
        <v>402.29</v>
      </c>
      <c r="E8455">
        <v>451</v>
      </c>
    </row>
    <row r="8456" spans="1:5" x14ac:dyDescent="0.3">
      <c r="A8456" t="s">
        <v>100</v>
      </c>
      <c r="B8456" s="1">
        <v>44698</v>
      </c>
      <c r="C8456">
        <v>1</v>
      </c>
      <c r="D8456">
        <v>35.82</v>
      </c>
      <c r="E8456">
        <v>57</v>
      </c>
    </row>
    <row r="8457" spans="1:5" x14ac:dyDescent="0.3">
      <c r="A8457" t="s">
        <v>5</v>
      </c>
      <c r="B8457" s="1">
        <v>44698</v>
      </c>
      <c r="C8457">
        <v>1</v>
      </c>
      <c r="D8457">
        <v>145.6</v>
      </c>
      <c r="E8457">
        <v>169</v>
      </c>
    </row>
    <row r="8458" spans="1:5" x14ac:dyDescent="0.3">
      <c r="A8458" t="s">
        <v>92</v>
      </c>
      <c r="B8458" s="1">
        <v>44698</v>
      </c>
      <c r="C8458">
        <v>10</v>
      </c>
      <c r="D8458">
        <v>6.45</v>
      </c>
      <c r="E8458">
        <v>9</v>
      </c>
    </row>
    <row r="8459" spans="1:5" x14ac:dyDescent="0.3">
      <c r="A8459" t="s">
        <v>13</v>
      </c>
      <c r="B8459" s="1">
        <v>44698</v>
      </c>
      <c r="C8459">
        <v>1</v>
      </c>
      <c r="D8459">
        <v>122.17</v>
      </c>
      <c r="E8459">
        <v>149</v>
      </c>
    </row>
    <row r="8460" spans="1:5" x14ac:dyDescent="0.3">
      <c r="A8460" t="s">
        <v>21</v>
      </c>
      <c r="B8460" s="1">
        <v>44698</v>
      </c>
      <c r="C8460">
        <v>1</v>
      </c>
      <c r="D8460">
        <v>182.55</v>
      </c>
      <c r="E8460">
        <v>251</v>
      </c>
    </row>
    <row r="8461" spans="1:5" x14ac:dyDescent="0.3">
      <c r="A8461" t="s">
        <v>122</v>
      </c>
      <c r="B8461" s="1">
        <v>44698</v>
      </c>
      <c r="C8461">
        <v>1</v>
      </c>
      <c r="D8461">
        <v>20.78</v>
      </c>
      <c r="E8461">
        <v>26</v>
      </c>
    </row>
    <row r="8462" spans="1:5" x14ac:dyDescent="0.3">
      <c r="A8462" t="s">
        <v>49</v>
      </c>
      <c r="B8462" s="1">
        <v>44698</v>
      </c>
      <c r="C8462">
        <v>1</v>
      </c>
      <c r="D8462">
        <v>16.309999999999999</v>
      </c>
      <c r="E8462">
        <v>20</v>
      </c>
    </row>
    <row r="8463" spans="1:5" x14ac:dyDescent="0.3">
      <c r="A8463" t="s">
        <v>108</v>
      </c>
      <c r="B8463" s="1">
        <v>44698</v>
      </c>
      <c r="C8463">
        <v>1</v>
      </c>
      <c r="D8463">
        <v>27.61</v>
      </c>
      <c r="E8463">
        <v>42</v>
      </c>
    </row>
    <row r="8464" spans="1:5" x14ac:dyDescent="0.3">
      <c r="A8464" t="s">
        <v>20</v>
      </c>
      <c r="B8464" s="1">
        <v>44698</v>
      </c>
      <c r="C8464">
        <v>1</v>
      </c>
      <c r="D8464">
        <v>20.23</v>
      </c>
      <c r="E8464">
        <v>27</v>
      </c>
    </row>
    <row r="8465" spans="1:5" x14ac:dyDescent="0.3">
      <c r="A8465" t="s">
        <v>20</v>
      </c>
      <c r="B8465" s="1">
        <v>44698</v>
      </c>
      <c r="C8465">
        <v>1</v>
      </c>
      <c r="D8465">
        <v>20.23</v>
      </c>
      <c r="E8465">
        <v>27</v>
      </c>
    </row>
    <row r="8466" spans="1:5" x14ac:dyDescent="0.3">
      <c r="A8466" t="s">
        <v>20</v>
      </c>
      <c r="B8466" s="1">
        <v>44698</v>
      </c>
      <c r="C8466">
        <v>1</v>
      </c>
      <c r="D8466">
        <v>20.23</v>
      </c>
      <c r="E8466">
        <v>27</v>
      </c>
    </row>
    <row r="8467" spans="1:5" x14ac:dyDescent="0.3">
      <c r="A8467" t="s">
        <v>19</v>
      </c>
      <c r="B8467" s="1">
        <v>44698</v>
      </c>
      <c r="C8467">
        <v>1</v>
      </c>
      <c r="D8467">
        <v>82.18</v>
      </c>
      <c r="E8467">
        <v>103</v>
      </c>
    </row>
    <row r="8468" spans="1:5" x14ac:dyDescent="0.3">
      <c r="A8468" t="s">
        <v>104</v>
      </c>
      <c r="B8468" s="1">
        <v>44698</v>
      </c>
      <c r="C8468">
        <v>1</v>
      </c>
      <c r="D8468">
        <v>45.47</v>
      </c>
      <c r="E8468">
        <v>57</v>
      </c>
    </row>
    <row r="8469" spans="1:5" x14ac:dyDescent="0.3">
      <c r="A8469" t="s">
        <v>104</v>
      </c>
      <c r="B8469" s="1">
        <v>44698</v>
      </c>
      <c r="C8469">
        <v>1</v>
      </c>
      <c r="D8469">
        <v>45.47</v>
      </c>
      <c r="E8469">
        <v>57</v>
      </c>
    </row>
    <row r="8470" spans="1:5" x14ac:dyDescent="0.3">
      <c r="A8470" t="s">
        <v>104</v>
      </c>
      <c r="B8470" s="1">
        <v>44698</v>
      </c>
      <c r="C8470">
        <v>1</v>
      </c>
      <c r="D8470">
        <v>45.47</v>
      </c>
      <c r="E8470">
        <v>57</v>
      </c>
    </row>
    <row r="8471" spans="1:5" x14ac:dyDescent="0.3">
      <c r="A8471" t="s">
        <v>130</v>
      </c>
      <c r="B8471" s="1">
        <v>44698</v>
      </c>
      <c r="C8471">
        <v>1</v>
      </c>
      <c r="D8471">
        <v>23.24</v>
      </c>
      <c r="E8471">
        <v>29</v>
      </c>
    </row>
    <row r="8472" spans="1:5" x14ac:dyDescent="0.3">
      <c r="A8472" t="s">
        <v>118</v>
      </c>
      <c r="B8472" s="1">
        <v>44698</v>
      </c>
      <c r="C8472">
        <v>1</v>
      </c>
      <c r="D8472">
        <v>10.79</v>
      </c>
      <c r="E8472">
        <v>13</v>
      </c>
    </row>
    <row r="8473" spans="1:5" x14ac:dyDescent="0.3">
      <c r="A8473" t="s">
        <v>118</v>
      </c>
      <c r="B8473" s="1">
        <v>44698</v>
      </c>
      <c r="C8473">
        <v>1</v>
      </c>
      <c r="D8473">
        <v>10.79</v>
      </c>
      <c r="E8473">
        <v>13</v>
      </c>
    </row>
    <row r="8474" spans="1:5" x14ac:dyDescent="0.3">
      <c r="A8474" t="s">
        <v>50</v>
      </c>
      <c r="B8474" s="1">
        <v>44698</v>
      </c>
      <c r="C8474">
        <v>1</v>
      </c>
      <c r="D8474">
        <v>44.86</v>
      </c>
      <c r="E8474">
        <v>56</v>
      </c>
    </row>
    <row r="8475" spans="1:5" x14ac:dyDescent="0.3">
      <c r="A8475" t="s">
        <v>66</v>
      </c>
      <c r="B8475" s="1">
        <v>44698</v>
      </c>
      <c r="C8475">
        <v>1</v>
      </c>
      <c r="D8475">
        <v>30.6</v>
      </c>
      <c r="E8475">
        <v>36</v>
      </c>
    </row>
    <row r="8476" spans="1:5" x14ac:dyDescent="0.3">
      <c r="A8476" t="s">
        <v>66</v>
      </c>
      <c r="B8476" s="1">
        <v>44698</v>
      </c>
      <c r="C8476">
        <v>1</v>
      </c>
      <c r="D8476">
        <v>30.6</v>
      </c>
      <c r="E8476">
        <v>36</v>
      </c>
    </row>
    <row r="8477" spans="1:5" x14ac:dyDescent="0.3">
      <c r="A8477" t="s">
        <v>66</v>
      </c>
      <c r="B8477" s="1">
        <v>44698</v>
      </c>
      <c r="C8477">
        <v>1</v>
      </c>
      <c r="D8477">
        <v>30.6</v>
      </c>
      <c r="E8477">
        <v>36</v>
      </c>
    </row>
    <row r="8478" spans="1:5" x14ac:dyDescent="0.3">
      <c r="A8478" t="s">
        <v>6</v>
      </c>
      <c r="B8478" s="1">
        <v>44698</v>
      </c>
      <c r="C8478">
        <v>0.2</v>
      </c>
      <c r="D8478">
        <v>431.48</v>
      </c>
      <c r="E8478">
        <v>540</v>
      </c>
    </row>
    <row r="8479" spans="1:5" x14ac:dyDescent="0.3">
      <c r="A8479" t="s">
        <v>19</v>
      </c>
      <c r="B8479" s="1">
        <v>44698</v>
      </c>
      <c r="C8479">
        <v>1</v>
      </c>
      <c r="D8479">
        <v>82.54</v>
      </c>
      <c r="E8479">
        <v>103</v>
      </c>
    </row>
    <row r="8480" spans="1:5" x14ac:dyDescent="0.3">
      <c r="A8480" t="s">
        <v>23</v>
      </c>
      <c r="B8480" s="1">
        <v>44698</v>
      </c>
      <c r="C8480">
        <v>1</v>
      </c>
      <c r="D8480">
        <v>109.41</v>
      </c>
      <c r="E8480">
        <v>123</v>
      </c>
    </row>
    <row r="8481" spans="1:5" x14ac:dyDescent="0.3">
      <c r="A8481" t="s">
        <v>48</v>
      </c>
      <c r="B8481" s="1">
        <v>44698</v>
      </c>
      <c r="C8481">
        <v>1</v>
      </c>
      <c r="D8481">
        <v>41.24</v>
      </c>
      <c r="E8481">
        <v>65</v>
      </c>
    </row>
    <row r="8482" spans="1:5" x14ac:dyDescent="0.3">
      <c r="A8482" t="s">
        <v>48</v>
      </c>
      <c r="B8482" s="1">
        <v>44698</v>
      </c>
      <c r="C8482">
        <v>1</v>
      </c>
      <c r="D8482">
        <v>39.11</v>
      </c>
      <c r="E8482">
        <v>62</v>
      </c>
    </row>
    <row r="8483" spans="1:5" x14ac:dyDescent="0.3">
      <c r="A8483" t="s">
        <v>50</v>
      </c>
      <c r="B8483" s="1">
        <v>44698</v>
      </c>
      <c r="C8483">
        <v>1</v>
      </c>
      <c r="D8483">
        <v>44.75</v>
      </c>
      <c r="E8483">
        <v>55</v>
      </c>
    </row>
    <row r="8484" spans="1:5" x14ac:dyDescent="0.3">
      <c r="A8484" t="s">
        <v>144</v>
      </c>
      <c r="B8484" s="1">
        <v>44698</v>
      </c>
      <c r="C8484">
        <v>1</v>
      </c>
      <c r="D8484">
        <v>53.93</v>
      </c>
      <c r="E8484">
        <v>77</v>
      </c>
    </row>
    <row r="8485" spans="1:5" x14ac:dyDescent="0.3">
      <c r="A8485" t="s">
        <v>32</v>
      </c>
      <c r="B8485" s="1">
        <v>44698</v>
      </c>
      <c r="C8485">
        <v>2</v>
      </c>
      <c r="D8485">
        <v>150.1</v>
      </c>
      <c r="E8485">
        <v>233</v>
      </c>
    </row>
    <row r="8486" spans="1:5" x14ac:dyDescent="0.3">
      <c r="A8486" t="s">
        <v>83</v>
      </c>
      <c r="B8486" s="1">
        <v>44698</v>
      </c>
      <c r="C8486">
        <v>1</v>
      </c>
      <c r="D8486">
        <v>207.76</v>
      </c>
      <c r="E8486">
        <v>241</v>
      </c>
    </row>
    <row r="8487" spans="1:5" x14ac:dyDescent="0.3">
      <c r="A8487" t="s">
        <v>31</v>
      </c>
      <c r="B8487" s="1">
        <v>44698</v>
      </c>
      <c r="C8487">
        <v>1</v>
      </c>
      <c r="D8487">
        <v>13.1</v>
      </c>
      <c r="E8487">
        <v>18</v>
      </c>
    </row>
    <row r="8488" spans="1:5" x14ac:dyDescent="0.3">
      <c r="A8488" t="s">
        <v>31</v>
      </c>
      <c r="B8488" s="1">
        <v>44698</v>
      </c>
      <c r="C8488">
        <v>1</v>
      </c>
      <c r="D8488">
        <v>13.1</v>
      </c>
      <c r="E8488">
        <v>18</v>
      </c>
    </row>
    <row r="8489" spans="1:5" x14ac:dyDescent="0.3">
      <c r="A8489" t="s">
        <v>13</v>
      </c>
      <c r="B8489" s="1">
        <v>44698</v>
      </c>
      <c r="C8489">
        <v>1</v>
      </c>
      <c r="D8489">
        <v>119.06</v>
      </c>
      <c r="E8489">
        <v>143</v>
      </c>
    </row>
    <row r="8490" spans="1:5" x14ac:dyDescent="0.3">
      <c r="A8490" t="s">
        <v>95</v>
      </c>
      <c r="B8490" s="1">
        <v>44698</v>
      </c>
      <c r="C8490">
        <v>1</v>
      </c>
      <c r="D8490">
        <v>130.88999999999999</v>
      </c>
      <c r="E8490">
        <v>206</v>
      </c>
    </row>
    <row r="8491" spans="1:5" x14ac:dyDescent="0.3">
      <c r="A8491" t="s">
        <v>124</v>
      </c>
      <c r="B8491" s="1">
        <v>44698</v>
      </c>
      <c r="C8491">
        <v>1</v>
      </c>
      <c r="D8491">
        <v>42.85</v>
      </c>
      <c r="E8491">
        <v>70</v>
      </c>
    </row>
    <row r="8492" spans="1:5" x14ac:dyDescent="0.3">
      <c r="A8492" t="s">
        <v>61</v>
      </c>
      <c r="B8492" s="1">
        <v>44698</v>
      </c>
      <c r="C8492">
        <v>1</v>
      </c>
      <c r="D8492">
        <v>32.85</v>
      </c>
      <c r="E8492">
        <v>50</v>
      </c>
    </row>
    <row r="8493" spans="1:5" x14ac:dyDescent="0.3">
      <c r="A8493" t="s">
        <v>49</v>
      </c>
      <c r="B8493" s="1">
        <v>44698</v>
      </c>
      <c r="C8493">
        <v>1</v>
      </c>
      <c r="D8493">
        <v>16.309999999999999</v>
      </c>
      <c r="E8493">
        <v>20</v>
      </c>
    </row>
    <row r="8494" spans="1:5" x14ac:dyDescent="0.3">
      <c r="A8494" t="s">
        <v>55</v>
      </c>
      <c r="B8494" s="1">
        <v>44698</v>
      </c>
      <c r="C8494">
        <v>1</v>
      </c>
      <c r="D8494">
        <v>77.63</v>
      </c>
      <c r="E8494">
        <v>95</v>
      </c>
    </row>
    <row r="8495" spans="1:5" x14ac:dyDescent="0.3">
      <c r="A8495" t="s">
        <v>57</v>
      </c>
      <c r="B8495" s="1">
        <v>44698</v>
      </c>
      <c r="C8495">
        <v>1</v>
      </c>
      <c r="D8495">
        <v>233.74</v>
      </c>
      <c r="E8495">
        <v>274</v>
      </c>
    </row>
    <row r="8496" spans="1:5" x14ac:dyDescent="0.3">
      <c r="A8496" t="s">
        <v>95</v>
      </c>
      <c r="B8496" s="1">
        <v>44698</v>
      </c>
      <c r="C8496">
        <v>1</v>
      </c>
      <c r="D8496">
        <v>129.38</v>
      </c>
      <c r="E8496">
        <v>197</v>
      </c>
    </row>
    <row r="8497" spans="1:5" x14ac:dyDescent="0.3">
      <c r="A8497" t="s">
        <v>115</v>
      </c>
      <c r="B8497" s="1">
        <v>44698</v>
      </c>
      <c r="C8497">
        <v>1</v>
      </c>
      <c r="D8497">
        <v>71.02</v>
      </c>
      <c r="E8497">
        <v>88</v>
      </c>
    </row>
    <row r="8498" spans="1:5" x14ac:dyDescent="0.3">
      <c r="A8498" t="s">
        <v>49</v>
      </c>
      <c r="B8498" s="1">
        <v>44698</v>
      </c>
      <c r="C8498">
        <v>1</v>
      </c>
      <c r="D8498">
        <v>16.25</v>
      </c>
      <c r="E8498">
        <v>20</v>
      </c>
    </row>
    <row r="8499" spans="1:5" x14ac:dyDescent="0.3">
      <c r="A8499" t="s">
        <v>49</v>
      </c>
      <c r="B8499" s="1">
        <v>44698</v>
      </c>
      <c r="C8499">
        <v>1</v>
      </c>
      <c r="D8499">
        <v>16.25</v>
      </c>
      <c r="E8499">
        <v>20</v>
      </c>
    </row>
    <row r="8500" spans="1:5" x14ac:dyDescent="0.3">
      <c r="A8500" t="s">
        <v>49</v>
      </c>
      <c r="B8500" s="1">
        <v>44698</v>
      </c>
      <c r="C8500">
        <v>1</v>
      </c>
      <c r="D8500">
        <v>16.25</v>
      </c>
      <c r="E8500">
        <v>20</v>
      </c>
    </row>
    <row r="8501" spans="1:5" x14ac:dyDescent="0.3">
      <c r="A8501" t="s">
        <v>49</v>
      </c>
      <c r="B8501" s="1">
        <v>44698</v>
      </c>
      <c r="C8501">
        <v>1</v>
      </c>
      <c r="D8501">
        <v>16.25</v>
      </c>
      <c r="E8501">
        <v>20</v>
      </c>
    </row>
    <row r="8502" spans="1:5" x14ac:dyDescent="0.3">
      <c r="A8502" t="s">
        <v>48</v>
      </c>
      <c r="B8502" s="1">
        <v>44698</v>
      </c>
      <c r="C8502">
        <v>1</v>
      </c>
      <c r="D8502">
        <v>35.200000000000003</v>
      </c>
      <c r="E8502">
        <v>55</v>
      </c>
    </row>
    <row r="8503" spans="1:5" x14ac:dyDescent="0.3">
      <c r="A8503" t="s">
        <v>62</v>
      </c>
      <c r="B8503" s="1">
        <v>44698</v>
      </c>
      <c r="C8503">
        <v>1</v>
      </c>
      <c r="D8503">
        <v>24.74</v>
      </c>
      <c r="E8503">
        <v>30</v>
      </c>
    </row>
    <row r="8504" spans="1:5" x14ac:dyDescent="0.3">
      <c r="A8504" t="s">
        <v>62</v>
      </c>
      <c r="B8504" s="1">
        <v>44698</v>
      </c>
      <c r="C8504">
        <v>1</v>
      </c>
      <c r="D8504">
        <v>24.74</v>
      </c>
      <c r="E8504">
        <v>30</v>
      </c>
    </row>
    <row r="8505" spans="1:5" x14ac:dyDescent="0.3">
      <c r="A8505" t="s">
        <v>114</v>
      </c>
      <c r="B8505" s="1">
        <v>44698</v>
      </c>
      <c r="C8505">
        <v>1</v>
      </c>
      <c r="D8505">
        <v>74.8</v>
      </c>
      <c r="E8505">
        <v>94</v>
      </c>
    </row>
    <row r="8506" spans="1:5" x14ac:dyDescent="0.3">
      <c r="A8506" t="s">
        <v>114</v>
      </c>
      <c r="B8506" s="1">
        <v>44698</v>
      </c>
      <c r="C8506">
        <v>1</v>
      </c>
      <c r="D8506">
        <v>74.8</v>
      </c>
      <c r="E8506">
        <v>94</v>
      </c>
    </row>
    <row r="8507" spans="1:5" x14ac:dyDescent="0.3">
      <c r="A8507" t="s">
        <v>118</v>
      </c>
      <c r="B8507" s="1">
        <v>44698</v>
      </c>
      <c r="C8507">
        <v>1</v>
      </c>
      <c r="D8507">
        <v>11.1</v>
      </c>
      <c r="E8507">
        <v>13</v>
      </c>
    </row>
    <row r="8508" spans="1:5" x14ac:dyDescent="0.3">
      <c r="A8508" t="s">
        <v>12</v>
      </c>
      <c r="B8508" s="1">
        <v>44698</v>
      </c>
      <c r="C8508">
        <v>1</v>
      </c>
      <c r="D8508">
        <v>64.680000000000007</v>
      </c>
      <c r="E8508">
        <v>78</v>
      </c>
    </row>
    <row r="8509" spans="1:5" x14ac:dyDescent="0.3">
      <c r="A8509" t="s">
        <v>30</v>
      </c>
      <c r="B8509" s="1">
        <v>44698</v>
      </c>
      <c r="C8509">
        <v>1</v>
      </c>
      <c r="D8509">
        <v>156.19999999999999</v>
      </c>
      <c r="E8509">
        <v>186</v>
      </c>
    </row>
    <row r="8510" spans="1:5" x14ac:dyDescent="0.3">
      <c r="A8510" t="s">
        <v>30</v>
      </c>
      <c r="B8510" s="1">
        <v>44698</v>
      </c>
      <c r="C8510">
        <v>1</v>
      </c>
      <c r="D8510">
        <v>156.19999999999999</v>
      </c>
      <c r="E8510">
        <v>186</v>
      </c>
    </row>
    <row r="8511" spans="1:5" x14ac:dyDescent="0.3">
      <c r="A8511" t="s">
        <v>96</v>
      </c>
      <c r="B8511" s="1">
        <v>44698</v>
      </c>
      <c r="C8511">
        <v>1</v>
      </c>
      <c r="D8511">
        <v>71.17</v>
      </c>
      <c r="E8511">
        <v>102</v>
      </c>
    </row>
    <row r="8512" spans="1:5" x14ac:dyDescent="0.3">
      <c r="A8512" t="s">
        <v>65</v>
      </c>
      <c r="B8512" s="1">
        <v>44698</v>
      </c>
      <c r="C8512">
        <v>1</v>
      </c>
      <c r="D8512">
        <v>184.45</v>
      </c>
      <c r="E8512">
        <v>216</v>
      </c>
    </row>
    <row r="8513" spans="1:5" x14ac:dyDescent="0.3">
      <c r="A8513" t="s">
        <v>22</v>
      </c>
      <c r="B8513" s="1">
        <v>44698</v>
      </c>
      <c r="C8513">
        <v>1</v>
      </c>
      <c r="D8513">
        <v>30.3</v>
      </c>
      <c r="E8513">
        <v>49</v>
      </c>
    </row>
    <row r="8514" spans="1:5" x14ac:dyDescent="0.3">
      <c r="A8514" t="s">
        <v>111</v>
      </c>
      <c r="B8514" s="1">
        <v>44698</v>
      </c>
      <c r="C8514">
        <v>1</v>
      </c>
      <c r="D8514">
        <v>164.96</v>
      </c>
      <c r="E8514">
        <v>198</v>
      </c>
    </row>
    <row r="8515" spans="1:5" x14ac:dyDescent="0.3">
      <c r="A8515" t="s">
        <v>26</v>
      </c>
      <c r="B8515" s="1">
        <v>44698</v>
      </c>
      <c r="C8515">
        <v>0.4</v>
      </c>
      <c r="D8515">
        <v>1086.5899999999999</v>
      </c>
      <c r="E8515">
        <v>1391</v>
      </c>
    </row>
    <row r="8516" spans="1:5" x14ac:dyDescent="0.3">
      <c r="A8516" t="s">
        <v>34</v>
      </c>
      <c r="B8516" s="1">
        <v>44698</v>
      </c>
      <c r="C8516">
        <v>1</v>
      </c>
      <c r="D8516">
        <v>199.58</v>
      </c>
      <c r="E8516">
        <v>230</v>
      </c>
    </row>
    <row r="8517" spans="1:5" x14ac:dyDescent="0.3">
      <c r="A8517" t="s">
        <v>66</v>
      </c>
      <c r="B8517" s="1">
        <v>44698</v>
      </c>
      <c r="C8517">
        <v>1</v>
      </c>
      <c r="D8517">
        <v>30.6</v>
      </c>
      <c r="E8517">
        <v>36</v>
      </c>
    </row>
    <row r="8518" spans="1:5" x14ac:dyDescent="0.3">
      <c r="A8518" t="s">
        <v>66</v>
      </c>
      <c r="B8518" s="1">
        <v>44698</v>
      </c>
      <c r="C8518">
        <v>1</v>
      </c>
      <c r="D8518">
        <v>30.6</v>
      </c>
      <c r="E8518">
        <v>36</v>
      </c>
    </row>
    <row r="8519" spans="1:5" x14ac:dyDescent="0.3">
      <c r="A8519" t="s">
        <v>66</v>
      </c>
      <c r="B8519" s="1">
        <v>44698</v>
      </c>
      <c r="C8519">
        <v>1</v>
      </c>
      <c r="D8519">
        <v>30.6</v>
      </c>
      <c r="E8519">
        <v>36</v>
      </c>
    </row>
    <row r="8520" spans="1:5" x14ac:dyDescent="0.3">
      <c r="A8520" t="s">
        <v>66</v>
      </c>
      <c r="B8520" s="1">
        <v>44698</v>
      </c>
      <c r="C8520">
        <v>1</v>
      </c>
      <c r="D8520">
        <v>30.6</v>
      </c>
      <c r="E8520">
        <v>36</v>
      </c>
    </row>
    <row r="8521" spans="1:5" x14ac:dyDescent="0.3">
      <c r="A8521" t="s">
        <v>124</v>
      </c>
      <c r="B8521" s="1">
        <v>44698</v>
      </c>
      <c r="C8521">
        <v>1</v>
      </c>
      <c r="D8521">
        <v>36.75</v>
      </c>
      <c r="E8521">
        <v>59</v>
      </c>
    </row>
    <row r="8522" spans="1:5" x14ac:dyDescent="0.3">
      <c r="A8522" t="s">
        <v>21</v>
      </c>
      <c r="B8522" s="1">
        <v>44698</v>
      </c>
      <c r="C8522">
        <v>1</v>
      </c>
      <c r="D8522">
        <v>182.17</v>
      </c>
      <c r="E8522">
        <v>257</v>
      </c>
    </row>
    <row r="8523" spans="1:5" x14ac:dyDescent="0.3">
      <c r="A8523" t="s">
        <v>106</v>
      </c>
      <c r="B8523" s="1">
        <v>44698</v>
      </c>
      <c r="C8523">
        <v>1</v>
      </c>
      <c r="D8523">
        <v>41.05</v>
      </c>
      <c r="E8523">
        <v>51</v>
      </c>
    </row>
    <row r="8524" spans="1:5" x14ac:dyDescent="0.3">
      <c r="A8524" t="s">
        <v>129</v>
      </c>
      <c r="B8524" s="1">
        <v>44698</v>
      </c>
      <c r="C8524">
        <v>0.08</v>
      </c>
      <c r="D8524">
        <v>496.39</v>
      </c>
      <c r="E8524">
        <v>597</v>
      </c>
    </row>
    <row r="8525" spans="1:5" x14ac:dyDescent="0.3">
      <c r="A8525" t="s">
        <v>128</v>
      </c>
      <c r="B8525" s="1">
        <v>44698</v>
      </c>
      <c r="C8525">
        <v>1</v>
      </c>
      <c r="D8525">
        <v>313.23</v>
      </c>
      <c r="E8525">
        <v>423</v>
      </c>
    </row>
    <row r="8526" spans="1:5" x14ac:dyDescent="0.3">
      <c r="A8526" t="s">
        <v>143</v>
      </c>
      <c r="B8526" s="1">
        <v>44698</v>
      </c>
      <c r="C8526">
        <v>1</v>
      </c>
      <c r="D8526">
        <v>43.73</v>
      </c>
      <c r="E8526">
        <v>67</v>
      </c>
    </row>
    <row r="8527" spans="1:5" x14ac:dyDescent="0.3">
      <c r="A8527" t="s">
        <v>58</v>
      </c>
      <c r="B8527" s="1">
        <v>44698</v>
      </c>
      <c r="C8527">
        <v>1</v>
      </c>
      <c r="D8527">
        <v>109.24</v>
      </c>
      <c r="E8527">
        <v>122</v>
      </c>
    </row>
    <row r="8528" spans="1:5" x14ac:dyDescent="0.3">
      <c r="A8528" t="s">
        <v>141</v>
      </c>
      <c r="B8528" s="1">
        <v>44698</v>
      </c>
      <c r="C8528">
        <v>2</v>
      </c>
      <c r="D8528">
        <v>10.76</v>
      </c>
      <c r="E8528">
        <v>18</v>
      </c>
    </row>
    <row r="8529" spans="1:5" x14ac:dyDescent="0.3">
      <c r="A8529" t="s">
        <v>149</v>
      </c>
      <c r="B8529" s="1">
        <v>44698</v>
      </c>
      <c r="C8529">
        <v>1</v>
      </c>
      <c r="D8529">
        <v>206.79</v>
      </c>
      <c r="E8529">
        <v>273</v>
      </c>
    </row>
    <row r="8530" spans="1:5" x14ac:dyDescent="0.3">
      <c r="A8530" t="s">
        <v>29</v>
      </c>
      <c r="B8530" s="1">
        <v>44698</v>
      </c>
      <c r="C8530">
        <v>1</v>
      </c>
      <c r="D8530">
        <v>487.24</v>
      </c>
      <c r="E8530">
        <v>644</v>
      </c>
    </row>
    <row r="8531" spans="1:5" x14ac:dyDescent="0.3">
      <c r="A8531" t="s">
        <v>122</v>
      </c>
      <c r="B8531" s="1">
        <v>44698</v>
      </c>
      <c r="C8531">
        <v>1</v>
      </c>
      <c r="D8531">
        <v>21.23</v>
      </c>
      <c r="E8531">
        <v>26</v>
      </c>
    </row>
    <row r="8532" spans="1:5" x14ac:dyDescent="0.3">
      <c r="A8532" t="s">
        <v>32</v>
      </c>
      <c r="B8532" s="1">
        <v>44698</v>
      </c>
      <c r="C8532">
        <v>1</v>
      </c>
      <c r="D8532">
        <v>105.24</v>
      </c>
      <c r="E8532">
        <v>111.55</v>
      </c>
    </row>
    <row r="8533" spans="1:5" x14ac:dyDescent="0.3">
      <c r="A8533" t="s">
        <v>20</v>
      </c>
      <c r="B8533" s="1">
        <v>44698</v>
      </c>
      <c r="C8533">
        <v>1</v>
      </c>
      <c r="D8533">
        <v>27.59</v>
      </c>
      <c r="E8533">
        <v>37.83</v>
      </c>
    </row>
    <row r="8534" spans="1:5" x14ac:dyDescent="0.3">
      <c r="A8534" t="s">
        <v>110</v>
      </c>
      <c r="B8534" s="1">
        <v>44698</v>
      </c>
      <c r="C8534">
        <v>1</v>
      </c>
      <c r="D8534">
        <v>206.53</v>
      </c>
      <c r="E8534">
        <v>290</v>
      </c>
    </row>
    <row r="8535" spans="1:5" x14ac:dyDescent="0.3">
      <c r="A8535" t="s">
        <v>35</v>
      </c>
      <c r="B8535" s="1">
        <v>44698</v>
      </c>
      <c r="C8535">
        <v>1</v>
      </c>
      <c r="D8535">
        <v>35</v>
      </c>
      <c r="E8535">
        <v>54</v>
      </c>
    </row>
    <row r="8536" spans="1:5" x14ac:dyDescent="0.3">
      <c r="A8536" t="s">
        <v>35</v>
      </c>
      <c r="B8536" s="1">
        <v>44698</v>
      </c>
      <c r="C8536">
        <v>1</v>
      </c>
      <c r="D8536">
        <v>35</v>
      </c>
      <c r="E8536">
        <v>54</v>
      </c>
    </row>
    <row r="8537" spans="1:5" x14ac:dyDescent="0.3">
      <c r="A8537" t="s">
        <v>23</v>
      </c>
      <c r="B8537" s="1">
        <v>44698</v>
      </c>
      <c r="C8537">
        <v>1</v>
      </c>
      <c r="D8537">
        <v>109.41</v>
      </c>
      <c r="E8537">
        <v>123</v>
      </c>
    </row>
    <row r="8538" spans="1:5" x14ac:dyDescent="0.3">
      <c r="A8538" t="s">
        <v>132</v>
      </c>
      <c r="B8538" s="1">
        <v>44698</v>
      </c>
      <c r="C8538">
        <v>1</v>
      </c>
      <c r="D8538">
        <v>58.59</v>
      </c>
      <c r="E8538">
        <v>84</v>
      </c>
    </row>
    <row r="8539" spans="1:5" x14ac:dyDescent="0.3">
      <c r="A8539" t="s">
        <v>46</v>
      </c>
      <c r="B8539" s="1">
        <v>44698</v>
      </c>
      <c r="C8539">
        <v>1</v>
      </c>
      <c r="D8539">
        <v>19.420000000000002</v>
      </c>
      <c r="E8539">
        <v>23</v>
      </c>
    </row>
    <row r="8540" spans="1:5" x14ac:dyDescent="0.3">
      <c r="A8540" t="s">
        <v>98</v>
      </c>
      <c r="B8540" s="1">
        <v>44698</v>
      </c>
      <c r="C8540">
        <v>1</v>
      </c>
      <c r="D8540">
        <v>110.86</v>
      </c>
      <c r="E8540">
        <v>134</v>
      </c>
    </row>
    <row r="8541" spans="1:5" x14ac:dyDescent="0.3">
      <c r="A8541" t="s">
        <v>13</v>
      </c>
      <c r="B8541" s="1">
        <v>44698</v>
      </c>
      <c r="C8541">
        <v>1</v>
      </c>
      <c r="D8541">
        <v>119.06</v>
      </c>
      <c r="E8541">
        <v>143</v>
      </c>
    </row>
    <row r="8542" spans="1:5" x14ac:dyDescent="0.3">
      <c r="A8542" t="s">
        <v>20</v>
      </c>
      <c r="B8542" s="1">
        <v>44697</v>
      </c>
      <c r="C8542">
        <v>1</v>
      </c>
      <c r="D8542">
        <v>19.71</v>
      </c>
      <c r="E8542">
        <v>25</v>
      </c>
    </row>
    <row r="8543" spans="1:5" x14ac:dyDescent="0.3">
      <c r="A8543" t="s">
        <v>98</v>
      </c>
      <c r="B8543" s="1">
        <v>44697</v>
      </c>
      <c r="C8543">
        <v>1</v>
      </c>
      <c r="D8543">
        <v>110.99</v>
      </c>
      <c r="E8543">
        <v>136</v>
      </c>
    </row>
    <row r="8544" spans="1:5" x14ac:dyDescent="0.3">
      <c r="A8544" t="s">
        <v>157</v>
      </c>
      <c r="B8544" s="1">
        <v>44697</v>
      </c>
      <c r="C8544">
        <v>1</v>
      </c>
      <c r="D8544">
        <v>12</v>
      </c>
      <c r="E8544">
        <v>20</v>
      </c>
    </row>
    <row r="8545" spans="1:5" x14ac:dyDescent="0.3">
      <c r="A8545" t="s">
        <v>31</v>
      </c>
      <c r="B8545" s="1">
        <v>44697</v>
      </c>
      <c r="C8545">
        <v>1</v>
      </c>
      <c r="D8545">
        <v>13.19</v>
      </c>
      <c r="E8545">
        <v>18</v>
      </c>
    </row>
    <row r="8546" spans="1:5" x14ac:dyDescent="0.3">
      <c r="A8546" t="s">
        <v>31</v>
      </c>
      <c r="B8546" s="1">
        <v>44697</v>
      </c>
      <c r="C8546">
        <v>1</v>
      </c>
      <c r="D8546">
        <v>13.19</v>
      </c>
      <c r="E8546">
        <v>18</v>
      </c>
    </row>
    <row r="8547" spans="1:5" x14ac:dyDescent="0.3">
      <c r="A8547" t="s">
        <v>31</v>
      </c>
      <c r="B8547" s="1">
        <v>44697</v>
      </c>
      <c r="C8547">
        <v>1</v>
      </c>
      <c r="D8547">
        <v>13.19</v>
      </c>
      <c r="E8547">
        <v>18</v>
      </c>
    </row>
    <row r="8548" spans="1:5" x14ac:dyDescent="0.3">
      <c r="A8548" t="s">
        <v>31</v>
      </c>
      <c r="B8548" s="1">
        <v>44697</v>
      </c>
      <c r="C8548">
        <v>1</v>
      </c>
      <c r="D8548">
        <v>13.19</v>
      </c>
      <c r="E8548">
        <v>18</v>
      </c>
    </row>
    <row r="8549" spans="1:5" x14ac:dyDescent="0.3">
      <c r="A8549" t="s">
        <v>31</v>
      </c>
      <c r="B8549" s="1">
        <v>44697</v>
      </c>
      <c r="C8549">
        <v>1</v>
      </c>
      <c r="D8549">
        <v>13.19</v>
      </c>
      <c r="E8549">
        <v>18</v>
      </c>
    </row>
    <row r="8550" spans="1:5" x14ac:dyDescent="0.3">
      <c r="A8550" t="s">
        <v>31</v>
      </c>
      <c r="B8550" s="1">
        <v>44697</v>
      </c>
      <c r="C8550">
        <v>1</v>
      </c>
      <c r="D8550">
        <v>13.19</v>
      </c>
      <c r="E8550">
        <v>18</v>
      </c>
    </row>
    <row r="8551" spans="1:5" x14ac:dyDescent="0.3">
      <c r="A8551" t="s">
        <v>31</v>
      </c>
      <c r="B8551" s="1">
        <v>44697</v>
      </c>
      <c r="C8551">
        <v>1</v>
      </c>
      <c r="D8551">
        <v>13.19</v>
      </c>
      <c r="E8551">
        <v>18</v>
      </c>
    </row>
    <row r="8552" spans="1:5" x14ac:dyDescent="0.3">
      <c r="A8552" t="s">
        <v>31</v>
      </c>
      <c r="B8552" s="1">
        <v>44697</v>
      </c>
      <c r="C8552">
        <v>1</v>
      </c>
      <c r="D8552">
        <v>13.19</v>
      </c>
      <c r="E8552">
        <v>18</v>
      </c>
    </row>
    <row r="8553" spans="1:5" x14ac:dyDescent="0.3">
      <c r="A8553" t="s">
        <v>146</v>
      </c>
      <c r="B8553" s="1">
        <v>44697</v>
      </c>
      <c r="C8553">
        <v>1</v>
      </c>
      <c r="D8553">
        <v>402.29</v>
      </c>
      <c r="E8553">
        <v>451</v>
      </c>
    </row>
    <row r="8554" spans="1:5" x14ac:dyDescent="0.3">
      <c r="A8554" t="s">
        <v>10</v>
      </c>
      <c r="B8554" s="1">
        <v>44697</v>
      </c>
      <c r="C8554">
        <v>1</v>
      </c>
      <c r="D8554">
        <v>10.34</v>
      </c>
      <c r="E8554">
        <v>13</v>
      </c>
    </row>
    <row r="8555" spans="1:5" x14ac:dyDescent="0.3">
      <c r="A8555" t="s">
        <v>123</v>
      </c>
      <c r="B8555" s="1">
        <v>44697</v>
      </c>
      <c r="C8555">
        <v>1</v>
      </c>
      <c r="D8555">
        <v>62.46</v>
      </c>
      <c r="E8555">
        <v>80</v>
      </c>
    </row>
    <row r="8556" spans="1:5" x14ac:dyDescent="0.3">
      <c r="A8556" t="s">
        <v>19</v>
      </c>
      <c r="B8556" s="1">
        <v>44697</v>
      </c>
      <c r="C8556">
        <v>1</v>
      </c>
      <c r="D8556">
        <v>82.69</v>
      </c>
      <c r="E8556">
        <v>103</v>
      </c>
    </row>
    <row r="8557" spans="1:5" x14ac:dyDescent="0.3">
      <c r="A8557" t="s">
        <v>64</v>
      </c>
      <c r="B8557" s="1">
        <v>44697</v>
      </c>
      <c r="C8557">
        <v>1</v>
      </c>
      <c r="D8557">
        <v>199.69</v>
      </c>
      <c r="E8557">
        <v>278</v>
      </c>
    </row>
    <row r="8558" spans="1:5" x14ac:dyDescent="0.3">
      <c r="A8558" t="s">
        <v>76</v>
      </c>
      <c r="B8558" s="1">
        <v>44697</v>
      </c>
      <c r="C8558">
        <v>1</v>
      </c>
      <c r="D8558">
        <v>30.36</v>
      </c>
      <c r="E8558">
        <v>37</v>
      </c>
    </row>
    <row r="8559" spans="1:5" x14ac:dyDescent="0.3">
      <c r="A8559" t="s">
        <v>76</v>
      </c>
      <c r="B8559" s="1">
        <v>44697</v>
      </c>
      <c r="C8559">
        <v>1</v>
      </c>
      <c r="D8559">
        <v>30.36</v>
      </c>
      <c r="E8559">
        <v>37</v>
      </c>
    </row>
    <row r="8560" spans="1:5" x14ac:dyDescent="0.3">
      <c r="A8560" t="s">
        <v>158</v>
      </c>
      <c r="B8560" s="1">
        <v>44697</v>
      </c>
      <c r="C8560">
        <v>1</v>
      </c>
      <c r="D8560">
        <v>33.979999999999997</v>
      </c>
      <c r="E8560">
        <v>42</v>
      </c>
    </row>
    <row r="8561" spans="1:5" x14ac:dyDescent="0.3">
      <c r="A8561" t="s">
        <v>158</v>
      </c>
      <c r="B8561" s="1">
        <v>44697</v>
      </c>
      <c r="C8561">
        <v>1</v>
      </c>
      <c r="D8561">
        <v>33.979999999999997</v>
      </c>
      <c r="E8561">
        <v>42</v>
      </c>
    </row>
    <row r="8562" spans="1:5" x14ac:dyDescent="0.3">
      <c r="A8562" t="s">
        <v>158</v>
      </c>
      <c r="B8562" s="1">
        <v>44697</v>
      </c>
      <c r="C8562">
        <v>1</v>
      </c>
      <c r="D8562">
        <v>33.979999999999997</v>
      </c>
      <c r="E8562">
        <v>42</v>
      </c>
    </row>
    <row r="8563" spans="1:5" x14ac:dyDescent="0.3">
      <c r="A8563" t="s">
        <v>158</v>
      </c>
      <c r="B8563" s="1">
        <v>44697</v>
      </c>
      <c r="C8563">
        <v>1</v>
      </c>
      <c r="D8563">
        <v>33.979999999999997</v>
      </c>
      <c r="E8563">
        <v>42</v>
      </c>
    </row>
    <row r="8564" spans="1:5" x14ac:dyDescent="0.3">
      <c r="A8564" t="s">
        <v>158</v>
      </c>
      <c r="B8564" s="1">
        <v>44697</v>
      </c>
      <c r="C8564">
        <v>1</v>
      </c>
      <c r="D8564">
        <v>33.979999999999997</v>
      </c>
      <c r="E8564">
        <v>42</v>
      </c>
    </row>
    <row r="8565" spans="1:5" x14ac:dyDescent="0.3">
      <c r="A8565" t="s">
        <v>158</v>
      </c>
      <c r="B8565" s="1">
        <v>44697</v>
      </c>
      <c r="C8565">
        <v>1</v>
      </c>
      <c r="D8565">
        <v>33.979999999999997</v>
      </c>
      <c r="E8565">
        <v>42</v>
      </c>
    </row>
    <row r="8566" spans="1:5" x14ac:dyDescent="0.3">
      <c r="A8566" t="s">
        <v>158</v>
      </c>
      <c r="B8566" s="1">
        <v>44697</v>
      </c>
      <c r="C8566">
        <v>1</v>
      </c>
      <c r="D8566">
        <v>33.979999999999997</v>
      </c>
      <c r="E8566">
        <v>42</v>
      </c>
    </row>
    <row r="8567" spans="1:5" x14ac:dyDescent="0.3">
      <c r="A8567" t="s">
        <v>158</v>
      </c>
      <c r="B8567" s="1">
        <v>44697</v>
      </c>
      <c r="C8567">
        <v>1</v>
      </c>
      <c r="D8567">
        <v>33.979999999999997</v>
      </c>
      <c r="E8567">
        <v>42</v>
      </c>
    </row>
    <row r="8568" spans="1:5" x14ac:dyDescent="0.3">
      <c r="A8568" t="s">
        <v>158</v>
      </c>
      <c r="B8568" s="1">
        <v>44697</v>
      </c>
      <c r="C8568">
        <v>1</v>
      </c>
      <c r="D8568">
        <v>33.979999999999997</v>
      </c>
      <c r="E8568">
        <v>42</v>
      </c>
    </row>
    <row r="8569" spans="1:5" x14ac:dyDescent="0.3">
      <c r="A8569" t="s">
        <v>158</v>
      </c>
      <c r="B8569" s="1">
        <v>44697</v>
      </c>
      <c r="C8569">
        <v>1</v>
      </c>
      <c r="D8569">
        <v>33.979999999999997</v>
      </c>
      <c r="E8569">
        <v>42</v>
      </c>
    </row>
    <row r="8570" spans="1:5" x14ac:dyDescent="0.3">
      <c r="A8570" t="s">
        <v>95</v>
      </c>
      <c r="B8570" s="1">
        <v>44697</v>
      </c>
      <c r="C8570">
        <v>1</v>
      </c>
      <c r="D8570">
        <v>129.38</v>
      </c>
      <c r="E8570">
        <v>197</v>
      </c>
    </row>
    <row r="8571" spans="1:5" x14ac:dyDescent="0.3">
      <c r="A8571" t="s">
        <v>157</v>
      </c>
      <c r="B8571" s="1">
        <v>44697</v>
      </c>
      <c r="C8571">
        <v>1</v>
      </c>
      <c r="D8571">
        <v>12</v>
      </c>
      <c r="E8571">
        <v>20</v>
      </c>
    </row>
    <row r="8572" spans="1:5" x14ac:dyDescent="0.3">
      <c r="A8572" t="s">
        <v>45</v>
      </c>
      <c r="B8572" s="1">
        <v>44697</v>
      </c>
      <c r="C8572">
        <v>1</v>
      </c>
      <c r="D8572">
        <v>27.94</v>
      </c>
      <c r="E8572">
        <v>45</v>
      </c>
    </row>
    <row r="8573" spans="1:5" x14ac:dyDescent="0.3">
      <c r="A8573" t="s">
        <v>32</v>
      </c>
      <c r="B8573" s="1">
        <v>44697</v>
      </c>
      <c r="C8573">
        <v>1</v>
      </c>
      <c r="D8573">
        <v>105</v>
      </c>
      <c r="E8573">
        <v>165</v>
      </c>
    </row>
    <row r="8574" spans="1:5" x14ac:dyDescent="0.3">
      <c r="A8574" t="s">
        <v>157</v>
      </c>
      <c r="B8574" s="1">
        <v>44697</v>
      </c>
      <c r="C8574">
        <v>1</v>
      </c>
      <c r="D8574">
        <v>12</v>
      </c>
      <c r="E8574">
        <v>20</v>
      </c>
    </row>
    <row r="8575" spans="1:5" x14ac:dyDescent="0.3">
      <c r="A8575" t="s">
        <v>107</v>
      </c>
      <c r="B8575" s="1">
        <v>44697</v>
      </c>
      <c r="C8575">
        <v>1</v>
      </c>
      <c r="D8575">
        <v>77.989999999999995</v>
      </c>
      <c r="E8575">
        <v>95</v>
      </c>
    </row>
    <row r="8576" spans="1:5" x14ac:dyDescent="0.3">
      <c r="A8576" t="s">
        <v>93</v>
      </c>
      <c r="B8576" s="1">
        <v>44697</v>
      </c>
      <c r="C8576">
        <v>1</v>
      </c>
      <c r="D8576">
        <v>65.400000000000006</v>
      </c>
      <c r="E8576">
        <v>93</v>
      </c>
    </row>
    <row r="8577" spans="1:5" x14ac:dyDescent="0.3">
      <c r="A8577" t="s">
        <v>45</v>
      </c>
      <c r="B8577" s="1">
        <v>44697</v>
      </c>
      <c r="C8577">
        <v>1</v>
      </c>
      <c r="D8577">
        <v>27.94</v>
      </c>
      <c r="E8577">
        <v>45</v>
      </c>
    </row>
    <row r="8578" spans="1:5" x14ac:dyDescent="0.3">
      <c r="A8578" t="s">
        <v>156</v>
      </c>
      <c r="B8578" s="1">
        <v>44697</v>
      </c>
      <c r="C8578">
        <v>1</v>
      </c>
      <c r="D8578">
        <v>248.25</v>
      </c>
      <c r="E8578">
        <v>331</v>
      </c>
    </row>
    <row r="8579" spans="1:5" x14ac:dyDescent="0.3">
      <c r="A8579" t="s">
        <v>78</v>
      </c>
      <c r="B8579" s="1">
        <v>44697</v>
      </c>
      <c r="C8579">
        <v>1</v>
      </c>
      <c r="D8579">
        <v>70.540000000000006</v>
      </c>
      <c r="E8579">
        <v>91</v>
      </c>
    </row>
    <row r="8580" spans="1:5" x14ac:dyDescent="0.3">
      <c r="A8580" t="s">
        <v>139</v>
      </c>
      <c r="B8580" s="1">
        <v>44697</v>
      </c>
      <c r="C8580">
        <v>1</v>
      </c>
      <c r="D8580">
        <v>24.18</v>
      </c>
      <c r="E8580">
        <v>40</v>
      </c>
    </row>
    <row r="8581" spans="1:5" x14ac:dyDescent="0.3">
      <c r="A8581" t="s">
        <v>40</v>
      </c>
      <c r="B8581" s="1">
        <v>44697</v>
      </c>
      <c r="C8581">
        <v>1</v>
      </c>
      <c r="D8581">
        <v>173.52</v>
      </c>
      <c r="E8581">
        <v>208</v>
      </c>
    </row>
    <row r="8582" spans="1:5" x14ac:dyDescent="0.3">
      <c r="A8582" t="s">
        <v>66</v>
      </c>
      <c r="B8582" s="1">
        <v>44697</v>
      </c>
      <c r="C8582">
        <v>1</v>
      </c>
      <c r="D8582">
        <v>30.93</v>
      </c>
      <c r="E8582">
        <v>36</v>
      </c>
    </row>
    <row r="8583" spans="1:5" x14ac:dyDescent="0.3">
      <c r="A8583" t="s">
        <v>29</v>
      </c>
      <c r="B8583" s="1">
        <v>44697</v>
      </c>
      <c r="C8583">
        <v>1</v>
      </c>
      <c r="D8583">
        <v>480.05</v>
      </c>
      <c r="E8583">
        <v>620</v>
      </c>
    </row>
    <row r="8584" spans="1:5" x14ac:dyDescent="0.3">
      <c r="A8584" t="s">
        <v>125</v>
      </c>
      <c r="B8584" s="1">
        <v>44697</v>
      </c>
      <c r="C8584">
        <v>1</v>
      </c>
      <c r="D8584">
        <v>334.02</v>
      </c>
      <c r="E8584">
        <v>441</v>
      </c>
    </row>
    <row r="8585" spans="1:5" x14ac:dyDescent="0.3">
      <c r="A8585" t="s">
        <v>92</v>
      </c>
      <c r="B8585" s="1">
        <v>44697</v>
      </c>
      <c r="C8585">
        <v>1</v>
      </c>
      <c r="D8585">
        <v>5.78</v>
      </c>
      <c r="E8585">
        <v>8</v>
      </c>
    </row>
    <row r="8586" spans="1:5" x14ac:dyDescent="0.3">
      <c r="A8586" t="s">
        <v>72</v>
      </c>
      <c r="B8586" s="1">
        <v>44697</v>
      </c>
      <c r="C8586">
        <v>1</v>
      </c>
      <c r="D8586">
        <v>560.02</v>
      </c>
      <c r="E8586">
        <v>740</v>
      </c>
    </row>
    <row r="8587" spans="1:5" x14ac:dyDescent="0.3">
      <c r="A8587" t="s">
        <v>97</v>
      </c>
      <c r="B8587" s="1">
        <v>44697</v>
      </c>
      <c r="C8587">
        <v>1</v>
      </c>
      <c r="D8587">
        <v>411.88</v>
      </c>
      <c r="E8587">
        <v>544</v>
      </c>
    </row>
    <row r="8588" spans="1:5" x14ac:dyDescent="0.3">
      <c r="A8588" t="s">
        <v>61</v>
      </c>
      <c r="B8588" s="1">
        <v>44697</v>
      </c>
      <c r="C8588">
        <v>1</v>
      </c>
      <c r="D8588">
        <v>33.17</v>
      </c>
      <c r="E8588">
        <v>53</v>
      </c>
    </row>
    <row r="8589" spans="1:5" x14ac:dyDescent="0.3">
      <c r="A8589" t="s">
        <v>61</v>
      </c>
      <c r="B8589" s="1">
        <v>44697</v>
      </c>
      <c r="C8589">
        <v>1</v>
      </c>
      <c r="D8589">
        <v>33.17</v>
      </c>
      <c r="E8589">
        <v>53</v>
      </c>
    </row>
    <row r="8590" spans="1:5" x14ac:dyDescent="0.3">
      <c r="A8590" t="s">
        <v>146</v>
      </c>
      <c r="B8590" s="1">
        <v>44697</v>
      </c>
      <c r="C8590">
        <v>1</v>
      </c>
      <c r="D8590">
        <v>402.2</v>
      </c>
      <c r="E8590">
        <v>451</v>
      </c>
    </row>
    <row r="8591" spans="1:5" x14ac:dyDescent="0.3">
      <c r="A8591" t="s">
        <v>11</v>
      </c>
      <c r="B8591" s="1">
        <v>44697</v>
      </c>
      <c r="C8591">
        <v>1</v>
      </c>
      <c r="D8591">
        <v>24.2</v>
      </c>
      <c r="E8591">
        <v>39</v>
      </c>
    </row>
    <row r="8592" spans="1:5" x14ac:dyDescent="0.3">
      <c r="A8592" t="s">
        <v>36</v>
      </c>
      <c r="B8592" s="1">
        <v>44697</v>
      </c>
      <c r="C8592">
        <v>1</v>
      </c>
      <c r="D8592">
        <v>22.4</v>
      </c>
      <c r="E8592">
        <v>28</v>
      </c>
    </row>
    <row r="8593" spans="1:5" x14ac:dyDescent="0.3">
      <c r="A8593" t="s">
        <v>36</v>
      </c>
      <c r="B8593" s="1">
        <v>44697</v>
      </c>
      <c r="C8593">
        <v>1</v>
      </c>
      <c r="D8593">
        <v>22.4</v>
      </c>
      <c r="E8593">
        <v>28</v>
      </c>
    </row>
    <row r="8594" spans="1:5" x14ac:dyDescent="0.3">
      <c r="A8594" t="s">
        <v>110</v>
      </c>
      <c r="B8594" s="1">
        <v>44697</v>
      </c>
      <c r="C8594">
        <v>1</v>
      </c>
      <c r="D8594">
        <v>208.48</v>
      </c>
      <c r="E8594">
        <v>292</v>
      </c>
    </row>
    <row r="8595" spans="1:5" x14ac:dyDescent="0.3">
      <c r="A8595" t="s">
        <v>65</v>
      </c>
      <c r="B8595" s="1">
        <v>44697</v>
      </c>
      <c r="C8595">
        <v>1</v>
      </c>
      <c r="D8595">
        <v>184.45</v>
      </c>
      <c r="E8595">
        <v>235</v>
      </c>
    </row>
    <row r="8596" spans="1:5" x14ac:dyDescent="0.3">
      <c r="A8596" t="s">
        <v>128</v>
      </c>
      <c r="B8596" s="1">
        <v>44697</v>
      </c>
      <c r="C8596">
        <v>1</v>
      </c>
      <c r="D8596">
        <v>257.48</v>
      </c>
      <c r="E8596">
        <v>343</v>
      </c>
    </row>
    <row r="8597" spans="1:5" x14ac:dyDescent="0.3">
      <c r="A8597" t="s">
        <v>93</v>
      </c>
      <c r="B8597" s="1">
        <v>44697</v>
      </c>
      <c r="C8597">
        <v>1</v>
      </c>
      <c r="D8597">
        <v>70.97</v>
      </c>
      <c r="E8597">
        <v>106</v>
      </c>
    </row>
    <row r="8598" spans="1:5" x14ac:dyDescent="0.3">
      <c r="A8598" t="s">
        <v>136</v>
      </c>
      <c r="B8598" s="1">
        <v>44697</v>
      </c>
      <c r="C8598">
        <v>1</v>
      </c>
      <c r="D8598">
        <v>320.64999999999998</v>
      </c>
      <c r="E8598">
        <v>443</v>
      </c>
    </row>
    <row r="8599" spans="1:5" x14ac:dyDescent="0.3">
      <c r="A8599" t="s">
        <v>40</v>
      </c>
      <c r="B8599" s="1">
        <v>44697</v>
      </c>
      <c r="C8599">
        <v>1</v>
      </c>
      <c r="D8599">
        <v>172.76</v>
      </c>
      <c r="E8599">
        <v>207</v>
      </c>
    </row>
    <row r="8600" spans="1:5" x14ac:dyDescent="0.3">
      <c r="A8600" t="s">
        <v>50</v>
      </c>
      <c r="B8600" s="1">
        <v>44697</v>
      </c>
      <c r="C8600">
        <v>1</v>
      </c>
      <c r="D8600">
        <v>44.43</v>
      </c>
      <c r="E8600">
        <v>55</v>
      </c>
    </row>
    <row r="8601" spans="1:5" x14ac:dyDescent="0.3">
      <c r="A8601" t="s">
        <v>50</v>
      </c>
      <c r="B8601" s="1">
        <v>44697</v>
      </c>
      <c r="C8601">
        <v>1</v>
      </c>
      <c r="D8601">
        <v>44.89</v>
      </c>
      <c r="E8601">
        <v>56</v>
      </c>
    </row>
    <row r="8602" spans="1:5" x14ac:dyDescent="0.3">
      <c r="A8602" t="s">
        <v>11</v>
      </c>
      <c r="B8602" s="1">
        <v>44697</v>
      </c>
      <c r="C8602">
        <v>1</v>
      </c>
      <c r="D8602">
        <v>24.2</v>
      </c>
      <c r="E8602">
        <v>39</v>
      </c>
    </row>
    <row r="8603" spans="1:5" x14ac:dyDescent="0.3">
      <c r="A8603" t="s">
        <v>32</v>
      </c>
      <c r="B8603" s="1">
        <v>44697</v>
      </c>
      <c r="C8603">
        <v>1</v>
      </c>
      <c r="D8603">
        <v>105</v>
      </c>
      <c r="E8603">
        <v>165</v>
      </c>
    </row>
    <row r="8604" spans="1:5" x14ac:dyDescent="0.3">
      <c r="A8604" t="s">
        <v>56</v>
      </c>
      <c r="B8604" s="1">
        <v>44697</v>
      </c>
      <c r="C8604">
        <v>1</v>
      </c>
      <c r="D8604">
        <v>43.97</v>
      </c>
      <c r="E8604">
        <v>67</v>
      </c>
    </row>
    <row r="8605" spans="1:5" x14ac:dyDescent="0.3">
      <c r="A8605" t="s">
        <v>66</v>
      </c>
      <c r="B8605" s="1">
        <v>44697</v>
      </c>
      <c r="C8605">
        <v>1</v>
      </c>
      <c r="D8605">
        <v>30.6</v>
      </c>
      <c r="E8605">
        <v>36</v>
      </c>
    </row>
    <row r="8606" spans="1:5" x14ac:dyDescent="0.3">
      <c r="A8606" t="s">
        <v>124</v>
      </c>
      <c r="B8606" s="1">
        <v>44697</v>
      </c>
      <c r="C8606">
        <v>1</v>
      </c>
      <c r="D8606">
        <v>42.85</v>
      </c>
      <c r="E8606">
        <v>70</v>
      </c>
    </row>
    <row r="8607" spans="1:5" x14ac:dyDescent="0.3">
      <c r="A8607" t="s">
        <v>41</v>
      </c>
      <c r="B8607" s="1">
        <v>44697</v>
      </c>
      <c r="C8607">
        <v>1</v>
      </c>
      <c r="D8607">
        <v>13.3</v>
      </c>
      <c r="E8607">
        <v>22</v>
      </c>
    </row>
    <row r="8608" spans="1:5" x14ac:dyDescent="0.3">
      <c r="A8608" t="s">
        <v>159</v>
      </c>
      <c r="B8608" s="1">
        <v>44697</v>
      </c>
      <c r="C8608">
        <v>1</v>
      </c>
      <c r="D8608">
        <v>51.18</v>
      </c>
      <c r="E8608">
        <v>63</v>
      </c>
    </row>
    <row r="8609" spans="1:5" x14ac:dyDescent="0.3">
      <c r="A8609" t="s">
        <v>110</v>
      </c>
      <c r="B8609" s="1">
        <v>44697</v>
      </c>
      <c r="C8609">
        <v>1</v>
      </c>
      <c r="D8609">
        <v>208.48</v>
      </c>
      <c r="E8609">
        <v>292</v>
      </c>
    </row>
    <row r="8610" spans="1:5" x14ac:dyDescent="0.3">
      <c r="A8610" t="s">
        <v>34</v>
      </c>
      <c r="B8610" s="1">
        <v>44697</v>
      </c>
      <c r="C8610">
        <v>1</v>
      </c>
      <c r="D8610">
        <v>201.08</v>
      </c>
      <c r="E8610">
        <v>232</v>
      </c>
    </row>
    <row r="8611" spans="1:5" x14ac:dyDescent="0.3">
      <c r="A8611" t="s">
        <v>17</v>
      </c>
      <c r="B8611" s="1">
        <v>44697</v>
      </c>
      <c r="C8611">
        <v>1</v>
      </c>
      <c r="D8611">
        <v>382.79</v>
      </c>
      <c r="E8611">
        <v>460</v>
      </c>
    </row>
    <row r="8612" spans="1:5" x14ac:dyDescent="0.3">
      <c r="A8612" t="s">
        <v>20</v>
      </c>
      <c r="B8612" s="1">
        <v>44697</v>
      </c>
      <c r="C8612">
        <v>1</v>
      </c>
      <c r="D8612">
        <v>19.66</v>
      </c>
      <c r="E8612">
        <v>23</v>
      </c>
    </row>
    <row r="8613" spans="1:5" x14ac:dyDescent="0.3">
      <c r="A8613" t="s">
        <v>86</v>
      </c>
      <c r="B8613" s="1">
        <v>44697</v>
      </c>
      <c r="C8613">
        <v>1</v>
      </c>
      <c r="D8613">
        <v>47.4</v>
      </c>
      <c r="E8613">
        <v>76</v>
      </c>
    </row>
    <row r="8614" spans="1:5" x14ac:dyDescent="0.3">
      <c r="A8614" t="s">
        <v>63</v>
      </c>
      <c r="B8614" s="1">
        <v>44697</v>
      </c>
      <c r="C8614">
        <v>1</v>
      </c>
      <c r="D8614">
        <v>71.38</v>
      </c>
      <c r="E8614">
        <v>86</v>
      </c>
    </row>
    <row r="8615" spans="1:5" x14ac:dyDescent="0.3">
      <c r="A8615" t="s">
        <v>63</v>
      </c>
      <c r="B8615" s="1">
        <v>44697</v>
      </c>
      <c r="C8615">
        <v>1</v>
      </c>
      <c r="D8615">
        <v>71.38</v>
      </c>
      <c r="E8615">
        <v>86</v>
      </c>
    </row>
    <row r="8616" spans="1:5" x14ac:dyDescent="0.3">
      <c r="A8616" t="s">
        <v>77</v>
      </c>
      <c r="B8616" s="1">
        <v>44697</v>
      </c>
      <c r="C8616">
        <v>1</v>
      </c>
      <c r="D8616">
        <v>57.37</v>
      </c>
      <c r="E8616">
        <v>72</v>
      </c>
    </row>
    <row r="8617" spans="1:5" x14ac:dyDescent="0.3">
      <c r="A8617" t="s">
        <v>77</v>
      </c>
      <c r="B8617" s="1">
        <v>44697</v>
      </c>
      <c r="C8617">
        <v>1</v>
      </c>
      <c r="D8617">
        <v>57.37</v>
      </c>
      <c r="E8617">
        <v>72</v>
      </c>
    </row>
    <row r="8618" spans="1:5" x14ac:dyDescent="0.3">
      <c r="A8618" t="s">
        <v>137</v>
      </c>
      <c r="B8618" s="1">
        <v>44697</v>
      </c>
      <c r="C8618">
        <v>10</v>
      </c>
      <c r="D8618">
        <v>7.13</v>
      </c>
      <c r="E8618">
        <v>12</v>
      </c>
    </row>
    <row r="8619" spans="1:5" x14ac:dyDescent="0.3">
      <c r="A8619" t="s">
        <v>62</v>
      </c>
      <c r="B8619" s="1">
        <v>44697</v>
      </c>
      <c r="C8619">
        <v>1</v>
      </c>
      <c r="D8619">
        <v>24.97</v>
      </c>
      <c r="E8619">
        <v>30</v>
      </c>
    </row>
    <row r="8620" spans="1:5" x14ac:dyDescent="0.3">
      <c r="A8620" t="s">
        <v>105</v>
      </c>
      <c r="B8620" s="1">
        <v>44697</v>
      </c>
      <c r="C8620">
        <v>1</v>
      </c>
      <c r="D8620">
        <v>26.75</v>
      </c>
      <c r="E8620">
        <v>44</v>
      </c>
    </row>
    <row r="8621" spans="1:5" x14ac:dyDescent="0.3">
      <c r="A8621" t="s">
        <v>41</v>
      </c>
      <c r="B8621" s="1">
        <v>44697</v>
      </c>
      <c r="C8621">
        <v>3</v>
      </c>
      <c r="D8621">
        <v>12.75</v>
      </c>
      <c r="E8621">
        <v>21</v>
      </c>
    </row>
    <row r="8622" spans="1:5" x14ac:dyDescent="0.3">
      <c r="A8622" t="s">
        <v>142</v>
      </c>
      <c r="B8622" s="1">
        <v>44697</v>
      </c>
      <c r="C8622">
        <v>1</v>
      </c>
      <c r="D8622">
        <v>12.86</v>
      </c>
      <c r="E8622">
        <v>15</v>
      </c>
    </row>
    <row r="8623" spans="1:5" x14ac:dyDescent="0.3">
      <c r="A8623" t="s">
        <v>142</v>
      </c>
      <c r="B8623" s="1">
        <v>44697</v>
      </c>
      <c r="C8623">
        <v>1</v>
      </c>
      <c r="D8623">
        <v>12.86</v>
      </c>
      <c r="E8623">
        <v>15</v>
      </c>
    </row>
    <row r="8624" spans="1:5" x14ac:dyDescent="0.3">
      <c r="A8624" t="s">
        <v>8</v>
      </c>
      <c r="B8624" s="1">
        <v>44697</v>
      </c>
      <c r="C8624">
        <v>1</v>
      </c>
      <c r="D8624">
        <v>47.83</v>
      </c>
      <c r="E8624">
        <v>77</v>
      </c>
    </row>
    <row r="8625" spans="1:5" x14ac:dyDescent="0.3">
      <c r="A8625" t="s">
        <v>22</v>
      </c>
      <c r="B8625" s="1">
        <v>44697</v>
      </c>
      <c r="C8625">
        <v>1</v>
      </c>
      <c r="D8625">
        <v>30.3</v>
      </c>
      <c r="E8625">
        <v>49</v>
      </c>
    </row>
    <row r="8626" spans="1:5" x14ac:dyDescent="0.3">
      <c r="A8626" t="s">
        <v>29</v>
      </c>
      <c r="B8626" s="1">
        <v>44697</v>
      </c>
      <c r="C8626">
        <v>1</v>
      </c>
      <c r="D8626">
        <v>482.21</v>
      </c>
      <c r="E8626">
        <v>651</v>
      </c>
    </row>
    <row r="8627" spans="1:5" x14ac:dyDescent="0.3">
      <c r="A8627" t="s">
        <v>88</v>
      </c>
      <c r="B8627" s="1">
        <v>44697</v>
      </c>
      <c r="C8627">
        <v>0.2</v>
      </c>
      <c r="D8627">
        <v>106.51</v>
      </c>
      <c r="E8627">
        <v>163</v>
      </c>
    </row>
    <row r="8628" spans="1:5" x14ac:dyDescent="0.3">
      <c r="A8628" t="s">
        <v>124</v>
      </c>
      <c r="B8628" s="1">
        <v>44697</v>
      </c>
      <c r="C8628">
        <v>1</v>
      </c>
      <c r="D8628">
        <v>36.75</v>
      </c>
      <c r="E8628">
        <v>59</v>
      </c>
    </row>
    <row r="8629" spans="1:5" x14ac:dyDescent="0.3">
      <c r="A8629" t="s">
        <v>35</v>
      </c>
      <c r="B8629" s="1">
        <v>44697</v>
      </c>
      <c r="C8629">
        <v>1</v>
      </c>
      <c r="D8629">
        <v>35</v>
      </c>
      <c r="E8629">
        <v>54</v>
      </c>
    </row>
    <row r="8630" spans="1:5" x14ac:dyDescent="0.3">
      <c r="A8630" t="s">
        <v>62</v>
      </c>
      <c r="B8630" s="1">
        <v>44697</v>
      </c>
      <c r="C8630">
        <v>1</v>
      </c>
      <c r="D8630">
        <v>25.19</v>
      </c>
      <c r="E8630">
        <v>30</v>
      </c>
    </row>
    <row r="8631" spans="1:5" x14ac:dyDescent="0.3">
      <c r="A8631" t="s">
        <v>105</v>
      </c>
      <c r="B8631" s="1">
        <v>44697</v>
      </c>
      <c r="C8631">
        <v>1</v>
      </c>
      <c r="D8631">
        <v>26.75</v>
      </c>
      <c r="E8631">
        <v>44</v>
      </c>
    </row>
    <row r="8632" spans="1:5" x14ac:dyDescent="0.3">
      <c r="A8632" t="s">
        <v>56</v>
      </c>
      <c r="B8632" s="1">
        <v>44697</v>
      </c>
      <c r="C8632">
        <v>1</v>
      </c>
      <c r="D8632">
        <v>43.97</v>
      </c>
      <c r="E8632">
        <v>69</v>
      </c>
    </row>
    <row r="8633" spans="1:5" x14ac:dyDescent="0.3">
      <c r="A8633" t="s">
        <v>134</v>
      </c>
      <c r="B8633" s="1">
        <v>44697</v>
      </c>
      <c r="C8633">
        <v>1</v>
      </c>
      <c r="D8633">
        <v>27.41</v>
      </c>
      <c r="E8633">
        <v>42</v>
      </c>
    </row>
    <row r="8634" spans="1:5" x14ac:dyDescent="0.3">
      <c r="A8634" t="s">
        <v>134</v>
      </c>
      <c r="B8634" s="1">
        <v>44697</v>
      </c>
      <c r="C8634">
        <v>1</v>
      </c>
      <c r="D8634">
        <v>27.41</v>
      </c>
      <c r="E8634">
        <v>42</v>
      </c>
    </row>
    <row r="8635" spans="1:5" x14ac:dyDescent="0.3">
      <c r="A8635" t="s">
        <v>45</v>
      </c>
      <c r="B8635" s="1">
        <v>44697</v>
      </c>
      <c r="C8635">
        <v>1</v>
      </c>
      <c r="D8635">
        <v>27.21</v>
      </c>
      <c r="E8635">
        <v>44</v>
      </c>
    </row>
    <row r="8636" spans="1:5" x14ac:dyDescent="0.3">
      <c r="A8636" t="s">
        <v>137</v>
      </c>
      <c r="B8636" s="1">
        <v>44697</v>
      </c>
      <c r="C8636">
        <v>3</v>
      </c>
      <c r="D8636">
        <v>8.5</v>
      </c>
      <c r="E8636">
        <v>14</v>
      </c>
    </row>
    <row r="8637" spans="1:5" x14ac:dyDescent="0.3">
      <c r="A8637" t="s">
        <v>137</v>
      </c>
      <c r="B8637" s="1">
        <v>44697</v>
      </c>
      <c r="C8637">
        <v>2</v>
      </c>
      <c r="D8637">
        <v>8.5</v>
      </c>
      <c r="E8637">
        <v>14</v>
      </c>
    </row>
    <row r="8638" spans="1:5" x14ac:dyDescent="0.3">
      <c r="A8638" t="s">
        <v>32</v>
      </c>
      <c r="B8638" s="1">
        <v>44697</v>
      </c>
      <c r="C8638">
        <v>0.1</v>
      </c>
      <c r="D8638">
        <v>105</v>
      </c>
      <c r="E8638">
        <v>161</v>
      </c>
    </row>
    <row r="8639" spans="1:5" x14ac:dyDescent="0.3">
      <c r="A8639" t="s">
        <v>29</v>
      </c>
      <c r="B8639" s="1">
        <v>44697</v>
      </c>
      <c r="C8639">
        <v>1</v>
      </c>
      <c r="D8639">
        <v>480.11</v>
      </c>
      <c r="E8639">
        <v>649</v>
      </c>
    </row>
    <row r="8640" spans="1:5" x14ac:dyDescent="0.3">
      <c r="A8640" t="s">
        <v>31</v>
      </c>
      <c r="B8640" s="1">
        <v>44697</v>
      </c>
      <c r="C8640">
        <v>1</v>
      </c>
      <c r="D8640">
        <v>13.19</v>
      </c>
      <c r="E8640">
        <v>18</v>
      </c>
    </row>
    <row r="8641" spans="1:5" x14ac:dyDescent="0.3">
      <c r="A8641" t="s">
        <v>31</v>
      </c>
      <c r="B8641" s="1">
        <v>44697</v>
      </c>
      <c r="C8641">
        <v>1</v>
      </c>
      <c r="D8641">
        <v>13.19</v>
      </c>
      <c r="E8641">
        <v>18</v>
      </c>
    </row>
    <row r="8642" spans="1:5" x14ac:dyDescent="0.3">
      <c r="A8642" t="s">
        <v>31</v>
      </c>
      <c r="B8642" s="1">
        <v>44697</v>
      </c>
      <c r="C8642">
        <v>1</v>
      </c>
      <c r="D8642">
        <v>13.19</v>
      </c>
      <c r="E8642">
        <v>18</v>
      </c>
    </row>
    <row r="8643" spans="1:5" x14ac:dyDescent="0.3">
      <c r="A8643" t="s">
        <v>31</v>
      </c>
      <c r="B8643" s="1">
        <v>44697</v>
      </c>
      <c r="C8643">
        <v>1</v>
      </c>
      <c r="D8643">
        <v>13.19</v>
      </c>
      <c r="E8643">
        <v>18</v>
      </c>
    </row>
    <row r="8644" spans="1:5" x14ac:dyDescent="0.3">
      <c r="A8644" t="s">
        <v>29</v>
      </c>
      <c r="B8644" s="1">
        <v>44697</v>
      </c>
      <c r="C8644">
        <v>1</v>
      </c>
      <c r="D8644">
        <v>522.39</v>
      </c>
      <c r="E8644">
        <v>547</v>
      </c>
    </row>
    <row r="8645" spans="1:5" x14ac:dyDescent="0.3">
      <c r="A8645" t="s">
        <v>160</v>
      </c>
      <c r="B8645" s="1">
        <v>44697</v>
      </c>
      <c r="C8645">
        <v>1</v>
      </c>
      <c r="D8645">
        <v>81.8</v>
      </c>
      <c r="E8645">
        <v>99</v>
      </c>
    </row>
    <row r="8646" spans="1:5" x14ac:dyDescent="0.3">
      <c r="A8646" t="s">
        <v>120</v>
      </c>
      <c r="B8646" s="1">
        <v>44697</v>
      </c>
      <c r="C8646">
        <v>1</v>
      </c>
      <c r="D8646">
        <v>132.15</v>
      </c>
      <c r="E8646">
        <v>179</v>
      </c>
    </row>
    <row r="8647" spans="1:5" x14ac:dyDescent="0.3">
      <c r="A8647" t="s">
        <v>58</v>
      </c>
      <c r="B8647" s="1">
        <v>44697</v>
      </c>
      <c r="C8647">
        <v>1</v>
      </c>
      <c r="D8647">
        <v>76.739999999999995</v>
      </c>
      <c r="E8647">
        <v>93</v>
      </c>
    </row>
    <row r="8648" spans="1:5" x14ac:dyDescent="0.3">
      <c r="A8648" t="s">
        <v>58</v>
      </c>
      <c r="B8648" s="1">
        <v>44697</v>
      </c>
      <c r="C8648">
        <v>1</v>
      </c>
      <c r="D8648">
        <v>89.15</v>
      </c>
      <c r="E8648">
        <v>107</v>
      </c>
    </row>
    <row r="8649" spans="1:5" x14ac:dyDescent="0.3">
      <c r="A8649" t="s">
        <v>8</v>
      </c>
      <c r="B8649" s="1">
        <v>44697</v>
      </c>
      <c r="C8649">
        <v>1</v>
      </c>
      <c r="D8649">
        <v>47.83</v>
      </c>
      <c r="E8649">
        <v>77</v>
      </c>
    </row>
    <row r="8650" spans="1:5" x14ac:dyDescent="0.3">
      <c r="A8650" t="s">
        <v>68</v>
      </c>
      <c r="B8650" s="1">
        <v>44697</v>
      </c>
      <c r="C8650">
        <v>1</v>
      </c>
      <c r="D8650">
        <v>69.41</v>
      </c>
      <c r="E8650">
        <v>104</v>
      </c>
    </row>
    <row r="8651" spans="1:5" x14ac:dyDescent="0.3">
      <c r="A8651" t="s">
        <v>68</v>
      </c>
      <c r="B8651" s="1">
        <v>44697</v>
      </c>
      <c r="C8651">
        <v>1</v>
      </c>
      <c r="D8651">
        <v>69.41</v>
      </c>
      <c r="E8651">
        <v>104</v>
      </c>
    </row>
    <row r="8652" spans="1:5" x14ac:dyDescent="0.3">
      <c r="A8652" t="s">
        <v>49</v>
      </c>
      <c r="B8652" s="1">
        <v>44697</v>
      </c>
      <c r="C8652">
        <v>1</v>
      </c>
      <c r="D8652">
        <v>16.25</v>
      </c>
      <c r="E8652">
        <v>20</v>
      </c>
    </row>
    <row r="8653" spans="1:5" x14ac:dyDescent="0.3">
      <c r="A8653" t="s">
        <v>49</v>
      </c>
      <c r="B8653" s="1">
        <v>44697</v>
      </c>
      <c r="C8653">
        <v>1</v>
      </c>
      <c r="D8653">
        <v>16.25</v>
      </c>
      <c r="E8653">
        <v>20</v>
      </c>
    </row>
    <row r="8654" spans="1:5" x14ac:dyDescent="0.3">
      <c r="A8654" t="s">
        <v>110</v>
      </c>
      <c r="B8654" s="1">
        <v>44697</v>
      </c>
      <c r="C8654">
        <v>1</v>
      </c>
      <c r="D8654">
        <v>240.43</v>
      </c>
      <c r="E8654">
        <v>325</v>
      </c>
    </row>
    <row r="8655" spans="1:5" x14ac:dyDescent="0.3">
      <c r="A8655" t="s">
        <v>45</v>
      </c>
      <c r="B8655" s="1">
        <v>44697</v>
      </c>
      <c r="C8655">
        <v>1</v>
      </c>
      <c r="D8655">
        <v>25.36</v>
      </c>
      <c r="E8655">
        <v>42</v>
      </c>
    </row>
    <row r="8656" spans="1:5" x14ac:dyDescent="0.3">
      <c r="A8656" t="s">
        <v>138</v>
      </c>
      <c r="B8656" s="1">
        <v>44697</v>
      </c>
      <c r="C8656">
        <v>1</v>
      </c>
      <c r="D8656">
        <v>46.5</v>
      </c>
      <c r="E8656">
        <v>76</v>
      </c>
    </row>
    <row r="8657" spans="1:5" x14ac:dyDescent="0.3">
      <c r="A8657" t="s">
        <v>59</v>
      </c>
      <c r="B8657" s="1">
        <v>44697</v>
      </c>
      <c r="C8657">
        <v>1</v>
      </c>
      <c r="D8657">
        <v>11.59</v>
      </c>
      <c r="E8657">
        <v>19</v>
      </c>
    </row>
    <row r="8658" spans="1:5" x14ac:dyDescent="0.3">
      <c r="A8658" t="s">
        <v>142</v>
      </c>
      <c r="B8658" s="1">
        <v>44697</v>
      </c>
      <c r="C8658">
        <v>1</v>
      </c>
      <c r="D8658">
        <v>12.86</v>
      </c>
      <c r="E8658">
        <v>15</v>
      </c>
    </row>
    <row r="8659" spans="1:5" x14ac:dyDescent="0.3">
      <c r="A8659" t="s">
        <v>47</v>
      </c>
      <c r="B8659" s="1">
        <v>44697</v>
      </c>
      <c r="C8659">
        <v>1</v>
      </c>
      <c r="D8659">
        <v>46.14</v>
      </c>
      <c r="E8659">
        <v>73</v>
      </c>
    </row>
    <row r="8660" spans="1:5" x14ac:dyDescent="0.3">
      <c r="A8660" t="s">
        <v>125</v>
      </c>
      <c r="B8660" s="1">
        <v>44697</v>
      </c>
      <c r="C8660">
        <v>1</v>
      </c>
      <c r="D8660">
        <v>332.31</v>
      </c>
      <c r="E8660">
        <v>439</v>
      </c>
    </row>
    <row r="8661" spans="1:5" x14ac:dyDescent="0.3">
      <c r="A8661" t="s">
        <v>20</v>
      </c>
      <c r="B8661" s="1">
        <v>44697</v>
      </c>
      <c r="C8661">
        <v>1</v>
      </c>
      <c r="D8661">
        <v>19.71</v>
      </c>
      <c r="E8661">
        <v>25</v>
      </c>
    </row>
    <row r="8662" spans="1:5" x14ac:dyDescent="0.3">
      <c r="A8662" t="s">
        <v>24</v>
      </c>
      <c r="B8662" s="1">
        <v>44697</v>
      </c>
      <c r="C8662">
        <v>1</v>
      </c>
      <c r="D8662">
        <v>103.96</v>
      </c>
      <c r="E8662">
        <v>125</v>
      </c>
    </row>
    <row r="8663" spans="1:5" x14ac:dyDescent="0.3">
      <c r="A8663" t="s">
        <v>136</v>
      </c>
      <c r="B8663" s="1">
        <v>44697</v>
      </c>
      <c r="C8663">
        <v>1</v>
      </c>
      <c r="D8663">
        <v>286.19</v>
      </c>
      <c r="E8663">
        <v>381</v>
      </c>
    </row>
    <row r="8664" spans="1:5" x14ac:dyDescent="0.3">
      <c r="A8664" t="s">
        <v>127</v>
      </c>
      <c r="B8664" s="1">
        <v>44697</v>
      </c>
      <c r="C8664">
        <v>1</v>
      </c>
      <c r="D8664">
        <v>127.08</v>
      </c>
      <c r="E8664">
        <v>180</v>
      </c>
    </row>
    <row r="8665" spans="1:5" x14ac:dyDescent="0.3">
      <c r="A8665" t="s">
        <v>43</v>
      </c>
      <c r="B8665" s="1">
        <v>44697</v>
      </c>
      <c r="C8665">
        <v>1</v>
      </c>
      <c r="D8665">
        <v>134.68</v>
      </c>
      <c r="E8665">
        <v>162</v>
      </c>
    </row>
    <row r="8666" spans="1:5" x14ac:dyDescent="0.3">
      <c r="A8666" t="s">
        <v>142</v>
      </c>
      <c r="B8666" s="1">
        <v>44697</v>
      </c>
      <c r="C8666">
        <v>1</v>
      </c>
      <c r="D8666">
        <v>12.86</v>
      </c>
      <c r="E8666">
        <v>15</v>
      </c>
    </row>
    <row r="8667" spans="1:5" x14ac:dyDescent="0.3">
      <c r="A8667" t="s">
        <v>159</v>
      </c>
      <c r="B8667" s="1">
        <v>44697</v>
      </c>
      <c r="C8667">
        <v>1</v>
      </c>
      <c r="D8667">
        <v>51.89</v>
      </c>
      <c r="E8667">
        <v>64</v>
      </c>
    </row>
    <row r="8668" spans="1:5" x14ac:dyDescent="0.3">
      <c r="A8668" t="s">
        <v>159</v>
      </c>
      <c r="B8668" s="1">
        <v>44697</v>
      </c>
      <c r="C8668">
        <v>1</v>
      </c>
      <c r="D8668">
        <v>51.89</v>
      </c>
      <c r="E8668">
        <v>64</v>
      </c>
    </row>
    <row r="8669" spans="1:5" x14ac:dyDescent="0.3">
      <c r="A8669" t="s">
        <v>124</v>
      </c>
      <c r="B8669" s="1">
        <v>44697</v>
      </c>
      <c r="C8669">
        <v>1</v>
      </c>
      <c r="D8669">
        <v>36.75</v>
      </c>
      <c r="E8669">
        <v>59</v>
      </c>
    </row>
    <row r="8670" spans="1:5" x14ac:dyDescent="0.3">
      <c r="A8670" t="s">
        <v>34</v>
      </c>
      <c r="B8670" s="1">
        <v>44697</v>
      </c>
      <c r="C8670">
        <v>1</v>
      </c>
      <c r="D8670">
        <v>202.75</v>
      </c>
      <c r="E8670">
        <v>238</v>
      </c>
    </row>
    <row r="8671" spans="1:5" x14ac:dyDescent="0.3">
      <c r="A8671" t="s">
        <v>155</v>
      </c>
      <c r="B8671" s="1">
        <v>44697</v>
      </c>
      <c r="C8671">
        <v>0.32</v>
      </c>
      <c r="D8671">
        <v>529.47</v>
      </c>
      <c r="E8671">
        <v>736</v>
      </c>
    </row>
    <row r="8672" spans="1:5" x14ac:dyDescent="0.3">
      <c r="A8672" t="s">
        <v>155</v>
      </c>
      <c r="B8672" s="1">
        <v>44697</v>
      </c>
      <c r="C8672">
        <v>0.08</v>
      </c>
      <c r="D8672">
        <v>495.72</v>
      </c>
      <c r="E8672">
        <v>704</v>
      </c>
    </row>
    <row r="8673" spans="1:5" x14ac:dyDescent="0.3">
      <c r="A8673" t="s">
        <v>36</v>
      </c>
      <c r="B8673" s="1">
        <v>44697</v>
      </c>
      <c r="C8673">
        <v>1</v>
      </c>
      <c r="D8673">
        <v>22.93</v>
      </c>
      <c r="E8673">
        <v>29</v>
      </c>
    </row>
    <row r="8674" spans="1:5" x14ac:dyDescent="0.3">
      <c r="A8674" t="s">
        <v>93</v>
      </c>
      <c r="B8674" s="1">
        <v>44697</v>
      </c>
      <c r="C8674">
        <v>1</v>
      </c>
      <c r="D8674">
        <v>66.180000000000007</v>
      </c>
      <c r="E8674">
        <v>94</v>
      </c>
    </row>
    <row r="8675" spans="1:5" x14ac:dyDescent="0.3">
      <c r="A8675" t="s">
        <v>26</v>
      </c>
      <c r="B8675" s="1">
        <v>44697</v>
      </c>
      <c r="C8675">
        <v>0.3</v>
      </c>
      <c r="D8675">
        <v>989.67</v>
      </c>
      <c r="E8675">
        <v>1356</v>
      </c>
    </row>
    <row r="8676" spans="1:5" x14ac:dyDescent="0.3">
      <c r="A8676" t="s">
        <v>149</v>
      </c>
      <c r="B8676" s="1">
        <v>44697</v>
      </c>
      <c r="C8676">
        <v>1</v>
      </c>
      <c r="D8676">
        <v>236.96</v>
      </c>
      <c r="E8676">
        <v>320</v>
      </c>
    </row>
    <row r="8677" spans="1:5" x14ac:dyDescent="0.3">
      <c r="A8677" t="s">
        <v>36</v>
      </c>
      <c r="B8677" s="1">
        <v>44697</v>
      </c>
      <c r="C8677">
        <v>1</v>
      </c>
      <c r="D8677">
        <v>32.67</v>
      </c>
      <c r="E8677">
        <v>41</v>
      </c>
    </row>
    <row r="8678" spans="1:5" x14ac:dyDescent="0.3">
      <c r="A8678" t="s">
        <v>20</v>
      </c>
      <c r="B8678" s="1">
        <v>44697</v>
      </c>
      <c r="C8678">
        <v>1</v>
      </c>
      <c r="D8678">
        <v>19.71</v>
      </c>
      <c r="E8678">
        <v>25</v>
      </c>
    </row>
    <row r="8679" spans="1:5" x14ac:dyDescent="0.3">
      <c r="A8679" t="s">
        <v>20</v>
      </c>
      <c r="B8679" s="1">
        <v>44697</v>
      </c>
      <c r="C8679">
        <v>1</v>
      </c>
      <c r="D8679">
        <v>19.71</v>
      </c>
      <c r="E8679">
        <v>25</v>
      </c>
    </row>
    <row r="8680" spans="1:5" x14ac:dyDescent="0.3">
      <c r="A8680" t="s">
        <v>31</v>
      </c>
      <c r="B8680" s="1">
        <v>44697</v>
      </c>
      <c r="C8680">
        <v>1</v>
      </c>
      <c r="D8680">
        <v>12.59</v>
      </c>
      <c r="E8680">
        <v>17</v>
      </c>
    </row>
    <row r="8681" spans="1:5" x14ac:dyDescent="0.3">
      <c r="A8681" t="s">
        <v>31</v>
      </c>
      <c r="B8681" s="1">
        <v>44697</v>
      </c>
      <c r="C8681">
        <v>1</v>
      </c>
      <c r="D8681">
        <v>12.59</v>
      </c>
      <c r="E8681">
        <v>17</v>
      </c>
    </row>
    <row r="8682" spans="1:5" x14ac:dyDescent="0.3">
      <c r="A8682" t="s">
        <v>31</v>
      </c>
      <c r="B8682" s="1">
        <v>44697</v>
      </c>
      <c r="C8682">
        <v>1</v>
      </c>
      <c r="D8682">
        <v>13.1</v>
      </c>
      <c r="E8682">
        <v>18</v>
      </c>
    </row>
    <row r="8683" spans="1:5" x14ac:dyDescent="0.3">
      <c r="A8683" t="s">
        <v>31</v>
      </c>
      <c r="B8683" s="1">
        <v>44697</v>
      </c>
      <c r="C8683">
        <v>1</v>
      </c>
      <c r="D8683">
        <v>13.1</v>
      </c>
      <c r="E8683">
        <v>18</v>
      </c>
    </row>
    <row r="8684" spans="1:5" x14ac:dyDescent="0.3">
      <c r="A8684" t="s">
        <v>89</v>
      </c>
      <c r="B8684" s="1">
        <v>44697</v>
      </c>
      <c r="C8684">
        <v>1</v>
      </c>
      <c r="D8684">
        <v>81.17</v>
      </c>
      <c r="E8684">
        <v>116</v>
      </c>
    </row>
    <row r="8685" spans="1:5" x14ac:dyDescent="0.3">
      <c r="A8685" t="s">
        <v>143</v>
      </c>
      <c r="B8685" s="1">
        <v>44697</v>
      </c>
      <c r="C8685">
        <v>1</v>
      </c>
      <c r="D8685">
        <v>45.97</v>
      </c>
      <c r="E8685">
        <v>73</v>
      </c>
    </row>
    <row r="8686" spans="1:5" x14ac:dyDescent="0.3">
      <c r="A8686" t="s">
        <v>25</v>
      </c>
      <c r="B8686" s="1">
        <v>44697</v>
      </c>
      <c r="C8686">
        <v>1</v>
      </c>
      <c r="D8686">
        <v>147.18</v>
      </c>
      <c r="E8686">
        <v>177</v>
      </c>
    </row>
    <row r="8687" spans="1:5" x14ac:dyDescent="0.3">
      <c r="A8687" t="s">
        <v>118</v>
      </c>
      <c r="B8687" s="1">
        <v>44697</v>
      </c>
      <c r="C8687">
        <v>1</v>
      </c>
      <c r="D8687">
        <v>11.1</v>
      </c>
      <c r="E8687">
        <v>13</v>
      </c>
    </row>
    <row r="8688" spans="1:5" x14ac:dyDescent="0.3">
      <c r="A8688" t="s">
        <v>133</v>
      </c>
      <c r="B8688" s="1">
        <v>44697</v>
      </c>
      <c r="C8688">
        <v>2</v>
      </c>
      <c r="D8688">
        <v>6.13</v>
      </c>
      <c r="E8688">
        <v>10</v>
      </c>
    </row>
    <row r="8689" spans="1:5" x14ac:dyDescent="0.3">
      <c r="A8689" t="s">
        <v>34</v>
      </c>
      <c r="B8689" s="1">
        <v>44697</v>
      </c>
      <c r="C8689">
        <v>1</v>
      </c>
      <c r="D8689">
        <v>199.58</v>
      </c>
      <c r="E8689">
        <v>230</v>
      </c>
    </row>
    <row r="8690" spans="1:5" x14ac:dyDescent="0.3">
      <c r="A8690" t="s">
        <v>154</v>
      </c>
      <c r="B8690" s="1">
        <v>44697</v>
      </c>
      <c r="C8690">
        <v>1</v>
      </c>
      <c r="D8690">
        <v>122.39</v>
      </c>
      <c r="E8690">
        <v>147</v>
      </c>
    </row>
    <row r="8691" spans="1:5" x14ac:dyDescent="0.3">
      <c r="A8691" t="s">
        <v>36</v>
      </c>
      <c r="B8691" s="1">
        <v>44697</v>
      </c>
      <c r="C8691">
        <v>1</v>
      </c>
      <c r="D8691">
        <v>22.93</v>
      </c>
      <c r="E8691">
        <v>29</v>
      </c>
    </row>
    <row r="8692" spans="1:5" x14ac:dyDescent="0.3">
      <c r="A8692" t="s">
        <v>82</v>
      </c>
      <c r="B8692" s="1">
        <v>44697</v>
      </c>
      <c r="C8692">
        <v>1</v>
      </c>
      <c r="D8692">
        <v>40.1</v>
      </c>
      <c r="E8692">
        <v>51</v>
      </c>
    </row>
    <row r="8693" spans="1:5" x14ac:dyDescent="0.3">
      <c r="A8693" t="s">
        <v>23</v>
      </c>
      <c r="B8693" s="1">
        <v>44697</v>
      </c>
      <c r="C8693">
        <v>1</v>
      </c>
      <c r="D8693">
        <v>173.8</v>
      </c>
      <c r="E8693">
        <v>182</v>
      </c>
    </row>
    <row r="8694" spans="1:5" x14ac:dyDescent="0.3">
      <c r="A8694" t="s">
        <v>66</v>
      </c>
      <c r="B8694" s="1">
        <v>44697</v>
      </c>
      <c r="C8694">
        <v>1</v>
      </c>
      <c r="D8694">
        <v>31.69</v>
      </c>
      <c r="E8694">
        <v>37</v>
      </c>
    </row>
    <row r="8695" spans="1:5" x14ac:dyDescent="0.3">
      <c r="A8695" t="s">
        <v>5</v>
      </c>
      <c r="B8695" s="1">
        <v>44697</v>
      </c>
      <c r="C8695">
        <v>1</v>
      </c>
      <c r="D8695">
        <v>145.53</v>
      </c>
      <c r="E8695">
        <v>161</v>
      </c>
    </row>
    <row r="8696" spans="1:5" x14ac:dyDescent="0.3">
      <c r="A8696" t="s">
        <v>5</v>
      </c>
      <c r="B8696" s="1">
        <v>44697</v>
      </c>
      <c r="C8696">
        <v>1</v>
      </c>
      <c r="D8696">
        <v>145.6</v>
      </c>
      <c r="E8696">
        <v>169</v>
      </c>
    </row>
    <row r="8697" spans="1:5" x14ac:dyDescent="0.3">
      <c r="A8697" t="s">
        <v>23</v>
      </c>
      <c r="B8697" s="1">
        <v>44697</v>
      </c>
      <c r="C8697">
        <v>1</v>
      </c>
      <c r="D8697">
        <v>109.41</v>
      </c>
      <c r="E8697">
        <v>123</v>
      </c>
    </row>
    <row r="8698" spans="1:5" x14ac:dyDescent="0.3">
      <c r="A8698" t="s">
        <v>20</v>
      </c>
      <c r="B8698" s="1">
        <v>44697</v>
      </c>
      <c r="C8698">
        <v>1</v>
      </c>
      <c r="D8698">
        <v>19.71</v>
      </c>
      <c r="E8698">
        <v>25</v>
      </c>
    </row>
    <row r="8699" spans="1:5" x14ac:dyDescent="0.3">
      <c r="A8699" t="s">
        <v>20</v>
      </c>
      <c r="B8699" s="1">
        <v>44697</v>
      </c>
      <c r="C8699">
        <v>1</v>
      </c>
      <c r="D8699">
        <v>19.71</v>
      </c>
      <c r="E8699">
        <v>25</v>
      </c>
    </row>
    <row r="8700" spans="1:5" x14ac:dyDescent="0.3">
      <c r="A8700" t="s">
        <v>102</v>
      </c>
      <c r="B8700" s="1">
        <v>44697</v>
      </c>
      <c r="C8700">
        <v>1</v>
      </c>
      <c r="D8700">
        <v>26.18</v>
      </c>
      <c r="E8700">
        <v>33</v>
      </c>
    </row>
    <row r="8701" spans="1:5" x14ac:dyDescent="0.3">
      <c r="A8701" t="s">
        <v>102</v>
      </c>
      <c r="B8701" s="1">
        <v>44697</v>
      </c>
      <c r="C8701">
        <v>1</v>
      </c>
      <c r="D8701">
        <v>26.18</v>
      </c>
      <c r="E8701">
        <v>33</v>
      </c>
    </row>
    <row r="8702" spans="1:5" x14ac:dyDescent="0.3">
      <c r="A8702" t="s">
        <v>121</v>
      </c>
      <c r="B8702" s="1">
        <v>44697</v>
      </c>
      <c r="C8702">
        <v>1</v>
      </c>
      <c r="D8702">
        <v>7.24</v>
      </c>
      <c r="E8702">
        <v>12</v>
      </c>
    </row>
    <row r="8703" spans="1:5" x14ac:dyDescent="0.3">
      <c r="A8703" t="s">
        <v>83</v>
      </c>
      <c r="B8703" s="1">
        <v>44697</v>
      </c>
      <c r="C8703">
        <v>1</v>
      </c>
      <c r="D8703">
        <v>207.76</v>
      </c>
      <c r="E8703">
        <v>246</v>
      </c>
    </row>
    <row r="8704" spans="1:5" x14ac:dyDescent="0.3">
      <c r="A8704" t="s">
        <v>158</v>
      </c>
      <c r="B8704" s="1">
        <v>44697</v>
      </c>
      <c r="C8704">
        <v>1</v>
      </c>
      <c r="D8704">
        <v>31.17</v>
      </c>
      <c r="E8704">
        <v>39</v>
      </c>
    </row>
    <row r="8705" spans="1:5" x14ac:dyDescent="0.3">
      <c r="A8705" t="s">
        <v>158</v>
      </c>
      <c r="B8705" s="1">
        <v>44697</v>
      </c>
      <c r="C8705">
        <v>1</v>
      </c>
      <c r="D8705">
        <v>31.17</v>
      </c>
      <c r="E8705">
        <v>39</v>
      </c>
    </row>
    <row r="8706" spans="1:5" x14ac:dyDescent="0.3">
      <c r="A8706" t="s">
        <v>158</v>
      </c>
      <c r="B8706" s="1">
        <v>44697</v>
      </c>
      <c r="C8706">
        <v>1</v>
      </c>
      <c r="D8706">
        <v>31.17</v>
      </c>
      <c r="E8706">
        <v>39</v>
      </c>
    </row>
    <row r="8707" spans="1:5" x14ac:dyDescent="0.3">
      <c r="A8707" t="s">
        <v>158</v>
      </c>
      <c r="B8707" s="1">
        <v>44697</v>
      </c>
      <c r="C8707">
        <v>1</v>
      </c>
      <c r="D8707">
        <v>31.17</v>
      </c>
      <c r="E8707">
        <v>39</v>
      </c>
    </row>
    <row r="8708" spans="1:5" x14ac:dyDescent="0.3">
      <c r="A8708" t="s">
        <v>158</v>
      </c>
      <c r="B8708" s="1">
        <v>44697</v>
      </c>
      <c r="C8708">
        <v>1</v>
      </c>
      <c r="D8708">
        <v>31.17</v>
      </c>
      <c r="E8708">
        <v>39</v>
      </c>
    </row>
    <row r="8709" spans="1:5" x14ac:dyDescent="0.3">
      <c r="A8709" t="s">
        <v>158</v>
      </c>
      <c r="B8709" s="1">
        <v>44697</v>
      </c>
      <c r="C8709">
        <v>1</v>
      </c>
      <c r="D8709">
        <v>31.17</v>
      </c>
      <c r="E8709">
        <v>39</v>
      </c>
    </row>
    <row r="8710" spans="1:5" x14ac:dyDescent="0.3">
      <c r="A8710" t="s">
        <v>158</v>
      </c>
      <c r="B8710" s="1">
        <v>44697</v>
      </c>
      <c r="C8710">
        <v>1</v>
      </c>
      <c r="D8710">
        <v>31.17</v>
      </c>
      <c r="E8710">
        <v>39</v>
      </c>
    </row>
    <row r="8711" spans="1:5" x14ac:dyDescent="0.3">
      <c r="A8711" t="s">
        <v>158</v>
      </c>
      <c r="B8711" s="1">
        <v>44697</v>
      </c>
      <c r="C8711">
        <v>1</v>
      </c>
      <c r="D8711">
        <v>31.17</v>
      </c>
      <c r="E8711">
        <v>39</v>
      </c>
    </row>
    <row r="8712" spans="1:5" x14ac:dyDescent="0.3">
      <c r="A8712" t="s">
        <v>158</v>
      </c>
      <c r="B8712" s="1">
        <v>44697</v>
      </c>
      <c r="C8712">
        <v>1</v>
      </c>
      <c r="D8712">
        <v>31.17</v>
      </c>
      <c r="E8712">
        <v>39</v>
      </c>
    </row>
    <row r="8713" spans="1:5" x14ac:dyDescent="0.3">
      <c r="A8713" t="s">
        <v>158</v>
      </c>
      <c r="B8713" s="1">
        <v>44697</v>
      </c>
      <c r="C8713">
        <v>1</v>
      </c>
      <c r="D8713">
        <v>31.17</v>
      </c>
      <c r="E8713">
        <v>39</v>
      </c>
    </row>
    <row r="8714" spans="1:5" x14ac:dyDescent="0.3">
      <c r="A8714" t="s">
        <v>95</v>
      </c>
      <c r="B8714" s="1">
        <v>44697</v>
      </c>
      <c r="C8714">
        <v>1</v>
      </c>
      <c r="D8714">
        <v>130.88999999999999</v>
      </c>
      <c r="E8714">
        <v>206</v>
      </c>
    </row>
    <row r="8715" spans="1:5" x14ac:dyDescent="0.3">
      <c r="A8715" t="s">
        <v>32</v>
      </c>
      <c r="B8715" s="1">
        <v>44697</v>
      </c>
      <c r="C8715">
        <v>1</v>
      </c>
      <c r="D8715">
        <v>125.73</v>
      </c>
      <c r="E8715">
        <v>198</v>
      </c>
    </row>
    <row r="8716" spans="1:5" x14ac:dyDescent="0.3">
      <c r="A8716" t="s">
        <v>154</v>
      </c>
      <c r="B8716" s="1">
        <v>44697</v>
      </c>
      <c r="C8716">
        <v>1</v>
      </c>
      <c r="D8716">
        <v>122.04</v>
      </c>
      <c r="E8716">
        <v>147</v>
      </c>
    </row>
    <row r="8717" spans="1:5" x14ac:dyDescent="0.3">
      <c r="A8717" t="s">
        <v>154</v>
      </c>
      <c r="B8717" s="1">
        <v>44697</v>
      </c>
      <c r="C8717">
        <v>1</v>
      </c>
      <c r="D8717">
        <v>122.04</v>
      </c>
      <c r="E8717">
        <v>147</v>
      </c>
    </row>
    <row r="8718" spans="1:5" x14ac:dyDescent="0.3">
      <c r="A8718" t="s">
        <v>25</v>
      </c>
      <c r="B8718" s="1">
        <v>44697</v>
      </c>
      <c r="C8718">
        <v>1</v>
      </c>
      <c r="D8718">
        <v>147.18</v>
      </c>
      <c r="E8718">
        <v>177</v>
      </c>
    </row>
    <row r="8719" spans="1:5" x14ac:dyDescent="0.3">
      <c r="A8719" t="s">
        <v>25</v>
      </c>
      <c r="B8719" s="1">
        <v>44697</v>
      </c>
      <c r="C8719">
        <v>1</v>
      </c>
      <c r="D8719">
        <v>147.18</v>
      </c>
      <c r="E8719">
        <v>177</v>
      </c>
    </row>
    <row r="8720" spans="1:5" x14ac:dyDescent="0.3">
      <c r="A8720" t="s">
        <v>30</v>
      </c>
      <c r="B8720" s="1">
        <v>44697</v>
      </c>
      <c r="C8720">
        <v>1</v>
      </c>
      <c r="D8720">
        <v>156.19999999999999</v>
      </c>
      <c r="E8720">
        <v>186</v>
      </c>
    </row>
    <row r="8721" spans="1:5" x14ac:dyDescent="0.3">
      <c r="A8721" t="s">
        <v>30</v>
      </c>
      <c r="B8721" s="1">
        <v>44697</v>
      </c>
      <c r="C8721">
        <v>1</v>
      </c>
      <c r="D8721">
        <v>156.19999999999999</v>
      </c>
      <c r="E8721">
        <v>186</v>
      </c>
    </row>
    <row r="8722" spans="1:5" x14ac:dyDescent="0.3">
      <c r="A8722" t="s">
        <v>84</v>
      </c>
      <c r="B8722" s="1">
        <v>44697</v>
      </c>
      <c r="C8722">
        <v>1</v>
      </c>
      <c r="D8722">
        <v>168.78</v>
      </c>
      <c r="E8722">
        <v>195</v>
      </c>
    </row>
    <row r="8723" spans="1:5" x14ac:dyDescent="0.3">
      <c r="A8723" t="s">
        <v>84</v>
      </c>
      <c r="B8723" s="1">
        <v>44697</v>
      </c>
      <c r="C8723">
        <v>1</v>
      </c>
      <c r="D8723">
        <v>153.75</v>
      </c>
      <c r="E8723">
        <v>177</v>
      </c>
    </row>
    <row r="8724" spans="1:5" x14ac:dyDescent="0.3">
      <c r="A8724" t="s">
        <v>127</v>
      </c>
      <c r="B8724" s="1">
        <v>44697</v>
      </c>
      <c r="C8724">
        <v>1</v>
      </c>
      <c r="D8724">
        <v>117.61</v>
      </c>
      <c r="E8724">
        <v>171</v>
      </c>
    </row>
    <row r="8725" spans="1:5" x14ac:dyDescent="0.3">
      <c r="A8725" t="s">
        <v>64</v>
      </c>
      <c r="B8725" s="1">
        <v>44697</v>
      </c>
      <c r="C8725">
        <v>1</v>
      </c>
      <c r="D8725">
        <v>204.19</v>
      </c>
      <c r="E8725">
        <v>286</v>
      </c>
    </row>
    <row r="8726" spans="1:5" x14ac:dyDescent="0.3">
      <c r="A8726" t="s">
        <v>8</v>
      </c>
      <c r="B8726" s="1">
        <v>44697</v>
      </c>
      <c r="C8726">
        <v>1</v>
      </c>
      <c r="D8726">
        <v>47.03</v>
      </c>
      <c r="E8726">
        <v>76</v>
      </c>
    </row>
    <row r="8727" spans="1:5" x14ac:dyDescent="0.3">
      <c r="A8727" t="s">
        <v>8</v>
      </c>
      <c r="B8727" s="1">
        <v>44697</v>
      </c>
      <c r="C8727">
        <v>1</v>
      </c>
      <c r="D8727">
        <v>47.83</v>
      </c>
      <c r="E8727">
        <v>77</v>
      </c>
    </row>
    <row r="8728" spans="1:5" x14ac:dyDescent="0.3">
      <c r="A8728" t="s">
        <v>92</v>
      </c>
      <c r="B8728" s="1">
        <v>44697</v>
      </c>
      <c r="C8728">
        <v>10</v>
      </c>
      <c r="D8728">
        <v>6.2</v>
      </c>
      <c r="E8728">
        <v>9</v>
      </c>
    </row>
    <row r="8729" spans="1:5" x14ac:dyDescent="0.3">
      <c r="A8729" t="s">
        <v>56</v>
      </c>
      <c r="B8729" s="1">
        <v>44697</v>
      </c>
      <c r="C8729">
        <v>1</v>
      </c>
      <c r="D8729">
        <v>43.97</v>
      </c>
      <c r="E8729">
        <v>67</v>
      </c>
    </row>
    <row r="8730" spans="1:5" x14ac:dyDescent="0.3">
      <c r="A8730" t="s">
        <v>160</v>
      </c>
      <c r="B8730" s="1">
        <v>44697</v>
      </c>
      <c r="C8730">
        <v>1</v>
      </c>
      <c r="D8730">
        <v>80.73</v>
      </c>
      <c r="E8730">
        <v>100</v>
      </c>
    </row>
    <row r="8731" spans="1:5" x14ac:dyDescent="0.3">
      <c r="A8731" t="s">
        <v>40</v>
      </c>
      <c r="B8731" s="1">
        <v>44697</v>
      </c>
      <c r="C8731">
        <v>1</v>
      </c>
      <c r="D8731">
        <v>186.56</v>
      </c>
      <c r="E8731">
        <v>213</v>
      </c>
    </row>
    <row r="8732" spans="1:5" x14ac:dyDescent="0.3">
      <c r="A8732" t="s">
        <v>115</v>
      </c>
      <c r="B8732" s="1">
        <v>44697</v>
      </c>
      <c r="C8732">
        <v>1</v>
      </c>
      <c r="D8732">
        <v>76.010000000000005</v>
      </c>
      <c r="E8732">
        <v>91</v>
      </c>
    </row>
    <row r="8733" spans="1:5" x14ac:dyDescent="0.3">
      <c r="A8733" t="s">
        <v>115</v>
      </c>
      <c r="B8733" s="1">
        <v>44697</v>
      </c>
      <c r="C8733">
        <v>1</v>
      </c>
      <c r="D8733">
        <v>76.010000000000005</v>
      </c>
      <c r="E8733">
        <v>91</v>
      </c>
    </row>
    <row r="8734" spans="1:5" x14ac:dyDescent="0.3">
      <c r="A8734" t="s">
        <v>20</v>
      </c>
      <c r="B8734" s="1">
        <v>44697</v>
      </c>
      <c r="C8734">
        <v>1</v>
      </c>
      <c r="D8734">
        <v>22.66</v>
      </c>
      <c r="E8734">
        <v>30</v>
      </c>
    </row>
    <row r="8735" spans="1:5" x14ac:dyDescent="0.3">
      <c r="A8735" t="s">
        <v>20</v>
      </c>
      <c r="B8735" s="1">
        <v>44697</v>
      </c>
      <c r="C8735">
        <v>1</v>
      </c>
      <c r="D8735">
        <v>22.66</v>
      </c>
      <c r="E8735">
        <v>30</v>
      </c>
    </row>
    <row r="8736" spans="1:5" x14ac:dyDescent="0.3">
      <c r="A8736" t="s">
        <v>141</v>
      </c>
      <c r="B8736" s="1">
        <v>44697</v>
      </c>
      <c r="C8736">
        <v>1</v>
      </c>
      <c r="D8736">
        <v>14.69</v>
      </c>
      <c r="E8736">
        <v>26</v>
      </c>
    </row>
    <row r="8737" spans="1:5" x14ac:dyDescent="0.3">
      <c r="A8737" t="s">
        <v>58</v>
      </c>
      <c r="B8737" s="1">
        <v>44697</v>
      </c>
      <c r="C8737">
        <v>1</v>
      </c>
      <c r="D8737">
        <v>90.1</v>
      </c>
      <c r="E8737">
        <v>107</v>
      </c>
    </row>
    <row r="8738" spans="1:5" x14ac:dyDescent="0.3">
      <c r="A8738" t="s">
        <v>58</v>
      </c>
      <c r="B8738" s="1">
        <v>44697</v>
      </c>
      <c r="C8738">
        <v>1</v>
      </c>
      <c r="D8738">
        <v>90.1</v>
      </c>
      <c r="E8738">
        <v>107</v>
      </c>
    </row>
    <row r="8739" spans="1:5" x14ac:dyDescent="0.3">
      <c r="A8739" t="s">
        <v>152</v>
      </c>
      <c r="B8739" s="1">
        <v>44697</v>
      </c>
      <c r="C8739">
        <v>1</v>
      </c>
      <c r="D8739">
        <v>104.76</v>
      </c>
      <c r="E8739">
        <v>131</v>
      </c>
    </row>
    <row r="8740" spans="1:5" x14ac:dyDescent="0.3">
      <c r="A8740" t="s">
        <v>5</v>
      </c>
      <c r="B8740" s="1">
        <v>44697</v>
      </c>
      <c r="C8740">
        <v>1</v>
      </c>
      <c r="D8740">
        <v>131.93</v>
      </c>
      <c r="E8740">
        <v>151</v>
      </c>
    </row>
    <row r="8741" spans="1:5" x14ac:dyDescent="0.3">
      <c r="A8741" t="s">
        <v>5</v>
      </c>
      <c r="B8741" s="1">
        <v>44697</v>
      </c>
      <c r="C8741">
        <v>1</v>
      </c>
      <c r="D8741">
        <v>131.93</v>
      </c>
      <c r="E8741">
        <v>151</v>
      </c>
    </row>
    <row r="8742" spans="1:5" x14ac:dyDescent="0.3">
      <c r="A8742" t="s">
        <v>143</v>
      </c>
      <c r="B8742" s="1">
        <v>44697</v>
      </c>
      <c r="C8742">
        <v>1</v>
      </c>
      <c r="D8742">
        <v>50.45</v>
      </c>
      <c r="E8742">
        <v>77</v>
      </c>
    </row>
    <row r="8743" spans="1:5" x14ac:dyDescent="0.3">
      <c r="A8743" t="s">
        <v>23</v>
      </c>
      <c r="B8743" s="1">
        <v>44697</v>
      </c>
      <c r="C8743">
        <v>1</v>
      </c>
      <c r="D8743">
        <v>109.41</v>
      </c>
      <c r="E8743">
        <v>123</v>
      </c>
    </row>
    <row r="8744" spans="1:5" x14ac:dyDescent="0.3">
      <c r="A8744" t="s">
        <v>100</v>
      </c>
      <c r="B8744" s="1">
        <v>44697</v>
      </c>
      <c r="C8744">
        <v>1</v>
      </c>
      <c r="D8744">
        <v>37.49</v>
      </c>
      <c r="E8744">
        <v>59</v>
      </c>
    </row>
    <row r="8745" spans="1:5" x14ac:dyDescent="0.3">
      <c r="A8745" t="s">
        <v>127</v>
      </c>
      <c r="B8745" s="1">
        <v>44697</v>
      </c>
      <c r="C8745">
        <v>1</v>
      </c>
      <c r="D8745">
        <v>120.97</v>
      </c>
      <c r="E8745">
        <v>166</v>
      </c>
    </row>
    <row r="8746" spans="1:5" x14ac:dyDescent="0.3">
      <c r="A8746" t="s">
        <v>20</v>
      </c>
      <c r="B8746" s="1">
        <v>44697</v>
      </c>
      <c r="C8746">
        <v>1</v>
      </c>
      <c r="D8746">
        <v>22.66</v>
      </c>
      <c r="E8746">
        <v>30</v>
      </c>
    </row>
    <row r="8747" spans="1:5" x14ac:dyDescent="0.3">
      <c r="A8747" t="s">
        <v>97</v>
      </c>
      <c r="B8747" s="1">
        <v>44697</v>
      </c>
      <c r="C8747">
        <v>1</v>
      </c>
      <c r="D8747">
        <v>411.88</v>
      </c>
      <c r="E8747">
        <v>544</v>
      </c>
    </row>
    <row r="8748" spans="1:5" x14ac:dyDescent="0.3">
      <c r="A8748" t="s">
        <v>160</v>
      </c>
      <c r="B8748" s="1">
        <v>44697</v>
      </c>
      <c r="C8748">
        <v>1</v>
      </c>
      <c r="D8748">
        <v>81.819999999999993</v>
      </c>
      <c r="E8748">
        <v>99</v>
      </c>
    </row>
    <row r="8749" spans="1:5" x14ac:dyDescent="0.3">
      <c r="A8749" t="s">
        <v>160</v>
      </c>
      <c r="B8749" s="1">
        <v>44697</v>
      </c>
      <c r="C8749">
        <v>1</v>
      </c>
      <c r="D8749">
        <v>81.819999999999993</v>
      </c>
      <c r="E8749">
        <v>99</v>
      </c>
    </row>
    <row r="8750" spans="1:5" x14ac:dyDescent="0.3">
      <c r="A8750" t="s">
        <v>153</v>
      </c>
      <c r="B8750" s="1">
        <v>44697</v>
      </c>
      <c r="C8750">
        <v>1</v>
      </c>
      <c r="D8750">
        <v>10.34</v>
      </c>
      <c r="E8750">
        <v>12</v>
      </c>
    </row>
    <row r="8751" spans="1:5" x14ac:dyDescent="0.3">
      <c r="A8751" t="s">
        <v>153</v>
      </c>
      <c r="B8751" s="1">
        <v>44697</v>
      </c>
      <c r="C8751">
        <v>1</v>
      </c>
      <c r="D8751">
        <v>10.34</v>
      </c>
      <c r="E8751">
        <v>12</v>
      </c>
    </row>
    <row r="8752" spans="1:5" x14ac:dyDescent="0.3">
      <c r="A8752" t="s">
        <v>153</v>
      </c>
      <c r="B8752" s="1">
        <v>44697</v>
      </c>
      <c r="C8752">
        <v>1</v>
      </c>
      <c r="D8752">
        <v>10.34</v>
      </c>
      <c r="E8752">
        <v>12</v>
      </c>
    </row>
    <row r="8753" spans="1:5" x14ac:dyDescent="0.3">
      <c r="A8753" t="s">
        <v>14</v>
      </c>
      <c r="B8753" s="1">
        <v>44697</v>
      </c>
      <c r="C8753">
        <v>0.2</v>
      </c>
      <c r="D8753">
        <v>455.4</v>
      </c>
      <c r="E8753">
        <v>602</v>
      </c>
    </row>
    <row r="8754" spans="1:5" x14ac:dyDescent="0.3">
      <c r="A8754" t="s">
        <v>69</v>
      </c>
      <c r="B8754" s="1">
        <v>44697</v>
      </c>
      <c r="C8754">
        <v>1</v>
      </c>
      <c r="D8754">
        <v>19.989999999999998</v>
      </c>
      <c r="E8754">
        <v>24</v>
      </c>
    </row>
    <row r="8755" spans="1:5" x14ac:dyDescent="0.3">
      <c r="A8755" t="s">
        <v>48</v>
      </c>
      <c r="B8755" s="1">
        <v>44697</v>
      </c>
      <c r="C8755">
        <v>1</v>
      </c>
      <c r="D8755">
        <v>38.67</v>
      </c>
      <c r="E8755">
        <v>59</v>
      </c>
    </row>
    <row r="8756" spans="1:5" x14ac:dyDescent="0.3">
      <c r="A8756" t="s">
        <v>106</v>
      </c>
      <c r="B8756" s="1">
        <v>44697</v>
      </c>
      <c r="C8756">
        <v>1</v>
      </c>
      <c r="D8756">
        <v>46.2</v>
      </c>
      <c r="E8756">
        <v>56</v>
      </c>
    </row>
    <row r="8757" spans="1:5" x14ac:dyDescent="0.3">
      <c r="A8757" t="s">
        <v>106</v>
      </c>
      <c r="B8757" s="1">
        <v>44697</v>
      </c>
      <c r="C8757">
        <v>1</v>
      </c>
      <c r="D8757">
        <v>46.2</v>
      </c>
      <c r="E8757">
        <v>56</v>
      </c>
    </row>
    <row r="8758" spans="1:5" x14ac:dyDescent="0.3">
      <c r="A8758" t="s">
        <v>56</v>
      </c>
      <c r="B8758" s="1">
        <v>44697</v>
      </c>
      <c r="C8758">
        <v>1</v>
      </c>
      <c r="D8758">
        <v>43.97</v>
      </c>
      <c r="E8758">
        <v>67</v>
      </c>
    </row>
    <row r="8759" spans="1:5" x14ac:dyDescent="0.3">
      <c r="A8759" t="s">
        <v>56</v>
      </c>
      <c r="B8759" s="1">
        <v>44697</v>
      </c>
      <c r="C8759">
        <v>1</v>
      </c>
      <c r="D8759">
        <v>43.97</v>
      </c>
      <c r="E8759">
        <v>67</v>
      </c>
    </row>
    <row r="8760" spans="1:5" x14ac:dyDescent="0.3">
      <c r="A8760" t="s">
        <v>22</v>
      </c>
      <c r="B8760" s="1">
        <v>44697</v>
      </c>
      <c r="C8760">
        <v>1</v>
      </c>
      <c r="D8760">
        <v>30.3</v>
      </c>
      <c r="E8760">
        <v>49</v>
      </c>
    </row>
    <row r="8761" spans="1:5" x14ac:dyDescent="0.3">
      <c r="A8761" t="s">
        <v>43</v>
      </c>
      <c r="B8761" s="1">
        <v>44697</v>
      </c>
      <c r="C8761">
        <v>1</v>
      </c>
      <c r="D8761">
        <v>134.94999999999999</v>
      </c>
      <c r="E8761">
        <v>162</v>
      </c>
    </row>
    <row r="8762" spans="1:5" x14ac:dyDescent="0.3">
      <c r="A8762" t="s">
        <v>117</v>
      </c>
      <c r="B8762" s="1">
        <v>44697</v>
      </c>
      <c r="C8762">
        <v>1</v>
      </c>
      <c r="D8762">
        <v>23.14</v>
      </c>
      <c r="E8762">
        <v>28</v>
      </c>
    </row>
    <row r="8763" spans="1:5" x14ac:dyDescent="0.3">
      <c r="A8763" t="s">
        <v>144</v>
      </c>
      <c r="B8763" s="1">
        <v>44697</v>
      </c>
      <c r="C8763">
        <v>1</v>
      </c>
      <c r="D8763">
        <v>51.32</v>
      </c>
      <c r="E8763">
        <v>73</v>
      </c>
    </row>
    <row r="8764" spans="1:5" x14ac:dyDescent="0.3">
      <c r="A8764" t="s">
        <v>144</v>
      </c>
      <c r="B8764" s="1">
        <v>44697</v>
      </c>
      <c r="C8764">
        <v>1</v>
      </c>
      <c r="D8764">
        <v>51.32</v>
      </c>
      <c r="E8764">
        <v>73</v>
      </c>
    </row>
    <row r="8765" spans="1:5" x14ac:dyDescent="0.3">
      <c r="A8765" t="s">
        <v>19</v>
      </c>
      <c r="B8765" s="1">
        <v>44697</v>
      </c>
      <c r="C8765">
        <v>1</v>
      </c>
      <c r="D8765">
        <v>81.58</v>
      </c>
      <c r="E8765">
        <v>102</v>
      </c>
    </row>
    <row r="8766" spans="1:5" x14ac:dyDescent="0.3">
      <c r="A8766" t="s">
        <v>47</v>
      </c>
      <c r="B8766" s="1">
        <v>44697</v>
      </c>
      <c r="C8766">
        <v>1</v>
      </c>
      <c r="D8766">
        <v>42.85</v>
      </c>
      <c r="E8766">
        <v>67</v>
      </c>
    </row>
    <row r="8767" spans="1:5" x14ac:dyDescent="0.3">
      <c r="A8767" t="s">
        <v>100</v>
      </c>
      <c r="B8767" s="1">
        <v>44697</v>
      </c>
      <c r="C8767">
        <v>1</v>
      </c>
      <c r="D8767">
        <v>36.29</v>
      </c>
      <c r="E8767">
        <v>57</v>
      </c>
    </row>
    <row r="8768" spans="1:5" x14ac:dyDescent="0.3">
      <c r="A8768" t="s">
        <v>7</v>
      </c>
      <c r="B8768" s="1">
        <v>44697</v>
      </c>
      <c r="C8768">
        <v>1</v>
      </c>
      <c r="D8768">
        <v>88.4</v>
      </c>
      <c r="E8768">
        <v>109</v>
      </c>
    </row>
    <row r="8769" spans="1:5" x14ac:dyDescent="0.3">
      <c r="A8769" t="s">
        <v>60</v>
      </c>
      <c r="B8769" s="1">
        <v>44697</v>
      </c>
      <c r="C8769">
        <v>1</v>
      </c>
      <c r="D8769">
        <v>58.06</v>
      </c>
      <c r="E8769">
        <v>72</v>
      </c>
    </row>
    <row r="8770" spans="1:5" x14ac:dyDescent="0.3">
      <c r="A8770" t="s">
        <v>97</v>
      </c>
      <c r="B8770" s="1">
        <v>44697</v>
      </c>
      <c r="C8770">
        <v>1</v>
      </c>
      <c r="D8770">
        <v>411.88</v>
      </c>
      <c r="E8770">
        <v>544</v>
      </c>
    </row>
    <row r="8771" spans="1:5" x14ac:dyDescent="0.3">
      <c r="A8771" t="s">
        <v>66</v>
      </c>
      <c r="B8771" s="1">
        <v>44697</v>
      </c>
      <c r="C8771">
        <v>1</v>
      </c>
      <c r="D8771">
        <v>30.6</v>
      </c>
      <c r="E8771">
        <v>36</v>
      </c>
    </row>
    <row r="8772" spans="1:5" x14ac:dyDescent="0.3">
      <c r="A8772" t="s">
        <v>66</v>
      </c>
      <c r="B8772" s="1">
        <v>44697</v>
      </c>
      <c r="C8772">
        <v>1</v>
      </c>
      <c r="D8772">
        <v>30.6</v>
      </c>
      <c r="E8772">
        <v>36</v>
      </c>
    </row>
    <row r="8773" spans="1:5" x14ac:dyDescent="0.3">
      <c r="A8773" t="s">
        <v>66</v>
      </c>
      <c r="B8773" s="1">
        <v>44697</v>
      </c>
      <c r="C8773">
        <v>1</v>
      </c>
      <c r="D8773">
        <v>30.6</v>
      </c>
      <c r="E8773">
        <v>36</v>
      </c>
    </row>
    <row r="8774" spans="1:5" x14ac:dyDescent="0.3">
      <c r="A8774" t="s">
        <v>25</v>
      </c>
      <c r="B8774" s="1">
        <v>44697</v>
      </c>
      <c r="C8774">
        <v>1</v>
      </c>
      <c r="D8774">
        <v>147.18</v>
      </c>
      <c r="E8774">
        <v>177</v>
      </c>
    </row>
    <row r="8775" spans="1:5" x14ac:dyDescent="0.3">
      <c r="A8775" t="s">
        <v>34</v>
      </c>
      <c r="B8775" s="1">
        <v>44697</v>
      </c>
      <c r="C8775">
        <v>1</v>
      </c>
      <c r="D8775">
        <v>202.75</v>
      </c>
      <c r="E8775">
        <v>234</v>
      </c>
    </row>
    <row r="8776" spans="1:5" x14ac:dyDescent="0.3">
      <c r="A8776" t="s">
        <v>18</v>
      </c>
      <c r="B8776" s="1">
        <v>44697</v>
      </c>
      <c r="C8776">
        <v>1</v>
      </c>
      <c r="D8776">
        <v>46</v>
      </c>
      <c r="E8776">
        <v>70</v>
      </c>
    </row>
    <row r="8777" spans="1:5" x14ac:dyDescent="0.3">
      <c r="A8777" t="s">
        <v>39</v>
      </c>
      <c r="B8777" s="1">
        <v>44697</v>
      </c>
      <c r="C8777">
        <v>1</v>
      </c>
      <c r="D8777">
        <v>9.76</v>
      </c>
      <c r="E8777">
        <v>16</v>
      </c>
    </row>
    <row r="8778" spans="1:5" x14ac:dyDescent="0.3">
      <c r="A8778" t="s">
        <v>73</v>
      </c>
      <c r="B8778" s="1">
        <v>44697</v>
      </c>
      <c r="C8778">
        <v>5</v>
      </c>
      <c r="D8778">
        <v>7.97</v>
      </c>
      <c r="E8778">
        <v>13</v>
      </c>
    </row>
    <row r="8779" spans="1:5" x14ac:dyDescent="0.3">
      <c r="A8779" t="s">
        <v>124</v>
      </c>
      <c r="B8779" s="1">
        <v>44697</v>
      </c>
      <c r="C8779">
        <v>1</v>
      </c>
      <c r="D8779">
        <v>37.869999999999997</v>
      </c>
      <c r="E8779">
        <v>62</v>
      </c>
    </row>
    <row r="8780" spans="1:5" x14ac:dyDescent="0.3">
      <c r="A8780" t="s">
        <v>149</v>
      </c>
      <c r="B8780" s="1">
        <v>44697</v>
      </c>
      <c r="C8780">
        <v>1</v>
      </c>
      <c r="D8780">
        <v>218.9</v>
      </c>
      <c r="E8780">
        <v>300</v>
      </c>
    </row>
    <row r="8781" spans="1:5" x14ac:dyDescent="0.3">
      <c r="A8781" t="s">
        <v>149</v>
      </c>
      <c r="B8781" s="1">
        <v>44697</v>
      </c>
      <c r="C8781">
        <v>1</v>
      </c>
      <c r="D8781">
        <v>218.9</v>
      </c>
      <c r="E8781">
        <v>300</v>
      </c>
    </row>
    <row r="8782" spans="1:5" x14ac:dyDescent="0.3">
      <c r="A8782" t="s">
        <v>149</v>
      </c>
      <c r="B8782" s="1">
        <v>44697</v>
      </c>
      <c r="C8782">
        <v>1</v>
      </c>
      <c r="D8782">
        <v>218.9</v>
      </c>
      <c r="E8782">
        <v>300</v>
      </c>
    </row>
    <row r="8783" spans="1:5" x14ac:dyDescent="0.3">
      <c r="A8783" t="s">
        <v>149</v>
      </c>
      <c r="B8783" s="1">
        <v>44697</v>
      </c>
      <c r="C8783">
        <v>1</v>
      </c>
      <c r="D8783">
        <v>218.9</v>
      </c>
      <c r="E8783">
        <v>300</v>
      </c>
    </row>
    <row r="8784" spans="1:5" x14ac:dyDescent="0.3">
      <c r="A8784" t="s">
        <v>18</v>
      </c>
      <c r="B8784" s="1">
        <v>44697</v>
      </c>
      <c r="C8784">
        <v>1</v>
      </c>
      <c r="D8784">
        <v>44</v>
      </c>
      <c r="E8784">
        <v>70</v>
      </c>
    </row>
    <row r="8785" spans="1:5" x14ac:dyDescent="0.3">
      <c r="A8785" t="s">
        <v>24</v>
      </c>
      <c r="B8785" s="1">
        <v>44697</v>
      </c>
      <c r="C8785">
        <v>1</v>
      </c>
      <c r="D8785">
        <v>95.88</v>
      </c>
      <c r="E8785">
        <v>118</v>
      </c>
    </row>
    <row r="8786" spans="1:5" x14ac:dyDescent="0.3">
      <c r="A8786" t="s">
        <v>24</v>
      </c>
      <c r="B8786" s="1">
        <v>44697</v>
      </c>
      <c r="C8786">
        <v>1</v>
      </c>
      <c r="D8786">
        <v>95.88</v>
      </c>
      <c r="E8786">
        <v>118</v>
      </c>
    </row>
    <row r="8787" spans="1:5" x14ac:dyDescent="0.3">
      <c r="A8787" t="s">
        <v>66</v>
      </c>
      <c r="B8787" s="1">
        <v>44697</v>
      </c>
      <c r="C8787">
        <v>1</v>
      </c>
      <c r="D8787">
        <v>31.69</v>
      </c>
      <c r="E8787">
        <v>37</v>
      </c>
    </row>
    <row r="8788" spans="1:5" x14ac:dyDescent="0.3">
      <c r="A8788" t="s">
        <v>66</v>
      </c>
      <c r="B8788" s="1">
        <v>44697</v>
      </c>
      <c r="C8788">
        <v>1</v>
      </c>
      <c r="D8788">
        <v>31.69</v>
      </c>
      <c r="E8788">
        <v>37</v>
      </c>
    </row>
    <row r="8789" spans="1:5" x14ac:dyDescent="0.3">
      <c r="A8789" t="s">
        <v>146</v>
      </c>
      <c r="B8789" s="1">
        <v>44697</v>
      </c>
      <c r="C8789">
        <v>1</v>
      </c>
      <c r="D8789">
        <v>411.54</v>
      </c>
      <c r="E8789">
        <v>461</v>
      </c>
    </row>
    <row r="8790" spans="1:5" x14ac:dyDescent="0.3">
      <c r="A8790" t="s">
        <v>68</v>
      </c>
      <c r="B8790" s="1">
        <v>44697</v>
      </c>
      <c r="C8790">
        <v>1</v>
      </c>
      <c r="D8790">
        <v>50.93</v>
      </c>
      <c r="E8790">
        <v>78</v>
      </c>
    </row>
    <row r="8791" spans="1:5" x14ac:dyDescent="0.3">
      <c r="A8791" t="s">
        <v>68</v>
      </c>
      <c r="B8791" s="1">
        <v>44697</v>
      </c>
      <c r="C8791">
        <v>1</v>
      </c>
      <c r="D8791">
        <v>50.93</v>
      </c>
      <c r="E8791">
        <v>78</v>
      </c>
    </row>
    <row r="8792" spans="1:5" x14ac:dyDescent="0.3">
      <c r="A8792" t="s">
        <v>68</v>
      </c>
      <c r="B8792" s="1">
        <v>44697</v>
      </c>
      <c r="C8792">
        <v>1</v>
      </c>
      <c r="D8792">
        <v>50.93</v>
      </c>
      <c r="E8792">
        <v>78</v>
      </c>
    </row>
    <row r="8793" spans="1:5" x14ac:dyDescent="0.3">
      <c r="A8793" t="s">
        <v>153</v>
      </c>
      <c r="B8793" s="1">
        <v>44697</v>
      </c>
      <c r="C8793">
        <v>1</v>
      </c>
      <c r="D8793">
        <v>10.34</v>
      </c>
      <c r="E8793">
        <v>12</v>
      </c>
    </row>
    <row r="8794" spans="1:5" x14ac:dyDescent="0.3">
      <c r="A8794" t="s">
        <v>19</v>
      </c>
      <c r="B8794" s="1">
        <v>44697</v>
      </c>
      <c r="C8794">
        <v>1</v>
      </c>
      <c r="D8794">
        <v>81.69</v>
      </c>
      <c r="E8794">
        <v>102</v>
      </c>
    </row>
    <row r="8795" spans="1:5" x14ac:dyDescent="0.3">
      <c r="A8795" t="s">
        <v>105</v>
      </c>
      <c r="B8795" s="1">
        <v>44697</v>
      </c>
      <c r="C8795">
        <v>1</v>
      </c>
      <c r="D8795">
        <v>26.75</v>
      </c>
      <c r="E8795">
        <v>44</v>
      </c>
    </row>
    <row r="8796" spans="1:5" x14ac:dyDescent="0.3">
      <c r="A8796" t="s">
        <v>85</v>
      </c>
      <c r="B8796" s="1">
        <v>44697</v>
      </c>
      <c r="C8796">
        <v>1</v>
      </c>
      <c r="D8796">
        <v>15.51</v>
      </c>
      <c r="E8796">
        <v>24</v>
      </c>
    </row>
    <row r="8797" spans="1:5" x14ac:dyDescent="0.3">
      <c r="A8797" t="s">
        <v>85</v>
      </c>
      <c r="B8797" s="1">
        <v>44697</v>
      </c>
      <c r="C8797">
        <v>1</v>
      </c>
      <c r="D8797">
        <v>15.51</v>
      </c>
      <c r="E8797">
        <v>24</v>
      </c>
    </row>
    <row r="8798" spans="1:5" x14ac:dyDescent="0.3">
      <c r="A8798" t="s">
        <v>142</v>
      </c>
      <c r="B8798" s="1">
        <v>44697</v>
      </c>
      <c r="C8798">
        <v>1</v>
      </c>
      <c r="D8798">
        <v>12.86</v>
      </c>
      <c r="E8798">
        <v>15</v>
      </c>
    </row>
    <row r="8799" spans="1:5" x14ac:dyDescent="0.3">
      <c r="A8799" t="s">
        <v>96</v>
      </c>
      <c r="B8799" s="1">
        <v>44697</v>
      </c>
      <c r="C8799">
        <v>1</v>
      </c>
      <c r="D8799">
        <v>71.17</v>
      </c>
      <c r="E8799">
        <v>102</v>
      </c>
    </row>
    <row r="8800" spans="1:5" x14ac:dyDescent="0.3">
      <c r="A8800" t="s">
        <v>50</v>
      </c>
      <c r="B8800" s="1">
        <v>44697</v>
      </c>
      <c r="C8800">
        <v>1</v>
      </c>
      <c r="D8800">
        <v>44.86</v>
      </c>
      <c r="E8800">
        <v>56</v>
      </c>
    </row>
    <row r="8801" spans="1:5" x14ac:dyDescent="0.3">
      <c r="A8801" t="s">
        <v>78</v>
      </c>
      <c r="B8801" s="1">
        <v>44697</v>
      </c>
      <c r="C8801">
        <v>1</v>
      </c>
      <c r="D8801">
        <v>65.56</v>
      </c>
      <c r="E8801">
        <v>84</v>
      </c>
    </row>
    <row r="8802" spans="1:5" x14ac:dyDescent="0.3">
      <c r="A8802" t="s">
        <v>127</v>
      </c>
      <c r="B8802" s="1">
        <v>44697</v>
      </c>
      <c r="C8802">
        <v>1</v>
      </c>
      <c r="D8802">
        <v>119.8</v>
      </c>
      <c r="E8802">
        <v>167</v>
      </c>
    </row>
    <row r="8803" spans="1:5" x14ac:dyDescent="0.3">
      <c r="A8803" t="s">
        <v>109</v>
      </c>
      <c r="B8803" s="1">
        <v>44697</v>
      </c>
      <c r="C8803">
        <v>1</v>
      </c>
      <c r="D8803">
        <v>87.23</v>
      </c>
      <c r="E8803">
        <v>105</v>
      </c>
    </row>
    <row r="8804" spans="1:5" x14ac:dyDescent="0.3">
      <c r="A8804" t="s">
        <v>109</v>
      </c>
      <c r="B8804" s="1">
        <v>44697</v>
      </c>
      <c r="C8804">
        <v>1</v>
      </c>
      <c r="D8804">
        <v>87.23</v>
      </c>
      <c r="E8804">
        <v>105</v>
      </c>
    </row>
    <row r="8805" spans="1:5" x14ac:dyDescent="0.3">
      <c r="A8805" t="s">
        <v>26</v>
      </c>
      <c r="B8805" s="1">
        <v>44697</v>
      </c>
      <c r="C8805">
        <v>0.1</v>
      </c>
      <c r="D8805">
        <v>987.81</v>
      </c>
      <c r="E8805">
        <v>1235</v>
      </c>
    </row>
    <row r="8806" spans="1:5" x14ac:dyDescent="0.3">
      <c r="A8806" t="s">
        <v>41</v>
      </c>
      <c r="B8806" s="1">
        <v>44697</v>
      </c>
      <c r="C8806">
        <v>1</v>
      </c>
      <c r="D8806">
        <v>13.3</v>
      </c>
      <c r="E8806">
        <v>22</v>
      </c>
    </row>
    <row r="8807" spans="1:5" x14ac:dyDescent="0.3">
      <c r="A8807" t="s">
        <v>66</v>
      </c>
      <c r="B8807" s="1">
        <v>44697</v>
      </c>
      <c r="C8807">
        <v>1</v>
      </c>
      <c r="D8807">
        <v>30.78</v>
      </c>
      <c r="E8807">
        <v>36</v>
      </c>
    </row>
    <row r="8808" spans="1:5" x14ac:dyDescent="0.3">
      <c r="A8808" t="s">
        <v>66</v>
      </c>
      <c r="B8808" s="1">
        <v>44697</v>
      </c>
      <c r="C8808">
        <v>1</v>
      </c>
      <c r="D8808">
        <v>30.78</v>
      </c>
      <c r="E8808">
        <v>36</v>
      </c>
    </row>
    <row r="8809" spans="1:5" x14ac:dyDescent="0.3">
      <c r="A8809" t="s">
        <v>90</v>
      </c>
      <c r="B8809" s="1">
        <v>44697</v>
      </c>
      <c r="C8809">
        <v>1</v>
      </c>
      <c r="D8809">
        <v>401.83</v>
      </c>
      <c r="E8809">
        <v>483</v>
      </c>
    </row>
    <row r="8810" spans="1:5" x14ac:dyDescent="0.3">
      <c r="A8810" t="s">
        <v>11</v>
      </c>
      <c r="B8810" s="1">
        <v>44697</v>
      </c>
      <c r="C8810">
        <v>1</v>
      </c>
      <c r="D8810">
        <v>24.2</v>
      </c>
      <c r="E8810">
        <v>39</v>
      </c>
    </row>
    <row r="8811" spans="1:5" x14ac:dyDescent="0.3">
      <c r="A8811" t="s">
        <v>63</v>
      </c>
      <c r="B8811" s="1">
        <v>44697</v>
      </c>
      <c r="C8811">
        <v>1</v>
      </c>
      <c r="D8811">
        <v>71.790000000000006</v>
      </c>
      <c r="E8811">
        <v>87</v>
      </c>
    </row>
    <row r="8812" spans="1:5" x14ac:dyDescent="0.3">
      <c r="A8812" t="s">
        <v>19</v>
      </c>
      <c r="B8812" s="1">
        <v>44697</v>
      </c>
      <c r="C8812">
        <v>1</v>
      </c>
      <c r="D8812">
        <v>82.54</v>
      </c>
      <c r="E8812">
        <v>103</v>
      </c>
    </row>
    <row r="8813" spans="1:5" x14ac:dyDescent="0.3">
      <c r="A8813" t="s">
        <v>51</v>
      </c>
      <c r="B8813" s="1">
        <v>44697</v>
      </c>
      <c r="C8813">
        <v>4</v>
      </c>
      <c r="D8813">
        <v>2.0499999999999998</v>
      </c>
      <c r="E8813">
        <v>4</v>
      </c>
    </row>
    <row r="8814" spans="1:5" x14ac:dyDescent="0.3">
      <c r="A8814" t="s">
        <v>51</v>
      </c>
      <c r="B8814" s="1">
        <v>44697</v>
      </c>
      <c r="C8814">
        <v>4</v>
      </c>
      <c r="D8814">
        <v>2.0499999999999998</v>
      </c>
      <c r="E8814">
        <v>4</v>
      </c>
    </row>
    <row r="8815" spans="1:5" x14ac:dyDescent="0.3">
      <c r="A8815" t="s">
        <v>48</v>
      </c>
      <c r="B8815" s="1">
        <v>44697</v>
      </c>
      <c r="C8815">
        <v>1</v>
      </c>
      <c r="D8815">
        <v>38.67</v>
      </c>
      <c r="E8815">
        <v>60</v>
      </c>
    </row>
    <row r="8816" spans="1:5" x14ac:dyDescent="0.3">
      <c r="A8816" t="s">
        <v>114</v>
      </c>
      <c r="B8816" s="1">
        <v>44697</v>
      </c>
      <c r="C8816">
        <v>1</v>
      </c>
      <c r="D8816">
        <v>74.8</v>
      </c>
      <c r="E8816">
        <v>94</v>
      </c>
    </row>
    <row r="8817" spans="1:5" x14ac:dyDescent="0.3">
      <c r="A8817" t="s">
        <v>43</v>
      </c>
      <c r="B8817" s="1">
        <v>44697</v>
      </c>
      <c r="C8817">
        <v>1</v>
      </c>
      <c r="D8817">
        <v>134.68</v>
      </c>
      <c r="E8817">
        <v>162</v>
      </c>
    </row>
    <row r="8818" spans="1:5" x14ac:dyDescent="0.3">
      <c r="A8818" t="s">
        <v>45</v>
      </c>
      <c r="B8818" s="1">
        <v>44697</v>
      </c>
      <c r="C8818">
        <v>1</v>
      </c>
      <c r="D8818">
        <v>25.2</v>
      </c>
      <c r="E8818">
        <v>41</v>
      </c>
    </row>
    <row r="8819" spans="1:5" x14ac:dyDescent="0.3">
      <c r="A8819" t="s">
        <v>149</v>
      </c>
      <c r="B8819" s="1">
        <v>44697</v>
      </c>
      <c r="C8819">
        <v>1</v>
      </c>
      <c r="D8819">
        <v>221.03</v>
      </c>
      <c r="E8819">
        <v>310</v>
      </c>
    </row>
    <row r="8820" spans="1:5" x14ac:dyDescent="0.3">
      <c r="A8820" t="s">
        <v>26</v>
      </c>
      <c r="B8820" s="1">
        <v>44697</v>
      </c>
      <c r="C8820">
        <v>0.2</v>
      </c>
      <c r="D8820">
        <v>989.8</v>
      </c>
      <c r="E8820">
        <v>1238</v>
      </c>
    </row>
    <row r="8821" spans="1:5" x14ac:dyDescent="0.3">
      <c r="A8821" t="s">
        <v>156</v>
      </c>
      <c r="B8821" s="1">
        <v>44697</v>
      </c>
      <c r="C8821">
        <v>1</v>
      </c>
      <c r="D8821">
        <v>248.25</v>
      </c>
      <c r="E8821">
        <v>336</v>
      </c>
    </row>
    <row r="8822" spans="1:5" x14ac:dyDescent="0.3">
      <c r="A8822" t="s">
        <v>100</v>
      </c>
      <c r="B8822" s="1">
        <v>44697</v>
      </c>
      <c r="C8822">
        <v>1</v>
      </c>
      <c r="D8822">
        <v>35.49</v>
      </c>
      <c r="E8822">
        <v>54</v>
      </c>
    </row>
    <row r="8823" spans="1:5" x14ac:dyDescent="0.3">
      <c r="A8823" t="s">
        <v>78</v>
      </c>
      <c r="B8823" s="1">
        <v>44697</v>
      </c>
      <c r="C8823">
        <v>1</v>
      </c>
      <c r="D8823">
        <v>72.11</v>
      </c>
      <c r="E8823">
        <v>91</v>
      </c>
    </row>
    <row r="8824" spans="1:5" x14ac:dyDescent="0.3">
      <c r="A8824" t="s">
        <v>93</v>
      </c>
      <c r="B8824" s="1">
        <v>44697</v>
      </c>
      <c r="C8824">
        <v>1</v>
      </c>
      <c r="D8824">
        <v>65.400000000000006</v>
      </c>
      <c r="E8824">
        <v>93</v>
      </c>
    </row>
    <row r="8825" spans="1:5" x14ac:dyDescent="0.3">
      <c r="A8825" t="s">
        <v>62</v>
      </c>
      <c r="B8825" s="1">
        <v>44697</v>
      </c>
      <c r="C8825">
        <v>1</v>
      </c>
      <c r="D8825">
        <v>24.97</v>
      </c>
      <c r="E8825">
        <v>30</v>
      </c>
    </row>
    <row r="8826" spans="1:5" x14ac:dyDescent="0.3">
      <c r="A8826" t="s">
        <v>62</v>
      </c>
      <c r="B8826" s="1">
        <v>44697</v>
      </c>
      <c r="C8826">
        <v>1</v>
      </c>
      <c r="D8826">
        <v>24.97</v>
      </c>
      <c r="E8826">
        <v>30</v>
      </c>
    </row>
    <row r="8827" spans="1:5" x14ac:dyDescent="0.3">
      <c r="A8827" t="s">
        <v>50</v>
      </c>
      <c r="B8827" s="1">
        <v>44697</v>
      </c>
      <c r="C8827">
        <v>1</v>
      </c>
      <c r="D8827">
        <v>43.86</v>
      </c>
      <c r="E8827">
        <v>55</v>
      </c>
    </row>
    <row r="8828" spans="1:5" x14ac:dyDescent="0.3">
      <c r="A8828" t="s">
        <v>50</v>
      </c>
      <c r="B8828" s="1">
        <v>44697</v>
      </c>
      <c r="C8828">
        <v>1</v>
      </c>
      <c r="D8828">
        <v>43.86</v>
      </c>
      <c r="E8828">
        <v>55</v>
      </c>
    </row>
    <row r="8829" spans="1:5" x14ac:dyDescent="0.3">
      <c r="A8829" t="s">
        <v>115</v>
      </c>
      <c r="B8829" s="1">
        <v>44697</v>
      </c>
      <c r="C8829">
        <v>1</v>
      </c>
      <c r="D8829">
        <v>70.95</v>
      </c>
      <c r="E8829">
        <v>89</v>
      </c>
    </row>
    <row r="8830" spans="1:5" x14ac:dyDescent="0.3">
      <c r="A8830" t="s">
        <v>138</v>
      </c>
      <c r="B8830" s="1">
        <v>44697</v>
      </c>
      <c r="C8830">
        <v>1</v>
      </c>
      <c r="D8830">
        <v>46.5</v>
      </c>
      <c r="E8830">
        <v>76</v>
      </c>
    </row>
    <row r="8831" spans="1:5" x14ac:dyDescent="0.3">
      <c r="A8831" t="s">
        <v>26</v>
      </c>
      <c r="B8831" s="1">
        <v>44697</v>
      </c>
      <c r="C8831">
        <v>0.1</v>
      </c>
      <c r="D8831">
        <v>1026.1199999999999</v>
      </c>
      <c r="E8831">
        <v>1283</v>
      </c>
    </row>
    <row r="8832" spans="1:5" x14ac:dyDescent="0.3">
      <c r="A8832" t="s">
        <v>66</v>
      </c>
      <c r="B8832" s="1">
        <v>44697</v>
      </c>
      <c r="C8832">
        <v>1</v>
      </c>
      <c r="D8832">
        <v>30.78</v>
      </c>
      <c r="E8832">
        <v>36</v>
      </c>
    </row>
    <row r="8833" spans="1:5" x14ac:dyDescent="0.3">
      <c r="A8833" t="s">
        <v>66</v>
      </c>
      <c r="B8833" s="1">
        <v>44697</v>
      </c>
      <c r="C8833">
        <v>1</v>
      </c>
      <c r="D8833">
        <v>30.78</v>
      </c>
      <c r="E8833">
        <v>36</v>
      </c>
    </row>
    <row r="8834" spans="1:5" x14ac:dyDescent="0.3">
      <c r="A8834" t="s">
        <v>66</v>
      </c>
      <c r="B8834" s="1">
        <v>44697</v>
      </c>
      <c r="C8834">
        <v>1</v>
      </c>
      <c r="D8834">
        <v>30.78</v>
      </c>
      <c r="E8834">
        <v>36</v>
      </c>
    </row>
    <row r="8835" spans="1:5" x14ac:dyDescent="0.3">
      <c r="A8835" t="s">
        <v>66</v>
      </c>
      <c r="B8835" s="1">
        <v>44697</v>
      </c>
      <c r="C8835">
        <v>1</v>
      </c>
      <c r="D8835">
        <v>30.78</v>
      </c>
      <c r="E8835">
        <v>36</v>
      </c>
    </row>
    <row r="8836" spans="1:5" x14ac:dyDescent="0.3">
      <c r="A8836" t="s">
        <v>60</v>
      </c>
      <c r="B8836" s="1">
        <v>44697</v>
      </c>
      <c r="C8836">
        <v>1</v>
      </c>
      <c r="D8836">
        <v>58.08</v>
      </c>
      <c r="E8836">
        <v>73</v>
      </c>
    </row>
    <row r="8837" spans="1:5" x14ac:dyDescent="0.3">
      <c r="A8837" t="s">
        <v>159</v>
      </c>
      <c r="B8837" s="1">
        <v>44697</v>
      </c>
      <c r="C8837">
        <v>1</v>
      </c>
      <c r="D8837">
        <v>50.63</v>
      </c>
      <c r="E8837">
        <v>65</v>
      </c>
    </row>
    <row r="8838" spans="1:5" x14ac:dyDescent="0.3">
      <c r="A8838" t="s">
        <v>49</v>
      </c>
      <c r="B8838" s="1">
        <v>44697</v>
      </c>
      <c r="C8838">
        <v>1</v>
      </c>
      <c r="D8838">
        <v>16.02</v>
      </c>
      <c r="E8838">
        <v>19</v>
      </c>
    </row>
    <row r="8839" spans="1:5" x14ac:dyDescent="0.3">
      <c r="A8839" t="s">
        <v>67</v>
      </c>
      <c r="B8839" s="1">
        <v>44697</v>
      </c>
      <c r="C8839">
        <v>1</v>
      </c>
      <c r="D8839">
        <v>55.04</v>
      </c>
      <c r="E8839">
        <v>79</v>
      </c>
    </row>
    <row r="8840" spans="1:5" x14ac:dyDescent="0.3">
      <c r="A8840" t="s">
        <v>67</v>
      </c>
      <c r="B8840" s="1">
        <v>44697</v>
      </c>
      <c r="C8840">
        <v>1</v>
      </c>
      <c r="D8840">
        <v>55.04</v>
      </c>
      <c r="E8840">
        <v>79</v>
      </c>
    </row>
    <row r="8841" spans="1:5" x14ac:dyDescent="0.3">
      <c r="A8841" t="s">
        <v>26</v>
      </c>
      <c r="B8841" s="1">
        <v>44697</v>
      </c>
      <c r="C8841">
        <v>0.2</v>
      </c>
      <c r="D8841">
        <v>1125.31</v>
      </c>
      <c r="E8841">
        <v>1407</v>
      </c>
    </row>
    <row r="8842" spans="1:5" x14ac:dyDescent="0.3">
      <c r="A8842" t="s">
        <v>30</v>
      </c>
      <c r="B8842" s="1">
        <v>44697</v>
      </c>
      <c r="C8842">
        <v>1</v>
      </c>
      <c r="D8842">
        <v>156.19999999999999</v>
      </c>
      <c r="E8842">
        <v>186</v>
      </c>
    </row>
    <row r="8843" spans="1:5" x14ac:dyDescent="0.3">
      <c r="A8843" t="s">
        <v>23</v>
      </c>
      <c r="B8843" s="1">
        <v>44697</v>
      </c>
      <c r="C8843">
        <v>1</v>
      </c>
      <c r="D8843">
        <v>112.85</v>
      </c>
      <c r="E8843">
        <v>127</v>
      </c>
    </row>
    <row r="8844" spans="1:5" x14ac:dyDescent="0.3">
      <c r="A8844" t="s">
        <v>61</v>
      </c>
      <c r="B8844" s="1">
        <v>44697</v>
      </c>
      <c r="C8844">
        <v>1</v>
      </c>
      <c r="D8844">
        <v>32.85</v>
      </c>
      <c r="E8844">
        <v>52</v>
      </c>
    </row>
    <row r="8845" spans="1:5" x14ac:dyDescent="0.3">
      <c r="A8845" t="s">
        <v>19</v>
      </c>
      <c r="B8845" s="1">
        <v>44697</v>
      </c>
      <c r="C8845">
        <v>1</v>
      </c>
      <c r="D8845">
        <v>81.95</v>
      </c>
      <c r="E8845">
        <v>104</v>
      </c>
    </row>
    <row r="8846" spans="1:5" x14ac:dyDescent="0.3">
      <c r="A8846" t="s">
        <v>145</v>
      </c>
      <c r="B8846" s="1">
        <v>44697</v>
      </c>
      <c r="C8846">
        <v>1</v>
      </c>
      <c r="D8846">
        <v>25.3</v>
      </c>
      <c r="E8846">
        <v>31</v>
      </c>
    </row>
    <row r="8847" spans="1:5" x14ac:dyDescent="0.3">
      <c r="A8847" t="s">
        <v>35</v>
      </c>
      <c r="B8847" s="1">
        <v>44697</v>
      </c>
      <c r="C8847">
        <v>1</v>
      </c>
      <c r="D8847">
        <v>39.6</v>
      </c>
      <c r="E8847">
        <v>61</v>
      </c>
    </row>
    <row r="8848" spans="1:5" x14ac:dyDescent="0.3">
      <c r="A8848" t="s">
        <v>14</v>
      </c>
      <c r="B8848" s="1">
        <v>44697</v>
      </c>
      <c r="C8848">
        <v>1</v>
      </c>
      <c r="D8848">
        <v>455.4</v>
      </c>
      <c r="E8848">
        <v>602</v>
      </c>
    </row>
    <row r="8849" spans="1:5" x14ac:dyDescent="0.3">
      <c r="A8849" t="s">
        <v>62</v>
      </c>
      <c r="B8849" s="1">
        <v>44697</v>
      </c>
      <c r="C8849">
        <v>1</v>
      </c>
      <c r="D8849">
        <v>24.97</v>
      </c>
      <c r="E8849">
        <v>30</v>
      </c>
    </row>
    <row r="8850" spans="1:5" x14ac:dyDescent="0.3">
      <c r="A8850" t="s">
        <v>83</v>
      </c>
      <c r="B8850" s="1">
        <v>44697</v>
      </c>
      <c r="C8850">
        <v>1</v>
      </c>
      <c r="D8850">
        <v>207.68</v>
      </c>
      <c r="E8850">
        <v>246</v>
      </c>
    </row>
    <row r="8851" spans="1:5" x14ac:dyDescent="0.3">
      <c r="A8851" t="s">
        <v>48</v>
      </c>
      <c r="B8851" s="1">
        <v>44697</v>
      </c>
      <c r="C8851">
        <v>1</v>
      </c>
      <c r="D8851">
        <v>46.72</v>
      </c>
      <c r="E8851">
        <v>74</v>
      </c>
    </row>
    <row r="8852" spans="1:5" x14ac:dyDescent="0.3">
      <c r="A8852" t="s">
        <v>160</v>
      </c>
      <c r="B8852" s="1">
        <v>44697</v>
      </c>
      <c r="C8852">
        <v>1</v>
      </c>
      <c r="D8852">
        <v>81.819999999999993</v>
      </c>
      <c r="E8852">
        <v>99</v>
      </c>
    </row>
    <row r="8853" spans="1:5" x14ac:dyDescent="0.3">
      <c r="A8853" t="s">
        <v>160</v>
      </c>
      <c r="B8853" s="1">
        <v>44697</v>
      </c>
      <c r="C8853">
        <v>1</v>
      </c>
      <c r="D8853">
        <v>81.819999999999993</v>
      </c>
      <c r="E8853">
        <v>99</v>
      </c>
    </row>
    <row r="8854" spans="1:5" x14ac:dyDescent="0.3">
      <c r="A8854" t="s">
        <v>30</v>
      </c>
      <c r="B8854" s="1">
        <v>44697</v>
      </c>
      <c r="C8854">
        <v>1</v>
      </c>
      <c r="D8854">
        <v>156.19999999999999</v>
      </c>
      <c r="E8854">
        <v>186</v>
      </c>
    </row>
    <row r="8855" spans="1:5" x14ac:dyDescent="0.3">
      <c r="A8855" t="s">
        <v>109</v>
      </c>
      <c r="B8855" s="1">
        <v>44697</v>
      </c>
      <c r="C8855">
        <v>1</v>
      </c>
      <c r="D8855">
        <v>87.23</v>
      </c>
      <c r="E8855">
        <v>105</v>
      </c>
    </row>
    <row r="8856" spans="1:5" x14ac:dyDescent="0.3">
      <c r="A8856" t="s">
        <v>39</v>
      </c>
      <c r="B8856" s="1">
        <v>44697</v>
      </c>
      <c r="C8856">
        <v>1</v>
      </c>
      <c r="D8856">
        <v>15</v>
      </c>
      <c r="E8856">
        <v>25</v>
      </c>
    </row>
    <row r="8857" spans="1:5" x14ac:dyDescent="0.3">
      <c r="A8857" t="s">
        <v>157</v>
      </c>
      <c r="B8857" s="1">
        <v>44697</v>
      </c>
      <c r="C8857">
        <v>1</v>
      </c>
      <c r="D8857">
        <v>12</v>
      </c>
      <c r="E8857">
        <v>20</v>
      </c>
    </row>
    <row r="8858" spans="1:5" x14ac:dyDescent="0.3">
      <c r="A8858" t="s">
        <v>35</v>
      </c>
      <c r="B8858" s="1">
        <v>44697</v>
      </c>
      <c r="C8858">
        <v>1</v>
      </c>
      <c r="D8858">
        <v>35</v>
      </c>
      <c r="E8858">
        <v>54</v>
      </c>
    </row>
    <row r="8859" spans="1:5" x14ac:dyDescent="0.3">
      <c r="A8859" t="s">
        <v>66</v>
      </c>
      <c r="B8859" s="1">
        <v>44697</v>
      </c>
      <c r="C8859">
        <v>1</v>
      </c>
      <c r="D8859">
        <v>31.69</v>
      </c>
      <c r="E8859">
        <v>37</v>
      </c>
    </row>
    <row r="8860" spans="1:5" x14ac:dyDescent="0.3">
      <c r="A8860" t="s">
        <v>66</v>
      </c>
      <c r="B8860" s="1">
        <v>44697</v>
      </c>
      <c r="C8860">
        <v>1</v>
      </c>
      <c r="D8860">
        <v>31.69</v>
      </c>
      <c r="E8860">
        <v>37</v>
      </c>
    </row>
    <row r="8861" spans="1:5" x14ac:dyDescent="0.3">
      <c r="A8861" t="s">
        <v>48</v>
      </c>
      <c r="B8861" s="1">
        <v>44697</v>
      </c>
      <c r="C8861">
        <v>1</v>
      </c>
      <c r="D8861">
        <v>46.72</v>
      </c>
      <c r="E8861">
        <v>72</v>
      </c>
    </row>
    <row r="8862" spans="1:5" x14ac:dyDescent="0.3">
      <c r="A8862" t="s">
        <v>48</v>
      </c>
      <c r="B8862" s="1">
        <v>44697</v>
      </c>
      <c r="C8862">
        <v>1</v>
      </c>
      <c r="D8862">
        <v>46.72</v>
      </c>
      <c r="E8862">
        <v>72</v>
      </c>
    </row>
    <row r="8863" spans="1:5" x14ac:dyDescent="0.3">
      <c r="A8863" t="s">
        <v>109</v>
      </c>
      <c r="B8863" s="1">
        <v>44697</v>
      </c>
      <c r="C8863">
        <v>1</v>
      </c>
      <c r="D8863">
        <v>87.23</v>
      </c>
      <c r="E8863">
        <v>103</v>
      </c>
    </row>
    <row r="8864" spans="1:5" x14ac:dyDescent="0.3">
      <c r="A8864" t="s">
        <v>91</v>
      </c>
      <c r="B8864" s="1">
        <v>44697</v>
      </c>
      <c r="C8864">
        <v>1</v>
      </c>
      <c r="D8864">
        <v>40.61</v>
      </c>
      <c r="E8864">
        <v>66</v>
      </c>
    </row>
    <row r="8865" spans="1:5" x14ac:dyDescent="0.3">
      <c r="A8865" t="s">
        <v>40</v>
      </c>
      <c r="B8865" s="1">
        <v>44697</v>
      </c>
      <c r="C8865">
        <v>1</v>
      </c>
      <c r="D8865">
        <v>173.52</v>
      </c>
      <c r="E8865">
        <v>208</v>
      </c>
    </row>
    <row r="8866" spans="1:5" x14ac:dyDescent="0.3">
      <c r="A8866" t="s">
        <v>85</v>
      </c>
      <c r="B8866" s="1">
        <v>44697</v>
      </c>
      <c r="C8866">
        <v>1</v>
      </c>
      <c r="D8866">
        <v>15.51</v>
      </c>
      <c r="E8866">
        <v>24</v>
      </c>
    </row>
    <row r="8867" spans="1:5" x14ac:dyDescent="0.3">
      <c r="A8867" t="s">
        <v>160</v>
      </c>
      <c r="B8867" s="1">
        <v>44697</v>
      </c>
      <c r="C8867">
        <v>1</v>
      </c>
      <c r="D8867">
        <v>80.73</v>
      </c>
      <c r="E8867">
        <v>100</v>
      </c>
    </row>
    <row r="8868" spans="1:5" x14ac:dyDescent="0.3">
      <c r="A8868" t="s">
        <v>131</v>
      </c>
      <c r="B8868" s="1">
        <v>44697</v>
      </c>
      <c r="C8868">
        <v>1</v>
      </c>
      <c r="D8868">
        <v>363.12</v>
      </c>
      <c r="E8868">
        <v>418</v>
      </c>
    </row>
    <row r="8869" spans="1:5" x14ac:dyDescent="0.3">
      <c r="A8869" t="s">
        <v>70</v>
      </c>
      <c r="B8869" s="1">
        <v>44697</v>
      </c>
      <c r="C8869">
        <v>1</v>
      </c>
      <c r="D8869">
        <v>184.39</v>
      </c>
      <c r="E8869">
        <v>218</v>
      </c>
    </row>
    <row r="8870" spans="1:5" x14ac:dyDescent="0.3">
      <c r="A8870" t="s">
        <v>106</v>
      </c>
      <c r="B8870" s="1">
        <v>44697</v>
      </c>
      <c r="C8870">
        <v>1</v>
      </c>
      <c r="D8870">
        <v>42.24</v>
      </c>
      <c r="E8870">
        <v>53</v>
      </c>
    </row>
    <row r="8871" spans="1:5" x14ac:dyDescent="0.3">
      <c r="A8871" t="s">
        <v>56</v>
      </c>
      <c r="B8871" s="1">
        <v>44697</v>
      </c>
      <c r="C8871">
        <v>1</v>
      </c>
      <c r="D8871">
        <v>43.97</v>
      </c>
      <c r="E8871">
        <v>67</v>
      </c>
    </row>
    <row r="8872" spans="1:5" x14ac:dyDescent="0.3">
      <c r="A8872" t="s">
        <v>56</v>
      </c>
      <c r="B8872" s="1">
        <v>44697</v>
      </c>
      <c r="C8872">
        <v>1</v>
      </c>
      <c r="D8872">
        <v>43.97</v>
      </c>
      <c r="E8872">
        <v>67</v>
      </c>
    </row>
    <row r="8873" spans="1:5" x14ac:dyDescent="0.3">
      <c r="A8873" t="s">
        <v>144</v>
      </c>
      <c r="B8873" s="1">
        <v>44697</v>
      </c>
      <c r="C8873">
        <v>1</v>
      </c>
      <c r="D8873">
        <v>52.47</v>
      </c>
      <c r="E8873">
        <v>75</v>
      </c>
    </row>
    <row r="8874" spans="1:5" x14ac:dyDescent="0.3">
      <c r="A8874" t="s">
        <v>23</v>
      </c>
      <c r="B8874" s="1">
        <v>44697</v>
      </c>
      <c r="C8874">
        <v>1</v>
      </c>
      <c r="D8874">
        <v>110.18</v>
      </c>
      <c r="E8874">
        <v>124</v>
      </c>
    </row>
    <row r="8875" spans="1:5" x14ac:dyDescent="0.3">
      <c r="A8875" t="s">
        <v>62</v>
      </c>
      <c r="B8875" s="1">
        <v>44697</v>
      </c>
      <c r="C8875">
        <v>1</v>
      </c>
      <c r="D8875">
        <v>24.97</v>
      </c>
      <c r="E8875">
        <v>30</v>
      </c>
    </row>
    <row r="8876" spans="1:5" x14ac:dyDescent="0.3">
      <c r="A8876" t="s">
        <v>68</v>
      </c>
      <c r="B8876" s="1">
        <v>44697</v>
      </c>
      <c r="C8876">
        <v>1</v>
      </c>
      <c r="D8876">
        <v>50.93</v>
      </c>
      <c r="E8876">
        <v>78</v>
      </c>
    </row>
    <row r="8877" spans="1:5" x14ac:dyDescent="0.3">
      <c r="A8877" t="s">
        <v>117</v>
      </c>
      <c r="B8877" s="1">
        <v>44697</v>
      </c>
      <c r="C8877">
        <v>1</v>
      </c>
      <c r="D8877">
        <v>23.14</v>
      </c>
      <c r="E8877">
        <v>28</v>
      </c>
    </row>
    <row r="8878" spans="1:5" x14ac:dyDescent="0.3">
      <c r="A8878" t="s">
        <v>117</v>
      </c>
      <c r="B8878" s="1">
        <v>44697</v>
      </c>
      <c r="C8878">
        <v>1</v>
      </c>
      <c r="D8878">
        <v>23.14</v>
      </c>
      <c r="E8878">
        <v>28</v>
      </c>
    </row>
    <row r="8879" spans="1:5" x14ac:dyDescent="0.3">
      <c r="A8879" t="s">
        <v>117</v>
      </c>
      <c r="B8879" s="1">
        <v>44697</v>
      </c>
      <c r="C8879">
        <v>1</v>
      </c>
      <c r="D8879">
        <v>23.14</v>
      </c>
      <c r="E8879">
        <v>28</v>
      </c>
    </row>
    <row r="8880" spans="1:5" x14ac:dyDescent="0.3">
      <c r="A8880" t="s">
        <v>117</v>
      </c>
      <c r="B8880" s="1">
        <v>44697</v>
      </c>
      <c r="C8880">
        <v>1</v>
      </c>
      <c r="D8880">
        <v>23.14</v>
      </c>
      <c r="E8880">
        <v>28</v>
      </c>
    </row>
    <row r="8881" spans="1:5" x14ac:dyDescent="0.3">
      <c r="A8881" t="s">
        <v>117</v>
      </c>
      <c r="B8881" s="1">
        <v>44697</v>
      </c>
      <c r="C8881">
        <v>1</v>
      </c>
      <c r="D8881">
        <v>23.14</v>
      </c>
      <c r="E8881">
        <v>28</v>
      </c>
    </row>
    <row r="8882" spans="1:5" x14ac:dyDescent="0.3">
      <c r="A8882" t="s">
        <v>52</v>
      </c>
      <c r="B8882" s="1">
        <v>44697</v>
      </c>
      <c r="C8882">
        <v>1</v>
      </c>
      <c r="D8882">
        <v>206</v>
      </c>
      <c r="E8882">
        <v>251</v>
      </c>
    </row>
    <row r="8883" spans="1:5" x14ac:dyDescent="0.3">
      <c r="A8883" t="s">
        <v>36</v>
      </c>
      <c r="B8883" s="1">
        <v>44697</v>
      </c>
      <c r="C8883">
        <v>1</v>
      </c>
      <c r="D8883">
        <v>22.93</v>
      </c>
      <c r="E8883">
        <v>29</v>
      </c>
    </row>
    <row r="8884" spans="1:5" x14ac:dyDescent="0.3">
      <c r="A8884" t="s">
        <v>66</v>
      </c>
      <c r="B8884" s="1">
        <v>44697</v>
      </c>
      <c r="C8884">
        <v>1</v>
      </c>
      <c r="D8884">
        <v>30.6</v>
      </c>
      <c r="E8884">
        <v>36</v>
      </c>
    </row>
    <row r="8885" spans="1:5" x14ac:dyDescent="0.3">
      <c r="A8885" t="s">
        <v>55</v>
      </c>
      <c r="B8885" s="1">
        <v>44697</v>
      </c>
      <c r="C8885">
        <v>1</v>
      </c>
      <c r="D8885">
        <v>77.510000000000005</v>
      </c>
      <c r="E8885">
        <v>94</v>
      </c>
    </row>
    <row r="8886" spans="1:5" x14ac:dyDescent="0.3">
      <c r="A8886" t="s">
        <v>122</v>
      </c>
      <c r="B8886" s="1">
        <v>44697</v>
      </c>
      <c r="C8886">
        <v>1</v>
      </c>
      <c r="D8886">
        <v>20.64</v>
      </c>
      <c r="E8886">
        <v>25</v>
      </c>
    </row>
    <row r="8887" spans="1:5" x14ac:dyDescent="0.3">
      <c r="A8887" t="s">
        <v>139</v>
      </c>
      <c r="B8887" s="1">
        <v>44697</v>
      </c>
      <c r="C8887">
        <v>1</v>
      </c>
      <c r="D8887">
        <v>24.18</v>
      </c>
      <c r="E8887">
        <v>40</v>
      </c>
    </row>
    <row r="8888" spans="1:5" x14ac:dyDescent="0.3">
      <c r="A8888" t="s">
        <v>139</v>
      </c>
      <c r="B8888" s="1">
        <v>44697</v>
      </c>
      <c r="C8888">
        <v>2</v>
      </c>
      <c r="D8888">
        <v>24.18</v>
      </c>
      <c r="E8888">
        <v>40</v>
      </c>
    </row>
    <row r="8889" spans="1:5" x14ac:dyDescent="0.3">
      <c r="A8889" t="s">
        <v>19</v>
      </c>
      <c r="B8889" s="1">
        <v>44697</v>
      </c>
      <c r="C8889">
        <v>1</v>
      </c>
      <c r="D8889">
        <v>81.95</v>
      </c>
      <c r="E8889">
        <v>104</v>
      </c>
    </row>
    <row r="8890" spans="1:5" x14ac:dyDescent="0.3">
      <c r="A8890" t="s">
        <v>40</v>
      </c>
      <c r="B8890" s="1">
        <v>44697</v>
      </c>
      <c r="C8890">
        <v>1</v>
      </c>
      <c r="D8890">
        <v>173.09</v>
      </c>
      <c r="E8890">
        <v>207</v>
      </c>
    </row>
    <row r="8891" spans="1:5" x14ac:dyDescent="0.3">
      <c r="A8891" t="s">
        <v>98</v>
      </c>
      <c r="B8891" s="1">
        <v>44697</v>
      </c>
      <c r="C8891">
        <v>1</v>
      </c>
      <c r="D8891">
        <v>110.99</v>
      </c>
      <c r="E8891">
        <v>136</v>
      </c>
    </row>
    <row r="8892" spans="1:5" x14ac:dyDescent="0.3">
      <c r="A8892" t="s">
        <v>17</v>
      </c>
      <c r="B8892" s="1">
        <v>44697</v>
      </c>
      <c r="C8892">
        <v>1</v>
      </c>
      <c r="D8892">
        <v>383.25</v>
      </c>
      <c r="E8892">
        <v>460</v>
      </c>
    </row>
    <row r="8893" spans="1:5" x14ac:dyDescent="0.3">
      <c r="A8893" t="s">
        <v>25</v>
      </c>
      <c r="B8893" s="1">
        <v>44697</v>
      </c>
      <c r="C8893">
        <v>1</v>
      </c>
      <c r="D8893">
        <v>147.4</v>
      </c>
      <c r="E8893">
        <v>177</v>
      </c>
    </row>
    <row r="8894" spans="1:5" x14ac:dyDescent="0.3">
      <c r="A8894" t="s">
        <v>49</v>
      </c>
      <c r="B8894" s="1">
        <v>44697</v>
      </c>
      <c r="C8894">
        <v>1</v>
      </c>
      <c r="D8894">
        <v>15.32</v>
      </c>
      <c r="E8894">
        <v>19</v>
      </c>
    </row>
    <row r="8895" spans="1:5" x14ac:dyDescent="0.3">
      <c r="A8895" t="s">
        <v>49</v>
      </c>
      <c r="B8895" s="1">
        <v>44697</v>
      </c>
      <c r="C8895">
        <v>1</v>
      </c>
      <c r="D8895">
        <v>15.32</v>
      </c>
      <c r="E8895">
        <v>19</v>
      </c>
    </row>
    <row r="8896" spans="1:5" x14ac:dyDescent="0.3">
      <c r="A8896" t="s">
        <v>49</v>
      </c>
      <c r="B8896" s="1">
        <v>44697</v>
      </c>
      <c r="C8896">
        <v>1</v>
      </c>
      <c r="D8896">
        <v>15.32</v>
      </c>
      <c r="E8896">
        <v>19</v>
      </c>
    </row>
    <row r="8897" spans="1:5" x14ac:dyDescent="0.3">
      <c r="A8897" t="s">
        <v>49</v>
      </c>
      <c r="B8897" s="1">
        <v>44697</v>
      </c>
      <c r="C8897">
        <v>1</v>
      </c>
      <c r="D8897">
        <v>15.32</v>
      </c>
      <c r="E8897">
        <v>19</v>
      </c>
    </row>
    <row r="8898" spans="1:5" x14ac:dyDescent="0.3">
      <c r="A8898" t="s">
        <v>49</v>
      </c>
      <c r="B8898" s="1">
        <v>44697</v>
      </c>
      <c r="C8898">
        <v>1</v>
      </c>
      <c r="D8898">
        <v>15.32</v>
      </c>
      <c r="E8898">
        <v>19</v>
      </c>
    </row>
    <row r="8899" spans="1:5" x14ac:dyDescent="0.3">
      <c r="A8899" t="s">
        <v>34</v>
      </c>
      <c r="B8899" s="1">
        <v>44697</v>
      </c>
      <c r="C8899">
        <v>1</v>
      </c>
      <c r="D8899">
        <v>199.58</v>
      </c>
      <c r="E8899">
        <v>230</v>
      </c>
    </row>
    <row r="8900" spans="1:5" x14ac:dyDescent="0.3">
      <c r="A8900" t="s">
        <v>23</v>
      </c>
      <c r="B8900" s="1">
        <v>44697</v>
      </c>
      <c r="C8900">
        <v>1</v>
      </c>
      <c r="D8900">
        <v>110.08</v>
      </c>
      <c r="E8900">
        <v>124</v>
      </c>
    </row>
    <row r="8901" spans="1:5" x14ac:dyDescent="0.3">
      <c r="A8901" t="s">
        <v>154</v>
      </c>
      <c r="B8901" s="1">
        <v>44697</v>
      </c>
      <c r="C8901">
        <v>1</v>
      </c>
      <c r="D8901">
        <v>123.48</v>
      </c>
      <c r="E8901">
        <v>148</v>
      </c>
    </row>
    <row r="8902" spans="1:5" x14ac:dyDescent="0.3">
      <c r="A8902" t="s">
        <v>160</v>
      </c>
      <c r="B8902" s="1">
        <v>44697</v>
      </c>
      <c r="C8902">
        <v>1</v>
      </c>
      <c r="D8902">
        <v>81.87</v>
      </c>
      <c r="E8902">
        <v>99</v>
      </c>
    </row>
    <row r="8903" spans="1:5" x14ac:dyDescent="0.3">
      <c r="A8903" t="s">
        <v>129</v>
      </c>
      <c r="B8903" s="1">
        <v>44697</v>
      </c>
      <c r="C8903">
        <v>0.08</v>
      </c>
      <c r="D8903">
        <v>497.82</v>
      </c>
      <c r="E8903">
        <v>598</v>
      </c>
    </row>
    <row r="8904" spans="1:5" x14ac:dyDescent="0.3">
      <c r="A8904" t="s">
        <v>44</v>
      </c>
      <c r="B8904" s="1">
        <v>44697</v>
      </c>
      <c r="C8904">
        <v>1</v>
      </c>
      <c r="D8904">
        <v>59.84</v>
      </c>
      <c r="E8904">
        <v>93</v>
      </c>
    </row>
    <row r="8905" spans="1:5" x14ac:dyDescent="0.3">
      <c r="A8905" t="s">
        <v>129</v>
      </c>
      <c r="B8905" s="1">
        <v>44697</v>
      </c>
      <c r="C8905">
        <v>0.52</v>
      </c>
      <c r="D8905">
        <v>495.17</v>
      </c>
      <c r="E8905">
        <v>596</v>
      </c>
    </row>
    <row r="8906" spans="1:5" x14ac:dyDescent="0.3">
      <c r="A8906" t="s">
        <v>129</v>
      </c>
      <c r="B8906" s="1">
        <v>44697</v>
      </c>
      <c r="C8906">
        <v>0.08</v>
      </c>
      <c r="D8906">
        <v>500.48</v>
      </c>
      <c r="E8906">
        <v>553</v>
      </c>
    </row>
    <row r="8907" spans="1:5" x14ac:dyDescent="0.3">
      <c r="A8907" t="s">
        <v>50</v>
      </c>
      <c r="B8907" s="1">
        <v>44697</v>
      </c>
      <c r="C8907">
        <v>1</v>
      </c>
      <c r="D8907">
        <v>44.75</v>
      </c>
      <c r="E8907">
        <v>55</v>
      </c>
    </row>
    <row r="8908" spans="1:5" x14ac:dyDescent="0.3">
      <c r="A8908" t="s">
        <v>104</v>
      </c>
      <c r="B8908" s="1">
        <v>44697</v>
      </c>
      <c r="C8908">
        <v>1</v>
      </c>
      <c r="D8908">
        <v>44.71</v>
      </c>
      <c r="E8908">
        <v>56</v>
      </c>
    </row>
    <row r="8909" spans="1:5" x14ac:dyDescent="0.3">
      <c r="A8909" t="s">
        <v>104</v>
      </c>
      <c r="B8909" s="1">
        <v>44697</v>
      </c>
      <c r="C8909">
        <v>1</v>
      </c>
      <c r="D8909">
        <v>44.71</v>
      </c>
      <c r="E8909">
        <v>56</v>
      </c>
    </row>
    <row r="8910" spans="1:5" x14ac:dyDescent="0.3">
      <c r="A8910" t="s">
        <v>160</v>
      </c>
      <c r="B8910" s="1">
        <v>44697</v>
      </c>
      <c r="C8910">
        <v>1</v>
      </c>
      <c r="D8910">
        <v>81.819999999999993</v>
      </c>
      <c r="E8910">
        <v>99</v>
      </c>
    </row>
    <row r="8911" spans="1:5" x14ac:dyDescent="0.3">
      <c r="A8911" t="s">
        <v>56</v>
      </c>
      <c r="B8911" s="1">
        <v>44697</v>
      </c>
      <c r="C8911">
        <v>1</v>
      </c>
      <c r="D8911">
        <v>43.97</v>
      </c>
      <c r="E8911">
        <v>67</v>
      </c>
    </row>
    <row r="8912" spans="1:5" x14ac:dyDescent="0.3">
      <c r="A8912" t="s">
        <v>23</v>
      </c>
      <c r="B8912" s="1">
        <v>44697</v>
      </c>
      <c r="C8912">
        <v>1</v>
      </c>
      <c r="D8912">
        <v>109.41</v>
      </c>
      <c r="E8912">
        <v>123</v>
      </c>
    </row>
    <row r="8913" spans="1:5" x14ac:dyDescent="0.3">
      <c r="A8913" t="s">
        <v>115</v>
      </c>
      <c r="B8913" s="1">
        <v>44697</v>
      </c>
      <c r="C8913">
        <v>1</v>
      </c>
      <c r="D8913">
        <v>71.09</v>
      </c>
      <c r="E8913">
        <v>86</v>
      </c>
    </row>
    <row r="8914" spans="1:5" x14ac:dyDescent="0.3">
      <c r="A8914" t="s">
        <v>132</v>
      </c>
      <c r="B8914" s="1">
        <v>44697</v>
      </c>
      <c r="C8914">
        <v>1</v>
      </c>
      <c r="D8914">
        <v>61.44</v>
      </c>
      <c r="E8914">
        <v>88</v>
      </c>
    </row>
    <row r="8915" spans="1:5" x14ac:dyDescent="0.3">
      <c r="A8915" t="s">
        <v>50</v>
      </c>
      <c r="B8915" s="1">
        <v>44697</v>
      </c>
      <c r="C8915">
        <v>1</v>
      </c>
      <c r="D8915">
        <v>43.86</v>
      </c>
      <c r="E8915">
        <v>55</v>
      </c>
    </row>
    <row r="8916" spans="1:5" x14ac:dyDescent="0.3">
      <c r="A8916" t="s">
        <v>148</v>
      </c>
      <c r="B8916" s="1">
        <v>44697</v>
      </c>
      <c r="C8916">
        <v>1</v>
      </c>
      <c r="D8916">
        <v>38.520000000000003</v>
      </c>
      <c r="E8916">
        <v>61</v>
      </c>
    </row>
    <row r="8917" spans="1:5" x14ac:dyDescent="0.3">
      <c r="A8917" t="s">
        <v>100</v>
      </c>
      <c r="B8917" s="1">
        <v>44697</v>
      </c>
      <c r="C8917">
        <v>1</v>
      </c>
      <c r="D8917">
        <v>39.49</v>
      </c>
      <c r="E8917">
        <v>62</v>
      </c>
    </row>
    <row r="8918" spans="1:5" x14ac:dyDescent="0.3">
      <c r="A8918" t="s">
        <v>122</v>
      </c>
      <c r="B8918" s="1">
        <v>44697</v>
      </c>
      <c r="C8918">
        <v>1</v>
      </c>
      <c r="D8918">
        <v>22.5</v>
      </c>
      <c r="E8918">
        <v>27</v>
      </c>
    </row>
    <row r="8919" spans="1:5" x14ac:dyDescent="0.3">
      <c r="A8919" t="s">
        <v>122</v>
      </c>
      <c r="B8919" s="1">
        <v>44697</v>
      </c>
      <c r="C8919">
        <v>1</v>
      </c>
      <c r="D8919">
        <v>22.5</v>
      </c>
      <c r="E8919">
        <v>27</v>
      </c>
    </row>
    <row r="8920" spans="1:5" x14ac:dyDescent="0.3">
      <c r="A8920" t="s">
        <v>92</v>
      </c>
      <c r="B8920" s="1">
        <v>44697</v>
      </c>
      <c r="C8920">
        <v>1</v>
      </c>
      <c r="D8920">
        <v>15</v>
      </c>
      <c r="E8920">
        <v>20</v>
      </c>
    </row>
    <row r="8921" spans="1:5" x14ac:dyDescent="0.3">
      <c r="A8921" t="s">
        <v>51</v>
      </c>
      <c r="B8921" s="1">
        <v>44697</v>
      </c>
      <c r="C8921">
        <v>4</v>
      </c>
      <c r="D8921">
        <v>2.0499999999999998</v>
      </c>
      <c r="E8921">
        <v>4</v>
      </c>
    </row>
    <row r="8922" spans="1:5" x14ac:dyDescent="0.3">
      <c r="A8922" t="s">
        <v>50</v>
      </c>
      <c r="B8922" s="1">
        <v>44697</v>
      </c>
      <c r="C8922">
        <v>1</v>
      </c>
      <c r="D8922">
        <v>43.86</v>
      </c>
      <c r="E8922">
        <v>55</v>
      </c>
    </row>
    <row r="8923" spans="1:5" x14ac:dyDescent="0.3">
      <c r="A8923" t="s">
        <v>118</v>
      </c>
      <c r="B8923" s="1">
        <v>44697</v>
      </c>
      <c r="C8923">
        <v>2</v>
      </c>
      <c r="D8923">
        <v>11.1</v>
      </c>
      <c r="E8923">
        <v>13</v>
      </c>
    </row>
    <row r="8924" spans="1:5" x14ac:dyDescent="0.3">
      <c r="A8924" t="s">
        <v>133</v>
      </c>
      <c r="B8924" s="1">
        <v>44697</v>
      </c>
      <c r="C8924">
        <v>2</v>
      </c>
      <c r="D8924">
        <v>6.13</v>
      </c>
      <c r="E8924">
        <v>10</v>
      </c>
    </row>
    <row r="8925" spans="1:5" x14ac:dyDescent="0.3">
      <c r="A8925" t="s">
        <v>89</v>
      </c>
      <c r="B8925" s="1">
        <v>44697</v>
      </c>
      <c r="C8925">
        <v>1</v>
      </c>
      <c r="D8925">
        <v>74.13</v>
      </c>
      <c r="E8925">
        <v>106</v>
      </c>
    </row>
    <row r="8926" spans="1:5" x14ac:dyDescent="0.3">
      <c r="A8926" t="s">
        <v>63</v>
      </c>
      <c r="B8926" s="1">
        <v>44697</v>
      </c>
      <c r="C8926">
        <v>1</v>
      </c>
      <c r="D8926">
        <v>71.790000000000006</v>
      </c>
      <c r="E8926">
        <v>87</v>
      </c>
    </row>
    <row r="8927" spans="1:5" x14ac:dyDescent="0.3">
      <c r="A8927" t="s">
        <v>84</v>
      </c>
      <c r="B8927" s="1">
        <v>44697</v>
      </c>
      <c r="C8927">
        <v>1</v>
      </c>
      <c r="D8927">
        <v>153.75</v>
      </c>
      <c r="E8927">
        <v>193</v>
      </c>
    </row>
    <row r="8928" spans="1:5" x14ac:dyDescent="0.3">
      <c r="A8928" t="s">
        <v>150</v>
      </c>
      <c r="B8928" s="1">
        <v>44697</v>
      </c>
      <c r="C8928">
        <v>1</v>
      </c>
      <c r="D8928">
        <v>80.14</v>
      </c>
      <c r="E8928">
        <v>126</v>
      </c>
    </row>
    <row r="8929" spans="1:5" x14ac:dyDescent="0.3">
      <c r="A8929" t="s">
        <v>91</v>
      </c>
      <c r="B8929" s="1">
        <v>44697</v>
      </c>
      <c r="C8929">
        <v>1</v>
      </c>
      <c r="D8929">
        <v>35</v>
      </c>
      <c r="E8929">
        <v>57</v>
      </c>
    </row>
    <row r="8930" spans="1:5" x14ac:dyDescent="0.3">
      <c r="A8930" t="s">
        <v>118</v>
      </c>
      <c r="B8930" s="1">
        <v>44696</v>
      </c>
      <c r="C8930">
        <v>1</v>
      </c>
      <c r="D8930">
        <v>10.79</v>
      </c>
      <c r="E8930">
        <v>13</v>
      </c>
    </row>
    <row r="8931" spans="1:5" x14ac:dyDescent="0.3">
      <c r="A8931" t="s">
        <v>39</v>
      </c>
      <c r="B8931" s="1">
        <v>44696</v>
      </c>
      <c r="C8931">
        <v>2</v>
      </c>
      <c r="D8931">
        <v>9.76</v>
      </c>
      <c r="E8931">
        <v>16</v>
      </c>
    </row>
    <row r="8932" spans="1:5" x14ac:dyDescent="0.3">
      <c r="A8932" t="s">
        <v>52</v>
      </c>
      <c r="B8932" s="1">
        <v>44696</v>
      </c>
      <c r="C8932">
        <v>1</v>
      </c>
      <c r="D8932">
        <v>221.19</v>
      </c>
      <c r="E8932">
        <v>262</v>
      </c>
    </row>
    <row r="8933" spans="1:5" x14ac:dyDescent="0.3">
      <c r="A8933" t="s">
        <v>115</v>
      </c>
      <c r="B8933" s="1">
        <v>44696</v>
      </c>
      <c r="C8933">
        <v>1</v>
      </c>
      <c r="D8933">
        <v>71.02</v>
      </c>
      <c r="E8933">
        <v>88</v>
      </c>
    </row>
    <row r="8934" spans="1:5" x14ac:dyDescent="0.3">
      <c r="A8934" t="s">
        <v>115</v>
      </c>
      <c r="B8934" s="1">
        <v>44696</v>
      </c>
      <c r="C8934">
        <v>1</v>
      </c>
      <c r="D8934">
        <v>71.02</v>
      </c>
      <c r="E8934">
        <v>88</v>
      </c>
    </row>
    <row r="8935" spans="1:5" x14ac:dyDescent="0.3">
      <c r="A8935" t="s">
        <v>80</v>
      </c>
      <c r="B8935" s="1">
        <v>44696</v>
      </c>
      <c r="C8935">
        <v>1</v>
      </c>
      <c r="D8935">
        <v>22.96</v>
      </c>
      <c r="E8935">
        <v>37</v>
      </c>
    </row>
    <row r="8936" spans="1:5" x14ac:dyDescent="0.3">
      <c r="A8936" t="s">
        <v>80</v>
      </c>
      <c r="B8936" s="1">
        <v>44696</v>
      </c>
      <c r="C8936">
        <v>1</v>
      </c>
      <c r="D8936">
        <v>22.96</v>
      </c>
      <c r="E8936">
        <v>37</v>
      </c>
    </row>
    <row r="8937" spans="1:5" x14ac:dyDescent="0.3">
      <c r="A8937" t="s">
        <v>80</v>
      </c>
      <c r="B8937" s="1">
        <v>44696</v>
      </c>
      <c r="C8937">
        <v>1</v>
      </c>
      <c r="D8937">
        <v>22.96</v>
      </c>
      <c r="E8937">
        <v>37</v>
      </c>
    </row>
    <row r="8938" spans="1:5" x14ac:dyDescent="0.3">
      <c r="A8938" t="s">
        <v>80</v>
      </c>
      <c r="B8938" s="1">
        <v>44696</v>
      </c>
      <c r="C8938">
        <v>1</v>
      </c>
      <c r="D8938">
        <v>22.96</v>
      </c>
      <c r="E8938">
        <v>37</v>
      </c>
    </row>
    <row r="8939" spans="1:5" x14ac:dyDescent="0.3">
      <c r="A8939" t="s">
        <v>95</v>
      </c>
      <c r="B8939" s="1">
        <v>44696</v>
      </c>
      <c r="C8939">
        <v>0.1</v>
      </c>
      <c r="D8939">
        <v>130.65</v>
      </c>
      <c r="E8939">
        <v>199</v>
      </c>
    </row>
    <row r="8940" spans="1:5" x14ac:dyDescent="0.3">
      <c r="A8940" t="s">
        <v>88</v>
      </c>
      <c r="B8940" s="1">
        <v>44696</v>
      </c>
      <c r="C8940">
        <v>1</v>
      </c>
      <c r="D8940">
        <v>106.51</v>
      </c>
      <c r="E8940">
        <v>163</v>
      </c>
    </row>
    <row r="8941" spans="1:5" x14ac:dyDescent="0.3">
      <c r="A8941" t="s">
        <v>124</v>
      </c>
      <c r="B8941" s="1">
        <v>44696</v>
      </c>
      <c r="C8941">
        <v>1</v>
      </c>
      <c r="D8941">
        <v>36.75</v>
      </c>
      <c r="E8941">
        <v>59</v>
      </c>
    </row>
    <row r="8942" spans="1:5" x14ac:dyDescent="0.3">
      <c r="A8942" t="s">
        <v>153</v>
      </c>
      <c r="B8942" s="1">
        <v>44696</v>
      </c>
      <c r="C8942">
        <v>1</v>
      </c>
      <c r="D8942">
        <v>9.4600000000000009</v>
      </c>
      <c r="E8942">
        <v>11</v>
      </c>
    </row>
    <row r="8943" spans="1:5" x14ac:dyDescent="0.3">
      <c r="A8943" t="s">
        <v>90</v>
      </c>
      <c r="B8943" s="1">
        <v>44696</v>
      </c>
      <c r="C8943">
        <v>1</v>
      </c>
      <c r="D8943">
        <v>384.2</v>
      </c>
      <c r="E8943">
        <v>462</v>
      </c>
    </row>
    <row r="8944" spans="1:5" x14ac:dyDescent="0.3">
      <c r="A8944" t="s">
        <v>18</v>
      </c>
      <c r="B8944" s="1">
        <v>44696</v>
      </c>
      <c r="C8944">
        <v>1</v>
      </c>
      <c r="D8944">
        <v>42</v>
      </c>
      <c r="E8944">
        <v>64</v>
      </c>
    </row>
    <row r="8945" spans="1:5" x14ac:dyDescent="0.3">
      <c r="A8945" t="s">
        <v>18</v>
      </c>
      <c r="B8945" s="1">
        <v>44696</v>
      </c>
      <c r="C8945">
        <v>1</v>
      </c>
      <c r="D8945">
        <v>42</v>
      </c>
      <c r="E8945">
        <v>64</v>
      </c>
    </row>
    <row r="8946" spans="1:5" x14ac:dyDescent="0.3">
      <c r="A8946" t="s">
        <v>141</v>
      </c>
      <c r="B8946" s="1">
        <v>44696</v>
      </c>
      <c r="C8946">
        <v>1</v>
      </c>
      <c r="D8946">
        <v>13.44</v>
      </c>
      <c r="E8946">
        <v>22</v>
      </c>
    </row>
    <row r="8947" spans="1:5" x14ac:dyDescent="0.3">
      <c r="A8947" t="s">
        <v>141</v>
      </c>
      <c r="B8947" s="1">
        <v>44696</v>
      </c>
      <c r="C8947">
        <v>3</v>
      </c>
      <c r="D8947">
        <v>13.44</v>
      </c>
      <c r="E8947">
        <v>22</v>
      </c>
    </row>
    <row r="8948" spans="1:5" x14ac:dyDescent="0.3">
      <c r="A8948" t="s">
        <v>137</v>
      </c>
      <c r="B8948" s="1">
        <v>44696</v>
      </c>
      <c r="C8948">
        <v>2</v>
      </c>
      <c r="D8948">
        <v>10.53</v>
      </c>
      <c r="E8948">
        <v>18</v>
      </c>
    </row>
    <row r="8949" spans="1:5" x14ac:dyDescent="0.3">
      <c r="A8949" t="s">
        <v>102</v>
      </c>
      <c r="B8949" s="1">
        <v>44696</v>
      </c>
      <c r="C8949">
        <v>1</v>
      </c>
      <c r="D8949">
        <v>26.54</v>
      </c>
      <c r="E8949">
        <v>33</v>
      </c>
    </row>
    <row r="8950" spans="1:5" x14ac:dyDescent="0.3">
      <c r="A8950" t="s">
        <v>102</v>
      </c>
      <c r="B8950" s="1">
        <v>44696</v>
      </c>
      <c r="C8950">
        <v>1</v>
      </c>
      <c r="D8950">
        <v>26.54</v>
      </c>
      <c r="E8950">
        <v>33</v>
      </c>
    </row>
    <row r="8951" spans="1:5" x14ac:dyDescent="0.3">
      <c r="A8951" t="s">
        <v>10</v>
      </c>
      <c r="B8951" s="1">
        <v>44696</v>
      </c>
      <c r="C8951">
        <v>1</v>
      </c>
      <c r="D8951">
        <v>10.34</v>
      </c>
      <c r="E8951">
        <v>13</v>
      </c>
    </row>
    <row r="8952" spans="1:5" x14ac:dyDescent="0.3">
      <c r="A8952" t="s">
        <v>10</v>
      </c>
      <c r="B8952" s="1">
        <v>44696</v>
      </c>
      <c r="C8952">
        <v>1</v>
      </c>
      <c r="D8952">
        <v>10.34</v>
      </c>
      <c r="E8952">
        <v>13</v>
      </c>
    </row>
    <row r="8953" spans="1:5" x14ac:dyDescent="0.3">
      <c r="A8953" t="s">
        <v>10</v>
      </c>
      <c r="B8953" s="1">
        <v>44696</v>
      </c>
      <c r="C8953">
        <v>1</v>
      </c>
      <c r="D8953">
        <v>10.34</v>
      </c>
      <c r="E8953">
        <v>13</v>
      </c>
    </row>
    <row r="8954" spans="1:5" x14ac:dyDescent="0.3">
      <c r="A8954" t="s">
        <v>72</v>
      </c>
      <c r="B8954" s="1">
        <v>44696</v>
      </c>
      <c r="C8954">
        <v>1</v>
      </c>
      <c r="D8954">
        <v>550.89</v>
      </c>
      <c r="E8954">
        <v>728</v>
      </c>
    </row>
    <row r="8955" spans="1:5" x14ac:dyDescent="0.3">
      <c r="A8955" t="s">
        <v>72</v>
      </c>
      <c r="B8955" s="1">
        <v>44696</v>
      </c>
      <c r="C8955">
        <v>1</v>
      </c>
      <c r="D8955">
        <v>550.89</v>
      </c>
      <c r="E8955">
        <v>728</v>
      </c>
    </row>
    <row r="8956" spans="1:5" x14ac:dyDescent="0.3">
      <c r="A8956" t="s">
        <v>72</v>
      </c>
      <c r="B8956" s="1">
        <v>44696</v>
      </c>
      <c r="C8956">
        <v>1</v>
      </c>
      <c r="D8956">
        <v>550.89</v>
      </c>
      <c r="E8956">
        <v>728</v>
      </c>
    </row>
    <row r="8957" spans="1:5" x14ac:dyDescent="0.3">
      <c r="A8957" t="s">
        <v>92</v>
      </c>
      <c r="B8957" s="1">
        <v>44696</v>
      </c>
      <c r="C8957">
        <v>1</v>
      </c>
      <c r="D8957">
        <v>6.45</v>
      </c>
      <c r="E8957">
        <v>9</v>
      </c>
    </row>
    <row r="8958" spans="1:5" x14ac:dyDescent="0.3">
      <c r="A8958" t="s">
        <v>6</v>
      </c>
      <c r="B8958" s="1">
        <v>44696</v>
      </c>
      <c r="C8958">
        <v>0.2</v>
      </c>
      <c r="D8958">
        <v>421.52</v>
      </c>
      <c r="E8958">
        <v>527</v>
      </c>
    </row>
    <row r="8959" spans="1:5" x14ac:dyDescent="0.3">
      <c r="A8959" t="s">
        <v>14</v>
      </c>
      <c r="B8959" s="1">
        <v>44696</v>
      </c>
      <c r="C8959">
        <v>0.2</v>
      </c>
      <c r="D8959">
        <v>596.29</v>
      </c>
      <c r="E8959">
        <v>746</v>
      </c>
    </row>
    <row r="8960" spans="1:5" x14ac:dyDescent="0.3">
      <c r="A8960" t="s">
        <v>45</v>
      </c>
      <c r="B8960" s="1">
        <v>44696</v>
      </c>
      <c r="C8960">
        <v>1</v>
      </c>
      <c r="D8960">
        <v>27.94</v>
      </c>
      <c r="E8960">
        <v>45</v>
      </c>
    </row>
    <row r="8961" spans="1:5" x14ac:dyDescent="0.3">
      <c r="A8961" t="s">
        <v>160</v>
      </c>
      <c r="B8961" s="1">
        <v>44696</v>
      </c>
      <c r="C8961">
        <v>1</v>
      </c>
      <c r="D8961">
        <v>81.8</v>
      </c>
      <c r="E8961">
        <v>99</v>
      </c>
    </row>
    <row r="8962" spans="1:5" x14ac:dyDescent="0.3">
      <c r="A8962" t="s">
        <v>160</v>
      </c>
      <c r="B8962" s="1">
        <v>44696</v>
      </c>
      <c r="C8962">
        <v>1</v>
      </c>
      <c r="D8962">
        <v>81.8</v>
      </c>
      <c r="E8962">
        <v>99</v>
      </c>
    </row>
    <row r="8963" spans="1:5" x14ac:dyDescent="0.3">
      <c r="A8963" t="s">
        <v>84</v>
      </c>
      <c r="B8963" s="1">
        <v>44696</v>
      </c>
      <c r="C8963">
        <v>1</v>
      </c>
      <c r="D8963">
        <v>153.74</v>
      </c>
      <c r="E8963">
        <v>193</v>
      </c>
    </row>
    <row r="8964" spans="1:5" x14ac:dyDescent="0.3">
      <c r="A8964" t="s">
        <v>84</v>
      </c>
      <c r="B8964" s="1">
        <v>44696</v>
      </c>
      <c r="C8964">
        <v>1</v>
      </c>
      <c r="D8964">
        <v>160.57</v>
      </c>
      <c r="E8964">
        <v>201</v>
      </c>
    </row>
    <row r="8965" spans="1:5" x14ac:dyDescent="0.3">
      <c r="A8965" t="s">
        <v>21</v>
      </c>
      <c r="B8965" s="1">
        <v>44696</v>
      </c>
      <c r="C8965">
        <v>1</v>
      </c>
      <c r="D8965">
        <v>198.61</v>
      </c>
      <c r="E8965">
        <v>277</v>
      </c>
    </row>
    <row r="8966" spans="1:5" x14ac:dyDescent="0.3">
      <c r="A8966" t="s">
        <v>6</v>
      </c>
      <c r="B8966" s="1">
        <v>44696</v>
      </c>
      <c r="C8966">
        <v>1</v>
      </c>
      <c r="D8966">
        <v>488.73</v>
      </c>
      <c r="E8966">
        <v>670</v>
      </c>
    </row>
    <row r="8967" spans="1:5" x14ac:dyDescent="0.3">
      <c r="A8967" t="s">
        <v>146</v>
      </c>
      <c r="B8967" s="1">
        <v>44696</v>
      </c>
      <c r="C8967">
        <v>1</v>
      </c>
      <c r="D8967">
        <v>402.2</v>
      </c>
      <c r="E8967">
        <v>451</v>
      </c>
    </row>
    <row r="8968" spans="1:5" x14ac:dyDescent="0.3">
      <c r="A8968" t="s">
        <v>57</v>
      </c>
      <c r="B8968" s="1">
        <v>44696</v>
      </c>
      <c r="C8968">
        <v>1</v>
      </c>
      <c r="D8968">
        <v>233.74</v>
      </c>
      <c r="E8968">
        <v>274</v>
      </c>
    </row>
    <row r="8969" spans="1:5" x14ac:dyDescent="0.3">
      <c r="A8969" t="s">
        <v>147</v>
      </c>
      <c r="B8969" s="1">
        <v>44696</v>
      </c>
      <c r="C8969">
        <v>1</v>
      </c>
      <c r="D8969">
        <v>138.07</v>
      </c>
      <c r="E8969">
        <v>201</v>
      </c>
    </row>
    <row r="8970" spans="1:5" x14ac:dyDescent="0.3">
      <c r="A8970" t="s">
        <v>19</v>
      </c>
      <c r="B8970" s="1">
        <v>44696</v>
      </c>
      <c r="C8970">
        <v>1</v>
      </c>
      <c r="D8970">
        <v>81.760000000000005</v>
      </c>
      <c r="E8970">
        <v>102</v>
      </c>
    </row>
    <row r="8971" spans="1:5" x14ac:dyDescent="0.3">
      <c r="A8971" t="s">
        <v>132</v>
      </c>
      <c r="B8971" s="1">
        <v>44696</v>
      </c>
      <c r="C8971">
        <v>1</v>
      </c>
      <c r="D8971">
        <v>58.23</v>
      </c>
      <c r="E8971">
        <v>83</v>
      </c>
    </row>
    <row r="8972" spans="1:5" x14ac:dyDescent="0.3">
      <c r="A8972" t="s">
        <v>26</v>
      </c>
      <c r="B8972" s="1">
        <v>44696</v>
      </c>
      <c r="C8972">
        <v>1</v>
      </c>
      <c r="D8972">
        <v>989.8</v>
      </c>
      <c r="E8972">
        <v>1238</v>
      </c>
    </row>
    <row r="8973" spans="1:5" x14ac:dyDescent="0.3">
      <c r="A8973" t="s">
        <v>24</v>
      </c>
      <c r="B8973" s="1">
        <v>44696</v>
      </c>
      <c r="C8973">
        <v>1</v>
      </c>
      <c r="D8973">
        <v>98.67</v>
      </c>
      <c r="E8973">
        <v>123</v>
      </c>
    </row>
    <row r="8974" spans="1:5" x14ac:dyDescent="0.3">
      <c r="A8974" t="s">
        <v>48</v>
      </c>
      <c r="B8974" s="1">
        <v>44696</v>
      </c>
      <c r="C8974">
        <v>1</v>
      </c>
      <c r="D8974">
        <v>38.67</v>
      </c>
      <c r="E8974">
        <v>59</v>
      </c>
    </row>
    <row r="8975" spans="1:5" x14ac:dyDescent="0.3">
      <c r="A8975" t="s">
        <v>52</v>
      </c>
      <c r="B8975" s="1">
        <v>44696</v>
      </c>
      <c r="C8975">
        <v>1</v>
      </c>
      <c r="D8975">
        <v>202.33</v>
      </c>
      <c r="E8975">
        <v>243</v>
      </c>
    </row>
    <row r="8976" spans="1:5" x14ac:dyDescent="0.3">
      <c r="A8976" t="s">
        <v>39</v>
      </c>
      <c r="B8976" s="1">
        <v>44696</v>
      </c>
      <c r="C8976">
        <v>3</v>
      </c>
      <c r="D8976">
        <v>11.38</v>
      </c>
      <c r="E8976">
        <v>19</v>
      </c>
    </row>
    <row r="8977" spans="1:5" x14ac:dyDescent="0.3">
      <c r="A8977" t="s">
        <v>85</v>
      </c>
      <c r="B8977" s="1">
        <v>44696</v>
      </c>
      <c r="C8977">
        <v>1</v>
      </c>
      <c r="D8977">
        <v>15.51</v>
      </c>
      <c r="E8977">
        <v>26</v>
      </c>
    </row>
    <row r="8978" spans="1:5" x14ac:dyDescent="0.3">
      <c r="A8978" t="s">
        <v>33</v>
      </c>
      <c r="B8978" s="1">
        <v>44696</v>
      </c>
      <c r="C8978">
        <v>1</v>
      </c>
      <c r="D8978">
        <v>21.75</v>
      </c>
      <c r="E8978">
        <v>26</v>
      </c>
    </row>
    <row r="8979" spans="1:5" x14ac:dyDescent="0.3">
      <c r="A8979" t="s">
        <v>33</v>
      </c>
      <c r="B8979" s="1">
        <v>44696</v>
      </c>
      <c r="C8979">
        <v>1</v>
      </c>
      <c r="D8979">
        <v>21.75</v>
      </c>
      <c r="E8979">
        <v>26</v>
      </c>
    </row>
    <row r="8980" spans="1:5" x14ac:dyDescent="0.3">
      <c r="A8980" t="s">
        <v>7</v>
      </c>
      <c r="B8980" s="1">
        <v>44696</v>
      </c>
      <c r="C8980">
        <v>1</v>
      </c>
      <c r="D8980">
        <v>91.19</v>
      </c>
      <c r="E8980">
        <v>112</v>
      </c>
    </row>
    <row r="8981" spans="1:5" x14ac:dyDescent="0.3">
      <c r="A8981" t="s">
        <v>7</v>
      </c>
      <c r="B8981" s="1">
        <v>44696</v>
      </c>
      <c r="C8981">
        <v>1</v>
      </c>
      <c r="D8981">
        <v>91.19</v>
      </c>
      <c r="E8981">
        <v>112</v>
      </c>
    </row>
    <row r="8982" spans="1:5" x14ac:dyDescent="0.3">
      <c r="A8982" t="s">
        <v>20</v>
      </c>
      <c r="B8982" s="1">
        <v>44696</v>
      </c>
      <c r="C8982">
        <v>1</v>
      </c>
      <c r="D8982">
        <v>22.66</v>
      </c>
      <c r="E8982">
        <v>30</v>
      </c>
    </row>
    <row r="8983" spans="1:5" x14ac:dyDescent="0.3">
      <c r="A8983" t="s">
        <v>20</v>
      </c>
      <c r="B8983" s="1">
        <v>44696</v>
      </c>
      <c r="C8983">
        <v>1</v>
      </c>
      <c r="D8983">
        <v>22.66</v>
      </c>
      <c r="E8983">
        <v>30</v>
      </c>
    </row>
    <row r="8984" spans="1:5" x14ac:dyDescent="0.3">
      <c r="A8984" t="s">
        <v>20</v>
      </c>
      <c r="B8984" s="1">
        <v>44696</v>
      </c>
      <c r="C8984">
        <v>1</v>
      </c>
      <c r="D8984">
        <v>22.66</v>
      </c>
      <c r="E8984">
        <v>30</v>
      </c>
    </row>
    <row r="8985" spans="1:5" x14ac:dyDescent="0.3">
      <c r="A8985" t="s">
        <v>20</v>
      </c>
      <c r="B8985" s="1">
        <v>44696</v>
      </c>
      <c r="C8985">
        <v>1</v>
      </c>
      <c r="D8985">
        <v>22.66</v>
      </c>
      <c r="E8985">
        <v>30</v>
      </c>
    </row>
    <row r="8986" spans="1:5" x14ac:dyDescent="0.3">
      <c r="A8986" t="s">
        <v>61</v>
      </c>
      <c r="B8986" s="1">
        <v>44696</v>
      </c>
      <c r="C8986">
        <v>1</v>
      </c>
      <c r="D8986">
        <v>33.28</v>
      </c>
      <c r="E8986">
        <v>51</v>
      </c>
    </row>
    <row r="8987" spans="1:5" x14ac:dyDescent="0.3">
      <c r="A8987" t="s">
        <v>127</v>
      </c>
      <c r="B8987" s="1">
        <v>44696</v>
      </c>
      <c r="C8987">
        <v>1</v>
      </c>
      <c r="D8987">
        <v>128.72999999999999</v>
      </c>
      <c r="E8987">
        <v>182</v>
      </c>
    </row>
    <row r="8988" spans="1:5" x14ac:dyDescent="0.3">
      <c r="A8988" t="s">
        <v>19</v>
      </c>
      <c r="B8988" s="1">
        <v>44696</v>
      </c>
      <c r="C8988">
        <v>1</v>
      </c>
      <c r="D8988">
        <v>81.95</v>
      </c>
      <c r="E8988">
        <v>104</v>
      </c>
    </row>
    <row r="8989" spans="1:5" x14ac:dyDescent="0.3">
      <c r="A8989" t="s">
        <v>24</v>
      </c>
      <c r="B8989" s="1">
        <v>44696</v>
      </c>
      <c r="C8989">
        <v>1</v>
      </c>
      <c r="D8989">
        <v>107.3</v>
      </c>
      <c r="E8989">
        <v>126</v>
      </c>
    </row>
    <row r="8990" spans="1:5" x14ac:dyDescent="0.3">
      <c r="A8990" t="s">
        <v>7</v>
      </c>
      <c r="B8990" s="1">
        <v>44696</v>
      </c>
      <c r="C8990">
        <v>1</v>
      </c>
      <c r="D8990">
        <v>90.31</v>
      </c>
      <c r="E8990">
        <v>106</v>
      </c>
    </row>
    <row r="8991" spans="1:5" x14ac:dyDescent="0.3">
      <c r="A8991" t="s">
        <v>152</v>
      </c>
      <c r="B8991" s="1">
        <v>44696</v>
      </c>
      <c r="C8991">
        <v>1</v>
      </c>
      <c r="D8991">
        <v>106.17</v>
      </c>
      <c r="E8991">
        <v>133</v>
      </c>
    </row>
    <row r="8992" spans="1:5" x14ac:dyDescent="0.3">
      <c r="A8992" t="s">
        <v>151</v>
      </c>
      <c r="B8992" s="1">
        <v>44696</v>
      </c>
      <c r="C8992">
        <v>1</v>
      </c>
      <c r="D8992">
        <v>24.24</v>
      </c>
      <c r="E8992">
        <v>30</v>
      </c>
    </row>
    <row r="8993" spans="1:5" x14ac:dyDescent="0.3">
      <c r="A8993" t="s">
        <v>155</v>
      </c>
      <c r="B8993" s="1">
        <v>44696</v>
      </c>
      <c r="C8993">
        <v>0.44</v>
      </c>
      <c r="D8993">
        <v>487.04</v>
      </c>
      <c r="E8993">
        <v>731</v>
      </c>
    </row>
    <row r="8994" spans="1:5" x14ac:dyDescent="0.3">
      <c r="A8994" t="s">
        <v>48</v>
      </c>
      <c r="B8994" s="1">
        <v>44696</v>
      </c>
      <c r="C8994">
        <v>1</v>
      </c>
      <c r="D8994">
        <v>38.67</v>
      </c>
      <c r="E8994">
        <v>59</v>
      </c>
    </row>
    <row r="8995" spans="1:5" x14ac:dyDescent="0.3">
      <c r="A8995" t="s">
        <v>160</v>
      </c>
      <c r="B8995" s="1">
        <v>44696</v>
      </c>
      <c r="C8995">
        <v>1</v>
      </c>
      <c r="D8995">
        <v>80.73</v>
      </c>
      <c r="E8995">
        <v>100</v>
      </c>
    </row>
    <row r="8996" spans="1:5" x14ac:dyDescent="0.3">
      <c r="A8996" t="s">
        <v>124</v>
      </c>
      <c r="B8996" s="1">
        <v>44696</v>
      </c>
      <c r="C8996">
        <v>1</v>
      </c>
      <c r="D8996">
        <v>36.75</v>
      </c>
      <c r="E8996">
        <v>59</v>
      </c>
    </row>
    <row r="8997" spans="1:5" x14ac:dyDescent="0.3">
      <c r="A8997" t="s">
        <v>18</v>
      </c>
      <c r="B8997" s="1">
        <v>44696</v>
      </c>
      <c r="C8997">
        <v>1</v>
      </c>
      <c r="D8997">
        <v>44</v>
      </c>
      <c r="E8997">
        <v>69</v>
      </c>
    </row>
    <row r="8998" spans="1:5" x14ac:dyDescent="0.3">
      <c r="A8998" t="s">
        <v>31</v>
      </c>
      <c r="B8998" s="1">
        <v>44696</v>
      </c>
      <c r="C8998">
        <v>1</v>
      </c>
      <c r="D8998">
        <v>13.73</v>
      </c>
      <c r="E8998">
        <v>19</v>
      </c>
    </row>
    <row r="8999" spans="1:5" x14ac:dyDescent="0.3">
      <c r="A8999" t="s">
        <v>143</v>
      </c>
      <c r="B8999" s="1">
        <v>44696</v>
      </c>
      <c r="C8999">
        <v>1</v>
      </c>
      <c r="D8999">
        <v>50.45</v>
      </c>
      <c r="E8999">
        <v>77</v>
      </c>
    </row>
    <row r="9000" spans="1:5" x14ac:dyDescent="0.3">
      <c r="A9000" t="s">
        <v>30</v>
      </c>
      <c r="B9000" s="1">
        <v>44696</v>
      </c>
      <c r="C9000">
        <v>1</v>
      </c>
      <c r="D9000">
        <v>156.19999999999999</v>
      </c>
      <c r="E9000">
        <v>186</v>
      </c>
    </row>
    <row r="9001" spans="1:5" x14ac:dyDescent="0.3">
      <c r="A9001" t="s">
        <v>65</v>
      </c>
      <c r="B9001" s="1">
        <v>44696</v>
      </c>
      <c r="C9001">
        <v>1</v>
      </c>
      <c r="D9001">
        <v>184.45</v>
      </c>
      <c r="E9001">
        <v>235</v>
      </c>
    </row>
    <row r="9002" spans="1:5" x14ac:dyDescent="0.3">
      <c r="A9002" t="s">
        <v>120</v>
      </c>
      <c r="B9002" s="1">
        <v>44696</v>
      </c>
      <c r="C9002">
        <v>1</v>
      </c>
      <c r="D9002">
        <v>132.26</v>
      </c>
      <c r="E9002">
        <v>182</v>
      </c>
    </row>
    <row r="9003" spans="1:5" x14ac:dyDescent="0.3">
      <c r="A9003" t="s">
        <v>24</v>
      </c>
      <c r="B9003" s="1">
        <v>44696</v>
      </c>
      <c r="C9003">
        <v>1</v>
      </c>
      <c r="D9003">
        <v>95.88</v>
      </c>
      <c r="E9003">
        <v>118</v>
      </c>
    </row>
    <row r="9004" spans="1:5" x14ac:dyDescent="0.3">
      <c r="A9004" t="s">
        <v>30</v>
      </c>
      <c r="B9004" s="1">
        <v>44696</v>
      </c>
      <c r="C9004">
        <v>1</v>
      </c>
      <c r="D9004">
        <v>156.19999999999999</v>
      </c>
      <c r="E9004">
        <v>189</v>
      </c>
    </row>
    <row r="9005" spans="1:5" x14ac:dyDescent="0.3">
      <c r="A9005" t="s">
        <v>54</v>
      </c>
      <c r="B9005" s="1">
        <v>44696</v>
      </c>
      <c r="C9005">
        <v>1</v>
      </c>
      <c r="D9005">
        <v>635.70000000000005</v>
      </c>
      <c r="E9005">
        <v>821</v>
      </c>
    </row>
    <row r="9006" spans="1:5" x14ac:dyDescent="0.3">
      <c r="A9006" t="s">
        <v>5</v>
      </c>
      <c r="B9006" s="1">
        <v>44696</v>
      </c>
      <c r="C9006">
        <v>1</v>
      </c>
      <c r="D9006">
        <v>145.6</v>
      </c>
      <c r="E9006">
        <v>169</v>
      </c>
    </row>
    <row r="9007" spans="1:5" x14ac:dyDescent="0.3">
      <c r="A9007" t="s">
        <v>28</v>
      </c>
      <c r="B9007" s="1">
        <v>44696</v>
      </c>
      <c r="C9007">
        <v>1</v>
      </c>
      <c r="D9007">
        <v>149.01</v>
      </c>
      <c r="E9007">
        <v>205</v>
      </c>
    </row>
    <row r="9008" spans="1:5" x14ac:dyDescent="0.3">
      <c r="A9008" t="s">
        <v>19</v>
      </c>
      <c r="B9008" s="1">
        <v>44696</v>
      </c>
      <c r="C9008">
        <v>1</v>
      </c>
      <c r="D9008">
        <v>81.95</v>
      </c>
      <c r="E9008">
        <v>104</v>
      </c>
    </row>
    <row r="9009" spans="1:5" x14ac:dyDescent="0.3">
      <c r="A9009" t="s">
        <v>73</v>
      </c>
      <c r="B9009" s="1">
        <v>44696</v>
      </c>
      <c r="C9009">
        <v>1</v>
      </c>
      <c r="D9009">
        <v>12</v>
      </c>
      <c r="E9009">
        <v>20</v>
      </c>
    </row>
    <row r="9010" spans="1:5" x14ac:dyDescent="0.3">
      <c r="A9010" t="s">
        <v>99</v>
      </c>
      <c r="B9010" s="1">
        <v>44696</v>
      </c>
      <c r="C9010">
        <v>1</v>
      </c>
      <c r="D9010">
        <v>65.52</v>
      </c>
      <c r="E9010">
        <v>77</v>
      </c>
    </row>
    <row r="9011" spans="1:5" x14ac:dyDescent="0.3">
      <c r="A9011" t="s">
        <v>99</v>
      </c>
      <c r="B9011" s="1">
        <v>44696</v>
      </c>
      <c r="C9011">
        <v>1</v>
      </c>
      <c r="D9011">
        <v>65.52</v>
      </c>
      <c r="E9011">
        <v>77</v>
      </c>
    </row>
    <row r="9012" spans="1:5" x14ac:dyDescent="0.3">
      <c r="A9012" t="s">
        <v>116</v>
      </c>
      <c r="B9012" s="1">
        <v>44696</v>
      </c>
      <c r="C9012">
        <v>1</v>
      </c>
      <c r="D9012">
        <v>101.97</v>
      </c>
      <c r="E9012">
        <v>123</v>
      </c>
    </row>
    <row r="9013" spans="1:5" x14ac:dyDescent="0.3">
      <c r="A9013" t="s">
        <v>157</v>
      </c>
      <c r="B9013" s="1">
        <v>44696</v>
      </c>
      <c r="C9013">
        <v>1</v>
      </c>
      <c r="D9013">
        <v>12</v>
      </c>
      <c r="E9013">
        <v>20</v>
      </c>
    </row>
    <row r="9014" spans="1:5" x14ac:dyDescent="0.3">
      <c r="A9014" t="s">
        <v>91</v>
      </c>
      <c r="B9014" s="1">
        <v>44696</v>
      </c>
      <c r="C9014">
        <v>2</v>
      </c>
      <c r="D9014">
        <v>31.93</v>
      </c>
      <c r="E9014">
        <v>52</v>
      </c>
    </row>
    <row r="9015" spans="1:5" x14ac:dyDescent="0.3">
      <c r="A9015" t="s">
        <v>98</v>
      </c>
      <c r="B9015" s="1">
        <v>44696</v>
      </c>
      <c r="C9015">
        <v>1</v>
      </c>
      <c r="D9015">
        <v>113.71</v>
      </c>
      <c r="E9015">
        <v>137</v>
      </c>
    </row>
    <row r="9016" spans="1:5" x14ac:dyDescent="0.3">
      <c r="A9016" t="s">
        <v>93</v>
      </c>
      <c r="B9016" s="1">
        <v>44696</v>
      </c>
      <c r="C9016">
        <v>1</v>
      </c>
      <c r="D9016">
        <v>65.400000000000006</v>
      </c>
      <c r="E9016">
        <v>93</v>
      </c>
    </row>
    <row r="9017" spans="1:5" x14ac:dyDescent="0.3">
      <c r="A9017" t="s">
        <v>8</v>
      </c>
      <c r="B9017" s="1">
        <v>44696</v>
      </c>
      <c r="C9017">
        <v>1</v>
      </c>
      <c r="D9017">
        <v>47.83</v>
      </c>
      <c r="E9017">
        <v>77</v>
      </c>
    </row>
    <row r="9018" spans="1:5" x14ac:dyDescent="0.3">
      <c r="A9018" t="s">
        <v>35</v>
      </c>
      <c r="B9018" s="1">
        <v>44696</v>
      </c>
      <c r="C9018">
        <v>1</v>
      </c>
      <c r="D9018">
        <v>30.35</v>
      </c>
      <c r="E9018">
        <v>48</v>
      </c>
    </row>
    <row r="9019" spans="1:5" x14ac:dyDescent="0.3">
      <c r="A9019" t="s">
        <v>32</v>
      </c>
      <c r="B9019" s="1">
        <v>44696</v>
      </c>
      <c r="C9019">
        <v>1</v>
      </c>
      <c r="D9019">
        <v>46.96</v>
      </c>
      <c r="E9019">
        <v>81</v>
      </c>
    </row>
    <row r="9020" spans="1:5" x14ac:dyDescent="0.3">
      <c r="A9020" t="s">
        <v>22</v>
      </c>
      <c r="B9020" s="1">
        <v>44696</v>
      </c>
      <c r="C9020">
        <v>1</v>
      </c>
      <c r="D9020">
        <v>30.3</v>
      </c>
      <c r="E9020">
        <v>49</v>
      </c>
    </row>
    <row r="9021" spans="1:5" x14ac:dyDescent="0.3">
      <c r="A9021" t="s">
        <v>5</v>
      </c>
      <c r="B9021" s="1">
        <v>44696</v>
      </c>
      <c r="C9021">
        <v>1</v>
      </c>
      <c r="D9021">
        <v>134.49</v>
      </c>
      <c r="E9021">
        <v>161</v>
      </c>
    </row>
    <row r="9022" spans="1:5" x14ac:dyDescent="0.3">
      <c r="A9022" t="s">
        <v>5</v>
      </c>
      <c r="B9022" s="1">
        <v>44696</v>
      </c>
      <c r="C9022">
        <v>1</v>
      </c>
      <c r="D9022">
        <v>134.49</v>
      </c>
      <c r="E9022">
        <v>161</v>
      </c>
    </row>
    <row r="9023" spans="1:5" x14ac:dyDescent="0.3">
      <c r="A9023" t="s">
        <v>78</v>
      </c>
      <c r="B9023" s="1">
        <v>44696</v>
      </c>
      <c r="C9023">
        <v>1</v>
      </c>
      <c r="D9023">
        <v>70.42</v>
      </c>
      <c r="E9023">
        <v>89</v>
      </c>
    </row>
    <row r="9024" spans="1:5" x14ac:dyDescent="0.3">
      <c r="A9024" t="s">
        <v>24</v>
      </c>
      <c r="B9024" s="1">
        <v>44696</v>
      </c>
      <c r="C9024">
        <v>1</v>
      </c>
      <c r="D9024">
        <v>98.67</v>
      </c>
      <c r="E9024">
        <v>123</v>
      </c>
    </row>
    <row r="9025" spans="1:5" x14ac:dyDescent="0.3">
      <c r="A9025" t="s">
        <v>110</v>
      </c>
      <c r="B9025" s="1">
        <v>44696</v>
      </c>
      <c r="C9025">
        <v>1</v>
      </c>
      <c r="D9025">
        <v>208.49</v>
      </c>
      <c r="E9025">
        <v>288</v>
      </c>
    </row>
    <row r="9026" spans="1:5" x14ac:dyDescent="0.3">
      <c r="A9026" t="s">
        <v>77</v>
      </c>
      <c r="B9026" s="1">
        <v>44696</v>
      </c>
      <c r="C9026">
        <v>1</v>
      </c>
      <c r="D9026">
        <v>60.3</v>
      </c>
      <c r="E9026">
        <v>75</v>
      </c>
    </row>
    <row r="9027" spans="1:5" x14ac:dyDescent="0.3">
      <c r="A9027" t="s">
        <v>88</v>
      </c>
      <c r="B9027" s="1">
        <v>44696</v>
      </c>
      <c r="C9027">
        <v>0.5</v>
      </c>
      <c r="D9027">
        <v>123.98</v>
      </c>
      <c r="E9027">
        <v>189</v>
      </c>
    </row>
    <row r="9028" spans="1:5" x14ac:dyDescent="0.3">
      <c r="A9028" t="s">
        <v>29</v>
      </c>
      <c r="B9028" s="1">
        <v>44696</v>
      </c>
      <c r="C9028">
        <v>1</v>
      </c>
      <c r="D9028">
        <v>480.05</v>
      </c>
      <c r="E9028">
        <v>625</v>
      </c>
    </row>
    <row r="9029" spans="1:5" x14ac:dyDescent="0.3">
      <c r="A9029" t="s">
        <v>160</v>
      </c>
      <c r="B9029" s="1">
        <v>44696</v>
      </c>
      <c r="C9029">
        <v>1</v>
      </c>
      <c r="D9029">
        <v>80.73</v>
      </c>
      <c r="E9029">
        <v>100</v>
      </c>
    </row>
    <row r="9030" spans="1:5" x14ac:dyDescent="0.3">
      <c r="A9030" t="s">
        <v>99</v>
      </c>
      <c r="B9030" s="1">
        <v>44696</v>
      </c>
      <c r="C9030">
        <v>1</v>
      </c>
      <c r="D9030">
        <v>64.25</v>
      </c>
      <c r="E9030">
        <v>76</v>
      </c>
    </row>
    <row r="9031" spans="1:5" x14ac:dyDescent="0.3">
      <c r="A9031" t="s">
        <v>11</v>
      </c>
      <c r="B9031" s="1">
        <v>44696</v>
      </c>
      <c r="C9031">
        <v>1</v>
      </c>
      <c r="D9031">
        <v>24.2</v>
      </c>
      <c r="E9031">
        <v>39</v>
      </c>
    </row>
    <row r="9032" spans="1:5" x14ac:dyDescent="0.3">
      <c r="A9032" t="s">
        <v>49</v>
      </c>
      <c r="B9032" s="1">
        <v>44696</v>
      </c>
      <c r="C9032">
        <v>1</v>
      </c>
      <c r="D9032">
        <v>16.309999999999999</v>
      </c>
      <c r="E9032">
        <v>20</v>
      </c>
    </row>
    <row r="9033" spans="1:5" x14ac:dyDescent="0.3">
      <c r="A9033" t="s">
        <v>75</v>
      </c>
      <c r="B9033" s="1">
        <v>44696</v>
      </c>
      <c r="C9033">
        <v>0.2</v>
      </c>
      <c r="D9033">
        <v>429.66</v>
      </c>
      <c r="E9033">
        <v>654</v>
      </c>
    </row>
    <row r="9034" spans="1:5" x14ac:dyDescent="0.3">
      <c r="A9034" t="s">
        <v>155</v>
      </c>
      <c r="B9034" s="1">
        <v>44696</v>
      </c>
      <c r="C9034">
        <v>0.4</v>
      </c>
      <c r="D9034">
        <v>495.72</v>
      </c>
      <c r="E9034">
        <v>754</v>
      </c>
    </row>
    <row r="9035" spans="1:5" x14ac:dyDescent="0.3">
      <c r="A9035" t="s">
        <v>68</v>
      </c>
      <c r="B9035" s="1">
        <v>44696</v>
      </c>
      <c r="C9035">
        <v>1</v>
      </c>
      <c r="D9035">
        <v>69.41</v>
      </c>
      <c r="E9035">
        <v>104</v>
      </c>
    </row>
    <row r="9036" spans="1:5" x14ac:dyDescent="0.3">
      <c r="A9036" t="s">
        <v>52</v>
      </c>
      <c r="B9036" s="1">
        <v>44696</v>
      </c>
      <c r="C9036">
        <v>1</v>
      </c>
      <c r="D9036">
        <v>206</v>
      </c>
      <c r="E9036">
        <v>251</v>
      </c>
    </row>
    <row r="9037" spans="1:5" x14ac:dyDescent="0.3">
      <c r="A9037" t="s">
        <v>122</v>
      </c>
      <c r="B9037" s="1">
        <v>44696</v>
      </c>
      <c r="C9037">
        <v>1</v>
      </c>
      <c r="D9037">
        <v>20.82</v>
      </c>
      <c r="E9037">
        <v>26</v>
      </c>
    </row>
    <row r="9038" spans="1:5" x14ac:dyDescent="0.3">
      <c r="A9038" t="s">
        <v>87</v>
      </c>
      <c r="B9038" s="1">
        <v>44696</v>
      </c>
      <c r="C9038">
        <v>1</v>
      </c>
      <c r="D9038">
        <v>347.96</v>
      </c>
      <c r="E9038">
        <v>394</v>
      </c>
    </row>
    <row r="9039" spans="1:5" x14ac:dyDescent="0.3">
      <c r="A9039" t="s">
        <v>28</v>
      </c>
      <c r="B9039" s="1">
        <v>44696</v>
      </c>
      <c r="C9039">
        <v>1</v>
      </c>
      <c r="D9039">
        <v>136.6</v>
      </c>
      <c r="E9039">
        <v>188</v>
      </c>
    </row>
    <row r="9040" spans="1:5" x14ac:dyDescent="0.3">
      <c r="A9040" t="s">
        <v>65</v>
      </c>
      <c r="B9040" s="1">
        <v>44696</v>
      </c>
      <c r="C9040">
        <v>1</v>
      </c>
      <c r="D9040">
        <v>184.45</v>
      </c>
      <c r="E9040">
        <v>235</v>
      </c>
    </row>
    <row r="9041" spans="1:5" x14ac:dyDescent="0.3">
      <c r="A9041" t="s">
        <v>46</v>
      </c>
      <c r="B9041" s="1">
        <v>44696</v>
      </c>
      <c r="C9041">
        <v>1</v>
      </c>
      <c r="D9041">
        <v>19.260000000000002</v>
      </c>
      <c r="E9041">
        <v>23</v>
      </c>
    </row>
    <row r="9042" spans="1:5" x14ac:dyDescent="0.3">
      <c r="A9042" t="s">
        <v>123</v>
      </c>
      <c r="B9042" s="1">
        <v>44696</v>
      </c>
      <c r="C9042">
        <v>1</v>
      </c>
      <c r="D9042">
        <v>62.79</v>
      </c>
      <c r="E9042">
        <v>78</v>
      </c>
    </row>
    <row r="9043" spans="1:5" x14ac:dyDescent="0.3">
      <c r="A9043" t="s">
        <v>97</v>
      </c>
      <c r="B9043" s="1">
        <v>44696</v>
      </c>
      <c r="C9043">
        <v>1</v>
      </c>
      <c r="D9043">
        <v>411.88</v>
      </c>
      <c r="E9043">
        <v>544</v>
      </c>
    </row>
    <row r="9044" spans="1:5" x14ac:dyDescent="0.3">
      <c r="A9044" t="s">
        <v>115</v>
      </c>
      <c r="B9044" s="1">
        <v>44696</v>
      </c>
      <c r="C9044">
        <v>1</v>
      </c>
      <c r="D9044">
        <v>72.41</v>
      </c>
      <c r="E9044">
        <v>89</v>
      </c>
    </row>
    <row r="9045" spans="1:5" x14ac:dyDescent="0.3">
      <c r="A9045" t="s">
        <v>50</v>
      </c>
      <c r="B9045" s="1">
        <v>44696</v>
      </c>
      <c r="C9045">
        <v>1</v>
      </c>
      <c r="D9045">
        <v>43.86</v>
      </c>
      <c r="E9045">
        <v>56</v>
      </c>
    </row>
    <row r="9046" spans="1:5" x14ac:dyDescent="0.3">
      <c r="A9046" t="s">
        <v>18</v>
      </c>
      <c r="B9046" s="1">
        <v>44696</v>
      </c>
      <c r="C9046">
        <v>1</v>
      </c>
      <c r="D9046">
        <v>46</v>
      </c>
      <c r="E9046">
        <v>70</v>
      </c>
    </row>
    <row r="9047" spans="1:5" x14ac:dyDescent="0.3">
      <c r="A9047" t="s">
        <v>77</v>
      </c>
      <c r="B9047" s="1">
        <v>44696</v>
      </c>
      <c r="C9047">
        <v>1</v>
      </c>
      <c r="D9047">
        <v>57.37</v>
      </c>
      <c r="E9047">
        <v>72</v>
      </c>
    </row>
    <row r="9048" spans="1:5" x14ac:dyDescent="0.3">
      <c r="A9048" t="s">
        <v>66</v>
      </c>
      <c r="B9048" s="1">
        <v>44696</v>
      </c>
      <c r="C9048">
        <v>1</v>
      </c>
      <c r="D9048">
        <v>30.78</v>
      </c>
      <c r="E9048">
        <v>36</v>
      </c>
    </row>
    <row r="9049" spans="1:5" x14ac:dyDescent="0.3">
      <c r="A9049" t="s">
        <v>45</v>
      </c>
      <c r="B9049" s="1">
        <v>44696</v>
      </c>
      <c r="C9049">
        <v>1</v>
      </c>
      <c r="D9049">
        <v>27.94</v>
      </c>
      <c r="E9049">
        <v>45</v>
      </c>
    </row>
    <row r="9050" spans="1:5" x14ac:dyDescent="0.3">
      <c r="A9050" t="s">
        <v>22</v>
      </c>
      <c r="B9050" s="1">
        <v>44696</v>
      </c>
      <c r="C9050">
        <v>1</v>
      </c>
      <c r="D9050">
        <v>30.3</v>
      </c>
      <c r="E9050">
        <v>49</v>
      </c>
    </row>
    <row r="9051" spans="1:5" x14ac:dyDescent="0.3">
      <c r="A9051" t="s">
        <v>160</v>
      </c>
      <c r="B9051" s="1">
        <v>44696</v>
      </c>
      <c r="C9051">
        <v>1</v>
      </c>
      <c r="D9051">
        <v>81.819999999999993</v>
      </c>
      <c r="E9051">
        <v>99</v>
      </c>
    </row>
    <row r="9052" spans="1:5" x14ac:dyDescent="0.3">
      <c r="A9052" t="s">
        <v>131</v>
      </c>
      <c r="B9052" s="1">
        <v>44696</v>
      </c>
      <c r="C9052">
        <v>1</v>
      </c>
      <c r="D9052">
        <v>361.9</v>
      </c>
      <c r="E9052">
        <v>424</v>
      </c>
    </row>
    <row r="9053" spans="1:5" x14ac:dyDescent="0.3">
      <c r="A9053" t="s">
        <v>24</v>
      </c>
      <c r="B9053" s="1">
        <v>44696</v>
      </c>
      <c r="C9053">
        <v>1</v>
      </c>
      <c r="D9053">
        <v>107.3</v>
      </c>
      <c r="E9053">
        <v>126</v>
      </c>
    </row>
    <row r="9054" spans="1:5" x14ac:dyDescent="0.3">
      <c r="A9054" t="s">
        <v>24</v>
      </c>
      <c r="B9054" s="1">
        <v>44696</v>
      </c>
      <c r="C9054">
        <v>1</v>
      </c>
      <c r="D9054">
        <v>107.3</v>
      </c>
      <c r="E9054">
        <v>126</v>
      </c>
    </row>
    <row r="9055" spans="1:5" x14ac:dyDescent="0.3">
      <c r="A9055" t="s">
        <v>26</v>
      </c>
      <c r="B9055" s="1">
        <v>44696</v>
      </c>
      <c r="C9055">
        <v>0.1</v>
      </c>
      <c r="D9055">
        <v>1026.1199999999999</v>
      </c>
      <c r="E9055">
        <v>1283</v>
      </c>
    </row>
    <row r="9056" spans="1:5" x14ac:dyDescent="0.3">
      <c r="A9056" t="s">
        <v>68</v>
      </c>
      <c r="B9056" s="1">
        <v>44696</v>
      </c>
      <c r="C9056">
        <v>1</v>
      </c>
      <c r="D9056">
        <v>59.86</v>
      </c>
      <c r="E9056">
        <v>94</v>
      </c>
    </row>
    <row r="9057" spans="1:5" x14ac:dyDescent="0.3">
      <c r="A9057" t="s">
        <v>5</v>
      </c>
      <c r="B9057" s="1">
        <v>44696</v>
      </c>
      <c r="C9057">
        <v>1</v>
      </c>
      <c r="D9057">
        <v>134.49</v>
      </c>
      <c r="E9057">
        <v>161</v>
      </c>
    </row>
    <row r="9058" spans="1:5" x14ac:dyDescent="0.3">
      <c r="A9058" t="s">
        <v>122</v>
      </c>
      <c r="B9058" s="1">
        <v>44696</v>
      </c>
      <c r="C9058">
        <v>1</v>
      </c>
      <c r="D9058">
        <v>20.82</v>
      </c>
      <c r="E9058">
        <v>26</v>
      </c>
    </row>
    <row r="9059" spans="1:5" x14ac:dyDescent="0.3">
      <c r="A9059" t="s">
        <v>65</v>
      </c>
      <c r="B9059" s="1">
        <v>44696</v>
      </c>
      <c r="C9059">
        <v>1</v>
      </c>
      <c r="D9059">
        <v>176.42</v>
      </c>
      <c r="E9059">
        <v>207</v>
      </c>
    </row>
    <row r="9060" spans="1:5" x14ac:dyDescent="0.3">
      <c r="A9060" t="s">
        <v>26</v>
      </c>
      <c r="B9060" s="1">
        <v>44696</v>
      </c>
      <c r="C9060">
        <v>0.3</v>
      </c>
      <c r="D9060">
        <v>989.8</v>
      </c>
      <c r="E9060">
        <v>1238</v>
      </c>
    </row>
    <row r="9061" spans="1:5" x14ac:dyDescent="0.3">
      <c r="A9061" t="s">
        <v>116</v>
      </c>
      <c r="B9061" s="1">
        <v>44696</v>
      </c>
      <c r="C9061">
        <v>1</v>
      </c>
      <c r="D9061">
        <v>101.97</v>
      </c>
      <c r="E9061">
        <v>123</v>
      </c>
    </row>
    <row r="9062" spans="1:5" x14ac:dyDescent="0.3">
      <c r="A9062" t="s">
        <v>11</v>
      </c>
      <c r="B9062" s="1">
        <v>44696</v>
      </c>
      <c r="C9062">
        <v>1</v>
      </c>
      <c r="D9062">
        <v>24.2</v>
      </c>
      <c r="E9062">
        <v>39</v>
      </c>
    </row>
    <row r="9063" spans="1:5" x14ac:dyDescent="0.3">
      <c r="A9063" t="s">
        <v>47</v>
      </c>
      <c r="B9063" s="1">
        <v>44696</v>
      </c>
      <c r="C9063">
        <v>1</v>
      </c>
      <c r="D9063">
        <v>46.14</v>
      </c>
      <c r="E9063">
        <v>73</v>
      </c>
    </row>
    <row r="9064" spans="1:5" x14ac:dyDescent="0.3">
      <c r="A9064" t="s">
        <v>48</v>
      </c>
      <c r="B9064" s="1">
        <v>44696</v>
      </c>
      <c r="C9064">
        <v>1</v>
      </c>
      <c r="D9064">
        <v>46.72</v>
      </c>
      <c r="E9064">
        <v>74</v>
      </c>
    </row>
    <row r="9065" spans="1:5" x14ac:dyDescent="0.3">
      <c r="A9065" t="s">
        <v>48</v>
      </c>
      <c r="B9065" s="1">
        <v>44696</v>
      </c>
      <c r="C9065">
        <v>1</v>
      </c>
      <c r="D9065">
        <v>46.72</v>
      </c>
      <c r="E9065">
        <v>74</v>
      </c>
    </row>
    <row r="9066" spans="1:5" x14ac:dyDescent="0.3">
      <c r="A9066" t="s">
        <v>62</v>
      </c>
      <c r="B9066" s="1">
        <v>44696</v>
      </c>
      <c r="C9066">
        <v>1</v>
      </c>
      <c r="D9066">
        <v>25.71</v>
      </c>
      <c r="E9066">
        <v>31</v>
      </c>
    </row>
    <row r="9067" spans="1:5" x14ac:dyDescent="0.3">
      <c r="A9067" t="s">
        <v>62</v>
      </c>
      <c r="B9067" s="1">
        <v>44696</v>
      </c>
      <c r="C9067">
        <v>1</v>
      </c>
      <c r="D9067">
        <v>25.71</v>
      </c>
      <c r="E9067">
        <v>31</v>
      </c>
    </row>
    <row r="9068" spans="1:5" x14ac:dyDescent="0.3">
      <c r="A9068" t="s">
        <v>41</v>
      </c>
      <c r="B9068" s="1">
        <v>44696</v>
      </c>
      <c r="C9068">
        <v>1</v>
      </c>
      <c r="D9068">
        <v>13.3</v>
      </c>
      <c r="E9068">
        <v>22</v>
      </c>
    </row>
    <row r="9069" spans="1:5" x14ac:dyDescent="0.3">
      <c r="A9069" t="s">
        <v>154</v>
      </c>
      <c r="B9069" s="1">
        <v>44696</v>
      </c>
      <c r="C9069">
        <v>1</v>
      </c>
      <c r="D9069">
        <v>123.48</v>
      </c>
      <c r="E9069">
        <v>148</v>
      </c>
    </row>
    <row r="9070" spans="1:5" x14ac:dyDescent="0.3">
      <c r="A9070" t="s">
        <v>154</v>
      </c>
      <c r="B9070" s="1">
        <v>44696</v>
      </c>
      <c r="C9070">
        <v>1</v>
      </c>
      <c r="D9070">
        <v>134.51</v>
      </c>
      <c r="E9070">
        <v>159</v>
      </c>
    </row>
    <row r="9071" spans="1:5" x14ac:dyDescent="0.3">
      <c r="A9071" t="s">
        <v>65</v>
      </c>
      <c r="B9071" s="1">
        <v>44696</v>
      </c>
      <c r="C9071">
        <v>1</v>
      </c>
      <c r="D9071">
        <v>184.07</v>
      </c>
      <c r="E9071">
        <v>216</v>
      </c>
    </row>
    <row r="9072" spans="1:5" x14ac:dyDescent="0.3">
      <c r="A9072" t="s">
        <v>66</v>
      </c>
      <c r="B9072" s="1">
        <v>44696</v>
      </c>
      <c r="C9072">
        <v>2</v>
      </c>
      <c r="D9072">
        <v>32</v>
      </c>
      <c r="E9072">
        <v>36</v>
      </c>
    </row>
    <row r="9073" spans="1:5" x14ac:dyDescent="0.3">
      <c r="A9073" t="s">
        <v>86</v>
      </c>
      <c r="B9073" s="1">
        <v>44696</v>
      </c>
      <c r="C9073">
        <v>2</v>
      </c>
      <c r="D9073">
        <v>47.4</v>
      </c>
      <c r="E9073">
        <v>76</v>
      </c>
    </row>
    <row r="9074" spans="1:5" x14ac:dyDescent="0.3">
      <c r="A9074" t="s">
        <v>146</v>
      </c>
      <c r="B9074" s="1">
        <v>44696</v>
      </c>
      <c r="C9074">
        <v>1</v>
      </c>
      <c r="D9074">
        <v>411.54</v>
      </c>
      <c r="E9074">
        <v>461</v>
      </c>
    </row>
    <row r="9075" spans="1:5" x14ac:dyDescent="0.3">
      <c r="A9075" t="s">
        <v>156</v>
      </c>
      <c r="B9075" s="1">
        <v>44696</v>
      </c>
      <c r="C9075">
        <v>1</v>
      </c>
      <c r="D9075">
        <v>251.44</v>
      </c>
      <c r="E9075">
        <v>353</v>
      </c>
    </row>
    <row r="9076" spans="1:5" x14ac:dyDescent="0.3">
      <c r="A9076" t="s">
        <v>21</v>
      </c>
      <c r="B9076" s="1">
        <v>44696</v>
      </c>
      <c r="C9076">
        <v>1</v>
      </c>
      <c r="D9076">
        <v>181.44</v>
      </c>
      <c r="E9076">
        <v>245</v>
      </c>
    </row>
    <row r="9077" spans="1:5" x14ac:dyDescent="0.3">
      <c r="A9077" t="s">
        <v>138</v>
      </c>
      <c r="B9077" s="1">
        <v>44696</v>
      </c>
      <c r="C9077">
        <v>1</v>
      </c>
      <c r="D9077">
        <v>46.5</v>
      </c>
      <c r="E9077">
        <v>76</v>
      </c>
    </row>
    <row r="9078" spans="1:5" x14ac:dyDescent="0.3">
      <c r="A9078" t="s">
        <v>23</v>
      </c>
      <c r="B9078" s="1">
        <v>44696</v>
      </c>
      <c r="C9078">
        <v>1</v>
      </c>
      <c r="D9078">
        <v>109.41</v>
      </c>
      <c r="E9078">
        <v>123</v>
      </c>
    </row>
    <row r="9079" spans="1:5" x14ac:dyDescent="0.3">
      <c r="A9079" t="s">
        <v>134</v>
      </c>
      <c r="B9079" s="1">
        <v>44696</v>
      </c>
      <c r="C9079">
        <v>1</v>
      </c>
      <c r="D9079">
        <v>26.87</v>
      </c>
      <c r="E9079">
        <v>41</v>
      </c>
    </row>
    <row r="9080" spans="1:5" x14ac:dyDescent="0.3">
      <c r="A9080" t="s">
        <v>134</v>
      </c>
      <c r="B9080" s="1">
        <v>44696</v>
      </c>
      <c r="C9080">
        <v>1</v>
      </c>
      <c r="D9080">
        <v>26.87</v>
      </c>
      <c r="E9080">
        <v>41</v>
      </c>
    </row>
    <row r="9081" spans="1:5" x14ac:dyDescent="0.3">
      <c r="A9081" t="s">
        <v>89</v>
      </c>
      <c r="B9081" s="1">
        <v>44696</v>
      </c>
      <c r="C9081">
        <v>1</v>
      </c>
      <c r="D9081">
        <v>80.62</v>
      </c>
      <c r="E9081">
        <v>115</v>
      </c>
    </row>
    <row r="9082" spans="1:5" x14ac:dyDescent="0.3">
      <c r="A9082" t="s">
        <v>24</v>
      </c>
      <c r="B9082" s="1">
        <v>44696</v>
      </c>
      <c r="C9082">
        <v>1</v>
      </c>
      <c r="D9082">
        <v>95.88</v>
      </c>
      <c r="E9082">
        <v>118</v>
      </c>
    </row>
    <row r="9083" spans="1:5" x14ac:dyDescent="0.3">
      <c r="A9083" t="s">
        <v>12</v>
      </c>
      <c r="B9083" s="1">
        <v>44696</v>
      </c>
      <c r="C9083">
        <v>1</v>
      </c>
      <c r="D9083">
        <v>56.84</v>
      </c>
      <c r="E9083">
        <v>72</v>
      </c>
    </row>
    <row r="9084" spans="1:5" x14ac:dyDescent="0.3">
      <c r="A9084" t="s">
        <v>23</v>
      </c>
      <c r="B9084" s="1">
        <v>44696</v>
      </c>
      <c r="C9084">
        <v>1</v>
      </c>
      <c r="D9084">
        <v>112.85</v>
      </c>
      <c r="E9084">
        <v>127</v>
      </c>
    </row>
    <row r="9085" spans="1:5" x14ac:dyDescent="0.3">
      <c r="A9085" t="s">
        <v>23</v>
      </c>
      <c r="B9085" s="1">
        <v>44696</v>
      </c>
      <c r="C9085">
        <v>1</v>
      </c>
      <c r="D9085">
        <v>112.85</v>
      </c>
      <c r="E9085">
        <v>127</v>
      </c>
    </row>
    <row r="9086" spans="1:5" x14ac:dyDescent="0.3">
      <c r="A9086" t="s">
        <v>34</v>
      </c>
      <c r="B9086" s="1">
        <v>44696</v>
      </c>
      <c r="C9086">
        <v>1</v>
      </c>
      <c r="D9086">
        <v>202.75</v>
      </c>
      <c r="E9086">
        <v>234</v>
      </c>
    </row>
    <row r="9087" spans="1:5" x14ac:dyDescent="0.3">
      <c r="A9087" t="s">
        <v>66</v>
      </c>
      <c r="B9087" s="1">
        <v>44696</v>
      </c>
      <c r="C9087">
        <v>1</v>
      </c>
      <c r="D9087">
        <v>31.69</v>
      </c>
      <c r="E9087">
        <v>37</v>
      </c>
    </row>
    <row r="9088" spans="1:5" x14ac:dyDescent="0.3">
      <c r="A9088" t="s">
        <v>66</v>
      </c>
      <c r="B9088" s="1">
        <v>44696</v>
      </c>
      <c r="C9088">
        <v>1</v>
      </c>
      <c r="D9088">
        <v>31.69</v>
      </c>
      <c r="E9088">
        <v>37</v>
      </c>
    </row>
    <row r="9089" spans="1:5" x14ac:dyDescent="0.3">
      <c r="A9089" t="s">
        <v>146</v>
      </c>
      <c r="B9089" s="1">
        <v>44696</v>
      </c>
      <c r="C9089">
        <v>1</v>
      </c>
      <c r="D9089">
        <v>402.29</v>
      </c>
      <c r="E9089">
        <v>451</v>
      </c>
    </row>
    <row r="9090" spans="1:5" x14ac:dyDescent="0.3">
      <c r="A9090" t="s">
        <v>72</v>
      </c>
      <c r="B9090" s="1">
        <v>44696</v>
      </c>
      <c r="C9090">
        <v>1</v>
      </c>
      <c r="D9090">
        <v>550.89</v>
      </c>
      <c r="E9090">
        <v>728</v>
      </c>
    </row>
    <row r="9091" spans="1:5" x14ac:dyDescent="0.3">
      <c r="A9091" t="s">
        <v>72</v>
      </c>
      <c r="B9091" s="1">
        <v>44696</v>
      </c>
      <c r="C9091">
        <v>1</v>
      </c>
      <c r="D9091">
        <v>550.89</v>
      </c>
      <c r="E9091">
        <v>728</v>
      </c>
    </row>
    <row r="9092" spans="1:5" x14ac:dyDescent="0.3">
      <c r="A9092" t="s">
        <v>23</v>
      </c>
      <c r="B9092" s="1">
        <v>44696</v>
      </c>
      <c r="C9092">
        <v>1</v>
      </c>
      <c r="D9092">
        <v>110.18</v>
      </c>
      <c r="E9092">
        <v>124</v>
      </c>
    </row>
    <row r="9093" spans="1:5" x14ac:dyDescent="0.3">
      <c r="A9093" t="s">
        <v>81</v>
      </c>
      <c r="B9093" s="1">
        <v>44696</v>
      </c>
      <c r="C9093">
        <v>1</v>
      </c>
      <c r="D9093">
        <v>40.130000000000003</v>
      </c>
      <c r="E9093">
        <v>49</v>
      </c>
    </row>
    <row r="9094" spans="1:5" x14ac:dyDescent="0.3">
      <c r="A9094" t="s">
        <v>51</v>
      </c>
      <c r="B9094" s="1">
        <v>44696</v>
      </c>
      <c r="C9094">
        <v>4</v>
      </c>
      <c r="D9094">
        <v>2.0499999999999998</v>
      </c>
      <c r="E9094">
        <v>4</v>
      </c>
    </row>
    <row r="9095" spans="1:5" x14ac:dyDescent="0.3">
      <c r="A9095" t="s">
        <v>39</v>
      </c>
      <c r="B9095" s="1">
        <v>44696</v>
      </c>
      <c r="C9095">
        <v>2</v>
      </c>
      <c r="D9095">
        <v>9.8800000000000008</v>
      </c>
      <c r="E9095">
        <v>16</v>
      </c>
    </row>
    <row r="9096" spans="1:5" x14ac:dyDescent="0.3">
      <c r="A9096" t="s">
        <v>39</v>
      </c>
      <c r="B9096" s="1">
        <v>44696</v>
      </c>
      <c r="C9096">
        <v>1</v>
      </c>
      <c r="D9096">
        <v>9.8800000000000008</v>
      </c>
      <c r="E9096">
        <v>16</v>
      </c>
    </row>
    <row r="9097" spans="1:5" x14ac:dyDescent="0.3">
      <c r="A9097" t="s">
        <v>85</v>
      </c>
      <c r="B9097" s="1">
        <v>44696</v>
      </c>
      <c r="C9097">
        <v>1</v>
      </c>
      <c r="D9097">
        <v>14.63</v>
      </c>
      <c r="E9097">
        <v>23</v>
      </c>
    </row>
    <row r="9098" spans="1:5" x14ac:dyDescent="0.3">
      <c r="A9098" t="s">
        <v>85</v>
      </c>
      <c r="B9098" s="1">
        <v>44696</v>
      </c>
      <c r="C9098">
        <v>1</v>
      </c>
      <c r="D9098">
        <v>14.63</v>
      </c>
      <c r="E9098">
        <v>23</v>
      </c>
    </row>
    <row r="9099" spans="1:5" x14ac:dyDescent="0.3">
      <c r="A9099" t="s">
        <v>160</v>
      </c>
      <c r="B9099" s="1">
        <v>44696</v>
      </c>
      <c r="C9099">
        <v>1</v>
      </c>
      <c r="D9099">
        <v>80.73</v>
      </c>
      <c r="E9099">
        <v>100</v>
      </c>
    </row>
    <row r="9100" spans="1:5" x14ac:dyDescent="0.3">
      <c r="A9100" t="s">
        <v>24</v>
      </c>
      <c r="B9100" s="1">
        <v>44696</v>
      </c>
      <c r="C9100">
        <v>1</v>
      </c>
      <c r="D9100">
        <v>103.96</v>
      </c>
      <c r="E9100">
        <v>125</v>
      </c>
    </row>
    <row r="9101" spans="1:5" x14ac:dyDescent="0.3">
      <c r="A9101" t="s">
        <v>49</v>
      </c>
      <c r="B9101" s="1">
        <v>44696</v>
      </c>
      <c r="C9101">
        <v>1</v>
      </c>
      <c r="D9101">
        <v>16.579999999999998</v>
      </c>
      <c r="E9101">
        <v>20</v>
      </c>
    </row>
    <row r="9102" spans="1:5" x14ac:dyDescent="0.3">
      <c r="A9102" t="s">
        <v>143</v>
      </c>
      <c r="B9102" s="1">
        <v>44696</v>
      </c>
      <c r="C9102">
        <v>1</v>
      </c>
      <c r="D9102">
        <v>42.19</v>
      </c>
      <c r="E9102">
        <v>65</v>
      </c>
    </row>
    <row r="9103" spans="1:5" x14ac:dyDescent="0.3">
      <c r="A9103" t="s">
        <v>61</v>
      </c>
      <c r="B9103" s="1">
        <v>44696</v>
      </c>
      <c r="C9103">
        <v>1</v>
      </c>
      <c r="D9103">
        <v>32.85</v>
      </c>
      <c r="E9103">
        <v>50</v>
      </c>
    </row>
    <row r="9104" spans="1:5" x14ac:dyDescent="0.3">
      <c r="A9104" t="s">
        <v>118</v>
      </c>
      <c r="B9104" s="1">
        <v>44696</v>
      </c>
      <c r="C9104">
        <v>1</v>
      </c>
      <c r="D9104">
        <v>11.1</v>
      </c>
      <c r="E9104">
        <v>13</v>
      </c>
    </row>
    <row r="9105" spans="1:5" x14ac:dyDescent="0.3">
      <c r="A9105" t="s">
        <v>71</v>
      </c>
      <c r="B9105" s="1">
        <v>44696</v>
      </c>
      <c r="C9105">
        <v>1</v>
      </c>
      <c r="D9105">
        <v>34.75</v>
      </c>
      <c r="E9105">
        <v>53</v>
      </c>
    </row>
    <row r="9106" spans="1:5" x14ac:dyDescent="0.3">
      <c r="A9106" t="s">
        <v>107</v>
      </c>
      <c r="B9106" s="1">
        <v>44696</v>
      </c>
      <c r="C9106">
        <v>1</v>
      </c>
      <c r="D9106">
        <v>71.16</v>
      </c>
      <c r="E9106">
        <v>88</v>
      </c>
    </row>
    <row r="9107" spans="1:5" x14ac:dyDescent="0.3">
      <c r="A9107" t="s">
        <v>107</v>
      </c>
      <c r="B9107" s="1">
        <v>44696</v>
      </c>
      <c r="C9107">
        <v>1</v>
      </c>
      <c r="D9107">
        <v>71.16</v>
      </c>
      <c r="E9107">
        <v>88</v>
      </c>
    </row>
    <row r="9108" spans="1:5" x14ac:dyDescent="0.3">
      <c r="A9108" t="s">
        <v>136</v>
      </c>
      <c r="B9108" s="1">
        <v>44696</v>
      </c>
      <c r="C9108">
        <v>1</v>
      </c>
      <c r="D9108">
        <v>286.19</v>
      </c>
      <c r="E9108">
        <v>381</v>
      </c>
    </row>
    <row r="9109" spans="1:5" x14ac:dyDescent="0.3">
      <c r="A9109" t="s">
        <v>146</v>
      </c>
      <c r="B9109" s="1">
        <v>44696</v>
      </c>
      <c r="C9109">
        <v>1</v>
      </c>
      <c r="D9109">
        <v>402.2</v>
      </c>
      <c r="E9109">
        <v>451</v>
      </c>
    </row>
    <row r="9110" spans="1:5" x14ac:dyDescent="0.3">
      <c r="A9110" t="s">
        <v>86</v>
      </c>
      <c r="B9110" s="1">
        <v>44696</v>
      </c>
      <c r="C9110">
        <v>1</v>
      </c>
      <c r="D9110">
        <v>47.4</v>
      </c>
      <c r="E9110">
        <v>77</v>
      </c>
    </row>
    <row r="9111" spans="1:5" x14ac:dyDescent="0.3">
      <c r="A9111" t="s">
        <v>59</v>
      </c>
      <c r="B9111" s="1">
        <v>44696</v>
      </c>
      <c r="C9111">
        <v>1</v>
      </c>
      <c r="D9111">
        <v>16.97</v>
      </c>
      <c r="E9111">
        <v>28</v>
      </c>
    </row>
    <row r="9112" spans="1:5" x14ac:dyDescent="0.3">
      <c r="A9112" t="s">
        <v>59</v>
      </c>
      <c r="B9112" s="1">
        <v>44696</v>
      </c>
      <c r="C9112">
        <v>1</v>
      </c>
      <c r="D9112">
        <v>16.97</v>
      </c>
      <c r="E9112">
        <v>28</v>
      </c>
    </row>
    <row r="9113" spans="1:5" x14ac:dyDescent="0.3">
      <c r="A9113" t="s">
        <v>77</v>
      </c>
      <c r="B9113" s="1">
        <v>44696</v>
      </c>
      <c r="C9113">
        <v>1</v>
      </c>
      <c r="D9113">
        <v>60.3</v>
      </c>
      <c r="E9113">
        <v>75</v>
      </c>
    </row>
    <row r="9114" spans="1:5" x14ac:dyDescent="0.3">
      <c r="A9114" t="s">
        <v>6</v>
      </c>
      <c r="B9114" s="1">
        <v>44696</v>
      </c>
      <c r="C9114">
        <v>0.4</v>
      </c>
      <c r="D9114">
        <v>421.52</v>
      </c>
      <c r="E9114">
        <v>527</v>
      </c>
    </row>
    <row r="9115" spans="1:5" x14ac:dyDescent="0.3">
      <c r="A9115" t="s">
        <v>24</v>
      </c>
      <c r="B9115" s="1">
        <v>44696</v>
      </c>
      <c r="C9115">
        <v>1</v>
      </c>
      <c r="D9115">
        <v>106.05</v>
      </c>
      <c r="E9115">
        <v>125</v>
      </c>
    </row>
    <row r="9116" spans="1:5" x14ac:dyDescent="0.3">
      <c r="A9116" t="s">
        <v>17</v>
      </c>
      <c r="B9116" s="1">
        <v>44696</v>
      </c>
      <c r="C9116">
        <v>1</v>
      </c>
      <c r="D9116">
        <v>385.8</v>
      </c>
      <c r="E9116">
        <v>463</v>
      </c>
    </row>
    <row r="9117" spans="1:5" x14ac:dyDescent="0.3">
      <c r="A9117" t="s">
        <v>25</v>
      </c>
      <c r="B9117" s="1">
        <v>44696</v>
      </c>
      <c r="C9117">
        <v>1</v>
      </c>
      <c r="D9117">
        <v>147.18</v>
      </c>
      <c r="E9117">
        <v>180</v>
      </c>
    </row>
    <row r="9118" spans="1:5" x14ac:dyDescent="0.3">
      <c r="A9118" t="s">
        <v>52</v>
      </c>
      <c r="B9118" s="1">
        <v>44696</v>
      </c>
      <c r="C9118">
        <v>1</v>
      </c>
      <c r="D9118">
        <v>221.19</v>
      </c>
      <c r="E9118">
        <v>262</v>
      </c>
    </row>
    <row r="9119" spans="1:5" x14ac:dyDescent="0.3">
      <c r="A9119" t="s">
        <v>20</v>
      </c>
      <c r="B9119" s="1">
        <v>44696</v>
      </c>
      <c r="C9119">
        <v>1</v>
      </c>
      <c r="D9119">
        <v>19.66</v>
      </c>
      <c r="E9119">
        <v>25</v>
      </c>
    </row>
    <row r="9120" spans="1:5" x14ac:dyDescent="0.3">
      <c r="A9120" t="s">
        <v>132</v>
      </c>
      <c r="B9120" s="1">
        <v>44696</v>
      </c>
      <c r="C9120">
        <v>1</v>
      </c>
      <c r="D9120">
        <v>58.75</v>
      </c>
      <c r="E9120">
        <v>86</v>
      </c>
    </row>
    <row r="9121" spans="1:5" x14ac:dyDescent="0.3">
      <c r="A9121" t="s">
        <v>20</v>
      </c>
      <c r="B9121" s="1">
        <v>44696</v>
      </c>
      <c r="C9121">
        <v>1</v>
      </c>
      <c r="D9121">
        <v>19.71</v>
      </c>
      <c r="E9121">
        <v>25</v>
      </c>
    </row>
    <row r="9122" spans="1:5" x14ac:dyDescent="0.3">
      <c r="A9122" t="s">
        <v>20</v>
      </c>
      <c r="B9122" s="1">
        <v>44696</v>
      </c>
      <c r="C9122">
        <v>1</v>
      </c>
      <c r="D9122">
        <v>19.71</v>
      </c>
      <c r="E9122">
        <v>25</v>
      </c>
    </row>
    <row r="9123" spans="1:5" x14ac:dyDescent="0.3">
      <c r="A9123" t="s">
        <v>63</v>
      </c>
      <c r="B9123" s="1">
        <v>44696</v>
      </c>
      <c r="C9123">
        <v>1</v>
      </c>
      <c r="D9123">
        <v>71.790000000000006</v>
      </c>
      <c r="E9123">
        <v>87</v>
      </c>
    </row>
    <row r="9124" spans="1:5" x14ac:dyDescent="0.3">
      <c r="A9124" t="s">
        <v>63</v>
      </c>
      <c r="B9124" s="1">
        <v>44696</v>
      </c>
      <c r="C9124">
        <v>1</v>
      </c>
      <c r="D9124">
        <v>71.790000000000006</v>
      </c>
      <c r="E9124">
        <v>87</v>
      </c>
    </row>
    <row r="9125" spans="1:5" x14ac:dyDescent="0.3">
      <c r="A9125" t="s">
        <v>160</v>
      </c>
      <c r="B9125" s="1">
        <v>44696</v>
      </c>
      <c r="C9125">
        <v>1</v>
      </c>
      <c r="D9125">
        <v>80.73</v>
      </c>
      <c r="E9125">
        <v>100</v>
      </c>
    </row>
    <row r="9126" spans="1:5" x14ac:dyDescent="0.3">
      <c r="A9126" t="s">
        <v>8</v>
      </c>
      <c r="B9126" s="1">
        <v>44696</v>
      </c>
      <c r="C9126">
        <v>1</v>
      </c>
      <c r="D9126">
        <v>47.83</v>
      </c>
      <c r="E9126">
        <v>77</v>
      </c>
    </row>
    <row r="9127" spans="1:5" x14ac:dyDescent="0.3">
      <c r="A9127" t="s">
        <v>45</v>
      </c>
      <c r="B9127" s="1">
        <v>44696</v>
      </c>
      <c r="C9127">
        <v>5</v>
      </c>
      <c r="D9127">
        <v>25.36</v>
      </c>
      <c r="E9127">
        <v>42</v>
      </c>
    </row>
    <row r="9128" spans="1:5" x14ac:dyDescent="0.3">
      <c r="A9128" t="s">
        <v>77</v>
      </c>
      <c r="B9128" s="1">
        <v>44696</v>
      </c>
      <c r="C9128">
        <v>1</v>
      </c>
      <c r="D9128">
        <v>60.3</v>
      </c>
      <c r="E9128">
        <v>75</v>
      </c>
    </row>
    <row r="9129" spans="1:5" x14ac:dyDescent="0.3">
      <c r="A9129" t="s">
        <v>62</v>
      </c>
      <c r="B9129" s="1">
        <v>44696</v>
      </c>
      <c r="C9129">
        <v>1</v>
      </c>
      <c r="D9129">
        <v>25.71</v>
      </c>
      <c r="E9129">
        <v>30.99</v>
      </c>
    </row>
    <row r="9130" spans="1:5" x14ac:dyDescent="0.3">
      <c r="A9130" t="s">
        <v>62</v>
      </c>
      <c r="B9130" s="1">
        <v>44696</v>
      </c>
      <c r="C9130">
        <v>1</v>
      </c>
      <c r="D9130">
        <v>25.72</v>
      </c>
      <c r="E9130">
        <v>30.99</v>
      </c>
    </row>
    <row r="9131" spans="1:5" x14ac:dyDescent="0.3">
      <c r="A9131" t="s">
        <v>62</v>
      </c>
      <c r="B9131" s="1">
        <v>44696</v>
      </c>
      <c r="C9131">
        <v>1</v>
      </c>
      <c r="D9131">
        <v>25.72</v>
      </c>
      <c r="E9131">
        <v>30.99</v>
      </c>
    </row>
    <row r="9132" spans="1:5" x14ac:dyDescent="0.3">
      <c r="A9132" t="s">
        <v>104</v>
      </c>
      <c r="B9132" s="1">
        <v>44696</v>
      </c>
      <c r="C9132">
        <v>1</v>
      </c>
      <c r="D9132">
        <v>45.14</v>
      </c>
      <c r="E9132">
        <v>57</v>
      </c>
    </row>
    <row r="9133" spans="1:5" x14ac:dyDescent="0.3">
      <c r="A9133" t="s">
        <v>25</v>
      </c>
      <c r="B9133" s="1">
        <v>44696</v>
      </c>
      <c r="C9133">
        <v>1</v>
      </c>
      <c r="D9133">
        <v>147.18</v>
      </c>
      <c r="E9133">
        <v>177</v>
      </c>
    </row>
    <row r="9134" spans="1:5" x14ac:dyDescent="0.3">
      <c r="A9134" t="s">
        <v>25</v>
      </c>
      <c r="B9134" s="1">
        <v>44696</v>
      </c>
      <c r="C9134">
        <v>1</v>
      </c>
      <c r="D9134">
        <v>147.18</v>
      </c>
      <c r="E9134">
        <v>177</v>
      </c>
    </row>
    <row r="9135" spans="1:5" x14ac:dyDescent="0.3">
      <c r="A9135" t="s">
        <v>24</v>
      </c>
      <c r="B9135" s="1">
        <v>44696</v>
      </c>
      <c r="C9135">
        <v>1</v>
      </c>
      <c r="D9135">
        <v>98.67</v>
      </c>
      <c r="E9135">
        <v>120</v>
      </c>
    </row>
    <row r="9136" spans="1:5" x14ac:dyDescent="0.3">
      <c r="A9136" t="s">
        <v>14</v>
      </c>
      <c r="B9136" s="1">
        <v>44696</v>
      </c>
      <c r="C9136">
        <v>0.3</v>
      </c>
      <c r="D9136">
        <v>596.29</v>
      </c>
      <c r="E9136">
        <v>746</v>
      </c>
    </row>
    <row r="9137" spans="1:5" x14ac:dyDescent="0.3">
      <c r="A9137" t="s">
        <v>160</v>
      </c>
      <c r="B9137" s="1">
        <v>44696</v>
      </c>
      <c r="C9137">
        <v>1</v>
      </c>
      <c r="D9137">
        <v>80.73</v>
      </c>
      <c r="E9137">
        <v>100</v>
      </c>
    </row>
    <row r="9138" spans="1:5" x14ac:dyDescent="0.3">
      <c r="A9138" t="s">
        <v>39</v>
      </c>
      <c r="B9138" s="1">
        <v>44696</v>
      </c>
      <c r="C9138">
        <v>8</v>
      </c>
      <c r="D9138">
        <v>11.38</v>
      </c>
      <c r="E9138">
        <v>19</v>
      </c>
    </row>
    <row r="9139" spans="1:5" x14ac:dyDescent="0.3">
      <c r="A9139" t="s">
        <v>32</v>
      </c>
      <c r="B9139" s="1">
        <v>44696</v>
      </c>
      <c r="C9139">
        <v>1</v>
      </c>
      <c r="D9139">
        <v>103.53</v>
      </c>
      <c r="E9139">
        <v>159</v>
      </c>
    </row>
    <row r="9140" spans="1:5" x14ac:dyDescent="0.3">
      <c r="A9140" t="s">
        <v>124</v>
      </c>
      <c r="B9140" s="1">
        <v>44696</v>
      </c>
      <c r="C9140">
        <v>1</v>
      </c>
      <c r="D9140">
        <v>36.75</v>
      </c>
      <c r="E9140">
        <v>59</v>
      </c>
    </row>
    <row r="9141" spans="1:5" x14ac:dyDescent="0.3">
      <c r="A9141" t="s">
        <v>92</v>
      </c>
      <c r="B9141" s="1">
        <v>44696</v>
      </c>
      <c r="C9141">
        <v>2</v>
      </c>
      <c r="D9141">
        <v>6.2</v>
      </c>
      <c r="E9141">
        <v>9</v>
      </c>
    </row>
    <row r="9142" spans="1:5" x14ac:dyDescent="0.3">
      <c r="A9142" t="s">
        <v>92</v>
      </c>
      <c r="B9142" s="1">
        <v>44696</v>
      </c>
      <c r="C9142">
        <v>1</v>
      </c>
      <c r="D9142">
        <v>6.2</v>
      </c>
      <c r="E9142">
        <v>9</v>
      </c>
    </row>
    <row r="9143" spans="1:5" x14ac:dyDescent="0.3">
      <c r="A9143" t="s">
        <v>60</v>
      </c>
      <c r="B9143" s="1">
        <v>44696</v>
      </c>
      <c r="C9143">
        <v>1</v>
      </c>
      <c r="D9143">
        <v>58.08</v>
      </c>
      <c r="E9143">
        <v>73</v>
      </c>
    </row>
    <row r="9144" spans="1:5" x14ac:dyDescent="0.3">
      <c r="A9144" t="s">
        <v>110</v>
      </c>
      <c r="B9144" s="1">
        <v>44696</v>
      </c>
      <c r="C9144">
        <v>1</v>
      </c>
      <c r="D9144">
        <v>208.48</v>
      </c>
      <c r="E9144">
        <v>292</v>
      </c>
    </row>
    <row r="9145" spans="1:5" x14ac:dyDescent="0.3">
      <c r="A9145" t="s">
        <v>25</v>
      </c>
      <c r="B9145" s="1">
        <v>44696</v>
      </c>
      <c r="C9145">
        <v>1</v>
      </c>
      <c r="D9145">
        <v>147.18</v>
      </c>
      <c r="E9145">
        <v>177</v>
      </c>
    </row>
    <row r="9146" spans="1:5" x14ac:dyDescent="0.3">
      <c r="A9146" t="s">
        <v>99</v>
      </c>
      <c r="B9146" s="1">
        <v>44696</v>
      </c>
      <c r="C9146">
        <v>1</v>
      </c>
      <c r="D9146">
        <v>64.44</v>
      </c>
      <c r="E9146">
        <v>76</v>
      </c>
    </row>
    <row r="9147" spans="1:5" x14ac:dyDescent="0.3">
      <c r="A9147" t="s">
        <v>55</v>
      </c>
      <c r="B9147" s="1">
        <v>44696</v>
      </c>
      <c r="C9147">
        <v>1</v>
      </c>
      <c r="D9147">
        <v>85.58</v>
      </c>
      <c r="E9147">
        <v>96</v>
      </c>
    </row>
    <row r="9148" spans="1:5" x14ac:dyDescent="0.3">
      <c r="A9148" t="s">
        <v>55</v>
      </c>
      <c r="B9148" s="1">
        <v>44696</v>
      </c>
      <c r="C9148">
        <v>1</v>
      </c>
      <c r="D9148">
        <v>85.58</v>
      </c>
      <c r="E9148">
        <v>96</v>
      </c>
    </row>
    <row r="9149" spans="1:5" x14ac:dyDescent="0.3">
      <c r="A9149" t="s">
        <v>88</v>
      </c>
      <c r="B9149" s="1">
        <v>44696</v>
      </c>
      <c r="C9149">
        <v>1</v>
      </c>
      <c r="D9149">
        <v>106.51</v>
      </c>
      <c r="E9149">
        <v>163</v>
      </c>
    </row>
    <row r="9150" spans="1:5" x14ac:dyDescent="0.3">
      <c r="A9150" t="s">
        <v>23</v>
      </c>
      <c r="B9150" s="1">
        <v>44696</v>
      </c>
      <c r="C9150">
        <v>1</v>
      </c>
      <c r="D9150">
        <v>110.18</v>
      </c>
      <c r="E9150">
        <v>124</v>
      </c>
    </row>
    <row r="9151" spans="1:5" x14ac:dyDescent="0.3">
      <c r="A9151" t="s">
        <v>5</v>
      </c>
      <c r="B9151" s="1">
        <v>44696</v>
      </c>
      <c r="C9151">
        <v>1</v>
      </c>
      <c r="D9151">
        <v>146.1</v>
      </c>
      <c r="E9151">
        <v>173</v>
      </c>
    </row>
    <row r="9152" spans="1:5" x14ac:dyDescent="0.3">
      <c r="A9152" t="s">
        <v>80</v>
      </c>
      <c r="B9152" s="1">
        <v>44696</v>
      </c>
      <c r="C9152">
        <v>1</v>
      </c>
      <c r="D9152">
        <v>23.57</v>
      </c>
      <c r="E9152">
        <v>36</v>
      </c>
    </row>
    <row r="9153" spans="1:5" x14ac:dyDescent="0.3">
      <c r="A9153" t="s">
        <v>26</v>
      </c>
      <c r="B9153" s="1">
        <v>44696</v>
      </c>
      <c r="C9153">
        <v>0.1</v>
      </c>
      <c r="D9153">
        <v>989.8</v>
      </c>
      <c r="E9153">
        <v>1238</v>
      </c>
    </row>
    <row r="9154" spans="1:5" x14ac:dyDescent="0.3">
      <c r="A9154" t="s">
        <v>70</v>
      </c>
      <c r="B9154" s="1">
        <v>44696</v>
      </c>
      <c r="C9154">
        <v>1</v>
      </c>
      <c r="D9154">
        <v>184.39</v>
      </c>
      <c r="E9154">
        <v>218</v>
      </c>
    </row>
    <row r="9155" spans="1:5" x14ac:dyDescent="0.3">
      <c r="A9155" t="s">
        <v>67</v>
      </c>
      <c r="B9155" s="1">
        <v>44696</v>
      </c>
      <c r="C9155">
        <v>1</v>
      </c>
      <c r="D9155">
        <v>63.59</v>
      </c>
      <c r="E9155">
        <v>95</v>
      </c>
    </row>
    <row r="9156" spans="1:5" x14ac:dyDescent="0.3">
      <c r="A9156" t="s">
        <v>124</v>
      </c>
      <c r="B9156" s="1">
        <v>44696</v>
      </c>
      <c r="C9156">
        <v>1</v>
      </c>
      <c r="D9156">
        <v>37.869999999999997</v>
      </c>
      <c r="E9156">
        <v>62</v>
      </c>
    </row>
    <row r="9157" spans="1:5" x14ac:dyDescent="0.3">
      <c r="A9157" t="s">
        <v>62</v>
      </c>
      <c r="B9157" s="1">
        <v>44696</v>
      </c>
      <c r="C9157">
        <v>1</v>
      </c>
      <c r="D9157">
        <v>25.71</v>
      </c>
      <c r="E9157">
        <v>31</v>
      </c>
    </row>
    <row r="9158" spans="1:5" x14ac:dyDescent="0.3">
      <c r="A9158" t="s">
        <v>100</v>
      </c>
      <c r="B9158" s="1">
        <v>44696</v>
      </c>
      <c r="C9158">
        <v>1</v>
      </c>
      <c r="D9158">
        <v>39.49</v>
      </c>
      <c r="E9158">
        <v>61</v>
      </c>
    </row>
    <row r="9159" spans="1:5" x14ac:dyDescent="0.3">
      <c r="A9159" t="s">
        <v>26</v>
      </c>
      <c r="B9159" s="1">
        <v>44696</v>
      </c>
      <c r="C9159">
        <v>0.2</v>
      </c>
      <c r="D9159">
        <v>989.8</v>
      </c>
      <c r="E9159">
        <v>1238</v>
      </c>
    </row>
    <row r="9160" spans="1:5" x14ac:dyDescent="0.3">
      <c r="A9160" t="s">
        <v>14</v>
      </c>
      <c r="B9160" s="1">
        <v>44696</v>
      </c>
      <c r="C9160">
        <v>0.1</v>
      </c>
      <c r="D9160">
        <v>498.84</v>
      </c>
      <c r="E9160">
        <v>659</v>
      </c>
    </row>
    <row r="9161" spans="1:5" x14ac:dyDescent="0.3">
      <c r="A9161" t="s">
        <v>107</v>
      </c>
      <c r="B9161" s="1">
        <v>44696</v>
      </c>
      <c r="C9161">
        <v>1</v>
      </c>
      <c r="D9161">
        <v>77.05</v>
      </c>
      <c r="E9161">
        <v>94</v>
      </c>
    </row>
    <row r="9162" spans="1:5" x14ac:dyDescent="0.3">
      <c r="A9162" t="s">
        <v>73</v>
      </c>
      <c r="B9162" s="1">
        <v>44696</v>
      </c>
      <c r="C9162">
        <v>1</v>
      </c>
      <c r="D9162">
        <v>12</v>
      </c>
      <c r="E9162">
        <v>20</v>
      </c>
    </row>
    <row r="9163" spans="1:5" x14ac:dyDescent="0.3">
      <c r="A9163" t="s">
        <v>24</v>
      </c>
      <c r="B9163" s="1">
        <v>44696</v>
      </c>
      <c r="C9163">
        <v>1</v>
      </c>
      <c r="D9163">
        <v>107.3</v>
      </c>
      <c r="E9163">
        <v>126</v>
      </c>
    </row>
    <row r="9164" spans="1:5" x14ac:dyDescent="0.3">
      <c r="A9164" t="s">
        <v>157</v>
      </c>
      <c r="B9164" s="1">
        <v>44696</v>
      </c>
      <c r="C9164">
        <v>1</v>
      </c>
      <c r="D9164">
        <v>12</v>
      </c>
      <c r="E9164">
        <v>20</v>
      </c>
    </row>
    <row r="9165" spans="1:5" x14ac:dyDescent="0.3">
      <c r="A9165" t="s">
        <v>35</v>
      </c>
      <c r="B9165" s="1">
        <v>44696</v>
      </c>
      <c r="C9165">
        <v>1</v>
      </c>
      <c r="D9165">
        <v>39.6</v>
      </c>
      <c r="E9165">
        <v>61</v>
      </c>
    </row>
    <row r="9166" spans="1:5" x14ac:dyDescent="0.3">
      <c r="A9166" t="s">
        <v>83</v>
      </c>
      <c r="B9166" s="1">
        <v>44696</v>
      </c>
      <c r="C9166">
        <v>1</v>
      </c>
      <c r="D9166">
        <v>207.76</v>
      </c>
      <c r="E9166">
        <v>246</v>
      </c>
    </row>
    <row r="9167" spans="1:5" x14ac:dyDescent="0.3">
      <c r="A9167" t="s">
        <v>102</v>
      </c>
      <c r="B9167" s="1">
        <v>44696</v>
      </c>
      <c r="C9167">
        <v>1</v>
      </c>
      <c r="D9167">
        <v>30.22</v>
      </c>
      <c r="E9167">
        <v>36</v>
      </c>
    </row>
    <row r="9168" spans="1:5" x14ac:dyDescent="0.3">
      <c r="A9168" t="s">
        <v>114</v>
      </c>
      <c r="B9168" s="1">
        <v>44696</v>
      </c>
      <c r="C9168">
        <v>1</v>
      </c>
      <c r="D9168">
        <v>74.8</v>
      </c>
      <c r="E9168">
        <v>92</v>
      </c>
    </row>
    <row r="9169" spans="1:5" x14ac:dyDescent="0.3">
      <c r="A9169" t="s">
        <v>5</v>
      </c>
      <c r="B9169" s="1">
        <v>44696</v>
      </c>
      <c r="C9169">
        <v>1</v>
      </c>
      <c r="D9169">
        <v>134.49</v>
      </c>
      <c r="E9169">
        <v>161</v>
      </c>
    </row>
    <row r="9170" spans="1:5" x14ac:dyDescent="0.3">
      <c r="A9170" t="s">
        <v>158</v>
      </c>
      <c r="B9170" s="1">
        <v>44696</v>
      </c>
      <c r="C9170">
        <v>1</v>
      </c>
      <c r="D9170">
        <v>24.24</v>
      </c>
      <c r="E9170">
        <v>32</v>
      </c>
    </row>
    <row r="9171" spans="1:5" x14ac:dyDescent="0.3">
      <c r="A9171" t="s">
        <v>158</v>
      </c>
      <c r="B9171" s="1">
        <v>44696</v>
      </c>
      <c r="C9171">
        <v>1</v>
      </c>
      <c r="D9171">
        <v>25.57</v>
      </c>
      <c r="E9171">
        <v>33</v>
      </c>
    </row>
    <row r="9172" spans="1:5" x14ac:dyDescent="0.3">
      <c r="A9172" t="s">
        <v>158</v>
      </c>
      <c r="B9172" s="1">
        <v>44696</v>
      </c>
      <c r="C9172">
        <v>1</v>
      </c>
      <c r="D9172">
        <v>25.57</v>
      </c>
      <c r="E9172">
        <v>33</v>
      </c>
    </row>
    <row r="9173" spans="1:5" x14ac:dyDescent="0.3">
      <c r="A9173" t="s">
        <v>158</v>
      </c>
      <c r="B9173" s="1">
        <v>44696</v>
      </c>
      <c r="C9173">
        <v>1</v>
      </c>
      <c r="D9173">
        <v>25.57</v>
      </c>
      <c r="E9173">
        <v>33</v>
      </c>
    </row>
    <row r="9174" spans="1:5" x14ac:dyDescent="0.3">
      <c r="A9174" t="s">
        <v>158</v>
      </c>
      <c r="B9174" s="1">
        <v>44696</v>
      </c>
      <c r="C9174">
        <v>1</v>
      </c>
      <c r="D9174">
        <v>25.57</v>
      </c>
      <c r="E9174">
        <v>33</v>
      </c>
    </row>
    <row r="9175" spans="1:5" x14ac:dyDescent="0.3">
      <c r="A9175" t="s">
        <v>120</v>
      </c>
      <c r="B9175" s="1">
        <v>44696</v>
      </c>
      <c r="C9175">
        <v>1</v>
      </c>
      <c r="D9175">
        <v>132.26</v>
      </c>
      <c r="E9175">
        <v>182</v>
      </c>
    </row>
    <row r="9176" spans="1:5" x14ac:dyDescent="0.3">
      <c r="A9176" t="s">
        <v>158</v>
      </c>
      <c r="B9176" s="1">
        <v>44696</v>
      </c>
      <c r="C9176">
        <v>1</v>
      </c>
      <c r="D9176">
        <v>25.57</v>
      </c>
      <c r="E9176">
        <v>33</v>
      </c>
    </row>
    <row r="9177" spans="1:5" x14ac:dyDescent="0.3">
      <c r="A9177" t="s">
        <v>158</v>
      </c>
      <c r="B9177" s="1">
        <v>44696</v>
      </c>
      <c r="C9177">
        <v>1</v>
      </c>
      <c r="D9177">
        <v>25.57</v>
      </c>
      <c r="E9177">
        <v>33</v>
      </c>
    </row>
    <row r="9178" spans="1:5" x14ac:dyDescent="0.3">
      <c r="A9178" t="s">
        <v>158</v>
      </c>
      <c r="B9178" s="1">
        <v>44696</v>
      </c>
      <c r="C9178">
        <v>1</v>
      </c>
      <c r="D9178">
        <v>25.57</v>
      </c>
      <c r="E9178">
        <v>33</v>
      </c>
    </row>
    <row r="9179" spans="1:5" x14ac:dyDescent="0.3">
      <c r="A9179" t="s">
        <v>158</v>
      </c>
      <c r="B9179" s="1">
        <v>44696</v>
      </c>
      <c r="C9179">
        <v>1</v>
      </c>
      <c r="D9179">
        <v>25.57</v>
      </c>
      <c r="E9179">
        <v>33</v>
      </c>
    </row>
    <row r="9180" spans="1:5" x14ac:dyDescent="0.3">
      <c r="A9180" t="s">
        <v>158</v>
      </c>
      <c r="B9180" s="1">
        <v>44696</v>
      </c>
      <c r="C9180">
        <v>1</v>
      </c>
      <c r="D9180">
        <v>25.57</v>
      </c>
      <c r="E9180">
        <v>33</v>
      </c>
    </row>
    <row r="9181" spans="1:5" x14ac:dyDescent="0.3">
      <c r="A9181" t="s">
        <v>158</v>
      </c>
      <c r="B9181" s="1">
        <v>44696</v>
      </c>
      <c r="C9181">
        <v>1</v>
      </c>
      <c r="D9181">
        <v>25.57</v>
      </c>
      <c r="E9181">
        <v>33</v>
      </c>
    </row>
    <row r="9182" spans="1:5" x14ac:dyDescent="0.3">
      <c r="A9182" t="s">
        <v>158</v>
      </c>
      <c r="B9182" s="1">
        <v>44696</v>
      </c>
      <c r="C9182">
        <v>1</v>
      </c>
      <c r="D9182">
        <v>25.57</v>
      </c>
      <c r="E9182">
        <v>33</v>
      </c>
    </row>
    <row r="9183" spans="1:5" x14ac:dyDescent="0.3">
      <c r="A9183" t="s">
        <v>158</v>
      </c>
      <c r="B9183" s="1">
        <v>44696</v>
      </c>
      <c r="C9183">
        <v>1</v>
      </c>
      <c r="D9183">
        <v>25.57</v>
      </c>
      <c r="E9183">
        <v>33</v>
      </c>
    </row>
    <row r="9184" spans="1:5" x14ac:dyDescent="0.3">
      <c r="A9184" t="s">
        <v>158</v>
      </c>
      <c r="B9184" s="1">
        <v>44696</v>
      </c>
      <c r="C9184">
        <v>1</v>
      </c>
      <c r="D9184">
        <v>25.57</v>
      </c>
      <c r="E9184">
        <v>33</v>
      </c>
    </row>
    <row r="9185" spans="1:5" x14ac:dyDescent="0.3">
      <c r="A9185" t="s">
        <v>144</v>
      </c>
      <c r="B9185" s="1">
        <v>44696</v>
      </c>
      <c r="C9185">
        <v>1</v>
      </c>
      <c r="D9185">
        <v>52.47</v>
      </c>
      <c r="E9185">
        <v>75</v>
      </c>
    </row>
    <row r="9186" spans="1:5" x14ac:dyDescent="0.3">
      <c r="A9186" t="s">
        <v>144</v>
      </c>
      <c r="B9186" s="1">
        <v>44696</v>
      </c>
      <c r="C9186">
        <v>1</v>
      </c>
      <c r="D9186">
        <v>52.47</v>
      </c>
      <c r="E9186">
        <v>75</v>
      </c>
    </row>
    <row r="9187" spans="1:5" x14ac:dyDescent="0.3">
      <c r="A9187" t="s">
        <v>95</v>
      </c>
      <c r="B9187" s="1">
        <v>44696</v>
      </c>
      <c r="C9187">
        <v>1</v>
      </c>
      <c r="D9187">
        <v>130.88999999999999</v>
      </c>
      <c r="E9187">
        <v>206</v>
      </c>
    </row>
    <row r="9188" spans="1:5" x14ac:dyDescent="0.3">
      <c r="A9188" t="s">
        <v>86</v>
      </c>
      <c r="B9188" s="1">
        <v>44696</v>
      </c>
      <c r="C9188">
        <v>1</v>
      </c>
      <c r="D9188">
        <v>47.4</v>
      </c>
      <c r="E9188">
        <v>77</v>
      </c>
    </row>
    <row r="9189" spans="1:5" x14ac:dyDescent="0.3">
      <c r="A9189" t="s">
        <v>82</v>
      </c>
      <c r="B9189" s="1">
        <v>44696</v>
      </c>
      <c r="C9189">
        <v>1</v>
      </c>
      <c r="D9189">
        <v>40.1</v>
      </c>
      <c r="E9189">
        <v>51</v>
      </c>
    </row>
    <row r="9190" spans="1:5" x14ac:dyDescent="0.3">
      <c r="A9190" t="s">
        <v>82</v>
      </c>
      <c r="B9190" s="1">
        <v>44696</v>
      </c>
      <c r="C9190">
        <v>1</v>
      </c>
      <c r="D9190">
        <v>40.1</v>
      </c>
      <c r="E9190">
        <v>51</v>
      </c>
    </row>
    <row r="9191" spans="1:5" x14ac:dyDescent="0.3">
      <c r="A9191" t="s">
        <v>82</v>
      </c>
      <c r="B9191" s="1">
        <v>44696</v>
      </c>
      <c r="C9191">
        <v>1</v>
      </c>
      <c r="D9191">
        <v>40.1</v>
      </c>
      <c r="E9191">
        <v>51</v>
      </c>
    </row>
    <row r="9192" spans="1:5" x14ac:dyDescent="0.3">
      <c r="A9192" t="s">
        <v>82</v>
      </c>
      <c r="B9192" s="1">
        <v>44696</v>
      </c>
      <c r="C9192">
        <v>1</v>
      </c>
      <c r="D9192">
        <v>40.1</v>
      </c>
      <c r="E9192">
        <v>51</v>
      </c>
    </row>
    <row r="9193" spans="1:5" x14ac:dyDescent="0.3">
      <c r="A9193" t="s">
        <v>82</v>
      </c>
      <c r="B9193" s="1">
        <v>44696</v>
      </c>
      <c r="C9193">
        <v>1</v>
      </c>
      <c r="D9193">
        <v>40.1</v>
      </c>
      <c r="E9193">
        <v>51</v>
      </c>
    </row>
    <row r="9194" spans="1:5" x14ac:dyDescent="0.3">
      <c r="A9194" t="s">
        <v>124</v>
      </c>
      <c r="B9194" s="1">
        <v>44696</v>
      </c>
      <c r="C9194">
        <v>1</v>
      </c>
      <c r="D9194">
        <v>37.869999999999997</v>
      </c>
      <c r="E9194">
        <v>62</v>
      </c>
    </row>
    <row r="9195" spans="1:5" x14ac:dyDescent="0.3">
      <c r="A9195" t="s">
        <v>8</v>
      </c>
      <c r="B9195" s="1">
        <v>44696</v>
      </c>
      <c r="C9195">
        <v>1</v>
      </c>
      <c r="D9195">
        <v>47.83</v>
      </c>
      <c r="E9195">
        <v>77</v>
      </c>
    </row>
    <row r="9196" spans="1:5" x14ac:dyDescent="0.3">
      <c r="A9196" t="s">
        <v>55</v>
      </c>
      <c r="B9196" s="1">
        <v>44696</v>
      </c>
      <c r="C9196">
        <v>1</v>
      </c>
      <c r="D9196">
        <v>77.78</v>
      </c>
      <c r="E9196">
        <v>97</v>
      </c>
    </row>
    <row r="9197" spans="1:5" x14ac:dyDescent="0.3">
      <c r="A9197" t="s">
        <v>79</v>
      </c>
      <c r="B9197" s="1">
        <v>44696</v>
      </c>
      <c r="C9197">
        <v>1</v>
      </c>
      <c r="D9197">
        <v>148.5</v>
      </c>
      <c r="E9197">
        <v>177</v>
      </c>
    </row>
    <row r="9198" spans="1:5" x14ac:dyDescent="0.3">
      <c r="A9198" t="s">
        <v>116</v>
      </c>
      <c r="B9198" s="1">
        <v>44696</v>
      </c>
      <c r="C9198">
        <v>1</v>
      </c>
      <c r="D9198">
        <v>101.97</v>
      </c>
      <c r="E9198">
        <v>121</v>
      </c>
    </row>
    <row r="9199" spans="1:5" x14ac:dyDescent="0.3">
      <c r="A9199" t="s">
        <v>84</v>
      </c>
      <c r="B9199" s="1">
        <v>44696</v>
      </c>
      <c r="C9199">
        <v>1</v>
      </c>
      <c r="D9199">
        <v>153.75</v>
      </c>
      <c r="E9199">
        <v>193</v>
      </c>
    </row>
    <row r="9200" spans="1:5" x14ac:dyDescent="0.3">
      <c r="A9200" t="s">
        <v>84</v>
      </c>
      <c r="B9200" s="1">
        <v>44696</v>
      </c>
      <c r="C9200">
        <v>1</v>
      </c>
      <c r="D9200">
        <v>153.75</v>
      </c>
      <c r="E9200">
        <v>193</v>
      </c>
    </row>
    <row r="9201" spans="1:5" x14ac:dyDescent="0.3">
      <c r="A9201" t="s">
        <v>73</v>
      </c>
      <c r="B9201" s="1">
        <v>44696</v>
      </c>
      <c r="C9201">
        <v>1</v>
      </c>
      <c r="D9201">
        <v>8.24</v>
      </c>
      <c r="E9201">
        <v>14</v>
      </c>
    </row>
    <row r="9202" spans="1:5" x14ac:dyDescent="0.3">
      <c r="A9202" t="s">
        <v>88</v>
      </c>
      <c r="B9202" s="1">
        <v>44696</v>
      </c>
      <c r="C9202">
        <v>0.5</v>
      </c>
      <c r="D9202">
        <v>123.98</v>
      </c>
      <c r="E9202">
        <v>189</v>
      </c>
    </row>
    <row r="9203" spans="1:5" x14ac:dyDescent="0.3">
      <c r="A9203" t="s">
        <v>70</v>
      </c>
      <c r="B9203" s="1">
        <v>44696</v>
      </c>
      <c r="C9203">
        <v>1</v>
      </c>
      <c r="D9203">
        <v>164.69</v>
      </c>
      <c r="E9203">
        <v>202</v>
      </c>
    </row>
    <row r="9204" spans="1:5" x14ac:dyDescent="0.3">
      <c r="A9204" t="s">
        <v>115</v>
      </c>
      <c r="B9204" s="1">
        <v>44696</v>
      </c>
      <c r="C9204">
        <v>1</v>
      </c>
      <c r="D9204">
        <v>71.349999999999994</v>
      </c>
      <c r="E9204">
        <v>90</v>
      </c>
    </row>
    <row r="9205" spans="1:5" x14ac:dyDescent="0.3">
      <c r="A9205" t="s">
        <v>16</v>
      </c>
      <c r="B9205" s="1">
        <v>44696</v>
      </c>
      <c r="C9205">
        <v>1</v>
      </c>
      <c r="D9205">
        <v>44.03</v>
      </c>
      <c r="E9205">
        <v>67</v>
      </c>
    </row>
    <row r="9206" spans="1:5" x14ac:dyDescent="0.3">
      <c r="A9206" t="s">
        <v>101</v>
      </c>
      <c r="B9206" s="1">
        <v>44696</v>
      </c>
      <c r="C9206">
        <v>1</v>
      </c>
      <c r="D9206">
        <v>28.66</v>
      </c>
      <c r="E9206">
        <v>44</v>
      </c>
    </row>
    <row r="9207" spans="1:5" x14ac:dyDescent="0.3">
      <c r="A9207" t="s">
        <v>66</v>
      </c>
      <c r="B9207" s="1">
        <v>44696</v>
      </c>
      <c r="C9207">
        <v>1</v>
      </c>
      <c r="D9207">
        <v>31.69</v>
      </c>
      <c r="E9207">
        <v>37</v>
      </c>
    </row>
    <row r="9208" spans="1:5" x14ac:dyDescent="0.3">
      <c r="A9208" t="s">
        <v>66</v>
      </c>
      <c r="B9208" s="1">
        <v>44696</v>
      </c>
      <c r="C9208">
        <v>1</v>
      </c>
      <c r="D9208">
        <v>31.69</v>
      </c>
      <c r="E9208">
        <v>37</v>
      </c>
    </row>
    <row r="9209" spans="1:5" x14ac:dyDescent="0.3">
      <c r="A9209" t="s">
        <v>66</v>
      </c>
      <c r="B9209" s="1">
        <v>44696</v>
      </c>
      <c r="C9209">
        <v>1</v>
      </c>
      <c r="D9209">
        <v>31.69</v>
      </c>
      <c r="E9209">
        <v>37</v>
      </c>
    </row>
    <row r="9210" spans="1:5" x14ac:dyDescent="0.3">
      <c r="A9210" t="s">
        <v>18</v>
      </c>
      <c r="B9210" s="1">
        <v>44696</v>
      </c>
      <c r="C9210">
        <v>1</v>
      </c>
      <c r="D9210">
        <v>46</v>
      </c>
      <c r="E9210">
        <v>70</v>
      </c>
    </row>
    <row r="9211" spans="1:5" x14ac:dyDescent="0.3">
      <c r="A9211" t="s">
        <v>70</v>
      </c>
      <c r="B9211" s="1">
        <v>44696</v>
      </c>
      <c r="C9211">
        <v>1</v>
      </c>
      <c r="D9211">
        <v>168.41</v>
      </c>
      <c r="E9211">
        <v>203</v>
      </c>
    </row>
    <row r="9212" spans="1:5" x14ac:dyDescent="0.3">
      <c r="A9212" t="s">
        <v>141</v>
      </c>
      <c r="B9212" s="1">
        <v>44696</v>
      </c>
      <c r="C9212">
        <v>2</v>
      </c>
      <c r="D9212">
        <v>10.76</v>
      </c>
      <c r="E9212">
        <v>18</v>
      </c>
    </row>
    <row r="9213" spans="1:5" x14ac:dyDescent="0.3">
      <c r="A9213" t="s">
        <v>62</v>
      </c>
      <c r="B9213" s="1">
        <v>44696</v>
      </c>
      <c r="C9213">
        <v>1</v>
      </c>
      <c r="D9213">
        <v>25.71</v>
      </c>
      <c r="E9213">
        <v>31</v>
      </c>
    </row>
    <row r="9214" spans="1:5" x14ac:dyDescent="0.3">
      <c r="A9214" t="s">
        <v>20</v>
      </c>
      <c r="B9214" s="1">
        <v>44696</v>
      </c>
      <c r="C9214">
        <v>1</v>
      </c>
      <c r="D9214">
        <v>20.23</v>
      </c>
      <c r="E9214">
        <v>27</v>
      </c>
    </row>
    <row r="9215" spans="1:5" x14ac:dyDescent="0.3">
      <c r="A9215" t="s">
        <v>78</v>
      </c>
      <c r="B9215" s="1">
        <v>44696</v>
      </c>
      <c r="C9215">
        <v>1</v>
      </c>
      <c r="D9215">
        <v>65.56</v>
      </c>
      <c r="E9215">
        <v>84</v>
      </c>
    </row>
    <row r="9216" spans="1:5" x14ac:dyDescent="0.3">
      <c r="A9216" t="s">
        <v>78</v>
      </c>
      <c r="B9216" s="1">
        <v>44696</v>
      </c>
      <c r="C9216">
        <v>1</v>
      </c>
      <c r="D9216">
        <v>79.3</v>
      </c>
      <c r="E9216">
        <v>100</v>
      </c>
    </row>
    <row r="9217" spans="1:5" x14ac:dyDescent="0.3">
      <c r="A9217" t="s">
        <v>39</v>
      </c>
      <c r="B9217" s="1">
        <v>44696</v>
      </c>
      <c r="C9217">
        <v>10</v>
      </c>
      <c r="D9217">
        <v>9.8800000000000008</v>
      </c>
      <c r="E9217">
        <v>16</v>
      </c>
    </row>
    <row r="9218" spans="1:5" x14ac:dyDescent="0.3">
      <c r="A9218" t="s">
        <v>90</v>
      </c>
      <c r="B9218" s="1">
        <v>44696</v>
      </c>
      <c r="C9218">
        <v>1</v>
      </c>
      <c r="D9218">
        <v>384.59</v>
      </c>
      <c r="E9218">
        <v>462</v>
      </c>
    </row>
    <row r="9219" spans="1:5" x14ac:dyDescent="0.3">
      <c r="A9219" t="s">
        <v>25</v>
      </c>
      <c r="B9219" s="1">
        <v>44696</v>
      </c>
      <c r="C9219">
        <v>1</v>
      </c>
      <c r="D9219">
        <v>147.18</v>
      </c>
      <c r="E9219">
        <v>177</v>
      </c>
    </row>
    <row r="9220" spans="1:5" x14ac:dyDescent="0.3">
      <c r="A9220" t="s">
        <v>34</v>
      </c>
      <c r="B9220" s="1">
        <v>44696</v>
      </c>
      <c r="C9220">
        <v>1</v>
      </c>
      <c r="D9220">
        <v>199.58</v>
      </c>
      <c r="E9220">
        <v>230</v>
      </c>
    </row>
    <row r="9221" spans="1:5" x14ac:dyDescent="0.3">
      <c r="A9221" t="s">
        <v>19</v>
      </c>
      <c r="B9221" s="1">
        <v>44696</v>
      </c>
      <c r="C9221">
        <v>1</v>
      </c>
      <c r="D9221">
        <v>81.69</v>
      </c>
      <c r="E9221">
        <v>102</v>
      </c>
    </row>
    <row r="9222" spans="1:5" x14ac:dyDescent="0.3">
      <c r="A9222" t="s">
        <v>96</v>
      </c>
      <c r="B9222" s="1">
        <v>44696</v>
      </c>
      <c r="C9222">
        <v>1</v>
      </c>
      <c r="D9222">
        <v>70.930000000000007</v>
      </c>
      <c r="E9222">
        <v>106</v>
      </c>
    </row>
    <row r="9223" spans="1:5" x14ac:dyDescent="0.3">
      <c r="A9223" t="s">
        <v>85</v>
      </c>
      <c r="B9223" s="1">
        <v>44696</v>
      </c>
      <c r="C9223">
        <v>1</v>
      </c>
      <c r="D9223">
        <v>14.63</v>
      </c>
      <c r="E9223">
        <v>23</v>
      </c>
    </row>
    <row r="9224" spans="1:5" x14ac:dyDescent="0.3">
      <c r="A9224" t="s">
        <v>85</v>
      </c>
      <c r="B9224" s="1">
        <v>44696</v>
      </c>
      <c r="C9224">
        <v>1</v>
      </c>
      <c r="D9224">
        <v>14.63</v>
      </c>
      <c r="E9224">
        <v>23</v>
      </c>
    </row>
    <row r="9225" spans="1:5" x14ac:dyDescent="0.3">
      <c r="A9225" t="s">
        <v>85</v>
      </c>
      <c r="B9225" s="1">
        <v>44696</v>
      </c>
      <c r="C9225">
        <v>1</v>
      </c>
      <c r="D9225">
        <v>14.63</v>
      </c>
      <c r="E9225">
        <v>23</v>
      </c>
    </row>
    <row r="9226" spans="1:5" x14ac:dyDescent="0.3">
      <c r="A9226" t="s">
        <v>42</v>
      </c>
      <c r="B9226" s="1">
        <v>44696</v>
      </c>
      <c r="C9226">
        <v>1</v>
      </c>
      <c r="D9226">
        <v>568.6</v>
      </c>
      <c r="E9226">
        <v>654</v>
      </c>
    </row>
    <row r="9227" spans="1:5" x14ac:dyDescent="0.3">
      <c r="A9227" t="s">
        <v>14</v>
      </c>
      <c r="B9227" s="1">
        <v>44696</v>
      </c>
      <c r="C9227">
        <v>0.1</v>
      </c>
      <c r="D9227">
        <v>498.84</v>
      </c>
      <c r="E9227">
        <v>659</v>
      </c>
    </row>
    <row r="9228" spans="1:5" x14ac:dyDescent="0.3">
      <c r="A9228" t="s">
        <v>77</v>
      </c>
      <c r="B9228" s="1">
        <v>44696</v>
      </c>
      <c r="C9228">
        <v>1</v>
      </c>
      <c r="D9228">
        <v>60.3</v>
      </c>
      <c r="E9228">
        <v>75</v>
      </c>
    </row>
    <row r="9229" spans="1:5" x14ac:dyDescent="0.3">
      <c r="A9229" t="s">
        <v>26</v>
      </c>
      <c r="B9229" s="1">
        <v>44696</v>
      </c>
      <c r="C9229">
        <v>0.1</v>
      </c>
      <c r="D9229">
        <v>1182.26</v>
      </c>
      <c r="E9229">
        <v>1537</v>
      </c>
    </row>
    <row r="9230" spans="1:5" x14ac:dyDescent="0.3">
      <c r="A9230" t="s">
        <v>8</v>
      </c>
      <c r="B9230" s="1">
        <v>44696</v>
      </c>
      <c r="C9230">
        <v>1</v>
      </c>
      <c r="D9230">
        <v>47.82</v>
      </c>
      <c r="E9230">
        <v>83</v>
      </c>
    </row>
    <row r="9231" spans="1:5" x14ac:dyDescent="0.3">
      <c r="A9231" t="s">
        <v>141</v>
      </c>
      <c r="B9231" s="1">
        <v>44696</v>
      </c>
      <c r="C9231">
        <v>1</v>
      </c>
      <c r="D9231">
        <v>16.38</v>
      </c>
      <c r="E9231">
        <v>27</v>
      </c>
    </row>
    <row r="9232" spans="1:5" x14ac:dyDescent="0.3">
      <c r="A9232" t="s">
        <v>23</v>
      </c>
      <c r="B9232" s="1">
        <v>44696</v>
      </c>
      <c r="C9232">
        <v>1</v>
      </c>
      <c r="D9232">
        <v>109.41</v>
      </c>
      <c r="E9232">
        <v>123</v>
      </c>
    </row>
    <row r="9233" spans="1:5" x14ac:dyDescent="0.3">
      <c r="A9233" t="s">
        <v>25</v>
      </c>
      <c r="B9233" s="1">
        <v>44696</v>
      </c>
      <c r="C9233">
        <v>1</v>
      </c>
      <c r="D9233">
        <v>147.18</v>
      </c>
      <c r="E9233">
        <v>177</v>
      </c>
    </row>
    <row r="9234" spans="1:5" x14ac:dyDescent="0.3">
      <c r="A9234" t="s">
        <v>152</v>
      </c>
      <c r="B9234" s="1">
        <v>44696</v>
      </c>
      <c r="C9234">
        <v>1</v>
      </c>
      <c r="D9234">
        <v>104.76</v>
      </c>
      <c r="E9234">
        <v>131</v>
      </c>
    </row>
    <row r="9235" spans="1:5" x14ac:dyDescent="0.3">
      <c r="A9235" t="s">
        <v>62</v>
      </c>
      <c r="B9235" s="1">
        <v>44696</v>
      </c>
      <c r="C9235">
        <v>1</v>
      </c>
      <c r="D9235">
        <v>25.19</v>
      </c>
      <c r="E9235">
        <v>30</v>
      </c>
    </row>
    <row r="9236" spans="1:5" x14ac:dyDescent="0.3">
      <c r="A9236" t="s">
        <v>62</v>
      </c>
      <c r="B9236" s="1">
        <v>44696</v>
      </c>
      <c r="C9236">
        <v>1</v>
      </c>
      <c r="D9236">
        <v>25.19</v>
      </c>
      <c r="E9236">
        <v>30</v>
      </c>
    </row>
    <row r="9237" spans="1:5" x14ac:dyDescent="0.3">
      <c r="A9237" t="s">
        <v>121</v>
      </c>
      <c r="B9237" s="1">
        <v>44696</v>
      </c>
      <c r="C9237">
        <v>1</v>
      </c>
      <c r="D9237">
        <v>7.24</v>
      </c>
      <c r="E9237">
        <v>12</v>
      </c>
    </row>
    <row r="9238" spans="1:5" x14ac:dyDescent="0.3">
      <c r="A9238" t="s">
        <v>93</v>
      </c>
      <c r="B9238" s="1">
        <v>44696</v>
      </c>
      <c r="C9238">
        <v>1</v>
      </c>
      <c r="D9238">
        <v>74.42</v>
      </c>
      <c r="E9238">
        <v>106</v>
      </c>
    </row>
    <row r="9239" spans="1:5" x14ac:dyDescent="0.3">
      <c r="A9239" t="s">
        <v>62</v>
      </c>
      <c r="B9239" s="1">
        <v>44696</v>
      </c>
      <c r="C9239">
        <v>1</v>
      </c>
      <c r="D9239">
        <v>25.71</v>
      </c>
      <c r="E9239">
        <v>31</v>
      </c>
    </row>
    <row r="9240" spans="1:5" x14ac:dyDescent="0.3">
      <c r="A9240" t="s">
        <v>45</v>
      </c>
      <c r="B9240" s="1">
        <v>44696</v>
      </c>
      <c r="C9240">
        <v>4</v>
      </c>
      <c r="D9240">
        <v>25.36</v>
      </c>
      <c r="E9240">
        <v>42</v>
      </c>
    </row>
    <row r="9241" spans="1:5" x14ac:dyDescent="0.3">
      <c r="A9241" t="s">
        <v>104</v>
      </c>
      <c r="B9241" s="1">
        <v>44696</v>
      </c>
      <c r="C9241">
        <v>1</v>
      </c>
      <c r="D9241">
        <v>44.4</v>
      </c>
      <c r="E9241">
        <v>57</v>
      </c>
    </row>
    <row r="9242" spans="1:5" x14ac:dyDescent="0.3">
      <c r="A9242" t="s">
        <v>86</v>
      </c>
      <c r="B9242" s="1">
        <v>44696</v>
      </c>
      <c r="C9242">
        <v>1</v>
      </c>
      <c r="D9242">
        <v>47.4</v>
      </c>
      <c r="E9242">
        <v>76</v>
      </c>
    </row>
    <row r="9243" spans="1:5" x14ac:dyDescent="0.3">
      <c r="A9243" t="s">
        <v>139</v>
      </c>
      <c r="B9243" s="1">
        <v>44696</v>
      </c>
      <c r="C9243">
        <v>1</v>
      </c>
      <c r="D9243">
        <v>24.18</v>
      </c>
      <c r="E9243">
        <v>39</v>
      </c>
    </row>
    <row r="9244" spans="1:5" x14ac:dyDescent="0.3">
      <c r="A9244" t="s">
        <v>160</v>
      </c>
      <c r="B9244" s="1">
        <v>44696</v>
      </c>
      <c r="C9244">
        <v>1</v>
      </c>
      <c r="D9244">
        <v>80.73</v>
      </c>
      <c r="E9244">
        <v>100</v>
      </c>
    </row>
    <row r="9245" spans="1:5" x14ac:dyDescent="0.3">
      <c r="A9245" t="s">
        <v>114</v>
      </c>
      <c r="B9245" s="1">
        <v>44696</v>
      </c>
      <c r="C9245">
        <v>1</v>
      </c>
      <c r="D9245">
        <v>74.8</v>
      </c>
      <c r="E9245">
        <v>94</v>
      </c>
    </row>
    <row r="9246" spans="1:5" x14ac:dyDescent="0.3">
      <c r="A9246" t="s">
        <v>118</v>
      </c>
      <c r="B9246" s="1">
        <v>44696</v>
      </c>
      <c r="C9246">
        <v>1</v>
      </c>
      <c r="D9246">
        <v>10.79</v>
      </c>
      <c r="E9246">
        <v>13</v>
      </c>
    </row>
    <row r="9247" spans="1:5" x14ac:dyDescent="0.3">
      <c r="A9247" t="s">
        <v>118</v>
      </c>
      <c r="B9247" s="1">
        <v>44696</v>
      </c>
      <c r="C9247">
        <v>1</v>
      </c>
      <c r="D9247">
        <v>10.79</v>
      </c>
      <c r="E9247">
        <v>13</v>
      </c>
    </row>
    <row r="9248" spans="1:5" x14ac:dyDescent="0.3">
      <c r="A9248" t="s">
        <v>43</v>
      </c>
      <c r="B9248" s="1">
        <v>44696</v>
      </c>
      <c r="C9248">
        <v>1</v>
      </c>
      <c r="D9248">
        <v>133.71</v>
      </c>
      <c r="E9248">
        <v>164</v>
      </c>
    </row>
    <row r="9249" spans="1:5" x14ac:dyDescent="0.3">
      <c r="A9249" t="s">
        <v>95</v>
      </c>
      <c r="B9249" s="1">
        <v>44696</v>
      </c>
      <c r="C9249">
        <v>1</v>
      </c>
      <c r="D9249">
        <v>130.88999999999999</v>
      </c>
      <c r="E9249">
        <v>206</v>
      </c>
    </row>
    <row r="9250" spans="1:5" x14ac:dyDescent="0.3">
      <c r="A9250" t="s">
        <v>124</v>
      </c>
      <c r="B9250" s="1">
        <v>44696</v>
      </c>
      <c r="C9250">
        <v>1</v>
      </c>
      <c r="D9250">
        <v>37.869999999999997</v>
      </c>
      <c r="E9250">
        <v>62</v>
      </c>
    </row>
    <row r="9251" spans="1:5" x14ac:dyDescent="0.3">
      <c r="A9251" t="s">
        <v>5</v>
      </c>
      <c r="B9251" s="1">
        <v>44696</v>
      </c>
      <c r="C9251">
        <v>1</v>
      </c>
      <c r="D9251">
        <v>131.93</v>
      </c>
      <c r="E9251">
        <v>151</v>
      </c>
    </row>
    <row r="9252" spans="1:5" x14ac:dyDescent="0.3">
      <c r="A9252" t="s">
        <v>10</v>
      </c>
      <c r="B9252" s="1">
        <v>44696</v>
      </c>
      <c r="C9252">
        <v>1</v>
      </c>
      <c r="D9252">
        <v>10.34</v>
      </c>
      <c r="E9252">
        <v>13</v>
      </c>
    </row>
    <row r="9253" spans="1:5" x14ac:dyDescent="0.3">
      <c r="A9253" t="s">
        <v>10</v>
      </c>
      <c r="B9253" s="1">
        <v>44696</v>
      </c>
      <c r="C9253">
        <v>1</v>
      </c>
      <c r="D9253">
        <v>10.34</v>
      </c>
      <c r="E9253">
        <v>13</v>
      </c>
    </row>
    <row r="9254" spans="1:5" x14ac:dyDescent="0.3">
      <c r="A9254" t="s">
        <v>10</v>
      </c>
      <c r="B9254" s="1">
        <v>44696</v>
      </c>
      <c r="C9254">
        <v>1</v>
      </c>
      <c r="D9254">
        <v>10.34</v>
      </c>
      <c r="E9254">
        <v>13</v>
      </c>
    </row>
    <row r="9255" spans="1:5" x14ac:dyDescent="0.3">
      <c r="A9255" t="s">
        <v>124</v>
      </c>
      <c r="B9255" s="1">
        <v>44696</v>
      </c>
      <c r="C9255">
        <v>1</v>
      </c>
      <c r="D9255">
        <v>36.75</v>
      </c>
      <c r="E9255">
        <v>59</v>
      </c>
    </row>
    <row r="9256" spans="1:5" x14ac:dyDescent="0.3">
      <c r="A9256" t="s">
        <v>48</v>
      </c>
      <c r="B9256" s="1">
        <v>44696</v>
      </c>
      <c r="C9256">
        <v>1</v>
      </c>
      <c r="D9256">
        <v>41.54</v>
      </c>
      <c r="E9256">
        <v>64</v>
      </c>
    </row>
    <row r="9257" spans="1:5" x14ac:dyDescent="0.3">
      <c r="A9257" t="s">
        <v>24</v>
      </c>
      <c r="B9257" s="1">
        <v>44696</v>
      </c>
      <c r="C9257">
        <v>1</v>
      </c>
      <c r="D9257">
        <v>98.67</v>
      </c>
      <c r="E9257">
        <v>115</v>
      </c>
    </row>
    <row r="9258" spans="1:5" x14ac:dyDescent="0.3">
      <c r="A9258" t="s">
        <v>118</v>
      </c>
      <c r="B9258" s="1">
        <v>44696</v>
      </c>
      <c r="C9258">
        <v>1</v>
      </c>
      <c r="D9258">
        <v>10.79</v>
      </c>
      <c r="E9258">
        <v>13</v>
      </c>
    </row>
    <row r="9259" spans="1:5" x14ac:dyDescent="0.3">
      <c r="A9259" t="s">
        <v>150</v>
      </c>
      <c r="B9259" s="1">
        <v>44696</v>
      </c>
      <c r="C9259">
        <v>2</v>
      </c>
      <c r="D9259">
        <v>82.64</v>
      </c>
      <c r="E9259">
        <v>129</v>
      </c>
    </row>
    <row r="9260" spans="1:5" x14ac:dyDescent="0.3">
      <c r="A9260" t="s">
        <v>94</v>
      </c>
      <c r="B9260" s="1">
        <v>44695</v>
      </c>
      <c r="C9260">
        <v>1</v>
      </c>
      <c r="D9260">
        <v>31.13</v>
      </c>
      <c r="E9260">
        <v>43</v>
      </c>
    </row>
    <row r="9261" spans="1:5" x14ac:dyDescent="0.3">
      <c r="A9261" t="s">
        <v>94</v>
      </c>
      <c r="B9261" s="1">
        <v>44695</v>
      </c>
      <c r="C9261">
        <v>1</v>
      </c>
      <c r="D9261">
        <v>31.13</v>
      </c>
      <c r="E9261">
        <v>43</v>
      </c>
    </row>
    <row r="9262" spans="1:5" x14ac:dyDescent="0.3">
      <c r="A9262" t="s">
        <v>77</v>
      </c>
      <c r="B9262" s="1">
        <v>44695</v>
      </c>
      <c r="C9262">
        <v>1</v>
      </c>
      <c r="D9262">
        <v>60.3</v>
      </c>
      <c r="E9262">
        <v>75</v>
      </c>
    </row>
    <row r="9263" spans="1:5" x14ac:dyDescent="0.3">
      <c r="A9263" t="s">
        <v>127</v>
      </c>
      <c r="B9263" s="1">
        <v>44695</v>
      </c>
      <c r="C9263">
        <v>1</v>
      </c>
      <c r="D9263">
        <v>118.82</v>
      </c>
      <c r="E9263">
        <v>168</v>
      </c>
    </row>
    <row r="9264" spans="1:5" x14ac:dyDescent="0.3">
      <c r="A9264" t="s">
        <v>12</v>
      </c>
      <c r="B9264" s="1">
        <v>44695</v>
      </c>
      <c r="C9264">
        <v>1</v>
      </c>
      <c r="D9264">
        <v>55.81</v>
      </c>
      <c r="E9264">
        <v>69</v>
      </c>
    </row>
    <row r="9265" spans="1:5" x14ac:dyDescent="0.3">
      <c r="A9265" t="s">
        <v>149</v>
      </c>
      <c r="B9265" s="1">
        <v>44695</v>
      </c>
      <c r="C9265">
        <v>1</v>
      </c>
      <c r="D9265">
        <v>221.03</v>
      </c>
      <c r="E9265">
        <v>310</v>
      </c>
    </row>
    <row r="9266" spans="1:5" x14ac:dyDescent="0.3">
      <c r="A9266" t="s">
        <v>79</v>
      </c>
      <c r="B9266" s="1">
        <v>44695</v>
      </c>
      <c r="C9266">
        <v>1</v>
      </c>
      <c r="D9266">
        <v>153.44999999999999</v>
      </c>
      <c r="E9266">
        <v>169</v>
      </c>
    </row>
    <row r="9267" spans="1:5" x14ac:dyDescent="0.3">
      <c r="A9267" t="s">
        <v>12</v>
      </c>
      <c r="B9267" s="1">
        <v>44695</v>
      </c>
      <c r="C9267">
        <v>1</v>
      </c>
      <c r="D9267">
        <v>56.84</v>
      </c>
      <c r="E9267">
        <v>70</v>
      </c>
    </row>
    <row r="9268" spans="1:5" x14ac:dyDescent="0.3">
      <c r="A9268" t="s">
        <v>150</v>
      </c>
      <c r="B9268" s="1">
        <v>44695</v>
      </c>
      <c r="C9268">
        <v>1</v>
      </c>
      <c r="D9268">
        <v>77.400000000000006</v>
      </c>
      <c r="E9268">
        <v>120</v>
      </c>
    </row>
    <row r="9269" spans="1:5" x14ac:dyDescent="0.3">
      <c r="A9269" t="s">
        <v>7</v>
      </c>
      <c r="B9269" s="1">
        <v>44695</v>
      </c>
      <c r="C9269">
        <v>1</v>
      </c>
      <c r="D9269">
        <v>88.4</v>
      </c>
      <c r="E9269">
        <v>109</v>
      </c>
    </row>
    <row r="9270" spans="1:5" x14ac:dyDescent="0.3">
      <c r="A9270" t="s">
        <v>7</v>
      </c>
      <c r="B9270" s="1">
        <v>44695</v>
      </c>
      <c r="C9270">
        <v>1</v>
      </c>
      <c r="D9270">
        <v>88.4</v>
      </c>
      <c r="E9270">
        <v>109</v>
      </c>
    </row>
    <row r="9271" spans="1:5" x14ac:dyDescent="0.3">
      <c r="A9271" t="s">
        <v>29</v>
      </c>
      <c r="B9271" s="1">
        <v>44695</v>
      </c>
      <c r="C9271">
        <v>1</v>
      </c>
      <c r="D9271">
        <v>480.05</v>
      </c>
      <c r="E9271">
        <v>658</v>
      </c>
    </row>
    <row r="9272" spans="1:5" x14ac:dyDescent="0.3">
      <c r="A9272" t="s">
        <v>29</v>
      </c>
      <c r="B9272" s="1">
        <v>44695</v>
      </c>
      <c r="C9272">
        <v>1</v>
      </c>
      <c r="D9272">
        <v>480.05</v>
      </c>
      <c r="E9272">
        <v>658</v>
      </c>
    </row>
    <row r="9273" spans="1:5" x14ac:dyDescent="0.3">
      <c r="A9273" t="s">
        <v>129</v>
      </c>
      <c r="B9273" s="1">
        <v>44695</v>
      </c>
      <c r="C9273">
        <v>0.04</v>
      </c>
      <c r="D9273">
        <v>500.48</v>
      </c>
      <c r="E9273">
        <v>553</v>
      </c>
    </row>
    <row r="9274" spans="1:5" x14ac:dyDescent="0.3">
      <c r="A9274" t="s">
        <v>122</v>
      </c>
      <c r="B9274" s="1">
        <v>44695</v>
      </c>
      <c r="C9274">
        <v>1</v>
      </c>
      <c r="D9274">
        <v>20.48</v>
      </c>
      <c r="E9274">
        <v>25</v>
      </c>
    </row>
    <row r="9275" spans="1:5" x14ac:dyDescent="0.3">
      <c r="A9275" t="s">
        <v>49</v>
      </c>
      <c r="B9275" s="1">
        <v>44695</v>
      </c>
      <c r="C9275">
        <v>1</v>
      </c>
      <c r="D9275">
        <v>15.32</v>
      </c>
      <c r="E9275">
        <v>19</v>
      </c>
    </row>
    <row r="9276" spans="1:5" x14ac:dyDescent="0.3">
      <c r="A9276" t="s">
        <v>5</v>
      </c>
      <c r="B9276" s="1">
        <v>44695</v>
      </c>
      <c r="C9276">
        <v>1</v>
      </c>
      <c r="D9276">
        <v>134.49</v>
      </c>
      <c r="E9276">
        <v>161</v>
      </c>
    </row>
    <row r="9277" spans="1:5" x14ac:dyDescent="0.3">
      <c r="A9277" t="s">
        <v>66</v>
      </c>
      <c r="B9277" s="1">
        <v>44695</v>
      </c>
      <c r="C9277">
        <v>1</v>
      </c>
      <c r="D9277">
        <v>30.78</v>
      </c>
      <c r="E9277">
        <v>36</v>
      </c>
    </row>
    <row r="9278" spans="1:5" x14ac:dyDescent="0.3">
      <c r="A9278" t="s">
        <v>10</v>
      </c>
      <c r="B9278" s="1">
        <v>44695</v>
      </c>
      <c r="C9278">
        <v>1</v>
      </c>
      <c r="D9278">
        <v>10.34</v>
      </c>
      <c r="E9278">
        <v>13</v>
      </c>
    </row>
    <row r="9279" spans="1:5" x14ac:dyDescent="0.3">
      <c r="A9279" t="s">
        <v>10</v>
      </c>
      <c r="B9279" s="1">
        <v>44695</v>
      </c>
      <c r="C9279">
        <v>1</v>
      </c>
      <c r="D9279">
        <v>10.34</v>
      </c>
      <c r="E9279">
        <v>13</v>
      </c>
    </row>
    <row r="9280" spans="1:5" x14ac:dyDescent="0.3">
      <c r="A9280" t="s">
        <v>87</v>
      </c>
      <c r="B9280" s="1">
        <v>44695</v>
      </c>
      <c r="C9280">
        <v>1</v>
      </c>
      <c r="D9280">
        <v>347.96</v>
      </c>
      <c r="E9280">
        <v>394</v>
      </c>
    </row>
    <row r="9281" spans="1:5" x14ac:dyDescent="0.3">
      <c r="A9281" t="s">
        <v>64</v>
      </c>
      <c r="B9281" s="1">
        <v>44695</v>
      </c>
      <c r="C9281">
        <v>1</v>
      </c>
      <c r="D9281">
        <v>198.66</v>
      </c>
      <c r="E9281">
        <v>273</v>
      </c>
    </row>
    <row r="9282" spans="1:5" x14ac:dyDescent="0.3">
      <c r="A9282" t="s">
        <v>103</v>
      </c>
      <c r="B9282" s="1">
        <v>44695</v>
      </c>
      <c r="C9282">
        <v>1</v>
      </c>
      <c r="D9282">
        <v>41.33</v>
      </c>
      <c r="E9282">
        <v>65</v>
      </c>
    </row>
    <row r="9283" spans="1:5" x14ac:dyDescent="0.3">
      <c r="A9283" t="s">
        <v>159</v>
      </c>
      <c r="B9283" s="1">
        <v>44695</v>
      </c>
      <c r="C9283">
        <v>1</v>
      </c>
      <c r="D9283">
        <v>50.63</v>
      </c>
      <c r="E9283">
        <v>65</v>
      </c>
    </row>
    <row r="9284" spans="1:5" x14ac:dyDescent="0.3">
      <c r="A9284" t="s">
        <v>25</v>
      </c>
      <c r="B9284" s="1">
        <v>44695</v>
      </c>
      <c r="C9284">
        <v>1</v>
      </c>
      <c r="D9284">
        <v>147.18</v>
      </c>
      <c r="E9284">
        <v>173</v>
      </c>
    </row>
    <row r="9285" spans="1:5" x14ac:dyDescent="0.3">
      <c r="A9285" t="s">
        <v>157</v>
      </c>
      <c r="B9285" s="1">
        <v>44695</v>
      </c>
      <c r="C9285">
        <v>1</v>
      </c>
      <c r="D9285">
        <v>12</v>
      </c>
      <c r="E9285">
        <v>21</v>
      </c>
    </row>
    <row r="9286" spans="1:5" x14ac:dyDescent="0.3">
      <c r="A9286" t="s">
        <v>122</v>
      </c>
      <c r="B9286" s="1">
        <v>44695</v>
      </c>
      <c r="C9286">
        <v>1</v>
      </c>
      <c r="D9286">
        <v>20.64</v>
      </c>
      <c r="E9286">
        <v>25</v>
      </c>
    </row>
    <row r="9287" spans="1:5" x14ac:dyDescent="0.3">
      <c r="A9287" t="s">
        <v>38</v>
      </c>
      <c r="B9287" s="1">
        <v>44695</v>
      </c>
      <c r="C9287">
        <v>1</v>
      </c>
      <c r="D9287">
        <v>27.64</v>
      </c>
      <c r="E9287">
        <v>43</v>
      </c>
    </row>
    <row r="9288" spans="1:5" x14ac:dyDescent="0.3">
      <c r="A9288" t="s">
        <v>32</v>
      </c>
      <c r="B9288" s="1">
        <v>44695</v>
      </c>
      <c r="C9288">
        <v>1</v>
      </c>
      <c r="D9288">
        <v>105</v>
      </c>
      <c r="E9288">
        <v>165</v>
      </c>
    </row>
    <row r="9289" spans="1:5" x14ac:dyDescent="0.3">
      <c r="A9289" t="s">
        <v>26</v>
      </c>
      <c r="B9289" s="1">
        <v>44695</v>
      </c>
      <c r="C9289">
        <v>0.4</v>
      </c>
      <c r="D9289">
        <v>1086.5899999999999</v>
      </c>
      <c r="E9289">
        <v>1467</v>
      </c>
    </row>
    <row r="9290" spans="1:5" x14ac:dyDescent="0.3">
      <c r="A9290" t="s">
        <v>93</v>
      </c>
      <c r="B9290" s="1">
        <v>44695</v>
      </c>
      <c r="C9290">
        <v>1</v>
      </c>
      <c r="D9290">
        <v>70.97</v>
      </c>
      <c r="E9290">
        <v>106</v>
      </c>
    </row>
    <row r="9291" spans="1:5" x14ac:dyDescent="0.3">
      <c r="A9291" t="s">
        <v>36</v>
      </c>
      <c r="B9291" s="1">
        <v>44695</v>
      </c>
      <c r="C9291">
        <v>1</v>
      </c>
      <c r="D9291">
        <v>22.4</v>
      </c>
      <c r="E9291">
        <v>28</v>
      </c>
    </row>
    <row r="9292" spans="1:5" x14ac:dyDescent="0.3">
      <c r="A9292" t="s">
        <v>38</v>
      </c>
      <c r="B9292" s="1">
        <v>44695</v>
      </c>
      <c r="C9292">
        <v>1</v>
      </c>
      <c r="D9292">
        <v>22.31</v>
      </c>
      <c r="E9292">
        <v>35</v>
      </c>
    </row>
    <row r="9293" spans="1:5" x14ac:dyDescent="0.3">
      <c r="A9293" t="s">
        <v>157</v>
      </c>
      <c r="B9293" s="1">
        <v>44695</v>
      </c>
      <c r="C9293">
        <v>3</v>
      </c>
      <c r="D9293">
        <v>12</v>
      </c>
      <c r="E9293">
        <v>20</v>
      </c>
    </row>
    <row r="9294" spans="1:5" x14ac:dyDescent="0.3">
      <c r="A9294" t="s">
        <v>45</v>
      </c>
      <c r="B9294" s="1">
        <v>44695</v>
      </c>
      <c r="C9294">
        <v>10</v>
      </c>
      <c r="D9294">
        <v>25.59</v>
      </c>
      <c r="E9294">
        <v>45</v>
      </c>
    </row>
    <row r="9295" spans="1:5" x14ac:dyDescent="0.3">
      <c r="A9295" t="s">
        <v>91</v>
      </c>
      <c r="B9295" s="1">
        <v>44695</v>
      </c>
      <c r="C9295">
        <v>1</v>
      </c>
      <c r="D9295">
        <v>38</v>
      </c>
      <c r="E9295">
        <v>66</v>
      </c>
    </row>
    <row r="9296" spans="1:5" x14ac:dyDescent="0.3">
      <c r="A9296" t="s">
        <v>38</v>
      </c>
      <c r="B9296" s="1">
        <v>44695</v>
      </c>
      <c r="C9296">
        <v>1</v>
      </c>
      <c r="D9296">
        <v>27.64</v>
      </c>
      <c r="E9296">
        <v>43</v>
      </c>
    </row>
    <row r="9297" spans="1:5" x14ac:dyDescent="0.3">
      <c r="A9297" t="s">
        <v>57</v>
      </c>
      <c r="B9297" s="1">
        <v>44695</v>
      </c>
      <c r="C9297">
        <v>1</v>
      </c>
      <c r="D9297">
        <v>233.74</v>
      </c>
      <c r="E9297">
        <v>274</v>
      </c>
    </row>
    <row r="9298" spans="1:5" x14ac:dyDescent="0.3">
      <c r="A9298" t="s">
        <v>46</v>
      </c>
      <c r="B9298" s="1">
        <v>44695</v>
      </c>
      <c r="C9298">
        <v>1</v>
      </c>
      <c r="D9298">
        <v>19.600000000000001</v>
      </c>
      <c r="E9298">
        <v>24</v>
      </c>
    </row>
    <row r="9299" spans="1:5" x14ac:dyDescent="0.3">
      <c r="A9299" t="s">
        <v>139</v>
      </c>
      <c r="B9299" s="1">
        <v>44695</v>
      </c>
      <c r="C9299">
        <v>1</v>
      </c>
      <c r="D9299">
        <v>24.18</v>
      </c>
      <c r="E9299">
        <v>40</v>
      </c>
    </row>
    <row r="9300" spans="1:5" x14ac:dyDescent="0.3">
      <c r="A9300" t="s">
        <v>28</v>
      </c>
      <c r="B9300" s="1">
        <v>44695</v>
      </c>
      <c r="C9300">
        <v>1</v>
      </c>
      <c r="D9300">
        <v>136.6</v>
      </c>
      <c r="E9300">
        <v>188</v>
      </c>
    </row>
    <row r="9301" spans="1:5" x14ac:dyDescent="0.3">
      <c r="A9301" t="s">
        <v>32</v>
      </c>
      <c r="B9301" s="1">
        <v>44695</v>
      </c>
      <c r="C9301">
        <v>1</v>
      </c>
      <c r="D9301">
        <v>105</v>
      </c>
      <c r="E9301">
        <v>165</v>
      </c>
    </row>
    <row r="9302" spans="1:5" x14ac:dyDescent="0.3">
      <c r="A9302" t="s">
        <v>124</v>
      </c>
      <c r="B9302" s="1">
        <v>44695</v>
      </c>
      <c r="C9302">
        <v>1</v>
      </c>
      <c r="D9302">
        <v>37.869999999999997</v>
      </c>
      <c r="E9302">
        <v>62</v>
      </c>
    </row>
    <row r="9303" spans="1:5" x14ac:dyDescent="0.3">
      <c r="A9303" t="s">
        <v>57</v>
      </c>
      <c r="B9303" s="1">
        <v>44695</v>
      </c>
      <c r="C9303">
        <v>1</v>
      </c>
      <c r="D9303">
        <v>239.87</v>
      </c>
      <c r="E9303">
        <v>269</v>
      </c>
    </row>
    <row r="9304" spans="1:5" x14ac:dyDescent="0.3">
      <c r="A9304" t="s">
        <v>48</v>
      </c>
      <c r="B9304" s="1">
        <v>44695</v>
      </c>
      <c r="C9304">
        <v>1</v>
      </c>
      <c r="D9304">
        <v>38.67</v>
      </c>
      <c r="E9304">
        <v>60</v>
      </c>
    </row>
    <row r="9305" spans="1:5" x14ac:dyDescent="0.3">
      <c r="A9305" t="s">
        <v>160</v>
      </c>
      <c r="B9305" s="1">
        <v>44695</v>
      </c>
      <c r="C9305">
        <v>1</v>
      </c>
      <c r="D9305">
        <v>80.73</v>
      </c>
      <c r="E9305">
        <v>100</v>
      </c>
    </row>
    <row r="9306" spans="1:5" x14ac:dyDescent="0.3">
      <c r="A9306" t="s">
        <v>34</v>
      </c>
      <c r="B9306" s="1">
        <v>44695</v>
      </c>
      <c r="C9306">
        <v>1</v>
      </c>
      <c r="D9306">
        <v>199.59</v>
      </c>
      <c r="E9306">
        <v>230</v>
      </c>
    </row>
    <row r="9307" spans="1:5" x14ac:dyDescent="0.3">
      <c r="A9307" t="s">
        <v>24</v>
      </c>
      <c r="B9307" s="1">
        <v>44695</v>
      </c>
      <c r="C9307">
        <v>1</v>
      </c>
      <c r="D9307">
        <v>98.67</v>
      </c>
      <c r="E9307">
        <v>120</v>
      </c>
    </row>
    <row r="9308" spans="1:5" x14ac:dyDescent="0.3">
      <c r="A9308" t="s">
        <v>141</v>
      </c>
      <c r="B9308" s="1">
        <v>44695</v>
      </c>
      <c r="C9308">
        <v>3</v>
      </c>
      <c r="D9308">
        <v>14.69</v>
      </c>
      <c r="E9308">
        <v>26</v>
      </c>
    </row>
    <row r="9309" spans="1:5" x14ac:dyDescent="0.3">
      <c r="A9309" t="s">
        <v>91</v>
      </c>
      <c r="B9309" s="1">
        <v>44695</v>
      </c>
      <c r="C9309">
        <v>1</v>
      </c>
      <c r="D9309">
        <v>38</v>
      </c>
      <c r="E9309">
        <v>66</v>
      </c>
    </row>
    <row r="9310" spans="1:5" x14ac:dyDescent="0.3">
      <c r="A9310" t="s">
        <v>91</v>
      </c>
      <c r="B9310" s="1">
        <v>44695</v>
      </c>
      <c r="C9310">
        <v>2</v>
      </c>
      <c r="D9310">
        <v>38</v>
      </c>
      <c r="E9310">
        <v>66</v>
      </c>
    </row>
    <row r="9311" spans="1:5" x14ac:dyDescent="0.3">
      <c r="A9311" t="s">
        <v>43</v>
      </c>
      <c r="B9311" s="1">
        <v>44695</v>
      </c>
      <c r="C9311">
        <v>1</v>
      </c>
      <c r="D9311">
        <v>134.68</v>
      </c>
      <c r="E9311">
        <v>162</v>
      </c>
    </row>
    <row r="9312" spans="1:5" x14ac:dyDescent="0.3">
      <c r="A9312" t="s">
        <v>140</v>
      </c>
      <c r="B9312" s="1">
        <v>44695</v>
      </c>
      <c r="C9312">
        <v>1</v>
      </c>
      <c r="D9312">
        <v>155.13999999999999</v>
      </c>
      <c r="E9312">
        <v>187</v>
      </c>
    </row>
    <row r="9313" spans="1:5" x14ac:dyDescent="0.3">
      <c r="A9313" t="s">
        <v>156</v>
      </c>
      <c r="B9313" s="1">
        <v>44695</v>
      </c>
      <c r="C9313">
        <v>1</v>
      </c>
      <c r="D9313">
        <v>248.25</v>
      </c>
      <c r="E9313">
        <v>331</v>
      </c>
    </row>
    <row r="9314" spans="1:5" x14ac:dyDescent="0.3">
      <c r="A9314" t="s">
        <v>25</v>
      </c>
      <c r="B9314" s="1">
        <v>44695</v>
      </c>
      <c r="C9314">
        <v>1</v>
      </c>
      <c r="D9314">
        <v>147.18</v>
      </c>
      <c r="E9314">
        <v>180</v>
      </c>
    </row>
    <row r="9315" spans="1:5" x14ac:dyDescent="0.3">
      <c r="A9315" t="s">
        <v>13</v>
      </c>
      <c r="B9315" s="1">
        <v>44695</v>
      </c>
      <c r="C9315">
        <v>1</v>
      </c>
      <c r="D9315">
        <v>119.36</v>
      </c>
      <c r="E9315">
        <v>144</v>
      </c>
    </row>
    <row r="9316" spans="1:5" x14ac:dyDescent="0.3">
      <c r="A9316" t="s">
        <v>10</v>
      </c>
      <c r="B9316" s="1">
        <v>44695</v>
      </c>
      <c r="C9316">
        <v>1</v>
      </c>
      <c r="D9316">
        <v>10.34</v>
      </c>
      <c r="E9316">
        <v>13</v>
      </c>
    </row>
    <row r="9317" spans="1:5" x14ac:dyDescent="0.3">
      <c r="A9317" t="s">
        <v>54</v>
      </c>
      <c r="B9317" s="1">
        <v>44695</v>
      </c>
      <c r="C9317">
        <v>1</v>
      </c>
      <c r="D9317">
        <v>635.70000000000005</v>
      </c>
      <c r="E9317">
        <v>821</v>
      </c>
    </row>
    <row r="9318" spans="1:5" x14ac:dyDescent="0.3">
      <c r="A9318" t="s">
        <v>100</v>
      </c>
      <c r="B9318" s="1">
        <v>44695</v>
      </c>
      <c r="C9318">
        <v>1</v>
      </c>
      <c r="D9318">
        <v>35.49</v>
      </c>
      <c r="E9318">
        <v>55</v>
      </c>
    </row>
    <row r="9319" spans="1:5" x14ac:dyDescent="0.3">
      <c r="A9319" t="s">
        <v>98</v>
      </c>
      <c r="B9319" s="1">
        <v>44695</v>
      </c>
      <c r="C9319">
        <v>1</v>
      </c>
      <c r="D9319">
        <v>110.86</v>
      </c>
      <c r="E9319">
        <v>134</v>
      </c>
    </row>
    <row r="9320" spans="1:5" x14ac:dyDescent="0.3">
      <c r="A9320" t="s">
        <v>98</v>
      </c>
      <c r="B9320" s="1">
        <v>44695</v>
      </c>
      <c r="C9320">
        <v>1</v>
      </c>
      <c r="D9320">
        <v>110.86</v>
      </c>
      <c r="E9320">
        <v>134</v>
      </c>
    </row>
    <row r="9321" spans="1:5" x14ac:dyDescent="0.3">
      <c r="A9321" t="s">
        <v>45</v>
      </c>
      <c r="B9321" s="1">
        <v>44695</v>
      </c>
      <c r="C9321">
        <v>1</v>
      </c>
      <c r="D9321">
        <v>27.94</v>
      </c>
      <c r="E9321">
        <v>45</v>
      </c>
    </row>
    <row r="9322" spans="1:5" x14ac:dyDescent="0.3">
      <c r="A9322" t="s">
        <v>13</v>
      </c>
      <c r="B9322" s="1">
        <v>44695</v>
      </c>
      <c r="C9322">
        <v>1</v>
      </c>
      <c r="D9322">
        <v>122.17</v>
      </c>
      <c r="E9322">
        <v>149</v>
      </c>
    </row>
    <row r="9323" spans="1:5" x14ac:dyDescent="0.3">
      <c r="A9323" t="s">
        <v>19</v>
      </c>
      <c r="B9323" s="1">
        <v>44695</v>
      </c>
      <c r="C9323">
        <v>1</v>
      </c>
      <c r="D9323">
        <v>81.95</v>
      </c>
      <c r="E9323">
        <v>104</v>
      </c>
    </row>
    <row r="9324" spans="1:5" x14ac:dyDescent="0.3">
      <c r="A9324" t="s">
        <v>19</v>
      </c>
      <c r="B9324" s="1">
        <v>44695</v>
      </c>
      <c r="C9324">
        <v>1</v>
      </c>
      <c r="D9324">
        <v>81.95</v>
      </c>
      <c r="E9324">
        <v>104</v>
      </c>
    </row>
    <row r="9325" spans="1:5" x14ac:dyDescent="0.3">
      <c r="A9325" t="s">
        <v>11</v>
      </c>
      <c r="B9325" s="1">
        <v>44695</v>
      </c>
      <c r="C9325">
        <v>1</v>
      </c>
      <c r="D9325">
        <v>24.2</v>
      </c>
      <c r="E9325">
        <v>39</v>
      </c>
    </row>
    <row r="9326" spans="1:5" x14ac:dyDescent="0.3">
      <c r="A9326" t="s">
        <v>77</v>
      </c>
      <c r="B9326" s="1">
        <v>44695</v>
      </c>
      <c r="C9326">
        <v>1</v>
      </c>
      <c r="D9326">
        <v>60.3</v>
      </c>
      <c r="E9326">
        <v>75</v>
      </c>
    </row>
    <row r="9327" spans="1:5" x14ac:dyDescent="0.3">
      <c r="A9327" t="s">
        <v>98</v>
      </c>
      <c r="B9327" s="1">
        <v>44695</v>
      </c>
      <c r="C9327">
        <v>1</v>
      </c>
      <c r="D9327">
        <v>110.99</v>
      </c>
      <c r="E9327">
        <v>136</v>
      </c>
    </row>
    <row r="9328" spans="1:5" x14ac:dyDescent="0.3">
      <c r="A9328" t="s">
        <v>94</v>
      </c>
      <c r="B9328" s="1">
        <v>44695</v>
      </c>
      <c r="C9328">
        <v>1</v>
      </c>
      <c r="D9328">
        <v>38.97</v>
      </c>
      <c r="E9328">
        <v>50</v>
      </c>
    </row>
    <row r="9329" spans="1:5" x14ac:dyDescent="0.3">
      <c r="A9329" t="s">
        <v>94</v>
      </c>
      <c r="B9329" s="1">
        <v>44695</v>
      </c>
      <c r="C9329">
        <v>1</v>
      </c>
      <c r="D9329">
        <v>38.97</v>
      </c>
      <c r="E9329">
        <v>50</v>
      </c>
    </row>
    <row r="9330" spans="1:5" x14ac:dyDescent="0.3">
      <c r="A9330" t="s">
        <v>160</v>
      </c>
      <c r="B9330" s="1">
        <v>44695</v>
      </c>
      <c r="C9330">
        <v>1</v>
      </c>
      <c r="D9330">
        <v>80.73</v>
      </c>
      <c r="E9330">
        <v>100</v>
      </c>
    </row>
    <row r="9331" spans="1:5" x14ac:dyDescent="0.3">
      <c r="A9331" t="s">
        <v>29</v>
      </c>
      <c r="B9331" s="1">
        <v>44695</v>
      </c>
      <c r="C9331">
        <v>1</v>
      </c>
      <c r="D9331">
        <v>526.89</v>
      </c>
      <c r="E9331">
        <v>712</v>
      </c>
    </row>
    <row r="9332" spans="1:5" x14ac:dyDescent="0.3">
      <c r="A9332" t="s">
        <v>117</v>
      </c>
      <c r="B9332" s="1">
        <v>44695</v>
      </c>
      <c r="C9332">
        <v>1</v>
      </c>
      <c r="D9332">
        <v>23.14</v>
      </c>
      <c r="E9332">
        <v>28</v>
      </c>
    </row>
    <row r="9333" spans="1:5" x14ac:dyDescent="0.3">
      <c r="A9333" t="s">
        <v>117</v>
      </c>
      <c r="B9333" s="1">
        <v>44695</v>
      </c>
      <c r="C9333">
        <v>1</v>
      </c>
      <c r="D9333">
        <v>23.14</v>
      </c>
      <c r="E9333">
        <v>28</v>
      </c>
    </row>
    <row r="9334" spans="1:5" x14ac:dyDescent="0.3">
      <c r="A9334" t="s">
        <v>56</v>
      </c>
      <c r="B9334" s="1">
        <v>44695</v>
      </c>
      <c r="C9334">
        <v>1</v>
      </c>
      <c r="D9334">
        <v>43.97</v>
      </c>
      <c r="E9334">
        <v>69</v>
      </c>
    </row>
    <row r="9335" spans="1:5" x14ac:dyDescent="0.3">
      <c r="A9335" t="s">
        <v>102</v>
      </c>
      <c r="B9335" s="1">
        <v>44695</v>
      </c>
      <c r="C9335">
        <v>1</v>
      </c>
      <c r="D9335">
        <v>26.18</v>
      </c>
      <c r="E9335">
        <v>33</v>
      </c>
    </row>
    <row r="9336" spans="1:5" x14ac:dyDescent="0.3">
      <c r="A9336" t="s">
        <v>130</v>
      </c>
      <c r="B9336" s="1">
        <v>44695</v>
      </c>
      <c r="C9336">
        <v>1</v>
      </c>
      <c r="D9336">
        <v>23.12</v>
      </c>
      <c r="E9336">
        <v>29</v>
      </c>
    </row>
    <row r="9337" spans="1:5" x14ac:dyDescent="0.3">
      <c r="A9337" t="s">
        <v>130</v>
      </c>
      <c r="B9337" s="1">
        <v>44695</v>
      </c>
      <c r="C9337">
        <v>1</v>
      </c>
      <c r="D9337">
        <v>23.12</v>
      </c>
      <c r="E9337">
        <v>29</v>
      </c>
    </row>
    <row r="9338" spans="1:5" x14ac:dyDescent="0.3">
      <c r="A9338" t="s">
        <v>73</v>
      </c>
      <c r="B9338" s="1">
        <v>44695</v>
      </c>
      <c r="C9338">
        <v>1</v>
      </c>
      <c r="D9338">
        <v>8.6999999999999993</v>
      </c>
      <c r="E9338">
        <v>15</v>
      </c>
    </row>
    <row r="9339" spans="1:5" x14ac:dyDescent="0.3">
      <c r="A9339" t="s">
        <v>53</v>
      </c>
      <c r="B9339" s="1">
        <v>44695</v>
      </c>
      <c r="C9339">
        <v>1</v>
      </c>
      <c r="D9339">
        <v>23.4</v>
      </c>
      <c r="E9339">
        <v>38</v>
      </c>
    </row>
    <row r="9340" spans="1:5" x14ac:dyDescent="0.3">
      <c r="A9340" t="s">
        <v>72</v>
      </c>
      <c r="B9340" s="1">
        <v>44695</v>
      </c>
      <c r="C9340">
        <v>1</v>
      </c>
      <c r="D9340">
        <v>550.89</v>
      </c>
      <c r="E9340">
        <v>728</v>
      </c>
    </row>
    <row r="9341" spans="1:5" x14ac:dyDescent="0.3">
      <c r="A9341" t="s">
        <v>11</v>
      </c>
      <c r="B9341" s="1">
        <v>44695</v>
      </c>
      <c r="C9341">
        <v>1</v>
      </c>
      <c r="D9341">
        <v>24.2</v>
      </c>
      <c r="E9341">
        <v>39</v>
      </c>
    </row>
    <row r="9342" spans="1:5" x14ac:dyDescent="0.3">
      <c r="A9342" t="s">
        <v>135</v>
      </c>
      <c r="B9342" s="1">
        <v>44695</v>
      </c>
      <c r="C9342">
        <v>1</v>
      </c>
      <c r="D9342">
        <v>72.599999999999994</v>
      </c>
      <c r="E9342">
        <v>90</v>
      </c>
    </row>
    <row r="9343" spans="1:5" x14ac:dyDescent="0.3">
      <c r="A9343" t="s">
        <v>135</v>
      </c>
      <c r="B9343" s="1">
        <v>44695</v>
      </c>
      <c r="C9343">
        <v>1</v>
      </c>
      <c r="D9343">
        <v>72.599999999999994</v>
      </c>
      <c r="E9343">
        <v>90</v>
      </c>
    </row>
    <row r="9344" spans="1:5" x14ac:dyDescent="0.3">
      <c r="A9344" t="s">
        <v>135</v>
      </c>
      <c r="B9344" s="1">
        <v>44695</v>
      </c>
      <c r="C9344">
        <v>1</v>
      </c>
      <c r="D9344">
        <v>72.599999999999994</v>
      </c>
      <c r="E9344">
        <v>90</v>
      </c>
    </row>
    <row r="9345" spans="1:5" x14ac:dyDescent="0.3">
      <c r="A9345" t="s">
        <v>45</v>
      </c>
      <c r="B9345" s="1">
        <v>44695</v>
      </c>
      <c r="C9345">
        <v>1</v>
      </c>
      <c r="D9345">
        <v>33.07</v>
      </c>
      <c r="E9345">
        <v>54</v>
      </c>
    </row>
    <row r="9346" spans="1:5" x14ac:dyDescent="0.3">
      <c r="A9346" t="s">
        <v>8</v>
      </c>
      <c r="B9346" s="1">
        <v>44695</v>
      </c>
      <c r="C9346">
        <v>1</v>
      </c>
      <c r="D9346">
        <v>47.83</v>
      </c>
      <c r="E9346">
        <v>78</v>
      </c>
    </row>
    <row r="9347" spans="1:5" x14ac:dyDescent="0.3">
      <c r="A9347" t="s">
        <v>130</v>
      </c>
      <c r="B9347" s="1">
        <v>44695</v>
      </c>
      <c r="C9347">
        <v>1</v>
      </c>
      <c r="D9347">
        <v>23.12</v>
      </c>
      <c r="E9347">
        <v>29</v>
      </c>
    </row>
    <row r="9348" spans="1:5" x14ac:dyDescent="0.3">
      <c r="A9348" t="s">
        <v>24</v>
      </c>
      <c r="B9348" s="1">
        <v>44695</v>
      </c>
      <c r="C9348">
        <v>1</v>
      </c>
      <c r="D9348">
        <v>107.3</v>
      </c>
      <c r="E9348">
        <v>126</v>
      </c>
    </row>
    <row r="9349" spans="1:5" x14ac:dyDescent="0.3">
      <c r="A9349" t="s">
        <v>101</v>
      </c>
      <c r="B9349" s="1">
        <v>44695</v>
      </c>
      <c r="C9349">
        <v>1</v>
      </c>
      <c r="D9349">
        <v>33.9</v>
      </c>
      <c r="E9349">
        <v>54</v>
      </c>
    </row>
    <row r="9350" spans="1:5" x14ac:dyDescent="0.3">
      <c r="A9350" t="s">
        <v>134</v>
      </c>
      <c r="B9350" s="1">
        <v>44695</v>
      </c>
      <c r="C9350">
        <v>1</v>
      </c>
      <c r="D9350">
        <v>26.6</v>
      </c>
      <c r="E9350">
        <v>42</v>
      </c>
    </row>
    <row r="9351" spans="1:5" x14ac:dyDescent="0.3">
      <c r="A9351" t="s">
        <v>134</v>
      </c>
      <c r="B9351" s="1">
        <v>44695</v>
      </c>
      <c r="C9351">
        <v>1</v>
      </c>
      <c r="D9351">
        <v>26.6</v>
      </c>
      <c r="E9351">
        <v>42</v>
      </c>
    </row>
    <row r="9352" spans="1:5" x14ac:dyDescent="0.3">
      <c r="A9352" t="s">
        <v>82</v>
      </c>
      <c r="B9352" s="1">
        <v>44695</v>
      </c>
      <c r="C9352">
        <v>1</v>
      </c>
      <c r="D9352">
        <v>40.1</v>
      </c>
      <c r="E9352">
        <v>51</v>
      </c>
    </row>
    <row r="9353" spans="1:5" x14ac:dyDescent="0.3">
      <c r="A9353" t="s">
        <v>82</v>
      </c>
      <c r="B9353" s="1">
        <v>44695</v>
      </c>
      <c r="C9353">
        <v>1</v>
      </c>
      <c r="D9353">
        <v>40.1</v>
      </c>
      <c r="E9353">
        <v>51</v>
      </c>
    </row>
    <row r="9354" spans="1:5" x14ac:dyDescent="0.3">
      <c r="A9354" t="s">
        <v>82</v>
      </c>
      <c r="B9354" s="1">
        <v>44695</v>
      </c>
      <c r="C9354">
        <v>1</v>
      </c>
      <c r="D9354">
        <v>40.1</v>
      </c>
      <c r="E9354">
        <v>51</v>
      </c>
    </row>
    <row r="9355" spans="1:5" x14ac:dyDescent="0.3">
      <c r="A9355" t="s">
        <v>82</v>
      </c>
      <c r="B9355" s="1">
        <v>44695</v>
      </c>
      <c r="C9355">
        <v>1</v>
      </c>
      <c r="D9355">
        <v>40.1</v>
      </c>
      <c r="E9355">
        <v>51</v>
      </c>
    </row>
    <row r="9356" spans="1:5" x14ac:dyDescent="0.3">
      <c r="A9356" t="s">
        <v>82</v>
      </c>
      <c r="B9356" s="1">
        <v>44695</v>
      </c>
      <c r="C9356">
        <v>1</v>
      </c>
      <c r="D9356">
        <v>40.1</v>
      </c>
      <c r="E9356">
        <v>51</v>
      </c>
    </row>
    <row r="9357" spans="1:5" x14ac:dyDescent="0.3">
      <c r="A9357" t="s">
        <v>91</v>
      </c>
      <c r="B9357" s="1">
        <v>44695</v>
      </c>
      <c r="C9357">
        <v>1</v>
      </c>
      <c r="D9357">
        <v>31.28</v>
      </c>
      <c r="E9357">
        <v>51</v>
      </c>
    </row>
    <row r="9358" spans="1:5" x14ac:dyDescent="0.3">
      <c r="A9358" t="s">
        <v>145</v>
      </c>
      <c r="B9358" s="1">
        <v>44695</v>
      </c>
      <c r="C9358">
        <v>1</v>
      </c>
      <c r="D9358">
        <v>25.3</v>
      </c>
      <c r="E9358">
        <v>31</v>
      </c>
    </row>
    <row r="9359" spans="1:5" x14ac:dyDescent="0.3">
      <c r="A9359" t="s">
        <v>64</v>
      </c>
      <c r="B9359" s="1">
        <v>44695</v>
      </c>
      <c r="C9359">
        <v>1</v>
      </c>
      <c r="D9359">
        <v>200.65</v>
      </c>
      <c r="E9359">
        <v>281</v>
      </c>
    </row>
    <row r="9360" spans="1:5" x14ac:dyDescent="0.3">
      <c r="A9360" t="s">
        <v>90</v>
      </c>
      <c r="B9360" s="1">
        <v>44695</v>
      </c>
      <c r="C9360">
        <v>1</v>
      </c>
      <c r="D9360">
        <v>390.04</v>
      </c>
      <c r="E9360">
        <v>480</v>
      </c>
    </row>
    <row r="9361" spans="1:5" x14ac:dyDescent="0.3">
      <c r="A9361" t="s">
        <v>10</v>
      </c>
      <c r="B9361" s="1">
        <v>44695</v>
      </c>
      <c r="C9361">
        <v>1</v>
      </c>
      <c r="D9361">
        <v>10.34</v>
      </c>
      <c r="E9361">
        <v>13</v>
      </c>
    </row>
    <row r="9362" spans="1:5" x14ac:dyDescent="0.3">
      <c r="A9362" t="s">
        <v>153</v>
      </c>
      <c r="B9362" s="1">
        <v>44695</v>
      </c>
      <c r="C9362">
        <v>1</v>
      </c>
      <c r="D9362">
        <v>9.4600000000000009</v>
      </c>
      <c r="E9362">
        <v>11</v>
      </c>
    </row>
    <row r="9363" spans="1:5" x14ac:dyDescent="0.3">
      <c r="A9363" t="s">
        <v>116</v>
      </c>
      <c r="B9363" s="1">
        <v>44695</v>
      </c>
      <c r="C9363">
        <v>1</v>
      </c>
      <c r="D9363">
        <v>105.42</v>
      </c>
      <c r="E9363">
        <v>124</v>
      </c>
    </row>
    <row r="9364" spans="1:5" x14ac:dyDescent="0.3">
      <c r="A9364" t="s">
        <v>26</v>
      </c>
      <c r="B9364" s="1">
        <v>44695</v>
      </c>
      <c r="C9364">
        <v>0.1</v>
      </c>
      <c r="D9364">
        <v>1086.5899999999999</v>
      </c>
      <c r="E9364">
        <v>1359</v>
      </c>
    </row>
    <row r="9365" spans="1:5" x14ac:dyDescent="0.3">
      <c r="A9365" t="s">
        <v>10</v>
      </c>
      <c r="B9365" s="1">
        <v>44695</v>
      </c>
      <c r="C9365">
        <v>1</v>
      </c>
      <c r="D9365">
        <v>10.34</v>
      </c>
      <c r="E9365">
        <v>13</v>
      </c>
    </row>
    <row r="9366" spans="1:5" x14ac:dyDescent="0.3">
      <c r="A9366" t="s">
        <v>153</v>
      </c>
      <c r="B9366" s="1">
        <v>44695</v>
      </c>
      <c r="C9366">
        <v>1</v>
      </c>
      <c r="D9366">
        <v>9.4600000000000009</v>
      </c>
      <c r="E9366">
        <v>11</v>
      </c>
    </row>
    <row r="9367" spans="1:5" x14ac:dyDescent="0.3">
      <c r="A9367" t="s">
        <v>103</v>
      </c>
      <c r="B9367" s="1">
        <v>44695</v>
      </c>
      <c r="C9367">
        <v>1</v>
      </c>
      <c r="D9367">
        <v>41.33</v>
      </c>
      <c r="E9367">
        <v>65</v>
      </c>
    </row>
    <row r="9368" spans="1:5" x14ac:dyDescent="0.3">
      <c r="A9368" t="s">
        <v>23</v>
      </c>
      <c r="B9368" s="1">
        <v>44695</v>
      </c>
      <c r="C9368">
        <v>1</v>
      </c>
      <c r="D9368">
        <v>110.08</v>
      </c>
      <c r="E9368">
        <v>124</v>
      </c>
    </row>
    <row r="9369" spans="1:5" x14ac:dyDescent="0.3">
      <c r="A9369" t="s">
        <v>25</v>
      </c>
      <c r="B9369" s="1">
        <v>44695</v>
      </c>
      <c r="C9369">
        <v>1</v>
      </c>
      <c r="D9369">
        <v>147.18</v>
      </c>
      <c r="E9369">
        <v>180</v>
      </c>
    </row>
    <row r="9370" spans="1:5" x14ac:dyDescent="0.3">
      <c r="A9370" t="s">
        <v>14</v>
      </c>
      <c r="B9370" s="1">
        <v>44695</v>
      </c>
      <c r="C9370">
        <v>0.2</v>
      </c>
      <c r="D9370">
        <v>596.29</v>
      </c>
      <c r="E9370">
        <v>746</v>
      </c>
    </row>
    <row r="9371" spans="1:5" x14ac:dyDescent="0.3">
      <c r="A9371" t="s">
        <v>49</v>
      </c>
      <c r="B9371" s="1">
        <v>44695</v>
      </c>
      <c r="C9371">
        <v>1</v>
      </c>
      <c r="D9371">
        <v>16.309999999999999</v>
      </c>
      <c r="E9371">
        <v>20</v>
      </c>
    </row>
    <row r="9372" spans="1:5" x14ac:dyDescent="0.3">
      <c r="A9372" t="s">
        <v>156</v>
      </c>
      <c r="B9372" s="1">
        <v>44695</v>
      </c>
      <c r="C9372">
        <v>1</v>
      </c>
      <c r="D9372">
        <v>248.25</v>
      </c>
      <c r="E9372">
        <v>348</v>
      </c>
    </row>
    <row r="9373" spans="1:5" x14ac:dyDescent="0.3">
      <c r="A9373" t="s">
        <v>22</v>
      </c>
      <c r="B9373" s="1">
        <v>44695</v>
      </c>
      <c r="C9373">
        <v>1</v>
      </c>
      <c r="D9373">
        <v>30.3</v>
      </c>
      <c r="E9373">
        <v>49</v>
      </c>
    </row>
    <row r="9374" spans="1:5" x14ac:dyDescent="0.3">
      <c r="A9374" t="s">
        <v>98</v>
      </c>
      <c r="B9374" s="1">
        <v>44695</v>
      </c>
      <c r="C9374">
        <v>1</v>
      </c>
      <c r="D9374">
        <v>110.99</v>
      </c>
      <c r="E9374">
        <v>136</v>
      </c>
    </row>
    <row r="9375" spans="1:5" x14ac:dyDescent="0.3">
      <c r="A9375" t="s">
        <v>36</v>
      </c>
      <c r="B9375" s="1">
        <v>44695</v>
      </c>
      <c r="C9375">
        <v>1</v>
      </c>
      <c r="D9375">
        <v>22.31</v>
      </c>
      <c r="E9375">
        <v>28</v>
      </c>
    </row>
    <row r="9376" spans="1:5" x14ac:dyDescent="0.3">
      <c r="A9376" t="s">
        <v>63</v>
      </c>
      <c r="B9376" s="1">
        <v>44695</v>
      </c>
      <c r="C9376">
        <v>1</v>
      </c>
      <c r="D9376">
        <v>71.790000000000006</v>
      </c>
      <c r="E9376">
        <v>94</v>
      </c>
    </row>
    <row r="9377" spans="1:5" x14ac:dyDescent="0.3">
      <c r="A9377" t="s">
        <v>37</v>
      </c>
      <c r="B9377" s="1">
        <v>44695</v>
      </c>
      <c r="C9377">
        <v>1</v>
      </c>
      <c r="D9377">
        <v>36.86</v>
      </c>
      <c r="E9377">
        <v>47</v>
      </c>
    </row>
    <row r="9378" spans="1:5" x14ac:dyDescent="0.3">
      <c r="A9378" t="s">
        <v>115</v>
      </c>
      <c r="B9378" s="1">
        <v>44695</v>
      </c>
      <c r="C9378">
        <v>1</v>
      </c>
      <c r="D9378">
        <v>74.88</v>
      </c>
      <c r="E9378">
        <v>92</v>
      </c>
    </row>
    <row r="9379" spans="1:5" x14ac:dyDescent="0.3">
      <c r="A9379" t="s">
        <v>65</v>
      </c>
      <c r="B9379" s="1">
        <v>44695</v>
      </c>
      <c r="C9379">
        <v>1</v>
      </c>
      <c r="D9379">
        <v>184.45</v>
      </c>
      <c r="E9379">
        <v>235</v>
      </c>
    </row>
    <row r="9380" spans="1:5" x14ac:dyDescent="0.3">
      <c r="A9380" t="s">
        <v>11</v>
      </c>
      <c r="B9380" s="1">
        <v>44695</v>
      </c>
      <c r="C9380">
        <v>1</v>
      </c>
      <c r="D9380">
        <v>24.2</v>
      </c>
      <c r="E9380">
        <v>39</v>
      </c>
    </row>
    <row r="9381" spans="1:5" x14ac:dyDescent="0.3">
      <c r="A9381" t="s">
        <v>92</v>
      </c>
      <c r="B9381" s="1">
        <v>44695</v>
      </c>
      <c r="C9381">
        <v>20</v>
      </c>
      <c r="D9381">
        <v>6.2</v>
      </c>
      <c r="E9381">
        <v>9</v>
      </c>
    </row>
    <row r="9382" spans="1:5" x14ac:dyDescent="0.3">
      <c r="A9382" t="s">
        <v>13</v>
      </c>
      <c r="B9382" s="1">
        <v>44695</v>
      </c>
      <c r="C9382">
        <v>1</v>
      </c>
      <c r="D9382">
        <v>119.72</v>
      </c>
      <c r="E9382">
        <v>147</v>
      </c>
    </row>
    <row r="9383" spans="1:5" x14ac:dyDescent="0.3">
      <c r="A9383" t="s">
        <v>19</v>
      </c>
      <c r="B9383" s="1">
        <v>44695</v>
      </c>
      <c r="C9383">
        <v>1</v>
      </c>
      <c r="D9383">
        <v>80.52</v>
      </c>
      <c r="E9383">
        <v>103</v>
      </c>
    </row>
    <row r="9384" spans="1:5" x14ac:dyDescent="0.3">
      <c r="A9384" t="s">
        <v>55</v>
      </c>
      <c r="B9384" s="1">
        <v>44695</v>
      </c>
      <c r="C9384">
        <v>1</v>
      </c>
      <c r="D9384">
        <v>77.510000000000005</v>
      </c>
      <c r="E9384">
        <v>94</v>
      </c>
    </row>
    <row r="9385" spans="1:5" x14ac:dyDescent="0.3">
      <c r="A9385" t="s">
        <v>157</v>
      </c>
      <c r="B9385" s="1">
        <v>44695</v>
      </c>
      <c r="C9385">
        <v>1</v>
      </c>
      <c r="D9385">
        <v>12</v>
      </c>
      <c r="E9385">
        <v>20</v>
      </c>
    </row>
    <row r="9386" spans="1:5" x14ac:dyDescent="0.3">
      <c r="A9386" t="s">
        <v>57</v>
      </c>
      <c r="B9386" s="1">
        <v>44695</v>
      </c>
      <c r="C9386">
        <v>1</v>
      </c>
      <c r="D9386">
        <v>239.87</v>
      </c>
      <c r="E9386">
        <v>269</v>
      </c>
    </row>
    <row r="9387" spans="1:5" x14ac:dyDescent="0.3">
      <c r="A9387" t="s">
        <v>133</v>
      </c>
      <c r="B9387" s="1">
        <v>44695</v>
      </c>
      <c r="C9387">
        <v>2</v>
      </c>
      <c r="D9387">
        <v>5.56</v>
      </c>
      <c r="E9387">
        <v>9</v>
      </c>
    </row>
    <row r="9388" spans="1:5" x14ac:dyDescent="0.3">
      <c r="A9388" t="s">
        <v>18</v>
      </c>
      <c r="B9388" s="1">
        <v>44695</v>
      </c>
      <c r="C9388">
        <v>1</v>
      </c>
      <c r="D9388">
        <v>44</v>
      </c>
      <c r="E9388">
        <v>67</v>
      </c>
    </row>
    <row r="9389" spans="1:5" x14ac:dyDescent="0.3">
      <c r="A9389" t="s">
        <v>93</v>
      </c>
      <c r="B9389" s="1">
        <v>44695</v>
      </c>
      <c r="C9389">
        <v>1</v>
      </c>
      <c r="D9389">
        <v>67.84</v>
      </c>
      <c r="E9389">
        <v>99</v>
      </c>
    </row>
    <row r="9390" spans="1:5" x14ac:dyDescent="0.3">
      <c r="A9390" t="s">
        <v>47</v>
      </c>
      <c r="B9390" s="1">
        <v>44695</v>
      </c>
      <c r="C9390">
        <v>1</v>
      </c>
      <c r="D9390">
        <v>43.08</v>
      </c>
      <c r="E9390">
        <v>66</v>
      </c>
    </row>
    <row r="9391" spans="1:5" x14ac:dyDescent="0.3">
      <c r="A9391" t="s">
        <v>67</v>
      </c>
      <c r="B9391" s="1">
        <v>44695</v>
      </c>
      <c r="C9391">
        <v>1</v>
      </c>
      <c r="D9391">
        <v>55.04</v>
      </c>
      <c r="E9391">
        <v>79</v>
      </c>
    </row>
    <row r="9392" spans="1:5" x14ac:dyDescent="0.3">
      <c r="A9392" t="s">
        <v>54</v>
      </c>
      <c r="B9392" s="1">
        <v>44695</v>
      </c>
      <c r="C9392">
        <v>1</v>
      </c>
      <c r="D9392">
        <v>635.70000000000005</v>
      </c>
      <c r="E9392">
        <v>821</v>
      </c>
    </row>
    <row r="9393" spans="1:5" x14ac:dyDescent="0.3">
      <c r="A9393" t="s">
        <v>11</v>
      </c>
      <c r="B9393" s="1">
        <v>44695</v>
      </c>
      <c r="C9393">
        <v>1</v>
      </c>
      <c r="D9393">
        <v>24.2</v>
      </c>
      <c r="E9393">
        <v>39</v>
      </c>
    </row>
    <row r="9394" spans="1:5" x14ac:dyDescent="0.3">
      <c r="A9394" t="s">
        <v>95</v>
      </c>
      <c r="B9394" s="1">
        <v>44695</v>
      </c>
      <c r="C9394">
        <v>1</v>
      </c>
      <c r="D9394">
        <v>129.69</v>
      </c>
      <c r="E9394">
        <v>204</v>
      </c>
    </row>
    <row r="9395" spans="1:5" x14ac:dyDescent="0.3">
      <c r="A9395" t="s">
        <v>17</v>
      </c>
      <c r="B9395" s="1">
        <v>44695</v>
      </c>
      <c r="C9395">
        <v>1</v>
      </c>
      <c r="D9395">
        <v>383.25</v>
      </c>
      <c r="E9395">
        <v>460</v>
      </c>
    </row>
    <row r="9396" spans="1:5" x14ac:dyDescent="0.3">
      <c r="A9396" t="s">
        <v>48</v>
      </c>
      <c r="B9396" s="1">
        <v>44695</v>
      </c>
      <c r="C9396">
        <v>1</v>
      </c>
      <c r="D9396">
        <v>41.24</v>
      </c>
      <c r="E9396">
        <v>65</v>
      </c>
    </row>
    <row r="9397" spans="1:5" x14ac:dyDescent="0.3">
      <c r="A9397" t="s">
        <v>113</v>
      </c>
      <c r="B9397" s="1">
        <v>44695</v>
      </c>
      <c r="C9397">
        <v>1</v>
      </c>
      <c r="D9397">
        <v>125.55</v>
      </c>
      <c r="E9397">
        <v>178</v>
      </c>
    </row>
    <row r="9398" spans="1:5" x14ac:dyDescent="0.3">
      <c r="A9398" t="s">
        <v>36</v>
      </c>
      <c r="B9398" s="1">
        <v>44695</v>
      </c>
      <c r="C9398">
        <v>1</v>
      </c>
      <c r="D9398">
        <v>22.4</v>
      </c>
      <c r="E9398">
        <v>28</v>
      </c>
    </row>
    <row r="9399" spans="1:5" x14ac:dyDescent="0.3">
      <c r="A9399" t="s">
        <v>36</v>
      </c>
      <c r="B9399" s="1">
        <v>44695</v>
      </c>
      <c r="C9399">
        <v>1</v>
      </c>
      <c r="D9399">
        <v>22.4</v>
      </c>
      <c r="E9399">
        <v>28</v>
      </c>
    </row>
    <row r="9400" spans="1:5" x14ac:dyDescent="0.3">
      <c r="A9400" t="s">
        <v>36</v>
      </c>
      <c r="B9400" s="1">
        <v>44695</v>
      </c>
      <c r="C9400">
        <v>1</v>
      </c>
      <c r="D9400">
        <v>22.4</v>
      </c>
      <c r="E9400">
        <v>28</v>
      </c>
    </row>
    <row r="9401" spans="1:5" x14ac:dyDescent="0.3">
      <c r="A9401" t="s">
        <v>36</v>
      </c>
      <c r="B9401" s="1">
        <v>44695</v>
      </c>
      <c r="C9401">
        <v>1</v>
      </c>
      <c r="D9401">
        <v>22.4</v>
      </c>
      <c r="E9401">
        <v>28</v>
      </c>
    </row>
    <row r="9402" spans="1:5" x14ac:dyDescent="0.3">
      <c r="A9402" t="s">
        <v>36</v>
      </c>
      <c r="B9402" s="1">
        <v>44695</v>
      </c>
      <c r="C9402">
        <v>1</v>
      </c>
      <c r="D9402">
        <v>22.4</v>
      </c>
      <c r="E9402">
        <v>28</v>
      </c>
    </row>
    <row r="9403" spans="1:5" x14ac:dyDescent="0.3">
      <c r="A9403" t="s">
        <v>36</v>
      </c>
      <c r="B9403" s="1">
        <v>44695</v>
      </c>
      <c r="C9403">
        <v>1</v>
      </c>
      <c r="D9403">
        <v>22.4</v>
      </c>
      <c r="E9403">
        <v>28</v>
      </c>
    </row>
    <row r="9404" spans="1:5" x14ac:dyDescent="0.3">
      <c r="A9404" t="s">
        <v>38</v>
      </c>
      <c r="B9404" s="1">
        <v>44695</v>
      </c>
      <c r="C9404">
        <v>1</v>
      </c>
      <c r="D9404">
        <v>22.31</v>
      </c>
      <c r="E9404">
        <v>35</v>
      </c>
    </row>
    <row r="9405" spans="1:5" x14ac:dyDescent="0.3">
      <c r="A9405" t="s">
        <v>38</v>
      </c>
      <c r="B9405" s="1">
        <v>44695</v>
      </c>
      <c r="C9405">
        <v>1</v>
      </c>
      <c r="D9405">
        <v>22.31</v>
      </c>
      <c r="E9405">
        <v>35</v>
      </c>
    </row>
    <row r="9406" spans="1:5" x14ac:dyDescent="0.3">
      <c r="A9406" t="s">
        <v>38</v>
      </c>
      <c r="B9406" s="1">
        <v>44695</v>
      </c>
      <c r="C9406">
        <v>1</v>
      </c>
      <c r="D9406">
        <v>22.31</v>
      </c>
      <c r="E9406">
        <v>35</v>
      </c>
    </row>
    <row r="9407" spans="1:5" x14ac:dyDescent="0.3">
      <c r="A9407" t="s">
        <v>38</v>
      </c>
      <c r="B9407" s="1">
        <v>44695</v>
      </c>
      <c r="C9407">
        <v>1</v>
      </c>
      <c r="D9407">
        <v>22.31</v>
      </c>
      <c r="E9407">
        <v>35</v>
      </c>
    </row>
    <row r="9408" spans="1:5" x14ac:dyDescent="0.3">
      <c r="A9408" t="s">
        <v>38</v>
      </c>
      <c r="B9408" s="1">
        <v>44695</v>
      </c>
      <c r="C9408">
        <v>1</v>
      </c>
      <c r="D9408">
        <v>22.31</v>
      </c>
      <c r="E9408">
        <v>35</v>
      </c>
    </row>
    <row r="9409" spans="1:5" x14ac:dyDescent="0.3">
      <c r="A9409" t="s">
        <v>38</v>
      </c>
      <c r="B9409" s="1">
        <v>44695</v>
      </c>
      <c r="C9409">
        <v>1</v>
      </c>
      <c r="D9409">
        <v>22.31</v>
      </c>
      <c r="E9409">
        <v>35</v>
      </c>
    </row>
    <row r="9410" spans="1:5" x14ac:dyDescent="0.3">
      <c r="A9410" t="s">
        <v>46</v>
      </c>
      <c r="B9410" s="1">
        <v>44695</v>
      </c>
      <c r="C9410">
        <v>1</v>
      </c>
      <c r="D9410">
        <v>20.49</v>
      </c>
      <c r="E9410">
        <v>24</v>
      </c>
    </row>
    <row r="9411" spans="1:5" x14ac:dyDescent="0.3">
      <c r="A9411" t="s">
        <v>35</v>
      </c>
      <c r="B9411" s="1">
        <v>44695</v>
      </c>
      <c r="C9411">
        <v>1</v>
      </c>
      <c r="D9411">
        <v>39.6</v>
      </c>
      <c r="E9411">
        <v>61</v>
      </c>
    </row>
    <row r="9412" spans="1:5" x14ac:dyDescent="0.3">
      <c r="A9412" t="s">
        <v>151</v>
      </c>
      <c r="B9412" s="1">
        <v>44695</v>
      </c>
      <c r="C9412">
        <v>1</v>
      </c>
      <c r="D9412">
        <v>24.03</v>
      </c>
      <c r="E9412">
        <v>29</v>
      </c>
    </row>
    <row r="9413" spans="1:5" x14ac:dyDescent="0.3">
      <c r="A9413" t="s">
        <v>132</v>
      </c>
      <c r="B9413" s="1">
        <v>44695</v>
      </c>
      <c r="C9413">
        <v>1</v>
      </c>
      <c r="D9413">
        <v>57.84</v>
      </c>
      <c r="E9413">
        <v>83</v>
      </c>
    </row>
    <row r="9414" spans="1:5" x14ac:dyDescent="0.3">
      <c r="A9414" t="s">
        <v>132</v>
      </c>
      <c r="B9414" s="1">
        <v>44695</v>
      </c>
      <c r="C9414">
        <v>1</v>
      </c>
      <c r="D9414">
        <v>57.84</v>
      </c>
      <c r="E9414">
        <v>83</v>
      </c>
    </row>
    <row r="9415" spans="1:5" x14ac:dyDescent="0.3">
      <c r="A9415" t="s">
        <v>26</v>
      </c>
      <c r="B9415" s="1">
        <v>44695</v>
      </c>
      <c r="C9415">
        <v>0.1</v>
      </c>
      <c r="D9415">
        <v>1125.31</v>
      </c>
      <c r="E9415">
        <v>1407</v>
      </c>
    </row>
    <row r="9416" spans="1:5" x14ac:dyDescent="0.3">
      <c r="A9416" t="s">
        <v>12</v>
      </c>
      <c r="B9416" s="1">
        <v>44695</v>
      </c>
      <c r="C9416">
        <v>1</v>
      </c>
      <c r="D9416">
        <v>55.81</v>
      </c>
      <c r="E9416">
        <v>69</v>
      </c>
    </row>
    <row r="9417" spans="1:5" x14ac:dyDescent="0.3">
      <c r="A9417" t="s">
        <v>20</v>
      </c>
      <c r="B9417" s="1">
        <v>44695</v>
      </c>
      <c r="C9417">
        <v>1</v>
      </c>
      <c r="D9417">
        <v>19.66</v>
      </c>
      <c r="E9417">
        <v>23</v>
      </c>
    </row>
    <row r="9418" spans="1:5" x14ac:dyDescent="0.3">
      <c r="A9418" t="s">
        <v>20</v>
      </c>
      <c r="B9418" s="1">
        <v>44695</v>
      </c>
      <c r="C9418">
        <v>1</v>
      </c>
      <c r="D9418">
        <v>19.66</v>
      </c>
      <c r="E9418">
        <v>23</v>
      </c>
    </row>
    <row r="9419" spans="1:5" x14ac:dyDescent="0.3">
      <c r="A9419" t="s">
        <v>52</v>
      </c>
      <c r="B9419" s="1">
        <v>44695</v>
      </c>
      <c r="C9419">
        <v>1</v>
      </c>
      <c r="D9419">
        <v>206</v>
      </c>
      <c r="E9419">
        <v>251</v>
      </c>
    </row>
    <row r="9420" spans="1:5" x14ac:dyDescent="0.3">
      <c r="A9420" t="s">
        <v>54</v>
      </c>
      <c r="B9420" s="1">
        <v>44695</v>
      </c>
      <c r="C9420">
        <v>1</v>
      </c>
      <c r="D9420">
        <v>635.70000000000005</v>
      </c>
      <c r="E9420">
        <v>821</v>
      </c>
    </row>
    <row r="9421" spans="1:5" x14ac:dyDescent="0.3">
      <c r="A9421" t="s">
        <v>76</v>
      </c>
      <c r="B9421" s="1">
        <v>44695</v>
      </c>
      <c r="C9421">
        <v>1</v>
      </c>
      <c r="D9421">
        <v>31.41</v>
      </c>
      <c r="E9421">
        <v>38</v>
      </c>
    </row>
    <row r="9422" spans="1:5" x14ac:dyDescent="0.3">
      <c r="A9422" t="s">
        <v>24</v>
      </c>
      <c r="B9422" s="1">
        <v>44695</v>
      </c>
      <c r="C9422">
        <v>1</v>
      </c>
      <c r="D9422">
        <v>107.3</v>
      </c>
      <c r="E9422">
        <v>126</v>
      </c>
    </row>
    <row r="9423" spans="1:5" x14ac:dyDescent="0.3">
      <c r="A9423" t="s">
        <v>26</v>
      </c>
      <c r="B9423" s="1">
        <v>44695</v>
      </c>
      <c r="C9423">
        <v>0.1</v>
      </c>
      <c r="D9423">
        <v>1023</v>
      </c>
      <c r="E9423">
        <v>1330</v>
      </c>
    </row>
    <row r="9424" spans="1:5" x14ac:dyDescent="0.3">
      <c r="A9424" t="s">
        <v>159</v>
      </c>
      <c r="B9424" s="1">
        <v>44695</v>
      </c>
      <c r="C9424">
        <v>1</v>
      </c>
      <c r="D9424">
        <v>57.93</v>
      </c>
      <c r="E9424">
        <v>70</v>
      </c>
    </row>
    <row r="9425" spans="1:5" x14ac:dyDescent="0.3">
      <c r="A9425" t="s">
        <v>99</v>
      </c>
      <c r="B9425" s="1">
        <v>44695</v>
      </c>
      <c r="C9425">
        <v>1</v>
      </c>
      <c r="D9425">
        <v>64.25</v>
      </c>
      <c r="E9425">
        <v>77</v>
      </c>
    </row>
    <row r="9426" spans="1:5" x14ac:dyDescent="0.3">
      <c r="A9426" t="s">
        <v>56</v>
      </c>
      <c r="B9426" s="1">
        <v>44695</v>
      </c>
      <c r="C9426">
        <v>1</v>
      </c>
      <c r="D9426">
        <v>43.97</v>
      </c>
      <c r="E9426">
        <v>67</v>
      </c>
    </row>
    <row r="9427" spans="1:5" x14ac:dyDescent="0.3">
      <c r="A9427" t="s">
        <v>21</v>
      </c>
      <c r="B9427" s="1">
        <v>44695</v>
      </c>
      <c r="C9427">
        <v>1</v>
      </c>
      <c r="D9427">
        <v>182.55</v>
      </c>
      <c r="E9427">
        <v>251</v>
      </c>
    </row>
    <row r="9428" spans="1:5" x14ac:dyDescent="0.3">
      <c r="A9428" t="s">
        <v>150</v>
      </c>
      <c r="B9428" s="1">
        <v>44695</v>
      </c>
      <c r="C9428">
        <v>2</v>
      </c>
      <c r="D9428">
        <v>77.400000000000006</v>
      </c>
      <c r="E9428">
        <v>120</v>
      </c>
    </row>
    <row r="9429" spans="1:5" x14ac:dyDescent="0.3">
      <c r="A9429" t="s">
        <v>91</v>
      </c>
      <c r="B9429" s="1">
        <v>44695</v>
      </c>
      <c r="C9429">
        <v>1</v>
      </c>
      <c r="D9429">
        <v>38</v>
      </c>
      <c r="E9429">
        <v>66</v>
      </c>
    </row>
    <row r="9430" spans="1:5" x14ac:dyDescent="0.3">
      <c r="A9430" t="s">
        <v>35</v>
      </c>
      <c r="B9430" s="1">
        <v>44695</v>
      </c>
      <c r="C9430">
        <v>1</v>
      </c>
      <c r="D9430">
        <v>30.35</v>
      </c>
      <c r="E9430">
        <v>48</v>
      </c>
    </row>
    <row r="9431" spans="1:5" x14ac:dyDescent="0.3">
      <c r="A9431" t="s">
        <v>65</v>
      </c>
      <c r="B9431" s="1">
        <v>44695</v>
      </c>
      <c r="C9431">
        <v>1</v>
      </c>
      <c r="D9431">
        <v>176.42</v>
      </c>
      <c r="E9431">
        <v>207</v>
      </c>
    </row>
    <row r="9432" spans="1:5" x14ac:dyDescent="0.3">
      <c r="A9432" t="s">
        <v>22</v>
      </c>
      <c r="B9432" s="1">
        <v>44695</v>
      </c>
      <c r="C9432">
        <v>1</v>
      </c>
      <c r="D9432">
        <v>30.3</v>
      </c>
      <c r="E9432">
        <v>49</v>
      </c>
    </row>
    <row r="9433" spans="1:5" x14ac:dyDescent="0.3">
      <c r="A9433" t="s">
        <v>20</v>
      </c>
      <c r="B9433" s="1">
        <v>44695</v>
      </c>
      <c r="C9433">
        <v>1</v>
      </c>
      <c r="D9433">
        <v>22.66</v>
      </c>
      <c r="E9433">
        <v>30</v>
      </c>
    </row>
    <row r="9434" spans="1:5" x14ac:dyDescent="0.3">
      <c r="A9434" t="s">
        <v>145</v>
      </c>
      <c r="B9434" s="1">
        <v>44695</v>
      </c>
      <c r="C9434">
        <v>1</v>
      </c>
      <c r="D9434">
        <v>25.3</v>
      </c>
      <c r="E9434">
        <v>31</v>
      </c>
    </row>
    <row r="9435" spans="1:5" x14ac:dyDescent="0.3">
      <c r="A9435" t="s">
        <v>83</v>
      </c>
      <c r="B9435" s="1">
        <v>44695</v>
      </c>
      <c r="C9435">
        <v>1</v>
      </c>
      <c r="D9435">
        <v>207.68</v>
      </c>
      <c r="E9435">
        <v>246</v>
      </c>
    </row>
    <row r="9436" spans="1:5" x14ac:dyDescent="0.3">
      <c r="A9436" t="s">
        <v>86</v>
      </c>
      <c r="B9436" s="1">
        <v>44695</v>
      </c>
      <c r="C9436">
        <v>2</v>
      </c>
      <c r="D9436">
        <v>47.4</v>
      </c>
      <c r="E9436">
        <v>76</v>
      </c>
    </row>
    <row r="9437" spans="1:5" x14ac:dyDescent="0.3">
      <c r="A9437" t="s">
        <v>10</v>
      </c>
      <c r="B9437" s="1">
        <v>44695</v>
      </c>
      <c r="C9437">
        <v>1</v>
      </c>
      <c r="D9437">
        <v>10.34</v>
      </c>
      <c r="E9437">
        <v>13</v>
      </c>
    </row>
    <row r="9438" spans="1:5" x14ac:dyDescent="0.3">
      <c r="A9438" t="s">
        <v>64</v>
      </c>
      <c r="B9438" s="1">
        <v>44695</v>
      </c>
      <c r="C9438">
        <v>1</v>
      </c>
      <c r="D9438">
        <v>198.66</v>
      </c>
      <c r="E9438">
        <v>273</v>
      </c>
    </row>
    <row r="9439" spans="1:5" x14ac:dyDescent="0.3">
      <c r="A9439" t="s">
        <v>5</v>
      </c>
      <c r="B9439" s="1">
        <v>44695</v>
      </c>
      <c r="C9439">
        <v>1</v>
      </c>
      <c r="D9439">
        <v>145.6</v>
      </c>
      <c r="E9439">
        <v>172</v>
      </c>
    </row>
    <row r="9440" spans="1:5" x14ac:dyDescent="0.3">
      <c r="A9440" t="s">
        <v>154</v>
      </c>
      <c r="B9440" s="1">
        <v>44695</v>
      </c>
      <c r="C9440">
        <v>1</v>
      </c>
      <c r="D9440">
        <v>122.04</v>
      </c>
      <c r="E9440">
        <v>147</v>
      </c>
    </row>
    <row r="9441" spans="1:5" x14ac:dyDescent="0.3">
      <c r="A9441" t="s">
        <v>11</v>
      </c>
      <c r="B9441" s="1">
        <v>44695</v>
      </c>
      <c r="C9441">
        <v>1</v>
      </c>
      <c r="D9441">
        <v>24.2</v>
      </c>
      <c r="E9441">
        <v>39</v>
      </c>
    </row>
    <row r="9442" spans="1:5" x14ac:dyDescent="0.3">
      <c r="A9442" t="s">
        <v>57</v>
      </c>
      <c r="B9442" s="1">
        <v>44695</v>
      </c>
      <c r="C9442">
        <v>1</v>
      </c>
      <c r="D9442">
        <v>233.74</v>
      </c>
      <c r="E9442">
        <v>274</v>
      </c>
    </row>
    <row r="9443" spans="1:5" x14ac:dyDescent="0.3">
      <c r="A9443" t="s">
        <v>143</v>
      </c>
      <c r="B9443" s="1">
        <v>44695</v>
      </c>
      <c r="C9443">
        <v>1</v>
      </c>
      <c r="D9443">
        <v>50.45</v>
      </c>
      <c r="E9443">
        <v>77</v>
      </c>
    </row>
    <row r="9444" spans="1:5" x14ac:dyDescent="0.3">
      <c r="A9444" t="s">
        <v>19</v>
      </c>
      <c r="B9444" s="1">
        <v>44695</v>
      </c>
      <c r="C9444">
        <v>1</v>
      </c>
      <c r="D9444">
        <v>80.52</v>
      </c>
      <c r="E9444">
        <v>103</v>
      </c>
    </row>
    <row r="9445" spans="1:5" x14ac:dyDescent="0.3">
      <c r="A9445" t="s">
        <v>5</v>
      </c>
      <c r="B9445" s="1">
        <v>44695</v>
      </c>
      <c r="C9445">
        <v>1</v>
      </c>
      <c r="D9445">
        <v>134.9</v>
      </c>
      <c r="E9445">
        <v>156</v>
      </c>
    </row>
    <row r="9446" spans="1:5" x14ac:dyDescent="0.3">
      <c r="A9446" t="s">
        <v>5</v>
      </c>
      <c r="B9446" s="1">
        <v>44695</v>
      </c>
      <c r="C9446">
        <v>1</v>
      </c>
      <c r="D9446">
        <v>134.9</v>
      </c>
      <c r="E9446">
        <v>156</v>
      </c>
    </row>
    <row r="9447" spans="1:5" x14ac:dyDescent="0.3">
      <c r="A9447" t="s">
        <v>93</v>
      </c>
      <c r="B9447" s="1">
        <v>44695</v>
      </c>
      <c r="C9447">
        <v>1</v>
      </c>
      <c r="D9447">
        <v>74.42</v>
      </c>
      <c r="E9447">
        <v>106</v>
      </c>
    </row>
    <row r="9448" spans="1:5" x14ac:dyDescent="0.3">
      <c r="A9448" t="s">
        <v>11</v>
      </c>
      <c r="B9448" s="1">
        <v>44695</v>
      </c>
      <c r="C9448">
        <v>1</v>
      </c>
      <c r="D9448">
        <v>24.2</v>
      </c>
      <c r="E9448">
        <v>39</v>
      </c>
    </row>
    <row r="9449" spans="1:5" x14ac:dyDescent="0.3">
      <c r="A9449" t="s">
        <v>134</v>
      </c>
      <c r="B9449" s="1">
        <v>44695</v>
      </c>
      <c r="C9449">
        <v>1</v>
      </c>
      <c r="D9449">
        <v>27.39</v>
      </c>
      <c r="E9449">
        <v>42</v>
      </c>
    </row>
    <row r="9450" spans="1:5" x14ac:dyDescent="0.3">
      <c r="A9450" t="s">
        <v>134</v>
      </c>
      <c r="B9450" s="1">
        <v>44695</v>
      </c>
      <c r="C9450">
        <v>1</v>
      </c>
      <c r="D9450">
        <v>27.39</v>
      </c>
      <c r="E9450">
        <v>42</v>
      </c>
    </row>
    <row r="9451" spans="1:5" x14ac:dyDescent="0.3">
      <c r="A9451" t="s">
        <v>65</v>
      </c>
      <c r="B9451" s="1">
        <v>44695</v>
      </c>
      <c r="C9451">
        <v>1</v>
      </c>
      <c r="D9451">
        <v>184.45</v>
      </c>
      <c r="E9451">
        <v>216</v>
      </c>
    </row>
    <row r="9452" spans="1:5" x14ac:dyDescent="0.3">
      <c r="A9452" t="s">
        <v>11</v>
      </c>
      <c r="B9452" s="1">
        <v>44695</v>
      </c>
      <c r="C9452">
        <v>1</v>
      </c>
      <c r="D9452">
        <v>24.2</v>
      </c>
      <c r="E9452">
        <v>39</v>
      </c>
    </row>
    <row r="9453" spans="1:5" x14ac:dyDescent="0.3">
      <c r="A9453" t="s">
        <v>81</v>
      </c>
      <c r="B9453" s="1">
        <v>44695</v>
      </c>
      <c r="C9453">
        <v>1</v>
      </c>
      <c r="D9453">
        <v>38.79</v>
      </c>
      <c r="E9453">
        <v>49.5</v>
      </c>
    </row>
    <row r="9454" spans="1:5" x14ac:dyDescent="0.3">
      <c r="A9454" t="s">
        <v>81</v>
      </c>
      <c r="B9454" s="1">
        <v>44695</v>
      </c>
      <c r="C9454">
        <v>1</v>
      </c>
      <c r="D9454">
        <v>38.79</v>
      </c>
      <c r="E9454">
        <v>49.5</v>
      </c>
    </row>
    <row r="9455" spans="1:5" x14ac:dyDescent="0.3">
      <c r="A9455" t="s">
        <v>71</v>
      </c>
      <c r="B9455" s="1">
        <v>44695</v>
      </c>
      <c r="C9455">
        <v>1</v>
      </c>
      <c r="D9455">
        <v>34.75</v>
      </c>
      <c r="E9455">
        <v>53</v>
      </c>
    </row>
    <row r="9456" spans="1:5" x14ac:dyDescent="0.3">
      <c r="A9456" t="s">
        <v>71</v>
      </c>
      <c r="B9456" s="1">
        <v>44695</v>
      </c>
      <c r="C9456">
        <v>1</v>
      </c>
      <c r="D9456">
        <v>34.75</v>
      </c>
      <c r="E9456">
        <v>53</v>
      </c>
    </row>
    <row r="9457" spans="1:5" x14ac:dyDescent="0.3">
      <c r="A9457" t="s">
        <v>71</v>
      </c>
      <c r="B9457" s="1">
        <v>44695</v>
      </c>
      <c r="C9457">
        <v>1</v>
      </c>
      <c r="D9457">
        <v>34.75</v>
      </c>
      <c r="E9457">
        <v>53</v>
      </c>
    </row>
    <row r="9458" spans="1:5" x14ac:dyDescent="0.3">
      <c r="A9458" t="s">
        <v>83</v>
      </c>
      <c r="B9458" s="1">
        <v>44695</v>
      </c>
      <c r="C9458">
        <v>1</v>
      </c>
      <c r="D9458">
        <v>203.17</v>
      </c>
      <c r="E9458">
        <v>241</v>
      </c>
    </row>
    <row r="9459" spans="1:5" x14ac:dyDescent="0.3">
      <c r="A9459" t="s">
        <v>28</v>
      </c>
      <c r="B9459" s="1">
        <v>44695</v>
      </c>
      <c r="C9459">
        <v>1</v>
      </c>
      <c r="D9459">
        <v>141.08000000000001</v>
      </c>
      <c r="E9459">
        <v>205</v>
      </c>
    </row>
    <row r="9460" spans="1:5" x14ac:dyDescent="0.3">
      <c r="A9460" t="s">
        <v>22</v>
      </c>
      <c r="B9460" s="1">
        <v>44695</v>
      </c>
      <c r="C9460">
        <v>1</v>
      </c>
      <c r="D9460">
        <v>30.3</v>
      </c>
      <c r="E9460">
        <v>49</v>
      </c>
    </row>
    <row r="9461" spans="1:5" x14ac:dyDescent="0.3">
      <c r="A9461" t="s">
        <v>49</v>
      </c>
      <c r="B9461" s="1">
        <v>44695</v>
      </c>
      <c r="C9461">
        <v>1</v>
      </c>
      <c r="D9461">
        <v>15.32</v>
      </c>
      <c r="E9461">
        <v>19</v>
      </c>
    </row>
    <row r="9462" spans="1:5" x14ac:dyDescent="0.3">
      <c r="A9462" t="s">
        <v>49</v>
      </c>
      <c r="B9462" s="1">
        <v>44695</v>
      </c>
      <c r="C9462">
        <v>1</v>
      </c>
      <c r="D9462">
        <v>15.32</v>
      </c>
      <c r="E9462">
        <v>19</v>
      </c>
    </row>
    <row r="9463" spans="1:5" x14ac:dyDescent="0.3">
      <c r="A9463" t="s">
        <v>134</v>
      </c>
      <c r="B9463" s="1">
        <v>44695</v>
      </c>
      <c r="C9463">
        <v>1</v>
      </c>
      <c r="D9463">
        <v>27.39</v>
      </c>
      <c r="E9463">
        <v>42</v>
      </c>
    </row>
    <row r="9464" spans="1:5" x14ac:dyDescent="0.3">
      <c r="A9464" t="s">
        <v>134</v>
      </c>
      <c r="B9464" s="1">
        <v>44695</v>
      </c>
      <c r="C9464">
        <v>1</v>
      </c>
      <c r="D9464">
        <v>27.39</v>
      </c>
      <c r="E9464">
        <v>42</v>
      </c>
    </row>
    <row r="9465" spans="1:5" x14ac:dyDescent="0.3">
      <c r="A9465" t="s">
        <v>134</v>
      </c>
      <c r="B9465" s="1">
        <v>44695</v>
      </c>
      <c r="C9465">
        <v>1</v>
      </c>
      <c r="D9465">
        <v>27.39</v>
      </c>
      <c r="E9465">
        <v>42</v>
      </c>
    </row>
    <row r="9466" spans="1:5" x14ac:dyDescent="0.3">
      <c r="A9466" t="s">
        <v>134</v>
      </c>
      <c r="B9466" s="1">
        <v>44695</v>
      </c>
      <c r="C9466">
        <v>1</v>
      </c>
      <c r="D9466">
        <v>27.39</v>
      </c>
      <c r="E9466">
        <v>42</v>
      </c>
    </row>
    <row r="9467" spans="1:5" x14ac:dyDescent="0.3">
      <c r="A9467" t="s">
        <v>27</v>
      </c>
      <c r="B9467" s="1">
        <v>44695</v>
      </c>
      <c r="C9467">
        <v>1</v>
      </c>
      <c r="D9467">
        <v>106.88</v>
      </c>
      <c r="E9467">
        <v>164</v>
      </c>
    </row>
    <row r="9468" spans="1:5" x14ac:dyDescent="0.3">
      <c r="A9468" t="s">
        <v>106</v>
      </c>
      <c r="B9468" s="1">
        <v>44695</v>
      </c>
      <c r="C9468">
        <v>1</v>
      </c>
      <c r="D9468">
        <v>46.2</v>
      </c>
      <c r="E9468">
        <v>56</v>
      </c>
    </row>
    <row r="9469" spans="1:5" x14ac:dyDescent="0.3">
      <c r="A9469" t="s">
        <v>48</v>
      </c>
      <c r="B9469" s="1">
        <v>44695</v>
      </c>
      <c r="C9469">
        <v>1</v>
      </c>
      <c r="D9469">
        <v>38.67</v>
      </c>
      <c r="E9469">
        <v>59</v>
      </c>
    </row>
    <row r="9470" spans="1:5" x14ac:dyDescent="0.3">
      <c r="A9470" t="s">
        <v>48</v>
      </c>
      <c r="B9470" s="1">
        <v>44695</v>
      </c>
      <c r="C9470">
        <v>1</v>
      </c>
      <c r="D9470">
        <v>38.67</v>
      </c>
      <c r="E9470">
        <v>59</v>
      </c>
    </row>
    <row r="9471" spans="1:5" x14ac:dyDescent="0.3">
      <c r="A9471" t="s">
        <v>157</v>
      </c>
      <c r="B9471" s="1">
        <v>44695</v>
      </c>
      <c r="C9471">
        <v>1</v>
      </c>
      <c r="D9471">
        <v>12</v>
      </c>
      <c r="E9471">
        <v>20</v>
      </c>
    </row>
    <row r="9472" spans="1:5" x14ac:dyDescent="0.3">
      <c r="A9472" t="s">
        <v>24</v>
      </c>
      <c r="B9472" s="1">
        <v>44695</v>
      </c>
      <c r="C9472">
        <v>1</v>
      </c>
      <c r="D9472">
        <v>99.99</v>
      </c>
      <c r="E9472">
        <v>119</v>
      </c>
    </row>
    <row r="9473" spans="1:5" x14ac:dyDescent="0.3">
      <c r="A9473" t="s">
        <v>93</v>
      </c>
      <c r="B9473" s="1">
        <v>44695</v>
      </c>
      <c r="C9473">
        <v>1</v>
      </c>
      <c r="D9473">
        <v>74.42</v>
      </c>
      <c r="E9473">
        <v>106</v>
      </c>
    </row>
    <row r="9474" spans="1:5" x14ac:dyDescent="0.3">
      <c r="A9474" t="s">
        <v>55</v>
      </c>
      <c r="B9474" s="1">
        <v>44695</v>
      </c>
      <c r="C9474">
        <v>1</v>
      </c>
      <c r="D9474">
        <v>77.78</v>
      </c>
      <c r="E9474">
        <v>97</v>
      </c>
    </row>
    <row r="9475" spans="1:5" x14ac:dyDescent="0.3">
      <c r="A9475" t="s">
        <v>79</v>
      </c>
      <c r="B9475" s="1">
        <v>44695</v>
      </c>
      <c r="C9475">
        <v>1</v>
      </c>
      <c r="D9475">
        <v>148.5</v>
      </c>
      <c r="E9475">
        <v>180</v>
      </c>
    </row>
    <row r="9476" spans="1:5" x14ac:dyDescent="0.3">
      <c r="A9476" t="s">
        <v>44</v>
      </c>
      <c r="B9476" s="1">
        <v>44695</v>
      </c>
      <c r="C9476">
        <v>1</v>
      </c>
      <c r="D9476">
        <v>64.260000000000005</v>
      </c>
      <c r="E9476">
        <v>100</v>
      </c>
    </row>
    <row r="9477" spans="1:5" x14ac:dyDescent="0.3">
      <c r="A9477" t="s">
        <v>5</v>
      </c>
      <c r="B9477" s="1">
        <v>44695</v>
      </c>
      <c r="C9477">
        <v>1</v>
      </c>
      <c r="D9477">
        <v>134.49</v>
      </c>
      <c r="E9477">
        <v>161</v>
      </c>
    </row>
    <row r="9478" spans="1:5" x14ac:dyDescent="0.3">
      <c r="A9478" t="s">
        <v>56</v>
      </c>
      <c r="B9478" s="1">
        <v>44695</v>
      </c>
      <c r="C9478">
        <v>1</v>
      </c>
      <c r="D9478">
        <v>44.13</v>
      </c>
      <c r="E9478">
        <v>69</v>
      </c>
    </row>
    <row r="9479" spans="1:5" x14ac:dyDescent="0.3">
      <c r="A9479" t="s">
        <v>32</v>
      </c>
      <c r="B9479" s="1">
        <v>44695</v>
      </c>
      <c r="C9479">
        <v>0.2</v>
      </c>
      <c r="D9479">
        <v>150.1</v>
      </c>
      <c r="E9479">
        <v>229</v>
      </c>
    </row>
    <row r="9480" spans="1:5" x14ac:dyDescent="0.3">
      <c r="A9480" t="s">
        <v>15</v>
      </c>
      <c r="B9480" s="1">
        <v>44695</v>
      </c>
      <c r="C9480">
        <v>1</v>
      </c>
      <c r="D9480">
        <v>44.41</v>
      </c>
      <c r="E9480">
        <v>72</v>
      </c>
    </row>
    <row r="9481" spans="1:5" x14ac:dyDescent="0.3">
      <c r="A9481" t="s">
        <v>48</v>
      </c>
      <c r="B9481" s="1">
        <v>44695</v>
      </c>
      <c r="C9481">
        <v>1</v>
      </c>
      <c r="D9481">
        <v>38.67</v>
      </c>
      <c r="E9481">
        <v>60</v>
      </c>
    </row>
    <row r="9482" spans="1:5" x14ac:dyDescent="0.3">
      <c r="A9482" t="s">
        <v>64</v>
      </c>
      <c r="B9482" s="1">
        <v>44695</v>
      </c>
      <c r="C9482">
        <v>1</v>
      </c>
      <c r="D9482">
        <v>201.71</v>
      </c>
      <c r="E9482">
        <v>277</v>
      </c>
    </row>
    <row r="9483" spans="1:5" x14ac:dyDescent="0.3">
      <c r="A9483" t="s">
        <v>20</v>
      </c>
      <c r="B9483" s="1">
        <v>44695</v>
      </c>
      <c r="C9483">
        <v>1</v>
      </c>
      <c r="D9483">
        <v>19.71</v>
      </c>
      <c r="E9483">
        <v>25</v>
      </c>
    </row>
    <row r="9484" spans="1:5" x14ac:dyDescent="0.3">
      <c r="A9484" t="s">
        <v>19</v>
      </c>
      <c r="B9484" s="1">
        <v>44695</v>
      </c>
      <c r="C9484">
        <v>1</v>
      </c>
      <c r="D9484">
        <v>81.760000000000005</v>
      </c>
      <c r="E9484">
        <v>102</v>
      </c>
    </row>
    <row r="9485" spans="1:5" x14ac:dyDescent="0.3">
      <c r="A9485" t="s">
        <v>131</v>
      </c>
      <c r="B9485" s="1">
        <v>44695</v>
      </c>
      <c r="C9485">
        <v>1</v>
      </c>
      <c r="D9485">
        <v>361.44</v>
      </c>
      <c r="E9485">
        <v>434</v>
      </c>
    </row>
    <row r="9486" spans="1:5" x14ac:dyDescent="0.3">
      <c r="A9486" t="s">
        <v>85</v>
      </c>
      <c r="B9486" s="1">
        <v>44695</v>
      </c>
      <c r="C9486">
        <v>1</v>
      </c>
      <c r="D9486">
        <v>14.63</v>
      </c>
      <c r="E9486">
        <v>23</v>
      </c>
    </row>
    <row r="9487" spans="1:5" x14ac:dyDescent="0.3">
      <c r="A9487" t="s">
        <v>85</v>
      </c>
      <c r="B9487" s="1">
        <v>44695</v>
      </c>
      <c r="C9487">
        <v>1</v>
      </c>
      <c r="D9487">
        <v>14.63</v>
      </c>
      <c r="E9487">
        <v>23</v>
      </c>
    </row>
    <row r="9488" spans="1:5" x14ac:dyDescent="0.3">
      <c r="A9488" t="s">
        <v>13</v>
      </c>
      <c r="B9488" s="1">
        <v>44695</v>
      </c>
      <c r="C9488">
        <v>1</v>
      </c>
      <c r="D9488">
        <v>125.93</v>
      </c>
      <c r="E9488">
        <v>150</v>
      </c>
    </row>
    <row r="9489" spans="1:5" x14ac:dyDescent="0.3">
      <c r="A9489" t="s">
        <v>146</v>
      </c>
      <c r="B9489" s="1">
        <v>44695</v>
      </c>
      <c r="C9489">
        <v>1</v>
      </c>
      <c r="D9489">
        <v>406.36</v>
      </c>
      <c r="E9489">
        <v>456</v>
      </c>
    </row>
    <row r="9490" spans="1:5" x14ac:dyDescent="0.3">
      <c r="A9490" t="s">
        <v>54</v>
      </c>
      <c r="B9490" s="1">
        <v>44695</v>
      </c>
      <c r="C9490">
        <v>1</v>
      </c>
      <c r="D9490">
        <v>635.70000000000005</v>
      </c>
      <c r="E9490">
        <v>821</v>
      </c>
    </row>
    <row r="9491" spans="1:5" x14ac:dyDescent="0.3">
      <c r="A9491" t="s">
        <v>11</v>
      </c>
      <c r="B9491" s="1">
        <v>44695</v>
      </c>
      <c r="C9491">
        <v>1</v>
      </c>
      <c r="D9491">
        <v>24.2</v>
      </c>
      <c r="E9491">
        <v>39</v>
      </c>
    </row>
    <row r="9492" spans="1:5" x14ac:dyDescent="0.3">
      <c r="A9492" t="s">
        <v>153</v>
      </c>
      <c r="B9492" s="1">
        <v>44695</v>
      </c>
      <c r="C9492">
        <v>1</v>
      </c>
      <c r="D9492">
        <v>9.4600000000000009</v>
      </c>
      <c r="E9492">
        <v>11</v>
      </c>
    </row>
    <row r="9493" spans="1:5" x14ac:dyDescent="0.3">
      <c r="A9493" t="s">
        <v>153</v>
      </c>
      <c r="B9493" s="1">
        <v>44695</v>
      </c>
      <c r="C9493">
        <v>1</v>
      </c>
      <c r="D9493">
        <v>9.4600000000000009</v>
      </c>
      <c r="E9493">
        <v>11</v>
      </c>
    </row>
    <row r="9494" spans="1:5" x14ac:dyDescent="0.3">
      <c r="A9494" t="s">
        <v>153</v>
      </c>
      <c r="B9494" s="1">
        <v>44695</v>
      </c>
      <c r="C9494">
        <v>1</v>
      </c>
      <c r="D9494">
        <v>9.4600000000000009</v>
      </c>
      <c r="E9494">
        <v>11</v>
      </c>
    </row>
    <row r="9495" spans="1:5" x14ac:dyDescent="0.3">
      <c r="A9495" t="s">
        <v>92</v>
      </c>
      <c r="B9495" s="1">
        <v>44695</v>
      </c>
      <c r="C9495">
        <v>1</v>
      </c>
      <c r="D9495">
        <v>5.78</v>
      </c>
      <c r="E9495">
        <v>8</v>
      </c>
    </row>
    <row r="9496" spans="1:5" x14ac:dyDescent="0.3">
      <c r="A9496" t="s">
        <v>54</v>
      </c>
      <c r="B9496" s="1">
        <v>44695</v>
      </c>
      <c r="C9496">
        <v>1</v>
      </c>
      <c r="D9496">
        <v>635.70000000000005</v>
      </c>
      <c r="E9496">
        <v>821</v>
      </c>
    </row>
    <row r="9497" spans="1:5" x14ac:dyDescent="0.3">
      <c r="A9497" t="s">
        <v>152</v>
      </c>
      <c r="B9497" s="1">
        <v>44695</v>
      </c>
      <c r="C9497">
        <v>1</v>
      </c>
      <c r="D9497">
        <v>107.99</v>
      </c>
      <c r="E9497">
        <v>135</v>
      </c>
    </row>
    <row r="9498" spans="1:5" x14ac:dyDescent="0.3">
      <c r="A9498" t="s">
        <v>144</v>
      </c>
      <c r="B9498" s="1">
        <v>44695</v>
      </c>
      <c r="C9498">
        <v>1</v>
      </c>
      <c r="D9498">
        <v>52.47</v>
      </c>
      <c r="E9498">
        <v>75</v>
      </c>
    </row>
    <row r="9499" spans="1:5" x14ac:dyDescent="0.3">
      <c r="A9499" t="s">
        <v>144</v>
      </c>
      <c r="B9499" s="1">
        <v>44695</v>
      </c>
      <c r="C9499">
        <v>1</v>
      </c>
      <c r="D9499">
        <v>52.47</v>
      </c>
      <c r="E9499">
        <v>75</v>
      </c>
    </row>
    <row r="9500" spans="1:5" x14ac:dyDescent="0.3">
      <c r="A9500" t="s">
        <v>144</v>
      </c>
      <c r="B9500" s="1">
        <v>44695</v>
      </c>
      <c r="C9500">
        <v>1</v>
      </c>
      <c r="D9500">
        <v>52.47</v>
      </c>
      <c r="E9500">
        <v>75</v>
      </c>
    </row>
    <row r="9501" spans="1:5" x14ac:dyDescent="0.3">
      <c r="A9501" t="s">
        <v>144</v>
      </c>
      <c r="B9501" s="1">
        <v>44695</v>
      </c>
      <c r="C9501">
        <v>1</v>
      </c>
      <c r="D9501">
        <v>52.47</v>
      </c>
      <c r="E9501">
        <v>75</v>
      </c>
    </row>
    <row r="9502" spans="1:5" x14ac:dyDescent="0.3">
      <c r="A9502" t="s">
        <v>79</v>
      </c>
      <c r="B9502" s="1">
        <v>44695</v>
      </c>
      <c r="C9502">
        <v>1</v>
      </c>
      <c r="D9502">
        <v>148.5</v>
      </c>
      <c r="E9502">
        <v>177</v>
      </c>
    </row>
    <row r="9503" spans="1:5" x14ac:dyDescent="0.3">
      <c r="A9503" t="s">
        <v>86</v>
      </c>
      <c r="B9503" s="1">
        <v>44695</v>
      </c>
      <c r="C9503">
        <v>1</v>
      </c>
      <c r="D9503">
        <v>39.619999999999997</v>
      </c>
      <c r="E9503">
        <v>69</v>
      </c>
    </row>
    <row r="9504" spans="1:5" x14ac:dyDescent="0.3">
      <c r="A9504" t="s">
        <v>36</v>
      </c>
      <c r="B9504" s="1">
        <v>44695</v>
      </c>
      <c r="C9504">
        <v>1</v>
      </c>
      <c r="D9504">
        <v>22.93</v>
      </c>
      <c r="E9504">
        <v>29</v>
      </c>
    </row>
    <row r="9505" spans="1:5" x14ac:dyDescent="0.3">
      <c r="A9505" t="s">
        <v>82</v>
      </c>
      <c r="B9505" s="1">
        <v>44695</v>
      </c>
      <c r="C9505">
        <v>1</v>
      </c>
      <c r="D9505">
        <v>40.1</v>
      </c>
      <c r="E9505">
        <v>51</v>
      </c>
    </row>
    <row r="9506" spans="1:5" x14ac:dyDescent="0.3">
      <c r="A9506" t="s">
        <v>104</v>
      </c>
      <c r="B9506" s="1">
        <v>44695</v>
      </c>
      <c r="C9506">
        <v>1</v>
      </c>
      <c r="D9506">
        <v>44.4</v>
      </c>
      <c r="E9506">
        <v>57</v>
      </c>
    </row>
    <row r="9507" spans="1:5" x14ac:dyDescent="0.3">
      <c r="A9507" t="s">
        <v>62</v>
      </c>
      <c r="B9507" s="1">
        <v>44695</v>
      </c>
      <c r="C9507">
        <v>1</v>
      </c>
      <c r="D9507">
        <v>25.71</v>
      </c>
      <c r="E9507">
        <v>31</v>
      </c>
    </row>
    <row r="9508" spans="1:5" x14ac:dyDescent="0.3">
      <c r="A9508" t="s">
        <v>62</v>
      </c>
      <c r="B9508" s="1">
        <v>44695</v>
      </c>
      <c r="C9508">
        <v>1</v>
      </c>
      <c r="D9508">
        <v>25.71</v>
      </c>
      <c r="E9508">
        <v>31</v>
      </c>
    </row>
    <row r="9509" spans="1:5" x14ac:dyDescent="0.3">
      <c r="A9509" t="s">
        <v>62</v>
      </c>
      <c r="B9509" s="1">
        <v>44695</v>
      </c>
      <c r="C9509">
        <v>1</v>
      </c>
      <c r="D9509">
        <v>25.71</v>
      </c>
      <c r="E9509">
        <v>31</v>
      </c>
    </row>
    <row r="9510" spans="1:5" x14ac:dyDescent="0.3">
      <c r="A9510" t="s">
        <v>34</v>
      </c>
      <c r="B9510" s="1">
        <v>44695</v>
      </c>
      <c r="C9510">
        <v>1</v>
      </c>
      <c r="D9510">
        <v>202.75</v>
      </c>
      <c r="E9510">
        <v>238</v>
      </c>
    </row>
    <row r="9511" spans="1:5" x14ac:dyDescent="0.3">
      <c r="A9511" t="s">
        <v>28</v>
      </c>
      <c r="B9511" s="1">
        <v>44695</v>
      </c>
      <c r="C9511">
        <v>1</v>
      </c>
      <c r="D9511">
        <v>146.80000000000001</v>
      </c>
      <c r="E9511">
        <v>199</v>
      </c>
    </row>
    <row r="9512" spans="1:5" x14ac:dyDescent="0.3">
      <c r="A9512" t="s">
        <v>26</v>
      </c>
      <c r="B9512" s="1">
        <v>44695</v>
      </c>
      <c r="C9512">
        <v>0.3</v>
      </c>
      <c r="D9512">
        <v>1026.1199999999999</v>
      </c>
      <c r="E9512">
        <v>1283</v>
      </c>
    </row>
    <row r="9513" spans="1:5" x14ac:dyDescent="0.3">
      <c r="A9513" t="s">
        <v>142</v>
      </c>
      <c r="B9513" s="1">
        <v>44695</v>
      </c>
      <c r="C9513">
        <v>1</v>
      </c>
      <c r="D9513">
        <v>12.86</v>
      </c>
      <c r="E9513">
        <v>15</v>
      </c>
    </row>
    <row r="9514" spans="1:5" x14ac:dyDescent="0.3">
      <c r="A9514" t="s">
        <v>5</v>
      </c>
      <c r="B9514" s="1">
        <v>44695</v>
      </c>
      <c r="C9514">
        <v>1</v>
      </c>
      <c r="D9514">
        <v>131.93</v>
      </c>
      <c r="E9514">
        <v>151</v>
      </c>
    </row>
    <row r="9515" spans="1:5" x14ac:dyDescent="0.3">
      <c r="A9515" t="s">
        <v>24</v>
      </c>
      <c r="B9515" s="1">
        <v>44695</v>
      </c>
      <c r="C9515">
        <v>1</v>
      </c>
      <c r="D9515">
        <v>98.67</v>
      </c>
      <c r="E9515">
        <v>120</v>
      </c>
    </row>
    <row r="9516" spans="1:5" x14ac:dyDescent="0.3">
      <c r="A9516" t="s">
        <v>11</v>
      </c>
      <c r="B9516" s="1">
        <v>44695</v>
      </c>
      <c r="C9516">
        <v>1</v>
      </c>
      <c r="D9516">
        <v>24.2</v>
      </c>
      <c r="E9516">
        <v>39</v>
      </c>
    </row>
    <row r="9517" spans="1:5" x14ac:dyDescent="0.3">
      <c r="A9517" t="s">
        <v>34</v>
      </c>
      <c r="B9517" s="1">
        <v>44695</v>
      </c>
      <c r="C9517">
        <v>1</v>
      </c>
      <c r="D9517">
        <v>199.58</v>
      </c>
      <c r="E9517">
        <v>234</v>
      </c>
    </row>
    <row r="9518" spans="1:5" x14ac:dyDescent="0.3">
      <c r="A9518" t="s">
        <v>134</v>
      </c>
      <c r="B9518" s="1">
        <v>44695</v>
      </c>
      <c r="C9518">
        <v>1</v>
      </c>
      <c r="D9518">
        <v>27.39</v>
      </c>
      <c r="E9518">
        <v>42</v>
      </c>
    </row>
    <row r="9519" spans="1:5" x14ac:dyDescent="0.3">
      <c r="A9519" t="s">
        <v>128</v>
      </c>
      <c r="B9519" s="1">
        <v>44695</v>
      </c>
      <c r="C9519">
        <v>1</v>
      </c>
      <c r="D9519">
        <v>278.93</v>
      </c>
      <c r="E9519">
        <v>369</v>
      </c>
    </row>
    <row r="9520" spans="1:5" x14ac:dyDescent="0.3">
      <c r="A9520" t="s">
        <v>42</v>
      </c>
      <c r="B9520" s="1">
        <v>44695</v>
      </c>
      <c r="C9520">
        <v>1</v>
      </c>
      <c r="D9520">
        <v>634.73</v>
      </c>
      <c r="E9520">
        <v>794</v>
      </c>
    </row>
    <row r="9521" spans="1:5" x14ac:dyDescent="0.3">
      <c r="A9521" t="s">
        <v>39</v>
      </c>
      <c r="B9521" s="1">
        <v>44695</v>
      </c>
      <c r="C9521">
        <v>7</v>
      </c>
      <c r="D9521">
        <v>13.72</v>
      </c>
      <c r="E9521">
        <v>23</v>
      </c>
    </row>
    <row r="9522" spans="1:5" x14ac:dyDescent="0.3">
      <c r="A9522" t="s">
        <v>149</v>
      </c>
      <c r="B9522" s="1">
        <v>44695</v>
      </c>
      <c r="C9522">
        <v>1</v>
      </c>
      <c r="D9522">
        <v>218.9</v>
      </c>
      <c r="E9522">
        <v>296</v>
      </c>
    </row>
    <row r="9523" spans="1:5" x14ac:dyDescent="0.3">
      <c r="A9523" t="s">
        <v>159</v>
      </c>
      <c r="B9523" s="1">
        <v>44695</v>
      </c>
      <c r="C9523">
        <v>1</v>
      </c>
      <c r="D9523">
        <v>50.53</v>
      </c>
      <c r="E9523">
        <v>63</v>
      </c>
    </row>
    <row r="9524" spans="1:5" x14ac:dyDescent="0.3">
      <c r="A9524" t="s">
        <v>101</v>
      </c>
      <c r="B9524" s="1">
        <v>44695</v>
      </c>
      <c r="C9524">
        <v>1</v>
      </c>
      <c r="D9524">
        <v>28.66</v>
      </c>
      <c r="E9524">
        <v>44</v>
      </c>
    </row>
    <row r="9525" spans="1:5" x14ac:dyDescent="0.3">
      <c r="A9525" t="s">
        <v>8</v>
      </c>
      <c r="B9525" s="1">
        <v>44695</v>
      </c>
      <c r="C9525">
        <v>1</v>
      </c>
      <c r="D9525">
        <v>47.01</v>
      </c>
      <c r="E9525">
        <v>77</v>
      </c>
    </row>
    <row r="9526" spans="1:5" x14ac:dyDescent="0.3">
      <c r="A9526" t="s">
        <v>120</v>
      </c>
      <c r="B9526" s="1">
        <v>44695</v>
      </c>
      <c r="C9526">
        <v>1</v>
      </c>
      <c r="D9526">
        <v>131.01</v>
      </c>
      <c r="E9526">
        <v>180</v>
      </c>
    </row>
    <row r="9527" spans="1:5" x14ac:dyDescent="0.3">
      <c r="A9527" t="s">
        <v>131</v>
      </c>
      <c r="B9527" s="1">
        <v>44695</v>
      </c>
      <c r="C9527">
        <v>1</v>
      </c>
      <c r="D9527">
        <v>356.07</v>
      </c>
      <c r="E9527">
        <v>417</v>
      </c>
    </row>
    <row r="9528" spans="1:5" x14ac:dyDescent="0.3">
      <c r="A9528" t="s">
        <v>25</v>
      </c>
      <c r="B9528" s="1">
        <v>44695</v>
      </c>
      <c r="C9528">
        <v>1</v>
      </c>
      <c r="D9528">
        <v>151.22</v>
      </c>
      <c r="E9528">
        <v>177</v>
      </c>
    </row>
    <row r="9529" spans="1:5" x14ac:dyDescent="0.3">
      <c r="A9529" t="s">
        <v>135</v>
      </c>
      <c r="B9529" s="1">
        <v>44695</v>
      </c>
      <c r="C9529">
        <v>1</v>
      </c>
      <c r="D9529">
        <v>75.28</v>
      </c>
      <c r="E9529">
        <v>95</v>
      </c>
    </row>
    <row r="9530" spans="1:5" x14ac:dyDescent="0.3">
      <c r="A9530" t="s">
        <v>41</v>
      </c>
      <c r="B9530" s="1">
        <v>44695</v>
      </c>
      <c r="C9530">
        <v>2</v>
      </c>
      <c r="D9530">
        <v>11.45</v>
      </c>
      <c r="E9530">
        <v>19</v>
      </c>
    </row>
    <row r="9531" spans="1:5" x14ac:dyDescent="0.3">
      <c r="A9531" t="s">
        <v>140</v>
      </c>
      <c r="B9531" s="1">
        <v>44695</v>
      </c>
      <c r="C9531">
        <v>1</v>
      </c>
      <c r="D9531">
        <v>158.94</v>
      </c>
      <c r="E9531">
        <v>194</v>
      </c>
    </row>
    <row r="9532" spans="1:5" x14ac:dyDescent="0.3">
      <c r="A9532" t="s">
        <v>66</v>
      </c>
      <c r="B9532" s="1">
        <v>44695</v>
      </c>
      <c r="C9532">
        <v>1</v>
      </c>
      <c r="D9532">
        <v>30.6</v>
      </c>
      <c r="E9532">
        <v>37</v>
      </c>
    </row>
    <row r="9533" spans="1:5" x14ac:dyDescent="0.3">
      <c r="A9533" t="s">
        <v>66</v>
      </c>
      <c r="B9533" s="1">
        <v>44695</v>
      </c>
      <c r="C9533">
        <v>1</v>
      </c>
      <c r="D9533">
        <v>30.6</v>
      </c>
      <c r="E9533">
        <v>37</v>
      </c>
    </row>
    <row r="9534" spans="1:5" x14ac:dyDescent="0.3">
      <c r="A9534" t="s">
        <v>66</v>
      </c>
      <c r="B9534" s="1">
        <v>44695</v>
      </c>
      <c r="C9534">
        <v>1</v>
      </c>
      <c r="D9534">
        <v>30.6</v>
      </c>
      <c r="E9534">
        <v>37</v>
      </c>
    </row>
    <row r="9535" spans="1:5" x14ac:dyDescent="0.3">
      <c r="A9535" t="s">
        <v>66</v>
      </c>
      <c r="B9535" s="1">
        <v>44695</v>
      </c>
      <c r="C9535">
        <v>1</v>
      </c>
      <c r="D9535">
        <v>30.6</v>
      </c>
      <c r="E9535">
        <v>37</v>
      </c>
    </row>
    <row r="9536" spans="1:5" x14ac:dyDescent="0.3">
      <c r="A9536" t="s">
        <v>78</v>
      </c>
      <c r="B9536" s="1">
        <v>44695</v>
      </c>
      <c r="C9536">
        <v>1</v>
      </c>
      <c r="D9536">
        <v>70.53</v>
      </c>
      <c r="E9536">
        <v>89</v>
      </c>
    </row>
    <row r="9537" spans="1:5" x14ac:dyDescent="0.3">
      <c r="A9537" t="s">
        <v>95</v>
      </c>
      <c r="B9537" s="1">
        <v>44695</v>
      </c>
      <c r="C9537">
        <v>1</v>
      </c>
      <c r="D9537">
        <v>130.88999999999999</v>
      </c>
      <c r="E9537">
        <v>206</v>
      </c>
    </row>
    <row r="9538" spans="1:5" x14ac:dyDescent="0.3">
      <c r="A9538" t="s">
        <v>159</v>
      </c>
      <c r="B9538" s="1">
        <v>44695</v>
      </c>
      <c r="C9538">
        <v>1</v>
      </c>
      <c r="D9538">
        <v>51.13</v>
      </c>
      <c r="E9538">
        <v>63</v>
      </c>
    </row>
    <row r="9539" spans="1:5" x14ac:dyDescent="0.3">
      <c r="A9539" t="s">
        <v>35</v>
      </c>
      <c r="B9539" s="1">
        <v>44695</v>
      </c>
      <c r="C9539">
        <v>2</v>
      </c>
      <c r="D9539">
        <v>30.35</v>
      </c>
      <c r="E9539">
        <v>48</v>
      </c>
    </row>
    <row r="9540" spans="1:5" x14ac:dyDescent="0.3">
      <c r="A9540" t="s">
        <v>66</v>
      </c>
      <c r="B9540" s="1">
        <v>44695</v>
      </c>
      <c r="C9540">
        <v>1</v>
      </c>
      <c r="D9540">
        <v>30.78</v>
      </c>
      <c r="E9540">
        <v>36</v>
      </c>
    </row>
    <row r="9541" spans="1:5" x14ac:dyDescent="0.3">
      <c r="A9541" t="s">
        <v>66</v>
      </c>
      <c r="B9541" s="1">
        <v>44695</v>
      </c>
      <c r="C9541">
        <v>1</v>
      </c>
      <c r="D9541">
        <v>30.78</v>
      </c>
      <c r="E9541">
        <v>36</v>
      </c>
    </row>
    <row r="9542" spans="1:5" x14ac:dyDescent="0.3">
      <c r="A9542" t="s">
        <v>66</v>
      </c>
      <c r="B9542" s="1">
        <v>44695</v>
      </c>
      <c r="C9542">
        <v>1</v>
      </c>
      <c r="D9542">
        <v>30.78</v>
      </c>
      <c r="E9542">
        <v>36</v>
      </c>
    </row>
    <row r="9543" spans="1:5" x14ac:dyDescent="0.3">
      <c r="A9543" t="s">
        <v>23</v>
      </c>
      <c r="B9543" s="1">
        <v>44695</v>
      </c>
      <c r="C9543">
        <v>1</v>
      </c>
      <c r="D9543">
        <v>110.18</v>
      </c>
      <c r="E9543">
        <v>124</v>
      </c>
    </row>
    <row r="9544" spans="1:5" x14ac:dyDescent="0.3">
      <c r="A9544" t="s">
        <v>81</v>
      </c>
      <c r="B9544" s="1">
        <v>44695</v>
      </c>
      <c r="C9544">
        <v>1</v>
      </c>
      <c r="D9544">
        <v>40.450000000000003</v>
      </c>
      <c r="E9544">
        <v>50</v>
      </c>
    </row>
    <row r="9545" spans="1:5" x14ac:dyDescent="0.3">
      <c r="A9545" t="s">
        <v>81</v>
      </c>
      <c r="B9545" s="1">
        <v>44695</v>
      </c>
      <c r="C9545">
        <v>1</v>
      </c>
      <c r="D9545">
        <v>40.450000000000003</v>
      </c>
      <c r="E9545">
        <v>50</v>
      </c>
    </row>
    <row r="9546" spans="1:5" x14ac:dyDescent="0.3">
      <c r="A9546" t="s">
        <v>57</v>
      </c>
      <c r="B9546" s="1">
        <v>44695</v>
      </c>
      <c r="C9546">
        <v>1</v>
      </c>
      <c r="D9546">
        <v>233.76</v>
      </c>
      <c r="E9546">
        <v>274</v>
      </c>
    </row>
    <row r="9547" spans="1:5" x14ac:dyDescent="0.3">
      <c r="A9547" t="s">
        <v>51</v>
      </c>
      <c r="B9547" s="1">
        <v>44695</v>
      </c>
      <c r="C9547">
        <v>12</v>
      </c>
      <c r="D9547">
        <v>2.0499999999999998</v>
      </c>
      <c r="E9547">
        <v>4</v>
      </c>
    </row>
    <row r="9548" spans="1:5" x14ac:dyDescent="0.3">
      <c r="A9548" t="s">
        <v>135</v>
      </c>
      <c r="B9548" s="1">
        <v>44695</v>
      </c>
      <c r="C9548">
        <v>1</v>
      </c>
      <c r="D9548">
        <v>72.89</v>
      </c>
      <c r="E9548">
        <v>92</v>
      </c>
    </row>
    <row r="9549" spans="1:5" x14ac:dyDescent="0.3">
      <c r="A9549" t="s">
        <v>135</v>
      </c>
      <c r="B9549" s="1">
        <v>44695</v>
      </c>
      <c r="C9549">
        <v>1</v>
      </c>
      <c r="D9549">
        <v>75.28</v>
      </c>
      <c r="E9549">
        <v>95</v>
      </c>
    </row>
    <row r="9550" spans="1:5" x14ac:dyDescent="0.3">
      <c r="A9550" t="s">
        <v>150</v>
      </c>
      <c r="B9550" s="1">
        <v>44695</v>
      </c>
      <c r="C9550">
        <v>1</v>
      </c>
      <c r="D9550">
        <v>77.400000000000006</v>
      </c>
      <c r="E9550">
        <v>120</v>
      </c>
    </row>
    <row r="9551" spans="1:5" x14ac:dyDescent="0.3">
      <c r="A9551" t="s">
        <v>23</v>
      </c>
      <c r="B9551" s="1">
        <v>44695</v>
      </c>
      <c r="C9551">
        <v>1</v>
      </c>
      <c r="D9551">
        <v>109.41</v>
      </c>
      <c r="E9551">
        <v>123</v>
      </c>
    </row>
    <row r="9552" spans="1:5" x14ac:dyDescent="0.3">
      <c r="A9552" t="s">
        <v>55</v>
      </c>
      <c r="B9552" s="1">
        <v>44695</v>
      </c>
      <c r="C9552">
        <v>1</v>
      </c>
      <c r="D9552">
        <v>77.63</v>
      </c>
      <c r="E9552">
        <v>95</v>
      </c>
    </row>
    <row r="9553" spans="1:5" x14ac:dyDescent="0.3">
      <c r="A9553" t="s">
        <v>11</v>
      </c>
      <c r="B9553" s="1">
        <v>44695</v>
      </c>
      <c r="C9553">
        <v>1</v>
      </c>
      <c r="D9553">
        <v>24.2</v>
      </c>
      <c r="E9553">
        <v>39</v>
      </c>
    </row>
    <row r="9554" spans="1:5" x14ac:dyDescent="0.3">
      <c r="A9554" t="s">
        <v>156</v>
      </c>
      <c r="B9554" s="1">
        <v>44695</v>
      </c>
      <c r="C9554">
        <v>1</v>
      </c>
      <c r="D9554">
        <v>248.25</v>
      </c>
      <c r="E9554">
        <v>348</v>
      </c>
    </row>
    <row r="9555" spans="1:5" x14ac:dyDescent="0.3">
      <c r="A9555" t="s">
        <v>20</v>
      </c>
      <c r="B9555" s="1">
        <v>44695</v>
      </c>
      <c r="C9555">
        <v>1</v>
      </c>
      <c r="D9555">
        <v>19.66</v>
      </c>
      <c r="E9555">
        <v>25</v>
      </c>
    </row>
    <row r="9556" spans="1:5" x14ac:dyDescent="0.3">
      <c r="A9556" t="s">
        <v>20</v>
      </c>
      <c r="B9556" s="1">
        <v>44695</v>
      </c>
      <c r="C9556">
        <v>1</v>
      </c>
      <c r="D9556">
        <v>19.66</v>
      </c>
      <c r="E9556">
        <v>25</v>
      </c>
    </row>
    <row r="9557" spans="1:5" x14ac:dyDescent="0.3">
      <c r="A9557" t="s">
        <v>65</v>
      </c>
      <c r="B9557" s="1">
        <v>44695</v>
      </c>
      <c r="C9557">
        <v>1</v>
      </c>
      <c r="D9557">
        <v>184.45</v>
      </c>
      <c r="E9557">
        <v>216</v>
      </c>
    </row>
    <row r="9558" spans="1:5" x14ac:dyDescent="0.3">
      <c r="A9558" t="s">
        <v>141</v>
      </c>
      <c r="B9558" s="1">
        <v>44695</v>
      </c>
      <c r="C9558">
        <v>1</v>
      </c>
      <c r="D9558">
        <v>10.76</v>
      </c>
      <c r="E9558">
        <v>18</v>
      </c>
    </row>
    <row r="9559" spans="1:5" x14ac:dyDescent="0.3">
      <c r="A9559" t="s">
        <v>157</v>
      </c>
      <c r="B9559" s="1">
        <v>44695</v>
      </c>
      <c r="C9559">
        <v>1</v>
      </c>
      <c r="D9559">
        <v>12</v>
      </c>
      <c r="E9559">
        <v>20</v>
      </c>
    </row>
    <row r="9560" spans="1:5" x14ac:dyDescent="0.3">
      <c r="A9560" t="s">
        <v>103</v>
      </c>
      <c r="B9560" s="1">
        <v>44695</v>
      </c>
      <c r="C9560">
        <v>1</v>
      </c>
      <c r="D9560">
        <v>41.33</v>
      </c>
      <c r="E9560">
        <v>65</v>
      </c>
    </row>
    <row r="9561" spans="1:5" x14ac:dyDescent="0.3">
      <c r="A9561" t="s">
        <v>110</v>
      </c>
      <c r="B9561" s="1">
        <v>44695</v>
      </c>
      <c r="C9561">
        <v>1</v>
      </c>
      <c r="D9561">
        <v>208.48</v>
      </c>
      <c r="E9561">
        <v>292</v>
      </c>
    </row>
    <row r="9562" spans="1:5" x14ac:dyDescent="0.3">
      <c r="A9562" t="s">
        <v>46</v>
      </c>
      <c r="B9562" s="1">
        <v>44695</v>
      </c>
      <c r="C9562">
        <v>1</v>
      </c>
      <c r="D9562">
        <v>19.600000000000001</v>
      </c>
      <c r="E9562">
        <v>24</v>
      </c>
    </row>
    <row r="9563" spans="1:5" x14ac:dyDescent="0.3">
      <c r="A9563" t="s">
        <v>45</v>
      </c>
      <c r="B9563" s="1">
        <v>44695</v>
      </c>
      <c r="C9563">
        <v>1</v>
      </c>
      <c r="D9563">
        <v>27.94</v>
      </c>
      <c r="E9563">
        <v>45</v>
      </c>
    </row>
    <row r="9564" spans="1:5" x14ac:dyDescent="0.3">
      <c r="A9564" t="s">
        <v>109</v>
      </c>
      <c r="B9564" s="1">
        <v>44695</v>
      </c>
      <c r="C9564">
        <v>1</v>
      </c>
      <c r="D9564">
        <v>87.23</v>
      </c>
      <c r="E9564">
        <v>105</v>
      </c>
    </row>
    <row r="9565" spans="1:5" x14ac:dyDescent="0.3">
      <c r="A9565" t="s">
        <v>109</v>
      </c>
      <c r="B9565" s="1">
        <v>44695</v>
      </c>
      <c r="C9565">
        <v>1</v>
      </c>
      <c r="D9565">
        <v>87.23</v>
      </c>
      <c r="E9565">
        <v>105</v>
      </c>
    </row>
    <row r="9566" spans="1:5" x14ac:dyDescent="0.3">
      <c r="A9566" t="s">
        <v>109</v>
      </c>
      <c r="B9566" s="1">
        <v>44695</v>
      </c>
      <c r="C9566">
        <v>1</v>
      </c>
      <c r="D9566">
        <v>87.23</v>
      </c>
      <c r="E9566">
        <v>105</v>
      </c>
    </row>
    <row r="9567" spans="1:5" x14ac:dyDescent="0.3">
      <c r="A9567" t="s">
        <v>109</v>
      </c>
      <c r="B9567" s="1">
        <v>44695</v>
      </c>
      <c r="C9567">
        <v>1</v>
      </c>
      <c r="D9567">
        <v>87.23</v>
      </c>
      <c r="E9567">
        <v>105</v>
      </c>
    </row>
    <row r="9568" spans="1:5" x14ac:dyDescent="0.3">
      <c r="A9568" t="s">
        <v>109</v>
      </c>
      <c r="B9568" s="1">
        <v>44695</v>
      </c>
      <c r="C9568">
        <v>1</v>
      </c>
      <c r="D9568">
        <v>87.23</v>
      </c>
      <c r="E9568">
        <v>105</v>
      </c>
    </row>
    <row r="9569" spans="1:5" x14ac:dyDescent="0.3">
      <c r="A9569" t="s">
        <v>15</v>
      </c>
      <c r="B9569" s="1">
        <v>44695</v>
      </c>
      <c r="C9569">
        <v>1</v>
      </c>
      <c r="D9569">
        <v>50.1</v>
      </c>
      <c r="E9569">
        <v>80</v>
      </c>
    </row>
    <row r="9570" spans="1:5" x14ac:dyDescent="0.3">
      <c r="A9570" t="s">
        <v>118</v>
      </c>
      <c r="B9570" s="1">
        <v>44695</v>
      </c>
      <c r="C9570">
        <v>10</v>
      </c>
      <c r="D9570">
        <v>11.1</v>
      </c>
      <c r="E9570">
        <v>13</v>
      </c>
    </row>
    <row r="9571" spans="1:5" x14ac:dyDescent="0.3">
      <c r="A9571" t="s">
        <v>132</v>
      </c>
      <c r="B9571" s="1">
        <v>44695</v>
      </c>
      <c r="C9571">
        <v>1</v>
      </c>
      <c r="D9571">
        <v>58.23</v>
      </c>
      <c r="E9571">
        <v>86</v>
      </c>
    </row>
    <row r="9572" spans="1:5" x14ac:dyDescent="0.3">
      <c r="A9572" t="s">
        <v>159</v>
      </c>
      <c r="B9572" s="1">
        <v>44695</v>
      </c>
      <c r="C9572">
        <v>1</v>
      </c>
      <c r="D9572">
        <v>49.82</v>
      </c>
      <c r="E9572">
        <v>62</v>
      </c>
    </row>
    <row r="9573" spans="1:5" x14ac:dyDescent="0.3">
      <c r="A9573" t="s">
        <v>93</v>
      </c>
      <c r="B9573" s="1">
        <v>44695</v>
      </c>
      <c r="C9573">
        <v>1</v>
      </c>
      <c r="D9573">
        <v>65.349999999999994</v>
      </c>
      <c r="E9573">
        <v>93</v>
      </c>
    </row>
    <row r="9574" spans="1:5" x14ac:dyDescent="0.3">
      <c r="A9574" t="s">
        <v>59</v>
      </c>
      <c r="B9574" s="1">
        <v>44695</v>
      </c>
      <c r="C9574">
        <v>1</v>
      </c>
      <c r="D9574">
        <v>16.97</v>
      </c>
      <c r="E9574">
        <v>28</v>
      </c>
    </row>
    <row r="9575" spans="1:5" x14ac:dyDescent="0.3">
      <c r="A9575" t="s">
        <v>76</v>
      </c>
      <c r="B9575" s="1">
        <v>44695</v>
      </c>
      <c r="C9575">
        <v>1</v>
      </c>
      <c r="D9575">
        <v>30.36</v>
      </c>
      <c r="E9575">
        <v>37</v>
      </c>
    </row>
    <row r="9576" spans="1:5" x14ac:dyDescent="0.3">
      <c r="A9576" t="s">
        <v>160</v>
      </c>
      <c r="B9576" s="1">
        <v>44695</v>
      </c>
      <c r="C9576">
        <v>1</v>
      </c>
      <c r="D9576">
        <v>81.87</v>
      </c>
      <c r="E9576">
        <v>99</v>
      </c>
    </row>
    <row r="9577" spans="1:5" x14ac:dyDescent="0.3">
      <c r="A9577" t="s">
        <v>160</v>
      </c>
      <c r="B9577" s="1">
        <v>44695</v>
      </c>
      <c r="C9577">
        <v>1</v>
      </c>
      <c r="D9577">
        <v>81.87</v>
      </c>
      <c r="E9577">
        <v>99</v>
      </c>
    </row>
    <row r="9578" spans="1:5" x14ac:dyDescent="0.3">
      <c r="A9578" t="s">
        <v>160</v>
      </c>
      <c r="B9578" s="1">
        <v>44695</v>
      </c>
      <c r="C9578">
        <v>1</v>
      </c>
      <c r="D9578">
        <v>81.87</v>
      </c>
      <c r="E9578">
        <v>99</v>
      </c>
    </row>
    <row r="9579" spans="1:5" x14ac:dyDescent="0.3">
      <c r="A9579" t="s">
        <v>160</v>
      </c>
      <c r="B9579" s="1">
        <v>44695</v>
      </c>
      <c r="C9579">
        <v>1</v>
      </c>
      <c r="D9579">
        <v>81.87</v>
      </c>
      <c r="E9579">
        <v>99</v>
      </c>
    </row>
    <row r="9580" spans="1:5" x14ac:dyDescent="0.3">
      <c r="A9580" t="s">
        <v>160</v>
      </c>
      <c r="B9580" s="1">
        <v>44695</v>
      </c>
      <c r="C9580">
        <v>1</v>
      </c>
      <c r="D9580">
        <v>81.87</v>
      </c>
      <c r="E9580">
        <v>99</v>
      </c>
    </row>
    <row r="9581" spans="1:5" x14ac:dyDescent="0.3">
      <c r="A9581" t="s">
        <v>131</v>
      </c>
      <c r="B9581" s="1">
        <v>44695</v>
      </c>
      <c r="C9581">
        <v>1</v>
      </c>
      <c r="D9581">
        <v>356.07</v>
      </c>
      <c r="E9581">
        <v>417</v>
      </c>
    </row>
    <row r="9582" spans="1:5" x14ac:dyDescent="0.3">
      <c r="A9582" t="s">
        <v>153</v>
      </c>
      <c r="B9582" s="1">
        <v>44695</v>
      </c>
      <c r="C9582">
        <v>1</v>
      </c>
      <c r="D9582">
        <v>10.34</v>
      </c>
      <c r="E9582">
        <v>12</v>
      </c>
    </row>
    <row r="9583" spans="1:5" x14ac:dyDescent="0.3">
      <c r="A9583" t="s">
        <v>20</v>
      </c>
      <c r="B9583" s="1">
        <v>44695</v>
      </c>
      <c r="C9583">
        <v>1</v>
      </c>
      <c r="D9583">
        <v>19.66</v>
      </c>
      <c r="E9583">
        <v>25</v>
      </c>
    </row>
    <row r="9584" spans="1:5" x14ac:dyDescent="0.3">
      <c r="A9584" t="s">
        <v>20</v>
      </c>
      <c r="B9584" s="1">
        <v>44695</v>
      </c>
      <c r="C9584">
        <v>1</v>
      </c>
      <c r="D9584">
        <v>19.66</v>
      </c>
      <c r="E9584">
        <v>25</v>
      </c>
    </row>
    <row r="9585" spans="1:5" x14ac:dyDescent="0.3">
      <c r="A9585" t="s">
        <v>20</v>
      </c>
      <c r="B9585" s="1">
        <v>44695</v>
      </c>
      <c r="C9585">
        <v>1</v>
      </c>
      <c r="D9585">
        <v>19.66</v>
      </c>
      <c r="E9585">
        <v>25</v>
      </c>
    </row>
    <row r="9586" spans="1:5" x14ac:dyDescent="0.3">
      <c r="A9586" t="s">
        <v>56</v>
      </c>
      <c r="B9586" s="1">
        <v>44695</v>
      </c>
      <c r="C9586">
        <v>1</v>
      </c>
      <c r="D9586">
        <v>43.97</v>
      </c>
      <c r="E9586">
        <v>69</v>
      </c>
    </row>
    <row r="9587" spans="1:5" x14ac:dyDescent="0.3">
      <c r="A9587" t="s">
        <v>93</v>
      </c>
      <c r="B9587" s="1">
        <v>44695</v>
      </c>
      <c r="C9587">
        <v>1</v>
      </c>
      <c r="D9587">
        <v>65.349999999999994</v>
      </c>
      <c r="E9587">
        <v>93</v>
      </c>
    </row>
    <row r="9588" spans="1:5" x14ac:dyDescent="0.3">
      <c r="A9588" t="s">
        <v>62</v>
      </c>
      <c r="B9588" s="1">
        <v>44695</v>
      </c>
      <c r="C9588">
        <v>1</v>
      </c>
      <c r="D9588">
        <v>24.97</v>
      </c>
      <c r="E9588">
        <v>30</v>
      </c>
    </row>
    <row r="9589" spans="1:5" x14ac:dyDescent="0.3">
      <c r="A9589" t="s">
        <v>22</v>
      </c>
      <c r="B9589" s="1">
        <v>44695</v>
      </c>
      <c r="C9589">
        <v>1</v>
      </c>
      <c r="D9589">
        <v>30.3</v>
      </c>
      <c r="E9589">
        <v>50</v>
      </c>
    </row>
    <row r="9590" spans="1:5" x14ac:dyDescent="0.3">
      <c r="A9590" t="s">
        <v>99</v>
      </c>
      <c r="B9590" s="1">
        <v>44695</v>
      </c>
      <c r="C9590">
        <v>1</v>
      </c>
      <c r="D9590">
        <v>74.3</v>
      </c>
      <c r="E9590">
        <v>91</v>
      </c>
    </row>
    <row r="9591" spans="1:5" x14ac:dyDescent="0.3">
      <c r="A9591" t="s">
        <v>18</v>
      </c>
      <c r="B9591" s="1">
        <v>44695</v>
      </c>
      <c r="C9591">
        <v>1</v>
      </c>
      <c r="D9591">
        <v>44</v>
      </c>
      <c r="E9591">
        <v>67</v>
      </c>
    </row>
    <row r="9592" spans="1:5" x14ac:dyDescent="0.3">
      <c r="A9592" t="s">
        <v>96</v>
      </c>
      <c r="B9592" s="1">
        <v>44695</v>
      </c>
      <c r="C9592">
        <v>1</v>
      </c>
      <c r="D9592">
        <v>71.89</v>
      </c>
      <c r="E9592">
        <v>103</v>
      </c>
    </row>
    <row r="9593" spans="1:5" x14ac:dyDescent="0.3">
      <c r="A9593" t="s">
        <v>56</v>
      </c>
      <c r="B9593" s="1">
        <v>44695</v>
      </c>
      <c r="C9593">
        <v>1</v>
      </c>
      <c r="D9593">
        <v>43.97</v>
      </c>
      <c r="E9593">
        <v>69</v>
      </c>
    </row>
    <row r="9594" spans="1:5" x14ac:dyDescent="0.3">
      <c r="A9594" t="s">
        <v>157</v>
      </c>
      <c r="B9594" s="1">
        <v>44695</v>
      </c>
      <c r="C9594">
        <v>1</v>
      </c>
      <c r="D9594">
        <v>12</v>
      </c>
      <c r="E9594">
        <v>21</v>
      </c>
    </row>
    <row r="9595" spans="1:5" x14ac:dyDescent="0.3">
      <c r="A9595" t="s">
        <v>50</v>
      </c>
      <c r="B9595" s="1">
        <v>44695</v>
      </c>
      <c r="C9595">
        <v>1</v>
      </c>
      <c r="D9595">
        <v>44.75</v>
      </c>
      <c r="E9595">
        <v>55</v>
      </c>
    </row>
    <row r="9596" spans="1:5" x14ac:dyDescent="0.3">
      <c r="A9596" t="s">
        <v>71</v>
      </c>
      <c r="B9596" s="1">
        <v>44695</v>
      </c>
      <c r="C9596">
        <v>1</v>
      </c>
      <c r="D9596">
        <v>34.75</v>
      </c>
      <c r="E9596">
        <v>53</v>
      </c>
    </row>
    <row r="9597" spans="1:5" x14ac:dyDescent="0.3">
      <c r="A9597" t="s">
        <v>85</v>
      </c>
      <c r="B9597" s="1">
        <v>44695</v>
      </c>
      <c r="C9597">
        <v>1</v>
      </c>
      <c r="D9597">
        <v>14.63</v>
      </c>
      <c r="E9597">
        <v>23</v>
      </c>
    </row>
    <row r="9598" spans="1:5" x14ac:dyDescent="0.3">
      <c r="A9598" t="s">
        <v>85</v>
      </c>
      <c r="B9598" s="1">
        <v>44695</v>
      </c>
      <c r="C9598">
        <v>1</v>
      </c>
      <c r="D9598">
        <v>14.63</v>
      </c>
      <c r="E9598">
        <v>23</v>
      </c>
    </row>
    <row r="9599" spans="1:5" x14ac:dyDescent="0.3">
      <c r="A9599" t="s">
        <v>85</v>
      </c>
      <c r="B9599" s="1">
        <v>44695</v>
      </c>
      <c r="C9599">
        <v>1</v>
      </c>
      <c r="D9599">
        <v>20</v>
      </c>
      <c r="E9599">
        <v>31</v>
      </c>
    </row>
    <row r="9600" spans="1:5" x14ac:dyDescent="0.3">
      <c r="A9600" t="s">
        <v>85</v>
      </c>
      <c r="B9600" s="1">
        <v>44695</v>
      </c>
      <c r="C9600">
        <v>1</v>
      </c>
      <c r="D9600">
        <v>20</v>
      </c>
      <c r="E9600">
        <v>31</v>
      </c>
    </row>
    <row r="9601" spans="1:5" x14ac:dyDescent="0.3">
      <c r="A9601" t="s">
        <v>85</v>
      </c>
      <c r="B9601" s="1">
        <v>44695</v>
      </c>
      <c r="C9601">
        <v>1</v>
      </c>
      <c r="D9601">
        <v>20</v>
      </c>
      <c r="E9601">
        <v>31</v>
      </c>
    </row>
    <row r="9602" spans="1:5" x14ac:dyDescent="0.3">
      <c r="A9602" t="s">
        <v>92</v>
      </c>
      <c r="B9602" s="1">
        <v>44695</v>
      </c>
      <c r="C9602">
        <v>5</v>
      </c>
      <c r="D9602">
        <v>6.17</v>
      </c>
      <c r="E9602">
        <v>9</v>
      </c>
    </row>
    <row r="9603" spans="1:5" x14ac:dyDescent="0.3">
      <c r="A9603" t="s">
        <v>18</v>
      </c>
      <c r="B9603" s="1">
        <v>44695</v>
      </c>
      <c r="C9603">
        <v>1</v>
      </c>
      <c r="D9603">
        <v>44</v>
      </c>
      <c r="E9603">
        <v>70</v>
      </c>
    </row>
    <row r="9604" spans="1:5" x14ac:dyDescent="0.3">
      <c r="A9604" t="s">
        <v>56</v>
      </c>
      <c r="B9604" s="1">
        <v>44695</v>
      </c>
      <c r="C9604">
        <v>1</v>
      </c>
      <c r="D9604">
        <v>43.97</v>
      </c>
      <c r="E9604">
        <v>70</v>
      </c>
    </row>
    <row r="9605" spans="1:5" x14ac:dyDescent="0.3">
      <c r="A9605" t="s">
        <v>48</v>
      </c>
      <c r="B9605" s="1">
        <v>44695</v>
      </c>
      <c r="C9605">
        <v>1</v>
      </c>
      <c r="D9605">
        <v>41.54</v>
      </c>
      <c r="E9605">
        <v>65</v>
      </c>
    </row>
    <row r="9606" spans="1:5" x14ac:dyDescent="0.3">
      <c r="A9606" t="s">
        <v>44</v>
      </c>
      <c r="B9606" s="1">
        <v>44695</v>
      </c>
      <c r="C9606">
        <v>1</v>
      </c>
      <c r="D9606">
        <v>59.84</v>
      </c>
      <c r="E9606">
        <v>93</v>
      </c>
    </row>
    <row r="9607" spans="1:5" x14ac:dyDescent="0.3">
      <c r="A9607" t="s">
        <v>142</v>
      </c>
      <c r="B9607" s="1">
        <v>44694</v>
      </c>
      <c r="C9607">
        <v>1</v>
      </c>
      <c r="D9607">
        <v>12.86</v>
      </c>
      <c r="E9607">
        <v>15</v>
      </c>
    </row>
    <row r="9608" spans="1:5" x14ac:dyDescent="0.3">
      <c r="A9608" t="s">
        <v>153</v>
      </c>
      <c r="B9608" s="1">
        <v>44694</v>
      </c>
      <c r="C9608">
        <v>1</v>
      </c>
      <c r="D9608">
        <v>9.4600000000000009</v>
      </c>
      <c r="E9608">
        <v>11</v>
      </c>
    </row>
    <row r="9609" spans="1:5" x14ac:dyDescent="0.3">
      <c r="A9609" t="s">
        <v>153</v>
      </c>
      <c r="B9609" s="1">
        <v>44694</v>
      </c>
      <c r="C9609">
        <v>1</v>
      </c>
      <c r="D9609">
        <v>9.4600000000000009</v>
      </c>
      <c r="E9609">
        <v>11</v>
      </c>
    </row>
    <row r="9610" spans="1:5" x14ac:dyDescent="0.3">
      <c r="A9610" t="s">
        <v>153</v>
      </c>
      <c r="B9610" s="1">
        <v>44694</v>
      </c>
      <c r="C9610">
        <v>1</v>
      </c>
      <c r="D9610">
        <v>9.4600000000000009</v>
      </c>
      <c r="E9610">
        <v>11</v>
      </c>
    </row>
    <row r="9611" spans="1:5" x14ac:dyDescent="0.3">
      <c r="A9611" t="s">
        <v>44</v>
      </c>
      <c r="B9611" s="1">
        <v>44694</v>
      </c>
      <c r="C9611">
        <v>1</v>
      </c>
      <c r="D9611">
        <v>64.260000000000005</v>
      </c>
      <c r="E9611">
        <v>100</v>
      </c>
    </row>
    <row r="9612" spans="1:5" x14ac:dyDescent="0.3">
      <c r="A9612" t="s">
        <v>139</v>
      </c>
      <c r="B9612" s="1">
        <v>44694</v>
      </c>
      <c r="C9612">
        <v>1</v>
      </c>
      <c r="D9612">
        <v>24.18</v>
      </c>
      <c r="E9612">
        <v>39</v>
      </c>
    </row>
    <row r="9613" spans="1:5" x14ac:dyDescent="0.3">
      <c r="A9613" t="s">
        <v>24</v>
      </c>
      <c r="B9613" s="1">
        <v>44694</v>
      </c>
      <c r="C9613">
        <v>1</v>
      </c>
      <c r="D9613">
        <v>98.67</v>
      </c>
      <c r="E9613">
        <v>123</v>
      </c>
    </row>
    <row r="9614" spans="1:5" x14ac:dyDescent="0.3">
      <c r="A9614" t="s">
        <v>102</v>
      </c>
      <c r="B9614" s="1">
        <v>44694</v>
      </c>
      <c r="C9614">
        <v>1</v>
      </c>
      <c r="D9614">
        <v>26.59</v>
      </c>
      <c r="E9614">
        <v>33</v>
      </c>
    </row>
    <row r="9615" spans="1:5" x14ac:dyDescent="0.3">
      <c r="A9615" t="s">
        <v>20</v>
      </c>
      <c r="B9615" s="1">
        <v>44694</v>
      </c>
      <c r="C9615">
        <v>1</v>
      </c>
      <c r="D9615">
        <v>20.3</v>
      </c>
      <c r="E9615">
        <v>27</v>
      </c>
    </row>
    <row r="9616" spans="1:5" x14ac:dyDescent="0.3">
      <c r="A9616" t="s">
        <v>150</v>
      </c>
      <c r="B9616" s="1">
        <v>44694</v>
      </c>
      <c r="C9616">
        <v>1</v>
      </c>
      <c r="D9616">
        <v>77.400000000000006</v>
      </c>
      <c r="E9616">
        <v>120</v>
      </c>
    </row>
    <row r="9617" spans="1:5" x14ac:dyDescent="0.3">
      <c r="A9617" t="s">
        <v>160</v>
      </c>
      <c r="B9617" s="1">
        <v>44694</v>
      </c>
      <c r="C9617">
        <v>1</v>
      </c>
      <c r="D9617">
        <v>81.8</v>
      </c>
      <c r="E9617">
        <v>99</v>
      </c>
    </row>
    <row r="9618" spans="1:5" x14ac:dyDescent="0.3">
      <c r="A9618" t="s">
        <v>113</v>
      </c>
      <c r="B9618" s="1">
        <v>44694</v>
      </c>
      <c r="C9618">
        <v>1</v>
      </c>
      <c r="D9618">
        <v>153.63</v>
      </c>
      <c r="E9618">
        <v>214</v>
      </c>
    </row>
    <row r="9619" spans="1:5" x14ac:dyDescent="0.3">
      <c r="A9619" t="s">
        <v>57</v>
      </c>
      <c r="B9619" s="1">
        <v>44694</v>
      </c>
      <c r="C9619">
        <v>1</v>
      </c>
      <c r="D9619">
        <v>233.74</v>
      </c>
      <c r="E9619">
        <v>274</v>
      </c>
    </row>
    <row r="9620" spans="1:5" x14ac:dyDescent="0.3">
      <c r="A9620" t="s">
        <v>8</v>
      </c>
      <c r="B9620" s="1">
        <v>44694</v>
      </c>
      <c r="C9620">
        <v>1</v>
      </c>
      <c r="D9620">
        <v>47.03</v>
      </c>
      <c r="E9620">
        <v>76</v>
      </c>
    </row>
    <row r="9621" spans="1:5" x14ac:dyDescent="0.3">
      <c r="A9621" t="s">
        <v>133</v>
      </c>
      <c r="B9621" s="1">
        <v>44694</v>
      </c>
      <c r="C9621">
        <v>2</v>
      </c>
      <c r="D9621">
        <v>5.56</v>
      </c>
      <c r="E9621">
        <v>9</v>
      </c>
    </row>
    <row r="9622" spans="1:5" x14ac:dyDescent="0.3">
      <c r="A9622" t="s">
        <v>139</v>
      </c>
      <c r="B9622" s="1">
        <v>44694</v>
      </c>
      <c r="C9622">
        <v>1</v>
      </c>
      <c r="D9622">
        <v>24.18</v>
      </c>
      <c r="E9622">
        <v>39</v>
      </c>
    </row>
    <row r="9623" spans="1:5" x14ac:dyDescent="0.3">
      <c r="A9623" t="s">
        <v>92</v>
      </c>
      <c r="B9623" s="1">
        <v>44694</v>
      </c>
      <c r="C9623">
        <v>1</v>
      </c>
      <c r="D9623">
        <v>5.78</v>
      </c>
      <c r="E9623">
        <v>8</v>
      </c>
    </row>
    <row r="9624" spans="1:5" x14ac:dyDescent="0.3">
      <c r="A9624" t="s">
        <v>56</v>
      </c>
      <c r="B9624" s="1">
        <v>44694</v>
      </c>
      <c r="C9624">
        <v>1</v>
      </c>
      <c r="D9624">
        <v>43.97</v>
      </c>
      <c r="E9624">
        <v>67</v>
      </c>
    </row>
    <row r="9625" spans="1:5" x14ac:dyDescent="0.3">
      <c r="A9625" t="s">
        <v>83</v>
      </c>
      <c r="B9625" s="1">
        <v>44694</v>
      </c>
      <c r="C9625">
        <v>1</v>
      </c>
      <c r="D9625">
        <v>207.31</v>
      </c>
      <c r="E9625">
        <v>244</v>
      </c>
    </row>
    <row r="9626" spans="1:5" x14ac:dyDescent="0.3">
      <c r="A9626" t="s">
        <v>79</v>
      </c>
      <c r="B9626" s="1">
        <v>44694</v>
      </c>
      <c r="C9626">
        <v>1</v>
      </c>
      <c r="D9626">
        <v>148.5</v>
      </c>
      <c r="E9626">
        <v>180</v>
      </c>
    </row>
    <row r="9627" spans="1:5" x14ac:dyDescent="0.3">
      <c r="A9627" t="s">
        <v>14</v>
      </c>
      <c r="B9627" s="1">
        <v>44694</v>
      </c>
      <c r="C9627">
        <v>0.4</v>
      </c>
      <c r="D9627">
        <v>513</v>
      </c>
      <c r="E9627">
        <v>678</v>
      </c>
    </row>
    <row r="9628" spans="1:5" x14ac:dyDescent="0.3">
      <c r="A9628" t="s">
        <v>14</v>
      </c>
      <c r="B9628" s="1">
        <v>44694</v>
      </c>
      <c r="C9628">
        <v>0.1</v>
      </c>
      <c r="D9628">
        <v>513</v>
      </c>
      <c r="E9628">
        <v>678</v>
      </c>
    </row>
    <row r="9629" spans="1:5" x14ac:dyDescent="0.3">
      <c r="A9629" t="s">
        <v>11</v>
      </c>
      <c r="B9629" s="1">
        <v>44694</v>
      </c>
      <c r="C9629">
        <v>1</v>
      </c>
      <c r="D9629">
        <v>24.2</v>
      </c>
      <c r="E9629">
        <v>39</v>
      </c>
    </row>
    <row r="9630" spans="1:5" x14ac:dyDescent="0.3">
      <c r="A9630" t="s">
        <v>18</v>
      </c>
      <c r="B9630" s="1">
        <v>44694</v>
      </c>
      <c r="C9630">
        <v>1</v>
      </c>
      <c r="D9630">
        <v>46</v>
      </c>
      <c r="E9630">
        <v>72</v>
      </c>
    </row>
    <row r="9631" spans="1:5" x14ac:dyDescent="0.3">
      <c r="A9631" t="s">
        <v>24</v>
      </c>
      <c r="B9631" s="1">
        <v>44694</v>
      </c>
      <c r="C9631">
        <v>1</v>
      </c>
      <c r="D9631">
        <v>99.47</v>
      </c>
      <c r="E9631">
        <v>116</v>
      </c>
    </row>
    <row r="9632" spans="1:5" x14ac:dyDescent="0.3">
      <c r="A9632" t="s">
        <v>115</v>
      </c>
      <c r="B9632" s="1">
        <v>44694</v>
      </c>
      <c r="C9632">
        <v>1</v>
      </c>
      <c r="D9632">
        <v>71.349999999999994</v>
      </c>
      <c r="E9632">
        <v>90</v>
      </c>
    </row>
    <row r="9633" spans="1:5" x14ac:dyDescent="0.3">
      <c r="A9633" t="s">
        <v>101</v>
      </c>
      <c r="B9633" s="1">
        <v>44694</v>
      </c>
      <c r="C9633">
        <v>1</v>
      </c>
      <c r="D9633">
        <v>31</v>
      </c>
      <c r="E9633">
        <v>49</v>
      </c>
    </row>
    <row r="9634" spans="1:5" x14ac:dyDescent="0.3">
      <c r="A9634" t="s">
        <v>109</v>
      </c>
      <c r="B9634" s="1">
        <v>44694</v>
      </c>
      <c r="C9634">
        <v>1</v>
      </c>
      <c r="D9634">
        <v>87.23</v>
      </c>
      <c r="E9634">
        <v>105</v>
      </c>
    </row>
    <row r="9635" spans="1:5" x14ac:dyDescent="0.3">
      <c r="A9635" t="s">
        <v>109</v>
      </c>
      <c r="B9635" s="1">
        <v>44694</v>
      </c>
      <c r="C9635">
        <v>1</v>
      </c>
      <c r="D9635">
        <v>87.23</v>
      </c>
      <c r="E9635">
        <v>105</v>
      </c>
    </row>
    <row r="9636" spans="1:5" x14ac:dyDescent="0.3">
      <c r="A9636" t="s">
        <v>109</v>
      </c>
      <c r="B9636" s="1">
        <v>44694</v>
      </c>
      <c r="C9636">
        <v>1</v>
      </c>
      <c r="D9636">
        <v>87.23</v>
      </c>
      <c r="E9636">
        <v>105</v>
      </c>
    </row>
    <row r="9637" spans="1:5" x14ac:dyDescent="0.3">
      <c r="A9637" t="s">
        <v>109</v>
      </c>
      <c r="B9637" s="1">
        <v>44694</v>
      </c>
      <c r="C9637">
        <v>1</v>
      </c>
      <c r="D9637">
        <v>87.23</v>
      </c>
      <c r="E9637">
        <v>105</v>
      </c>
    </row>
    <row r="9638" spans="1:5" x14ac:dyDescent="0.3">
      <c r="A9638" t="s">
        <v>109</v>
      </c>
      <c r="B9638" s="1">
        <v>44694</v>
      </c>
      <c r="C9638">
        <v>1</v>
      </c>
      <c r="D9638">
        <v>87.23</v>
      </c>
      <c r="E9638">
        <v>105</v>
      </c>
    </row>
    <row r="9639" spans="1:5" x14ac:dyDescent="0.3">
      <c r="A9639" t="s">
        <v>118</v>
      </c>
      <c r="B9639" s="1">
        <v>44694</v>
      </c>
      <c r="C9639">
        <v>1</v>
      </c>
      <c r="D9639">
        <v>11.1</v>
      </c>
      <c r="E9639">
        <v>13</v>
      </c>
    </row>
    <row r="9640" spans="1:5" x14ac:dyDescent="0.3">
      <c r="A9640" t="s">
        <v>118</v>
      </c>
      <c r="B9640" s="1">
        <v>44694</v>
      </c>
      <c r="C9640">
        <v>1</v>
      </c>
      <c r="D9640">
        <v>11.1</v>
      </c>
      <c r="E9640">
        <v>13</v>
      </c>
    </row>
    <row r="9641" spans="1:5" x14ac:dyDescent="0.3">
      <c r="A9641" t="s">
        <v>12</v>
      </c>
      <c r="B9641" s="1">
        <v>44694</v>
      </c>
      <c r="C9641">
        <v>1</v>
      </c>
      <c r="D9641">
        <v>61.03</v>
      </c>
      <c r="E9641">
        <v>75</v>
      </c>
    </row>
    <row r="9642" spans="1:5" x14ac:dyDescent="0.3">
      <c r="A9642" t="s">
        <v>104</v>
      </c>
      <c r="B9642" s="1">
        <v>44694</v>
      </c>
      <c r="C9642">
        <v>1</v>
      </c>
      <c r="D9642">
        <v>44.4</v>
      </c>
      <c r="E9642">
        <v>57</v>
      </c>
    </row>
    <row r="9643" spans="1:5" x14ac:dyDescent="0.3">
      <c r="A9643" t="s">
        <v>104</v>
      </c>
      <c r="B9643" s="1">
        <v>44694</v>
      </c>
      <c r="C9643">
        <v>1</v>
      </c>
      <c r="D9643">
        <v>44.4</v>
      </c>
      <c r="E9643">
        <v>57</v>
      </c>
    </row>
    <row r="9644" spans="1:5" x14ac:dyDescent="0.3">
      <c r="A9644" t="s">
        <v>104</v>
      </c>
      <c r="B9644" s="1">
        <v>44694</v>
      </c>
      <c r="C9644">
        <v>1</v>
      </c>
      <c r="D9644">
        <v>44.4</v>
      </c>
      <c r="E9644">
        <v>57</v>
      </c>
    </row>
    <row r="9645" spans="1:5" x14ac:dyDescent="0.3">
      <c r="A9645" t="s">
        <v>160</v>
      </c>
      <c r="B9645" s="1">
        <v>44694</v>
      </c>
      <c r="C9645">
        <v>1</v>
      </c>
      <c r="D9645">
        <v>81.87</v>
      </c>
      <c r="E9645">
        <v>99</v>
      </c>
    </row>
    <row r="9646" spans="1:5" x14ac:dyDescent="0.3">
      <c r="A9646" t="s">
        <v>160</v>
      </c>
      <c r="B9646" s="1">
        <v>44694</v>
      </c>
      <c r="C9646">
        <v>1</v>
      </c>
      <c r="D9646">
        <v>81.87</v>
      </c>
      <c r="E9646">
        <v>99</v>
      </c>
    </row>
    <row r="9647" spans="1:5" x14ac:dyDescent="0.3">
      <c r="A9647" t="s">
        <v>157</v>
      </c>
      <c r="B9647" s="1">
        <v>44694</v>
      </c>
      <c r="C9647">
        <v>1</v>
      </c>
      <c r="D9647">
        <v>12</v>
      </c>
      <c r="E9647">
        <v>20</v>
      </c>
    </row>
    <row r="9648" spans="1:5" x14ac:dyDescent="0.3">
      <c r="A9648" t="s">
        <v>92</v>
      </c>
      <c r="B9648" s="1">
        <v>44694</v>
      </c>
      <c r="C9648">
        <v>9</v>
      </c>
      <c r="D9648">
        <v>6.48</v>
      </c>
      <c r="E9648">
        <v>9</v>
      </c>
    </row>
    <row r="9649" spans="1:5" x14ac:dyDescent="0.3">
      <c r="A9649" t="s">
        <v>100</v>
      </c>
      <c r="B9649" s="1">
        <v>44694</v>
      </c>
      <c r="C9649">
        <v>1</v>
      </c>
      <c r="D9649">
        <v>36.29</v>
      </c>
      <c r="E9649">
        <v>57</v>
      </c>
    </row>
    <row r="9650" spans="1:5" x14ac:dyDescent="0.3">
      <c r="A9650" t="s">
        <v>100</v>
      </c>
      <c r="B9650" s="1">
        <v>44694</v>
      </c>
      <c r="C9650">
        <v>1</v>
      </c>
      <c r="D9650">
        <v>36.29</v>
      </c>
      <c r="E9650">
        <v>57</v>
      </c>
    </row>
    <row r="9651" spans="1:5" x14ac:dyDescent="0.3">
      <c r="A9651" t="s">
        <v>100</v>
      </c>
      <c r="B9651" s="1">
        <v>44694</v>
      </c>
      <c r="C9651">
        <v>1</v>
      </c>
      <c r="D9651">
        <v>36.29</v>
      </c>
      <c r="E9651">
        <v>57</v>
      </c>
    </row>
    <row r="9652" spans="1:5" x14ac:dyDescent="0.3">
      <c r="A9652" t="s">
        <v>32</v>
      </c>
      <c r="B9652" s="1">
        <v>44694</v>
      </c>
      <c r="C9652">
        <v>1</v>
      </c>
      <c r="D9652">
        <v>125.73</v>
      </c>
      <c r="E9652">
        <v>198</v>
      </c>
    </row>
    <row r="9653" spans="1:5" x14ac:dyDescent="0.3">
      <c r="A9653" t="s">
        <v>141</v>
      </c>
      <c r="B9653" s="1">
        <v>44694</v>
      </c>
      <c r="C9653">
        <v>1</v>
      </c>
      <c r="D9653">
        <v>10.76</v>
      </c>
      <c r="E9653">
        <v>18</v>
      </c>
    </row>
    <row r="9654" spans="1:5" x14ac:dyDescent="0.3">
      <c r="A9654" t="s">
        <v>39</v>
      </c>
      <c r="B9654" s="1">
        <v>44694</v>
      </c>
      <c r="C9654">
        <v>3</v>
      </c>
      <c r="D9654">
        <v>12</v>
      </c>
      <c r="E9654">
        <v>20</v>
      </c>
    </row>
    <row r="9655" spans="1:5" x14ac:dyDescent="0.3">
      <c r="A9655" t="s">
        <v>23</v>
      </c>
      <c r="B9655" s="1">
        <v>44694</v>
      </c>
      <c r="C9655">
        <v>1</v>
      </c>
      <c r="D9655">
        <v>109.41</v>
      </c>
      <c r="E9655">
        <v>123</v>
      </c>
    </row>
    <row r="9656" spans="1:5" x14ac:dyDescent="0.3">
      <c r="A9656" t="s">
        <v>110</v>
      </c>
      <c r="B9656" s="1">
        <v>44694</v>
      </c>
      <c r="C9656">
        <v>1</v>
      </c>
      <c r="D9656">
        <v>208.45</v>
      </c>
      <c r="E9656">
        <v>276</v>
      </c>
    </row>
    <row r="9657" spans="1:5" x14ac:dyDescent="0.3">
      <c r="A9657" t="s">
        <v>22</v>
      </c>
      <c r="B9657" s="1">
        <v>44694</v>
      </c>
      <c r="C9657">
        <v>1</v>
      </c>
      <c r="D9657">
        <v>30.3</v>
      </c>
      <c r="E9657">
        <v>49</v>
      </c>
    </row>
    <row r="9658" spans="1:5" x14ac:dyDescent="0.3">
      <c r="A9658" t="s">
        <v>132</v>
      </c>
      <c r="B9658" s="1">
        <v>44694</v>
      </c>
      <c r="C9658">
        <v>1</v>
      </c>
      <c r="D9658">
        <v>64.28</v>
      </c>
      <c r="E9658">
        <v>92</v>
      </c>
    </row>
    <row r="9659" spans="1:5" x14ac:dyDescent="0.3">
      <c r="A9659" t="s">
        <v>115</v>
      </c>
      <c r="B9659" s="1">
        <v>44694</v>
      </c>
      <c r="C9659">
        <v>1</v>
      </c>
      <c r="D9659">
        <v>71.02</v>
      </c>
      <c r="E9659">
        <v>88</v>
      </c>
    </row>
    <row r="9660" spans="1:5" x14ac:dyDescent="0.3">
      <c r="A9660" t="s">
        <v>67</v>
      </c>
      <c r="B9660" s="1">
        <v>44694</v>
      </c>
      <c r="C9660">
        <v>1</v>
      </c>
      <c r="D9660">
        <v>55.04</v>
      </c>
      <c r="E9660">
        <v>80</v>
      </c>
    </row>
    <row r="9661" spans="1:5" x14ac:dyDescent="0.3">
      <c r="A9661" t="s">
        <v>23</v>
      </c>
      <c r="B9661" s="1">
        <v>44694</v>
      </c>
      <c r="C9661">
        <v>1</v>
      </c>
      <c r="D9661">
        <v>109.41</v>
      </c>
      <c r="E9661">
        <v>123</v>
      </c>
    </row>
    <row r="9662" spans="1:5" x14ac:dyDescent="0.3">
      <c r="A9662" t="s">
        <v>49</v>
      </c>
      <c r="B9662" s="1">
        <v>44694</v>
      </c>
      <c r="C9662">
        <v>1</v>
      </c>
      <c r="D9662">
        <v>15.8</v>
      </c>
      <c r="E9662">
        <v>19</v>
      </c>
    </row>
    <row r="9663" spans="1:5" x14ac:dyDescent="0.3">
      <c r="A9663" t="s">
        <v>49</v>
      </c>
      <c r="B9663" s="1">
        <v>44694</v>
      </c>
      <c r="C9663">
        <v>1</v>
      </c>
      <c r="D9663">
        <v>15.8</v>
      </c>
      <c r="E9663">
        <v>19</v>
      </c>
    </row>
    <row r="9664" spans="1:5" x14ac:dyDescent="0.3">
      <c r="A9664" t="s">
        <v>40</v>
      </c>
      <c r="B9664" s="1">
        <v>44694</v>
      </c>
      <c r="C9664">
        <v>1</v>
      </c>
      <c r="D9664">
        <v>172.76</v>
      </c>
      <c r="E9664">
        <v>207</v>
      </c>
    </row>
    <row r="9665" spans="1:5" x14ac:dyDescent="0.3">
      <c r="A9665" t="s">
        <v>105</v>
      </c>
      <c r="B9665" s="1">
        <v>44694</v>
      </c>
      <c r="C9665">
        <v>3</v>
      </c>
      <c r="D9665">
        <v>30.03</v>
      </c>
      <c r="E9665">
        <v>49</v>
      </c>
    </row>
    <row r="9666" spans="1:5" x14ac:dyDescent="0.3">
      <c r="A9666" t="s">
        <v>35</v>
      </c>
      <c r="B9666" s="1">
        <v>44694</v>
      </c>
      <c r="C9666">
        <v>1</v>
      </c>
      <c r="D9666">
        <v>30.35</v>
      </c>
      <c r="E9666">
        <v>48</v>
      </c>
    </row>
    <row r="9667" spans="1:5" x14ac:dyDescent="0.3">
      <c r="A9667" t="s">
        <v>26</v>
      </c>
      <c r="B9667" s="1">
        <v>44694</v>
      </c>
      <c r="C9667">
        <v>0.1</v>
      </c>
      <c r="D9667">
        <v>987.81</v>
      </c>
      <c r="E9667">
        <v>1235</v>
      </c>
    </row>
    <row r="9668" spans="1:5" x14ac:dyDescent="0.3">
      <c r="A9668" t="s">
        <v>66</v>
      </c>
      <c r="B9668" s="1">
        <v>44694</v>
      </c>
      <c r="C9668">
        <v>1</v>
      </c>
      <c r="D9668">
        <v>30.6</v>
      </c>
      <c r="E9668">
        <v>36</v>
      </c>
    </row>
    <row r="9669" spans="1:5" x14ac:dyDescent="0.3">
      <c r="A9669" t="s">
        <v>141</v>
      </c>
      <c r="B9669" s="1">
        <v>44694</v>
      </c>
      <c r="C9669">
        <v>1</v>
      </c>
      <c r="D9669">
        <v>10.67</v>
      </c>
      <c r="E9669">
        <v>18</v>
      </c>
    </row>
    <row r="9670" spans="1:5" x14ac:dyDescent="0.3">
      <c r="A9670" t="s">
        <v>137</v>
      </c>
      <c r="B9670" s="1">
        <v>44694</v>
      </c>
      <c r="C9670">
        <v>2</v>
      </c>
      <c r="D9670">
        <v>10.41</v>
      </c>
      <c r="E9670">
        <v>17</v>
      </c>
    </row>
    <row r="9671" spans="1:5" x14ac:dyDescent="0.3">
      <c r="A9671" t="s">
        <v>55</v>
      </c>
      <c r="B9671" s="1">
        <v>44694</v>
      </c>
      <c r="C9671">
        <v>1</v>
      </c>
      <c r="D9671">
        <v>77.48</v>
      </c>
      <c r="E9671">
        <v>95</v>
      </c>
    </row>
    <row r="9672" spans="1:5" x14ac:dyDescent="0.3">
      <c r="A9672" t="s">
        <v>73</v>
      </c>
      <c r="B9672" s="1">
        <v>44694</v>
      </c>
      <c r="C9672">
        <v>1</v>
      </c>
      <c r="D9672">
        <v>12</v>
      </c>
      <c r="E9672">
        <v>20</v>
      </c>
    </row>
    <row r="9673" spans="1:5" x14ac:dyDescent="0.3">
      <c r="A9673" t="s">
        <v>61</v>
      </c>
      <c r="B9673" s="1">
        <v>44694</v>
      </c>
      <c r="C9673">
        <v>1</v>
      </c>
      <c r="D9673">
        <v>32.85</v>
      </c>
      <c r="E9673">
        <v>52</v>
      </c>
    </row>
    <row r="9674" spans="1:5" x14ac:dyDescent="0.3">
      <c r="A9674" t="s">
        <v>132</v>
      </c>
      <c r="B9674" s="1">
        <v>44694</v>
      </c>
      <c r="C9674">
        <v>1</v>
      </c>
      <c r="D9674">
        <v>57.84</v>
      </c>
      <c r="E9674">
        <v>83</v>
      </c>
    </row>
    <row r="9675" spans="1:5" x14ac:dyDescent="0.3">
      <c r="A9675" t="s">
        <v>156</v>
      </c>
      <c r="B9675" s="1">
        <v>44694</v>
      </c>
      <c r="C9675">
        <v>1</v>
      </c>
      <c r="D9675">
        <v>248.25</v>
      </c>
      <c r="E9675">
        <v>336</v>
      </c>
    </row>
    <row r="9676" spans="1:5" x14ac:dyDescent="0.3">
      <c r="A9676" t="s">
        <v>10</v>
      </c>
      <c r="B9676" s="1">
        <v>44694</v>
      </c>
      <c r="C9676">
        <v>1</v>
      </c>
      <c r="D9676">
        <v>11.55</v>
      </c>
      <c r="E9676">
        <v>14</v>
      </c>
    </row>
    <row r="9677" spans="1:5" x14ac:dyDescent="0.3">
      <c r="A9677" t="s">
        <v>26</v>
      </c>
      <c r="B9677" s="1">
        <v>44694</v>
      </c>
      <c r="C9677">
        <v>0.2</v>
      </c>
      <c r="D9677">
        <v>989.8</v>
      </c>
      <c r="E9677">
        <v>1277</v>
      </c>
    </row>
    <row r="9678" spans="1:5" x14ac:dyDescent="0.3">
      <c r="A9678" t="s">
        <v>128</v>
      </c>
      <c r="B9678" s="1">
        <v>44694</v>
      </c>
      <c r="C9678">
        <v>1</v>
      </c>
      <c r="D9678">
        <v>257.48</v>
      </c>
      <c r="E9678">
        <v>343</v>
      </c>
    </row>
    <row r="9679" spans="1:5" x14ac:dyDescent="0.3">
      <c r="A9679" t="s">
        <v>48</v>
      </c>
      <c r="B9679" s="1">
        <v>44694</v>
      </c>
      <c r="C9679">
        <v>1</v>
      </c>
      <c r="D9679">
        <v>38.67</v>
      </c>
      <c r="E9679">
        <v>60</v>
      </c>
    </row>
    <row r="9680" spans="1:5" x14ac:dyDescent="0.3">
      <c r="A9680" t="s">
        <v>25</v>
      </c>
      <c r="B9680" s="1">
        <v>44694</v>
      </c>
      <c r="C9680">
        <v>1</v>
      </c>
      <c r="D9680">
        <v>147.4</v>
      </c>
      <c r="E9680">
        <v>180</v>
      </c>
    </row>
    <row r="9681" spans="1:5" x14ac:dyDescent="0.3">
      <c r="A9681" t="s">
        <v>124</v>
      </c>
      <c r="B9681" s="1">
        <v>44694</v>
      </c>
      <c r="C9681">
        <v>1</v>
      </c>
      <c r="D9681">
        <v>37.869999999999997</v>
      </c>
      <c r="E9681">
        <v>62</v>
      </c>
    </row>
    <row r="9682" spans="1:5" x14ac:dyDescent="0.3">
      <c r="A9682" t="s">
        <v>122</v>
      </c>
      <c r="B9682" s="1">
        <v>44694</v>
      </c>
      <c r="C9682">
        <v>1</v>
      </c>
      <c r="D9682">
        <v>20.64</v>
      </c>
      <c r="E9682">
        <v>25</v>
      </c>
    </row>
    <row r="9683" spans="1:5" x14ac:dyDescent="0.3">
      <c r="A9683" t="s">
        <v>99</v>
      </c>
      <c r="B9683" s="1">
        <v>44694</v>
      </c>
      <c r="C9683">
        <v>1</v>
      </c>
      <c r="D9683">
        <v>64.25</v>
      </c>
      <c r="E9683">
        <v>79</v>
      </c>
    </row>
    <row r="9684" spans="1:5" x14ac:dyDescent="0.3">
      <c r="A9684" t="s">
        <v>114</v>
      </c>
      <c r="B9684" s="1">
        <v>44694</v>
      </c>
      <c r="C9684">
        <v>1</v>
      </c>
      <c r="D9684">
        <v>74.8</v>
      </c>
      <c r="E9684">
        <v>92</v>
      </c>
    </row>
    <row r="9685" spans="1:5" x14ac:dyDescent="0.3">
      <c r="A9685" t="s">
        <v>45</v>
      </c>
      <c r="B9685" s="1">
        <v>44694</v>
      </c>
      <c r="C9685">
        <v>2</v>
      </c>
      <c r="D9685">
        <v>25.36</v>
      </c>
      <c r="E9685">
        <v>42</v>
      </c>
    </row>
    <row r="9686" spans="1:5" x14ac:dyDescent="0.3">
      <c r="A9686" t="s">
        <v>59</v>
      </c>
      <c r="B9686" s="1">
        <v>44694</v>
      </c>
      <c r="C9686">
        <v>1</v>
      </c>
      <c r="D9686">
        <v>11.59</v>
      </c>
      <c r="E9686">
        <v>19</v>
      </c>
    </row>
    <row r="9687" spans="1:5" x14ac:dyDescent="0.3">
      <c r="A9687" t="s">
        <v>120</v>
      </c>
      <c r="B9687" s="1">
        <v>44694</v>
      </c>
      <c r="C9687">
        <v>1</v>
      </c>
      <c r="D9687">
        <v>131.01</v>
      </c>
      <c r="E9687">
        <v>180</v>
      </c>
    </row>
    <row r="9688" spans="1:5" x14ac:dyDescent="0.3">
      <c r="A9688" t="s">
        <v>118</v>
      </c>
      <c r="B9688" s="1">
        <v>44694</v>
      </c>
      <c r="C9688">
        <v>1</v>
      </c>
      <c r="D9688">
        <v>11.1</v>
      </c>
      <c r="E9688">
        <v>13</v>
      </c>
    </row>
    <row r="9689" spans="1:5" x14ac:dyDescent="0.3">
      <c r="A9689" t="s">
        <v>97</v>
      </c>
      <c r="B9689" s="1">
        <v>44694</v>
      </c>
      <c r="C9689">
        <v>1</v>
      </c>
      <c r="D9689">
        <v>487.96</v>
      </c>
      <c r="E9689">
        <v>511</v>
      </c>
    </row>
    <row r="9690" spans="1:5" x14ac:dyDescent="0.3">
      <c r="A9690" t="s">
        <v>30</v>
      </c>
      <c r="B9690" s="1">
        <v>44694</v>
      </c>
      <c r="C9690">
        <v>1</v>
      </c>
      <c r="D9690">
        <v>156.19999999999999</v>
      </c>
      <c r="E9690">
        <v>186</v>
      </c>
    </row>
    <row r="9691" spans="1:5" x14ac:dyDescent="0.3">
      <c r="A9691" t="s">
        <v>113</v>
      </c>
      <c r="B9691" s="1">
        <v>44694</v>
      </c>
      <c r="C9691">
        <v>1</v>
      </c>
      <c r="D9691">
        <v>125.55</v>
      </c>
      <c r="E9691">
        <v>178</v>
      </c>
    </row>
    <row r="9692" spans="1:5" x14ac:dyDescent="0.3">
      <c r="A9692" t="s">
        <v>67</v>
      </c>
      <c r="B9692" s="1">
        <v>44694</v>
      </c>
      <c r="C9692">
        <v>1</v>
      </c>
      <c r="D9692">
        <v>53.95</v>
      </c>
      <c r="E9692">
        <v>77</v>
      </c>
    </row>
    <row r="9693" spans="1:5" x14ac:dyDescent="0.3">
      <c r="A9693" t="s">
        <v>78</v>
      </c>
      <c r="B9693" s="1">
        <v>44694</v>
      </c>
      <c r="C9693">
        <v>1</v>
      </c>
      <c r="D9693">
        <v>69.13</v>
      </c>
      <c r="E9693">
        <v>88</v>
      </c>
    </row>
    <row r="9694" spans="1:5" x14ac:dyDescent="0.3">
      <c r="A9694" t="s">
        <v>98</v>
      </c>
      <c r="B9694" s="1">
        <v>44694</v>
      </c>
      <c r="C9694">
        <v>1</v>
      </c>
      <c r="D9694">
        <v>111.85</v>
      </c>
      <c r="E9694">
        <v>135</v>
      </c>
    </row>
    <row r="9695" spans="1:5" x14ac:dyDescent="0.3">
      <c r="A9695" t="s">
        <v>8</v>
      </c>
      <c r="B9695" s="1">
        <v>44694</v>
      </c>
      <c r="C9695">
        <v>1</v>
      </c>
      <c r="D9695">
        <v>58.34</v>
      </c>
      <c r="E9695">
        <v>92</v>
      </c>
    </row>
    <row r="9696" spans="1:5" x14ac:dyDescent="0.3">
      <c r="A9696" t="s">
        <v>55</v>
      </c>
      <c r="B9696" s="1">
        <v>44694</v>
      </c>
      <c r="C9696">
        <v>1</v>
      </c>
      <c r="D9696">
        <v>77.510000000000005</v>
      </c>
      <c r="E9696">
        <v>94</v>
      </c>
    </row>
    <row r="9697" spans="1:5" x14ac:dyDescent="0.3">
      <c r="A9697" t="s">
        <v>55</v>
      </c>
      <c r="B9697" s="1">
        <v>44694</v>
      </c>
      <c r="C9697">
        <v>1</v>
      </c>
      <c r="D9697">
        <v>77.510000000000005</v>
      </c>
      <c r="E9697">
        <v>94</v>
      </c>
    </row>
    <row r="9698" spans="1:5" x14ac:dyDescent="0.3">
      <c r="A9698" t="s">
        <v>30</v>
      </c>
      <c r="B9698" s="1">
        <v>44694</v>
      </c>
      <c r="C9698">
        <v>1</v>
      </c>
      <c r="D9698">
        <v>156.19999999999999</v>
      </c>
      <c r="E9698">
        <v>186</v>
      </c>
    </row>
    <row r="9699" spans="1:5" x14ac:dyDescent="0.3">
      <c r="A9699" t="s">
        <v>30</v>
      </c>
      <c r="B9699" s="1">
        <v>44694</v>
      </c>
      <c r="C9699">
        <v>1</v>
      </c>
      <c r="D9699">
        <v>156.19999999999999</v>
      </c>
      <c r="E9699">
        <v>186</v>
      </c>
    </row>
    <row r="9700" spans="1:5" x14ac:dyDescent="0.3">
      <c r="A9700" t="s">
        <v>34</v>
      </c>
      <c r="B9700" s="1">
        <v>44694</v>
      </c>
      <c r="C9700">
        <v>1</v>
      </c>
      <c r="D9700">
        <v>219.13</v>
      </c>
      <c r="E9700">
        <v>274</v>
      </c>
    </row>
    <row r="9701" spans="1:5" x14ac:dyDescent="0.3">
      <c r="A9701" t="s">
        <v>83</v>
      </c>
      <c r="B9701" s="1">
        <v>44694</v>
      </c>
      <c r="C9701">
        <v>1</v>
      </c>
      <c r="D9701">
        <v>203.17</v>
      </c>
      <c r="E9701">
        <v>241</v>
      </c>
    </row>
    <row r="9702" spans="1:5" x14ac:dyDescent="0.3">
      <c r="A9702" t="s">
        <v>5</v>
      </c>
      <c r="B9702" s="1">
        <v>44694</v>
      </c>
      <c r="C9702">
        <v>1</v>
      </c>
      <c r="D9702">
        <v>131.93</v>
      </c>
      <c r="E9702">
        <v>151</v>
      </c>
    </row>
    <row r="9703" spans="1:5" x14ac:dyDescent="0.3">
      <c r="A9703" t="s">
        <v>15</v>
      </c>
      <c r="B9703" s="1">
        <v>44694</v>
      </c>
      <c r="C9703">
        <v>1</v>
      </c>
      <c r="D9703">
        <v>50.1</v>
      </c>
      <c r="E9703">
        <v>80</v>
      </c>
    </row>
    <row r="9704" spans="1:5" x14ac:dyDescent="0.3">
      <c r="A9704" t="s">
        <v>114</v>
      </c>
      <c r="B9704" s="1">
        <v>44694</v>
      </c>
      <c r="C9704">
        <v>1</v>
      </c>
      <c r="D9704">
        <v>74.8</v>
      </c>
      <c r="E9704">
        <v>92</v>
      </c>
    </row>
    <row r="9705" spans="1:5" x14ac:dyDescent="0.3">
      <c r="A9705" t="s">
        <v>92</v>
      </c>
      <c r="B9705" s="1">
        <v>44694</v>
      </c>
      <c r="C9705">
        <v>10</v>
      </c>
      <c r="D9705">
        <v>6.05</v>
      </c>
      <c r="E9705">
        <v>8</v>
      </c>
    </row>
    <row r="9706" spans="1:5" x14ac:dyDescent="0.3">
      <c r="A9706" t="s">
        <v>92</v>
      </c>
      <c r="B9706" s="1">
        <v>44694</v>
      </c>
      <c r="C9706">
        <v>1</v>
      </c>
      <c r="D9706">
        <v>6.18</v>
      </c>
      <c r="E9706">
        <v>9</v>
      </c>
    </row>
    <row r="9707" spans="1:5" x14ac:dyDescent="0.3">
      <c r="A9707" t="s">
        <v>64</v>
      </c>
      <c r="B9707" s="1">
        <v>44694</v>
      </c>
      <c r="C9707">
        <v>1</v>
      </c>
      <c r="D9707">
        <v>200.65</v>
      </c>
      <c r="E9707">
        <v>281</v>
      </c>
    </row>
    <row r="9708" spans="1:5" x14ac:dyDescent="0.3">
      <c r="A9708" t="s">
        <v>11</v>
      </c>
      <c r="B9708" s="1">
        <v>44694</v>
      </c>
      <c r="C9708">
        <v>2</v>
      </c>
      <c r="D9708">
        <v>24.2</v>
      </c>
      <c r="E9708">
        <v>39</v>
      </c>
    </row>
    <row r="9709" spans="1:5" x14ac:dyDescent="0.3">
      <c r="A9709" t="s">
        <v>55</v>
      </c>
      <c r="B9709" s="1">
        <v>44694</v>
      </c>
      <c r="C9709">
        <v>1</v>
      </c>
      <c r="D9709">
        <v>77.510000000000005</v>
      </c>
      <c r="E9709">
        <v>94</v>
      </c>
    </row>
    <row r="9710" spans="1:5" x14ac:dyDescent="0.3">
      <c r="A9710" t="s">
        <v>45</v>
      </c>
      <c r="B9710" s="1">
        <v>44694</v>
      </c>
      <c r="C9710">
        <v>2</v>
      </c>
      <c r="D9710">
        <v>25.59</v>
      </c>
      <c r="E9710">
        <v>45</v>
      </c>
    </row>
    <row r="9711" spans="1:5" x14ac:dyDescent="0.3">
      <c r="A9711" t="s">
        <v>44</v>
      </c>
      <c r="B9711" s="1">
        <v>44694</v>
      </c>
      <c r="C9711">
        <v>1</v>
      </c>
      <c r="D9711">
        <v>64.260000000000005</v>
      </c>
      <c r="E9711">
        <v>100</v>
      </c>
    </row>
    <row r="9712" spans="1:5" x14ac:dyDescent="0.3">
      <c r="A9712" t="s">
        <v>134</v>
      </c>
      <c r="B9712" s="1">
        <v>44694</v>
      </c>
      <c r="C9712">
        <v>1</v>
      </c>
      <c r="D9712">
        <v>26.6</v>
      </c>
      <c r="E9712">
        <v>42</v>
      </c>
    </row>
    <row r="9713" spans="1:5" x14ac:dyDescent="0.3">
      <c r="A9713" t="s">
        <v>134</v>
      </c>
      <c r="B9713" s="1">
        <v>44694</v>
      </c>
      <c r="C9713">
        <v>1</v>
      </c>
      <c r="D9713">
        <v>26.6</v>
      </c>
      <c r="E9713">
        <v>42</v>
      </c>
    </row>
    <row r="9714" spans="1:5" x14ac:dyDescent="0.3">
      <c r="A9714" t="s">
        <v>134</v>
      </c>
      <c r="B9714" s="1">
        <v>44694</v>
      </c>
      <c r="C9714">
        <v>1</v>
      </c>
      <c r="D9714">
        <v>26.6</v>
      </c>
      <c r="E9714">
        <v>42</v>
      </c>
    </row>
    <row r="9715" spans="1:5" x14ac:dyDescent="0.3">
      <c r="A9715" t="s">
        <v>134</v>
      </c>
      <c r="B9715" s="1">
        <v>44694</v>
      </c>
      <c r="C9715">
        <v>1</v>
      </c>
      <c r="D9715">
        <v>26.6</v>
      </c>
      <c r="E9715">
        <v>42</v>
      </c>
    </row>
    <row r="9716" spans="1:5" x14ac:dyDescent="0.3">
      <c r="A9716" t="s">
        <v>134</v>
      </c>
      <c r="B9716" s="1">
        <v>44694</v>
      </c>
      <c r="C9716">
        <v>1</v>
      </c>
      <c r="D9716">
        <v>26.6</v>
      </c>
      <c r="E9716">
        <v>42</v>
      </c>
    </row>
    <row r="9717" spans="1:5" x14ac:dyDescent="0.3">
      <c r="A9717" t="s">
        <v>73</v>
      </c>
      <c r="B9717" s="1">
        <v>44694</v>
      </c>
      <c r="C9717">
        <v>1</v>
      </c>
      <c r="D9717">
        <v>12</v>
      </c>
      <c r="E9717">
        <v>20</v>
      </c>
    </row>
    <row r="9718" spans="1:5" x14ac:dyDescent="0.3">
      <c r="A9718" t="s">
        <v>36</v>
      </c>
      <c r="B9718" s="1">
        <v>44694</v>
      </c>
      <c r="C9718">
        <v>1</v>
      </c>
      <c r="D9718">
        <v>22.93</v>
      </c>
      <c r="E9718">
        <v>29</v>
      </c>
    </row>
    <row r="9719" spans="1:5" x14ac:dyDescent="0.3">
      <c r="A9719" t="s">
        <v>20</v>
      </c>
      <c r="B9719" s="1">
        <v>44694</v>
      </c>
      <c r="C9719">
        <v>1</v>
      </c>
      <c r="D9719">
        <v>19.71</v>
      </c>
      <c r="E9719">
        <v>25</v>
      </c>
    </row>
    <row r="9720" spans="1:5" x14ac:dyDescent="0.3">
      <c r="A9720" t="s">
        <v>160</v>
      </c>
      <c r="B9720" s="1">
        <v>44694</v>
      </c>
      <c r="C9720">
        <v>1</v>
      </c>
      <c r="D9720">
        <v>80.73</v>
      </c>
      <c r="E9720">
        <v>100</v>
      </c>
    </row>
    <row r="9721" spans="1:5" x14ac:dyDescent="0.3">
      <c r="A9721" t="s">
        <v>160</v>
      </c>
      <c r="B9721" s="1">
        <v>44694</v>
      </c>
      <c r="C9721">
        <v>1</v>
      </c>
      <c r="D9721">
        <v>80.73</v>
      </c>
      <c r="E9721">
        <v>100</v>
      </c>
    </row>
    <row r="9722" spans="1:5" x14ac:dyDescent="0.3">
      <c r="A9722" t="s">
        <v>157</v>
      </c>
      <c r="B9722" s="1">
        <v>44694</v>
      </c>
      <c r="C9722">
        <v>1</v>
      </c>
      <c r="D9722">
        <v>12</v>
      </c>
      <c r="E9722">
        <v>21</v>
      </c>
    </row>
    <row r="9723" spans="1:5" x14ac:dyDescent="0.3">
      <c r="A9723" t="s">
        <v>99</v>
      </c>
      <c r="B9723" s="1">
        <v>44694</v>
      </c>
      <c r="C9723">
        <v>1</v>
      </c>
      <c r="D9723">
        <v>64.25</v>
      </c>
      <c r="E9723">
        <v>76</v>
      </c>
    </row>
    <row r="9724" spans="1:5" x14ac:dyDescent="0.3">
      <c r="A9724" t="s">
        <v>23</v>
      </c>
      <c r="B9724" s="1">
        <v>44694</v>
      </c>
      <c r="C9724">
        <v>1</v>
      </c>
      <c r="D9724">
        <v>110.08</v>
      </c>
      <c r="E9724">
        <v>124</v>
      </c>
    </row>
    <row r="9725" spans="1:5" x14ac:dyDescent="0.3">
      <c r="A9725" t="s">
        <v>101</v>
      </c>
      <c r="B9725" s="1">
        <v>44694</v>
      </c>
      <c r="C9725">
        <v>1</v>
      </c>
      <c r="D9725">
        <v>32.46</v>
      </c>
      <c r="E9725">
        <v>51</v>
      </c>
    </row>
    <row r="9726" spans="1:5" x14ac:dyDescent="0.3">
      <c r="A9726" t="s">
        <v>12</v>
      </c>
      <c r="B9726" s="1">
        <v>44694</v>
      </c>
      <c r="C9726">
        <v>1</v>
      </c>
      <c r="D9726">
        <v>60.55</v>
      </c>
      <c r="E9726">
        <v>74</v>
      </c>
    </row>
    <row r="9727" spans="1:5" x14ac:dyDescent="0.3">
      <c r="A9727" t="s">
        <v>12</v>
      </c>
      <c r="B9727" s="1">
        <v>44694</v>
      </c>
      <c r="C9727">
        <v>1</v>
      </c>
      <c r="D9727">
        <v>60.55</v>
      </c>
      <c r="E9727">
        <v>74</v>
      </c>
    </row>
    <row r="9728" spans="1:5" x14ac:dyDescent="0.3">
      <c r="A9728" t="s">
        <v>57</v>
      </c>
      <c r="B9728" s="1">
        <v>44694</v>
      </c>
      <c r="C9728">
        <v>1</v>
      </c>
      <c r="D9728">
        <v>214.03</v>
      </c>
      <c r="E9728">
        <v>228</v>
      </c>
    </row>
    <row r="9729" spans="1:5" x14ac:dyDescent="0.3">
      <c r="A9729" t="s">
        <v>19</v>
      </c>
      <c r="B9729" s="1">
        <v>44694</v>
      </c>
      <c r="C9729">
        <v>1</v>
      </c>
      <c r="D9729">
        <v>81.69</v>
      </c>
      <c r="E9729">
        <v>102</v>
      </c>
    </row>
    <row r="9730" spans="1:5" x14ac:dyDescent="0.3">
      <c r="A9730" t="s">
        <v>20</v>
      </c>
      <c r="B9730" s="1">
        <v>44694</v>
      </c>
      <c r="C9730">
        <v>1</v>
      </c>
      <c r="D9730">
        <v>19.71</v>
      </c>
      <c r="E9730">
        <v>25</v>
      </c>
    </row>
    <row r="9731" spans="1:5" x14ac:dyDescent="0.3">
      <c r="A9731" t="s">
        <v>83</v>
      </c>
      <c r="B9731" s="1">
        <v>44694</v>
      </c>
      <c r="C9731">
        <v>1</v>
      </c>
      <c r="D9731">
        <v>207.76</v>
      </c>
      <c r="E9731">
        <v>246</v>
      </c>
    </row>
    <row r="9732" spans="1:5" x14ac:dyDescent="0.3">
      <c r="A9732" t="s">
        <v>55</v>
      </c>
      <c r="B9732" s="1">
        <v>44694</v>
      </c>
      <c r="C9732">
        <v>1</v>
      </c>
      <c r="D9732">
        <v>77.510000000000005</v>
      </c>
      <c r="E9732">
        <v>94</v>
      </c>
    </row>
    <row r="9733" spans="1:5" x14ac:dyDescent="0.3">
      <c r="A9733" t="s">
        <v>55</v>
      </c>
      <c r="B9733" s="1">
        <v>44694</v>
      </c>
      <c r="C9733">
        <v>1</v>
      </c>
      <c r="D9733">
        <v>77.510000000000005</v>
      </c>
      <c r="E9733">
        <v>94</v>
      </c>
    </row>
    <row r="9734" spans="1:5" x14ac:dyDescent="0.3">
      <c r="A9734" t="s">
        <v>79</v>
      </c>
      <c r="B9734" s="1">
        <v>44694</v>
      </c>
      <c r="C9734">
        <v>1</v>
      </c>
      <c r="D9734">
        <v>148.5</v>
      </c>
      <c r="E9734">
        <v>177</v>
      </c>
    </row>
    <row r="9735" spans="1:5" x14ac:dyDescent="0.3">
      <c r="A9735" t="s">
        <v>39</v>
      </c>
      <c r="B9735" s="1">
        <v>44694</v>
      </c>
      <c r="C9735">
        <v>1</v>
      </c>
      <c r="D9735">
        <v>13.72</v>
      </c>
      <c r="E9735">
        <v>23</v>
      </c>
    </row>
    <row r="9736" spans="1:5" x14ac:dyDescent="0.3">
      <c r="A9736" t="s">
        <v>56</v>
      </c>
      <c r="B9736" s="1">
        <v>44694</v>
      </c>
      <c r="C9736">
        <v>1</v>
      </c>
      <c r="D9736">
        <v>44.13</v>
      </c>
      <c r="E9736">
        <v>69</v>
      </c>
    </row>
    <row r="9737" spans="1:5" x14ac:dyDescent="0.3">
      <c r="A9737" t="s">
        <v>36</v>
      </c>
      <c r="B9737" s="1">
        <v>44694</v>
      </c>
      <c r="C9737">
        <v>1</v>
      </c>
      <c r="D9737">
        <v>22.31</v>
      </c>
      <c r="E9737">
        <v>28</v>
      </c>
    </row>
    <row r="9738" spans="1:5" x14ac:dyDescent="0.3">
      <c r="A9738" t="s">
        <v>36</v>
      </c>
      <c r="B9738" s="1">
        <v>44694</v>
      </c>
      <c r="C9738">
        <v>1</v>
      </c>
      <c r="D9738">
        <v>22.31</v>
      </c>
      <c r="E9738">
        <v>28</v>
      </c>
    </row>
    <row r="9739" spans="1:5" x14ac:dyDescent="0.3">
      <c r="A9739" t="s">
        <v>20</v>
      </c>
      <c r="B9739" s="1">
        <v>44694</v>
      </c>
      <c r="C9739">
        <v>1</v>
      </c>
      <c r="D9739">
        <v>22.66</v>
      </c>
      <c r="E9739">
        <v>30</v>
      </c>
    </row>
    <row r="9740" spans="1:5" x14ac:dyDescent="0.3">
      <c r="A9740" t="s">
        <v>20</v>
      </c>
      <c r="B9740" s="1">
        <v>44694</v>
      </c>
      <c r="C9740">
        <v>1</v>
      </c>
      <c r="D9740">
        <v>22.66</v>
      </c>
      <c r="E9740">
        <v>30</v>
      </c>
    </row>
    <row r="9741" spans="1:5" x14ac:dyDescent="0.3">
      <c r="A9741" t="s">
        <v>37</v>
      </c>
      <c r="B9741" s="1">
        <v>44694</v>
      </c>
      <c r="C9741">
        <v>1</v>
      </c>
      <c r="D9741">
        <v>36.86</v>
      </c>
      <c r="E9741">
        <v>47</v>
      </c>
    </row>
    <row r="9742" spans="1:5" x14ac:dyDescent="0.3">
      <c r="A9742" t="s">
        <v>62</v>
      </c>
      <c r="B9742" s="1">
        <v>44694</v>
      </c>
      <c r="C9742">
        <v>1</v>
      </c>
      <c r="D9742">
        <v>24.97</v>
      </c>
      <c r="E9742">
        <v>30</v>
      </c>
    </row>
    <row r="9743" spans="1:5" x14ac:dyDescent="0.3">
      <c r="A9743" t="s">
        <v>22</v>
      </c>
      <c r="B9743" s="1">
        <v>44694</v>
      </c>
      <c r="C9743">
        <v>1</v>
      </c>
      <c r="D9743">
        <v>30.3</v>
      </c>
      <c r="E9743">
        <v>49</v>
      </c>
    </row>
    <row r="9744" spans="1:5" x14ac:dyDescent="0.3">
      <c r="A9744" t="s">
        <v>72</v>
      </c>
      <c r="B9744" s="1">
        <v>44694</v>
      </c>
      <c r="C9744">
        <v>1</v>
      </c>
      <c r="D9744">
        <v>561.91</v>
      </c>
      <c r="E9744">
        <v>742</v>
      </c>
    </row>
    <row r="9745" spans="1:5" x14ac:dyDescent="0.3">
      <c r="A9745" t="s">
        <v>81</v>
      </c>
      <c r="B9745" s="1">
        <v>44694</v>
      </c>
      <c r="C9745">
        <v>1</v>
      </c>
      <c r="D9745">
        <v>45.21</v>
      </c>
      <c r="E9745">
        <v>51</v>
      </c>
    </row>
    <row r="9746" spans="1:5" x14ac:dyDescent="0.3">
      <c r="A9746" t="s">
        <v>65</v>
      </c>
      <c r="B9746" s="1">
        <v>44694</v>
      </c>
      <c r="C9746">
        <v>1</v>
      </c>
      <c r="D9746">
        <v>176.42</v>
      </c>
      <c r="E9746">
        <v>207</v>
      </c>
    </row>
    <row r="9747" spans="1:5" x14ac:dyDescent="0.3">
      <c r="A9747" t="s">
        <v>25</v>
      </c>
      <c r="B9747" s="1">
        <v>44694</v>
      </c>
      <c r="C9747">
        <v>1</v>
      </c>
      <c r="D9747">
        <v>149.16999999999999</v>
      </c>
      <c r="E9747">
        <v>179</v>
      </c>
    </row>
    <row r="9748" spans="1:5" x14ac:dyDescent="0.3">
      <c r="A9748" t="s">
        <v>8</v>
      </c>
      <c r="B9748" s="1">
        <v>44694</v>
      </c>
      <c r="C9748">
        <v>1</v>
      </c>
      <c r="D9748">
        <v>47.01</v>
      </c>
      <c r="E9748">
        <v>77</v>
      </c>
    </row>
    <row r="9749" spans="1:5" x14ac:dyDescent="0.3">
      <c r="A9749" t="s">
        <v>20</v>
      </c>
      <c r="B9749" s="1">
        <v>44694</v>
      </c>
      <c r="C9749">
        <v>1</v>
      </c>
      <c r="D9749">
        <v>19.71</v>
      </c>
      <c r="E9749">
        <v>25</v>
      </c>
    </row>
    <row r="9750" spans="1:5" x14ac:dyDescent="0.3">
      <c r="A9750" t="s">
        <v>20</v>
      </c>
      <c r="B9750" s="1">
        <v>44694</v>
      </c>
      <c r="C9750">
        <v>1</v>
      </c>
      <c r="D9750">
        <v>19.71</v>
      </c>
      <c r="E9750">
        <v>25</v>
      </c>
    </row>
    <row r="9751" spans="1:5" x14ac:dyDescent="0.3">
      <c r="A9751" t="s">
        <v>44</v>
      </c>
      <c r="B9751" s="1">
        <v>44694</v>
      </c>
      <c r="C9751">
        <v>1</v>
      </c>
      <c r="D9751">
        <v>64.260000000000005</v>
      </c>
      <c r="E9751">
        <v>100</v>
      </c>
    </row>
    <row r="9752" spans="1:5" x14ac:dyDescent="0.3">
      <c r="A9752" t="s">
        <v>151</v>
      </c>
      <c r="B9752" s="1">
        <v>44694</v>
      </c>
      <c r="C9752">
        <v>1</v>
      </c>
      <c r="D9752">
        <v>24.24</v>
      </c>
      <c r="E9752">
        <v>30</v>
      </c>
    </row>
    <row r="9753" spans="1:5" x14ac:dyDescent="0.3">
      <c r="A9753" t="s">
        <v>151</v>
      </c>
      <c r="B9753" s="1">
        <v>44694</v>
      </c>
      <c r="C9753">
        <v>1</v>
      </c>
      <c r="D9753">
        <v>24.24</v>
      </c>
      <c r="E9753">
        <v>30</v>
      </c>
    </row>
    <row r="9754" spans="1:5" x14ac:dyDescent="0.3">
      <c r="A9754" t="s">
        <v>13</v>
      </c>
      <c r="B9754" s="1">
        <v>44694</v>
      </c>
      <c r="C9754">
        <v>1</v>
      </c>
      <c r="D9754">
        <v>119.36</v>
      </c>
      <c r="E9754">
        <v>144</v>
      </c>
    </row>
    <row r="9755" spans="1:5" x14ac:dyDescent="0.3">
      <c r="A9755" t="s">
        <v>114</v>
      </c>
      <c r="B9755" s="1">
        <v>44694</v>
      </c>
      <c r="C9755">
        <v>1</v>
      </c>
      <c r="D9755">
        <v>74.8</v>
      </c>
      <c r="E9755">
        <v>92</v>
      </c>
    </row>
    <row r="9756" spans="1:5" x14ac:dyDescent="0.3">
      <c r="A9756" t="s">
        <v>66</v>
      </c>
      <c r="B9756" s="1">
        <v>44694</v>
      </c>
      <c r="C9756">
        <v>1</v>
      </c>
      <c r="D9756">
        <v>30.78</v>
      </c>
      <c r="E9756">
        <v>36</v>
      </c>
    </row>
    <row r="9757" spans="1:5" x14ac:dyDescent="0.3">
      <c r="A9757" t="s">
        <v>49</v>
      </c>
      <c r="B9757" s="1">
        <v>44694</v>
      </c>
      <c r="C9757">
        <v>1</v>
      </c>
      <c r="D9757">
        <v>16.579999999999998</v>
      </c>
      <c r="E9757">
        <v>20</v>
      </c>
    </row>
    <row r="9758" spans="1:5" x14ac:dyDescent="0.3">
      <c r="A9758" t="s">
        <v>100</v>
      </c>
      <c r="B9758" s="1">
        <v>44694</v>
      </c>
      <c r="C9758">
        <v>1</v>
      </c>
      <c r="D9758">
        <v>39.49</v>
      </c>
      <c r="E9758">
        <v>61</v>
      </c>
    </row>
    <row r="9759" spans="1:5" x14ac:dyDescent="0.3">
      <c r="A9759" t="s">
        <v>129</v>
      </c>
      <c r="B9759" s="1">
        <v>44694</v>
      </c>
      <c r="C9759">
        <v>0.08</v>
      </c>
      <c r="D9759">
        <v>500.48</v>
      </c>
      <c r="E9759">
        <v>553</v>
      </c>
    </row>
    <row r="9760" spans="1:5" x14ac:dyDescent="0.3">
      <c r="A9760" t="s">
        <v>122</v>
      </c>
      <c r="B9760" s="1">
        <v>44694</v>
      </c>
      <c r="C9760">
        <v>1</v>
      </c>
      <c r="D9760">
        <v>20.48</v>
      </c>
      <c r="E9760">
        <v>25</v>
      </c>
    </row>
    <row r="9761" spans="1:5" x14ac:dyDescent="0.3">
      <c r="A9761" t="s">
        <v>130</v>
      </c>
      <c r="B9761" s="1">
        <v>44694</v>
      </c>
      <c r="C9761">
        <v>1</v>
      </c>
      <c r="D9761">
        <v>27.6</v>
      </c>
      <c r="E9761">
        <v>33</v>
      </c>
    </row>
    <row r="9762" spans="1:5" x14ac:dyDescent="0.3">
      <c r="A9762" t="s">
        <v>56</v>
      </c>
      <c r="B9762" s="1">
        <v>44694</v>
      </c>
      <c r="C9762">
        <v>1</v>
      </c>
      <c r="D9762">
        <v>43.97</v>
      </c>
      <c r="E9762">
        <v>67</v>
      </c>
    </row>
    <row r="9763" spans="1:5" x14ac:dyDescent="0.3">
      <c r="A9763" t="s">
        <v>56</v>
      </c>
      <c r="B9763" s="1">
        <v>44694</v>
      </c>
      <c r="C9763">
        <v>1</v>
      </c>
      <c r="D9763">
        <v>43.97</v>
      </c>
      <c r="E9763">
        <v>67</v>
      </c>
    </row>
    <row r="9764" spans="1:5" x14ac:dyDescent="0.3">
      <c r="A9764" t="s">
        <v>56</v>
      </c>
      <c r="B9764" s="1">
        <v>44694</v>
      </c>
      <c r="C9764">
        <v>1</v>
      </c>
      <c r="D9764">
        <v>43.97</v>
      </c>
      <c r="E9764">
        <v>67</v>
      </c>
    </row>
    <row r="9765" spans="1:5" x14ac:dyDescent="0.3">
      <c r="A9765" t="s">
        <v>56</v>
      </c>
      <c r="B9765" s="1">
        <v>44694</v>
      </c>
      <c r="C9765">
        <v>1</v>
      </c>
      <c r="D9765">
        <v>43.97</v>
      </c>
      <c r="E9765">
        <v>67</v>
      </c>
    </row>
    <row r="9766" spans="1:5" x14ac:dyDescent="0.3">
      <c r="A9766" t="s">
        <v>56</v>
      </c>
      <c r="B9766" s="1">
        <v>44694</v>
      </c>
      <c r="C9766">
        <v>1</v>
      </c>
      <c r="D9766">
        <v>43.97</v>
      </c>
      <c r="E9766">
        <v>67</v>
      </c>
    </row>
    <row r="9767" spans="1:5" x14ac:dyDescent="0.3">
      <c r="A9767" t="s">
        <v>66</v>
      </c>
      <c r="B9767" s="1">
        <v>44694</v>
      </c>
      <c r="C9767">
        <v>1</v>
      </c>
      <c r="D9767">
        <v>31.69</v>
      </c>
      <c r="E9767">
        <v>37</v>
      </c>
    </row>
    <row r="9768" spans="1:5" x14ac:dyDescent="0.3">
      <c r="A9768" t="s">
        <v>155</v>
      </c>
      <c r="B9768" s="1">
        <v>44694</v>
      </c>
      <c r="C9768">
        <v>0.56000000000000005</v>
      </c>
      <c r="D9768">
        <v>495.54</v>
      </c>
      <c r="E9768">
        <v>694</v>
      </c>
    </row>
    <row r="9769" spans="1:5" x14ac:dyDescent="0.3">
      <c r="A9769" t="s">
        <v>119</v>
      </c>
      <c r="B9769" s="1">
        <v>44694</v>
      </c>
      <c r="C9769">
        <v>3.5714299999999997E-2</v>
      </c>
      <c r="D9769">
        <v>656.19</v>
      </c>
      <c r="E9769">
        <v>722</v>
      </c>
    </row>
    <row r="9770" spans="1:5" x14ac:dyDescent="0.3">
      <c r="A9770" t="s">
        <v>91</v>
      </c>
      <c r="B9770" s="1">
        <v>44694</v>
      </c>
      <c r="C9770">
        <v>1</v>
      </c>
      <c r="D9770">
        <v>31.93</v>
      </c>
      <c r="E9770">
        <v>52</v>
      </c>
    </row>
    <row r="9771" spans="1:5" x14ac:dyDescent="0.3">
      <c r="A9771" t="s">
        <v>47</v>
      </c>
      <c r="B9771" s="1">
        <v>44694</v>
      </c>
      <c r="C9771">
        <v>1</v>
      </c>
      <c r="D9771">
        <v>43.08</v>
      </c>
      <c r="E9771">
        <v>66</v>
      </c>
    </row>
    <row r="9772" spans="1:5" x14ac:dyDescent="0.3">
      <c r="A9772" t="s">
        <v>13</v>
      </c>
      <c r="B9772" s="1">
        <v>44694</v>
      </c>
      <c r="C9772">
        <v>1</v>
      </c>
      <c r="D9772">
        <v>119.72</v>
      </c>
      <c r="E9772">
        <v>147</v>
      </c>
    </row>
    <row r="9773" spans="1:5" x14ac:dyDescent="0.3">
      <c r="A9773" t="s">
        <v>157</v>
      </c>
      <c r="B9773" s="1">
        <v>44694</v>
      </c>
      <c r="C9773">
        <v>1</v>
      </c>
      <c r="D9773">
        <v>12</v>
      </c>
      <c r="E9773">
        <v>20</v>
      </c>
    </row>
    <row r="9774" spans="1:5" x14ac:dyDescent="0.3">
      <c r="A9774" t="s">
        <v>26</v>
      </c>
      <c r="B9774" s="1">
        <v>44694</v>
      </c>
      <c r="C9774">
        <v>0.1</v>
      </c>
      <c r="D9774">
        <v>1086.5899999999999</v>
      </c>
      <c r="E9774">
        <v>1467</v>
      </c>
    </row>
    <row r="9775" spans="1:5" x14ac:dyDescent="0.3">
      <c r="A9775" t="s">
        <v>26</v>
      </c>
      <c r="B9775" s="1">
        <v>44694</v>
      </c>
      <c r="C9775">
        <v>0.1</v>
      </c>
      <c r="D9775">
        <v>989.8</v>
      </c>
      <c r="E9775">
        <v>1357</v>
      </c>
    </row>
    <row r="9776" spans="1:5" x14ac:dyDescent="0.3">
      <c r="A9776" t="s">
        <v>18</v>
      </c>
      <c r="B9776" s="1">
        <v>44694</v>
      </c>
      <c r="C9776">
        <v>1</v>
      </c>
      <c r="D9776">
        <v>44</v>
      </c>
      <c r="E9776">
        <v>67</v>
      </c>
    </row>
    <row r="9777" spans="1:5" x14ac:dyDescent="0.3">
      <c r="A9777" t="s">
        <v>95</v>
      </c>
      <c r="B9777" s="1">
        <v>44694</v>
      </c>
      <c r="C9777">
        <v>1</v>
      </c>
      <c r="D9777">
        <v>130.88999999999999</v>
      </c>
      <c r="E9777">
        <v>206</v>
      </c>
    </row>
    <row r="9778" spans="1:5" x14ac:dyDescent="0.3">
      <c r="A9778" t="s">
        <v>93</v>
      </c>
      <c r="B9778" s="1">
        <v>44694</v>
      </c>
      <c r="C9778">
        <v>1</v>
      </c>
      <c r="D9778">
        <v>65.349999999999994</v>
      </c>
      <c r="E9778">
        <v>93</v>
      </c>
    </row>
    <row r="9779" spans="1:5" x14ac:dyDescent="0.3">
      <c r="A9779" t="s">
        <v>151</v>
      </c>
      <c r="B9779" s="1">
        <v>44694</v>
      </c>
      <c r="C9779">
        <v>1</v>
      </c>
      <c r="D9779">
        <v>24.03</v>
      </c>
      <c r="E9779">
        <v>29</v>
      </c>
    </row>
    <row r="9780" spans="1:5" x14ac:dyDescent="0.3">
      <c r="A9780" t="s">
        <v>99</v>
      </c>
      <c r="B9780" s="1">
        <v>44694</v>
      </c>
      <c r="C9780">
        <v>1</v>
      </c>
      <c r="D9780">
        <v>65.45</v>
      </c>
      <c r="E9780">
        <v>77</v>
      </c>
    </row>
    <row r="9781" spans="1:5" x14ac:dyDescent="0.3">
      <c r="A9781" t="s">
        <v>157</v>
      </c>
      <c r="B9781" s="1">
        <v>44694</v>
      </c>
      <c r="C9781">
        <v>2</v>
      </c>
      <c r="D9781">
        <v>12</v>
      </c>
      <c r="E9781">
        <v>20</v>
      </c>
    </row>
    <row r="9782" spans="1:5" x14ac:dyDescent="0.3">
      <c r="A9782" t="s">
        <v>11</v>
      </c>
      <c r="B9782" s="1">
        <v>44694</v>
      </c>
      <c r="C9782">
        <v>1</v>
      </c>
      <c r="D9782">
        <v>24.2</v>
      </c>
      <c r="E9782">
        <v>39</v>
      </c>
    </row>
    <row r="9783" spans="1:5" x14ac:dyDescent="0.3">
      <c r="A9783" t="s">
        <v>48</v>
      </c>
      <c r="B9783" s="1">
        <v>44694</v>
      </c>
      <c r="C9783">
        <v>1</v>
      </c>
      <c r="D9783">
        <v>41.54</v>
      </c>
      <c r="E9783">
        <v>65</v>
      </c>
    </row>
    <row r="9784" spans="1:5" x14ac:dyDescent="0.3">
      <c r="A9784" t="s">
        <v>160</v>
      </c>
      <c r="B9784" s="1">
        <v>44694</v>
      </c>
      <c r="C9784">
        <v>1</v>
      </c>
      <c r="D9784">
        <v>80.73</v>
      </c>
      <c r="E9784">
        <v>100</v>
      </c>
    </row>
    <row r="9785" spans="1:5" x14ac:dyDescent="0.3">
      <c r="A9785" t="s">
        <v>43</v>
      </c>
      <c r="B9785" s="1">
        <v>44694</v>
      </c>
      <c r="C9785">
        <v>1</v>
      </c>
      <c r="D9785">
        <v>134.68</v>
      </c>
      <c r="E9785">
        <v>162</v>
      </c>
    </row>
    <row r="9786" spans="1:5" x14ac:dyDescent="0.3">
      <c r="A9786" t="s">
        <v>84</v>
      </c>
      <c r="B9786" s="1">
        <v>44694</v>
      </c>
      <c r="C9786">
        <v>1</v>
      </c>
      <c r="D9786">
        <v>153.75</v>
      </c>
      <c r="E9786">
        <v>177</v>
      </c>
    </row>
    <row r="9787" spans="1:5" x14ac:dyDescent="0.3">
      <c r="A9787" t="s">
        <v>23</v>
      </c>
      <c r="B9787" s="1">
        <v>44694</v>
      </c>
      <c r="C9787">
        <v>1</v>
      </c>
      <c r="D9787">
        <v>109.41</v>
      </c>
      <c r="E9787">
        <v>123</v>
      </c>
    </row>
    <row r="9788" spans="1:5" x14ac:dyDescent="0.3">
      <c r="A9788" t="s">
        <v>26</v>
      </c>
      <c r="B9788" s="1">
        <v>44694</v>
      </c>
      <c r="C9788">
        <v>0.1</v>
      </c>
      <c r="D9788">
        <v>1212.6300000000001</v>
      </c>
      <c r="E9788">
        <v>1589</v>
      </c>
    </row>
    <row r="9789" spans="1:5" x14ac:dyDescent="0.3">
      <c r="A9789" t="s">
        <v>37</v>
      </c>
      <c r="B9789" s="1">
        <v>44694</v>
      </c>
      <c r="C9789">
        <v>1</v>
      </c>
      <c r="D9789">
        <v>36.86</v>
      </c>
      <c r="E9789">
        <v>47</v>
      </c>
    </row>
    <row r="9790" spans="1:5" x14ac:dyDescent="0.3">
      <c r="A9790" t="s">
        <v>37</v>
      </c>
      <c r="B9790" s="1">
        <v>44694</v>
      </c>
      <c r="C9790">
        <v>1</v>
      </c>
      <c r="D9790">
        <v>36.86</v>
      </c>
      <c r="E9790">
        <v>47</v>
      </c>
    </row>
    <row r="9791" spans="1:5" x14ac:dyDescent="0.3">
      <c r="A9791" t="s">
        <v>58</v>
      </c>
      <c r="B9791" s="1">
        <v>44694</v>
      </c>
      <c r="C9791">
        <v>1</v>
      </c>
      <c r="D9791">
        <v>82.25</v>
      </c>
      <c r="E9791">
        <v>99</v>
      </c>
    </row>
    <row r="9792" spans="1:5" x14ac:dyDescent="0.3">
      <c r="A9792" t="s">
        <v>62</v>
      </c>
      <c r="B9792" s="1">
        <v>44694</v>
      </c>
      <c r="C9792">
        <v>1</v>
      </c>
      <c r="D9792">
        <v>24.97</v>
      </c>
      <c r="E9792">
        <v>30</v>
      </c>
    </row>
    <row r="9793" spans="1:5" x14ac:dyDescent="0.3">
      <c r="A9793" t="s">
        <v>142</v>
      </c>
      <c r="B9793" s="1">
        <v>44694</v>
      </c>
      <c r="C9793">
        <v>1</v>
      </c>
      <c r="D9793">
        <v>12.86</v>
      </c>
      <c r="E9793">
        <v>15</v>
      </c>
    </row>
    <row r="9794" spans="1:5" x14ac:dyDescent="0.3">
      <c r="A9794" t="s">
        <v>142</v>
      </c>
      <c r="B9794" s="1">
        <v>44694</v>
      </c>
      <c r="C9794">
        <v>1</v>
      </c>
      <c r="D9794">
        <v>12.86</v>
      </c>
      <c r="E9794">
        <v>15</v>
      </c>
    </row>
    <row r="9795" spans="1:5" x14ac:dyDescent="0.3">
      <c r="A9795" t="s">
        <v>142</v>
      </c>
      <c r="B9795" s="1">
        <v>44694</v>
      </c>
      <c r="C9795">
        <v>1</v>
      </c>
      <c r="D9795">
        <v>12.86</v>
      </c>
      <c r="E9795">
        <v>15</v>
      </c>
    </row>
    <row r="9796" spans="1:5" x14ac:dyDescent="0.3">
      <c r="A9796" t="s">
        <v>142</v>
      </c>
      <c r="B9796" s="1">
        <v>44694</v>
      </c>
      <c r="C9796">
        <v>1</v>
      </c>
      <c r="D9796">
        <v>12.86</v>
      </c>
      <c r="E9796">
        <v>15</v>
      </c>
    </row>
    <row r="9797" spans="1:5" x14ac:dyDescent="0.3">
      <c r="A9797" t="s">
        <v>142</v>
      </c>
      <c r="B9797" s="1">
        <v>44694</v>
      </c>
      <c r="C9797">
        <v>1</v>
      </c>
      <c r="D9797">
        <v>12.86</v>
      </c>
      <c r="E9797">
        <v>15</v>
      </c>
    </row>
    <row r="9798" spans="1:5" x14ac:dyDescent="0.3">
      <c r="A9798" t="s">
        <v>142</v>
      </c>
      <c r="B9798" s="1">
        <v>44694</v>
      </c>
      <c r="C9798">
        <v>1</v>
      </c>
      <c r="D9798">
        <v>12.86</v>
      </c>
      <c r="E9798">
        <v>15</v>
      </c>
    </row>
    <row r="9799" spans="1:5" x14ac:dyDescent="0.3">
      <c r="A9799" t="s">
        <v>142</v>
      </c>
      <c r="B9799" s="1">
        <v>44694</v>
      </c>
      <c r="C9799">
        <v>1</v>
      </c>
      <c r="D9799">
        <v>12.86</v>
      </c>
      <c r="E9799">
        <v>15</v>
      </c>
    </row>
    <row r="9800" spans="1:5" x14ac:dyDescent="0.3">
      <c r="A9800" t="s">
        <v>142</v>
      </c>
      <c r="B9800" s="1">
        <v>44694</v>
      </c>
      <c r="C9800">
        <v>1</v>
      </c>
      <c r="D9800">
        <v>12.86</v>
      </c>
      <c r="E9800">
        <v>15</v>
      </c>
    </row>
    <row r="9801" spans="1:5" x14ac:dyDescent="0.3">
      <c r="A9801" t="s">
        <v>142</v>
      </c>
      <c r="B9801" s="1">
        <v>44694</v>
      </c>
      <c r="C9801">
        <v>1</v>
      </c>
      <c r="D9801">
        <v>12.86</v>
      </c>
      <c r="E9801">
        <v>15</v>
      </c>
    </row>
    <row r="9802" spans="1:5" x14ac:dyDescent="0.3">
      <c r="A9802" t="s">
        <v>56</v>
      </c>
      <c r="B9802" s="1">
        <v>44694</v>
      </c>
      <c r="C9802">
        <v>1</v>
      </c>
      <c r="D9802">
        <v>43.97</v>
      </c>
      <c r="E9802">
        <v>67</v>
      </c>
    </row>
    <row r="9803" spans="1:5" x14ac:dyDescent="0.3">
      <c r="A9803" t="s">
        <v>56</v>
      </c>
      <c r="B9803" s="1">
        <v>44694</v>
      </c>
      <c r="C9803">
        <v>1</v>
      </c>
      <c r="D9803">
        <v>43.97</v>
      </c>
      <c r="E9803">
        <v>67</v>
      </c>
    </row>
    <row r="9804" spans="1:5" x14ac:dyDescent="0.3">
      <c r="A9804" t="s">
        <v>56</v>
      </c>
      <c r="B9804" s="1">
        <v>44694</v>
      </c>
      <c r="C9804">
        <v>1</v>
      </c>
      <c r="D9804">
        <v>43.97</v>
      </c>
      <c r="E9804">
        <v>67</v>
      </c>
    </row>
    <row r="9805" spans="1:5" x14ac:dyDescent="0.3">
      <c r="A9805" t="s">
        <v>56</v>
      </c>
      <c r="B9805" s="1">
        <v>44694</v>
      </c>
      <c r="C9805">
        <v>1</v>
      </c>
      <c r="D9805">
        <v>43.97</v>
      </c>
      <c r="E9805">
        <v>67</v>
      </c>
    </row>
    <row r="9806" spans="1:5" x14ac:dyDescent="0.3">
      <c r="A9806" t="s">
        <v>56</v>
      </c>
      <c r="B9806" s="1">
        <v>44694</v>
      </c>
      <c r="C9806">
        <v>1</v>
      </c>
      <c r="D9806">
        <v>43.97</v>
      </c>
      <c r="E9806">
        <v>67</v>
      </c>
    </row>
    <row r="9807" spans="1:5" x14ac:dyDescent="0.3">
      <c r="A9807" t="s">
        <v>23</v>
      </c>
      <c r="B9807" s="1">
        <v>44694</v>
      </c>
      <c r="C9807">
        <v>1</v>
      </c>
      <c r="D9807">
        <v>109.41</v>
      </c>
      <c r="E9807">
        <v>123</v>
      </c>
    </row>
    <row r="9808" spans="1:5" x14ac:dyDescent="0.3">
      <c r="A9808" t="s">
        <v>19</v>
      </c>
      <c r="B9808" s="1">
        <v>44694</v>
      </c>
      <c r="C9808">
        <v>1</v>
      </c>
      <c r="D9808">
        <v>81.540000000000006</v>
      </c>
      <c r="E9808">
        <v>102</v>
      </c>
    </row>
    <row r="9809" spans="1:5" x14ac:dyDescent="0.3">
      <c r="A9809" t="s">
        <v>59</v>
      </c>
      <c r="B9809" s="1">
        <v>44694</v>
      </c>
      <c r="C9809">
        <v>1</v>
      </c>
      <c r="D9809">
        <v>11.59</v>
      </c>
      <c r="E9809">
        <v>19</v>
      </c>
    </row>
    <row r="9810" spans="1:5" x14ac:dyDescent="0.3">
      <c r="A9810" t="s">
        <v>47</v>
      </c>
      <c r="B9810" s="1">
        <v>44694</v>
      </c>
      <c r="C9810">
        <v>1</v>
      </c>
      <c r="D9810">
        <v>42.85</v>
      </c>
      <c r="E9810">
        <v>67</v>
      </c>
    </row>
    <row r="9811" spans="1:5" x14ac:dyDescent="0.3">
      <c r="A9811" t="s">
        <v>49</v>
      </c>
      <c r="B9811" s="1">
        <v>44694</v>
      </c>
      <c r="C9811">
        <v>1</v>
      </c>
      <c r="D9811">
        <v>16.25</v>
      </c>
      <c r="E9811">
        <v>20</v>
      </c>
    </row>
    <row r="9812" spans="1:5" x14ac:dyDescent="0.3">
      <c r="A9812" t="s">
        <v>149</v>
      </c>
      <c r="B9812" s="1">
        <v>44694</v>
      </c>
      <c r="C9812">
        <v>1</v>
      </c>
      <c r="D9812">
        <v>233.92</v>
      </c>
      <c r="E9812">
        <v>312</v>
      </c>
    </row>
    <row r="9813" spans="1:5" x14ac:dyDescent="0.3">
      <c r="A9813" t="s">
        <v>76</v>
      </c>
      <c r="B9813" s="1">
        <v>44694</v>
      </c>
      <c r="C9813">
        <v>1</v>
      </c>
      <c r="D9813">
        <v>30.9</v>
      </c>
      <c r="E9813">
        <v>39</v>
      </c>
    </row>
    <row r="9814" spans="1:5" x14ac:dyDescent="0.3">
      <c r="A9814" t="s">
        <v>76</v>
      </c>
      <c r="B9814" s="1">
        <v>44694</v>
      </c>
      <c r="C9814">
        <v>1</v>
      </c>
      <c r="D9814">
        <v>30.9</v>
      </c>
      <c r="E9814">
        <v>39</v>
      </c>
    </row>
    <row r="9815" spans="1:5" x14ac:dyDescent="0.3">
      <c r="A9815" t="s">
        <v>76</v>
      </c>
      <c r="B9815" s="1">
        <v>44694</v>
      </c>
      <c r="C9815">
        <v>1</v>
      </c>
      <c r="D9815">
        <v>30.9</v>
      </c>
      <c r="E9815">
        <v>39</v>
      </c>
    </row>
    <row r="9816" spans="1:5" x14ac:dyDescent="0.3">
      <c r="A9816" t="s">
        <v>76</v>
      </c>
      <c r="B9816" s="1">
        <v>44694</v>
      </c>
      <c r="C9816">
        <v>1</v>
      </c>
      <c r="D9816">
        <v>30.9</v>
      </c>
      <c r="E9816">
        <v>39</v>
      </c>
    </row>
    <row r="9817" spans="1:5" x14ac:dyDescent="0.3">
      <c r="A9817" t="s">
        <v>132</v>
      </c>
      <c r="B9817" s="1">
        <v>44694</v>
      </c>
      <c r="C9817">
        <v>1</v>
      </c>
      <c r="D9817">
        <v>58.23</v>
      </c>
      <c r="E9817">
        <v>87</v>
      </c>
    </row>
    <row r="9818" spans="1:5" x14ac:dyDescent="0.3">
      <c r="A9818" t="s">
        <v>134</v>
      </c>
      <c r="B9818" s="1">
        <v>44694</v>
      </c>
      <c r="C9818">
        <v>1</v>
      </c>
      <c r="D9818">
        <v>27.28</v>
      </c>
      <c r="E9818">
        <v>43</v>
      </c>
    </row>
    <row r="9819" spans="1:5" x14ac:dyDescent="0.3">
      <c r="A9819" t="s">
        <v>134</v>
      </c>
      <c r="B9819" s="1">
        <v>44694</v>
      </c>
      <c r="C9819">
        <v>1</v>
      </c>
      <c r="D9819">
        <v>27.28</v>
      </c>
      <c r="E9819">
        <v>43</v>
      </c>
    </row>
    <row r="9820" spans="1:5" x14ac:dyDescent="0.3">
      <c r="A9820" t="s">
        <v>102</v>
      </c>
      <c r="B9820" s="1">
        <v>44694</v>
      </c>
      <c r="C9820">
        <v>1</v>
      </c>
      <c r="D9820">
        <v>26.59</v>
      </c>
      <c r="E9820">
        <v>33</v>
      </c>
    </row>
    <row r="9821" spans="1:5" x14ac:dyDescent="0.3">
      <c r="A9821" t="s">
        <v>102</v>
      </c>
      <c r="B9821" s="1">
        <v>44694</v>
      </c>
      <c r="C9821">
        <v>1</v>
      </c>
      <c r="D9821">
        <v>26.59</v>
      </c>
      <c r="E9821">
        <v>33</v>
      </c>
    </row>
    <row r="9822" spans="1:5" x14ac:dyDescent="0.3">
      <c r="A9822" t="s">
        <v>102</v>
      </c>
      <c r="B9822" s="1">
        <v>44694</v>
      </c>
      <c r="C9822">
        <v>1</v>
      </c>
      <c r="D9822">
        <v>26.59</v>
      </c>
      <c r="E9822">
        <v>33</v>
      </c>
    </row>
    <row r="9823" spans="1:5" x14ac:dyDescent="0.3">
      <c r="A9823" t="s">
        <v>118</v>
      </c>
      <c r="B9823" s="1">
        <v>44694</v>
      </c>
      <c r="C9823">
        <v>1</v>
      </c>
      <c r="D9823">
        <v>11.1</v>
      </c>
      <c r="E9823">
        <v>13</v>
      </c>
    </row>
    <row r="9824" spans="1:5" x14ac:dyDescent="0.3">
      <c r="A9824" t="s">
        <v>142</v>
      </c>
      <c r="B9824" s="1">
        <v>44694</v>
      </c>
      <c r="C9824">
        <v>1</v>
      </c>
      <c r="D9824">
        <v>12.86</v>
      </c>
      <c r="E9824">
        <v>15</v>
      </c>
    </row>
    <row r="9825" spans="1:5" x14ac:dyDescent="0.3">
      <c r="A9825" t="s">
        <v>59</v>
      </c>
      <c r="B9825" s="1">
        <v>44694</v>
      </c>
      <c r="C9825">
        <v>8</v>
      </c>
      <c r="D9825">
        <v>16.97</v>
      </c>
      <c r="E9825">
        <v>28</v>
      </c>
    </row>
    <row r="9826" spans="1:5" x14ac:dyDescent="0.3">
      <c r="A9826" t="s">
        <v>56</v>
      </c>
      <c r="B9826" s="1">
        <v>44694</v>
      </c>
      <c r="C9826">
        <v>1</v>
      </c>
      <c r="D9826">
        <v>43.97</v>
      </c>
      <c r="E9826">
        <v>67</v>
      </c>
    </row>
    <row r="9827" spans="1:5" x14ac:dyDescent="0.3">
      <c r="A9827" t="s">
        <v>56</v>
      </c>
      <c r="B9827" s="1">
        <v>44694</v>
      </c>
      <c r="C9827">
        <v>1</v>
      </c>
      <c r="D9827">
        <v>43.97</v>
      </c>
      <c r="E9827">
        <v>67</v>
      </c>
    </row>
    <row r="9828" spans="1:5" x14ac:dyDescent="0.3">
      <c r="A9828" t="s">
        <v>24</v>
      </c>
      <c r="B9828" s="1">
        <v>44694</v>
      </c>
      <c r="C9828">
        <v>1</v>
      </c>
      <c r="D9828">
        <v>98.67</v>
      </c>
      <c r="E9828">
        <v>123</v>
      </c>
    </row>
    <row r="9829" spans="1:5" x14ac:dyDescent="0.3">
      <c r="A9829" t="s">
        <v>34</v>
      </c>
      <c r="B9829" s="1">
        <v>44694</v>
      </c>
      <c r="C9829">
        <v>1</v>
      </c>
      <c r="D9829">
        <v>199.32</v>
      </c>
      <c r="E9829">
        <v>230</v>
      </c>
    </row>
    <row r="9830" spans="1:5" x14ac:dyDescent="0.3">
      <c r="A9830" t="s">
        <v>146</v>
      </c>
      <c r="B9830" s="1">
        <v>44694</v>
      </c>
      <c r="C9830">
        <v>1</v>
      </c>
      <c r="D9830">
        <v>402.29</v>
      </c>
      <c r="E9830">
        <v>451</v>
      </c>
    </row>
    <row r="9831" spans="1:5" x14ac:dyDescent="0.3">
      <c r="A9831" t="s">
        <v>32</v>
      </c>
      <c r="B9831" s="1">
        <v>44694</v>
      </c>
      <c r="C9831">
        <v>2</v>
      </c>
      <c r="D9831">
        <v>125.73</v>
      </c>
      <c r="E9831">
        <v>198</v>
      </c>
    </row>
    <row r="9832" spans="1:5" x14ac:dyDescent="0.3">
      <c r="A9832" t="s">
        <v>124</v>
      </c>
      <c r="B9832" s="1">
        <v>44694</v>
      </c>
      <c r="C9832">
        <v>1</v>
      </c>
      <c r="D9832">
        <v>37.869999999999997</v>
      </c>
      <c r="E9832">
        <v>62</v>
      </c>
    </row>
    <row r="9833" spans="1:5" x14ac:dyDescent="0.3">
      <c r="A9833" t="s">
        <v>23</v>
      </c>
      <c r="B9833" s="1">
        <v>44694</v>
      </c>
      <c r="C9833">
        <v>1</v>
      </c>
      <c r="D9833">
        <v>109.41</v>
      </c>
      <c r="E9833">
        <v>123</v>
      </c>
    </row>
    <row r="9834" spans="1:5" x14ac:dyDescent="0.3">
      <c r="A9834" t="s">
        <v>52</v>
      </c>
      <c r="B9834" s="1">
        <v>44694</v>
      </c>
      <c r="C9834">
        <v>1</v>
      </c>
      <c r="D9834">
        <v>206</v>
      </c>
      <c r="E9834">
        <v>251</v>
      </c>
    </row>
    <row r="9835" spans="1:5" x14ac:dyDescent="0.3">
      <c r="A9835" t="s">
        <v>114</v>
      </c>
      <c r="B9835" s="1">
        <v>44694</v>
      </c>
      <c r="C9835">
        <v>1</v>
      </c>
      <c r="D9835">
        <v>74.8</v>
      </c>
      <c r="E9835">
        <v>94</v>
      </c>
    </row>
    <row r="9836" spans="1:5" x14ac:dyDescent="0.3">
      <c r="A9836" t="s">
        <v>150</v>
      </c>
      <c r="B9836" s="1">
        <v>44694</v>
      </c>
      <c r="C9836">
        <v>3</v>
      </c>
      <c r="D9836">
        <v>80.14</v>
      </c>
      <c r="E9836">
        <v>126</v>
      </c>
    </row>
    <row r="9837" spans="1:5" x14ac:dyDescent="0.3">
      <c r="A9837" t="s">
        <v>157</v>
      </c>
      <c r="B9837" s="1">
        <v>44694</v>
      </c>
      <c r="C9837">
        <v>1</v>
      </c>
      <c r="D9837">
        <v>12</v>
      </c>
      <c r="E9837">
        <v>20</v>
      </c>
    </row>
    <row r="9838" spans="1:5" x14ac:dyDescent="0.3">
      <c r="A9838" t="s">
        <v>71</v>
      </c>
      <c r="B9838" s="1">
        <v>44694</v>
      </c>
      <c r="C9838">
        <v>1</v>
      </c>
      <c r="D9838">
        <v>34.75</v>
      </c>
      <c r="E9838">
        <v>53</v>
      </c>
    </row>
    <row r="9839" spans="1:5" x14ac:dyDescent="0.3">
      <c r="A9839" t="s">
        <v>71</v>
      </c>
      <c r="B9839" s="1">
        <v>44694</v>
      </c>
      <c r="C9839">
        <v>1</v>
      </c>
      <c r="D9839">
        <v>34.75</v>
      </c>
      <c r="E9839">
        <v>53</v>
      </c>
    </row>
    <row r="9840" spans="1:5" x14ac:dyDescent="0.3">
      <c r="A9840" t="s">
        <v>93</v>
      </c>
      <c r="B9840" s="1">
        <v>44694</v>
      </c>
      <c r="C9840">
        <v>1</v>
      </c>
      <c r="D9840">
        <v>65.349999999999994</v>
      </c>
      <c r="E9840">
        <v>93</v>
      </c>
    </row>
    <row r="9841" spans="1:5" x14ac:dyDescent="0.3">
      <c r="A9841" t="s">
        <v>153</v>
      </c>
      <c r="B9841" s="1">
        <v>44694</v>
      </c>
      <c r="C9841">
        <v>1</v>
      </c>
      <c r="D9841">
        <v>10.34</v>
      </c>
      <c r="E9841">
        <v>12</v>
      </c>
    </row>
    <row r="9842" spans="1:5" x14ac:dyDescent="0.3">
      <c r="A9842" t="s">
        <v>156</v>
      </c>
      <c r="B9842" s="1">
        <v>44694</v>
      </c>
      <c r="C9842">
        <v>1</v>
      </c>
      <c r="D9842">
        <v>249.63</v>
      </c>
      <c r="E9842">
        <v>350</v>
      </c>
    </row>
    <row r="9843" spans="1:5" x14ac:dyDescent="0.3">
      <c r="A9843" t="s">
        <v>45</v>
      </c>
      <c r="B9843" s="1">
        <v>44694</v>
      </c>
      <c r="C9843">
        <v>1</v>
      </c>
      <c r="D9843">
        <v>25.36</v>
      </c>
      <c r="E9843">
        <v>42</v>
      </c>
    </row>
    <row r="9844" spans="1:5" x14ac:dyDescent="0.3">
      <c r="A9844" t="s">
        <v>153</v>
      </c>
      <c r="B9844" s="1">
        <v>44694</v>
      </c>
      <c r="C9844">
        <v>1</v>
      </c>
      <c r="D9844">
        <v>9.4600000000000009</v>
      </c>
      <c r="E9844">
        <v>11</v>
      </c>
    </row>
    <row r="9845" spans="1:5" x14ac:dyDescent="0.3">
      <c r="A9845" t="s">
        <v>65</v>
      </c>
      <c r="B9845" s="1">
        <v>44694</v>
      </c>
      <c r="C9845">
        <v>1</v>
      </c>
      <c r="D9845">
        <v>176.42</v>
      </c>
      <c r="E9845">
        <v>207</v>
      </c>
    </row>
    <row r="9846" spans="1:5" x14ac:dyDescent="0.3">
      <c r="A9846" t="s">
        <v>16</v>
      </c>
      <c r="B9846" s="1">
        <v>44694</v>
      </c>
      <c r="C9846">
        <v>1</v>
      </c>
      <c r="D9846">
        <v>35.22</v>
      </c>
      <c r="E9846">
        <v>55</v>
      </c>
    </row>
    <row r="9847" spans="1:5" x14ac:dyDescent="0.3">
      <c r="A9847" t="s">
        <v>34</v>
      </c>
      <c r="B9847" s="1">
        <v>44694</v>
      </c>
      <c r="C9847">
        <v>1</v>
      </c>
      <c r="D9847">
        <v>199.58</v>
      </c>
      <c r="E9847">
        <v>230</v>
      </c>
    </row>
    <row r="9848" spans="1:5" x14ac:dyDescent="0.3">
      <c r="A9848" t="s">
        <v>120</v>
      </c>
      <c r="B9848" s="1">
        <v>44694</v>
      </c>
      <c r="C9848">
        <v>1</v>
      </c>
      <c r="D9848">
        <v>132.56</v>
      </c>
      <c r="E9848">
        <v>187</v>
      </c>
    </row>
    <row r="9849" spans="1:5" x14ac:dyDescent="0.3">
      <c r="A9849" t="s">
        <v>40</v>
      </c>
      <c r="B9849" s="1">
        <v>44694</v>
      </c>
      <c r="C9849">
        <v>1</v>
      </c>
      <c r="D9849">
        <v>172.76</v>
      </c>
      <c r="E9849">
        <v>207</v>
      </c>
    </row>
    <row r="9850" spans="1:5" x14ac:dyDescent="0.3">
      <c r="A9850" t="s">
        <v>140</v>
      </c>
      <c r="B9850" s="1">
        <v>44694</v>
      </c>
      <c r="C9850">
        <v>1</v>
      </c>
      <c r="D9850">
        <v>158.72999999999999</v>
      </c>
      <c r="E9850">
        <v>191</v>
      </c>
    </row>
    <row r="9851" spans="1:5" x14ac:dyDescent="0.3">
      <c r="A9851" t="s">
        <v>16</v>
      </c>
      <c r="B9851" s="1">
        <v>44694</v>
      </c>
      <c r="C9851">
        <v>1</v>
      </c>
      <c r="D9851">
        <v>49.13</v>
      </c>
      <c r="E9851">
        <v>75</v>
      </c>
    </row>
    <row r="9852" spans="1:5" x14ac:dyDescent="0.3">
      <c r="A9852" t="s">
        <v>145</v>
      </c>
      <c r="B9852" s="1">
        <v>44694</v>
      </c>
      <c r="C9852">
        <v>1</v>
      </c>
      <c r="D9852">
        <v>25.3</v>
      </c>
      <c r="E9852">
        <v>31</v>
      </c>
    </row>
    <row r="9853" spans="1:5" x14ac:dyDescent="0.3">
      <c r="A9853" t="s">
        <v>145</v>
      </c>
      <c r="B9853" s="1">
        <v>44694</v>
      </c>
      <c r="C9853">
        <v>1</v>
      </c>
      <c r="D9853">
        <v>25.3</v>
      </c>
      <c r="E9853">
        <v>31</v>
      </c>
    </row>
    <row r="9854" spans="1:5" x14ac:dyDescent="0.3">
      <c r="A9854" t="s">
        <v>52</v>
      </c>
      <c r="B9854" s="1">
        <v>44694</v>
      </c>
      <c r="C9854">
        <v>1</v>
      </c>
      <c r="D9854">
        <v>202.07</v>
      </c>
      <c r="E9854">
        <v>243</v>
      </c>
    </row>
    <row r="9855" spans="1:5" x14ac:dyDescent="0.3">
      <c r="A9855" t="s">
        <v>84</v>
      </c>
      <c r="B9855" s="1">
        <v>44694</v>
      </c>
      <c r="C9855">
        <v>1</v>
      </c>
      <c r="D9855">
        <v>168.78</v>
      </c>
      <c r="E9855">
        <v>195</v>
      </c>
    </row>
    <row r="9856" spans="1:5" x14ac:dyDescent="0.3">
      <c r="A9856" t="s">
        <v>108</v>
      </c>
      <c r="B9856" s="1">
        <v>44694</v>
      </c>
      <c r="C9856">
        <v>1</v>
      </c>
      <c r="D9856">
        <v>16.37</v>
      </c>
      <c r="E9856">
        <v>27</v>
      </c>
    </row>
    <row r="9857" spans="1:5" x14ac:dyDescent="0.3">
      <c r="A9857" t="s">
        <v>146</v>
      </c>
      <c r="B9857" s="1">
        <v>44694</v>
      </c>
      <c r="C9857">
        <v>1</v>
      </c>
      <c r="D9857">
        <v>402.29</v>
      </c>
      <c r="E9857">
        <v>451</v>
      </c>
    </row>
    <row r="9858" spans="1:5" x14ac:dyDescent="0.3">
      <c r="A9858" t="s">
        <v>81</v>
      </c>
      <c r="B9858" s="1">
        <v>44694</v>
      </c>
      <c r="C9858">
        <v>1</v>
      </c>
      <c r="D9858">
        <v>39.68</v>
      </c>
      <c r="E9858">
        <v>49</v>
      </c>
    </row>
    <row r="9859" spans="1:5" x14ac:dyDescent="0.3">
      <c r="A9859" t="s">
        <v>97</v>
      </c>
      <c r="B9859" s="1">
        <v>44694</v>
      </c>
      <c r="C9859">
        <v>1</v>
      </c>
      <c r="D9859">
        <v>423.25</v>
      </c>
      <c r="E9859">
        <v>559</v>
      </c>
    </row>
    <row r="9860" spans="1:5" x14ac:dyDescent="0.3">
      <c r="A9860" t="s">
        <v>118</v>
      </c>
      <c r="B9860" s="1">
        <v>44694</v>
      </c>
      <c r="C9860">
        <v>1</v>
      </c>
      <c r="D9860">
        <v>11.1</v>
      </c>
      <c r="E9860">
        <v>13</v>
      </c>
    </row>
    <row r="9861" spans="1:5" x14ac:dyDescent="0.3">
      <c r="A9861" t="s">
        <v>127</v>
      </c>
      <c r="B9861" s="1">
        <v>44694</v>
      </c>
      <c r="C9861">
        <v>1</v>
      </c>
      <c r="D9861">
        <v>118.82</v>
      </c>
      <c r="E9861">
        <v>168</v>
      </c>
    </row>
    <row r="9862" spans="1:5" x14ac:dyDescent="0.3">
      <c r="A9862" t="s">
        <v>47</v>
      </c>
      <c r="B9862" s="1">
        <v>44694</v>
      </c>
      <c r="C9862">
        <v>1</v>
      </c>
      <c r="D9862">
        <v>43.08</v>
      </c>
      <c r="E9862">
        <v>66</v>
      </c>
    </row>
    <row r="9863" spans="1:5" x14ac:dyDescent="0.3">
      <c r="A9863" t="s">
        <v>12</v>
      </c>
      <c r="B9863" s="1">
        <v>44694</v>
      </c>
      <c r="C9863">
        <v>1</v>
      </c>
      <c r="D9863">
        <v>64.680000000000007</v>
      </c>
      <c r="E9863">
        <v>78</v>
      </c>
    </row>
    <row r="9864" spans="1:5" x14ac:dyDescent="0.3">
      <c r="A9864" t="s">
        <v>25</v>
      </c>
      <c r="B9864" s="1">
        <v>44694</v>
      </c>
      <c r="C9864">
        <v>1</v>
      </c>
      <c r="D9864">
        <v>147.4</v>
      </c>
      <c r="E9864">
        <v>177</v>
      </c>
    </row>
    <row r="9865" spans="1:5" x14ac:dyDescent="0.3">
      <c r="A9865" t="s">
        <v>25</v>
      </c>
      <c r="B9865" s="1">
        <v>44694</v>
      </c>
      <c r="C9865">
        <v>1</v>
      </c>
      <c r="D9865">
        <v>147.4</v>
      </c>
      <c r="E9865">
        <v>177</v>
      </c>
    </row>
    <row r="9866" spans="1:5" x14ac:dyDescent="0.3">
      <c r="A9866" t="s">
        <v>150</v>
      </c>
      <c r="B9866" s="1">
        <v>44694</v>
      </c>
      <c r="C9866">
        <v>1</v>
      </c>
      <c r="D9866">
        <v>80.14</v>
      </c>
      <c r="E9866">
        <v>126</v>
      </c>
    </row>
    <row r="9867" spans="1:5" x14ac:dyDescent="0.3">
      <c r="A9867" t="s">
        <v>73</v>
      </c>
      <c r="B9867" s="1">
        <v>44694</v>
      </c>
      <c r="C9867">
        <v>1</v>
      </c>
      <c r="D9867">
        <v>12</v>
      </c>
      <c r="E9867">
        <v>20</v>
      </c>
    </row>
    <row r="9868" spans="1:5" x14ac:dyDescent="0.3">
      <c r="A9868" t="s">
        <v>116</v>
      </c>
      <c r="B9868" s="1">
        <v>44694</v>
      </c>
      <c r="C9868">
        <v>1</v>
      </c>
      <c r="D9868">
        <v>101.97</v>
      </c>
      <c r="E9868">
        <v>123</v>
      </c>
    </row>
    <row r="9869" spans="1:5" x14ac:dyDescent="0.3">
      <c r="A9869" t="s">
        <v>155</v>
      </c>
      <c r="B9869" s="1">
        <v>44694</v>
      </c>
      <c r="C9869">
        <v>0.08</v>
      </c>
      <c r="D9869">
        <v>529.47</v>
      </c>
      <c r="E9869">
        <v>752</v>
      </c>
    </row>
    <row r="9870" spans="1:5" x14ac:dyDescent="0.3">
      <c r="A9870" t="s">
        <v>66</v>
      </c>
      <c r="B9870" s="1">
        <v>44694</v>
      </c>
      <c r="C9870">
        <v>1</v>
      </c>
      <c r="D9870">
        <v>31.69</v>
      </c>
      <c r="E9870">
        <v>37</v>
      </c>
    </row>
    <row r="9871" spans="1:5" x14ac:dyDescent="0.3">
      <c r="A9871" t="s">
        <v>66</v>
      </c>
      <c r="B9871" s="1">
        <v>44694</v>
      </c>
      <c r="C9871">
        <v>1</v>
      </c>
      <c r="D9871">
        <v>31.69</v>
      </c>
      <c r="E9871">
        <v>37</v>
      </c>
    </row>
    <row r="9872" spans="1:5" x14ac:dyDescent="0.3">
      <c r="A9872" t="s">
        <v>66</v>
      </c>
      <c r="B9872" s="1">
        <v>44694</v>
      </c>
      <c r="C9872">
        <v>1</v>
      </c>
      <c r="D9872">
        <v>31.69</v>
      </c>
      <c r="E9872">
        <v>37</v>
      </c>
    </row>
    <row r="9873" spans="1:5" x14ac:dyDescent="0.3">
      <c r="A9873" t="s">
        <v>66</v>
      </c>
      <c r="B9873" s="1">
        <v>44694</v>
      </c>
      <c r="C9873">
        <v>1</v>
      </c>
      <c r="D9873">
        <v>31.69</v>
      </c>
      <c r="E9873">
        <v>37</v>
      </c>
    </row>
    <row r="9874" spans="1:5" x14ac:dyDescent="0.3">
      <c r="A9874" t="s">
        <v>66</v>
      </c>
      <c r="B9874" s="1">
        <v>44694</v>
      </c>
      <c r="C9874">
        <v>1</v>
      </c>
      <c r="D9874">
        <v>31.69</v>
      </c>
      <c r="E9874">
        <v>37</v>
      </c>
    </row>
    <row r="9875" spans="1:5" x14ac:dyDescent="0.3">
      <c r="A9875" t="s">
        <v>25</v>
      </c>
      <c r="B9875" s="1">
        <v>44694</v>
      </c>
      <c r="C9875">
        <v>1</v>
      </c>
      <c r="D9875">
        <v>147.18</v>
      </c>
      <c r="E9875">
        <v>177</v>
      </c>
    </row>
    <row r="9876" spans="1:5" x14ac:dyDescent="0.3">
      <c r="A9876" t="s">
        <v>25</v>
      </c>
      <c r="B9876" s="1">
        <v>44694</v>
      </c>
      <c r="C9876">
        <v>1</v>
      </c>
      <c r="D9876">
        <v>147.18</v>
      </c>
      <c r="E9876">
        <v>177</v>
      </c>
    </row>
    <row r="9877" spans="1:5" x14ac:dyDescent="0.3">
      <c r="A9877" t="s">
        <v>86</v>
      </c>
      <c r="B9877" s="1">
        <v>44694</v>
      </c>
      <c r="C9877">
        <v>3</v>
      </c>
      <c r="D9877">
        <v>47.4</v>
      </c>
      <c r="E9877">
        <v>77</v>
      </c>
    </row>
    <row r="9878" spans="1:5" x14ac:dyDescent="0.3">
      <c r="A9878" t="s">
        <v>98</v>
      </c>
      <c r="B9878" s="1">
        <v>44694</v>
      </c>
      <c r="C9878">
        <v>1</v>
      </c>
      <c r="D9878">
        <v>110.84</v>
      </c>
      <c r="E9878">
        <v>134</v>
      </c>
    </row>
    <row r="9879" spans="1:5" x14ac:dyDescent="0.3">
      <c r="A9879" t="s">
        <v>18</v>
      </c>
      <c r="B9879" s="1">
        <v>44694</v>
      </c>
      <c r="C9879">
        <v>1</v>
      </c>
      <c r="D9879">
        <v>44</v>
      </c>
      <c r="E9879">
        <v>70</v>
      </c>
    </row>
    <row r="9880" spans="1:5" x14ac:dyDescent="0.3">
      <c r="A9880" t="s">
        <v>99</v>
      </c>
      <c r="B9880" s="1">
        <v>44694</v>
      </c>
      <c r="C9880">
        <v>1</v>
      </c>
      <c r="D9880">
        <v>64.25</v>
      </c>
      <c r="E9880">
        <v>76</v>
      </c>
    </row>
    <row r="9881" spans="1:5" x14ac:dyDescent="0.3">
      <c r="A9881" t="s">
        <v>138</v>
      </c>
      <c r="B9881" s="1">
        <v>44694</v>
      </c>
      <c r="C9881">
        <v>1</v>
      </c>
      <c r="D9881">
        <v>46.5</v>
      </c>
      <c r="E9881">
        <v>75</v>
      </c>
    </row>
    <row r="9882" spans="1:5" x14ac:dyDescent="0.3">
      <c r="A9882" t="s">
        <v>160</v>
      </c>
      <c r="B9882" s="1">
        <v>44694</v>
      </c>
      <c r="C9882">
        <v>1</v>
      </c>
      <c r="D9882">
        <v>81.819999999999993</v>
      </c>
      <c r="E9882">
        <v>99</v>
      </c>
    </row>
    <row r="9883" spans="1:5" x14ac:dyDescent="0.3">
      <c r="A9883" t="s">
        <v>160</v>
      </c>
      <c r="B9883" s="1">
        <v>44694</v>
      </c>
      <c r="C9883">
        <v>1</v>
      </c>
      <c r="D9883">
        <v>81.819999999999993</v>
      </c>
      <c r="E9883">
        <v>99</v>
      </c>
    </row>
    <row r="9884" spans="1:5" x14ac:dyDescent="0.3">
      <c r="A9884" t="s">
        <v>33</v>
      </c>
      <c r="B9884" s="1">
        <v>44694</v>
      </c>
      <c r="C9884">
        <v>1</v>
      </c>
      <c r="D9884">
        <v>21.76</v>
      </c>
      <c r="E9884">
        <v>26</v>
      </c>
    </row>
    <row r="9885" spans="1:5" x14ac:dyDescent="0.3">
      <c r="A9885" t="s">
        <v>33</v>
      </c>
      <c r="B9885" s="1">
        <v>44694</v>
      </c>
      <c r="C9885">
        <v>1</v>
      </c>
      <c r="D9885">
        <v>21.76</v>
      </c>
      <c r="E9885">
        <v>26</v>
      </c>
    </row>
    <row r="9886" spans="1:5" x14ac:dyDescent="0.3">
      <c r="A9886" t="s">
        <v>33</v>
      </c>
      <c r="B9886" s="1">
        <v>44694</v>
      </c>
      <c r="C9886">
        <v>1</v>
      </c>
      <c r="D9886">
        <v>21.76</v>
      </c>
      <c r="E9886">
        <v>26</v>
      </c>
    </row>
    <row r="9887" spans="1:5" x14ac:dyDescent="0.3">
      <c r="A9887" t="s">
        <v>33</v>
      </c>
      <c r="B9887" s="1">
        <v>44694</v>
      </c>
      <c r="C9887">
        <v>1</v>
      </c>
      <c r="D9887">
        <v>21.76</v>
      </c>
      <c r="E9887">
        <v>26</v>
      </c>
    </row>
    <row r="9888" spans="1:5" x14ac:dyDescent="0.3">
      <c r="A9888" t="s">
        <v>33</v>
      </c>
      <c r="B9888" s="1">
        <v>44694</v>
      </c>
      <c r="C9888">
        <v>1</v>
      </c>
      <c r="D9888">
        <v>21.1</v>
      </c>
      <c r="E9888">
        <v>25</v>
      </c>
    </row>
    <row r="9889" spans="1:5" x14ac:dyDescent="0.3">
      <c r="A9889" t="s">
        <v>6</v>
      </c>
      <c r="B9889" s="1">
        <v>44694</v>
      </c>
      <c r="C9889">
        <v>0.1</v>
      </c>
      <c r="D9889">
        <v>460.48</v>
      </c>
      <c r="E9889">
        <v>576</v>
      </c>
    </row>
    <row r="9890" spans="1:5" x14ac:dyDescent="0.3">
      <c r="A9890" t="s">
        <v>20</v>
      </c>
      <c r="B9890" s="1">
        <v>44694</v>
      </c>
      <c r="C9890">
        <v>1</v>
      </c>
      <c r="D9890">
        <v>20.72</v>
      </c>
      <c r="E9890">
        <v>24</v>
      </c>
    </row>
    <row r="9891" spans="1:5" x14ac:dyDescent="0.3">
      <c r="A9891" t="s">
        <v>78</v>
      </c>
      <c r="B9891" s="1">
        <v>44694</v>
      </c>
      <c r="C9891">
        <v>1</v>
      </c>
      <c r="D9891">
        <v>70.540000000000006</v>
      </c>
      <c r="E9891">
        <v>91</v>
      </c>
    </row>
    <row r="9892" spans="1:5" x14ac:dyDescent="0.3">
      <c r="A9892" t="s">
        <v>101</v>
      </c>
      <c r="B9892" s="1">
        <v>44694</v>
      </c>
      <c r="C9892">
        <v>1</v>
      </c>
      <c r="D9892">
        <v>33.89</v>
      </c>
      <c r="E9892">
        <v>54</v>
      </c>
    </row>
    <row r="9893" spans="1:5" x14ac:dyDescent="0.3">
      <c r="A9893" t="s">
        <v>83</v>
      </c>
      <c r="B9893" s="1">
        <v>44694</v>
      </c>
      <c r="C9893">
        <v>1</v>
      </c>
      <c r="D9893">
        <v>207.31</v>
      </c>
      <c r="E9893">
        <v>244</v>
      </c>
    </row>
    <row r="9894" spans="1:5" x14ac:dyDescent="0.3">
      <c r="A9894" t="s">
        <v>116</v>
      </c>
      <c r="B9894" s="1">
        <v>44694</v>
      </c>
      <c r="C9894">
        <v>1</v>
      </c>
      <c r="D9894">
        <v>109.02</v>
      </c>
      <c r="E9894">
        <v>128</v>
      </c>
    </row>
    <row r="9895" spans="1:5" x14ac:dyDescent="0.3">
      <c r="A9895" t="s">
        <v>13</v>
      </c>
      <c r="B9895" s="1">
        <v>44694</v>
      </c>
      <c r="C9895">
        <v>1</v>
      </c>
      <c r="D9895">
        <v>122.17</v>
      </c>
      <c r="E9895">
        <v>147</v>
      </c>
    </row>
    <row r="9896" spans="1:5" x14ac:dyDescent="0.3">
      <c r="A9896" t="s">
        <v>47</v>
      </c>
      <c r="B9896" s="1">
        <v>44694</v>
      </c>
      <c r="C9896">
        <v>1</v>
      </c>
      <c r="D9896">
        <v>42.85</v>
      </c>
      <c r="E9896">
        <v>67</v>
      </c>
    </row>
    <row r="9897" spans="1:5" x14ac:dyDescent="0.3">
      <c r="A9897" t="s">
        <v>27</v>
      </c>
      <c r="B9897" s="1">
        <v>44694</v>
      </c>
      <c r="C9897">
        <v>1</v>
      </c>
      <c r="D9897">
        <v>106.88</v>
      </c>
      <c r="E9897">
        <v>164</v>
      </c>
    </row>
    <row r="9898" spans="1:5" x14ac:dyDescent="0.3">
      <c r="A9898" t="s">
        <v>65</v>
      </c>
      <c r="B9898" s="1">
        <v>44694</v>
      </c>
      <c r="C9898">
        <v>1</v>
      </c>
      <c r="D9898">
        <v>181.12</v>
      </c>
      <c r="E9898">
        <v>212</v>
      </c>
    </row>
    <row r="9899" spans="1:5" x14ac:dyDescent="0.3">
      <c r="A9899" t="s">
        <v>96</v>
      </c>
      <c r="B9899" s="1">
        <v>44694</v>
      </c>
      <c r="C9899">
        <v>1</v>
      </c>
      <c r="D9899">
        <v>72.73</v>
      </c>
      <c r="E9899">
        <v>109</v>
      </c>
    </row>
    <row r="9900" spans="1:5" x14ac:dyDescent="0.3">
      <c r="A9900" t="s">
        <v>113</v>
      </c>
      <c r="B9900" s="1">
        <v>44694</v>
      </c>
      <c r="C9900">
        <v>1</v>
      </c>
      <c r="D9900">
        <v>125.55</v>
      </c>
      <c r="E9900">
        <v>183</v>
      </c>
    </row>
    <row r="9901" spans="1:5" x14ac:dyDescent="0.3">
      <c r="A9901" t="s">
        <v>25</v>
      </c>
      <c r="B9901" s="1">
        <v>44694</v>
      </c>
      <c r="C9901">
        <v>1</v>
      </c>
      <c r="D9901">
        <v>147.4</v>
      </c>
      <c r="E9901">
        <v>180</v>
      </c>
    </row>
    <row r="9902" spans="1:5" x14ac:dyDescent="0.3">
      <c r="A9902" t="s">
        <v>14</v>
      </c>
      <c r="B9902" s="1">
        <v>44694</v>
      </c>
      <c r="C9902">
        <v>1</v>
      </c>
      <c r="D9902">
        <v>446.41</v>
      </c>
      <c r="E9902">
        <v>576</v>
      </c>
    </row>
    <row r="9903" spans="1:5" x14ac:dyDescent="0.3">
      <c r="A9903" t="s">
        <v>56</v>
      </c>
      <c r="B9903" s="1">
        <v>44694</v>
      </c>
      <c r="C9903">
        <v>1</v>
      </c>
      <c r="D9903">
        <v>43.97</v>
      </c>
      <c r="E9903">
        <v>67</v>
      </c>
    </row>
    <row r="9904" spans="1:5" x14ac:dyDescent="0.3">
      <c r="A9904" t="s">
        <v>136</v>
      </c>
      <c r="B9904" s="1">
        <v>44694</v>
      </c>
      <c r="C9904">
        <v>1</v>
      </c>
      <c r="D9904">
        <v>286.19</v>
      </c>
      <c r="E9904">
        <v>381</v>
      </c>
    </row>
    <row r="9905" spans="1:5" x14ac:dyDescent="0.3">
      <c r="A9905" t="s">
        <v>12</v>
      </c>
      <c r="B9905" s="1">
        <v>44694</v>
      </c>
      <c r="C9905">
        <v>1</v>
      </c>
      <c r="D9905">
        <v>56.84</v>
      </c>
      <c r="E9905">
        <v>72</v>
      </c>
    </row>
    <row r="9906" spans="1:5" x14ac:dyDescent="0.3">
      <c r="A9906" t="s">
        <v>18</v>
      </c>
      <c r="B9906" s="1">
        <v>44694</v>
      </c>
      <c r="C9906">
        <v>1</v>
      </c>
      <c r="D9906">
        <v>46</v>
      </c>
      <c r="E9906">
        <v>72</v>
      </c>
    </row>
    <row r="9907" spans="1:5" x14ac:dyDescent="0.3">
      <c r="A9907" t="s">
        <v>58</v>
      </c>
      <c r="B9907" s="1">
        <v>44694</v>
      </c>
      <c r="C9907">
        <v>1</v>
      </c>
      <c r="D9907">
        <v>82.25</v>
      </c>
      <c r="E9907">
        <v>99</v>
      </c>
    </row>
    <row r="9908" spans="1:5" x14ac:dyDescent="0.3">
      <c r="A9908" t="s">
        <v>152</v>
      </c>
      <c r="B9908" s="1">
        <v>44694</v>
      </c>
      <c r="C9908">
        <v>1</v>
      </c>
      <c r="D9908">
        <v>127.93</v>
      </c>
      <c r="E9908">
        <v>160</v>
      </c>
    </row>
    <row r="9909" spans="1:5" x14ac:dyDescent="0.3">
      <c r="A9909" t="s">
        <v>62</v>
      </c>
      <c r="B9909" s="1">
        <v>44694</v>
      </c>
      <c r="C9909">
        <v>1</v>
      </c>
      <c r="D9909">
        <v>24.97</v>
      </c>
      <c r="E9909">
        <v>30</v>
      </c>
    </row>
    <row r="9910" spans="1:5" x14ac:dyDescent="0.3">
      <c r="A9910" t="s">
        <v>15</v>
      </c>
      <c r="B9910" s="1">
        <v>44694</v>
      </c>
      <c r="C9910">
        <v>1</v>
      </c>
      <c r="D9910">
        <v>55.5</v>
      </c>
      <c r="E9910">
        <v>87</v>
      </c>
    </row>
    <row r="9911" spans="1:5" x14ac:dyDescent="0.3">
      <c r="A9911" t="s">
        <v>6</v>
      </c>
      <c r="B9911" s="1">
        <v>44694</v>
      </c>
      <c r="C9911">
        <v>0.4</v>
      </c>
      <c r="D9911">
        <v>442.51</v>
      </c>
      <c r="E9911">
        <v>554</v>
      </c>
    </row>
    <row r="9912" spans="1:5" x14ac:dyDescent="0.3">
      <c r="A9912" t="s">
        <v>97</v>
      </c>
      <c r="B9912" s="1">
        <v>44694</v>
      </c>
      <c r="C9912">
        <v>1</v>
      </c>
      <c r="D9912">
        <v>423.25</v>
      </c>
      <c r="E9912">
        <v>559</v>
      </c>
    </row>
    <row r="9913" spans="1:5" x14ac:dyDescent="0.3">
      <c r="A9913" t="s">
        <v>97</v>
      </c>
      <c r="B9913" s="1">
        <v>44694</v>
      </c>
      <c r="C9913">
        <v>1</v>
      </c>
      <c r="D9913">
        <v>423.25</v>
      </c>
      <c r="E9913">
        <v>559</v>
      </c>
    </row>
    <row r="9914" spans="1:5" x14ac:dyDescent="0.3">
      <c r="A9914" t="s">
        <v>124</v>
      </c>
      <c r="B9914" s="1">
        <v>44694</v>
      </c>
      <c r="C9914">
        <v>2</v>
      </c>
      <c r="D9914">
        <v>37.869999999999997</v>
      </c>
      <c r="E9914">
        <v>62</v>
      </c>
    </row>
    <row r="9915" spans="1:5" x14ac:dyDescent="0.3">
      <c r="A9915" t="s">
        <v>25</v>
      </c>
      <c r="B9915" s="1">
        <v>44694</v>
      </c>
      <c r="C9915">
        <v>1</v>
      </c>
      <c r="D9915">
        <v>147.18</v>
      </c>
      <c r="E9915">
        <v>177</v>
      </c>
    </row>
    <row r="9916" spans="1:5" x14ac:dyDescent="0.3">
      <c r="A9916" t="s">
        <v>20</v>
      </c>
      <c r="B9916" s="1">
        <v>44694</v>
      </c>
      <c r="C9916">
        <v>1</v>
      </c>
      <c r="D9916">
        <v>22.66</v>
      </c>
      <c r="E9916">
        <v>30</v>
      </c>
    </row>
    <row r="9917" spans="1:5" x14ac:dyDescent="0.3">
      <c r="A9917" t="s">
        <v>20</v>
      </c>
      <c r="B9917" s="1">
        <v>44694</v>
      </c>
      <c r="C9917">
        <v>1</v>
      </c>
      <c r="D9917">
        <v>22.66</v>
      </c>
      <c r="E9917">
        <v>30</v>
      </c>
    </row>
    <row r="9918" spans="1:5" x14ac:dyDescent="0.3">
      <c r="A9918" t="s">
        <v>20</v>
      </c>
      <c r="B9918" s="1">
        <v>44694</v>
      </c>
      <c r="C9918">
        <v>1</v>
      </c>
      <c r="D9918">
        <v>22.66</v>
      </c>
      <c r="E9918">
        <v>30</v>
      </c>
    </row>
    <row r="9919" spans="1:5" x14ac:dyDescent="0.3">
      <c r="A9919" t="s">
        <v>20</v>
      </c>
      <c r="B9919" s="1">
        <v>44694</v>
      </c>
      <c r="C9919">
        <v>1</v>
      </c>
      <c r="D9919">
        <v>22.66</v>
      </c>
      <c r="E9919">
        <v>30</v>
      </c>
    </row>
    <row r="9920" spans="1:5" x14ac:dyDescent="0.3">
      <c r="A9920" t="s">
        <v>65</v>
      </c>
      <c r="B9920" s="1">
        <v>44694</v>
      </c>
      <c r="C9920">
        <v>1</v>
      </c>
      <c r="D9920">
        <v>184.45</v>
      </c>
      <c r="E9920">
        <v>216</v>
      </c>
    </row>
    <row r="9921" spans="1:5" x14ac:dyDescent="0.3">
      <c r="A9921" t="s">
        <v>20</v>
      </c>
      <c r="B9921" s="1">
        <v>44694</v>
      </c>
      <c r="C9921">
        <v>1</v>
      </c>
      <c r="D9921">
        <v>19.66</v>
      </c>
      <c r="E9921">
        <v>25</v>
      </c>
    </row>
    <row r="9922" spans="1:5" x14ac:dyDescent="0.3">
      <c r="A9922" t="s">
        <v>20</v>
      </c>
      <c r="B9922" s="1">
        <v>44694</v>
      </c>
      <c r="C9922">
        <v>1</v>
      </c>
      <c r="D9922">
        <v>19.66</v>
      </c>
      <c r="E9922">
        <v>25</v>
      </c>
    </row>
    <row r="9923" spans="1:5" x14ac:dyDescent="0.3">
      <c r="A9923" t="s">
        <v>25</v>
      </c>
      <c r="B9923" s="1">
        <v>44694</v>
      </c>
      <c r="C9923">
        <v>1</v>
      </c>
      <c r="D9923">
        <v>150.25</v>
      </c>
      <c r="E9923">
        <v>180</v>
      </c>
    </row>
    <row r="9924" spans="1:5" x14ac:dyDescent="0.3">
      <c r="A9924" t="s">
        <v>52</v>
      </c>
      <c r="B9924" s="1">
        <v>44694</v>
      </c>
      <c r="C9924">
        <v>1</v>
      </c>
      <c r="D9924">
        <v>202.33</v>
      </c>
      <c r="E9924">
        <v>243</v>
      </c>
    </row>
    <row r="9925" spans="1:5" x14ac:dyDescent="0.3">
      <c r="A9925" t="s">
        <v>70</v>
      </c>
      <c r="B9925" s="1">
        <v>44694</v>
      </c>
      <c r="C9925">
        <v>1</v>
      </c>
      <c r="D9925">
        <v>165.86</v>
      </c>
      <c r="E9925">
        <v>200</v>
      </c>
    </row>
    <row r="9926" spans="1:5" x14ac:dyDescent="0.3">
      <c r="A9926" t="s">
        <v>18</v>
      </c>
      <c r="B9926" s="1">
        <v>44694</v>
      </c>
      <c r="C9926">
        <v>1</v>
      </c>
      <c r="D9926">
        <v>44</v>
      </c>
      <c r="E9926">
        <v>70</v>
      </c>
    </row>
    <row r="9927" spans="1:5" x14ac:dyDescent="0.3">
      <c r="A9927" t="s">
        <v>95</v>
      </c>
      <c r="B9927" s="1">
        <v>44694</v>
      </c>
      <c r="C9927">
        <v>2</v>
      </c>
      <c r="D9927">
        <v>103.49</v>
      </c>
      <c r="E9927">
        <v>161</v>
      </c>
    </row>
    <row r="9928" spans="1:5" x14ac:dyDescent="0.3">
      <c r="A9928" t="s">
        <v>91</v>
      </c>
      <c r="B9928" s="1">
        <v>44694</v>
      </c>
      <c r="C9928">
        <v>1</v>
      </c>
      <c r="D9928">
        <v>31.93</v>
      </c>
      <c r="E9928">
        <v>52</v>
      </c>
    </row>
    <row r="9929" spans="1:5" x14ac:dyDescent="0.3">
      <c r="A9929" t="s">
        <v>8</v>
      </c>
      <c r="B9929" s="1">
        <v>44694</v>
      </c>
      <c r="C9929">
        <v>1</v>
      </c>
      <c r="D9929">
        <v>47.53</v>
      </c>
      <c r="E9929">
        <v>77</v>
      </c>
    </row>
    <row r="9930" spans="1:5" x14ac:dyDescent="0.3">
      <c r="A9930" t="s">
        <v>83</v>
      </c>
      <c r="B9930" s="1">
        <v>44694</v>
      </c>
      <c r="C9930">
        <v>1</v>
      </c>
      <c r="D9930">
        <v>207.76</v>
      </c>
      <c r="E9930">
        <v>246</v>
      </c>
    </row>
    <row r="9931" spans="1:5" x14ac:dyDescent="0.3">
      <c r="A9931" t="s">
        <v>22</v>
      </c>
      <c r="B9931" s="1">
        <v>44694</v>
      </c>
      <c r="C9931">
        <v>1</v>
      </c>
      <c r="D9931">
        <v>30.3</v>
      </c>
      <c r="E9931">
        <v>49</v>
      </c>
    </row>
    <row r="9932" spans="1:5" x14ac:dyDescent="0.3">
      <c r="A9932" t="s">
        <v>120</v>
      </c>
      <c r="B9932" s="1">
        <v>44694</v>
      </c>
      <c r="C9932">
        <v>1</v>
      </c>
      <c r="D9932">
        <v>131.01</v>
      </c>
      <c r="E9932">
        <v>180</v>
      </c>
    </row>
    <row r="9933" spans="1:5" x14ac:dyDescent="0.3">
      <c r="A9933" t="s">
        <v>71</v>
      </c>
      <c r="B9933" s="1">
        <v>44694</v>
      </c>
      <c r="C9933">
        <v>1</v>
      </c>
      <c r="D9933">
        <v>34.75</v>
      </c>
      <c r="E9933">
        <v>53</v>
      </c>
    </row>
    <row r="9934" spans="1:5" x14ac:dyDescent="0.3">
      <c r="A9934" t="s">
        <v>71</v>
      </c>
      <c r="B9934" s="1">
        <v>44694</v>
      </c>
      <c r="C9934">
        <v>1</v>
      </c>
      <c r="D9934">
        <v>34.75</v>
      </c>
      <c r="E9934">
        <v>53</v>
      </c>
    </row>
    <row r="9935" spans="1:5" x14ac:dyDescent="0.3">
      <c r="A9935" t="s">
        <v>136</v>
      </c>
      <c r="B9935" s="1">
        <v>44694</v>
      </c>
      <c r="C9935">
        <v>1</v>
      </c>
      <c r="D9935">
        <v>289.64</v>
      </c>
      <c r="E9935">
        <v>406</v>
      </c>
    </row>
    <row r="9936" spans="1:5" x14ac:dyDescent="0.3">
      <c r="A9936" t="s">
        <v>105</v>
      </c>
      <c r="B9936" s="1">
        <v>44694</v>
      </c>
      <c r="C9936">
        <v>1</v>
      </c>
      <c r="D9936">
        <v>27.51</v>
      </c>
      <c r="E9936">
        <v>48</v>
      </c>
    </row>
    <row r="9937" spans="1:5" x14ac:dyDescent="0.3">
      <c r="A9937" t="s">
        <v>105</v>
      </c>
      <c r="B9937" s="1">
        <v>44694</v>
      </c>
      <c r="C9937">
        <v>2</v>
      </c>
      <c r="D9937">
        <v>27.51</v>
      </c>
      <c r="E9937">
        <v>48</v>
      </c>
    </row>
    <row r="9938" spans="1:5" x14ac:dyDescent="0.3">
      <c r="A9938" t="s">
        <v>23</v>
      </c>
      <c r="B9938" s="1">
        <v>44694</v>
      </c>
      <c r="C9938">
        <v>1</v>
      </c>
      <c r="D9938">
        <v>112.85</v>
      </c>
      <c r="E9938">
        <v>127</v>
      </c>
    </row>
    <row r="9939" spans="1:5" x14ac:dyDescent="0.3">
      <c r="A9939" t="s">
        <v>92</v>
      </c>
      <c r="B9939" s="1">
        <v>44694</v>
      </c>
      <c r="C9939">
        <v>10</v>
      </c>
      <c r="D9939">
        <v>15</v>
      </c>
      <c r="E9939">
        <v>20</v>
      </c>
    </row>
    <row r="9940" spans="1:5" x14ac:dyDescent="0.3">
      <c r="A9940" t="s">
        <v>20</v>
      </c>
      <c r="B9940" s="1">
        <v>44694</v>
      </c>
      <c r="C9940">
        <v>1</v>
      </c>
      <c r="D9940">
        <v>22.66</v>
      </c>
      <c r="E9940">
        <v>30</v>
      </c>
    </row>
    <row r="9941" spans="1:5" x14ac:dyDescent="0.3">
      <c r="A9941" t="s">
        <v>20</v>
      </c>
      <c r="B9941" s="1">
        <v>44694</v>
      </c>
      <c r="C9941">
        <v>1</v>
      </c>
      <c r="D9941">
        <v>22.66</v>
      </c>
      <c r="E9941">
        <v>30</v>
      </c>
    </row>
    <row r="9942" spans="1:5" x14ac:dyDescent="0.3">
      <c r="A9942" t="s">
        <v>41</v>
      </c>
      <c r="B9942" s="1">
        <v>44694</v>
      </c>
      <c r="C9942">
        <v>4</v>
      </c>
      <c r="D9942">
        <v>11.45</v>
      </c>
      <c r="E9942">
        <v>19</v>
      </c>
    </row>
    <row r="9943" spans="1:5" x14ac:dyDescent="0.3">
      <c r="A9943" t="s">
        <v>55</v>
      </c>
      <c r="B9943" s="1">
        <v>44694</v>
      </c>
      <c r="C9943">
        <v>1</v>
      </c>
      <c r="D9943">
        <v>80.05</v>
      </c>
      <c r="E9943">
        <v>98</v>
      </c>
    </row>
    <row r="9944" spans="1:5" x14ac:dyDescent="0.3">
      <c r="A9944" t="s">
        <v>121</v>
      </c>
      <c r="B9944" s="1">
        <v>44694</v>
      </c>
      <c r="C9944">
        <v>1</v>
      </c>
      <c r="D9944">
        <v>7.96</v>
      </c>
      <c r="E9944">
        <v>13</v>
      </c>
    </row>
    <row r="9945" spans="1:5" x14ac:dyDescent="0.3">
      <c r="A9945" t="s">
        <v>25</v>
      </c>
      <c r="B9945" s="1">
        <v>44694</v>
      </c>
      <c r="C9945">
        <v>1</v>
      </c>
      <c r="D9945">
        <v>147.18</v>
      </c>
      <c r="E9945">
        <v>177</v>
      </c>
    </row>
    <row r="9946" spans="1:5" x14ac:dyDescent="0.3">
      <c r="A9946" t="s">
        <v>91</v>
      </c>
      <c r="B9946" s="1">
        <v>44694</v>
      </c>
      <c r="C9946">
        <v>1</v>
      </c>
      <c r="D9946">
        <v>34.299999999999997</v>
      </c>
      <c r="E9946">
        <v>56</v>
      </c>
    </row>
    <row r="9947" spans="1:5" x14ac:dyDescent="0.3">
      <c r="A9947" t="s">
        <v>45</v>
      </c>
      <c r="B9947" s="1">
        <v>44693</v>
      </c>
      <c r="C9947">
        <v>1</v>
      </c>
      <c r="D9947">
        <v>27.94</v>
      </c>
      <c r="E9947">
        <v>45</v>
      </c>
    </row>
    <row r="9948" spans="1:5" x14ac:dyDescent="0.3">
      <c r="A9948" t="s">
        <v>26</v>
      </c>
      <c r="B9948" s="1">
        <v>44693</v>
      </c>
      <c r="C9948">
        <v>0.1</v>
      </c>
      <c r="D9948">
        <v>1086.5899999999999</v>
      </c>
      <c r="E9948">
        <v>1391</v>
      </c>
    </row>
    <row r="9949" spans="1:5" x14ac:dyDescent="0.3">
      <c r="A9949" t="s">
        <v>52</v>
      </c>
      <c r="B9949" s="1">
        <v>44693</v>
      </c>
      <c r="C9949">
        <v>1</v>
      </c>
      <c r="D9949">
        <v>206</v>
      </c>
      <c r="E9949">
        <v>251</v>
      </c>
    </row>
    <row r="9950" spans="1:5" x14ac:dyDescent="0.3">
      <c r="A9950" t="s">
        <v>99</v>
      </c>
      <c r="B9950" s="1">
        <v>44693</v>
      </c>
      <c r="C9950">
        <v>1</v>
      </c>
      <c r="D9950">
        <v>64.44</v>
      </c>
      <c r="E9950">
        <v>76</v>
      </c>
    </row>
    <row r="9951" spans="1:5" x14ac:dyDescent="0.3">
      <c r="A9951" t="s">
        <v>44</v>
      </c>
      <c r="B9951" s="1">
        <v>44693</v>
      </c>
      <c r="C9951">
        <v>1</v>
      </c>
      <c r="D9951">
        <v>64.260000000000005</v>
      </c>
      <c r="E9951">
        <v>100</v>
      </c>
    </row>
    <row r="9952" spans="1:5" x14ac:dyDescent="0.3">
      <c r="A9952" t="s">
        <v>40</v>
      </c>
      <c r="B9952" s="1">
        <v>44693</v>
      </c>
      <c r="C9952">
        <v>1</v>
      </c>
      <c r="D9952">
        <v>173.51</v>
      </c>
      <c r="E9952">
        <v>208</v>
      </c>
    </row>
    <row r="9953" spans="1:5" x14ac:dyDescent="0.3">
      <c r="A9953" t="s">
        <v>101</v>
      </c>
      <c r="B9953" s="1">
        <v>44693</v>
      </c>
      <c r="C9953">
        <v>1</v>
      </c>
      <c r="D9953">
        <v>31</v>
      </c>
      <c r="E9953">
        <v>49</v>
      </c>
    </row>
    <row r="9954" spans="1:5" x14ac:dyDescent="0.3">
      <c r="A9954" t="s">
        <v>101</v>
      </c>
      <c r="B9954" s="1">
        <v>44693</v>
      </c>
      <c r="C9954">
        <v>1</v>
      </c>
      <c r="D9954">
        <v>28.74</v>
      </c>
      <c r="E9954">
        <v>45</v>
      </c>
    </row>
    <row r="9955" spans="1:5" x14ac:dyDescent="0.3">
      <c r="A9955" t="s">
        <v>32</v>
      </c>
      <c r="B9955" s="1">
        <v>44693</v>
      </c>
      <c r="C9955">
        <v>1</v>
      </c>
      <c r="D9955">
        <v>125.73</v>
      </c>
      <c r="E9955">
        <v>198</v>
      </c>
    </row>
    <row r="9956" spans="1:5" x14ac:dyDescent="0.3">
      <c r="A9956" t="s">
        <v>31</v>
      </c>
      <c r="B9956" s="1">
        <v>44693</v>
      </c>
      <c r="C9956">
        <v>1</v>
      </c>
      <c r="D9956">
        <v>13.04</v>
      </c>
      <c r="E9956">
        <v>18</v>
      </c>
    </row>
    <row r="9957" spans="1:5" x14ac:dyDescent="0.3">
      <c r="A9957" t="s">
        <v>31</v>
      </c>
      <c r="B9957" s="1">
        <v>44693</v>
      </c>
      <c r="C9957">
        <v>1</v>
      </c>
      <c r="D9957">
        <v>13.04</v>
      </c>
      <c r="E9957">
        <v>18</v>
      </c>
    </row>
    <row r="9958" spans="1:5" x14ac:dyDescent="0.3">
      <c r="A9958" t="s">
        <v>31</v>
      </c>
      <c r="B9958" s="1">
        <v>44693</v>
      </c>
      <c r="C9958">
        <v>1</v>
      </c>
      <c r="D9958">
        <v>13.04</v>
      </c>
      <c r="E9958">
        <v>18</v>
      </c>
    </row>
    <row r="9959" spans="1:5" x14ac:dyDescent="0.3">
      <c r="A9959" t="s">
        <v>31</v>
      </c>
      <c r="B9959" s="1">
        <v>44693</v>
      </c>
      <c r="C9959">
        <v>1</v>
      </c>
      <c r="D9959">
        <v>13.04</v>
      </c>
      <c r="E9959">
        <v>18</v>
      </c>
    </row>
    <row r="9960" spans="1:5" x14ac:dyDescent="0.3">
      <c r="A9960" t="s">
        <v>31</v>
      </c>
      <c r="B9960" s="1">
        <v>44693</v>
      </c>
      <c r="C9960">
        <v>1</v>
      </c>
      <c r="D9960">
        <v>13.04</v>
      </c>
      <c r="E9960">
        <v>18</v>
      </c>
    </row>
    <row r="9961" spans="1:5" x14ac:dyDescent="0.3">
      <c r="A9961" t="s">
        <v>56</v>
      </c>
      <c r="B9961" s="1">
        <v>44693</v>
      </c>
      <c r="C9961">
        <v>1</v>
      </c>
      <c r="D9961">
        <v>43.97</v>
      </c>
      <c r="E9961">
        <v>67</v>
      </c>
    </row>
    <row r="9962" spans="1:5" x14ac:dyDescent="0.3">
      <c r="A9962" t="s">
        <v>59</v>
      </c>
      <c r="B9962" s="1">
        <v>44693</v>
      </c>
      <c r="C9962">
        <v>2</v>
      </c>
      <c r="D9962">
        <v>11.59</v>
      </c>
      <c r="E9962">
        <v>19</v>
      </c>
    </row>
    <row r="9963" spans="1:5" x14ac:dyDescent="0.3">
      <c r="A9963" t="s">
        <v>24</v>
      </c>
      <c r="B9963" s="1">
        <v>44693</v>
      </c>
      <c r="C9963">
        <v>1</v>
      </c>
      <c r="D9963">
        <v>98.67</v>
      </c>
      <c r="E9963">
        <v>123</v>
      </c>
    </row>
    <row r="9964" spans="1:5" x14ac:dyDescent="0.3">
      <c r="A9964" t="s">
        <v>56</v>
      </c>
      <c r="B9964" s="1">
        <v>44693</v>
      </c>
      <c r="C9964">
        <v>1</v>
      </c>
      <c r="D9964">
        <v>43.97</v>
      </c>
      <c r="E9964">
        <v>67</v>
      </c>
    </row>
    <row r="9965" spans="1:5" x14ac:dyDescent="0.3">
      <c r="A9965" t="s">
        <v>28</v>
      </c>
      <c r="B9965" s="1">
        <v>44693</v>
      </c>
      <c r="C9965">
        <v>1</v>
      </c>
      <c r="D9965">
        <v>135.44999999999999</v>
      </c>
      <c r="E9965">
        <v>189</v>
      </c>
    </row>
    <row r="9966" spans="1:5" x14ac:dyDescent="0.3">
      <c r="A9966" t="s">
        <v>74</v>
      </c>
      <c r="B9966" s="1">
        <v>44693</v>
      </c>
      <c r="C9966">
        <v>1</v>
      </c>
      <c r="D9966">
        <v>87.36</v>
      </c>
      <c r="E9966">
        <v>109</v>
      </c>
    </row>
    <row r="9967" spans="1:5" x14ac:dyDescent="0.3">
      <c r="A9967" t="s">
        <v>98</v>
      </c>
      <c r="B9967" s="1">
        <v>44693</v>
      </c>
      <c r="C9967">
        <v>1</v>
      </c>
      <c r="D9967">
        <v>110.99</v>
      </c>
      <c r="E9967">
        <v>136</v>
      </c>
    </row>
    <row r="9968" spans="1:5" x14ac:dyDescent="0.3">
      <c r="A9968" t="s">
        <v>159</v>
      </c>
      <c r="B9968" s="1">
        <v>44693</v>
      </c>
      <c r="C9968">
        <v>1</v>
      </c>
      <c r="D9968">
        <v>50.63</v>
      </c>
      <c r="E9968">
        <v>65</v>
      </c>
    </row>
    <row r="9969" spans="1:5" x14ac:dyDescent="0.3">
      <c r="A9969" t="s">
        <v>159</v>
      </c>
      <c r="B9969" s="1">
        <v>44693</v>
      </c>
      <c r="C9969">
        <v>1</v>
      </c>
      <c r="D9969">
        <v>50.63</v>
      </c>
      <c r="E9969">
        <v>65</v>
      </c>
    </row>
    <row r="9970" spans="1:5" x14ac:dyDescent="0.3">
      <c r="A9970" t="s">
        <v>91</v>
      </c>
      <c r="B9970" s="1">
        <v>44693</v>
      </c>
      <c r="C9970">
        <v>1</v>
      </c>
      <c r="D9970">
        <v>34.299999999999997</v>
      </c>
      <c r="E9970">
        <v>56</v>
      </c>
    </row>
    <row r="9971" spans="1:5" x14ac:dyDescent="0.3">
      <c r="A9971" t="s">
        <v>48</v>
      </c>
      <c r="B9971" s="1">
        <v>44693</v>
      </c>
      <c r="C9971">
        <v>1</v>
      </c>
      <c r="D9971">
        <v>38.67</v>
      </c>
      <c r="E9971">
        <v>60</v>
      </c>
    </row>
    <row r="9972" spans="1:5" x14ac:dyDescent="0.3">
      <c r="A9972" t="s">
        <v>124</v>
      </c>
      <c r="B9972" s="1">
        <v>44693</v>
      </c>
      <c r="C9972">
        <v>1</v>
      </c>
      <c r="D9972">
        <v>36.75</v>
      </c>
      <c r="E9972">
        <v>59</v>
      </c>
    </row>
    <row r="9973" spans="1:5" x14ac:dyDescent="0.3">
      <c r="A9973" t="s">
        <v>146</v>
      </c>
      <c r="B9973" s="1">
        <v>44693</v>
      </c>
      <c r="C9973">
        <v>1</v>
      </c>
      <c r="D9973">
        <v>398.18</v>
      </c>
      <c r="E9973">
        <v>446</v>
      </c>
    </row>
    <row r="9974" spans="1:5" x14ac:dyDescent="0.3">
      <c r="A9974" t="s">
        <v>45</v>
      </c>
      <c r="B9974" s="1">
        <v>44693</v>
      </c>
      <c r="C9974">
        <v>1</v>
      </c>
      <c r="D9974">
        <v>25.59</v>
      </c>
      <c r="E9974">
        <v>45</v>
      </c>
    </row>
    <row r="9975" spans="1:5" x14ac:dyDescent="0.3">
      <c r="A9975" t="s">
        <v>24</v>
      </c>
      <c r="B9975" s="1">
        <v>44693</v>
      </c>
      <c r="C9975">
        <v>1</v>
      </c>
      <c r="D9975">
        <v>98.67</v>
      </c>
      <c r="E9975">
        <v>120</v>
      </c>
    </row>
    <row r="9976" spans="1:5" x14ac:dyDescent="0.3">
      <c r="A9976" t="s">
        <v>32</v>
      </c>
      <c r="B9976" s="1">
        <v>44693</v>
      </c>
      <c r="C9976">
        <v>1</v>
      </c>
      <c r="D9976">
        <v>70.44</v>
      </c>
      <c r="E9976">
        <v>117</v>
      </c>
    </row>
    <row r="9977" spans="1:5" x14ac:dyDescent="0.3">
      <c r="A9977" t="s">
        <v>91</v>
      </c>
      <c r="B9977" s="1">
        <v>44693</v>
      </c>
      <c r="C9977">
        <v>1</v>
      </c>
      <c r="D9977">
        <v>34.299999999999997</v>
      </c>
      <c r="E9977">
        <v>56</v>
      </c>
    </row>
    <row r="9978" spans="1:5" x14ac:dyDescent="0.3">
      <c r="A9978" t="s">
        <v>62</v>
      </c>
      <c r="B9978" s="1">
        <v>44693</v>
      </c>
      <c r="C9978">
        <v>1</v>
      </c>
      <c r="D9978">
        <v>25.71</v>
      </c>
      <c r="E9978">
        <v>31</v>
      </c>
    </row>
    <row r="9979" spans="1:5" x14ac:dyDescent="0.3">
      <c r="A9979" t="s">
        <v>45</v>
      </c>
      <c r="B9979" s="1">
        <v>44693</v>
      </c>
      <c r="C9979">
        <v>1</v>
      </c>
      <c r="D9979">
        <v>27.94</v>
      </c>
      <c r="E9979">
        <v>45</v>
      </c>
    </row>
    <row r="9980" spans="1:5" x14ac:dyDescent="0.3">
      <c r="A9980" t="s">
        <v>72</v>
      </c>
      <c r="B9980" s="1">
        <v>44693</v>
      </c>
      <c r="C9980">
        <v>1</v>
      </c>
      <c r="D9980">
        <v>561.91</v>
      </c>
      <c r="E9980">
        <v>742</v>
      </c>
    </row>
    <row r="9981" spans="1:5" x14ac:dyDescent="0.3">
      <c r="A9981" t="s">
        <v>89</v>
      </c>
      <c r="B9981" s="1">
        <v>44693</v>
      </c>
      <c r="C9981">
        <v>1</v>
      </c>
      <c r="D9981">
        <v>76.77</v>
      </c>
      <c r="E9981">
        <v>110</v>
      </c>
    </row>
    <row r="9982" spans="1:5" x14ac:dyDescent="0.3">
      <c r="A9982" t="s">
        <v>83</v>
      </c>
      <c r="B9982" s="1">
        <v>44693</v>
      </c>
      <c r="C9982">
        <v>1</v>
      </c>
      <c r="D9982">
        <v>207.76</v>
      </c>
      <c r="E9982">
        <v>246</v>
      </c>
    </row>
    <row r="9983" spans="1:5" x14ac:dyDescent="0.3">
      <c r="A9983" t="s">
        <v>13</v>
      </c>
      <c r="B9983" s="1">
        <v>44693</v>
      </c>
      <c r="C9983">
        <v>1</v>
      </c>
      <c r="D9983">
        <v>122.17</v>
      </c>
      <c r="E9983">
        <v>147</v>
      </c>
    </row>
    <row r="9984" spans="1:5" x14ac:dyDescent="0.3">
      <c r="A9984" t="s">
        <v>160</v>
      </c>
      <c r="B9984" s="1">
        <v>44693</v>
      </c>
      <c r="C9984">
        <v>1</v>
      </c>
      <c r="D9984">
        <v>81.819999999999993</v>
      </c>
      <c r="E9984">
        <v>99</v>
      </c>
    </row>
    <row r="9985" spans="1:5" x14ac:dyDescent="0.3">
      <c r="A9985" t="s">
        <v>160</v>
      </c>
      <c r="B9985" s="1">
        <v>44693</v>
      </c>
      <c r="C9985">
        <v>1</v>
      </c>
      <c r="D9985">
        <v>81.819999999999993</v>
      </c>
      <c r="E9985">
        <v>99</v>
      </c>
    </row>
    <row r="9986" spans="1:5" x14ac:dyDescent="0.3">
      <c r="A9986" t="s">
        <v>101</v>
      </c>
      <c r="B9986" s="1">
        <v>44693</v>
      </c>
      <c r="C9986">
        <v>1</v>
      </c>
      <c r="D9986">
        <v>33.89</v>
      </c>
      <c r="E9986">
        <v>54</v>
      </c>
    </row>
    <row r="9987" spans="1:5" x14ac:dyDescent="0.3">
      <c r="A9987" t="s">
        <v>57</v>
      </c>
      <c r="B9987" s="1">
        <v>44693</v>
      </c>
      <c r="C9987">
        <v>1</v>
      </c>
      <c r="D9987">
        <v>268.47000000000003</v>
      </c>
      <c r="E9987">
        <v>286</v>
      </c>
    </row>
    <row r="9988" spans="1:5" x14ac:dyDescent="0.3">
      <c r="A9988" t="s">
        <v>116</v>
      </c>
      <c r="B9988" s="1">
        <v>44693</v>
      </c>
      <c r="C9988">
        <v>1</v>
      </c>
      <c r="D9988">
        <v>101.97</v>
      </c>
      <c r="E9988">
        <v>123</v>
      </c>
    </row>
    <row r="9989" spans="1:5" x14ac:dyDescent="0.3">
      <c r="A9989" t="s">
        <v>25</v>
      </c>
      <c r="B9989" s="1">
        <v>44693</v>
      </c>
      <c r="C9989">
        <v>1</v>
      </c>
      <c r="D9989">
        <v>147.4</v>
      </c>
      <c r="E9989">
        <v>180</v>
      </c>
    </row>
    <row r="9990" spans="1:5" x14ac:dyDescent="0.3">
      <c r="A9990" t="s">
        <v>128</v>
      </c>
      <c r="B9990" s="1">
        <v>44693</v>
      </c>
      <c r="C9990">
        <v>1</v>
      </c>
      <c r="D9990">
        <v>257.48</v>
      </c>
      <c r="E9990">
        <v>343</v>
      </c>
    </row>
    <row r="9991" spans="1:5" x14ac:dyDescent="0.3">
      <c r="A9991" t="s">
        <v>159</v>
      </c>
      <c r="B9991" s="1">
        <v>44693</v>
      </c>
      <c r="C9991">
        <v>1</v>
      </c>
      <c r="D9991">
        <v>57.86</v>
      </c>
      <c r="E9991">
        <v>70</v>
      </c>
    </row>
    <row r="9992" spans="1:5" x14ac:dyDescent="0.3">
      <c r="A9992" t="s">
        <v>48</v>
      </c>
      <c r="B9992" s="1">
        <v>44693</v>
      </c>
      <c r="C9992">
        <v>1</v>
      </c>
      <c r="D9992">
        <v>46.72</v>
      </c>
      <c r="E9992">
        <v>74</v>
      </c>
    </row>
    <row r="9993" spans="1:5" x14ac:dyDescent="0.3">
      <c r="A9993" t="s">
        <v>102</v>
      </c>
      <c r="B9993" s="1">
        <v>44693</v>
      </c>
      <c r="C9993">
        <v>1</v>
      </c>
      <c r="D9993">
        <v>27.76</v>
      </c>
      <c r="E9993">
        <v>34</v>
      </c>
    </row>
    <row r="9994" spans="1:5" x14ac:dyDescent="0.3">
      <c r="A9994" t="s">
        <v>95</v>
      </c>
      <c r="B9994" s="1">
        <v>44693</v>
      </c>
      <c r="C9994">
        <v>0.5</v>
      </c>
      <c r="D9994">
        <v>129.69</v>
      </c>
      <c r="E9994">
        <v>204</v>
      </c>
    </row>
    <row r="9995" spans="1:5" x14ac:dyDescent="0.3">
      <c r="A9995" t="s">
        <v>32</v>
      </c>
      <c r="B9995" s="1">
        <v>44693</v>
      </c>
      <c r="C9995">
        <v>0.1</v>
      </c>
      <c r="D9995">
        <v>149.72999999999999</v>
      </c>
      <c r="E9995">
        <v>236</v>
      </c>
    </row>
    <row r="9996" spans="1:5" x14ac:dyDescent="0.3">
      <c r="A9996" t="s">
        <v>32</v>
      </c>
      <c r="B9996" s="1">
        <v>44693</v>
      </c>
      <c r="C9996">
        <v>0.4</v>
      </c>
      <c r="D9996">
        <v>156.87</v>
      </c>
      <c r="E9996">
        <v>247</v>
      </c>
    </row>
    <row r="9997" spans="1:5" x14ac:dyDescent="0.3">
      <c r="A9997" t="s">
        <v>48</v>
      </c>
      <c r="B9997" s="1">
        <v>44693</v>
      </c>
      <c r="C9997">
        <v>1</v>
      </c>
      <c r="D9997">
        <v>46.72</v>
      </c>
      <c r="E9997">
        <v>73</v>
      </c>
    </row>
    <row r="9998" spans="1:5" x14ac:dyDescent="0.3">
      <c r="A9998" t="s">
        <v>97</v>
      </c>
      <c r="B9998" s="1">
        <v>44693</v>
      </c>
      <c r="C9998">
        <v>1</v>
      </c>
      <c r="D9998">
        <v>423.25</v>
      </c>
      <c r="E9998">
        <v>559</v>
      </c>
    </row>
    <row r="9999" spans="1:5" x14ac:dyDescent="0.3">
      <c r="A9999" t="s">
        <v>155</v>
      </c>
      <c r="B9999" s="1">
        <v>44693</v>
      </c>
      <c r="C9999">
        <v>0.16</v>
      </c>
      <c r="D9999">
        <v>485.1</v>
      </c>
      <c r="E9999">
        <v>738</v>
      </c>
    </row>
    <row r="10000" spans="1:5" x14ac:dyDescent="0.3">
      <c r="A10000" t="s">
        <v>41</v>
      </c>
      <c r="B10000" s="1">
        <v>44693</v>
      </c>
      <c r="C10000">
        <v>2</v>
      </c>
      <c r="D10000">
        <v>13.3</v>
      </c>
      <c r="E10000">
        <v>22</v>
      </c>
    </row>
    <row r="10001" spans="1:5" x14ac:dyDescent="0.3">
      <c r="A10001" t="s">
        <v>106</v>
      </c>
      <c r="B10001" s="1">
        <v>44693</v>
      </c>
      <c r="C10001">
        <v>1</v>
      </c>
      <c r="D10001">
        <v>41.48</v>
      </c>
      <c r="E10001">
        <v>51</v>
      </c>
    </row>
    <row r="10002" spans="1:5" x14ac:dyDescent="0.3">
      <c r="A10002" t="s">
        <v>34</v>
      </c>
      <c r="B10002" s="1">
        <v>44693</v>
      </c>
      <c r="C10002">
        <v>1</v>
      </c>
      <c r="D10002">
        <v>229.65</v>
      </c>
      <c r="E10002">
        <v>246</v>
      </c>
    </row>
    <row r="10003" spans="1:5" x14ac:dyDescent="0.3">
      <c r="A10003" t="s">
        <v>51</v>
      </c>
      <c r="B10003" s="1">
        <v>44693</v>
      </c>
      <c r="C10003">
        <v>4</v>
      </c>
      <c r="D10003">
        <v>1.98</v>
      </c>
      <c r="E10003">
        <v>3.2</v>
      </c>
    </row>
    <row r="10004" spans="1:5" x14ac:dyDescent="0.3">
      <c r="A10004" t="s">
        <v>158</v>
      </c>
      <c r="B10004" s="1">
        <v>44693</v>
      </c>
      <c r="C10004">
        <v>1</v>
      </c>
      <c r="D10004">
        <v>25.57</v>
      </c>
      <c r="E10004">
        <v>33</v>
      </c>
    </row>
    <row r="10005" spans="1:5" x14ac:dyDescent="0.3">
      <c r="A10005" t="s">
        <v>158</v>
      </c>
      <c r="B10005" s="1">
        <v>44693</v>
      </c>
      <c r="C10005">
        <v>1</v>
      </c>
      <c r="D10005">
        <v>25.57</v>
      </c>
      <c r="E10005">
        <v>33</v>
      </c>
    </row>
    <row r="10006" spans="1:5" x14ac:dyDescent="0.3">
      <c r="A10006" t="s">
        <v>158</v>
      </c>
      <c r="B10006" s="1">
        <v>44693</v>
      </c>
      <c r="C10006">
        <v>1</v>
      </c>
      <c r="D10006">
        <v>25.57</v>
      </c>
      <c r="E10006">
        <v>33</v>
      </c>
    </row>
    <row r="10007" spans="1:5" x14ac:dyDescent="0.3">
      <c r="A10007" t="s">
        <v>158</v>
      </c>
      <c r="B10007" s="1">
        <v>44693</v>
      </c>
      <c r="C10007">
        <v>1</v>
      </c>
      <c r="D10007">
        <v>25.57</v>
      </c>
      <c r="E10007">
        <v>33</v>
      </c>
    </row>
    <row r="10008" spans="1:5" x14ac:dyDescent="0.3">
      <c r="A10008" t="s">
        <v>158</v>
      </c>
      <c r="B10008" s="1">
        <v>44693</v>
      </c>
      <c r="C10008">
        <v>1</v>
      </c>
      <c r="D10008">
        <v>25.57</v>
      </c>
      <c r="E10008">
        <v>33</v>
      </c>
    </row>
    <row r="10009" spans="1:5" x14ac:dyDescent="0.3">
      <c r="A10009" t="s">
        <v>158</v>
      </c>
      <c r="B10009" s="1">
        <v>44693</v>
      </c>
      <c r="C10009">
        <v>1</v>
      </c>
      <c r="D10009">
        <v>25.57</v>
      </c>
      <c r="E10009">
        <v>33</v>
      </c>
    </row>
    <row r="10010" spans="1:5" x14ac:dyDescent="0.3">
      <c r="A10010" t="s">
        <v>158</v>
      </c>
      <c r="B10010" s="1">
        <v>44693</v>
      </c>
      <c r="C10010">
        <v>1</v>
      </c>
      <c r="D10010">
        <v>25.57</v>
      </c>
      <c r="E10010">
        <v>33</v>
      </c>
    </row>
    <row r="10011" spans="1:5" x14ac:dyDescent="0.3">
      <c r="A10011" t="s">
        <v>158</v>
      </c>
      <c r="B10011" s="1">
        <v>44693</v>
      </c>
      <c r="C10011">
        <v>1</v>
      </c>
      <c r="D10011">
        <v>25.57</v>
      </c>
      <c r="E10011">
        <v>33</v>
      </c>
    </row>
    <row r="10012" spans="1:5" x14ac:dyDescent="0.3">
      <c r="A10012" t="s">
        <v>158</v>
      </c>
      <c r="B10012" s="1">
        <v>44693</v>
      </c>
      <c r="C10012">
        <v>1</v>
      </c>
      <c r="D10012">
        <v>25.57</v>
      </c>
      <c r="E10012">
        <v>33</v>
      </c>
    </row>
    <row r="10013" spans="1:5" x14ac:dyDescent="0.3">
      <c r="A10013" t="s">
        <v>158</v>
      </c>
      <c r="B10013" s="1">
        <v>44693</v>
      </c>
      <c r="C10013">
        <v>1</v>
      </c>
      <c r="D10013">
        <v>25.57</v>
      </c>
      <c r="E10013">
        <v>33</v>
      </c>
    </row>
    <row r="10014" spans="1:5" x14ac:dyDescent="0.3">
      <c r="A10014" t="s">
        <v>95</v>
      </c>
      <c r="B10014" s="1">
        <v>44693</v>
      </c>
      <c r="C10014">
        <v>2</v>
      </c>
      <c r="D10014">
        <v>129.25</v>
      </c>
      <c r="E10014">
        <v>203</v>
      </c>
    </row>
    <row r="10015" spans="1:5" x14ac:dyDescent="0.3">
      <c r="A10015" t="s">
        <v>124</v>
      </c>
      <c r="B10015" s="1">
        <v>44693</v>
      </c>
      <c r="C10015">
        <v>1</v>
      </c>
      <c r="D10015">
        <v>37.869999999999997</v>
      </c>
      <c r="E10015">
        <v>62</v>
      </c>
    </row>
    <row r="10016" spans="1:5" x14ac:dyDescent="0.3">
      <c r="A10016" t="s">
        <v>28</v>
      </c>
      <c r="B10016" s="1">
        <v>44693</v>
      </c>
      <c r="C10016">
        <v>1</v>
      </c>
      <c r="D10016">
        <v>147.80000000000001</v>
      </c>
      <c r="E10016">
        <v>206</v>
      </c>
    </row>
    <row r="10017" spans="1:5" x14ac:dyDescent="0.3">
      <c r="A10017" t="s">
        <v>156</v>
      </c>
      <c r="B10017" s="1">
        <v>44693</v>
      </c>
      <c r="C10017">
        <v>1</v>
      </c>
      <c r="D10017">
        <v>247.74</v>
      </c>
      <c r="E10017">
        <v>335</v>
      </c>
    </row>
    <row r="10018" spans="1:5" x14ac:dyDescent="0.3">
      <c r="A10018" t="s">
        <v>85</v>
      </c>
      <c r="B10018" s="1">
        <v>44693</v>
      </c>
      <c r="C10018">
        <v>1</v>
      </c>
      <c r="D10018">
        <v>15.51</v>
      </c>
      <c r="E10018">
        <v>24</v>
      </c>
    </row>
    <row r="10019" spans="1:5" x14ac:dyDescent="0.3">
      <c r="A10019" t="s">
        <v>85</v>
      </c>
      <c r="B10019" s="1">
        <v>44693</v>
      </c>
      <c r="C10019">
        <v>1</v>
      </c>
      <c r="D10019">
        <v>15.51</v>
      </c>
      <c r="E10019">
        <v>24</v>
      </c>
    </row>
    <row r="10020" spans="1:5" x14ac:dyDescent="0.3">
      <c r="A10020" t="s">
        <v>123</v>
      </c>
      <c r="B10020" s="1">
        <v>44693</v>
      </c>
      <c r="C10020">
        <v>1</v>
      </c>
      <c r="D10020">
        <v>62.7</v>
      </c>
      <c r="E10020">
        <v>78</v>
      </c>
    </row>
    <row r="10021" spans="1:5" x14ac:dyDescent="0.3">
      <c r="A10021" t="s">
        <v>123</v>
      </c>
      <c r="B10021" s="1">
        <v>44693</v>
      </c>
      <c r="C10021">
        <v>1</v>
      </c>
      <c r="D10021">
        <v>62.7</v>
      </c>
      <c r="E10021">
        <v>78</v>
      </c>
    </row>
    <row r="10022" spans="1:5" x14ac:dyDescent="0.3">
      <c r="A10022" t="s">
        <v>152</v>
      </c>
      <c r="B10022" s="1">
        <v>44693</v>
      </c>
      <c r="C10022">
        <v>1</v>
      </c>
      <c r="D10022">
        <v>127.93</v>
      </c>
      <c r="E10022">
        <v>160</v>
      </c>
    </row>
    <row r="10023" spans="1:5" x14ac:dyDescent="0.3">
      <c r="A10023" t="s">
        <v>65</v>
      </c>
      <c r="B10023" s="1">
        <v>44693</v>
      </c>
      <c r="C10023">
        <v>1</v>
      </c>
      <c r="D10023">
        <v>184.45</v>
      </c>
      <c r="E10023">
        <v>216</v>
      </c>
    </row>
    <row r="10024" spans="1:5" x14ac:dyDescent="0.3">
      <c r="A10024" t="s">
        <v>34</v>
      </c>
      <c r="B10024" s="1">
        <v>44693</v>
      </c>
      <c r="C10024">
        <v>1</v>
      </c>
      <c r="D10024">
        <v>199.58</v>
      </c>
      <c r="E10024">
        <v>230</v>
      </c>
    </row>
    <row r="10025" spans="1:5" x14ac:dyDescent="0.3">
      <c r="A10025" t="s">
        <v>60</v>
      </c>
      <c r="B10025" s="1">
        <v>44693</v>
      </c>
      <c r="C10025">
        <v>1</v>
      </c>
      <c r="D10025">
        <v>64.48</v>
      </c>
      <c r="E10025">
        <v>78</v>
      </c>
    </row>
    <row r="10026" spans="1:5" x14ac:dyDescent="0.3">
      <c r="A10026" t="s">
        <v>76</v>
      </c>
      <c r="B10026" s="1">
        <v>44693</v>
      </c>
      <c r="C10026">
        <v>1</v>
      </c>
      <c r="D10026">
        <v>30.8</v>
      </c>
      <c r="E10026">
        <v>38</v>
      </c>
    </row>
    <row r="10027" spans="1:5" x14ac:dyDescent="0.3">
      <c r="A10027" t="s">
        <v>14</v>
      </c>
      <c r="B10027" s="1">
        <v>44693</v>
      </c>
      <c r="C10027">
        <v>0.1</v>
      </c>
      <c r="D10027">
        <v>445.83</v>
      </c>
      <c r="E10027">
        <v>616</v>
      </c>
    </row>
    <row r="10028" spans="1:5" x14ac:dyDescent="0.3">
      <c r="A10028" t="s">
        <v>19</v>
      </c>
      <c r="B10028" s="1">
        <v>44693</v>
      </c>
      <c r="C10028">
        <v>1</v>
      </c>
      <c r="D10028">
        <v>81.760000000000005</v>
      </c>
      <c r="E10028">
        <v>102</v>
      </c>
    </row>
    <row r="10029" spans="1:5" x14ac:dyDescent="0.3">
      <c r="A10029" t="s">
        <v>30</v>
      </c>
      <c r="B10029" s="1">
        <v>44693</v>
      </c>
      <c r="C10029">
        <v>1</v>
      </c>
      <c r="D10029">
        <v>156.19999999999999</v>
      </c>
      <c r="E10029">
        <v>186</v>
      </c>
    </row>
    <row r="10030" spans="1:5" x14ac:dyDescent="0.3">
      <c r="A10030" t="s">
        <v>45</v>
      </c>
      <c r="B10030" s="1">
        <v>44693</v>
      </c>
      <c r="C10030">
        <v>1</v>
      </c>
      <c r="D10030">
        <v>25.59</v>
      </c>
      <c r="E10030">
        <v>45</v>
      </c>
    </row>
    <row r="10031" spans="1:5" x14ac:dyDescent="0.3">
      <c r="A10031" t="s">
        <v>32</v>
      </c>
      <c r="B10031" s="1">
        <v>44693</v>
      </c>
      <c r="C10031">
        <v>1</v>
      </c>
      <c r="D10031">
        <v>150.1</v>
      </c>
      <c r="E10031">
        <v>229</v>
      </c>
    </row>
    <row r="10032" spans="1:5" x14ac:dyDescent="0.3">
      <c r="A10032" t="s">
        <v>88</v>
      </c>
      <c r="B10032" s="1">
        <v>44693</v>
      </c>
      <c r="C10032">
        <v>0.5</v>
      </c>
      <c r="D10032">
        <v>123.98</v>
      </c>
      <c r="E10032">
        <v>189</v>
      </c>
    </row>
    <row r="10033" spans="1:5" x14ac:dyDescent="0.3">
      <c r="A10033" t="s">
        <v>149</v>
      </c>
      <c r="B10033" s="1">
        <v>44693</v>
      </c>
      <c r="C10033">
        <v>1</v>
      </c>
      <c r="D10033">
        <v>248.06</v>
      </c>
      <c r="E10033">
        <v>343</v>
      </c>
    </row>
    <row r="10034" spans="1:5" x14ac:dyDescent="0.3">
      <c r="A10034" t="s">
        <v>88</v>
      </c>
      <c r="B10034" s="1">
        <v>44693</v>
      </c>
      <c r="C10034">
        <v>1</v>
      </c>
      <c r="D10034">
        <v>123.98</v>
      </c>
      <c r="E10034">
        <v>189</v>
      </c>
    </row>
    <row r="10035" spans="1:5" x14ac:dyDescent="0.3">
      <c r="A10035" t="s">
        <v>18</v>
      </c>
      <c r="B10035" s="1">
        <v>44693</v>
      </c>
      <c r="C10035">
        <v>1</v>
      </c>
      <c r="D10035">
        <v>44</v>
      </c>
      <c r="E10035">
        <v>67</v>
      </c>
    </row>
    <row r="10036" spans="1:5" x14ac:dyDescent="0.3">
      <c r="A10036" t="s">
        <v>18</v>
      </c>
      <c r="B10036" s="1">
        <v>44693</v>
      </c>
      <c r="C10036">
        <v>1</v>
      </c>
      <c r="D10036">
        <v>44</v>
      </c>
      <c r="E10036">
        <v>67</v>
      </c>
    </row>
    <row r="10037" spans="1:5" x14ac:dyDescent="0.3">
      <c r="A10037" t="s">
        <v>21</v>
      </c>
      <c r="B10037" s="1">
        <v>44693</v>
      </c>
      <c r="C10037">
        <v>1</v>
      </c>
      <c r="D10037">
        <v>182.55</v>
      </c>
      <c r="E10037">
        <v>251</v>
      </c>
    </row>
    <row r="10038" spans="1:5" x14ac:dyDescent="0.3">
      <c r="A10038" t="s">
        <v>22</v>
      </c>
      <c r="B10038" s="1">
        <v>44693</v>
      </c>
      <c r="C10038">
        <v>1</v>
      </c>
      <c r="D10038">
        <v>30.3</v>
      </c>
      <c r="E10038">
        <v>49</v>
      </c>
    </row>
    <row r="10039" spans="1:5" x14ac:dyDescent="0.3">
      <c r="A10039" t="s">
        <v>36</v>
      </c>
      <c r="B10039" s="1">
        <v>44693</v>
      </c>
      <c r="C10039">
        <v>1</v>
      </c>
      <c r="D10039">
        <v>22.4</v>
      </c>
      <c r="E10039">
        <v>28</v>
      </c>
    </row>
    <row r="10040" spans="1:5" x14ac:dyDescent="0.3">
      <c r="A10040" t="s">
        <v>36</v>
      </c>
      <c r="B10040" s="1">
        <v>44693</v>
      </c>
      <c r="C10040">
        <v>1</v>
      </c>
      <c r="D10040">
        <v>22.4</v>
      </c>
      <c r="E10040">
        <v>28</v>
      </c>
    </row>
    <row r="10041" spans="1:5" x14ac:dyDescent="0.3">
      <c r="A10041" t="s">
        <v>36</v>
      </c>
      <c r="B10041" s="1">
        <v>44693</v>
      </c>
      <c r="C10041">
        <v>1</v>
      </c>
      <c r="D10041">
        <v>22.4</v>
      </c>
      <c r="E10041">
        <v>28</v>
      </c>
    </row>
    <row r="10042" spans="1:5" x14ac:dyDescent="0.3">
      <c r="A10042" t="s">
        <v>36</v>
      </c>
      <c r="B10042" s="1">
        <v>44693</v>
      </c>
      <c r="C10042">
        <v>1</v>
      </c>
      <c r="D10042">
        <v>22.4</v>
      </c>
      <c r="E10042">
        <v>28</v>
      </c>
    </row>
    <row r="10043" spans="1:5" x14ac:dyDescent="0.3">
      <c r="A10043" t="s">
        <v>36</v>
      </c>
      <c r="B10043" s="1">
        <v>44693</v>
      </c>
      <c r="C10043">
        <v>1</v>
      </c>
      <c r="D10043">
        <v>22.4</v>
      </c>
      <c r="E10043">
        <v>28</v>
      </c>
    </row>
    <row r="10044" spans="1:5" x14ac:dyDescent="0.3">
      <c r="A10044" t="s">
        <v>108</v>
      </c>
      <c r="B10044" s="1">
        <v>44693</v>
      </c>
      <c r="C10044">
        <v>1</v>
      </c>
      <c r="D10044">
        <v>25.47</v>
      </c>
      <c r="E10044">
        <v>40</v>
      </c>
    </row>
    <row r="10045" spans="1:5" x14ac:dyDescent="0.3">
      <c r="A10045" t="s">
        <v>108</v>
      </c>
      <c r="B10045" s="1">
        <v>44693</v>
      </c>
      <c r="C10045">
        <v>1</v>
      </c>
      <c r="D10045">
        <v>25.47</v>
      </c>
      <c r="E10045">
        <v>40</v>
      </c>
    </row>
    <row r="10046" spans="1:5" x14ac:dyDescent="0.3">
      <c r="A10046" t="s">
        <v>108</v>
      </c>
      <c r="B10046" s="1">
        <v>44693</v>
      </c>
      <c r="C10046">
        <v>1</v>
      </c>
      <c r="D10046">
        <v>25.47</v>
      </c>
      <c r="E10046">
        <v>40</v>
      </c>
    </row>
    <row r="10047" spans="1:5" x14ac:dyDescent="0.3">
      <c r="A10047" t="s">
        <v>108</v>
      </c>
      <c r="B10047" s="1">
        <v>44693</v>
      </c>
      <c r="C10047">
        <v>1</v>
      </c>
      <c r="D10047">
        <v>25.47</v>
      </c>
      <c r="E10047">
        <v>40</v>
      </c>
    </row>
    <row r="10048" spans="1:5" x14ac:dyDescent="0.3">
      <c r="A10048" t="s">
        <v>108</v>
      </c>
      <c r="B10048" s="1">
        <v>44693</v>
      </c>
      <c r="C10048">
        <v>1</v>
      </c>
      <c r="D10048">
        <v>25.47</v>
      </c>
      <c r="E10048">
        <v>40</v>
      </c>
    </row>
    <row r="10049" spans="1:5" x14ac:dyDescent="0.3">
      <c r="A10049" t="s">
        <v>108</v>
      </c>
      <c r="B10049" s="1">
        <v>44693</v>
      </c>
      <c r="C10049">
        <v>1</v>
      </c>
      <c r="D10049">
        <v>25.47</v>
      </c>
      <c r="E10049">
        <v>40</v>
      </c>
    </row>
    <row r="10050" spans="1:5" x14ac:dyDescent="0.3">
      <c r="A10050" t="s">
        <v>65</v>
      </c>
      <c r="B10050" s="1">
        <v>44693</v>
      </c>
      <c r="C10050">
        <v>1</v>
      </c>
      <c r="D10050">
        <v>176.42</v>
      </c>
      <c r="E10050">
        <v>207</v>
      </c>
    </row>
    <row r="10051" spans="1:5" x14ac:dyDescent="0.3">
      <c r="A10051" t="s">
        <v>122</v>
      </c>
      <c r="B10051" s="1">
        <v>44693</v>
      </c>
      <c r="C10051">
        <v>1</v>
      </c>
      <c r="D10051">
        <v>20.82</v>
      </c>
      <c r="E10051">
        <v>26</v>
      </c>
    </row>
    <row r="10052" spans="1:5" x14ac:dyDescent="0.3">
      <c r="A10052" t="s">
        <v>100</v>
      </c>
      <c r="B10052" s="1">
        <v>44693</v>
      </c>
      <c r="C10052">
        <v>1</v>
      </c>
      <c r="D10052">
        <v>35.49</v>
      </c>
      <c r="E10052">
        <v>55</v>
      </c>
    </row>
    <row r="10053" spans="1:5" x14ac:dyDescent="0.3">
      <c r="A10053" t="s">
        <v>36</v>
      </c>
      <c r="B10053" s="1">
        <v>44693</v>
      </c>
      <c r="C10053">
        <v>1</v>
      </c>
      <c r="D10053">
        <v>22.4</v>
      </c>
      <c r="E10053">
        <v>28</v>
      </c>
    </row>
    <row r="10054" spans="1:5" x14ac:dyDescent="0.3">
      <c r="A10054" t="s">
        <v>139</v>
      </c>
      <c r="B10054" s="1">
        <v>44693</v>
      </c>
      <c r="C10054">
        <v>2</v>
      </c>
      <c r="D10054">
        <v>24.18</v>
      </c>
      <c r="E10054">
        <v>40</v>
      </c>
    </row>
    <row r="10055" spans="1:5" x14ac:dyDescent="0.3">
      <c r="A10055" t="s">
        <v>56</v>
      </c>
      <c r="B10055" s="1">
        <v>44693</v>
      </c>
      <c r="C10055">
        <v>1</v>
      </c>
      <c r="D10055">
        <v>43.97</v>
      </c>
      <c r="E10055">
        <v>67</v>
      </c>
    </row>
    <row r="10056" spans="1:5" x14ac:dyDescent="0.3">
      <c r="A10056" t="s">
        <v>81</v>
      </c>
      <c r="B10056" s="1">
        <v>44693</v>
      </c>
      <c r="C10056">
        <v>1</v>
      </c>
      <c r="D10056">
        <v>40.14</v>
      </c>
      <c r="E10056">
        <v>49</v>
      </c>
    </row>
    <row r="10057" spans="1:5" x14ac:dyDescent="0.3">
      <c r="A10057" t="s">
        <v>78</v>
      </c>
      <c r="B10057" s="1">
        <v>44693</v>
      </c>
      <c r="C10057">
        <v>1</v>
      </c>
      <c r="D10057">
        <v>69.13</v>
      </c>
      <c r="E10057">
        <v>88</v>
      </c>
    </row>
    <row r="10058" spans="1:5" x14ac:dyDescent="0.3">
      <c r="A10058" t="s">
        <v>25</v>
      </c>
      <c r="B10058" s="1">
        <v>44693</v>
      </c>
      <c r="C10058">
        <v>1</v>
      </c>
      <c r="D10058">
        <v>147.4</v>
      </c>
      <c r="E10058">
        <v>180</v>
      </c>
    </row>
    <row r="10059" spans="1:5" x14ac:dyDescent="0.3">
      <c r="A10059" t="s">
        <v>116</v>
      </c>
      <c r="B10059" s="1">
        <v>44693</v>
      </c>
      <c r="C10059">
        <v>1</v>
      </c>
      <c r="D10059">
        <v>109.07</v>
      </c>
      <c r="E10059">
        <v>130</v>
      </c>
    </row>
    <row r="10060" spans="1:5" x14ac:dyDescent="0.3">
      <c r="A10060" t="s">
        <v>19</v>
      </c>
      <c r="B10060" s="1">
        <v>44693</v>
      </c>
      <c r="C10060">
        <v>1</v>
      </c>
      <c r="D10060">
        <v>81.69</v>
      </c>
      <c r="E10060">
        <v>102</v>
      </c>
    </row>
    <row r="10061" spans="1:5" x14ac:dyDescent="0.3">
      <c r="A10061" t="s">
        <v>19</v>
      </c>
      <c r="B10061" s="1">
        <v>44693</v>
      </c>
      <c r="C10061">
        <v>1</v>
      </c>
      <c r="D10061">
        <v>81.58</v>
      </c>
      <c r="E10061">
        <v>102</v>
      </c>
    </row>
    <row r="10062" spans="1:5" x14ac:dyDescent="0.3">
      <c r="A10062" t="s">
        <v>33</v>
      </c>
      <c r="B10062" s="1">
        <v>44693</v>
      </c>
      <c r="C10062">
        <v>1</v>
      </c>
      <c r="D10062">
        <v>21.1</v>
      </c>
      <c r="E10062">
        <v>25</v>
      </c>
    </row>
    <row r="10063" spans="1:5" x14ac:dyDescent="0.3">
      <c r="A10063" t="s">
        <v>93</v>
      </c>
      <c r="B10063" s="1">
        <v>44693</v>
      </c>
      <c r="C10063">
        <v>1</v>
      </c>
      <c r="D10063">
        <v>70.97</v>
      </c>
      <c r="E10063">
        <v>101</v>
      </c>
    </row>
    <row r="10064" spans="1:5" x14ac:dyDescent="0.3">
      <c r="A10064" t="s">
        <v>65</v>
      </c>
      <c r="B10064" s="1">
        <v>44693</v>
      </c>
      <c r="C10064">
        <v>1</v>
      </c>
      <c r="D10064">
        <v>176.42</v>
      </c>
      <c r="E10064">
        <v>207</v>
      </c>
    </row>
    <row r="10065" spans="1:5" x14ac:dyDescent="0.3">
      <c r="A10065" t="s">
        <v>25</v>
      </c>
      <c r="B10065" s="1">
        <v>44693</v>
      </c>
      <c r="C10065">
        <v>1</v>
      </c>
      <c r="D10065">
        <v>147.18</v>
      </c>
      <c r="E10065">
        <v>177</v>
      </c>
    </row>
    <row r="10066" spans="1:5" x14ac:dyDescent="0.3">
      <c r="A10066" t="s">
        <v>105</v>
      </c>
      <c r="B10066" s="1">
        <v>44693</v>
      </c>
      <c r="C10066">
        <v>1</v>
      </c>
      <c r="D10066">
        <v>30.03</v>
      </c>
      <c r="E10066">
        <v>49</v>
      </c>
    </row>
    <row r="10067" spans="1:5" x14ac:dyDescent="0.3">
      <c r="A10067" t="s">
        <v>95</v>
      </c>
      <c r="B10067" s="1">
        <v>44693</v>
      </c>
      <c r="C10067">
        <v>1</v>
      </c>
      <c r="D10067">
        <v>129.25</v>
      </c>
      <c r="E10067">
        <v>203</v>
      </c>
    </row>
    <row r="10068" spans="1:5" x14ac:dyDescent="0.3">
      <c r="A10068" t="s">
        <v>33</v>
      </c>
      <c r="B10068" s="1">
        <v>44693</v>
      </c>
      <c r="C10068">
        <v>1</v>
      </c>
      <c r="D10068">
        <v>21.75</v>
      </c>
      <c r="E10068">
        <v>26</v>
      </c>
    </row>
    <row r="10069" spans="1:5" x14ac:dyDescent="0.3">
      <c r="A10069" t="s">
        <v>33</v>
      </c>
      <c r="B10069" s="1">
        <v>44693</v>
      </c>
      <c r="C10069">
        <v>1</v>
      </c>
      <c r="D10069">
        <v>21.75</v>
      </c>
      <c r="E10069">
        <v>26</v>
      </c>
    </row>
    <row r="10070" spans="1:5" x14ac:dyDescent="0.3">
      <c r="A10070" t="s">
        <v>33</v>
      </c>
      <c r="B10070" s="1">
        <v>44693</v>
      </c>
      <c r="C10070">
        <v>1</v>
      </c>
      <c r="D10070">
        <v>21.75</v>
      </c>
      <c r="E10070">
        <v>26</v>
      </c>
    </row>
    <row r="10071" spans="1:5" x14ac:dyDescent="0.3">
      <c r="A10071" t="s">
        <v>118</v>
      </c>
      <c r="B10071" s="1">
        <v>44693</v>
      </c>
      <c r="C10071">
        <v>1</v>
      </c>
      <c r="D10071">
        <v>11.1</v>
      </c>
      <c r="E10071">
        <v>13</v>
      </c>
    </row>
    <row r="10072" spans="1:5" x14ac:dyDescent="0.3">
      <c r="A10072" t="s">
        <v>118</v>
      </c>
      <c r="B10072" s="1">
        <v>44693</v>
      </c>
      <c r="C10072">
        <v>1</v>
      </c>
      <c r="D10072">
        <v>11.1</v>
      </c>
      <c r="E10072">
        <v>13</v>
      </c>
    </row>
    <row r="10073" spans="1:5" x14ac:dyDescent="0.3">
      <c r="A10073" t="s">
        <v>118</v>
      </c>
      <c r="B10073" s="1">
        <v>44693</v>
      </c>
      <c r="C10073">
        <v>1</v>
      </c>
      <c r="D10073">
        <v>11.1</v>
      </c>
      <c r="E10073">
        <v>13</v>
      </c>
    </row>
    <row r="10074" spans="1:5" x14ac:dyDescent="0.3">
      <c r="A10074" t="s">
        <v>118</v>
      </c>
      <c r="B10074" s="1">
        <v>44693</v>
      </c>
      <c r="C10074">
        <v>1</v>
      </c>
      <c r="D10074">
        <v>11.1</v>
      </c>
      <c r="E10074">
        <v>13</v>
      </c>
    </row>
    <row r="10075" spans="1:5" x14ac:dyDescent="0.3">
      <c r="A10075" t="s">
        <v>48</v>
      </c>
      <c r="B10075" s="1">
        <v>44693</v>
      </c>
      <c r="C10075">
        <v>1</v>
      </c>
      <c r="D10075">
        <v>38.67</v>
      </c>
      <c r="E10075">
        <v>60</v>
      </c>
    </row>
    <row r="10076" spans="1:5" x14ac:dyDescent="0.3">
      <c r="A10076" t="s">
        <v>83</v>
      </c>
      <c r="B10076" s="1">
        <v>44693</v>
      </c>
      <c r="C10076">
        <v>1</v>
      </c>
      <c r="D10076">
        <v>207.76</v>
      </c>
      <c r="E10076">
        <v>246</v>
      </c>
    </row>
    <row r="10077" spans="1:5" x14ac:dyDescent="0.3">
      <c r="A10077" t="s">
        <v>23</v>
      </c>
      <c r="B10077" s="1">
        <v>44693</v>
      </c>
      <c r="C10077">
        <v>1</v>
      </c>
      <c r="D10077">
        <v>109.41</v>
      </c>
      <c r="E10077">
        <v>123</v>
      </c>
    </row>
    <row r="10078" spans="1:5" x14ac:dyDescent="0.3">
      <c r="A10078" t="s">
        <v>23</v>
      </c>
      <c r="B10078" s="1">
        <v>44693</v>
      </c>
      <c r="C10078">
        <v>1</v>
      </c>
      <c r="D10078">
        <v>110.18</v>
      </c>
      <c r="E10078">
        <v>124</v>
      </c>
    </row>
    <row r="10079" spans="1:5" x14ac:dyDescent="0.3">
      <c r="A10079" t="s">
        <v>5</v>
      </c>
      <c r="B10079" s="1">
        <v>44693</v>
      </c>
      <c r="C10079">
        <v>1</v>
      </c>
      <c r="D10079">
        <v>141.04</v>
      </c>
      <c r="E10079">
        <v>168</v>
      </c>
    </row>
    <row r="10080" spans="1:5" x14ac:dyDescent="0.3">
      <c r="A10080" t="s">
        <v>141</v>
      </c>
      <c r="B10080" s="1">
        <v>44693</v>
      </c>
      <c r="C10080">
        <v>1</v>
      </c>
      <c r="D10080">
        <v>10.76</v>
      </c>
      <c r="E10080">
        <v>18</v>
      </c>
    </row>
    <row r="10081" spans="1:5" x14ac:dyDescent="0.3">
      <c r="A10081" t="s">
        <v>157</v>
      </c>
      <c r="B10081" s="1">
        <v>44693</v>
      </c>
      <c r="C10081">
        <v>1</v>
      </c>
      <c r="D10081">
        <v>12</v>
      </c>
      <c r="E10081">
        <v>20</v>
      </c>
    </row>
    <row r="10082" spans="1:5" x14ac:dyDescent="0.3">
      <c r="A10082" t="s">
        <v>80</v>
      </c>
      <c r="B10082" s="1">
        <v>44693</v>
      </c>
      <c r="C10082">
        <v>1</v>
      </c>
      <c r="D10082">
        <v>28.19</v>
      </c>
      <c r="E10082">
        <v>45</v>
      </c>
    </row>
    <row r="10083" spans="1:5" x14ac:dyDescent="0.3">
      <c r="A10083" t="s">
        <v>80</v>
      </c>
      <c r="B10083" s="1">
        <v>44693</v>
      </c>
      <c r="C10083">
        <v>1</v>
      </c>
      <c r="D10083">
        <v>28.19</v>
      </c>
      <c r="E10083">
        <v>45</v>
      </c>
    </row>
    <row r="10084" spans="1:5" x14ac:dyDescent="0.3">
      <c r="A10084" t="s">
        <v>80</v>
      </c>
      <c r="B10084" s="1">
        <v>44693</v>
      </c>
      <c r="C10084">
        <v>1</v>
      </c>
      <c r="D10084">
        <v>28.19</v>
      </c>
      <c r="E10084">
        <v>45</v>
      </c>
    </row>
    <row r="10085" spans="1:5" x14ac:dyDescent="0.3">
      <c r="A10085" t="s">
        <v>5</v>
      </c>
      <c r="B10085" s="1">
        <v>44693</v>
      </c>
      <c r="C10085">
        <v>1</v>
      </c>
      <c r="D10085">
        <v>145.6</v>
      </c>
      <c r="E10085">
        <v>169</v>
      </c>
    </row>
    <row r="10086" spans="1:5" x14ac:dyDescent="0.3">
      <c r="A10086" t="s">
        <v>63</v>
      </c>
      <c r="B10086" s="1">
        <v>44693</v>
      </c>
      <c r="C10086">
        <v>1</v>
      </c>
      <c r="D10086">
        <v>73.3</v>
      </c>
      <c r="E10086">
        <v>88</v>
      </c>
    </row>
    <row r="10087" spans="1:5" x14ac:dyDescent="0.3">
      <c r="A10087" t="s">
        <v>63</v>
      </c>
      <c r="B10087" s="1">
        <v>44693</v>
      </c>
      <c r="C10087">
        <v>1</v>
      </c>
      <c r="D10087">
        <v>73.3</v>
      </c>
      <c r="E10087">
        <v>88</v>
      </c>
    </row>
    <row r="10088" spans="1:5" x14ac:dyDescent="0.3">
      <c r="A10088" t="s">
        <v>85</v>
      </c>
      <c r="B10088" s="1">
        <v>44693</v>
      </c>
      <c r="C10088">
        <v>1</v>
      </c>
      <c r="D10088">
        <v>18.010000000000002</v>
      </c>
      <c r="E10088">
        <v>28</v>
      </c>
    </row>
    <row r="10089" spans="1:5" x14ac:dyDescent="0.3">
      <c r="A10089" t="s">
        <v>74</v>
      </c>
      <c r="B10089" s="1">
        <v>44693</v>
      </c>
      <c r="C10089">
        <v>1</v>
      </c>
      <c r="D10089">
        <v>87.36</v>
      </c>
      <c r="E10089">
        <v>109</v>
      </c>
    </row>
    <row r="10090" spans="1:5" x14ac:dyDescent="0.3">
      <c r="A10090" t="s">
        <v>32</v>
      </c>
      <c r="B10090" s="1">
        <v>44693</v>
      </c>
      <c r="C10090">
        <v>1</v>
      </c>
      <c r="D10090">
        <v>105</v>
      </c>
      <c r="E10090">
        <v>161</v>
      </c>
    </row>
    <row r="10091" spans="1:5" x14ac:dyDescent="0.3">
      <c r="A10091" t="s">
        <v>57</v>
      </c>
      <c r="B10091" s="1">
        <v>44693</v>
      </c>
      <c r="C10091">
        <v>1</v>
      </c>
      <c r="D10091">
        <v>239.87</v>
      </c>
      <c r="E10091">
        <v>269</v>
      </c>
    </row>
    <row r="10092" spans="1:5" x14ac:dyDescent="0.3">
      <c r="A10092" t="s">
        <v>157</v>
      </c>
      <c r="B10092" s="1">
        <v>44693</v>
      </c>
      <c r="C10092">
        <v>1</v>
      </c>
      <c r="D10092">
        <v>12</v>
      </c>
      <c r="E10092">
        <v>20</v>
      </c>
    </row>
    <row r="10093" spans="1:5" x14ac:dyDescent="0.3">
      <c r="A10093" t="s">
        <v>70</v>
      </c>
      <c r="B10093" s="1">
        <v>44693</v>
      </c>
      <c r="C10093">
        <v>1</v>
      </c>
      <c r="D10093">
        <v>164.69</v>
      </c>
      <c r="E10093">
        <v>202</v>
      </c>
    </row>
    <row r="10094" spans="1:5" x14ac:dyDescent="0.3">
      <c r="A10094" t="s">
        <v>153</v>
      </c>
      <c r="B10094" s="1">
        <v>44693</v>
      </c>
      <c r="C10094">
        <v>1</v>
      </c>
      <c r="D10094">
        <v>10.34</v>
      </c>
      <c r="E10094">
        <v>12</v>
      </c>
    </row>
    <row r="10095" spans="1:5" x14ac:dyDescent="0.3">
      <c r="A10095" t="s">
        <v>153</v>
      </c>
      <c r="B10095" s="1">
        <v>44693</v>
      </c>
      <c r="C10095">
        <v>1</v>
      </c>
      <c r="D10095">
        <v>10.34</v>
      </c>
      <c r="E10095">
        <v>12</v>
      </c>
    </row>
    <row r="10096" spans="1:5" x14ac:dyDescent="0.3">
      <c r="A10096" t="s">
        <v>65</v>
      </c>
      <c r="B10096" s="1">
        <v>44693</v>
      </c>
      <c r="C10096">
        <v>1</v>
      </c>
      <c r="D10096">
        <v>184.45</v>
      </c>
      <c r="E10096">
        <v>216</v>
      </c>
    </row>
    <row r="10097" spans="1:5" x14ac:dyDescent="0.3">
      <c r="A10097" t="s">
        <v>24</v>
      </c>
      <c r="B10097" s="1">
        <v>44693</v>
      </c>
      <c r="C10097">
        <v>1</v>
      </c>
      <c r="D10097">
        <v>103.96</v>
      </c>
      <c r="E10097">
        <v>125</v>
      </c>
    </row>
    <row r="10098" spans="1:5" x14ac:dyDescent="0.3">
      <c r="A10098" t="s">
        <v>93</v>
      </c>
      <c r="B10098" s="1">
        <v>44693</v>
      </c>
      <c r="C10098">
        <v>1</v>
      </c>
      <c r="D10098">
        <v>67.84</v>
      </c>
      <c r="E10098">
        <v>99</v>
      </c>
    </row>
    <row r="10099" spans="1:5" x14ac:dyDescent="0.3">
      <c r="A10099" t="s">
        <v>136</v>
      </c>
      <c r="B10099" s="1">
        <v>44693</v>
      </c>
      <c r="C10099">
        <v>1</v>
      </c>
      <c r="D10099">
        <v>286.19</v>
      </c>
      <c r="E10099">
        <v>381</v>
      </c>
    </row>
    <row r="10100" spans="1:5" x14ac:dyDescent="0.3">
      <c r="A10100" t="s">
        <v>114</v>
      </c>
      <c r="B10100" s="1">
        <v>44693</v>
      </c>
      <c r="C10100">
        <v>1</v>
      </c>
      <c r="D10100">
        <v>74.8</v>
      </c>
      <c r="E10100">
        <v>94</v>
      </c>
    </row>
    <row r="10101" spans="1:5" x14ac:dyDescent="0.3">
      <c r="A10101" t="s">
        <v>20</v>
      </c>
      <c r="B10101" s="1">
        <v>44693</v>
      </c>
      <c r="C10101">
        <v>1</v>
      </c>
      <c r="D10101">
        <v>19.71</v>
      </c>
      <c r="E10101">
        <v>25</v>
      </c>
    </row>
    <row r="10102" spans="1:5" x14ac:dyDescent="0.3">
      <c r="A10102" t="s">
        <v>142</v>
      </c>
      <c r="B10102" s="1">
        <v>44693</v>
      </c>
      <c r="C10102">
        <v>1</v>
      </c>
      <c r="D10102">
        <v>12.86</v>
      </c>
      <c r="E10102">
        <v>15</v>
      </c>
    </row>
    <row r="10103" spans="1:5" x14ac:dyDescent="0.3">
      <c r="A10103" t="s">
        <v>142</v>
      </c>
      <c r="B10103" s="1">
        <v>44693</v>
      </c>
      <c r="C10103">
        <v>1</v>
      </c>
      <c r="D10103">
        <v>12.86</v>
      </c>
      <c r="E10103">
        <v>15</v>
      </c>
    </row>
    <row r="10104" spans="1:5" x14ac:dyDescent="0.3">
      <c r="A10104" t="s">
        <v>59</v>
      </c>
      <c r="B10104" s="1">
        <v>44693</v>
      </c>
      <c r="C10104">
        <v>1</v>
      </c>
      <c r="D10104">
        <v>16.97</v>
      </c>
      <c r="E10104">
        <v>28</v>
      </c>
    </row>
    <row r="10105" spans="1:5" x14ac:dyDescent="0.3">
      <c r="A10105" t="s">
        <v>100</v>
      </c>
      <c r="B10105" s="1">
        <v>44693</v>
      </c>
      <c r="C10105">
        <v>1</v>
      </c>
      <c r="D10105">
        <v>35.49</v>
      </c>
      <c r="E10105">
        <v>55</v>
      </c>
    </row>
    <row r="10106" spans="1:5" x14ac:dyDescent="0.3">
      <c r="A10106" t="s">
        <v>122</v>
      </c>
      <c r="B10106" s="1">
        <v>44693</v>
      </c>
      <c r="C10106">
        <v>1</v>
      </c>
      <c r="D10106">
        <v>22.5</v>
      </c>
      <c r="E10106">
        <v>27</v>
      </c>
    </row>
    <row r="10107" spans="1:5" x14ac:dyDescent="0.3">
      <c r="A10107" t="s">
        <v>98</v>
      </c>
      <c r="B10107" s="1">
        <v>44693</v>
      </c>
      <c r="C10107">
        <v>1</v>
      </c>
      <c r="D10107">
        <v>110.86</v>
      </c>
      <c r="E10107">
        <v>134</v>
      </c>
    </row>
    <row r="10108" spans="1:5" x14ac:dyDescent="0.3">
      <c r="A10108" t="s">
        <v>55</v>
      </c>
      <c r="B10108" s="1">
        <v>44693</v>
      </c>
      <c r="C10108">
        <v>1</v>
      </c>
      <c r="D10108">
        <v>77.48</v>
      </c>
      <c r="E10108">
        <v>95</v>
      </c>
    </row>
    <row r="10109" spans="1:5" x14ac:dyDescent="0.3">
      <c r="A10109" t="s">
        <v>26</v>
      </c>
      <c r="B10109" s="1">
        <v>44693</v>
      </c>
      <c r="C10109">
        <v>6.6666699999999995E-2</v>
      </c>
      <c r="D10109">
        <v>1182.26</v>
      </c>
      <c r="E10109">
        <v>1537</v>
      </c>
    </row>
    <row r="10110" spans="1:5" x14ac:dyDescent="0.3">
      <c r="A10110" t="s">
        <v>118</v>
      </c>
      <c r="B10110" s="1">
        <v>44693</v>
      </c>
      <c r="C10110">
        <v>1</v>
      </c>
      <c r="D10110">
        <v>11.1</v>
      </c>
      <c r="E10110">
        <v>13</v>
      </c>
    </row>
    <row r="10111" spans="1:5" x14ac:dyDescent="0.3">
      <c r="A10111" t="s">
        <v>118</v>
      </c>
      <c r="B10111" s="1">
        <v>44693</v>
      </c>
      <c r="C10111">
        <v>1</v>
      </c>
      <c r="D10111">
        <v>11.1</v>
      </c>
      <c r="E10111">
        <v>13</v>
      </c>
    </row>
    <row r="10112" spans="1:5" x14ac:dyDescent="0.3">
      <c r="A10112" t="s">
        <v>77</v>
      </c>
      <c r="B10112" s="1">
        <v>44693</v>
      </c>
      <c r="C10112">
        <v>1</v>
      </c>
      <c r="D10112">
        <v>60.3</v>
      </c>
      <c r="E10112">
        <v>75</v>
      </c>
    </row>
    <row r="10113" spans="1:5" x14ac:dyDescent="0.3">
      <c r="A10113" t="s">
        <v>155</v>
      </c>
      <c r="B10113" s="1">
        <v>44693</v>
      </c>
      <c r="C10113">
        <v>0.4</v>
      </c>
      <c r="D10113">
        <v>487.04</v>
      </c>
      <c r="E10113">
        <v>731</v>
      </c>
    </row>
    <row r="10114" spans="1:5" x14ac:dyDescent="0.3">
      <c r="A10114" t="s">
        <v>70</v>
      </c>
      <c r="B10114" s="1">
        <v>44693</v>
      </c>
      <c r="C10114">
        <v>1</v>
      </c>
      <c r="D10114">
        <v>163.79</v>
      </c>
      <c r="E10114">
        <v>198</v>
      </c>
    </row>
    <row r="10115" spans="1:5" x14ac:dyDescent="0.3">
      <c r="A10115" t="s">
        <v>151</v>
      </c>
      <c r="B10115" s="1">
        <v>44693</v>
      </c>
      <c r="C10115">
        <v>1</v>
      </c>
      <c r="D10115">
        <v>23.2</v>
      </c>
      <c r="E10115">
        <v>29</v>
      </c>
    </row>
    <row r="10116" spans="1:5" x14ac:dyDescent="0.3">
      <c r="A10116" t="s">
        <v>151</v>
      </c>
      <c r="B10116" s="1">
        <v>44693</v>
      </c>
      <c r="C10116">
        <v>1</v>
      </c>
      <c r="D10116">
        <v>23.2</v>
      </c>
      <c r="E10116">
        <v>29</v>
      </c>
    </row>
    <row r="10117" spans="1:5" x14ac:dyDescent="0.3">
      <c r="A10117" t="s">
        <v>98</v>
      </c>
      <c r="B10117" s="1">
        <v>44693</v>
      </c>
      <c r="C10117">
        <v>1</v>
      </c>
      <c r="D10117">
        <v>125.08</v>
      </c>
      <c r="E10117">
        <v>148</v>
      </c>
    </row>
    <row r="10118" spans="1:5" x14ac:dyDescent="0.3">
      <c r="A10118" t="s">
        <v>97</v>
      </c>
      <c r="B10118" s="1">
        <v>44693</v>
      </c>
      <c r="C10118">
        <v>1</v>
      </c>
      <c r="D10118">
        <v>423.25</v>
      </c>
      <c r="E10118">
        <v>559</v>
      </c>
    </row>
    <row r="10119" spans="1:5" x14ac:dyDescent="0.3">
      <c r="A10119" t="s">
        <v>138</v>
      </c>
      <c r="B10119" s="1">
        <v>44693</v>
      </c>
      <c r="C10119">
        <v>1</v>
      </c>
      <c r="D10119">
        <v>46.5</v>
      </c>
      <c r="E10119">
        <v>75</v>
      </c>
    </row>
    <row r="10120" spans="1:5" x14ac:dyDescent="0.3">
      <c r="A10120" t="s">
        <v>100</v>
      </c>
      <c r="B10120" s="1">
        <v>44693</v>
      </c>
      <c r="C10120">
        <v>1</v>
      </c>
      <c r="D10120">
        <v>36.03</v>
      </c>
      <c r="E10120">
        <v>57</v>
      </c>
    </row>
    <row r="10121" spans="1:5" x14ac:dyDescent="0.3">
      <c r="A10121" t="s">
        <v>67</v>
      </c>
      <c r="B10121" s="1">
        <v>44693</v>
      </c>
      <c r="C10121">
        <v>1</v>
      </c>
      <c r="D10121">
        <v>54.32</v>
      </c>
      <c r="E10121">
        <v>78</v>
      </c>
    </row>
    <row r="10122" spans="1:5" x14ac:dyDescent="0.3">
      <c r="A10122" t="s">
        <v>24</v>
      </c>
      <c r="B10122" s="1">
        <v>44693</v>
      </c>
      <c r="C10122">
        <v>2</v>
      </c>
      <c r="D10122">
        <v>103.96</v>
      </c>
      <c r="E10122">
        <v>125</v>
      </c>
    </row>
    <row r="10123" spans="1:5" x14ac:dyDescent="0.3">
      <c r="A10123" t="s">
        <v>93</v>
      </c>
      <c r="B10123" s="1">
        <v>44693</v>
      </c>
      <c r="C10123">
        <v>1</v>
      </c>
      <c r="D10123">
        <v>70.97</v>
      </c>
      <c r="E10123">
        <v>106</v>
      </c>
    </row>
    <row r="10124" spans="1:5" x14ac:dyDescent="0.3">
      <c r="A10124" t="s">
        <v>142</v>
      </c>
      <c r="B10124" s="1">
        <v>44693</v>
      </c>
      <c r="C10124">
        <v>1</v>
      </c>
      <c r="D10124">
        <v>12.86</v>
      </c>
      <c r="E10124">
        <v>15</v>
      </c>
    </row>
    <row r="10125" spans="1:5" x14ac:dyDescent="0.3">
      <c r="A10125" t="s">
        <v>75</v>
      </c>
      <c r="B10125" s="1">
        <v>44693</v>
      </c>
      <c r="C10125">
        <v>0.24</v>
      </c>
      <c r="D10125">
        <v>438.6</v>
      </c>
      <c r="E10125">
        <v>667</v>
      </c>
    </row>
    <row r="10126" spans="1:5" x14ac:dyDescent="0.3">
      <c r="A10126" t="s">
        <v>26</v>
      </c>
      <c r="B10126" s="1">
        <v>44693</v>
      </c>
      <c r="C10126">
        <v>0.2</v>
      </c>
      <c r="D10126">
        <v>1125.31</v>
      </c>
      <c r="E10126">
        <v>1407</v>
      </c>
    </row>
    <row r="10127" spans="1:5" x14ac:dyDescent="0.3">
      <c r="A10127" t="s">
        <v>52</v>
      </c>
      <c r="B10127" s="1">
        <v>44693</v>
      </c>
      <c r="C10127">
        <v>1</v>
      </c>
      <c r="D10127">
        <v>206</v>
      </c>
      <c r="E10127">
        <v>251</v>
      </c>
    </row>
    <row r="10128" spans="1:5" x14ac:dyDescent="0.3">
      <c r="A10128" t="s">
        <v>22</v>
      </c>
      <c r="B10128" s="1">
        <v>44693</v>
      </c>
      <c r="C10128">
        <v>1</v>
      </c>
      <c r="D10128">
        <v>30.3</v>
      </c>
      <c r="E10128">
        <v>49</v>
      </c>
    </row>
    <row r="10129" spans="1:5" x14ac:dyDescent="0.3">
      <c r="A10129" t="s">
        <v>56</v>
      </c>
      <c r="B10129" s="1">
        <v>44693</v>
      </c>
      <c r="C10129">
        <v>1</v>
      </c>
      <c r="D10129">
        <v>43.97</v>
      </c>
      <c r="E10129">
        <v>69</v>
      </c>
    </row>
    <row r="10130" spans="1:5" x14ac:dyDescent="0.3">
      <c r="A10130" t="s">
        <v>98</v>
      </c>
      <c r="B10130" s="1">
        <v>44693</v>
      </c>
      <c r="C10130">
        <v>1</v>
      </c>
      <c r="D10130">
        <v>112.37</v>
      </c>
      <c r="E10130">
        <v>135</v>
      </c>
    </row>
    <row r="10131" spans="1:5" x14ac:dyDescent="0.3">
      <c r="A10131" t="s">
        <v>90</v>
      </c>
      <c r="B10131" s="1">
        <v>44693</v>
      </c>
      <c r="C10131">
        <v>1</v>
      </c>
      <c r="D10131">
        <v>384.2</v>
      </c>
      <c r="E10131">
        <v>462</v>
      </c>
    </row>
    <row r="10132" spans="1:5" x14ac:dyDescent="0.3">
      <c r="A10132" t="s">
        <v>48</v>
      </c>
      <c r="B10132" s="1">
        <v>44693</v>
      </c>
      <c r="C10132">
        <v>1</v>
      </c>
      <c r="D10132">
        <v>46.72</v>
      </c>
      <c r="E10132">
        <v>74</v>
      </c>
    </row>
    <row r="10133" spans="1:5" x14ac:dyDescent="0.3">
      <c r="A10133" t="s">
        <v>134</v>
      </c>
      <c r="B10133" s="1">
        <v>44693</v>
      </c>
      <c r="C10133">
        <v>1</v>
      </c>
      <c r="D10133">
        <v>27.39</v>
      </c>
      <c r="E10133">
        <v>42</v>
      </c>
    </row>
    <row r="10134" spans="1:5" x14ac:dyDescent="0.3">
      <c r="A10134" t="s">
        <v>134</v>
      </c>
      <c r="B10134" s="1">
        <v>44693</v>
      </c>
      <c r="C10134">
        <v>1</v>
      </c>
      <c r="D10134">
        <v>27.39</v>
      </c>
      <c r="E10134">
        <v>42</v>
      </c>
    </row>
    <row r="10135" spans="1:5" x14ac:dyDescent="0.3">
      <c r="A10135" t="s">
        <v>134</v>
      </c>
      <c r="B10135" s="1">
        <v>44693</v>
      </c>
      <c r="C10135">
        <v>1</v>
      </c>
      <c r="D10135">
        <v>27.39</v>
      </c>
      <c r="E10135">
        <v>42</v>
      </c>
    </row>
    <row r="10136" spans="1:5" x14ac:dyDescent="0.3">
      <c r="A10136" t="s">
        <v>55</v>
      </c>
      <c r="B10136" s="1">
        <v>44693</v>
      </c>
      <c r="C10136">
        <v>1</v>
      </c>
      <c r="D10136">
        <v>77.78</v>
      </c>
      <c r="E10136">
        <v>95</v>
      </c>
    </row>
    <row r="10137" spans="1:5" x14ac:dyDescent="0.3">
      <c r="A10137" t="s">
        <v>55</v>
      </c>
      <c r="B10137" s="1">
        <v>44693</v>
      </c>
      <c r="C10137">
        <v>1</v>
      </c>
      <c r="D10137">
        <v>77.78</v>
      </c>
      <c r="E10137">
        <v>95</v>
      </c>
    </row>
    <row r="10138" spans="1:5" x14ac:dyDescent="0.3">
      <c r="A10138" t="s">
        <v>32</v>
      </c>
      <c r="B10138" s="1">
        <v>44693</v>
      </c>
      <c r="C10138">
        <v>1</v>
      </c>
      <c r="D10138">
        <v>105</v>
      </c>
      <c r="E10138">
        <v>161</v>
      </c>
    </row>
    <row r="10139" spans="1:5" x14ac:dyDescent="0.3">
      <c r="A10139" t="s">
        <v>93</v>
      </c>
      <c r="B10139" s="1">
        <v>44693</v>
      </c>
      <c r="C10139">
        <v>1</v>
      </c>
      <c r="D10139">
        <v>70.97</v>
      </c>
      <c r="E10139">
        <v>106</v>
      </c>
    </row>
    <row r="10140" spans="1:5" x14ac:dyDescent="0.3">
      <c r="A10140" t="s">
        <v>22</v>
      </c>
      <c r="B10140" s="1">
        <v>44693</v>
      </c>
      <c r="C10140">
        <v>1</v>
      </c>
      <c r="D10140">
        <v>30.3</v>
      </c>
      <c r="E10140">
        <v>49</v>
      </c>
    </row>
    <row r="10141" spans="1:5" x14ac:dyDescent="0.3">
      <c r="A10141" t="s">
        <v>71</v>
      </c>
      <c r="B10141" s="1">
        <v>44693</v>
      </c>
      <c r="C10141">
        <v>1</v>
      </c>
      <c r="D10141">
        <v>57.59</v>
      </c>
      <c r="E10141">
        <v>82</v>
      </c>
    </row>
    <row r="10142" spans="1:5" x14ac:dyDescent="0.3">
      <c r="A10142" t="s">
        <v>71</v>
      </c>
      <c r="B10142" s="1">
        <v>44693</v>
      </c>
      <c r="C10142">
        <v>1</v>
      </c>
      <c r="D10142">
        <v>57.59</v>
      </c>
      <c r="E10142">
        <v>82</v>
      </c>
    </row>
    <row r="10143" spans="1:5" x14ac:dyDescent="0.3">
      <c r="A10143" t="s">
        <v>71</v>
      </c>
      <c r="B10143" s="1">
        <v>44693</v>
      </c>
      <c r="C10143">
        <v>1</v>
      </c>
      <c r="D10143">
        <v>57.59</v>
      </c>
      <c r="E10143">
        <v>82</v>
      </c>
    </row>
    <row r="10144" spans="1:5" x14ac:dyDescent="0.3">
      <c r="A10144" t="s">
        <v>71</v>
      </c>
      <c r="B10144" s="1">
        <v>44693</v>
      </c>
      <c r="C10144">
        <v>1</v>
      </c>
      <c r="D10144">
        <v>57.59</v>
      </c>
      <c r="E10144">
        <v>82</v>
      </c>
    </row>
    <row r="10145" spans="1:5" x14ac:dyDescent="0.3">
      <c r="A10145" t="s">
        <v>125</v>
      </c>
      <c r="B10145" s="1">
        <v>44693</v>
      </c>
      <c r="C10145">
        <v>1</v>
      </c>
      <c r="D10145">
        <v>330</v>
      </c>
      <c r="E10145">
        <v>436</v>
      </c>
    </row>
    <row r="10146" spans="1:5" x14ac:dyDescent="0.3">
      <c r="A10146" t="s">
        <v>14</v>
      </c>
      <c r="B10146" s="1">
        <v>44693</v>
      </c>
      <c r="C10146">
        <v>0.3</v>
      </c>
      <c r="D10146">
        <v>516.22</v>
      </c>
      <c r="E10146">
        <v>708</v>
      </c>
    </row>
    <row r="10147" spans="1:5" x14ac:dyDescent="0.3">
      <c r="A10147" t="s">
        <v>57</v>
      </c>
      <c r="B10147" s="1">
        <v>44693</v>
      </c>
      <c r="C10147">
        <v>1</v>
      </c>
      <c r="D10147">
        <v>232.47</v>
      </c>
      <c r="E10147">
        <v>291</v>
      </c>
    </row>
    <row r="10148" spans="1:5" x14ac:dyDescent="0.3">
      <c r="A10148" t="s">
        <v>78</v>
      </c>
      <c r="B10148" s="1">
        <v>44693</v>
      </c>
      <c r="C10148">
        <v>1</v>
      </c>
      <c r="D10148">
        <v>69.010000000000005</v>
      </c>
      <c r="E10148">
        <v>87</v>
      </c>
    </row>
    <row r="10149" spans="1:5" x14ac:dyDescent="0.3">
      <c r="A10149" t="s">
        <v>24</v>
      </c>
      <c r="B10149" s="1">
        <v>44693</v>
      </c>
      <c r="C10149">
        <v>1</v>
      </c>
      <c r="D10149">
        <v>98.67</v>
      </c>
      <c r="E10149">
        <v>115</v>
      </c>
    </row>
    <row r="10150" spans="1:5" x14ac:dyDescent="0.3">
      <c r="A10150" t="s">
        <v>77</v>
      </c>
      <c r="B10150" s="1">
        <v>44693</v>
      </c>
      <c r="C10150">
        <v>1</v>
      </c>
      <c r="D10150">
        <v>60.3</v>
      </c>
      <c r="E10150">
        <v>75</v>
      </c>
    </row>
    <row r="10151" spans="1:5" x14ac:dyDescent="0.3">
      <c r="A10151" t="s">
        <v>62</v>
      </c>
      <c r="B10151" s="1">
        <v>44693</v>
      </c>
      <c r="C10151">
        <v>1</v>
      </c>
      <c r="D10151">
        <v>25.19</v>
      </c>
      <c r="E10151">
        <v>30</v>
      </c>
    </row>
    <row r="10152" spans="1:5" x14ac:dyDescent="0.3">
      <c r="A10152" t="s">
        <v>76</v>
      </c>
      <c r="B10152" s="1">
        <v>44693</v>
      </c>
      <c r="C10152">
        <v>1</v>
      </c>
      <c r="D10152">
        <v>30.36</v>
      </c>
      <c r="E10152">
        <v>37</v>
      </c>
    </row>
    <row r="10153" spans="1:5" x14ac:dyDescent="0.3">
      <c r="A10153" t="s">
        <v>76</v>
      </c>
      <c r="B10153" s="1">
        <v>44693</v>
      </c>
      <c r="C10153">
        <v>1</v>
      </c>
      <c r="D10153">
        <v>30.36</v>
      </c>
      <c r="E10153">
        <v>37</v>
      </c>
    </row>
    <row r="10154" spans="1:5" x14ac:dyDescent="0.3">
      <c r="A10154" t="s">
        <v>76</v>
      </c>
      <c r="B10154" s="1">
        <v>44693</v>
      </c>
      <c r="C10154">
        <v>1</v>
      </c>
      <c r="D10154">
        <v>30.8</v>
      </c>
      <c r="E10154">
        <v>38</v>
      </c>
    </row>
    <row r="10155" spans="1:5" x14ac:dyDescent="0.3">
      <c r="A10155" t="s">
        <v>76</v>
      </c>
      <c r="B10155" s="1">
        <v>44693</v>
      </c>
      <c r="C10155">
        <v>1</v>
      </c>
      <c r="D10155">
        <v>30.8</v>
      </c>
      <c r="E10155">
        <v>38</v>
      </c>
    </row>
    <row r="10156" spans="1:5" x14ac:dyDescent="0.3">
      <c r="A10156" t="s">
        <v>58</v>
      </c>
      <c r="B10156" s="1">
        <v>44693</v>
      </c>
      <c r="C10156">
        <v>1</v>
      </c>
      <c r="D10156">
        <v>78.08</v>
      </c>
      <c r="E10156">
        <v>94</v>
      </c>
    </row>
    <row r="10157" spans="1:5" x14ac:dyDescent="0.3">
      <c r="A10157" t="s">
        <v>7</v>
      </c>
      <c r="B10157" s="1">
        <v>44693</v>
      </c>
      <c r="C10157">
        <v>1</v>
      </c>
      <c r="D10157">
        <v>88.36</v>
      </c>
      <c r="E10157">
        <v>110</v>
      </c>
    </row>
    <row r="10158" spans="1:5" x14ac:dyDescent="0.3">
      <c r="A10158" t="s">
        <v>7</v>
      </c>
      <c r="B10158" s="1">
        <v>44693</v>
      </c>
      <c r="C10158">
        <v>1</v>
      </c>
      <c r="D10158">
        <v>88.36</v>
      </c>
      <c r="E10158">
        <v>110</v>
      </c>
    </row>
    <row r="10159" spans="1:5" x14ac:dyDescent="0.3">
      <c r="A10159" t="s">
        <v>47</v>
      </c>
      <c r="B10159" s="1">
        <v>44693</v>
      </c>
      <c r="C10159">
        <v>1</v>
      </c>
      <c r="D10159">
        <v>43.08</v>
      </c>
      <c r="E10159">
        <v>66</v>
      </c>
    </row>
    <row r="10160" spans="1:5" x14ac:dyDescent="0.3">
      <c r="A10160" t="s">
        <v>53</v>
      </c>
      <c r="B10160" s="1">
        <v>44693</v>
      </c>
      <c r="C10160">
        <v>1</v>
      </c>
      <c r="D10160">
        <v>24.6</v>
      </c>
      <c r="E10160">
        <v>40</v>
      </c>
    </row>
    <row r="10161" spans="1:5" x14ac:dyDescent="0.3">
      <c r="A10161" t="s">
        <v>118</v>
      </c>
      <c r="B10161" s="1">
        <v>44693</v>
      </c>
      <c r="C10161">
        <v>2</v>
      </c>
      <c r="D10161">
        <v>11.1</v>
      </c>
      <c r="E10161">
        <v>13</v>
      </c>
    </row>
    <row r="10162" spans="1:5" x14ac:dyDescent="0.3">
      <c r="A10162" t="s">
        <v>71</v>
      </c>
      <c r="B10162" s="1">
        <v>44693</v>
      </c>
      <c r="C10162">
        <v>1</v>
      </c>
      <c r="D10162">
        <v>34.75</v>
      </c>
      <c r="E10162">
        <v>53</v>
      </c>
    </row>
    <row r="10163" spans="1:5" x14ac:dyDescent="0.3">
      <c r="A10163" t="s">
        <v>65</v>
      </c>
      <c r="B10163" s="1">
        <v>44693</v>
      </c>
      <c r="C10163">
        <v>1</v>
      </c>
      <c r="D10163">
        <v>176.42</v>
      </c>
      <c r="E10163">
        <v>207</v>
      </c>
    </row>
    <row r="10164" spans="1:5" x14ac:dyDescent="0.3">
      <c r="A10164" t="s">
        <v>65</v>
      </c>
      <c r="B10164" s="1">
        <v>44693</v>
      </c>
      <c r="C10164">
        <v>1</v>
      </c>
      <c r="D10164">
        <v>176.42</v>
      </c>
      <c r="E10164">
        <v>207</v>
      </c>
    </row>
    <row r="10165" spans="1:5" x14ac:dyDescent="0.3">
      <c r="A10165" t="s">
        <v>157</v>
      </c>
      <c r="B10165" s="1">
        <v>44693</v>
      </c>
      <c r="C10165">
        <v>1</v>
      </c>
      <c r="D10165">
        <v>12</v>
      </c>
      <c r="E10165">
        <v>20</v>
      </c>
    </row>
    <row r="10166" spans="1:5" x14ac:dyDescent="0.3">
      <c r="A10166" t="s">
        <v>111</v>
      </c>
      <c r="B10166" s="1">
        <v>44693</v>
      </c>
      <c r="C10166">
        <v>1</v>
      </c>
      <c r="D10166">
        <v>168.56</v>
      </c>
      <c r="E10166">
        <v>205</v>
      </c>
    </row>
    <row r="10167" spans="1:5" x14ac:dyDescent="0.3">
      <c r="A10167" t="s">
        <v>72</v>
      </c>
      <c r="B10167" s="1">
        <v>44693</v>
      </c>
      <c r="C10167">
        <v>1</v>
      </c>
      <c r="D10167">
        <v>561.91</v>
      </c>
      <c r="E10167">
        <v>742</v>
      </c>
    </row>
    <row r="10168" spans="1:5" x14ac:dyDescent="0.3">
      <c r="A10168" t="s">
        <v>110</v>
      </c>
      <c r="B10168" s="1">
        <v>44693</v>
      </c>
      <c r="C10168">
        <v>1</v>
      </c>
      <c r="D10168">
        <v>208.48</v>
      </c>
      <c r="E10168">
        <v>292</v>
      </c>
    </row>
    <row r="10169" spans="1:5" x14ac:dyDescent="0.3">
      <c r="A10169" t="s">
        <v>101</v>
      </c>
      <c r="B10169" s="1">
        <v>44693</v>
      </c>
      <c r="C10169">
        <v>1</v>
      </c>
      <c r="D10169">
        <v>31</v>
      </c>
      <c r="E10169">
        <v>48</v>
      </c>
    </row>
    <row r="10170" spans="1:5" x14ac:dyDescent="0.3">
      <c r="A10170" t="s">
        <v>35</v>
      </c>
      <c r="B10170" s="1">
        <v>44693</v>
      </c>
      <c r="C10170">
        <v>1</v>
      </c>
      <c r="D10170">
        <v>30.35</v>
      </c>
      <c r="E10170">
        <v>48</v>
      </c>
    </row>
    <row r="10171" spans="1:5" x14ac:dyDescent="0.3">
      <c r="A10171" t="s">
        <v>11</v>
      </c>
      <c r="B10171" s="1">
        <v>44693</v>
      </c>
      <c r="C10171">
        <v>1</v>
      </c>
      <c r="D10171">
        <v>24.2</v>
      </c>
      <c r="E10171">
        <v>39</v>
      </c>
    </row>
    <row r="10172" spans="1:5" x14ac:dyDescent="0.3">
      <c r="A10172" t="s">
        <v>156</v>
      </c>
      <c r="B10172" s="1">
        <v>44693</v>
      </c>
      <c r="C10172">
        <v>1</v>
      </c>
      <c r="D10172">
        <v>247.74</v>
      </c>
      <c r="E10172">
        <v>335</v>
      </c>
    </row>
    <row r="10173" spans="1:5" x14ac:dyDescent="0.3">
      <c r="A10173" t="s">
        <v>20</v>
      </c>
      <c r="B10173" s="1">
        <v>44693</v>
      </c>
      <c r="C10173">
        <v>1</v>
      </c>
      <c r="D10173">
        <v>19.71</v>
      </c>
      <c r="E10173">
        <v>25</v>
      </c>
    </row>
    <row r="10174" spans="1:5" x14ac:dyDescent="0.3">
      <c r="A10174" t="s">
        <v>113</v>
      </c>
      <c r="B10174" s="1">
        <v>44693</v>
      </c>
      <c r="C10174">
        <v>1</v>
      </c>
      <c r="D10174">
        <v>132.19999999999999</v>
      </c>
      <c r="E10174">
        <v>184</v>
      </c>
    </row>
    <row r="10175" spans="1:5" x14ac:dyDescent="0.3">
      <c r="A10175" t="s">
        <v>135</v>
      </c>
      <c r="B10175" s="1">
        <v>44693</v>
      </c>
      <c r="C10175">
        <v>1</v>
      </c>
      <c r="D10175">
        <v>73.48</v>
      </c>
      <c r="E10175">
        <v>91</v>
      </c>
    </row>
    <row r="10176" spans="1:5" x14ac:dyDescent="0.3">
      <c r="A10176" t="s">
        <v>135</v>
      </c>
      <c r="B10176" s="1">
        <v>44693</v>
      </c>
      <c r="C10176">
        <v>1</v>
      </c>
      <c r="D10176">
        <v>73.48</v>
      </c>
      <c r="E10176">
        <v>91</v>
      </c>
    </row>
    <row r="10177" spans="1:5" x14ac:dyDescent="0.3">
      <c r="A10177" t="s">
        <v>135</v>
      </c>
      <c r="B10177" s="1">
        <v>44693</v>
      </c>
      <c r="C10177">
        <v>1</v>
      </c>
      <c r="D10177">
        <v>73.48</v>
      </c>
      <c r="E10177">
        <v>91</v>
      </c>
    </row>
    <row r="10178" spans="1:5" x14ac:dyDescent="0.3">
      <c r="A10178" t="s">
        <v>66</v>
      </c>
      <c r="B10178" s="1">
        <v>44693</v>
      </c>
      <c r="C10178">
        <v>1</v>
      </c>
      <c r="D10178">
        <v>31.69</v>
      </c>
      <c r="E10178">
        <v>37</v>
      </c>
    </row>
    <row r="10179" spans="1:5" x14ac:dyDescent="0.3">
      <c r="A10179" t="s">
        <v>122</v>
      </c>
      <c r="B10179" s="1">
        <v>44693</v>
      </c>
      <c r="C10179">
        <v>1</v>
      </c>
      <c r="D10179">
        <v>20.64</v>
      </c>
      <c r="E10179">
        <v>25</v>
      </c>
    </row>
    <row r="10180" spans="1:5" x14ac:dyDescent="0.3">
      <c r="A10180" t="s">
        <v>7</v>
      </c>
      <c r="B10180" s="1">
        <v>44693</v>
      </c>
      <c r="C10180">
        <v>1</v>
      </c>
      <c r="D10180">
        <v>88.11</v>
      </c>
      <c r="E10180">
        <v>104</v>
      </c>
    </row>
    <row r="10181" spans="1:5" x14ac:dyDescent="0.3">
      <c r="A10181" t="s">
        <v>7</v>
      </c>
      <c r="B10181" s="1">
        <v>44693</v>
      </c>
      <c r="C10181">
        <v>1</v>
      </c>
      <c r="D10181">
        <v>88.11</v>
      </c>
      <c r="E10181">
        <v>104</v>
      </c>
    </row>
    <row r="10182" spans="1:5" x14ac:dyDescent="0.3">
      <c r="A10182" t="s">
        <v>63</v>
      </c>
      <c r="B10182" s="1">
        <v>44693</v>
      </c>
      <c r="C10182">
        <v>1</v>
      </c>
      <c r="D10182">
        <v>74.599999999999994</v>
      </c>
      <c r="E10182">
        <v>94</v>
      </c>
    </row>
    <row r="10183" spans="1:5" x14ac:dyDescent="0.3">
      <c r="A10183" t="s">
        <v>63</v>
      </c>
      <c r="B10183" s="1">
        <v>44693</v>
      </c>
      <c r="C10183">
        <v>1</v>
      </c>
      <c r="D10183">
        <v>74.599999999999994</v>
      </c>
      <c r="E10183">
        <v>94</v>
      </c>
    </row>
    <row r="10184" spans="1:5" x14ac:dyDescent="0.3">
      <c r="A10184" t="s">
        <v>13</v>
      </c>
      <c r="B10184" s="1">
        <v>44693</v>
      </c>
      <c r="C10184">
        <v>1</v>
      </c>
      <c r="D10184">
        <v>125.93</v>
      </c>
      <c r="E10184">
        <v>150</v>
      </c>
    </row>
    <row r="10185" spans="1:5" x14ac:dyDescent="0.3">
      <c r="A10185" t="s">
        <v>146</v>
      </c>
      <c r="B10185" s="1">
        <v>44693</v>
      </c>
      <c r="C10185">
        <v>1</v>
      </c>
      <c r="D10185">
        <v>418.73</v>
      </c>
      <c r="E10185">
        <v>469</v>
      </c>
    </row>
    <row r="10186" spans="1:5" x14ac:dyDescent="0.3">
      <c r="A10186" t="s">
        <v>20</v>
      </c>
      <c r="B10186" s="1">
        <v>44693</v>
      </c>
      <c r="C10186">
        <v>1</v>
      </c>
      <c r="D10186">
        <v>20.3</v>
      </c>
      <c r="E10186">
        <v>27</v>
      </c>
    </row>
    <row r="10187" spans="1:5" x14ac:dyDescent="0.3">
      <c r="A10187" t="s">
        <v>55</v>
      </c>
      <c r="B10187" s="1">
        <v>44693</v>
      </c>
      <c r="C10187">
        <v>1</v>
      </c>
      <c r="D10187">
        <v>77.48</v>
      </c>
      <c r="E10187">
        <v>95</v>
      </c>
    </row>
    <row r="10188" spans="1:5" x14ac:dyDescent="0.3">
      <c r="A10188" t="s">
        <v>144</v>
      </c>
      <c r="B10188" s="1">
        <v>44693</v>
      </c>
      <c r="C10188">
        <v>1</v>
      </c>
      <c r="D10188">
        <v>51.62</v>
      </c>
      <c r="E10188">
        <v>75</v>
      </c>
    </row>
    <row r="10189" spans="1:5" x14ac:dyDescent="0.3">
      <c r="A10189" t="s">
        <v>98</v>
      </c>
      <c r="B10189" s="1">
        <v>44693</v>
      </c>
      <c r="C10189">
        <v>1</v>
      </c>
      <c r="D10189">
        <v>125.05</v>
      </c>
      <c r="E10189">
        <v>148</v>
      </c>
    </row>
    <row r="10190" spans="1:5" x14ac:dyDescent="0.3">
      <c r="A10190" t="s">
        <v>83</v>
      </c>
      <c r="B10190" s="1">
        <v>44693</v>
      </c>
      <c r="C10190">
        <v>1</v>
      </c>
      <c r="D10190">
        <v>207.68</v>
      </c>
      <c r="E10190">
        <v>246</v>
      </c>
    </row>
    <row r="10191" spans="1:5" x14ac:dyDescent="0.3">
      <c r="A10191" t="s">
        <v>32</v>
      </c>
      <c r="B10191" s="1">
        <v>44693</v>
      </c>
      <c r="C10191">
        <v>1</v>
      </c>
      <c r="D10191">
        <v>103.53</v>
      </c>
      <c r="E10191">
        <v>159</v>
      </c>
    </row>
    <row r="10192" spans="1:5" x14ac:dyDescent="0.3">
      <c r="A10192" t="s">
        <v>153</v>
      </c>
      <c r="B10192" s="1">
        <v>44693</v>
      </c>
      <c r="C10192">
        <v>1</v>
      </c>
      <c r="D10192">
        <v>10.34</v>
      </c>
      <c r="E10192">
        <v>12</v>
      </c>
    </row>
    <row r="10193" spans="1:5" x14ac:dyDescent="0.3">
      <c r="A10193" t="s">
        <v>23</v>
      </c>
      <c r="B10193" s="1">
        <v>44693</v>
      </c>
      <c r="C10193">
        <v>1</v>
      </c>
      <c r="D10193">
        <v>109.41</v>
      </c>
      <c r="E10193">
        <v>123</v>
      </c>
    </row>
    <row r="10194" spans="1:5" x14ac:dyDescent="0.3">
      <c r="A10194" t="s">
        <v>65</v>
      </c>
      <c r="B10194" s="1">
        <v>44693</v>
      </c>
      <c r="C10194">
        <v>1</v>
      </c>
      <c r="D10194">
        <v>186.78</v>
      </c>
      <c r="E10194">
        <v>219</v>
      </c>
    </row>
    <row r="10195" spans="1:5" x14ac:dyDescent="0.3">
      <c r="A10195" t="s">
        <v>140</v>
      </c>
      <c r="B10195" s="1">
        <v>44693</v>
      </c>
      <c r="C10195">
        <v>1</v>
      </c>
      <c r="D10195">
        <v>156.51</v>
      </c>
      <c r="E10195">
        <v>189</v>
      </c>
    </row>
    <row r="10196" spans="1:5" x14ac:dyDescent="0.3">
      <c r="A10196" t="s">
        <v>111</v>
      </c>
      <c r="B10196" s="1">
        <v>44693</v>
      </c>
      <c r="C10196">
        <v>1</v>
      </c>
      <c r="D10196">
        <v>166.45</v>
      </c>
      <c r="E10196">
        <v>199</v>
      </c>
    </row>
    <row r="10197" spans="1:5" x14ac:dyDescent="0.3">
      <c r="A10197" t="s">
        <v>5</v>
      </c>
      <c r="B10197" s="1">
        <v>44693</v>
      </c>
      <c r="C10197">
        <v>1</v>
      </c>
      <c r="D10197">
        <v>134.9</v>
      </c>
      <c r="E10197">
        <v>156</v>
      </c>
    </row>
    <row r="10198" spans="1:5" x14ac:dyDescent="0.3">
      <c r="A10198" t="s">
        <v>5</v>
      </c>
      <c r="B10198" s="1">
        <v>44693</v>
      </c>
      <c r="C10198">
        <v>1</v>
      </c>
      <c r="D10198">
        <v>134.9</v>
      </c>
      <c r="E10198">
        <v>156</v>
      </c>
    </row>
    <row r="10199" spans="1:5" x14ac:dyDescent="0.3">
      <c r="A10199" t="s">
        <v>26</v>
      </c>
      <c r="B10199" s="1">
        <v>44693</v>
      </c>
      <c r="C10199">
        <v>0.2</v>
      </c>
      <c r="D10199">
        <v>1125.31</v>
      </c>
      <c r="E10199">
        <v>1407</v>
      </c>
    </row>
    <row r="10200" spans="1:5" x14ac:dyDescent="0.3">
      <c r="A10200" t="s">
        <v>100</v>
      </c>
      <c r="B10200" s="1">
        <v>44693</v>
      </c>
      <c r="C10200">
        <v>1</v>
      </c>
      <c r="D10200">
        <v>35.49</v>
      </c>
      <c r="E10200">
        <v>54</v>
      </c>
    </row>
    <row r="10201" spans="1:5" x14ac:dyDescent="0.3">
      <c r="A10201" t="s">
        <v>57</v>
      </c>
      <c r="B10201" s="1">
        <v>44693</v>
      </c>
      <c r="C10201">
        <v>1</v>
      </c>
      <c r="D10201">
        <v>233.76</v>
      </c>
      <c r="E10201">
        <v>274</v>
      </c>
    </row>
    <row r="10202" spans="1:5" x14ac:dyDescent="0.3">
      <c r="A10202" t="s">
        <v>87</v>
      </c>
      <c r="B10202" s="1">
        <v>44693</v>
      </c>
      <c r="C10202">
        <v>1</v>
      </c>
      <c r="D10202">
        <v>348.66</v>
      </c>
      <c r="E10202">
        <v>395</v>
      </c>
    </row>
    <row r="10203" spans="1:5" x14ac:dyDescent="0.3">
      <c r="A10203" t="s">
        <v>57</v>
      </c>
      <c r="B10203" s="1">
        <v>44693</v>
      </c>
      <c r="C10203">
        <v>1</v>
      </c>
      <c r="D10203">
        <v>333.3</v>
      </c>
      <c r="E10203">
        <v>349</v>
      </c>
    </row>
    <row r="10204" spans="1:5" x14ac:dyDescent="0.3">
      <c r="A10204" t="s">
        <v>79</v>
      </c>
      <c r="B10204" s="1">
        <v>44693</v>
      </c>
      <c r="C10204">
        <v>1</v>
      </c>
      <c r="D10204">
        <v>153.44999999999999</v>
      </c>
      <c r="E10204">
        <v>169</v>
      </c>
    </row>
    <row r="10205" spans="1:5" x14ac:dyDescent="0.3">
      <c r="A10205" t="s">
        <v>28</v>
      </c>
      <c r="B10205" s="1">
        <v>44693</v>
      </c>
      <c r="C10205">
        <v>1</v>
      </c>
      <c r="D10205">
        <v>180.03</v>
      </c>
      <c r="E10205">
        <v>254</v>
      </c>
    </row>
    <row r="10206" spans="1:5" x14ac:dyDescent="0.3">
      <c r="A10206" t="s">
        <v>56</v>
      </c>
      <c r="B10206" s="1">
        <v>44693</v>
      </c>
      <c r="C10206">
        <v>1</v>
      </c>
      <c r="D10206">
        <v>43.97</v>
      </c>
      <c r="E10206">
        <v>67</v>
      </c>
    </row>
    <row r="10207" spans="1:5" x14ac:dyDescent="0.3">
      <c r="A10207" t="s">
        <v>56</v>
      </c>
      <c r="B10207" s="1">
        <v>44693</v>
      </c>
      <c r="C10207">
        <v>1</v>
      </c>
      <c r="D10207">
        <v>43.97</v>
      </c>
      <c r="E10207">
        <v>67</v>
      </c>
    </row>
    <row r="10208" spans="1:5" x14ac:dyDescent="0.3">
      <c r="A10208" t="s">
        <v>91</v>
      </c>
      <c r="B10208" s="1">
        <v>44693</v>
      </c>
      <c r="C10208">
        <v>1</v>
      </c>
      <c r="D10208">
        <v>34.299999999999997</v>
      </c>
      <c r="E10208">
        <v>56</v>
      </c>
    </row>
    <row r="10209" spans="1:5" x14ac:dyDescent="0.3">
      <c r="A10209" t="s">
        <v>112</v>
      </c>
      <c r="B10209" s="1">
        <v>44693</v>
      </c>
      <c r="C10209">
        <v>1</v>
      </c>
      <c r="D10209">
        <v>291.42</v>
      </c>
      <c r="E10209">
        <v>335</v>
      </c>
    </row>
    <row r="10210" spans="1:5" x14ac:dyDescent="0.3">
      <c r="A10210" t="s">
        <v>55</v>
      </c>
      <c r="B10210" s="1">
        <v>44693</v>
      </c>
      <c r="C10210">
        <v>1</v>
      </c>
      <c r="D10210">
        <v>77.78</v>
      </c>
      <c r="E10210">
        <v>97</v>
      </c>
    </row>
    <row r="10211" spans="1:5" x14ac:dyDescent="0.3">
      <c r="A10211" t="s">
        <v>113</v>
      </c>
      <c r="B10211" s="1">
        <v>44693</v>
      </c>
      <c r="C10211">
        <v>1</v>
      </c>
      <c r="D10211">
        <v>125.55</v>
      </c>
      <c r="E10211">
        <v>178</v>
      </c>
    </row>
    <row r="10212" spans="1:5" x14ac:dyDescent="0.3">
      <c r="A10212" t="s">
        <v>108</v>
      </c>
      <c r="B10212" s="1">
        <v>44693</v>
      </c>
      <c r="C10212">
        <v>1</v>
      </c>
      <c r="D10212">
        <v>27.61</v>
      </c>
      <c r="E10212">
        <v>42</v>
      </c>
    </row>
    <row r="10213" spans="1:5" x14ac:dyDescent="0.3">
      <c r="A10213" t="s">
        <v>93</v>
      </c>
      <c r="B10213" s="1">
        <v>44693</v>
      </c>
      <c r="C10213">
        <v>1</v>
      </c>
      <c r="D10213">
        <v>70.97</v>
      </c>
      <c r="E10213">
        <v>101</v>
      </c>
    </row>
    <row r="10214" spans="1:5" x14ac:dyDescent="0.3">
      <c r="A10214" t="s">
        <v>111</v>
      </c>
      <c r="B10214" s="1">
        <v>44693</v>
      </c>
      <c r="C10214">
        <v>1</v>
      </c>
      <c r="D10214">
        <v>168.56</v>
      </c>
      <c r="E10214">
        <v>205</v>
      </c>
    </row>
    <row r="10215" spans="1:5" x14ac:dyDescent="0.3">
      <c r="A10215" t="s">
        <v>138</v>
      </c>
      <c r="B10215" s="1">
        <v>44693</v>
      </c>
      <c r="C10215">
        <v>1</v>
      </c>
      <c r="D10215">
        <v>46.5</v>
      </c>
      <c r="E10215">
        <v>75</v>
      </c>
    </row>
    <row r="10216" spans="1:5" x14ac:dyDescent="0.3">
      <c r="A10216" t="s">
        <v>92</v>
      </c>
      <c r="B10216" s="1">
        <v>44693</v>
      </c>
      <c r="C10216">
        <v>1</v>
      </c>
      <c r="D10216">
        <v>6.24</v>
      </c>
      <c r="E10216">
        <v>9</v>
      </c>
    </row>
    <row r="10217" spans="1:5" x14ac:dyDescent="0.3">
      <c r="A10217" t="s">
        <v>112</v>
      </c>
      <c r="B10217" s="1">
        <v>44693</v>
      </c>
      <c r="C10217">
        <v>1</v>
      </c>
      <c r="D10217">
        <v>291.3</v>
      </c>
      <c r="E10217">
        <v>331</v>
      </c>
    </row>
    <row r="10218" spans="1:5" x14ac:dyDescent="0.3">
      <c r="A10218" t="s">
        <v>148</v>
      </c>
      <c r="B10218" s="1">
        <v>44693</v>
      </c>
      <c r="C10218">
        <v>1</v>
      </c>
      <c r="D10218">
        <v>38.520000000000003</v>
      </c>
      <c r="E10218">
        <v>61</v>
      </c>
    </row>
    <row r="10219" spans="1:5" x14ac:dyDescent="0.3">
      <c r="A10219" t="s">
        <v>65</v>
      </c>
      <c r="B10219" s="1">
        <v>44693</v>
      </c>
      <c r="C10219">
        <v>1</v>
      </c>
      <c r="D10219">
        <v>184.45</v>
      </c>
      <c r="E10219">
        <v>216</v>
      </c>
    </row>
    <row r="10220" spans="1:5" x14ac:dyDescent="0.3">
      <c r="A10220" t="s">
        <v>65</v>
      </c>
      <c r="B10220" s="1">
        <v>44693</v>
      </c>
      <c r="C10220">
        <v>1</v>
      </c>
      <c r="D10220">
        <v>184.45</v>
      </c>
      <c r="E10220">
        <v>216</v>
      </c>
    </row>
    <row r="10221" spans="1:5" x14ac:dyDescent="0.3">
      <c r="A10221" t="s">
        <v>99</v>
      </c>
      <c r="B10221" s="1">
        <v>44693</v>
      </c>
      <c r="C10221">
        <v>1</v>
      </c>
      <c r="D10221">
        <v>65.52</v>
      </c>
      <c r="E10221">
        <v>77</v>
      </c>
    </row>
    <row r="10222" spans="1:5" x14ac:dyDescent="0.3">
      <c r="A10222" t="s">
        <v>12</v>
      </c>
      <c r="B10222" s="1">
        <v>44693</v>
      </c>
      <c r="C10222">
        <v>1</v>
      </c>
      <c r="D10222">
        <v>60.55</v>
      </c>
      <c r="E10222">
        <v>74</v>
      </c>
    </row>
    <row r="10223" spans="1:5" x14ac:dyDescent="0.3">
      <c r="A10223" t="s">
        <v>105</v>
      </c>
      <c r="B10223" s="1">
        <v>44693</v>
      </c>
      <c r="C10223">
        <v>2</v>
      </c>
      <c r="D10223">
        <v>30.03</v>
      </c>
      <c r="E10223">
        <v>49</v>
      </c>
    </row>
    <row r="10224" spans="1:5" x14ac:dyDescent="0.3">
      <c r="A10224" t="s">
        <v>30</v>
      </c>
      <c r="B10224" s="1">
        <v>44693</v>
      </c>
      <c r="C10224">
        <v>1</v>
      </c>
      <c r="D10224">
        <v>156.19999999999999</v>
      </c>
      <c r="E10224">
        <v>186</v>
      </c>
    </row>
    <row r="10225" spans="1:5" x14ac:dyDescent="0.3">
      <c r="A10225" t="s">
        <v>23</v>
      </c>
      <c r="B10225" s="1">
        <v>44693</v>
      </c>
      <c r="C10225">
        <v>1</v>
      </c>
      <c r="D10225">
        <v>109.41</v>
      </c>
      <c r="E10225">
        <v>123</v>
      </c>
    </row>
    <row r="10226" spans="1:5" x14ac:dyDescent="0.3">
      <c r="A10226" t="s">
        <v>157</v>
      </c>
      <c r="B10226" s="1">
        <v>44693</v>
      </c>
      <c r="C10226">
        <v>1</v>
      </c>
      <c r="D10226">
        <v>12</v>
      </c>
      <c r="E10226">
        <v>20</v>
      </c>
    </row>
    <row r="10227" spans="1:5" x14ac:dyDescent="0.3">
      <c r="A10227" t="s">
        <v>31</v>
      </c>
      <c r="B10227" s="1">
        <v>44693</v>
      </c>
      <c r="C10227">
        <v>1</v>
      </c>
      <c r="D10227">
        <v>13.19</v>
      </c>
      <c r="E10227">
        <v>18</v>
      </c>
    </row>
    <row r="10228" spans="1:5" x14ac:dyDescent="0.3">
      <c r="A10228" t="s">
        <v>31</v>
      </c>
      <c r="B10228" s="1">
        <v>44693</v>
      </c>
      <c r="C10228">
        <v>1</v>
      </c>
      <c r="D10228">
        <v>13.19</v>
      </c>
      <c r="E10228">
        <v>18</v>
      </c>
    </row>
    <row r="10229" spans="1:5" x14ac:dyDescent="0.3">
      <c r="A10229" t="s">
        <v>31</v>
      </c>
      <c r="B10229" s="1">
        <v>44693</v>
      </c>
      <c r="C10229">
        <v>1</v>
      </c>
      <c r="D10229">
        <v>13.19</v>
      </c>
      <c r="E10229">
        <v>18</v>
      </c>
    </row>
    <row r="10230" spans="1:5" x14ac:dyDescent="0.3">
      <c r="A10230" t="s">
        <v>23</v>
      </c>
      <c r="B10230" s="1">
        <v>44693</v>
      </c>
      <c r="C10230">
        <v>1</v>
      </c>
      <c r="D10230">
        <v>110.18</v>
      </c>
      <c r="E10230">
        <v>124</v>
      </c>
    </row>
    <row r="10231" spans="1:5" x14ac:dyDescent="0.3">
      <c r="A10231" t="s">
        <v>98</v>
      </c>
      <c r="B10231" s="1">
        <v>44693</v>
      </c>
      <c r="C10231">
        <v>1</v>
      </c>
      <c r="D10231">
        <v>111.85</v>
      </c>
      <c r="E10231">
        <v>135</v>
      </c>
    </row>
    <row r="10232" spans="1:5" x14ac:dyDescent="0.3">
      <c r="A10232" t="s">
        <v>7</v>
      </c>
      <c r="B10232" s="1">
        <v>44693</v>
      </c>
      <c r="C10232">
        <v>1</v>
      </c>
      <c r="D10232">
        <v>88.11</v>
      </c>
      <c r="E10232">
        <v>105</v>
      </c>
    </row>
    <row r="10233" spans="1:5" x14ac:dyDescent="0.3">
      <c r="A10233" t="s">
        <v>7</v>
      </c>
      <c r="B10233" s="1">
        <v>44693</v>
      </c>
      <c r="C10233">
        <v>1</v>
      </c>
      <c r="D10233">
        <v>89.27</v>
      </c>
      <c r="E10233">
        <v>111</v>
      </c>
    </row>
    <row r="10234" spans="1:5" x14ac:dyDescent="0.3">
      <c r="A10234" t="s">
        <v>25</v>
      </c>
      <c r="B10234" s="1">
        <v>44693</v>
      </c>
      <c r="C10234">
        <v>1</v>
      </c>
      <c r="D10234">
        <v>151.22</v>
      </c>
      <c r="E10234">
        <v>181</v>
      </c>
    </row>
    <row r="10235" spans="1:5" x14ac:dyDescent="0.3">
      <c r="A10235" t="s">
        <v>36</v>
      </c>
      <c r="B10235" s="1">
        <v>44693</v>
      </c>
      <c r="C10235">
        <v>1</v>
      </c>
      <c r="D10235">
        <v>32.67</v>
      </c>
      <c r="E10235">
        <v>41</v>
      </c>
    </row>
    <row r="10236" spans="1:5" x14ac:dyDescent="0.3">
      <c r="A10236" t="s">
        <v>36</v>
      </c>
      <c r="B10236" s="1">
        <v>44693</v>
      </c>
      <c r="C10236">
        <v>1</v>
      </c>
      <c r="D10236">
        <v>32.67</v>
      </c>
      <c r="E10236">
        <v>41</v>
      </c>
    </row>
    <row r="10237" spans="1:5" x14ac:dyDescent="0.3">
      <c r="A10237" t="s">
        <v>36</v>
      </c>
      <c r="B10237" s="1">
        <v>44693</v>
      </c>
      <c r="C10237">
        <v>1</v>
      </c>
      <c r="D10237">
        <v>32.67</v>
      </c>
      <c r="E10237">
        <v>41</v>
      </c>
    </row>
    <row r="10238" spans="1:5" x14ac:dyDescent="0.3">
      <c r="A10238" t="s">
        <v>66</v>
      </c>
      <c r="B10238" s="1">
        <v>44693</v>
      </c>
      <c r="C10238">
        <v>1</v>
      </c>
      <c r="D10238">
        <v>31.69</v>
      </c>
      <c r="E10238">
        <v>37</v>
      </c>
    </row>
    <row r="10239" spans="1:5" x14ac:dyDescent="0.3">
      <c r="A10239" t="s">
        <v>66</v>
      </c>
      <c r="B10239" s="1">
        <v>44693</v>
      </c>
      <c r="C10239">
        <v>1</v>
      </c>
      <c r="D10239">
        <v>31.69</v>
      </c>
      <c r="E10239">
        <v>37</v>
      </c>
    </row>
    <row r="10240" spans="1:5" x14ac:dyDescent="0.3">
      <c r="A10240" t="s">
        <v>45</v>
      </c>
      <c r="B10240" s="1">
        <v>44693</v>
      </c>
      <c r="C10240">
        <v>2</v>
      </c>
      <c r="D10240">
        <v>25.59</v>
      </c>
      <c r="E10240">
        <v>45</v>
      </c>
    </row>
    <row r="10241" spans="1:5" x14ac:dyDescent="0.3">
      <c r="A10241" t="s">
        <v>19</v>
      </c>
      <c r="B10241" s="1">
        <v>44693</v>
      </c>
      <c r="C10241">
        <v>0.54545500000000002</v>
      </c>
      <c r="D10241">
        <v>80.52</v>
      </c>
      <c r="E10241">
        <v>103</v>
      </c>
    </row>
    <row r="10242" spans="1:5" x14ac:dyDescent="0.3">
      <c r="A10242" t="s">
        <v>19</v>
      </c>
      <c r="B10242" s="1">
        <v>44693</v>
      </c>
      <c r="C10242">
        <v>0.45454499999999998</v>
      </c>
      <c r="D10242">
        <v>80.52</v>
      </c>
      <c r="E10242">
        <v>103</v>
      </c>
    </row>
    <row r="10243" spans="1:5" x14ac:dyDescent="0.3">
      <c r="A10243" t="s">
        <v>93</v>
      </c>
      <c r="B10243" s="1">
        <v>44693</v>
      </c>
      <c r="C10243">
        <v>1</v>
      </c>
      <c r="D10243">
        <v>67.540000000000006</v>
      </c>
      <c r="E10243">
        <v>96</v>
      </c>
    </row>
    <row r="10244" spans="1:5" x14ac:dyDescent="0.3">
      <c r="A10244" t="s">
        <v>62</v>
      </c>
      <c r="B10244" s="1">
        <v>44693</v>
      </c>
      <c r="C10244">
        <v>1</v>
      </c>
      <c r="D10244">
        <v>25.71</v>
      </c>
      <c r="E10244">
        <v>31</v>
      </c>
    </row>
    <row r="10245" spans="1:5" x14ac:dyDescent="0.3">
      <c r="A10245" t="s">
        <v>62</v>
      </c>
      <c r="B10245" s="1">
        <v>44693</v>
      </c>
      <c r="C10245">
        <v>1</v>
      </c>
      <c r="D10245">
        <v>25.71</v>
      </c>
      <c r="E10245">
        <v>31</v>
      </c>
    </row>
    <row r="10246" spans="1:5" x14ac:dyDescent="0.3">
      <c r="A10246" t="s">
        <v>132</v>
      </c>
      <c r="B10246" s="1">
        <v>44693</v>
      </c>
      <c r="C10246">
        <v>1</v>
      </c>
      <c r="D10246">
        <v>58.23</v>
      </c>
      <c r="E10246">
        <v>86</v>
      </c>
    </row>
    <row r="10247" spans="1:5" x14ac:dyDescent="0.3">
      <c r="A10247" t="s">
        <v>31</v>
      </c>
      <c r="B10247" s="1">
        <v>44693</v>
      </c>
      <c r="C10247">
        <v>1</v>
      </c>
      <c r="D10247">
        <v>13.43</v>
      </c>
      <c r="E10247">
        <v>18</v>
      </c>
    </row>
    <row r="10248" spans="1:5" x14ac:dyDescent="0.3">
      <c r="A10248" t="s">
        <v>31</v>
      </c>
      <c r="B10248" s="1">
        <v>44693</v>
      </c>
      <c r="C10248">
        <v>1</v>
      </c>
      <c r="D10248">
        <v>13.43</v>
      </c>
      <c r="E10248">
        <v>18</v>
      </c>
    </row>
    <row r="10249" spans="1:5" x14ac:dyDescent="0.3">
      <c r="A10249" t="s">
        <v>31</v>
      </c>
      <c r="B10249" s="1">
        <v>44693</v>
      </c>
      <c r="C10249">
        <v>1</v>
      </c>
      <c r="D10249">
        <v>13.43</v>
      </c>
      <c r="E10249">
        <v>18</v>
      </c>
    </row>
    <row r="10250" spans="1:5" x14ac:dyDescent="0.3">
      <c r="A10250" t="s">
        <v>31</v>
      </c>
      <c r="B10250" s="1">
        <v>44693</v>
      </c>
      <c r="C10250">
        <v>1</v>
      </c>
      <c r="D10250">
        <v>13.43</v>
      </c>
      <c r="E10250">
        <v>18</v>
      </c>
    </row>
    <row r="10251" spans="1:5" x14ac:dyDescent="0.3">
      <c r="A10251" t="s">
        <v>31</v>
      </c>
      <c r="B10251" s="1">
        <v>44693</v>
      </c>
      <c r="C10251">
        <v>1</v>
      </c>
      <c r="D10251">
        <v>13.43</v>
      </c>
      <c r="E10251">
        <v>18</v>
      </c>
    </row>
    <row r="10252" spans="1:5" x14ac:dyDescent="0.3">
      <c r="A10252" t="s">
        <v>25</v>
      </c>
      <c r="B10252" s="1">
        <v>44693</v>
      </c>
      <c r="C10252">
        <v>1</v>
      </c>
      <c r="D10252">
        <v>150.25</v>
      </c>
      <c r="E10252">
        <v>180</v>
      </c>
    </row>
    <row r="10253" spans="1:5" x14ac:dyDescent="0.3">
      <c r="A10253" t="s">
        <v>48</v>
      </c>
      <c r="B10253" s="1">
        <v>44693</v>
      </c>
      <c r="C10253">
        <v>1</v>
      </c>
      <c r="D10253">
        <v>38.67</v>
      </c>
      <c r="E10253">
        <v>60</v>
      </c>
    </row>
    <row r="10254" spans="1:5" x14ac:dyDescent="0.3">
      <c r="A10254" t="s">
        <v>20</v>
      </c>
      <c r="B10254" s="1">
        <v>44693</v>
      </c>
      <c r="C10254">
        <v>1</v>
      </c>
      <c r="D10254">
        <v>19.71</v>
      </c>
      <c r="E10254">
        <v>25</v>
      </c>
    </row>
    <row r="10255" spans="1:5" x14ac:dyDescent="0.3">
      <c r="A10255" t="s">
        <v>20</v>
      </c>
      <c r="B10255" s="1">
        <v>44693</v>
      </c>
      <c r="C10255">
        <v>1</v>
      </c>
      <c r="D10255">
        <v>19.71</v>
      </c>
      <c r="E10255">
        <v>25</v>
      </c>
    </row>
    <row r="10256" spans="1:5" x14ac:dyDescent="0.3">
      <c r="A10256" t="s">
        <v>93</v>
      </c>
      <c r="B10256" s="1">
        <v>44693</v>
      </c>
      <c r="C10256">
        <v>1</v>
      </c>
      <c r="D10256">
        <v>70.97</v>
      </c>
      <c r="E10256">
        <v>106</v>
      </c>
    </row>
    <row r="10257" spans="1:5" x14ac:dyDescent="0.3">
      <c r="A10257" t="s">
        <v>62</v>
      </c>
      <c r="B10257" s="1">
        <v>44693</v>
      </c>
      <c r="C10257">
        <v>1</v>
      </c>
      <c r="D10257">
        <v>24.74</v>
      </c>
      <c r="E10257">
        <v>30</v>
      </c>
    </row>
    <row r="10258" spans="1:5" x14ac:dyDescent="0.3">
      <c r="A10258" t="s">
        <v>62</v>
      </c>
      <c r="B10258" s="1">
        <v>44693</v>
      </c>
      <c r="C10258">
        <v>1</v>
      </c>
      <c r="D10258">
        <v>24.74</v>
      </c>
      <c r="E10258">
        <v>30</v>
      </c>
    </row>
    <row r="10259" spans="1:5" x14ac:dyDescent="0.3">
      <c r="A10259" t="s">
        <v>99</v>
      </c>
      <c r="B10259" s="1">
        <v>44693</v>
      </c>
      <c r="C10259">
        <v>1</v>
      </c>
      <c r="D10259">
        <v>64.25</v>
      </c>
      <c r="E10259">
        <v>79</v>
      </c>
    </row>
    <row r="10260" spans="1:5" x14ac:dyDescent="0.3">
      <c r="A10260" t="s">
        <v>62</v>
      </c>
      <c r="B10260" s="1">
        <v>44693</v>
      </c>
      <c r="C10260">
        <v>1</v>
      </c>
      <c r="D10260">
        <v>25.71</v>
      </c>
      <c r="E10260">
        <v>31</v>
      </c>
    </row>
    <row r="10261" spans="1:5" x14ac:dyDescent="0.3">
      <c r="A10261" t="s">
        <v>160</v>
      </c>
      <c r="B10261" s="1">
        <v>44693</v>
      </c>
      <c r="C10261">
        <v>1</v>
      </c>
      <c r="D10261">
        <v>81.819999999999993</v>
      </c>
      <c r="E10261">
        <v>99</v>
      </c>
    </row>
    <row r="10262" spans="1:5" x14ac:dyDescent="0.3">
      <c r="A10262" t="s">
        <v>48</v>
      </c>
      <c r="B10262" s="1">
        <v>44693</v>
      </c>
      <c r="C10262">
        <v>1</v>
      </c>
      <c r="D10262">
        <v>38.67</v>
      </c>
      <c r="E10262">
        <v>60</v>
      </c>
    </row>
    <row r="10263" spans="1:5" x14ac:dyDescent="0.3">
      <c r="A10263" t="s">
        <v>122</v>
      </c>
      <c r="B10263" s="1">
        <v>44693</v>
      </c>
      <c r="C10263">
        <v>1</v>
      </c>
      <c r="D10263">
        <v>21.64</v>
      </c>
      <c r="E10263">
        <v>27</v>
      </c>
    </row>
    <row r="10264" spans="1:5" x14ac:dyDescent="0.3">
      <c r="A10264" t="s">
        <v>49</v>
      </c>
      <c r="B10264" s="1">
        <v>44693</v>
      </c>
      <c r="C10264">
        <v>1</v>
      </c>
      <c r="D10264">
        <v>16.309999999999999</v>
      </c>
      <c r="E10264">
        <v>20</v>
      </c>
    </row>
    <row r="10265" spans="1:5" x14ac:dyDescent="0.3">
      <c r="A10265" t="s">
        <v>136</v>
      </c>
      <c r="B10265" s="1">
        <v>44693</v>
      </c>
      <c r="C10265">
        <v>1</v>
      </c>
      <c r="D10265">
        <v>290.68</v>
      </c>
      <c r="E10265">
        <v>399</v>
      </c>
    </row>
    <row r="10266" spans="1:5" x14ac:dyDescent="0.3">
      <c r="A10266" t="s">
        <v>48</v>
      </c>
      <c r="B10266" s="1">
        <v>44693</v>
      </c>
      <c r="C10266">
        <v>1</v>
      </c>
      <c r="D10266">
        <v>46.72</v>
      </c>
      <c r="E10266">
        <v>72</v>
      </c>
    </row>
    <row r="10267" spans="1:5" x14ac:dyDescent="0.3">
      <c r="A10267" t="s">
        <v>48</v>
      </c>
      <c r="B10267" s="1">
        <v>44693</v>
      </c>
      <c r="C10267">
        <v>1</v>
      </c>
      <c r="D10267">
        <v>46.72</v>
      </c>
      <c r="E10267">
        <v>72</v>
      </c>
    </row>
    <row r="10268" spans="1:5" x14ac:dyDescent="0.3">
      <c r="A10268" t="s">
        <v>118</v>
      </c>
      <c r="B10268" s="1">
        <v>44693</v>
      </c>
      <c r="C10268">
        <v>1</v>
      </c>
      <c r="D10268">
        <v>11.1</v>
      </c>
      <c r="E10268">
        <v>13</v>
      </c>
    </row>
    <row r="10269" spans="1:5" x14ac:dyDescent="0.3">
      <c r="A10269" t="s">
        <v>139</v>
      </c>
      <c r="B10269" s="1">
        <v>44693</v>
      </c>
      <c r="C10269">
        <v>1</v>
      </c>
      <c r="D10269">
        <v>24.18</v>
      </c>
      <c r="E10269">
        <v>40</v>
      </c>
    </row>
    <row r="10270" spans="1:5" x14ac:dyDescent="0.3">
      <c r="A10270" t="s">
        <v>7</v>
      </c>
      <c r="B10270" s="1">
        <v>44693</v>
      </c>
      <c r="C10270">
        <v>1</v>
      </c>
      <c r="D10270">
        <v>87.93</v>
      </c>
      <c r="E10270">
        <v>104</v>
      </c>
    </row>
    <row r="10271" spans="1:5" x14ac:dyDescent="0.3">
      <c r="A10271" t="s">
        <v>7</v>
      </c>
      <c r="B10271" s="1">
        <v>44693</v>
      </c>
      <c r="C10271">
        <v>1</v>
      </c>
      <c r="D10271">
        <v>87.93</v>
      </c>
      <c r="E10271">
        <v>104</v>
      </c>
    </row>
    <row r="10272" spans="1:5" x14ac:dyDescent="0.3">
      <c r="A10272" t="s">
        <v>132</v>
      </c>
      <c r="B10272" s="1">
        <v>44693</v>
      </c>
      <c r="C10272">
        <v>1</v>
      </c>
      <c r="D10272">
        <v>58.23</v>
      </c>
      <c r="E10272">
        <v>87</v>
      </c>
    </row>
    <row r="10273" spans="1:5" x14ac:dyDescent="0.3">
      <c r="A10273" t="s">
        <v>18</v>
      </c>
      <c r="B10273" s="1">
        <v>44693</v>
      </c>
      <c r="C10273">
        <v>1</v>
      </c>
      <c r="D10273">
        <v>44</v>
      </c>
      <c r="E10273">
        <v>70</v>
      </c>
    </row>
    <row r="10274" spans="1:5" x14ac:dyDescent="0.3">
      <c r="A10274" t="s">
        <v>49</v>
      </c>
      <c r="B10274" s="1">
        <v>44693</v>
      </c>
      <c r="C10274">
        <v>1</v>
      </c>
      <c r="D10274">
        <v>15.8</v>
      </c>
      <c r="E10274">
        <v>19</v>
      </c>
    </row>
    <row r="10275" spans="1:5" x14ac:dyDescent="0.3">
      <c r="A10275" t="s">
        <v>93</v>
      </c>
      <c r="B10275" s="1">
        <v>44693</v>
      </c>
      <c r="C10275">
        <v>1</v>
      </c>
      <c r="D10275">
        <v>70.97</v>
      </c>
      <c r="E10275">
        <v>101</v>
      </c>
    </row>
    <row r="10276" spans="1:5" x14ac:dyDescent="0.3">
      <c r="A10276" t="s">
        <v>93</v>
      </c>
      <c r="B10276" s="1">
        <v>44693</v>
      </c>
      <c r="C10276">
        <v>1</v>
      </c>
      <c r="D10276">
        <v>70.97</v>
      </c>
      <c r="E10276">
        <v>101</v>
      </c>
    </row>
    <row r="10277" spans="1:5" x14ac:dyDescent="0.3">
      <c r="A10277" t="s">
        <v>160</v>
      </c>
      <c r="B10277" s="1">
        <v>44693</v>
      </c>
      <c r="C10277">
        <v>1</v>
      </c>
      <c r="D10277">
        <v>81.819999999999993</v>
      </c>
      <c r="E10277">
        <v>99</v>
      </c>
    </row>
    <row r="10278" spans="1:5" x14ac:dyDescent="0.3">
      <c r="A10278" t="s">
        <v>134</v>
      </c>
      <c r="B10278" s="1">
        <v>44693</v>
      </c>
      <c r="C10278">
        <v>1</v>
      </c>
      <c r="D10278">
        <v>27.39</v>
      </c>
      <c r="E10278">
        <v>42</v>
      </c>
    </row>
    <row r="10279" spans="1:5" x14ac:dyDescent="0.3">
      <c r="A10279" t="s">
        <v>89</v>
      </c>
      <c r="B10279" s="1">
        <v>44693</v>
      </c>
      <c r="C10279">
        <v>1</v>
      </c>
      <c r="D10279">
        <v>81.17</v>
      </c>
      <c r="E10279">
        <v>116</v>
      </c>
    </row>
    <row r="10280" spans="1:5" x14ac:dyDescent="0.3">
      <c r="A10280" t="s">
        <v>153</v>
      </c>
      <c r="B10280" s="1">
        <v>44693</v>
      </c>
      <c r="C10280">
        <v>1</v>
      </c>
      <c r="D10280">
        <v>10.34</v>
      </c>
      <c r="E10280">
        <v>12</v>
      </c>
    </row>
    <row r="10281" spans="1:5" x14ac:dyDescent="0.3">
      <c r="A10281" t="s">
        <v>153</v>
      </c>
      <c r="B10281" s="1">
        <v>44693</v>
      </c>
      <c r="C10281">
        <v>1</v>
      </c>
      <c r="D10281">
        <v>10.34</v>
      </c>
      <c r="E10281">
        <v>12</v>
      </c>
    </row>
    <row r="10282" spans="1:5" x14ac:dyDescent="0.3">
      <c r="A10282" t="s">
        <v>139</v>
      </c>
      <c r="B10282" s="1">
        <v>44693</v>
      </c>
      <c r="C10282">
        <v>2</v>
      </c>
      <c r="D10282">
        <v>24.18</v>
      </c>
      <c r="E10282">
        <v>40</v>
      </c>
    </row>
    <row r="10283" spans="1:5" x14ac:dyDescent="0.3">
      <c r="A10283" t="s">
        <v>26</v>
      </c>
      <c r="B10283" s="1">
        <v>44693</v>
      </c>
      <c r="C10283">
        <v>0.1</v>
      </c>
      <c r="D10283">
        <v>1086.5899999999999</v>
      </c>
      <c r="E10283">
        <v>1391</v>
      </c>
    </row>
    <row r="10284" spans="1:5" x14ac:dyDescent="0.3">
      <c r="A10284" t="s">
        <v>91</v>
      </c>
      <c r="B10284" s="1">
        <v>44693</v>
      </c>
      <c r="C10284">
        <v>1</v>
      </c>
      <c r="D10284">
        <v>38</v>
      </c>
      <c r="E10284">
        <v>66</v>
      </c>
    </row>
    <row r="10285" spans="1:5" x14ac:dyDescent="0.3">
      <c r="A10285" t="s">
        <v>21</v>
      </c>
      <c r="B10285" s="1">
        <v>44693</v>
      </c>
      <c r="C10285">
        <v>1</v>
      </c>
      <c r="D10285">
        <v>182.55</v>
      </c>
      <c r="E10285">
        <v>251</v>
      </c>
    </row>
    <row r="10286" spans="1:5" x14ac:dyDescent="0.3">
      <c r="A10286" t="s">
        <v>153</v>
      </c>
      <c r="B10286" s="1">
        <v>44693</v>
      </c>
      <c r="C10286">
        <v>1</v>
      </c>
      <c r="D10286">
        <v>9.4600000000000009</v>
      </c>
      <c r="E10286">
        <v>11</v>
      </c>
    </row>
    <row r="10287" spans="1:5" x14ac:dyDescent="0.3">
      <c r="A10287" t="s">
        <v>153</v>
      </c>
      <c r="B10287" s="1">
        <v>44693</v>
      </c>
      <c r="C10287">
        <v>1</v>
      </c>
      <c r="D10287">
        <v>9.4600000000000009</v>
      </c>
      <c r="E10287">
        <v>11</v>
      </c>
    </row>
    <row r="10288" spans="1:5" x14ac:dyDescent="0.3">
      <c r="A10288" t="s">
        <v>122</v>
      </c>
      <c r="B10288" s="1">
        <v>44693</v>
      </c>
      <c r="C10288">
        <v>1</v>
      </c>
      <c r="D10288">
        <v>20.82</v>
      </c>
      <c r="E10288">
        <v>26</v>
      </c>
    </row>
    <row r="10289" spans="1:5" x14ac:dyDescent="0.3">
      <c r="A10289" t="s">
        <v>152</v>
      </c>
      <c r="B10289" s="1">
        <v>44693</v>
      </c>
      <c r="C10289">
        <v>1</v>
      </c>
      <c r="D10289">
        <v>104.76</v>
      </c>
      <c r="E10289">
        <v>131</v>
      </c>
    </row>
    <row r="10290" spans="1:5" x14ac:dyDescent="0.3">
      <c r="A10290" t="s">
        <v>81</v>
      </c>
      <c r="B10290" s="1">
        <v>44693</v>
      </c>
      <c r="C10290">
        <v>1</v>
      </c>
      <c r="D10290">
        <v>39.68</v>
      </c>
      <c r="E10290">
        <v>49</v>
      </c>
    </row>
    <row r="10291" spans="1:5" x14ac:dyDescent="0.3">
      <c r="A10291" t="s">
        <v>20</v>
      </c>
      <c r="B10291" s="1">
        <v>44693</v>
      </c>
      <c r="C10291">
        <v>1</v>
      </c>
      <c r="D10291">
        <v>20.23</v>
      </c>
      <c r="E10291">
        <v>27</v>
      </c>
    </row>
    <row r="10292" spans="1:5" x14ac:dyDescent="0.3">
      <c r="A10292" t="s">
        <v>20</v>
      </c>
      <c r="B10292" s="1">
        <v>44693</v>
      </c>
      <c r="C10292">
        <v>1</v>
      </c>
      <c r="D10292">
        <v>20.23</v>
      </c>
      <c r="E10292">
        <v>27</v>
      </c>
    </row>
    <row r="10293" spans="1:5" x14ac:dyDescent="0.3">
      <c r="A10293" t="s">
        <v>56</v>
      </c>
      <c r="B10293" s="1">
        <v>44693</v>
      </c>
      <c r="C10293">
        <v>1</v>
      </c>
      <c r="D10293">
        <v>43.97</v>
      </c>
      <c r="E10293">
        <v>70</v>
      </c>
    </row>
    <row r="10294" spans="1:5" x14ac:dyDescent="0.3">
      <c r="A10294" t="s">
        <v>66</v>
      </c>
      <c r="B10294" s="1">
        <v>44693</v>
      </c>
      <c r="C10294">
        <v>1</v>
      </c>
      <c r="D10294">
        <v>30.6</v>
      </c>
      <c r="E10294">
        <v>37</v>
      </c>
    </row>
    <row r="10295" spans="1:5" x14ac:dyDescent="0.3">
      <c r="A10295" t="s">
        <v>66</v>
      </c>
      <c r="B10295" s="1">
        <v>44693</v>
      </c>
      <c r="C10295">
        <v>1</v>
      </c>
      <c r="D10295">
        <v>30.6</v>
      </c>
      <c r="E10295">
        <v>37</v>
      </c>
    </row>
    <row r="10296" spans="1:5" x14ac:dyDescent="0.3">
      <c r="A10296" t="s">
        <v>66</v>
      </c>
      <c r="B10296" s="1">
        <v>44693</v>
      </c>
      <c r="C10296">
        <v>1</v>
      </c>
      <c r="D10296">
        <v>30.6</v>
      </c>
      <c r="E10296">
        <v>37</v>
      </c>
    </row>
    <row r="10297" spans="1:5" x14ac:dyDescent="0.3">
      <c r="A10297" t="s">
        <v>143</v>
      </c>
      <c r="B10297" s="1">
        <v>44693</v>
      </c>
      <c r="C10297">
        <v>1</v>
      </c>
      <c r="D10297">
        <v>48.79</v>
      </c>
      <c r="E10297">
        <v>77</v>
      </c>
    </row>
    <row r="10298" spans="1:5" x14ac:dyDescent="0.3">
      <c r="A10298" t="s">
        <v>59</v>
      </c>
      <c r="B10298" s="1">
        <v>44693</v>
      </c>
      <c r="C10298">
        <v>2</v>
      </c>
      <c r="D10298">
        <v>16.97</v>
      </c>
      <c r="E10298">
        <v>28</v>
      </c>
    </row>
    <row r="10299" spans="1:5" x14ac:dyDescent="0.3">
      <c r="A10299" t="s">
        <v>120</v>
      </c>
      <c r="B10299" s="1">
        <v>44693</v>
      </c>
      <c r="C10299">
        <v>1</v>
      </c>
      <c r="D10299">
        <v>132.56</v>
      </c>
      <c r="E10299">
        <v>187</v>
      </c>
    </row>
    <row r="10300" spans="1:5" x14ac:dyDescent="0.3">
      <c r="A10300" t="s">
        <v>44</v>
      </c>
      <c r="B10300" s="1">
        <v>44693</v>
      </c>
      <c r="C10300">
        <v>1</v>
      </c>
      <c r="D10300">
        <v>64.260000000000005</v>
      </c>
      <c r="E10300">
        <v>100</v>
      </c>
    </row>
    <row r="10301" spans="1:5" x14ac:dyDescent="0.3">
      <c r="A10301" t="s">
        <v>24</v>
      </c>
      <c r="B10301" s="1">
        <v>44693</v>
      </c>
      <c r="C10301">
        <v>1</v>
      </c>
      <c r="D10301">
        <v>98.67</v>
      </c>
      <c r="E10301">
        <v>120</v>
      </c>
    </row>
    <row r="10302" spans="1:5" x14ac:dyDescent="0.3">
      <c r="A10302" t="s">
        <v>19</v>
      </c>
      <c r="B10302" s="1">
        <v>44693</v>
      </c>
      <c r="C10302">
        <v>1</v>
      </c>
      <c r="D10302">
        <v>82.54</v>
      </c>
      <c r="E10302">
        <v>103</v>
      </c>
    </row>
    <row r="10303" spans="1:5" x14ac:dyDescent="0.3">
      <c r="A10303" t="s">
        <v>83</v>
      </c>
      <c r="B10303" s="1">
        <v>44693</v>
      </c>
      <c r="C10303">
        <v>1</v>
      </c>
      <c r="D10303">
        <v>207.76</v>
      </c>
      <c r="E10303">
        <v>246</v>
      </c>
    </row>
    <row r="10304" spans="1:5" x14ac:dyDescent="0.3">
      <c r="A10304" t="s">
        <v>64</v>
      </c>
      <c r="B10304" s="1">
        <v>44693</v>
      </c>
      <c r="C10304">
        <v>1</v>
      </c>
      <c r="D10304">
        <v>199.69</v>
      </c>
      <c r="E10304">
        <v>282</v>
      </c>
    </row>
    <row r="10305" spans="1:5" x14ac:dyDescent="0.3">
      <c r="A10305" t="s">
        <v>148</v>
      </c>
      <c r="B10305" s="1">
        <v>44693</v>
      </c>
      <c r="C10305">
        <v>1</v>
      </c>
      <c r="D10305">
        <v>36.840000000000003</v>
      </c>
      <c r="E10305">
        <v>56</v>
      </c>
    </row>
    <row r="10306" spans="1:5" x14ac:dyDescent="0.3">
      <c r="A10306" t="s">
        <v>43</v>
      </c>
      <c r="B10306" s="1">
        <v>44693</v>
      </c>
      <c r="C10306">
        <v>1</v>
      </c>
      <c r="D10306">
        <v>134.94999999999999</v>
      </c>
      <c r="E10306">
        <v>162</v>
      </c>
    </row>
    <row r="10307" spans="1:5" x14ac:dyDescent="0.3">
      <c r="A10307" t="s">
        <v>30</v>
      </c>
      <c r="B10307" s="1">
        <v>44693</v>
      </c>
      <c r="C10307">
        <v>1</v>
      </c>
      <c r="D10307">
        <v>156.19999999999999</v>
      </c>
      <c r="E10307">
        <v>186</v>
      </c>
    </row>
    <row r="10308" spans="1:5" x14ac:dyDescent="0.3">
      <c r="A10308" t="s">
        <v>92</v>
      </c>
      <c r="B10308" s="1">
        <v>44693</v>
      </c>
      <c r="C10308">
        <v>2</v>
      </c>
      <c r="D10308">
        <v>6.17</v>
      </c>
      <c r="E10308">
        <v>9</v>
      </c>
    </row>
    <row r="10309" spans="1:5" x14ac:dyDescent="0.3">
      <c r="A10309" t="s">
        <v>57</v>
      </c>
      <c r="B10309" s="1">
        <v>44693</v>
      </c>
      <c r="C10309">
        <v>1</v>
      </c>
      <c r="D10309">
        <v>232.47</v>
      </c>
      <c r="E10309">
        <v>272</v>
      </c>
    </row>
    <row r="10310" spans="1:5" x14ac:dyDescent="0.3">
      <c r="A10310" t="s">
        <v>123</v>
      </c>
      <c r="B10310" s="1">
        <v>44693</v>
      </c>
      <c r="C10310">
        <v>1</v>
      </c>
      <c r="D10310">
        <v>65.28</v>
      </c>
      <c r="E10310">
        <v>81</v>
      </c>
    </row>
    <row r="10311" spans="1:5" x14ac:dyDescent="0.3">
      <c r="A10311" t="s">
        <v>123</v>
      </c>
      <c r="B10311" s="1">
        <v>44693</v>
      </c>
      <c r="C10311">
        <v>1</v>
      </c>
      <c r="D10311">
        <v>65.28</v>
      </c>
      <c r="E10311">
        <v>81</v>
      </c>
    </row>
    <row r="10312" spans="1:5" x14ac:dyDescent="0.3">
      <c r="A10312" t="s">
        <v>76</v>
      </c>
      <c r="B10312" s="1">
        <v>44693</v>
      </c>
      <c r="C10312">
        <v>1</v>
      </c>
      <c r="D10312">
        <v>30.8</v>
      </c>
      <c r="E10312">
        <v>38</v>
      </c>
    </row>
    <row r="10313" spans="1:5" x14ac:dyDescent="0.3">
      <c r="A10313" t="s">
        <v>95</v>
      </c>
      <c r="B10313" s="1">
        <v>44693</v>
      </c>
      <c r="C10313">
        <v>1</v>
      </c>
      <c r="D10313">
        <v>133.25</v>
      </c>
      <c r="E10313">
        <v>204</v>
      </c>
    </row>
    <row r="10314" spans="1:5" x14ac:dyDescent="0.3">
      <c r="A10314" t="s">
        <v>66</v>
      </c>
      <c r="B10314" s="1">
        <v>44693</v>
      </c>
      <c r="C10314">
        <v>1</v>
      </c>
      <c r="D10314">
        <v>31.08</v>
      </c>
      <c r="E10314">
        <v>36</v>
      </c>
    </row>
    <row r="10315" spans="1:5" x14ac:dyDescent="0.3">
      <c r="A10315" t="s">
        <v>66</v>
      </c>
      <c r="B10315" s="1">
        <v>44693</v>
      </c>
      <c r="C10315">
        <v>1</v>
      </c>
      <c r="D10315">
        <v>31.08</v>
      </c>
      <c r="E10315">
        <v>36</v>
      </c>
    </row>
    <row r="10316" spans="1:5" x14ac:dyDescent="0.3">
      <c r="A10316" t="s">
        <v>49</v>
      </c>
      <c r="B10316" s="1">
        <v>44693</v>
      </c>
      <c r="C10316">
        <v>1</v>
      </c>
      <c r="D10316">
        <v>16.02</v>
      </c>
      <c r="E10316">
        <v>19</v>
      </c>
    </row>
    <row r="10317" spans="1:5" x14ac:dyDescent="0.3">
      <c r="A10317" t="s">
        <v>160</v>
      </c>
      <c r="B10317" s="1">
        <v>44692</v>
      </c>
      <c r="C10317">
        <v>1</v>
      </c>
      <c r="D10317">
        <v>81.819999999999993</v>
      </c>
      <c r="E10317">
        <v>99</v>
      </c>
    </row>
    <row r="10318" spans="1:5" x14ac:dyDescent="0.3">
      <c r="A10318" t="s">
        <v>128</v>
      </c>
      <c r="B10318" s="1">
        <v>44692</v>
      </c>
      <c r="C10318">
        <v>1</v>
      </c>
      <c r="D10318">
        <v>257.48</v>
      </c>
      <c r="E10318">
        <v>343</v>
      </c>
    </row>
    <row r="10319" spans="1:5" x14ac:dyDescent="0.3">
      <c r="A10319" t="s">
        <v>120</v>
      </c>
      <c r="B10319" s="1">
        <v>44692</v>
      </c>
      <c r="C10319">
        <v>1</v>
      </c>
      <c r="D10319">
        <v>132.26</v>
      </c>
      <c r="E10319">
        <v>182</v>
      </c>
    </row>
    <row r="10320" spans="1:5" x14ac:dyDescent="0.3">
      <c r="A10320" t="s">
        <v>15</v>
      </c>
      <c r="B10320" s="1">
        <v>44692</v>
      </c>
      <c r="C10320">
        <v>2</v>
      </c>
      <c r="D10320">
        <v>44.41</v>
      </c>
      <c r="E10320">
        <v>72</v>
      </c>
    </row>
    <row r="10321" spans="1:5" x14ac:dyDescent="0.3">
      <c r="A10321" t="s">
        <v>50</v>
      </c>
      <c r="B10321" s="1">
        <v>44692</v>
      </c>
      <c r="C10321">
        <v>1</v>
      </c>
      <c r="D10321">
        <v>44.75</v>
      </c>
      <c r="E10321">
        <v>55</v>
      </c>
    </row>
    <row r="10322" spans="1:5" x14ac:dyDescent="0.3">
      <c r="A10322" t="s">
        <v>6</v>
      </c>
      <c r="B10322" s="1">
        <v>44692</v>
      </c>
      <c r="C10322">
        <v>1</v>
      </c>
      <c r="D10322">
        <v>421.52</v>
      </c>
      <c r="E10322">
        <v>527</v>
      </c>
    </row>
    <row r="10323" spans="1:5" x14ac:dyDescent="0.3">
      <c r="A10323" t="s">
        <v>25</v>
      </c>
      <c r="B10323" s="1">
        <v>44692</v>
      </c>
      <c r="C10323">
        <v>1</v>
      </c>
      <c r="D10323">
        <v>147.4</v>
      </c>
      <c r="E10323">
        <v>177</v>
      </c>
    </row>
    <row r="10324" spans="1:5" x14ac:dyDescent="0.3">
      <c r="A10324" t="s">
        <v>34</v>
      </c>
      <c r="B10324" s="1">
        <v>44692</v>
      </c>
      <c r="C10324">
        <v>1</v>
      </c>
      <c r="D10324">
        <v>202.73</v>
      </c>
      <c r="E10324">
        <v>234</v>
      </c>
    </row>
    <row r="10325" spans="1:5" x14ac:dyDescent="0.3">
      <c r="A10325" t="s">
        <v>41</v>
      </c>
      <c r="B10325" s="1">
        <v>44692</v>
      </c>
      <c r="C10325">
        <v>1</v>
      </c>
      <c r="D10325">
        <v>11.45</v>
      </c>
      <c r="E10325">
        <v>19</v>
      </c>
    </row>
    <row r="10326" spans="1:5" x14ac:dyDescent="0.3">
      <c r="A10326" t="s">
        <v>136</v>
      </c>
      <c r="B10326" s="1">
        <v>44692</v>
      </c>
      <c r="C10326">
        <v>1</v>
      </c>
      <c r="D10326">
        <v>286.19</v>
      </c>
      <c r="E10326">
        <v>381</v>
      </c>
    </row>
    <row r="10327" spans="1:5" x14ac:dyDescent="0.3">
      <c r="A10327" t="s">
        <v>59</v>
      </c>
      <c r="B10327" s="1">
        <v>44692</v>
      </c>
      <c r="C10327">
        <v>2</v>
      </c>
      <c r="D10327">
        <v>12.02</v>
      </c>
      <c r="E10327">
        <v>20</v>
      </c>
    </row>
    <row r="10328" spans="1:5" x14ac:dyDescent="0.3">
      <c r="A10328" t="s">
        <v>65</v>
      </c>
      <c r="B10328" s="1">
        <v>44692</v>
      </c>
      <c r="C10328">
        <v>1</v>
      </c>
      <c r="D10328">
        <v>186.78</v>
      </c>
      <c r="E10328">
        <v>219</v>
      </c>
    </row>
    <row r="10329" spans="1:5" x14ac:dyDescent="0.3">
      <c r="A10329" t="s">
        <v>17</v>
      </c>
      <c r="B10329" s="1">
        <v>44692</v>
      </c>
      <c r="C10329">
        <v>1</v>
      </c>
      <c r="D10329">
        <v>454.55</v>
      </c>
      <c r="E10329">
        <v>546</v>
      </c>
    </row>
    <row r="10330" spans="1:5" x14ac:dyDescent="0.3">
      <c r="A10330" t="s">
        <v>160</v>
      </c>
      <c r="B10330" s="1">
        <v>44692</v>
      </c>
      <c r="C10330">
        <v>1</v>
      </c>
      <c r="D10330">
        <v>81.819999999999993</v>
      </c>
      <c r="E10330">
        <v>99</v>
      </c>
    </row>
    <row r="10331" spans="1:5" x14ac:dyDescent="0.3">
      <c r="A10331" t="s">
        <v>6</v>
      </c>
      <c r="B10331" s="1">
        <v>44692</v>
      </c>
      <c r="C10331">
        <v>0.4</v>
      </c>
      <c r="D10331">
        <v>421.52</v>
      </c>
      <c r="E10331">
        <v>527</v>
      </c>
    </row>
    <row r="10332" spans="1:5" x14ac:dyDescent="0.3">
      <c r="A10332" t="s">
        <v>88</v>
      </c>
      <c r="B10332" s="1">
        <v>44692</v>
      </c>
      <c r="C10332">
        <v>2</v>
      </c>
      <c r="D10332">
        <v>128.1</v>
      </c>
      <c r="E10332">
        <v>195</v>
      </c>
    </row>
    <row r="10333" spans="1:5" x14ac:dyDescent="0.3">
      <c r="A10333" t="s">
        <v>91</v>
      </c>
      <c r="B10333" s="1">
        <v>44692</v>
      </c>
      <c r="C10333">
        <v>1</v>
      </c>
      <c r="D10333">
        <v>34.299999999999997</v>
      </c>
      <c r="E10333">
        <v>56</v>
      </c>
    </row>
    <row r="10334" spans="1:5" x14ac:dyDescent="0.3">
      <c r="A10334" t="s">
        <v>65</v>
      </c>
      <c r="B10334" s="1">
        <v>44692</v>
      </c>
      <c r="C10334">
        <v>1</v>
      </c>
      <c r="D10334">
        <v>176.42</v>
      </c>
      <c r="E10334">
        <v>207</v>
      </c>
    </row>
    <row r="10335" spans="1:5" x14ac:dyDescent="0.3">
      <c r="A10335" t="s">
        <v>144</v>
      </c>
      <c r="B10335" s="1">
        <v>44692</v>
      </c>
      <c r="C10335">
        <v>1</v>
      </c>
      <c r="D10335">
        <v>81.180000000000007</v>
      </c>
      <c r="E10335">
        <v>85</v>
      </c>
    </row>
    <row r="10336" spans="1:5" x14ac:dyDescent="0.3">
      <c r="A10336" t="s">
        <v>28</v>
      </c>
      <c r="B10336" s="1">
        <v>44692</v>
      </c>
      <c r="C10336">
        <v>1</v>
      </c>
      <c r="D10336">
        <v>136.6</v>
      </c>
      <c r="E10336">
        <v>188</v>
      </c>
    </row>
    <row r="10337" spans="1:5" x14ac:dyDescent="0.3">
      <c r="A10337" t="s">
        <v>21</v>
      </c>
      <c r="B10337" s="1">
        <v>44692</v>
      </c>
      <c r="C10337">
        <v>1</v>
      </c>
      <c r="D10337">
        <v>181.44</v>
      </c>
      <c r="E10337">
        <v>245</v>
      </c>
    </row>
    <row r="10338" spans="1:5" x14ac:dyDescent="0.3">
      <c r="A10338" t="s">
        <v>113</v>
      </c>
      <c r="B10338" s="1">
        <v>44692</v>
      </c>
      <c r="C10338">
        <v>1</v>
      </c>
      <c r="D10338">
        <v>153.63</v>
      </c>
      <c r="E10338">
        <v>214</v>
      </c>
    </row>
    <row r="10339" spans="1:5" x14ac:dyDescent="0.3">
      <c r="A10339" t="s">
        <v>136</v>
      </c>
      <c r="B10339" s="1">
        <v>44692</v>
      </c>
      <c r="C10339">
        <v>1</v>
      </c>
      <c r="D10339">
        <v>281.83999999999997</v>
      </c>
      <c r="E10339">
        <v>373</v>
      </c>
    </row>
    <row r="10340" spans="1:5" x14ac:dyDescent="0.3">
      <c r="A10340" t="s">
        <v>76</v>
      </c>
      <c r="B10340" s="1">
        <v>44692</v>
      </c>
      <c r="C10340">
        <v>1</v>
      </c>
      <c r="D10340">
        <v>31.41</v>
      </c>
      <c r="E10340">
        <v>38</v>
      </c>
    </row>
    <row r="10341" spans="1:5" x14ac:dyDescent="0.3">
      <c r="A10341" t="s">
        <v>35</v>
      </c>
      <c r="B10341" s="1">
        <v>44692</v>
      </c>
      <c r="C10341">
        <v>1</v>
      </c>
      <c r="D10341">
        <v>35</v>
      </c>
      <c r="E10341">
        <v>54</v>
      </c>
    </row>
    <row r="10342" spans="1:5" x14ac:dyDescent="0.3">
      <c r="A10342" t="s">
        <v>59</v>
      </c>
      <c r="B10342" s="1">
        <v>44692</v>
      </c>
      <c r="C10342">
        <v>1</v>
      </c>
      <c r="D10342">
        <v>12.58</v>
      </c>
      <c r="E10342">
        <v>21</v>
      </c>
    </row>
    <row r="10343" spans="1:5" x14ac:dyDescent="0.3">
      <c r="A10343" t="s">
        <v>28</v>
      </c>
      <c r="B10343" s="1">
        <v>44692</v>
      </c>
      <c r="C10343">
        <v>1</v>
      </c>
      <c r="D10343">
        <v>136.6</v>
      </c>
      <c r="E10343">
        <v>188</v>
      </c>
    </row>
    <row r="10344" spans="1:5" x14ac:dyDescent="0.3">
      <c r="A10344" t="s">
        <v>138</v>
      </c>
      <c r="B10344" s="1">
        <v>44692</v>
      </c>
      <c r="C10344">
        <v>1</v>
      </c>
      <c r="D10344">
        <v>46.5</v>
      </c>
      <c r="E10344">
        <v>75</v>
      </c>
    </row>
    <row r="10345" spans="1:5" x14ac:dyDescent="0.3">
      <c r="A10345" t="s">
        <v>24</v>
      </c>
      <c r="B10345" s="1">
        <v>44692</v>
      </c>
      <c r="C10345">
        <v>2</v>
      </c>
      <c r="D10345">
        <v>103.96</v>
      </c>
      <c r="E10345">
        <v>125</v>
      </c>
    </row>
    <row r="10346" spans="1:5" x14ac:dyDescent="0.3">
      <c r="A10346" t="s">
        <v>56</v>
      </c>
      <c r="B10346" s="1">
        <v>44692</v>
      </c>
      <c r="C10346">
        <v>1</v>
      </c>
      <c r="D10346">
        <v>43.97</v>
      </c>
      <c r="E10346">
        <v>69</v>
      </c>
    </row>
    <row r="10347" spans="1:5" x14ac:dyDescent="0.3">
      <c r="A10347" t="s">
        <v>146</v>
      </c>
      <c r="B10347" s="1">
        <v>44692</v>
      </c>
      <c r="C10347">
        <v>1</v>
      </c>
      <c r="D10347">
        <v>402.2</v>
      </c>
      <c r="E10347">
        <v>451</v>
      </c>
    </row>
    <row r="10348" spans="1:5" x14ac:dyDescent="0.3">
      <c r="A10348" t="s">
        <v>89</v>
      </c>
      <c r="B10348" s="1">
        <v>44692</v>
      </c>
      <c r="C10348">
        <v>1</v>
      </c>
      <c r="D10348">
        <v>81.17</v>
      </c>
      <c r="E10348">
        <v>116</v>
      </c>
    </row>
    <row r="10349" spans="1:5" x14ac:dyDescent="0.3">
      <c r="A10349" t="s">
        <v>24</v>
      </c>
      <c r="B10349" s="1">
        <v>44692</v>
      </c>
      <c r="C10349">
        <v>1</v>
      </c>
      <c r="D10349">
        <v>98.67</v>
      </c>
      <c r="E10349">
        <v>120</v>
      </c>
    </row>
    <row r="10350" spans="1:5" x14ac:dyDescent="0.3">
      <c r="A10350" t="s">
        <v>65</v>
      </c>
      <c r="B10350" s="1">
        <v>44692</v>
      </c>
      <c r="C10350">
        <v>1</v>
      </c>
      <c r="D10350">
        <v>181.12</v>
      </c>
      <c r="E10350">
        <v>227</v>
      </c>
    </row>
    <row r="10351" spans="1:5" x14ac:dyDescent="0.3">
      <c r="A10351" t="s">
        <v>70</v>
      </c>
      <c r="B10351" s="1">
        <v>44692</v>
      </c>
      <c r="C10351">
        <v>1</v>
      </c>
      <c r="D10351">
        <v>163.79</v>
      </c>
      <c r="E10351">
        <v>198</v>
      </c>
    </row>
    <row r="10352" spans="1:5" x14ac:dyDescent="0.3">
      <c r="A10352" t="s">
        <v>41</v>
      </c>
      <c r="B10352" s="1">
        <v>44692</v>
      </c>
      <c r="C10352">
        <v>1</v>
      </c>
      <c r="D10352">
        <v>11.45</v>
      </c>
      <c r="E10352">
        <v>19</v>
      </c>
    </row>
    <row r="10353" spans="1:5" x14ac:dyDescent="0.3">
      <c r="A10353" t="s">
        <v>41</v>
      </c>
      <c r="B10353" s="1">
        <v>44692</v>
      </c>
      <c r="C10353">
        <v>2</v>
      </c>
      <c r="D10353">
        <v>11.45</v>
      </c>
      <c r="E10353">
        <v>19</v>
      </c>
    </row>
    <row r="10354" spans="1:5" x14ac:dyDescent="0.3">
      <c r="A10354" t="s">
        <v>116</v>
      </c>
      <c r="B10354" s="1">
        <v>44692</v>
      </c>
      <c r="C10354">
        <v>1</v>
      </c>
      <c r="D10354">
        <v>109.02</v>
      </c>
      <c r="E10354">
        <v>128</v>
      </c>
    </row>
    <row r="10355" spans="1:5" x14ac:dyDescent="0.3">
      <c r="A10355" t="s">
        <v>93</v>
      </c>
      <c r="B10355" s="1">
        <v>44692</v>
      </c>
      <c r="C10355">
        <v>1</v>
      </c>
      <c r="D10355">
        <v>70.97</v>
      </c>
      <c r="E10355">
        <v>101</v>
      </c>
    </row>
    <row r="10356" spans="1:5" x14ac:dyDescent="0.3">
      <c r="A10356" t="s">
        <v>127</v>
      </c>
      <c r="B10356" s="1">
        <v>44692</v>
      </c>
      <c r="C10356">
        <v>1</v>
      </c>
      <c r="D10356">
        <v>117.61</v>
      </c>
      <c r="E10356">
        <v>171</v>
      </c>
    </row>
    <row r="10357" spans="1:5" x14ac:dyDescent="0.3">
      <c r="A10357" t="s">
        <v>160</v>
      </c>
      <c r="B10357" s="1">
        <v>44692</v>
      </c>
      <c r="C10357">
        <v>1</v>
      </c>
      <c r="D10357">
        <v>81.8</v>
      </c>
      <c r="E10357">
        <v>99</v>
      </c>
    </row>
    <row r="10358" spans="1:5" x14ac:dyDescent="0.3">
      <c r="A10358" t="s">
        <v>121</v>
      </c>
      <c r="B10358" s="1">
        <v>44692</v>
      </c>
      <c r="C10358">
        <v>1</v>
      </c>
      <c r="D10358">
        <v>7.24</v>
      </c>
      <c r="E10358">
        <v>12</v>
      </c>
    </row>
    <row r="10359" spans="1:5" x14ac:dyDescent="0.3">
      <c r="A10359" t="s">
        <v>14</v>
      </c>
      <c r="B10359" s="1">
        <v>44692</v>
      </c>
      <c r="C10359">
        <v>1</v>
      </c>
      <c r="D10359">
        <v>501.97</v>
      </c>
      <c r="E10359">
        <v>673</v>
      </c>
    </row>
    <row r="10360" spans="1:5" x14ac:dyDescent="0.3">
      <c r="A10360" t="s">
        <v>56</v>
      </c>
      <c r="B10360" s="1">
        <v>44692</v>
      </c>
      <c r="C10360">
        <v>1</v>
      </c>
      <c r="D10360">
        <v>43.97</v>
      </c>
      <c r="E10360">
        <v>67</v>
      </c>
    </row>
    <row r="10361" spans="1:5" x14ac:dyDescent="0.3">
      <c r="A10361" t="s">
        <v>95</v>
      </c>
      <c r="B10361" s="1">
        <v>44692</v>
      </c>
      <c r="C10361">
        <v>0.1</v>
      </c>
      <c r="D10361">
        <v>130.65</v>
      </c>
      <c r="E10361">
        <v>199</v>
      </c>
    </row>
    <row r="10362" spans="1:5" x14ac:dyDescent="0.3">
      <c r="A10362" t="s">
        <v>42</v>
      </c>
      <c r="B10362" s="1">
        <v>44692</v>
      </c>
      <c r="C10362">
        <v>1</v>
      </c>
      <c r="D10362">
        <v>559.34</v>
      </c>
      <c r="E10362">
        <v>644</v>
      </c>
    </row>
    <row r="10363" spans="1:5" x14ac:dyDescent="0.3">
      <c r="A10363" t="s">
        <v>42</v>
      </c>
      <c r="B10363" s="1">
        <v>44692</v>
      </c>
      <c r="C10363">
        <v>1</v>
      </c>
      <c r="D10363">
        <v>559.34</v>
      </c>
      <c r="E10363">
        <v>644</v>
      </c>
    </row>
    <row r="10364" spans="1:5" x14ac:dyDescent="0.3">
      <c r="A10364" t="s">
        <v>42</v>
      </c>
      <c r="B10364" s="1">
        <v>44692</v>
      </c>
      <c r="C10364">
        <v>1</v>
      </c>
      <c r="D10364">
        <v>559.34</v>
      </c>
      <c r="E10364">
        <v>644</v>
      </c>
    </row>
    <row r="10365" spans="1:5" x14ac:dyDescent="0.3">
      <c r="A10365" t="s">
        <v>102</v>
      </c>
      <c r="B10365" s="1">
        <v>44692</v>
      </c>
      <c r="C10365">
        <v>1</v>
      </c>
      <c r="D10365">
        <v>26.54</v>
      </c>
      <c r="E10365">
        <v>33</v>
      </c>
    </row>
    <row r="10366" spans="1:5" x14ac:dyDescent="0.3">
      <c r="A10366" t="s">
        <v>52</v>
      </c>
      <c r="B10366" s="1">
        <v>44692</v>
      </c>
      <c r="C10366">
        <v>1</v>
      </c>
      <c r="D10366">
        <v>221.19</v>
      </c>
      <c r="E10366">
        <v>262</v>
      </c>
    </row>
    <row r="10367" spans="1:5" x14ac:dyDescent="0.3">
      <c r="A10367" t="s">
        <v>74</v>
      </c>
      <c r="B10367" s="1">
        <v>44692</v>
      </c>
      <c r="C10367">
        <v>1</v>
      </c>
      <c r="D10367">
        <v>90.81</v>
      </c>
      <c r="E10367">
        <v>115</v>
      </c>
    </row>
    <row r="10368" spans="1:5" x14ac:dyDescent="0.3">
      <c r="A10368" t="s">
        <v>93</v>
      </c>
      <c r="B10368" s="1">
        <v>44692</v>
      </c>
      <c r="C10368">
        <v>1</v>
      </c>
      <c r="D10368">
        <v>70.97</v>
      </c>
      <c r="E10368">
        <v>106</v>
      </c>
    </row>
    <row r="10369" spans="1:5" x14ac:dyDescent="0.3">
      <c r="A10369" t="s">
        <v>14</v>
      </c>
      <c r="B10369" s="1">
        <v>44692</v>
      </c>
      <c r="C10369">
        <v>1</v>
      </c>
      <c r="D10369">
        <v>455</v>
      </c>
      <c r="E10369">
        <v>624</v>
      </c>
    </row>
    <row r="10370" spans="1:5" x14ac:dyDescent="0.3">
      <c r="A10370" t="s">
        <v>41</v>
      </c>
      <c r="B10370" s="1">
        <v>44692</v>
      </c>
      <c r="C10370">
        <v>1</v>
      </c>
      <c r="D10370">
        <v>11.45</v>
      </c>
      <c r="E10370">
        <v>19</v>
      </c>
    </row>
    <row r="10371" spans="1:5" x14ac:dyDescent="0.3">
      <c r="A10371" t="s">
        <v>41</v>
      </c>
      <c r="B10371" s="1">
        <v>44692</v>
      </c>
      <c r="C10371">
        <v>1</v>
      </c>
      <c r="D10371">
        <v>10.73</v>
      </c>
      <c r="E10371">
        <v>18</v>
      </c>
    </row>
    <row r="10372" spans="1:5" x14ac:dyDescent="0.3">
      <c r="A10372" t="s">
        <v>7</v>
      </c>
      <c r="B10372" s="1">
        <v>44692</v>
      </c>
      <c r="C10372">
        <v>1</v>
      </c>
      <c r="D10372">
        <v>88.07</v>
      </c>
      <c r="E10372">
        <v>104</v>
      </c>
    </row>
    <row r="10373" spans="1:5" x14ac:dyDescent="0.3">
      <c r="A10373" t="s">
        <v>7</v>
      </c>
      <c r="B10373" s="1">
        <v>44692</v>
      </c>
      <c r="C10373">
        <v>1</v>
      </c>
      <c r="D10373">
        <v>88.07</v>
      </c>
      <c r="E10373">
        <v>104</v>
      </c>
    </row>
    <row r="10374" spans="1:5" x14ac:dyDescent="0.3">
      <c r="A10374" t="s">
        <v>51</v>
      </c>
      <c r="B10374" s="1">
        <v>44692</v>
      </c>
      <c r="C10374">
        <v>10</v>
      </c>
      <c r="D10374">
        <v>3.74</v>
      </c>
      <c r="E10374">
        <v>4</v>
      </c>
    </row>
    <row r="10375" spans="1:5" x14ac:dyDescent="0.3">
      <c r="A10375" t="s">
        <v>18</v>
      </c>
      <c r="B10375" s="1">
        <v>44692</v>
      </c>
      <c r="C10375">
        <v>1</v>
      </c>
      <c r="D10375">
        <v>44</v>
      </c>
      <c r="E10375">
        <v>70</v>
      </c>
    </row>
    <row r="10376" spans="1:5" x14ac:dyDescent="0.3">
      <c r="A10376" t="s">
        <v>24</v>
      </c>
      <c r="B10376" s="1">
        <v>44692</v>
      </c>
      <c r="C10376">
        <v>2</v>
      </c>
      <c r="D10376">
        <v>103.96</v>
      </c>
      <c r="E10376">
        <v>125</v>
      </c>
    </row>
    <row r="10377" spans="1:5" x14ac:dyDescent="0.3">
      <c r="A10377" t="s">
        <v>26</v>
      </c>
      <c r="B10377" s="1">
        <v>44692</v>
      </c>
      <c r="C10377">
        <v>0.2</v>
      </c>
      <c r="D10377">
        <v>986.87</v>
      </c>
      <c r="E10377">
        <v>1234</v>
      </c>
    </row>
    <row r="10378" spans="1:5" x14ac:dyDescent="0.3">
      <c r="A10378" t="s">
        <v>50</v>
      </c>
      <c r="B10378" s="1">
        <v>44692</v>
      </c>
      <c r="C10378">
        <v>1</v>
      </c>
      <c r="D10378">
        <v>43.86</v>
      </c>
      <c r="E10378">
        <v>56</v>
      </c>
    </row>
    <row r="10379" spans="1:5" x14ac:dyDescent="0.3">
      <c r="A10379" t="s">
        <v>95</v>
      </c>
      <c r="B10379" s="1">
        <v>44692</v>
      </c>
      <c r="C10379">
        <v>1</v>
      </c>
      <c r="D10379">
        <v>129.25</v>
      </c>
      <c r="E10379">
        <v>203</v>
      </c>
    </row>
    <row r="10380" spans="1:5" x14ac:dyDescent="0.3">
      <c r="A10380" t="s">
        <v>89</v>
      </c>
      <c r="B10380" s="1">
        <v>44692</v>
      </c>
      <c r="C10380">
        <v>1</v>
      </c>
      <c r="D10380">
        <v>80.62</v>
      </c>
      <c r="E10380">
        <v>115</v>
      </c>
    </row>
    <row r="10381" spans="1:5" x14ac:dyDescent="0.3">
      <c r="A10381" t="s">
        <v>48</v>
      </c>
      <c r="B10381" s="1">
        <v>44692</v>
      </c>
      <c r="C10381">
        <v>1</v>
      </c>
      <c r="D10381">
        <v>38.67</v>
      </c>
      <c r="E10381">
        <v>60</v>
      </c>
    </row>
    <row r="10382" spans="1:5" x14ac:dyDescent="0.3">
      <c r="A10382" t="s">
        <v>31</v>
      </c>
      <c r="B10382" s="1">
        <v>44692</v>
      </c>
      <c r="C10382">
        <v>1</v>
      </c>
      <c r="D10382">
        <v>13.43</v>
      </c>
      <c r="E10382">
        <v>18</v>
      </c>
    </row>
    <row r="10383" spans="1:5" x14ac:dyDescent="0.3">
      <c r="A10383" t="s">
        <v>31</v>
      </c>
      <c r="B10383" s="1">
        <v>44692</v>
      </c>
      <c r="C10383">
        <v>1</v>
      </c>
      <c r="D10383">
        <v>13.43</v>
      </c>
      <c r="E10383">
        <v>18</v>
      </c>
    </row>
    <row r="10384" spans="1:5" x14ac:dyDescent="0.3">
      <c r="A10384" t="s">
        <v>7</v>
      </c>
      <c r="B10384" s="1">
        <v>44692</v>
      </c>
      <c r="C10384">
        <v>1</v>
      </c>
      <c r="D10384">
        <v>87.82</v>
      </c>
      <c r="E10384">
        <v>103</v>
      </c>
    </row>
    <row r="10385" spans="1:5" x14ac:dyDescent="0.3">
      <c r="A10385" t="s">
        <v>6</v>
      </c>
      <c r="B10385" s="1">
        <v>44692</v>
      </c>
      <c r="C10385">
        <v>0.1</v>
      </c>
      <c r="D10385">
        <v>415.15</v>
      </c>
      <c r="E10385">
        <v>519</v>
      </c>
    </row>
    <row r="10386" spans="1:5" x14ac:dyDescent="0.3">
      <c r="A10386" t="s">
        <v>138</v>
      </c>
      <c r="B10386" s="1">
        <v>44692</v>
      </c>
      <c r="C10386">
        <v>1</v>
      </c>
      <c r="D10386">
        <v>42.3</v>
      </c>
      <c r="E10386">
        <v>69</v>
      </c>
    </row>
    <row r="10387" spans="1:5" x14ac:dyDescent="0.3">
      <c r="A10387" t="s">
        <v>138</v>
      </c>
      <c r="B10387" s="1">
        <v>44692</v>
      </c>
      <c r="C10387">
        <v>2</v>
      </c>
      <c r="D10387">
        <v>46.5</v>
      </c>
      <c r="E10387">
        <v>76</v>
      </c>
    </row>
    <row r="10388" spans="1:5" x14ac:dyDescent="0.3">
      <c r="A10388" t="s">
        <v>29</v>
      </c>
      <c r="B10388" s="1">
        <v>44692</v>
      </c>
      <c r="C10388">
        <v>1</v>
      </c>
      <c r="D10388">
        <v>487.24</v>
      </c>
      <c r="E10388">
        <v>658</v>
      </c>
    </row>
    <row r="10389" spans="1:5" x14ac:dyDescent="0.3">
      <c r="A10389" t="s">
        <v>146</v>
      </c>
      <c r="B10389" s="1">
        <v>44692</v>
      </c>
      <c r="C10389">
        <v>1</v>
      </c>
      <c r="D10389">
        <v>402.2</v>
      </c>
      <c r="E10389">
        <v>451</v>
      </c>
    </row>
    <row r="10390" spans="1:5" x14ac:dyDescent="0.3">
      <c r="A10390" t="s">
        <v>149</v>
      </c>
      <c r="B10390" s="1">
        <v>44692</v>
      </c>
      <c r="C10390">
        <v>1</v>
      </c>
      <c r="D10390">
        <v>203.47</v>
      </c>
      <c r="E10390">
        <v>269</v>
      </c>
    </row>
    <row r="10391" spans="1:5" x14ac:dyDescent="0.3">
      <c r="A10391" t="s">
        <v>35</v>
      </c>
      <c r="B10391" s="1">
        <v>44692</v>
      </c>
      <c r="C10391">
        <v>1</v>
      </c>
      <c r="D10391">
        <v>35</v>
      </c>
      <c r="E10391">
        <v>54</v>
      </c>
    </row>
    <row r="10392" spans="1:5" x14ac:dyDescent="0.3">
      <c r="A10392" t="s">
        <v>96</v>
      </c>
      <c r="B10392" s="1">
        <v>44692</v>
      </c>
      <c r="C10392">
        <v>1</v>
      </c>
      <c r="D10392">
        <v>71.89</v>
      </c>
      <c r="E10392">
        <v>103</v>
      </c>
    </row>
    <row r="10393" spans="1:5" x14ac:dyDescent="0.3">
      <c r="A10393" t="s">
        <v>61</v>
      </c>
      <c r="B10393" s="1">
        <v>44692</v>
      </c>
      <c r="C10393">
        <v>1</v>
      </c>
      <c r="D10393">
        <v>33.28</v>
      </c>
      <c r="E10393">
        <v>51</v>
      </c>
    </row>
    <row r="10394" spans="1:5" x14ac:dyDescent="0.3">
      <c r="A10394" t="s">
        <v>128</v>
      </c>
      <c r="B10394" s="1">
        <v>44692</v>
      </c>
      <c r="C10394">
        <v>1</v>
      </c>
      <c r="D10394">
        <v>369.64</v>
      </c>
      <c r="E10394">
        <v>390</v>
      </c>
    </row>
    <row r="10395" spans="1:5" x14ac:dyDescent="0.3">
      <c r="A10395" t="s">
        <v>22</v>
      </c>
      <c r="B10395" s="1">
        <v>44692</v>
      </c>
      <c r="C10395">
        <v>1</v>
      </c>
      <c r="D10395">
        <v>30.3</v>
      </c>
      <c r="E10395">
        <v>49</v>
      </c>
    </row>
    <row r="10396" spans="1:5" x14ac:dyDescent="0.3">
      <c r="A10396" t="s">
        <v>145</v>
      </c>
      <c r="B10396" s="1">
        <v>44692</v>
      </c>
      <c r="C10396">
        <v>1</v>
      </c>
      <c r="D10396">
        <v>25.3</v>
      </c>
      <c r="E10396">
        <v>31</v>
      </c>
    </row>
    <row r="10397" spans="1:5" x14ac:dyDescent="0.3">
      <c r="A10397" t="s">
        <v>30</v>
      </c>
      <c r="B10397" s="1">
        <v>44692</v>
      </c>
      <c r="C10397">
        <v>1</v>
      </c>
      <c r="D10397">
        <v>156.19999999999999</v>
      </c>
      <c r="E10397">
        <v>186</v>
      </c>
    </row>
    <row r="10398" spans="1:5" x14ac:dyDescent="0.3">
      <c r="A10398" t="s">
        <v>111</v>
      </c>
      <c r="B10398" s="1">
        <v>44692</v>
      </c>
      <c r="C10398">
        <v>1</v>
      </c>
      <c r="D10398">
        <v>168.56</v>
      </c>
      <c r="E10398">
        <v>205</v>
      </c>
    </row>
    <row r="10399" spans="1:5" x14ac:dyDescent="0.3">
      <c r="A10399" t="s">
        <v>130</v>
      </c>
      <c r="B10399" s="1">
        <v>44692</v>
      </c>
      <c r="C10399">
        <v>1</v>
      </c>
      <c r="D10399">
        <v>23.6</v>
      </c>
      <c r="E10399">
        <v>29</v>
      </c>
    </row>
    <row r="10400" spans="1:5" x14ac:dyDescent="0.3">
      <c r="A10400" t="s">
        <v>157</v>
      </c>
      <c r="B10400" s="1">
        <v>44692</v>
      </c>
      <c r="C10400">
        <v>2</v>
      </c>
      <c r="D10400">
        <v>12</v>
      </c>
      <c r="E10400">
        <v>20</v>
      </c>
    </row>
    <row r="10401" spans="1:5" x14ac:dyDescent="0.3">
      <c r="A10401" t="s">
        <v>56</v>
      </c>
      <c r="B10401" s="1">
        <v>44692</v>
      </c>
      <c r="C10401">
        <v>1</v>
      </c>
      <c r="D10401">
        <v>43.97</v>
      </c>
      <c r="E10401">
        <v>70</v>
      </c>
    </row>
    <row r="10402" spans="1:5" x14ac:dyDescent="0.3">
      <c r="A10402" t="s">
        <v>32</v>
      </c>
      <c r="B10402" s="1">
        <v>44692</v>
      </c>
      <c r="C10402">
        <v>0.1</v>
      </c>
      <c r="D10402">
        <v>156.87</v>
      </c>
      <c r="E10402">
        <v>247</v>
      </c>
    </row>
    <row r="10403" spans="1:5" x14ac:dyDescent="0.3">
      <c r="A10403" t="s">
        <v>128</v>
      </c>
      <c r="B10403" s="1">
        <v>44692</v>
      </c>
      <c r="C10403">
        <v>1</v>
      </c>
      <c r="D10403">
        <v>265.69</v>
      </c>
      <c r="E10403">
        <v>351</v>
      </c>
    </row>
    <row r="10404" spans="1:5" x14ac:dyDescent="0.3">
      <c r="A10404" t="s">
        <v>128</v>
      </c>
      <c r="B10404" s="1">
        <v>44692</v>
      </c>
      <c r="C10404">
        <v>1</v>
      </c>
      <c r="D10404">
        <v>265.69</v>
      </c>
      <c r="E10404">
        <v>351</v>
      </c>
    </row>
    <row r="10405" spans="1:5" x14ac:dyDescent="0.3">
      <c r="A10405" t="s">
        <v>128</v>
      </c>
      <c r="B10405" s="1">
        <v>44692</v>
      </c>
      <c r="C10405">
        <v>1</v>
      </c>
      <c r="D10405">
        <v>271.01</v>
      </c>
      <c r="E10405">
        <v>358</v>
      </c>
    </row>
    <row r="10406" spans="1:5" x14ac:dyDescent="0.3">
      <c r="A10406" t="s">
        <v>31</v>
      </c>
      <c r="B10406" s="1">
        <v>44692</v>
      </c>
      <c r="C10406">
        <v>1</v>
      </c>
      <c r="D10406">
        <v>13.19</v>
      </c>
      <c r="E10406">
        <v>18</v>
      </c>
    </row>
    <row r="10407" spans="1:5" x14ac:dyDescent="0.3">
      <c r="A10407" t="s">
        <v>31</v>
      </c>
      <c r="B10407" s="1">
        <v>44692</v>
      </c>
      <c r="C10407">
        <v>1</v>
      </c>
      <c r="D10407">
        <v>13.19</v>
      </c>
      <c r="E10407">
        <v>18</v>
      </c>
    </row>
    <row r="10408" spans="1:5" x14ac:dyDescent="0.3">
      <c r="A10408" t="s">
        <v>31</v>
      </c>
      <c r="B10408" s="1">
        <v>44692</v>
      </c>
      <c r="C10408">
        <v>1</v>
      </c>
      <c r="D10408">
        <v>13.19</v>
      </c>
      <c r="E10408">
        <v>18</v>
      </c>
    </row>
    <row r="10409" spans="1:5" x14ac:dyDescent="0.3">
      <c r="A10409" t="s">
        <v>12</v>
      </c>
      <c r="B10409" s="1">
        <v>44692</v>
      </c>
      <c r="C10409">
        <v>1</v>
      </c>
      <c r="D10409">
        <v>60.29</v>
      </c>
      <c r="E10409">
        <v>75</v>
      </c>
    </row>
    <row r="10410" spans="1:5" x14ac:dyDescent="0.3">
      <c r="A10410" t="s">
        <v>59</v>
      </c>
      <c r="B10410" s="1">
        <v>44692</v>
      </c>
      <c r="C10410">
        <v>1</v>
      </c>
      <c r="D10410">
        <v>12.02</v>
      </c>
      <c r="E10410">
        <v>20</v>
      </c>
    </row>
    <row r="10411" spans="1:5" x14ac:dyDescent="0.3">
      <c r="A10411" t="s">
        <v>141</v>
      </c>
      <c r="B10411" s="1">
        <v>44692</v>
      </c>
      <c r="C10411">
        <v>3</v>
      </c>
      <c r="D10411">
        <v>14.69</v>
      </c>
      <c r="E10411">
        <v>26</v>
      </c>
    </row>
    <row r="10412" spans="1:5" x14ac:dyDescent="0.3">
      <c r="A10412" t="s">
        <v>64</v>
      </c>
      <c r="B10412" s="1">
        <v>44692</v>
      </c>
      <c r="C10412">
        <v>1</v>
      </c>
      <c r="D10412">
        <v>201.41</v>
      </c>
      <c r="E10412">
        <v>278</v>
      </c>
    </row>
    <row r="10413" spans="1:5" x14ac:dyDescent="0.3">
      <c r="A10413" t="s">
        <v>64</v>
      </c>
      <c r="B10413" s="1">
        <v>44692</v>
      </c>
      <c r="C10413">
        <v>1</v>
      </c>
      <c r="D10413">
        <v>201.26</v>
      </c>
      <c r="E10413">
        <v>282</v>
      </c>
    </row>
    <row r="10414" spans="1:5" x14ac:dyDescent="0.3">
      <c r="A10414" t="s">
        <v>64</v>
      </c>
      <c r="B10414" s="1">
        <v>44692</v>
      </c>
      <c r="C10414">
        <v>1</v>
      </c>
      <c r="D10414">
        <v>198.66</v>
      </c>
      <c r="E10414">
        <v>289</v>
      </c>
    </row>
    <row r="10415" spans="1:5" x14ac:dyDescent="0.3">
      <c r="A10415" t="s">
        <v>34</v>
      </c>
      <c r="B10415" s="1">
        <v>44692</v>
      </c>
      <c r="C10415">
        <v>1</v>
      </c>
      <c r="D10415">
        <v>199.59</v>
      </c>
      <c r="E10415">
        <v>230</v>
      </c>
    </row>
    <row r="10416" spans="1:5" x14ac:dyDescent="0.3">
      <c r="A10416" t="s">
        <v>102</v>
      </c>
      <c r="B10416" s="1">
        <v>44692</v>
      </c>
      <c r="C10416">
        <v>1</v>
      </c>
      <c r="D10416">
        <v>26.23</v>
      </c>
      <c r="E10416">
        <v>32</v>
      </c>
    </row>
    <row r="10417" spans="1:5" x14ac:dyDescent="0.3">
      <c r="A10417" t="s">
        <v>102</v>
      </c>
      <c r="B10417" s="1">
        <v>44692</v>
      </c>
      <c r="C10417">
        <v>1</v>
      </c>
      <c r="D10417">
        <v>26.23</v>
      </c>
      <c r="E10417">
        <v>32</v>
      </c>
    </row>
    <row r="10418" spans="1:5" x14ac:dyDescent="0.3">
      <c r="A10418" t="s">
        <v>102</v>
      </c>
      <c r="B10418" s="1">
        <v>44692</v>
      </c>
      <c r="C10418">
        <v>1</v>
      </c>
      <c r="D10418">
        <v>26.23</v>
      </c>
      <c r="E10418">
        <v>32</v>
      </c>
    </row>
    <row r="10419" spans="1:5" x14ac:dyDescent="0.3">
      <c r="A10419" t="s">
        <v>102</v>
      </c>
      <c r="B10419" s="1">
        <v>44692</v>
      </c>
      <c r="C10419">
        <v>1</v>
      </c>
      <c r="D10419">
        <v>26.23</v>
      </c>
      <c r="E10419">
        <v>32</v>
      </c>
    </row>
    <row r="10420" spans="1:5" x14ac:dyDescent="0.3">
      <c r="A10420" t="s">
        <v>102</v>
      </c>
      <c r="B10420" s="1">
        <v>44692</v>
      </c>
      <c r="C10420">
        <v>1</v>
      </c>
      <c r="D10420">
        <v>26.23</v>
      </c>
      <c r="E10420">
        <v>32</v>
      </c>
    </row>
    <row r="10421" spans="1:5" x14ac:dyDescent="0.3">
      <c r="A10421" t="s">
        <v>102</v>
      </c>
      <c r="B10421" s="1">
        <v>44692</v>
      </c>
      <c r="C10421">
        <v>1</v>
      </c>
      <c r="D10421">
        <v>26.23</v>
      </c>
      <c r="E10421">
        <v>32</v>
      </c>
    </row>
    <row r="10422" spans="1:5" x14ac:dyDescent="0.3">
      <c r="A10422" t="s">
        <v>160</v>
      </c>
      <c r="B10422" s="1">
        <v>44692</v>
      </c>
      <c r="C10422">
        <v>1</v>
      </c>
      <c r="D10422">
        <v>81.819999999999993</v>
      </c>
      <c r="E10422">
        <v>99</v>
      </c>
    </row>
    <row r="10423" spans="1:5" x14ac:dyDescent="0.3">
      <c r="A10423" t="s">
        <v>85</v>
      </c>
      <c r="B10423" s="1">
        <v>44692</v>
      </c>
      <c r="C10423">
        <v>1</v>
      </c>
      <c r="D10423">
        <v>15.95</v>
      </c>
      <c r="E10423">
        <v>26</v>
      </c>
    </row>
    <row r="10424" spans="1:5" x14ac:dyDescent="0.3">
      <c r="A10424" t="s">
        <v>17</v>
      </c>
      <c r="B10424" s="1">
        <v>44692</v>
      </c>
      <c r="C10424">
        <v>1</v>
      </c>
      <c r="D10424">
        <v>383.25</v>
      </c>
      <c r="E10424">
        <v>460</v>
      </c>
    </row>
    <row r="10425" spans="1:5" x14ac:dyDescent="0.3">
      <c r="A10425" t="s">
        <v>40</v>
      </c>
      <c r="B10425" s="1">
        <v>44692</v>
      </c>
      <c r="C10425">
        <v>1</v>
      </c>
      <c r="D10425">
        <v>173.51</v>
      </c>
      <c r="E10425">
        <v>208</v>
      </c>
    </row>
    <row r="10426" spans="1:5" x14ac:dyDescent="0.3">
      <c r="A10426" t="s">
        <v>84</v>
      </c>
      <c r="B10426" s="1">
        <v>44692</v>
      </c>
      <c r="C10426">
        <v>1</v>
      </c>
      <c r="D10426">
        <v>153.75</v>
      </c>
      <c r="E10426">
        <v>193</v>
      </c>
    </row>
    <row r="10427" spans="1:5" x14ac:dyDescent="0.3">
      <c r="A10427" t="s">
        <v>31</v>
      </c>
      <c r="B10427" s="1">
        <v>44692</v>
      </c>
      <c r="C10427">
        <v>1</v>
      </c>
      <c r="D10427">
        <v>13.04</v>
      </c>
      <c r="E10427">
        <v>18</v>
      </c>
    </row>
    <row r="10428" spans="1:5" x14ac:dyDescent="0.3">
      <c r="A10428" t="s">
        <v>56</v>
      </c>
      <c r="B10428" s="1">
        <v>44692</v>
      </c>
      <c r="C10428">
        <v>1</v>
      </c>
      <c r="D10428">
        <v>43.97</v>
      </c>
      <c r="E10428">
        <v>69</v>
      </c>
    </row>
    <row r="10429" spans="1:5" x14ac:dyDescent="0.3">
      <c r="A10429" t="s">
        <v>138</v>
      </c>
      <c r="B10429" s="1">
        <v>44692</v>
      </c>
      <c r="C10429">
        <v>1</v>
      </c>
      <c r="D10429">
        <v>46.5</v>
      </c>
      <c r="E10429">
        <v>76</v>
      </c>
    </row>
    <row r="10430" spans="1:5" x14ac:dyDescent="0.3">
      <c r="A10430" t="s">
        <v>126</v>
      </c>
      <c r="B10430" s="1">
        <v>44692</v>
      </c>
      <c r="C10430">
        <v>1</v>
      </c>
      <c r="D10430">
        <v>29.36</v>
      </c>
      <c r="E10430">
        <v>37</v>
      </c>
    </row>
    <row r="10431" spans="1:5" x14ac:dyDescent="0.3">
      <c r="A10431" t="s">
        <v>126</v>
      </c>
      <c r="B10431" s="1">
        <v>44692</v>
      </c>
      <c r="C10431">
        <v>1</v>
      </c>
      <c r="D10431">
        <v>29.36</v>
      </c>
      <c r="E10431">
        <v>37</v>
      </c>
    </row>
    <row r="10432" spans="1:5" x14ac:dyDescent="0.3">
      <c r="A10432" t="s">
        <v>126</v>
      </c>
      <c r="B10432" s="1">
        <v>44692</v>
      </c>
      <c r="C10432">
        <v>1</v>
      </c>
      <c r="D10432">
        <v>29.36</v>
      </c>
      <c r="E10432">
        <v>37</v>
      </c>
    </row>
    <row r="10433" spans="1:5" x14ac:dyDescent="0.3">
      <c r="A10433" t="s">
        <v>31</v>
      </c>
      <c r="B10433" s="1">
        <v>44692</v>
      </c>
      <c r="C10433">
        <v>1</v>
      </c>
      <c r="D10433">
        <v>13.19</v>
      </c>
      <c r="E10433">
        <v>18</v>
      </c>
    </row>
    <row r="10434" spans="1:5" x14ac:dyDescent="0.3">
      <c r="A10434" t="s">
        <v>111</v>
      </c>
      <c r="B10434" s="1">
        <v>44692</v>
      </c>
      <c r="C10434">
        <v>1</v>
      </c>
      <c r="D10434">
        <v>160.62</v>
      </c>
      <c r="E10434">
        <v>194</v>
      </c>
    </row>
    <row r="10435" spans="1:5" x14ac:dyDescent="0.3">
      <c r="A10435" t="s">
        <v>39</v>
      </c>
      <c r="B10435" s="1">
        <v>44692</v>
      </c>
      <c r="C10435">
        <v>10</v>
      </c>
      <c r="D10435">
        <v>9.8800000000000008</v>
      </c>
      <c r="E10435">
        <v>16</v>
      </c>
    </row>
    <row r="10436" spans="1:5" x14ac:dyDescent="0.3">
      <c r="A10436" t="s">
        <v>114</v>
      </c>
      <c r="B10436" s="1">
        <v>44692</v>
      </c>
      <c r="C10436">
        <v>1</v>
      </c>
      <c r="D10436">
        <v>74.8</v>
      </c>
      <c r="E10436">
        <v>92</v>
      </c>
    </row>
    <row r="10437" spans="1:5" x14ac:dyDescent="0.3">
      <c r="A10437" t="s">
        <v>24</v>
      </c>
      <c r="B10437" s="1">
        <v>44692</v>
      </c>
      <c r="C10437">
        <v>1</v>
      </c>
      <c r="D10437">
        <v>98.67</v>
      </c>
      <c r="E10437">
        <v>115</v>
      </c>
    </row>
    <row r="10438" spans="1:5" x14ac:dyDescent="0.3">
      <c r="A10438" t="s">
        <v>120</v>
      </c>
      <c r="B10438" s="1">
        <v>44692</v>
      </c>
      <c r="C10438">
        <v>1</v>
      </c>
      <c r="D10438">
        <v>159.74</v>
      </c>
      <c r="E10438">
        <v>219</v>
      </c>
    </row>
    <row r="10439" spans="1:5" x14ac:dyDescent="0.3">
      <c r="A10439" t="s">
        <v>48</v>
      </c>
      <c r="B10439" s="1">
        <v>44692</v>
      </c>
      <c r="C10439">
        <v>1</v>
      </c>
      <c r="D10439">
        <v>42.13</v>
      </c>
      <c r="E10439">
        <v>60</v>
      </c>
    </row>
    <row r="10440" spans="1:5" x14ac:dyDescent="0.3">
      <c r="A10440" t="s">
        <v>122</v>
      </c>
      <c r="B10440" s="1">
        <v>44692</v>
      </c>
      <c r="C10440">
        <v>1</v>
      </c>
      <c r="D10440">
        <v>20.48</v>
      </c>
      <c r="E10440">
        <v>25</v>
      </c>
    </row>
    <row r="10441" spans="1:5" x14ac:dyDescent="0.3">
      <c r="A10441" t="s">
        <v>49</v>
      </c>
      <c r="B10441" s="1">
        <v>44692</v>
      </c>
      <c r="C10441">
        <v>1</v>
      </c>
      <c r="D10441">
        <v>15.32</v>
      </c>
      <c r="E10441">
        <v>19</v>
      </c>
    </row>
    <row r="10442" spans="1:5" x14ac:dyDescent="0.3">
      <c r="A10442" t="s">
        <v>157</v>
      </c>
      <c r="B10442" s="1">
        <v>44692</v>
      </c>
      <c r="C10442">
        <v>5</v>
      </c>
      <c r="D10442">
        <v>12</v>
      </c>
      <c r="E10442">
        <v>20</v>
      </c>
    </row>
    <row r="10443" spans="1:5" x14ac:dyDescent="0.3">
      <c r="A10443" t="s">
        <v>100</v>
      </c>
      <c r="B10443" s="1">
        <v>44692</v>
      </c>
      <c r="C10443">
        <v>1</v>
      </c>
      <c r="D10443">
        <v>35.49</v>
      </c>
      <c r="E10443">
        <v>54</v>
      </c>
    </row>
    <row r="10444" spans="1:5" x14ac:dyDescent="0.3">
      <c r="A10444" t="s">
        <v>86</v>
      </c>
      <c r="B10444" s="1">
        <v>44692</v>
      </c>
      <c r="C10444">
        <v>2</v>
      </c>
      <c r="D10444">
        <v>47.4</v>
      </c>
      <c r="E10444">
        <v>77</v>
      </c>
    </row>
    <row r="10445" spans="1:5" x14ac:dyDescent="0.3">
      <c r="A10445" t="s">
        <v>56</v>
      </c>
      <c r="B10445" s="1">
        <v>44692</v>
      </c>
      <c r="C10445">
        <v>1</v>
      </c>
      <c r="D10445">
        <v>43.97</v>
      </c>
      <c r="E10445">
        <v>69</v>
      </c>
    </row>
    <row r="10446" spans="1:5" x14ac:dyDescent="0.3">
      <c r="A10446" t="s">
        <v>137</v>
      </c>
      <c r="B10446" s="1">
        <v>44692</v>
      </c>
      <c r="C10446">
        <v>1</v>
      </c>
      <c r="D10446">
        <v>7.7</v>
      </c>
      <c r="E10446">
        <v>13</v>
      </c>
    </row>
    <row r="10447" spans="1:5" x14ac:dyDescent="0.3">
      <c r="A10447" t="s">
        <v>118</v>
      </c>
      <c r="B10447" s="1">
        <v>44692</v>
      </c>
      <c r="C10447">
        <v>1</v>
      </c>
      <c r="D10447">
        <v>11.1</v>
      </c>
      <c r="E10447">
        <v>13</v>
      </c>
    </row>
    <row r="10448" spans="1:5" x14ac:dyDescent="0.3">
      <c r="A10448" t="s">
        <v>85</v>
      </c>
      <c r="B10448" s="1">
        <v>44692</v>
      </c>
      <c r="C10448">
        <v>1</v>
      </c>
      <c r="D10448">
        <v>20</v>
      </c>
      <c r="E10448">
        <v>31</v>
      </c>
    </row>
    <row r="10449" spans="1:5" x14ac:dyDescent="0.3">
      <c r="A10449" t="s">
        <v>142</v>
      </c>
      <c r="B10449" s="1">
        <v>44692</v>
      </c>
      <c r="C10449">
        <v>1</v>
      </c>
      <c r="D10449">
        <v>12.86</v>
      </c>
      <c r="E10449">
        <v>15</v>
      </c>
    </row>
    <row r="10450" spans="1:5" x14ac:dyDescent="0.3">
      <c r="A10450" t="s">
        <v>139</v>
      </c>
      <c r="B10450" s="1">
        <v>44692</v>
      </c>
      <c r="C10450">
        <v>1</v>
      </c>
      <c r="D10450">
        <v>24.18</v>
      </c>
      <c r="E10450">
        <v>40</v>
      </c>
    </row>
    <row r="10451" spans="1:5" x14ac:dyDescent="0.3">
      <c r="A10451" t="s">
        <v>139</v>
      </c>
      <c r="B10451" s="1">
        <v>44692</v>
      </c>
      <c r="C10451">
        <v>1</v>
      </c>
      <c r="D10451">
        <v>24.18</v>
      </c>
      <c r="E10451">
        <v>40</v>
      </c>
    </row>
    <row r="10452" spans="1:5" x14ac:dyDescent="0.3">
      <c r="A10452" t="s">
        <v>86</v>
      </c>
      <c r="B10452" s="1">
        <v>44692</v>
      </c>
      <c r="C10452">
        <v>1</v>
      </c>
      <c r="D10452">
        <v>47.4</v>
      </c>
      <c r="E10452">
        <v>77</v>
      </c>
    </row>
    <row r="10453" spans="1:5" x14ac:dyDescent="0.3">
      <c r="A10453" t="s">
        <v>45</v>
      </c>
      <c r="B10453" s="1">
        <v>44692</v>
      </c>
      <c r="C10453">
        <v>1</v>
      </c>
      <c r="D10453">
        <v>25.77</v>
      </c>
      <c r="E10453">
        <v>42</v>
      </c>
    </row>
    <row r="10454" spans="1:5" x14ac:dyDescent="0.3">
      <c r="A10454" t="s">
        <v>45</v>
      </c>
      <c r="B10454" s="1">
        <v>44692</v>
      </c>
      <c r="C10454">
        <v>1</v>
      </c>
      <c r="D10454">
        <v>25.2</v>
      </c>
      <c r="E10454">
        <v>41</v>
      </c>
    </row>
    <row r="10455" spans="1:5" x14ac:dyDescent="0.3">
      <c r="A10455" t="s">
        <v>77</v>
      </c>
      <c r="B10455" s="1">
        <v>44692</v>
      </c>
      <c r="C10455">
        <v>1</v>
      </c>
      <c r="D10455">
        <v>60.3</v>
      </c>
      <c r="E10455">
        <v>75</v>
      </c>
    </row>
    <row r="10456" spans="1:5" x14ac:dyDescent="0.3">
      <c r="A10456" t="s">
        <v>51</v>
      </c>
      <c r="B10456" s="1">
        <v>44692</v>
      </c>
      <c r="C10456">
        <v>20</v>
      </c>
      <c r="D10456">
        <v>1.98</v>
      </c>
      <c r="E10456">
        <v>3.2</v>
      </c>
    </row>
    <row r="10457" spans="1:5" x14ac:dyDescent="0.3">
      <c r="A10457" t="s">
        <v>134</v>
      </c>
      <c r="B10457" s="1">
        <v>44692</v>
      </c>
      <c r="C10457">
        <v>1</v>
      </c>
      <c r="D10457">
        <v>26.49</v>
      </c>
      <c r="E10457">
        <v>42</v>
      </c>
    </row>
    <row r="10458" spans="1:5" x14ac:dyDescent="0.3">
      <c r="A10458" t="s">
        <v>134</v>
      </c>
      <c r="B10458" s="1">
        <v>44692</v>
      </c>
      <c r="C10458">
        <v>1</v>
      </c>
      <c r="D10458">
        <v>26.49</v>
      </c>
      <c r="E10458">
        <v>42</v>
      </c>
    </row>
    <row r="10459" spans="1:5" x14ac:dyDescent="0.3">
      <c r="A10459" t="s">
        <v>55</v>
      </c>
      <c r="B10459" s="1">
        <v>44692</v>
      </c>
      <c r="C10459">
        <v>1</v>
      </c>
      <c r="D10459">
        <v>88.76</v>
      </c>
      <c r="E10459">
        <v>106</v>
      </c>
    </row>
    <row r="10460" spans="1:5" x14ac:dyDescent="0.3">
      <c r="A10460" t="s">
        <v>104</v>
      </c>
      <c r="B10460" s="1">
        <v>44692</v>
      </c>
      <c r="C10460">
        <v>1</v>
      </c>
      <c r="D10460">
        <v>44.4</v>
      </c>
      <c r="E10460">
        <v>57</v>
      </c>
    </row>
    <row r="10461" spans="1:5" x14ac:dyDescent="0.3">
      <c r="A10461" t="s">
        <v>5</v>
      </c>
      <c r="B10461" s="1">
        <v>44692</v>
      </c>
      <c r="C10461">
        <v>1</v>
      </c>
      <c r="D10461">
        <v>134.9</v>
      </c>
      <c r="E10461">
        <v>156</v>
      </c>
    </row>
    <row r="10462" spans="1:5" x14ac:dyDescent="0.3">
      <c r="A10462" t="s">
        <v>157</v>
      </c>
      <c r="B10462" s="1">
        <v>44692</v>
      </c>
      <c r="C10462">
        <v>1</v>
      </c>
      <c r="D10462">
        <v>12</v>
      </c>
      <c r="E10462">
        <v>20</v>
      </c>
    </row>
    <row r="10463" spans="1:5" x14ac:dyDescent="0.3">
      <c r="A10463" t="s">
        <v>5</v>
      </c>
      <c r="B10463" s="1">
        <v>44692</v>
      </c>
      <c r="C10463">
        <v>1</v>
      </c>
      <c r="D10463">
        <v>141.04</v>
      </c>
      <c r="E10463">
        <v>168</v>
      </c>
    </row>
    <row r="10464" spans="1:5" x14ac:dyDescent="0.3">
      <c r="A10464" t="s">
        <v>104</v>
      </c>
      <c r="B10464" s="1">
        <v>44692</v>
      </c>
      <c r="C10464">
        <v>1</v>
      </c>
      <c r="D10464">
        <v>46</v>
      </c>
      <c r="E10464">
        <v>58</v>
      </c>
    </row>
    <row r="10465" spans="1:5" x14ac:dyDescent="0.3">
      <c r="A10465" t="s">
        <v>104</v>
      </c>
      <c r="B10465" s="1">
        <v>44692</v>
      </c>
      <c r="C10465">
        <v>1</v>
      </c>
      <c r="D10465">
        <v>46</v>
      </c>
      <c r="E10465">
        <v>58</v>
      </c>
    </row>
    <row r="10466" spans="1:5" x14ac:dyDescent="0.3">
      <c r="A10466" t="s">
        <v>154</v>
      </c>
      <c r="B10466" s="1">
        <v>44692</v>
      </c>
      <c r="C10466">
        <v>1</v>
      </c>
      <c r="D10466">
        <v>123.48</v>
      </c>
      <c r="E10466">
        <v>148</v>
      </c>
    </row>
    <row r="10467" spans="1:5" x14ac:dyDescent="0.3">
      <c r="A10467" t="s">
        <v>154</v>
      </c>
      <c r="B10467" s="1">
        <v>44692</v>
      </c>
      <c r="C10467">
        <v>1</v>
      </c>
      <c r="D10467">
        <v>123.48</v>
      </c>
      <c r="E10467">
        <v>148</v>
      </c>
    </row>
    <row r="10468" spans="1:5" x14ac:dyDescent="0.3">
      <c r="A10468" t="s">
        <v>154</v>
      </c>
      <c r="B10468" s="1">
        <v>44692</v>
      </c>
      <c r="C10468">
        <v>1</v>
      </c>
      <c r="D10468">
        <v>123.48</v>
      </c>
      <c r="E10468">
        <v>148</v>
      </c>
    </row>
    <row r="10469" spans="1:5" x14ac:dyDescent="0.3">
      <c r="A10469" t="s">
        <v>75</v>
      </c>
      <c r="B10469" s="1">
        <v>44692</v>
      </c>
      <c r="C10469">
        <v>0.2</v>
      </c>
      <c r="D10469">
        <v>404.09</v>
      </c>
      <c r="E10469">
        <v>594</v>
      </c>
    </row>
    <row r="10470" spans="1:5" x14ac:dyDescent="0.3">
      <c r="A10470" t="s">
        <v>21</v>
      </c>
      <c r="B10470" s="1">
        <v>44692</v>
      </c>
      <c r="C10470">
        <v>1</v>
      </c>
      <c r="D10470">
        <v>182.55</v>
      </c>
      <c r="E10470">
        <v>251</v>
      </c>
    </row>
    <row r="10471" spans="1:5" x14ac:dyDescent="0.3">
      <c r="A10471" t="s">
        <v>57</v>
      </c>
      <c r="B10471" s="1">
        <v>44692</v>
      </c>
      <c r="C10471">
        <v>1</v>
      </c>
      <c r="D10471">
        <v>233.74</v>
      </c>
      <c r="E10471">
        <v>274</v>
      </c>
    </row>
    <row r="10472" spans="1:5" x14ac:dyDescent="0.3">
      <c r="A10472" t="s">
        <v>61</v>
      </c>
      <c r="B10472" s="1">
        <v>44692</v>
      </c>
      <c r="C10472">
        <v>1</v>
      </c>
      <c r="D10472">
        <v>32.85</v>
      </c>
      <c r="E10472">
        <v>52</v>
      </c>
    </row>
    <row r="10473" spans="1:5" x14ac:dyDescent="0.3">
      <c r="A10473" t="s">
        <v>66</v>
      </c>
      <c r="B10473" s="1">
        <v>44692</v>
      </c>
      <c r="C10473">
        <v>1</v>
      </c>
      <c r="D10473">
        <v>31.08</v>
      </c>
      <c r="E10473">
        <v>36</v>
      </c>
    </row>
    <row r="10474" spans="1:5" x14ac:dyDescent="0.3">
      <c r="A10474" t="s">
        <v>66</v>
      </c>
      <c r="B10474" s="1">
        <v>44692</v>
      </c>
      <c r="C10474">
        <v>1</v>
      </c>
      <c r="D10474">
        <v>31.08</v>
      </c>
      <c r="E10474">
        <v>36</v>
      </c>
    </row>
    <row r="10475" spans="1:5" x14ac:dyDescent="0.3">
      <c r="A10475" t="s">
        <v>137</v>
      </c>
      <c r="B10475" s="1">
        <v>44692</v>
      </c>
      <c r="C10475">
        <v>1</v>
      </c>
      <c r="D10475">
        <v>10.41</v>
      </c>
      <c r="E10475">
        <v>17</v>
      </c>
    </row>
    <row r="10476" spans="1:5" x14ac:dyDescent="0.3">
      <c r="A10476" t="s">
        <v>139</v>
      </c>
      <c r="B10476" s="1">
        <v>44692</v>
      </c>
      <c r="C10476">
        <v>2</v>
      </c>
      <c r="D10476">
        <v>24.18</v>
      </c>
      <c r="E10476">
        <v>40</v>
      </c>
    </row>
    <row r="10477" spans="1:5" x14ac:dyDescent="0.3">
      <c r="A10477" t="s">
        <v>54</v>
      </c>
      <c r="B10477" s="1">
        <v>44692</v>
      </c>
      <c r="C10477">
        <v>1</v>
      </c>
      <c r="D10477">
        <v>643.16999999999996</v>
      </c>
      <c r="E10477">
        <v>830</v>
      </c>
    </row>
    <row r="10478" spans="1:5" x14ac:dyDescent="0.3">
      <c r="A10478" t="s">
        <v>112</v>
      </c>
      <c r="B10478" s="1">
        <v>44692</v>
      </c>
      <c r="C10478">
        <v>1</v>
      </c>
      <c r="D10478">
        <v>291.39</v>
      </c>
      <c r="E10478">
        <v>345</v>
      </c>
    </row>
    <row r="10479" spans="1:5" x14ac:dyDescent="0.3">
      <c r="A10479" t="s">
        <v>130</v>
      </c>
      <c r="B10479" s="1">
        <v>44692</v>
      </c>
      <c r="C10479">
        <v>1</v>
      </c>
      <c r="D10479">
        <v>23.12</v>
      </c>
      <c r="E10479">
        <v>29</v>
      </c>
    </row>
    <row r="10480" spans="1:5" x14ac:dyDescent="0.3">
      <c r="A10480" t="s">
        <v>130</v>
      </c>
      <c r="B10480" s="1">
        <v>44692</v>
      </c>
      <c r="C10480">
        <v>1</v>
      </c>
      <c r="D10480">
        <v>23.12</v>
      </c>
      <c r="E10480">
        <v>29</v>
      </c>
    </row>
    <row r="10481" spans="1:5" x14ac:dyDescent="0.3">
      <c r="A10481" t="s">
        <v>18</v>
      </c>
      <c r="B10481" s="1">
        <v>44692</v>
      </c>
      <c r="C10481">
        <v>1</v>
      </c>
      <c r="D10481">
        <v>44</v>
      </c>
      <c r="E10481">
        <v>69</v>
      </c>
    </row>
    <row r="10482" spans="1:5" x14ac:dyDescent="0.3">
      <c r="A10482" t="s">
        <v>148</v>
      </c>
      <c r="B10482" s="1">
        <v>44692</v>
      </c>
      <c r="C10482">
        <v>1</v>
      </c>
      <c r="D10482">
        <v>36.840000000000003</v>
      </c>
      <c r="E10482">
        <v>56</v>
      </c>
    </row>
    <row r="10483" spans="1:5" x14ac:dyDescent="0.3">
      <c r="A10483" t="s">
        <v>145</v>
      </c>
      <c r="B10483" s="1">
        <v>44692</v>
      </c>
      <c r="C10483">
        <v>1</v>
      </c>
      <c r="D10483">
        <v>25.3</v>
      </c>
      <c r="E10483">
        <v>31</v>
      </c>
    </row>
    <row r="10484" spans="1:5" x14ac:dyDescent="0.3">
      <c r="A10484" t="s">
        <v>66</v>
      </c>
      <c r="B10484" s="1">
        <v>44692</v>
      </c>
      <c r="C10484">
        <v>1</v>
      </c>
      <c r="D10484">
        <v>31.08</v>
      </c>
      <c r="E10484">
        <v>36</v>
      </c>
    </row>
    <row r="10485" spans="1:5" x14ac:dyDescent="0.3">
      <c r="A10485" t="s">
        <v>66</v>
      </c>
      <c r="B10485" s="1">
        <v>44692</v>
      </c>
      <c r="C10485">
        <v>1</v>
      </c>
      <c r="D10485">
        <v>31.08</v>
      </c>
      <c r="E10485">
        <v>36</v>
      </c>
    </row>
    <row r="10486" spans="1:5" x14ac:dyDescent="0.3">
      <c r="A10486" t="s">
        <v>66</v>
      </c>
      <c r="B10486" s="1">
        <v>44692</v>
      </c>
      <c r="C10486">
        <v>1</v>
      </c>
      <c r="D10486">
        <v>31.08</v>
      </c>
      <c r="E10486">
        <v>36</v>
      </c>
    </row>
    <row r="10487" spans="1:5" x14ac:dyDescent="0.3">
      <c r="A10487" t="s">
        <v>66</v>
      </c>
      <c r="B10487" s="1">
        <v>44692</v>
      </c>
      <c r="C10487">
        <v>1</v>
      </c>
      <c r="D10487">
        <v>31.08</v>
      </c>
      <c r="E10487">
        <v>36</v>
      </c>
    </row>
    <row r="10488" spans="1:5" x14ac:dyDescent="0.3">
      <c r="A10488" t="s">
        <v>66</v>
      </c>
      <c r="B10488" s="1">
        <v>44692</v>
      </c>
      <c r="C10488">
        <v>1</v>
      </c>
      <c r="D10488">
        <v>31.08</v>
      </c>
      <c r="E10488">
        <v>36</v>
      </c>
    </row>
    <row r="10489" spans="1:5" x14ac:dyDescent="0.3">
      <c r="A10489" t="s">
        <v>16</v>
      </c>
      <c r="B10489" s="1">
        <v>44692</v>
      </c>
      <c r="C10489">
        <v>1</v>
      </c>
      <c r="D10489">
        <v>44.03</v>
      </c>
      <c r="E10489">
        <v>67</v>
      </c>
    </row>
    <row r="10490" spans="1:5" x14ac:dyDescent="0.3">
      <c r="A10490" t="s">
        <v>16</v>
      </c>
      <c r="B10490" s="1">
        <v>44692</v>
      </c>
      <c r="C10490">
        <v>1</v>
      </c>
      <c r="D10490">
        <v>44.03</v>
      </c>
      <c r="E10490">
        <v>67</v>
      </c>
    </row>
    <row r="10491" spans="1:5" x14ac:dyDescent="0.3">
      <c r="A10491" t="s">
        <v>65</v>
      </c>
      <c r="B10491" s="1">
        <v>44692</v>
      </c>
      <c r="C10491">
        <v>1</v>
      </c>
      <c r="D10491">
        <v>192.99</v>
      </c>
      <c r="E10491">
        <v>246</v>
      </c>
    </row>
    <row r="10492" spans="1:5" x14ac:dyDescent="0.3">
      <c r="A10492" t="s">
        <v>131</v>
      </c>
      <c r="B10492" s="1">
        <v>44692</v>
      </c>
      <c r="C10492">
        <v>1</v>
      </c>
      <c r="D10492">
        <v>371</v>
      </c>
      <c r="E10492">
        <v>446</v>
      </c>
    </row>
    <row r="10493" spans="1:5" x14ac:dyDescent="0.3">
      <c r="A10493" t="s">
        <v>151</v>
      </c>
      <c r="B10493" s="1">
        <v>44692</v>
      </c>
      <c r="C10493">
        <v>1</v>
      </c>
      <c r="D10493">
        <v>23.2</v>
      </c>
      <c r="E10493">
        <v>29</v>
      </c>
    </row>
    <row r="10494" spans="1:5" x14ac:dyDescent="0.3">
      <c r="A10494" t="s">
        <v>160</v>
      </c>
      <c r="B10494" s="1">
        <v>44692</v>
      </c>
      <c r="C10494">
        <v>1</v>
      </c>
      <c r="D10494">
        <v>81.87</v>
      </c>
      <c r="E10494">
        <v>99</v>
      </c>
    </row>
    <row r="10495" spans="1:5" x14ac:dyDescent="0.3">
      <c r="A10495" t="s">
        <v>160</v>
      </c>
      <c r="B10495" s="1">
        <v>44692</v>
      </c>
      <c r="C10495">
        <v>1</v>
      </c>
      <c r="D10495">
        <v>81.87</v>
      </c>
      <c r="E10495">
        <v>99</v>
      </c>
    </row>
    <row r="10496" spans="1:5" x14ac:dyDescent="0.3">
      <c r="A10496" t="s">
        <v>32</v>
      </c>
      <c r="B10496" s="1">
        <v>44692</v>
      </c>
      <c r="C10496">
        <v>1</v>
      </c>
      <c r="D10496">
        <v>103.92</v>
      </c>
      <c r="E10496">
        <v>159</v>
      </c>
    </row>
    <row r="10497" spans="1:5" x14ac:dyDescent="0.3">
      <c r="A10497" t="s">
        <v>5</v>
      </c>
      <c r="B10497" s="1">
        <v>44692</v>
      </c>
      <c r="C10497">
        <v>1</v>
      </c>
      <c r="D10497">
        <v>145.6</v>
      </c>
      <c r="E10497">
        <v>169</v>
      </c>
    </row>
    <row r="10498" spans="1:5" x14ac:dyDescent="0.3">
      <c r="A10498" t="s">
        <v>7</v>
      </c>
      <c r="B10498" s="1">
        <v>44692</v>
      </c>
      <c r="C10498">
        <v>1</v>
      </c>
      <c r="D10498">
        <v>88.11</v>
      </c>
      <c r="E10498">
        <v>105</v>
      </c>
    </row>
    <row r="10499" spans="1:5" x14ac:dyDescent="0.3">
      <c r="A10499" t="s">
        <v>28</v>
      </c>
      <c r="B10499" s="1">
        <v>44692</v>
      </c>
      <c r="C10499">
        <v>1</v>
      </c>
      <c r="D10499">
        <v>147.80000000000001</v>
      </c>
      <c r="E10499">
        <v>209</v>
      </c>
    </row>
    <row r="10500" spans="1:5" x14ac:dyDescent="0.3">
      <c r="A10500" t="s">
        <v>35</v>
      </c>
      <c r="B10500" s="1">
        <v>44692</v>
      </c>
      <c r="C10500">
        <v>1</v>
      </c>
      <c r="D10500">
        <v>30.35</v>
      </c>
      <c r="E10500">
        <v>48</v>
      </c>
    </row>
    <row r="10501" spans="1:5" x14ac:dyDescent="0.3">
      <c r="A10501" t="s">
        <v>100</v>
      </c>
      <c r="B10501" s="1">
        <v>44692</v>
      </c>
      <c r="C10501">
        <v>1</v>
      </c>
      <c r="D10501">
        <v>35.630000000000003</v>
      </c>
      <c r="E10501">
        <v>55</v>
      </c>
    </row>
    <row r="10502" spans="1:5" x14ac:dyDescent="0.3">
      <c r="A10502" t="s">
        <v>66</v>
      </c>
      <c r="B10502" s="1">
        <v>44692</v>
      </c>
      <c r="C10502">
        <v>1</v>
      </c>
      <c r="D10502">
        <v>31.08</v>
      </c>
      <c r="E10502">
        <v>36</v>
      </c>
    </row>
    <row r="10503" spans="1:5" x14ac:dyDescent="0.3">
      <c r="A10503" t="s">
        <v>123</v>
      </c>
      <c r="B10503" s="1">
        <v>44692</v>
      </c>
      <c r="C10503">
        <v>1</v>
      </c>
      <c r="D10503">
        <v>64.709999999999994</v>
      </c>
      <c r="E10503">
        <v>80</v>
      </c>
    </row>
    <row r="10504" spans="1:5" x14ac:dyDescent="0.3">
      <c r="A10504" t="s">
        <v>134</v>
      </c>
      <c r="B10504" s="1">
        <v>44692</v>
      </c>
      <c r="C10504">
        <v>1</v>
      </c>
      <c r="D10504">
        <v>30.8</v>
      </c>
      <c r="E10504">
        <v>47</v>
      </c>
    </row>
    <row r="10505" spans="1:5" x14ac:dyDescent="0.3">
      <c r="A10505" t="s">
        <v>56</v>
      </c>
      <c r="B10505" s="1">
        <v>44692</v>
      </c>
      <c r="C10505">
        <v>1</v>
      </c>
      <c r="D10505">
        <v>43.97</v>
      </c>
      <c r="E10505">
        <v>67</v>
      </c>
    </row>
    <row r="10506" spans="1:5" x14ac:dyDescent="0.3">
      <c r="A10506" t="s">
        <v>56</v>
      </c>
      <c r="B10506" s="1">
        <v>44692</v>
      </c>
      <c r="C10506">
        <v>1</v>
      </c>
      <c r="D10506">
        <v>43.97</v>
      </c>
      <c r="E10506">
        <v>67</v>
      </c>
    </row>
    <row r="10507" spans="1:5" x14ac:dyDescent="0.3">
      <c r="A10507" t="s">
        <v>157</v>
      </c>
      <c r="B10507" s="1">
        <v>44692</v>
      </c>
      <c r="C10507">
        <v>1</v>
      </c>
      <c r="D10507">
        <v>12</v>
      </c>
      <c r="E10507">
        <v>20</v>
      </c>
    </row>
    <row r="10508" spans="1:5" x14ac:dyDescent="0.3">
      <c r="A10508" t="s">
        <v>7</v>
      </c>
      <c r="B10508" s="1">
        <v>44692</v>
      </c>
      <c r="C10508">
        <v>1</v>
      </c>
      <c r="D10508">
        <v>88.11</v>
      </c>
      <c r="E10508">
        <v>105</v>
      </c>
    </row>
    <row r="10509" spans="1:5" x14ac:dyDescent="0.3">
      <c r="A10509" t="s">
        <v>66</v>
      </c>
      <c r="B10509" s="1">
        <v>44692</v>
      </c>
      <c r="C10509">
        <v>1</v>
      </c>
      <c r="D10509">
        <v>32.619999999999997</v>
      </c>
      <c r="E10509">
        <v>38</v>
      </c>
    </row>
    <row r="10510" spans="1:5" x14ac:dyDescent="0.3">
      <c r="A10510" t="s">
        <v>66</v>
      </c>
      <c r="B10510" s="1">
        <v>44692</v>
      </c>
      <c r="C10510">
        <v>1</v>
      </c>
      <c r="D10510">
        <v>32.619999999999997</v>
      </c>
      <c r="E10510">
        <v>38</v>
      </c>
    </row>
    <row r="10511" spans="1:5" x14ac:dyDescent="0.3">
      <c r="A10511" t="s">
        <v>90</v>
      </c>
      <c r="B10511" s="1">
        <v>44692</v>
      </c>
      <c r="C10511">
        <v>1</v>
      </c>
      <c r="D10511">
        <v>401.83</v>
      </c>
      <c r="E10511">
        <v>495</v>
      </c>
    </row>
    <row r="10512" spans="1:5" x14ac:dyDescent="0.3">
      <c r="A10512" t="s">
        <v>160</v>
      </c>
      <c r="B10512" s="1">
        <v>44692</v>
      </c>
      <c r="C10512">
        <v>1</v>
      </c>
      <c r="D10512">
        <v>80.73</v>
      </c>
      <c r="E10512">
        <v>100</v>
      </c>
    </row>
    <row r="10513" spans="1:5" x14ac:dyDescent="0.3">
      <c r="A10513" t="s">
        <v>20</v>
      </c>
      <c r="B10513" s="1">
        <v>44692</v>
      </c>
      <c r="C10513">
        <v>1</v>
      </c>
      <c r="D10513">
        <v>22.66</v>
      </c>
      <c r="E10513">
        <v>30</v>
      </c>
    </row>
    <row r="10514" spans="1:5" x14ac:dyDescent="0.3">
      <c r="A10514" t="s">
        <v>24</v>
      </c>
      <c r="B10514" s="1">
        <v>44692</v>
      </c>
      <c r="C10514">
        <v>1</v>
      </c>
      <c r="D10514">
        <v>107.3</v>
      </c>
      <c r="E10514">
        <v>126</v>
      </c>
    </row>
    <row r="10515" spans="1:5" x14ac:dyDescent="0.3">
      <c r="A10515" t="s">
        <v>88</v>
      </c>
      <c r="B10515" s="1">
        <v>44692</v>
      </c>
      <c r="C10515">
        <v>0.1</v>
      </c>
      <c r="D10515">
        <v>76.069999999999993</v>
      </c>
      <c r="E10515">
        <v>120</v>
      </c>
    </row>
    <row r="10516" spans="1:5" x14ac:dyDescent="0.3">
      <c r="A10516" t="s">
        <v>92</v>
      </c>
      <c r="B10516" s="1">
        <v>44692</v>
      </c>
      <c r="C10516">
        <v>5</v>
      </c>
      <c r="D10516">
        <v>15</v>
      </c>
      <c r="E10516">
        <v>20</v>
      </c>
    </row>
    <row r="10517" spans="1:5" x14ac:dyDescent="0.3">
      <c r="A10517" t="s">
        <v>106</v>
      </c>
      <c r="B10517" s="1">
        <v>44692</v>
      </c>
      <c r="C10517">
        <v>1</v>
      </c>
      <c r="D10517">
        <v>41.05</v>
      </c>
      <c r="E10517">
        <v>51</v>
      </c>
    </row>
    <row r="10518" spans="1:5" x14ac:dyDescent="0.3">
      <c r="A10518" t="s">
        <v>106</v>
      </c>
      <c r="B10518" s="1">
        <v>44692</v>
      </c>
      <c r="C10518">
        <v>1</v>
      </c>
      <c r="D10518">
        <v>41.05</v>
      </c>
      <c r="E10518">
        <v>51</v>
      </c>
    </row>
    <row r="10519" spans="1:5" x14ac:dyDescent="0.3">
      <c r="A10519" t="s">
        <v>39</v>
      </c>
      <c r="B10519" s="1">
        <v>44692</v>
      </c>
      <c r="C10519">
        <v>1</v>
      </c>
      <c r="D10519">
        <v>17.190000000000001</v>
      </c>
      <c r="E10519">
        <v>28</v>
      </c>
    </row>
    <row r="10520" spans="1:5" x14ac:dyDescent="0.3">
      <c r="A10520" t="s">
        <v>37</v>
      </c>
      <c r="B10520" s="1">
        <v>44692</v>
      </c>
      <c r="C10520">
        <v>1</v>
      </c>
      <c r="D10520">
        <v>38</v>
      </c>
      <c r="E10520">
        <v>48</v>
      </c>
    </row>
    <row r="10521" spans="1:5" x14ac:dyDescent="0.3">
      <c r="A10521" t="s">
        <v>18</v>
      </c>
      <c r="B10521" s="1">
        <v>44692</v>
      </c>
      <c r="C10521">
        <v>1</v>
      </c>
      <c r="D10521">
        <v>44</v>
      </c>
      <c r="E10521">
        <v>69</v>
      </c>
    </row>
    <row r="10522" spans="1:5" x14ac:dyDescent="0.3">
      <c r="A10522" t="s">
        <v>18</v>
      </c>
      <c r="B10522" s="1">
        <v>44692</v>
      </c>
      <c r="C10522">
        <v>1</v>
      </c>
      <c r="D10522">
        <v>44</v>
      </c>
      <c r="E10522">
        <v>67</v>
      </c>
    </row>
    <row r="10523" spans="1:5" x14ac:dyDescent="0.3">
      <c r="A10523" t="s">
        <v>18</v>
      </c>
      <c r="B10523" s="1">
        <v>44692</v>
      </c>
      <c r="C10523">
        <v>1</v>
      </c>
      <c r="D10523">
        <v>44</v>
      </c>
      <c r="E10523">
        <v>67</v>
      </c>
    </row>
    <row r="10524" spans="1:5" x14ac:dyDescent="0.3">
      <c r="A10524" t="s">
        <v>160</v>
      </c>
      <c r="B10524" s="1">
        <v>44692</v>
      </c>
      <c r="C10524">
        <v>1</v>
      </c>
      <c r="D10524">
        <v>80.73</v>
      </c>
      <c r="E10524">
        <v>100</v>
      </c>
    </row>
    <row r="10525" spans="1:5" x14ac:dyDescent="0.3">
      <c r="A10525" t="s">
        <v>115</v>
      </c>
      <c r="B10525" s="1">
        <v>44692</v>
      </c>
      <c r="C10525">
        <v>1</v>
      </c>
      <c r="D10525">
        <v>72.31</v>
      </c>
      <c r="E10525">
        <v>89</v>
      </c>
    </row>
    <row r="10526" spans="1:5" x14ac:dyDescent="0.3">
      <c r="A10526" t="s">
        <v>134</v>
      </c>
      <c r="B10526" s="1">
        <v>44692</v>
      </c>
      <c r="C10526">
        <v>1</v>
      </c>
      <c r="D10526">
        <v>30.8</v>
      </c>
      <c r="E10526">
        <v>47</v>
      </c>
    </row>
    <row r="10527" spans="1:5" x14ac:dyDescent="0.3">
      <c r="A10527" t="s">
        <v>134</v>
      </c>
      <c r="B10527" s="1">
        <v>44692</v>
      </c>
      <c r="C10527">
        <v>1</v>
      </c>
      <c r="D10527">
        <v>30.8</v>
      </c>
      <c r="E10527">
        <v>47</v>
      </c>
    </row>
    <row r="10528" spans="1:5" x14ac:dyDescent="0.3">
      <c r="A10528" t="s">
        <v>20</v>
      </c>
      <c r="B10528" s="1">
        <v>44692</v>
      </c>
      <c r="C10528">
        <v>1</v>
      </c>
      <c r="D10528">
        <v>19.71</v>
      </c>
      <c r="E10528">
        <v>25</v>
      </c>
    </row>
    <row r="10529" spans="1:5" x14ac:dyDescent="0.3">
      <c r="A10529" t="s">
        <v>85</v>
      </c>
      <c r="B10529" s="1">
        <v>44692</v>
      </c>
      <c r="C10529">
        <v>1</v>
      </c>
      <c r="D10529">
        <v>16.739999999999998</v>
      </c>
      <c r="E10529">
        <v>26</v>
      </c>
    </row>
    <row r="10530" spans="1:5" x14ac:dyDescent="0.3">
      <c r="A10530" t="s">
        <v>85</v>
      </c>
      <c r="B10530" s="1">
        <v>44692</v>
      </c>
      <c r="C10530">
        <v>1</v>
      </c>
      <c r="D10530">
        <v>20</v>
      </c>
      <c r="E10530">
        <v>31</v>
      </c>
    </row>
    <row r="10531" spans="1:5" x14ac:dyDescent="0.3">
      <c r="A10531" t="s">
        <v>57</v>
      </c>
      <c r="B10531" s="1">
        <v>44692</v>
      </c>
      <c r="C10531">
        <v>1</v>
      </c>
      <c r="D10531">
        <v>232.47</v>
      </c>
      <c r="E10531">
        <v>291</v>
      </c>
    </row>
    <row r="10532" spans="1:5" x14ac:dyDescent="0.3">
      <c r="A10532" t="s">
        <v>23</v>
      </c>
      <c r="B10532" s="1">
        <v>44692</v>
      </c>
      <c r="C10532">
        <v>1</v>
      </c>
      <c r="D10532">
        <v>112.85</v>
      </c>
      <c r="E10532">
        <v>127</v>
      </c>
    </row>
    <row r="10533" spans="1:5" x14ac:dyDescent="0.3">
      <c r="A10533" t="s">
        <v>23</v>
      </c>
      <c r="B10533" s="1">
        <v>44692</v>
      </c>
      <c r="C10533">
        <v>1</v>
      </c>
      <c r="D10533">
        <v>112.85</v>
      </c>
      <c r="E10533">
        <v>127</v>
      </c>
    </row>
    <row r="10534" spans="1:5" x14ac:dyDescent="0.3">
      <c r="A10534" t="s">
        <v>7</v>
      </c>
      <c r="B10534" s="1">
        <v>44692</v>
      </c>
      <c r="C10534">
        <v>1</v>
      </c>
      <c r="D10534">
        <v>88.11</v>
      </c>
      <c r="E10534">
        <v>105</v>
      </c>
    </row>
    <row r="10535" spans="1:5" x14ac:dyDescent="0.3">
      <c r="A10535" t="s">
        <v>7</v>
      </c>
      <c r="B10535" s="1">
        <v>44692</v>
      </c>
      <c r="C10535">
        <v>1</v>
      </c>
      <c r="D10535">
        <v>88.11</v>
      </c>
      <c r="E10535">
        <v>105</v>
      </c>
    </row>
    <row r="10536" spans="1:5" x14ac:dyDescent="0.3">
      <c r="A10536" t="s">
        <v>62</v>
      </c>
      <c r="B10536" s="1">
        <v>44692</v>
      </c>
      <c r="C10536">
        <v>1</v>
      </c>
      <c r="D10536">
        <v>23.94</v>
      </c>
      <c r="E10536">
        <v>29</v>
      </c>
    </row>
    <row r="10537" spans="1:5" x14ac:dyDescent="0.3">
      <c r="A10537" t="s">
        <v>57</v>
      </c>
      <c r="B10537" s="1">
        <v>44692</v>
      </c>
      <c r="C10537">
        <v>1</v>
      </c>
      <c r="D10537">
        <v>239.87</v>
      </c>
      <c r="E10537">
        <v>269</v>
      </c>
    </row>
    <row r="10538" spans="1:5" x14ac:dyDescent="0.3">
      <c r="A10538" t="s">
        <v>114</v>
      </c>
      <c r="B10538" s="1">
        <v>44692</v>
      </c>
      <c r="C10538">
        <v>1</v>
      </c>
      <c r="D10538">
        <v>74.8</v>
      </c>
      <c r="E10538">
        <v>92</v>
      </c>
    </row>
    <row r="10539" spans="1:5" x14ac:dyDescent="0.3">
      <c r="A10539" t="s">
        <v>62</v>
      </c>
      <c r="B10539" s="1">
        <v>44692</v>
      </c>
      <c r="C10539">
        <v>1</v>
      </c>
      <c r="D10539">
        <v>23.94</v>
      </c>
      <c r="E10539">
        <v>29</v>
      </c>
    </row>
    <row r="10540" spans="1:5" x14ac:dyDescent="0.3">
      <c r="A10540" t="s">
        <v>62</v>
      </c>
      <c r="B10540" s="1">
        <v>44692</v>
      </c>
      <c r="C10540">
        <v>1</v>
      </c>
      <c r="D10540">
        <v>23.94</v>
      </c>
      <c r="E10540">
        <v>29</v>
      </c>
    </row>
    <row r="10541" spans="1:5" x14ac:dyDescent="0.3">
      <c r="A10541" t="s">
        <v>62</v>
      </c>
      <c r="B10541" s="1">
        <v>44692</v>
      </c>
      <c r="C10541">
        <v>1</v>
      </c>
      <c r="D10541">
        <v>23.94</v>
      </c>
      <c r="E10541">
        <v>29</v>
      </c>
    </row>
    <row r="10542" spans="1:5" x14ac:dyDescent="0.3">
      <c r="A10542" t="s">
        <v>62</v>
      </c>
      <c r="B10542" s="1">
        <v>44692</v>
      </c>
      <c r="C10542">
        <v>1</v>
      </c>
      <c r="D10542">
        <v>23.94</v>
      </c>
      <c r="E10542">
        <v>29</v>
      </c>
    </row>
    <row r="10543" spans="1:5" x14ac:dyDescent="0.3">
      <c r="A10543" t="s">
        <v>99</v>
      </c>
      <c r="B10543" s="1">
        <v>44692</v>
      </c>
      <c r="C10543">
        <v>1</v>
      </c>
      <c r="D10543">
        <v>65.52</v>
      </c>
      <c r="E10543">
        <v>77</v>
      </c>
    </row>
    <row r="10544" spans="1:5" x14ac:dyDescent="0.3">
      <c r="A10544" t="s">
        <v>120</v>
      </c>
      <c r="B10544" s="1">
        <v>44692</v>
      </c>
      <c r="C10544">
        <v>1</v>
      </c>
      <c r="D10544">
        <v>132.56</v>
      </c>
      <c r="E10544">
        <v>187</v>
      </c>
    </row>
    <row r="10545" spans="1:5" x14ac:dyDescent="0.3">
      <c r="A10545" t="s">
        <v>122</v>
      </c>
      <c r="B10545" s="1">
        <v>44692</v>
      </c>
      <c r="C10545">
        <v>1</v>
      </c>
      <c r="D10545">
        <v>20.82</v>
      </c>
      <c r="E10545">
        <v>26</v>
      </c>
    </row>
    <row r="10546" spans="1:5" x14ac:dyDescent="0.3">
      <c r="A10546" t="s">
        <v>24</v>
      </c>
      <c r="B10546" s="1">
        <v>44692</v>
      </c>
      <c r="C10546">
        <v>1</v>
      </c>
      <c r="D10546">
        <v>107.41</v>
      </c>
      <c r="E10546">
        <v>126</v>
      </c>
    </row>
    <row r="10547" spans="1:5" x14ac:dyDescent="0.3">
      <c r="A10547" t="s">
        <v>85</v>
      </c>
      <c r="B10547" s="1">
        <v>44692</v>
      </c>
      <c r="C10547">
        <v>1</v>
      </c>
      <c r="D10547">
        <v>16.649999999999999</v>
      </c>
      <c r="E10547">
        <v>26</v>
      </c>
    </row>
    <row r="10548" spans="1:5" x14ac:dyDescent="0.3">
      <c r="A10548" t="s">
        <v>85</v>
      </c>
      <c r="B10548" s="1">
        <v>44692</v>
      </c>
      <c r="C10548">
        <v>1</v>
      </c>
      <c r="D10548">
        <v>16.649999999999999</v>
      </c>
      <c r="E10548">
        <v>26</v>
      </c>
    </row>
    <row r="10549" spans="1:5" x14ac:dyDescent="0.3">
      <c r="A10549" t="s">
        <v>85</v>
      </c>
      <c r="B10549" s="1">
        <v>44692</v>
      </c>
      <c r="C10549">
        <v>1</v>
      </c>
      <c r="D10549">
        <v>16.649999999999999</v>
      </c>
      <c r="E10549">
        <v>26</v>
      </c>
    </row>
    <row r="10550" spans="1:5" x14ac:dyDescent="0.3">
      <c r="A10550" t="s">
        <v>18</v>
      </c>
      <c r="B10550" s="1">
        <v>44692</v>
      </c>
      <c r="C10550">
        <v>1</v>
      </c>
      <c r="D10550">
        <v>44</v>
      </c>
      <c r="E10550">
        <v>67</v>
      </c>
    </row>
    <row r="10551" spans="1:5" x14ac:dyDescent="0.3">
      <c r="A10551" t="s">
        <v>90</v>
      </c>
      <c r="B10551" s="1">
        <v>44692</v>
      </c>
      <c r="C10551">
        <v>1</v>
      </c>
      <c r="D10551">
        <v>384.2</v>
      </c>
      <c r="E10551">
        <v>481</v>
      </c>
    </row>
    <row r="10552" spans="1:5" x14ac:dyDescent="0.3">
      <c r="A10552" t="s">
        <v>99</v>
      </c>
      <c r="B10552" s="1">
        <v>44692</v>
      </c>
      <c r="C10552">
        <v>1</v>
      </c>
      <c r="D10552">
        <v>64.25</v>
      </c>
      <c r="E10552">
        <v>77</v>
      </c>
    </row>
    <row r="10553" spans="1:5" x14ac:dyDescent="0.3">
      <c r="A10553" t="s">
        <v>18</v>
      </c>
      <c r="B10553" s="1">
        <v>44692</v>
      </c>
      <c r="C10553">
        <v>1</v>
      </c>
      <c r="D10553">
        <v>44</v>
      </c>
      <c r="E10553">
        <v>67</v>
      </c>
    </row>
    <row r="10554" spans="1:5" x14ac:dyDescent="0.3">
      <c r="A10554" t="s">
        <v>86</v>
      </c>
      <c r="B10554" s="1">
        <v>44692</v>
      </c>
      <c r="C10554">
        <v>3</v>
      </c>
      <c r="D10554">
        <v>39.619999999999997</v>
      </c>
      <c r="E10554">
        <v>69</v>
      </c>
    </row>
    <row r="10555" spans="1:5" x14ac:dyDescent="0.3">
      <c r="A10555" t="s">
        <v>116</v>
      </c>
      <c r="B10555" s="1">
        <v>44692</v>
      </c>
      <c r="C10555">
        <v>1</v>
      </c>
      <c r="D10555">
        <v>109.07</v>
      </c>
      <c r="E10555">
        <v>128</v>
      </c>
    </row>
    <row r="10556" spans="1:5" x14ac:dyDescent="0.3">
      <c r="A10556" t="s">
        <v>23</v>
      </c>
      <c r="B10556" s="1">
        <v>44692</v>
      </c>
      <c r="C10556">
        <v>1</v>
      </c>
      <c r="D10556">
        <v>112.85</v>
      </c>
      <c r="E10556">
        <v>127</v>
      </c>
    </row>
    <row r="10557" spans="1:5" x14ac:dyDescent="0.3">
      <c r="A10557" t="s">
        <v>17</v>
      </c>
      <c r="B10557" s="1">
        <v>44692</v>
      </c>
      <c r="C10557">
        <v>1</v>
      </c>
      <c r="D10557">
        <v>383.25</v>
      </c>
      <c r="E10557">
        <v>460</v>
      </c>
    </row>
    <row r="10558" spans="1:5" x14ac:dyDescent="0.3">
      <c r="A10558" t="s">
        <v>62</v>
      </c>
      <c r="B10558" s="1">
        <v>44692</v>
      </c>
      <c r="C10558">
        <v>1</v>
      </c>
      <c r="D10558">
        <v>25.19</v>
      </c>
      <c r="E10558">
        <v>30</v>
      </c>
    </row>
    <row r="10559" spans="1:5" x14ac:dyDescent="0.3">
      <c r="A10559" t="s">
        <v>35</v>
      </c>
      <c r="B10559" s="1">
        <v>44692</v>
      </c>
      <c r="C10559">
        <v>1</v>
      </c>
      <c r="D10559">
        <v>35</v>
      </c>
      <c r="E10559">
        <v>54</v>
      </c>
    </row>
    <row r="10560" spans="1:5" x14ac:dyDescent="0.3">
      <c r="A10560" t="s">
        <v>35</v>
      </c>
      <c r="B10560" s="1">
        <v>44692</v>
      </c>
      <c r="C10560">
        <v>1</v>
      </c>
      <c r="D10560">
        <v>35</v>
      </c>
      <c r="E10560">
        <v>54</v>
      </c>
    </row>
    <row r="10561" spans="1:5" x14ac:dyDescent="0.3">
      <c r="A10561" t="s">
        <v>35</v>
      </c>
      <c r="B10561" s="1">
        <v>44692</v>
      </c>
      <c r="C10561">
        <v>1</v>
      </c>
      <c r="D10561">
        <v>35</v>
      </c>
      <c r="E10561">
        <v>54</v>
      </c>
    </row>
    <row r="10562" spans="1:5" x14ac:dyDescent="0.3">
      <c r="A10562" t="s">
        <v>132</v>
      </c>
      <c r="B10562" s="1">
        <v>44692</v>
      </c>
      <c r="C10562">
        <v>1</v>
      </c>
      <c r="D10562">
        <v>61.44</v>
      </c>
      <c r="E10562">
        <v>88</v>
      </c>
    </row>
    <row r="10563" spans="1:5" x14ac:dyDescent="0.3">
      <c r="A10563" t="s">
        <v>20</v>
      </c>
      <c r="B10563" s="1">
        <v>44692</v>
      </c>
      <c r="C10563">
        <v>1</v>
      </c>
      <c r="D10563">
        <v>20.3</v>
      </c>
      <c r="E10563">
        <v>26</v>
      </c>
    </row>
    <row r="10564" spans="1:5" x14ac:dyDescent="0.3">
      <c r="A10564" t="s">
        <v>23</v>
      </c>
      <c r="B10564" s="1">
        <v>44692</v>
      </c>
      <c r="C10564">
        <v>1</v>
      </c>
      <c r="D10564">
        <v>126.41</v>
      </c>
      <c r="E10564">
        <v>142</v>
      </c>
    </row>
    <row r="10565" spans="1:5" x14ac:dyDescent="0.3">
      <c r="A10565" t="s">
        <v>141</v>
      </c>
      <c r="B10565" s="1">
        <v>44692</v>
      </c>
      <c r="C10565">
        <v>2</v>
      </c>
      <c r="D10565">
        <v>10.91</v>
      </c>
      <c r="E10565">
        <v>19</v>
      </c>
    </row>
    <row r="10566" spans="1:5" x14ac:dyDescent="0.3">
      <c r="A10566" t="s">
        <v>102</v>
      </c>
      <c r="B10566" s="1">
        <v>44692</v>
      </c>
      <c r="C10566">
        <v>1</v>
      </c>
      <c r="D10566">
        <v>27.2</v>
      </c>
      <c r="E10566">
        <v>33</v>
      </c>
    </row>
    <row r="10567" spans="1:5" x14ac:dyDescent="0.3">
      <c r="A10567" t="s">
        <v>66</v>
      </c>
      <c r="B10567" s="1">
        <v>44692</v>
      </c>
      <c r="C10567">
        <v>1</v>
      </c>
      <c r="D10567">
        <v>31.08</v>
      </c>
      <c r="E10567">
        <v>36</v>
      </c>
    </row>
    <row r="10568" spans="1:5" x14ac:dyDescent="0.3">
      <c r="A10568" t="s">
        <v>66</v>
      </c>
      <c r="B10568" s="1">
        <v>44692</v>
      </c>
      <c r="C10568">
        <v>1</v>
      </c>
      <c r="D10568">
        <v>31.08</v>
      </c>
      <c r="E10568">
        <v>36</v>
      </c>
    </row>
    <row r="10569" spans="1:5" x14ac:dyDescent="0.3">
      <c r="A10569" t="s">
        <v>146</v>
      </c>
      <c r="B10569" s="1">
        <v>44692</v>
      </c>
      <c r="C10569">
        <v>1</v>
      </c>
      <c r="D10569">
        <v>406.36</v>
      </c>
      <c r="E10569">
        <v>456</v>
      </c>
    </row>
    <row r="10570" spans="1:5" x14ac:dyDescent="0.3">
      <c r="A10570" t="s">
        <v>159</v>
      </c>
      <c r="B10570" s="1">
        <v>44692</v>
      </c>
      <c r="C10570">
        <v>1</v>
      </c>
      <c r="D10570">
        <v>50.45</v>
      </c>
      <c r="E10570">
        <v>63</v>
      </c>
    </row>
    <row r="10571" spans="1:5" x14ac:dyDescent="0.3">
      <c r="A10571" t="s">
        <v>101</v>
      </c>
      <c r="B10571" s="1">
        <v>44692</v>
      </c>
      <c r="C10571">
        <v>1</v>
      </c>
      <c r="D10571">
        <v>32.46</v>
      </c>
      <c r="E10571">
        <v>51</v>
      </c>
    </row>
    <row r="10572" spans="1:5" x14ac:dyDescent="0.3">
      <c r="A10572" t="s">
        <v>26</v>
      </c>
      <c r="B10572" s="1">
        <v>44692</v>
      </c>
      <c r="C10572">
        <v>0.1</v>
      </c>
      <c r="D10572">
        <v>1212.6300000000001</v>
      </c>
      <c r="E10572">
        <v>1589</v>
      </c>
    </row>
    <row r="10573" spans="1:5" x14ac:dyDescent="0.3">
      <c r="A10573" t="s">
        <v>148</v>
      </c>
      <c r="B10573" s="1">
        <v>44692</v>
      </c>
      <c r="C10573">
        <v>1</v>
      </c>
      <c r="D10573">
        <v>36.840000000000003</v>
      </c>
      <c r="E10573">
        <v>56</v>
      </c>
    </row>
    <row r="10574" spans="1:5" x14ac:dyDescent="0.3">
      <c r="A10574" t="s">
        <v>65</v>
      </c>
      <c r="B10574" s="1">
        <v>44692</v>
      </c>
      <c r="C10574">
        <v>1</v>
      </c>
      <c r="D10574">
        <v>186.78</v>
      </c>
      <c r="E10574">
        <v>219</v>
      </c>
    </row>
    <row r="10575" spans="1:5" x14ac:dyDescent="0.3">
      <c r="A10575" t="s">
        <v>115</v>
      </c>
      <c r="B10575" s="1">
        <v>44692</v>
      </c>
      <c r="C10575">
        <v>1</v>
      </c>
      <c r="D10575">
        <v>71.02</v>
      </c>
      <c r="E10575">
        <v>88</v>
      </c>
    </row>
    <row r="10576" spans="1:5" x14ac:dyDescent="0.3">
      <c r="A10576" t="s">
        <v>91</v>
      </c>
      <c r="B10576" s="1">
        <v>44692</v>
      </c>
      <c r="C10576">
        <v>1</v>
      </c>
      <c r="D10576">
        <v>34.299999999999997</v>
      </c>
      <c r="E10576">
        <v>56</v>
      </c>
    </row>
    <row r="10577" spans="1:5" x14ac:dyDescent="0.3">
      <c r="A10577" t="s">
        <v>122</v>
      </c>
      <c r="B10577" s="1">
        <v>44692</v>
      </c>
      <c r="C10577">
        <v>1</v>
      </c>
      <c r="D10577">
        <v>20.48</v>
      </c>
      <c r="E10577">
        <v>25</v>
      </c>
    </row>
    <row r="10578" spans="1:5" x14ac:dyDescent="0.3">
      <c r="A10578" t="s">
        <v>41</v>
      </c>
      <c r="B10578" s="1">
        <v>44692</v>
      </c>
      <c r="C10578">
        <v>1</v>
      </c>
      <c r="D10578">
        <v>10.73</v>
      </c>
      <c r="E10578">
        <v>18</v>
      </c>
    </row>
    <row r="10579" spans="1:5" x14ac:dyDescent="0.3">
      <c r="A10579" t="s">
        <v>25</v>
      </c>
      <c r="B10579" s="1">
        <v>44692</v>
      </c>
      <c r="C10579">
        <v>1</v>
      </c>
      <c r="D10579">
        <v>151.22</v>
      </c>
      <c r="E10579">
        <v>177</v>
      </c>
    </row>
    <row r="10580" spans="1:5" x14ac:dyDescent="0.3">
      <c r="A10580" t="s">
        <v>115</v>
      </c>
      <c r="B10580" s="1">
        <v>44692</v>
      </c>
      <c r="C10580">
        <v>1</v>
      </c>
      <c r="D10580">
        <v>71.150000000000006</v>
      </c>
      <c r="E10580">
        <v>88</v>
      </c>
    </row>
    <row r="10581" spans="1:5" x14ac:dyDescent="0.3">
      <c r="A10581" t="s">
        <v>57</v>
      </c>
      <c r="B10581" s="1">
        <v>44692</v>
      </c>
      <c r="C10581">
        <v>1</v>
      </c>
      <c r="D10581">
        <v>233.76</v>
      </c>
      <c r="E10581">
        <v>274</v>
      </c>
    </row>
    <row r="10582" spans="1:5" x14ac:dyDescent="0.3">
      <c r="A10582" t="s">
        <v>55</v>
      </c>
      <c r="B10582" s="1">
        <v>44692</v>
      </c>
      <c r="C10582">
        <v>1</v>
      </c>
      <c r="D10582">
        <v>89.4</v>
      </c>
      <c r="E10582">
        <v>106</v>
      </c>
    </row>
    <row r="10583" spans="1:5" x14ac:dyDescent="0.3">
      <c r="A10583" t="s">
        <v>58</v>
      </c>
      <c r="B10583" s="1">
        <v>44692</v>
      </c>
      <c r="C10583">
        <v>1</v>
      </c>
      <c r="D10583">
        <v>84.36</v>
      </c>
      <c r="E10583">
        <v>102</v>
      </c>
    </row>
    <row r="10584" spans="1:5" x14ac:dyDescent="0.3">
      <c r="A10584" t="s">
        <v>58</v>
      </c>
      <c r="B10584" s="1">
        <v>44692</v>
      </c>
      <c r="C10584">
        <v>1</v>
      </c>
      <c r="D10584">
        <v>84.36</v>
      </c>
      <c r="E10584">
        <v>102</v>
      </c>
    </row>
    <row r="10585" spans="1:5" x14ac:dyDescent="0.3">
      <c r="A10585" t="s">
        <v>18</v>
      </c>
      <c r="B10585" s="1">
        <v>44692</v>
      </c>
      <c r="C10585">
        <v>1</v>
      </c>
      <c r="D10585">
        <v>44</v>
      </c>
      <c r="E10585">
        <v>70</v>
      </c>
    </row>
    <row r="10586" spans="1:5" x14ac:dyDescent="0.3">
      <c r="A10586" t="s">
        <v>17</v>
      </c>
      <c r="B10586" s="1">
        <v>44692</v>
      </c>
      <c r="C10586">
        <v>1</v>
      </c>
      <c r="D10586">
        <v>385.8</v>
      </c>
      <c r="E10586">
        <v>463</v>
      </c>
    </row>
    <row r="10587" spans="1:5" x14ac:dyDescent="0.3">
      <c r="A10587" t="s">
        <v>134</v>
      </c>
      <c r="B10587" s="1">
        <v>44692</v>
      </c>
      <c r="C10587">
        <v>1</v>
      </c>
      <c r="D10587">
        <v>27.39</v>
      </c>
      <c r="E10587">
        <v>42</v>
      </c>
    </row>
    <row r="10588" spans="1:5" x14ac:dyDescent="0.3">
      <c r="A10588" t="s">
        <v>134</v>
      </c>
      <c r="B10588" s="1">
        <v>44692</v>
      </c>
      <c r="C10588">
        <v>1</v>
      </c>
      <c r="D10588">
        <v>27.39</v>
      </c>
      <c r="E10588">
        <v>42</v>
      </c>
    </row>
    <row r="10589" spans="1:5" x14ac:dyDescent="0.3">
      <c r="A10589" t="s">
        <v>5</v>
      </c>
      <c r="B10589" s="1">
        <v>44692</v>
      </c>
      <c r="C10589">
        <v>1</v>
      </c>
      <c r="D10589">
        <v>134.41</v>
      </c>
      <c r="E10589">
        <v>162</v>
      </c>
    </row>
    <row r="10590" spans="1:5" x14ac:dyDescent="0.3">
      <c r="A10590" t="s">
        <v>57</v>
      </c>
      <c r="B10590" s="1">
        <v>44692</v>
      </c>
      <c r="C10590">
        <v>1</v>
      </c>
      <c r="D10590">
        <v>233.74</v>
      </c>
      <c r="E10590">
        <v>274</v>
      </c>
    </row>
    <row r="10591" spans="1:5" x14ac:dyDescent="0.3">
      <c r="A10591" t="s">
        <v>57</v>
      </c>
      <c r="B10591" s="1">
        <v>44692</v>
      </c>
      <c r="C10591">
        <v>1</v>
      </c>
      <c r="D10591">
        <v>233.74</v>
      </c>
      <c r="E10591">
        <v>274</v>
      </c>
    </row>
    <row r="10592" spans="1:5" x14ac:dyDescent="0.3">
      <c r="A10592" t="s">
        <v>119</v>
      </c>
      <c r="B10592" s="1">
        <v>44692</v>
      </c>
      <c r="C10592">
        <v>3.5714299999999997E-2</v>
      </c>
      <c r="D10592">
        <v>642</v>
      </c>
      <c r="E10592">
        <v>708</v>
      </c>
    </row>
    <row r="10593" spans="1:5" x14ac:dyDescent="0.3">
      <c r="A10593" t="s">
        <v>119</v>
      </c>
      <c r="B10593" s="1">
        <v>44692</v>
      </c>
      <c r="C10593">
        <v>3.5714299999999997E-2</v>
      </c>
      <c r="D10593">
        <v>632.12</v>
      </c>
      <c r="E10593">
        <v>698</v>
      </c>
    </row>
    <row r="10594" spans="1:5" x14ac:dyDescent="0.3">
      <c r="A10594" t="s">
        <v>63</v>
      </c>
      <c r="B10594" s="1">
        <v>44692</v>
      </c>
      <c r="C10594">
        <v>1</v>
      </c>
      <c r="D10594">
        <v>71.53</v>
      </c>
      <c r="E10594">
        <v>83</v>
      </c>
    </row>
    <row r="10595" spans="1:5" x14ac:dyDescent="0.3">
      <c r="A10595" t="s">
        <v>63</v>
      </c>
      <c r="B10595" s="1">
        <v>44692</v>
      </c>
      <c r="C10595">
        <v>1</v>
      </c>
      <c r="D10595">
        <v>71.53</v>
      </c>
      <c r="E10595">
        <v>83</v>
      </c>
    </row>
    <row r="10596" spans="1:5" x14ac:dyDescent="0.3">
      <c r="A10596" t="s">
        <v>95</v>
      </c>
      <c r="B10596" s="1">
        <v>44692</v>
      </c>
      <c r="C10596">
        <v>1</v>
      </c>
      <c r="D10596">
        <v>129.25</v>
      </c>
      <c r="E10596">
        <v>203</v>
      </c>
    </row>
    <row r="10597" spans="1:5" x14ac:dyDescent="0.3">
      <c r="A10597" t="s">
        <v>91</v>
      </c>
      <c r="B10597" s="1">
        <v>44692</v>
      </c>
      <c r="C10597">
        <v>1</v>
      </c>
      <c r="D10597">
        <v>40.44</v>
      </c>
      <c r="E10597">
        <v>66</v>
      </c>
    </row>
    <row r="10598" spans="1:5" x14ac:dyDescent="0.3">
      <c r="A10598" t="s">
        <v>78</v>
      </c>
      <c r="B10598" s="1">
        <v>44692</v>
      </c>
      <c r="C10598">
        <v>1</v>
      </c>
      <c r="D10598">
        <v>70.099999999999994</v>
      </c>
      <c r="E10598">
        <v>89</v>
      </c>
    </row>
    <row r="10599" spans="1:5" x14ac:dyDescent="0.3">
      <c r="A10599" t="s">
        <v>25</v>
      </c>
      <c r="B10599" s="1">
        <v>44692</v>
      </c>
      <c r="C10599">
        <v>1</v>
      </c>
      <c r="D10599">
        <v>148.52000000000001</v>
      </c>
      <c r="E10599">
        <v>178</v>
      </c>
    </row>
    <row r="10600" spans="1:5" x14ac:dyDescent="0.3">
      <c r="A10600" t="s">
        <v>47</v>
      </c>
      <c r="B10600" s="1">
        <v>44692</v>
      </c>
      <c r="C10600">
        <v>1</v>
      </c>
      <c r="D10600">
        <v>46.14</v>
      </c>
      <c r="E10600">
        <v>71</v>
      </c>
    </row>
    <row r="10601" spans="1:5" x14ac:dyDescent="0.3">
      <c r="A10601" t="s">
        <v>21</v>
      </c>
      <c r="B10601" s="1">
        <v>44692</v>
      </c>
      <c r="C10601">
        <v>1</v>
      </c>
      <c r="D10601">
        <v>182.17</v>
      </c>
      <c r="E10601">
        <v>257</v>
      </c>
    </row>
    <row r="10602" spans="1:5" x14ac:dyDescent="0.3">
      <c r="A10602" t="s">
        <v>152</v>
      </c>
      <c r="B10602" s="1">
        <v>44692</v>
      </c>
      <c r="C10602">
        <v>1</v>
      </c>
      <c r="D10602">
        <v>105.12</v>
      </c>
      <c r="E10602">
        <v>132</v>
      </c>
    </row>
    <row r="10603" spans="1:5" x14ac:dyDescent="0.3">
      <c r="A10603" t="s">
        <v>56</v>
      </c>
      <c r="B10603" s="1">
        <v>44692</v>
      </c>
      <c r="C10603">
        <v>1</v>
      </c>
      <c r="D10603">
        <v>43.97</v>
      </c>
      <c r="E10603">
        <v>67</v>
      </c>
    </row>
    <row r="10604" spans="1:5" x14ac:dyDescent="0.3">
      <c r="A10604" t="s">
        <v>56</v>
      </c>
      <c r="B10604" s="1">
        <v>44692</v>
      </c>
      <c r="C10604">
        <v>1</v>
      </c>
      <c r="D10604">
        <v>43.97</v>
      </c>
      <c r="E10604">
        <v>67</v>
      </c>
    </row>
    <row r="10605" spans="1:5" x14ac:dyDescent="0.3">
      <c r="A10605" t="s">
        <v>56</v>
      </c>
      <c r="B10605" s="1">
        <v>44692</v>
      </c>
      <c r="C10605">
        <v>1</v>
      </c>
      <c r="D10605">
        <v>43.97</v>
      </c>
      <c r="E10605">
        <v>67</v>
      </c>
    </row>
    <row r="10606" spans="1:5" x14ac:dyDescent="0.3">
      <c r="A10606" t="s">
        <v>35</v>
      </c>
      <c r="B10606" s="1">
        <v>44692</v>
      </c>
      <c r="C10606">
        <v>1</v>
      </c>
      <c r="D10606">
        <v>30.35</v>
      </c>
      <c r="E10606">
        <v>48</v>
      </c>
    </row>
    <row r="10607" spans="1:5" x14ac:dyDescent="0.3">
      <c r="A10607" t="s">
        <v>50</v>
      </c>
      <c r="B10607" s="1">
        <v>44692</v>
      </c>
      <c r="C10607">
        <v>1</v>
      </c>
      <c r="D10607">
        <v>44.71</v>
      </c>
      <c r="E10607">
        <v>55</v>
      </c>
    </row>
    <row r="10608" spans="1:5" x14ac:dyDescent="0.3">
      <c r="A10608" t="s">
        <v>103</v>
      </c>
      <c r="B10608" s="1">
        <v>44692</v>
      </c>
      <c r="C10608">
        <v>1</v>
      </c>
      <c r="D10608">
        <v>52.65</v>
      </c>
      <c r="E10608">
        <v>83</v>
      </c>
    </row>
    <row r="10609" spans="1:5" x14ac:dyDescent="0.3">
      <c r="A10609" t="s">
        <v>103</v>
      </c>
      <c r="B10609" s="1">
        <v>44692</v>
      </c>
      <c r="C10609">
        <v>1</v>
      </c>
      <c r="D10609">
        <v>52.65</v>
      </c>
      <c r="E10609">
        <v>83</v>
      </c>
    </row>
    <row r="10610" spans="1:5" x14ac:dyDescent="0.3">
      <c r="A10610" t="s">
        <v>103</v>
      </c>
      <c r="B10610" s="1">
        <v>44692</v>
      </c>
      <c r="C10610">
        <v>1</v>
      </c>
      <c r="D10610">
        <v>52.65</v>
      </c>
      <c r="E10610">
        <v>83</v>
      </c>
    </row>
    <row r="10611" spans="1:5" x14ac:dyDescent="0.3">
      <c r="A10611" t="s">
        <v>65</v>
      </c>
      <c r="B10611" s="1">
        <v>44692</v>
      </c>
      <c r="C10611">
        <v>1</v>
      </c>
      <c r="D10611">
        <v>181.12</v>
      </c>
      <c r="E10611">
        <v>227</v>
      </c>
    </row>
    <row r="10612" spans="1:5" x14ac:dyDescent="0.3">
      <c r="A10612" t="s">
        <v>89</v>
      </c>
      <c r="B10612" s="1">
        <v>44692</v>
      </c>
      <c r="C10612">
        <v>1</v>
      </c>
      <c r="D10612">
        <v>74.13</v>
      </c>
      <c r="E10612">
        <v>111</v>
      </c>
    </row>
    <row r="10613" spans="1:5" x14ac:dyDescent="0.3">
      <c r="A10613" t="s">
        <v>120</v>
      </c>
      <c r="B10613" s="1">
        <v>44692</v>
      </c>
      <c r="C10613">
        <v>1</v>
      </c>
      <c r="D10613">
        <v>132.15</v>
      </c>
      <c r="E10613">
        <v>179</v>
      </c>
    </row>
    <row r="10614" spans="1:5" x14ac:dyDescent="0.3">
      <c r="A10614" t="s">
        <v>120</v>
      </c>
      <c r="B10614" s="1">
        <v>44692</v>
      </c>
      <c r="C10614">
        <v>1</v>
      </c>
      <c r="D10614">
        <v>132.22</v>
      </c>
      <c r="E10614">
        <v>179</v>
      </c>
    </row>
    <row r="10615" spans="1:5" x14ac:dyDescent="0.3">
      <c r="A10615" t="s">
        <v>120</v>
      </c>
      <c r="B10615" s="1">
        <v>44692</v>
      </c>
      <c r="C10615">
        <v>1</v>
      </c>
      <c r="D10615">
        <v>132.22</v>
      </c>
      <c r="E10615">
        <v>179</v>
      </c>
    </row>
    <row r="10616" spans="1:5" x14ac:dyDescent="0.3">
      <c r="A10616" t="s">
        <v>101</v>
      </c>
      <c r="B10616" s="1">
        <v>44692</v>
      </c>
      <c r="C10616">
        <v>1</v>
      </c>
      <c r="D10616">
        <v>32.46</v>
      </c>
      <c r="E10616">
        <v>51</v>
      </c>
    </row>
    <row r="10617" spans="1:5" x14ac:dyDescent="0.3">
      <c r="A10617" t="s">
        <v>111</v>
      </c>
      <c r="B10617" s="1">
        <v>44692</v>
      </c>
      <c r="C10617">
        <v>1</v>
      </c>
      <c r="D10617">
        <v>175.42</v>
      </c>
      <c r="E10617">
        <v>208</v>
      </c>
    </row>
    <row r="10618" spans="1:5" x14ac:dyDescent="0.3">
      <c r="A10618" t="s">
        <v>95</v>
      </c>
      <c r="B10618" s="1">
        <v>44692</v>
      </c>
      <c r="C10618">
        <v>0.5</v>
      </c>
      <c r="D10618">
        <v>130.65</v>
      </c>
      <c r="E10618">
        <v>199</v>
      </c>
    </row>
    <row r="10619" spans="1:5" x14ac:dyDescent="0.3">
      <c r="A10619" t="s">
        <v>106</v>
      </c>
      <c r="B10619" s="1">
        <v>44692</v>
      </c>
      <c r="C10619">
        <v>1</v>
      </c>
      <c r="D10619">
        <v>46.2</v>
      </c>
      <c r="E10619">
        <v>56</v>
      </c>
    </row>
    <row r="10620" spans="1:5" x14ac:dyDescent="0.3">
      <c r="A10620" t="s">
        <v>99</v>
      </c>
      <c r="B10620" s="1">
        <v>44692</v>
      </c>
      <c r="C10620">
        <v>1</v>
      </c>
      <c r="D10620">
        <v>65.45</v>
      </c>
      <c r="E10620">
        <v>77</v>
      </c>
    </row>
    <row r="10621" spans="1:5" x14ac:dyDescent="0.3">
      <c r="A10621" t="s">
        <v>65</v>
      </c>
      <c r="B10621" s="1">
        <v>44692</v>
      </c>
      <c r="C10621">
        <v>1</v>
      </c>
      <c r="D10621">
        <v>176.42</v>
      </c>
      <c r="E10621">
        <v>207</v>
      </c>
    </row>
    <row r="10622" spans="1:5" x14ac:dyDescent="0.3">
      <c r="A10622" t="s">
        <v>51</v>
      </c>
      <c r="B10622" s="1">
        <v>44692</v>
      </c>
      <c r="C10622">
        <v>8</v>
      </c>
      <c r="D10622">
        <v>1.98</v>
      </c>
      <c r="E10622">
        <v>3.2</v>
      </c>
    </row>
    <row r="10623" spans="1:5" x14ac:dyDescent="0.3">
      <c r="A10623" t="s">
        <v>110</v>
      </c>
      <c r="B10623" s="1">
        <v>44692</v>
      </c>
      <c r="C10623">
        <v>1</v>
      </c>
      <c r="D10623">
        <v>208.45</v>
      </c>
      <c r="E10623">
        <v>276</v>
      </c>
    </row>
    <row r="10624" spans="1:5" x14ac:dyDescent="0.3">
      <c r="A10624" t="s">
        <v>32</v>
      </c>
      <c r="B10624" s="1">
        <v>44692</v>
      </c>
      <c r="C10624">
        <v>1</v>
      </c>
      <c r="D10624">
        <v>125.73</v>
      </c>
      <c r="E10624">
        <v>198</v>
      </c>
    </row>
    <row r="10625" spans="1:5" x14ac:dyDescent="0.3">
      <c r="A10625" t="s">
        <v>34</v>
      </c>
      <c r="B10625" s="1">
        <v>44692</v>
      </c>
      <c r="C10625">
        <v>1</v>
      </c>
      <c r="D10625">
        <v>202.73</v>
      </c>
      <c r="E10625">
        <v>234</v>
      </c>
    </row>
    <row r="10626" spans="1:5" x14ac:dyDescent="0.3">
      <c r="A10626" t="s">
        <v>34</v>
      </c>
      <c r="B10626" s="1">
        <v>44692</v>
      </c>
      <c r="C10626">
        <v>1</v>
      </c>
      <c r="D10626">
        <v>202.73</v>
      </c>
      <c r="E10626">
        <v>234</v>
      </c>
    </row>
    <row r="10627" spans="1:5" x14ac:dyDescent="0.3">
      <c r="A10627" t="s">
        <v>43</v>
      </c>
      <c r="B10627" s="1">
        <v>44692</v>
      </c>
      <c r="C10627">
        <v>1</v>
      </c>
      <c r="D10627">
        <v>135.9</v>
      </c>
      <c r="E10627">
        <v>163</v>
      </c>
    </row>
    <row r="10628" spans="1:5" x14ac:dyDescent="0.3">
      <c r="A10628" t="s">
        <v>57</v>
      </c>
      <c r="B10628" s="1">
        <v>44692</v>
      </c>
      <c r="C10628">
        <v>1</v>
      </c>
      <c r="D10628">
        <v>233.76</v>
      </c>
      <c r="E10628">
        <v>274</v>
      </c>
    </row>
    <row r="10629" spans="1:5" x14ac:dyDescent="0.3">
      <c r="A10629" t="s">
        <v>152</v>
      </c>
      <c r="B10629" s="1">
        <v>44692</v>
      </c>
      <c r="C10629">
        <v>0.22480600000000001</v>
      </c>
      <c r="D10629">
        <v>116.19</v>
      </c>
      <c r="E10629">
        <v>146</v>
      </c>
    </row>
    <row r="10630" spans="1:5" x14ac:dyDescent="0.3">
      <c r="A10630" t="s">
        <v>152</v>
      </c>
      <c r="B10630" s="1">
        <v>44692</v>
      </c>
      <c r="C10630">
        <v>0.77519400000000005</v>
      </c>
      <c r="D10630">
        <v>116.19</v>
      </c>
      <c r="E10630">
        <v>146</v>
      </c>
    </row>
    <row r="10631" spans="1:5" x14ac:dyDescent="0.3">
      <c r="A10631" t="s">
        <v>143</v>
      </c>
      <c r="B10631" s="1">
        <v>44692</v>
      </c>
      <c r="C10631">
        <v>1</v>
      </c>
      <c r="D10631">
        <v>42.21</v>
      </c>
      <c r="E10631">
        <v>66</v>
      </c>
    </row>
    <row r="10632" spans="1:5" x14ac:dyDescent="0.3">
      <c r="A10632" t="s">
        <v>52</v>
      </c>
      <c r="B10632" s="1">
        <v>44692</v>
      </c>
      <c r="C10632">
        <v>1</v>
      </c>
      <c r="D10632">
        <v>202.33</v>
      </c>
      <c r="E10632">
        <v>243</v>
      </c>
    </row>
    <row r="10633" spans="1:5" x14ac:dyDescent="0.3">
      <c r="A10633" t="s">
        <v>17</v>
      </c>
      <c r="B10633" s="1">
        <v>44692</v>
      </c>
      <c r="C10633">
        <v>1</v>
      </c>
      <c r="D10633">
        <v>385.03</v>
      </c>
      <c r="E10633">
        <v>463</v>
      </c>
    </row>
    <row r="10634" spans="1:5" x14ac:dyDescent="0.3">
      <c r="A10634" t="s">
        <v>8</v>
      </c>
      <c r="B10634" s="1">
        <v>44692</v>
      </c>
      <c r="C10634">
        <v>2</v>
      </c>
      <c r="D10634">
        <v>47.03</v>
      </c>
      <c r="E10634">
        <v>76</v>
      </c>
    </row>
    <row r="10635" spans="1:5" x14ac:dyDescent="0.3">
      <c r="A10635" t="s">
        <v>35</v>
      </c>
      <c r="B10635" s="1">
        <v>44692</v>
      </c>
      <c r="C10635">
        <v>1</v>
      </c>
      <c r="D10635">
        <v>35</v>
      </c>
      <c r="E10635">
        <v>54</v>
      </c>
    </row>
    <row r="10636" spans="1:5" x14ac:dyDescent="0.3">
      <c r="A10636" t="s">
        <v>93</v>
      </c>
      <c r="B10636" s="1">
        <v>44692</v>
      </c>
      <c r="C10636">
        <v>1</v>
      </c>
      <c r="D10636">
        <v>70.97</v>
      </c>
      <c r="E10636">
        <v>101</v>
      </c>
    </row>
    <row r="10637" spans="1:5" x14ac:dyDescent="0.3">
      <c r="A10637" t="s">
        <v>51</v>
      </c>
      <c r="B10637" s="1">
        <v>44692</v>
      </c>
      <c r="C10637">
        <v>4</v>
      </c>
      <c r="D10637">
        <v>2.04</v>
      </c>
      <c r="E10637">
        <v>4</v>
      </c>
    </row>
    <row r="10638" spans="1:5" x14ac:dyDescent="0.3">
      <c r="A10638" t="s">
        <v>50</v>
      </c>
      <c r="B10638" s="1">
        <v>44692</v>
      </c>
      <c r="C10638">
        <v>1</v>
      </c>
      <c r="D10638">
        <v>45.28</v>
      </c>
      <c r="E10638">
        <v>56</v>
      </c>
    </row>
    <row r="10639" spans="1:5" x14ac:dyDescent="0.3">
      <c r="A10639" t="s">
        <v>24</v>
      </c>
      <c r="B10639" s="1">
        <v>44691</v>
      </c>
      <c r="C10639">
        <v>1</v>
      </c>
      <c r="D10639">
        <v>101.42</v>
      </c>
      <c r="E10639">
        <v>120</v>
      </c>
    </row>
    <row r="10640" spans="1:5" x14ac:dyDescent="0.3">
      <c r="A10640" t="s">
        <v>24</v>
      </c>
      <c r="B10640" s="1">
        <v>44691</v>
      </c>
      <c r="C10640">
        <v>1</v>
      </c>
      <c r="D10640">
        <v>101.42</v>
      </c>
      <c r="E10640">
        <v>120</v>
      </c>
    </row>
    <row r="10641" spans="1:5" x14ac:dyDescent="0.3">
      <c r="A10641" t="s">
        <v>26</v>
      </c>
      <c r="B10641" s="1">
        <v>44691</v>
      </c>
      <c r="C10641">
        <v>0.2</v>
      </c>
      <c r="D10641">
        <v>989.8</v>
      </c>
      <c r="E10641">
        <v>1357</v>
      </c>
    </row>
    <row r="10642" spans="1:5" x14ac:dyDescent="0.3">
      <c r="A10642" t="s">
        <v>12</v>
      </c>
      <c r="B10642" s="1">
        <v>44691</v>
      </c>
      <c r="C10642">
        <v>1</v>
      </c>
      <c r="D10642">
        <v>61.03</v>
      </c>
      <c r="E10642">
        <v>75</v>
      </c>
    </row>
    <row r="10643" spans="1:5" x14ac:dyDescent="0.3">
      <c r="A10643" t="s">
        <v>86</v>
      </c>
      <c r="B10643" s="1">
        <v>44691</v>
      </c>
      <c r="C10643">
        <v>1</v>
      </c>
      <c r="D10643">
        <v>47.4</v>
      </c>
      <c r="E10643">
        <v>76</v>
      </c>
    </row>
    <row r="10644" spans="1:5" x14ac:dyDescent="0.3">
      <c r="A10644" t="s">
        <v>28</v>
      </c>
      <c r="B10644" s="1">
        <v>44691</v>
      </c>
      <c r="C10644">
        <v>1</v>
      </c>
      <c r="D10644">
        <v>180.03</v>
      </c>
      <c r="E10644">
        <v>254</v>
      </c>
    </row>
    <row r="10645" spans="1:5" x14ac:dyDescent="0.3">
      <c r="A10645" t="s">
        <v>10</v>
      </c>
      <c r="B10645" s="1">
        <v>44691</v>
      </c>
      <c r="C10645">
        <v>1</v>
      </c>
      <c r="D10645">
        <v>10.34</v>
      </c>
      <c r="E10645">
        <v>13</v>
      </c>
    </row>
    <row r="10646" spans="1:5" x14ac:dyDescent="0.3">
      <c r="A10646" t="s">
        <v>110</v>
      </c>
      <c r="B10646" s="1">
        <v>44691</v>
      </c>
      <c r="C10646">
        <v>1</v>
      </c>
      <c r="D10646">
        <v>206.94</v>
      </c>
      <c r="E10646">
        <v>276</v>
      </c>
    </row>
    <row r="10647" spans="1:5" x14ac:dyDescent="0.3">
      <c r="A10647" t="s">
        <v>128</v>
      </c>
      <c r="B10647" s="1">
        <v>44691</v>
      </c>
      <c r="C10647">
        <v>1</v>
      </c>
      <c r="D10647">
        <v>271.01</v>
      </c>
      <c r="E10647">
        <v>358</v>
      </c>
    </row>
    <row r="10648" spans="1:5" x14ac:dyDescent="0.3">
      <c r="A10648" t="s">
        <v>60</v>
      </c>
      <c r="B10648" s="1">
        <v>44691</v>
      </c>
      <c r="C10648">
        <v>1</v>
      </c>
      <c r="D10648">
        <v>58.15</v>
      </c>
      <c r="E10648">
        <v>72</v>
      </c>
    </row>
    <row r="10649" spans="1:5" x14ac:dyDescent="0.3">
      <c r="A10649" t="s">
        <v>46</v>
      </c>
      <c r="B10649" s="1">
        <v>44691</v>
      </c>
      <c r="C10649">
        <v>1</v>
      </c>
      <c r="D10649">
        <v>20.49</v>
      </c>
      <c r="E10649">
        <v>24</v>
      </c>
    </row>
    <row r="10650" spans="1:5" x14ac:dyDescent="0.3">
      <c r="A10650" t="s">
        <v>83</v>
      </c>
      <c r="B10650" s="1">
        <v>44691</v>
      </c>
      <c r="C10650">
        <v>1</v>
      </c>
      <c r="D10650">
        <v>207.68</v>
      </c>
      <c r="E10650">
        <v>246</v>
      </c>
    </row>
    <row r="10651" spans="1:5" x14ac:dyDescent="0.3">
      <c r="A10651" t="s">
        <v>39</v>
      </c>
      <c r="B10651" s="1">
        <v>44691</v>
      </c>
      <c r="C10651">
        <v>3</v>
      </c>
      <c r="D10651">
        <v>17.190000000000001</v>
      </c>
      <c r="E10651">
        <v>28</v>
      </c>
    </row>
    <row r="10652" spans="1:5" x14ac:dyDescent="0.3">
      <c r="A10652" t="s">
        <v>19</v>
      </c>
      <c r="B10652" s="1">
        <v>44691</v>
      </c>
      <c r="C10652">
        <v>1</v>
      </c>
      <c r="D10652">
        <v>81.58</v>
      </c>
      <c r="E10652">
        <v>102</v>
      </c>
    </row>
    <row r="10653" spans="1:5" x14ac:dyDescent="0.3">
      <c r="A10653" t="s">
        <v>157</v>
      </c>
      <c r="B10653" s="1">
        <v>44691</v>
      </c>
      <c r="C10653">
        <v>2</v>
      </c>
      <c r="D10653">
        <v>12</v>
      </c>
      <c r="E10653">
        <v>21</v>
      </c>
    </row>
    <row r="10654" spans="1:5" x14ac:dyDescent="0.3">
      <c r="A10654" t="s">
        <v>160</v>
      </c>
      <c r="B10654" s="1">
        <v>44691</v>
      </c>
      <c r="C10654">
        <v>1</v>
      </c>
      <c r="D10654">
        <v>81.819999999999993</v>
      </c>
      <c r="E10654">
        <v>99</v>
      </c>
    </row>
    <row r="10655" spans="1:5" x14ac:dyDescent="0.3">
      <c r="A10655" t="s">
        <v>121</v>
      </c>
      <c r="B10655" s="1">
        <v>44691</v>
      </c>
      <c r="C10655">
        <v>2</v>
      </c>
      <c r="D10655">
        <v>7.96</v>
      </c>
      <c r="E10655">
        <v>13</v>
      </c>
    </row>
    <row r="10656" spans="1:5" x14ac:dyDescent="0.3">
      <c r="A10656" t="s">
        <v>116</v>
      </c>
      <c r="B10656" s="1">
        <v>44691</v>
      </c>
      <c r="C10656">
        <v>1</v>
      </c>
      <c r="D10656">
        <v>109.02</v>
      </c>
      <c r="E10656">
        <v>128</v>
      </c>
    </row>
    <row r="10657" spans="1:5" x14ac:dyDescent="0.3">
      <c r="A10657" t="s">
        <v>158</v>
      </c>
      <c r="B10657" s="1">
        <v>44691</v>
      </c>
      <c r="C10657">
        <v>1</v>
      </c>
      <c r="D10657">
        <v>34.6</v>
      </c>
      <c r="E10657">
        <v>43</v>
      </c>
    </row>
    <row r="10658" spans="1:5" x14ac:dyDescent="0.3">
      <c r="A10658" t="s">
        <v>24</v>
      </c>
      <c r="B10658" s="1">
        <v>44691</v>
      </c>
      <c r="C10658">
        <v>1</v>
      </c>
      <c r="D10658">
        <v>98.67</v>
      </c>
      <c r="E10658">
        <v>120</v>
      </c>
    </row>
    <row r="10659" spans="1:5" x14ac:dyDescent="0.3">
      <c r="A10659" t="s">
        <v>24</v>
      </c>
      <c r="B10659" s="1">
        <v>44691</v>
      </c>
      <c r="C10659">
        <v>1</v>
      </c>
      <c r="D10659">
        <v>99.48</v>
      </c>
      <c r="E10659">
        <v>116</v>
      </c>
    </row>
    <row r="10660" spans="1:5" x14ac:dyDescent="0.3">
      <c r="A10660" t="s">
        <v>45</v>
      </c>
      <c r="B10660" s="1">
        <v>44691</v>
      </c>
      <c r="C10660">
        <v>1</v>
      </c>
      <c r="D10660">
        <v>25.59</v>
      </c>
      <c r="E10660">
        <v>45</v>
      </c>
    </row>
    <row r="10661" spans="1:5" x14ac:dyDescent="0.3">
      <c r="A10661" t="s">
        <v>24</v>
      </c>
      <c r="B10661" s="1">
        <v>44691</v>
      </c>
      <c r="C10661">
        <v>1</v>
      </c>
      <c r="D10661">
        <v>101.42</v>
      </c>
      <c r="E10661">
        <v>120</v>
      </c>
    </row>
    <row r="10662" spans="1:5" x14ac:dyDescent="0.3">
      <c r="A10662" t="s">
        <v>48</v>
      </c>
      <c r="B10662" s="1">
        <v>44691</v>
      </c>
      <c r="C10662">
        <v>1</v>
      </c>
      <c r="D10662">
        <v>46.72</v>
      </c>
      <c r="E10662">
        <v>73</v>
      </c>
    </row>
    <row r="10663" spans="1:5" x14ac:dyDescent="0.3">
      <c r="A10663" t="s">
        <v>48</v>
      </c>
      <c r="B10663" s="1">
        <v>44691</v>
      </c>
      <c r="C10663">
        <v>1</v>
      </c>
      <c r="D10663">
        <v>38.67</v>
      </c>
      <c r="E10663">
        <v>60</v>
      </c>
    </row>
    <row r="10664" spans="1:5" x14ac:dyDescent="0.3">
      <c r="A10664" t="s">
        <v>48</v>
      </c>
      <c r="B10664" s="1">
        <v>44691</v>
      </c>
      <c r="C10664">
        <v>1</v>
      </c>
      <c r="D10664">
        <v>38.67</v>
      </c>
      <c r="E10664">
        <v>60</v>
      </c>
    </row>
    <row r="10665" spans="1:5" x14ac:dyDescent="0.3">
      <c r="A10665" t="s">
        <v>50</v>
      </c>
      <c r="B10665" s="1">
        <v>44691</v>
      </c>
      <c r="C10665">
        <v>1</v>
      </c>
      <c r="D10665">
        <v>51.6</v>
      </c>
      <c r="E10665">
        <v>61.99</v>
      </c>
    </row>
    <row r="10666" spans="1:5" x14ac:dyDescent="0.3">
      <c r="A10666" t="s">
        <v>106</v>
      </c>
      <c r="B10666" s="1">
        <v>44691</v>
      </c>
      <c r="C10666">
        <v>1</v>
      </c>
      <c r="D10666">
        <v>41.48</v>
      </c>
      <c r="E10666">
        <v>51</v>
      </c>
    </row>
    <row r="10667" spans="1:5" x14ac:dyDescent="0.3">
      <c r="A10667" t="s">
        <v>124</v>
      </c>
      <c r="B10667" s="1">
        <v>44691</v>
      </c>
      <c r="C10667">
        <v>1</v>
      </c>
      <c r="D10667">
        <v>36.06</v>
      </c>
      <c r="E10667">
        <v>59</v>
      </c>
    </row>
    <row r="10668" spans="1:5" x14ac:dyDescent="0.3">
      <c r="A10668" t="s">
        <v>45</v>
      </c>
      <c r="B10668" s="1">
        <v>44691</v>
      </c>
      <c r="C10668">
        <v>1</v>
      </c>
      <c r="D10668">
        <v>27.94</v>
      </c>
      <c r="E10668">
        <v>45</v>
      </c>
    </row>
    <row r="10669" spans="1:5" x14ac:dyDescent="0.3">
      <c r="A10669" t="s">
        <v>6</v>
      </c>
      <c r="B10669" s="1">
        <v>44691</v>
      </c>
      <c r="C10669">
        <v>0.1</v>
      </c>
      <c r="D10669">
        <v>415.15</v>
      </c>
      <c r="E10669">
        <v>519</v>
      </c>
    </row>
    <row r="10670" spans="1:5" x14ac:dyDescent="0.3">
      <c r="A10670" t="s">
        <v>160</v>
      </c>
      <c r="B10670" s="1">
        <v>44691</v>
      </c>
      <c r="C10670">
        <v>1</v>
      </c>
      <c r="D10670">
        <v>81.819999999999993</v>
      </c>
      <c r="E10670">
        <v>99</v>
      </c>
    </row>
    <row r="10671" spans="1:5" x14ac:dyDescent="0.3">
      <c r="A10671" t="s">
        <v>72</v>
      </c>
      <c r="B10671" s="1">
        <v>44691</v>
      </c>
      <c r="C10671">
        <v>1</v>
      </c>
      <c r="D10671">
        <v>561.91</v>
      </c>
      <c r="E10671">
        <v>742</v>
      </c>
    </row>
    <row r="10672" spans="1:5" x14ac:dyDescent="0.3">
      <c r="A10672" t="s">
        <v>58</v>
      </c>
      <c r="B10672" s="1">
        <v>44691</v>
      </c>
      <c r="C10672">
        <v>1</v>
      </c>
      <c r="D10672">
        <v>89.15</v>
      </c>
      <c r="E10672">
        <v>107</v>
      </c>
    </row>
    <row r="10673" spans="1:5" x14ac:dyDescent="0.3">
      <c r="A10673" t="s">
        <v>35</v>
      </c>
      <c r="B10673" s="1">
        <v>44691</v>
      </c>
      <c r="C10673">
        <v>1</v>
      </c>
      <c r="D10673">
        <v>30.35</v>
      </c>
      <c r="E10673">
        <v>48</v>
      </c>
    </row>
    <row r="10674" spans="1:5" x14ac:dyDescent="0.3">
      <c r="A10674" t="s">
        <v>44</v>
      </c>
      <c r="B10674" s="1">
        <v>44691</v>
      </c>
      <c r="C10674">
        <v>1</v>
      </c>
      <c r="D10674">
        <v>65.03</v>
      </c>
      <c r="E10674">
        <v>103</v>
      </c>
    </row>
    <row r="10675" spans="1:5" x14ac:dyDescent="0.3">
      <c r="A10675" t="s">
        <v>56</v>
      </c>
      <c r="B10675" s="1">
        <v>44691</v>
      </c>
      <c r="C10675">
        <v>1</v>
      </c>
      <c r="D10675">
        <v>43.7</v>
      </c>
      <c r="E10675">
        <v>67</v>
      </c>
    </row>
    <row r="10676" spans="1:5" x14ac:dyDescent="0.3">
      <c r="A10676" t="s">
        <v>132</v>
      </c>
      <c r="B10676" s="1">
        <v>44691</v>
      </c>
      <c r="C10676">
        <v>1</v>
      </c>
      <c r="D10676">
        <v>61.44</v>
      </c>
      <c r="E10676">
        <v>88</v>
      </c>
    </row>
    <row r="10677" spans="1:5" x14ac:dyDescent="0.3">
      <c r="A10677" t="s">
        <v>101</v>
      </c>
      <c r="B10677" s="1">
        <v>44691</v>
      </c>
      <c r="C10677">
        <v>1</v>
      </c>
      <c r="D10677">
        <v>33.89</v>
      </c>
      <c r="E10677">
        <v>53</v>
      </c>
    </row>
    <row r="10678" spans="1:5" x14ac:dyDescent="0.3">
      <c r="A10678" t="s">
        <v>41</v>
      </c>
      <c r="B10678" s="1">
        <v>44691</v>
      </c>
      <c r="C10678">
        <v>1</v>
      </c>
      <c r="D10678">
        <v>10.73</v>
      </c>
      <c r="E10678">
        <v>18</v>
      </c>
    </row>
    <row r="10679" spans="1:5" x14ac:dyDescent="0.3">
      <c r="A10679" t="s">
        <v>7</v>
      </c>
      <c r="B10679" s="1">
        <v>44691</v>
      </c>
      <c r="C10679">
        <v>1</v>
      </c>
      <c r="D10679">
        <v>91.19</v>
      </c>
      <c r="E10679">
        <v>112</v>
      </c>
    </row>
    <row r="10680" spans="1:5" x14ac:dyDescent="0.3">
      <c r="A10680" t="s">
        <v>88</v>
      </c>
      <c r="B10680" s="1">
        <v>44691</v>
      </c>
      <c r="C10680">
        <v>1</v>
      </c>
      <c r="D10680">
        <v>128.1</v>
      </c>
      <c r="E10680">
        <v>195</v>
      </c>
    </row>
    <row r="10681" spans="1:5" x14ac:dyDescent="0.3">
      <c r="A10681" t="s">
        <v>33</v>
      </c>
      <c r="B10681" s="1">
        <v>44691</v>
      </c>
      <c r="C10681">
        <v>1</v>
      </c>
      <c r="D10681">
        <v>21.14</v>
      </c>
      <c r="E10681">
        <v>25</v>
      </c>
    </row>
    <row r="10682" spans="1:5" x14ac:dyDescent="0.3">
      <c r="A10682" t="s">
        <v>33</v>
      </c>
      <c r="B10682" s="1">
        <v>44691</v>
      </c>
      <c r="C10682">
        <v>1</v>
      </c>
      <c r="D10682">
        <v>21.14</v>
      </c>
      <c r="E10682">
        <v>25</v>
      </c>
    </row>
    <row r="10683" spans="1:5" x14ac:dyDescent="0.3">
      <c r="A10683" t="s">
        <v>33</v>
      </c>
      <c r="B10683" s="1">
        <v>44691</v>
      </c>
      <c r="C10683">
        <v>1</v>
      </c>
      <c r="D10683">
        <v>21.14</v>
      </c>
      <c r="E10683">
        <v>25</v>
      </c>
    </row>
    <row r="10684" spans="1:5" x14ac:dyDescent="0.3">
      <c r="A10684" t="s">
        <v>72</v>
      </c>
      <c r="B10684" s="1">
        <v>44691</v>
      </c>
      <c r="C10684">
        <v>1</v>
      </c>
      <c r="D10684">
        <v>561.91</v>
      </c>
      <c r="E10684">
        <v>742</v>
      </c>
    </row>
    <row r="10685" spans="1:5" x14ac:dyDescent="0.3">
      <c r="A10685" t="s">
        <v>72</v>
      </c>
      <c r="B10685" s="1">
        <v>44691</v>
      </c>
      <c r="C10685">
        <v>1</v>
      </c>
      <c r="D10685">
        <v>561.91</v>
      </c>
      <c r="E10685">
        <v>742</v>
      </c>
    </row>
    <row r="10686" spans="1:5" x14ac:dyDescent="0.3">
      <c r="A10686" t="s">
        <v>106</v>
      </c>
      <c r="B10686" s="1">
        <v>44691</v>
      </c>
      <c r="C10686">
        <v>1</v>
      </c>
      <c r="D10686">
        <v>41.56</v>
      </c>
      <c r="E10686">
        <v>51</v>
      </c>
    </row>
    <row r="10687" spans="1:5" x14ac:dyDescent="0.3">
      <c r="A10687" t="s">
        <v>90</v>
      </c>
      <c r="B10687" s="1">
        <v>44691</v>
      </c>
      <c r="C10687">
        <v>1</v>
      </c>
      <c r="D10687">
        <v>401.83</v>
      </c>
      <c r="E10687">
        <v>483</v>
      </c>
    </row>
    <row r="10688" spans="1:5" x14ac:dyDescent="0.3">
      <c r="A10688" t="s">
        <v>93</v>
      </c>
      <c r="B10688" s="1">
        <v>44691</v>
      </c>
      <c r="C10688">
        <v>1</v>
      </c>
      <c r="D10688">
        <v>65.400000000000006</v>
      </c>
      <c r="E10688">
        <v>93</v>
      </c>
    </row>
    <row r="10689" spans="1:5" x14ac:dyDescent="0.3">
      <c r="A10689" t="s">
        <v>133</v>
      </c>
      <c r="B10689" s="1">
        <v>44691</v>
      </c>
      <c r="C10689">
        <v>2</v>
      </c>
      <c r="D10689">
        <v>5.56</v>
      </c>
      <c r="E10689">
        <v>9</v>
      </c>
    </row>
    <row r="10690" spans="1:5" x14ac:dyDescent="0.3">
      <c r="A10690" t="s">
        <v>75</v>
      </c>
      <c r="B10690" s="1">
        <v>44691</v>
      </c>
      <c r="C10690">
        <v>0.06</v>
      </c>
      <c r="D10690">
        <v>438.6</v>
      </c>
      <c r="E10690">
        <v>623</v>
      </c>
    </row>
    <row r="10691" spans="1:5" x14ac:dyDescent="0.3">
      <c r="A10691" t="s">
        <v>95</v>
      </c>
      <c r="B10691" s="1">
        <v>44691</v>
      </c>
      <c r="C10691">
        <v>1</v>
      </c>
      <c r="D10691">
        <v>129.25</v>
      </c>
      <c r="E10691">
        <v>203</v>
      </c>
    </row>
    <row r="10692" spans="1:5" x14ac:dyDescent="0.3">
      <c r="A10692" t="s">
        <v>65</v>
      </c>
      <c r="B10692" s="1">
        <v>44691</v>
      </c>
      <c r="C10692">
        <v>1</v>
      </c>
      <c r="D10692">
        <v>176.42</v>
      </c>
      <c r="E10692">
        <v>207</v>
      </c>
    </row>
    <row r="10693" spans="1:5" x14ac:dyDescent="0.3">
      <c r="A10693" t="s">
        <v>141</v>
      </c>
      <c r="B10693" s="1">
        <v>44691</v>
      </c>
      <c r="C10693">
        <v>1</v>
      </c>
      <c r="D10693">
        <v>28.61</v>
      </c>
      <c r="E10693">
        <v>47</v>
      </c>
    </row>
    <row r="10694" spans="1:5" x14ac:dyDescent="0.3">
      <c r="A10694" t="s">
        <v>24</v>
      </c>
      <c r="B10694" s="1">
        <v>44691</v>
      </c>
      <c r="C10694">
        <v>1</v>
      </c>
      <c r="D10694">
        <v>101.42</v>
      </c>
      <c r="E10694">
        <v>120</v>
      </c>
    </row>
    <row r="10695" spans="1:5" x14ac:dyDescent="0.3">
      <c r="A10695" t="s">
        <v>7</v>
      </c>
      <c r="B10695" s="1">
        <v>44691</v>
      </c>
      <c r="C10695">
        <v>1</v>
      </c>
      <c r="D10695">
        <v>90.39</v>
      </c>
      <c r="E10695">
        <v>112</v>
      </c>
    </row>
    <row r="10696" spans="1:5" x14ac:dyDescent="0.3">
      <c r="A10696" t="s">
        <v>96</v>
      </c>
      <c r="B10696" s="1">
        <v>44691</v>
      </c>
      <c r="C10696">
        <v>1</v>
      </c>
      <c r="D10696">
        <v>70.430000000000007</v>
      </c>
      <c r="E10696">
        <v>101</v>
      </c>
    </row>
    <row r="10697" spans="1:5" x14ac:dyDescent="0.3">
      <c r="A10697" t="s">
        <v>106</v>
      </c>
      <c r="B10697" s="1">
        <v>44691</v>
      </c>
      <c r="C10697">
        <v>1</v>
      </c>
      <c r="D10697">
        <v>41.48</v>
      </c>
      <c r="E10697">
        <v>51</v>
      </c>
    </row>
    <row r="10698" spans="1:5" x14ac:dyDescent="0.3">
      <c r="A10698" t="s">
        <v>146</v>
      </c>
      <c r="B10698" s="1">
        <v>44691</v>
      </c>
      <c r="C10698">
        <v>1</v>
      </c>
      <c r="D10698">
        <v>402.2</v>
      </c>
      <c r="E10698">
        <v>451</v>
      </c>
    </row>
    <row r="10699" spans="1:5" x14ac:dyDescent="0.3">
      <c r="A10699" t="s">
        <v>19</v>
      </c>
      <c r="B10699" s="1">
        <v>44691</v>
      </c>
      <c r="C10699">
        <v>1</v>
      </c>
      <c r="D10699">
        <v>80.52</v>
      </c>
      <c r="E10699">
        <v>103</v>
      </c>
    </row>
    <row r="10700" spans="1:5" x14ac:dyDescent="0.3">
      <c r="A10700" t="s">
        <v>19</v>
      </c>
      <c r="B10700" s="1">
        <v>44691</v>
      </c>
      <c r="C10700">
        <v>1</v>
      </c>
      <c r="D10700">
        <v>80.52</v>
      </c>
      <c r="E10700">
        <v>103</v>
      </c>
    </row>
    <row r="10701" spans="1:5" x14ac:dyDescent="0.3">
      <c r="A10701" t="s">
        <v>35</v>
      </c>
      <c r="B10701" s="1">
        <v>44691</v>
      </c>
      <c r="C10701">
        <v>1</v>
      </c>
      <c r="D10701">
        <v>30.35</v>
      </c>
      <c r="E10701">
        <v>48</v>
      </c>
    </row>
    <row r="10702" spans="1:5" x14ac:dyDescent="0.3">
      <c r="A10702" t="s">
        <v>12</v>
      </c>
      <c r="B10702" s="1">
        <v>44691</v>
      </c>
      <c r="C10702">
        <v>1</v>
      </c>
      <c r="D10702">
        <v>60.29</v>
      </c>
      <c r="E10702">
        <v>75</v>
      </c>
    </row>
    <row r="10703" spans="1:5" x14ac:dyDescent="0.3">
      <c r="A10703" t="s">
        <v>80</v>
      </c>
      <c r="B10703" s="1">
        <v>44691</v>
      </c>
      <c r="C10703">
        <v>1</v>
      </c>
      <c r="D10703">
        <v>23.57</v>
      </c>
      <c r="E10703">
        <v>36</v>
      </c>
    </row>
    <row r="10704" spans="1:5" x14ac:dyDescent="0.3">
      <c r="A10704" t="s">
        <v>80</v>
      </c>
      <c r="B10704" s="1">
        <v>44691</v>
      </c>
      <c r="C10704">
        <v>1</v>
      </c>
      <c r="D10704">
        <v>23.57</v>
      </c>
      <c r="E10704">
        <v>36</v>
      </c>
    </row>
    <row r="10705" spans="1:5" x14ac:dyDescent="0.3">
      <c r="A10705" t="s">
        <v>100</v>
      </c>
      <c r="B10705" s="1">
        <v>44691</v>
      </c>
      <c r="C10705">
        <v>1</v>
      </c>
      <c r="D10705">
        <v>39.49</v>
      </c>
      <c r="E10705">
        <v>61</v>
      </c>
    </row>
    <row r="10706" spans="1:5" x14ac:dyDescent="0.3">
      <c r="A10706" t="s">
        <v>18</v>
      </c>
      <c r="B10706" s="1">
        <v>44691</v>
      </c>
      <c r="C10706">
        <v>1</v>
      </c>
      <c r="D10706">
        <v>42</v>
      </c>
      <c r="E10706">
        <v>64</v>
      </c>
    </row>
    <row r="10707" spans="1:5" x14ac:dyDescent="0.3">
      <c r="A10707" t="s">
        <v>32</v>
      </c>
      <c r="B10707" s="1">
        <v>44691</v>
      </c>
      <c r="C10707">
        <v>1</v>
      </c>
      <c r="D10707">
        <v>125.73</v>
      </c>
      <c r="E10707">
        <v>198</v>
      </c>
    </row>
    <row r="10708" spans="1:5" x14ac:dyDescent="0.3">
      <c r="A10708" t="s">
        <v>152</v>
      </c>
      <c r="B10708" s="1">
        <v>44691</v>
      </c>
      <c r="C10708">
        <v>1</v>
      </c>
      <c r="D10708">
        <v>105.12</v>
      </c>
      <c r="E10708">
        <v>132</v>
      </c>
    </row>
    <row r="10709" spans="1:5" x14ac:dyDescent="0.3">
      <c r="A10709" t="s">
        <v>41</v>
      </c>
      <c r="B10709" s="1">
        <v>44691</v>
      </c>
      <c r="C10709">
        <v>2</v>
      </c>
      <c r="D10709">
        <v>10.57</v>
      </c>
      <c r="E10709">
        <v>17</v>
      </c>
    </row>
    <row r="10710" spans="1:5" x14ac:dyDescent="0.3">
      <c r="A10710" t="s">
        <v>90</v>
      </c>
      <c r="B10710" s="1">
        <v>44691</v>
      </c>
      <c r="C10710">
        <v>1</v>
      </c>
      <c r="D10710">
        <v>384.2</v>
      </c>
      <c r="E10710">
        <v>462</v>
      </c>
    </row>
    <row r="10711" spans="1:5" x14ac:dyDescent="0.3">
      <c r="A10711" t="s">
        <v>48</v>
      </c>
      <c r="B10711" s="1">
        <v>44691</v>
      </c>
      <c r="C10711">
        <v>1</v>
      </c>
      <c r="D10711">
        <v>42.23</v>
      </c>
      <c r="E10711">
        <v>67</v>
      </c>
    </row>
    <row r="10712" spans="1:5" x14ac:dyDescent="0.3">
      <c r="A10712" t="s">
        <v>20</v>
      </c>
      <c r="B10712" s="1">
        <v>44691</v>
      </c>
      <c r="C10712">
        <v>1</v>
      </c>
      <c r="D10712">
        <v>20.23</v>
      </c>
      <c r="E10712">
        <v>27</v>
      </c>
    </row>
    <row r="10713" spans="1:5" x14ac:dyDescent="0.3">
      <c r="A10713" t="s">
        <v>20</v>
      </c>
      <c r="B10713" s="1">
        <v>44691</v>
      </c>
      <c r="C10713">
        <v>1</v>
      </c>
      <c r="D10713">
        <v>20.23</v>
      </c>
      <c r="E10713">
        <v>27</v>
      </c>
    </row>
    <row r="10714" spans="1:5" x14ac:dyDescent="0.3">
      <c r="A10714" t="s">
        <v>20</v>
      </c>
      <c r="B10714" s="1">
        <v>44691</v>
      </c>
      <c r="C10714">
        <v>1</v>
      </c>
      <c r="D10714">
        <v>20.23</v>
      </c>
      <c r="E10714">
        <v>27</v>
      </c>
    </row>
    <row r="10715" spans="1:5" x14ac:dyDescent="0.3">
      <c r="A10715" t="s">
        <v>18</v>
      </c>
      <c r="B10715" s="1">
        <v>44691</v>
      </c>
      <c r="C10715">
        <v>1</v>
      </c>
      <c r="D10715">
        <v>44</v>
      </c>
      <c r="E10715">
        <v>70</v>
      </c>
    </row>
    <row r="10716" spans="1:5" x14ac:dyDescent="0.3">
      <c r="A10716" t="s">
        <v>18</v>
      </c>
      <c r="B10716" s="1">
        <v>44691</v>
      </c>
      <c r="C10716">
        <v>1</v>
      </c>
      <c r="D10716">
        <v>44</v>
      </c>
      <c r="E10716">
        <v>70</v>
      </c>
    </row>
    <row r="10717" spans="1:5" x14ac:dyDescent="0.3">
      <c r="A10717" t="s">
        <v>46</v>
      </c>
      <c r="B10717" s="1">
        <v>44691</v>
      </c>
      <c r="C10717">
        <v>1</v>
      </c>
      <c r="D10717">
        <v>20.149999999999999</v>
      </c>
      <c r="E10717">
        <v>24</v>
      </c>
    </row>
    <row r="10718" spans="1:5" x14ac:dyDescent="0.3">
      <c r="A10718" t="s">
        <v>24</v>
      </c>
      <c r="B10718" s="1">
        <v>44691</v>
      </c>
      <c r="C10718">
        <v>1</v>
      </c>
      <c r="D10718">
        <v>98.67</v>
      </c>
      <c r="E10718">
        <v>115</v>
      </c>
    </row>
    <row r="10719" spans="1:5" x14ac:dyDescent="0.3">
      <c r="A10719" t="s">
        <v>110</v>
      </c>
      <c r="B10719" s="1">
        <v>44691</v>
      </c>
      <c r="C10719">
        <v>1</v>
      </c>
      <c r="D10719">
        <v>204.29</v>
      </c>
      <c r="E10719">
        <v>270</v>
      </c>
    </row>
    <row r="10720" spans="1:5" x14ac:dyDescent="0.3">
      <c r="A10720" t="s">
        <v>56</v>
      </c>
      <c r="B10720" s="1">
        <v>44691</v>
      </c>
      <c r="C10720">
        <v>1</v>
      </c>
      <c r="D10720">
        <v>43.97</v>
      </c>
      <c r="E10720">
        <v>67</v>
      </c>
    </row>
    <row r="10721" spans="1:5" x14ac:dyDescent="0.3">
      <c r="A10721" t="s">
        <v>66</v>
      </c>
      <c r="B10721" s="1">
        <v>44691</v>
      </c>
      <c r="C10721">
        <v>1</v>
      </c>
      <c r="D10721">
        <v>32.01</v>
      </c>
      <c r="E10721">
        <v>39</v>
      </c>
    </row>
    <row r="10722" spans="1:5" x14ac:dyDescent="0.3">
      <c r="A10722" t="s">
        <v>100</v>
      </c>
      <c r="B10722" s="1">
        <v>44691</v>
      </c>
      <c r="C10722">
        <v>1</v>
      </c>
      <c r="D10722">
        <v>36.03</v>
      </c>
      <c r="E10722">
        <v>57</v>
      </c>
    </row>
    <row r="10723" spans="1:5" x14ac:dyDescent="0.3">
      <c r="A10723" t="s">
        <v>132</v>
      </c>
      <c r="B10723" s="1">
        <v>44691</v>
      </c>
      <c r="C10723">
        <v>1</v>
      </c>
      <c r="D10723">
        <v>61.44</v>
      </c>
      <c r="E10723">
        <v>88</v>
      </c>
    </row>
    <row r="10724" spans="1:5" x14ac:dyDescent="0.3">
      <c r="A10724" t="s">
        <v>78</v>
      </c>
      <c r="B10724" s="1">
        <v>44691</v>
      </c>
      <c r="C10724">
        <v>1</v>
      </c>
      <c r="D10724">
        <v>86.92</v>
      </c>
      <c r="E10724">
        <v>105</v>
      </c>
    </row>
    <row r="10725" spans="1:5" x14ac:dyDescent="0.3">
      <c r="A10725" t="s">
        <v>74</v>
      </c>
      <c r="B10725" s="1">
        <v>44691</v>
      </c>
      <c r="C10725">
        <v>1</v>
      </c>
      <c r="D10725">
        <v>89.28</v>
      </c>
      <c r="E10725">
        <v>111</v>
      </c>
    </row>
    <row r="10726" spans="1:5" x14ac:dyDescent="0.3">
      <c r="A10726" t="s">
        <v>74</v>
      </c>
      <c r="B10726" s="1">
        <v>44691</v>
      </c>
      <c r="C10726">
        <v>1</v>
      </c>
      <c r="D10726">
        <v>89.28</v>
      </c>
      <c r="E10726">
        <v>111</v>
      </c>
    </row>
    <row r="10727" spans="1:5" x14ac:dyDescent="0.3">
      <c r="A10727" t="s">
        <v>160</v>
      </c>
      <c r="B10727" s="1">
        <v>44691</v>
      </c>
      <c r="C10727">
        <v>1</v>
      </c>
      <c r="D10727">
        <v>81.819999999999993</v>
      </c>
      <c r="E10727">
        <v>99</v>
      </c>
    </row>
    <row r="10728" spans="1:5" x14ac:dyDescent="0.3">
      <c r="A10728" t="s">
        <v>28</v>
      </c>
      <c r="B10728" s="1">
        <v>44691</v>
      </c>
      <c r="C10728">
        <v>1</v>
      </c>
      <c r="D10728">
        <v>180.03</v>
      </c>
      <c r="E10728">
        <v>254</v>
      </c>
    </row>
    <row r="10729" spans="1:5" x14ac:dyDescent="0.3">
      <c r="A10729" t="s">
        <v>18</v>
      </c>
      <c r="B10729" s="1">
        <v>44691</v>
      </c>
      <c r="C10729">
        <v>1</v>
      </c>
      <c r="D10729">
        <v>44</v>
      </c>
      <c r="E10729">
        <v>67</v>
      </c>
    </row>
    <row r="10730" spans="1:5" x14ac:dyDescent="0.3">
      <c r="A10730" t="s">
        <v>35</v>
      </c>
      <c r="B10730" s="1">
        <v>44691</v>
      </c>
      <c r="C10730">
        <v>1</v>
      </c>
      <c r="D10730">
        <v>35</v>
      </c>
      <c r="E10730">
        <v>54</v>
      </c>
    </row>
    <row r="10731" spans="1:5" x14ac:dyDescent="0.3">
      <c r="A10731" t="s">
        <v>143</v>
      </c>
      <c r="B10731" s="1">
        <v>44691</v>
      </c>
      <c r="C10731">
        <v>1</v>
      </c>
      <c r="D10731">
        <v>54.92</v>
      </c>
      <c r="E10731">
        <v>84</v>
      </c>
    </row>
    <row r="10732" spans="1:5" x14ac:dyDescent="0.3">
      <c r="A10732" t="s">
        <v>8</v>
      </c>
      <c r="B10732" s="1">
        <v>44691</v>
      </c>
      <c r="C10732">
        <v>1</v>
      </c>
      <c r="D10732">
        <v>47.53</v>
      </c>
      <c r="E10732">
        <v>77</v>
      </c>
    </row>
    <row r="10733" spans="1:5" x14ac:dyDescent="0.3">
      <c r="A10733" t="s">
        <v>59</v>
      </c>
      <c r="B10733" s="1">
        <v>44691</v>
      </c>
      <c r="C10733">
        <v>1</v>
      </c>
      <c r="D10733">
        <v>12.02</v>
      </c>
      <c r="E10733">
        <v>20</v>
      </c>
    </row>
    <row r="10734" spans="1:5" x14ac:dyDescent="0.3">
      <c r="A10734" t="s">
        <v>26</v>
      </c>
      <c r="B10734" s="1">
        <v>44691</v>
      </c>
      <c r="C10734">
        <v>1</v>
      </c>
      <c r="D10734">
        <v>987.81</v>
      </c>
      <c r="E10734">
        <v>1334</v>
      </c>
    </row>
    <row r="10735" spans="1:5" x14ac:dyDescent="0.3">
      <c r="A10735" t="s">
        <v>35</v>
      </c>
      <c r="B10735" s="1">
        <v>44691</v>
      </c>
      <c r="C10735">
        <v>1</v>
      </c>
      <c r="D10735">
        <v>30.35</v>
      </c>
      <c r="E10735">
        <v>48</v>
      </c>
    </row>
    <row r="10736" spans="1:5" x14ac:dyDescent="0.3">
      <c r="A10736" t="s">
        <v>124</v>
      </c>
      <c r="B10736" s="1">
        <v>44691</v>
      </c>
      <c r="C10736">
        <v>1</v>
      </c>
      <c r="D10736">
        <v>36.69</v>
      </c>
      <c r="E10736">
        <v>59</v>
      </c>
    </row>
    <row r="10737" spans="1:5" x14ac:dyDescent="0.3">
      <c r="A10737" t="s">
        <v>12</v>
      </c>
      <c r="B10737" s="1">
        <v>44691</v>
      </c>
      <c r="C10737">
        <v>1</v>
      </c>
      <c r="D10737">
        <v>56.84</v>
      </c>
      <c r="E10737">
        <v>70</v>
      </c>
    </row>
    <row r="10738" spans="1:5" x14ac:dyDescent="0.3">
      <c r="A10738" t="s">
        <v>66</v>
      </c>
      <c r="B10738" s="1">
        <v>44691</v>
      </c>
      <c r="C10738">
        <v>1</v>
      </c>
      <c r="D10738">
        <v>32.01</v>
      </c>
      <c r="E10738">
        <v>39</v>
      </c>
    </row>
    <row r="10739" spans="1:5" x14ac:dyDescent="0.3">
      <c r="A10739" t="s">
        <v>66</v>
      </c>
      <c r="B10739" s="1">
        <v>44691</v>
      </c>
      <c r="C10739">
        <v>1</v>
      </c>
      <c r="D10739">
        <v>32.01</v>
      </c>
      <c r="E10739">
        <v>39</v>
      </c>
    </row>
    <row r="10740" spans="1:5" x14ac:dyDescent="0.3">
      <c r="A10740" t="s">
        <v>66</v>
      </c>
      <c r="B10740" s="1">
        <v>44691</v>
      </c>
      <c r="C10740">
        <v>1</v>
      </c>
      <c r="D10740">
        <v>32.01</v>
      </c>
      <c r="E10740">
        <v>39</v>
      </c>
    </row>
    <row r="10741" spans="1:5" x14ac:dyDescent="0.3">
      <c r="A10741" t="s">
        <v>18</v>
      </c>
      <c r="B10741" s="1">
        <v>44691</v>
      </c>
      <c r="C10741">
        <v>1</v>
      </c>
      <c r="D10741">
        <v>44</v>
      </c>
      <c r="E10741">
        <v>70</v>
      </c>
    </row>
    <row r="10742" spans="1:5" x14ac:dyDescent="0.3">
      <c r="A10742" t="s">
        <v>5</v>
      </c>
      <c r="B10742" s="1">
        <v>44691</v>
      </c>
      <c r="C10742">
        <v>1</v>
      </c>
      <c r="D10742">
        <v>134.41</v>
      </c>
      <c r="E10742">
        <v>162</v>
      </c>
    </row>
    <row r="10743" spans="1:5" x14ac:dyDescent="0.3">
      <c r="A10743" t="s">
        <v>5</v>
      </c>
      <c r="B10743" s="1">
        <v>44691</v>
      </c>
      <c r="C10743">
        <v>1</v>
      </c>
      <c r="D10743">
        <v>134.41</v>
      </c>
      <c r="E10743">
        <v>162</v>
      </c>
    </row>
    <row r="10744" spans="1:5" x14ac:dyDescent="0.3">
      <c r="A10744" t="s">
        <v>5</v>
      </c>
      <c r="B10744" s="1">
        <v>44691</v>
      </c>
      <c r="C10744">
        <v>1</v>
      </c>
      <c r="D10744">
        <v>134.41</v>
      </c>
      <c r="E10744">
        <v>162</v>
      </c>
    </row>
    <row r="10745" spans="1:5" x14ac:dyDescent="0.3">
      <c r="A10745" t="s">
        <v>5</v>
      </c>
      <c r="B10745" s="1">
        <v>44691</v>
      </c>
      <c r="C10745">
        <v>1</v>
      </c>
      <c r="D10745">
        <v>134.41</v>
      </c>
      <c r="E10745">
        <v>162</v>
      </c>
    </row>
    <row r="10746" spans="1:5" x14ac:dyDescent="0.3">
      <c r="A10746" t="s">
        <v>40</v>
      </c>
      <c r="B10746" s="1">
        <v>44691</v>
      </c>
      <c r="C10746">
        <v>1</v>
      </c>
      <c r="D10746">
        <v>182.57</v>
      </c>
      <c r="E10746">
        <v>217</v>
      </c>
    </row>
    <row r="10747" spans="1:5" x14ac:dyDescent="0.3">
      <c r="A10747" t="s">
        <v>85</v>
      </c>
      <c r="B10747" s="1">
        <v>44691</v>
      </c>
      <c r="C10747">
        <v>1</v>
      </c>
      <c r="D10747">
        <v>10.75</v>
      </c>
      <c r="E10747">
        <v>18</v>
      </c>
    </row>
    <row r="10748" spans="1:5" x14ac:dyDescent="0.3">
      <c r="A10748" t="s">
        <v>47</v>
      </c>
      <c r="B10748" s="1">
        <v>44691</v>
      </c>
      <c r="C10748">
        <v>1</v>
      </c>
      <c r="D10748">
        <v>43.49</v>
      </c>
      <c r="E10748">
        <v>69</v>
      </c>
    </row>
    <row r="10749" spans="1:5" x14ac:dyDescent="0.3">
      <c r="A10749" t="s">
        <v>157</v>
      </c>
      <c r="B10749" s="1">
        <v>44691</v>
      </c>
      <c r="C10749">
        <v>1</v>
      </c>
      <c r="D10749">
        <v>12</v>
      </c>
      <c r="E10749">
        <v>20</v>
      </c>
    </row>
    <row r="10750" spans="1:5" x14ac:dyDescent="0.3">
      <c r="A10750" t="s">
        <v>35</v>
      </c>
      <c r="B10750" s="1">
        <v>44691</v>
      </c>
      <c r="C10750">
        <v>1</v>
      </c>
      <c r="D10750">
        <v>35</v>
      </c>
      <c r="E10750">
        <v>54</v>
      </c>
    </row>
    <row r="10751" spans="1:5" x14ac:dyDescent="0.3">
      <c r="A10751" t="s">
        <v>35</v>
      </c>
      <c r="B10751" s="1">
        <v>44691</v>
      </c>
      <c r="C10751">
        <v>1</v>
      </c>
      <c r="D10751">
        <v>35</v>
      </c>
      <c r="E10751">
        <v>54</v>
      </c>
    </row>
    <row r="10752" spans="1:5" x14ac:dyDescent="0.3">
      <c r="A10752" t="s">
        <v>35</v>
      </c>
      <c r="B10752" s="1">
        <v>44691</v>
      </c>
      <c r="C10752">
        <v>1</v>
      </c>
      <c r="D10752">
        <v>35</v>
      </c>
      <c r="E10752">
        <v>54</v>
      </c>
    </row>
    <row r="10753" spans="1:5" x14ac:dyDescent="0.3">
      <c r="A10753" t="s">
        <v>102</v>
      </c>
      <c r="B10753" s="1">
        <v>44691</v>
      </c>
      <c r="C10753">
        <v>1</v>
      </c>
      <c r="D10753">
        <v>30.22</v>
      </c>
      <c r="E10753">
        <v>36</v>
      </c>
    </row>
    <row r="10754" spans="1:5" x14ac:dyDescent="0.3">
      <c r="A10754" t="s">
        <v>160</v>
      </c>
      <c r="B10754" s="1">
        <v>44691</v>
      </c>
      <c r="C10754">
        <v>1</v>
      </c>
      <c r="D10754">
        <v>81.819999999999993</v>
      </c>
      <c r="E10754">
        <v>99</v>
      </c>
    </row>
    <row r="10755" spans="1:5" x14ac:dyDescent="0.3">
      <c r="A10755" t="s">
        <v>160</v>
      </c>
      <c r="B10755" s="1">
        <v>44691</v>
      </c>
      <c r="C10755">
        <v>1</v>
      </c>
      <c r="D10755">
        <v>81.819999999999993</v>
      </c>
      <c r="E10755">
        <v>99</v>
      </c>
    </row>
    <row r="10756" spans="1:5" x14ac:dyDescent="0.3">
      <c r="A10756" t="s">
        <v>160</v>
      </c>
      <c r="B10756" s="1">
        <v>44691</v>
      </c>
      <c r="C10756">
        <v>1</v>
      </c>
      <c r="D10756">
        <v>81.819999999999993</v>
      </c>
      <c r="E10756">
        <v>99</v>
      </c>
    </row>
    <row r="10757" spans="1:5" x14ac:dyDescent="0.3">
      <c r="A10757" t="s">
        <v>160</v>
      </c>
      <c r="B10757" s="1">
        <v>44691</v>
      </c>
      <c r="C10757">
        <v>1</v>
      </c>
      <c r="D10757">
        <v>81.819999999999993</v>
      </c>
      <c r="E10757">
        <v>99</v>
      </c>
    </row>
    <row r="10758" spans="1:5" x14ac:dyDescent="0.3">
      <c r="A10758" t="s">
        <v>160</v>
      </c>
      <c r="B10758" s="1">
        <v>44691</v>
      </c>
      <c r="C10758">
        <v>1</v>
      </c>
      <c r="D10758">
        <v>81.819999999999993</v>
      </c>
      <c r="E10758">
        <v>99</v>
      </c>
    </row>
    <row r="10759" spans="1:5" x14ac:dyDescent="0.3">
      <c r="A10759" t="s">
        <v>48</v>
      </c>
      <c r="B10759" s="1">
        <v>44691</v>
      </c>
      <c r="C10759">
        <v>1</v>
      </c>
      <c r="D10759">
        <v>41.24</v>
      </c>
      <c r="E10759">
        <v>65</v>
      </c>
    </row>
    <row r="10760" spans="1:5" x14ac:dyDescent="0.3">
      <c r="A10760" t="s">
        <v>121</v>
      </c>
      <c r="B10760" s="1">
        <v>44691</v>
      </c>
      <c r="C10760">
        <v>1</v>
      </c>
      <c r="D10760">
        <v>7.96</v>
      </c>
      <c r="E10760">
        <v>13</v>
      </c>
    </row>
    <row r="10761" spans="1:5" x14ac:dyDescent="0.3">
      <c r="A10761" t="s">
        <v>141</v>
      </c>
      <c r="B10761" s="1">
        <v>44691</v>
      </c>
      <c r="C10761">
        <v>2</v>
      </c>
      <c r="D10761">
        <v>16.38</v>
      </c>
      <c r="E10761">
        <v>27</v>
      </c>
    </row>
    <row r="10762" spans="1:5" x14ac:dyDescent="0.3">
      <c r="A10762" t="s">
        <v>62</v>
      </c>
      <c r="B10762" s="1">
        <v>44691</v>
      </c>
      <c r="C10762">
        <v>1</v>
      </c>
      <c r="D10762">
        <v>25.71</v>
      </c>
      <c r="E10762">
        <v>31</v>
      </c>
    </row>
    <row r="10763" spans="1:5" x14ac:dyDescent="0.3">
      <c r="A10763" t="s">
        <v>62</v>
      </c>
      <c r="B10763" s="1">
        <v>44691</v>
      </c>
      <c r="C10763">
        <v>1</v>
      </c>
      <c r="D10763">
        <v>25.71</v>
      </c>
      <c r="E10763">
        <v>31</v>
      </c>
    </row>
    <row r="10764" spans="1:5" x14ac:dyDescent="0.3">
      <c r="A10764" t="s">
        <v>45</v>
      </c>
      <c r="B10764" s="1">
        <v>44691</v>
      </c>
      <c r="C10764">
        <v>1</v>
      </c>
      <c r="D10764">
        <v>27.94</v>
      </c>
      <c r="E10764">
        <v>45</v>
      </c>
    </row>
    <row r="10765" spans="1:5" x14ac:dyDescent="0.3">
      <c r="A10765" t="s">
        <v>12</v>
      </c>
      <c r="B10765" s="1">
        <v>44691</v>
      </c>
      <c r="C10765">
        <v>1</v>
      </c>
      <c r="D10765">
        <v>60.29</v>
      </c>
      <c r="E10765">
        <v>75</v>
      </c>
    </row>
    <row r="10766" spans="1:5" x14ac:dyDescent="0.3">
      <c r="A10766" t="s">
        <v>18</v>
      </c>
      <c r="B10766" s="1">
        <v>44691</v>
      </c>
      <c r="C10766">
        <v>1</v>
      </c>
      <c r="D10766">
        <v>46</v>
      </c>
      <c r="E10766">
        <v>72</v>
      </c>
    </row>
    <row r="10767" spans="1:5" x14ac:dyDescent="0.3">
      <c r="A10767" t="s">
        <v>94</v>
      </c>
      <c r="B10767" s="1">
        <v>44691</v>
      </c>
      <c r="C10767">
        <v>1</v>
      </c>
      <c r="D10767">
        <v>27.31</v>
      </c>
      <c r="E10767">
        <v>38</v>
      </c>
    </row>
    <row r="10768" spans="1:5" x14ac:dyDescent="0.3">
      <c r="A10768" t="s">
        <v>94</v>
      </c>
      <c r="B10768" s="1">
        <v>44691</v>
      </c>
      <c r="C10768">
        <v>1</v>
      </c>
      <c r="D10768">
        <v>27.31</v>
      </c>
      <c r="E10768">
        <v>38</v>
      </c>
    </row>
    <row r="10769" spans="1:5" x14ac:dyDescent="0.3">
      <c r="A10769" t="s">
        <v>14</v>
      </c>
      <c r="B10769" s="1">
        <v>44691</v>
      </c>
      <c r="C10769">
        <v>0.1</v>
      </c>
      <c r="D10769">
        <v>596.29</v>
      </c>
      <c r="E10769">
        <v>746</v>
      </c>
    </row>
    <row r="10770" spans="1:5" x14ac:dyDescent="0.3">
      <c r="A10770" t="s">
        <v>131</v>
      </c>
      <c r="B10770" s="1">
        <v>44691</v>
      </c>
      <c r="C10770">
        <v>1</v>
      </c>
      <c r="D10770">
        <v>361.91</v>
      </c>
      <c r="E10770">
        <v>435</v>
      </c>
    </row>
    <row r="10771" spans="1:5" x14ac:dyDescent="0.3">
      <c r="A10771" t="s">
        <v>134</v>
      </c>
      <c r="B10771" s="1">
        <v>44691</v>
      </c>
      <c r="C10771">
        <v>1</v>
      </c>
      <c r="D10771">
        <v>28.66</v>
      </c>
      <c r="E10771">
        <v>44</v>
      </c>
    </row>
    <row r="10772" spans="1:5" x14ac:dyDescent="0.3">
      <c r="A10772" t="s">
        <v>58</v>
      </c>
      <c r="B10772" s="1">
        <v>44691</v>
      </c>
      <c r="C10772">
        <v>1</v>
      </c>
      <c r="D10772">
        <v>82.25</v>
      </c>
      <c r="E10772">
        <v>99</v>
      </c>
    </row>
    <row r="10773" spans="1:5" x14ac:dyDescent="0.3">
      <c r="A10773" t="s">
        <v>58</v>
      </c>
      <c r="B10773" s="1">
        <v>44691</v>
      </c>
      <c r="C10773">
        <v>1</v>
      </c>
      <c r="D10773">
        <v>89.15</v>
      </c>
      <c r="E10773">
        <v>107</v>
      </c>
    </row>
    <row r="10774" spans="1:5" x14ac:dyDescent="0.3">
      <c r="A10774" t="s">
        <v>127</v>
      </c>
      <c r="B10774" s="1">
        <v>44691</v>
      </c>
      <c r="C10774">
        <v>1</v>
      </c>
      <c r="D10774">
        <v>128.07</v>
      </c>
      <c r="E10774">
        <v>179</v>
      </c>
    </row>
    <row r="10775" spans="1:5" x14ac:dyDescent="0.3">
      <c r="A10775" t="s">
        <v>59</v>
      </c>
      <c r="B10775" s="1">
        <v>44691</v>
      </c>
      <c r="C10775">
        <v>5</v>
      </c>
      <c r="D10775">
        <v>12.02</v>
      </c>
      <c r="E10775">
        <v>20</v>
      </c>
    </row>
    <row r="10776" spans="1:5" x14ac:dyDescent="0.3">
      <c r="A10776" t="s">
        <v>28</v>
      </c>
      <c r="B10776" s="1">
        <v>44691</v>
      </c>
      <c r="C10776">
        <v>1</v>
      </c>
      <c r="D10776">
        <v>147.80000000000001</v>
      </c>
      <c r="E10776">
        <v>209</v>
      </c>
    </row>
    <row r="10777" spans="1:5" x14ac:dyDescent="0.3">
      <c r="A10777" t="s">
        <v>20</v>
      </c>
      <c r="B10777" s="1">
        <v>44691</v>
      </c>
      <c r="C10777">
        <v>1</v>
      </c>
      <c r="D10777">
        <v>19.66</v>
      </c>
      <c r="E10777">
        <v>25</v>
      </c>
    </row>
    <row r="10778" spans="1:5" x14ac:dyDescent="0.3">
      <c r="A10778" t="s">
        <v>120</v>
      </c>
      <c r="B10778" s="1">
        <v>44691</v>
      </c>
      <c r="C10778">
        <v>1</v>
      </c>
      <c r="D10778">
        <v>132.26</v>
      </c>
      <c r="E10778">
        <v>182</v>
      </c>
    </row>
    <row r="10779" spans="1:5" x14ac:dyDescent="0.3">
      <c r="A10779" t="s">
        <v>131</v>
      </c>
      <c r="B10779" s="1">
        <v>44691</v>
      </c>
      <c r="C10779">
        <v>1</v>
      </c>
      <c r="D10779">
        <v>361.9</v>
      </c>
      <c r="E10779">
        <v>424</v>
      </c>
    </row>
    <row r="10780" spans="1:5" x14ac:dyDescent="0.3">
      <c r="A10780" t="s">
        <v>52</v>
      </c>
      <c r="B10780" s="1">
        <v>44691</v>
      </c>
      <c r="C10780">
        <v>1</v>
      </c>
      <c r="D10780">
        <v>202.07</v>
      </c>
      <c r="E10780">
        <v>243</v>
      </c>
    </row>
    <row r="10781" spans="1:5" x14ac:dyDescent="0.3">
      <c r="A10781" t="s">
        <v>65</v>
      </c>
      <c r="B10781" s="1">
        <v>44691</v>
      </c>
      <c r="C10781">
        <v>1</v>
      </c>
      <c r="D10781">
        <v>184.45</v>
      </c>
      <c r="E10781">
        <v>216</v>
      </c>
    </row>
    <row r="10782" spans="1:5" x14ac:dyDescent="0.3">
      <c r="A10782" t="s">
        <v>104</v>
      </c>
      <c r="B10782" s="1">
        <v>44691</v>
      </c>
      <c r="C10782">
        <v>1</v>
      </c>
      <c r="D10782">
        <v>45.14</v>
      </c>
      <c r="E10782">
        <v>57</v>
      </c>
    </row>
    <row r="10783" spans="1:5" x14ac:dyDescent="0.3">
      <c r="A10783" t="s">
        <v>26</v>
      </c>
      <c r="B10783" s="1">
        <v>44691</v>
      </c>
      <c r="C10783">
        <v>0.1</v>
      </c>
      <c r="D10783">
        <v>1086.5899999999999</v>
      </c>
      <c r="E10783">
        <v>1359</v>
      </c>
    </row>
    <row r="10784" spans="1:5" x14ac:dyDescent="0.3">
      <c r="A10784" t="s">
        <v>148</v>
      </c>
      <c r="B10784" s="1">
        <v>44691</v>
      </c>
      <c r="C10784">
        <v>1</v>
      </c>
      <c r="D10784">
        <v>36.840000000000003</v>
      </c>
      <c r="E10784">
        <v>56</v>
      </c>
    </row>
    <row r="10785" spans="1:5" x14ac:dyDescent="0.3">
      <c r="A10785" t="s">
        <v>65</v>
      </c>
      <c r="B10785" s="1">
        <v>44691</v>
      </c>
      <c r="C10785">
        <v>1</v>
      </c>
      <c r="D10785">
        <v>186.78</v>
      </c>
      <c r="E10785">
        <v>219</v>
      </c>
    </row>
    <row r="10786" spans="1:5" x14ac:dyDescent="0.3">
      <c r="A10786" t="s">
        <v>103</v>
      </c>
      <c r="B10786" s="1">
        <v>44691</v>
      </c>
      <c r="C10786">
        <v>1</v>
      </c>
      <c r="D10786">
        <v>41.33</v>
      </c>
      <c r="E10786">
        <v>65</v>
      </c>
    </row>
    <row r="10787" spans="1:5" x14ac:dyDescent="0.3">
      <c r="A10787" t="s">
        <v>98</v>
      </c>
      <c r="B10787" s="1">
        <v>44691</v>
      </c>
      <c r="C10787">
        <v>1</v>
      </c>
      <c r="D10787">
        <v>111.85</v>
      </c>
      <c r="E10787">
        <v>135</v>
      </c>
    </row>
    <row r="10788" spans="1:5" x14ac:dyDescent="0.3">
      <c r="A10788" t="s">
        <v>70</v>
      </c>
      <c r="B10788" s="1">
        <v>44691</v>
      </c>
      <c r="C10788">
        <v>1</v>
      </c>
      <c r="D10788">
        <v>163.79</v>
      </c>
      <c r="E10788">
        <v>198</v>
      </c>
    </row>
    <row r="10789" spans="1:5" x14ac:dyDescent="0.3">
      <c r="A10789" t="s">
        <v>78</v>
      </c>
      <c r="B10789" s="1">
        <v>44691</v>
      </c>
      <c r="C10789">
        <v>1</v>
      </c>
      <c r="D10789">
        <v>72.11</v>
      </c>
      <c r="E10789">
        <v>91</v>
      </c>
    </row>
    <row r="10790" spans="1:5" x14ac:dyDescent="0.3">
      <c r="A10790" t="s">
        <v>48</v>
      </c>
      <c r="B10790" s="1">
        <v>44691</v>
      </c>
      <c r="C10790">
        <v>1</v>
      </c>
      <c r="D10790">
        <v>38.67</v>
      </c>
      <c r="E10790">
        <v>60</v>
      </c>
    </row>
    <row r="10791" spans="1:5" x14ac:dyDescent="0.3">
      <c r="A10791" t="s">
        <v>153</v>
      </c>
      <c r="B10791" s="1">
        <v>44691</v>
      </c>
      <c r="C10791">
        <v>1</v>
      </c>
      <c r="D10791">
        <v>10.34</v>
      </c>
      <c r="E10791">
        <v>12</v>
      </c>
    </row>
    <row r="10792" spans="1:5" x14ac:dyDescent="0.3">
      <c r="A10792" t="s">
        <v>95</v>
      </c>
      <c r="B10792" s="1">
        <v>44691</v>
      </c>
      <c r="C10792">
        <v>1</v>
      </c>
      <c r="D10792">
        <v>129.38</v>
      </c>
      <c r="E10792">
        <v>197</v>
      </c>
    </row>
    <row r="10793" spans="1:5" x14ac:dyDescent="0.3">
      <c r="A10793" t="s">
        <v>80</v>
      </c>
      <c r="B10793" s="1">
        <v>44691</v>
      </c>
      <c r="C10793">
        <v>1</v>
      </c>
      <c r="D10793">
        <v>28.19</v>
      </c>
      <c r="E10793">
        <v>45</v>
      </c>
    </row>
    <row r="10794" spans="1:5" x14ac:dyDescent="0.3">
      <c r="A10794" t="s">
        <v>80</v>
      </c>
      <c r="B10794" s="1">
        <v>44691</v>
      </c>
      <c r="C10794">
        <v>1</v>
      </c>
      <c r="D10794">
        <v>28.19</v>
      </c>
      <c r="E10794">
        <v>45</v>
      </c>
    </row>
    <row r="10795" spans="1:5" x14ac:dyDescent="0.3">
      <c r="A10795" t="s">
        <v>25</v>
      </c>
      <c r="B10795" s="1">
        <v>44691</v>
      </c>
      <c r="C10795">
        <v>1</v>
      </c>
      <c r="D10795">
        <v>147.47</v>
      </c>
      <c r="E10795">
        <v>177</v>
      </c>
    </row>
    <row r="10796" spans="1:5" x14ac:dyDescent="0.3">
      <c r="A10796" t="s">
        <v>133</v>
      </c>
      <c r="B10796" s="1">
        <v>44691</v>
      </c>
      <c r="C10796">
        <v>5</v>
      </c>
      <c r="D10796">
        <v>6.13</v>
      </c>
      <c r="E10796">
        <v>10</v>
      </c>
    </row>
    <row r="10797" spans="1:5" x14ac:dyDescent="0.3">
      <c r="A10797" t="s">
        <v>149</v>
      </c>
      <c r="B10797" s="1">
        <v>44691</v>
      </c>
      <c r="C10797">
        <v>1</v>
      </c>
      <c r="D10797">
        <v>221.03</v>
      </c>
      <c r="E10797">
        <v>310</v>
      </c>
    </row>
    <row r="10798" spans="1:5" x14ac:dyDescent="0.3">
      <c r="A10798" t="s">
        <v>23</v>
      </c>
      <c r="B10798" s="1">
        <v>44691</v>
      </c>
      <c r="C10798">
        <v>1</v>
      </c>
      <c r="D10798">
        <v>110.36</v>
      </c>
      <c r="E10798">
        <v>124</v>
      </c>
    </row>
    <row r="10799" spans="1:5" x14ac:dyDescent="0.3">
      <c r="A10799" t="s">
        <v>134</v>
      </c>
      <c r="B10799" s="1">
        <v>44691</v>
      </c>
      <c r="C10799">
        <v>1</v>
      </c>
      <c r="D10799">
        <v>27.39</v>
      </c>
      <c r="E10799">
        <v>42</v>
      </c>
    </row>
    <row r="10800" spans="1:5" x14ac:dyDescent="0.3">
      <c r="A10800" t="s">
        <v>48</v>
      </c>
      <c r="B10800" s="1">
        <v>44691</v>
      </c>
      <c r="C10800">
        <v>1</v>
      </c>
      <c r="D10800">
        <v>31.52</v>
      </c>
      <c r="E10800">
        <v>48</v>
      </c>
    </row>
    <row r="10801" spans="1:5" x14ac:dyDescent="0.3">
      <c r="A10801" t="s">
        <v>63</v>
      </c>
      <c r="B10801" s="1">
        <v>44691</v>
      </c>
      <c r="C10801">
        <v>1</v>
      </c>
      <c r="D10801">
        <v>73.3</v>
      </c>
      <c r="E10801">
        <v>88</v>
      </c>
    </row>
    <row r="10802" spans="1:5" x14ac:dyDescent="0.3">
      <c r="A10802" t="s">
        <v>20</v>
      </c>
      <c r="B10802" s="1">
        <v>44691</v>
      </c>
      <c r="C10802">
        <v>1</v>
      </c>
      <c r="D10802">
        <v>20</v>
      </c>
      <c r="E10802">
        <v>25</v>
      </c>
    </row>
    <row r="10803" spans="1:5" x14ac:dyDescent="0.3">
      <c r="A10803" t="s">
        <v>20</v>
      </c>
      <c r="B10803" s="1">
        <v>44691</v>
      </c>
      <c r="C10803">
        <v>1</v>
      </c>
      <c r="D10803">
        <v>20</v>
      </c>
      <c r="E10803">
        <v>25</v>
      </c>
    </row>
    <row r="10804" spans="1:5" x14ac:dyDescent="0.3">
      <c r="A10804" t="s">
        <v>20</v>
      </c>
      <c r="B10804" s="1">
        <v>44691</v>
      </c>
      <c r="C10804">
        <v>1</v>
      </c>
      <c r="D10804">
        <v>20</v>
      </c>
      <c r="E10804">
        <v>25</v>
      </c>
    </row>
    <row r="10805" spans="1:5" x14ac:dyDescent="0.3">
      <c r="A10805" t="s">
        <v>20</v>
      </c>
      <c r="B10805" s="1">
        <v>44691</v>
      </c>
      <c r="C10805">
        <v>1</v>
      </c>
      <c r="D10805">
        <v>20</v>
      </c>
      <c r="E10805">
        <v>25</v>
      </c>
    </row>
    <row r="10806" spans="1:5" x14ac:dyDescent="0.3">
      <c r="A10806" t="s">
        <v>20</v>
      </c>
      <c r="B10806" s="1">
        <v>44691</v>
      </c>
      <c r="C10806">
        <v>1</v>
      </c>
      <c r="D10806">
        <v>20</v>
      </c>
      <c r="E10806">
        <v>25</v>
      </c>
    </row>
    <row r="10807" spans="1:5" x14ac:dyDescent="0.3">
      <c r="A10807" t="s">
        <v>20</v>
      </c>
      <c r="B10807" s="1">
        <v>44691</v>
      </c>
      <c r="C10807">
        <v>1</v>
      </c>
      <c r="D10807">
        <v>20</v>
      </c>
      <c r="E10807">
        <v>25</v>
      </c>
    </row>
    <row r="10808" spans="1:5" x14ac:dyDescent="0.3">
      <c r="A10808" t="s">
        <v>20</v>
      </c>
      <c r="B10808" s="1">
        <v>44691</v>
      </c>
      <c r="C10808">
        <v>1</v>
      </c>
      <c r="D10808">
        <v>20</v>
      </c>
      <c r="E10808">
        <v>25</v>
      </c>
    </row>
    <row r="10809" spans="1:5" x14ac:dyDescent="0.3">
      <c r="A10809" t="s">
        <v>20</v>
      </c>
      <c r="B10809" s="1">
        <v>44691</v>
      </c>
      <c r="C10809">
        <v>1</v>
      </c>
      <c r="D10809">
        <v>20</v>
      </c>
      <c r="E10809">
        <v>25</v>
      </c>
    </row>
    <row r="10810" spans="1:5" x14ac:dyDescent="0.3">
      <c r="A10810" t="s">
        <v>20</v>
      </c>
      <c r="B10810" s="1">
        <v>44691</v>
      </c>
      <c r="C10810">
        <v>1</v>
      </c>
      <c r="D10810">
        <v>20</v>
      </c>
      <c r="E10810">
        <v>25</v>
      </c>
    </row>
    <row r="10811" spans="1:5" x14ac:dyDescent="0.3">
      <c r="A10811" t="s">
        <v>20</v>
      </c>
      <c r="B10811" s="1">
        <v>44691</v>
      </c>
      <c r="C10811">
        <v>1</v>
      </c>
      <c r="D10811">
        <v>20</v>
      </c>
      <c r="E10811">
        <v>25</v>
      </c>
    </row>
    <row r="10812" spans="1:5" x14ac:dyDescent="0.3">
      <c r="A10812" t="s">
        <v>135</v>
      </c>
      <c r="B10812" s="1">
        <v>44691</v>
      </c>
      <c r="C10812">
        <v>1</v>
      </c>
      <c r="D10812">
        <v>72.599999999999994</v>
      </c>
      <c r="E10812">
        <v>90</v>
      </c>
    </row>
    <row r="10813" spans="1:5" x14ac:dyDescent="0.3">
      <c r="A10813" t="s">
        <v>23</v>
      </c>
      <c r="B10813" s="1">
        <v>44691</v>
      </c>
      <c r="C10813">
        <v>1</v>
      </c>
      <c r="D10813">
        <v>110.23</v>
      </c>
      <c r="E10813">
        <v>124</v>
      </c>
    </row>
    <row r="10814" spans="1:5" x14ac:dyDescent="0.3">
      <c r="A10814" t="s">
        <v>10</v>
      </c>
      <c r="B10814" s="1">
        <v>44691</v>
      </c>
      <c r="C10814">
        <v>1</v>
      </c>
      <c r="D10814">
        <v>10.34</v>
      </c>
      <c r="E10814">
        <v>13</v>
      </c>
    </row>
    <row r="10815" spans="1:5" x14ac:dyDescent="0.3">
      <c r="A10815" t="s">
        <v>74</v>
      </c>
      <c r="B10815" s="1">
        <v>44691</v>
      </c>
      <c r="C10815">
        <v>1</v>
      </c>
      <c r="D10815">
        <v>87.36</v>
      </c>
      <c r="E10815">
        <v>109</v>
      </c>
    </row>
    <row r="10816" spans="1:5" x14ac:dyDescent="0.3">
      <c r="A10816" t="s">
        <v>131</v>
      </c>
      <c r="B10816" s="1">
        <v>44691</v>
      </c>
      <c r="C10816">
        <v>1</v>
      </c>
      <c r="D10816">
        <v>363</v>
      </c>
      <c r="E10816">
        <v>436</v>
      </c>
    </row>
    <row r="10817" spans="1:5" x14ac:dyDescent="0.3">
      <c r="A10817" t="s">
        <v>50</v>
      </c>
      <c r="B10817" s="1">
        <v>44691</v>
      </c>
      <c r="C10817">
        <v>1</v>
      </c>
      <c r="D10817">
        <v>45.28</v>
      </c>
      <c r="E10817">
        <v>56</v>
      </c>
    </row>
    <row r="10818" spans="1:5" x14ac:dyDescent="0.3">
      <c r="A10818" t="s">
        <v>130</v>
      </c>
      <c r="B10818" s="1">
        <v>44691</v>
      </c>
      <c r="C10818">
        <v>1</v>
      </c>
      <c r="D10818">
        <v>27.6</v>
      </c>
      <c r="E10818">
        <v>33</v>
      </c>
    </row>
    <row r="10819" spans="1:5" x14ac:dyDescent="0.3">
      <c r="A10819" t="s">
        <v>130</v>
      </c>
      <c r="B10819" s="1">
        <v>44691</v>
      </c>
      <c r="C10819">
        <v>1</v>
      </c>
      <c r="D10819">
        <v>27.6</v>
      </c>
      <c r="E10819">
        <v>33</v>
      </c>
    </row>
    <row r="10820" spans="1:5" x14ac:dyDescent="0.3">
      <c r="A10820" t="s">
        <v>130</v>
      </c>
      <c r="B10820" s="1">
        <v>44691</v>
      </c>
      <c r="C10820">
        <v>1</v>
      </c>
      <c r="D10820">
        <v>27.6</v>
      </c>
      <c r="E10820">
        <v>33</v>
      </c>
    </row>
    <row r="10821" spans="1:5" x14ac:dyDescent="0.3">
      <c r="A10821" t="s">
        <v>130</v>
      </c>
      <c r="B10821" s="1">
        <v>44691</v>
      </c>
      <c r="C10821">
        <v>1</v>
      </c>
      <c r="D10821">
        <v>27.6</v>
      </c>
      <c r="E10821">
        <v>33</v>
      </c>
    </row>
    <row r="10822" spans="1:5" x14ac:dyDescent="0.3">
      <c r="A10822" t="s">
        <v>65</v>
      </c>
      <c r="B10822" s="1">
        <v>44691</v>
      </c>
      <c r="C10822">
        <v>1</v>
      </c>
      <c r="D10822">
        <v>192.99</v>
      </c>
      <c r="E10822">
        <v>246</v>
      </c>
    </row>
    <row r="10823" spans="1:5" x14ac:dyDescent="0.3">
      <c r="A10823" t="s">
        <v>123</v>
      </c>
      <c r="B10823" s="1">
        <v>44691</v>
      </c>
      <c r="C10823">
        <v>1</v>
      </c>
      <c r="D10823">
        <v>64.709999999999994</v>
      </c>
      <c r="E10823">
        <v>80</v>
      </c>
    </row>
    <row r="10824" spans="1:5" x14ac:dyDescent="0.3">
      <c r="A10824" t="s">
        <v>71</v>
      </c>
      <c r="B10824" s="1">
        <v>44691</v>
      </c>
      <c r="C10824">
        <v>1</v>
      </c>
      <c r="D10824">
        <v>57.59</v>
      </c>
      <c r="E10824">
        <v>82</v>
      </c>
    </row>
    <row r="10825" spans="1:5" x14ac:dyDescent="0.3">
      <c r="A10825" t="s">
        <v>153</v>
      </c>
      <c r="B10825" s="1">
        <v>44691</v>
      </c>
      <c r="C10825">
        <v>1</v>
      </c>
      <c r="D10825">
        <v>9.4600000000000009</v>
      </c>
      <c r="E10825">
        <v>11</v>
      </c>
    </row>
    <row r="10826" spans="1:5" x14ac:dyDescent="0.3">
      <c r="A10826" t="s">
        <v>130</v>
      </c>
      <c r="B10826" s="1">
        <v>44691</v>
      </c>
      <c r="C10826">
        <v>1</v>
      </c>
      <c r="D10826">
        <v>23.6</v>
      </c>
      <c r="E10826">
        <v>29</v>
      </c>
    </row>
    <row r="10827" spans="1:5" x14ac:dyDescent="0.3">
      <c r="A10827" t="s">
        <v>130</v>
      </c>
      <c r="B10827" s="1">
        <v>44691</v>
      </c>
      <c r="C10827">
        <v>1</v>
      </c>
      <c r="D10827">
        <v>23.6</v>
      </c>
      <c r="E10827">
        <v>29</v>
      </c>
    </row>
    <row r="10828" spans="1:5" x14ac:dyDescent="0.3">
      <c r="A10828" t="s">
        <v>96</v>
      </c>
      <c r="B10828" s="1">
        <v>44691</v>
      </c>
      <c r="C10828">
        <v>1</v>
      </c>
      <c r="D10828">
        <v>72.73</v>
      </c>
      <c r="E10828">
        <v>109</v>
      </c>
    </row>
    <row r="10829" spans="1:5" x14ac:dyDescent="0.3">
      <c r="A10829" t="s">
        <v>47</v>
      </c>
      <c r="B10829" s="1">
        <v>44691</v>
      </c>
      <c r="C10829">
        <v>1</v>
      </c>
      <c r="D10829">
        <v>43.49</v>
      </c>
      <c r="E10829">
        <v>69</v>
      </c>
    </row>
    <row r="10830" spans="1:5" x14ac:dyDescent="0.3">
      <c r="A10830" t="s">
        <v>51</v>
      </c>
      <c r="B10830" s="1">
        <v>44691</v>
      </c>
      <c r="C10830">
        <v>20</v>
      </c>
      <c r="D10830">
        <v>1.98</v>
      </c>
      <c r="E10830">
        <v>3.2</v>
      </c>
    </row>
    <row r="10831" spans="1:5" x14ac:dyDescent="0.3">
      <c r="A10831" t="s">
        <v>54</v>
      </c>
      <c r="B10831" s="1">
        <v>44691</v>
      </c>
      <c r="C10831">
        <v>1</v>
      </c>
      <c r="D10831">
        <v>678.27</v>
      </c>
      <c r="E10831">
        <v>875</v>
      </c>
    </row>
    <row r="10832" spans="1:5" x14ac:dyDescent="0.3">
      <c r="A10832" t="s">
        <v>145</v>
      </c>
      <c r="B10832" s="1">
        <v>44691</v>
      </c>
      <c r="C10832">
        <v>1</v>
      </c>
      <c r="D10832">
        <v>25.3</v>
      </c>
      <c r="E10832">
        <v>31</v>
      </c>
    </row>
    <row r="10833" spans="1:5" x14ac:dyDescent="0.3">
      <c r="A10833" t="s">
        <v>145</v>
      </c>
      <c r="B10833" s="1">
        <v>44691</v>
      </c>
      <c r="C10833">
        <v>1</v>
      </c>
      <c r="D10833">
        <v>25.3</v>
      </c>
      <c r="E10833">
        <v>31</v>
      </c>
    </row>
    <row r="10834" spans="1:5" x14ac:dyDescent="0.3">
      <c r="A10834" t="s">
        <v>64</v>
      </c>
      <c r="B10834" s="1">
        <v>44691</v>
      </c>
      <c r="C10834">
        <v>1</v>
      </c>
      <c r="D10834">
        <v>198.66</v>
      </c>
      <c r="E10834">
        <v>273</v>
      </c>
    </row>
    <row r="10835" spans="1:5" x14ac:dyDescent="0.3">
      <c r="A10835" t="s">
        <v>120</v>
      </c>
      <c r="B10835" s="1">
        <v>44691</v>
      </c>
      <c r="C10835">
        <v>1</v>
      </c>
      <c r="D10835">
        <v>132.56</v>
      </c>
      <c r="E10835">
        <v>185</v>
      </c>
    </row>
    <row r="10836" spans="1:5" x14ac:dyDescent="0.3">
      <c r="A10836" t="s">
        <v>143</v>
      </c>
      <c r="B10836" s="1">
        <v>44691</v>
      </c>
      <c r="C10836">
        <v>1</v>
      </c>
      <c r="D10836">
        <v>45.99</v>
      </c>
      <c r="E10836">
        <v>70</v>
      </c>
    </row>
    <row r="10837" spans="1:5" x14ac:dyDescent="0.3">
      <c r="A10837" t="s">
        <v>66</v>
      </c>
      <c r="B10837" s="1">
        <v>44691</v>
      </c>
      <c r="C10837">
        <v>1</v>
      </c>
      <c r="D10837">
        <v>32.01</v>
      </c>
      <c r="E10837">
        <v>39</v>
      </c>
    </row>
    <row r="10838" spans="1:5" x14ac:dyDescent="0.3">
      <c r="A10838" t="s">
        <v>66</v>
      </c>
      <c r="B10838" s="1">
        <v>44691</v>
      </c>
      <c r="C10838">
        <v>1</v>
      </c>
      <c r="D10838">
        <v>32.01</v>
      </c>
      <c r="E10838">
        <v>39</v>
      </c>
    </row>
    <row r="10839" spans="1:5" x14ac:dyDescent="0.3">
      <c r="A10839" t="s">
        <v>66</v>
      </c>
      <c r="B10839" s="1">
        <v>44691</v>
      </c>
      <c r="C10839">
        <v>1</v>
      </c>
      <c r="D10839">
        <v>32.01</v>
      </c>
      <c r="E10839">
        <v>39</v>
      </c>
    </row>
    <row r="10840" spans="1:5" x14ac:dyDescent="0.3">
      <c r="A10840" t="s">
        <v>66</v>
      </c>
      <c r="B10840" s="1">
        <v>44691</v>
      </c>
      <c r="C10840">
        <v>1</v>
      </c>
      <c r="D10840">
        <v>32.01</v>
      </c>
      <c r="E10840">
        <v>39</v>
      </c>
    </row>
    <row r="10841" spans="1:5" x14ac:dyDescent="0.3">
      <c r="A10841" t="s">
        <v>66</v>
      </c>
      <c r="B10841" s="1">
        <v>44691</v>
      </c>
      <c r="C10841">
        <v>1</v>
      </c>
      <c r="D10841">
        <v>32.01</v>
      </c>
      <c r="E10841">
        <v>39</v>
      </c>
    </row>
    <row r="10842" spans="1:5" x14ac:dyDescent="0.3">
      <c r="A10842" t="s">
        <v>5</v>
      </c>
      <c r="B10842" s="1">
        <v>44691</v>
      </c>
      <c r="C10842">
        <v>1</v>
      </c>
      <c r="D10842">
        <v>134.41</v>
      </c>
      <c r="E10842">
        <v>162</v>
      </c>
    </row>
    <row r="10843" spans="1:5" x14ac:dyDescent="0.3">
      <c r="A10843" t="s">
        <v>62</v>
      </c>
      <c r="B10843" s="1">
        <v>44691</v>
      </c>
      <c r="C10843">
        <v>1</v>
      </c>
      <c r="D10843">
        <v>25.71</v>
      </c>
      <c r="E10843">
        <v>31</v>
      </c>
    </row>
    <row r="10844" spans="1:5" x14ac:dyDescent="0.3">
      <c r="A10844" t="s">
        <v>52</v>
      </c>
      <c r="B10844" s="1">
        <v>44691</v>
      </c>
      <c r="C10844">
        <v>1</v>
      </c>
      <c r="D10844">
        <v>202.33</v>
      </c>
      <c r="E10844">
        <v>243</v>
      </c>
    </row>
    <row r="10845" spans="1:5" x14ac:dyDescent="0.3">
      <c r="A10845" t="s">
        <v>160</v>
      </c>
      <c r="B10845" s="1">
        <v>44691</v>
      </c>
      <c r="C10845">
        <v>1</v>
      </c>
      <c r="D10845">
        <v>81.819999999999993</v>
      </c>
      <c r="E10845">
        <v>99</v>
      </c>
    </row>
    <row r="10846" spans="1:5" x14ac:dyDescent="0.3">
      <c r="A10846" t="s">
        <v>160</v>
      </c>
      <c r="B10846" s="1">
        <v>44691</v>
      </c>
      <c r="C10846">
        <v>1</v>
      </c>
      <c r="D10846">
        <v>81.819999999999993</v>
      </c>
      <c r="E10846">
        <v>99</v>
      </c>
    </row>
    <row r="10847" spans="1:5" x14ac:dyDescent="0.3">
      <c r="A10847" t="s">
        <v>136</v>
      </c>
      <c r="B10847" s="1">
        <v>44691</v>
      </c>
      <c r="C10847">
        <v>1</v>
      </c>
      <c r="D10847">
        <v>292.33999999999997</v>
      </c>
      <c r="E10847">
        <v>410</v>
      </c>
    </row>
    <row r="10848" spans="1:5" x14ac:dyDescent="0.3">
      <c r="A10848" t="s">
        <v>56</v>
      </c>
      <c r="B10848" s="1">
        <v>44691</v>
      </c>
      <c r="C10848">
        <v>1</v>
      </c>
      <c r="D10848">
        <v>43.97</v>
      </c>
      <c r="E10848">
        <v>67</v>
      </c>
    </row>
    <row r="10849" spans="1:5" x14ac:dyDescent="0.3">
      <c r="A10849" t="s">
        <v>131</v>
      </c>
      <c r="B10849" s="1">
        <v>44691</v>
      </c>
      <c r="C10849">
        <v>1</v>
      </c>
      <c r="D10849">
        <v>365.29</v>
      </c>
      <c r="E10849">
        <v>421</v>
      </c>
    </row>
    <row r="10850" spans="1:5" x14ac:dyDescent="0.3">
      <c r="A10850" t="s">
        <v>5</v>
      </c>
      <c r="B10850" s="1">
        <v>44691</v>
      </c>
      <c r="C10850">
        <v>1</v>
      </c>
      <c r="D10850">
        <v>145.6</v>
      </c>
      <c r="E10850">
        <v>172</v>
      </c>
    </row>
    <row r="10851" spans="1:5" x14ac:dyDescent="0.3">
      <c r="A10851" t="s">
        <v>129</v>
      </c>
      <c r="B10851" s="1">
        <v>44691</v>
      </c>
      <c r="C10851">
        <v>0.04</v>
      </c>
      <c r="D10851">
        <v>513.71</v>
      </c>
      <c r="E10851">
        <v>566</v>
      </c>
    </row>
    <row r="10852" spans="1:5" x14ac:dyDescent="0.3">
      <c r="A10852" t="s">
        <v>65</v>
      </c>
      <c r="B10852" s="1">
        <v>44691</v>
      </c>
      <c r="C10852">
        <v>1</v>
      </c>
      <c r="D10852">
        <v>176.42</v>
      </c>
      <c r="E10852">
        <v>207</v>
      </c>
    </row>
    <row r="10853" spans="1:5" x14ac:dyDescent="0.3">
      <c r="A10853" t="s">
        <v>23</v>
      </c>
      <c r="B10853" s="1">
        <v>44691</v>
      </c>
      <c r="C10853">
        <v>1</v>
      </c>
      <c r="D10853">
        <v>110.36</v>
      </c>
      <c r="E10853">
        <v>124</v>
      </c>
    </row>
    <row r="10854" spans="1:5" x14ac:dyDescent="0.3">
      <c r="A10854" t="s">
        <v>77</v>
      </c>
      <c r="B10854" s="1">
        <v>44691</v>
      </c>
      <c r="C10854">
        <v>1</v>
      </c>
      <c r="D10854">
        <v>60.3</v>
      </c>
      <c r="E10854">
        <v>75</v>
      </c>
    </row>
    <row r="10855" spans="1:5" x14ac:dyDescent="0.3">
      <c r="A10855" t="s">
        <v>60</v>
      </c>
      <c r="B10855" s="1">
        <v>44691</v>
      </c>
      <c r="C10855">
        <v>1</v>
      </c>
      <c r="D10855">
        <v>58.15</v>
      </c>
      <c r="E10855">
        <v>72</v>
      </c>
    </row>
    <row r="10856" spans="1:5" x14ac:dyDescent="0.3">
      <c r="A10856" t="s">
        <v>153</v>
      </c>
      <c r="B10856" s="1">
        <v>44691</v>
      </c>
      <c r="C10856">
        <v>1</v>
      </c>
      <c r="D10856">
        <v>10.34</v>
      </c>
      <c r="E10856">
        <v>12</v>
      </c>
    </row>
    <row r="10857" spans="1:5" x14ac:dyDescent="0.3">
      <c r="A10857" t="s">
        <v>118</v>
      </c>
      <c r="B10857" s="1">
        <v>44691</v>
      </c>
      <c r="C10857">
        <v>1</v>
      </c>
      <c r="D10857">
        <v>10.79</v>
      </c>
      <c r="E10857">
        <v>13</v>
      </c>
    </row>
    <row r="10858" spans="1:5" x14ac:dyDescent="0.3">
      <c r="A10858" t="s">
        <v>118</v>
      </c>
      <c r="B10858" s="1">
        <v>44691</v>
      </c>
      <c r="C10858">
        <v>1</v>
      </c>
      <c r="D10858">
        <v>10.79</v>
      </c>
      <c r="E10858">
        <v>13</v>
      </c>
    </row>
    <row r="10859" spans="1:5" x14ac:dyDescent="0.3">
      <c r="A10859" t="s">
        <v>85</v>
      </c>
      <c r="B10859" s="1">
        <v>44691</v>
      </c>
      <c r="C10859">
        <v>1</v>
      </c>
      <c r="D10859">
        <v>15.95</v>
      </c>
      <c r="E10859">
        <v>25</v>
      </c>
    </row>
    <row r="10860" spans="1:5" x14ac:dyDescent="0.3">
      <c r="A10860" t="s">
        <v>85</v>
      </c>
      <c r="B10860" s="1">
        <v>44691</v>
      </c>
      <c r="C10860">
        <v>1</v>
      </c>
      <c r="D10860">
        <v>15.95</v>
      </c>
      <c r="E10860">
        <v>25</v>
      </c>
    </row>
    <row r="10861" spans="1:5" x14ac:dyDescent="0.3">
      <c r="A10861" t="s">
        <v>85</v>
      </c>
      <c r="B10861" s="1">
        <v>44691</v>
      </c>
      <c r="C10861">
        <v>1</v>
      </c>
      <c r="D10861">
        <v>15.95</v>
      </c>
      <c r="E10861">
        <v>25</v>
      </c>
    </row>
    <row r="10862" spans="1:5" x14ac:dyDescent="0.3">
      <c r="A10862" t="s">
        <v>61</v>
      </c>
      <c r="B10862" s="1">
        <v>44691</v>
      </c>
      <c r="C10862">
        <v>1</v>
      </c>
      <c r="D10862">
        <v>32.799999999999997</v>
      </c>
      <c r="E10862">
        <v>50</v>
      </c>
    </row>
    <row r="10863" spans="1:5" x14ac:dyDescent="0.3">
      <c r="A10863" t="s">
        <v>138</v>
      </c>
      <c r="B10863" s="1">
        <v>44691</v>
      </c>
      <c r="C10863">
        <v>2</v>
      </c>
      <c r="D10863">
        <v>46.5</v>
      </c>
      <c r="E10863">
        <v>76</v>
      </c>
    </row>
    <row r="10864" spans="1:5" x14ac:dyDescent="0.3">
      <c r="A10864" t="s">
        <v>64</v>
      </c>
      <c r="B10864" s="1">
        <v>44691</v>
      </c>
      <c r="C10864">
        <v>1</v>
      </c>
      <c r="D10864">
        <v>198.66</v>
      </c>
      <c r="E10864">
        <v>273</v>
      </c>
    </row>
    <row r="10865" spans="1:5" x14ac:dyDescent="0.3">
      <c r="A10865" t="s">
        <v>5</v>
      </c>
      <c r="B10865" s="1">
        <v>44691</v>
      </c>
      <c r="C10865">
        <v>1</v>
      </c>
      <c r="D10865">
        <v>146.1</v>
      </c>
      <c r="E10865">
        <v>173</v>
      </c>
    </row>
    <row r="10866" spans="1:5" x14ac:dyDescent="0.3">
      <c r="A10866" t="s">
        <v>121</v>
      </c>
      <c r="B10866" s="1">
        <v>44691</v>
      </c>
      <c r="C10866">
        <v>1</v>
      </c>
      <c r="D10866">
        <v>7.24</v>
      </c>
      <c r="E10866">
        <v>12</v>
      </c>
    </row>
    <row r="10867" spans="1:5" x14ac:dyDescent="0.3">
      <c r="A10867" t="s">
        <v>28</v>
      </c>
      <c r="B10867" s="1">
        <v>44691</v>
      </c>
      <c r="C10867">
        <v>1</v>
      </c>
      <c r="D10867">
        <v>149.01</v>
      </c>
      <c r="E10867">
        <v>205</v>
      </c>
    </row>
    <row r="10868" spans="1:5" x14ac:dyDescent="0.3">
      <c r="A10868" t="s">
        <v>12</v>
      </c>
      <c r="B10868" s="1">
        <v>44691</v>
      </c>
      <c r="C10868">
        <v>1</v>
      </c>
      <c r="D10868">
        <v>61.03</v>
      </c>
      <c r="E10868">
        <v>75</v>
      </c>
    </row>
    <row r="10869" spans="1:5" x14ac:dyDescent="0.3">
      <c r="A10869" t="s">
        <v>25</v>
      </c>
      <c r="B10869" s="1">
        <v>44691</v>
      </c>
      <c r="C10869">
        <v>1</v>
      </c>
      <c r="D10869">
        <v>149.91999999999999</v>
      </c>
      <c r="E10869">
        <v>180</v>
      </c>
    </row>
    <row r="10870" spans="1:5" x14ac:dyDescent="0.3">
      <c r="A10870" t="s">
        <v>150</v>
      </c>
      <c r="B10870" s="1">
        <v>44691</v>
      </c>
      <c r="C10870">
        <v>1</v>
      </c>
      <c r="D10870">
        <v>77.400000000000006</v>
      </c>
      <c r="E10870">
        <v>120</v>
      </c>
    </row>
    <row r="10871" spans="1:5" x14ac:dyDescent="0.3">
      <c r="A10871" t="s">
        <v>24</v>
      </c>
      <c r="B10871" s="1">
        <v>44691</v>
      </c>
      <c r="C10871">
        <v>1</v>
      </c>
      <c r="D10871">
        <v>98.67</v>
      </c>
      <c r="E10871">
        <v>115</v>
      </c>
    </row>
    <row r="10872" spans="1:5" x14ac:dyDescent="0.3">
      <c r="A10872" t="s">
        <v>112</v>
      </c>
      <c r="B10872" s="1">
        <v>44691</v>
      </c>
      <c r="C10872">
        <v>1</v>
      </c>
      <c r="D10872">
        <v>291.3</v>
      </c>
      <c r="E10872">
        <v>331</v>
      </c>
    </row>
    <row r="10873" spans="1:5" x14ac:dyDescent="0.3">
      <c r="A10873" t="s">
        <v>138</v>
      </c>
      <c r="B10873" s="1">
        <v>44691</v>
      </c>
      <c r="C10873">
        <v>1</v>
      </c>
      <c r="D10873">
        <v>46.5</v>
      </c>
      <c r="E10873">
        <v>75</v>
      </c>
    </row>
    <row r="10874" spans="1:5" x14ac:dyDescent="0.3">
      <c r="A10874" t="s">
        <v>26</v>
      </c>
      <c r="B10874" s="1">
        <v>44691</v>
      </c>
      <c r="C10874">
        <v>1</v>
      </c>
      <c r="D10874">
        <v>989.8</v>
      </c>
      <c r="E10874">
        <v>1238</v>
      </c>
    </row>
    <row r="10875" spans="1:5" x14ac:dyDescent="0.3">
      <c r="A10875" t="s">
        <v>71</v>
      </c>
      <c r="B10875" s="1">
        <v>44691</v>
      </c>
      <c r="C10875">
        <v>1</v>
      </c>
      <c r="D10875">
        <v>57.59</v>
      </c>
      <c r="E10875">
        <v>82</v>
      </c>
    </row>
    <row r="10876" spans="1:5" x14ac:dyDescent="0.3">
      <c r="A10876" t="s">
        <v>71</v>
      </c>
      <c r="B10876" s="1">
        <v>44691</v>
      </c>
      <c r="C10876">
        <v>1</v>
      </c>
      <c r="D10876">
        <v>57.59</v>
      </c>
      <c r="E10876">
        <v>82</v>
      </c>
    </row>
    <row r="10877" spans="1:5" x14ac:dyDescent="0.3">
      <c r="A10877" t="s">
        <v>19</v>
      </c>
      <c r="B10877" s="1">
        <v>44691</v>
      </c>
      <c r="C10877">
        <v>1</v>
      </c>
      <c r="D10877">
        <v>81.760000000000005</v>
      </c>
      <c r="E10877">
        <v>102</v>
      </c>
    </row>
    <row r="10878" spans="1:5" x14ac:dyDescent="0.3">
      <c r="A10878" t="s">
        <v>60</v>
      </c>
      <c r="B10878" s="1">
        <v>44691</v>
      </c>
      <c r="C10878">
        <v>1</v>
      </c>
      <c r="D10878">
        <v>65.63</v>
      </c>
      <c r="E10878">
        <v>79</v>
      </c>
    </row>
    <row r="10879" spans="1:5" x14ac:dyDescent="0.3">
      <c r="A10879" t="s">
        <v>24</v>
      </c>
      <c r="B10879" s="1">
        <v>44691</v>
      </c>
      <c r="C10879">
        <v>1</v>
      </c>
      <c r="D10879">
        <v>98.67</v>
      </c>
      <c r="E10879">
        <v>115</v>
      </c>
    </row>
    <row r="10880" spans="1:5" x14ac:dyDescent="0.3">
      <c r="A10880" t="s">
        <v>65</v>
      </c>
      <c r="B10880" s="1">
        <v>44691</v>
      </c>
      <c r="C10880">
        <v>1</v>
      </c>
      <c r="D10880">
        <v>176.42</v>
      </c>
      <c r="E10880">
        <v>207</v>
      </c>
    </row>
    <row r="10881" spans="1:5" x14ac:dyDescent="0.3">
      <c r="A10881" t="s">
        <v>25</v>
      </c>
      <c r="B10881" s="1">
        <v>44691</v>
      </c>
      <c r="C10881">
        <v>1</v>
      </c>
      <c r="D10881">
        <v>147.18</v>
      </c>
      <c r="E10881">
        <v>177</v>
      </c>
    </row>
    <row r="10882" spans="1:5" x14ac:dyDescent="0.3">
      <c r="A10882" t="s">
        <v>15</v>
      </c>
      <c r="B10882" s="1">
        <v>44691</v>
      </c>
      <c r="C10882">
        <v>1</v>
      </c>
      <c r="D10882">
        <v>44.41</v>
      </c>
      <c r="E10882">
        <v>72</v>
      </c>
    </row>
    <row r="10883" spans="1:5" x14ac:dyDescent="0.3">
      <c r="A10883" t="s">
        <v>129</v>
      </c>
      <c r="B10883" s="1">
        <v>44691</v>
      </c>
      <c r="C10883">
        <v>0.12</v>
      </c>
      <c r="D10883">
        <v>539.69000000000005</v>
      </c>
      <c r="E10883">
        <v>597</v>
      </c>
    </row>
    <row r="10884" spans="1:5" x14ac:dyDescent="0.3">
      <c r="A10884" t="s">
        <v>146</v>
      </c>
      <c r="B10884" s="1">
        <v>44691</v>
      </c>
      <c r="C10884">
        <v>1</v>
      </c>
      <c r="D10884">
        <v>402.2</v>
      </c>
      <c r="E10884">
        <v>451</v>
      </c>
    </row>
    <row r="10885" spans="1:5" x14ac:dyDescent="0.3">
      <c r="A10885" t="s">
        <v>160</v>
      </c>
      <c r="B10885" s="1">
        <v>44691</v>
      </c>
      <c r="C10885">
        <v>1</v>
      </c>
      <c r="D10885">
        <v>81.87</v>
      </c>
      <c r="E10885">
        <v>100</v>
      </c>
    </row>
    <row r="10886" spans="1:5" x14ac:dyDescent="0.3">
      <c r="A10886" t="s">
        <v>160</v>
      </c>
      <c r="B10886" s="1">
        <v>44691</v>
      </c>
      <c r="C10886">
        <v>1</v>
      </c>
      <c r="D10886">
        <v>81.87</v>
      </c>
      <c r="E10886">
        <v>100</v>
      </c>
    </row>
    <row r="10887" spans="1:5" x14ac:dyDescent="0.3">
      <c r="A10887" t="s">
        <v>24</v>
      </c>
      <c r="B10887" s="1">
        <v>44691</v>
      </c>
      <c r="C10887">
        <v>1</v>
      </c>
      <c r="D10887">
        <v>98.67</v>
      </c>
      <c r="E10887">
        <v>115</v>
      </c>
    </row>
    <row r="10888" spans="1:5" x14ac:dyDescent="0.3">
      <c r="A10888" t="s">
        <v>24</v>
      </c>
      <c r="B10888" s="1">
        <v>44691</v>
      </c>
      <c r="C10888">
        <v>1</v>
      </c>
      <c r="D10888">
        <v>98.67</v>
      </c>
      <c r="E10888">
        <v>115</v>
      </c>
    </row>
    <row r="10889" spans="1:5" x14ac:dyDescent="0.3">
      <c r="A10889" t="s">
        <v>24</v>
      </c>
      <c r="B10889" s="1">
        <v>44691</v>
      </c>
      <c r="C10889">
        <v>1</v>
      </c>
      <c r="D10889">
        <v>98.67</v>
      </c>
      <c r="E10889">
        <v>115</v>
      </c>
    </row>
    <row r="10890" spans="1:5" x14ac:dyDescent="0.3">
      <c r="A10890" t="s">
        <v>24</v>
      </c>
      <c r="B10890" s="1">
        <v>44691</v>
      </c>
      <c r="C10890">
        <v>1</v>
      </c>
      <c r="D10890">
        <v>98.67</v>
      </c>
      <c r="E10890">
        <v>115</v>
      </c>
    </row>
    <row r="10891" spans="1:5" x14ac:dyDescent="0.3">
      <c r="A10891" t="s">
        <v>143</v>
      </c>
      <c r="B10891" s="1">
        <v>44691</v>
      </c>
      <c r="C10891">
        <v>1</v>
      </c>
      <c r="D10891">
        <v>45.99</v>
      </c>
      <c r="E10891">
        <v>70</v>
      </c>
    </row>
    <row r="10892" spans="1:5" x14ac:dyDescent="0.3">
      <c r="A10892" t="s">
        <v>140</v>
      </c>
      <c r="B10892" s="1">
        <v>44691</v>
      </c>
      <c r="C10892">
        <v>1</v>
      </c>
      <c r="D10892">
        <v>173.54</v>
      </c>
      <c r="E10892">
        <v>206</v>
      </c>
    </row>
    <row r="10893" spans="1:5" x14ac:dyDescent="0.3">
      <c r="A10893" t="s">
        <v>157</v>
      </c>
      <c r="B10893" s="1">
        <v>44691</v>
      </c>
      <c r="C10893">
        <v>4</v>
      </c>
      <c r="D10893">
        <v>12</v>
      </c>
      <c r="E10893">
        <v>20</v>
      </c>
    </row>
    <row r="10894" spans="1:5" x14ac:dyDescent="0.3">
      <c r="A10894" t="s">
        <v>65</v>
      </c>
      <c r="B10894" s="1">
        <v>44691</v>
      </c>
      <c r="C10894">
        <v>1</v>
      </c>
      <c r="D10894">
        <v>176.42</v>
      </c>
      <c r="E10894">
        <v>207</v>
      </c>
    </row>
    <row r="10895" spans="1:5" x14ac:dyDescent="0.3">
      <c r="A10895" t="s">
        <v>92</v>
      </c>
      <c r="B10895" s="1">
        <v>44691</v>
      </c>
      <c r="C10895">
        <v>3</v>
      </c>
      <c r="D10895">
        <v>6.18</v>
      </c>
      <c r="E10895">
        <v>9</v>
      </c>
    </row>
    <row r="10896" spans="1:5" x14ac:dyDescent="0.3">
      <c r="A10896" t="s">
        <v>95</v>
      </c>
      <c r="B10896" s="1">
        <v>44691</v>
      </c>
      <c r="C10896">
        <v>0.5</v>
      </c>
      <c r="D10896">
        <v>166.31</v>
      </c>
      <c r="E10896">
        <v>262</v>
      </c>
    </row>
    <row r="10897" spans="1:5" x14ac:dyDescent="0.3">
      <c r="A10897" t="s">
        <v>160</v>
      </c>
      <c r="B10897" s="1">
        <v>44691</v>
      </c>
      <c r="C10897">
        <v>1</v>
      </c>
      <c r="D10897">
        <v>81.87</v>
      </c>
      <c r="E10897">
        <v>100</v>
      </c>
    </row>
    <row r="10898" spans="1:5" x14ac:dyDescent="0.3">
      <c r="A10898" t="s">
        <v>35</v>
      </c>
      <c r="B10898" s="1">
        <v>44691</v>
      </c>
      <c r="C10898">
        <v>1</v>
      </c>
      <c r="D10898">
        <v>35</v>
      </c>
      <c r="E10898">
        <v>54</v>
      </c>
    </row>
    <row r="10899" spans="1:5" x14ac:dyDescent="0.3">
      <c r="A10899" t="s">
        <v>48</v>
      </c>
      <c r="B10899" s="1">
        <v>44691</v>
      </c>
      <c r="C10899">
        <v>1</v>
      </c>
      <c r="D10899">
        <v>41.54</v>
      </c>
      <c r="E10899">
        <v>64</v>
      </c>
    </row>
    <row r="10900" spans="1:5" x14ac:dyDescent="0.3">
      <c r="A10900" t="s">
        <v>48</v>
      </c>
      <c r="B10900" s="1">
        <v>44691</v>
      </c>
      <c r="C10900">
        <v>1</v>
      </c>
      <c r="D10900">
        <v>41.54</v>
      </c>
      <c r="E10900">
        <v>64</v>
      </c>
    </row>
    <row r="10901" spans="1:5" x14ac:dyDescent="0.3">
      <c r="A10901" t="s">
        <v>65</v>
      </c>
      <c r="B10901" s="1">
        <v>44691</v>
      </c>
      <c r="C10901">
        <v>1</v>
      </c>
      <c r="D10901">
        <v>176.42</v>
      </c>
      <c r="E10901">
        <v>207</v>
      </c>
    </row>
    <row r="10902" spans="1:5" x14ac:dyDescent="0.3">
      <c r="A10902" t="s">
        <v>47</v>
      </c>
      <c r="B10902" s="1">
        <v>44691</v>
      </c>
      <c r="C10902">
        <v>1</v>
      </c>
      <c r="D10902">
        <v>43.49</v>
      </c>
      <c r="E10902">
        <v>69</v>
      </c>
    </row>
    <row r="10903" spans="1:5" x14ac:dyDescent="0.3">
      <c r="A10903" t="s">
        <v>55</v>
      </c>
      <c r="B10903" s="1">
        <v>44691</v>
      </c>
      <c r="C10903">
        <v>1</v>
      </c>
      <c r="D10903">
        <v>77.63</v>
      </c>
      <c r="E10903">
        <v>95</v>
      </c>
    </row>
    <row r="10904" spans="1:5" x14ac:dyDescent="0.3">
      <c r="A10904" t="s">
        <v>42</v>
      </c>
      <c r="B10904" s="1">
        <v>44691</v>
      </c>
      <c r="C10904">
        <v>1</v>
      </c>
      <c r="D10904">
        <v>559.34</v>
      </c>
      <c r="E10904">
        <v>644</v>
      </c>
    </row>
    <row r="10905" spans="1:5" x14ac:dyDescent="0.3">
      <c r="A10905" t="s">
        <v>75</v>
      </c>
      <c r="B10905" s="1">
        <v>44691</v>
      </c>
      <c r="C10905">
        <v>1</v>
      </c>
      <c r="D10905">
        <v>463.1</v>
      </c>
      <c r="E10905">
        <v>704</v>
      </c>
    </row>
    <row r="10906" spans="1:5" x14ac:dyDescent="0.3">
      <c r="A10906" t="s">
        <v>91</v>
      </c>
      <c r="B10906" s="1">
        <v>44691</v>
      </c>
      <c r="C10906">
        <v>2</v>
      </c>
      <c r="D10906">
        <v>34.299999999999997</v>
      </c>
      <c r="E10906">
        <v>56</v>
      </c>
    </row>
    <row r="10907" spans="1:5" x14ac:dyDescent="0.3">
      <c r="A10907" t="s">
        <v>91</v>
      </c>
      <c r="B10907" s="1">
        <v>44691</v>
      </c>
      <c r="C10907">
        <v>1</v>
      </c>
      <c r="D10907">
        <v>30.78</v>
      </c>
      <c r="E10907">
        <v>50</v>
      </c>
    </row>
    <row r="10908" spans="1:5" x14ac:dyDescent="0.3">
      <c r="A10908" t="s">
        <v>48</v>
      </c>
      <c r="B10908" s="1">
        <v>44691</v>
      </c>
      <c r="C10908">
        <v>1</v>
      </c>
      <c r="D10908">
        <v>38.67</v>
      </c>
      <c r="E10908">
        <v>60</v>
      </c>
    </row>
    <row r="10909" spans="1:5" x14ac:dyDescent="0.3">
      <c r="A10909" t="s">
        <v>115</v>
      </c>
      <c r="B10909" s="1">
        <v>44691</v>
      </c>
      <c r="C10909">
        <v>1</v>
      </c>
      <c r="D10909">
        <v>72</v>
      </c>
      <c r="E10909">
        <v>91</v>
      </c>
    </row>
    <row r="10910" spans="1:5" x14ac:dyDescent="0.3">
      <c r="A10910" t="s">
        <v>129</v>
      </c>
      <c r="B10910" s="1">
        <v>44691</v>
      </c>
      <c r="C10910">
        <v>0.04</v>
      </c>
      <c r="D10910">
        <v>497.82</v>
      </c>
      <c r="E10910">
        <v>598</v>
      </c>
    </row>
    <row r="10911" spans="1:5" x14ac:dyDescent="0.3">
      <c r="A10911" t="s">
        <v>115</v>
      </c>
      <c r="B10911" s="1">
        <v>44691</v>
      </c>
      <c r="C10911">
        <v>1</v>
      </c>
      <c r="D10911">
        <v>71.02</v>
      </c>
      <c r="E10911">
        <v>88</v>
      </c>
    </row>
    <row r="10912" spans="1:5" x14ac:dyDescent="0.3">
      <c r="A10912" t="s">
        <v>59</v>
      </c>
      <c r="B10912" s="1">
        <v>44691</v>
      </c>
      <c r="C10912">
        <v>1</v>
      </c>
      <c r="D10912">
        <v>12.02</v>
      </c>
      <c r="E10912">
        <v>20</v>
      </c>
    </row>
    <row r="10913" spans="1:5" x14ac:dyDescent="0.3">
      <c r="A10913" t="s">
        <v>95</v>
      </c>
      <c r="B10913" s="1">
        <v>44691</v>
      </c>
      <c r="C10913">
        <v>0.5</v>
      </c>
      <c r="D10913">
        <v>166.31</v>
      </c>
      <c r="E10913">
        <v>262</v>
      </c>
    </row>
    <row r="10914" spans="1:5" x14ac:dyDescent="0.3">
      <c r="A10914" t="s">
        <v>88</v>
      </c>
      <c r="B10914" s="1">
        <v>44691</v>
      </c>
      <c r="C10914">
        <v>0.5</v>
      </c>
      <c r="D10914">
        <v>136.57</v>
      </c>
      <c r="E10914">
        <v>215</v>
      </c>
    </row>
    <row r="10915" spans="1:5" x14ac:dyDescent="0.3">
      <c r="A10915" t="s">
        <v>8</v>
      </c>
      <c r="B10915" s="1">
        <v>44691</v>
      </c>
      <c r="C10915">
        <v>1</v>
      </c>
      <c r="D10915">
        <v>59.15</v>
      </c>
      <c r="E10915">
        <v>93</v>
      </c>
    </row>
    <row r="10916" spans="1:5" x14ac:dyDescent="0.3">
      <c r="A10916" t="s">
        <v>21</v>
      </c>
      <c r="B10916" s="1">
        <v>44691</v>
      </c>
      <c r="C10916">
        <v>1</v>
      </c>
      <c r="D10916">
        <v>182.55</v>
      </c>
      <c r="E10916">
        <v>254</v>
      </c>
    </row>
    <row r="10917" spans="1:5" x14ac:dyDescent="0.3">
      <c r="A10917" t="s">
        <v>155</v>
      </c>
      <c r="B10917" s="1">
        <v>44691</v>
      </c>
      <c r="C10917">
        <v>0.4</v>
      </c>
      <c r="D10917">
        <v>495.72</v>
      </c>
      <c r="E10917">
        <v>704</v>
      </c>
    </row>
    <row r="10918" spans="1:5" x14ac:dyDescent="0.3">
      <c r="A10918" t="s">
        <v>26</v>
      </c>
      <c r="B10918" s="1">
        <v>44691</v>
      </c>
      <c r="C10918">
        <v>0.2</v>
      </c>
      <c r="D10918">
        <v>986.87</v>
      </c>
      <c r="E10918">
        <v>1234</v>
      </c>
    </row>
    <row r="10919" spans="1:5" x14ac:dyDescent="0.3">
      <c r="A10919" t="s">
        <v>56</v>
      </c>
      <c r="B10919" s="1">
        <v>44691</v>
      </c>
      <c r="C10919">
        <v>1</v>
      </c>
      <c r="D10919">
        <v>43.97</v>
      </c>
      <c r="E10919">
        <v>67</v>
      </c>
    </row>
    <row r="10920" spans="1:5" x14ac:dyDescent="0.3">
      <c r="A10920" t="s">
        <v>101</v>
      </c>
      <c r="B10920" s="1">
        <v>44691</v>
      </c>
      <c r="C10920">
        <v>1</v>
      </c>
      <c r="D10920">
        <v>33.89</v>
      </c>
      <c r="E10920">
        <v>53</v>
      </c>
    </row>
    <row r="10921" spans="1:5" x14ac:dyDescent="0.3">
      <c r="A10921" t="s">
        <v>51</v>
      </c>
      <c r="B10921" s="1">
        <v>44691</v>
      </c>
      <c r="C10921">
        <v>20</v>
      </c>
      <c r="D10921">
        <v>1.98</v>
      </c>
      <c r="E10921">
        <v>3.2</v>
      </c>
    </row>
    <row r="10922" spans="1:5" x14ac:dyDescent="0.3">
      <c r="A10922" t="s">
        <v>149</v>
      </c>
      <c r="B10922" s="1">
        <v>44691</v>
      </c>
      <c r="C10922">
        <v>1</v>
      </c>
      <c r="D10922">
        <v>221.03</v>
      </c>
      <c r="E10922">
        <v>303</v>
      </c>
    </row>
    <row r="10923" spans="1:5" x14ac:dyDescent="0.3">
      <c r="A10923" t="s">
        <v>122</v>
      </c>
      <c r="B10923" s="1">
        <v>44691</v>
      </c>
      <c r="C10923">
        <v>1</v>
      </c>
      <c r="D10923">
        <v>21.4</v>
      </c>
      <c r="E10923">
        <v>26</v>
      </c>
    </row>
    <row r="10924" spans="1:5" x14ac:dyDescent="0.3">
      <c r="A10924" t="s">
        <v>47</v>
      </c>
      <c r="B10924" s="1">
        <v>44691</v>
      </c>
      <c r="C10924">
        <v>1</v>
      </c>
      <c r="D10924">
        <v>43.93</v>
      </c>
      <c r="E10924">
        <v>67</v>
      </c>
    </row>
    <row r="10925" spans="1:5" x14ac:dyDescent="0.3">
      <c r="A10925" t="s">
        <v>52</v>
      </c>
      <c r="B10925" s="1">
        <v>44691</v>
      </c>
      <c r="C10925">
        <v>1</v>
      </c>
      <c r="D10925">
        <v>202.33</v>
      </c>
      <c r="E10925">
        <v>243</v>
      </c>
    </row>
    <row r="10926" spans="1:5" x14ac:dyDescent="0.3">
      <c r="A10926" t="s">
        <v>5</v>
      </c>
      <c r="B10926" s="1">
        <v>44691</v>
      </c>
      <c r="C10926">
        <v>1</v>
      </c>
      <c r="D10926">
        <v>145.6</v>
      </c>
      <c r="E10926">
        <v>172</v>
      </c>
    </row>
    <row r="10927" spans="1:5" x14ac:dyDescent="0.3">
      <c r="A10927" t="s">
        <v>23</v>
      </c>
      <c r="B10927" s="1">
        <v>44691</v>
      </c>
      <c r="C10927">
        <v>1</v>
      </c>
      <c r="D10927">
        <v>110.23</v>
      </c>
      <c r="E10927">
        <v>124</v>
      </c>
    </row>
    <row r="10928" spans="1:5" x14ac:dyDescent="0.3">
      <c r="A10928" t="s">
        <v>21</v>
      </c>
      <c r="B10928" s="1">
        <v>44691</v>
      </c>
      <c r="C10928">
        <v>1</v>
      </c>
      <c r="D10928">
        <v>181.56</v>
      </c>
      <c r="E10928">
        <v>256</v>
      </c>
    </row>
    <row r="10929" spans="1:5" x14ac:dyDescent="0.3">
      <c r="A10929" t="s">
        <v>160</v>
      </c>
      <c r="B10929" s="1">
        <v>44691</v>
      </c>
      <c r="C10929">
        <v>1</v>
      </c>
      <c r="D10929">
        <v>79.89</v>
      </c>
      <c r="E10929">
        <v>97</v>
      </c>
    </row>
    <row r="10930" spans="1:5" x14ac:dyDescent="0.3">
      <c r="A10930" t="s">
        <v>34</v>
      </c>
      <c r="B10930" s="1">
        <v>44691</v>
      </c>
      <c r="C10930">
        <v>1</v>
      </c>
      <c r="D10930">
        <v>202.73</v>
      </c>
      <c r="E10930">
        <v>234</v>
      </c>
    </row>
    <row r="10931" spans="1:5" x14ac:dyDescent="0.3">
      <c r="A10931" t="s">
        <v>148</v>
      </c>
      <c r="B10931" s="1">
        <v>44691</v>
      </c>
      <c r="C10931">
        <v>1</v>
      </c>
      <c r="D10931">
        <v>36.840000000000003</v>
      </c>
      <c r="E10931">
        <v>56</v>
      </c>
    </row>
    <row r="10932" spans="1:5" x14ac:dyDescent="0.3">
      <c r="A10932" t="s">
        <v>52</v>
      </c>
      <c r="B10932" s="1">
        <v>44691</v>
      </c>
      <c r="C10932">
        <v>1</v>
      </c>
      <c r="D10932">
        <v>202.33</v>
      </c>
      <c r="E10932">
        <v>243</v>
      </c>
    </row>
    <row r="10933" spans="1:5" x14ac:dyDescent="0.3">
      <c r="A10933" t="s">
        <v>153</v>
      </c>
      <c r="B10933" s="1">
        <v>44691</v>
      </c>
      <c r="C10933">
        <v>1</v>
      </c>
      <c r="D10933">
        <v>10.34</v>
      </c>
      <c r="E10933">
        <v>12</v>
      </c>
    </row>
    <row r="10934" spans="1:5" x14ac:dyDescent="0.3">
      <c r="A10934" t="s">
        <v>153</v>
      </c>
      <c r="B10934" s="1">
        <v>44691</v>
      </c>
      <c r="C10934">
        <v>1</v>
      </c>
      <c r="D10934">
        <v>10.34</v>
      </c>
      <c r="E10934">
        <v>12</v>
      </c>
    </row>
    <row r="10935" spans="1:5" x14ac:dyDescent="0.3">
      <c r="A10935" t="s">
        <v>99</v>
      </c>
      <c r="B10935" s="1">
        <v>44691</v>
      </c>
      <c r="C10935">
        <v>1</v>
      </c>
      <c r="D10935">
        <v>65.52</v>
      </c>
      <c r="E10935">
        <v>77</v>
      </c>
    </row>
    <row r="10936" spans="1:5" x14ac:dyDescent="0.3">
      <c r="A10936" t="s">
        <v>12</v>
      </c>
      <c r="B10936" s="1">
        <v>44691</v>
      </c>
      <c r="C10936">
        <v>1</v>
      </c>
      <c r="D10936">
        <v>60.29</v>
      </c>
      <c r="E10936">
        <v>75</v>
      </c>
    </row>
    <row r="10937" spans="1:5" x14ac:dyDescent="0.3">
      <c r="A10937" t="s">
        <v>12</v>
      </c>
      <c r="B10937" s="1">
        <v>44691</v>
      </c>
      <c r="C10937">
        <v>1</v>
      </c>
      <c r="D10937">
        <v>60.29</v>
      </c>
      <c r="E10937">
        <v>75</v>
      </c>
    </row>
    <row r="10938" spans="1:5" x14ac:dyDescent="0.3">
      <c r="A10938" t="s">
        <v>12</v>
      </c>
      <c r="B10938" s="1">
        <v>44691</v>
      </c>
      <c r="C10938">
        <v>1</v>
      </c>
      <c r="D10938">
        <v>60.29</v>
      </c>
      <c r="E10938">
        <v>75</v>
      </c>
    </row>
    <row r="10939" spans="1:5" x14ac:dyDescent="0.3">
      <c r="A10939" t="s">
        <v>103</v>
      </c>
      <c r="B10939" s="1">
        <v>44691</v>
      </c>
      <c r="C10939">
        <v>1</v>
      </c>
      <c r="D10939">
        <v>41.33</v>
      </c>
      <c r="E10939">
        <v>65</v>
      </c>
    </row>
    <row r="10940" spans="1:5" x14ac:dyDescent="0.3">
      <c r="A10940" t="s">
        <v>18</v>
      </c>
      <c r="B10940" s="1">
        <v>44691</v>
      </c>
      <c r="C10940">
        <v>1</v>
      </c>
      <c r="D10940">
        <v>44</v>
      </c>
      <c r="E10940">
        <v>69</v>
      </c>
    </row>
    <row r="10941" spans="1:5" x14ac:dyDescent="0.3">
      <c r="A10941" t="s">
        <v>10</v>
      </c>
      <c r="B10941" s="1">
        <v>44691</v>
      </c>
      <c r="C10941">
        <v>1</v>
      </c>
      <c r="D10941">
        <v>10.34</v>
      </c>
      <c r="E10941">
        <v>13</v>
      </c>
    </row>
    <row r="10942" spans="1:5" x14ac:dyDescent="0.3">
      <c r="A10942" t="s">
        <v>84</v>
      </c>
      <c r="B10942" s="1">
        <v>44691</v>
      </c>
      <c r="C10942">
        <v>1</v>
      </c>
      <c r="D10942">
        <v>152</v>
      </c>
      <c r="E10942">
        <v>175</v>
      </c>
    </row>
    <row r="10943" spans="1:5" x14ac:dyDescent="0.3">
      <c r="A10943" t="s">
        <v>120</v>
      </c>
      <c r="B10943" s="1">
        <v>44691</v>
      </c>
      <c r="C10943">
        <v>1</v>
      </c>
      <c r="D10943">
        <v>132.26</v>
      </c>
      <c r="E10943">
        <v>182</v>
      </c>
    </row>
    <row r="10944" spans="1:5" x14ac:dyDescent="0.3">
      <c r="A10944" t="s">
        <v>100</v>
      </c>
      <c r="B10944" s="1">
        <v>44691</v>
      </c>
      <c r="C10944">
        <v>1</v>
      </c>
      <c r="D10944">
        <v>36.03</v>
      </c>
      <c r="E10944">
        <v>56</v>
      </c>
    </row>
    <row r="10945" spans="1:5" x14ac:dyDescent="0.3">
      <c r="A10945" t="s">
        <v>100</v>
      </c>
      <c r="B10945" s="1">
        <v>44691</v>
      </c>
      <c r="C10945">
        <v>1</v>
      </c>
      <c r="D10945">
        <v>36.03</v>
      </c>
      <c r="E10945">
        <v>56</v>
      </c>
    </row>
    <row r="10946" spans="1:5" x14ac:dyDescent="0.3">
      <c r="A10946" t="s">
        <v>28</v>
      </c>
      <c r="B10946" s="1">
        <v>44691</v>
      </c>
      <c r="C10946">
        <v>1</v>
      </c>
      <c r="D10946">
        <v>135.44999999999999</v>
      </c>
      <c r="E10946">
        <v>189</v>
      </c>
    </row>
    <row r="10947" spans="1:5" x14ac:dyDescent="0.3">
      <c r="A10947" t="s">
        <v>8</v>
      </c>
      <c r="B10947" s="1">
        <v>44691</v>
      </c>
      <c r="C10947">
        <v>1</v>
      </c>
      <c r="D10947">
        <v>50.12</v>
      </c>
      <c r="E10947">
        <v>79</v>
      </c>
    </row>
    <row r="10948" spans="1:5" x14ac:dyDescent="0.3">
      <c r="A10948" t="s">
        <v>11</v>
      </c>
      <c r="B10948" s="1">
        <v>44691</v>
      </c>
      <c r="C10948">
        <v>1</v>
      </c>
      <c r="D10948">
        <v>24.2</v>
      </c>
      <c r="E10948">
        <v>39</v>
      </c>
    </row>
    <row r="10949" spans="1:5" x14ac:dyDescent="0.3">
      <c r="A10949" t="s">
        <v>45</v>
      </c>
      <c r="B10949" s="1">
        <v>44691</v>
      </c>
      <c r="C10949">
        <v>1</v>
      </c>
      <c r="D10949">
        <v>27.94</v>
      </c>
      <c r="E10949">
        <v>45</v>
      </c>
    </row>
    <row r="10950" spans="1:5" x14ac:dyDescent="0.3">
      <c r="A10950" t="s">
        <v>11</v>
      </c>
      <c r="B10950" s="1">
        <v>44691</v>
      </c>
      <c r="C10950">
        <v>1</v>
      </c>
      <c r="D10950">
        <v>24.2</v>
      </c>
      <c r="E10950">
        <v>39</v>
      </c>
    </row>
    <row r="10951" spans="1:5" x14ac:dyDescent="0.3">
      <c r="A10951" t="s">
        <v>77</v>
      </c>
      <c r="B10951" s="1">
        <v>44691</v>
      </c>
      <c r="C10951">
        <v>1</v>
      </c>
      <c r="D10951">
        <v>60.3</v>
      </c>
      <c r="E10951">
        <v>75</v>
      </c>
    </row>
    <row r="10952" spans="1:5" x14ac:dyDescent="0.3">
      <c r="A10952" t="s">
        <v>134</v>
      </c>
      <c r="B10952" s="1">
        <v>44691</v>
      </c>
      <c r="C10952">
        <v>1</v>
      </c>
      <c r="D10952">
        <v>28.66</v>
      </c>
      <c r="E10952">
        <v>44</v>
      </c>
    </row>
    <row r="10953" spans="1:5" x14ac:dyDescent="0.3">
      <c r="A10953" t="s">
        <v>134</v>
      </c>
      <c r="B10953" s="1">
        <v>44691</v>
      </c>
      <c r="C10953">
        <v>1</v>
      </c>
      <c r="D10953">
        <v>28.66</v>
      </c>
      <c r="E10953">
        <v>44</v>
      </c>
    </row>
    <row r="10954" spans="1:5" x14ac:dyDescent="0.3">
      <c r="A10954" t="s">
        <v>88</v>
      </c>
      <c r="B10954" s="1">
        <v>44691</v>
      </c>
      <c r="C10954">
        <v>0.5</v>
      </c>
      <c r="D10954">
        <v>106.51</v>
      </c>
      <c r="E10954">
        <v>163</v>
      </c>
    </row>
    <row r="10955" spans="1:5" x14ac:dyDescent="0.3">
      <c r="A10955" t="s">
        <v>24</v>
      </c>
      <c r="B10955" s="1">
        <v>44691</v>
      </c>
      <c r="C10955">
        <v>1</v>
      </c>
      <c r="D10955">
        <v>106.05</v>
      </c>
      <c r="E10955">
        <v>125</v>
      </c>
    </row>
    <row r="10956" spans="1:5" x14ac:dyDescent="0.3">
      <c r="A10956" t="s">
        <v>20</v>
      </c>
      <c r="B10956" s="1">
        <v>44689</v>
      </c>
      <c r="C10956">
        <v>1</v>
      </c>
      <c r="D10956">
        <v>20.23</v>
      </c>
      <c r="E10956">
        <v>27</v>
      </c>
    </row>
    <row r="10957" spans="1:5" x14ac:dyDescent="0.3">
      <c r="A10957" t="s">
        <v>150</v>
      </c>
      <c r="B10957" s="1">
        <v>44689</v>
      </c>
      <c r="C10957">
        <v>2</v>
      </c>
      <c r="D10957">
        <v>94.8</v>
      </c>
      <c r="E10957">
        <v>151</v>
      </c>
    </row>
    <row r="10958" spans="1:5" x14ac:dyDescent="0.3">
      <c r="A10958" t="s">
        <v>49</v>
      </c>
      <c r="B10958" s="1">
        <v>44689</v>
      </c>
      <c r="C10958">
        <v>1</v>
      </c>
      <c r="D10958">
        <v>16.02</v>
      </c>
      <c r="E10958">
        <v>19</v>
      </c>
    </row>
    <row r="10959" spans="1:5" x14ac:dyDescent="0.3">
      <c r="A10959" t="s">
        <v>49</v>
      </c>
      <c r="B10959" s="1">
        <v>44689</v>
      </c>
      <c r="C10959">
        <v>1</v>
      </c>
      <c r="D10959">
        <v>16.02</v>
      </c>
      <c r="E10959">
        <v>19</v>
      </c>
    </row>
    <row r="10960" spans="1:5" x14ac:dyDescent="0.3">
      <c r="A10960" t="s">
        <v>7</v>
      </c>
      <c r="B10960" s="1">
        <v>44689</v>
      </c>
      <c r="C10960">
        <v>1</v>
      </c>
      <c r="D10960">
        <v>90.39</v>
      </c>
      <c r="E10960">
        <v>112</v>
      </c>
    </row>
    <row r="10961" spans="1:5" x14ac:dyDescent="0.3">
      <c r="A10961" t="s">
        <v>103</v>
      </c>
      <c r="B10961" s="1">
        <v>44689</v>
      </c>
      <c r="C10961">
        <v>1</v>
      </c>
      <c r="D10961">
        <v>24.84</v>
      </c>
      <c r="E10961">
        <v>38</v>
      </c>
    </row>
    <row r="10962" spans="1:5" x14ac:dyDescent="0.3">
      <c r="A10962" t="s">
        <v>103</v>
      </c>
      <c r="B10962" s="1">
        <v>44689</v>
      </c>
      <c r="C10962">
        <v>1</v>
      </c>
      <c r="D10962">
        <v>24.84</v>
      </c>
      <c r="E10962">
        <v>38</v>
      </c>
    </row>
    <row r="10963" spans="1:5" x14ac:dyDescent="0.3">
      <c r="A10963" t="s">
        <v>103</v>
      </c>
      <c r="B10963" s="1">
        <v>44689</v>
      </c>
      <c r="C10963">
        <v>1</v>
      </c>
      <c r="D10963">
        <v>24.84</v>
      </c>
      <c r="E10963">
        <v>38</v>
      </c>
    </row>
    <row r="10964" spans="1:5" x14ac:dyDescent="0.3">
      <c r="A10964" t="s">
        <v>103</v>
      </c>
      <c r="B10964" s="1">
        <v>44689</v>
      </c>
      <c r="C10964">
        <v>1</v>
      </c>
      <c r="D10964">
        <v>24.84</v>
      </c>
      <c r="E10964">
        <v>38</v>
      </c>
    </row>
    <row r="10965" spans="1:5" x14ac:dyDescent="0.3">
      <c r="A10965" t="s">
        <v>103</v>
      </c>
      <c r="B10965" s="1">
        <v>44689</v>
      </c>
      <c r="C10965">
        <v>1</v>
      </c>
      <c r="D10965">
        <v>24.84</v>
      </c>
      <c r="E10965">
        <v>38</v>
      </c>
    </row>
    <row r="10966" spans="1:5" x14ac:dyDescent="0.3">
      <c r="A10966" t="s">
        <v>91</v>
      </c>
      <c r="B10966" s="1">
        <v>44689</v>
      </c>
      <c r="C10966">
        <v>1</v>
      </c>
      <c r="D10966">
        <v>31.23</v>
      </c>
      <c r="E10966">
        <v>51</v>
      </c>
    </row>
    <row r="10967" spans="1:5" x14ac:dyDescent="0.3">
      <c r="A10967" t="s">
        <v>36</v>
      </c>
      <c r="B10967" s="1">
        <v>44689</v>
      </c>
      <c r="C10967">
        <v>1</v>
      </c>
      <c r="D10967">
        <v>22.53</v>
      </c>
      <c r="E10967">
        <v>30</v>
      </c>
    </row>
    <row r="10968" spans="1:5" x14ac:dyDescent="0.3">
      <c r="A10968" t="s">
        <v>20</v>
      </c>
      <c r="B10968" s="1">
        <v>44689</v>
      </c>
      <c r="C10968">
        <v>1</v>
      </c>
      <c r="D10968">
        <v>20.23</v>
      </c>
      <c r="E10968">
        <v>27</v>
      </c>
    </row>
    <row r="10969" spans="1:5" x14ac:dyDescent="0.3">
      <c r="A10969" t="s">
        <v>75</v>
      </c>
      <c r="B10969" s="1">
        <v>44689</v>
      </c>
      <c r="C10969">
        <v>0.04</v>
      </c>
      <c r="D10969">
        <v>431.37</v>
      </c>
      <c r="E10969">
        <v>635</v>
      </c>
    </row>
    <row r="10970" spans="1:5" x14ac:dyDescent="0.3">
      <c r="A10970" t="s">
        <v>23</v>
      </c>
      <c r="B10970" s="1">
        <v>44689</v>
      </c>
      <c r="C10970">
        <v>1</v>
      </c>
      <c r="D10970">
        <v>110.07</v>
      </c>
      <c r="E10970">
        <v>124</v>
      </c>
    </row>
    <row r="10971" spans="1:5" x14ac:dyDescent="0.3">
      <c r="A10971" t="s">
        <v>12</v>
      </c>
      <c r="B10971" s="1">
        <v>44689</v>
      </c>
      <c r="C10971">
        <v>1</v>
      </c>
      <c r="D10971">
        <v>57.21</v>
      </c>
      <c r="E10971">
        <v>71</v>
      </c>
    </row>
    <row r="10972" spans="1:5" x14ac:dyDescent="0.3">
      <c r="A10972" t="s">
        <v>118</v>
      </c>
      <c r="B10972" s="1">
        <v>44689</v>
      </c>
      <c r="C10972">
        <v>1</v>
      </c>
      <c r="D10972">
        <v>11.1</v>
      </c>
      <c r="E10972">
        <v>13</v>
      </c>
    </row>
    <row r="10973" spans="1:5" x14ac:dyDescent="0.3">
      <c r="A10973" t="s">
        <v>8</v>
      </c>
      <c r="B10973" s="1">
        <v>44689</v>
      </c>
      <c r="C10973">
        <v>1</v>
      </c>
      <c r="D10973">
        <v>58.34</v>
      </c>
      <c r="E10973">
        <v>92</v>
      </c>
    </row>
    <row r="10974" spans="1:5" x14ac:dyDescent="0.3">
      <c r="A10974" t="s">
        <v>136</v>
      </c>
      <c r="B10974" s="1">
        <v>44689</v>
      </c>
      <c r="C10974">
        <v>1</v>
      </c>
      <c r="D10974">
        <v>292.33999999999997</v>
      </c>
      <c r="E10974">
        <v>410</v>
      </c>
    </row>
    <row r="10975" spans="1:5" x14ac:dyDescent="0.3">
      <c r="A10975" t="s">
        <v>14</v>
      </c>
      <c r="B10975" s="1">
        <v>44689</v>
      </c>
      <c r="C10975">
        <v>0.5</v>
      </c>
      <c r="D10975">
        <v>445.83</v>
      </c>
      <c r="E10975">
        <v>616</v>
      </c>
    </row>
    <row r="10976" spans="1:5" x14ac:dyDescent="0.3">
      <c r="A10976" t="s">
        <v>160</v>
      </c>
      <c r="B10976" s="1">
        <v>44689</v>
      </c>
      <c r="C10976">
        <v>1</v>
      </c>
      <c r="D10976">
        <v>81.819999999999993</v>
      </c>
      <c r="E10976">
        <v>99</v>
      </c>
    </row>
    <row r="10977" spans="1:5" x14ac:dyDescent="0.3">
      <c r="A10977" t="s">
        <v>77</v>
      </c>
      <c r="B10977" s="1">
        <v>44689</v>
      </c>
      <c r="C10977">
        <v>1</v>
      </c>
      <c r="D10977">
        <v>60.3</v>
      </c>
      <c r="E10977">
        <v>75</v>
      </c>
    </row>
    <row r="10978" spans="1:5" x14ac:dyDescent="0.3">
      <c r="A10978" t="s">
        <v>88</v>
      </c>
      <c r="B10978" s="1">
        <v>44689</v>
      </c>
      <c r="C10978">
        <v>1</v>
      </c>
      <c r="D10978">
        <v>128.1</v>
      </c>
      <c r="E10978">
        <v>199</v>
      </c>
    </row>
    <row r="10979" spans="1:5" x14ac:dyDescent="0.3">
      <c r="A10979" t="s">
        <v>106</v>
      </c>
      <c r="B10979" s="1">
        <v>44689</v>
      </c>
      <c r="C10979">
        <v>1</v>
      </c>
      <c r="D10979">
        <v>41.38</v>
      </c>
      <c r="E10979">
        <v>51</v>
      </c>
    </row>
    <row r="10980" spans="1:5" x14ac:dyDescent="0.3">
      <c r="A10980" t="s">
        <v>91</v>
      </c>
      <c r="B10980" s="1">
        <v>44689</v>
      </c>
      <c r="C10980">
        <v>1</v>
      </c>
      <c r="D10980">
        <v>31.23</v>
      </c>
      <c r="E10980">
        <v>51</v>
      </c>
    </row>
    <row r="10981" spans="1:5" x14ac:dyDescent="0.3">
      <c r="A10981" t="s">
        <v>25</v>
      </c>
      <c r="B10981" s="1">
        <v>44689</v>
      </c>
      <c r="C10981">
        <v>1</v>
      </c>
      <c r="D10981">
        <v>147.18</v>
      </c>
      <c r="E10981">
        <v>177</v>
      </c>
    </row>
    <row r="10982" spans="1:5" x14ac:dyDescent="0.3">
      <c r="A10982" t="s">
        <v>28</v>
      </c>
      <c r="B10982" s="1">
        <v>44689</v>
      </c>
      <c r="C10982">
        <v>1</v>
      </c>
      <c r="D10982">
        <v>146.80000000000001</v>
      </c>
      <c r="E10982">
        <v>202</v>
      </c>
    </row>
    <row r="10983" spans="1:5" x14ac:dyDescent="0.3">
      <c r="A10983" t="s">
        <v>23</v>
      </c>
      <c r="B10983" s="1">
        <v>44689</v>
      </c>
      <c r="C10983">
        <v>1</v>
      </c>
      <c r="D10983">
        <v>109.41</v>
      </c>
      <c r="E10983">
        <v>123</v>
      </c>
    </row>
    <row r="10984" spans="1:5" x14ac:dyDescent="0.3">
      <c r="A10984" t="s">
        <v>27</v>
      </c>
      <c r="B10984" s="1">
        <v>44689</v>
      </c>
      <c r="C10984">
        <v>1</v>
      </c>
      <c r="D10984">
        <v>105.23</v>
      </c>
      <c r="E10984">
        <v>161</v>
      </c>
    </row>
    <row r="10985" spans="1:5" x14ac:dyDescent="0.3">
      <c r="A10985" t="s">
        <v>102</v>
      </c>
      <c r="B10985" s="1">
        <v>44689</v>
      </c>
      <c r="C10985">
        <v>1</v>
      </c>
      <c r="D10985">
        <v>27.2</v>
      </c>
      <c r="E10985">
        <v>33</v>
      </c>
    </row>
    <row r="10986" spans="1:5" x14ac:dyDescent="0.3">
      <c r="A10986" t="s">
        <v>160</v>
      </c>
      <c r="B10986" s="1">
        <v>44689</v>
      </c>
      <c r="C10986">
        <v>1</v>
      </c>
      <c r="D10986">
        <v>77.989999999999995</v>
      </c>
      <c r="E10986">
        <v>95</v>
      </c>
    </row>
    <row r="10987" spans="1:5" x14ac:dyDescent="0.3">
      <c r="A10987" t="s">
        <v>77</v>
      </c>
      <c r="B10987" s="1">
        <v>44689</v>
      </c>
      <c r="C10987">
        <v>1</v>
      </c>
      <c r="D10987">
        <v>60.3</v>
      </c>
      <c r="E10987">
        <v>75</v>
      </c>
    </row>
    <row r="10988" spans="1:5" x14ac:dyDescent="0.3">
      <c r="A10988" t="s">
        <v>115</v>
      </c>
      <c r="B10988" s="1">
        <v>44689</v>
      </c>
      <c r="C10988">
        <v>1</v>
      </c>
      <c r="D10988">
        <v>71.150000000000006</v>
      </c>
      <c r="E10988">
        <v>88</v>
      </c>
    </row>
    <row r="10989" spans="1:5" x14ac:dyDescent="0.3">
      <c r="A10989" t="s">
        <v>104</v>
      </c>
      <c r="B10989" s="1">
        <v>44689</v>
      </c>
      <c r="C10989">
        <v>1</v>
      </c>
      <c r="D10989">
        <v>45.14</v>
      </c>
      <c r="E10989">
        <v>57</v>
      </c>
    </row>
    <row r="10990" spans="1:5" x14ac:dyDescent="0.3">
      <c r="A10990" t="s">
        <v>11</v>
      </c>
      <c r="B10990" s="1">
        <v>44689</v>
      </c>
      <c r="C10990">
        <v>1</v>
      </c>
      <c r="D10990">
        <v>24.2</v>
      </c>
      <c r="E10990">
        <v>39</v>
      </c>
    </row>
    <row r="10991" spans="1:5" x14ac:dyDescent="0.3">
      <c r="A10991" t="s">
        <v>144</v>
      </c>
      <c r="B10991" s="1">
        <v>44689</v>
      </c>
      <c r="C10991">
        <v>1</v>
      </c>
      <c r="D10991">
        <v>51.62</v>
      </c>
      <c r="E10991">
        <v>75</v>
      </c>
    </row>
    <row r="10992" spans="1:5" x14ac:dyDescent="0.3">
      <c r="A10992" t="s">
        <v>25</v>
      </c>
      <c r="B10992" s="1">
        <v>44689</v>
      </c>
      <c r="C10992">
        <v>1</v>
      </c>
      <c r="D10992">
        <v>147.4</v>
      </c>
      <c r="E10992">
        <v>180</v>
      </c>
    </row>
    <row r="10993" spans="1:5" x14ac:dyDescent="0.3">
      <c r="A10993" t="s">
        <v>152</v>
      </c>
      <c r="B10993" s="1">
        <v>44689</v>
      </c>
      <c r="C10993">
        <v>1</v>
      </c>
      <c r="D10993">
        <v>106.17</v>
      </c>
      <c r="E10993">
        <v>133</v>
      </c>
    </row>
    <row r="10994" spans="1:5" x14ac:dyDescent="0.3">
      <c r="A10994" t="s">
        <v>104</v>
      </c>
      <c r="B10994" s="1">
        <v>44689</v>
      </c>
      <c r="C10994">
        <v>1</v>
      </c>
      <c r="D10994">
        <v>44.4</v>
      </c>
      <c r="E10994">
        <v>57</v>
      </c>
    </row>
    <row r="10995" spans="1:5" x14ac:dyDescent="0.3">
      <c r="A10995" t="s">
        <v>10</v>
      </c>
      <c r="B10995" s="1">
        <v>44689</v>
      </c>
      <c r="C10995">
        <v>1</v>
      </c>
      <c r="D10995">
        <v>10.34</v>
      </c>
      <c r="E10995">
        <v>13</v>
      </c>
    </row>
    <row r="10996" spans="1:5" x14ac:dyDescent="0.3">
      <c r="A10996" t="s">
        <v>56</v>
      </c>
      <c r="B10996" s="1">
        <v>44689</v>
      </c>
      <c r="C10996">
        <v>1</v>
      </c>
      <c r="D10996">
        <v>43.97</v>
      </c>
      <c r="E10996">
        <v>69</v>
      </c>
    </row>
    <row r="10997" spans="1:5" x14ac:dyDescent="0.3">
      <c r="A10997" t="s">
        <v>80</v>
      </c>
      <c r="B10997" s="1">
        <v>44689</v>
      </c>
      <c r="C10997">
        <v>1</v>
      </c>
      <c r="D10997">
        <v>23.57</v>
      </c>
      <c r="E10997">
        <v>36</v>
      </c>
    </row>
    <row r="10998" spans="1:5" x14ac:dyDescent="0.3">
      <c r="A10998" t="s">
        <v>80</v>
      </c>
      <c r="B10998" s="1">
        <v>44689</v>
      </c>
      <c r="C10998">
        <v>1</v>
      </c>
      <c r="D10998">
        <v>23.57</v>
      </c>
      <c r="E10998">
        <v>36</v>
      </c>
    </row>
    <row r="10999" spans="1:5" x14ac:dyDescent="0.3">
      <c r="A10999" t="s">
        <v>80</v>
      </c>
      <c r="B10999" s="1">
        <v>44689</v>
      </c>
      <c r="C10999">
        <v>1</v>
      </c>
      <c r="D10999">
        <v>23.57</v>
      </c>
      <c r="E10999">
        <v>36</v>
      </c>
    </row>
    <row r="11000" spans="1:5" x14ac:dyDescent="0.3">
      <c r="A11000" t="s">
        <v>80</v>
      </c>
      <c r="B11000" s="1">
        <v>44689</v>
      </c>
      <c r="C11000">
        <v>1</v>
      </c>
      <c r="D11000">
        <v>23.57</v>
      </c>
      <c r="E11000">
        <v>36</v>
      </c>
    </row>
    <row r="11001" spans="1:5" x14ac:dyDescent="0.3">
      <c r="A11001" t="s">
        <v>80</v>
      </c>
      <c r="B11001" s="1">
        <v>44689</v>
      </c>
      <c r="C11001">
        <v>1</v>
      </c>
      <c r="D11001">
        <v>23.57</v>
      </c>
      <c r="E11001">
        <v>36</v>
      </c>
    </row>
    <row r="11002" spans="1:5" x14ac:dyDescent="0.3">
      <c r="A11002" t="s">
        <v>80</v>
      </c>
      <c r="B11002" s="1">
        <v>44689</v>
      </c>
      <c r="C11002">
        <v>1</v>
      </c>
      <c r="D11002">
        <v>23.57</v>
      </c>
      <c r="E11002">
        <v>36</v>
      </c>
    </row>
    <row r="11003" spans="1:5" x14ac:dyDescent="0.3">
      <c r="A11003" t="s">
        <v>97</v>
      </c>
      <c r="B11003" s="1">
        <v>44689</v>
      </c>
      <c r="C11003">
        <v>1</v>
      </c>
      <c r="D11003">
        <v>425.96</v>
      </c>
      <c r="E11003">
        <v>563</v>
      </c>
    </row>
    <row r="11004" spans="1:5" x14ac:dyDescent="0.3">
      <c r="A11004" t="s">
        <v>132</v>
      </c>
      <c r="B11004" s="1">
        <v>44689</v>
      </c>
      <c r="C11004">
        <v>1</v>
      </c>
      <c r="D11004">
        <v>57.93</v>
      </c>
      <c r="E11004">
        <v>83</v>
      </c>
    </row>
    <row r="11005" spans="1:5" x14ac:dyDescent="0.3">
      <c r="A11005" t="s">
        <v>51</v>
      </c>
      <c r="B11005" s="1">
        <v>44689</v>
      </c>
      <c r="C11005">
        <v>8</v>
      </c>
      <c r="D11005">
        <v>2.04</v>
      </c>
      <c r="E11005">
        <v>4</v>
      </c>
    </row>
    <row r="11006" spans="1:5" x14ac:dyDescent="0.3">
      <c r="A11006" t="s">
        <v>10</v>
      </c>
      <c r="B11006" s="1">
        <v>44689</v>
      </c>
      <c r="C11006">
        <v>1</v>
      </c>
      <c r="D11006">
        <v>10.34</v>
      </c>
      <c r="E11006">
        <v>13</v>
      </c>
    </row>
    <row r="11007" spans="1:5" x14ac:dyDescent="0.3">
      <c r="A11007" t="s">
        <v>10</v>
      </c>
      <c r="B11007" s="1">
        <v>44689</v>
      </c>
      <c r="C11007">
        <v>1</v>
      </c>
      <c r="D11007">
        <v>10.34</v>
      </c>
      <c r="E11007">
        <v>13</v>
      </c>
    </row>
    <row r="11008" spans="1:5" x14ac:dyDescent="0.3">
      <c r="A11008" t="s">
        <v>10</v>
      </c>
      <c r="B11008" s="1">
        <v>44689</v>
      </c>
      <c r="C11008">
        <v>1</v>
      </c>
      <c r="D11008">
        <v>10.34</v>
      </c>
      <c r="E11008">
        <v>13</v>
      </c>
    </row>
    <row r="11009" spans="1:5" x14ac:dyDescent="0.3">
      <c r="A11009" t="s">
        <v>7</v>
      </c>
      <c r="B11009" s="1">
        <v>44689</v>
      </c>
      <c r="C11009">
        <v>1</v>
      </c>
      <c r="D11009">
        <v>88.11</v>
      </c>
      <c r="E11009">
        <v>105</v>
      </c>
    </row>
    <row r="11010" spans="1:5" x14ac:dyDescent="0.3">
      <c r="A11010" t="s">
        <v>22</v>
      </c>
      <c r="B11010" s="1">
        <v>44689</v>
      </c>
      <c r="C11010">
        <v>1</v>
      </c>
      <c r="D11010">
        <v>30.3</v>
      </c>
      <c r="E11010">
        <v>49</v>
      </c>
    </row>
    <row r="11011" spans="1:5" x14ac:dyDescent="0.3">
      <c r="A11011" t="s">
        <v>35</v>
      </c>
      <c r="B11011" s="1">
        <v>44689</v>
      </c>
      <c r="C11011">
        <v>1</v>
      </c>
      <c r="D11011">
        <v>35</v>
      </c>
      <c r="E11011">
        <v>54</v>
      </c>
    </row>
    <row r="11012" spans="1:5" x14ac:dyDescent="0.3">
      <c r="A11012" t="s">
        <v>48</v>
      </c>
      <c r="B11012" s="1">
        <v>44689</v>
      </c>
      <c r="C11012">
        <v>1</v>
      </c>
      <c r="D11012">
        <v>41.54</v>
      </c>
      <c r="E11012">
        <v>64</v>
      </c>
    </row>
    <row r="11013" spans="1:5" x14ac:dyDescent="0.3">
      <c r="A11013" t="s">
        <v>122</v>
      </c>
      <c r="B11013" s="1">
        <v>44689</v>
      </c>
      <c r="C11013">
        <v>1</v>
      </c>
      <c r="D11013">
        <v>23.9</v>
      </c>
      <c r="E11013">
        <v>29</v>
      </c>
    </row>
    <row r="11014" spans="1:5" x14ac:dyDescent="0.3">
      <c r="A11014" t="s">
        <v>89</v>
      </c>
      <c r="B11014" s="1">
        <v>44689</v>
      </c>
      <c r="C11014">
        <v>1</v>
      </c>
      <c r="D11014">
        <v>74.37</v>
      </c>
      <c r="E11014">
        <v>106</v>
      </c>
    </row>
    <row r="11015" spans="1:5" x14ac:dyDescent="0.3">
      <c r="A11015" t="s">
        <v>48</v>
      </c>
      <c r="B11015" s="1">
        <v>44689</v>
      </c>
      <c r="C11015">
        <v>1</v>
      </c>
      <c r="D11015">
        <v>41.54</v>
      </c>
      <c r="E11015">
        <v>64</v>
      </c>
    </row>
    <row r="11016" spans="1:5" x14ac:dyDescent="0.3">
      <c r="A11016" t="s">
        <v>118</v>
      </c>
      <c r="B11016" s="1">
        <v>44689</v>
      </c>
      <c r="C11016">
        <v>1</v>
      </c>
      <c r="D11016">
        <v>10.79</v>
      </c>
      <c r="E11016">
        <v>13</v>
      </c>
    </row>
    <row r="11017" spans="1:5" x14ac:dyDescent="0.3">
      <c r="A11017" t="s">
        <v>65</v>
      </c>
      <c r="B11017" s="1">
        <v>44689</v>
      </c>
      <c r="C11017">
        <v>1</v>
      </c>
      <c r="D11017">
        <v>176.42</v>
      </c>
      <c r="E11017">
        <v>207</v>
      </c>
    </row>
    <row r="11018" spans="1:5" x14ac:dyDescent="0.3">
      <c r="A11018" t="s">
        <v>65</v>
      </c>
      <c r="B11018" s="1">
        <v>44689</v>
      </c>
      <c r="C11018">
        <v>1</v>
      </c>
      <c r="D11018">
        <v>182.87</v>
      </c>
      <c r="E11018">
        <v>233</v>
      </c>
    </row>
    <row r="11019" spans="1:5" x14ac:dyDescent="0.3">
      <c r="A11019" t="s">
        <v>26</v>
      </c>
      <c r="B11019" s="1">
        <v>44689</v>
      </c>
      <c r="C11019">
        <v>0.1</v>
      </c>
      <c r="D11019">
        <v>1086.5899999999999</v>
      </c>
      <c r="E11019">
        <v>1359</v>
      </c>
    </row>
    <row r="11020" spans="1:5" x14ac:dyDescent="0.3">
      <c r="A11020" t="s">
        <v>93</v>
      </c>
      <c r="B11020" s="1">
        <v>44689</v>
      </c>
      <c r="C11020">
        <v>1</v>
      </c>
      <c r="D11020">
        <v>65.400000000000006</v>
      </c>
      <c r="E11020">
        <v>93</v>
      </c>
    </row>
    <row r="11021" spans="1:5" x14ac:dyDescent="0.3">
      <c r="A11021" t="s">
        <v>134</v>
      </c>
      <c r="B11021" s="1">
        <v>44689</v>
      </c>
      <c r="C11021">
        <v>1</v>
      </c>
      <c r="D11021">
        <v>26.98</v>
      </c>
      <c r="E11021">
        <v>42</v>
      </c>
    </row>
    <row r="11022" spans="1:5" x14ac:dyDescent="0.3">
      <c r="A11022" t="s">
        <v>6</v>
      </c>
      <c r="B11022" s="1">
        <v>44689</v>
      </c>
      <c r="C11022">
        <v>0.2</v>
      </c>
      <c r="D11022">
        <v>352.67</v>
      </c>
      <c r="E11022">
        <v>477</v>
      </c>
    </row>
    <row r="11023" spans="1:5" x14ac:dyDescent="0.3">
      <c r="A11023" t="s">
        <v>119</v>
      </c>
      <c r="B11023" s="1">
        <v>44689</v>
      </c>
      <c r="C11023">
        <v>3.5714000000000003E-2</v>
      </c>
      <c r="D11023">
        <v>631.39</v>
      </c>
      <c r="E11023">
        <v>697</v>
      </c>
    </row>
    <row r="11024" spans="1:5" x14ac:dyDescent="0.3">
      <c r="A11024" t="s">
        <v>72</v>
      </c>
      <c r="B11024" s="1">
        <v>44689</v>
      </c>
      <c r="C11024">
        <v>1</v>
      </c>
      <c r="D11024">
        <v>561.70000000000005</v>
      </c>
      <c r="E11024">
        <v>742</v>
      </c>
    </row>
    <row r="11025" spans="1:5" x14ac:dyDescent="0.3">
      <c r="A11025" t="s">
        <v>87</v>
      </c>
      <c r="B11025" s="1">
        <v>44689</v>
      </c>
      <c r="C11025">
        <v>1</v>
      </c>
      <c r="D11025">
        <v>348.66</v>
      </c>
      <c r="E11025">
        <v>395</v>
      </c>
    </row>
    <row r="11026" spans="1:5" x14ac:dyDescent="0.3">
      <c r="A11026" t="s">
        <v>132</v>
      </c>
      <c r="B11026" s="1">
        <v>44689</v>
      </c>
      <c r="C11026">
        <v>1</v>
      </c>
      <c r="D11026">
        <v>58.75</v>
      </c>
      <c r="E11026">
        <v>86</v>
      </c>
    </row>
    <row r="11027" spans="1:5" x14ac:dyDescent="0.3">
      <c r="A11027" t="s">
        <v>24</v>
      </c>
      <c r="B11027" s="1">
        <v>44689</v>
      </c>
      <c r="C11027">
        <v>1</v>
      </c>
      <c r="D11027">
        <v>103.96</v>
      </c>
      <c r="E11027">
        <v>123</v>
      </c>
    </row>
    <row r="11028" spans="1:5" x14ac:dyDescent="0.3">
      <c r="A11028" t="s">
        <v>43</v>
      </c>
      <c r="B11028" s="1">
        <v>44689</v>
      </c>
      <c r="C11028">
        <v>1</v>
      </c>
      <c r="D11028">
        <v>138.69</v>
      </c>
      <c r="E11028">
        <v>169</v>
      </c>
    </row>
    <row r="11029" spans="1:5" x14ac:dyDescent="0.3">
      <c r="A11029" t="s">
        <v>104</v>
      </c>
      <c r="B11029" s="1">
        <v>44689</v>
      </c>
      <c r="C11029">
        <v>1</v>
      </c>
      <c r="D11029">
        <v>45.14</v>
      </c>
      <c r="E11029">
        <v>57</v>
      </c>
    </row>
    <row r="11030" spans="1:5" x14ac:dyDescent="0.3">
      <c r="A11030" t="s">
        <v>82</v>
      </c>
      <c r="B11030" s="1">
        <v>44689</v>
      </c>
      <c r="C11030">
        <v>1</v>
      </c>
      <c r="D11030">
        <v>33.299999999999997</v>
      </c>
      <c r="E11030">
        <v>42</v>
      </c>
    </row>
    <row r="11031" spans="1:5" x14ac:dyDescent="0.3">
      <c r="A11031" t="s">
        <v>21</v>
      </c>
      <c r="B11031" s="1">
        <v>44689</v>
      </c>
      <c r="C11031">
        <v>1</v>
      </c>
      <c r="D11031">
        <v>181.44</v>
      </c>
      <c r="E11031">
        <v>245</v>
      </c>
    </row>
    <row r="11032" spans="1:5" x14ac:dyDescent="0.3">
      <c r="A11032" t="s">
        <v>24</v>
      </c>
      <c r="B11032" s="1">
        <v>44689</v>
      </c>
      <c r="C11032">
        <v>1</v>
      </c>
      <c r="D11032">
        <v>99.47</v>
      </c>
      <c r="E11032">
        <v>116</v>
      </c>
    </row>
    <row r="11033" spans="1:5" x14ac:dyDescent="0.3">
      <c r="A11033" t="s">
        <v>24</v>
      </c>
      <c r="B11033" s="1">
        <v>44689</v>
      </c>
      <c r="C11033">
        <v>1</v>
      </c>
      <c r="D11033">
        <v>99.47</v>
      </c>
      <c r="E11033">
        <v>116</v>
      </c>
    </row>
    <row r="11034" spans="1:5" x14ac:dyDescent="0.3">
      <c r="A11034" t="s">
        <v>31</v>
      </c>
      <c r="B11034" s="1">
        <v>44689</v>
      </c>
      <c r="C11034">
        <v>1</v>
      </c>
      <c r="D11034">
        <v>13.19</v>
      </c>
      <c r="E11034">
        <v>18</v>
      </c>
    </row>
    <row r="11035" spans="1:5" x14ac:dyDescent="0.3">
      <c r="A11035" t="s">
        <v>31</v>
      </c>
      <c r="B11035" s="1">
        <v>44689</v>
      </c>
      <c r="C11035">
        <v>1</v>
      </c>
      <c r="D11035">
        <v>13.19</v>
      </c>
      <c r="E11035">
        <v>18</v>
      </c>
    </row>
    <row r="11036" spans="1:5" x14ac:dyDescent="0.3">
      <c r="A11036" t="s">
        <v>31</v>
      </c>
      <c r="B11036" s="1">
        <v>44689</v>
      </c>
      <c r="C11036">
        <v>1</v>
      </c>
      <c r="D11036">
        <v>13.19</v>
      </c>
      <c r="E11036">
        <v>18</v>
      </c>
    </row>
    <row r="11037" spans="1:5" x14ac:dyDescent="0.3">
      <c r="A11037" t="s">
        <v>31</v>
      </c>
      <c r="B11037" s="1">
        <v>44689</v>
      </c>
      <c r="C11037">
        <v>1</v>
      </c>
      <c r="D11037">
        <v>13.19</v>
      </c>
      <c r="E11037">
        <v>18</v>
      </c>
    </row>
    <row r="11038" spans="1:5" x14ac:dyDescent="0.3">
      <c r="A11038" t="s">
        <v>31</v>
      </c>
      <c r="B11038" s="1">
        <v>44689</v>
      </c>
      <c r="C11038">
        <v>1</v>
      </c>
      <c r="D11038">
        <v>13.19</v>
      </c>
      <c r="E11038">
        <v>18</v>
      </c>
    </row>
    <row r="11039" spans="1:5" x14ac:dyDescent="0.3">
      <c r="A11039" t="s">
        <v>7</v>
      </c>
      <c r="B11039" s="1">
        <v>44689</v>
      </c>
      <c r="C11039">
        <v>1</v>
      </c>
      <c r="D11039">
        <v>88.4</v>
      </c>
      <c r="E11039">
        <v>104</v>
      </c>
    </row>
    <row r="11040" spans="1:5" x14ac:dyDescent="0.3">
      <c r="A11040" t="s">
        <v>25</v>
      </c>
      <c r="B11040" s="1">
        <v>44689</v>
      </c>
      <c r="C11040">
        <v>1</v>
      </c>
      <c r="D11040">
        <v>147.47</v>
      </c>
      <c r="E11040">
        <v>177</v>
      </c>
    </row>
    <row r="11041" spans="1:5" x14ac:dyDescent="0.3">
      <c r="A11041" t="s">
        <v>140</v>
      </c>
      <c r="B11041" s="1">
        <v>44689</v>
      </c>
      <c r="C11041">
        <v>1</v>
      </c>
      <c r="D11041">
        <v>158.94</v>
      </c>
      <c r="E11041">
        <v>194</v>
      </c>
    </row>
    <row r="11042" spans="1:5" x14ac:dyDescent="0.3">
      <c r="A11042" t="s">
        <v>122</v>
      </c>
      <c r="B11042" s="1">
        <v>44689</v>
      </c>
      <c r="C11042">
        <v>1</v>
      </c>
      <c r="D11042">
        <v>20.82</v>
      </c>
      <c r="E11042">
        <v>26</v>
      </c>
    </row>
    <row r="11043" spans="1:5" x14ac:dyDescent="0.3">
      <c r="A11043" t="s">
        <v>27</v>
      </c>
      <c r="B11043" s="1">
        <v>44689</v>
      </c>
      <c r="C11043">
        <v>1</v>
      </c>
      <c r="D11043">
        <v>105.23</v>
      </c>
      <c r="E11043">
        <v>161</v>
      </c>
    </row>
    <row r="11044" spans="1:5" x14ac:dyDescent="0.3">
      <c r="A11044" t="s">
        <v>26</v>
      </c>
      <c r="B11044" s="1">
        <v>44689</v>
      </c>
      <c r="C11044">
        <v>1</v>
      </c>
      <c r="D11044">
        <v>987.81</v>
      </c>
      <c r="E11044">
        <v>1275</v>
      </c>
    </row>
    <row r="11045" spans="1:5" x14ac:dyDescent="0.3">
      <c r="A11045" t="s">
        <v>25</v>
      </c>
      <c r="B11045" s="1">
        <v>44689</v>
      </c>
      <c r="C11045">
        <v>1</v>
      </c>
      <c r="D11045">
        <v>149.91999999999999</v>
      </c>
      <c r="E11045">
        <v>180</v>
      </c>
    </row>
    <row r="11046" spans="1:5" x14ac:dyDescent="0.3">
      <c r="A11046" t="s">
        <v>11</v>
      </c>
      <c r="B11046" s="1">
        <v>44689</v>
      </c>
      <c r="C11046">
        <v>1</v>
      </c>
      <c r="D11046">
        <v>24.2</v>
      </c>
      <c r="E11046">
        <v>39</v>
      </c>
    </row>
    <row r="11047" spans="1:5" x14ac:dyDescent="0.3">
      <c r="A11047" t="s">
        <v>13</v>
      </c>
      <c r="B11047" s="1">
        <v>44689</v>
      </c>
      <c r="C11047">
        <v>1</v>
      </c>
      <c r="D11047">
        <v>119.72</v>
      </c>
      <c r="E11047">
        <v>147</v>
      </c>
    </row>
    <row r="11048" spans="1:5" x14ac:dyDescent="0.3">
      <c r="A11048" t="s">
        <v>122</v>
      </c>
      <c r="B11048" s="1">
        <v>44689</v>
      </c>
      <c r="C11048">
        <v>1</v>
      </c>
      <c r="D11048">
        <v>22.5</v>
      </c>
      <c r="E11048">
        <v>27</v>
      </c>
    </row>
    <row r="11049" spans="1:5" x14ac:dyDescent="0.3">
      <c r="A11049" t="s">
        <v>115</v>
      </c>
      <c r="B11049" s="1">
        <v>44689</v>
      </c>
      <c r="C11049">
        <v>1</v>
      </c>
      <c r="D11049">
        <v>71.09</v>
      </c>
      <c r="E11049">
        <v>86</v>
      </c>
    </row>
    <row r="11050" spans="1:5" x14ac:dyDescent="0.3">
      <c r="A11050" t="s">
        <v>63</v>
      </c>
      <c r="B11050" s="1">
        <v>44689</v>
      </c>
      <c r="C11050">
        <v>1</v>
      </c>
      <c r="D11050">
        <v>71.53</v>
      </c>
      <c r="E11050">
        <v>86</v>
      </c>
    </row>
    <row r="11051" spans="1:5" x14ac:dyDescent="0.3">
      <c r="A11051" t="s">
        <v>66</v>
      </c>
      <c r="B11051" s="1">
        <v>44689</v>
      </c>
      <c r="C11051">
        <v>1</v>
      </c>
      <c r="D11051">
        <v>31.08</v>
      </c>
      <c r="E11051">
        <v>36</v>
      </c>
    </row>
    <row r="11052" spans="1:5" x14ac:dyDescent="0.3">
      <c r="A11052" t="s">
        <v>49</v>
      </c>
      <c r="B11052" s="1">
        <v>44689</v>
      </c>
      <c r="C11052">
        <v>1</v>
      </c>
      <c r="D11052">
        <v>16.02</v>
      </c>
      <c r="E11052">
        <v>19</v>
      </c>
    </row>
    <row r="11053" spans="1:5" x14ac:dyDescent="0.3">
      <c r="A11053" t="s">
        <v>111</v>
      </c>
      <c r="B11053" s="1">
        <v>44689</v>
      </c>
      <c r="C11053">
        <v>1</v>
      </c>
      <c r="D11053">
        <v>166.45</v>
      </c>
      <c r="E11053">
        <v>199</v>
      </c>
    </row>
    <row r="11054" spans="1:5" x14ac:dyDescent="0.3">
      <c r="A11054" t="s">
        <v>35</v>
      </c>
      <c r="B11054" s="1">
        <v>44689</v>
      </c>
      <c r="C11054">
        <v>1</v>
      </c>
      <c r="D11054">
        <v>35</v>
      </c>
      <c r="E11054">
        <v>54</v>
      </c>
    </row>
    <row r="11055" spans="1:5" x14ac:dyDescent="0.3">
      <c r="A11055" t="s">
        <v>22</v>
      </c>
      <c r="B11055" s="1">
        <v>44689</v>
      </c>
      <c r="C11055">
        <v>1</v>
      </c>
      <c r="D11055">
        <v>30.3</v>
      </c>
      <c r="E11055">
        <v>49</v>
      </c>
    </row>
    <row r="11056" spans="1:5" x14ac:dyDescent="0.3">
      <c r="A11056" t="s">
        <v>72</v>
      </c>
      <c r="B11056" s="1">
        <v>44689</v>
      </c>
      <c r="C11056">
        <v>1</v>
      </c>
      <c r="D11056">
        <v>561.70000000000005</v>
      </c>
      <c r="E11056">
        <v>742</v>
      </c>
    </row>
    <row r="11057" spans="1:5" x14ac:dyDescent="0.3">
      <c r="A11057" t="s">
        <v>110</v>
      </c>
      <c r="B11057" s="1">
        <v>44689</v>
      </c>
      <c r="C11057">
        <v>1</v>
      </c>
      <c r="D11057">
        <v>240.43</v>
      </c>
      <c r="E11057">
        <v>325</v>
      </c>
    </row>
    <row r="11058" spans="1:5" x14ac:dyDescent="0.3">
      <c r="A11058" t="s">
        <v>92</v>
      </c>
      <c r="B11058" s="1">
        <v>44689</v>
      </c>
      <c r="C11058">
        <v>1</v>
      </c>
      <c r="D11058">
        <v>6.18</v>
      </c>
      <c r="E11058">
        <v>9</v>
      </c>
    </row>
    <row r="11059" spans="1:5" x14ac:dyDescent="0.3">
      <c r="A11059" t="s">
        <v>141</v>
      </c>
      <c r="B11059" s="1">
        <v>44689</v>
      </c>
      <c r="C11059">
        <v>1</v>
      </c>
      <c r="D11059">
        <v>16.38</v>
      </c>
      <c r="E11059">
        <v>27</v>
      </c>
    </row>
    <row r="11060" spans="1:5" x14ac:dyDescent="0.3">
      <c r="A11060" t="s">
        <v>129</v>
      </c>
      <c r="B11060" s="1">
        <v>44689</v>
      </c>
      <c r="C11060">
        <v>0.04</v>
      </c>
      <c r="D11060">
        <v>513.71</v>
      </c>
      <c r="E11060">
        <v>566</v>
      </c>
    </row>
    <row r="11061" spans="1:5" x14ac:dyDescent="0.3">
      <c r="A11061" t="s">
        <v>26</v>
      </c>
      <c r="B11061" s="1">
        <v>44689</v>
      </c>
      <c r="C11061">
        <v>0.1</v>
      </c>
      <c r="D11061">
        <v>989.8</v>
      </c>
      <c r="E11061">
        <v>1277</v>
      </c>
    </row>
    <row r="11062" spans="1:5" x14ac:dyDescent="0.3">
      <c r="A11062" t="s">
        <v>62</v>
      </c>
      <c r="B11062" s="1">
        <v>44689</v>
      </c>
      <c r="C11062">
        <v>1</v>
      </c>
      <c r="D11062">
        <v>25.48</v>
      </c>
      <c r="E11062">
        <v>31</v>
      </c>
    </row>
    <row r="11063" spans="1:5" x14ac:dyDescent="0.3">
      <c r="A11063" t="s">
        <v>104</v>
      </c>
      <c r="B11063" s="1">
        <v>44689</v>
      </c>
      <c r="C11063">
        <v>1</v>
      </c>
      <c r="D11063">
        <v>46</v>
      </c>
      <c r="E11063">
        <v>58</v>
      </c>
    </row>
    <row r="11064" spans="1:5" x14ac:dyDescent="0.3">
      <c r="A11064" t="s">
        <v>76</v>
      </c>
      <c r="B11064" s="1">
        <v>44689</v>
      </c>
      <c r="C11064">
        <v>1</v>
      </c>
      <c r="D11064">
        <v>30.8</v>
      </c>
      <c r="E11064">
        <v>38</v>
      </c>
    </row>
    <row r="11065" spans="1:5" x14ac:dyDescent="0.3">
      <c r="A11065" t="s">
        <v>76</v>
      </c>
      <c r="B11065" s="1">
        <v>44689</v>
      </c>
      <c r="C11065">
        <v>1</v>
      </c>
      <c r="D11065">
        <v>30.8</v>
      </c>
      <c r="E11065">
        <v>38</v>
      </c>
    </row>
    <row r="11066" spans="1:5" x14ac:dyDescent="0.3">
      <c r="A11066" t="s">
        <v>23</v>
      </c>
      <c r="B11066" s="1">
        <v>44689</v>
      </c>
      <c r="C11066">
        <v>1</v>
      </c>
      <c r="D11066">
        <v>109.41</v>
      </c>
      <c r="E11066">
        <v>123</v>
      </c>
    </row>
    <row r="11067" spans="1:5" x14ac:dyDescent="0.3">
      <c r="A11067" t="s">
        <v>20</v>
      </c>
      <c r="B11067" s="1">
        <v>44689</v>
      </c>
      <c r="C11067">
        <v>1</v>
      </c>
      <c r="D11067">
        <v>22.66</v>
      </c>
      <c r="E11067">
        <v>30</v>
      </c>
    </row>
    <row r="11068" spans="1:5" x14ac:dyDescent="0.3">
      <c r="A11068" t="s">
        <v>55</v>
      </c>
      <c r="B11068" s="1">
        <v>44689</v>
      </c>
      <c r="C11068">
        <v>1</v>
      </c>
      <c r="D11068">
        <v>77.63</v>
      </c>
      <c r="E11068">
        <v>95</v>
      </c>
    </row>
    <row r="11069" spans="1:5" x14ac:dyDescent="0.3">
      <c r="A11069" t="s">
        <v>40</v>
      </c>
      <c r="B11069" s="1">
        <v>44689</v>
      </c>
      <c r="C11069">
        <v>1</v>
      </c>
      <c r="D11069">
        <v>173.09</v>
      </c>
      <c r="E11069">
        <v>211</v>
      </c>
    </row>
    <row r="11070" spans="1:5" x14ac:dyDescent="0.3">
      <c r="A11070" t="s">
        <v>153</v>
      </c>
      <c r="B11070" s="1">
        <v>44689</v>
      </c>
      <c r="C11070">
        <v>1</v>
      </c>
      <c r="D11070">
        <v>9.4600000000000009</v>
      </c>
      <c r="E11070">
        <v>11</v>
      </c>
    </row>
    <row r="11071" spans="1:5" x14ac:dyDescent="0.3">
      <c r="A11071" t="s">
        <v>153</v>
      </c>
      <c r="B11071" s="1">
        <v>44689</v>
      </c>
      <c r="C11071">
        <v>1</v>
      </c>
      <c r="D11071">
        <v>9.4600000000000009</v>
      </c>
      <c r="E11071">
        <v>11</v>
      </c>
    </row>
    <row r="11072" spans="1:5" x14ac:dyDescent="0.3">
      <c r="A11072" t="s">
        <v>103</v>
      </c>
      <c r="B11072" s="1">
        <v>44689</v>
      </c>
      <c r="C11072">
        <v>1</v>
      </c>
      <c r="D11072">
        <v>41.33</v>
      </c>
      <c r="E11072">
        <v>65</v>
      </c>
    </row>
    <row r="11073" spans="1:5" x14ac:dyDescent="0.3">
      <c r="A11073" t="s">
        <v>23</v>
      </c>
      <c r="B11073" s="1">
        <v>44689</v>
      </c>
      <c r="C11073">
        <v>1</v>
      </c>
      <c r="D11073">
        <v>109.41</v>
      </c>
      <c r="E11073">
        <v>123</v>
      </c>
    </row>
    <row r="11074" spans="1:5" x14ac:dyDescent="0.3">
      <c r="A11074" t="s">
        <v>66</v>
      </c>
      <c r="B11074" s="1">
        <v>44689</v>
      </c>
      <c r="C11074">
        <v>1</v>
      </c>
      <c r="D11074">
        <v>32.619999999999997</v>
      </c>
      <c r="E11074">
        <v>38</v>
      </c>
    </row>
    <row r="11075" spans="1:5" x14ac:dyDescent="0.3">
      <c r="A11075" t="s">
        <v>45</v>
      </c>
      <c r="B11075" s="1">
        <v>44689</v>
      </c>
      <c r="C11075">
        <v>1</v>
      </c>
      <c r="D11075">
        <v>25.36</v>
      </c>
      <c r="E11075">
        <v>42</v>
      </c>
    </row>
    <row r="11076" spans="1:5" x14ac:dyDescent="0.3">
      <c r="A11076" t="s">
        <v>31</v>
      </c>
      <c r="B11076" s="1">
        <v>44689</v>
      </c>
      <c r="C11076">
        <v>1</v>
      </c>
      <c r="D11076">
        <v>13.43</v>
      </c>
      <c r="E11076">
        <v>18</v>
      </c>
    </row>
    <row r="11077" spans="1:5" x14ac:dyDescent="0.3">
      <c r="A11077" t="s">
        <v>37</v>
      </c>
      <c r="B11077" s="1">
        <v>44689</v>
      </c>
      <c r="C11077">
        <v>1</v>
      </c>
      <c r="D11077">
        <v>38</v>
      </c>
      <c r="E11077">
        <v>48</v>
      </c>
    </row>
    <row r="11078" spans="1:5" x14ac:dyDescent="0.3">
      <c r="A11078" t="s">
        <v>93</v>
      </c>
      <c r="B11078" s="1">
        <v>44689</v>
      </c>
      <c r="C11078">
        <v>1</v>
      </c>
      <c r="D11078">
        <v>66.52</v>
      </c>
      <c r="E11078">
        <v>95</v>
      </c>
    </row>
    <row r="11079" spans="1:5" x14ac:dyDescent="0.3">
      <c r="A11079" t="s">
        <v>92</v>
      </c>
      <c r="B11079" s="1">
        <v>44689</v>
      </c>
      <c r="C11079">
        <v>19</v>
      </c>
      <c r="D11079">
        <v>5.78</v>
      </c>
      <c r="E11079">
        <v>8</v>
      </c>
    </row>
    <row r="11080" spans="1:5" x14ac:dyDescent="0.3">
      <c r="A11080" t="s">
        <v>93</v>
      </c>
      <c r="B11080" s="1">
        <v>44689</v>
      </c>
      <c r="C11080">
        <v>1</v>
      </c>
      <c r="D11080">
        <v>74.42</v>
      </c>
      <c r="E11080">
        <v>106</v>
      </c>
    </row>
    <row r="11081" spans="1:5" x14ac:dyDescent="0.3">
      <c r="A11081" t="s">
        <v>95</v>
      </c>
      <c r="B11081" s="1">
        <v>44689</v>
      </c>
      <c r="C11081">
        <v>0.6</v>
      </c>
      <c r="D11081">
        <v>130.65</v>
      </c>
      <c r="E11081">
        <v>199</v>
      </c>
    </row>
    <row r="11082" spans="1:5" x14ac:dyDescent="0.3">
      <c r="A11082" t="s">
        <v>76</v>
      </c>
      <c r="B11082" s="1">
        <v>44689</v>
      </c>
      <c r="C11082">
        <v>1</v>
      </c>
      <c r="D11082">
        <v>30.8</v>
      </c>
      <c r="E11082">
        <v>38</v>
      </c>
    </row>
    <row r="11083" spans="1:5" x14ac:dyDescent="0.3">
      <c r="A11083" t="s">
        <v>76</v>
      </c>
      <c r="B11083" s="1">
        <v>44689</v>
      </c>
      <c r="C11083">
        <v>1</v>
      </c>
      <c r="D11083">
        <v>30.99</v>
      </c>
      <c r="E11083">
        <v>38</v>
      </c>
    </row>
    <row r="11084" spans="1:5" x14ac:dyDescent="0.3">
      <c r="A11084" t="s">
        <v>76</v>
      </c>
      <c r="B11084" s="1">
        <v>44689</v>
      </c>
      <c r="C11084">
        <v>1</v>
      </c>
      <c r="D11084">
        <v>30.99</v>
      </c>
      <c r="E11084">
        <v>38</v>
      </c>
    </row>
    <row r="11085" spans="1:5" x14ac:dyDescent="0.3">
      <c r="A11085" t="s">
        <v>61</v>
      </c>
      <c r="B11085" s="1">
        <v>44689</v>
      </c>
      <c r="C11085">
        <v>1</v>
      </c>
      <c r="D11085">
        <v>33.17</v>
      </c>
      <c r="E11085">
        <v>53</v>
      </c>
    </row>
    <row r="11086" spans="1:5" x14ac:dyDescent="0.3">
      <c r="A11086" t="s">
        <v>26</v>
      </c>
      <c r="B11086" s="1">
        <v>44689</v>
      </c>
      <c r="C11086">
        <v>0.3</v>
      </c>
      <c r="D11086">
        <v>1086.5899999999999</v>
      </c>
      <c r="E11086">
        <v>1359</v>
      </c>
    </row>
    <row r="11087" spans="1:5" x14ac:dyDescent="0.3">
      <c r="A11087" t="s">
        <v>36</v>
      </c>
      <c r="B11087" s="1">
        <v>44689</v>
      </c>
      <c r="C11087">
        <v>1</v>
      </c>
      <c r="D11087">
        <v>21.28</v>
      </c>
      <c r="E11087">
        <v>27</v>
      </c>
    </row>
    <row r="11088" spans="1:5" x14ac:dyDescent="0.3">
      <c r="A11088" t="s">
        <v>36</v>
      </c>
      <c r="B11088" s="1">
        <v>44689</v>
      </c>
      <c r="C11088">
        <v>1</v>
      </c>
      <c r="D11088">
        <v>21.28</v>
      </c>
      <c r="E11088">
        <v>27</v>
      </c>
    </row>
    <row r="11089" spans="1:5" x14ac:dyDescent="0.3">
      <c r="A11089" t="s">
        <v>36</v>
      </c>
      <c r="B11089" s="1">
        <v>44689</v>
      </c>
      <c r="C11089">
        <v>1</v>
      </c>
      <c r="D11089">
        <v>21.28</v>
      </c>
      <c r="E11089">
        <v>27</v>
      </c>
    </row>
    <row r="11090" spans="1:5" x14ac:dyDescent="0.3">
      <c r="A11090" t="s">
        <v>40</v>
      </c>
      <c r="B11090" s="1">
        <v>44689</v>
      </c>
      <c r="C11090">
        <v>1</v>
      </c>
      <c r="D11090">
        <v>173.51</v>
      </c>
      <c r="E11090">
        <v>208</v>
      </c>
    </row>
    <row r="11091" spans="1:5" x14ac:dyDescent="0.3">
      <c r="A11091" t="s">
        <v>38</v>
      </c>
      <c r="B11091" s="1">
        <v>44689</v>
      </c>
      <c r="C11091">
        <v>1</v>
      </c>
      <c r="D11091">
        <v>22.31</v>
      </c>
      <c r="E11091">
        <v>35</v>
      </c>
    </row>
    <row r="11092" spans="1:5" x14ac:dyDescent="0.3">
      <c r="A11092" t="s">
        <v>38</v>
      </c>
      <c r="B11092" s="1">
        <v>44689</v>
      </c>
      <c r="C11092">
        <v>1</v>
      </c>
      <c r="D11092">
        <v>22.31</v>
      </c>
      <c r="E11092">
        <v>35</v>
      </c>
    </row>
    <row r="11093" spans="1:5" x14ac:dyDescent="0.3">
      <c r="A11093" t="s">
        <v>38</v>
      </c>
      <c r="B11093" s="1">
        <v>44689</v>
      </c>
      <c r="C11093">
        <v>1</v>
      </c>
      <c r="D11093">
        <v>22.31</v>
      </c>
      <c r="E11093">
        <v>35</v>
      </c>
    </row>
    <row r="11094" spans="1:5" x14ac:dyDescent="0.3">
      <c r="A11094" t="s">
        <v>38</v>
      </c>
      <c r="B11094" s="1">
        <v>44689</v>
      </c>
      <c r="C11094">
        <v>1</v>
      </c>
      <c r="D11094">
        <v>22.31</v>
      </c>
      <c r="E11094">
        <v>35</v>
      </c>
    </row>
    <row r="11095" spans="1:5" x14ac:dyDescent="0.3">
      <c r="A11095" t="s">
        <v>38</v>
      </c>
      <c r="B11095" s="1">
        <v>44689</v>
      </c>
      <c r="C11095">
        <v>1</v>
      </c>
      <c r="D11095">
        <v>22.31</v>
      </c>
      <c r="E11095">
        <v>35</v>
      </c>
    </row>
    <row r="11096" spans="1:5" x14ac:dyDescent="0.3">
      <c r="A11096" t="s">
        <v>38</v>
      </c>
      <c r="B11096" s="1">
        <v>44689</v>
      </c>
      <c r="C11096">
        <v>1</v>
      </c>
      <c r="D11096">
        <v>22.31</v>
      </c>
      <c r="E11096">
        <v>35</v>
      </c>
    </row>
    <row r="11097" spans="1:5" x14ac:dyDescent="0.3">
      <c r="A11097" t="s">
        <v>40</v>
      </c>
      <c r="B11097" s="1">
        <v>44689</v>
      </c>
      <c r="C11097">
        <v>1</v>
      </c>
      <c r="D11097">
        <v>186.52</v>
      </c>
      <c r="E11097">
        <v>221</v>
      </c>
    </row>
    <row r="11098" spans="1:5" x14ac:dyDescent="0.3">
      <c r="A11098" t="s">
        <v>7</v>
      </c>
      <c r="B11098" s="1">
        <v>44689</v>
      </c>
      <c r="C11098">
        <v>1</v>
      </c>
      <c r="D11098">
        <v>90.39</v>
      </c>
      <c r="E11098">
        <v>112</v>
      </c>
    </row>
    <row r="11099" spans="1:5" x14ac:dyDescent="0.3">
      <c r="A11099" t="s">
        <v>116</v>
      </c>
      <c r="B11099" s="1">
        <v>44689</v>
      </c>
      <c r="C11099">
        <v>1</v>
      </c>
      <c r="D11099">
        <v>109.07</v>
      </c>
      <c r="E11099">
        <v>128</v>
      </c>
    </row>
    <row r="11100" spans="1:5" x14ac:dyDescent="0.3">
      <c r="A11100" t="s">
        <v>130</v>
      </c>
      <c r="B11100" s="1">
        <v>44689</v>
      </c>
      <c r="C11100">
        <v>1</v>
      </c>
      <c r="D11100">
        <v>23.16</v>
      </c>
      <c r="E11100">
        <v>29</v>
      </c>
    </row>
    <row r="11101" spans="1:5" x14ac:dyDescent="0.3">
      <c r="A11101" t="s">
        <v>130</v>
      </c>
      <c r="B11101" s="1">
        <v>44689</v>
      </c>
      <c r="C11101">
        <v>1</v>
      </c>
      <c r="D11101">
        <v>23.16</v>
      </c>
      <c r="E11101">
        <v>29</v>
      </c>
    </row>
    <row r="11102" spans="1:5" x14ac:dyDescent="0.3">
      <c r="A11102" t="s">
        <v>130</v>
      </c>
      <c r="B11102" s="1">
        <v>44689</v>
      </c>
      <c r="C11102">
        <v>1</v>
      </c>
      <c r="D11102">
        <v>23.16</v>
      </c>
      <c r="E11102">
        <v>29</v>
      </c>
    </row>
    <row r="11103" spans="1:5" x14ac:dyDescent="0.3">
      <c r="A11103" t="s">
        <v>130</v>
      </c>
      <c r="B11103" s="1">
        <v>44689</v>
      </c>
      <c r="C11103">
        <v>1</v>
      </c>
      <c r="D11103">
        <v>23.16</v>
      </c>
      <c r="E11103">
        <v>29</v>
      </c>
    </row>
    <row r="11104" spans="1:5" x14ac:dyDescent="0.3">
      <c r="A11104" t="s">
        <v>130</v>
      </c>
      <c r="B11104" s="1">
        <v>44689</v>
      </c>
      <c r="C11104">
        <v>1</v>
      </c>
      <c r="D11104">
        <v>23.16</v>
      </c>
      <c r="E11104">
        <v>29</v>
      </c>
    </row>
    <row r="11105" spans="1:5" x14ac:dyDescent="0.3">
      <c r="A11105" t="s">
        <v>130</v>
      </c>
      <c r="B11105" s="1">
        <v>44689</v>
      </c>
      <c r="C11105">
        <v>1</v>
      </c>
      <c r="D11105">
        <v>23.16</v>
      </c>
      <c r="E11105">
        <v>29</v>
      </c>
    </row>
    <row r="11106" spans="1:5" x14ac:dyDescent="0.3">
      <c r="A11106" t="s">
        <v>130</v>
      </c>
      <c r="B11106" s="1">
        <v>44689</v>
      </c>
      <c r="C11106">
        <v>1</v>
      </c>
      <c r="D11106">
        <v>23.12</v>
      </c>
      <c r="E11106">
        <v>29</v>
      </c>
    </row>
    <row r="11107" spans="1:5" x14ac:dyDescent="0.3">
      <c r="A11107" t="s">
        <v>130</v>
      </c>
      <c r="B11107" s="1">
        <v>44689</v>
      </c>
      <c r="C11107">
        <v>1</v>
      </c>
      <c r="D11107">
        <v>23.12</v>
      </c>
      <c r="E11107">
        <v>29</v>
      </c>
    </row>
    <row r="11108" spans="1:5" x14ac:dyDescent="0.3">
      <c r="A11108" t="s">
        <v>85</v>
      </c>
      <c r="B11108" s="1">
        <v>44689</v>
      </c>
      <c r="C11108">
        <v>1</v>
      </c>
      <c r="D11108">
        <v>15.95</v>
      </c>
      <c r="E11108">
        <v>26</v>
      </c>
    </row>
    <row r="11109" spans="1:5" x14ac:dyDescent="0.3">
      <c r="A11109" t="s">
        <v>65</v>
      </c>
      <c r="B11109" s="1">
        <v>44689</v>
      </c>
      <c r="C11109">
        <v>1</v>
      </c>
      <c r="D11109">
        <v>176.42</v>
      </c>
      <c r="E11109">
        <v>207</v>
      </c>
    </row>
    <row r="11110" spans="1:5" x14ac:dyDescent="0.3">
      <c r="A11110" t="s">
        <v>53</v>
      </c>
      <c r="B11110" s="1">
        <v>44689</v>
      </c>
      <c r="C11110">
        <v>2</v>
      </c>
      <c r="D11110">
        <v>23.4</v>
      </c>
      <c r="E11110">
        <v>38</v>
      </c>
    </row>
    <row r="11111" spans="1:5" x14ac:dyDescent="0.3">
      <c r="A11111" t="s">
        <v>26</v>
      </c>
      <c r="B11111" s="1">
        <v>44689</v>
      </c>
      <c r="C11111">
        <v>0.16666700000000001</v>
      </c>
      <c r="D11111">
        <v>989.8</v>
      </c>
      <c r="E11111">
        <v>1238</v>
      </c>
    </row>
    <row r="11112" spans="1:5" x14ac:dyDescent="0.3">
      <c r="A11112" t="s">
        <v>21</v>
      </c>
      <c r="B11112" s="1">
        <v>44689</v>
      </c>
      <c r="C11112">
        <v>1</v>
      </c>
      <c r="D11112">
        <v>182.55</v>
      </c>
      <c r="E11112">
        <v>254</v>
      </c>
    </row>
    <row r="11113" spans="1:5" x14ac:dyDescent="0.3">
      <c r="A11113" t="s">
        <v>19</v>
      </c>
      <c r="B11113" s="1">
        <v>44689</v>
      </c>
      <c r="C11113">
        <v>1</v>
      </c>
      <c r="D11113">
        <v>82.18</v>
      </c>
      <c r="E11113">
        <v>103</v>
      </c>
    </row>
    <row r="11114" spans="1:5" x14ac:dyDescent="0.3">
      <c r="A11114" t="s">
        <v>118</v>
      </c>
      <c r="B11114" s="1">
        <v>44689</v>
      </c>
      <c r="C11114">
        <v>1</v>
      </c>
      <c r="D11114">
        <v>10.79</v>
      </c>
      <c r="E11114">
        <v>13</v>
      </c>
    </row>
    <row r="11115" spans="1:5" x14ac:dyDescent="0.3">
      <c r="A11115" t="s">
        <v>39</v>
      </c>
      <c r="B11115" s="1">
        <v>44689</v>
      </c>
      <c r="C11115">
        <v>1</v>
      </c>
      <c r="D11115">
        <v>9.76</v>
      </c>
      <c r="E11115">
        <v>16</v>
      </c>
    </row>
    <row r="11116" spans="1:5" x14ac:dyDescent="0.3">
      <c r="A11116" t="s">
        <v>115</v>
      </c>
      <c r="B11116" s="1">
        <v>44689</v>
      </c>
      <c r="C11116">
        <v>1</v>
      </c>
      <c r="D11116">
        <v>71.09</v>
      </c>
      <c r="E11116">
        <v>86</v>
      </c>
    </row>
    <row r="11117" spans="1:5" x14ac:dyDescent="0.3">
      <c r="A11117" t="s">
        <v>26</v>
      </c>
      <c r="B11117" s="1">
        <v>44689</v>
      </c>
      <c r="C11117">
        <v>0.33333299999999999</v>
      </c>
      <c r="D11117">
        <v>989.8</v>
      </c>
      <c r="E11117">
        <v>1357</v>
      </c>
    </row>
    <row r="11118" spans="1:5" x14ac:dyDescent="0.3">
      <c r="A11118" t="s">
        <v>25</v>
      </c>
      <c r="B11118" s="1">
        <v>44689</v>
      </c>
      <c r="C11118">
        <v>1</v>
      </c>
      <c r="D11118">
        <v>147.4</v>
      </c>
      <c r="E11118">
        <v>177</v>
      </c>
    </row>
    <row r="11119" spans="1:5" x14ac:dyDescent="0.3">
      <c r="A11119" t="s">
        <v>26</v>
      </c>
      <c r="B11119" s="1">
        <v>44689</v>
      </c>
      <c r="C11119">
        <v>0.2</v>
      </c>
      <c r="D11119">
        <v>1086.5899999999999</v>
      </c>
      <c r="E11119">
        <v>1391</v>
      </c>
    </row>
    <row r="11120" spans="1:5" x14ac:dyDescent="0.3">
      <c r="A11120" t="s">
        <v>145</v>
      </c>
      <c r="B11120" s="1">
        <v>44689</v>
      </c>
      <c r="C11120">
        <v>1</v>
      </c>
      <c r="D11120">
        <v>25.3</v>
      </c>
      <c r="E11120">
        <v>31</v>
      </c>
    </row>
    <row r="11121" spans="1:5" x14ac:dyDescent="0.3">
      <c r="A11121" t="s">
        <v>118</v>
      </c>
      <c r="B11121" s="1">
        <v>44689</v>
      </c>
      <c r="C11121">
        <v>1</v>
      </c>
      <c r="D11121">
        <v>11.1</v>
      </c>
      <c r="E11121">
        <v>13</v>
      </c>
    </row>
    <row r="11122" spans="1:5" x14ac:dyDescent="0.3">
      <c r="A11122" t="s">
        <v>118</v>
      </c>
      <c r="B11122" s="1">
        <v>44689</v>
      </c>
      <c r="C11122">
        <v>1</v>
      </c>
      <c r="D11122">
        <v>11.1</v>
      </c>
      <c r="E11122">
        <v>13</v>
      </c>
    </row>
    <row r="11123" spans="1:5" x14ac:dyDescent="0.3">
      <c r="A11123" t="s">
        <v>118</v>
      </c>
      <c r="B11123" s="1">
        <v>44689</v>
      </c>
      <c r="C11123">
        <v>1</v>
      </c>
      <c r="D11123">
        <v>11.1</v>
      </c>
      <c r="E11123">
        <v>13</v>
      </c>
    </row>
    <row r="11124" spans="1:5" x14ac:dyDescent="0.3">
      <c r="A11124" t="s">
        <v>118</v>
      </c>
      <c r="B11124" s="1">
        <v>44689</v>
      </c>
      <c r="C11124">
        <v>1</v>
      </c>
      <c r="D11124">
        <v>11.1</v>
      </c>
      <c r="E11124">
        <v>13</v>
      </c>
    </row>
    <row r="11125" spans="1:5" x14ac:dyDescent="0.3">
      <c r="A11125" t="s">
        <v>152</v>
      </c>
      <c r="B11125" s="1">
        <v>44689</v>
      </c>
      <c r="C11125">
        <v>1</v>
      </c>
      <c r="D11125">
        <v>104.76</v>
      </c>
      <c r="E11125">
        <v>131</v>
      </c>
    </row>
    <row r="11126" spans="1:5" x14ac:dyDescent="0.3">
      <c r="A11126" t="s">
        <v>47</v>
      </c>
      <c r="B11126" s="1">
        <v>44689</v>
      </c>
      <c r="C11126">
        <v>1</v>
      </c>
      <c r="D11126">
        <v>43.93</v>
      </c>
      <c r="E11126">
        <v>67</v>
      </c>
    </row>
    <row r="11127" spans="1:5" x14ac:dyDescent="0.3">
      <c r="A11127" t="s">
        <v>151</v>
      </c>
      <c r="B11127" s="1">
        <v>44689</v>
      </c>
      <c r="C11127">
        <v>1</v>
      </c>
      <c r="D11127">
        <v>26.8</v>
      </c>
      <c r="E11127">
        <v>32</v>
      </c>
    </row>
    <row r="11128" spans="1:5" x14ac:dyDescent="0.3">
      <c r="A11128" t="s">
        <v>112</v>
      </c>
      <c r="B11128" s="1">
        <v>44689</v>
      </c>
      <c r="C11128">
        <v>1</v>
      </c>
      <c r="D11128">
        <v>291.43</v>
      </c>
      <c r="E11128">
        <v>345</v>
      </c>
    </row>
    <row r="11129" spans="1:5" x14ac:dyDescent="0.3">
      <c r="A11129" t="s">
        <v>89</v>
      </c>
      <c r="B11129" s="1">
        <v>44689</v>
      </c>
      <c r="C11129">
        <v>1</v>
      </c>
      <c r="D11129">
        <v>80.69</v>
      </c>
      <c r="E11129">
        <v>117</v>
      </c>
    </row>
    <row r="11130" spans="1:5" x14ac:dyDescent="0.3">
      <c r="A11130" t="s">
        <v>24</v>
      </c>
      <c r="B11130" s="1">
        <v>44689</v>
      </c>
      <c r="C11130">
        <v>1</v>
      </c>
      <c r="D11130">
        <v>98.67</v>
      </c>
      <c r="E11130">
        <v>115</v>
      </c>
    </row>
    <row r="11131" spans="1:5" x14ac:dyDescent="0.3">
      <c r="A11131" t="s">
        <v>57</v>
      </c>
      <c r="B11131" s="1">
        <v>44689</v>
      </c>
      <c r="C11131">
        <v>1</v>
      </c>
      <c r="D11131">
        <v>239.87</v>
      </c>
      <c r="E11131">
        <v>269</v>
      </c>
    </row>
    <row r="11132" spans="1:5" x14ac:dyDescent="0.3">
      <c r="A11132" t="s">
        <v>19</v>
      </c>
      <c r="B11132" s="1">
        <v>44689</v>
      </c>
      <c r="C11132">
        <v>1</v>
      </c>
      <c r="D11132">
        <v>82.07</v>
      </c>
      <c r="E11132">
        <v>103</v>
      </c>
    </row>
    <row r="11133" spans="1:5" x14ac:dyDescent="0.3">
      <c r="A11133" t="s">
        <v>157</v>
      </c>
      <c r="B11133" s="1">
        <v>44689</v>
      </c>
      <c r="C11133">
        <v>2</v>
      </c>
      <c r="D11133">
        <v>12</v>
      </c>
      <c r="E11133">
        <v>20</v>
      </c>
    </row>
    <row r="11134" spans="1:5" x14ac:dyDescent="0.3">
      <c r="A11134" t="s">
        <v>22</v>
      </c>
      <c r="B11134" s="1">
        <v>44689</v>
      </c>
      <c r="C11134">
        <v>1</v>
      </c>
      <c r="D11134">
        <v>30.3</v>
      </c>
      <c r="E11134">
        <v>49</v>
      </c>
    </row>
    <row r="11135" spans="1:5" x14ac:dyDescent="0.3">
      <c r="A11135" t="s">
        <v>28</v>
      </c>
      <c r="B11135" s="1">
        <v>44689</v>
      </c>
      <c r="C11135">
        <v>1</v>
      </c>
      <c r="D11135">
        <v>135.44999999999999</v>
      </c>
      <c r="E11135">
        <v>189</v>
      </c>
    </row>
    <row r="11136" spans="1:5" x14ac:dyDescent="0.3">
      <c r="A11136" t="s">
        <v>24</v>
      </c>
      <c r="B11136" s="1">
        <v>44689</v>
      </c>
      <c r="C11136">
        <v>1</v>
      </c>
      <c r="D11136">
        <v>99.48</v>
      </c>
      <c r="E11136">
        <v>117</v>
      </c>
    </row>
    <row r="11137" spans="1:5" x14ac:dyDescent="0.3">
      <c r="A11137" t="s">
        <v>159</v>
      </c>
      <c r="B11137" s="1">
        <v>44689</v>
      </c>
      <c r="C11137">
        <v>1</v>
      </c>
      <c r="D11137">
        <v>57.92</v>
      </c>
      <c r="E11137">
        <v>70</v>
      </c>
    </row>
    <row r="11138" spans="1:5" x14ac:dyDescent="0.3">
      <c r="A11138" t="s">
        <v>159</v>
      </c>
      <c r="B11138" s="1">
        <v>44689</v>
      </c>
      <c r="C11138">
        <v>1</v>
      </c>
      <c r="D11138">
        <v>57.92</v>
      </c>
      <c r="E11138">
        <v>70</v>
      </c>
    </row>
    <row r="11139" spans="1:5" x14ac:dyDescent="0.3">
      <c r="A11139" t="s">
        <v>159</v>
      </c>
      <c r="B11139" s="1">
        <v>44689</v>
      </c>
      <c r="C11139">
        <v>1</v>
      </c>
      <c r="D11139">
        <v>57.92</v>
      </c>
      <c r="E11139">
        <v>70</v>
      </c>
    </row>
    <row r="11140" spans="1:5" x14ac:dyDescent="0.3">
      <c r="A11140" t="s">
        <v>159</v>
      </c>
      <c r="B11140" s="1">
        <v>44689</v>
      </c>
      <c r="C11140">
        <v>1</v>
      </c>
      <c r="D11140">
        <v>57.92</v>
      </c>
      <c r="E11140">
        <v>70</v>
      </c>
    </row>
    <row r="11141" spans="1:5" x14ac:dyDescent="0.3">
      <c r="A11141" t="s">
        <v>159</v>
      </c>
      <c r="B11141" s="1">
        <v>44689</v>
      </c>
      <c r="C11141">
        <v>1</v>
      </c>
      <c r="D11141">
        <v>57.92</v>
      </c>
      <c r="E11141">
        <v>70</v>
      </c>
    </row>
    <row r="11142" spans="1:5" x14ac:dyDescent="0.3">
      <c r="A11142" t="s">
        <v>90</v>
      </c>
      <c r="B11142" s="1">
        <v>44689</v>
      </c>
      <c r="C11142">
        <v>1</v>
      </c>
      <c r="D11142">
        <v>384.2</v>
      </c>
      <c r="E11142">
        <v>462</v>
      </c>
    </row>
    <row r="11143" spans="1:5" x14ac:dyDescent="0.3">
      <c r="A11143" t="s">
        <v>133</v>
      </c>
      <c r="B11143" s="1">
        <v>44689</v>
      </c>
      <c r="C11143">
        <v>1</v>
      </c>
      <c r="D11143">
        <v>6.13</v>
      </c>
      <c r="E11143">
        <v>10</v>
      </c>
    </row>
    <row r="11144" spans="1:5" x14ac:dyDescent="0.3">
      <c r="A11144" t="s">
        <v>160</v>
      </c>
      <c r="B11144" s="1">
        <v>44689</v>
      </c>
      <c r="C11144">
        <v>1</v>
      </c>
      <c r="D11144">
        <v>81.87</v>
      </c>
      <c r="E11144">
        <v>100</v>
      </c>
    </row>
    <row r="11145" spans="1:5" x14ac:dyDescent="0.3">
      <c r="A11145" t="s">
        <v>101</v>
      </c>
      <c r="B11145" s="1">
        <v>44689</v>
      </c>
      <c r="C11145">
        <v>1</v>
      </c>
      <c r="D11145">
        <v>32.46</v>
      </c>
      <c r="E11145">
        <v>51</v>
      </c>
    </row>
    <row r="11146" spans="1:5" x14ac:dyDescent="0.3">
      <c r="A11146" t="s">
        <v>25</v>
      </c>
      <c r="B11146" s="1">
        <v>44689</v>
      </c>
      <c r="C11146">
        <v>1</v>
      </c>
      <c r="D11146">
        <v>147.4</v>
      </c>
      <c r="E11146">
        <v>177</v>
      </c>
    </row>
    <row r="11147" spans="1:5" x14ac:dyDescent="0.3">
      <c r="A11147" t="s">
        <v>65</v>
      </c>
      <c r="B11147" s="1">
        <v>44689</v>
      </c>
      <c r="C11147">
        <v>1</v>
      </c>
      <c r="D11147">
        <v>176.42</v>
      </c>
      <c r="E11147">
        <v>207</v>
      </c>
    </row>
    <row r="11148" spans="1:5" x14ac:dyDescent="0.3">
      <c r="A11148" t="s">
        <v>160</v>
      </c>
      <c r="B11148" s="1">
        <v>44689</v>
      </c>
      <c r="C11148">
        <v>1</v>
      </c>
      <c r="D11148">
        <v>77.989999999999995</v>
      </c>
      <c r="E11148">
        <v>95</v>
      </c>
    </row>
    <row r="11149" spans="1:5" x14ac:dyDescent="0.3">
      <c r="A11149" t="s">
        <v>26</v>
      </c>
      <c r="B11149" s="1">
        <v>44689</v>
      </c>
      <c r="C11149">
        <v>0.1</v>
      </c>
      <c r="D11149">
        <v>987.84</v>
      </c>
      <c r="E11149">
        <v>1304</v>
      </c>
    </row>
    <row r="11150" spans="1:5" x14ac:dyDescent="0.3">
      <c r="A11150" t="s">
        <v>92</v>
      </c>
      <c r="B11150" s="1">
        <v>44689</v>
      </c>
      <c r="C11150">
        <v>2</v>
      </c>
      <c r="D11150">
        <v>6.6</v>
      </c>
      <c r="E11150">
        <v>9</v>
      </c>
    </row>
    <row r="11151" spans="1:5" x14ac:dyDescent="0.3">
      <c r="A11151" t="s">
        <v>25</v>
      </c>
      <c r="B11151" s="1">
        <v>44689</v>
      </c>
      <c r="C11151">
        <v>1</v>
      </c>
      <c r="D11151">
        <v>148.52000000000001</v>
      </c>
      <c r="E11151">
        <v>178</v>
      </c>
    </row>
    <row r="11152" spans="1:5" x14ac:dyDescent="0.3">
      <c r="A11152" t="s">
        <v>23</v>
      </c>
      <c r="B11152" s="1">
        <v>44689</v>
      </c>
      <c r="C11152">
        <v>1</v>
      </c>
      <c r="D11152">
        <v>109.41</v>
      </c>
      <c r="E11152">
        <v>123</v>
      </c>
    </row>
    <row r="11153" spans="1:5" x14ac:dyDescent="0.3">
      <c r="A11153" t="s">
        <v>8</v>
      </c>
      <c r="B11153" s="1">
        <v>44689</v>
      </c>
      <c r="C11153">
        <v>1</v>
      </c>
      <c r="D11153">
        <v>47.03</v>
      </c>
      <c r="E11153">
        <v>77</v>
      </c>
    </row>
    <row r="11154" spans="1:5" x14ac:dyDescent="0.3">
      <c r="A11154" t="s">
        <v>48</v>
      </c>
      <c r="B11154" s="1">
        <v>44689</v>
      </c>
      <c r="C11154">
        <v>1</v>
      </c>
      <c r="D11154">
        <v>42.23</v>
      </c>
      <c r="E11154">
        <v>67</v>
      </c>
    </row>
    <row r="11155" spans="1:5" x14ac:dyDescent="0.3">
      <c r="A11155" t="s">
        <v>48</v>
      </c>
      <c r="B11155" s="1">
        <v>44689</v>
      </c>
      <c r="C11155">
        <v>1</v>
      </c>
      <c r="D11155">
        <v>42.23</v>
      </c>
      <c r="E11155">
        <v>67</v>
      </c>
    </row>
    <row r="11156" spans="1:5" x14ac:dyDescent="0.3">
      <c r="A11156" t="s">
        <v>98</v>
      </c>
      <c r="B11156" s="1">
        <v>44689</v>
      </c>
      <c r="C11156">
        <v>1</v>
      </c>
      <c r="D11156">
        <v>125.08</v>
      </c>
      <c r="E11156">
        <v>148</v>
      </c>
    </row>
    <row r="11157" spans="1:5" x14ac:dyDescent="0.3">
      <c r="A11157" t="s">
        <v>147</v>
      </c>
      <c r="B11157" s="1">
        <v>44689</v>
      </c>
      <c r="C11157">
        <v>1</v>
      </c>
      <c r="D11157">
        <v>136.72999999999999</v>
      </c>
      <c r="E11157">
        <v>185</v>
      </c>
    </row>
    <row r="11158" spans="1:5" x14ac:dyDescent="0.3">
      <c r="A11158" t="s">
        <v>7</v>
      </c>
      <c r="B11158" s="1">
        <v>44689</v>
      </c>
      <c r="C11158">
        <v>1</v>
      </c>
      <c r="D11158">
        <v>88.11</v>
      </c>
      <c r="E11158">
        <v>105</v>
      </c>
    </row>
    <row r="11159" spans="1:5" x14ac:dyDescent="0.3">
      <c r="A11159" t="s">
        <v>7</v>
      </c>
      <c r="B11159" s="1">
        <v>44689</v>
      </c>
      <c r="C11159">
        <v>1</v>
      </c>
      <c r="D11159">
        <v>88.11</v>
      </c>
      <c r="E11159">
        <v>105</v>
      </c>
    </row>
    <row r="11160" spans="1:5" x14ac:dyDescent="0.3">
      <c r="A11160" t="s">
        <v>136</v>
      </c>
      <c r="B11160" s="1">
        <v>44689</v>
      </c>
      <c r="C11160">
        <v>1</v>
      </c>
      <c r="D11160">
        <v>312.91000000000003</v>
      </c>
      <c r="E11160">
        <v>407</v>
      </c>
    </row>
    <row r="11161" spans="1:5" x14ac:dyDescent="0.3">
      <c r="A11161" t="s">
        <v>40</v>
      </c>
      <c r="B11161" s="1">
        <v>44689</v>
      </c>
      <c r="C11161">
        <v>1</v>
      </c>
      <c r="D11161">
        <v>182.57</v>
      </c>
      <c r="E11161">
        <v>217</v>
      </c>
    </row>
    <row r="11162" spans="1:5" x14ac:dyDescent="0.3">
      <c r="A11162" t="s">
        <v>60</v>
      </c>
      <c r="B11162" s="1">
        <v>44689</v>
      </c>
      <c r="C11162">
        <v>1</v>
      </c>
      <c r="D11162">
        <v>58.41</v>
      </c>
      <c r="E11162">
        <v>72</v>
      </c>
    </row>
    <row r="11163" spans="1:5" x14ac:dyDescent="0.3">
      <c r="A11163" t="s">
        <v>127</v>
      </c>
      <c r="B11163" s="1">
        <v>44689</v>
      </c>
      <c r="C11163">
        <v>1</v>
      </c>
      <c r="D11163">
        <v>117.96</v>
      </c>
      <c r="E11163">
        <v>164</v>
      </c>
    </row>
    <row r="11164" spans="1:5" x14ac:dyDescent="0.3">
      <c r="A11164" t="s">
        <v>131</v>
      </c>
      <c r="B11164" s="1">
        <v>44689</v>
      </c>
      <c r="C11164">
        <v>1</v>
      </c>
      <c r="D11164">
        <v>361.44</v>
      </c>
      <c r="E11164">
        <v>423</v>
      </c>
    </row>
    <row r="11165" spans="1:5" x14ac:dyDescent="0.3">
      <c r="A11165" t="s">
        <v>148</v>
      </c>
      <c r="B11165" s="1">
        <v>44689</v>
      </c>
      <c r="C11165">
        <v>1</v>
      </c>
      <c r="D11165">
        <v>38.520000000000003</v>
      </c>
      <c r="E11165">
        <v>61</v>
      </c>
    </row>
    <row r="11166" spans="1:5" x14ac:dyDescent="0.3">
      <c r="A11166" t="s">
        <v>56</v>
      </c>
      <c r="B11166" s="1">
        <v>44689</v>
      </c>
      <c r="C11166">
        <v>1</v>
      </c>
      <c r="D11166">
        <v>43.97</v>
      </c>
      <c r="E11166">
        <v>69</v>
      </c>
    </row>
    <row r="11167" spans="1:5" x14ac:dyDescent="0.3">
      <c r="A11167" t="s">
        <v>6</v>
      </c>
      <c r="B11167" s="1">
        <v>44689</v>
      </c>
      <c r="C11167">
        <v>1</v>
      </c>
      <c r="D11167">
        <v>508.11</v>
      </c>
      <c r="E11167">
        <v>681</v>
      </c>
    </row>
    <row r="11168" spans="1:5" x14ac:dyDescent="0.3">
      <c r="A11168" t="s">
        <v>35</v>
      </c>
      <c r="B11168" s="1">
        <v>44689</v>
      </c>
      <c r="C11168">
        <v>1</v>
      </c>
      <c r="D11168">
        <v>35</v>
      </c>
      <c r="E11168">
        <v>54</v>
      </c>
    </row>
    <row r="11169" spans="1:5" x14ac:dyDescent="0.3">
      <c r="A11169" t="s">
        <v>110</v>
      </c>
      <c r="B11169" s="1">
        <v>44689</v>
      </c>
      <c r="C11169">
        <v>1</v>
      </c>
      <c r="D11169">
        <v>206.94</v>
      </c>
      <c r="E11169">
        <v>276</v>
      </c>
    </row>
    <row r="11170" spans="1:5" x14ac:dyDescent="0.3">
      <c r="A11170" t="s">
        <v>11</v>
      </c>
      <c r="B11170" s="1">
        <v>44689</v>
      </c>
      <c r="C11170">
        <v>1</v>
      </c>
      <c r="D11170">
        <v>24.2</v>
      </c>
      <c r="E11170">
        <v>39</v>
      </c>
    </row>
    <row r="11171" spans="1:5" x14ac:dyDescent="0.3">
      <c r="A11171" t="s">
        <v>85</v>
      </c>
      <c r="B11171" s="1">
        <v>44689</v>
      </c>
      <c r="C11171">
        <v>1</v>
      </c>
      <c r="D11171">
        <v>16.739999999999998</v>
      </c>
      <c r="E11171">
        <v>26</v>
      </c>
    </row>
    <row r="11172" spans="1:5" x14ac:dyDescent="0.3">
      <c r="A11172" t="s">
        <v>56</v>
      </c>
      <c r="B11172" s="1">
        <v>44689</v>
      </c>
      <c r="C11172">
        <v>1</v>
      </c>
      <c r="D11172">
        <v>44.84</v>
      </c>
      <c r="E11172">
        <v>70</v>
      </c>
    </row>
    <row r="11173" spans="1:5" x14ac:dyDescent="0.3">
      <c r="A11173" t="s">
        <v>12</v>
      </c>
      <c r="B11173" s="1">
        <v>44689</v>
      </c>
      <c r="C11173">
        <v>1</v>
      </c>
      <c r="D11173">
        <v>60.29</v>
      </c>
      <c r="E11173">
        <v>75</v>
      </c>
    </row>
    <row r="11174" spans="1:5" x14ac:dyDescent="0.3">
      <c r="A11174" t="s">
        <v>92</v>
      </c>
      <c r="B11174" s="1">
        <v>44689</v>
      </c>
      <c r="C11174">
        <v>10</v>
      </c>
      <c r="D11174">
        <v>6.6</v>
      </c>
      <c r="E11174">
        <v>9</v>
      </c>
    </row>
    <row r="11175" spans="1:5" x14ac:dyDescent="0.3">
      <c r="A11175" t="s">
        <v>45</v>
      </c>
      <c r="B11175" s="1">
        <v>44689</v>
      </c>
      <c r="C11175">
        <v>2</v>
      </c>
      <c r="D11175">
        <v>27.54</v>
      </c>
      <c r="E11175">
        <v>45</v>
      </c>
    </row>
    <row r="11176" spans="1:5" x14ac:dyDescent="0.3">
      <c r="A11176" t="s">
        <v>54</v>
      </c>
      <c r="B11176" s="1">
        <v>44689</v>
      </c>
      <c r="C11176">
        <v>1</v>
      </c>
      <c r="D11176">
        <v>643.38</v>
      </c>
      <c r="E11176">
        <v>830</v>
      </c>
    </row>
    <row r="11177" spans="1:5" x14ac:dyDescent="0.3">
      <c r="A11177" t="s">
        <v>31</v>
      </c>
      <c r="B11177" s="1">
        <v>44689</v>
      </c>
      <c r="C11177">
        <v>1</v>
      </c>
      <c r="D11177">
        <v>13.19</v>
      </c>
      <c r="E11177">
        <v>18</v>
      </c>
    </row>
    <row r="11178" spans="1:5" x14ac:dyDescent="0.3">
      <c r="A11178" t="s">
        <v>19</v>
      </c>
      <c r="B11178" s="1">
        <v>44689</v>
      </c>
      <c r="C11178">
        <v>1</v>
      </c>
      <c r="D11178">
        <v>80.52</v>
      </c>
      <c r="E11178">
        <v>103</v>
      </c>
    </row>
    <row r="11179" spans="1:5" x14ac:dyDescent="0.3">
      <c r="A11179" t="s">
        <v>137</v>
      </c>
      <c r="B11179" s="1">
        <v>44689</v>
      </c>
      <c r="C11179">
        <v>3</v>
      </c>
      <c r="D11179">
        <v>10.41</v>
      </c>
      <c r="E11179">
        <v>17</v>
      </c>
    </row>
    <row r="11180" spans="1:5" x14ac:dyDescent="0.3">
      <c r="A11180" t="s">
        <v>72</v>
      </c>
      <c r="B11180" s="1">
        <v>44689</v>
      </c>
      <c r="C11180">
        <v>1</v>
      </c>
      <c r="D11180">
        <v>558.65</v>
      </c>
      <c r="E11180">
        <v>738</v>
      </c>
    </row>
    <row r="11181" spans="1:5" x14ac:dyDescent="0.3">
      <c r="A11181" t="s">
        <v>160</v>
      </c>
      <c r="B11181" s="1">
        <v>44689</v>
      </c>
      <c r="C11181">
        <v>1</v>
      </c>
      <c r="D11181">
        <v>81.87</v>
      </c>
      <c r="E11181">
        <v>100</v>
      </c>
    </row>
    <row r="11182" spans="1:5" x14ac:dyDescent="0.3">
      <c r="A11182" t="s">
        <v>22</v>
      </c>
      <c r="B11182" s="1">
        <v>44689</v>
      </c>
      <c r="C11182">
        <v>1</v>
      </c>
      <c r="D11182">
        <v>30.3</v>
      </c>
      <c r="E11182">
        <v>49</v>
      </c>
    </row>
    <row r="11183" spans="1:5" x14ac:dyDescent="0.3">
      <c r="A11183" t="s">
        <v>50</v>
      </c>
      <c r="B11183" s="1">
        <v>44689</v>
      </c>
      <c r="C11183">
        <v>1</v>
      </c>
      <c r="D11183">
        <v>44.71</v>
      </c>
      <c r="E11183">
        <v>55</v>
      </c>
    </row>
    <row r="11184" spans="1:5" x14ac:dyDescent="0.3">
      <c r="A11184" t="s">
        <v>23</v>
      </c>
      <c r="B11184" s="1">
        <v>44689</v>
      </c>
      <c r="C11184">
        <v>1</v>
      </c>
      <c r="D11184">
        <v>110.08</v>
      </c>
      <c r="E11184">
        <v>124</v>
      </c>
    </row>
    <row r="11185" spans="1:5" x14ac:dyDescent="0.3">
      <c r="A11185" t="s">
        <v>113</v>
      </c>
      <c r="B11185" s="1">
        <v>44689</v>
      </c>
      <c r="C11185">
        <v>1</v>
      </c>
      <c r="D11185">
        <v>160.82</v>
      </c>
      <c r="E11185">
        <v>221</v>
      </c>
    </row>
    <row r="11186" spans="1:5" x14ac:dyDescent="0.3">
      <c r="A11186" t="s">
        <v>12</v>
      </c>
      <c r="B11186" s="1">
        <v>44689</v>
      </c>
      <c r="C11186">
        <v>1</v>
      </c>
      <c r="D11186">
        <v>55.81</v>
      </c>
      <c r="E11186">
        <v>69</v>
      </c>
    </row>
    <row r="11187" spans="1:5" x14ac:dyDescent="0.3">
      <c r="A11187" t="s">
        <v>8</v>
      </c>
      <c r="B11187" s="1">
        <v>44689</v>
      </c>
      <c r="C11187">
        <v>1</v>
      </c>
      <c r="D11187">
        <v>47.01</v>
      </c>
      <c r="E11187">
        <v>77</v>
      </c>
    </row>
    <row r="11188" spans="1:5" x14ac:dyDescent="0.3">
      <c r="A11188" t="s">
        <v>45</v>
      </c>
      <c r="B11188" s="1">
        <v>44689</v>
      </c>
      <c r="C11188">
        <v>1</v>
      </c>
      <c r="D11188">
        <v>25.25</v>
      </c>
      <c r="E11188">
        <v>41</v>
      </c>
    </row>
    <row r="11189" spans="1:5" x14ac:dyDescent="0.3">
      <c r="A11189" t="s">
        <v>160</v>
      </c>
      <c r="B11189" s="1">
        <v>44689</v>
      </c>
      <c r="C11189">
        <v>1</v>
      </c>
      <c r="D11189">
        <v>81.87</v>
      </c>
      <c r="E11189">
        <v>100</v>
      </c>
    </row>
    <row r="11190" spans="1:5" x14ac:dyDescent="0.3">
      <c r="A11190" t="s">
        <v>127</v>
      </c>
      <c r="B11190" s="1">
        <v>44689</v>
      </c>
      <c r="C11190">
        <v>1</v>
      </c>
      <c r="D11190">
        <v>121</v>
      </c>
      <c r="E11190">
        <v>169</v>
      </c>
    </row>
    <row r="11191" spans="1:5" x14ac:dyDescent="0.3">
      <c r="A11191" t="s">
        <v>25</v>
      </c>
      <c r="B11191" s="1">
        <v>44689</v>
      </c>
      <c r="C11191">
        <v>1</v>
      </c>
      <c r="D11191">
        <v>150.25</v>
      </c>
      <c r="E11191">
        <v>180</v>
      </c>
    </row>
    <row r="11192" spans="1:5" x14ac:dyDescent="0.3">
      <c r="A11192" t="s">
        <v>6</v>
      </c>
      <c r="B11192" s="1">
        <v>44689</v>
      </c>
      <c r="C11192">
        <v>0.1</v>
      </c>
      <c r="D11192">
        <v>409.63</v>
      </c>
      <c r="E11192">
        <v>513</v>
      </c>
    </row>
    <row r="11193" spans="1:5" x14ac:dyDescent="0.3">
      <c r="A11193" t="s">
        <v>6</v>
      </c>
      <c r="B11193" s="1">
        <v>44689</v>
      </c>
      <c r="C11193">
        <v>0.3</v>
      </c>
      <c r="D11193">
        <v>460.48</v>
      </c>
      <c r="E11193">
        <v>576</v>
      </c>
    </row>
    <row r="11194" spans="1:5" x14ac:dyDescent="0.3">
      <c r="A11194" t="s">
        <v>45</v>
      </c>
      <c r="B11194" s="1">
        <v>44689</v>
      </c>
      <c r="C11194">
        <v>5</v>
      </c>
      <c r="D11194">
        <v>25.2</v>
      </c>
      <c r="E11194">
        <v>41</v>
      </c>
    </row>
    <row r="11195" spans="1:5" x14ac:dyDescent="0.3">
      <c r="A11195" t="s">
        <v>98</v>
      </c>
      <c r="B11195" s="1">
        <v>44689</v>
      </c>
      <c r="C11195">
        <v>1</v>
      </c>
      <c r="D11195">
        <v>111.85</v>
      </c>
      <c r="E11195">
        <v>135</v>
      </c>
    </row>
    <row r="11196" spans="1:5" x14ac:dyDescent="0.3">
      <c r="A11196" t="s">
        <v>24</v>
      </c>
      <c r="B11196" s="1">
        <v>44689</v>
      </c>
      <c r="C11196">
        <v>1</v>
      </c>
      <c r="D11196">
        <v>107.41</v>
      </c>
      <c r="E11196">
        <v>126</v>
      </c>
    </row>
    <row r="11197" spans="1:5" x14ac:dyDescent="0.3">
      <c r="A11197" t="s">
        <v>25</v>
      </c>
      <c r="B11197" s="1">
        <v>44689</v>
      </c>
      <c r="C11197">
        <v>1</v>
      </c>
      <c r="D11197">
        <v>148.58000000000001</v>
      </c>
      <c r="E11197">
        <v>179</v>
      </c>
    </row>
    <row r="11198" spans="1:5" x14ac:dyDescent="0.3">
      <c r="A11198" t="s">
        <v>75</v>
      </c>
      <c r="B11198" s="1">
        <v>44689</v>
      </c>
      <c r="C11198">
        <v>0.2</v>
      </c>
      <c r="D11198">
        <v>431.37</v>
      </c>
      <c r="E11198">
        <v>635</v>
      </c>
    </row>
    <row r="11199" spans="1:5" x14ac:dyDescent="0.3">
      <c r="A11199" t="s">
        <v>81</v>
      </c>
      <c r="B11199" s="1">
        <v>44689</v>
      </c>
      <c r="C11199">
        <v>1</v>
      </c>
      <c r="D11199">
        <v>40.14</v>
      </c>
      <c r="E11199">
        <v>49</v>
      </c>
    </row>
    <row r="11200" spans="1:5" x14ac:dyDescent="0.3">
      <c r="A11200" t="s">
        <v>48</v>
      </c>
      <c r="B11200" s="1">
        <v>44689</v>
      </c>
      <c r="C11200">
        <v>1</v>
      </c>
      <c r="D11200">
        <v>38.67</v>
      </c>
      <c r="E11200">
        <v>60</v>
      </c>
    </row>
    <row r="11201" spans="1:5" x14ac:dyDescent="0.3">
      <c r="A11201" t="s">
        <v>10</v>
      </c>
      <c r="B11201" s="1">
        <v>44689</v>
      </c>
      <c r="C11201">
        <v>1</v>
      </c>
      <c r="D11201">
        <v>10.34</v>
      </c>
      <c r="E11201">
        <v>13</v>
      </c>
    </row>
    <row r="11202" spans="1:5" x14ac:dyDescent="0.3">
      <c r="A11202" t="s">
        <v>55</v>
      </c>
      <c r="B11202" s="1">
        <v>44689</v>
      </c>
      <c r="C11202">
        <v>1</v>
      </c>
      <c r="D11202">
        <v>77.63</v>
      </c>
      <c r="E11202">
        <v>95</v>
      </c>
    </row>
    <row r="11203" spans="1:5" x14ac:dyDescent="0.3">
      <c r="A11203" t="s">
        <v>11</v>
      </c>
      <c r="B11203" s="1">
        <v>44689</v>
      </c>
      <c r="C11203">
        <v>1</v>
      </c>
      <c r="D11203">
        <v>24.2</v>
      </c>
      <c r="E11203">
        <v>39</v>
      </c>
    </row>
    <row r="11204" spans="1:5" x14ac:dyDescent="0.3">
      <c r="A11204" t="s">
        <v>26</v>
      </c>
      <c r="B11204" s="1">
        <v>44689</v>
      </c>
      <c r="C11204">
        <v>0.1</v>
      </c>
      <c r="D11204">
        <v>989.8</v>
      </c>
      <c r="E11204">
        <v>1238</v>
      </c>
    </row>
    <row r="11205" spans="1:5" x14ac:dyDescent="0.3">
      <c r="A11205" t="s">
        <v>89</v>
      </c>
      <c r="B11205" s="1">
        <v>44689</v>
      </c>
      <c r="C11205">
        <v>1</v>
      </c>
      <c r="D11205">
        <v>65.64</v>
      </c>
      <c r="E11205">
        <v>98</v>
      </c>
    </row>
    <row r="11206" spans="1:5" x14ac:dyDescent="0.3">
      <c r="A11206" t="s">
        <v>89</v>
      </c>
      <c r="B11206" s="1">
        <v>44689</v>
      </c>
      <c r="C11206">
        <v>1</v>
      </c>
      <c r="D11206">
        <v>65.64</v>
      </c>
      <c r="E11206">
        <v>98</v>
      </c>
    </row>
    <row r="11207" spans="1:5" x14ac:dyDescent="0.3">
      <c r="A11207" t="s">
        <v>75</v>
      </c>
      <c r="B11207" s="1">
        <v>44689</v>
      </c>
      <c r="C11207">
        <v>0.24</v>
      </c>
      <c r="D11207">
        <v>438.6</v>
      </c>
      <c r="E11207">
        <v>667</v>
      </c>
    </row>
    <row r="11208" spans="1:5" x14ac:dyDescent="0.3">
      <c r="A11208" t="s">
        <v>75</v>
      </c>
      <c r="B11208" s="1">
        <v>44689</v>
      </c>
      <c r="C11208">
        <v>0.16</v>
      </c>
      <c r="D11208">
        <v>438.6</v>
      </c>
      <c r="E11208">
        <v>667</v>
      </c>
    </row>
    <row r="11209" spans="1:5" x14ac:dyDescent="0.3">
      <c r="A11209" t="s">
        <v>73</v>
      </c>
      <c r="B11209" s="1">
        <v>44689</v>
      </c>
      <c r="C11209">
        <v>1</v>
      </c>
      <c r="D11209">
        <v>12</v>
      </c>
      <c r="E11209">
        <v>20</v>
      </c>
    </row>
    <row r="11210" spans="1:5" x14ac:dyDescent="0.3">
      <c r="A11210" t="s">
        <v>14</v>
      </c>
      <c r="B11210" s="1">
        <v>44689</v>
      </c>
      <c r="C11210">
        <v>0.3</v>
      </c>
      <c r="D11210">
        <v>503.58</v>
      </c>
      <c r="E11210">
        <v>675</v>
      </c>
    </row>
    <row r="11211" spans="1:5" x14ac:dyDescent="0.3">
      <c r="A11211" t="s">
        <v>13</v>
      </c>
      <c r="B11211" s="1">
        <v>44689</v>
      </c>
      <c r="C11211">
        <v>1</v>
      </c>
      <c r="D11211">
        <v>119.72</v>
      </c>
      <c r="E11211">
        <v>147</v>
      </c>
    </row>
    <row r="11212" spans="1:5" x14ac:dyDescent="0.3">
      <c r="A11212" t="s">
        <v>113</v>
      </c>
      <c r="B11212" s="1">
        <v>44689</v>
      </c>
      <c r="C11212">
        <v>1</v>
      </c>
      <c r="D11212">
        <v>125.55</v>
      </c>
      <c r="E11212">
        <v>178</v>
      </c>
    </row>
    <row r="11213" spans="1:5" x14ac:dyDescent="0.3">
      <c r="A11213" t="s">
        <v>26</v>
      </c>
      <c r="B11213" s="1">
        <v>44689</v>
      </c>
      <c r="C11213">
        <v>0.1</v>
      </c>
      <c r="D11213">
        <v>1262.29</v>
      </c>
      <c r="E11213">
        <v>1578</v>
      </c>
    </row>
    <row r="11214" spans="1:5" x14ac:dyDescent="0.3">
      <c r="A11214" t="s">
        <v>85</v>
      </c>
      <c r="B11214" s="1">
        <v>44689</v>
      </c>
      <c r="C11214">
        <v>1</v>
      </c>
      <c r="D11214">
        <v>15.84</v>
      </c>
      <c r="E11214">
        <v>25</v>
      </c>
    </row>
    <row r="11215" spans="1:5" x14ac:dyDescent="0.3">
      <c r="A11215" t="s">
        <v>44</v>
      </c>
      <c r="B11215" s="1">
        <v>44689</v>
      </c>
      <c r="C11215">
        <v>1</v>
      </c>
      <c r="D11215">
        <v>64.23</v>
      </c>
      <c r="E11215">
        <v>100</v>
      </c>
    </row>
    <row r="11216" spans="1:5" x14ac:dyDescent="0.3">
      <c r="A11216" t="s">
        <v>58</v>
      </c>
      <c r="B11216" s="1">
        <v>44689</v>
      </c>
      <c r="C11216">
        <v>1</v>
      </c>
      <c r="D11216">
        <v>83.29</v>
      </c>
      <c r="E11216">
        <v>100</v>
      </c>
    </row>
    <row r="11217" spans="1:5" x14ac:dyDescent="0.3">
      <c r="A11217" t="s">
        <v>61</v>
      </c>
      <c r="B11217" s="1">
        <v>44689</v>
      </c>
      <c r="C11217">
        <v>1</v>
      </c>
      <c r="D11217">
        <v>33.17</v>
      </c>
      <c r="E11217">
        <v>53</v>
      </c>
    </row>
    <row r="11218" spans="1:5" x14ac:dyDescent="0.3">
      <c r="A11218" t="s">
        <v>132</v>
      </c>
      <c r="B11218" s="1">
        <v>44689</v>
      </c>
      <c r="C11218">
        <v>1</v>
      </c>
      <c r="D11218">
        <v>58.97</v>
      </c>
      <c r="E11218">
        <v>88</v>
      </c>
    </row>
    <row r="11219" spans="1:5" x14ac:dyDescent="0.3">
      <c r="A11219" t="s">
        <v>55</v>
      </c>
      <c r="B11219" s="1">
        <v>44689</v>
      </c>
      <c r="C11219">
        <v>1</v>
      </c>
      <c r="D11219">
        <v>77.63</v>
      </c>
      <c r="E11219">
        <v>95</v>
      </c>
    </row>
    <row r="11220" spans="1:5" x14ac:dyDescent="0.3">
      <c r="A11220" t="s">
        <v>131</v>
      </c>
      <c r="B11220" s="1">
        <v>44689</v>
      </c>
      <c r="C11220">
        <v>1</v>
      </c>
      <c r="D11220">
        <v>361.91</v>
      </c>
      <c r="E11220">
        <v>435</v>
      </c>
    </row>
    <row r="11221" spans="1:5" x14ac:dyDescent="0.3">
      <c r="A11221" t="s">
        <v>65</v>
      </c>
      <c r="B11221" s="1">
        <v>44689</v>
      </c>
      <c r="C11221">
        <v>1</v>
      </c>
      <c r="D11221">
        <v>176.42</v>
      </c>
      <c r="E11221">
        <v>207</v>
      </c>
    </row>
    <row r="11222" spans="1:5" x14ac:dyDescent="0.3">
      <c r="A11222" t="s">
        <v>65</v>
      </c>
      <c r="B11222" s="1">
        <v>44689</v>
      </c>
      <c r="C11222">
        <v>1</v>
      </c>
      <c r="D11222">
        <v>176.42</v>
      </c>
      <c r="E11222">
        <v>207</v>
      </c>
    </row>
    <row r="11223" spans="1:5" x14ac:dyDescent="0.3">
      <c r="A11223" t="s">
        <v>17</v>
      </c>
      <c r="B11223" s="1">
        <v>44689</v>
      </c>
      <c r="C11223">
        <v>1</v>
      </c>
      <c r="D11223">
        <v>454.55</v>
      </c>
      <c r="E11223">
        <v>546</v>
      </c>
    </row>
    <row r="11224" spans="1:5" x14ac:dyDescent="0.3">
      <c r="A11224" t="s">
        <v>13</v>
      </c>
      <c r="B11224" s="1">
        <v>44689</v>
      </c>
      <c r="C11224">
        <v>1</v>
      </c>
      <c r="D11224">
        <v>119.72</v>
      </c>
      <c r="E11224">
        <v>147</v>
      </c>
    </row>
    <row r="11225" spans="1:5" x14ac:dyDescent="0.3">
      <c r="A11225" t="s">
        <v>101</v>
      </c>
      <c r="B11225" s="1">
        <v>44689</v>
      </c>
      <c r="C11225">
        <v>1</v>
      </c>
      <c r="D11225">
        <v>32.46</v>
      </c>
      <c r="E11225">
        <v>51</v>
      </c>
    </row>
    <row r="11226" spans="1:5" x14ac:dyDescent="0.3">
      <c r="A11226" t="s">
        <v>125</v>
      </c>
      <c r="B11226" s="1">
        <v>44689</v>
      </c>
      <c r="C11226">
        <v>1</v>
      </c>
      <c r="D11226">
        <v>394.12</v>
      </c>
      <c r="E11226">
        <v>521</v>
      </c>
    </row>
    <row r="11227" spans="1:5" x14ac:dyDescent="0.3">
      <c r="A11227" t="s">
        <v>123</v>
      </c>
      <c r="B11227" s="1">
        <v>44689</v>
      </c>
      <c r="C11227">
        <v>1</v>
      </c>
      <c r="D11227">
        <v>62.79</v>
      </c>
      <c r="E11227">
        <v>78</v>
      </c>
    </row>
    <row r="11228" spans="1:5" x14ac:dyDescent="0.3">
      <c r="A11228" t="s">
        <v>15</v>
      </c>
      <c r="B11228" s="1">
        <v>44689</v>
      </c>
      <c r="C11228">
        <v>1</v>
      </c>
      <c r="D11228">
        <v>37.85</v>
      </c>
      <c r="E11228">
        <v>62</v>
      </c>
    </row>
    <row r="11229" spans="1:5" x14ac:dyDescent="0.3">
      <c r="A11229" t="s">
        <v>135</v>
      </c>
      <c r="B11229" s="1">
        <v>44689</v>
      </c>
      <c r="C11229">
        <v>1</v>
      </c>
      <c r="D11229">
        <v>72.97</v>
      </c>
      <c r="E11229">
        <v>91</v>
      </c>
    </row>
    <row r="11230" spans="1:5" x14ac:dyDescent="0.3">
      <c r="A11230" t="s">
        <v>135</v>
      </c>
      <c r="B11230" s="1">
        <v>44689</v>
      </c>
      <c r="C11230">
        <v>1</v>
      </c>
      <c r="D11230">
        <v>72.97</v>
      </c>
      <c r="E11230">
        <v>91</v>
      </c>
    </row>
    <row r="11231" spans="1:5" x14ac:dyDescent="0.3">
      <c r="A11231" t="s">
        <v>134</v>
      </c>
      <c r="B11231" s="1">
        <v>44689</v>
      </c>
      <c r="C11231">
        <v>1</v>
      </c>
      <c r="D11231">
        <v>28.66</v>
      </c>
      <c r="E11231">
        <v>44</v>
      </c>
    </row>
    <row r="11232" spans="1:5" x14ac:dyDescent="0.3">
      <c r="A11232" t="s">
        <v>85</v>
      </c>
      <c r="B11232" s="1">
        <v>44689</v>
      </c>
      <c r="C11232">
        <v>1</v>
      </c>
      <c r="D11232">
        <v>15.95</v>
      </c>
      <c r="E11232">
        <v>26</v>
      </c>
    </row>
    <row r="11233" spans="1:5" x14ac:dyDescent="0.3">
      <c r="A11233" t="s">
        <v>85</v>
      </c>
      <c r="B11233" s="1">
        <v>44689</v>
      </c>
      <c r="C11233">
        <v>1</v>
      </c>
      <c r="D11233">
        <v>15.95</v>
      </c>
      <c r="E11233">
        <v>26</v>
      </c>
    </row>
    <row r="11234" spans="1:5" x14ac:dyDescent="0.3">
      <c r="A11234" t="s">
        <v>51</v>
      </c>
      <c r="B11234" s="1">
        <v>44689</v>
      </c>
      <c r="C11234">
        <v>4</v>
      </c>
      <c r="D11234">
        <v>1.98</v>
      </c>
      <c r="E11234">
        <v>3.2</v>
      </c>
    </row>
    <row r="11235" spans="1:5" x14ac:dyDescent="0.3">
      <c r="A11235" t="s">
        <v>19</v>
      </c>
      <c r="B11235" s="1">
        <v>44689</v>
      </c>
      <c r="C11235">
        <v>1</v>
      </c>
      <c r="D11235">
        <v>80.52</v>
      </c>
      <c r="E11235">
        <v>103</v>
      </c>
    </row>
    <row r="11236" spans="1:5" x14ac:dyDescent="0.3">
      <c r="A11236" t="s">
        <v>24</v>
      </c>
      <c r="B11236" s="1">
        <v>44689</v>
      </c>
      <c r="C11236">
        <v>1</v>
      </c>
      <c r="D11236">
        <v>103.96</v>
      </c>
      <c r="E11236">
        <v>123</v>
      </c>
    </row>
    <row r="11237" spans="1:5" x14ac:dyDescent="0.3">
      <c r="A11237" t="s">
        <v>113</v>
      </c>
      <c r="B11237" s="1">
        <v>44689</v>
      </c>
      <c r="C11237">
        <v>1</v>
      </c>
      <c r="D11237">
        <v>153.63</v>
      </c>
      <c r="E11237">
        <v>214</v>
      </c>
    </row>
    <row r="11238" spans="1:5" x14ac:dyDescent="0.3">
      <c r="A11238" t="s">
        <v>133</v>
      </c>
      <c r="B11238" s="1">
        <v>44689</v>
      </c>
      <c r="C11238">
        <v>1</v>
      </c>
      <c r="D11238">
        <v>5.98</v>
      </c>
      <c r="E11238">
        <v>11</v>
      </c>
    </row>
    <row r="11239" spans="1:5" x14ac:dyDescent="0.3">
      <c r="A11239" t="s">
        <v>52</v>
      </c>
      <c r="B11239" s="1">
        <v>44689</v>
      </c>
      <c r="C11239">
        <v>1</v>
      </c>
      <c r="D11239">
        <v>202.33</v>
      </c>
      <c r="E11239">
        <v>243</v>
      </c>
    </row>
    <row r="11240" spans="1:5" x14ac:dyDescent="0.3">
      <c r="A11240" t="s">
        <v>20</v>
      </c>
      <c r="B11240" s="1">
        <v>44689</v>
      </c>
      <c r="C11240">
        <v>1</v>
      </c>
      <c r="D11240">
        <v>20</v>
      </c>
      <c r="E11240">
        <v>25</v>
      </c>
    </row>
    <row r="11241" spans="1:5" x14ac:dyDescent="0.3">
      <c r="A11241" t="s">
        <v>85</v>
      </c>
      <c r="B11241" s="1">
        <v>44689</v>
      </c>
      <c r="C11241">
        <v>1</v>
      </c>
      <c r="D11241">
        <v>16.649999999999999</v>
      </c>
      <c r="E11241">
        <v>26</v>
      </c>
    </row>
    <row r="11242" spans="1:5" x14ac:dyDescent="0.3">
      <c r="A11242" t="s">
        <v>65</v>
      </c>
      <c r="B11242" s="1">
        <v>44689</v>
      </c>
      <c r="C11242">
        <v>1</v>
      </c>
      <c r="D11242">
        <v>176.42</v>
      </c>
      <c r="E11242">
        <v>207</v>
      </c>
    </row>
    <row r="11243" spans="1:5" x14ac:dyDescent="0.3">
      <c r="A11243" t="s">
        <v>43</v>
      </c>
      <c r="B11243" s="1">
        <v>44689</v>
      </c>
      <c r="C11243">
        <v>1</v>
      </c>
      <c r="D11243">
        <v>138.69</v>
      </c>
      <c r="E11243">
        <v>169</v>
      </c>
    </row>
    <row r="11244" spans="1:5" x14ac:dyDescent="0.3">
      <c r="A11244" t="s">
        <v>14</v>
      </c>
      <c r="B11244" s="1">
        <v>44689</v>
      </c>
      <c r="C11244">
        <v>0.5</v>
      </c>
      <c r="D11244">
        <v>596.29</v>
      </c>
      <c r="E11244">
        <v>746</v>
      </c>
    </row>
    <row r="11245" spans="1:5" x14ac:dyDescent="0.3">
      <c r="A11245" t="s">
        <v>87</v>
      </c>
      <c r="B11245" s="1">
        <v>44689</v>
      </c>
      <c r="C11245">
        <v>1</v>
      </c>
      <c r="D11245">
        <v>348.66</v>
      </c>
      <c r="E11245">
        <v>395</v>
      </c>
    </row>
    <row r="11246" spans="1:5" x14ac:dyDescent="0.3">
      <c r="A11246" t="s">
        <v>147</v>
      </c>
      <c r="B11246" s="1">
        <v>44689</v>
      </c>
      <c r="C11246">
        <v>1</v>
      </c>
      <c r="D11246">
        <v>136.72999999999999</v>
      </c>
      <c r="E11246">
        <v>191</v>
      </c>
    </row>
    <row r="11247" spans="1:5" x14ac:dyDescent="0.3">
      <c r="A11247" t="s">
        <v>56</v>
      </c>
      <c r="B11247" s="1">
        <v>44689</v>
      </c>
      <c r="C11247">
        <v>1</v>
      </c>
      <c r="D11247">
        <v>45.42</v>
      </c>
      <c r="E11247">
        <v>70</v>
      </c>
    </row>
    <row r="11248" spans="1:5" x14ac:dyDescent="0.3">
      <c r="A11248" t="s">
        <v>19</v>
      </c>
      <c r="B11248" s="1">
        <v>44689</v>
      </c>
      <c r="C11248">
        <v>1</v>
      </c>
      <c r="D11248">
        <v>80.52</v>
      </c>
      <c r="E11248">
        <v>103</v>
      </c>
    </row>
    <row r="11249" spans="1:5" x14ac:dyDescent="0.3">
      <c r="A11249" t="s">
        <v>12</v>
      </c>
      <c r="B11249" s="1">
        <v>44689</v>
      </c>
      <c r="C11249">
        <v>1</v>
      </c>
      <c r="D11249">
        <v>59.39</v>
      </c>
      <c r="E11249">
        <v>73</v>
      </c>
    </row>
    <row r="11250" spans="1:5" x14ac:dyDescent="0.3">
      <c r="A11250" t="s">
        <v>12</v>
      </c>
      <c r="B11250" s="1">
        <v>44689</v>
      </c>
      <c r="C11250">
        <v>1</v>
      </c>
      <c r="D11250">
        <v>55.81</v>
      </c>
      <c r="E11250">
        <v>69</v>
      </c>
    </row>
    <row r="11251" spans="1:5" x14ac:dyDescent="0.3">
      <c r="A11251" t="s">
        <v>107</v>
      </c>
      <c r="B11251" s="1">
        <v>44689</v>
      </c>
      <c r="C11251">
        <v>1</v>
      </c>
      <c r="D11251">
        <v>79.16</v>
      </c>
      <c r="E11251">
        <v>96</v>
      </c>
    </row>
    <row r="11252" spans="1:5" x14ac:dyDescent="0.3">
      <c r="A11252" t="s">
        <v>55</v>
      </c>
      <c r="B11252" s="1">
        <v>44689</v>
      </c>
      <c r="C11252">
        <v>1</v>
      </c>
      <c r="D11252">
        <v>89.4</v>
      </c>
      <c r="E11252">
        <v>106</v>
      </c>
    </row>
    <row r="11253" spans="1:5" x14ac:dyDescent="0.3">
      <c r="A11253" t="s">
        <v>110</v>
      </c>
      <c r="B11253" s="1">
        <v>44689</v>
      </c>
      <c r="C11253">
        <v>1</v>
      </c>
      <c r="D11253">
        <v>206.94</v>
      </c>
      <c r="E11253">
        <v>276</v>
      </c>
    </row>
    <row r="11254" spans="1:5" x14ac:dyDescent="0.3">
      <c r="A11254" t="s">
        <v>26</v>
      </c>
      <c r="B11254" s="1">
        <v>44689</v>
      </c>
      <c r="C11254">
        <v>0.2</v>
      </c>
      <c r="D11254">
        <v>1086.5899999999999</v>
      </c>
      <c r="E11254">
        <v>1359</v>
      </c>
    </row>
    <row r="11255" spans="1:5" x14ac:dyDescent="0.3">
      <c r="A11255" t="s">
        <v>146</v>
      </c>
      <c r="B11255" s="1">
        <v>44689</v>
      </c>
      <c r="C11255">
        <v>1</v>
      </c>
      <c r="D11255">
        <v>402.2</v>
      </c>
      <c r="E11255">
        <v>451</v>
      </c>
    </row>
    <row r="11256" spans="1:5" x14ac:dyDescent="0.3">
      <c r="A11256" t="s">
        <v>130</v>
      </c>
      <c r="B11256" s="1">
        <v>44689</v>
      </c>
      <c r="C11256">
        <v>1</v>
      </c>
      <c r="D11256">
        <v>23.54</v>
      </c>
      <c r="E11256">
        <v>29</v>
      </c>
    </row>
    <row r="11257" spans="1:5" x14ac:dyDescent="0.3">
      <c r="A11257" t="s">
        <v>130</v>
      </c>
      <c r="B11257" s="1">
        <v>44689</v>
      </c>
      <c r="C11257">
        <v>1</v>
      </c>
      <c r="D11257">
        <v>23.54</v>
      </c>
      <c r="E11257">
        <v>29</v>
      </c>
    </row>
    <row r="11258" spans="1:5" x14ac:dyDescent="0.3">
      <c r="A11258" t="s">
        <v>130</v>
      </c>
      <c r="B11258" s="1">
        <v>44689</v>
      </c>
      <c r="C11258">
        <v>1</v>
      </c>
      <c r="D11258">
        <v>23.54</v>
      </c>
      <c r="E11258">
        <v>29</v>
      </c>
    </row>
    <row r="11259" spans="1:5" x14ac:dyDescent="0.3">
      <c r="A11259" t="s">
        <v>130</v>
      </c>
      <c r="B11259" s="1">
        <v>44689</v>
      </c>
      <c r="C11259">
        <v>1</v>
      </c>
      <c r="D11259">
        <v>23.12</v>
      </c>
      <c r="E11259">
        <v>29</v>
      </c>
    </row>
    <row r="11260" spans="1:5" x14ac:dyDescent="0.3">
      <c r="A11260" t="s">
        <v>130</v>
      </c>
      <c r="B11260" s="1">
        <v>44689</v>
      </c>
      <c r="C11260">
        <v>1</v>
      </c>
      <c r="D11260">
        <v>23.12</v>
      </c>
      <c r="E11260">
        <v>29</v>
      </c>
    </row>
    <row r="11261" spans="1:5" x14ac:dyDescent="0.3">
      <c r="A11261" t="s">
        <v>65</v>
      </c>
      <c r="B11261" s="1">
        <v>44689</v>
      </c>
      <c r="C11261">
        <v>1</v>
      </c>
      <c r="D11261">
        <v>176.77</v>
      </c>
      <c r="E11261">
        <v>225</v>
      </c>
    </row>
    <row r="11262" spans="1:5" x14ac:dyDescent="0.3">
      <c r="A11262" t="s">
        <v>65</v>
      </c>
      <c r="B11262" s="1">
        <v>44689</v>
      </c>
      <c r="C11262">
        <v>1</v>
      </c>
      <c r="D11262">
        <v>176.42</v>
      </c>
      <c r="E11262">
        <v>207</v>
      </c>
    </row>
    <row r="11263" spans="1:5" x14ac:dyDescent="0.3">
      <c r="A11263" t="s">
        <v>104</v>
      </c>
      <c r="B11263" s="1">
        <v>44689</v>
      </c>
      <c r="C11263">
        <v>1</v>
      </c>
      <c r="D11263">
        <v>45.33</v>
      </c>
      <c r="E11263">
        <v>57</v>
      </c>
    </row>
    <row r="11264" spans="1:5" x14ac:dyDescent="0.3">
      <c r="A11264" t="s">
        <v>160</v>
      </c>
      <c r="B11264" s="1">
        <v>44689</v>
      </c>
      <c r="C11264">
        <v>1</v>
      </c>
      <c r="D11264">
        <v>81.819999999999993</v>
      </c>
      <c r="E11264">
        <v>99</v>
      </c>
    </row>
    <row r="11265" spans="1:5" x14ac:dyDescent="0.3">
      <c r="A11265" t="s">
        <v>136</v>
      </c>
      <c r="B11265" s="1">
        <v>44689</v>
      </c>
      <c r="C11265">
        <v>1</v>
      </c>
      <c r="D11265">
        <v>357.97</v>
      </c>
      <c r="E11265">
        <v>473</v>
      </c>
    </row>
    <row r="11266" spans="1:5" x14ac:dyDescent="0.3">
      <c r="A11266" t="s">
        <v>146</v>
      </c>
      <c r="B11266" s="1">
        <v>44689</v>
      </c>
      <c r="C11266">
        <v>1</v>
      </c>
      <c r="D11266">
        <v>402.2</v>
      </c>
      <c r="E11266">
        <v>451</v>
      </c>
    </row>
    <row r="11267" spans="1:5" x14ac:dyDescent="0.3">
      <c r="A11267" t="s">
        <v>134</v>
      </c>
      <c r="B11267" s="1">
        <v>44689</v>
      </c>
      <c r="C11267">
        <v>1</v>
      </c>
      <c r="D11267">
        <v>27.39</v>
      </c>
      <c r="E11267">
        <v>42</v>
      </c>
    </row>
    <row r="11268" spans="1:5" x14ac:dyDescent="0.3">
      <c r="A11268" t="s">
        <v>89</v>
      </c>
      <c r="B11268" s="1">
        <v>44689</v>
      </c>
      <c r="C11268">
        <v>1</v>
      </c>
      <c r="D11268">
        <v>74.37</v>
      </c>
      <c r="E11268">
        <v>106</v>
      </c>
    </row>
    <row r="11269" spans="1:5" x14ac:dyDescent="0.3">
      <c r="A11269" t="s">
        <v>78</v>
      </c>
      <c r="B11269" s="1">
        <v>44689</v>
      </c>
      <c r="C11269">
        <v>1</v>
      </c>
      <c r="D11269">
        <v>72.790000000000006</v>
      </c>
      <c r="E11269">
        <v>91</v>
      </c>
    </row>
    <row r="11270" spans="1:5" x14ac:dyDescent="0.3">
      <c r="A11270" t="s">
        <v>94</v>
      </c>
      <c r="B11270" s="1">
        <v>44689</v>
      </c>
      <c r="C11270">
        <v>1</v>
      </c>
      <c r="D11270">
        <v>27.31</v>
      </c>
      <c r="E11270">
        <v>38</v>
      </c>
    </row>
    <row r="11271" spans="1:5" x14ac:dyDescent="0.3">
      <c r="A11271" t="s">
        <v>94</v>
      </c>
      <c r="B11271" s="1">
        <v>44689</v>
      </c>
      <c r="C11271">
        <v>1</v>
      </c>
      <c r="D11271">
        <v>27.31</v>
      </c>
      <c r="E11271">
        <v>38</v>
      </c>
    </row>
    <row r="11272" spans="1:5" x14ac:dyDescent="0.3">
      <c r="A11272" t="s">
        <v>94</v>
      </c>
      <c r="B11272" s="1">
        <v>44689</v>
      </c>
      <c r="C11272">
        <v>1</v>
      </c>
      <c r="D11272">
        <v>27.31</v>
      </c>
      <c r="E11272">
        <v>38</v>
      </c>
    </row>
    <row r="11273" spans="1:5" x14ac:dyDescent="0.3">
      <c r="A11273" t="s">
        <v>95</v>
      </c>
      <c r="B11273" s="1">
        <v>44689</v>
      </c>
      <c r="C11273">
        <v>0.2</v>
      </c>
      <c r="D11273">
        <v>128.82</v>
      </c>
      <c r="E11273">
        <v>196</v>
      </c>
    </row>
    <row r="11274" spans="1:5" x14ac:dyDescent="0.3">
      <c r="A11274" t="s">
        <v>95</v>
      </c>
      <c r="B11274" s="1">
        <v>44689</v>
      </c>
      <c r="C11274">
        <v>0.3</v>
      </c>
      <c r="D11274">
        <v>130.65</v>
      </c>
      <c r="E11274">
        <v>199</v>
      </c>
    </row>
    <row r="11275" spans="1:5" x14ac:dyDescent="0.3">
      <c r="A11275" t="s">
        <v>81</v>
      </c>
      <c r="B11275" s="1">
        <v>44689</v>
      </c>
      <c r="C11275">
        <v>1</v>
      </c>
      <c r="D11275">
        <v>39.68</v>
      </c>
      <c r="E11275">
        <v>49</v>
      </c>
    </row>
    <row r="11276" spans="1:5" x14ac:dyDescent="0.3">
      <c r="A11276" t="s">
        <v>7</v>
      </c>
      <c r="B11276" s="1">
        <v>44689</v>
      </c>
      <c r="C11276">
        <v>1</v>
      </c>
      <c r="D11276">
        <v>88.07</v>
      </c>
      <c r="E11276">
        <v>104</v>
      </c>
    </row>
    <row r="11277" spans="1:5" x14ac:dyDescent="0.3">
      <c r="A11277" t="s">
        <v>34</v>
      </c>
      <c r="B11277" s="1">
        <v>44689</v>
      </c>
      <c r="C11277">
        <v>1</v>
      </c>
      <c r="D11277">
        <v>205.48</v>
      </c>
      <c r="E11277">
        <v>237</v>
      </c>
    </row>
    <row r="11278" spans="1:5" x14ac:dyDescent="0.3">
      <c r="A11278" t="s">
        <v>7</v>
      </c>
      <c r="B11278" s="1">
        <v>44689</v>
      </c>
      <c r="C11278">
        <v>1</v>
      </c>
      <c r="D11278">
        <v>88.07</v>
      </c>
      <c r="E11278">
        <v>104</v>
      </c>
    </row>
    <row r="11279" spans="1:5" x14ac:dyDescent="0.3">
      <c r="A11279" t="s">
        <v>7</v>
      </c>
      <c r="B11279" s="1">
        <v>44689</v>
      </c>
      <c r="C11279">
        <v>1</v>
      </c>
      <c r="D11279">
        <v>88.07</v>
      </c>
      <c r="E11279">
        <v>104</v>
      </c>
    </row>
    <row r="11280" spans="1:5" x14ac:dyDescent="0.3">
      <c r="A11280" t="s">
        <v>61</v>
      </c>
      <c r="B11280" s="1">
        <v>44689</v>
      </c>
      <c r="C11280">
        <v>1</v>
      </c>
      <c r="D11280">
        <v>33.17</v>
      </c>
      <c r="E11280">
        <v>53</v>
      </c>
    </row>
    <row r="11281" spans="1:5" x14ac:dyDescent="0.3">
      <c r="A11281" t="s">
        <v>61</v>
      </c>
      <c r="B11281" s="1">
        <v>44689</v>
      </c>
      <c r="C11281">
        <v>1</v>
      </c>
      <c r="D11281">
        <v>33.17</v>
      </c>
      <c r="E11281">
        <v>53</v>
      </c>
    </row>
    <row r="11282" spans="1:5" x14ac:dyDescent="0.3">
      <c r="A11282" t="s">
        <v>47</v>
      </c>
      <c r="B11282" s="1">
        <v>44689</v>
      </c>
      <c r="C11282">
        <v>1</v>
      </c>
      <c r="D11282">
        <v>46.14</v>
      </c>
      <c r="E11282">
        <v>71</v>
      </c>
    </row>
    <row r="11283" spans="1:5" x14ac:dyDescent="0.3">
      <c r="A11283" t="s">
        <v>47</v>
      </c>
      <c r="B11283" s="1">
        <v>44689</v>
      </c>
      <c r="C11283">
        <v>1</v>
      </c>
      <c r="D11283">
        <v>46.14</v>
      </c>
      <c r="E11283">
        <v>71</v>
      </c>
    </row>
    <row r="11284" spans="1:5" x14ac:dyDescent="0.3">
      <c r="A11284" t="s">
        <v>5</v>
      </c>
      <c r="B11284" s="1">
        <v>44689</v>
      </c>
      <c r="C11284">
        <v>1</v>
      </c>
      <c r="D11284">
        <v>134.41</v>
      </c>
      <c r="E11284">
        <v>162</v>
      </c>
    </row>
    <row r="11285" spans="1:5" x14ac:dyDescent="0.3">
      <c r="A11285" t="s">
        <v>112</v>
      </c>
      <c r="B11285" s="1">
        <v>44689</v>
      </c>
      <c r="C11285">
        <v>1</v>
      </c>
      <c r="D11285">
        <v>291.3</v>
      </c>
      <c r="E11285">
        <v>331</v>
      </c>
    </row>
    <row r="11286" spans="1:5" x14ac:dyDescent="0.3">
      <c r="A11286" t="s">
        <v>20</v>
      </c>
      <c r="B11286" s="1">
        <v>44689</v>
      </c>
      <c r="C11286">
        <v>1</v>
      </c>
      <c r="D11286">
        <v>25.61</v>
      </c>
      <c r="E11286">
        <v>35.1</v>
      </c>
    </row>
    <row r="11287" spans="1:5" x14ac:dyDescent="0.3">
      <c r="A11287" t="s">
        <v>20</v>
      </c>
      <c r="B11287" s="1">
        <v>44689</v>
      </c>
      <c r="C11287">
        <v>1</v>
      </c>
      <c r="D11287">
        <v>25.61</v>
      </c>
      <c r="E11287">
        <v>35.1</v>
      </c>
    </row>
    <row r="11288" spans="1:5" x14ac:dyDescent="0.3">
      <c r="A11288" t="s">
        <v>154</v>
      </c>
      <c r="B11288" s="1">
        <v>44689</v>
      </c>
      <c r="C11288">
        <v>1</v>
      </c>
      <c r="D11288">
        <v>120.68</v>
      </c>
      <c r="E11288">
        <v>133.19999999999999</v>
      </c>
    </row>
    <row r="11289" spans="1:5" x14ac:dyDescent="0.3">
      <c r="A11289" t="s">
        <v>154</v>
      </c>
      <c r="B11289" s="1">
        <v>44689</v>
      </c>
      <c r="C11289">
        <v>1</v>
      </c>
      <c r="D11289">
        <v>120.68</v>
      </c>
      <c r="E11289">
        <v>133.19999999999999</v>
      </c>
    </row>
    <row r="11290" spans="1:5" x14ac:dyDescent="0.3">
      <c r="A11290" t="s">
        <v>84</v>
      </c>
      <c r="B11290" s="1">
        <v>44689</v>
      </c>
      <c r="C11290">
        <v>1</v>
      </c>
      <c r="D11290">
        <v>161.47999999999999</v>
      </c>
      <c r="E11290">
        <v>202</v>
      </c>
    </row>
    <row r="11291" spans="1:5" x14ac:dyDescent="0.3">
      <c r="A11291" t="s">
        <v>85</v>
      </c>
      <c r="B11291" s="1">
        <v>44689</v>
      </c>
      <c r="C11291">
        <v>1</v>
      </c>
      <c r="D11291">
        <v>16.739999999999998</v>
      </c>
      <c r="E11291">
        <v>26</v>
      </c>
    </row>
    <row r="11292" spans="1:5" x14ac:dyDescent="0.3">
      <c r="A11292" t="s">
        <v>109</v>
      </c>
      <c r="B11292" s="1">
        <v>44689</v>
      </c>
      <c r="C11292">
        <v>1</v>
      </c>
      <c r="D11292">
        <v>86.93</v>
      </c>
      <c r="E11292">
        <v>97</v>
      </c>
    </row>
    <row r="11293" spans="1:5" x14ac:dyDescent="0.3">
      <c r="A11293" t="s">
        <v>109</v>
      </c>
      <c r="B11293" s="1">
        <v>44689</v>
      </c>
      <c r="C11293">
        <v>1</v>
      </c>
      <c r="D11293">
        <v>86.93</v>
      </c>
      <c r="E11293">
        <v>97</v>
      </c>
    </row>
    <row r="11294" spans="1:5" x14ac:dyDescent="0.3">
      <c r="A11294" t="s">
        <v>109</v>
      </c>
      <c r="B11294" s="1">
        <v>44689</v>
      </c>
      <c r="C11294">
        <v>1</v>
      </c>
      <c r="D11294">
        <v>86.93</v>
      </c>
      <c r="E11294">
        <v>97</v>
      </c>
    </row>
    <row r="11295" spans="1:5" x14ac:dyDescent="0.3">
      <c r="A11295" t="s">
        <v>35</v>
      </c>
      <c r="B11295" s="1">
        <v>44689</v>
      </c>
      <c r="C11295">
        <v>1</v>
      </c>
      <c r="D11295">
        <v>30.35</v>
      </c>
      <c r="E11295">
        <v>48</v>
      </c>
    </row>
    <row r="11296" spans="1:5" x14ac:dyDescent="0.3">
      <c r="A11296" t="s">
        <v>100</v>
      </c>
      <c r="B11296" s="1">
        <v>44689</v>
      </c>
      <c r="C11296">
        <v>1</v>
      </c>
      <c r="D11296">
        <v>35.49</v>
      </c>
      <c r="E11296">
        <v>55</v>
      </c>
    </row>
    <row r="11297" spans="1:5" x14ac:dyDescent="0.3">
      <c r="A11297" t="s">
        <v>124</v>
      </c>
      <c r="B11297" s="1">
        <v>44689</v>
      </c>
      <c r="C11297">
        <v>1</v>
      </c>
      <c r="D11297">
        <v>36.69</v>
      </c>
      <c r="E11297">
        <v>59</v>
      </c>
    </row>
    <row r="11298" spans="1:5" x14ac:dyDescent="0.3">
      <c r="A11298" t="s">
        <v>25</v>
      </c>
      <c r="B11298" s="1">
        <v>44689</v>
      </c>
      <c r="C11298">
        <v>1</v>
      </c>
      <c r="D11298">
        <v>151.22</v>
      </c>
      <c r="E11298">
        <v>181</v>
      </c>
    </row>
    <row r="11299" spans="1:5" x14ac:dyDescent="0.3">
      <c r="A11299" t="s">
        <v>20</v>
      </c>
      <c r="B11299" s="1">
        <v>44689</v>
      </c>
      <c r="C11299">
        <v>1</v>
      </c>
      <c r="D11299">
        <v>20.23</v>
      </c>
      <c r="E11299">
        <v>27</v>
      </c>
    </row>
    <row r="11300" spans="1:5" x14ac:dyDescent="0.3">
      <c r="A11300" t="s">
        <v>160</v>
      </c>
      <c r="B11300" s="1">
        <v>44688</v>
      </c>
      <c r="C11300">
        <v>1</v>
      </c>
      <c r="D11300">
        <v>79.89</v>
      </c>
      <c r="E11300">
        <v>97</v>
      </c>
    </row>
    <row r="11301" spans="1:5" x14ac:dyDescent="0.3">
      <c r="A11301" t="s">
        <v>110</v>
      </c>
      <c r="B11301" s="1">
        <v>44688</v>
      </c>
      <c r="C11301">
        <v>1</v>
      </c>
      <c r="D11301">
        <v>206.94</v>
      </c>
      <c r="E11301">
        <v>276</v>
      </c>
    </row>
    <row r="11302" spans="1:5" x14ac:dyDescent="0.3">
      <c r="A11302" t="s">
        <v>120</v>
      </c>
      <c r="B11302" s="1">
        <v>44688</v>
      </c>
      <c r="C11302">
        <v>1</v>
      </c>
      <c r="D11302">
        <v>132.26</v>
      </c>
      <c r="E11302">
        <v>182</v>
      </c>
    </row>
    <row r="11303" spans="1:5" x14ac:dyDescent="0.3">
      <c r="A11303" t="s">
        <v>6</v>
      </c>
      <c r="B11303" s="1">
        <v>44688</v>
      </c>
      <c r="C11303">
        <v>1</v>
      </c>
      <c r="D11303">
        <v>421.52</v>
      </c>
      <c r="E11303">
        <v>527</v>
      </c>
    </row>
    <row r="11304" spans="1:5" x14ac:dyDescent="0.3">
      <c r="A11304" t="s">
        <v>138</v>
      </c>
      <c r="B11304" s="1">
        <v>44688</v>
      </c>
      <c r="C11304">
        <v>1</v>
      </c>
      <c r="D11304">
        <v>46.5</v>
      </c>
      <c r="E11304">
        <v>75</v>
      </c>
    </row>
    <row r="11305" spans="1:5" x14ac:dyDescent="0.3">
      <c r="A11305" t="s">
        <v>86</v>
      </c>
      <c r="B11305" s="1">
        <v>44688</v>
      </c>
      <c r="C11305">
        <v>2</v>
      </c>
      <c r="D11305">
        <v>47.4</v>
      </c>
      <c r="E11305">
        <v>76</v>
      </c>
    </row>
    <row r="11306" spans="1:5" x14ac:dyDescent="0.3">
      <c r="A11306" t="s">
        <v>56</v>
      </c>
      <c r="B11306" s="1">
        <v>44688</v>
      </c>
      <c r="C11306">
        <v>1</v>
      </c>
      <c r="D11306">
        <v>43.97</v>
      </c>
      <c r="E11306">
        <v>69</v>
      </c>
    </row>
    <row r="11307" spans="1:5" x14ac:dyDescent="0.3">
      <c r="A11307" t="s">
        <v>42</v>
      </c>
      <c r="B11307" s="1">
        <v>44688</v>
      </c>
      <c r="C11307">
        <v>1</v>
      </c>
      <c r="D11307">
        <v>588.37</v>
      </c>
      <c r="E11307">
        <v>659</v>
      </c>
    </row>
    <row r="11308" spans="1:5" x14ac:dyDescent="0.3">
      <c r="A11308" t="s">
        <v>138</v>
      </c>
      <c r="B11308" s="1">
        <v>44688</v>
      </c>
      <c r="C11308">
        <v>2</v>
      </c>
      <c r="D11308">
        <v>46.5</v>
      </c>
      <c r="E11308">
        <v>75</v>
      </c>
    </row>
    <row r="11309" spans="1:5" x14ac:dyDescent="0.3">
      <c r="A11309" t="s">
        <v>59</v>
      </c>
      <c r="B11309" s="1">
        <v>44688</v>
      </c>
      <c r="C11309">
        <v>2</v>
      </c>
      <c r="D11309">
        <v>16.97</v>
      </c>
      <c r="E11309">
        <v>28</v>
      </c>
    </row>
    <row r="11310" spans="1:5" x14ac:dyDescent="0.3">
      <c r="A11310" t="s">
        <v>19</v>
      </c>
      <c r="B11310" s="1">
        <v>44688</v>
      </c>
      <c r="C11310">
        <v>1</v>
      </c>
      <c r="D11310">
        <v>81.58</v>
      </c>
      <c r="E11310">
        <v>102</v>
      </c>
    </row>
    <row r="11311" spans="1:5" x14ac:dyDescent="0.3">
      <c r="A11311" t="s">
        <v>88</v>
      </c>
      <c r="B11311" s="1">
        <v>44688</v>
      </c>
      <c r="C11311">
        <v>1</v>
      </c>
      <c r="D11311">
        <v>128.1</v>
      </c>
      <c r="E11311">
        <v>195</v>
      </c>
    </row>
    <row r="11312" spans="1:5" x14ac:dyDescent="0.3">
      <c r="A11312" t="s">
        <v>95</v>
      </c>
      <c r="B11312" s="1">
        <v>44688</v>
      </c>
      <c r="C11312">
        <v>1</v>
      </c>
      <c r="D11312">
        <v>130.65</v>
      </c>
      <c r="E11312">
        <v>199</v>
      </c>
    </row>
    <row r="11313" spans="1:5" x14ac:dyDescent="0.3">
      <c r="A11313" t="s">
        <v>17</v>
      </c>
      <c r="B11313" s="1">
        <v>44688</v>
      </c>
      <c r="C11313">
        <v>1</v>
      </c>
      <c r="D11313">
        <v>385.8</v>
      </c>
      <c r="E11313">
        <v>463</v>
      </c>
    </row>
    <row r="11314" spans="1:5" x14ac:dyDescent="0.3">
      <c r="A11314" t="s">
        <v>32</v>
      </c>
      <c r="B11314" s="1">
        <v>44688</v>
      </c>
      <c r="C11314">
        <v>1</v>
      </c>
      <c r="D11314">
        <v>105</v>
      </c>
      <c r="E11314">
        <v>161</v>
      </c>
    </row>
    <row r="11315" spans="1:5" x14ac:dyDescent="0.3">
      <c r="A11315" t="s">
        <v>45</v>
      </c>
      <c r="B11315" s="1">
        <v>44688</v>
      </c>
      <c r="C11315">
        <v>2</v>
      </c>
      <c r="D11315">
        <v>27.94</v>
      </c>
      <c r="E11315">
        <v>45</v>
      </c>
    </row>
    <row r="11316" spans="1:5" x14ac:dyDescent="0.3">
      <c r="A11316" t="s">
        <v>157</v>
      </c>
      <c r="B11316" s="1">
        <v>44688</v>
      </c>
      <c r="C11316">
        <v>3</v>
      </c>
      <c r="D11316">
        <v>12</v>
      </c>
      <c r="E11316">
        <v>20</v>
      </c>
    </row>
    <row r="11317" spans="1:5" x14ac:dyDescent="0.3">
      <c r="A11317" t="s">
        <v>19</v>
      </c>
      <c r="B11317" s="1">
        <v>44688</v>
      </c>
      <c r="C11317">
        <v>1</v>
      </c>
      <c r="D11317">
        <v>82.18</v>
      </c>
      <c r="E11317">
        <v>103</v>
      </c>
    </row>
    <row r="11318" spans="1:5" x14ac:dyDescent="0.3">
      <c r="A11318" t="s">
        <v>52</v>
      </c>
      <c r="B11318" s="1">
        <v>44688</v>
      </c>
      <c r="C11318">
        <v>1</v>
      </c>
      <c r="D11318">
        <v>202.33</v>
      </c>
      <c r="E11318">
        <v>243</v>
      </c>
    </row>
    <row r="11319" spans="1:5" x14ac:dyDescent="0.3">
      <c r="A11319" t="s">
        <v>135</v>
      </c>
      <c r="B11319" s="1">
        <v>44688</v>
      </c>
      <c r="C11319">
        <v>1</v>
      </c>
      <c r="D11319">
        <v>73.5</v>
      </c>
      <c r="E11319">
        <v>91</v>
      </c>
    </row>
    <row r="11320" spans="1:5" x14ac:dyDescent="0.3">
      <c r="A11320" t="s">
        <v>135</v>
      </c>
      <c r="B11320" s="1">
        <v>44688</v>
      </c>
      <c r="C11320">
        <v>1</v>
      </c>
      <c r="D11320">
        <v>73.5</v>
      </c>
      <c r="E11320">
        <v>91</v>
      </c>
    </row>
    <row r="11321" spans="1:5" x14ac:dyDescent="0.3">
      <c r="A11321" t="s">
        <v>117</v>
      </c>
      <c r="B11321" s="1">
        <v>44688</v>
      </c>
      <c r="C11321">
        <v>1</v>
      </c>
      <c r="D11321">
        <v>23.14</v>
      </c>
      <c r="E11321">
        <v>28</v>
      </c>
    </row>
    <row r="11322" spans="1:5" x14ac:dyDescent="0.3">
      <c r="A11322" t="s">
        <v>117</v>
      </c>
      <c r="B11322" s="1">
        <v>44688</v>
      </c>
      <c r="C11322">
        <v>1</v>
      </c>
      <c r="D11322">
        <v>23.14</v>
      </c>
      <c r="E11322">
        <v>28</v>
      </c>
    </row>
    <row r="11323" spans="1:5" x14ac:dyDescent="0.3">
      <c r="A11323" t="s">
        <v>117</v>
      </c>
      <c r="B11323" s="1">
        <v>44688</v>
      </c>
      <c r="C11323">
        <v>1</v>
      </c>
      <c r="D11323">
        <v>23.14</v>
      </c>
      <c r="E11323">
        <v>28</v>
      </c>
    </row>
    <row r="11324" spans="1:5" x14ac:dyDescent="0.3">
      <c r="A11324" t="s">
        <v>117</v>
      </c>
      <c r="B11324" s="1">
        <v>44688</v>
      </c>
      <c r="C11324">
        <v>1</v>
      </c>
      <c r="D11324">
        <v>23.14</v>
      </c>
      <c r="E11324">
        <v>28</v>
      </c>
    </row>
    <row r="11325" spans="1:5" x14ac:dyDescent="0.3">
      <c r="A11325" t="s">
        <v>117</v>
      </c>
      <c r="B11325" s="1">
        <v>44688</v>
      </c>
      <c r="C11325">
        <v>1</v>
      </c>
      <c r="D11325">
        <v>23.14</v>
      </c>
      <c r="E11325">
        <v>28</v>
      </c>
    </row>
    <row r="11326" spans="1:5" x14ac:dyDescent="0.3">
      <c r="A11326" t="s">
        <v>117</v>
      </c>
      <c r="B11326" s="1">
        <v>44688</v>
      </c>
      <c r="C11326">
        <v>1</v>
      </c>
      <c r="D11326">
        <v>23.14</v>
      </c>
      <c r="E11326">
        <v>28</v>
      </c>
    </row>
    <row r="11327" spans="1:5" x14ac:dyDescent="0.3">
      <c r="A11327" t="s">
        <v>117</v>
      </c>
      <c r="B11327" s="1">
        <v>44688</v>
      </c>
      <c r="C11327">
        <v>1</v>
      </c>
      <c r="D11327">
        <v>23.14</v>
      </c>
      <c r="E11327">
        <v>28</v>
      </c>
    </row>
    <row r="11328" spans="1:5" x14ac:dyDescent="0.3">
      <c r="A11328" t="s">
        <v>117</v>
      </c>
      <c r="B11328" s="1">
        <v>44688</v>
      </c>
      <c r="C11328">
        <v>1</v>
      </c>
      <c r="D11328">
        <v>23.14</v>
      </c>
      <c r="E11328">
        <v>28</v>
      </c>
    </row>
    <row r="11329" spans="1:5" x14ac:dyDescent="0.3">
      <c r="A11329" t="s">
        <v>117</v>
      </c>
      <c r="B11329" s="1">
        <v>44688</v>
      </c>
      <c r="C11329">
        <v>1</v>
      </c>
      <c r="D11329">
        <v>23.14</v>
      </c>
      <c r="E11329">
        <v>28</v>
      </c>
    </row>
    <row r="11330" spans="1:5" x14ac:dyDescent="0.3">
      <c r="A11330" t="s">
        <v>28</v>
      </c>
      <c r="B11330" s="1">
        <v>44688</v>
      </c>
      <c r="C11330">
        <v>1</v>
      </c>
      <c r="D11330">
        <v>147.80000000000001</v>
      </c>
      <c r="E11330">
        <v>206</v>
      </c>
    </row>
    <row r="11331" spans="1:5" x14ac:dyDescent="0.3">
      <c r="A11331" t="s">
        <v>28</v>
      </c>
      <c r="B11331" s="1">
        <v>44688</v>
      </c>
      <c r="C11331">
        <v>1</v>
      </c>
      <c r="D11331">
        <v>149.72999999999999</v>
      </c>
      <c r="E11331">
        <v>209</v>
      </c>
    </row>
    <row r="11332" spans="1:5" x14ac:dyDescent="0.3">
      <c r="A11332" t="s">
        <v>28</v>
      </c>
      <c r="B11332" s="1">
        <v>44688</v>
      </c>
      <c r="C11332">
        <v>1</v>
      </c>
      <c r="D11332">
        <v>149.72999999999999</v>
      </c>
      <c r="E11332">
        <v>209</v>
      </c>
    </row>
    <row r="11333" spans="1:5" x14ac:dyDescent="0.3">
      <c r="A11333" t="s">
        <v>28</v>
      </c>
      <c r="B11333" s="1">
        <v>44688</v>
      </c>
      <c r="C11333">
        <v>1</v>
      </c>
      <c r="D11333">
        <v>149.72999999999999</v>
      </c>
      <c r="E11333">
        <v>209</v>
      </c>
    </row>
    <row r="11334" spans="1:5" x14ac:dyDescent="0.3">
      <c r="A11334" t="s">
        <v>28</v>
      </c>
      <c r="B11334" s="1">
        <v>44688</v>
      </c>
      <c r="C11334">
        <v>1</v>
      </c>
      <c r="D11334">
        <v>149.72999999999999</v>
      </c>
      <c r="E11334">
        <v>209</v>
      </c>
    </row>
    <row r="11335" spans="1:5" x14ac:dyDescent="0.3">
      <c r="A11335" t="s">
        <v>40</v>
      </c>
      <c r="B11335" s="1">
        <v>44688</v>
      </c>
      <c r="C11335">
        <v>1</v>
      </c>
      <c r="D11335">
        <v>173.51</v>
      </c>
      <c r="E11335">
        <v>208</v>
      </c>
    </row>
    <row r="11336" spans="1:5" x14ac:dyDescent="0.3">
      <c r="A11336" t="s">
        <v>92</v>
      </c>
      <c r="B11336" s="1">
        <v>44688</v>
      </c>
      <c r="C11336">
        <v>2</v>
      </c>
      <c r="D11336">
        <v>6.6</v>
      </c>
      <c r="E11336">
        <v>9</v>
      </c>
    </row>
    <row r="11337" spans="1:5" x14ac:dyDescent="0.3">
      <c r="A11337" t="s">
        <v>37</v>
      </c>
      <c r="B11337" s="1">
        <v>44688</v>
      </c>
      <c r="C11337">
        <v>1</v>
      </c>
      <c r="D11337">
        <v>38</v>
      </c>
      <c r="E11337">
        <v>48</v>
      </c>
    </row>
    <row r="11338" spans="1:5" x14ac:dyDescent="0.3">
      <c r="A11338" t="s">
        <v>47</v>
      </c>
      <c r="B11338" s="1">
        <v>44688</v>
      </c>
      <c r="C11338">
        <v>1</v>
      </c>
      <c r="D11338">
        <v>43.08</v>
      </c>
      <c r="E11338">
        <v>67</v>
      </c>
    </row>
    <row r="11339" spans="1:5" x14ac:dyDescent="0.3">
      <c r="A11339" t="s">
        <v>98</v>
      </c>
      <c r="B11339" s="1">
        <v>44688</v>
      </c>
      <c r="C11339">
        <v>1</v>
      </c>
      <c r="D11339">
        <v>110.73</v>
      </c>
      <c r="E11339">
        <v>136</v>
      </c>
    </row>
    <row r="11340" spans="1:5" x14ac:dyDescent="0.3">
      <c r="A11340" t="s">
        <v>40</v>
      </c>
      <c r="B11340" s="1">
        <v>44688</v>
      </c>
      <c r="C11340">
        <v>1</v>
      </c>
      <c r="D11340">
        <v>179.63</v>
      </c>
      <c r="E11340">
        <v>214</v>
      </c>
    </row>
    <row r="11341" spans="1:5" x14ac:dyDescent="0.3">
      <c r="A11341" t="s">
        <v>51</v>
      </c>
      <c r="B11341" s="1">
        <v>44688</v>
      </c>
      <c r="C11341">
        <v>20</v>
      </c>
      <c r="D11341">
        <v>2.04</v>
      </c>
      <c r="E11341">
        <v>4</v>
      </c>
    </row>
    <row r="11342" spans="1:5" x14ac:dyDescent="0.3">
      <c r="A11342" t="s">
        <v>12</v>
      </c>
      <c r="B11342" s="1">
        <v>44688</v>
      </c>
      <c r="C11342">
        <v>1</v>
      </c>
      <c r="D11342">
        <v>59.39</v>
      </c>
      <c r="E11342">
        <v>73</v>
      </c>
    </row>
    <row r="11343" spans="1:5" x14ac:dyDescent="0.3">
      <c r="A11343" t="s">
        <v>66</v>
      </c>
      <c r="B11343" s="1">
        <v>44688</v>
      </c>
      <c r="C11343">
        <v>1</v>
      </c>
      <c r="D11343">
        <v>31.08</v>
      </c>
      <c r="E11343">
        <v>36</v>
      </c>
    </row>
    <row r="11344" spans="1:5" x14ac:dyDescent="0.3">
      <c r="A11344" t="s">
        <v>66</v>
      </c>
      <c r="B11344" s="1">
        <v>44688</v>
      </c>
      <c r="C11344">
        <v>1</v>
      </c>
      <c r="D11344">
        <v>31.08</v>
      </c>
      <c r="E11344">
        <v>36</v>
      </c>
    </row>
    <row r="11345" spans="1:5" x14ac:dyDescent="0.3">
      <c r="A11345" t="s">
        <v>66</v>
      </c>
      <c r="B11345" s="1">
        <v>44688</v>
      </c>
      <c r="C11345">
        <v>1</v>
      </c>
      <c r="D11345">
        <v>31.08</v>
      </c>
      <c r="E11345">
        <v>36</v>
      </c>
    </row>
    <row r="11346" spans="1:5" x14ac:dyDescent="0.3">
      <c r="A11346" t="s">
        <v>28</v>
      </c>
      <c r="B11346" s="1">
        <v>44688</v>
      </c>
      <c r="C11346">
        <v>1</v>
      </c>
      <c r="D11346">
        <v>146.80000000000001</v>
      </c>
      <c r="E11346">
        <v>213</v>
      </c>
    </row>
    <row r="11347" spans="1:5" x14ac:dyDescent="0.3">
      <c r="A11347" t="s">
        <v>48</v>
      </c>
      <c r="B11347" s="1">
        <v>44688</v>
      </c>
      <c r="C11347">
        <v>1</v>
      </c>
      <c r="D11347">
        <v>35.200000000000003</v>
      </c>
      <c r="E11347">
        <v>55</v>
      </c>
    </row>
    <row r="11348" spans="1:5" x14ac:dyDescent="0.3">
      <c r="A11348" t="s">
        <v>93</v>
      </c>
      <c r="B11348" s="1">
        <v>44688</v>
      </c>
      <c r="C11348">
        <v>1</v>
      </c>
      <c r="D11348">
        <v>67.540000000000006</v>
      </c>
      <c r="E11348">
        <v>96</v>
      </c>
    </row>
    <row r="11349" spans="1:5" x14ac:dyDescent="0.3">
      <c r="A11349" t="s">
        <v>119</v>
      </c>
      <c r="B11349" s="1">
        <v>44688</v>
      </c>
      <c r="C11349">
        <v>0.17857100000000001</v>
      </c>
      <c r="D11349">
        <v>632.12</v>
      </c>
      <c r="E11349">
        <v>698</v>
      </c>
    </row>
    <row r="11350" spans="1:5" x14ac:dyDescent="0.3">
      <c r="A11350" t="s">
        <v>91</v>
      </c>
      <c r="B11350" s="1">
        <v>44688</v>
      </c>
      <c r="C11350">
        <v>1</v>
      </c>
      <c r="D11350">
        <v>31.28</v>
      </c>
      <c r="E11350">
        <v>51</v>
      </c>
    </row>
    <row r="11351" spans="1:5" x14ac:dyDescent="0.3">
      <c r="A11351" t="s">
        <v>74</v>
      </c>
      <c r="B11351" s="1">
        <v>44688</v>
      </c>
      <c r="C11351">
        <v>1</v>
      </c>
      <c r="D11351">
        <v>88.48</v>
      </c>
      <c r="E11351">
        <v>110</v>
      </c>
    </row>
    <row r="11352" spans="1:5" x14ac:dyDescent="0.3">
      <c r="A11352" t="s">
        <v>95</v>
      </c>
      <c r="B11352" s="1">
        <v>44688</v>
      </c>
      <c r="C11352">
        <v>1</v>
      </c>
      <c r="D11352">
        <v>129.25</v>
      </c>
      <c r="E11352">
        <v>203</v>
      </c>
    </row>
    <row r="11353" spans="1:5" x14ac:dyDescent="0.3">
      <c r="A11353" t="s">
        <v>124</v>
      </c>
      <c r="B11353" s="1">
        <v>44688</v>
      </c>
      <c r="C11353">
        <v>1</v>
      </c>
      <c r="D11353">
        <v>36.06</v>
      </c>
      <c r="E11353">
        <v>59</v>
      </c>
    </row>
    <row r="11354" spans="1:5" x14ac:dyDescent="0.3">
      <c r="A11354" t="s">
        <v>158</v>
      </c>
      <c r="B11354" s="1">
        <v>44688</v>
      </c>
      <c r="C11354">
        <v>1</v>
      </c>
      <c r="D11354">
        <v>23.88</v>
      </c>
      <c r="E11354">
        <v>32</v>
      </c>
    </row>
    <row r="11355" spans="1:5" x14ac:dyDescent="0.3">
      <c r="A11355" t="s">
        <v>158</v>
      </c>
      <c r="B11355" s="1">
        <v>44688</v>
      </c>
      <c r="C11355">
        <v>1</v>
      </c>
      <c r="D11355">
        <v>23.88</v>
      </c>
      <c r="E11355">
        <v>32</v>
      </c>
    </row>
    <row r="11356" spans="1:5" x14ac:dyDescent="0.3">
      <c r="A11356" t="s">
        <v>13</v>
      </c>
      <c r="B11356" s="1">
        <v>44688</v>
      </c>
      <c r="C11356">
        <v>1</v>
      </c>
      <c r="D11356">
        <v>122.17</v>
      </c>
      <c r="E11356">
        <v>149</v>
      </c>
    </row>
    <row r="11357" spans="1:5" x14ac:dyDescent="0.3">
      <c r="A11357" t="s">
        <v>114</v>
      </c>
      <c r="B11357" s="1">
        <v>44688</v>
      </c>
      <c r="C11357">
        <v>1</v>
      </c>
      <c r="D11357">
        <v>74.8</v>
      </c>
      <c r="E11357">
        <v>92</v>
      </c>
    </row>
    <row r="11358" spans="1:5" x14ac:dyDescent="0.3">
      <c r="A11358" t="s">
        <v>118</v>
      </c>
      <c r="B11358" s="1">
        <v>44688</v>
      </c>
      <c r="C11358">
        <v>1</v>
      </c>
      <c r="D11358">
        <v>10.58</v>
      </c>
      <c r="E11358">
        <v>13</v>
      </c>
    </row>
    <row r="11359" spans="1:5" x14ac:dyDescent="0.3">
      <c r="A11359" t="s">
        <v>118</v>
      </c>
      <c r="B11359" s="1">
        <v>44688</v>
      </c>
      <c r="C11359">
        <v>1</v>
      </c>
      <c r="D11359">
        <v>10.79</v>
      </c>
      <c r="E11359">
        <v>13</v>
      </c>
    </row>
    <row r="11360" spans="1:5" x14ac:dyDescent="0.3">
      <c r="A11360" t="s">
        <v>118</v>
      </c>
      <c r="B11360" s="1">
        <v>44688</v>
      </c>
      <c r="C11360">
        <v>1</v>
      </c>
      <c r="D11360">
        <v>10.79</v>
      </c>
      <c r="E11360">
        <v>13</v>
      </c>
    </row>
    <row r="11361" spans="1:5" x14ac:dyDescent="0.3">
      <c r="A11361" t="s">
        <v>24</v>
      </c>
      <c r="B11361" s="1">
        <v>44688</v>
      </c>
      <c r="C11361">
        <v>1</v>
      </c>
      <c r="D11361">
        <v>106.05</v>
      </c>
      <c r="E11361">
        <v>125</v>
      </c>
    </row>
    <row r="11362" spans="1:5" x14ac:dyDescent="0.3">
      <c r="A11362" t="s">
        <v>160</v>
      </c>
      <c r="B11362" s="1">
        <v>44688</v>
      </c>
      <c r="C11362">
        <v>1</v>
      </c>
      <c r="D11362">
        <v>77.989999999999995</v>
      </c>
      <c r="E11362">
        <v>95</v>
      </c>
    </row>
    <row r="11363" spans="1:5" x14ac:dyDescent="0.3">
      <c r="A11363" t="s">
        <v>11</v>
      </c>
      <c r="B11363" s="1">
        <v>44688</v>
      </c>
      <c r="C11363">
        <v>1</v>
      </c>
      <c r="D11363">
        <v>24.2</v>
      </c>
      <c r="E11363">
        <v>39</v>
      </c>
    </row>
    <row r="11364" spans="1:5" x14ac:dyDescent="0.3">
      <c r="A11364" t="s">
        <v>39</v>
      </c>
      <c r="B11364" s="1">
        <v>44688</v>
      </c>
      <c r="C11364">
        <v>4</v>
      </c>
      <c r="D11364">
        <v>15</v>
      </c>
      <c r="E11364">
        <v>25</v>
      </c>
    </row>
    <row r="11365" spans="1:5" x14ac:dyDescent="0.3">
      <c r="A11365" t="s">
        <v>138</v>
      </c>
      <c r="B11365" s="1">
        <v>44688</v>
      </c>
      <c r="C11365">
        <v>3</v>
      </c>
      <c r="D11365">
        <v>46.5</v>
      </c>
      <c r="E11365">
        <v>76</v>
      </c>
    </row>
    <row r="11366" spans="1:5" x14ac:dyDescent="0.3">
      <c r="A11366" t="s">
        <v>147</v>
      </c>
      <c r="B11366" s="1">
        <v>44688</v>
      </c>
      <c r="C11366">
        <v>1</v>
      </c>
      <c r="D11366">
        <v>136.07</v>
      </c>
      <c r="E11366">
        <v>190</v>
      </c>
    </row>
    <row r="11367" spans="1:5" x14ac:dyDescent="0.3">
      <c r="A11367" t="s">
        <v>132</v>
      </c>
      <c r="B11367" s="1">
        <v>44688</v>
      </c>
      <c r="C11367">
        <v>1</v>
      </c>
      <c r="D11367">
        <v>58.53</v>
      </c>
      <c r="E11367">
        <v>84</v>
      </c>
    </row>
    <row r="11368" spans="1:5" x14ac:dyDescent="0.3">
      <c r="A11368" t="s">
        <v>53</v>
      </c>
      <c r="B11368" s="1">
        <v>44688</v>
      </c>
      <c r="C11368">
        <v>1</v>
      </c>
      <c r="D11368">
        <v>23.4</v>
      </c>
      <c r="E11368">
        <v>38</v>
      </c>
    </row>
    <row r="11369" spans="1:5" x14ac:dyDescent="0.3">
      <c r="A11369" t="s">
        <v>72</v>
      </c>
      <c r="B11369" s="1">
        <v>44688</v>
      </c>
      <c r="C11369">
        <v>1</v>
      </c>
      <c r="D11369">
        <v>561.70000000000005</v>
      </c>
      <c r="E11369">
        <v>742</v>
      </c>
    </row>
    <row r="11370" spans="1:5" x14ac:dyDescent="0.3">
      <c r="A11370" t="s">
        <v>83</v>
      </c>
      <c r="B11370" s="1">
        <v>44688</v>
      </c>
      <c r="C11370">
        <v>1</v>
      </c>
      <c r="D11370">
        <v>207.79</v>
      </c>
      <c r="E11370">
        <v>244</v>
      </c>
    </row>
    <row r="11371" spans="1:5" x14ac:dyDescent="0.3">
      <c r="A11371" t="s">
        <v>83</v>
      </c>
      <c r="B11371" s="1">
        <v>44688</v>
      </c>
      <c r="C11371">
        <v>1</v>
      </c>
      <c r="D11371">
        <v>207.31</v>
      </c>
      <c r="E11371">
        <v>244</v>
      </c>
    </row>
    <row r="11372" spans="1:5" x14ac:dyDescent="0.3">
      <c r="A11372" t="s">
        <v>62</v>
      </c>
      <c r="B11372" s="1">
        <v>44688</v>
      </c>
      <c r="C11372">
        <v>1</v>
      </c>
      <c r="D11372">
        <v>25.71</v>
      </c>
      <c r="E11372">
        <v>31</v>
      </c>
    </row>
    <row r="11373" spans="1:5" x14ac:dyDescent="0.3">
      <c r="A11373" t="s">
        <v>15</v>
      </c>
      <c r="B11373" s="1">
        <v>44688</v>
      </c>
      <c r="C11373">
        <v>1</v>
      </c>
      <c r="D11373">
        <v>48</v>
      </c>
      <c r="E11373">
        <v>78</v>
      </c>
    </row>
    <row r="11374" spans="1:5" x14ac:dyDescent="0.3">
      <c r="A11374" t="s">
        <v>31</v>
      </c>
      <c r="B11374" s="1">
        <v>44688</v>
      </c>
      <c r="C11374">
        <v>1</v>
      </c>
      <c r="D11374">
        <v>13.73</v>
      </c>
      <c r="E11374">
        <v>19</v>
      </c>
    </row>
    <row r="11375" spans="1:5" x14ac:dyDescent="0.3">
      <c r="A11375" t="s">
        <v>140</v>
      </c>
      <c r="B11375" s="1">
        <v>44688</v>
      </c>
      <c r="C11375">
        <v>1</v>
      </c>
      <c r="D11375">
        <v>158.08000000000001</v>
      </c>
      <c r="E11375">
        <v>190</v>
      </c>
    </row>
    <row r="11376" spans="1:5" x14ac:dyDescent="0.3">
      <c r="A11376" t="s">
        <v>7</v>
      </c>
      <c r="B11376" s="1">
        <v>44688</v>
      </c>
      <c r="C11376">
        <v>1</v>
      </c>
      <c r="D11376">
        <v>88.4</v>
      </c>
      <c r="E11376">
        <v>109</v>
      </c>
    </row>
    <row r="11377" spans="1:5" x14ac:dyDescent="0.3">
      <c r="A11377" t="s">
        <v>65</v>
      </c>
      <c r="B11377" s="1">
        <v>44688</v>
      </c>
      <c r="C11377">
        <v>1</v>
      </c>
      <c r="D11377">
        <v>176.42</v>
      </c>
      <c r="E11377">
        <v>207</v>
      </c>
    </row>
    <row r="11378" spans="1:5" x14ac:dyDescent="0.3">
      <c r="A11378" t="s">
        <v>65</v>
      </c>
      <c r="B11378" s="1">
        <v>44688</v>
      </c>
      <c r="C11378">
        <v>1</v>
      </c>
      <c r="D11378">
        <v>176.42</v>
      </c>
      <c r="E11378">
        <v>207</v>
      </c>
    </row>
    <row r="11379" spans="1:5" x14ac:dyDescent="0.3">
      <c r="A11379" t="s">
        <v>115</v>
      </c>
      <c r="B11379" s="1">
        <v>44688</v>
      </c>
      <c r="C11379">
        <v>1</v>
      </c>
      <c r="D11379">
        <v>72.41</v>
      </c>
      <c r="E11379">
        <v>89</v>
      </c>
    </row>
    <row r="11380" spans="1:5" x14ac:dyDescent="0.3">
      <c r="A11380" t="s">
        <v>70</v>
      </c>
      <c r="B11380" s="1">
        <v>44688</v>
      </c>
      <c r="C11380">
        <v>1</v>
      </c>
      <c r="D11380">
        <v>163.79</v>
      </c>
      <c r="E11380">
        <v>198</v>
      </c>
    </row>
    <row r="11381" spans="1:5" x14ac:dyDescent="0.3">
      <c r="A11381" t="s">
        <v>99</v>
      </c>
      <c r="B11381" s="1">
        <v>44688</v>
      </c>
      <c r="C11381">
        <v>1</v>
      </c>
      <c r="D11381">
        <v>64.25</v>
      </c>
      <c r="E11381">
        <v>79</v>
      </c>
    </row>
    <row r="11382" spans="1:5" x14ac:dyDescent="0.3">
      <c r="A11382" t="s">
        <v>26</v>
      </c>
      <c r="B11382" s="1">
        <v>44688</v>
      </c>
      <c r="C11382">
        <v>0.1</v>
      </c>
      <c r="D11382">
        <v>986.87</v>
      </c>
      <c r="E11382">
        <v>1234</v>
      </c>
    </row>
    <row r="11383" spans="1:5" x14ac:dyDescent="0.3">
      <c r="A11383" t="s">
        <v>90</v>
      </c>
      <c r="B11383" s="1">
        <v>44688</v>
      </c>
      <c r="C11383">
        <v>1</v>
      </c>
      <c r="D11383">
        <v>383.81</v>
      </c>
      <c r="E11383">
        <v>461</v>
      </c>
    </row>
    <row r="11384" spans="1:5" x14ac:dyDescent="0.3">
      <c r="A11384" t="s">
        <v>24</v>
      </c>
      <c r="B11384" s="1">
        <v>44688</v>
      </c>
      <c r="C11384">
        <v>1</v>
      </c>
      <c r="D11384">
        <v>103.96</v>
      </c>
      <c r="E11384">
        <v>123</v>
      </c>
    </row>
    <row r="11385" spans="1:5" x14ac:dyDescent="0.3">
      <c r="A11385" t="s">
        <v>65</v>
      </c>
      <c r="B11385" s="1">
        <v>44688</v>
      </c>
      <c r="C11385">
        <v>1</v>
      </c>
      <c r="D11385">
        <v>181.12</v>
      </c>
      <c r="E11385">
        <v>231</v>
      </c>
    </row>
    <row r="11386" spans="1:5" x14ac:dyDescent="0.3">
      <c r="A11386" t="s">
        <v>151</v>
      </c>
      <c r="B11386" s="1">
        <v>44688</v>
      </c>
      <c r="C11386">
        <v>1</v>
      </c>
      <c r="D11386">
        <v>26.81</v>
      </c>
      <c r="E11386">
        <v>32</v>
      </c>
    </row>
    <row r="11387" spans="1:5" x14ac:dyDescent="0.3">
      <c r="A11387" t="s">
        <v>47</v>
      </c>
      <c r="B11387" s="1">
        <v>44688</v>
      </c>
      <c r="C11387">
        <v>1</v>
      </c>
      <c r="D11387">
        <v>46.14</v>
      </c>
      <c r="E11387">
        <v>71</v>
      </c>
    </row>
    <row r="11388" spans="1:5" x14ac:dyDescent="0.3">
      <c r="A11388" t="s">
        <v>21</v>
      </c>
      <c r="B11388" s="1">
        <v>44688</v>
      </c>
      <c r="C11388">
        <v>1</v>
      </c>
      <c r="D11388">
        <v>182.17</v>
      </c>
      <c r="E11388">
        <v>250</v>
      </c>
    </row>
    <row r="11389" spans="1:5" x14ac:dyDescent="0.3">
      <c r="A11389" t="s">
        <v>60</v>
      </c>
      <c r="B11389" s="1">
        <v>44688</v>
      </c>
      <c r="C11389">
        <v>1</v>
      </c>
      <c r="D11389">
        <v>64.680000000000007</v>
      </c>
      <c r="E11389">
        <v>78</v>
      </c>
    </row>
    <row r="11390" spans="1:5" x14ac:dyDescent="0.3">
      <c r="A11390" t="s">
        <v>85</v>
      </c>
      <c r="B11390" s="1">
        <v>44688</v>
      </c>
      <c r="C11390">
        <v>1</v>
      </c>
      <c r="D11390">
        <v>16.18</v>
      </c>
      <c r="E11390">
        <v>27</v>
      </c>
    </row>
    <row r="11391" spans="1:5" x14ac:dyDescent="0.3">
      <c r="A11391" t="s">
        <v>85</v>
      </c>
      <c r="B11391" s="1">
        <v>44688</v>
      </c>
      <c r="C11391">
        <v>1</v>
      </c>
      <c r="D11391">
        <v>16.18</v>
      </c>
      <c r="E11391">
        <v>27</v>
      </c>
    </row>
    <row r="11392" spans="1:5" x14ac:dyDescent="0.3">
      <c r="A11392" t="s">
        <v>85</v>
      </c>
      <c r="B11392" s="1">
        <v>44688</v>
      </c>
      <c r="C11392">
        <v>1</v>
      </c>
      <c r="D11392">
        <v>15.95</v>
      </c>
      <c r="E11392">
        <v>26</v>
      </c>
    </row>
    <row r="11393" spans="1:5" x14ac:dyDescent="0.3">
      <c r="A11393" t="s">
        <v>85</v>
      </c>
      <c r="B11393" s="1">
        <v>44688</v>
      </c>
      <c r="C11393">
        <v>1</v>
      </c>
      <c r="D11393">
        <v>15.95</v>
      </c>
      <c r="E11393">
        <v>26</v>
      </c>
    </row>
    <row r="11394" spans="1:5" x14ac:dyDescent="0.3">
      <c r="A11394" t="s">
        <v>85</v>
      </c>
      <c r="B11394" s="1">
        <v>44688</v>
      </c>
      <c r="C11394">
        <v>1</v>
      </c>
      <c r="D11394">
        <v>15.95</v>
      </c>
      <c r="E11394">
        <v>26</v>
      </c>
    </row>
    <row r="11395" spans="1:5" x14ac:dyDescent="0.3">
      <c r="A11395" t="s">
        <v>120</v>
      </c>
      <c r="B11395" s="1">
        <v>44688</v>
      </c>
      <c r="C11395">
        <v>1</v>
      </c>
      <c r="D11395">
        <v>132.56</v>
      </c>
      <c r="E11395">
        <v>187</v>
      </c>
    </row>
    <row r="11396" spans="1:5" x14ac:dyDescent="0.3">
      <c r="A11396" t="s">
        <v>59</v>
      </c>
      <c r="B11396" s="1">
        <v>44688</v>
      </c>
      <c r="C11396">
        <v>2</v>
      </c>
      <c r="D11396">
        <v>13.1</v>
      </c>
      <c r="E11396">
        <v>21</v>
      </c>
    </row>
    <row r="11397" spans="1:5" x14ac:dyDescent="0.3">
      <c r="A11397" t="s">
        <v>152</v>
      </c>
      <c r="B11397" s="1">
        <v>44688</v>
      </c>
      <c r="C11397">
        <v>1</v>
      </c>
      <c r="D11397">
        <v>104.76</v>
      </c>
      <c r="E11397">
        <v>131</v>
      </c>
    </row>
    <row r="11398" spans="1:5" x14ac:dyDescent="0.3">
      <c r="A11398" t="s">
        <v>19</v>
      </c>
      <c r="B11398" s="1">
        <v>44688</v>
      </c>
      <c r="C11398">
        <v>1</v>
      </c>
      <c r="D11398">
        <v>82.18</v>
      </c>
      <c r="E11398">
        <v>103</v>
      </c>
    </row>
    <row r="11399" spans="1:5" x14ac:dyDescent="0.3">
      <c r="A11399" t="s">
        <v>19</v>
      </c>
      <c r="B11399" s="1">
        <v>44688</v>
      </c>
      <c r="C11399">
        <v>1</v>
      </c>
      <c r="D11399">
        <v>82.18</v>
      </c>
      <c r="E11399">
        <v>103</v>
      </c>
    </row>
    <row r="11400" spans="1:5" x14ac:dyDescent="0.3">
      <c r="A11400" t="s">
        <v>19</v>
      </c>
      <c r="B11400" s="1">
        <v>44688</v>
      </c>
      <c r="C11400">
        <v>1</v>
      </c>
      <c r="D11400">
        <v>82.18</v>
      </c>
      <c r="E11400">
        <v>103</v>
      </c>
    </row>
    <row r="11401" spans="1:5" x14ac:dyDescent="0.3">
      <c r="A11401" t="s">
        <v>35</v>
      </c>
      <c r="B11401" s="1">
        <v>44688</v>
      </c>
      <c r="C11401">
        <v>1</v>
      </c>
      <c r="D11401">
        <v>30.35</v>
      </c>
      <c r="E11401">
        <v>48</v>
      </c>
    </row>
    <row r="11402" spans="1:5" x14ac:dyDescent="0.3">
      <c r="A11402" t="s">
        <v>48</v>
      </c>
      <c r="B11402" s="1">
        <v>44688</v>
      </c>
      <c r="C11402">
        <v>1</v>
      </c>
      <c r="D11402">
        <v>38.67</v>
      </c>
      <c r="E11402">
        <v>60</v>
      </c>
    </row>
    <row r="11403" spans="1:5" x14ac:dyDescent="0.3">
      <c r="A11403" t="s">
        <v>46</v>
      </c>
      <c r="B11403" s="1">
        <v>44688</v>
      </c>
      <c r="C11403">
        <v>1</v>
      </c>
      <c r="D11403">
        <v>19.89</v>
      </c>
      <c r="E11403">
        <v>24</v>
      </c>
    </row>
    <row r="11404" spans="1:5" x14ac:dyDescent="0.3">
      <c r="A11404" t="s">
        <v>141</v>
      </c>
      <c r="B11404" s="1">
        <v>44688</v>
      </c>
      <c r="C11404">
        <v>5</v>
      </c>
      <c r="D11404">
        <v>16.38</v>
      </c>
      <c r="E11404">
        <v>27</v>
      </c>
    </row>
    <row r="11405" spans="1:5" x14ac:dyDescent="0.3">
      <c r="A11405" t="s">
        <v>45</v>
      </c>
      <c r="B11405" s="1">
        <v>44688</v>
      </c>
      <c r="C11405">
        <v>1</v>
      </c>
      <c r="D11405">
        <v>25.1</v>
      </c>
      <c r="E11405">
        <v>41</v>
      </c>
    </row>
    <row r="11406" spans="1:5" x14ac:dyDescent="0.3">
      <c r="A11406" t="s">
        <v>45</v>
      </c>
      <c r="B11406" s="1">
        <v>44688</v>
      </c>
      <c r="C11406">
        <v>2</v>
      </c>
      <c r="D11406">
        <v>26.62</v>
      </c>
      <c r="E11406">
        <v>44</v>
      </c>
    </row>
    <row r="11407" spans="1:5" x14ac:dyDescent="0.3">
      <c r="A11407" t="s">
        <v>80</v>
      </c>
      <c r="B11407" s="1">
        <v>44688</v>
      </c>
      <c r="C11407">
        <v>1</v>
      </c>
      <c r="D11407">
        <v>28.19</v>
      </c>
      <c r="E11407">
        <v>45</v>
      </c>
    </row>
    <row r="11408" spans="1:5" x14ac:dyDescent="0.3">
      <c r="A11408" t="s">
        <v>80</v>
      </c>
      <c r="B11408" s="1">
        <v>44688</v>
      </c>
      <c r="C11408">
        <v>1</v>
      </c>
      <c r="D11408">
        <v>28.19</v>
      </c>
      <c r="E11408">
        <v>45</v>
      </c>
    </row>
    <row r="11409" spans="1:5" x14ac:dyDescent="0.3">
      <c r="A11409" t="s">
        <v>80</v>
      </c>
      <c r="B11409" s="1">
        <v>44688</v>
      </c>
      <c r="C11409">
        <v>1</v>
      </c>
      <c r="D11409">
        <v>28.19</v>
      </c>
      <c r="E11409">
        <v>45</v>
      </c>
    </row>
    <row r="11410" spans="1:5" x14ac:dyDescent="0.3">
      <c r="A11410" t="s">
        <v>160</v>
      </c>
      <c r="B11410" s="1">
        <v>44688</v>
      </c>
      <c r="C11410">
        <v>1</v>
      </c>
      <c r="D11410">
        <v>81.87</v>
      </c>
      <c r="E11410">
        <v>100</v>
      </c>
    </row>
    <row r="11411" spans="1:5" x14ac:dyDescent="0.3">
      <c r="A11411" t="s">
        <v>154</v>
      </c>
      <c r="B11411" s="1">
        <v>44688</v>
      </c>
      <c r="C11411">
        <v>1</v>
      </c>
      <c r="D11411">
        <v>122.04</v>
      </c>
      <c r="E11411">
        <v>147</v>
      </c>
    </row>
    <row r="11412" spans="1:5" x14ac:dyDescent="0.3">
      <c r="A11412" t="s">
        <v>48</v>
      </c>
      <c r="B11412" s="1">
        <v>44688</v>
      </c>
      <c r="C11412">
        <v>1</v>
      </c>
      <c r="D11412">
        <v>39.24</v>
      </c>
      <c r="E11412">
        <v>60</v>
      </c>
    </row>
    <row r="11413" spans="1:5" x14ac:dyDescent="0.3">
      <c r="A11413" t="s">
        <v>82</v>
      </c>
      <c r="B11413" s="1">
        <v>44688</v>
      </c>
      <c r="C11413">
        <v>1</v>
      </c>
      <c r="D11413">
        <v>40.1</v>
      </c>
      <c r="E11413">
        <v>51</v>
      </c>
    </row>
    <row r="11414" spans="1:5" x14ac:dyDescent="0.3">
      <c r="A11414" t="s">
        <v>60</v>
      </c>
      <c r="B11414" s="1">
        <v>44688</v>
      </c>
      <c r="C11414">
        <v>1</v>
      </c>
      <c r="D11414">
        <v>59.29</v>
      </c>
      <c r="E11414">
        <v>73</v>
      </c>
    </row>
    <row r="11415" spans="1:5" x14ac:dyDescent="0.3">
      <c r="A11415" t="s">
        <v>84</v>
      </c>
      <c r="B11415" s="1">
        <v>44688</v>
      </c>
      <c r="C11415">
        <v>1</v>
      </c>
      <c r="D11415">
        <v>168.78</v>
      </c>
      <c r="E11415">
        <v>195</v>
      </c>
    </row>
    <row r="11416" spans="1:5" x14ac:dyDescent="0.3">
      <c r="A11416" t="s">
        <v>109</v>
      </c>
      <c r="B11416" s="1">
        <v>44688</v>
      </c>
      <c r="C11416">
        <v>1</v>
      </c>
      <c r="D11416">
        <v>86.93</v>
      </c>
      <c r="E11416">
        <v>97</v>
      </c>
    </row>
    <row r="11417" spans="1:5" x14ac:dyDescent="0.3">
      <c r="A11417" t="s">
        <v>65</v>
      </c>
      <c r="B11417" s="1">
        <v>44688</v>
      </c>
      <c r="C11417">
        <v>1</v>
      </c>
      <c r="D11417">
        <v>183.88</v>
      </c>
      <c r="E11417">
        <v>216</v>
      </c>
    </row>
    <row r="11418" spans="1:5" x14ac:dyDescent="0.3">
      <c r="A11418" t="s">
        <v>25</v>
      </c>
      <c r="B11418" s="1">
        <v>44688</v>
      </c>
      <c r="C11418">
        <v>1</v>
      </c>
      <c r="D11418">
        <v>147.18</v>
      </c>
      <c r="E11418">
        <v>177</v>
      </c>
    </row>
    <row r="11419" spans="1:5" x14ac:dyDescent="0.3">
      <c r="A11419" t="s">
        <v>8</v>
      </c>
      <c r="B11419" s="1">
        <v>44688</v>
      </c>
      <c r="C11419">
        <v>1</v>
      </c>
      <c r="D11419">
        <v>47.03</v>
      </c>
      <c r="E11419">
        <v>77</v>
      </c>
    </row>
    <row r="11420" spans="1:5" x14ac:dyDescent="0.3">
      <c r="A11420" t="s">
        <v>103</v>
      </c>
      <c r="B11420" s="1">
        <v>44688</v>
      </c>
      <c r="C11420">
        <v>1</v>
      </c>
      <c r="D11420">
        <v>24.84</v>
      </c>
      <c r="E11420">
        <v>38</v>
      </c>
    </row>
    <row r="11421" spans="1:5" x14ac:dyDescent="0.3">
      <c r="A11421" t="s">
        <v>134</v>
      </c>
      <c r="B11421" s="1">
        <v>44688</v>
      </c>
      <c r="C11421">
        <v>1</v>
      </c>
      <c r="D11421">
        <v>28.66</v>
      </c>
      <c r="E11421">
        <v>44</v>
      </c>
    </row>
    <row r="11422" spans="1:5" x14ac:dyDescent="0.3">
      <c r="A11422" t="s">
        <v>134</v>
      </c>
      <c r="B11422" s="1">
        <v>44688</v>
      </c>
      <c r="C11422">
        <v>1</v>
      </c>
      <c r="D11422">
        <v>28.66</v>
      </c>
      <c r="E11422">
        <v>44</v>
      </c>
    </row>
    <row r="11423" spans="1:5" x14ac:dyDescent="0.3">
      <c r="A11423" t="s">
        <v>40</v>
      </c>
      <c r="B11423" s="1">
        <v>44688</v>
      </c>
      <c r="C11423">
        <v>1</v>
      </c>
      <c r="D11423">
        <v>173.09</v>
      </c>
      <c r="E11423">
        <v>211</v>
      </c>
    </row>
    <row r="11424" spans="1:5" x14ac:dyDescent="0.3">
      <c r="A11424" t="s">
        <v>65</v>
      </c>
      <c r="B11424" s="1">
        <v>44688</v>
      </c>
      <c r="C11424">
        <v>1</v>
      </c>
      <c r="D11424">
        <v>176.42</v>
      </c>
      <c r="E11424">
        <v>207</v>
      </c>
    </row>
    <row r="11425" spans="1:5" x14ac:dyDescent="0.3">
      <c r="A11425" t="s">
        <v>140</v>
      </c>
      <c r="B11425" s="1">
        <v>44688</v>
      </c>
      <c r="C11425">
        <v>1</v>
      </c>
      <c r="D11425">
        <v>158.29</v>
      </c>
      <c r="E11425">
        <v>190</v>
      </c>
    </row>
    <row r="11426" spans="1:5" x14ac:dyDescent="0.3">
      <c r="A11426" t="s">
        <v>29</v>
      </c>
      <c r="B11426" s="1">
        <v>44688</v>
      </c>
      <c r="C11426">
        <v>1</v>
      </c>
      <c r="D11426">
        <v>542.21</v>
      </c>
      <c r="E11426">
        <v>700</v>
      </c>
    </row>
    <row r="11427" spans="1:5" x14ac:dyDescent="0.3">
      <c r="A11427" t="s">
        <v>140</v>
      </c>
      <c r="B11427" s="1">
        <v>44688</v>
      </c>
      <c r="C11427">
        <v>1</v>
      </c>
      <c r="D11427">
        <v>158.29</v>
      </c>
      <c r="E11427">
        <v>190</v>
      </c>
    </row>
    <row r="11428" spans="1:5" x14ac:dyDescent="0.3">
      <c r="A11428" t="s">
        <v>98</v>
      </c>
      <c r="B11428" s="1">
        <v>44688</v>
      </c>
      <c r="C11428">
        <v>1</v>
      </c>
      <c r="D11428">
        <v>112.36</v>
      </c>
      <c r="E11428">
        <v>135</v>
      </c>
    </row>
    <row r="11429" spans="1:5" x14ac:dyDescent="0.3">
      <c r="A11429" t="s">
        <v>97</v>
      </c>
      <c r="B11429" s="1">
        <v>44688</v>
      </c>
      <c r="C11429">
        <v>1</v>
      </c>
      <c r="D11429">
        <v>423.2</v>
      </c>
      <c r="E11429">
        <v>559</v>
      </c>
    </row>
    <row r="11430" spans="1:5" x14ac:dyDescent="0.3">
      <c r="A11430" t="s">
        <v>99</v>
      </c>
      <c r="B11430" s="1">
        <v>44688</v>
      </c>
      <c r="C11430">
        <v>1</v>
      </c>
      <c r="D11430">
        <v>64.25</v>
      </c>
      <c r="E11430">
        <v>76</v>
      </c>
    </row>
    <row r="11431" spans="1:5" x14ac:dyDescent="0.3">
      <c r="A11431" t="s">
        <v>18</v>
      </c>
      <c r="B11431" s="1">
        <v>44688</v>
      </c>
      <c r="C11431">
        <v>1</v>
      </c>
      <c r="D11431">
        <v>44</v>
      </c>
      <c r="E11431">
        <v>67</v>
      </c>
    </row>
    <row r="11432" spans="1:5" x14ac:dyDescent="0.3">
      <c r="A11432" t="s">
        <v>59</v>
      </c>
      <c r="B11432" s="1">
        <v>44688</v>
      </c>
      <c r="C11432">
        <v>1</v>
      </c>
      <c r="D11432">
        <v>13.1</v>
      </c>
      <c r="E11432">
        <v>21</v>
      </c>
    </row>
    <row r="11433" spans="1:5" x14ac:dyDescent="0.3">
      <c r="A11433" t="s">
        <v>95</v>
      </c>
      <c r="B11433" s="1">
        <v>44688</v>
      </c>
      <c r="C11433">
        <v>0.2</v>
      </c>
      <c r="D11433">
        <v>130.65</v>
      </c>
      <c r="E11433">
        <v>199</v>
      </c>
    </row>
    <row r="11434" spans="1:5" x14ac:dyDescent="0.3">
      <c r="A11434" t="s">
        <v>10</v>
      </c>
      <c r="B11434" s="1">
        <v>44688</v>
      </c>
      <c r="C11434">
        <v>1</v>
      </c>
      <c r="D11434">
        <v>10.34</v>
      </c>
      <c r="E11434">
        <v>13</v>
      </c>
    </row>
    <row r="11435" spans="1:5" x14ac:dyDescent="0.3">
      <c r="A11435" t="s">
        <v>35</v>
      </c>
      <c r="B11435" s="1">
        <v>44688</v>
      </c>
      <c r="C11435">
        <v>1</v>
      </c>
      <c r="D11435">
        <v>35</v>
      </c>
      <c r="E11435">
        <v>54</v>
      </c>
    </row>
    <row r="11436" spans="1:5" x14ac:dyDescent="0.3">
      <c r="A11436" t="s">
        <v>7</v>
      </c>
      <c r="B11436" s="1">
        <v>44688</v>
      </c>
      <c r="C11436">
        <v>1</v>
      </c>
      <c r="D11436">
        <v>90.39</v>
      </c>
      <c r="E11436">
        <v>112</v>
      </c>
    </row>
    <row r="11437" spans="1:5" x14ac:dyDescent="0.3">
      <c r="A11437" t="s">
        <v>160</v>
      </c>
      <c r="B11437" s="1">
        <v>44688</v>
      </c>
      <c r="C11437">
        <v>1</v>
      </c>
      <c r="D11437">
        <v>81.819999999999993</v>
      </c>
      <c r="E11437">
        <v>99</v>
      </c>
    </row>
    <row r="11438" spans="1:5" x14ac:dyDescent="0.3">
      <c r="A11438" t="s">
        <v>138</v>
      </c>
      <c r="B11438" s="1">
        <v>44688</v>
      </c>
      <c r="C11438">
        <v>1</v>
      </c>
      <c r="D11438">
        <v>46.5</v>
      </c>
      <c r="E11438">
        <v>75</v>
      </c>
    </row>
    <row r="11439" spans="1:5" x14ac:dyDescent="0.3">
      <c r="A11439" t="s">
        <v>7</v>
      </c>
      <c r="B11439" s="1">
        <v>44688</v>
      </c>
      <c r="C11439">
        <v>1</v>
      </c>
      <c r="D11439">
        <v>88.11</v>
      </c>
      <c r="E11439">
        <v>105</v>
      </c>
    </row>
    <row r="11440" spans="1:5" x14ac:dyDescent="0.3">
      <c r="A11440" t="s">
        <v>138</v>
      </c>
      <c r="B11440" s="1">
        <v>44688</v>
      </c>
      <c r="C11440">
        <v>1</v>
      </c>
      <c r="D11440">
        <v>46.5</v>
      </c>
      <c r="E11440">
        <v>76</v>
      </c>
    </row>
    <row r="11441" spans="1:5" x14ac:dyDescent="0.3">
      <c r="A11441" t="s">
        <v>94</v>
      </c>
      <c r="B11441" s="1">
        <v>44688</v>
      </c>
      <c r="C11441">
        <v>1</v>
      </c>
      <c r="D11441">
        <v>27.31</v>
      </c>
      <c r="E11441">
        <v>38</v>
      </c>
    </row>
    <row r="11442" spans="1:5" x14ac:dyDescent="0.3">
      <c r="A11442" t="s">
        <v>94</v>
      </c>
      <c r="B11442" s="1">
        <v>44688</v>
      </c>
      <c r="C11442">
        <v>1</v>
      </c>
      <c r="D11442">
        <v>27.31</v>
      </c>
      <c r="E11442">
        <v>38</v>
      </c>
    </row>
    <row r="11443" spans="1:5" x14ac:dyDescent="0.3">
      <c r="A11443" t="s">
        <v>94</v>
      </c>
      <c r="B11443" s="1">
        <v>44688</v>
      </c>
      <c r="C11443">
        <v>1</v>
      </c>
      <c r="D11443">
        <v>27.31</v>
      </c>
      <c r="E11443">
        <v>38</v>
      </c>
    </row>
    <row r="11444" spans="1:5" x14ac:dyDescent="0.3">
      <c r="A11444" t="s">
        <v>94</v>
      </c>
      <c r="B11444" s="1">
        <v>44688</v>
      </c>
      <c r="C11444">
        <v>1</v>
      </c>
      <c r="D11444">
        <v>27.31</v>
      </c>
      <c r="E11444">
        <v>38</v>
      </c>
    </row>
    <row r="11445" spans="1:5" x14ac:dyDescent="0.3">
      <c r="A11445" t="s">
        <v>94</v>
      </c>
      <c r="B11445" s="1">
        <v>44688</v>
      </c>
      <c r="C11445">
        <v>1</v>
      </c>
      <c r="D11445">
        <v>27.31</v>
      </c>
      <c r="E11445">
        <v>38</v>
      </c>
    </row>
    <row r="11446" spans="1:5" x14ac:dyDescent="0.3">
      <c r="A11446" t="s">
        <v>94</v>
      </c>
      <c r="B11446" s="1">
        <v>44688</v>
      </c>
      <c r="C11446">
        <v>1</v>
      </c>
      <c r="D11446">
        <v>27.31</v>
      </c>
      <c r="E11446">
        <v>38</v>
      </c>
    </row>
    <row r="11447" spans="1:5" x14ac:dyDescent="0.3">
      <c r="A11447" t="s">
        <v>94</v>
      </c>
      <c r="B11447" s="1">
        <v>44688</v>
      </c>
      <c r="C11447">
        <v>1</v>
      </c>
      <c r="D11447">
        <v>27.31</v>
      </c>
      <c r="E11447">
        <v>38</v>
      </c>
    </row>
    <row r="11448" spans="1:5" x14ac:dyDescent="0.3">
      <c r="A11448" t="s">
        <v>94</v>
      </c>
      <c r="B11448" s="1">
        <v>44688</v>
      </c>
      <c r="C11448">
        <v>1</v>
      </c>
      <c r="D11448">
        <v>27.31</v>
      </c>
      <c r="E11448">
        <v>38</v>
      </c>
    </row>
    <row r="11449" spans="1:5" x14ac:dyDescent="0.3">
      <c r="A11449" t="s">
        <v>94</v>
      </c>
      <c r="B11449" s="1">
        <v>44688</v>
      </c>
      <c r="C11449">
        <v>1</v>
      </c>
      <c r="D11449">
        <v>27.31</v>
      </c>
      <c r="E11449">
        <v>38</v>
      </c>
    </row>
    <row r="11450" spans="1:5" x14ac:dyDescent="0.3">
      <c r="A11450" t="s">
        <v>94</v>
      </c>
      <c r="B11450" s="1">
        <v>44688</v>
      </c>
      <c r="C11450">
        <v>1</v>
      </c>
      <c r="D11450">
        <v>27.31</v>
      </c>
      <c r="E11450">
        <v>38</v>
      </c>
    </row>
    <row r="11451" spans="1:5" x14ac:dyDescent="0.3">
      <c r="A11451" t="s">
        <v>95</v>
      </c>
      <c r="B11451" s="1">
        <v>44688</v>
      </c>
      <c r="C11451">
        <v>1</v>
      </c>
      <c r="D11451">
        <v>130.65</v>
      </c>
      <c r="E11451">
        <v>199</v>
      </c>
    </row>
    <row r="11452" spans="1:5" x14ac:dyDescent="0.3">
      <c r="A11452" t="s">
        <v>91</v>
      </c>
      <c r="B11452" s="1">
        <v>44688</v>
      </c>
      <c r="C11452">
        <v>1</v>
      </c>
      <c r="D11452">
        <v>34.299999999999997</v>
      </c>
      <c r="E11452">
        <v>56</v>
      </c>
    </row>
    <row r="11453" spans="1:5" x14ac:dyDescent="0.3">
      <c r="A11453" t="s">
        <v>157</v>
      </c>
      <c r="B11453" s="1">
        <v>44688</v>
      </c>
      <c r="C11453">
        <v>2</v>
      </c>
      <c r="D11453">
        <v>12</v>
      </c>
      <c r="E11453">
        <v>20</v>
      </c>
    </row>
    <row r="11454" spans="1:5" x14ac:dyDescent="0.3">
      <c r="A11454" t="s">
        <v>28</v>
      </c>
      <c r="B11454" s="1">
        <v>44688</v>
      </c>
      <c r="C11454">
        <v>1</v>
      </c>
      <c r="D11454">
        <v>146.80000000000001</v>
      </c>
      <c r="E11454">
        <v>213</v>
      </c>
    </row>
    <row r="11455" spans="1:5" x14ac:dyDescent="0.3">
      <c r="A11455" t="s">
        <v>100</v>
      </c>
      <c r="B11455" s="1">
        <v>44688</v>
      </c>
      <c r="C11455">
        <v>1</v>
      </c>
      <c r="D11455">
        <v>35.630000000000003</v>
      </c>
      <c r="E11455">
        <v>55</v>
      </c>
    </row>
    <row r="11456" spans="1:5" x14ac:dyDescent="0.3">
      <c r="A11456" t="s">
        <v>100</v>
      </c>
      <c r="B11456" s="1">
        <v>44688</v>
      </c>
      <c r="C11456">
        <v>1</v>
      </c>
      <c r="D11456">
        <v>35.630000000000003</v>
      </c>
      <c r="E11456">
        <v>55</v>
      </c>
    </row>
    <row r="11457" spans="1:5" x14ac:dyDescent="0.3">
      <c r="A11457" t="s">
        <v>34</v>
      </c>
      <c r="B11457" s="1">
        <v>44688</v>
      </c>
      <c r="C11457">
        <v>1</v>
      </c>
      <c r="D11457">
        <v>202.75</v>
      </c>
      <c r="E11457">
        <v>234</v>
      </c>
    </row>
    <row r="11458" spans="1:5" x14ac:dyDescent="0.3">
      <c r="A11458" t="s">
        <v>138</v>
      </c>
      <c r="B11458" s="1">
        <v>44688</v>
      </c>
      <c r="C11458">
        <v>2</v>
      </c>
      <c r="D11458">
        <v>46.5</v>
      </c>
      <c r="E11458">
        <v>75</v>
      </c>
    </row>
    <row r="11459" spans="1:5" x14ac:dyDescent="0.3">
      <c r="A11459" t="s">
        <v>43</v>
      </c>
      <c r="B11459" s="1">
        <v>44688</v>
      </c>
      <c r="C11459">
        <v>1</v>
      </c>
      <c r="D11459">
        <v>146.88999999999999</v>
      </c>
      <c r="E11459">
        <v>174</v>
      </c>
    </row>
    <row r="11460" spans="1:5" x14ac:dyDescent="0.3">
      <c r="A11460" t="s">
        <v>18</v>
      </c>
      <c r="B11460" s="1">
        <v>44688</v>
      </c>
      <c r="C11460">
        <v>1</v>
      </c>
      <c r="D11460">
        <v>44</v>
      </c>
      <c r="E11460">
        <v>67</v>
      </c>
    </row>
    <row r="11461" spans="1:5" x14ac:dyDescent="0.3">
      <c r="A11461" t="s">
        <v>11</v>
      </c>
      <c r="B11461" s="1">
        <v>44688</v>
      </c>
      <c r="C11461">
        <v>1</v>
      </c>
      <c r="D11461">
        <v>24.2</v>
      </c>
      <c r="E11461">
        <v>39</v>
      </c>
    </row>
    <row r="11462" spans="1:5" x14ac:dyDescent="0.3">
      <c r="A11462" t="s">
        <v>48</v>
      </c>
      <c r="B11462" s="1">
        <v>44688</v>
      </c>
      <c r="C11462">
        <v>1</v>
      </c>
      <c r="D11462">
        <v>39.24</v>
      </c>
      <c r="E11462">
        <v>60</v>
      </c>
    </row>
    <row r="11463" spans="1:5" x14ac:dyDescent="0.3">
      <c r="A11463" t="s">
        <v>151</v>
      </c>
      <c r="B11463" s="1">
        <v>44688</v>
      </c>
      <c r="C11463">
        <v>1</v>
      </c>
      <c r="D11463">
        <v>23.2</v>
      </c>
      <c r="E11463">
        <v>29</v>
      </c>
    </row>
    <row r="11464" spans="1:5" x14ac:dyDescent="0.3">
      <c r="A11464" t="s">
        <v>134</v>
      </c>
      <c r="B11464" s="1">
        <v>44688</v>
      </c>
      <c r="C11464">
        <v>1</v>
      </c>
      <c r="D11464">
        <v>26.49</v>
      </c>
      <c r="E11464">
        <v>42</v>
      </c>
    </row>
    <row r="11465" spans="1:5" x14ac:dyDescent="0.3">
      <c r="A11465" t="s">
        <v>98</v>
      </c>
      <c r="B11465" s="1">
        <v>44688</v>
      </c>
      <c r="C11465">
        <v>1</v>
      </c>
      <c r="D11465">
        <v>110.99</v>
      </c>
      <c r="E11465">
        <v>134</v>
      </c>
    </row>
    <row r="11466" spans="1:5" x14ac:dyDescent="0.3">
      <c r="A11466" t="s">
        <v>98</v>
      </c>
      <c r="B11466" s="1">
        <v>44688</v>
      </c>
      <c r="C11466">
        <v>1</v>
      </c>
      <c r="D11466">
        <v>110.99</v>
      </c>
      <c r="E11466">
        <v>134</v>
      </c>
    </row>
    <row r="11467" spans="1:5" x14ac:dyDescent="0.3">
      <c r="A11467" t="s">
        <v>146</v>
      </c>
      <c r="B11467" s="1">
        <v>44688</v>
      </c>
      <c r="C11467">
        <v>1</v>
      </c>
      <c r="D11467">
        <v>402.79</v>
      </c>
      <c r="E11467">
        <v>452</v>
      </c>
    </row>
    <row r="11468" spans="1:5" x14ac:dyDescent="0.3">
      <c r="A11468" t="s">
        <v>85</v>
      </c>
      <c r="B11468" s="1">
        <v>44688</v>
      </c>
      <c r="C11468">
        <v>1</v>
      </c>
      <c r="D11468">
        <v>15.95</v>
      </c>
      <c r="E11468">
        <v>26</v>
      </c>
    </row>
    <row r="11469" spans="1:5" x14ac:dyDescent="0.3">
      <c r="A11469" t="s">
        <v>23</v>
      </c>
      <c r="B11469" s="1">
        <v>44688</v>
      </c>
      <c r="C11469">
        <v>1</v>
      </c>
      <c r="D11469">
        <v>110.07</v>
      </c>
      <c r="E11469">
        <v>124</v>
      </c>
    </row>
    <row r="11470" spans="1:5" x14ac:dyDescent="0.3">
      <c r="A11470" t="s">
        <v>143</v>
      </c>
      <c r="B11470" s="1">
        <v>44688</v>
      </c>
      <c r="C11470">
        <v>1</v>
      </c>
      <c r="D11470">
        <v>46.01</v>
      </c>
      <c r="E11470">
        <v>70</v>
      </c>
    </row>
    <row r="11471" spans="1:5" x14ac:dyDescent="0.3">
      <c r="A11471" t="s">
        <v>43</v>
      </c>
      <c r="B11471" s="1">
        <v>44688</v>
      </c>
      <c r="C11471">
        <v>1</v>
      </c>
      <c r="D11471">
        <v>146.88999999999999</v>
      </c>
      <c r="E11471">
        <v>174</v>
      </c>
    </row>
    <row r="11472" spans="1:5" x14ac:dyDescent="0.3">
      <c r="A11472" t="s">
        <v>107</v>
      </c>
      <c r="B11472" s="1">
        <v>44688</v>
      </c>
      <c r="C11472">
        <v>1</v>
      </c>
      <c r="D11472">
        <v>71.16</v>
      </c>
      <c r="E11472">
        <v>88</v>
      </c>
    </row>
    <row r="11473" spans="1:5" x14ac:dyDescent="0.3">
      <c r="A11473" t="s">
        <v>25</v>
      </c>
      <c r="B11473" s="1">
        <v>44688</v>
      </c>
      <c r="C11473">
        <v>1</v>
      </c>
      <c r="D11473">
        <v>148.58000000000001</v>
      </c>
      <c r="E11473">
        <v>179</v>
      </c>
    </row>
    <row r="11474" spans="1:5" x14ac:dyDescent="0.3">
      <c r="A11474" t="s">
        <v>99</v>
      </c>
      <c r="B11474" s="1">
        <v>44688</v>
      </c>
      <c r="C11474">
        <v>1</v>
      </c>
      <c r="D11474">
        <v>65.31</v>
      </c>
      <c r="E11474">
        <v>81</v>
      </c>
    </row>
    <row r="11475" spans="1:5" x14ac:dyDescent="0.3">
      <c r="A11475" t="s">
        <v>25</v>
      </c>
      <c r="B11475" s="1">
        <v>44688</v>
      </c>
      <c r="C11475">
        <v>1</v>
      </c>
      <c r="D11475">
        <v>148.58000000000001</v>
      </c>
      <c r="E11475">
        <v>179</v>
      </c>
    </row>
    <row r="11476" spans="1:5" x14ac:dyDescent="0.3">
      <c r="A11476" t="s">
        <v>25</v>
      </c>
      <c r="B11476" s="1">
        <v>44688</v>
      </c>
      <c r="C11476">
        <v>1</v>
      </c>
      <c r="D11476">
        <v>147.47</v>
      </c>
      <c r="E11476">
        <v>177</v>
      </c>
    </row>
    <row r="11477" spans="1:5" x14ac:dyDescent="0.3">
      <c r="A11477" t="s">
        <v>38</v>
      </c>
      <c r="B11477" s="1">
        <v>44688</v>
      </c>
      <c r="C11477">
        <v>1</v>
      </c>
      <c r="D11477">
        <v>22.31</v>
      </c>
      <c r="E11477">
        <v>35</v>
      </c>
    </row>
    <row r="11478" spans="1:5" x14ac:dyDescent="0.3">
      <c r="A11478" t="s">
        <v>38</v>
      </c>
      <c r="B11478" s="1">
        <v>44688</v>
      </c>
      <c r="C11478">
        <v>1</v>
      </c>
      <c r="D11478">
        <v>22.31</v>
      </c>
      <c r="E11478">
        <v>35</v>
      </c>
    </row>
    <row r="11479" spans="1:5" x14ac:dyDescent="0.3">
      <c r="A11479" t="s">
        <v>38</v>
      </c>
      <c r="B11479" s="1">
        <v>44688</v>
      </c>
      <c r="C11479">
        <v>1</v>
      </c>
      <c r="D11479">
        <v>22.31</v>
      </c>
      <c r="E11479">
        <v>35</v>
      </c>
    </row>
    <row r="11480" spans="1:5" x14ac:dyDescent="0.3">
      <c r="A11480" t="s">
        <v>22</v>
      </c>
      <c r="B11480" s="1">
        <v>44688</v>
      </c>
      <c r="C11480">
        <v>1</v>
      </c>
      <c r="D11480">
        <v>30.3</v>
      </c>
      <c r="E11480">
        <v>49</v>
      </c>
    </row>
    <row r="11481" spans="1:5" x14ac:dyDescent="0.3">
      <c r="A11481" t="s">
        <v>19</v>
      </c>
      <c r="B11481" s="1">
        <v>44688</v>
      </c>
      <c r="C11481">
        <v>1</v>
      </c>
      <c r="D11481">
        <v>80.52</v>
      </c>
      <c r="E11481">
        <v>103</v>
      </c>
    </row>
    <row r="11482" spans="1:5" x14ac:dyDescent="0.3">
      <c r="A11482" t="s">
        <v>122</v>
      </c>
      <c r="B11482" s="1">
        <v>44688</v>
      </c>
      <c r="C11482">
        <v>1</v>
      </c>
      <c r="D11482">
        <v>20.82</v>
      </c>
      <c r="E11482">
        <v>26</v>
      </c>
    </row>
    <row r="11483" spans="1:5" x14ac:dyDescent="0.3">
      <c r="A11483" t="s">
        <v>140</v>
      </c>
      <c r="B11483" s="1">
        <v>44688</v>
      </c>
      <c r="C11483">
        <v>1</v>
      </c>
      <c r="D11483">
        <v>158.94</v>
      </c>
      <c r="E11483">
        <v>194</v>
      </c>
    </row>
    <row r="11484" spans="1:5" x14ac:dyDescent="0.3">
      <c r="A11484" t="s">
        <v>25</v>
      </c>
      <c r="B11484" s="1">
        <v>44688</v>
      </c>
      <c r="C11484">
        <v>1</v>
      </c>
      <c r="D11484">
        <v>147.18</v>
      </c>
      <c r="E11484">
        <v>177</v>
      </c>
    </row>
    <row r="11485" spans="1:5" x14ac:dyDescent="0.3">
      <c r="A11485" t="s">
        <v>7</v>
      </c>
      <c r="B11485" s="1">
        <v>44688</v>
      </c>
      <c r="C11485">
        <v>1</v>
      </c>
      <c r="D11485">
        <v>88.11</v>
      </c>
      <c r="E11485">
        <v>105</v>
      </c>
    </row>
    <row r="11486" spans="1:5" x14ac:dyDescent="0.3">
      <c r="A11486" t="s">
        <v>157</v>
      </c>
      <c r="B11486" s="1">
        <v>44688</v>
      </c>
      <c r="C11486">
        <v>2</v>
      </c>
      <c r="D11486">
        <v>12</v>
      </c>
      <c r="E11486">
        <v>20</v>
      </c>
    </row>
    <row r="11487" spans="1:5" x14ac:dyDescent="0.3">
      <c r="A11487" t="s">
        <v>160</v>
      </c>
      <c r="B11487" s="1">
        <v>44688</v>
      </c>
      <c r="C11487">
        <v>1</v>
      </c>
      <c r="D11487">
        <v>77.989999999999995</v>
      </c>
      <c r="E11487">
        <v>95</v>
      </c>
    </row>
    <row r="11488" spans="1:5" x14ac:dyDescent="0.3">
      <c r="A11488" t="s">
        <v>160</v>
      </c>
      <c r="B11488" s="1">
        <v>44688</v>
      </c>
      <c r="C11488">
        <v>1</v>
      </c>
      <c r="D11488">
        <v>77.989999999999995</v>
      </c>
      <c r="E11488">
        <v>95</v>
      </c>
    </row>
    <row r="11489" spans="1:5" x14ac:dyDescent="0.3">
      <c r="A11489" t="s">
        <v>160</v>
      </c>
      <c r="B11489" s="1">
        <v>44688</v>
      </c>
      <c r="C11489">
        <v>1</v>
      </c>
      <c r="D11489">
        <v>77.989999999999995</v>
      </c>
      <c r="E11489">
        <v>95</v>
      </c>
    </row>
    <row r="11490" spans="1:5" x14ac:dyDescent="0.3">
      <c r="A11490" t="s">
        <v>40</v>
      </c>
      <c r="B11490" s="1">
        <v>44688</v>
      </c>
      <c r="C11490">
        <v>1</v>
      </c>
      <c r="D11490">
        <v>173.51</v>
      </c>
      <c r="E11490">
        <v>208</v>
      </c>
    </row>
    <row r="11491" spans="1:5" x14ac:dyDescent="0.3">
      <c r="A11491" t="s">
        <v>43</v>
      </c>
      <c r="B11491" s="1">
        <v>44688</v>
      </c>
      <c r="C11491">
        <v>1</v>
      </c>
      <c r="D11491">
        <v>135.04</v>
      </c>
      <c r="E11491">
        <v>162</v>
      </c>
    </row>
    <row r="11492" spans="1:5" x14ac:dyDescent="0.3">
      <c r="A11492" t="s">
        <v>44</v>
      </c>
      <c r="B11492" s="1">
        <v>44688</v>
      </c>
      <c r="C11492">
        <v>1</v>
      </c>
      <c r="D11492">
        <v>64.23</v>
      </c>
      <c r="E11492">
        <v>100</v>
      </c>
    </row>
    <row r="11493" spans="1:5" x14ac:dyDescent="0.3">
      <c r="A11493" t="s">
        <v>32</v>
      </c>
      <c r="B11493" s="1">
        <v>44688</v>
      </c>
      <c r="C11493">
        <v>0.5</v>
      </c>
      <c r="D11493">
        <v>150.1</v>
      </c>
      <c r="E11493">
        <v>229</v>
      </c>
    </row>
    <row r="11494" spans="1:5" x14ac:dyDescent="0.3">
      <c r="A11494" t="s">
        <v>129</v>
      </c>
      <c r="B11494" s="1">
        <v>44688</v>
      </c>
      <c r="C11494">
        <v>0.08</v>
      </c>
      <c r="D11494">
        <v>496.39</v>
      </c>
      <c r="E11494">
        <v>597</v>
      </c>
    </row>
    <row r="11495" spans="1:5" x14ac:dyDescent="0.3">
      <c r="A11495" t="s">
        <v>60</v>
      </c>
      <c r="B11495" s="1">
        <v>44688</v>
      </c>
      <c r="C11495">
        <v>1</v>
      </c>
      <c r="D11495">
        <v>64.680000000000007</v>
      </c>
      <c r="E11495">
        <v>78</v>
      </c>
    </row>
    <row r="11496" spans="1:5" x14ac:dyDescent="0.3">
      <c r="A11496" t="s">
        <v>64</v>
      </c>
      <c r="B11496" s="1">
        <v>44688</v>
      </c>
      <c r="C11496">
        <v>1</v>
      </c>
      <c r="D11496">
        <v>198.66</v>
      </c>
      <c r="E11496">
        <v>273</v>
      </c>
    </row>
    <row r="11497" spans="1:5" x14ac:dyDescent="0.3">
      <c r="A11497" t="s">
        <v>14</v>
      </c>
      <c r="B11497" s="1">
        <v>44688</v>
      </c>
      <c r="C11497">
        <v>0.3</v>
      </c>
      <c r="D11497">
        <v>596.29</v>
      </c>
      <c r="E11497">
        <v>746</v>
      </c>
    </row>
    <row r="11498" spans="1:5" x14ac:dyDescent="0.3">
      <c r="A11498" t="s">
        <v>35</v>
      </c>
      <c r="B11498" s="1">
        <v>44688</v>
      </c>
      <c r="C11498">
        <v>1</v>
      </c>
      <c r="D11498">
        <v>35</v>
      </c>
      <c r="E11498">
        <v>54</v>
      </c>
    </row>
    <row r="11499" spans="1:5" x14ac:dyDescent="0.3">
      <c r="A11499" t="s">
        <v>93</v>
      </c>
      <c r="B11499" s="1">
        <v>44688</v>
      </c>
      <c r="C11499">
        <v>1</v>
      </c>
      <c r="D11499">
        <v>65.400000000000006</v>
      </c>
      <c r="E11499">
        <v>93</v>
      </c>
    </row>
    <row r="11500" spans="1:5" x14ac:dyDescent="0.3">
      <c r="A11500" t="s">
        <v>83</v>
      </c>
      <c r="B11500" s="1">
        <v>44688</v>
      </c>
      <c r="C11500">
        <v>1</v>
      </c>
      <c r="D11500">
        <v>206.86</v>
      </c>
      <c r="E11500">
        <v>245</v>
      </c>
    </row>
    <row r="11501" spans="1:5" x14ac:dyDescent="0.3">
      <c r="A11501" t="s">
        <v>43</v>
      </c>
      <c r="B11501" s="1">
        <v>44688</v>
      </c>
      <c r="C11501">
        <v>1</v>
      </c>
      <c r="D11501">
        <v>135.96</v>
      </c>
      <c r="E11501">
        <v>163</v>
      </c>
    </row>
    <row r="11502" spans="1:5" x14ac:dyDescent="0.3">
      <c r="A11502" t="s">
        <v>82</v>
      </c>
      <c r="B11502" s="1">
        <v>44688</v>
      </c>
      <c r="C11502">
        <v>1</v>
      </c>
      <c r="D11502">
        <v>22.32</v>
      </c>
      <c r="E11502">
        <v>28</v>
      </c>
    </row>
    <row r="11503" spans="1:5" x14ac:dyDescent="0.3">
      <c r="A11503" t="s">
        <v>35</v>
      </c>
      <c r="B11503" s="1">
        <v>44688</v>
      </c>
      <c r="C11503">
        <v>1</v>
      </c>
      <c r="D11503">
        <v>35</v>
      </c>
      <c r="E11503">
        <v>54</v>
      </c>
    </row>
    <row r="11504" spans="1:5" x14ac:dyDescent="0.3">
      <c r="A11504" t="s">
        <v>106</v>
      </c>
      <c r="B11504" s="1">
        <v>44688</v>
      </c>
      <c r="C11504">
        <v>1</v>
      </c>
      <c r="D11504">
        <v>41.1</v>
      </c>
      <c r="E11504">
        <v>51</v>
      </c>
    </row>
    <row r="11505" spans="1:5" x14ac:dyDescent="0.3">
      <c r="A11505" t="s">
        <v>23</v>
      </c>
      <c r="B11505" s="1">
        <v>44688</v>
      </c>
      <c r="C11505">
        <v>1</v>
      </c>
      <c r="D11505">
        <v>110.23</v>
      </c>
      <c r="E11505">
        <v>124</v>
      </c>
    </row>
    <row r="11506" spans="1:5" x14ac:dyDescent="0.3">
      <c r="A11506" t="s">
        <v>118</v>
      </c>
      <c r="B11506" s="1">
        <v>44688</v>
      </c>
      <c r="C11506">
        <v>1</v>
      </c>
      <c r="D11506">
        <v>10.79</v>
      </c>
      <c r="E11506">
        <v>13</v>
      </c>
    </row>
    <row r="11507" spans="1:5" x14ac:dyDescent="0.3">
      <c r="A11507" t="s">
        <v>103</v>
      </c>
      <c r="B11507" s="1">
        <v>44688</v>
      </c>
      <c r="C11507">
        <v>1</v>
      </c>
      <c r="D11507">
        <v>24.84</v>
      </c>
      <c r="E11507">
        <v>38</v>
      </c>
    </row>
    <row r="11508" spans="1:5" x14ac:dyDescent="0.3">
      <c r="A11508" t="s">
        <v>51</v>
      </c>
      <c r="B11508" s="1">
        <v>44688</v>
      </c>
      <c r="C11508">
        <v>4</v>
      </c>
      <c r="D11508">
        <v>1.98</v>
      </c>
      <c r="E11508">
        <v>3.2</v>
      </c>
    </row>
    <row r="11509" spans="1:5" x14ac:dyDescent="0.3">
      <c r="A11509" t="s">
        <v>160</v>
      </c>
      <c r="B11509" s="1">
        <v>44688</v>
      </c>
      <c r="C11509">
        <v>1</v>
      </c>
      <c r="D11509">
        <v>77.989999999999995</v>
      </c>
      <c r="E11509">
        <v>95</v>
      </c>
    </row>
    <row r="11510" spans="1:5" x14ac:dyDescent="0.3">
      <c r="A11510" t="s">
        <v>160</v>
      </c>
      <c r="B11510" s="1">
        <v>44688</v>
      </c>
      <c r="C11510">
        <v>1</v>
      </c>
      <c r="D11510">
        <v>77.989999999999995</v>
      </c>
      <c r="E11510">
        <v>95</v>
      </c>
    </row>
    <row r="11511" spans="1:5" x14ac:dyDescent="0.3">
      <c r="A11511" t="s">
        <v>160</v>
      </c>
      <c r="B11511" s="1">
        <v>44688</v>
      </c>
      <c r="C11511">
        <v>1</v>
      </c>
      <c r="D11511">
        <v>77.989999999999995</v>
      </c>
      <c r="E11511">
        <v>95</v>
      </c>
    </row>
    <row r="11512" spans="1:5" x14ac:dyDescent="0.3">
      <c r="A11512" t="s">
        <v>160</v>
      </c>
      <c r="B11512" s="1">
        <v>44688</v>
      </c>
      <c r="C11512">
        <v>1</v>
      </c>
      <c r="D11512">
        <v>77.989999999999995</v>
      </c>
      <c r="E11512">
        <v>95</v>
      </c>
    </row>
    <row r="11513" spans="1:5" x14ac:dyDescent="0.3">
      <c r="A11513" t="s">
        <v>65</v>
      </c>
      <c r="B11513" s="1">
        <v>44688</v>
      </c>
      <c r="C11513">
        <v>1</v>
      </c>
      <c r="D11513">
        <v>176.42</v>
      </c>
      <c r="E11513">
        <v>207</v>
      </c>
    </row>
    <row r="11514" spans="1:5" x14ac:dyDescent="0.3">
      <c r="A11514" t="s">
        <v>35</v>
      </c>
      <c r="B11514" s="1">
        <v>44688</v>
      </c>
      <c r="C11514">
        <v>1</v>
      </c>
      <c r="D11514">
        <v>30.35</v>
      </c>
      <c r="E11514">
        <v>48</v>
      </c>
    </row>
    <row r="11515" spans="1:5" x14ac:dyDescent="0.3">
      <c r="A11515" t="s">
        <v>160</v>
      </c>
      <c r="B11515" s="1">
        <v>44688</v>
      </c>
      <c r="C11515">
        <v>1</v>
      </c>
      <c r="D11515">
        <v>81.87</v>
      </c>
      <c r="E11515">
        <v>100</v>
      </c>
    </row>
    <row r="11516" spans="1:5" x14ac:dyDescent="0.3">
      <c r="A11516" t="s">
        <v>160</v>
      </c>
      <c r="B11516" s="1">
        <v>44688</v>
      </c>
      <c r="C11516">
        <v>1</v>
      </c>
      <c r="D11516">
        <v>81.819999999999993</v>
      </c>
      <c r="E11516">
        <v>99</v>
      </c>
    </row>
    <row r="11517" spans="1:5" x14ac:dyDescent="0.3">
      <c r="A11517" t="s">
        <v>62</v>
      </c>
      <c r="B11517" s="1">
        <v>44688</v>
      </c>
      <c r="C11517">
        <v>1</v>
      </c>
      <c r="D11517">
        <v>24.74</v>
      </c>
      <c r="E11517">
        <v>30</v>
      </c>
    </row>
    <row r="11518" spans="1:5" x14ac:dyDescent="0.3">
      <c r="A11518" t="s">
        <v>136</v>
      </c>
      <c r="B11518" s="1">
        <v>44688</v>
      </c>
      <c r="C11518">
        <v>1</v>
      </c>
      <c r="D11518">
        <v>333.53</v>
      </c>
      <c r="E11518">
        <v>451</v>
      </c>
    </row>
    <row r="11519" spans="1:5" x14ac:dyDescent="0.3">
      <c r="A11519" t="s">
        <v>31</v>
      </c>
      <c r="B11519" s="1">
        <v>44688</v>
      </c>
      <c r="C11519">
        <v>1</v>
      </c>
      <c r="D11519">
        <v>13.19</v>
      </c>
      <c r="E11519">
        <v>18</v>
      </c>
    </row>
    <row r="11520" spans="1:5" x14ac:dyDescent="0.3">
      <c r="A11520" t="s">
        <v>34</v>
      </c>
      <c r="B11520" s="1">
        <v>44688</v>
      </c>
      <c r="C11520">
        <v>1</v>
      </c>
      <c r="D11520">
        <v>200.94</v>
      </c>
      <c r="E11520">
        <v>232</v>
      </c>
    </row>
    <row r="11521" spans="1:5" x14ac:dyDescent="0.3">
      <c r="A11521" t="s">
        <v>66</v>
      </c>
      <c r="B11521" s="1">
        <v>44688</v>
      </c>
      <c r="C11521">
        <v>2</v>
      </c>
      <c r="D11521">
        <v>30.93</v>
      </c>
      <c r="E11521">
        <v>36</v>
      </c>
    </row>
    <row r="11522" spans="1:5" x14ac:dyDescent="0.3">
      <c r="A11522" t="s">
        <v>8</v>
      </c>
      <c r="B11522" s="1">
        <v>44688</v>
      </c>
      <c r="C11522">
        <v>5</v>
      </c>
      <c r="D11522">
        <v>47.03</v>
      </c>
      <c r="E11522">
        <v>76</v>
      </c>
    </row>
    <row r="11523" spans="1:5" x14ac:dyDescent="0.3">
      <c r="A11523" t="s">
        <v>72</v>
      </c>
      <c r="B11523" s="1">
        <v>44688</v>
      </c>
      <c r="C11523">
        <v>1</v>
      </c>
      <c r="D11523">
        <v>558.65</v>
      </c>
      <c r="E11523">
        <v>738</v>
      </c>
    </row>
    <row r="11524" spans="1:5" x14ac:dyDescent="0.3">
      <c r="A11524" t="s">
        <v>98</v>
      </c>
      <c r="B11524" s="1">
        <v>44688</v>
      </c>
      <c r="C11524">
        <v>1</v>
      </c>
      <c r="D11524">
        <v>110.73</v>
      </c>
      <c r="E11524">
        <v>136</v>
      </c>
    </row>
    <row r="11525" spans="1:5" x14ac:dyDescent="0.3">
      <c r="A11525" t="s">
        <v>22</v>
      </c>
      <c r="B11525" s="1">
        <v>44688</v>
      </c>
      <c r="C11525">
        <v>1</v>
      </c>
      <c r="D11525">
        <v>30.3</v>
      </c>
      <c r="E11525">
        <v>49</v>
      </c>
    </row>
    <row r="11526" spans="1:5" x14ac:dyDescent="0.3">
      <c r="A11526" t="s">
        <v>56</v>
      </c>
      <c r="B11526" s="1">
        <v>44688</v>
      </c>
      <c r="C11526">
        <v>1</v>
      </c>
      <c r="D11526">
        <v>43.7</v>
      </c>
      <c r="E11526">
        <v>67</v>
      </c>
    </row>
    <row r="11527" spans="1:5" x14ac:dyDescent="0.3">
      <c r="A11527" t="s">
        <v>160</v>
      </c>
      <c r="B11527" s="1">
        <v>44688</v>
      </c>
      <c r="C11527">
        <v>1</v>
      </c>
      <c r="D11527">
        <v>81.87</v>
      </c>
      <c r="E11527">
        <v>100</v>
      </c>
    </row>
    <row r="11528" spans="1:5" x14ac:dyDescent="0.3">
      <c r="A11528" t="s">
        <v>122</v>
      </c>
      <c r="B11528" s="1">
        <v>44688</v>
      </c>
      <c r="C11528">
        <v>1</v>
      </c>
      <c r="D11528">
        <v>20.82</v>
      </c>
      <c r="E11528">
        <v>26</v>
      </c>
    </row>
    <row r="11529" spans="1:5" x14ac:dyDescent="0.3">
      <c r="A11529" t="s">
        <v>100</v>
      </c>
      <c r="B11529" s="1">
        <v>44688</v>
      </c>
      <c r="C11529">
        <v>1</v>
      </c>
      <c r="D11529">
        <v>37.49</v>
      </c>
      <c r="E11529">
        <v>59</v>
      </c>
    </row>
    <row r="11530" spans="1:5" x14ac:dyDescent="0.3">
      <c r="A11530" t="s">
        <v>34</v>
      </c>
      <c r="B11530" s="1">
        <v>44688</v>
      </c>
      <c r="C11530">
        <v>1</v>
      </c>
      <c r="D11530">
        <v>200.94</v>
      </c>
      <c r="E11530">
        <v>232</v>
      </c>
    </row>
    <row r="11531" spans="1:5" x14ac:dyDescent="0.3">
      <c r="A11531" t="s">
        <v>99</v>
      </c>
      <c r="B11531" s="1">
        <v>44688</v>
      </c>
      <c r="C11531">
        <v>1</v>
      </c>
      <c r="D11531">
        <v>65.31</v>
      </c>
      <c r="E11531">
        <v>81</v>
      </c>
    </row>
    <row r="11532" spans="1:5" x14ac:dyDescent="0.3">
      <c r="A11532" t="s">
        <v>34</v>
      </c>
      <c r="B11532" s="1">
        <v>44688</v>
      </c>
      <c r="C11532">
        <v>1</v>
      </c>
      <c r="D11532">
        <v>205.48</v>
      </c>
      <c r="E11532">
        <v>237</v>
      </c>
    </row>
    <row r="11533" spans="1:5" x14ac:dyDescent="0.3">
      <c r="A11533" t="s">
        <v>61</v>
      </c>
      <c r="B11533" s="1">
        <v>44688</v>
      </c>
      <c r="C11533">
        <v>1</v>
      </c>
      <c r="D11533">
        <v>33.28</v>
      </c>
      <c r="E11533">
        <v>51</v>
      </c>
    </row>
    <row r="11534" spans="1:5" x14ac:dyDescent="0.3">
      <c r="A11534" t="s">
        <v>53</v>
      </c>
      <c r="B11534" s="1">
        <v>44688</v>
      </c>
      <c r="C11534">
        <v>1</v>
      </c>
      <c r="D11534">
        <v>23.4</v>
      </c>
      <c r="E11534">
        <v>38</v>
      </c>
    </row>
    <row r="11535" spans="1:5" x14ac:dyDescent="0.3">
      <c r="A11535" t="s">
        <v>26</v>
      </c>
      <c r="B11535" s="1">
        <v>44688</v>
      </c>
      <c r="C11535">
        <v>0.1</v>
      </c>
      <c r="D11535">
        <v>989.8</v>
      </c>
      <c r="E11535">
        <v>1238</v>
      </c>
    </row>
    <row r="11536" spans="1:5" x14ac:dyDescent="0.3">
      <c r="A11536" t="s">
        <v>52</v>
      </c>
      <c r="B11536" s="1">
        <v>44688</v>
      </c>
      <c r="C11536">
        <v>1</v>
      </c>
      <c r="D11536">
        <v>203.72</v>
      </c>
      <c r="E11536">
        <v>245</v>
      </c>
    </row>
    <row r="11537" spans="1:5" x14ac:dyDescent="0.3">
      <c r="A11537" t="s">
        <v>15</v>
      </c>
      <c r="B11537" s="1">
        <v>44688</v>
      </c>
      <c r="C11537">
        <v>1</v>
      </c>
      <c r="D11537">
        <v>50.1</v>
      </c>
      <c r="E11537">
        <v>81</v>
      </c>
    </row>
    <row r="11538" spans="1:5" x14ac:dyDescent="0.3">
      <c r="A11538" t="s">
        <v>150</v>
      </c>
      <c r="B11538" s="1">
        <v>44688</v>
      </c>
      <c r="C11538">
        <v>1</v>
      </c>
      <c r="D11538">
        <v>77.400000000000006</v>
      </c>
      <c r="E11538">
        <v>120</v>
      </c>
    </row>
    <row r="11539" spans="1:5" x14ac:dyDescent="0.3">
      <c r="A11539" t="s">
        <v>127</v>
      </c>
      <c r="B11539" s="1">
        <v>44688</v>
      </c>
      <c r="C11539">
        <v>1</v>
      </c>
      <c r="D11539">
        <v>121</v>
      </c>
      <c r="E11539">
        <v>169</v>
      </c>
    </row>
    <row r="11540" spans="1:5" x14ac:dyDescent="0.3">
      <c r="A11540" t="s">
        <v>116</v>
      </c>
      <c r="B11540" s="1">
        <v>44688</v>
      </c>
      <c r="C11540">
        <v>1</v>
      </c>
      <c r="D11540">
        <v>105.41</v>
      </c>
      <c r="E11540">
        <v>131</v>
      </c>
    </row>
    <row r="11541" spans="1:5" x14ac:dyDescent="0.3">
      <c r="A11541" t="s">
        <v>47</v>
      </c>
      <c r="B11541" s="1">
        <v>44688</v>
      </c>
      <c r="C11541">
        <v>1</v>
      </c>
      <c r="D11541">
        <v>43.08</v>
      </c>
      <c r="E11541">
        <v>67</v>
      </c>
    </row>
    <row r="11542" spans="1:5" x14ac:dyDescent="0.3">
      <c r="A11542" t="s">
        <v>140</v>
      </c>
      <c r="B11542" s="1">
        <v>44688</v>
      </c>
      <c r="C11542">
        <v>1</v>
      </c>
      <c r="D11542">
        <v>158.94</v>
      </c>
      <c r="E11542">
        <v>194</v>
      </c>
    </row>
    <row r="11543" spans="1:5" x14ac:dyDescent="0.3">
      <c r="A11543" t="s">
        <v>98</v>
      </c>
      <c r="B11543" s="1">
        <v>44688</v>
      </c>
      <c r="C11543">
        <v>1</v>
      </c>
      <c r="D11543">
        <v>110.73</v>
      </c>
      <c r="E11543">
        <v>136</v>
      </c>
    </row>
    <row r="11544" spans="1:5" x14ac:dyDescent="0.3">
      <c r="A11544" t="s">
        <v>17</v>
      </c>
      <c r="B11544" s="1">
        <v>44688</v>
      </c>
      <c r="C11544">
        <v>1</v>
      </c>
      <c r="D11544">
        <v>385.8</v>
      </c>
      <c r="E11544">
        <v>463</v>
      </c>
    </row>
    <row r="11545" spans="1:5" x14ac:dyDescent="0.3">
      <c r="A11545" t="s">
        <v>138</v>
      </c>
      <c r="B11545" s="1">
        <v>44688</v>
      </c>
      <c r="C11545">
        <v>2</v>
      </c>
      <c r="D11545">
        <v>46.5</v>
      </c>
      <c r="E11545">
        <v>75</v>
      </c>
    </row>
    <row r="11546" spans="1:5" x14ac:dyDescent="0.3">
      <c r="A11546" t="s">
        <v>22</v>
      </c>
      <c r="B11546" s="1">
        <v>44688</v>
      </c>
      <c r="C11546">
        <v>1</v>
      </c>
      <c r="D11546">
        <v>30.3</v>
      </c>
      <c r="E11546">
        <v>49</v>
      </c>
    </row>
    <row r="11547" spans="1:5" x14ac:dyDescent="0.3">
      <c r="A11547" t="s">
        <v>146</v>
      </c>
      <c r="B11547" s="1">
        <v>44688</v>
      </c>
      <c r="C11547">
        <v>1</v>
      </c>
      <c r="D11547">
        <v>402.29</v>
      </c>
      <c r="E11547">
        <v>451</v>
      </c>
    </row>
    <row r="11548" spans="1:5" x14ac:dyDescent="0.3">
      <c r="A11548" t="s">
        <v>152</v>
      </c>
      <c r="B11548" s="1">
        <v>44688</v>
      </c>
      <c r="C11548">
        <v>1</v>
      </c>
      <c r="D11548">
        <v>106.17</v>
      </c>
      <c r="E11548">
        <v>133</v>
      </c>
    </row>
    <row r="11549" spans="1:5" x14ac:dyDescent="0.3">
      <c r="A11549" t="s">
        <v>91</v>
      </c>
      <c r="B11549" s="1">
        <v>44688</v>
      </c>
      <c r="C11549">
        <v>1</v>
      </c>
      <c r="D11549">
        <v>34.299999999999997</v>
      </c>
      <c r="E11549">
        <v>59</v>
      </c>
    </row>
    <row r="11550" spans="1:5" x14ac:dyDescent="0.3">
      <c r="A11550" t="s">
        <v>78</v>
      </c>
      <c r="B11550" s="1">
        <v>44688</v>
      </c>
      <c r="C11550">
        <v>1</v>
      </c>
      <c r="D11550">
        <v>83.31</v>
      </c>
      <c r="E11550">
        <v>101</v>
      </c>
    </row>
    <row r="11551" spans="1:5" x14ac:dyDescent="0.3">
      <c r="A11551" t="s">
        <v>97</v>
      </c>
      <c r="B11551" s="1">
        <v>44688</v>
      </c>
      <c r="C11551">
        <v>1</v>
      </c>
      <c r="D11551">
        <v>423.61</v>
      </c>
      <c r="E11551">
        <v>572</v>
      </c>
    </row>
    <row r="11552" spans="1:5" x14ac:dyDescent="0.3">
      <c r="A11552" t="s">
        <v>14</v>
      </c>
      <c r="B11552" s="1">
        <v>44688</v>
      </c>
      <c r="C11552">
        <v>0.2</v>
      </c>
      <c r="D11552">
        <v>446.41</v>
      </c>
      <c r="E11552">
        <v>576</v>
      </c>
    </row>
    <row r="11553" spans="1:5" x14ac:dyDescent="0.3">
      <c r="A11553" t="s">
        <v>20</v>
      </c>
      <c r="B11553" s="1">
        <v>44688</v>
      </c>
      <c r="C11553">
        <v>1</v>
      </c>
      <c r="D11553">
        <v>20</v>
      </c>
      <c r="E11553">
        <v>25</v>
      </c>
    </row>
    <row r="11554" spans="1:5" x14ac:dyDescent="0.3">
      <c r="A11554" t="s">
        <v>7</v>
      </c>
      <c r="B11554" s="1">
        <v>44688</v>
      </c>
      <c r="C11554">
        <v>1</v>
      </c>
      <c r="D11554">
        <v>102.85</v>
      </c>
      <c r="E11554">
        <v>121</v>
      </c>
    </row>
    <row r="11555" spans="1:5" x14ac:dyDescent="0.3">
      <c r="A11555" t="s">
        <v>98</v>
      </c>
      <c r="B11555" s="1">
        <v>44688</v>
      </c>
      <c r="C11555">
        <v>1</v>
      </c>
      <c r="D11555">
        <v>125.05</v>
      </c>
      <c r="E11555">
        <v>148</v>
      </c>
    </row>
    <row r="11556" spans="1:5" x14ac:dyDescent="0.3">
      <c r="A11556" t="s">
        <v>6</v>
      </c>
      <c r="B11556" s="1">
        <v>44688</v>
      </c>
      <c r="C11556">
        <v>0.6</v>
      </c>
      <c r="D11556">
        <v>483.01</v>
      </c>
      <c r="E11556">
        <v>604</v>
      </c>
    </row>
    <row r="11557" spans="1:5" x14ac:dyDescent="0.3">
      <c r="A11557" t="s">
        <v>53</v>
      </c>
      <c r="B11557" s="1">
        <v>44688</v>
      </c>
      <c r="C11557">
        <v>2</v>
      </c>
      <c r="D11557">
        <v>23.4</v>
      </c>
      <c r="E11557">
        <v>38</v>
      </c>
    </row>
    <row r="11558" spans="1:5" x14ac:dyDescent="0.3">
      <c r="A11558" t="s">
        <v>29</v>
      </c>
      <c r="B11558" s="1">
        <v>44688</v>
      </c>
      <c r="C11558">
        <v>1</v>
      </c>
      <c r="D11558">
        <v>487.23</v>
      </c>
      <c r="E11558">
        <v>629</v>
      </c>
    </row>
    <row r="11559" spans="1:5" x14ac:dyDescent="0.3">
      <c r="A11559" t="s">
        <v>6</v>
      </c>
      <c r="B11559" s="1">
        <v>44688</v>
      </c>
      <c r="C11559">
        <v>0.2</v>
      </c>
      <c r="D11559">
        <v>442.51</v>
      </c>
      <c r="E11559">
        <v>554</v>
      </c>
    </row>
    <row r="11560" spans="1:5" x14ac:dyDescent="0.3">
      <c r="A11560" t="s">
        <v>160</v>
      </c>
      <c r="B11560" s="1">
        <v>44688</v>
      </c>
      <c r="C11560">
        <v>1</v>
      </c>
      <c r="D11560">
        <v>79.89</v>
      </c>
      <c r="E11560">
        <v>97</v>
      </c>
    </row>
    <row r="11561" spans="1:5" x14ac:dyDescent="0.3">
      <c r="A11561" t="s">
        <v>146</v>
      </c>
      <c r="B11561" s="1">
        <v>44688</v>
      </c>
      <c r="C11561">
        <v>1</v>
      </c>
      <c r="D11561">
        <v>423.26</v>
      </c>
      <c r="E11561">
        <v>559</v>
      </c>
    </row>
    <row r="11562" spans="1:5" x14ac:dyDescent="0.3">
      <c r="A11562" t="s">
        <v>113</v>
      </c>
      <c r="B11562" s="1">
        <v>44688</v>
      </c>
      <c r="C11562">
        <v>1</v>
      </c>
      <c r="D11562">
        <v>136.57</v>
      </c>
      <c r="E11562">
        <v>158</v>
      </c>
    </row>
    <row r="11563" spans="1:5" x14ac:dyDescent="0.3">
      <c r="A11563" t="s">
        <v>94</v>
      </c>
      <c r="B11563" s="1">
        <v>44688</v>
      </c>
      <c r="C11563">
        <v>1</v>
      </c>
      <c r="D11563">
        <v>38.97</v>
      </c>
      <c r="E11563">
        <v>50</v>
      </c>
    </row>
    <row r="11564" spans="1:5" x14ac:dyDescent="0.3">
      <c r="A11564" t="s">
        <v>94</v>
      </c>
      <c r="B11564" s="1">
        <v>44688</v>
      </c>
      <c r="C11564">
        <v>1</v>
      </c>
      <c r="D11564">
        <v>38.97</v>
      </c>
      <c r="E11564">
        <v>50</v>
      </c>
    </row>
    <row r="11565" spans="1:5" x14ac:dyDescent="0.3">
      <c r="A11565" t="s">
        <v>94</v>
      </c>
      <c r="B11565" s="1">
        <v>44688</v>
      </c>
      <c r="C11565">
        <v>1</v>
      </c>
      <c r="D11565">
        <v>38.97</v>
      </c>
      <c r="E11565">
        <v>50</v>
      </c>
    </row>
    <row r="11566" spans="1:5" x14ac:dyDescent="0.3">
      <c r="A11566" t="s">
        <v>94</v>
      </c>
      <c r="B11566" s="1">
        <v>44688</v>
      </c>
      <c r="C11566">
        <v>1</v>
      </c>
      <c r="D11566">
        <v>38.97</v>
      </c>
      <c r="E11566">
        <v>50</v>
      </c>
    </row>
    <row r="11567" spans="1:5" x14ac:dyDescent="0.3">
      <c r="A11567" t="s">
        <v>94</v>
      </c>
      <c r="B11567" s="1">
        <v>44688</v>
      </c>
      <c r="C11567">
        <v>1</v>
      </c>
      <c r="D11567">
        <v>38.97</v>
      </c>
      <c r="E11567">
        <v>50</v>
      </c>
    </row>
    <row r="11568" spans="1:5" x14ac:dyDescent="0.3">
      <c r="A11568" t="s">
        <v>94</v>
      </c>
      <c r="B11568" s="1">
        <v>44688</v>
      </c>
      <c r="C11568">
        <v>1</v>
      </c>
      <c r="D11568">
        <v>38.97</v>
      </c>
      <c r="E11568">
        <v>50</v>
      </c>
    </row>
    <row r="11569" spans="1:5" x14ac:dyDescent="0.3">
      <c r="A11569" t="s">
        <v>131</v>
      </c>
      <c r="B11569" s="1">
        <v>44688</v>
      </c>
      <c r="C11569">
        <v>1</v>
      </c>
      <c r="D11569">
        <v>360</v>
      </c>
      <c r="E11569">
        <v>476</v>
      </c>
    </row>
    <row r="11570" spans="1:5" x14ac:dyDescent="0.3">
      <c r="A11570" t="s">
        <v>98</v>
      </c>
      <c r="B11570" s="1">
        <v>44688</v>
      </c>
      <c r="C11570">
        <v>1</v>
      </c>
      <c r="D11570">
        <v>111.85</v>
      </c>
      <c r="E11570">
        <v>135</v>
      </c>
    </row>
    <row r="11571" spans="1:5" x14ac:dyDescent="0.3">
      <c r="A11571" t="s">
        <v>106</v>
      </c>
      <c r="B11571" s="1">
        <v>44688</v>
      </c>
      <c r="C11571">
        <v>1</v>
      </c>
      <c r="D11571">
        <v>41.56</v>
      </c>
      <c r="E11571">
        <v>51</v>
      </c>
    </row>
    <row r="11572" spans="1:5" x14ac:dyDescent="0.3">
      <c r="A11572" t="s">
        <v>12</v>
      </c>
      <c r="B11572" s="1">
        <v>44688</v>
      </c>
      <c r="C11572">
        <v>1</v>
      </c>
      <c r="D11572">
        <v>64.680000000000007</v>
      </c>
      <c r="E11572">
        <v>78</v>
      </c>
    </row>
    <row r="11573" spans="1:5" x14ac:dyDescent="0.3">
      <c r="A11573" t="s">
        <v>48</v>
      </c>
      <c r="B11573" s="1">
        <v>44688</v>
      </c>
      <c r="C11573">
        <v>1</v>
      </c>
      <c r="D11573">
        <v>38.67</v>
      </c>
      <c r="E11573">
        <v>60</v>
      </c>
    </row>
    <row r="11574" spans="1:5" x14ac:dyDescent="0.3">
      <c r="A11574" t="s">
        <v>48</v>
      </c>
      <c r="B11574" s="1">
        <v>44688</v>
      </c>
      <c r="C11574">
        <v>1</v>
      </c>
      <c r="D11574">
        <v>38.67</v>
      </c>
      <c r="E11574">
        <v>60</v>
      </c>
    </row>
    <row r="11575" spans="1:5" x14ac:dyDescent="0.3">
      <c r="A11575" t="s">
        <v>46</v>
      </c>
      <c r="B11575" s="1">
        <v>44688</v>
      </c>
      <c r="C11575">
        <v>1</v>
      </c>
      <c r="D11575">
        <v>19.89</v>
      </c>
      <c r="E11575">
        <v>24</v>
      </c>
    </row>
    <row r="11576" spans="1:5" x14ac:dyDescent="0.3">
      <c r="A11576" t="s">
        <v>97</v>
      </c>
      <c r="B11576" s="1">
        <v>44688</v>
      </c>
      <c r="C11576">
        <v>1</v>
      </c>
      <c r="D11576">
        <v>423.61</v>
      </c>
      <c r="E11576">
        <v>572</v>
      </c>
    </row>
    <row r="11577" spans="1:5" x14ac:dyDescent="0.3">
      <c r="A11577" t="s">
        <v>22</v>
      </c>
      <c r="B11577" s="1">
        <v>44688</v>
      </c>
      <c r="C11577">
        <v>1</v>
      </c>
      <c r="D11577">
        <v>30.3</v>
      </c>
      <c r="E11577">
        <v>49</v>
      </c>
    </row>
    <row r="11578" spans="1:5" x14ac:dyDescent="0.3">
      <c r="A11578" t="s">
        <v>66</v>
      </c>
      <c r="B11578" s="1">
        <v>44688</v>
      </c>
      <c r="C11578">
        <v>1</v>
      </c>
      <c r="D11578">
        <v>31.08</v>
      </c>
      <c r="E11578">
        <v>36</v>
      </c>
    </row>
    <row r="11579" spans="1:5" x14ac:dyDescent="0.3">
      <c r="A11579" t="s">
        <v>62</v>
      </c>
      <c r="B11579" s="1">
        <v>44688</v>
      </c>
      <c r="C11579">
        <v>1</v>
      </c>
      <c r="D11579">
        <v>25.19</v>
      </c>
      <c r="E11579">
        <v>30</v>
      </c>
    </row>
    <row r="11580" spans="1:5" x14ac:dyDescent="0.3">
      <c r="A11580" t="s">
        <v>62</v>
      </c>
      <c r="B11580" s="1">
        <v>44688</v>
      </c>
      <c r="C11580">
        <v>1</v>
      </c>
      <c r="D11580">
        <v>25.19</v>
      </c>
      <c r="E11580">
        <v>30</v>
      </c>
    </row>
    <row r="11581" spans="1:5" x14ac:dyDescent="0.3">
      <c r="A11581" t="s">
        <v>119</v>
      </c>
      <c r="B11581" s="1">
        <v>44688</v>
      </c>
      <c r="C11581">
        <v>3.5714299999999997E-2</v>
      </c>
      <c r="D11581">
        <v>642</v>
      </c>
      <c r="E11581">
        <v>708</v>
      </c>
    </row>
    <row r="11582" spans="1:5" x14ac:dyDescent="0.3">
      <c r="A11582" t="s">
        <v>65</v>
      </c>
      <c r="B11582" s="1">
        <v>44688</v>
      </c>
      <c r="C11582">
        <v>1</v>
      </c>
      <c r="D11582">
        <v>176.77</v>
      </c>
      <c r="E11582">
        <v>207</v>
      </c>
    </row>
    <row r="11583" spans="1:5" x14ac:dyDescent="0.3">
      <c r="A11583" t="s">
        <v>95</v>
      </c>
      <c r="B11583" s="1">
        <v>44688</v>
      </c>
      <c r="C11583">
        <v>1</v>
      </c>
      <c r="D11583">
        <v>129.25</v>
      </c>
      <c r="E11583">
        <v>203</v>
      </c>
    </row>
    <row r="11584" spans="1:5" x14ac:dyDescent="0.3">
      <c r="A11584" t="s">
        <v>131</v>
      </c>
      <c r="B11584" s="1">
        <v>44688</v>
      </c>
      <c r="C11584">
        <v>1</v>
      </c>
      <c r="D11584">
        <v>361.44</v>
      </c>
      <c r="E11584">
        <v>416</v>
      </c>
    </row>
    <row r="11585" spans="1:5" x14ac:dyDescent="0.3">
      <c r="A11585" t="s">
        <v>125</v>
      </c>
      <c r="B11585" s="1">
        <v>44688</v>
      </c>
      <c r="C11585">
        <v>1</v>
      </c>
      <c r="D11585">
        <v>334.02</v>
      </c>
      <c r="E11585">
        <v>441</v>
      </c>
    </row>
    <row r="11586" spans="1:5" x14ac:dyDescent="0.3">
      <c r="A11586" t="s">
        <v>93</v>
      </c>
      <c r="B11586" s="1">
        <v>44688</v>
      </c>
      <c r="C11586">
        <v>1</v>
      </c>
      <c r="D11586">
        <v>67.540000000000006</v>
      </c>
      <c r="E11586">
        <v>101</v>
      </c>
    </row>
    <row r="11587" spans="1:5" x14ac:dyDescent="0.3">
      <c r="A11587" t="s">
        <v>112</v>
      </c>
      <c r="B11587" s="1">
        <v>44688</v>
      </c>
      <c r="C11587">
        <v>1</v>
      </c>
      <c r="D11587">
        <v>291.42</v>
      </c>
      <c r="E11587">
        <v>335</v>
      </c>
    </row>
    <row r="11588" spans="1:5" x14ac:dyDescent="0.3">
      <c r="A11588" t="s">
        <v>145</v>
      </c>
      <c r="B11588" s="1">
        <v>44688</v>
      </c>
      <c r="C11588">
        <v>1</v>
      </c>
      <c r="D11588">
        <v>25.3</v>
      </c>
      <c r="E11588">
        <v>31</v>
      </c>
    </row>
    <row r="11589" spans="1:5" x14ac:dyDescent="0.3">
      <c r="A11589" t="s">
        <v>98</v>
      </c>
      <c r="B11589" s="1">
        <v>44688</v>
      </c>
      <c r="C11589">
        <v>1</v>
      </c>
      <c r="D11589">
        <v>110.73</v>
      </c>
      <c r="E11589">
        <v>134</v>
      </c>
    </row>
    <row r="11590" spans="1:5" x14ac:dyDescent="0.3">
      <c r="A11590" t="s">
        <v>48</v>
      </c>
      <c r="B11590" s="1">
        <v>44688</v>
      </c>
      <c r="C11590">
        <v>1</v>
      </c>
      <c r="D11590">
        <v>46.72</v>
      </c>
      <c r="E11590">
        <v>73</v>
      </c>
    </row>
    <row r="11591" spans="1:5" x14ac:dyDescent="0.3">
      <c r="A11591" t="s">
        <v>18</v>
      </c>
      <c r="B11591" s="1">
        <v>44688</v>
      </c>
      <c r="C11591">
        <v>1</v>
      </c>
      <c r="D11591">
        <v>46</v>
      </c>
      <c r="E11591">
        <v>72</v>
      </c>
    </row>
    <row r="11592" spans="1:5" x14ac:dyDescent="0.3">
      <c r="A11592" t="s">
        <v>18</v>
      </c>
      <c r="B11592" s="1">
        <v>44688</v>
      </c>
      <c r="C11592">
        <v>1</v>
      </c>
      <c r="D11592">
        <v>46</v>
      </c>
      <c r="E11592">
        <v>72</v>
      </c>
    </row>
    <row r="11593" spans="1:5" x14ac:dyDescent="0.3">
      <c r="A11593" t="s">
        <v>18</v>
      </c>
      <c r="B11593" s="1">
        <v>44688</v>
      </c>
      <c r="C11593">
        <v>1</v>
      </c>
      <c r="D11593">
        <v>46</v>
      </c>
      <c r="E11593">
        <v>72</v>
      </c>
    </row>
    <row r="11594" spans="1:5" x14ac:dyDescent="0.3">
      <c r="A11594" t="s">
        <v>18</v>
      </c>
      <c r="B11594" s="1">
        <v>44688</v>
      </c>
      <c r="C11594">
        <v>1</v>
      </c>
      <c r="D11594">
        <v>46</v>
      </c>
      <c r="E11594">
        <v>72</v>
      </c>
    </row>
    <row r="11595" spans="1:5" x14ac:dyDescent="0.3">
      <c r="A11595" t="s">
        <v>6</v>
      </c>
      <c r="B11595" s="1">
        <v>44688</v>
      </c>
      <c r="C11595">
        <v>0.2</v>
      </c>
      <c r="D11595">
        <v>409.63</v>
      </c>
      <c r="E11595">
        <v>513</v>
      </c>
    </row>
    <row r="11596" spans="1:5" x14ac:dyDescent="0.3">
      <c r="A11596" t="s">
        <v>56</v>
      </c>
      <c r="B11596" s="1">
        <v>44688</v>
      </c>
      <c r="C11596">
        <v>1</v>
      </c>
      <c r="D11596">
        <v>43.97</v>
      </c>
      <c r="E11596">
        <v>67</v>
      </c>
    </row>
    <row r="11597" spans="1:5" x14ac:dyDescent="0.3">
      <c r="A11597" t="s">
        <v>116</v>
      </c>
      <c r="B11597" s="1">
        <v>44688</v>
      </c>
      <c r="C11597">
        <v>1</v>
      </c>
      <c r="D11597">
        <v>105.41</v>
      </c>
      <c r="E11597">
        <v>131</v>
      </c>
    </row>
    <row r="11598" spans="1:5" x14ac:dyDescent="0.3">
      <c r="A11598" t="s">
        <v>146</v>
      </c>
      <c r="B11598" s="1">
        <v>44688</v>
      </c>
      <c r="C11598">
        <v>1</v>
      </c>
      <c r="D11598">
        <v>406.36</v>
      </c>
      <c r="E11598">
        <v>456</v>
      </c>
    </row>
    <row r="11599" spans="1:5" x14ac:dyDescent="0.3">
      <c r="A11599" t="s">
        <v>42</v>
      </c>
      <c r="B11599" s="1">
        <v>44688</v>
      </c>
      <c r="C11599">
        <v>1</v>
      </c>
      <c r="D11599">
        <v>570.19000000000005</v>
      </c>
      <c r="E11599">
        <v>656</v>
      </c>
    </row>
    <row r="11600" spans="1:5" x14ac:dyDescent="0.3">
      <c r="A11600" t="s">
        <v>103</v>
      </c>
      <c r="B11600" s="1">
        <v>44688</v>
      </c>
      <c r="C11600">
        <v>1</v>
      </c>
      <c r="D11600">
        <v>41.33</v>
      </c>
      <c r="E11600">
        <v>65</v>
      </c>
    </row>
    <row r="11601" spans="1:5" x14ac:dyDescent="0.3">
      <c r="A11601" t="s">
        <v>23</v>
      </c>
      <c r="B11601" s="1">
        <v>44688</v>
      </c>
      <c r="C11601">
        <v>1</v>
      </c>
      <c r="D11601">
        <v>110.08</v>
      </c>
      <c r="E11601">
        <v>124</v>
      </c>
    </row>
    <row r="11602" spans="1:5" x14ac:dyDescent="0.3">
      <c r="A11602" t="s">
        <v>102</v>
      </c>
      <c r="B11602" s="1">
        <v>44688</v>
      </c>
      <c r="C11602">
        <v>1</v>
      </c>
      <c r="D11602">
        <v>26.23</v>
      </c>
      <c r="E11602">
        <v>32</v>
      </c>
    </row>
    <row r="11603" spans="1:5" x14ac:dyDescent="0.3">
      <c r="A11603" t="s">
        <v>102</v>
      </c>
      <c r="B11603" s="1">
        <v>44688</v>
      </c>
      <c r="C11603">
        <v>1</v>
      </c>
      <c r="D11603">
        <v>26.23</v>
      </c>
      <c r="E11603">
        <v>32</v>
      </c>
    </row>
    <row r="11604" spans="1:5" x14ac:dyDescent="0.3">
      <c r="A11604" t="s">
        <v>102</v>
      </c>
      <c r="B11604" s="1">
        <v>44688</v>
      </c>
      <c r="C11604">
        <v>1</v>
      </c>
      <c r="D11604">
        <v>26.23</v>
      </c>
      <c r="E11604">
        <v>32</v>
      </c>
    </row>
    <row r="11605" spans="1:5" x14ac:dyDescent="0.3">
      <c r="A11605" t="s">
        <v>102</v>
      </c>
      <c r="B11605" s="1">
        <v>44688</v>
      </c>
      <c r="C11605">
        <v>1</v>
      </c>
      <c r="D11605">
        <v>26.23</v>
      </c>
      <c r="E11605">
        <v>32</v>
      </c>
    </row>
    <row r="11606" spans="1:5" x14ac:dyDescent="0.3">
      <c r="A11606" t="s">
        <v>24</v>
      </c>
      <c r="B11606" s="1">
        <v>44688</v>
      </c>
      <c r="C11606">
        <v>1</v>
      </c>
      <c r="D11606">
        <v>101.42</v>
      </c>
      <c r="E11606">
        <v>119</v>
      </c>
    </row>
    <row r="11607" spans="1:5" x14ac:dyDescent="0.3">
      <c r="A11607" t="s">
        <v>32</v>
      </c>
      <c r="B11607" s="1">
        <v>44688</v>
      </c>
      <c r="C11607">
        <v>0.5</v>
      </c>
      <c r="D11607">
        <v>103.53</v>
      </c>
      <c r="E11607">
        <v>159</v>
      </c>
    </row>
    <row r="11608" spans="1:5" x14ac:dyDescent="0.3">
      <c r="A11608" t="s">
        <v>88</v>
      </c>
      <c r="B11608" s="1">
        <v>44688</v>
      </c>
      <c r="C11608">
        <v>0.1</v>
      </c>
      <c r="D11608">
        <v>128.1</v>
      </c>
      <c r="E11608">
        <v>195</v>
      </c>
    </row>
    <row r="11609" spans="1:5" x14ac:dyDescent="0.3">
      <c r="A11609" t="s">
        <v>157</v>
      </c>
      <c r="B11609" s="1">
        <v>44688</v>
      </c>
      <c r="C11609">
        <v>1</v>
      </c>
      <c r="D11609">
        <v>12</v>
      </c>
      <c r="E11609">
        <v>20</v>
      </c>
    </row>
    <row r="11610" spans="1:5" x14ac:dyDescent="0.3">
      <c r="A11610" t="s">
        <v>157</v>
      </c>
      <c r="B11610" s="1">
        <v>44688</v>
      </c>
      <c r="C11610">
        <v>2</v>
      </c>
      <c r="D11610">
        <v>12</v>
      </c>
      <c r="E11610">
        <v>20</v>
      </c>
    </row>
    <row r="11611" spans="1:5" x14ac:dyDescent="0.3">
      <c r="A11611" t="s">
        <v>134</v>
      </c>
      <c r="B11611" s="1">
        <v>44688</v>
      </c>
      <c r="C11611">
        <v>1</v>
      </c>
      <c r="D11611">
        <v>27.28</v>
      </c>
      <c r="E11611">
        <v>43</v>
      </c>
    </row>
    <row r="11612" spans="1:5" x14ac:dyDescent="0.3">
      <c r="A11612" t="s">
        <v>134</v>
      </c>
      <c r="B11612" s="1">
        <v>44688</v>
      </c>
      <c r="C11612">
        <v>1</v>
      </c>
      <c r="D11612">
        <v>27.28</v>
      </c>
      <c r="E11612">
        <v>43</v>
      </c>
    </row>
    <row r="11613" spans="1:5" x14ac:dyDescent="0.3">
      <c r="A11613" t="s">
        <v>134</v>
      </c>
      <c r="B11613" s="1">
        <v>44688</v>
      </c>
      <c r="C11613">
        <v>1</v>
      </c>
      <c r="D11613">
        <v>27.28</v>
      </c>
      <c r="E11613">
        <v>43</v>
      </c>
    </row>
    <row r="11614" spans="1:5" x14ac:dyDescent="0.3">
      <c r="A11614" t="s">
        <v>92</v>
      </c>
      <c r="B11614" s="1">
        <v>44688</v>
      </c>
      <c r="C11614">
        <v>2</v>
      </c>
      <c r="D11614">
        <v>15</v>
      </c>
      <c r="E11614">
        <v>20</v>
      </c>
    </row>
    <row r="11615" spans="1:5" x14ac:dyDescent="0.3">
      <c r="A11615" t="s">
        <v>114</v>
      </c>
      <c r="B11615" s="1">
        <v>44688</v>
      </c>
      <c r="C11615">
        <v>1</v>
      </c>
      <c r="D11615">
        <v>78.099999999999994</v>
      </c>
      <c r="E11615">
        <v>95</v>
      </c>
    </row>
    <row r="11616" spans="1:5" x14ac:dyDescent="0.3">
      <c r="A11616" t="s">
        <v>85</v>
      </c>
      <c r="B11616" s="1">
        <v>44688</v>
      </c>
      <c r="C11616">
        <v>1</v>
      </c>
      <c r="D11616">
        <v>16.649999999999999</v>
      </c>
      <c r="E11616">
        <v>26</v>
      </c>
    </row>
    <row r="11617" spans="1:5" x14ac:dyDescent="0.3">
      <c r="A11617" t="s">
        <v>127</v>
      </c>
      <c r="B11617" s="1">
        <v>44688</v>
      </c>
      <c r="C11617">
        <v>1</v>
      </c>
      <c r="D11617">
        <v>121</v>
      </c>
      <c r="E11617">
        <v>169</v>
      </c>
    </row>
    <row r="11618" spans="1:5" x14ac:dyDescent="0.3">
      <c r="A11618" t="s">
        <v>5</v>
      </c>
      <c r="B11618" s="1">
        <v>44688</v>
      </c>
      <c r="C11618">
        <v>1</v>
      </c>
      <c r="D11618">
        <v>139.6</v>
      </c>
      <c r="E11618">
        <v>167</v>
      </c>
    </row>
    <row r="11619" spans="1:5" x14ac:dyDescent="0.3">
      <c r="A11619" t="s">
        <v>24</v>
      </c>
      <c r="B11619" s="1">
        <v>44688</v>
      </c>
      <c r="C11619">
        <v>1</v>
      </c>
      <c r="D11619">
        <v>99.48</v>
      </c>
      <c r="E11619">
        <v>117</v>
      </c>
    </row>
    <row r="11620" spans="1:5" x14ac:dyDescent="0.3">
      <c r="A11620" t="s">
        <v>24</v>
      </c>
      <c r="B11620" s="1">
        <v>44688</v>
      </c>
      <c r="C11620">
        <v>1</v>
      </c>
      <c r="D11620">
        <v>99.48</v>
      </c>
      <c r="E11620">
        <v>117</v>
      </c>
    </row>
    <row r="11621" spans="1:5" x14ac:dyDescent="0.3">
      <c r="A11621" t="s">
        <v>83</v>
      </c>
      <c r="B11621" s="1">
        <v>44688</v>
      </c>
      <c r="C11621">
        <v>1</v>
      </c>
      <c r="D11621">
        <v>203.17</v>
      </c>
      <c r="E11621">
        <v>241</v>
      </c>
    </row>
    <row r="11622" spans="1:5" x14ac:dyDescent="0.3">
      <c r="A11622" t="s">
        <v>65</v>
      </c>
      <c r="B11622" s="1">
        <v>44688</v>
      </c>
      <c r="C11622">
        <v>1</v>
      </c>
      <c r="D11622">
        <v>186.78</v>
      </c>
      <c r="E11622">
        <v>219</v>
      </c>
    </row>
    <row r="11623" spans="1:5" x14ac:dyDescent="0.3">
      <c r="A11623" t="s">
        <v>22</v>
      </c>
      <c r="B11623" s="1">
        <v>44688</v>
      </c>
      <c r="C11623">
        <v>1</v>
      </c>
      <c r="D11623">
        <v>30.3</v>
      </c>
      <c r="E11623">
        <v>49</v>
      </c>
    </row>
    <row r="11624" spans="1:5" x14ac:dyDescent="0.3">
      <c r="A11624" t="s">
        <v>158</v>
      </c>
      <c r="B11624" s="1">
        <v>44688</v>
      </c>
      <c r="C11624">
        <v>1</v>
      </c>
      <c r="D11624">
        <v>31.12</v>
      </c>
      <c r="E11624">
        <v>40.26</v>
      </c>
    </row>
    <row r="11625" spans="1:5" x14ac:dyDescent="0.3">
      <c r="A11625" t="s">
        <v>158</v>
      </c>
      <c r="B11625" s="1">
        <v>44688</v>
      </c>
      <c r="C11625">
        <v>1</v>
      </c>
      <c r="D11625">
        <v>33.770000000000003</v>
      </c>
      <c r="E11625">
        <v>42.5</v>
      </c>
    </row>
    <row r="11626" spans="1:5" x14ac:dyDescent="0.3">
      <c r="A11626" t="s">
        <v>158</v>
      </c>
      <c r="B11626" s="1">
        <v>44688</v>
      </c>
      <c r="C11626">
        <v>1</v>
      </c>
      <c r="D11626">
        <v>31.21</v>
      </c>
      <c r="E11626">
        <v>39</v>
      </c>
    </row>
    <row r="11627" spans="1:5" x14ac:dyDescent="0.3">
      <c r="A11627" t="s">
        <v>158</v>
      </c>
      <c r="B11627" s="1">
        <v>44688</v>
      </c>
      <c r="C11627">
        <v>1</v>
      </c>
      <c r="D11627">
        <v>31.21</v>
      </c>
      <c r="E11627">
        <v>39</v>
      </c>
    </row>
    <row r="11628" spans="1:5" x14ac:dyDescent="0.3">
      <c r="A11628" t="s">
        <v>158</v>
      </c>
      <c r="B11628" s="1">
        <v>44688</v>
      </c>
      <c r="C11628">
        <v>1</v>
      </c>
      <c r="D11628">
        <v>31.21</v>
      </c>
      <c r="E11628">
        <v>39</v>
      </c>
    </row>
    <row r="11629" spans="1:5" x14ac:dyDescent="0.3">
      <c r="A11629" t="s">
        <v>23</v>
      </c>
      <c r="B11629" s="1">
        <v>44688</v>
      </c>
      <c r="C11629">
        <v>1</v>
      </c>
      <c r="D11629">
        <v>109.41</v>
      </c>
      <c r="E11629">
        <v>123</v>
      </c>
    </row>
    <row r="11630" spans="1:5" x14ac:dyDescent="0.3">
      <c r="A11630" t="s">
        <v>56</v>
      </c>
      <c r="B11630" s="1">
        <v>44688</v>
      </c>
      <c r="C11630">
        <v>1</v>
      </c>
      <c r="D11630">
        <v>43.97</v>
      </c>
      <c r="E11630">
        <v>67</v>
      </c>
    </row>
    <row r="11631" spans="1:5" x14ac:dyDescent="0.3">
      <c r="A11631" t="s">
        <v>84</v>
      </c>
      <c r="B11631" s="1">
        <v>44688</v>
      </c>
      <c r="C11631">
        <v>1</v>
      </c>
      <c r="D11631">
        <v>160.66999999999999</v>
      </c>
      <c r="E11631">
        <v>201</v>
      </c>
    </row>
    <row r="11632" spans="1:5" x14ac:dyDescent="0.3">
      <c r="A11632" t="s">
        <v>99</v>
      </c>
      <c r="B11632" s="1">
        <v>44688</v>
      </c>
      <c r="C11632">
        <v>1</v>
      </c>
      <c r="D11632">
        <v>64.25</v>
      </c>
      <c r="E11632">
        <v>76</v>
      </c>
    </row>
    <row r="11633" spans="1:5" x14ac:dyDescent="0.3">
      <c r="A11633" t="s">
        <v>38</v>
      </c>
      <c r="B11633" s="1">
        <v>44688</v>
      </c>
      <c r="C11633">
        <v>1</v>
      </c>
      <c r="D11633">
        <v>16.760000000000002</v>
      </c>
      <c r="E11633">
        <v>28</v>
      </c>
    </row>
    <row r="11634" spans="1:5" x14ac:dyDescent="0.3">
      <c r="A11634" t="s">
        <v>133</v>
      </c>
      <c r="B11634" s="1">
        <v>44688</v>
      </c>
      <c r="C11634">
        <v>1</v>
      </c>
      <c r="D11634">
        <v>6.19</v>
      </c>
      <c r="E11634">
        <v>11</v>
      </c>
    </row>
    <row r="11635" spans="1:5" x14ac:dyDescent="0.3">
      <c r="A11635" t="s">
        <v>147</v>
      </c>
      <c r="B11635" s="1">
        <v>44688</v>
      </c>
      <c r="C11635">
        <v>1</v>
      </c>
      <c r="D11635">
        <v>144.71</v>
      </c>
      <c r="E11635">
        <v>202</v>
      </c>
    </row>
    <row r="11636" spans="1:5" x14ac:dyDescent="0.3">
      <c r="A11636" t="s">
        <v>65</v>
      </c>
      <c r="B11636" s="1">
        <v>44688</v>
      </c>
      <c r="C11636">
        <v>1</v>
      </c>
      <c r="D11636">
        <v>176.77</v>
      </c>
      <c r="E11636">
        <v>207</v>
      </c>
    </row>
    <row r="11637" spans="1:5" x14ac:dyDescent="0.3">
      <c r="A11637" t="s">
        <v>25</v>
      </c>
      <c r="B11637" s="1">
        <v>44688</v>
      </c>
      <c r="C11637">
        <v>1</v>
      </c>
      <c r="D11637">
        <v>147.18</v>
      </c>
      <c r="E11637">
        <v>177</v>
      </c>
    </row>
    <row r="11638" spans="1:5" x14ac:dyDescent="0.3">
      <c r="A11638" t="s">
        <v>25</v>
      </c>
      <c r="B11638" s="1">
        <v>44688</v>
      </c>
      <c r="C11638">
        <v>1</v>
      </c>
      <c r="D11638">
        <v>147.18</v>
      </c>
      <c r="E11638">
        <v>177</v>
      </c>
    </row>
    <row r="11639" spans="1:5" x14ac:dyDescent="0.3">
      <c r="A11639" t="s">
        <v>146</v>
      </c>
      <c r="B11639" s="1">
        <v>44688</v>
      </c>
      <c r="C11639">
        <v>1</v>
      </c>
      <c r="D11639">
        <v>403.31</v>
      </c>
      <c r="E11639">
        <v>452</v>
      </c>
    </row>
    <row r="11640" spans="1:5" x14ac:dyDescent="0.3">
      <c r="A11640" t="s">
        <v>39</v>
      </c>
      <c r="B11640" s="1">
        <v>44688</v>
      </c>
      <c r="C11640">
        <v>5</v>
      </c>
      <c r="D11640">
        <v>9.8800000000000008</v>
      </c>
      <c r="E11640">
        <v>16</v>
      </c>
    </row>
    <row r="11641" spans="1:5" x14ac:dyDescent="0.3">
      <c r="A11641" t="s">
        <v>35</v>
      </c>
      <c r="B11641" s="1">
        <v>44688</v>
      </c>
      <c r="C11641">
        <v>2</v>
      </c>
      <c r="D11641">
        <v>30.35</v>
      </c>
      <c r="E11641">
        <v>48</v>
      </c>
    </row>
    <row r="11642" spans="1:5" x14ac:dyDescent="0.3">
      <c r="A11642" t="s">
        <v>153</v>
      </c>
      <c r="B11642" s="1">
        <v>44688</v>
      </c>
      <c r="C11642">
        <v>1</v>
      </c>
      <c r="D11642">
        <v>9.4600000000000009</v>
      </c>
      <c r="E11642">
        <v>11</v>
      </c>
    </row>
    <row r="11643" spans="1:5" x14ac:dyDescent="0.3">
      <c r="A11643" t="s">
        <v>65</v>
      </c>
      <c r="B11643" s="1">
        <v>44688</v>
      </c>
      <c r="C11643">
        <v>1</v>
      </c>
      <c r="D11643">
        <v>176.42</v>
      </c>
      <c r="E11643">
        <v>207</v>
      </c>
    </row>
    <row r="11644" spans="1:5" x14ac:dyDescent="0.3">
      <c r="A11644" t="s">
        <v>65</v>
      </c>
      <c r="B11644" s="1">
        <v>44688</v>
      </c>
      <c r="C11644">
        <v>1</v>
      </c>
      <c r="D11644">
        <v>176.42</v>
      </c>
      <c r="E11644">
        <v>207</v>
      </c>
    </row>
    <row r="11645" spans="1:5" x14ac:dyDescent="0.3">
      <c r="A11645" t="s">
        <v>115</v>
      </c>
      <c r="B11645" s="1">
        <v>44688</v>
      </c>
      <c r="C11645">
        <v>1</v>
      </c>
      <c r="D11645">
        <v>71.349999999999994</v>
      </c>
      <c r="E11645">
        <v>90</v>
      </c>
    </row>
    <row r="11646" spans="1:5" x14ac:dyDescent="0.3">
      <c r="A11646" t="s">
        <v>124</v>
      </c>
      <c r="B11646" s="1">
        <v>44688</v>
      </c>
      <c r="C11646">
        <v>1</v>
      </c>
      <c r="D11646">
        <v>36.69</v>
      </c>
      <c r="E11646">
        <v>59</v>
      </c>
    </row>
    <row r="11647" spans="1:5" x14ac:dyDescent="0.3">
      <c r="A11647" t="s">
        <v>99</v>
      </c>
      <c r="B11647" s="1">
        <v>44688</v>
      </c>
      <c r="C11647">
        <v>1</v>
      </c>
      <c r="D11647">
        <v>64.25</v>
      </c>
      <c r="E11647">
        <v>79</v>
      </c>
    </row>
    <row r="11648" spans="1:5" x14ac:dyDescent="0.3">
      <c r="A11648" t="s">
        <v>57</v>
      </c>
      <c r="B11648" s="1">
        <v>44688</v>
      </c>
      <c r="C11648">
        <v>1</v>
      </c>
      <c r="D11648">
        <v>233.76</v>
      </c>
      <c r="E11648">
        <v>274</v>
      </c>
    </row>
    <row r="11649" spans="1:5" x14ac:dyDescent="0.3">
      <c r="A11649" t="s">
        <v>7</v>
      </c>
      <c r="B11649" s="1">
        <v>44688</v>
      </c>
      <c r="C11649">
        <v>1</v>
      </c>
      <c r="D11649">
        <v>90.39</v>
      </c>
      <c r="E11649">
        <v>112</v>
      </c>
    </row>
    <row r="11650" spans="1:5" x14ac:dyDescent="0.3">
      <c r="A11650" t="s">
        <v>7</v>
      </c>
      <c r="B11650" s="1">
        <v>44688</v>
      </c>
      <c r="C11650">
        <v>1</v>
      </c>
      <c r="D11650">
        <v>90.39</v>
      </c>
      <c r="E11650">
        <v>112</v>
      </c>
    </row>
    <row r="11651" spans="1:5" x14ac:dyDescent="0.3">
      <c r="A11651" t="s">
        <v>7</v>
      </c>
      <c r="B11651" s="1">
        <v>44688</v>
      </c>
      <c r="C11651">
        <v>1</v>
      </c>
      <c r="D11651">
        <v>90.39</v>
      </c>
      <c r="E11651">
        <v>112</v>
      </c>
    </row>
    <row r="11652" spans="1:5" x14ac:dyDescent="0.3">
      <c r="A11652" t="s">
        <v>7</v>
      </c>
      <c r="B11652" s="1">
        <v>44688</v>
      </c>
      <c r="C11652">
        <v>1</v>
      </c>
      <c r="D11652">
        <v>90.39</v>
      </c>
      <c r="E11652">
        <v>112</v>
      </c>
    </row>
    <row r="11653" spans="1:5" x14ac:dyDescent="0.3">
      <c r="A11653" t="s">
        <v>84</v>
      </c>
      <c r="B11653" s="1">
        <v>44688</v>
      </c>
      <c r="C11653">
        <v>1</v>
      </c>
      <c r="D11653">
        <v>160.66999999999999</v>
      </c>
      <c r="E11653">
        <v>201</v>
      </c>
    </row>
    <row r="11654" spans="1:5" x14ac:dyDescent="0.3">
      <c r="A11654" t="s">
        <v>16</v>
      </c>
      <c r="B11654" s="1">
        <v>44688</v>
      </c>
      <c r="C11654">
        <v>1</v>
      </c>
      <c r="D11654">
        <v>44.34</v>
      </c>
      <c r="E11654">
        <v>68</v>
      </c>
    </row>
    <row r="11655" spans="1:5" x14ac:dyDescent="0.3">
      <c r="A11655" t="s">
        <v>102</v>
      </c>
      <c r="B11655" s="1">
        <v>44688</v>
      </c>
      <c r="C11655">
        <v>1</v>
      </c>
      <c r="D11655">
        <v>27.23</v>
      </c>
      <c r="E11655">
        <v>33</v>
      </c>
    </row>
    <row r="11656" spans="1:5" x14ac:dyDescent="0.3">
      <c r="A11656" t="s">
        <v>102</v>
      </c>
      <c r="B11656" s="1">
        <v>44688</v>
      </c>
      <c r="C11656">
        <v>1</v>
      </c>
      <c r="D11656">
        <v>27.23</v>
      </c>
      <c r="E11656">
        <v>33</v>
      </c>
    </row>
    <row r="11657" spans="1:5" x14ac:dyDescent="0.3">
      <c r="A11657" t="s">
        <v>102</v>
      </c>
      <c r="B11657" s="1">
        <v>44688</v>
      </c>
      <c r="C11657">
        <v>1</v>
      </c>
      <c r="D11657">
        <v>27.23</v>
      </c>
      <c r="E11657">
        <v>33</v>
      </c>
    </row>
    <row r="11658" spans="1:5" x14ac:dyDescent="0.3">
      <c r="A11658" t="s">
        <v>102</v>
      </c>
      <c r="B11658" s="1">
        <v>44688</v>
      </c>
      <c r="C11658">
        <v>1</v>
      </c>
      <c r="D11658">
        <v>27.23</v>
      </c>
      <c r="E11658">
        <v>33</v>
      </c>
    </row>
    <row r="11659" spans="1:5" x14ac:dyDescent="0.3">
      <c r="A11659" t="s">
        <v>102</v>
      </c>
      <c r="B11659" s="1">
        <v>44688</v>
      </c>
      <c r="C11659">
        <v>1</v>
      </c>
      <c r="D11659">
        <v>27.23</v>
      </c>
      <c r="E11659">
        <v>33</v>
      </c>
    </row>
    <row r="11660" spans="1:5" x14ac:dyDescent="0.3">
      <c r="A11660" t="s">
        <v>102</v>
      </c>
      <c r="B11660" s="1">
        <v>44688</v>
      </c>
      <c r="C11660">
        <v>1</v>
      </c>
      <c r="D11660">
        <v>27.23</v>
      </c>
      <c r="E11660">
        <v>33</v>
      </c>
    </row>
    <row r="11661" spans="1:5" x14ac:dyDescent="0.3">
      <c r="A11661" t="s">
        <v>102</v>
      </c>
      <c r="B11661" s="1">
        <v>44688</v>
      </c>
      <c r="C11661">
        <v>1</v>
      </c>
      <c r="D11661">
        <v>27.23</v>
      </c>
      <c r="E11661">
        <v>33</v>
      </c>
    </row>
    <row r="11662" spans="1:5" x14ac:dyDescent="0.3">
      <c r="A11662" t="s">
        <v>102</v>
      </c>
      <c r="B11662" s="1">
        <v>44688</v>
      </c>
      <c r="C11662">
        <v>1</v>
      </c>
      <c r="D11662">
        <v>27.23</v>
      </c>
      <c r="E11662">
        <v>33</v>
      </c>
    </row>
    <row r="11663" spans="1:5" x14ac:dyDescent="0.3">
      <c r="A11663" t="s">
        <v>102</v>
      </c>
      <c r="B11663" s="1">
        <v>44688</v>
      </c>
      <c r="C11663">
        <v>1</v>
      </c>
      <c r="D11663">
        <v>27.23</v>
      </c>
      <c r="E11663">
        <v>33</v>
      </c>
    </row>
    <row r="11664" spans="1:5" x14ac:dyDescent="0.3">
      <c r="A11664" t="s">
        <v>102</v>
      </c>
      <c r="B11664" s="1">
        <v>44688</v>
      </c>
      <c r="C11664">
        <v>1</v>
      </c>
      <c r="D11664">
        <v>27.23</v>
      </c>
      <c r="E11664">
        <v>33</v>
      </c>
    </row>
    <row r="11665" spans="1:5" x14ac:dyDescent="0.3">
      <c r="A11665" t="s">
        <v>137</v>
      </c>
      <c r="B11665" s="1">
        <v>44688</v>
      </c>
      <c r="C11665">
        <v>1</v>
      </c>
      <c r="D11665">
        <v>9.42</v>
      </c>
      <c r="E11665">
        <v>16</v>
      </c>
    </row>
    <row r="11666" spans="1:5" x14ac:dyDescent="0.3">
      <c r="A11666" t="s">
        <v>85</v>
      </c>
      <c r="B11666" s="1">
        <v>44688</v>
      </c>
      <c r="C11666">
        <v>1</v>
      </c>
      <c r="D11666">
        <v>15.95</v>
      </c>
      <c r="E11666">
        <v>26</v>
      </c>
    </row>
    <row r="11667" spans="1:5" x14ac:dyDescent="0.3">
      <c r="A11667" t="s">
        <v>65</v>
      </c>
      <c r="B11667" s="1">
        <v>44688</v>
      </c>
      <c r="C11667">
        <v>1</v>
      </c>
      <c r="D11667">
        <v>181.12</v>
      </c>
      <c r="E11667">
        <v>227</v>
      </c>
    </row>
    <row r="11668" spans="1:5" x14ac:dyDescent="0.3">
      <c r="A11668" t="s">
        <v>122</v>
      </c>
      <c r="B11668" s="1">
        <v>44688</v>
      </c>
      <c r="C11668">
        <v>1</v>
      </c>
      <c r="D11668">
        <v>20.46</v>
      </c>
      <c r="E11668">
        <v>25</v>
      </c>
    </row>
    <row r="11669" spans="1:5" x14ac:dyDescent="0.3">
      <c r="A11669" t="s">
        <v>7</v>
      </c>
      <c r="B11669" s="1">
        <v>44688</v>
      </c>
      <c r="C11669">
        <v>1</v>
      </c>
      <c r="D11669">
        <v>88.4</v>
      </c>
      <c r="E11669">
        <v>104</v>
      </c>
    </row>
    <row r="11670" spans="1:5" x14ac:dyDescent="0.3">
      <c r="A11670" t="s">
        <v>149</v>
      </c>
      <c r="B11670" s="1">
        <v>44688</v>
      </c>
      <c r="C11670">
        <v>1</v>
      </c>
      <c r="D11670">
        <v>225.97</v>
      </c>
      <c r="E11670">
        <v>317</v>
      </c>
    </row>
    <row r="11671" spans="1:5" x14ac:dyDescent="0.3">
      <c r="A11671" t="s">
        <v>149</v>
      </c>
      <c r="B11671" s="1">
        <v>44688</v>
      </c>
      <c r="C11671">
        <v>1</v>
      </c>
      <c r="D11671">
        <v>225.97</v>
      </c>
      <c r="E11671">
        <v>317</v>
      </c>
    </row>
    <row r="11672" spans="1:5" x14ac:dyDescent="0.3">
      <c r="A11672" t="s">
        <v>149</v>
      </c>
      <c r="B11672" s="1">
        <v>44688</v>
      </c>
      <c r="C11672">
        <v>1</v>
      </c>
      <c r="D11672">
        <v>225.97</v>
      </c>
      <c r="E11672">
        <v>317</v>
      </c>
    </row>
    <row r="11673" spans="1:5" x14ac:dyDescent="0.3">
      <c r="A11673" t="s">
        <v>120</v>
      </c>
      <c r="B11673" s="1">
        <v>44688</v>
      </c>
      <c r="C11673">
        <v>1</v>
      </c>
      <c r="D11673">
        <v>132.56</v>
      </c>
      <c r="E11673">
        <v>187</v>
      </c>
    </row>
    <row r="11674" spans="1:5" x14ac:dyDescent="0.3">
      <c r="A11674" t="s">
        <v>25</v>
      </c>
      <c r="B11674" s="1">
        <v>44688</v>
      </c>
      <c r="C11674">
        <v>1</v>
      </c>
      <c r="D11674">
        <v>148.58000000000001</v>
      </c>
      <c r="E11674">
        <v>179</v>
      </c>
    </row>
    <row r="11675" spans="1:5" x14ac:dyDescent="0.3">
      <c r="A11675" t="s">
        <v>143</v>
      </c>
      <c r="B11675" s="1">
        <v>44688</v>
      </c>
      <c r="C11675">
        <v>1</v>
      </c>
      <c r="D11675">
        <v>51.43</v>
      </c>
      <c r="E11675">
        <v>81</v>
      </c>
    </row>
    <row r="11676" spans="1:5" x14ac:dyDescent="0.3">
      <c r="A11676" t="s">
        <v>35</v>
      </c>
      <c r="B11676" s="1">
        <v>44688</v>
      </c>
      <c r="C11676">
        <v>1</v>
      </c>
      <c r="D11676">
        <v>35</v>
      </c>
      <c r="E11676">
        <v>54</v>
      </c>
    </row>
    <row r="11677" spans="1:5" x14ac:dyDescent="0.3">
      <c r="A11677" t="s">
        <v>23</v>
      </c>
      <c r="B11677" s="1">
        <v>44688</v>
      </c>
      <c r="C11677">
        <v>1</v>
      </c>
      <c r="D11677">
        <v>110.36</v>
      </c>
      <c r="E11677">
        <v>124</v>
      </c>
    </row>
    <row r="11678" spans="1:5" x14ac:dyDescent="0.3">
      <c r="A11678" t="s">
        <v>20</v>
      </c>
      <c r="B11678" s="1">
        <v>44688</v>
      </c>
      <c r="C11678">
        <v>1</v>
      </c>
      <c r="D11678">
        <v>19.71</v>
      </c>
      <c r="E11678">
        <v>25</v>
      </c>
    </row>
    <row r="11679" spans="1:5" x14ac:dyDescent="0.3">
      <c r="A11679" t="s">
        <v>20</v>
      </c>
      <c r="B11679" s="1">
        <v>44688</v>
      </c>
      <c r="C11679">
        <v>1</v>
      </c>
      <c r="D11679">
        <v>19.71</v>
      </c>
      <c r="E11679">
        <v>25</v>
      </c>
    </row>
    <row r="11680" spans="1:5" x14ac:dyDescent="0.3">
      <c r="A11680" t="s">
        <v>55</v>
      </c>
      <c r="B11680" s="1">
        <v>44688</v>
      </c>
      <c r="C11680">
        <v>1</v>
      </c>
      <c r="D11680">
        <v>78.510000000000005</v>
      </c>
      <c r="E11680">
        <v>95</v>
      </c>
    </row>
    <row r="11681" spans="1:5" x14ac:dyDescent="0.3">
      <c r="A11681" t="s">
        <v>55</v>
      </c>
      <c r="B11681" s="1">
        <v>44688</v>
      </c>
      <c r="C11681">
        <v>1</v>
      </c>
      <c r="D11681">
        <v>77.63</v>
      </c>
      <c r="E11681">
        <v>95</v>
      </c>
    </row>
    <row r="11682" spans="1:5" x14ac:dyDescent="0.3">
      <c r="A11682" t="s">
        <v>132</v>
      </c>
      <c r="B11682" s="1">
        <v>44688</v>
      </c>
      <c r="C11682">
        <v>1</v>
      </c>
      <c r="D11682">
        <v>67.25</v>
      </c>
      <c r="E11682">
        <v>99</v>
      </c>
    </row>
    <row r="11683" spans="1:5" x14ac:dyDescent="0.3">
      <c r="A11683" t="s">
        <v>138</v>
      </c>
      <c r="B11683" s="1">
        <v>44688</v>
      </c>
      <c r="C11683">
        <v>2</v>
      </c>
      <c r="D11683">
        <v>46.5</v>
      </c>
      <c r="E11683">
        <v>76</v>
      </c>
    </row>
    <row r="11684" spans="1:5" x14ac:dyDescent="0.3">
      <c r="A11684" t="s">
        <v>138</v>
      </c>
      <c r="B11684" s="1">
        <v>44688</v>
      </c>
      <c r="C11684">
        <v>1</v>
      </c>
      <c r="D11684">
        <v>46.5</v>
      </c>
      <c r="E11684">
        <v>76</v>
      </c>
    </row>
    <row r="11685" spans="1:5" x14ac:dyDescent="0.3">
      <c r="A11685" t="s">
        <v>30</v>
      </c>
      <c r="B11685" s="1">
        <v>44688</v>
      </c>
      <c r="C11685">
        <v>1</v>
      </c>
      <c r="D11685">
        <v>156.19999999999999</v>
      </c>
      <c r="E11685">
        <v>186</v>
      </c>
    </row>
    <row r="11686" spans="1:5" x14ac:dyDescent="0.3">
      <c r="A11686" t="s">
        <v>7</v>
      </c>
      <c r="B11686" s="1">
        <v>44688</v>
      </c>
      <c r="C11686">
        <v>1</v>
      </c>
      <c r="D11686">
        <v>88.36</v>
      </c>
      <c r="E11686">
        <v>110</v>
      </c>
    </row>
    <row r="11687" spans="1:5" x14ac:dyDescent="0.3">
      <c r="A11687" t="s">
        <v>55</v>
      </c>
      <c r="B11687" s="1">
        <v>44688</v>
      </c>
      <c r="C11687">
        <v>1</v>
      </c>
      <c r="D11687">
        <v>78.510000000000005</v>
      </c>
      <c r="E11687">
        <v>95</v>
      </c>
    </row>
    <row r="11688" spans="1:5" x14ac:dyDescent="0.3">
      <c r="A11688" t="s">
        <v>140</v>
      </c>
      <c r="B11688" s="1">
        <v>44688</v>
      </c>
      <c r="C11688">
        <v>1</v>
      </c>
      <c r="D11688">
        <v>158.08000000000001</v>
      </c>
      <c r="E11688">
        <v>190</v>
      </c>
    </row>
    <row r="11689" spans="1:5" x14ac:dyDescent="0.3">
      <c r="A11689" t="s">
        <v>42</v>
      </c>
      <c r="B11689" s="1">
        <v>44688</v>
      </c>
      <c r="C11689">
        <v>1</v>
      </c>
      <c r="D11689">
        <v>658.64</v>
      </c>
      <c r="E11689">
        <v>758</v>
      </c>
    </row>
    <row r="11690" spans="1:5" x14ac:dyDescent="0.3">
      <c r="A11690" t="s">
        <v>56</v>
      </c>
      <c r="B11690" s="1">
        <v>44688</v>
      </c>
      <c r="C11690">
        <v>1</v>
      </c>
      <c r="D11690">
        <v>45.42</v>
      </c>
      <c r="E11690">
        <v>70</v>
      </c>
    </row>
    <row r="11691" spans="1:5" x14ac:dyDescent="0.3">
      <c r="A11691" t="s">
        <v>102</v>
      </c>
      <c r="B11691" s="1">
        <v>44688</v>
      </c>
      <c r="C11691">
        <v>1</v>
      </c>
      <c r="D11691">
        <v>27.2</v>
      </c>
      <c r="E11691">
        <v>33</v>
      </c>
    </row>
    <row r="11692" spans="1:5" x14ac:dyDescent="0.3">
      <c r="A11692" t="s">
        <v>99</v>
      </c>
      <c r="B11692" s="1">
        <v>44688</v>
      </c>
      <c r="C11692">
        <v>1</v>
      </c>
      <c r="D11692">
        <v>64.25</v>
      </c>
      <c r="E11692">
        <v>76</v>
      </c>
    </row>
    <row r="11693" spans="1:5" x14ac:dyDescent="0.3">
      <c r="A11693" t="s">
        <v>24</v>
      </c>
      <c r="B11693" s="1">
        <v>44687</v>
      </c>
      <c r="C11693">
        <v>1</v>
      </c>
      <c r="D11693">
        <v>99.48</v>
      </c>
      <c r="E11693">
        <v>117</v>
      </c>
    </row>
    <row r="11694" spans="1:5" x14ac:dyDescent="0.3">
      <c r="A11694" t="s">
        <v>26</v>
      </c>
      <c r="B11694" s="1">
        <v>44687</v>
      </c>
      <c r="C11694">
        <v>0.1</v>
      </c>
      <c r="D11694">
        <v>989.8</v>
      </c>
      <c r="E11694">
        <v>1238</v>
      </c>
    </row>
    <row r="11695" spans="1:5" x14ac:dyDescent="0.3">
      <c r="A11695" t="s">
        <v>160</v>
      </c>
      <c r="B11695" s="1">
        <v>44687</v>
      </c>
      <c r="C11695">
        <v>1</v>
      </c>
      <c r="D11695">
        <v>81.87</v>
      </c>
      <c r="E11695">
        <v>100</v>
      </c>
    </row>
    <row r="11696" spans="1:5" x14ac:dyDescent="0.3">
      <c r="A11696" t="s">
        <v>48</v>
      </c>
      <c r="B11696" s="1">
        <v>44687</v>
      </c>
      <c r="C11696">
        <v>1</v>
      </c>
      <c r="D11696">
        <v>38.67</v>
      </c>
      <c r="E11696">
        <v>60</v>
      </c>
    </row>
    <row r="11697" spans="1:5" x14ac:dyDescent="0.3">
      <c r="A11697" t="s">
        <v>87</v>
      </c>
      <c r="B11697" s="1">
        <v>44687</v>
      </c>
      <c r="C11697">
        <v>1</v>
      </c>
      <c r="D11697">
        <v>348.66</v>
      </c>
      <c r="E11697">
        <v>395</v>
      </c>
    </row>
    <row r="11698" spans="1:5" x14ac:dyDescent="0.3">
      <c r="A11698" t="s">
        <v>18</v>
      </c>
      <c r="B11698" s="1">
        <v>44687</v>
      </c>
      <c r="C11698">
        <v>1</v>
      </c>
      <c r="D11698">
        <v>46</v>
      </c>
      <c r="E11698">
        <v>72</v>
      </c>
    </row>
    <row r="11699" spans="1:5" x14ac:dyDescent="0.3">
      <c r="A11699" t="s">
        <v>18</v>
      </c>
      <c r="B11699" s="1">
        <v>44687</v>
      </c>
      <c r="C11699">
        <v>1</v>
      </c>
      <c r="D11699">
        <v>46</v>
      </c>
      <c r="E11699">
        <v>72</v>
      </c>
    </row>
    <row r="11700" spans="1:5" x14ac:dyDescent="0.3">
      <c r="A11700" t="s">
        <v>103</v>
      </c>
      <c r="B11700" s="1">
        <v>44687</v>
      </c>
      <c r="C11700">
        <v>1</v>
      </c>
      <c r="D11700">
        <v>41.33</v>
      </c>
      <c r="E11700">
        <v>65</v>
      </c>
    </row>
    <row r="11701" spans="1:5" x14ac:dyDescent="0.3">
      <c r="A11701" t="s">
        <v>22</v>
      </c>
      <c r="B11701" s="1">
        <v>44687</v>
      </c>
      <c r="C11701">
        <v>1</v>
      </c>
      <c r="D11701">
        <v>30.3</v>
      </c>
      <c r="E11701">
        <v>49</v>
      </c>
    </row>
    <row r="11702" spans="1:5" x14ac:dyDescent="0.3">
      <c r="A11702" t="s">
        <v>65</v>
      </c>
      <c r="B11702" s="1">
        <v>44687</v>
      </c>
      <c r="C11702">
        <v>1</v>
      </c>
      <c r="D11702">
        <v>176.42</v>
      </c>
      <c r="E11702">
        <v>207</v>
      </c>
    </row>
    <row r="11703" spans="1:5" x14ac:dyDescent="0.3">
      <c r="A11703" t="s">
        <v>15</v>
      </c>
      <c r="B11703" s="1">
        <v>44687</v>
      </c>
      <c r="C11703">
        <v>1</v>
      </c>
      <c r="D11703">
        <v>44.41</v>
      </c>
      <c r="E11703">
        <v>72</v>
      </c>
    </row>
    <row r="11704" spans="1:5" x14ac:dyDescent="0.3">
      <c r="A11704" t="s">
        <v>35</v>
      </c>
      <c r="B11704" s="1">
        <v>44687</v>
      </c>
      <c r="C11704">
        <v>1</v>
      </c>
      <c r="D11704">
        <v>30.35</v>
      </c>
      <c r="E11704">
        <v>48</v>
      </c>
    </row>
    <row r="11705" spans="1:5" x14ac:dyDescent="0.3">
      <c r="A11705" t="s">
        <v>22</v>
      </c>
      <c r="B11705" s="1">
        <v>44687</v>
      </c>
      <c r="C11705">
        <v>1</v>
      </c>
      <c r="D11705">
        <v>30.3</v>
      </c>
      <c r="E11705">
        <v>49</v>
      </c>
    </row>
    <row r="11706" spans="1:5" x14ac:dyDescent="0.3">
      <c r="A11706" t="s">
        <v>111</v>
      </c>
      <c r="B11706" s="1">
        <v>44687</v>
      </c>
      <c r="C11706">
        <v>1</v>
      </c>
      <c r="D11706">
        <v>168.56</v>
      </c>
      <c r="E11706">
        <v>205</v>
      </c>
    </row>
    <row r="11707" spans="1:5" x14ac:dyDescent="0.3">
      <c r="A11707" t="s">
        <v>100</v>
      </c>
      <c r="B11707" s="1">
        <v>44687</v>
      </c>
      <c r="C11707">
        <v>1</v>
      </c>
      <c r="D11707">
        <v>35.49</v>
      </c>
      <c r="E11707">
        <v>54</v>
      </c>
    </row>
    <row r="11708" spans="1:5" x14ac:dyDescent="0.3">
      <c r="A11708" t="s">
        <v>127</v>
      </c>
      <c r="B11708" s="1">
        <v>44687</v>
      </c>
      <c r="C11708">
        <v>1</v>
      </c>
      <c r="D11708">
        <v>118.82</v>
      </c>
      <c r="E11708">
        <v>168</v>
      </c>
    </row>
    <row r="11709" spans="1:5" x14ac:dyDescent="0.3">
      <c r="A11709" t="s">
        <v>31</v>
      </c>
      <c r="B11709" s="1">
        <v>44687</v>
      </c>
      <c r="C11709">
        <v>1</v>
      </c>
      <c r="D11709">
        <v>13.19</v>
      </c>
      <c r="E11709">
        <v>18</v>
      </c>
    </row>
    <row r="11710" spans="1:5" x14ac:dyDescent="0.3">
      <c r="A11710" t="s">
        <v>31</v>
      </c>
      <c r="B11710" s="1">
        <v>44687</v>
      </c>
      <c r="C11710">
        <v>1</v>
      </c>
      <c r="D11710">
        <v>13.19</v>
      </c>
      <c r="E11710">
        <v>18</v>
      </c>
    </row>
    <row r="11711" spans="1:5" x14ac:dyDescent="0.3">
      <c r="A11711" t="s">
        <v>31</v>
      </c>
      <c r="B11711" s="1">
        <v>44687</v>
      </c>
      <c r="C11711">
        <v>1</v>
      </c>
      <c r="D11711">
        <v>13.19</v>
      </c>
      <c r="E11711">
        <v>18</v>
      </c>
    </row>
    <row r="11712" spans="1:5" x14ac:dyDescent="0.3">
      <c r="A11712" t="s">
        <v>31</v>
      </c>
      <c r="B11712" s="1">
        <v>44687</v>
      </c>
      <c r="C11712">
        <v>1</v>
      </c>
      <c r="D11712">
        <v>13.19</v>
      </c>
      <c r="E11712">
        <v>18</v>
      </c>
    </row>
    <row r="11713" spans="1:5" x14ac:dyDescent="0.3">
      <c r="A11713" t="s">
        <v>91</v>
      </c>
      <c r="B11713" s="1">
        <v>44687</v>
      </c>
      <c r="C11713">
        <v>1</v>
      </c>
      <c r="D11713">
        <v>30.78</v>
      </c>
      <c r="E11713">
        <v>50</v>
      </c>
    </row>
    <row r="11714" spans="1:5" x14ac:dyDescent="0.3">
      <c r="A11714" t="s">
        <v>14</v>
      </c>
      <c r="B11714" s="1">
        <v>44687</v>
      </c>
      <c r="C11714">
        <v>1</v>
      </c>
      <c r="D11714">
        <v>516.22</v>
      </c>
      <c r="E11714">
        <v>708</v>
      </c>
    </row>
    <row r="11715" spans="1:5" x14ac:dyDescent="0.3">
      <c r="A11715" t="s">
        <v>48</v>
      </c>
      <c r="B11715" s="1">
        <v>44687</v>
      </c>
      <c r="C11715">
        <v>1</v>
      </c>
      <c r="D11715">
        <v>38.67</v>
      </c>
      <c r="E11715">
        <v>59</v>
      </c>
    </row>
    <row r="11716" spans="1:5" x14ac:dyDescent="0.3">
      <c r="A11716" t="s">
        <v>29</v>
      </c>
      <c r="B11716" s="1">
        <v>44687</v>
      </c>
      <c r="C11716">
        <v>1</v>
      </c>
      <c r="D11716">
        <v>484.95</v>
      </c>
      <c r="E11716">
        <v>626</v>
      </c>
    </row>
    <row r="11717" spans="1:5" x14ac:dyDescent="0.3">
      <c r="A11717" t="s">
        <v>102</v>
      </c>
      <c r="B11717" s="1">
        <v>44687</v>
      </c>
      <c r="C11717">
        <v>1</v>
      </c>
      <c r="D11717">
        <v>27.5</v>
      </c>
      <c r="E11717">
        <v>34</v>
      </c>
    </row>
    <row r="11718" spans="1:5" x14ac:dyDescent="0.3">
      <c r="A11718" t="s">
        <v>102</v>
      </c>
      <c r="B11718" s="1">
        <v>44687</v>
      </c>
      <c r="C11718">
        <v>1</v>
      </c>
      <c r="D11718">
        <v>27.5</v>
      </c>
      <c r="E11718">
        <v>34</v>
      </c>
    </row>
    <row r="11719" spans="1:5" x14ac:dyDescent="0.3">
      <c r="A11719" t="s">
        <v>102</v>
      </c>
      <c r="B11719" s="1">
        <v>44687</v>
      </c>
      <c r="C11719">
        <v>1</v>
      </c>
      <c r="D11719">
        <v>27.5</v>
      </c>
      <c r="E11719">
        <v>34</v>
      </c>
    </row>
    <row r="11720" spans="1:5" x14ac:dyDescent="0.3">
      <c r="A11720" t="s">
        <v>140</v>
      </c>
      <c r="B11720" s="1">
        <v>44687</v>
      </c>
      <c r="C11720">
        <v>1</v>
      </c>
      <c r="D11720">
        <v>159.22</v>
      </c>
      <c r="E11720">
        <v>191</v>
      </c>
    </row>
    <row r="11721" spans="1:5" x14ac:dyDescent="0.3">
      <c r="A11721" t="s">
        <v>24</v>
      </c>
      <c r="B11721" s="1">
        <v>44687</v>
      </c>
      <c r="C11721">
        <v>1</v>
      </c>
      <c r="D11721">
        <v>99.48</v>
      </c>
      <c r="E11721">
        <v>117</v>
      </c>
    </row>
    <row r="11722" spans="1:5" x14ac:dyDescent="0.3">
      <c r="A11722" t="s">
        <v>86</v>
      </c>
      <c r="B11722" s="1">
        <v>44687</v>
      </c>
      <c r="C11722">
        <v>1</v>
      </c>
      <c r="D11722">
        <v>47.4</v>
      </c>
      <c r="E11722">
        <v>76</v>
      </c>
    </row>
    <row r="11723" spans="1:5" x14ac:dyDescent="0.3">
      <c r="A11723" t="s">
        <v>35</v>
      </c>
      <c r="B11723" s="1">
        <v>44687</v>
      </c>
      <c r="C11723">
        <v>1</v>
      </c>
      <c r="D11723">
        <v>35</v>
      </c>
      <c r="E11723">
        <v>54</v>
      </c>
    </row>
    <row r="11724" spans="1:5" x14ac:dyDescent="0.3">
      <c r="A11724" t="s">
        <v>24</v>
      </c>
      <c r="B11724" s="1">
        <v>44687</v>
      </c>
      <c r="C11724">
        <v>1</v>
      </c>
      <c r="D11724">
        <v>99.84</v>
      </c>
      <c r="E11724">
        <v>122</v>
      </c>
    </row>
    <row r="11725" spans="1:5" x14ac:dyDescent="0.3">
      <c r="A11725" t="s">
        <v>127</v>
      </c>
      <c r="B11725" s="1">
        <v>44687</v>
      </c>
      <c r="C11725">
        <v>1</v>
      </c>
      <c r="D11725">
        <v>118.8</v>
      </c>
      <c r="E11725">
        <v>166</v>
      </c>
    </row>
    <row r="11726" spans="1:5" x14ac:dyDescent="0.3">
      <c r="A11726" t="s">
        <v>93</v>
      </c>
      <c r="B11726" s="1">
        <v>44687</v>
      </c>
      <c r="C11726">
        <v>1</v>
      </c>
      <c r="D11726">
        <v>66.52</v>
      </c>
      <c r="E11726">
        <v>95</v>
      </c>
    </row>
    <row r="11727" spans="1:5" x14ac:dyDescent="0.3">
      <c r="A11727" t="s">
        <v>48</v>
      </c>
      <c r="B11727" s="1">
        <v>44687</v>
      </c>
      <c r="C11727">
        <v>1</v>
      </c>
      <c r="D11727">
        <v>38.67</v>
      </c>
      <c r="E11727">
        <v>60</v>
      </c>
    </row>
    <row r="11728" spans="1:5" x14ac:dyDescent="0.3">
      <c r="A11728" t="s">
        <v>86</v>
      </c>
      <c r="B11728" s="1">
        <v>44687</v>
      </c>
      <c r="C11728">
        <v>2</v>
      </c>
      <c r="D11728">
        <v>47.4</v>
      </c>
      <c r="E11728">
        <v>77</v>
      </c>
    </row>
    <row r="11729" spans="1:5" x14ac:dyDescent="0.3">
      <c r="A11729" t="s">
        <v>64</v>
      </c>
      <c r="B11729" s="1">
        <v>44687</v>
      </c>
      <c r="C11729">
        <v>1</v>
      </c>
      <c r="D11729">
        <v>201.26</v>
      </c>
      <c r="E11729">
        <v>266</v>
      </c>
    </row>
    <row r="11730" spans="1:5" x14ac:dyDescent="0.3">
      <c r="A11730" t="s">
        <v>134</v>
      </c>
      <c r="B11730" s="1">
        <v>44687</v>
      </c>
      <c r="C11730">
        <v>1</v>
      </c>
      <c r="D11730">
        <v>26.98</v>
      </c>
      <c r="E11730">
        <v>42</v>
      </c>
    </row>
    <row r="11731" spans="1:5" x14ac:dyDescent="0.3">
      <c r="A11731" t="s">
        <v>24</v>
      </c>
      <c r="B11731" s="1">
        <v>44687</v>
      </c>
      <c r="C11731">
        <v>1</v>
      </c>
      <c r="D11731">
        <v>99.47</v>
      </c>
      <c r="E11731">
        <v>116</v>
      </c>
    </row>
    <row r="11732" spans="1:5" x14ac:dyDescent="0.3">
      <c r="A11732" t="s">
        <v>99</v>
      </c>
      <c r="B11732" s="1">
        <v>44687</v>
      </c>
      <c r="C11732">
        <v>1</v>
      </c>
      <c r="D11732">
        <v>64.25</v>
      </c>
      <c r="E11732">
        <v>76</v>
      </c>
    </row>
    <row r="11733" spans="1:5" x14ac:dyDescent="0.3">
      <c r="A11733" t="s">
        <v>122</v>
      </c>
      <c r="B11733" s="1">
        <v>44687</v>
      </c>
      <c r="C11733">
        <v>1</v>
      </c>
      <c r="D11733">
        <v>20.47</v>
      </c>
      <c r="E11733">
        <v>25</v>
      </c>
    </row>
    <row r="11734" spans="1:5" x14ac:dyDescent="0.3">
      <c r="A11734" t="s">
        <v>40</v>
      </c>
      <c r="B11734" s="1">
        <v>44687</v>
      </c>
      <c r="C11734">
        <v>1</v>
      </c>
      <c r="D11734">
        <v>179.63</v>
      </c>
      <c r="E11734">
        <v>214</v>
      </c>
    </row>
    <row r="11735" spans="1:5" x14ac:dyDescent="0.3">
      <c r="A11735" t="s">
        <v>26</v>
      </c>
      <c r="B11735" s="1">
        <v>44687</v>
      </c>
      <c r="C11735">
        <v>0.33333299999999999</v>
      </c>
      <c r="D11735">
        <v>986.87</v>
      </c>
      <c r="E11735">
        <v>1234</v>
      </c>
    </row>
    <row r="11736" spans="1:5" x14ac:dyDescent="0.3">
      <c r="A11736" t="s">
        <v>22</v>
      </c>
      <c r="B11736" s="1">
        <v>44687</v>
      </c>
      <c r="C11736">
        <v>2</v>
      </c>
      <c r="D11736">
        <v>30.3</v>
      </c>
      <c r="E11736">
        <v>49</v>
      </c>
    </row>
    <row r="11737" spans="1:5" x14ac:dyDescent="0.3">
      <c r="A11737" t="s">
        <v>53</v>
      </c>
      <c r="B11737" s="1">
        <v>44687</v>
      </c>
      <c r="C11737">
        <v>2</v>
      </c>
      <c r="D11737">
        <v>23.4</v>
      </c>
      <c r="E11737">
        <v>38</v>
      </c>
    </row>
    <row r="11738" spans="1:5" x14ac:dyDescent="0.3">
      <c r="A11738" t="s">
        <v>26</v>
      </c>
      <c r="B11738" s="1">
        <v>44687</v>
      </c>
      <c r="C11738">
        <v>0.1</v>
      </c>
      <c r="D11738">
        <v>987.84</v>
      </c>
      <c r="E11738">
        <v>1304</v>
      </c>
    </row>
    <row r="11739" spans="1:5" x14ac:dyDescent="0.3">
      <c r="A11739" t="s">
        <v>8</v>
      </c>
      <c r="B11739" s="1">
        <v>44687</v>
      </c>
      <c r="C11739">
        <v>1</v>
      </c>
      <c r="D11739">
        <v>47.53</v>
      </c>
      <c r="E11739">
        <v>77</v>
      </c>
    </row>
    <row r="11740" spans="1:5" x14ac:dyDescent="0.3">
      <c r="A11740" t="s">
        <v>62</v>
      </c>
      <c r="B11740" s="1">
        <v>44687</v>
      </c>
      <c r="C11740">
        <v>1</v>
      </c>
      <c r="D11740">
        <v>25.71</v>
      </c>
      <c r="E11740">
        <v>31</v>
      </c>
    </row>
    <row r="11741" spans="1:5" x14ac:dyDescent="0.3">
      <c r="A11741" t="s">
        <v>31</v>
      </c>
      <c r="B11741" s="1">
        <v>44687</v>
      </c>
      <c r="C11741">
        <v>1</v>
      </c>
      <c r="D11741">
        <v>13.73</v>
      </c>
      <c r="E11741">
        <v>19</v>
      </c>
    </row>
    <row r="11742" spans="1:5" x14ac:dyDescent="0.3">
      <c r="A11742" t="s">
        <v>56</v>
      </c>
      <c r="B11742" s="1">
        <v>44687</v>
      </c>
      <c r="C11742">
        <v>1</v>
      </c>
      <c r="D11742">
        <v>43.97</v>
      </c>
      <c r="E11742">
        <v>69</v>
      </c>
    </row>
    <row r="11743" spans="1:5" x14ac:dyDescent="0.3">
      <c r="A11743" t="s">
        <v>98</v>
      </c>
      <c r="B11743" s="1">
        <v>44687</v>
      </c>
      <c r="C11743">
        <v>1</v>
      </c>
      <c r="D11743">
        <v>111.85</v>
      </c>
      <c r="E11743">
        <v>135</v>
      </c>
    </row>
    <row r="11744" spans="1:5" x14ac:dyDescent="0.3">
      <c r="A11744" t="s">
        <v>15</v>
      </c>
      <c r="B11744" s="1">
        <v>44687</v>
      </c>
      <c r="C11744">
        <v>1</v>
      </c>
      <c r="D11744">
        <v>37.85</v>
      </c>
      <c r="E11744">
        <v>62</v>
      </c>
    </row>
    <row r="11745" spans="1:5" x14ac:dyDescent="0.3">
      <c r="A11745" t="s">
        <v>18</v>
      </c>
      <c r="B11745" s="1">
        <v>44687</v>
      </c>
      <c r="C11745">
        <v>1</v>
      </c>
      <c r="D11745">
        <v>42</v>
      </c>
      <c r="E11745">
        <v>64</v>
      </c>
    </row>
    <row r="11746" spans="1:5" x14ac:dyDescent="0.3">
      <c r="A11746" t="s">
        <v>40</v>
      </c>
      <c r="B11746" s="1">
        <v>44687</v>
      </c>
      <c r="C11746">
        <v>1</v>
      </c>
      <c r="D11746">
        <v>186.52</v>
      </c>
      <c r="E11746">
        <v>221</v>
      </c>
    </row>
    <row r="11747" spans="1:5" x14ac:dyDescent="0.3">
      <c r="A11747" t="s">
        <v>122</v>
      </c>
      <c r="B11747" s="1">
        <v>44687</v>
      </c>
      <c r="C11747">
        <v>1</v>
      </c>
      <c r="D11747">
        <v>20.82</v>
      </c>
      <c r="E11747">
        <v>26</v>
      </c>
    </row>
    <row r="11748" spans="1:5" x14ac:dyDescent="0.3">
      <c r="A11748" t="s">
        <v>48</v>
      </c>
      <c r="B11748" s="1">
        <v>44687</v>
      </c>
      <c r="C11748">
        <v>1</v>
      </c>
      <c r="D11748">
        <v>42.13</v>
      </c>
      <c r="E11748">
        <v>60</v>
      </c>
    </row>
    <row r="11749" spans="1:5" x14ac:dyDescent="0.3">
      <c r="A11749" t="s">
        <v>151</v>
      </c>
      <c r="B11749" s="1">
        <v>44687</v>
      </c>
      <c r="C11749">
        <v>1</v>
      </c>
      <c r="D11749">
        <v>23.2</v>
      </c>
      <c r="E11749">
        <v>29</v>
      </c>
    </row>
    <row r="11750" spans="1:5" x14ac:dyDescent="0.3">
      <c r="A11750" t="s">
        <v>151</v>
      </c>
      <c r="B11750" s="1">
        <v>44687</v>
      </c>
      <c r="C11750">
        <v>1</v>
      </c>
      <c r="D11750">
        <v>23.2</v>
      </c>
      <c r="E11750">
        <v>29</v>
      </c>
    </row>
    <row r="11751" spans="1:5" x14ac:dyDescent="0.3">
      <c r="A11751" t="s">
        <v>26</v>
      </c>
      <c r="B11751" s="1">
        <v>44687</v>
      </c>
      <c r="C11751">
        <v>0.2</v>
      </c>
      <c r="D11751">
        <v>1086.5899999999999</v>
      </c>
      <c r="E11751">
        <v>1359</v>
      </c>
    </row>
    <row r="11752" spans="1:5" x14ac:dyDescent="0.3">
      <c r="A11752" t="s">
        <v>142</v>
      </c>
      <c r="B11752" s="1">
        <v>44687</v>
      </c>
      <c r="C11752">
        <v>1</v>
      </c>
      <c r="D11752">
        <v>12.86</v>
      </c>
      <c r="E11752">
        <v>15</v>
      </c>
    </row>
    <row r="11753" spans="1:5" x14ac:dyDescent="0.3">
      <c r="A11753" t="s">
        <v>142</v>
      </c>
      <c r="B11753" s="1">
        <v>44687</v>
      </c>
      <c r="C11753">
        <v>1</v>
      </c>
      <c r="D11753">
        <v>12.86</v>
      </c>
      <c r="E11753">
        <v>15</v>
      </c>
    </row>
    <row r="11754" spans="1:5" x14ac:dyDescent="0.3">
      <c r="A11754" t="s">
        <v>28</v>
      </c>
      <c r="B11754" s="1">
        <v>44687</v>
      </c>
      <c r="C11754">
        <v>1</v>
      </c>
      <c r="D11754">
        <v>135.44999999999999</v>
      </c>
      <c r="E11754">
        <v>191</v>
      </c>
    </row>
    <row r="11755" spans="1:5" x14ac:dyDescent="0.3">
      <c r="A11755" t="s">
        <v>139</v>
      </c>
      <c r="B11755" s="1">
        <v>44687</v>
      </c>
      <c r="C11755">
        <v>1</v>
      </c>
      <c r="D11755">
        <v>24.18</v>
      </c>
      <c r="E11755">
        <v>40</v>
      </c>
    </row>
    <row r="11756" spans="1:5" x14ac:dyDescent="0.3">
      <c r="A11756" t="s">
        <v>24</v>
      </c>
      <c r="B11756" s="1">
        <v>44687</v>
      </c>
      <c r="C11756">
        <v>1</v>
      </c>
      <c r="D11756">
        <v>99.48</v>
      </c>
      <c r="E11756">
        <v>117</v>
      </c>
    </row>
    <row r="11757" spans="1:5" x14ac:dyDescent="0.3">
      <c r="A11757" t="s">
        <v>32</v>
      </c>
      <c r="B11757" s="1">
        <v>44687</v>
      </c>
      <c r="C11757">
        <v>1</v>
      </c>
      <c r="D11757">
        <v>150.1</v>
      </c>
      <c r="E11757">
        <v>229</v>
      </c>
    </row>
    <row r="11758" spans="1:5" x14ac:dyDescent="0.3">
      <c r="A11758" t="s">
        <v>32</v>
      </c>
      <c r="B11758" s="1">
        <v>44687</v>
      </c>
      <c r="C11758">
        <v>1</v>
      </c>
      <c r="D11758">
        <v>105</v>
      </c>
      <c r="E11758">
        <v>161</v>
      </c>
    </row>
    <row r="11759" spans="1:5" x14ac:dyDescent="0.3">
      <c r="A11759" t="s">
        <v>124</v>
      </c>
      <c r="B11759" s="1">
        <v>44687</v>
      </c>
      <c r="C11759">
        <v>1</v>
      </c>
      <c r="D11759">
        <v>36.69</v>
      </c>
      <c r="E11759">
        <v>59</v>
      </c>
    </row>
    <row r="11760" spans="1:5" x14ac:dyDescent="0.3">
      <c r="A11760" t="s">
        <v>160</v>
      </c>
      <c r="B11760" s="1">
        <v>44687</v>
      </c>
      <c r="C11760">
        <v>1</v>
      </c>
      <c r="D11760">
        <v>81.819999999999993</v>
      </c>
      <c r="E11760">
        <v>99</v>
      </c>
    </row>
    <row r="11761" spans="1:5" x14ac:dyDescent="0.3">
      <c r="A11761" t="s">
        <v>108</v>
      </c>
      <c r="B11761" s="1">
        <v>44687</v>
      </c>
      <c r="C11761">
        <v>1</v>
      </c>
      <c r="D11761">
        <v>29.37</v>
      </c>
      <c r="E11761">
        <v>45</v>
      </c>
    </row>
    <row r="11762" spans="1:5" x14ac:dyDescent="0.3">
      <c r="A11762" t="s">
        <v>24</v>
      </c>
      <c r="B11762" s="1">
        <v>44687</v>
      </c>
      <c r="C11762">
        <v>1</v>
      </c>
      <c r="D11762">
        <v>99.48</v>
      </c>
      <c r="E11762">
        <v>116</v>
      </c>
    </row>
    <row r="11763" spans="1:5" x14ac:dyDescent="0.3">
      <c r="A11763" t="s">
        <v>24</v>
      </c>
      <c r="B11763" s="1">
        <v>44687</v>
      </c>
      <c r="C11763">
        <v>1</v>
      </c>
      <c r="D11763">
        <v>99.84</v>
      </c>
      <c r="E11763">
        <v>122</v>
      </c>
    </row>
    <row r="11764" spans="1:5" x14ac:dyDescent="0.3">
      <c r="A11764" t="s">
        <v>24</v>
      </c>
      <c r="B11764" s="1">
        <v>44687</v>
      </c>
      <c r="C11764">
        <v>1</v>
      </c>
      <c r="D11764">
        <v>99.84</v>
      </c>
      <c r="E11764">
        <v>122</v>
      </c>
    </row>
    <row r="11765" spans="1:5" x14ac:dyDescent="0.3">
      <c r="A11765" t="s">
        <v>56</v>
      </c>
      <c r="B11765" s="1">
        <v>44687</v>
      </c>
      <c r="C11765">
        <v>1</v>
      </c>
      <c r="D11765">
        <v>43.7</v>
      </c>
      <c r="E11765">
        <v>67</v>
      </c>
    </row>
    <row r="11766" spans="1:5" x14ac:dyDescent="0.3">
      <c r="A11766" t="s">
        <v>127</v>
      </c>
      <c r="B11766" s="1">
        <v>44687</v>
      </c>
      <c r="C11766">
        <v>1</v>
      </c>
      <c r="D11766">
        <v>118.8</v>
      </c>
      <c r="E11766">
        <v>166</v>
      </c>
    </row>
    <row r="11767" spans="1:5" x14ac:dyDescent="0.3">
      <c r="A11767" t="s">
        <v>66</v>
      </c>
      <c r="B11767" s="1">
        <v>44687</v>
      </c>
      <c r="C11767">
        <v>1</v>
      </c>
      <c r="D11767">
        <v>30.93</v>
      </c>
      <c r="E11767">
        <v>36</v>
      </c>
    </row>
    <row r="11768" spans="1:5" x14ac:dyDescent="0.3">
      <c r="A11768" t="s">
        <v>47</v>
      </c>
      <c r="B11768" s="1">
        <v>44687</v>
      </c>
      <c r="C11768">
        <v>1</v>
      </c>
      <c r="D11768">
        <v>41.58</v>
      </c>
      <c r="E11768">
        <v>65</v>
      </c>
    </row>
    <row r="11769" spans="1:5" x14ac:dyDescent="0.3">
      <c r="A11769" t="s">
        <v>24</v>
      </c>
      <c r="B11769" s="1">
        <v>44687</v>
      </c>
      <c r="C11769">
        <v>1</v>
      </c>
      <c r="D11769">
        <v>99.48</v>
      </c>
      <c r="E11769">
        <v>117</v>
      </c>
    </row>
    <row r="11770" spans="1:5" x14ac:dyDescent="0.3">
      <c r="A11770" t="s">
        <v>122</v>
      </c>
      <c r="B11770" s="1">
        <v>44687</v>
      </c>
      <c r="C11770">
        <v>1</v>
      </c>
      <c r="D11770">
        <v>21.64</v>
      </c>
      <c r="E11770">
        <v>27</v>
      </c>
    </row>
    <row r="11771" spans="1:5" x14ac:dyDescent="0.3">
      <c r="A11771" t="s">
        <v>8</v>
      </c>
      <c r="B11771" s="1">
        <v>44687</v>
      </c>
      <c r="C11771">
        <v>1</v>
      </c>
      <c r="D11771">
        <v>50.12</v>
      </c>
      <c r="E11771">
        <v>79</v>
      </c>
    </row>
    <row r="11772" spans="1:5" x14ac:dyDescent="0.3">
      <c r="A11772" t="s">
        <v>70</v>
      </c>
      <c r="B11772" s="1">
        <v>44687</v>
      </c>
      <c r="C11772">
        <v>1</v>
      </c>
      <c r="D11772">
        <v>184.39</v>
      </c>
      <c r="E11772">
        <v>218</v>
      </c>
    </row>
    <row r="11773" spans="1:5" x14ac:dyDescent="0.3">
      <c r="A11773" t="s">
        <v>72</v>
      </c>
      <c r="B11773" s="1">
        <v>44687</v>
      </c>
      <c r="C11773">
        <v>1</v>
      </c>
      <c r="D11773">
        <v>561.70000000000005</v>
      </c>
      <c r="E11773">
        <v>742</v>
      </c>
    </row>
    <row r="11774" spans="1:5" x14ac:dyDescent="0.3">
      <c r="A11774" t="s">
        <v>72</v>
      </c>
      <c r="B11774" s="1">
        <v>44687</v>
      </c>
      <c r="C11774">
        <v>1</v>
      </c>
      <c r="D11774">
        <v>561.70000000000005</v>
      </c>
      <c r="E11774">
        <v>742</v>
      </c>
    </row>
    <row r="11775" spans="1:5" x14ac:dyDescent="0.3">
      <c r="A11775" t="s">
        <v>8</v>
      </c>
      <c r="B11775" s="1">
        <v>44687</v>
      </c>
      <c r="C11775">
        <v>1</v>
      </c>
      <c r="D11775">
        <v>47.53</v>
      </c>
      <c r="E11775">
        <v>77</v>
      </c>
    </row>
    <row r="11776" spans="1:5" x14ac:dyDescent="0.3">
      <c r="A11776" t="s">
        <v>134</v>
      </c>
      <c r="B11776" s="1">
        <v>44687</v>
      </c>
      <c r="C11776">
        <v>1</v>
      </c>
      <c r="D11776">
        <v>26.98</v>
      </c>
      <c r="E11776">
        <v>42</v>
      </c>
    </row>
    <row r="11777" spans="1:5" x14ac:dyDescent="0.3">
      <c r="A11777" t="s">
        <v>40</v>
      </c>
      <c r="B11777" s="1">
        <v>44687</v>
      </c>
      <c r="C11777">
        <v>1</v>
      </c>
      <c r="D11777">
        <v>173.51</v>
      </c>
      <c r="E11777">
        <v>208</v>
      </c>
    </row>
    <row r="11778" spans="1:5" x14ac:dyDescent="0.3">
      <c r="A11778" t="s">
        <v>25</v>
      </c>
      <c r="B11778" s="1">
        <v>44687</v>
      </c>
      <c r="C11778">
        <v>1</v>
      </c>
      <c r="D11778">
        <v>147.18</v>
      </c>
      <c r="E11778">
        <v>177</v>
      </c>
    </row>
    <row r="11779" spans="1:5" x14ac:dyDescent="0.3">
      <c r="A11779" t="s">
        <v>95</v>
      </c>
      <c r="B11779" s="1">
        <v>44687</v>
      </c>
      <c r="C11779">
        <v>1</v>
      </c>
      <c r="D11779">
        <v>129.25</v>
      </c>
      <c r="E11779">
        <v>203</v>
      </c>
    </row>
    <row r="11780" spans="1:5" x14ac:dyDescent="0.3">
      <c r="A11780" t="s">
        <v>45</v>
      </c>
      <c r="B11780" s="1">
        <v>44687</v>
      </c>
      <c r="C11780">
        <v>1</v>
      </c>
      <c r="D11780">
        <v>27.94</v>
      </c>
      <c r="E11780">
        <v>45</v>
      </c>
    </row>
    <row r="11781" spans="1:5" x14ac:dyDescent="0.3">
      <c r="A11781" t="s">
        <v>123</v>
      </c>
      <c r="B11781" s="1">
        <v>44687</v>
      </c>
      <c r="C11781">
        <v>1</v>
      </c>
      <c r="D11781">
        <v>62.29</v>
      </c>
      <c r="E11781">
        <v>77</v>
      </c>
    </row>
    <row r="11782" spans="1:5" x14ac:dyDescent="0.3">
      <c r="A11782" t="s">
        <v>123</v>
      </c>
      <c r="B11782" s="1">
        <v>44687</v>
      </c>
      <c r="C11782">
        <v>1</v>
      </c>
      <c r="D11782">
        <v>62.29</v>
      </c>
      <c r="E11782">
        <v>77</v>
      </c>
    </row>
    <row r="11783" spans="1:5" x14ac:dyDescent="0.3">
      <c r="A11783" t="s">
        <v>123</v>
      </c>
      <c r="B11783" s="1">
        <v>44687</v>
      </c>
      <c r="C11783">
        <v>1</v>
      </c>
      <c r="D11783">
        <v>62.29</v>
      </c>
      <c r="E11783">
        <v>77</v>
      </c>
    </row>
    <row r="11784" spans="1:5" x14ac:dyDescent="0.3">
      <c r="A11784" t="s">
        <v>156</v>
      </c>
      <c r="B11784" s="1">
        <v>44687</v>
      </c>
      <c r="C11784">
        <v>1</v>
      </c>
      <c r="D11784">
        <v>247.83</v>
      </c>
      <c r="E11784">
        <v>342</v>
      </c>
    </row>
    <row r="11785" spans="1:5" x14ac:dyDescent="0.3">
      <c r="A11785" t="s">
        <v>92</v>
      </c>
      <c r="B11785" s="1">
        <v>44687</v>
      </c>
      <c r="C11785">
        <v>5</v>
      </c>
      <c r="D11785">
        <v>6.45</v>
      </c>
      <c r="E11785">
        <v>9</v>
      </c>
    </row>
    <row r="11786" spans="1:5" x14ac:dyDescent="0.3">
      <c r="A11786" t="s">
        <v>145</v>
      </c>
      <c r="B11786" s="1">
        <v>44687</v>
      </c>
      <c r="C11786">
        <v>1</v>
      </c>
      <c r="D11786">
        <v>25.3</v>
      </c>
      <c r="E11786">
        <v>31</v>
      </c>
    </row>
    <row r="11787" spans="1:5" x14ac:dyDescent="0.3">
      <c r="A11787" t="s">
        <v>145</v>
      </c>
      <c r="B11787" s="1">
        <v>44687</v>
      </c>
      <c r="C11787">
        <v>1</v>
      </c>
      <c r="D11787">
        <v>25.3</v>
      </c>
      <c r="E11787">
        <v>31</v>
      </c>
    </row>
    <row r="11788" spans="1:5" x14ac:dyDescent="0.3">
      <c r="A11788" t="s">
        <v>125</v>
      </c>
      <c r="B11788" s="1">
        <v>44687</v>
      </c>
      <c r="C11788">
        <v>1</v>
      </c>
      <c r="D11788">
        <v>329.31</v>
      </c>
      <c r="E11788">
        <v>435</v>
      </c>
    </row>
    <row r="11789" spans="1:5" x14ac:dyDescent="0.3">
      <c r="A11789" t="s">
        <v>16</v>
      </c>
      <c r="B11789" s="1">
        <v>44687</v>
      </c>
      <c r="C11789">
        <v>1</v>
      </c>
      <c r="D11789">
        <v>44.34</v>
      </c>
      <c r="E11789">
        <v>68</v>
      </c>
    </row>
    <row r="11790" spans="1:5" x14ac:dyDescent="0.3">
      <c r="A11790" t="s">
        <v>160</v>
      </c>
      <c r="B11790" s="1">
        <v>44687</v>
      </c>
      <c r="C11790">
        <v>1</v>
      </c>
      <c r="D11790">
        <v>81.87</v>
      </c>
      <c r="E11790">
        <v>100</v>
      </c>
    </row>
    <row r="11791" spans="1:5" x14ac:dyDescent="0.3">
      <c r="A11791" t="s">
        <v>160</v>
      </c>
      <c r="B11791" s="1">
        <v>44687</v>
      </c>
      <c r="C11791">
        <v>1</v>
      </c>
      <c r="D11791">
        <v>81.87</v>
      </c>
      <c r="E11791">
        <v>100</v>
      </c>
    </row>
    <row r="11792" spans="1:5" x14ac:dyDescent="0.3">
      <c r="A11792" t="s">
        <v>160</v>
      </c>
      <c r="B11792" s="1">
        <v>44687</v>
      </c>
      <c r="C11792">
        <v>1</v>
      </c>
      <c r="D11792">
        <v>81.87</v>
      </c>
      <c r="E11792">
        <v>100</v>
      </c>
    </row>
    <row r="11793" spans="1:5" x14ac:dyDescent="0.3">
      <c r="A11793" t="s">
        <v>160</v>
      </c>
      <c r="B11793" s="1">
        <v>44687</v>
      </c>
      <c r="C11793">
        <v>1</v>
      </c>
      <c r="D11793">
        <v>81.87</v>
      </c>
      <c r="E11793">
        <v>100</v>
      </c>
    </row>
    <row r="11794" spans="1:5" x14ac:dyDescent="0.3">
      <c r="A11794" t="s">
        <v>160</v>
      </c>
      <c r="B11794" s="1">
        <v>44687</v>
      </c>
      <c r="C11794">
        <v>1</v>
      </c>
      <c r="D11794">
        <v>81.87</v>
      </c>
      <c r="E11794">
        <v>100</v>
      </c>
    </row>
    <row r="11795" spans="1:5" x14ac:dyDescent="0.3">
      <c r="A11795" t="s">
        <v>160</v>
      </c>
      <c r="B11795" s="1">
        <v>44687</v>
      </c>
      <c r="C11795">
        <v>1</v>
      </c>
      <c r="D11795">
        <v>81.87</v>
      </c>
      <c r="E11795">
        <v>100</v>
      </c>
    </row>
    <row r="11796" spans="1:5" x14ac:dyDescent="0.3">
      <c r="A11796" t="s">
        <v>160</v>
      </c>
      <c r="B11796" s="1">
        <v>44687</v>
      </c>
      <c r="C11796">
        <v>1</v>
      </c>
      <c r="D11796">
        <v>81.87</v>
      </c>
      <c r="E11796">
        <v>100</v>
      </c>
    </row>
    <row r="11797" spans="1:5" x14ac:dyDescent="0.3">
      <c r="A11797" t="s">
        <v>160</v>
      </c>
      <c r="B11797" s="1">
        <v>44687</v>
      </c>
      <c r="C11797">
        <v>1</v>
      </c>
      <c r="D11797">
        <v>81.87</v>
      </c>
      <c r="E11797">
        <v>100</v>
      </c>
    </row>
    <row r="11798" spans="1:5" x14ac:dyDescent="0.3">
      <c r="A11798" t="s">
        <v>160</v>
      </c>
      <c r="B11798" s="1">
        <v>44687</v>
      </c>
      <c r="C11798">
        <v>1</v>
      </c>
      <c r="D11798">
        <v>81.87</v>
      </c>
      <c r="E11798">
        <v>100</v>
      </c>
    </row>
    <row r="11799" spans="1:5" x14ac:dyDescent="0.3">
      <c r="A11799" t="s">
        <v>160</v>
      </c>
      <c r="B11799" s="1">
        <v>44687</v>
      </c>
      <c r="C11799">
        <v>1</v>
      </c>
      <c r="D11799">
        <v>81.87</v>
      </c>
      <c r="E11799">
        <v>100</v>
      </c>
    </row>
    <row r="11800" spans="1:5" x14ac:dyDescent="0.3">
      <c r="A11800" t="s">
        <v>53</v>
      </c>
      <c r="B11800" s="1">
        <v>44687</v>
      </c>
      <c r="C11800">
        <v>1</v>
      </c>
      <c r="D11800">
        <v>23.4</v>
      </c>
      <c r="E11800">
        <v>38</v>
      </c>
    </row>
    <row r="11801" spans="1:5" x14ac:dyDescent="0.3">
      <c r="A11801" t="s">
        <v>119</v>
      </c>
      <c r="B11801" s="1">
        <v>44687</v>
      </c>
      <c r="C11801">
        <v>3.5714299999999997E-2</v>
      </c>
      <c r="D11801">
        <v>656.19</v>
      </c>
      <c r="E11801">
        <v>722</v>
      </c>
    </row>
    <row r="11802" spans="1:5" x14ac:dyDescent="0.3">
      <c r="A11802" t="s">
        <v>141</v>
      </c>
      <c r="B11802" s="1">
        <v>44687</v>
      </c>
      <c r="C11802">
        <v>1</v>
      </c>
      <c r="D11802">
        <v>16.38</v>
      </c>
      <c r="E11802">
        <v>27</v>
      </c>
    </row>
    <row r="11803" spans="1:5" x14ac:dyDescent="0.3">
      <c r="A11803" t="s">
        <v>110</v>
      </c>
      <c r="B11803" s="1">
        <v>44687</v>
      </c>
      <c r="C11803">
        <v>1</v>
      </c>
      <c r="D11803">
        <v>209.55</v>
      </c>
      <c r="E11803">
        <v>294</v>
      </c>
    </row>
    <row r="11804" spans="1:5" x14ac:dyDescent="0.3">
      <c r="A11804" t="s">
        <v>152</v>
      </c>
      <c r="B11804" s="1">
        <v>44687</v>
      </c>
      <c r="C11804">
        <v>1</v>
      </c>
      <c r="D11804">
        <v>105.12</v>
      </c>
      <c r="E11804">
        <v>132</v>
      </c>
    </row>
    <row r="11805" spans="1:5" x14ac:dyDescent="0.3">
      <c r="A11805" t="s">
        <v>94</v>
      </c>
      <c r="B11805" s="1">
        <v>44687</v>
      </c>
      <c r="C11805">
        <v>1</v>
      </c>
      <c r="D11805">
        <v>33.799999999999997</v>
      </c>
      <c r="E11805">
        <v>46</v>
      </c>
    </row>
    <row r="11806" spans="1:5" x14ac:dyDescent="0.3">
      <c r="A11806" t="s">
        <v>23</v>
      </c>
      <c r="B11806" s="1">
        <v>44687</v>
      </c>
      <c r="C11806">
        <v>1</v>
      </c>
      <c r="D11806">
        <v>129.53</v>
      </c>
      <c r="E11806">
        <v>143</v>
      </c>
    </row>
    <row r="11807" spans="1:5" x14ac:dyDescent="0.3">
      <c r="A11807" t="s">
        <v>68</v>
      </c>
      <c r="B11807" s="1">
        <v>44687</v>
      </c>
      <c r="C11807">
        <v>1</v>
      </c>
      <c r="D11807">
        <v>62.36</v>
      </c>
      <c r="E11807">
        <v>93</v>
      </c>
    </row>
    <row r="11808" spans="1:5" x14ac:dyDescent="0.3">
      <c r="A11808" t="s">
        <v>68</v>
      </c>
      <c r="B11808" s="1">
        <v>44687</v>
      </c>
      <c r="C11808">
        <v>1</v>
      </c>
      <c r="D11808">
        <v>62.36</v>
      </c>
      <c r="E11808">
        <v>93</v>
      </c>
    </row>
    <row r="11809" spans="1:5" x14ac:dyDescent="0.3">
      <c r="A11809" t="s">
        <v>103</v>
      </c>
      <c r="B11809" s="1">
        <v>44687</v>
      </c>
      <c r="C11809">
        <v>1</v>
      </c>
      <c r="D11809">
        <v>52.65</v>
      </c>
      <c r="E11809">
        <v>83</v>
      </c>
    </row>
    <row r="11810" spans="1:5" x14ac:dyDescent="0.3">
      <c r="A11810" t="s">
        <v>103</v>
      </c>
      <c r="B11810" s="1">
        <v>44687</v>
      </c>
      <c r="C11810">
        <v>1</v>
      </c>
      <c r="D11810">
        <v>52.65</v>
      </c>
      <c r="E11810">
        <v>83</v>
      </c>
    </row>
    <row r="11811" spans="1:5" x14ac:dyDescent="0.3">
      <c r="A11811" t="s">
        <v>103</v>
      </c>
      <c r="B11811" s="1">
        <v>44687</v>
      </c>
      <c r="C11811">
        <v>1</v>
      </c>
      <c r="D11811">
        <v>52.65</v>
      </c>
      <c r="E11811">
        <v>83</v>
      </c>
    </row>
    <row r="11812" spans="1:5" x14ac:dyDescent="0.3">
      <c r="A11812" t="s">
        <v>8</v>
      </c>
      <c r="B11812" s="1">
        <v>44687</v>
      </c>
      <c r="C11812">
        <v>1</v>
      </c>
      <c r="D11812">
        <v>47.53</v>
      </c>
      <c r="E11812">
        <v>77</v>
      </c>
    </row>
    <row r="11813" spans="1:5" x14ac:dyDescent="0.3">
      <c r="A11813" t="s">
        <v>157</v>
      </c>
      <c r="B11813" s="1">
        <v>44687</v>
      </c>
      <c r="C11813">
        <v>1</v>
      </c>
      <c r="D11813">
        <v>12</v>
      </c>
      <c r="E11813">
        <v>20</v>
      </c>
    </row>
    <row r="11814" spans="1:5" x14ac:dyDescent="0.3">
      <c r="A11814" t="s">
        <v>120</v>
      </c>
      <c r="B11814" s="1">
        <v>44687</v>
      </c>
      <c r="C11814">
        <v>1</v>
      </c>
      <c r="D11814">
        <v>132.56</v>
      </c>
      <c r="E11814">
        <v>185</v>
      </c>
    </row>
    <row r="11815" spans="1:5" x14ac:dyDescent="0.3">
      <c r="A11815" t="s">
        <v>13</v>
      </c>
      <c r="B11815" s="1">
        <v>44687</v>
      </c>
      <c r="C11815">
        <v>1</v>
      </c>
      <c r="D11815">
        <v>132.29</v>
      </c>
      <c r="E11815">
        <v>157</v>
      </c>
    </row>
    <row r="11816" spans="1:5" x14ac:dyDescent="0.3">
      <c r="A11816" t="s">
        <v>13</v>
      </c>
      <c r="B11816" s="1">
        <v>44687</v>
      </c>
      <c r="C11816">
        <v>1</v>
      </c>
      <c r="D11816">
        <v>122.17</v>
      </c>
      <c r="E11816">
        <v>149</v>
      </c>
    </row>
    <row r="11817" spans="1:5" x14ac:dyDescent="0.3">
      <c r="A11817" t="s">
        <v>98</v>
      </c>
      <c r="B11817" s="1">
        <v>44687</v>
      </c>
      <c r="C11817">
        <v>1</v>
      </c>
      <c r="D11817">
        <v>110.84</v>
      </c>
      <c r="E11817">
        <v>134</v>
      </c>
    </row>
    <row r="11818" spans="1:5" x14ac:dyDescent="0.3">
      <c r="A11818" t="s">
        <v>19</v>
      </c>
      <c r="B11818" s="1">
        <v>44687</v>
      </c>
      <c r="C11818">
        <v>1</v>
      </c>
      <c r="D11818">
        <v>81.83</v>
      </c>
      <c r="E11818">
        <v>102</v>
      </c>
    </row>
    <row r="11819" spans="1:5" x14ac:dyDescent="0.3">
      <c r="A11819" t="s">
        <v>61</v>
      </c>
      <c r="B11819" s="1">
        <v>44687</v>
      </c>
      <c r="C11819">
        <v>1</v>
      </c>
      <c r="D11819">
        <v>32.97</v>
      </c>
      <c r="E11819">
        <v>51</v>
      </c>
    </row>
    <row r="11820" spans="1:5" x14ac:dyDescent="0.3">
      <c r="A11820" t="s">
        <v>8</v>
      </c>
      <c r="B11820" s="1">
        <v>44687</v>
      </c>
      <c r="C11820">
        <v>1</v>
      </c>
      <c r="D11820">
        <v>47.53</v>
      </c>
      <c r="E11820">
        <v>77</v>
      </c>
    </row>
    <row r="11821" spans="1:5" x14ac:dyDescent="0.3">
      <c r="A11821" t="s">
        <v>51</v>
      </c>
      <c r="B11821" s="1">
        <v>44687</v>
      </c>
      <c r="C11821">
        <v>19</v>
      </c>
      <c r="D11821">
        <v>1.98</v>
      </c>
      <c r="E11821">
        <v>3.2</v>
      </c>
    </row>
    <row r="11822" spans="1:5" x14ac:dyDescent="0.3">
      <c r="A11822" t="s">
        <v>51</v>
      </c>
      <c r="B11822" s="1">
        <v>44687</v>
      </c>
      <c r="C11822">
        <v>1</v>
      </c>
      <c r="D11822">
        <v>1.98</v>
      </c>
      <c r="E11822">
        <v>3.2</v>
      </c>
    </row>
    <row r="11823" spans="1:5" x14ac:dyDescent="0.3">
      <c r="A11823" t="s">
        <v>26</v>
      </c>
      <c r="B11823" s="1">
        <v>44687</v>
      </c>
      <c r="C11823">
        <v>0.1</v>
      </c>
      <c r="D11823">
        <v>1086.5899999999999</v>
      </c>
      <c r="E11823">
        <v>1359</v>
      </c>
    </row>
    <row r="11824" spans="1:5" x14ac:dyDescent="0.3">
      <c r="A11824" t="s">
        <v>56</v>
      </c>
      <c r="B11824" s="1">
        <v>44687</v>
      </c>
      <c r="C11824">
        <v>1</v>
      </c>
      <c r="D11824">
        <v>45.42</v>
      </c>
      <c r="E11824">
        <v>70</v>
      </c>
    </row>
    <row r="11825" spans="1:5" x14ac:dyDescent="0.3">
      <c r="A11825" t="s">
        <v>57</v>
      </c>
      <c r="B11825" s="1">
        <v>44687</v>
      </c>
      <c r="C11825">
        <v>1</v>
      </c>
      <c r="D11825">
        <v>233.76</v>
      </c>
      <c r="E11825">
        <v>274</v>
      </c>
    </row>
    <row r="11826" spans="1:5" x14ac:dyDescent="0.3">
      <c r="A11826" t="s">
        <v>134</v>
      </c>
      <c r="B11826" s="1">
        <v>44687</v>
      </c>
      <c r="C11826">
        <v>1</v>
      </c>
      <c r="D11826">
        <v>27.39</v>
      </c>
      <c r="E11826">
        <v>42</v>
      </c>
    </row>
    <row r="11827" spans="1:5" x14ac:dyDescent="0.3">
      <c r="A11827" t="s">
        <v>134</v>
      </c>
      <c r="B11827" s="1">
        <v>44687</v>
      </c>
      <c r="C11827">
        <v>1</v>
      </c>
      <c r="D11827">
        <v>27.39</v>
      </c>
      <c r="E11827">
        <v>42</v>
      </c>
    </row>
    <row r="11828" spans="1:5" x14ac:dyDescent="0.3">
      <c r="A11828" t="s">
        <v>83</v>
      </c>
      <c r="B11828" s="1">
        <v>44687</v>
      </c>
      <c r="C11828">
        <v>1</v>
      </c>
      <c r="D11828">
        <v>207.68</v>
      </c>
      <c r="E11828">
        <v>246</v>
      </c>
    </row>
    <row r="11829" spans="1:5" x14ac:dyDescent="0.3">
      <c r="A11829" t="s">
        <v>46</v>
      </c>
      <c r="B11829" s="1">
        <v>44687</v>
      </c>
      <c r="C11829">
        <v>1</v>
      </c>
      <c r="D11829">
        <v>20.03</v>
      </c>
      <c r="E11829">
        <v>24</v>
      </c>
    </row>
    <row r="11830" spans="1:5" x14ac:dyDescent="0.3">
      <c r="A11830" t="s">
        <v>83</v>
      </c>
      <c r="B11830" s="1">
        <v>44687</v>
      </c>
      <c r="C11830">
        <v>1</v>
      </c>
      <c r="D11830">
        <v>203.17</v>
      </c>
      <c r="E11830">
        <v>241</v>
      </c>
    </row>
    <row r="11831" spans="1:5" x14ac:dyDescent="0.3">
      <c r="A11831" t="s">
        <v>24</v>
      </c>
      <c r="B11831" s="1">
        <v>44687</v>
      </c>
      <c r="C11831">
        <v>1</v>
      </c>
      <c r="D11831">
        <v>101.42</v>
      </c>
      <c r="E11831">
        <v>120</v>
      </c>
    </row>
    <row r="11832" spans="1:5" x14ac:dyDescent="0.3">
      <c r="A11832" t="s">
        <v>152</v>
      </c>
      <c r="B11832" s="1">
        <v>44687</v>
      </c>
      <c r="C11832">
        <v>1</v>
      </c>
      <c r="D11832">
        <v>105.12</v>
      </c>
      <c r="E11832">
        <v>132</v>
      </c>
    </row>
    <row r="11833" spans="1:5" x14ac:dyDescent="0.3">
      <c r="A11833" t="s">
        <v>67</v>
      </c>
      <c r="B11833" s="1">
        <v>44687</v>
      </c>
      <c r="C11833">
        <v>1</v>
      </c>
      <c r="D11833">
        <v>53.95</v>
      </c>
      <c r="E11833">
        <v>77</v>
      </c>
    </row>
    <row r="11834" spans="1:5" x14ac:dyDescent="0.3">
      <c r="A11834" t="s">
        <v>127</v>
      </c>
      <c r="B11834" s="1">
        <v>44687</v>
      </c>
      <c r="C11834">
        <v>1</v>
      </c>
      <c r="D11834">
        <v>117.61</v>
      </c>
      <c r="E11834">
        <v>164</v>
      </c>
    </row>
    <row r="11835" spans="1:5" x14ac:dyDescent="0.3">
      <c r="A11835" t="s">
        <v>141</v>
      </c>
      <c r="B11835" s="1">
        <v>44687</v>
      </c>
      <c r="C11835">
        <v>1</v>
      </c>
      <c r="D11835">
        <v>16.38</v>
      </c>
      <c r="E11835">
        <v>27</v>
      </c>
    </row>
    <row r="11836" spans="1:5" x14ac:dyDescent="0.3">
      <c r="A11836" t="s">
        <v>119</v>
      </c>
      <c r="B11836" s="1">
        <v>44687</v>
      </c>
      <c r="C11836">
        <v>3.5714299999999997E-2</v>
      </c>
      <c r="D11836">
        <v>642</v>
      </c>
      <c r="E11836">
        <v>708</v>
      </c>
    </row>
    <row r="11837" spans="1:5" x14ac:dyDescent="0.3">
      <c r="A11837" t="s">
        <v>90</v>
      </c>
      <c r="B11837" s="1">
        <v>44687</v>
      </c>
      <c r="C11837">
        <v>1</v>
      </c>
      <c r="D11837">
        <v>384.2</v>
      </c>
      <c r="E11837">
        <v>462</v>
      </c>
    </row>
    <row r="11838" spans="1:5" x14ac:dyDescent="0.3">
      <c r="A11838" t="s">
        <v>10</v>
      </c>
      <c r="B11838" s="1">
        <v>44687</v>
      </c>
      <c r="C11838">
        <v>1</v>
      </c>
      <c r="D11838">
        <v>10.34</v>
      </c>
      <c r="E11838">
        <v>13</v>
      </c>
    </row>
    <row r="11839" spans="1:5" x14ac:dyDescent="0.3">
      <c r="A11839" t="s">
        <v>10</v>
      </c>
      <c r="B11839" s="1">
        <v>44687</v>
      </c>
      <c r="C11839">
        <v>1</v>
      </c>
      <c r="D11839">
        <v>10.34</v>
      </c>
      <c r="E11839">
        <v>13</v>
      </c>
    </row>
    <row r="11840" spans="1:5" x14ac:dyDescent="0.3">
      <c r="A11840" t="s">
        <v>74</v>
      </c>
      <c r="B11840" s="1">
        <v>44687</v>
      </c>
      <c r="C11840">
        <v>1</v>
      </c>
      <c r="D11840">
        <v>89.28</v>
      </c>
      <c r="E11840">
        <v>111</v>
      </c>
    </row>
    <row r="11841" spans="1:5" x14ac:dyDescent="0.3">
      <c r="A11841" t="s">
        <v>23</v>
      </c>
      <c r="B11841" s="1">
        <v>44687</v>
      </c>
      <c r="C11841">
        <v>1</v>
      </c>
      <c r="D11841">
        <v>112.85</v>
      </c>
      <c r="E11841">
        <v>127</v>
      </c>
    </row>
    <row r="11842" spans="1:5" x14ac:dyDescent="0.3">
      <c r="A11842" t="s">
        <v>134</v>
      </c>
      <c r="B11842" s="1">
        <v>44687</v>
      </c>
      <c r="C11842">
        <v>1</v>
      </c>
      <c r="D11842">
        <v>28.66</v>
      </c>
      <c r="E11842">
        <v>44</v>
      </c>
    </row>
    <row r="11843" spans="1:5" x14ac:dyDescent="0.3">
      <c r="A11843" t="s">
        <v>134</v>
      </c>
      <c r="B11843" s="1">
        <v>44687</v>
      </c>
      <c r="C11843">
        <v>1</v>
      </c>
      <c r="D11843">
        <v>28.66</v>
      </c>
      <c r="E11843">
        <v>44</v>
      </c>
    </row>
    <row r="11844" spans="1:5" x14ac:dyDescent="0.3">
      <c r="A11844" t="s">
        <v>134</v>
      </c>
      <c r="B11844" s="1">
        <v>44687</v>
      </c>
      <c r="C11844">
        <v>1</v>
      </c>
      <c r="D11844">
        <v>28.66</v>
      </c>
      <c r="E11844">
        <v>44</v>
      </c>
    </row>
    <row r="11845" spans="1:5" x14ac:dyDescent="0.3">
      <c r="A11845" t="s">
        <v>42</v>
      </c>
      <c r="B11845" s="1">
        <v>44687</v>
      </c>
      <c r="C11845">
        <v>1</v>
      </c>
      <c r="D11845">
        <v>559.34</v>
      </c>
      <c r="E11845">
        <v>644</v>
      </c>
    </row>
    <row r="11846" spans="1:5" x14ac:dyDescent="0.3">
      <c r="A11846" t="s">
        <v>25</v>
      </c>
      <c r="B11846" s="1">
        <v>44687</v>
      </c>
      <c r="C11846">
        <v>1</v>
      </c>
      <c r="D11846">
        <v>147.4</v>
      </c>
      <c r="E11846">
        <v>180</v>
      </c>
    </row>
    <row r="11847" spans="1:5" x14ac:dyDescent="0.3">
      <c r="A11847" t="s">
        <v>140</v>
      </c>
      <c r="B11847" s="1">
        <v>44687</v>
      </c>
      <c r="C11847">
        <v>1</v>
      </c>
      <c r="D11847">
        <v>159.22</v>
      </c>
      <c r="E11847">
        <v>191</v>
      </c>
    </row>
    <row r="11848" spans="1:5" x14ac:dyDescent="0.3">
      <c r="A11848" t="s">
        <v>157</v>
      </c>
      <c r="B11848" s="1">
        <v>44687</v>
      </c>
      <c r="C11848">
        <v>2</v>
      </c>
      <c r="D11848">
        <v>12</v>
      </c>
      <c r="E11848">
        <v>20</v>
      </c>
    </row>
    <row r="11849" spans="1:5" x14ac:dyDescent="0.3">
      <c r="A11849" t="s">
        <v>19</v>
      </c>
      <c r="B11849" s="1">
        <v>44687</v>
      </c>
      <c r="C11849">
        <v>1</v>
      </c>
      <c r="D11849">
        <v>80.52</v>
      </c>
      <c r="E11849">
        <v>103</v>
      </c>
    </row>
    <row r="11850" spans="1:5" x14ac:dyDescent="0.3">
      <c r="A11850" t="s">
        <v>19</v>
      </c>
      <c r="B11850" s="1">
        <v>44687</v>
      </c>
      <c r="C11850">
        <v>1</v>
      </c>
      <c r="D11850">
        <v>80.52</v>
      </c>
      <c r="E11850">
        <v>103</v>
      </c>
    </row>
    <row r="11851" spans="1:5" x14ac:dyDescent="0.3">
      <c r="A11851" t="s">
        <v>39</v>
      </c>
      <c r="B11851" s="1">
        <v>44687</v>
      </c>
      <c r="C11851">
        <v>2</v>
      </c>
      <c r="D11851">
        <v>16</v>
      </c>
      <c r="E11851">
        <v>26</v>
      </c>
    </row>
    <row r="11852" spans="1:5" x14ac:dyDescent="0.3">
      <c r="A11852" t="s">
        <v>160</v>
      </c>
      <c r="B11852" s="1">
        <v>44687</v>
      </c>
      <c r="C11852">
        <v>1</v>
      </c>
      <c r="D11852">
        <v>81.819999999999993</v>
      </c>
      <c r="E11852">
        <v>99</v>
      </c>
    </row>
    <row r="11853" spans="1:5" x14ac:dyDescent="0.3">
      <c r="A11853" t="s">
        <v>160</v>
      </c>
      <c r="B11853" s="1">
        <v>44687</v>
      </c>
      <c r="C11853">
        <v>1</v>
      </c>
      <c r="D11853">
        <v>81.819999999999993</v>
      </c>
      <c r="E11853">
        <v>99</v>
      </c>
    </row>
    <row r="11854" spans="1:5" x14ac:dyDescent="0.3">
      <c r="A11854" t="s">
        <v>6</v>
      </c>
      <c r="B11854" s="1">
        <v>44687</v>
      </c>
      <c r="C11854">
        <v>1</v>
      </c>
      <c r="D11854">
        <v>442.51</v>
      </c>
      <c r="E11854">
        <v>554</v>
      </c>
    </row>
    <row r="11855" spans="1:5" x14ac:dyDescent="0.3">
      <c r="A11855" t="s">
        <v>25</v>
      </c>
      <c r="B11855" s="1">
        <v>44687</v>
      </c>
      <c r="C11855">
        <v>1</v>
      </c>
      <c r="D11855">
        <v>150.25</v>
      </c>
      <c r="E11855">
        <v>180</v>
      </c>
    </row>
    <row r="11856" spans="1:5" x14ac:dyDescent="0.3">
      <c r="A11856" t="s">
        <v>26</v>
      </c>
      <c r="B11856" s="1">
        <v>44687</v>
      </c>
      <c r="C11856">
        <v>0.3</v>
      </c>
      <c r="D11856">
        <v>1086.5899999999999</v>
      </c>
      <c r="E11856">
        <v>1359</v>
      </c>
    </row>
    <row r="11857" spans="1:5" x14ac:dyDescent="0.3">
      <c r="A11857" t="s">
        <v>44</v>
      </c>
      <c r="B11857" s="1">
        <v>44687</v>
      </c>
      <c r="C11857">
        <v>1</v>
      </c>
      <c r="D11857">
        <v>64.23</v>
      </c>
      <c r="E11857">
        <v>100</v>
      </c>
    </row>
    <row r="11858" spans="1:5" x14ac:dyDescent="0.3">
      <c r="A11858" t="s">
        <v>28</v>
      </c>
      <c r="B11858" s="1">
        <v>44687</v>
      </c>
      <c r="C11858">
        <v>1</v>
      </c>
      <c r="D11858">
        <v>147.80000000000001</v>
      </c>
      <c r="E11858">
        <v>206</v>
      </c>
    </row>
    <row r="11859" spans="1:5" x14ac:dyDescent="0.3">
      <c r="A11859" t="s">
        <v>57</v>
      </c>
      <c r="B11859" s="1">
        <v>44687</v>
      </c>
      <c r="C11859">
        <v>1</v>
      </c>
      <c r="D11859">
        <v>243.39</v>
      </c>
      <c r="E11859">
        <v>285</v>
      </c>
    </row>
    <row r="11860" spans="1:5" x14ac:dyDescent="0.3">
      <c r="A11860" t="s">
        <v>23</v>
      </c>
      <c r="B11860" s="1">
        <v>44687</v>
      </c>
      <c r="C11860">
        <v>1</v>
      </c>
      <c r="D11860">
        <v>109.41</v>
      </c>
      <c r="E11860">
        <v>123</v>
      </c>
    </row>
    <row r="11861" spans="1:5" x14ac:dyDescent="0.3">
      <c r="A11861" t="s">
        <v>60</v>
      </c>
      <c r="B11861" s="1">
        <v>44687</v>
      </c>
      <c r="C11861">
        <v>1</v>
      </c>
      <c r="D11861">
        <v>59.29</v>
      </c>
      <c r="E11861">
        <v>73</v>
      </c>
    </row>
    <row r="11862" spans="1:5" x14ac:dyDescent="0.3">
      <c r="A11862" t="s">
        <v>90</v>
      </c>
      <c r="B11862" s="1">
        <v>44687</v>
      </c>
      <c r="C11862">
        <v>1</v>
      </c>
      <c r="D11862">
        <v>384.2</v>
      </c>
      <c r="E11862">
        <v>462</v>
      </c>
    </row>
    <row r="11863" spans="1:5" x14ac:dyDescent="0.3">
      <c r="A11863" t="s">
        <v>24</v>
      </c>
      <c r="B11863" s="1">
        <v>44687</v>
      </c>
      <c r="C11863">
        <v>1</v>
      </c>
      <c r="D11863">
        <v>99.48</v>
      </c>
      <c r="E11863">
        <v>117</v>
      </c>
    </row>
    <row r="11864" spans="1:5" x14ac:dyDescent="0.3">
      <c r="A11864" t="s">
        <v>134</v>
      </c>
      <c r="B11864" s="1">
        <v>44687</v>
      </c>
      <c r="C11864">
        <v>1</v>
      </c>
      <c r="D11864">
        <v>26.98</v>
      </c>
      <c r="E11864">
        <v>42</v>
      </c>
    </row>
    <row r="11865" spans="1:5" x14ac:dyDescent="0.3">
      <c r="A11865" t="s">
        <v>134</v>
      </c>
      <c r="B11865" s="1">
        <v>44687</v>
      </c>
      <c r="C11865">
        <v>1</v>
      </c>
      <c r="D11865">
        <v>26.98</v>
      </c>
      <c r="E11865">
        <v>42</v>
      </c>
    </row>
    <row r="11866" spans="1:5" x14ac:dyDescent="0.3">
      <c r="A11866" t="s">
        <v>134</v>
      </c>
      <c r="B11866" s="1">
        <v>44687</v>
      </c>
      <c r="C11866">
        <v>1</v>
      </c>
      <c r="D11866">
        <v>26.98</v>
      </c>
      <c r="E11866">
        <v>42</v>
      </c>
    </row>
    <row r="11867" spans="1:5" x14ac:dyDescent="0.3">
      <c r="A11867" t="s">
        <v>18</v>
      </c>
      <c r="B11867" s="1">
        <v>44687</v>
      </c>
      <c r="C11867">
        <v>1</v>
      </c>
      <c r="D11867">
        <v>44</v>
      </c>
      <c r="E11867">
        <v>67</v>
      </c>
    </row>
    <row r="11868" spans="1:5" x14ac:dyDescent="0.3">
      <c r="A11868" t="s">
        <v>47</v>
      </c>
      <c r="B11868" s="1">
        <v>44687</v>
      </c>
      <c r="C11868">
        <v>1</v>
      </c>
      <c r="D11868">
        <v>41.58</v>
      </c>
      <c r="E11868">
        <v>65</v>
      </c>
    </row>
    <row r="11869" spans="1:5" x14ac:dyDescent="0.3">
      <c r="A11869" t="s">
        <v>21</v>
      </c>
      <c r="B11869" s="1">
        <v>44687</v>
      </c>
      <c r="C11869">
        <v>1</v>
      </c>
      <c r="D11869">
        <v>182.17</v>
      </c>
      <c r="E11869">
        <v>250</v>
      </c>
    </row>
    <row r="11870" spans="1:5" x14ac:dyDescent="0.3">
      <c r="A11870" t="s">
        <v>87</v>
      </c>
      <c r="B11870" s="1">
        <v>44687</v>
      </c>
      <c r="C11870">
        <v>1</v>
      </c>
      <c r="D11870">
        <v>348.66</v>
      </c>
      <c r="E11870">
        <v>395</v>
      </c>
    </row>
    <row r="11871" spans="1:5" x14ac:dyDescent="0.3">
      <c r="A11871" t="s">
        <v>24</v>
      </c>
      <c r="B11871" s="1">
        <v>44687</v>
      </c>
      <c r="C11871">
        <v>1</v>
      </c>
      <c r="D11871">
        <v>99.84</v>
      </c>
      <c r="E11871">
        <v>122</v>
      </c>
    </row>
    <row r="11872" spans="1:5" x14ac:dyDescent="0.3">
      <c r="A11872" t="s">
        <v>54</v>
      </c>
      <c r="B11872" s="1">
        <v>44687</v>
      </c>
      <c r="C11872">
        <v>1</v>
      </c>
      <c r="D11872">
        <v>651.07000000000005</v>
      </c>
      <c r="E11872">
        <v>840</v>
      </c>
    </row>
    <row r="11873" spans="1:5" x14ac:dyDescent="0.3">
      <c r="A11873" t="s">
        <v>65</v>
      </c>
      <c r="B11873" s="1">
        <v>44687</v>
      </c>
      <c r="C11873">
        <v>1</v>
      </c>
      <c r="D11873">
        <v>186.78</v>
      </c>
      <c r="E11873">
        <v>219</v>
      </c>
    </row>
    <row r="11874" spans="1:5" x14ac:dyDescent="0.3">
      <c r="A11874" t="s">
        <v>112</v>
      </c>
      <c r="B11874" s="1">
        <v>44687</v>
      </c>
      <c r="C11874">
        <v>1</v>
      </c>
      <c r="D11874">
        <v>291.3</v>
      </c>
      <c r="E11874">
        <v>345</v>
      </c>
    </row>
    <row r="11875" spans="1:5" x14ac:dyDescent="0.3">
      <c r="A11875" t="s">
        <v>14</v>
      </c>
      <c r="B11875" s="1">
        <v>44687</v>
      </c>
      <c r="C11875">
        <v>0.3</v>
      </c>
      <c r="D11875">
        <v>512.91</v>
      </c>
      <c r="E11875">
        <v>688</v>
      </c>
    </row>
    <row r="11876" spans="1:5" x14ac:dyDescent="0.3">
      <c r="A11876" t="s">
        <v>125</v>
      </c>
      <c r="B11876" s="1">
        <v>44687</v>
      </c>
      <c r="C11876">
        <v>1</v>
      </c>
      <c r="D11876">
        <v>334.02</v>
      </c>
      <c r="E11876">
        <v>441</v>
      </c>
    </row>
    <row r="11877" spans="1:5" x14ac:dyDescent="0.3">
      <c r="A11877" t="s">
        <v>154</v>
      </c>
      <c r="B11877" s="1">
        <v>44687</v>
      </c>
      <c r="C11877">
        <v>1</v>
      </c>
      <c r="D11877">
        <v>123.48</v>
      </c>
      <c r="E11877">
        <v>148</v>
      </c>
    </row>
    <row r="11878" spans="1:5" x14ac:dyDescent="0.3">
      <c r="A11878" t="s">
        <v>154</v>
      </c>
      <c r="B11878" s="1">
        <v>44687</v>
      </c>
      <c r="C11878">
        <v>1</v>
      </c>
      <c r="D11878">
        <v>123.48</v>
      </c>
      <c r="E11878">
        <v>148</v>
      </c>
    </row>
    <row r="11879" spans="1:5" x14ac:dyDescent="0.3">
      <c r="A11879" t="s">
        <v>24</v>
      </c>
      <c r="B11879" s="1">
        <v>44687</v>
      </c>
      <c r="C11879">
        <v>1</v>
      </c>
      <c r="D11879">
        <v>99.48</v>
      </c>
      <c r="E11879">
        <v>116</v>
      </c>
    </row>
    <row r="11880" spans="1:5" x14ac:dyDescent="0.3">
      <c r="A11880" t="s">
        <v>115</v>
      </c>
      <c r="B11880" s="1">
        <v>44687</v>
      </c>
      <c r="C11880">
        <v>1</v>
      </c>
      <c r="D11880">
        <v>71.150000000000006</v>
      </c>
      <c r="E11880">
        <v>88</v>
      </c>
    </row>
    <row r="11881" spans="1:5" x14ac:dyDescent="0.3">
      <c r="A11881" t="s">
        <v>8</v>
      </c>
      <c r="B11881" s="1">
        <v>44687</v>
      </c>
      <c r="C11881">
        <v>1</v>
      </c>
      <c r="D11881">
        <v>47.53</v>
      </c>
      <c r="E11881">
        <v>77</v>
      </c>
    </row>
    <row r="11882" spans="1:5" x14ac:dyDescent="0.3">
      <c r="A11882" t="s">
        <v>85</v>
      </c>
      <c r="B11882" s="1">
        <v>44687</v>
      </c>
      <c r="C11882">
        <v>1</v>
      </c>
      <c r="D11882">
        <v>15.95</v>
      </c>
      <c r="E11882">
        <v>25</v>
      </c>
    </row>
    <row r="11883" spans="1:5" x14ac:dyDescent="0.3">
      <c r="A11883" t="s">
        <v>85</v>
      </c>
      <c r="B11883" s="1">
        <v>44687</v>
      </c>
      <c r="C11883">
        <v>1</v>
      </c>
      <c r="D11883">
        <v>15.95</v>
      </c>
      <c r="E11883">
        <v>25</v>
      </c>
    </row>
    <row r="11884" spans="1:5" x14ac:dyDescent="0.3">
      <c r="A11884" t="s">
        <v>85</v>
      </c>
      <c r="B11884" s="1">
        <v>44687</v>
      </c>
      <c r="C11884">
        <v>1</v>
      </c>
      <c r="D11884">
        <v>15.95</v>
      </c>
      <c r="E11884">
        <v>25</v>
      </c>
    </row>
    <row r="11885" spans="1:5" x14ac:dyDescent="0.3">
      <c r="A11885" t="s">
        <v>21</v>
      </c>
      <c r="B11885" s="1">
        <v>44687</v>
      </c>
      <c r="C11885">
        <v>1</v>
      </c>
      <c r="D11885">
        <v>185.31</v>
      </c>
      <c r="E11885">
        <v>262</v>
      </c>
    </row>
    <row r="11886" spans="1:5" x14ac:dyDescent="0.3">
      <c r="A11886" t="s">
        <v>138</v>
      </c>
      <c r="B11886" s="1">
        <v>44687</v>
      </c>
      <c r="C11886">
        <v>6</v>
      </c>
      <c r="D11886">
        <v>46.5</v>
      </c>
      <c r="E11886">
        <v>75</v>
      </c>
    </row>
    <row r="11887" spans="1:5" x14ac:dyDescent="0.3">
      <c r="A11887" t="s">
        <v>100</v>
      </c>
      <c r="B11887" s="1">
        <v>44687</v>
      </c>
      <c r="C11887">
        <v>1</v>
      </c>
      <c r="D11887">
        <v>31.64</v>
      </c>
      <c r="E11887">
        <v>49</v>
      </c>
    </row>
    <row r="11888" spans="1:5" x14ac:dyDescent="0.3">
      <c r="A11888" t="s">
        <v>26</v>
      </c>
      <c r="B11888" s="1">
        <v>44687</v>
      </c>
      <c r="C11888">
        <v>0.1</v>
      </c>
      <c r="D11888">
        <v>987.84</v>
      </c>
      <c r="E11888">
        <v>1304</v>
      </c>
    </row>
    <row r="11889" spans="1:5" x14ac:dyDescent="0.3">
      <c r="A11889" t="s">
        <v>26</v>
      </c>
      <c r="B11889" s="1">
        <v>44687</v>
      </c>
      <c r="C11889">
        <v>0.2</v>
      </c>
      <c r="D11889">
        <v>989.8</v>
      </c>
      <c r="E11889">
        <v>1277</v>
      </c>
    </row>
    <row r="11890" spans="1:5" x14ac:dyDescent="0.3">
      <c r="A11890" t="s">
        <v>129</v>
      </c>
      <c r="B11890" s="1">
        <v>44687</v>
      </c>
      <c r="C11890">
        <v>0.04</v>
      </c>
      <c r="D11890">
        <v>513.71</v>
      </c>
      <c r="E11890">
        <v>566</v>
      </c>
    </row>
    <row r="11891" spans="1:5" x14ac:dyDescent="0.3">
      <c r="A11891" t="s">
        <v>87</v>
      </c>
      <c r="B11891" s="1">
        <v>44687</v>
      </c>
      <c r="C11891">
        <v>1</v>
      </c>
      <c r="D11891">
        <v>315.33</v>
      </c>
      <c r="E11891">
        <v>380</v>
      </c>
    </row>
    <row r="11892" spans="1:5" x14ac:dyDescent="0.3">
      <c r="A11892" t="s">
        <v>141</v>
      </c>
      <c r="B11892" s="1">
        <v>44687</v>
      </c>
      <c r="C11892">
        <v>1</v>
      </c>
      <c r="D11892">
        <v>10.67</v>
      </c>
      <c r="E11892">
        <v>18</v>
      </c>
    </row>
    <row r="11893" spans="1:5" x14ac:dyDescent="0.3">
      <c r="A11893" t="s">
        <v>85</v>
      </c>
      <c r="B11893" s="1">
        <v>44687</v>
      </c>
      <c r="C11893">
        <v>1</v>
      </c>
      <c r="D11893">
        <v>16.739999999999998</v>
      </c>
      <c r="E11893">
        <v>26</v>
      </c>
    </row>
    <row r="11894" spans="1:5" x14ac:dyDescent="0.3">
      <c r="A11894" t="s">
        <v>85</v>
      </c>
      <c r="B11894" s="1">
        <v>44687</v>
      </c>
      <c r="C11894">
        <v>1</v>
      </c>
      <c r="D11894">
        <v>16.739999999999998</v>
      </c>
      <c r="E11894">
        <v>26</v>
      </c>
    </row>
    <row r="11895" spans="1:5" x14ac:dyDescent="0.3">
      <c r="A11895" t="s">
        <v>85</v>
      </c>
      <c r="B11895" s="1">
        <v>44687</v>
      </c>
      <c r="C11895">
        <v>1</v>
      </c>
      <c r="D11895">
        <v>16.739999999999998</v>
      </c>
      <c r="E11895">
        <v>26</v>
      </c>
    </row>
    <row r="11896" spans="1:5" x14ac:dyDescent="0.3">
      <c r="A11896" t="s">
        <v>85</v>
      </c>
      <c r="B11896" s="1">
        <v>44687</v>
      </c>
      <c r="C11896">
        <v>1</v>
      </c>
      <c r="D11896">
        <v>16.739999999999998</v>
      </c>
      <c r="E11896">
        <v>26</v>
      </c>
    </row>
    <row r="11897" spans="1:5" x14ac:dyDescent="0.3">
      <c r="A11897" t="s">
        <v>70</v>
      </c>
      <c r="B11897" s="1">
        <v>44687</v>
      </c>
      <c r="C11897">
        <v>1</v>
      </c>
      <c r="D11897">
        <v>170.9</v>
      </c>
      <c r="E11897">
        <v>205</v>
      </c>
    </row>
    <row r="11898" spans="1:5" x14ac:dyDescent="0.3">
      <c r="A11898" t="s">
        <v>57</v>
      </c>
      <c r="B11898" s="1">
        <v>44687</v>
      </c>
      <c r="C11898">
        <v>1</v>
      </c>
      <c r="D11898">
        <v>276.29000000000002</v>
      </c>
      <c r="E11898">
        <v>307</v>
      </c>
    </row>
    <row r="11899" spans="1:5" x14ac:dyDescent="0.3">
      <c r="A11899" t="s">
        <v>45</v>
      </c>
      <c r="B11899" s="1">
        <v>44687</v>
      </c>
      <c r="C11899">
        <v>1</v>
      </c>
      <c r="D11899">
        <v>27.94</v>
      </c>
      <c r="E11899">
        <v>45</v>
      </c>
    </row>
    <row r="11900" spans="1:5" x14ac:dyDescent="0.3">
      <c r="A11900" t="s">
        <v>134</v>
      </c>
      <c r="B11900" s="1">
        <v>44687</v>
      </c>
      <c r="C11900">
        <v>1</v>
      </c>
      <c r="D11900">
        <v>27.39</v>
      </c>
      <c r="E11900">
        <v>42</v>
      </c>
    </row>
    <row r="11901" spans="1:5" x14ac:dyDescent="0.3">
      <c r="A11901" t="s">
        <v>134</v>
      </c>
      <c r="B11901" s="1">
        <v>44687</v>
      </c>
      <c r="C11901">
        <v>1</v>
      </c>
      <c r="D11901">
        <v>26.98</v>
      </c>
      <c r="E11901">
        <v>42</v>
      </c>
    </row>
    <row r="11902" spans="1:5" x14ac:dyDescent="0.3">
      <c r="A11902" t="s">
        <v>43</v>
      </c>
      <c r="B11902" s="1">
        <v>44687</v>
      </c>
      <c r="C11902">
        <v>1</v>
      </c>
      <c r="D11902">
        <v>135.96</v>
      </c>
      <c r="E11902">
        <v>163</v>
      </c>
    </row>
    <row r="11903" spans="1:5" x14ac:dyDescent="0.3">
      <c r="A11903" t="s">
        <v>24</v>
      </c>
      <c r="B11903" s="1">
        <v>44687</v>
      </c>
      <c r="C11903">
        <v>1</v>
      </c>
      <c r="D11903">
        <v>107.41</v>
      </c>
      <c r="E11903">
        <v>126</v>
      </c>
    </row>
    <row r="11904" spans="1:5" x14ac:dyDescent="0.3">
      <c r="A11904" t="s">
        <v>48</v>
      </c>
      <c r="B11904" s="1">
        <v>44687</v>
      </c>
      <c r="C11904">
        <v>1</v>
      </c>
      <c r="D11904">
        <v>38.67</v>
      </c>
      <c r="E11904">
        <v>59</v>
      </c>
    </row>
    <row r="11905" spans="1:5" x14ac:dyDescent="0.3">
      <c r="A11905" t="s">
        <v>48</v>
      </c>
      <c r="B11905" s="1">
        <v>44687</v>
      </c>
      <c r="C11905">
        <v>1</v>
      </c>
      <c r="D11905">
        <v>38.67</v>
      </c>
      <c r="E11905">
        <v>59</v>
      </c>
    </row>
    <row r="11906" spans="1:5" x14ac:dyDescent="0.3">
      <c r="A11906" t="s">
        <v>131</v>
      </c>
      <c r="B11906" s="1">
        <v>44687</v>
      </c>
      <c r="C11906">
        <v>1</v>
      </c>
      <c r="D11906">
        <v>361.08</v>
      </c>
      <c r="E11906">
        <v>416</v>
      </c>
    </row>
    <row r="11907" spans="1:5" x14ac:dyDescent="0.3">
      <c r="A11907" t="s">
        <v>26</v>
      </c>
      <c r="B11907" s="1">
        <v>44687</v>
      </c>
      <c r="C11907">
        <v>0.2</v>
      </c>
      <c r="D11907">
        <v>987.84</v>
      </c>
      <c r="E11907">
        <v>1354</v>
      </c>
    </row>
    <row r="11908" spans="1:5" x14ac:dyDescent="0.3">
      <c r="A11908" t="s">
        <v>45</v>
      </c>
      <c r="B11908" s="1">
        <v>44687</v>
      </c>
      <c r="C11908">
        <v>1</v>
      </c>
      <c r="D11908">
        <v>25.59</v>
      </c>
      <c r="E11908">
        <v>45</v>
      </c>
    </row>
    <row r="11909" spans="1:5" x14ac:dyDescent="0.3">
      <c r="A11909" t="s">
        <v>29</v>
      </c>
      <c r="B11909" s="1">
        <v>44687</v>
      </c>
      <c r="C11909">
        <v>1</v>
      </c>
      <c r="D11909">
        <v>480.05</v>
      </c>
      <c r="E11909">
        <v>658</v>
      </c>
    </row>
    <row r="11910" spans="1:5" x14ac:dyDescent="0.3">
      <c r="A11910" t="s">
        <v>98</v>
      </c>
      <c r="B11910" s="1">
        <v>44687</v>
      </c>
      <c r="C11910">
        <v>1</v>
      </c>
      <c r="D11910">
        <v>111.85</v>
      </c>
      <c r="E11910">
        <v>135</v>
      </c>
    </row>
    <row r="11911" spans="1:5" x14ac:dyDescent="0.3">
      <c r="A11911" t="s">
        <v>32</v>
      </c>
      <c r="B11911" s="1">
        <v>44687</v>
      </c>
      <c r="C11911">
        <v>1</v>
      </c>
      <c r="D11911">
        <v>125.73</v>
      </c>
      <c r="E11911">
        <v>198</v>
      </c>
    </row>
    <row r="11912" spans="1:5" x14ac:dyDescent="0.3">
      <c r="A11912" t="s">
        <v>150</v>
      </c>
      <c r="B11912" s="1">
        <v>44687</v>
      </c>
      <c r="C11912">
        <v>2</v>
      </c>
      <c r="D11912">
        <v>77.400000000000006</v>
      </c>
      <c r="E11912">
        <v>124</v>
      </c>
    </row>
    <row r="11913" spans="1:5" x14ac:dyDescent="0.3">
      <c r="A11913" t="s">
        <v>150</v>
      </c>
      <c r="B11913" s="1">
        <v>44687</v>
      </c>
      <c r="C11913">
        <v>1</v>
      </c>
      <c r="D11913">
        <v>77.400000000000006</v>
      </c>
      <c r="E11913">
        <v>124</v>
      </c>
    </row>
    <row r="11914" spans="1:5" x14ac:dyDescent="0.3">
      <c r="A11914" t="s">
        <v>66</v>
      </c>
      <c r="B11914" s="1">
        <v>44687</v>
      </c>
      <c r="C11914">
        <v>1</v>
      </c>
      <c r="D11914">
        <v>31.08</v>
      </c>
      <c r="E11914">
        <v>36</v>
      </c>
    </row>
    <row r="11915" spans="1:5" x14ac:dyDescent="0.3">
      <c r="A11915" t="s">
        <v>26</v>
      </c>
      <c r="B11915" s="1">
        <v>44687</v>
      </c>
      <c r="C11915">
        <v>0.16666700000000001</v>
      </c>
      <c r="D11915">
        <v>986.87</v>
      </c>
      <c r="E11915">
        <v>1234</v>
      </c>
    </row>
    <row r="11916" spans="1:5" x14ac:dyDescent="0.3">
      <c r="A11916" t="s">
        <v>38</v>
      </c>
      <c r="B11916" s="1">
        <v>44687</v>
      </c>
      <c r="C11916">
        <v>1</v>
      </c>
      <c r="D11916">
        <v>27.64</v>
      </c>
      <c r="E11916">
        <v>43</v>
      </c>
    </row>
    <row r="11917" spans="1:5" x14ac:dyDescent="0.3">
      <c r="A11917" t="s">
        <v>38</v>
      </c>
      <c r="B11917" s="1">
        <v>44687</v>
      </c>
      <c r="C11917">
        <v>1</v>
      </c>
      <c r="D11917">
        <v>27.64</v>
      </c>
      <c r="E11917">
        <v>43</v>
      </c>
    </row>
    <row r="11918" spans="1:5" x14ac:dyDescent="0.3">
      <c r="A11918" t="s">
        <v>90</v>
      </c>
      <c r="B11918" s="1">
        <v>44687</v>
      </c>
      <c r="C11918">
        <v>1</v>
      </c>
      <c r="D11918">
        <v>384.2</v>
      </c>
      <c r="E11918">
        <v>462</v>
      </c>
    </row>
    <row r="11919" spans="1:5" x14ac:dyDescent="0.3">
      <c r="A11919" t="s">
        <v>92</v>
      </c>
      <c r="B11919" s="1">
        <v>44687</v>
      </c>
      <c r="C11919">
        <v>10</v>
      </c>
      <c r="D11919">
        <v>6.18</v>
      </c>
      <c r="E11919">
        <v>9</v>
      </c>
    </row>
    <row r="11920" spans="1:5" x14ac:dyDescent="0.3">
      <c r="A11920" t="s">
        <v>50</v>
      </c>
      <c r="B11920" s="1">
        <v>44687</v>
      </c>
      <c r="C11920">
        <v>1</v>
      </c>
      <c r="D11920">
        <v>45.74</v>
      </c>
      <c r="E11920">
        <v>56</v>
      </c>
    </row>
    <row r="11921" spans="1:5" x14ac:dyDescent="0.3">
      <c r="A11921" t="s">
        <v>87</v>
      </c>
      <c r="B11921" s="1">
        <v>44687</v>
      </c>
      <c r="C11921">
        <v>1</v>
      </c>
      <c r="D11921">
        <v>348.66</v>
      </c>
      <c r="E11921">
        <v>395</v>
      </c>
    </row>
    <row r="11922" spans="1:5" x14ac:dyDescent="0.3">
      <c r="A11922" t="s">
        <v>123</v>
      </c>
      <c r="B11922" s="1">
        <v>44687</v>
      </c>
      <c r="C11922">
        <v>1</v>
      </c>
      <c r="D11922">
        <v>63.6</v>
      </c>
      <c r="E11922">
        <v>79</v>
      </c>
    </row>
    <row r="11923" spans="1:5" x14ac:dyDescent="0.3">
      <c r="A11923" t="s">
        <v>24</v>
      </c>
      <c r="B11923" s="1">
        <v>44687</v>
      </c>
      <c r="C11923">
        <v>1</v>
      </c>
      <c r="D11923">
        <v>102.96</v>
      </c>
      <c r="E11923">
        <v>119</v>
      </c>
    </row>
    <row r="11924" spans="1:5" x14ac:dyDescent="0.3">
      <c r="A11924" t="s">
        <v>29</v>
      </c>
      <c r="B11924" s="1">
        <v>44687</v>
      </c>
      <c r="C11924">
        <v>1</v>
      </c>
      <c r="D11924">
        <v>546.26</v>
      </c>
      <c r="E11924">
        <v>572</v>
      </c>
    </row>
    <row r="11925" spans="1:5" x14ac:dyDescent="0.3">
      <c r="A11925" t="s">
        <v>81</v>
      </c>
      <c r="B11925" s="1">
        <v>44687</v>
      </c>
      <c r="C11925">
        <v>1</v>
      </c>
      <c r="D11925">
        <v>39.68</v>
      </c>
      <c r="E11925">
        <v>49</v>
      </c>
    </row>
    <row r="11926" spans="1:5" x14ac:dyDescent="0.3">
      <c r="A11926" t="s">
        <v>18</v>
      </c>
      <c r="B11926" s="1">
        <v>44687</v>
      </c>
      <c r="C11926">
        <v>1</v>
      </c>
      <c r="D11926">
        <v>44</v>
      </c>
      <c r="E11926">
        <v>67</v>
      </c>
    </row>
    <row r="11927" spans="1:5" x14ac:dyDescent="0.3">
      <c r="A11927" t="s">
        <v>18</v>
      </c>
      <c r="B11927" s="1">
        <v>44687</v>
      </c>
      <c r="C11927">
        <v>1</v>
      </c>
      <c r="D11927">
        <v>44</v>
      </c>
      <c r="E11927">
        <v>67</v>
      </c>
    </row>
    <row r="11928" spans="1:5" x14ac:dyDescent="0.3">
      <c r="A11928" t="s">
        <v>6</v>
      </c>
      <c r="B11928" s="1">
        <v>44687</v>
      </c>
      <c r="C11928">
        <v>1</v>
      </c>
      <c r="D11928">
        <v>427.35</v>
      </c>
      <c r="E11928">
        <v>535</v>
      </c>
    </row>
    <row r="11929" spans="1:5" x14ac:dyDescent="0.3">
      <c r="A11929" t="s">
        <v>141</v>
      </c>
      <c r="B11929" s="1">
        <v>44687</v>
      </c>
      <c r="C11929">
        <v>1</v>
      </c>
      <c r="D11929">
        <v>16.38</v>
      </c>
      <c r="E11929">
        <v>27</v>
      </c>
    </row>
    <row r="11930" spans="1:5" x14ac:dyDescent="0.3">
      <c r="A11930" t="s">
        <v>141</v>
      </c>
      <c r="B11930" s="1">
        <v>44687</v>
      </c>
      <c r="C11930">
        <v>2</v>
      </c>
      <c r="D11930">
        <v>16.38</v>
      </c>
      <c r="E11930">
        <v>27</v>
      </c>
    </row>
    <row r="11931" spans="1:5" x14ac:dyDescent="0.3">
      <c r="A11931" t="s">
        <v>63</v>
      </c>
      <c r="B11931" s="1">
        <v>44687</v>
      </c>
      <c r="C11931">
        <v>1</v>
      </c>
      <c r="D11931">
        <v>73.3</v>
      </c>
      <c r="E11931">
        <v>88</v>
      </c>
    </row>
    <row r="11932" spans="1:5" x14ac:dyDescent="0.3">
      <c r="A11932" t="s">
        <v>47</v>
      </c>
      <c r="B11932" s="1">
        <v>44687</v>
      </c>
      <c r="C11932">
        <v>1</v>
      </c>
      <c r="D11932">
        <v>43.49</v>
      </c>
      <c r="E11932">
        <v>69</v>
      </c>
    </row>
    <row r="11933" spans="1:5" x14ac:dyDescent="0.3">
      <c r="A11933" t="s">
        <v>12</v>
      </c>
      <c r="B11933" s="1">
        <v>44687</v>
      </c>
      <c r="C11933">
        <v>1</v>
      </c>
      <c r="D11933">
        <v>56.84</v>
      </c>
      <c r="E11933">
        <v>70</v>
      </c>
    </row>
    <row r="11934" spans="1:5" x14ac:dyDescent="0.3">
      <c r="A11934" t="s">
        <v>12</v>
      </c>
      <c r="B11934" s="1">
        <v>44687</v>
      </c>
      <c r="C11934">
        <v>1</v>
      </c>
      <c r="D11934">
        <v>56.84</v>
      </c>
      <c r="E11934">
        <v>70</v>
      </c>
    </row>
    <row r="11935" spans="1:5" x14ac:dyDescent="0.3">
      <c r="A11935" t="s">
        <v>30</v>
      </c>
      <c r="B11935" s="1">
        <v>44687</v>
      </c>
      <c r="C11935">
        <v>1</v>
      </c>
      <c r="D11935">
        <v>156.19999999999999</v>
      </c>
      <c r="E11935">
        <v>186</v>
      </c>
    </row>
    <row r="11936" spans="1:5" x14ac:dyDescent="0.3">
      <c r="A11936" t="s">
        <v>30</v>
      </c>
      <c r="B11936" s="1">
        <v>44687</v>
      </c>
      <c r="C11936">
        <v>1</v>
      </c>
      <c r="D11936">
        <v>156.19999999999999</v>
      </c>
      <c r="E11936">
        <v>186</v>
      </c>
    </row>
    <row r="11937" spans="1:5" x14ac:dyDescent="0.3">
      <c r="A11937" t="s">
        <v>30</v>
      </c>
      <c r="B11937" s="1">
        <v>44687</v>
      </c>
      <c r="C11937">
        <v>1</v>
      </c>
      <c r="D11937">
        <v>156.19999999999999</v>
      </c>
      <c r="E11937">
        <v>186</v>
      </c>
    </row>
    <row r="11938" spans="1:5" x14ac:dyDescent="0.3">
      <c r="A11938" t="s">
        <v>134</v>
      </c>
      <c r="B11938" s="1">
        <v>44687</v>
      </c>
      <c r="C11938">
        <v>1</v>
      </c>
      <c r="D11938">
        <v>27.28</v>
      </c>
      <c r="E11938">
        <v>43</v>
      </c>
    </row>
    <row r="11939" spans="1:5" x14ac:dyDescent="0.3">
      <c r="A11939" t="s">
        <v>51</v>
      </c>
      <c r="B11939" s="1">
        <v>44687</v>
      </c>
      <c r="C11939">
        <v>12</v>
      </c>
      <c r="D11939">
        <v>2.0499999999999998</v>
      </c>
      <c r="E11939">
        <v>4</v>
      </c>
    </row>
    <row r="11940" spans="1:5" x14ac:dyDescent="0.3">
      <c r="A11940" t="s">
        <v>25</v>
      </c>
      <c r="B11940" s="1">
        <v>44687</v>
      </c>
      <c r="C11940">
        <v>1</v>
      </c>
      <c r="D11940">
        <v>147.4</v>
      </c>
      <c r="E11940">
        <v>180</v>
      </c>
    </row>
    <row r="11941" spans="1:5" x14ac:dyDescent="0.3">
      <c r="A11941" t="s">
        <v>65</v>
      </c>
      <c r="B11941" s="1">
        <v>44687</v>
      </c>
      <c r="C11941">
        <v>1</v>
      </c>
      <c r="D11941">
        <v>176.77</v>
      </c>
      <c r="E11941">
        <v>207</v>
      </c>
    </row>
    <row r="11942" spans="1:5" x14ac:dyDescent="0.3">
      <c r="A11942" t="s">
        <v>92</v>
      </c>
      <c r="B11942" s="1">
        <v>44687</v>
      </c>
      <c r="C11942">
        <v>10</v>
      </c>
      <c r="D11942">
        <v>6.18</v>
      </c>
      <c r="E11942">
        <v>9</v>
      </c>
    </row>
    <row r="11943" spans="1:5" x14ac:dyDescent="0.3">
      <c r="A11943" t="s">
        <v>67</v>
      </c>
      <c r="B11943" s="1">
        <v>44687</v>
      </c>
      <c r="C11943">
        <v>1</v>
      </c>
      <c r="D11943">
        <v>53.95</v>
      </c>
      <c r="E11943">
        <v>77</v>
      </c>
    </row>
    <row r="11944" spans="1:5" x14ac:dyDescent="0.3">
      <c r="A11944" t="s">
        <v>133</v>
      </c>
      <c r="B11944" s="1">
        <v>44687</v>
      </c>
      <c r="C11944">
        <v>3</v>
      </c>
      <c r="D11944">
        <v>6.19</v>
      </c>
      <c r="E11944">
        <v>11</v>
      </c>
    </row>
    <row r="11945" spans="1:5" x14ac:dyDescent="0.3">
      <c r="A11945" t="s">
        <v>92</v>
      </c>
      <c r="B11945" s="1">
        <v>44687</v>
      </c>
      <c r="C11945">
        <v>2</v>
      </c>
      <c r="D11945">
        <v>6.18</v>
      </c>
      <c r="E11945">
        <v>9</v>
      </c>
    </row>
    <row r="11946" spans="1:5" x14ac:dyDescent="0.3">
      <c r="A11946" t="s">
        <v>13</v>
      </c>
      <c r="B11946" s="1">
        <v>44687</v>
      </c>
      <c r="C11946">
        <v>1</v>
      </c>
      <c r="D11946">
        <v>119.72</v>
      </c>
      <c r="E11946">
        <v>147</v>
      </c>
    </row>
    <row r="11947" spans="1:5" x14ac:dyDescent="0.3">
      <c r="A11947" t="s">
        <v>150</v>
      </c>
      <c r="B11947" s="1">
        <v>44687</v>
      </c>
      <c r="C11947">
        <v>3</v>
      </c>
      <c r="D11947">
        <v>80.14</v>
      </c>
      <c r="E11947">
        <v>126</v>
      </c>
    </row>
    <row r="11948" spans="1:5" x14ac:dyDescent="0.3">
      <c r="A11948" t="s">
        <v>65</v>
      </c>
      <c r="B11948" s="1">
        <v>44687</v>
      </c>
      <c r="C11948">
        <v>1</v>
      </c>
      <c r="D11948">
        <v>181.12</v>
      </c>
      <c r="E11948">
        <v>231</v>
      </c>
    </row>
    <row r="11949" spans="1:5" x14ac:dyDescent="0.3">
      <c r="A11949" t="s">
        <v>134</v>
      </c>
      <c r="B11949" s="1">
        <v>44687</v>
      </c>
      <c r="C11949">
        <v>1</v>
      </c>
      <c r="D11949">
        <v>27.28</v>
      </c>
      <c r="E11949">
        <v>43</v>
      </c>
    </row>
    <row r="11950" spans="1:5" x14ac:dyDescent="0.3">
      <c r="A11950" t="s">
        <v>134</v>
      </c>
      <c r="B11950" s="1">
        <v>44687</v>
      </c>
      <c r="C11950">
        <v>1</v>
      </c>
      <c r="D11950">
        <v>33.18</v>
      </c>
      <c r="E11950">
        <v>53</v>
      </c>
    </row>
    <row r="11951" spans="1:5" x14ac:dyDescent="0.3">
      <c r="A11951" t="s">
        <v>53</v>
      </c>
      <c r="B11951" s="1">
        <v>44687</v>
      </c>
      <c r="C11951">
        <v>1</v>
      </c>
      <c r="D11951">
        <v>23.4</v>
      </c>
      <c r="E11951">
        <v>38</v>
      </c>
    </row>
    <row r="11952" spans="1:5" x14ac:dyDescent="0.3">
      <c r="A11952" t="s">
        <v>98</v>
      </c>
      <c r="B11952" s="1">
        <v>44687</v>
      </c>
      <c r="C11952">
        <v>1</v>
      </c>
      <c r="D11952">
        <v>110.73</v>
      </c>
      <c r="E11952">
        <v>136</v>
      </c>
    </row>
    <row r="11953" spans="1:5" x14ac:dyDescent="0.3">
      <c r="A11953" t="s">
        <v>20</v>
      </c>
      <c r="B11953" s="1">
        <v>44687</v>
      </c>
      <c r="C11953">
        <v>1</v>
      </c>
      <c r="D11953">
        <v>22.66</v>
      </c>
      <c r="E11953">
        <v>30</v>
      </c>
    </row>
    <row r="11954" spans="1:5" x14ac:dyDescent="0.3">
      <c r="A11954" t="s">
        <v>87</v>
      </c>
      <c r="B11954" s="1">
        <v>44687</v>
      </c>
      <c r="C11954">
        <v>1</v>
      </c>
      <c r="D11954">
        <v>351.11</v>
      </c>
      <c r="E11954">
        <v>413</v>
      </c>
    </row>
    <row r="11955" spans="1:5" x14ac:dyDescent="0.3">
      <c r="A11955" t="s">
        <v>153</v>
      </c>
      <c r="B11955" s="1">
        <v>44687</v>
      </c>
      <c r="C11955">
        <v>1</v>
      </c>
      <c r="D11955">
        <v>9.4600000000000009</v>
      </c>
      <c r="E11955">
        <v>11</v>
      </c>
    </row>
    <row r="11956" spans="1:5" x14ac:dyDescent="0.3">
      <c r="A11956" t="s">
        <v>153</v>
      </c>
      <c r="B11956" s="1">
        <v>44687</v>
      </c>
      <c r="C11956">
        <v>1</v>
      </c>
      <c r="D11956">
        <v>9.4600000000000009</v>
      </c>
      <c r="E11956">
        <v>11</v>
      </c>
    </row>
    <row r="11957" spans="1:5" x14ac:dyDescent="0.3">
      <c r="A11957" t="s">
        <v>153</v>
      </c>
      <c r="B11957" s="1">
        <v>44687</v>
      </c>
      <c r="C11957">
        <v>1</v>
      </c>
      <c r="D11957">
        <v>9.4600000000000009</v>
      </c>
      <c r="E11957">
        <v>11</v>
      </c>
    </row>
    <row r="11958" spans="1:5" x14ac:dyDescent="0.3">
      <c r="A11958" t="s">
        <v>153</v>
      </c>
      <c r="B11958" s="1">
        <v>44687</v>
      </c>
      <c r="C11958">
        <v>1</v>
      </c>
      <c r="D11958">
        <v>9.4600000000000009</v>
      </c>
      <c r="E11958">
        <v>11</v>
      </c>
    </row>
    <row r="11959" spans="1:5" x14ac:dyDescent="0.3">
      <c r="A11959" t="s">
        <v>153</v>
      </c>
      <c r="B11959" s="1">
        <v>44687</v>
      </c>
      <c r="C11959">
        <v>1</v>
      </c>
      <c r="D11959">
        <v>9.4600000000000009</v>
      </c>
      <c r="E11959">
        <v>11</v>
      </c>
    </row>
    <row r="11960" spans="1:5" x14ac:dyDescent="0.3">
      <c r="A11960" t="s">
        <v>153</v>
      </c>
      <c r="B11960" s="1">
        <v>44687</v>
      </c>
      <c r="C11960">
        <v>1</v>
      </c>
      <c r="D11960">
        <v>9.4600000000000009</v>
      </c>
      <c r="E11960">
        <v>11</v>
      </c>
    </row>
    <row r="11961" spans="1:5" x14ac:dyDescent="0.3">
      <c r="A11961" t="s">
        <v>153</v>
      </c>
      <c r="B11961" s="1">
        <v>44687</v>
      </c>
      <c r="C11961">
        <v>1</v>
      </c>
      <c r="D11961">
        <v>9.4600000000000009</v>
      </c>
      <c r="E11961">
        <v>11</v>
      </c>
    </row>
    <row r="11962" spans="1:5" x14ac:dyDescent="0.3">
      <c r="A11962" t="s">
        <v>153</v>
      </c>
      <c r="B11962" s="1">
        <v>44687</v>
      </c>
      <c r="C11962">
        <v>1</v>
      </c>
      <c r="D11962">
        <v>9.4600000000000009</v>
      </c>
      <c r="E11962">
        <v>11</v>
      </c>
    </row>
    <row r="11963" spans="1:5" x14ac:dyDescent="0.3">
      <c r="A11963" t="s">
        <v>153</v>
      </c>
      <c r="B11963" s="1">
        <v>44687</v>
      </c>
      <c r="C11963">
        <v>1</v>
      </c>
      <c r="D11963">
        <v>9.4600000000000009</v>
      </c>
      <c r="E11963">
        <v>11</v>
      </c>
    </row>
    <row r="11964" spans="1:5" x14ac:dyDescent="0.3">
      <c r="A11964" t="s">
        <v>153</v>
      </c>
      <c r="B11964" s="1">
        <v>44687</v>
      </c>
      <c r="C11964">
        <v>1</v>
      </c>
      <c r="D11964">
        <v>9.4600000000000009</v>
      </c>
      <c r="E11964">
        <v>11</v>
      </c>
    </row>
    <row r="11965" spans="1:5" x14ac:dyDescent="0.3">
      <c r="A11965" t="s">
        <v>112</v>
      </c>
      <c r="B11965" s="1">
        <v>44687</v>
      </c>
      <c r="C11965">
        <v>1</v>
      </c>
      <c r="D11965">
        <v>291.42</v>
      </c>
      <c r="E11965">
        <v>335</v>
      </c>
    </row>
    <row r="11966" spans="1:5" x14ac:dyDescent="0.3">
      <c r="A11966" t="s">
        <v>8</v>
      </c>
      <c r="B11966" s="1">
        <v>44687</v>
      </c>
      <c r="C11966">
        <v>1</v>
      </c>
      <c r="D11966">
        <v>50.12</v>
      </c>
      <c r="E11966">
        <v>79</v>
      </c>
    </row>
    <row r="11967" spans="1:5" x14ac:dyDescent="0.3">
      <c r="A11967" t="s">
        <v>120</v>
      </c>
      <c r="B11967" s="1">
        <v>44687</v>
      </c>
      <c r="C11967">
        <v>1</v>
      </c>
      <c r="D11967">
        <v>163.34</v>
      </c>
      <c r="E11967">
        <v>228</v>
      </c>
    </row>
    <row r="11968" spans="1:5" x14ac:dyDescent="0.3">
      <c r="A11968" t="s">
        <v>97</v>
      </c>
      <c r="B11968" s="1">
        <v>44687</v>
      </c>
      <c r="C11968">
        <v>1</v>
      </c>
      <c r="D11968">
        <v>423.61</v>
      </c>
      <c r="E11968">
        <v>572</v>
      </c>
    </row>
    <row r="11969" spans="1:5" x14ac:dyDescent="0.3">
      <c r="A11969" t="s">
        <v>100</v>
      </c>
      <c r="B11969" s="1">
        <v>44687</v>
      </c>
      <c r="C11969">
        <v>1</v>
      </c>
      <c r="D11969">
        <v>36.03</v>
      </c>
      <c r="E11969">
        <v>56</v>
      </c>
    </row>
    <row r="11970" spans="1:5" x14ac:dyDescent="0.3">
      <c r="A11970" t="s">
        <v>57</v>
      </c>
      <c r="B11970" s="1">
        <v>44687</v>
      </c>
      <c r="C11970">
        <v>1</v>
      </c>
      <c r="D11970">
        <v>233.76</v>
      </c>
      <c r="E11970">
        <v>274</v>
      </c>
    </row>
    <row r="11971" spans="1:5" x14ac:dyDescent="0.3">
      <c r="A11971" t="s">
        <v>143</v>
      </c>
      <c r="B11971" s="1">
        <v>44687</v>
      </c>
      <c r="C11971">
        <v>1</v>
      </c>
      <c r="D11971">
        <v>46.9</v>
      </c>
      <c r="E11971">
        <v>73</v>
      </c>
    </row>
    <row r="11972" spans="1:5" x14ac:dyDescent="0.3">
      <c r="A11972" t="s">
        <v>84</v>
      </c>
      <c r="B11972" s="1">
        <v>44687</v>
      </c>
      <c r="C11972">
        <v>1</v>
      </c>
      <c r="D11972">
        <v>161.47999999999999</v>
      </c>
      <c r="E11972">
        <v>202</v>
      </c>
    </row>
    <row r="11973" spans="1:5" x14ac:dyDescent="0.3">
      <c r="A11973" t="s">
        <v>30</v>
      </c>
      <c r="B11973" s="1">
        <v>44687</v>
      </c>
      <c r="C11973">
        <v>1</v>
      </c>
      <c r="D11973">
        <v>156.19999999999999</v>
      </c>
      <c r="E11973">
        <v>186</v>
      </c>
    </row>
    <row r="11974" spans="1:5" x14ac:dyDescent="0.3">
      <c r="A11974" t="s">
        <v>104</v>
      </c>
      <c r="B11974" s="1">
        <v>44687</v>
      </c>
      <c r="C11974">
        <v>1</v>
      </c>
      <c r="D11974">
        <v>45.2</v>
      </c>
      <c r="E11974">
        <v>57</v>
      </c>
    </row>
    <row r="11975" spans="1:5" x14ac:dyDescent="0.3">
      <c r="A11975" t="s">
        <v>98</v>
      </c>
      <c r="B11975" s="1">
        <v>44687</v>
      </c>
      <c r="C11975">
        <v>1</v>
      </c>
      <c r="D11975">
        <v>110.73</v>
      </c>
      <c r="E11975">
        <v>134</v>
      </c>
    </row>
    <row r="11976" spans="1:5" x14ac:dyDescent="0.3">
      <c r="A11976" t="s">
        <v>90</v>
      </c>
      <c r="B11976" s="1">
        <v>44687</v>
      </c>
      <c r="C11976">
        <v>1</v>
      </c>
      <c r="D11976">
        <v>401.83</v>
      </c>
      <c r="E11976">
        <v>495</v>
      </c>
    </row>
    <row r="11977" spans="1:5" x14ac:dyDescent="0.3">
      <c r="A11977" t="s">
        <v>147</v>
      </c>
      <c r="B11977" s="1">
        <v>44687</v>
      </c>
      <c r="C11977">
        <v>1</v>
      </c>
      <c r="D11977">
        <v>136.07</v>
      </c>
      <c r="E11977">
        <v>190</v>
      </c>
    </row>
    <row r="11978" spans="1:5" x14ac:dyDescent="0.3">
      <c r="A11978" t="s">
        <v>17</v>
      </c>
      <c r="B11978" s="1">
        <v>44687</v>
      </c>
      <c r="C11978">
        <v>1</v>
      </c>
      <c r="D11978">
        <v>388.41</v>
      </c>
      <c r="E11978">
        <v>467</v>
      </c>
    </row>
    <row r="11979" spans="1:5" x14ac:dyDescent="0.3">
      <c r="A11979" t="s">
        <v>122</v>
      </c>
      <c r="B11979" s="1">
        <v>44687</v>
      </c>
      <c r="C11979">
        <v>1</v>
      </c>
      <c r="D11979">
        <v>21.64</v>
      </c>
      <c r="E11979">
        <v>27</v>
      </c>
    </row>
    <row r="11980" spans="1:5" x14ac:dyDescent="0.3">
      <c r="A11980" t="s">
        <v>35</v>
      </c>
      <c r="B11980" s="1">
        <v>44687</v>
      </c>
      <c r="C11980">
        <v>1</v>
      </c>
      <c r="D11980">
        <v>35</v>
      </c>
      <c r="E11980">
        <v>54</v>
      </c>
    </row>
    <row r="11981" spans="1:5" x14ac:dyDescent="0.3">
      <c r="A11981" t="s">
        <v>122</v>
      </c>
      <c r="B11981" s="1">
        <v>44687</v>
      </c>
      <c r="C11981">
        <v>1</v>
      </c>
      <c r="D11981">
        <v>23.9</v>
      </c>
      <c r="E11981">
        <v>29</v>
      </c>
    </row>
    <row r="11982" spans="1:5" x14ac:dyDescent="0.3">
      <c r="A11982" t="s">
        <v>34</v>
      </c>
      <c r="B11982" s="1">
        <v>44687</v>
      </c>
      <c r="C11982">
        <v>1</v>
      </c>
      <c r="D11982">
        <v>200.94</v>
      </c>
      <c r="E11982">
        <v>232</v>
      </c>
    </row>
    <row r="11983" spans="1:5" x14ac:dyDescent="0.3">
      <c r="A11983" t="s">
        <v>55</v>
      </c>
      <c r="B11983" s="1">
        <v>44687</v>
      </c>
      <c r="C11983">
        <v>1</v>
      </c>
      <c r="D11983">
        <v>77.63</v>
      </c>
      <c r="E11983">
        <v>95</v>
      </c>
    </row>
    <row r="11984" spans="1:5" x14ac:dyDescent="0.3">
      <c r="A11984" t="s">
        <v>23</v>
      </c>
      <c r="B11984" s="1">
        <v>44687</v>
      </c>
      <c r="C11984">
        <v>1</v>
      </c>
      <c r="D11984">
        <v>109.12</v>
      </c>
      <c r="E11984">
        <v>123</v>
      </c>
    </row>
    <row r="11985" spans="1:5" x14ac:dyDescent="0.3">
      <c r="A11985" t="s">
        <v>55</v>
      </c>
      <c r="B11985" s="1">
        <v>44687</v>
      </c>
      <c r="C11985">
        <v>1</v>
      </c>
      <c r="D11985">
        <v>77.63</v>
      </c>
      <c r="E11985">
        <v>95</v>
      </c>
    </row>
    <row r="11986" spans="1:5" x14ac:dyDescent="0.3">
      <c r="A11986" t="s">
        <v>55</v>
      </c>
      <c r="B11986" s="1">
        <v>44687</v>
      </c>
      <c r="C11986">
        <v>1</v>
      </c>
      <c r="D11986">
        <v>77.63</v>
      </c>
      <c r="E11986">
        <v>95</v>
      </c>
    </row>
    <row r="11987" spans="1:5" x14ac:dyDescent="0.3">
      <c r="A11987" t="s">
        <v>55</v>
      </c>
      <c r="B11987" s="1">
        <v>44687</v>
      </c>
      <c r="C11987">
        <v>1</v>
      </c>
      <c r="D11987">
        <v>89.4</v>
      </c>
      <c r="E11987">
        <v>106</v>
      </c>
    </row>
    <row r="11988" spans="1:5" x14ac:dyDescent="0.3">
      <c r="A11988" t="s">
        <v>19</v>
      </c>
      <c r="B11988" s="1">
        <v>44687</v>
      </c>
      <c r="C11988">
        <v>1</v>
      </c>
      <c r="D11988">
        <v>80.52</v>
      </c>
      <c r="E11988">
        <v>103</v>
      </c>
    </row>
    <row r="11989" spans="1:5" x14ac:dyDescent="0.3">
      <c r="A11989" t="s">
        <v>19</v>
      </c>
      <c r="B11989" s="1">
        <v>44687</v>
      </c>
      <c r="C11989">
        <v>1</v>
      </c>
      <c r="D11989">
        <v>80.52</v>
      </c>
      <c r="E11989">
        <v>103</v>
      </c>
    </row>
    <row r="11990" spans="1:5" x14ac:dyDescent="0.3">
      <c r="A11990" t="s">
        <v>19</v>
      </c>
      <c r="B11990" s="1">
        <v>44687</v>
      </c>
      <c r="C11990">
        <v>1</v>
      </c>
      <c r="D11990">
        <v>80.52</v>
      </c>
      <c r="E11990">
        <v>103</v>
      </c>
    </row>
    <row r="11991" spans="1:5" x14ac:dyDescent="0.3">
      <c r="A11991" t="s">
        <v>115</v>
      </c>
      <c r="B11991" s="1">
        <v>44687</v>
      </c>
      <c r="C11991">
        <v>1</v>
      </c>
      <c r="D11991">
        <v>71.349999999999994</v>
      </c>
      <c r="E11991">
        <v>90</v>
      </c>
    </row>
    <row r="11992" spans="1:5" x14ac:dyDescent="0.3">
      <c r="A11992" t="s">
        <v>23</v>
      </c>
      <c r="B11992" s="1">
        <v>44687</v>
      </c>
      <c r="C11992">
        <v>1</v>
      </c>
      <c r="D11992">
        <v>112.85</v>
      </c>
      <c r="E11992">
        <v>127</v>
      </c>
    </row>
    <row r="11993" spans="1:5" x14ac:dyDescent="0.3">
      <c r="A11993" t="s">
        <v>12</v>
      </c>
      <c r="B11993" s="1">
        <v>44687</v>
      </c>
      <c r="C11993">
        <v>1</v>
      </c>
      <c r="D11993">
        <v>60.29</v>
      </c>
      <c r="E11993">
        <v>75</v>
      </c>
    </row>
    <row r="11994" spans="1:5" x14ac:dyDescent="0.3">
      <c r="A11994" t="s">
        <v>12</v>
      </c>
      <c r="B11994" s="1">
        <v>44687</v>
      </c>
      <c r="C11994">
        <v>1</v>
      </c>
      <c r="D11994">
        <v>60.29</v>
      </c>
      <c r="E11994">
        <v>75</v>
      </c>
    </row>
    <row r="11995" spans="1:5" x14ac:dyDescent="0.3">
      <c r="A11995" t="s">
        <v>122</v>
      </c>
      <c r="B11995" s="1">
        <v>44687</v>
      </c>
      <c r="C11995">
        <v>1</v>
      </c>
      <c r="D11995">
        <v>20.46</v>
      </c>
      <c r="E11995">
        <v>25</v>
      </c>
    </row>
    <row r="11996" spans="1:5" x14ac:dyDescent="0.3">
      <c r="A11996" t="s">
        <v>62</v>
      </c>
      <c r="B11996" s="1">
        <v>44687</v>
      </c>
      <c r="C11996">
        <v>1</v>
      </c>
      <c r="D11996">
        <v>25.48</v>
      </c>
      <c r="E11996">
        <v>31</v>
      </c>
    </row>
    <row r="11997" spans="1:5" x14ac:dyDescent="0.3">
      <c r="A11997" t="s">
        <v>98</v>
      </c>
      <c r="B11997" s="1">
        <v>44687</v>
      </c>
      <c r="C11997">
        <v>1</v>
      </c>
      <c r="D11997">
        <v>110.73</v>
      </c>
      <c r="E11997">
        <v>134</v>
      </c>
    </row>
    <row r="11998" spans="1:5" x14ac:dyDescent="0.3">
      <c r="A11998" t="s">
        <v>24</v>
      </c>
      <c r="B11998" s="1">
        <v>44687</v>
      </c>
      <c r="C11998">
        <v>1</v>
      </c>
      <c r="D11998">
        <v>99.84</v>
      </c>
      <c r="E11998">
        <v>122</v>
      </c>
    </row>
    <row r="11999" spans="1:5" x14ac:dyDescent="0.3">
      <c r="A11999" t="s">
        <v>65</v>
      </c>
      <c r="B11999" s="1">
        <v>44687</v>
      </c>
      <c r="C11999">
        <v>1</v>
      </c>
      <c r="D11999">
        <v>176.42</v>
      </c>
      <c r="E11999">
        <v>207</v>
      </c>
    </row>
    <row r="12000" spans="1:5" x14ac:dyDescent="0.3">
      <c r="A12000" t="s">
        <v>112</v>
      </c>
      <c r="B12000" s="1">
        <v>44687</v>
      </c>
      <c r="C12000">
        <v>1</v>
      </c>
      <c r="D12000">
        <v>291.43</v>
      </c>
      <c r="E12000">
        <v>345</v>
      </c>
    </row>
    <row r="12001" spans="1:5" x14ac:dyDescent="0.3">
      <c r="A12001" t="s">
        <v>88</v>
      </c>
      <c r="B12001" s="1">
        <v>44687</v>
      </c>
      <c r="C12001">
        <v>1</v>
      </c>
      <c r="D12001">
        <v>109.8</v>
      </c>
      <c r="E12001">
        <v>173</v>
      </c>
    </row>
    <row r="12002" spans="1:5" x14ac:dyDescent="0.3">
      <c r="A12002" t="s">
        <v>29</v>
      </c>
      <c r="B12002" s="1">
        <v>44687</v>
      </c>
      <c r="C12002">
        <v>1</v>
      </c>
      <c r="D12002">
        <v>487.23</v>
      </c>
      <c r="E12002">
        <v>668</v>
      </c>
    </row>
    <row r="12003" spans="1:5" x14ac:dyDescent="0.3">
      <c r="A12003" t="s">
        <v>25</v>
      </c>
      <c r="B12003" s="1">
        <v>44687</v>
      </c>
      <c r="C12003">
        <v>1</v>
      </c>
      <c r="D12003">
        <v>148.58000000000001</v>
      </c>
      <c r="E12003">
        <v>179</v>
      </c>
    </row>
    <row r="12004" spans="1:5" x14ac:dyDescent="0.3">
      <c r="A12004" t="s">
        <v>61</v>
      </c>
      <c r="B12004" s="1">
        <v>44687</v>
      </c>
      <c r="C12004">
        <v>1</v>
      </c>
      <c r="D12004">
        <v>32.85</v>
      </c>
      <c r="E12004">
        <v>52</v>
      </c>
    </row>
    <row r="12005" spans="1:5" x14ac:dyDescent="0.3">
      <c r="A12005" t="s">
        <v>51</v>
      </c>
      <c r="B12005" s="1">
        <v>44687</v>
      </c>
      <c r="C12005">
        <v>4</v>
      </c>
      <c r="D12005">
        <v>1.98</v>
      </c>
      <c r="E12005">
        <v>3.2</v>
      </c>
    </row>
    <row r="12006" spans="1:5" x14ac:dyDescent="0.3">
      <c r="A12006" t="s">
        <v>25</v>
      </c>
      <c r="B12006" s="1">
        <v>44687</v>
      </c>
      <c r="C12006">
        <v>1</v>
      </c>
      <c r="D12006">
        <v>147.4</v>
      </c>
      <c r="E12006">
        <v>177</v>
      </c>
    </row>
    <row r="12007" spans="1:5" x14ac:dyDescent="0.3">
      <c r="A12007" t="s">
        <v>19</v>
      </c>
      <c r="B12007" s="1">
        <v>44687</v>
      </c>
      <c r="C12007">
        <v>1</v>
      </c>
      <c r="D12007">
        <v>81.58</v>
      </c>
      <c r="E12007">
        <v>102</v>
      </c>
    </row>
    <row r="12008" spans="1:5" x14ac:dyDescent="0.3">
      <c r="A12008" t="s">
        <v>19</v>
      </c>
      <c r="B12008" s="1">
        <v>44687</v>
      </c>
      <c r="C12008">
        <v>1</v>
      </c>
      <c r="D12008">
        <v>81.58</v>
      </c>
      <c r="E12008">
        <v>102</v>
      </c>
    </row>
    <row r="12009" spans="1:5" x14ac:dyDescent="0.3">
      <c r="A12009" t="s">
        <v>27</v>
      </c>
      <c r="B12009" s="1">
        <v>44687</v>
      </c>
      <c r="C12009">
        <v>1</v>
      </c>
      <c r="D12009">
        <v>105.23</v>
      </c>
      <c r="E12009">
        <v>161</v>
      </c>
    </row>
    <row r="12010" spans="1:5" x14ac:dyDescent="0.3">
      <c r="A12010" t="s">
        <v>47</v>
      </c>
      <c r="B12010" s="1">
        <v>44687</v>
      </c>
      <c r="C12010">
        <v>1</v>
      </c>
      <c r="D12010">
        <v>41.58</v>
      </c>
      <c r="E12010">
        <v>65</v>
      </c>
    </row>
    <row r="12011" spans="1:5" x14ac:dyDescent="0.3">
      <c r="A12011" t="s">
        <v>149</v>
      </c>
      <c r="B12011" s="1">
        <v>44687</v>
      </c>
      <c r="C12011">
        <v>1</v>
      </c>
      <c r="D12011">
        <v>218.9</v>
      </c>
      <c r="E12011">
        <v>296</v>
      </c>
    </row>
    <row r="12012" spans="1:5" x14ac:dyDescent="0.3">
      <c r="A12012" t="s">
        <v>149</v>
      </c>
      <c r="B12012" s="1">
        <v>44687</v>
      </c>
      <c r="C12012">
        <v>1</v>
      </c>
      <c r="D12012">
        <v>218.9</v>
      </c>
      <c r="E12012">
        <v>296</v>
      </c>
    </row>
    <row r="12013" spans="1:5" x14ac:dyDescent="0.3">
      <c r="A12013" t="s">
        <v>160</v>
      </c>
      <c r="B12013" s="1">
        <v>44687</v>
      </c>
      <c r="C12013">
        <v>1</v>
      </c>
      <c r="D12013">
        <v>77.989999999999995</v>
      </c>
      <c r="E12013">
        <v>95</v>
      </c>
    </row>
    <row r="12014" spans="1:5" x14ac:dyDescent="0.3">
      <c r="A12014" t="s">
        <v>155</v>
      </c>
      <c r="B12014" s="1">
        <v>44687</v>
      </c>
      <c r="C12014">
        <v>0.24</v>
      </c>
      <c r="D12014">
        <v>491.7</v>
      </c>
      <c r="E12014">
        <v>748</v>
      </c>
    </row>
    <row r="12015" spans="1:5" x14ac:dyDescent="0.3">
      <c r="A12015" t="s">
        <v>47</v>
      </c>
      <c r="B12015" s="1">
        <v>44687</v>
      </c>
      <c r="C12015">
        <v>1</v>
      </c>
      <c r="D12015">
        <v>43.93</v>
      </c>
      <c r="E12015">
        <v>67</v>
      </c>
    </row>
    <row r="12016" spans="1:5" x14ac:dyDescent="0.3">
      <c r="A12016" t="s">
        <v>43</v>
      </c>
      <c r="B12016" s="1">
        <v>44687</v>
      </c>
      <c r="C12016">
        <v>1</v>
      </c>
      <c r="D12016">
        <v>134.68</v>
      </c>
      <c r="E12016">
        <v>162</v>
      </c>
    </row>
    <row r="12017" spans="1:5" x14ac:dyDescent="0.3">
      <c r="A12017" t="s">
        <v>12</v>
      </c>
      <c r="B12017" s="1">
        <v>44687</v>
      </c>
      <c r="C12017">
        <v>1</v>
      </c>
      <c r="D12017">
        <v>61.03</v>
      </c>
      <c r="E12017">
        <v>75</v>
      </c>
    </row>
    <row r="12018" spans="1:5" x14ac:dyDescent="0.3">
      <c r="A12018" t="s">
        <v>157</v>
      </c>
      <c r="B12018" s="1">
        <v>44687</v>
      </c>
      <c r="C12018">
        <v>1</v>
      </c>
      <c r="D12018">
        <v>12</v>
      </c>
      <c r="E12018">
        <v>20</v>
      </c>
    </row>
    <row r="12019" spans="1:5" x14ac:dyDescent="0.3">
      <c r="A12019" t="s">
        <v>68</v>
      </c>
      <c r="B12019" s="1">
        <v>44687</v>
      </c>
      <c r="C12019">
        <v>1</v>
      </c>
      <c r="D12019">
        <v>62.36</v>
      </c>
      <c r="E12019">
        <v>92</v>
      </c>
    </row>
    <row r="12020" spans="1:5" x14ac:dyDescent="0.3">
      <c r="A12020" t="s">
        <v>96</v>
      </c>
      <c r="B12020" s="1">
        <v>44687</v>
      </c>
      <c r="C12020">
        <v>1</v>
      </c>
      <c r="D12020">
        <v>70.430000000000007</v>
      </c>
      <c r="E12020">
        <v>101</v>
      </c>
    </row>
    <row r="12021" spans="1:5" x14ac:dyDescent="0.3">
      <c r="A12021" t="s">
        <v>129</v>
      </c>
      <c r="B12021" s="1">
        <v>44687</v>
      </c>
      <c r="C12021">
        <v>0.2</v>
      </c>
      <c r="D12021">
        <v>539.69000000000005</v>
      </c>
      <c r="E12021">
        <v>597</v>
      </c>
    </row>
    <row r="12022" spans="1:5" x14ac:dyDescent="0.3">
      <c r="A12022" t="s">
        <v>129</v>
      </c>
      <c r="B12022" s="1">
        <v>44687</v>
      </c>
      <c r="C12022">
        <v>0.8</v>
      </c>
      <c r="D12022">
        <v>540.89</v>
      </c>
      <c r="E12022">
        <v>598</v>
      </c>
    </row>
    <row r="12023" spans="1:5" x14ac:dyDescent="0.3">
      <c r="A12023" t="s">
        <v>157</v>
      </c>
      <c r="B12023" s="1">
        <v>44687</v>
      </c>
      <c r="C12023">
        <v>1</v>
      </c>
      <c r="D12023">
        <v>12</v>
      </c>
      <c r="E12023">
        <v>21</v>
      </c>
    </row>
    <row r="12024" spans="1:5" x14ac:dyDescent="0.3">
      <c r="A12024" t="s">
        <v>92</v>
      </c>
      <c r="B12024" s="1">
        <v>44687</v>
      </c>
      <c r="C12024">
        <v>10</v>
      </c>
      <c r="D12024">
        <v>15</v>
      </c>
      <c r="E12024">
        <v>20</v>
      </c>
    </row>
    <row r="12025" spans="1:5" x14ac:dyDescent="0.3">
      <c r="A12025" t="s">
        <v>140</v>
      </c>
      <c r="B12025" s="1">
        <v>44687</v>
      </c>
      <c r="C12025">
        <v>1</v>
      </c>
      <c r="D12025">
        <v>156.22999999999999</v>
      </c>
      <c r="E12025">
        <v>188</v>
      </c>
    </row>
    <row r="12026" spans="1:5" x14ac:dyDescent="0.3">
      <c r="A12026" t="s">
        <v>132</v>
      </c>
      <c r="B12026" s="1">
        <v>44687</v>
      </c>
      <c r="C12026">
        <v>1</v>
      </c>
      <c r="D12026">
        <v>58.97</v>
      </c>
      <c r="E12026">
        <v>88</v>
      </c>
    </row>
    <row r="12027" spans="1:5" x14ac:dyDescent="0.3">
      <c r="A12027" t="s">
        <v>132</v>
      </c>
      <c r="B12027" s="1">
        <v>44687</v>
      </c>
      <c r="C12027">
        <v>1</v>
      </c>
      <c r="D12027">
        <v>58.97</v>
      </c>
      <c r="E12027">
        <v>88</v>
      </c>
    </row>
    <row r="12028" spans="1:5" x14ac:dyDescent="0.3">
      <c r="A12028" t="s">
        <v>27</v>
      </c>
      <c r="B12028" s="1">
        <v>44687</v>
      </c>
      <c r="C12028">
        <v>1</v>
      </c>
      <c r="D12028">
        <v>105.23</v>
      </c>
      <c r="E12028">
        <v>161</v>
      </c>
    </row>
    <row r="12029" spans="1:5" x14ac:dyDescent="0.3">
      <c r="A12029" t="s">
        <v>25</v>
      </c>
      <c r="B12029" s="1">
        <v>44687</v>
      </c>
      <c r="C12029">
        <v>1</v>
      </c>
      <c r="D12029">
        <v>150.25</v>
      </c>
      <c r="E12029">
        <v>180</v>
      </c>
    </row>
    <row r="12030" spans="1:5" x14ac:dyDescent="0.3">
      <c r="A12030" t="s">
        <v>76</v>
      </c>
      <c r="B12030" s="1">
        <v>44687</v>
      </c>
      <c r="C12030">
        <v>1</v>
      </c>
      <c r="D12030">
        <v>31.34</v>
      </c>
      <c r="E12030">
        <v>38</v>
      </c>
    </row>
    <row r="12031" spans="1:5" x14ac:dyDescent="0.3">
      <c r="A12031" t="s">
        <v>76</v>
      </c>
      <c r="B12031" s="1">
        <v>44687</v>
      </c>
      <c r="C12031">
        <v>1</v>
      </c>
      <c r="D12031">
        <v>31.34</v>
      </c>
      <c r="E12031">
        <v>38</v>
      </c>
    </row>
    <row r="12032" spans="1:5" x14ac:dyDescent="0.3">
      <c r="A12032" t="s">
        <v>157</v>
      </c>
      <c r="B12032" s="1">
        <v>44687</v>
      </c>
      <c r="C12032">
        <v>1</v>
      </c>
      <c r="D12032">
        <v>12</v>
      </c>
      <c r="E12032">
        <v>20</v>
      </c>
    </row>
    <row r="12033" spans="1:5" x14ac:dyDescent="0.3">
      <c r="A12033" t="s">
        <v>88</v>
      </c>
      <c r="B12033" s="1">
        <v>44687</v>
      </c>
      <c r="C12033">
        <v>1</v>
      </c>
      <c r="D12033">
        <v>128.1</v>
      </c>
      <c r="E12033">
        <v>195</v>
      </c>
    </row>
    <row r="12034" spans="1:5" x14ac:dyDescent="0.3">
      <c r="A12034" t="s">
        <v>136</v>
      </c>
      <c r="B12034" s="1">
        <v>44687</v>
      </c>
      <c r="C12034">
        <v>0.35344799999999998</v>
      </c>
      <c r="D12034">
        <v>293.98</v>
      </c>
      <c r="E12034">
        <v>412</v>
      </c>
    </row>
    <row r="12035" spans="1:5" x14ac:dyDescent="0.3">
      <c r="A12035" t="s">
        <v>136</v>
      </c>
      <c r="B12035" s="1">
        <v>44687</v>
      </c>
      <c r="C12035">
        <v>0.64655200000000002</v>
      </c>
      <c r="D12035">
        <v>293.98</v>
      </c>
      <c r="E12035">
        <v>412</v>
      </c>
    </row>
    <row r="12036" spans="1:5" x14ac:dyDescent="0.3">
      <c r="A12036" t="s">
        <v>45</v>
      </c>
      <c r="B12036" s="1">
        <v>44687</v>
      </c>
      <c r="C12036">
        <v>1</v>
      </c>
      <c r="D12036">
        <v>27.94</v>
      </c>
      <c r="E12036">
        <v>45</v>
      </c>
    </row>
    <row r="12037" spans="1:5" x14ac:dyDescent="0.3">
      <c r="A12037" t="s">
        <v>70</v>
      </c>
      <c r="B12037" s="1">
        <v>44687</v>
      </c>
      <c r="C12037">
        <v>1</v>
      </c>
      <c r="D12037">
        <v>165.86</v>
      </c>
      <c r="E12037">
        <v>200</v>
      </c>
    </row>
    <row r="12038" spans="1:5" x14ac:dyDescent="0.3">
      <c r="A12038" t="s">
        <v>5</v>
      </c>
      <c r="B12038" s="1">
        <v>44687</v>
      </c>
      <c r="C12038">
        <v>1</v>
      </c>
      <c r="D12038">
        <v>136.47999999999999</v>
      </c>
      <c r="E12038">
        <v>163</v>
      </c>
    </row>
    <row r="12039" spans="1:5" x14ac:dyDescent="0.3">
      <c r="A12039" t="s">
        <v>5</v>
      </c>
      <c r="B12039" s="1">
        <v>44687</v>
      </c>
      <c r="C12039">
        <v>1</v>
      </c>
      <c r="D12039">
        <v>136.47999999999999</v>
      </c>
      <c r="E12039">
        <v>163</v>
      </c>
    </row>
    <row r="12040" spans="1:5" x14ac:dyDescent="0.3">
      <c r="A12040" t="s">
        <v>5</v>
      </c>
      <c r="B12040" s="1">
        <v>44687</v>
      </c>
      <c r="C12040">
        <v>1</v>
      </c>
      <c r="D12040">
        <v>136.47999999999999</v>
      </c>
      <c r="E12040">
        <v>163</v>
      </c>
    </row>
    <row r="12041" spans="1:5" x14ac:dyDescent="0.3">
      <c r="A12041" t="s">
        <v>157</v>
      </c>
      <c r="B12041" s="1">
        <v>44687</v>
      </c>
      <c r="C12041">
        <v>5</v>
      </c>
      <c r="D12041">
        <v>12</v>
      </c>
      <c r="E12041">
        <v>20</v>
      </c>
    </row>
    <row r="12042" spans="1:5" x14ac:dyDescent="0.3">
      <c r="A12042" t="s">
        <v>35</v>
      </c>
      <c r="B12042" s="1">
        <v>44687</v>
      </c>
      <c r="C12042">
        <v>1</v>
      </c>
      <c r="D12042">
        <v>39.6</v>
      </c>
      <c r="E12042">
        <v>61</v>
      </c>
    </row>
    <row r="12043" spans="1:5" x14ac:dyDescent="0.3">
      <c r="A12043" t="s">
        <v>5</v>
      </c>
      <c r="B12043" s="1">
        <v>44687</v>
      </c>
      <c r="C12043">
        <v>1</v>
      </c>
      <c r="D12043">
        <v>136.47999999999999</v>
      </c>
      <c r="E12043">
        <v>163</v>
      </c>
    </row>
    <row r="12044" spans="1:5" x14ac:dyDescent="0.3">
      <c r="A12044" t="s">
        <v>19</v>
      </c>
      <c r="B12044" s="1">
        <v>44687</v>
      </c>
      <c r="C12044">
        <v>1</v>
      </c>
      <c r="D12044">
        <v>80.52</v>
      </c>
      <c r="E12044">
        <v>103</v>
      </c>
    </row>
    <row r="12045" spans="1:5" x14ac:dyDescent="0.3">
      <c r="A12045" t="s">
        <v>30</v>
      </c>
      <c r="B12045" s="1">
        <v>44687</v>
      </c>
      <c r="C12045">
        <v>1</v>
      </c>
      <c r="D12045">
        <v>156.19999999999999</v>
      </c>
      <c r="E12045">
        <v>186</v>
      </c>
    </row>
    <row r="12046" spans="1:5" x14ac:dyDescent="0.3">
      <c r="A12046" t="s">
        <v>62</v>
      </c>
      <c r="B12046" s="1">
        <v>44687</v>
      </c>
      <c r="C12046">
        <v>1</v>
      </c>
      <c r="D12046">
        <v>24.74</v>
      </c>
      <c r="E12046">
        <v>30</v>
      </c>
    </row>
    <row r="12047" spans="1:5" x14ac:dyDescent="0.3">
      <c r="A12047" t="s">
        <v>79</v>
      </c>
      <c r="B12047" s="1">
        <v>44687</v>
      </c>
      <c r="C12047">
        <v>1</v>
      </c>
      <c r="D12047">
        <v>148.5</v>
      </c>
      <c r="E12047">
        <v>177</v>
      </c>
    </row>
    <row r="12048" spans="1:5" x14ac:dyDescent="0.3">
      <c r="A12048" t="s">
        <v>65</v>
      </c>
      <c r="B12048" s="1">
        <v>44687</v>
      </c>
      <c r="C12048">
        <v>1</v>
      </c>
      <c r="D12048">
        <v>176.77</v>
      </c>
      <c r="E12048">
        <v>207</v>
      </c>
    </row>
    <row r="12049" spans="1:5" x14ac:dyDescent="0.3">
      <c r="A12049" t="s">
        <v>62</v>
      </c>
      <c r="B12049" s="1">
        <v>44687</v>
      </c>
      <c r="C12049">
        <v>1</v>
      </c>
      <c r="D12049">
        <v>25.48</v>
      </c>
      <c r="E12049">
        <v>31</v>
      </c>
    </row>
    <row r="12050" spans="1:5" x14ac:dyDescent="0.3">
      <c r="A12050" t="s">
        <v>129</v>
      </c>
      <c r="B12050" s="1">
        <v>44687</v>
      </c>
      <c r="C12050">
        <v>0.08</v>
      </c>
      <c r="D12050">
        <v>539.69000000000005</v>
      </c>
      <c r="E12050">
        <v>597</v>
      </c>
    </row>
    <row r="12051" spans="1:5" x14ac:dyDescent="0.3">
      <c r="A12051" t="s">
        <v>31</v>
      </c>
      <c r="B12051" s="1">
        <v>44687</v>
      </c>
      <c r="C12051">
        <v>1</v>
      </c>
      <c r="D12051">
        <v>13.19</v>
      </c>
      <c r="E12051">
        <v>18</v>
      </c>
    </row>
    <row r="12052" spans="1:5" x14ac:dyDescent="0.3">
      <c r="A12052" t="s">
        <v>31</v>
      </c>
      <c r="B12052" s="1">
        <v>44687</v>
      </c>
      <c r="C12052">
        <v>1</v>
      </c>
      <c r="D12052">
        <v>13.19</v>
      </c>
      <c r="E12052">
        <v>18</v>
      </c>
    </row>
    <row r="12053" spans="1:5" x14ac:dyDescent="0.3">
      <c r="A12053" t="s">
        <v>31</v>
      </c>
      <c r="B12053" s="1">
        <v>44687</v>
      </c>
      <c r="C12053">
        <v>1</v>
      </c>
      <c r="D12053">
        <v>13.19</v>
      </c>
      <c r="E12053">
        <v>18</v>
      </c>
    </row>
    <row r="12054" spans="1:5" x14ac:dyDescent="0.3">
      <c r="A12054" t="s">
        <v>31</v>
      </c>
      <c r="B12054" s="1">
        <v>44687</v>
      </c>
      <c r="C12054">
        <v>1</v>
      </c>
      <c r="D12054">
        <v>13.19</v>
      </c>
      <c r="E12054">
        <v>18</v>
      </c>
    </row>
    <row r="12055" spans="1:5" x14ac:dyDescent="0.3">
      <c r="A12055" t="s">
        <v>31</v>
      </c>
      <c r="B12055" s="1">
        <v>44687</v>
      </c>
      <c r="C12055">
        <v>1</v>
      </c>
      <c r="D12055">
        <v>13.19</v>
      </c>
      <c r="E12055">
        <v>18</v>
      </c>
    </row>
    <row r="12056" spans="1:5" x14ac:dyDescent="0.3">
      <c r="A12056" t="s">
        <v>31</v>
      </c>
      <c r="B12056" s="1">
        <v>44687</v>
      </c>
      <c r="C12056">
        <v>1</v>
      </c>
      <c r="D12056">
        <v>13.19</v>
      </c>
      <c r="E12056">
        <v>18</v>
      </c>
    </row>
    <row r="12057" spans="1:5" x14ac:dyDescent="0.3">
      <c r="A12057" t="s">
        <v>58</v>
      </c>
      <c r="B12057" s="1">
        <v>44687</v>
      </c>
      <c r="C12057">
        <v>1</v>
      </c>
      <c r="D12057">
        <v>82.25</v>
      </c>
      <c r="E12057">
        <v>99</v>
      </c>
    </row>
    <row r="12058" spans="1:5" x14ac:dyDescent="0.3">
      <c r="A12058" t="s">
        <v>58</v>
      </c>
      <c r="B12058" s="1">
        <v>44687</v>
      </c>
      <c r="C12058">
        <v>1</v>
      </c>
      <c r="D12058">
        <v>82.25</v>
      </c>
      <c r="E12058">
        <v>99</v>
      </c>
    </row>
    <row r="12059" spans="1:5" x14ac:dyDescent="0.3">
      <c r="A12059" t="s">
        <v>70</v>
      </c>
      <c r="B12059" s="1">
        <v>44687</v>
      </c>
      <c r="C12059">
        <v>1</v>
      </c>
      <c r="D12059">
        <v>165.86</v>
      </c>
      <c r="E12059">
        <v>200</v>
      </c>
    </row>
    <row r="12060" spans="1:5" x14ac:dyDescent="0.3">
      <c r="A12060" t="s">
        <v>101</v>
      </c>
      <c r="B12060" s="1">
        <v>44687</v>
      </c>
      <c r="C12060">
        <v>1</v>
      </c>
      <c r="D12060">
        <v>38.07</v>
      </c>
      <c r="E12060">
        <v>59</v>
      </c>
    </row>
    <row r="12061" spans="1:5" x14ac:dyDescent="0.3">
      <c r="A12061" t="s">
        <v>101</v>
      </c>
      <c r="B12061" s="1">
        <v>44687</v>
      </c>
      <c r="C12061">
        <v>1</v>
      </c>
      <c r="D12061">
        <v>38.07</v>
      </c>
      <c r="E12061">
        <v>59</v>
      </c>
    </row>
    <row r="12062" spans="1:5" x14ac:dyDescent="0.3">
      <c r="A12062" t="s">
        <v>101</v>
      </c>
      <c r="B12062" s="1">
        <v>44687</v>
      </c>
      <c r="C12062">
        <v>1</v>
      </c>
      <c r="D12062">
        <v>38.07</v>
      </c>
      <c r="E12062">
        <v>59</v>
      </c>
    </row>
    <row r="12063" spans="1:5" x14ac:dyDescent="0.3">
      <c r="A12063" t="s">
        <v>24</v>
      </c>
      <c r="B12063" s="1">
        <v>44687</v>
      </c>
      <c r="C12063">
        <v>1</v>
      </c>
      <c r="D12063">
        <v>99.84</v>
      </c>
      <c r="E12063">
        <v>122</v>
      </c>
    </row>
    <row r="12064" spans="1:5" x14ac:dyDescent="0.3">
      <c r="A12064" t="s">
        <v>67</v>
      </c>
      <c r="B12064" s="1">
        <v>44687</v>
      </c>
      <c r="C12064">
        <v>1</v>
      </c>
      <c r="D12064">
        <v>53.95</v>
      </c>
      <c r="E12064">
        <v>77</v>
      </c>
    </row>
    <row r="12065" spans="1:5" x14ac:dyDescent="0.3">
      <c r="A12065" t="s">
        <v>152</v>
      </c>
      <c r="B12065" s="1">
        <v>44687</v>
      </c>
      <c r="C12065">
        <v>1</v>
      </c>
      <c r="D12065">
        <v>104.76</v>
      </c>
      <c r="E12065">
        <v>131</v>
      </c>
    </row>
    <row r="12066" spans="1:5" x14ac:dyDescent="0.3">
      <c r="A12066" t="s">
        <v>55</v>
      </c>
      <c r="B12066" s="1">
        <v>44687</v>
      </c>
      <c r="C12066">
        <v>1</v>
      </c>
      <c r="D12066">
        <v>78.48</v>
      </c>
      <c r="E12066">
        <v>96</v>
      </c>
    </row>
    <row r="12067" spans="1:5" x14ac:dyDescent="0.3">
      <c r="A12067" t="s">
        <v>12</v>
      </c>
      <c r="B12067" s="1">
        <v>44687</v>
      </c>
      <c r="C12067">
        <v>1</v>
      </c>
      <c r="D12067">
        <v>64.680000000000007</v>
      </c>
      <c r="E12067">
        <v>78</v>
      </c>
    </row>
    <row r="12068" spans="1:5" x14ac:dyDescent="0.3">
      <c r="A12068" t="s">
        <v>40</v>
      </c>
      <c r="B12068" s="1">
        <v>44687</v>
      </c>
      <c r="C12068">
        <v>1</v>
      </c>
      <c r="D12068">
        <v>182.71</v>
      </c>
      <c r="E12068">
        <v>217</v>
      </c>
    </row>
    <row r="12069" spans="1:5" x14ac:dyDescent="0.3">
      <c r="A12069" t="s">
        <v>37</v>
      </c>
      <c r="B12069" s="1">
        <v>44687</v>
      </c>
      <c r="C12069">
        <v>1</v>
      </c>
      <c r="D12069">
        <v>36.86</v>
      </c>
      <c r="E12069">
        <v>47</v>
      </c>
    </row>
    <row r="12070" spans="1:5" x14ac:dyDescent="0.3">
      <c r="A12070" t="s">
        <v>37</v>
      </c>
      <c r="B12070" s="1">
        <v>44687</v>
      </c>
      <c r="C12070">
        <v>1</v>
      </c>
      <c r="D12070">
        <v>36.86</v>
      </c>
      <c r="E12070">
        <v>47</v>
      </c>
    </row>
    <row r="12071" spans="1:5" x14ac:dyDescent="0.3">
      <c r="A12071" t="s">
        <v>37</v>
      </c>
      <c r="B12071" s="1">
        <v>44687</v>
      </c>
      <c r="C12071">
        <v>1</v>
      </c>
      <c r="D12071">
        <v>36.86</v>
      </c>
      <c r="E12071">
        <v>47</v>
      </c>
    </row>
    <row r="12072" spans="1:5" x14ac:dyDescent="0.3">
      <c r="A12072" t="s">
        <v>37</v>
      </c>
      <c r="B12072" s="1">
        <v>44687</v>
      </c>
      <c r="C12072">
        <v>1</v>
      </c>
      <c r="D12072">
        <v>36.86</v>
      </c>
      <c r="E12072">
        <v>47</v>
      </c>
    </row>
    <row r="12073" spans="1:5" x14ac:dyDescent="0.3">
      <c r="A12073" t="s">
        <v>37</v>
      </c>
      <c r="B12073" s="1">
        <v>44687</v>
      </c>
      <c r="C12073">
        <v>1</v>
      </c>
      <c r="D12073">
        <v>36.86</v>
      </c>
      <c r="E12073">
        <v>47</v>
      </c>
    </row>
    <row r="12074" spans="1:5" x14ac:dyDescent="0.3">
      <c r="A12074" t="s">
        <v>38</v>
      </c>
      <c r="B12074" s="1">
        <v>44687</v>
      </c>
      <c r="C12074">
        <v>1</v>
      </c>
      <c r="D12074">
        <v>22.31</v>
      </c>
      <c r="E12074">
        <v>35</v>
      </c>
    </row>
    <row r="12075" spans="1:5" x14ac:dyDescent="0.3">
      <c r="A12075" t="s">
        <v>38</v>
      </c>
      <c r="B12075" s="1">
        <v>44687</v>
      </c>
      <c r="C12075">
        <v>1</v>
      </c>
      <c r="D12075">
        <v>22.31</v>
      </c>
      <c r="E12075">
        <v>35</v>
      </c>
    </row>
    <row r="12076" spans="1:5" x14ac:dyDescent="0.3">
      <c r="A12076" t="s">
        <v>38</v>
      </c>
      <c r="B12076" s="1">
        <v>44687</v>
      </c>
      <c r="C12076">
        <v>1</v>
      </c>
      <c r="D12076">
        <v>22.31</v>
      </c>
      <c r="E12076">
        <v>35</v>
      </c>
    </row>
    <row r="12077" spans="1:5" x14ac:dyDescent="0.3">
      <c r="A12077" t="s">
        <v>38</v>
      </c>
      <c r="B12077" s="1">
        <v>44687</v>
      </c>
      <c r="C12077">
        <v>1</v>
      </c>
      <c r="D12077">
        <v>22.31</v>
      </c>
      <c r="E12077">
        <v>35</v>
      </c>
    </row>
    <row r="12078" spans="1:5" x14ac:dyDescent="0.3">
      <c r="A12078" t="s">
        <v>38</v>
      </c>
      <c r="B12078" s="1">
        <v>44687</v>
      </c>
      <c r="C12078">
        <v>1</v>
      </c>
      <c r="D12078">
        <v>22.31</v>
      </c>
      <c r="E12078">
        <v>35</v>
      </c>
    </row>
    <row r="12079" spans="1:5" x14ac:dyDescent="0.3">
      <c r="A12079" t="s">
        <v>38</v>
      </c>
      <c r="B12079" s="1">
        <v>44687</v>
      </c>
      <c r="C12079">
        <v>1</v>
      </c>
      <c r="D12079">
        <v>22.31</v>
      </c>
      <c r="E12079">
        <v>35</v>
      </c>
    </row>
    <row r="12080" spans="1:5" x14ac:dyDescent="0.3">
      <c r="A12080" t="s">
        <v>134</v>
      </c>
      <c r="B12080" s="1">
        <v>44687</v>
      </c>
      <c r="C12080">
        <v>1</v>
      </c>
      <c r="D12080">
        <v>28.66</v>
      </c>
      <c r="E12080">
        <v>44</v>
      </c>
    </row>
    <row r="12081" spans="1:5" x14ac:dyDescent="0.3">
      <c r="A12081" t="s">
        <v>134</v>
      </c>
      <c r="B12081" s="1">
        <v>44687</v>
      </c>
      <c r="C12081">
        <v>1</v>
      </c>
      <c r="D12081">
        <v>28.66</v>
      </c>
      <c r="E12081">
        <v>44</v>
      </c>
    </row>
    <row r="12082" spans="1:5" x14ac:dyDescent="0.3">
      <c r="A12082" t="s">
        <v>23</v>
      </c>
      <c r="B12082" s="1">
        <v>44687</v>
      </c>
      <c r="C12082">
        <v>1</v>
      </c>
      <c r="D12082">
        <v>174.68</v>
      </c>
      <c r="E12082">
        <v>183</v>
      </c>
    </row>
    <row r="12083" spans="1:5" x14ac:dyDescent="0.3">
      <c r="A12083" t="s">
        <v>55</v>
      </c>
      <c r="B12083" s="1">
        <v>44687</v>
      </c>
      <c r="C12083">
        <v>1</v>
      </c>
      <c r="D12083">
        <v>77.48</v>
      </c>
      <c r="E12083">
        <v>95</v>
      </c>
    </row>
    <row r="12084" spans="1:5" x14ac:dyDescent="0.3">
      <c r="A12084" t="s">
        <v>55</v>
      </c>
      <c r="B12084" s="1">
        <v>44687</v>
      </c>
      <c r="C12084">
        <v>1</v>
      </c>
      <c r="D12084">
        <v>77.48</v>
      </c>
      <c r="E12084">
        <v>95</v>
      </c>
    </row>
    <row r="12085" spans="1:5" x14ac:dyDescent="0.3">
      <c r="A12085" t="s">
        <v>23</v>
      </c>
      <c r="B12085" s="1">
        <v>44687</v>
      </c>
      <c r="C12085">
        <v>1</v>
      </c>
      <c r="D12085">
        <v>110.36</v>
      </c>
      <c r="E12085">
        <v>124</v>
      </c>
    </row>
    <row r="12086" spans="1:5" x14ac:dyDescent="0.3">
      <c r="A12086" t="s">
        <v>65</v>
      </c>
      <c r="B12086" s="1">
        <v>44687</v>
      </c>
      <c r="C12086">
        <v>1</v>
      </c>
      <c r="D12086">
        <v>176.77</v>
      </c>
      <c r="E12086">
        <v>207</v>
      </c>
    </row>
    <row r="12087" spans="1:5" x14ac:dyDescent="0.3">
      <c r="A12087" t="s">
        <v>120</v>
      </c>
      <c r="B12087" s="1">
        <v>44687</v>
      </c>
      <c r="C12087">
        <v>1</v>
      </c>
      <c r="D12087">
        <v>132.56</v>
      </c>
      <c r="E12087">
        <v>187</v>
      </c>
    </row>
    <row r="12088" spans="1:5" x14ac:dyDescent="0.3">
      <c r="A12088" t="s">
        <v>100</v>
      </c>
      <c r="B12088" s="1">
        <v>44687</v>
      </c>
      <c r="C12088">
        <v>1</v>
      </c>
      <c r="D12088">
        <v>36.03</v>
      </c>
      <c r="E12088">
        <v>55</v>
      </c>
    </row>
    <row r="12089" spans="1:5" x14ac:dyDescent="0.3">
      <c r="A12089" t="s">
        <v>93</v>
      </c>
      <c r="B12089" s="1">
        <v>44687</v>
      </c>
      <c r="C12089">
        <v>1</v>
      </c>
      <c r="D12089">
        <v>67.84</v>
      </c>
      <c r="E12089">
        <v>99</v>
      </c>
    </row>
    <row r="12090" spans="1:5" x14ac:dyDescent="0.3">
      <c r="A12090" t="s">
        <v>58</v>
      </c>
      <c r="B12090" s="1">
        <v>44687</v>
      </c>
      <c r="C12090">
        <v>1</v>
      </c>
      <c r="D12090">
        <v>82.25</v>
      </c>
      <c r="E12090">
        <v>99</v>
      </c>
    </row>
    <row r="12091" spans="1:5" x14ac:dyDescent="0.3">
      <c r="A12091" t="s">
        <v>129</v>
      </c>
      <c r="B12091" s="1">
        <v>44687</v>
      </c>
      <c r="C12091">
        <v>0.04</v>
      </c>
      <c r="D12091">
        <v>496.39</v>
      </c>
      <c r="E12091">
        <v>597</v>
      </c>
    </row>
    <row r="12092" spans="1:5" x14ac:dyDescent="0.3">
      <c r="A12092" t="s">
        <v>93</v>
      </c>
      <c r="B12092" s="1">
        <v>44687</v>
      </c>
      <c r="C12092">
        <v>1</v>
      </c>
      <c r="D12092">
        <v>67.540000000000006</v>
      </c>
      <c r="E12092">
        <v>96</v>
      </c>
    </row>
    <row r="12093" spans="1:5" x14ac:dyDescent="0.3">
      <c r="A12093" t="s">
        <v>65</v>
      </c>
      <c r="B12093" s="1">
        <v>44687</v>
      </c>
      <c r="C12093">
        <v>1</v>
      </c>
      <c r="D12093">
        <v>186.78</v>
      </c>
      <c r="E12093">
        <v>219</v>
      </c>
    </row>
    <row r="12094" spans="1:5" x14ac:dyDescent="0.3">
      <c r="A12094" t="s">
        <v>92</v>
      </c>
      <c r="B12094" s="1">
        <v>44687</v>
      </c>
      <c r="C12094">
        <v>2</v>
      </c>
      <c r="D12094">
        <v>15</v>
      </c>
      <c r="E12094">
        <v>20</v>
      </c>
    </row>
    <row r="12095" spans="1:5" x14ac:dyDescent="0.3">
      <c r="A12095" t="s">
        <v>100</v>
      </c>
      <c r="B12095" s="1">
        <v>44687</v>
      </c>
      <c r="C12095">
        <v>1</v>
      </c>
      <c r="D12095">
        <v>35.49</v>
      </c>
      <c r="E12095">
        <v>54</v>
      </c>
    </row>
    <row r="12096" spans="1:5" x14ac:dyDescent="0.3">
      <c r="A12096" t="s">
        <v>100</v>
      </c>
      <c r="B12096" s="1">
        <v>44687</v>
      </c>
      <c r="C12096">
        <v>1</v>
      </c>
      <c r="D12096">
        <v>35.49</v>
      </c>
      <c r="E12096">
        <v>54</v>
      </c>
    </row>
    <row r="12097" spans="1:5" x14ac:dyDescent="0.3">
      <c r="A12097" t="s">
        <v>14</v>
      </c>
      <c r="B12097" s="1">
        <v>44687</v>
      </c>
      <c r="C12097">
        <v>1</v>
      </c>
      <c r="D12097">
        <v>446.41</v>
      </c>
      <c r="E12097">
        <v>617</v>
      </c>
    </row>
    <row r="12098" spans="1:5" x14ac:dyDescent="0.3">
      <c r="A12098" t="s">
        <v>7</v>
      </c>
      <c r="B12098" s="1">
        <v>44687</v>
      </c>
      <c r="C12098">
        <v>1</v>
      </c>
      <c r="D12098">
        <v>91.19</v>
      </c>
      <c r="E12098">
        <v>112</v>
      </c>
    </row>
    <row r="12099" spans="1:5" x14ac:dyDescent="0.3">
      <c r="A12099" t="s">
        <v>90</v>
      </c>
      <c r="B12099" s="1">
        <v>44687</v>
      </c>
      <c r="C12099">
        <v>1</v>
      </c>
      <c r="D12099">
        <v>384.59</v>
      </c>
      <c r="E12099">
        <v>474</v>
      </c>
    </row>
    <row r="12100" spans="1:5" x14ac:dyDescent="0.3">
      <c r="A12100" t="s">
        <v>90</v>
      </c>
      <c r="B12100" s="1">
        <v>44687</v>
      </c>
      <c r="C12100">
        <v>1</v>
      </c>
      <c r="D12100">
        <v>383.43</v>
      </c>
      <c r="E12100">
        <v>472</v>
      </c>
    </row>
    <row r="12101" spans="1:5" x14ac:dyDescent="0.3">
      <c r="A12101" t="s">
        <v>90</v>
      </c>
      <c r="B12101" s="1">
        <v>44687</v>
      </c>
      <c r="C12101">
        <v>1</v>
      </c>
      <c r="D12101">
        <v>383.43</v>
      </c>
      <c r="E12101">
        <v>472</v>
      </c>
    </row>
    <row r="12102" spans="1:5" x14ac:dyDescent="0.3">
      <c r="A12102" t="s">
        <v>65</v>
      </c>
      <c r="B12102" s="1">
        <v>44687</v>
      </c>
      <c r="C12102">
        <v>1</v>
      </c>
      <c r="D12102">
        <v>176.42</v>
      </c>
      <c r="E12102">
        <v>207</v>
      </c>
    </row>
    <row r="12103" spans="1:5" x14ac:dyDescent="0.3">
      <c r="A12103" t="s">
        <v>93</v>
      </c>
      <c r="B12103" s="1">
        <v>44687</v>
      </c>
      <c r="C12103">
        <v>1</v>
      </c>
      <c r="D12103">
        <v>84.22</v>
      </c>
      <c r="E12103">
        <v>124</v>
      </c>
    </row>
    <row r="12104" spans="1:5" x14ac:dyDescent="0.3">
      <c r="A12104" t="s">
        <v>45</v>
      </c>
      <c r="B12104" s="1">
        <v>44687</v>
      </c>
      <c r="C12104">
        <v>1</v>
      </c>
      <c r="D12104">
        <v>25.59</v>
      </c>
      <c r="E12104">
        <v>45</v>
      </c>
    </row>
    <row r="12105" spans="1:5" x14ac:dyDescent="0.3">
      <c r="A12105" t="s">
        <v>58</v>
      </c>
      <c r="B12105" s="1">
        <v>44687</v>
      </c>
      <c r="C12105">
        <v>1</v>
      </c>
      <c r="D12105">
        <v>83.29</v>
      </c>
      <c r="E12105">
        <v>100</v>
      </c>
    </row>
    <row r="12106" spans="1:5" x14ac:dyDescent="0.3">
      <c r="A12106" t="s">
        <v>141</v>
      </c>
      <c r="B12106" s="1">
        <v>44687</v>
      </c>
      <c r="C12106">
        <v>1</v>
      </c>
      <c r="D12106">
        <v>14.69</v>
      </c>
      <c r="E12106">
        <v>26</v>
      </c>
    </row>
    <row r="12107" spans="1:5" x14ac:dyDescent="0.3">
      <c r="A12107" t="s">
        <v>56</v>
      </c>
      <c r="B12107" s="1">
        <v>44687</v>
      </c>
      <c r="C12107">
        <v>1</v>
      </c>
      <c r="D12107">
        <v>43.7</v>
      </c>
      <c r="E12107">
        <v>67</v>
      </c>
    </row>
    <row r="12108" spans="1:5" x14ac:dyDescent="0.3">
      <c r="A12108" t="s">
        <v>56</v>
      </c>
      <c r="B12108" s="1">
        <v>44687</v>
      </c>
      <c r="C12108">
        <v>1</v>
      </c>
      <c r="D12108">
        <v>43.7</v>
      </c>
      <c r="E12108">
        <v>67</v>
      </c>
    </row>
    <row r="12109" spans="1:5" x14ac:dyDescent="0.3">
      <c r="A12109" t="s">
        <v>124</v>
      </c>
      <c r="B12109" s="1">
        <v>44687</v>
      </c>
      <c r="C12109">
        <v>1</v>
      </c>
      <c r="D12109">
        <v>36.06</v>
      </c>
      <c r="E12109">
        <v>59</v>
      </c>
    </row>
    <row r="12110" spans="1:5" x14ac:dyDescent="0.3">
      <c r="A12110" t="s">
        <v>88</v>
      </c>
      <c r="B12110" s="1">
        <v>44687</v>
      </c>
      <c r="C12110">
        <v>0.5</v>
      </c>
      <c r="D12110">
        <v>128.1</v>
      </c>
      <c r="E12110">
        <v>195</v>
      </c>
    </row>
    <row r="12111" spans="1:5" x14ac:dyDescent="0.3">
      <c r="A12111" t="s">
        <v>143</v>
      </c>
      <c r="B12111" s="1">
        <v>44687</v>
      </c>
      <c r="C12111">
        <v>1</v>
      </c>
      <c r="D12111">
        <v>54.92</v>
      </c>
      <c r="E12111">
        <v>84</v>
      </c>
    </row>
    <row r="12112" spans="1:5" x14ac:dyDescent="0.3">
      <c r="A12112" t="s">
        <v>25</v>
      </c>
      <c r="B12112" s="1">
        <v>44687</v>
      </c>
      <c r="C12112">
        <v>1</v>
      </c>
      <c r="D12112">
        <v>148.58000000000001</v>
      </c>
      <c r="E12112">
        <v>179</v>
      </c>
    </row>
    <row r="12113" spans="1:5" x14ac:dyDescent="0.3">
      <c r="A12113" t="s">
        <v>55</v>
      </c>
      <c r="B12113" s="1">
        <v>44687</v>
      </c>
      <c r="C12113">
        <v>1</v>
      </c>
      <c r="D12113">
        <v>77.48</v>
      </c>
      <c r="E12113">
        <v>95</v>
      </c>
    </row>
    <row r="12114" spans="1:5" x14ac:dyDescent="0.3">
      <c r="A12114" t="s">
        <v>12</v>
      </c>
      <c r="B12114" s="1">
        <v>44687</v>
      </c>
      <c r="C12114">
        <v>1</v>
      </c>
      <c r="D12114">
        <v>62.48</v>
      </c>
      <c r="E12114">
        <v>72</v>
      </c>
    </row>
    <row r="12115" spans="1:5" x14ac:dyDescent="0.3">
      <c r="A12115" t="s">
        <v>141</v>
      </c>
      <c r="B12115" s="1">
        <v>44687</v>
      </c>
      <c r="C12115">
        <v>1</v>
      </c>
      <c r="D12115">
        <v>10.67</v>
      </c>
      <c r="E12115">
        <v>18</v>
      </c>
    </row>
    <row r="12116" spans="1:5" x14ac:dyDescent="0.3">
      <c r="A12116" t="s">
        <v>146</v>
      </c>
      <c r="B12116" s="1">
        <v>44686</v>
      </c>
      <c r="C12116">
        <v>1</v>
      </c>
      <c r="D12116">
        <v>422.45</v>
      </c>
      <c r="E12116">
        <v>474</v>
      </c>
    </row>
    <row r="12117" spans="1:5" x14ac:dyDescent="0.3">
      <c r="A12117" t="s">
        <v>32</v>
      </c>
      <c r="B12117" s="1">
        <v>44686</v>
      </c>
      <c r="C12117">
        <v>1</v>
      </c>
      <c r="D12117">
        <v>103.53</v>
      </c>
      <c r="E12117">
        <v>159</v>
      </c>
    </row>
    <row r="12118" spans="1:5" x14ac:dyDescent="0.3">
      <c r="A12118" t="s">
        <v>124</v>
      </c>
      <c r="B12118" s="1">
        <v>44686</v>
      </c>
      <c r="C12118">
        <v>1</v>
      </c>
      <c r="D12118">
        <v>36.69</v>
      </c>
      <c r="E12118">
        <v>59</v>
      </c>
    </row>
    <row r="12119" spans="1:5" x14ac:dyDescent="0.3">
      <c r="A12119" t="s">
        <v>26</v>
      </c>
      <c r="B12119" s="1">
        <v>44686</v>
      </c>
      <c r="C12119">
        <v>0.1</v>
      </c>
      <c r="D12119">
        <v>987.84</v>
      </c>
      <c r="E12119">
        <v>1354</v>
      </c>
    </row>
    <row r="12120" spans="1:5" x14ac:dyDescent="0.3">
      <c r="A12120" t="s">
        <v>28</v>
      </c>
      <c r="B12120" s="1">
        <v>44686</v>
      </c>
      <c r="C12120">
        <v>1</v>
      </c>
      <c r="D12120">
        <v>149.72999999999999</v>
      </c>
      <c r="E12120">
        <v>209</v>
      </c>
    </row>
    <row r="12121" spans="1:5" x14ac:dyDescent="0.3">
      <c r="A12121" t="s">
        <v>73</v>
      </c>
      <c r="B12121" s="1">
        <v>44686</v>
      </c>
      <c r="C12121">
        <v>2</v>
      </c>
      <c r="D12121">
        <v>7.77</v>
      </c>
      <c r="E12121">
        <v>13</v>
      </c>
    </row>
    <row r="12122" spans="1:5" x14ac:dyDescent="0.3">
      <c r="A12122" t="s">
        <v>73</v>
      </c>
      <c r="B12122" s="1">
        <v>44686</v>
      </c>
      <c r="C12122">
        <v>1</v>
      </c>
      <c r="D12122">
        <v>7.77</v>
      </c>
      <c r="E12122">
        <v>13</v>
      </c>
    </row>
    <row r="12123" spans="1:5" x14ac:dyDescent="0.3">
      <c r="A12123" t="s">
        <v>72</v>
      </c>
      <c r="B12123" s="1">
        <v>44686</v>
      </c>
      <c r="C12123">
        <v>1</v>
      </c>
      <c r="D12123">
        <v>557.09</v>
      </c>
      <c r="E12123">
        <v>736</v>
      </c>
    </row>
    <row r="12124" spans="1:5" x14ac:dyDescent="0.3">
      <c r="A12124" t="s">
        <v>54</v>
      </c>
      <c r="B12124" s="1">
        <v>44686</v>
      </c>
      <c r="C12124">
        <v>1</v>
      </c>
      <c r="D12124">
        <v>651.07000000000005</v>
      </c>
      <c r="E12124">
        <v>840</v>
      </c>
    </row>
    <row r="12125" spans="1:5" x14ac:dyDescent="0.3">
      <c r="A12125" t="s">
        <v>6</v>
      </c>
      <c r="B12125" s="1">
        <v>44686</v>
      </c>
      <c r="C12125">
        <v>0.4</v>
      </c>
      <c r="D12125">
        <v>483.01</v>
      </c>
      <c r="E12125">
        <v>604</v>
      </c>
    </row>
    <row r="12126" spans="1:5" x14ac:dyDescent="0.3">
      <c r="A12126" t="s">
        <v>24</v>
      </c>
      <c r="B12126" s="1">
        <v>44686</v>
      </c>
      <c r="C12126">
        <v>1</v>
      </c>
      <c r="D12126">
        <v>99.48</v>
      </c>
      <c r="E12126">
        <v>117</v>
      </c>
    </row>
    <row r="12127" spans="1:5" x14ac:dyDescent="0.3">
      <c r="A12127" t="s">
        <v>74</v>
      </c>
      <c r="B12127" s="1">
        <v>44686</v>
      </c>
      <c r="C12127">
        <v>1</v>
      </c>
      <c r="D12127">
        <v>88.11</v>
      </c>
      <c r="E12127">
        <v>110</v>
      </c>
    </row>
    <row r="12128" spans="1:5" x14ac:dyDescent="0.3">
      <c r="A12128" t="s">
        <v>65</v>
      </c>
      <c r="B12128" s="1">
        <v>44686</v>
      </c>
      <c r="C12128">
        <v>1</v>
      </c>
      <c r="D12128">
        <v>176.42</v>
      </c>
      <c r="E12128">
        <v>207</v>
      </c>
    </row>
    <row r="12129" spans="1:5" x14ac:dyDescent="0.3">
      <c r="A12129" t="s">
        <v>56</v>
      </c>
      <c r="B12129" s="1">
        <v>44686</v>
      </c>
      <c r="C12129">
        <v>1</v>
      </c>
      <c r="D12129">
        <v>43.7</v>
      </c>
      <c r="E12129">
        <v>67</v>
      </c>
    </row>
    <row r="12130" spans="1:5" x14ac:dyDescent="0.3">
      <c r="A12130" t="s">
        <v>125</v>
      </c>
      <c r="B12130" s="1">
        <v>44686</v>
      </c>
      <c r="C12130">
        <v>1</v>
      </c>
      <c r="D12130">
        <v>327.36</v>
      </c>
      <c r="E12130">
        <v>442</v>
      </c>
    </row>
    <row r="12131" spans="1:5" x14ac:dyDescent="0.3">
      <c r="A12131" t="s">
        <v>19</v>
      </c>
      <c r="B12131" s="1">
        <v>44686</v>
      </c>
      <c r="C12131">
        <v>1</v>
      </c>
      <c r="D12131">
        <v>82.18</v>
      </c>
      <c r="E12131">
        <v>103</v>
      </c>
    </row>
    <row r="12132" spans="1:5" x14ac:dyDescent="0.3">
      <c r="A12132" t="s">
        <v>47</v>
      </c>
      <c r="B12132" s="1">
        <v>44686</v>
      </c>
      <c r="C12132">
        <v>1</v>
      </c>
      <c r="D12132">
        <v>46.14</v>
      </c>
      <c r="E12132">
        <v>71</v>
      </c>
    </row>
    <row r="12133" spans="1:5" x14ac:dyDescent="0.3">
      <c r="A12133" t="s">
        <v>14</v>
      </c>
      <c r="B12133" s="1">
        <v>44686</v>
      </c>
      <c r="C12133">
        <v>0.2</v>
      </c>
      <c r="D12133">
        <v>514.38</v>
      </c>
      <c r="E12133">
        <v>664</v>
      </c>
    </row>
    <row r="12134" spans="1:5" x14ac:dyDescent="0.3">
      <c r="A12134" t="s">
        <v>62</v>
      </c>
      <c r="B12134" s="1">
        <v>44686</v>
      </c>
      <c r="C12134">
        <v>1</v>
      </c>
      <c r="D12134">
        <v>25.48</v>
      </c>
      <c r="E12134">
        <v>31</v>
      </c>
    </row>
    <row r="12135" spans="1:5" x14ac:dyDescent="0.3">
      <c r="A12135" t="s">
        <v>150</v>
      </c>
      <c r="B12135" s="1">
        <v>44686</v>
      </c>
      <c r="C12135">
        <v>1</v>
      </c>
      <c r="D12135">
        <v>120.9</v>
      </c>
      <c r="E12135">
        <v>188</v>
      </c>
    </row>
    <row r="12136" spans="1:5" x14ac:dyDescent="0.3">
      <c r="A12136" t="s">
        <v>114</v>
      </c>
      <c r="B12136" s="1">
        <v>44686</v>
      </c>
      <c r="C12136">
        <v>1</v>
      </c>
      <c r="D12136">
        <v>74.8</v>
      </c>
      <c r="E12136">
        <v>92</v>
      </c>
    </row>
    <row r="12137" spans="1:5" x14ac:dyDescent="0.3">
      <c r="A12137" t="s">
        <v>41</v>
      </c>
      <c r="B12137" s="1">
        <v>44686</v>
      </c>
      <c r="C12137">
        <v>1</v>
      </c>
      <c r="D12137">
        <v>10.57</v>
      </c>
      <c r="E12137">
        <v>17</v>
      </c>
    </row>
    <row r="12138" spans="1:5" x14ac:dyDescent="0.3">
      <c r="A12138" t="s">
        <v>159</v>
      </c>
      <c r="B12138" s="1">
        <v>44686</v>
      </c>
      <c r="C12138">
        <v>1</v>
      </c>
      <c r="D12138">
        <v>50.8</v>
      </c>
      <c r="E12138">
        <v>64</v>
      </c>
    </row>
    <row r="12139" spans="1:5" x14ac:dyDescent="0.3">
      <c r="A12139" t="s">
        <v>94</v>
      </c>
      <c r="B12139" s="1">
        <v>44686</v>
      </c>
      <c r="C12139">
        <v>1</v>
      </c>
      <c r="D12139">
        <v>27.31</v>
      </c>
      <c r="E12139">
        <v>38</v>
      </c>
    </row>
    <row r="12140" spans="1:5" x14ac:dyDescent="0.3">
      <c r="A12140" t="s">
        <v>94</v>
      </c>
      <c r="B12140" s="1">
        <v>44686</v>
      </c>
      <c r="C12140">
        <v>1</v>
      </c>
      <c r="D12140">
        <v>27.31</v>
      </c>
      <c r="E12140">
        <v>38</v>
      </c>
    </row>
    <row r="12141" spans="1:5" x14ac:dyDescent="0.3">
      <c r="A12141" t="s">
        <v>94</v>
      </c>
      <c r="B12141" s="1">
        <v>44686</v>
      </c>
      <c r="C12141">
        <v>1</v>
      </c>
      <c r="D12141">
        <v>28.46</v>
      </c>
      <c r="E12141">
        <v>39</v>
      </c>
    </row>
    <row r="12142" spans="1:5" x14ac:dyDescent="0.3">
      <c r="A12142" t="s">
        <v>94</v>
      </c>
      <c r="B12142" s="1">
        <v>44686</v>
      </c>
      <c r="C12142">
        <v>1</v>
      </c>
      <c r="D12142">
        <v>28.46</v>
      </c>
      <c r="E12142">
        <v>39</v>
      </c>
    </row>
    <row r="12143" spans="1:5" x14ac:dyDescent="0.3">
      <c r="A12143" t="s">
        <v>94</v>
      </c>
      <c r="B12143" s="1">
        <v>44686</v>
      </c>
      <c r="C12143">
        <v>1</v>
      </c>
      <c r="D12143">
        <v>28.46</v>
      </c>
      <c r="E12143">
        <v>39</v>
      </c>
    </row>
    <row r="12144" spans="1:5" x14ac:dyDescent="0.3">
      <c r="A12144" t="s">
        <v>94</v>
      </c>
      <c r="B12144" s="1">
        <v>44686</v>
      </c>
      <c r="C12144">
        <v>1</v>
      </c>
      <c r="D12144">
        <v>28.46</v>
      </c>
      <c r="E12144">
        <v>39</v>
      </c>
    </row>
    <row r="12145" spans="1:5" x14ac:dyDescent="0.3">
      <c r="A12145" t="s">
        <v>94</v>
      </c>
      <c r="B12145" s="1">
        <v>44686</v>
      </c>
      <c r="C12145">
        <v>1</v>
      </c>
      <c r="D12145">
        <v>28.46</v>
      </c>
      <c r="E12145">
        <v>39</v>
      </c>
    </row>
    <row r="12146" spans="1:5" x14ac:dyDescent="0.3">
      <c r="A12146" t="s">
        <v>94</v>
      </c>
      <c r="B12146" s="1">
        <v>44686</v>
      </c>
      <c r="C12146">
        <v>1</v>
      </c>
      <c r="D12146">
        <v>28.46</v>
      </c>
      <c r="E12146">
        <v>39</v>
      </c>
    </row>
    <row r="12147" spans="1:5" x14ac:dyDescent="0.3">
      <c r="A12147" t="s">
        <v>94</v>
      </c>
      <c r="B12147" s="1">
        <v>44686</v>
      </c>
      <c r="C12147">
        <v>1</v>
      </c>
      <c r="D12147">
        <v>28.46</v>
      </c>
      <c r="E12147">
        <v>39</v>
      </c>
    </row>
    <row r="12148" spans="1:5" x14ac:dyDescent="0.3">
      <c r="A12148" t="s">
        <v>94</v>
      </c>
      <c r="B12148" s="1">
        <v>44686</v>
      </c>
      <c r="C12148">
        <v>1</v>
      </c>
      <c r="D12148">
        <v>28.46</v>
      </c>
      <c r="E12148">
        <v>39</v>
      </c>
    </row>
    <row r="12149" spans="1:5" x14ac:dyDescent="0.3">
      <c r="A12149" t="s">
        <v>95</v>
      </c>
      <c r="B12149" s="1">
        <v>44686</v>
      </c>
      <c r="C12149">
        <v>1</v>
      </c>
      <c r="D12149">
        <v>130.65</v>
      </c>
      <c r="E12149">
        <v>199</v>
      </c>
    </row>
    <row r="12150" spans="1:5" x14ac:dyDescent="0.3">
      <c r="A12150" t="s">
        <v>91</v>
      </c>
      <c r="B12150" s="1">
        <v>44686</v>
      </c>
      <c r="C12150">
        <v>1</v>
      </c>
      <c r="D12150">
        <v>30.78</v>
      </c>
      <c r="E12150">
        <v>50</v>
      </c>
    </row>
    <row r="12151" spans="1:5" x14ac:dyDescent="0.3">
      <c r="A12151" t="s">
        <v>54</v>
      </c>
      <c r="B12151" s="1">
        <v>44686</v>
      </c>
      <c r="C12151">
        <v>1</v>
      </c>
      <c r="D12151">
        <v>651.07000000000005</v>
      </c>
      <c r="E12151">
        <v>840</v>
      </c>
    </row>
    <row r="12152" spans="1:5" x14ac:dyDescent="0.3">
      <c r="A12152" t="s">
        <v>103</v>
      </c>
      <c r="B12152" s="1">
        <v>44686</v>
      </c>
      <c r="C12152">
        <v>1</v>
      </c>
      <c r="D12152">
        <v>24.84</v>
      </c>
      <c r="E12152">
        <v>38</v>
      </c>
    </row>
    <row r="12153" spans="1:5" x14ac:dyDescent="0.3">
      <c r="A12153" t="s">
        <v>87</v>
      </c>
      <c r="B12153" s="1">
        <v>44686</v>
      </c>
      <c r="C12153">
        <v>1</v>
      </c>
      <c r="D12153">
        <v>348.66</v>
      </c>
      <c r="E12153">
        <v>414</v>
      </c>
    </row>
    <row r="12154" spans="1:5" x14ac:dyDescent="0.3">
      <c r="A12154" t="s">
        <v>53</v>
      </c>
      <c r="B12154" s="1">
        <v>44686</v>
      </c>
      <c r="C12154">
        <v>1</v>
      </c>
      <c r="D12154">
        <v>23.4</v>
      </c>
      <c r="E12154">
        <v>38</v>
      </c>
    </row>
    <row r="12155" spans="1:5" x14ac:dyDescent="0.3">
      <c r="A12155" t="s">
        <v>80</v>
      </c>
      <c r="B12155" s="1">
        <v>44686</v>
      </c>
      <c r="C12155">
        <v>1</v>
      </c>
      <c r="D12155">
        <v>29.23</v>
      </c>
      <c r="E12155">
        <v>46</v>
      </c>
    </row>
    <row r="12156" spans="1:5" x14ac:dyDescent="0.3">
      <c r="A12156" t="s">
        <v>57</v>
      </c>
      <c r="B12156" s="1">
        <v>44686</v>
      </c>
      <c r="C12156">
        <v>1</v>
      </c>
      <c r="D12156">
        <v>233.76</v>
      </c>
      <c r="E12156">
        <v>274</v>
      </c>
    </row>
    <row r="12157" spans="1:5" x14ac:dyDescent="0.3">
      <c r="A12157" t="s">
        <v>122</v>
      </c>
      <c r="B12157" s="1">
        <v>44686</v>
      </c>
      <c r="C12157">
        <v>1</v>
      </c>
      <c r="D12157">
        <v>21.64</v>
      </c>
      <c r="E12157">
        <v>27</v>
      </c>
    </row>
    <row r="12158" spans="1:5" x14ac:dyDescent="0.3">
      <c r="A12158" t="s">
        <v>52</v>
      </c>
      <c r="B12158" s="1">
        <v>44686</v>
      </c>
      <c r="C12158">
        <v>1</v>
      </c>
      <c r="D12158">
        <v>221.19</v>
      </c>
      <c r="E12158">
        <v>262</v>
      </c>
    </row>
    <row r="12159" spans="1:5" x14ac:dyDescent="0.3">
      <c r="A12159" t="s">
        <v>121</v>
      </c>
      <c r="B12159" s="1">
        <v>44686</v>
      </c>
      <c r="C12159">
        <v>1</v>
      </c>
      <c r="D12159">
        <v>7.24</v>
      </c>
      <c r="E12159">
        <v>12</v>
      </c>
    </row>
    <row r="12160" spans="1:5" x14ac:dyDescent="0.3">
      <c r="A12160" t="s">
        <v>153</v>
      </c>
      <c r="B12160" s="1">
        <v>44686</v>
      </c>
      <c r="C12160">
        <v>1</v>
      </c>
      <c r="D12160">
        <v>9.4600000000000009</v>
      </c>
      <c r="E12160">
        <v>11</v>
      </c>
    </row>
    <row r="12161" spans="1:5" x14ac:dyDescent="0.3">
      <c r="A12161" t="s">
        <v>44</v>
      </c>
      <c r="B12161" s="1">
        <v>44686</v>
      </c>
      <c r="C12161">
        <v>1</v>
      </c>
      <c r="D12161">
        <v>64.23</v>
      </c>
      <c r="E12161">
        <v>100</v>
      </c>
    </row>
    <row r="12162" spans="1:5" x14ac:dyDescent="0.3">
      <c r="A12162" t="s">
        <v>90</v>
      </c>
      <c r="B12162" s="1">
        <v>44686</v>
      </c>
      <c r="C12162">
        <v>1</v>
      </c>
      <c r="D12162">
        <v>468</v>
      </c>
      <c r="E12162">
        <v>576</v>
      </c>
    </row>
    <row r="12163" spans="1:5" x14ac:dyDescent="0.3">
      <c r="A12163" t="s">
        <v>50</v>
      </c>
      <c r="B12163" s="1">
        <v>44686</v>
      </c>
      <c r="C12163">
        <v>1</v>
      </c>
      <c r="D12163">
        <v>44.86</v>
      </c>
      <c r="E12163">
        <v>56</v>
      </c>
    </row>
    <row r="12164" spans="1:5" x14ac:dyDescent="0.3">
      <c r="A12164" t="s">
        <v>25</v>
      </c>
      <c r="B12164" s="1">
        <v>44686</v>
      </c>
      <c r="C12164">
        <v>1</v>
      </c>
      <c r="D12164">
        <v>148.58000000000001</v>
      </c>
      <c r="E12164">
        <v>179</v>
      </c>
    </row>
    <row r="12165" spans="1:5" x14ac:dyDescent="0.3">
      <c r="A12165" t="s">
        <v>43</v>
      </c>
      <c r="B12165" s="1">
        <v>44686</v>
      </c>
      <c r="C12165">
        <v>1</v>
      </c>
      <c r="D12165">
        <v>135.04</v>
      </c>
      <c r="E12165">
        <v>162</v>
      </c>
    </row>
    <row r="12166" spans="1:5" x14ac:dyDescent="0.3">
      <c r="A12166" t="s">
        <v>121</v>
      </c>
      <c r="B12166" s="1">
        <v>44686</v>
      </c>
      <c r="C12166">
        <v>2</v>
      </c>
      <c r="D12166">
        <v>7.24</v>
      </c>
      <c r="E12166">
        <v>12</v>
      </c>
    </row>
    <row r="12167" spans="1:5" x14ac:dyDescent="0.3">
      <c r="A12167" t="s">
        <v>49</v>
      </c>
      <c r="B12167" s="1">
        <v>44686</v>
      </c>
      <c r="C12167">
        <v>1</v>
      </c>
      <c r="D12167">
        <v>15.32</v>
      </c>
      <c r="E12167">
        <v>19</v>
      </c>
    </row>
    <row r="12168" spans="1:5" x14ac:dyDescent="0.3">
      <c r="A12168" t="s">
        <v>24</v>
      </c>
      <c r="B12168" s="1">
        <v>44686</v>
      </c>
      <c r="C12168">
        <v>1</v>
      </c>
      <c r="D12168">
        <v>99.48</v>
      </c>
      <c r="E12168">
        <v>117</v>
      </c>
    </row>
    <row r="12169" spans="1:5" x14ac:dyDescent="0.3">
      <c r="A12169" t="s">
        <v>111</v>
      </c>
      <c r="B12169" s="1">
        <v>44686</v>
      </c>
      <c r="C12169">
        <v>1</v>
      </c>
      <c r="D12169">
        <v>164.96</v>
      </c>
      <c r="E12169">
        <v>198</v>
      </c>
    </row>
    <row r="12170" spans="1:5" x14ac:dyDescent="0.3">
      <c r="A12170" t="s">
        <v>25</v>
      </c>
      <c r="B12170" s="1">
        <v>44686</v>
      </c>
      <c r="C12170">
        <v>1</v>
      </c>
      <c r="D12170">
        <v>148.58000000000001</v>
      </c>
      <c r="E12170">
        <v>179</v>
      </c>
    </row>
    <row r="12171" spans="1:5" x14ac:dyDescent="0.3">
      <c r="A12171" t="s">
        <v>46</v>
      </c>
      <c r="B12171" s="1">
        <v>44686</v>
      </c>
      <c r="C12171">
        <v>1</v>
      </c>
      <c r="D12171">
        <v>19.89</v>
      </c>
      <c r="E12171">
        <v>24</v>
      </c>
    </row>
    <row r="12172" spans="1:5" x14ac:dyDescent="0.3">
      <c r="A12172" t="s">
        <v>46</v>
      </c>
      <c r="B12172" s="1">
        <v>44686</v>
      </c>
      <c r="C12172">
        <v>1</v>
      </c>
      <c r="D12172">
        <v>19.89</v>
      </c>
      <c r="E12172">
        <v>24</v>
      </c>
    </row>
    <row r="12173" spans="1:5" x14ac:dyDescent="0.3">
      <c r="A12173" t="s">
        <v>45</v>
      </c>
      <c r="B12173" s="1">
        <v>44686</v>
      </c>
      <c r="C12173">
        <v>5</v>
      </c>
      <c r="D12173">
        <v>25.25</v>
      </c>
      <c r="E12173">
        <v>41</v>
      </c>
    </row>
    <row r="12174" spans="1:5" x14ac:dyDescent="0.3">
      <c r="A12174" t="s">
        <v>24</v>
      </c>
      <c r="B12174" s="1">
        <v>44686</v>
      </c>
      <c r="C12174">
        <v>1</v>
      </c>
      <c r="D12174">
        <v>99.48</v>
      </c>
      <c r="E12174">
        <v>116</v>
      </c>
    </row>
    <row r="12175" spans="1:5" x14ac:dyDescent="0.3">
      <c r="A12175" t="s">
        <v>24</v>
      </c>
      <c r="B12175" s="1">
        <v>44686</v>
      </c>
      <c r="C12175">
        <v>1</v>
      </c>
      <c r="D12175">
        <v>99.47</v>
      </c>
      <c r="E12175">
        <v>121</v>
      </c>
    </row>
    <row r="12176" spans="1:5" x14ac:dyDescent="0.3">
      <c r="A12176" t="s">
        <v>25</v>
      </c>
      <c r="B12176" s="1">
        <v>44686</v>
      </c>
      <c r="C12176">
        <v>1</v>
      </c>
      <c r="D12176">
        <v>148.52000000000001</v>
      </c>
      <c r="E12176">
        <v>178</v>
      </c>
    </row>
    <row r="12177" spans="1:5" x14ac:dyDescent="0.3">
      <c r="A12177" t="s">
        <v>64</v>
      </c>
      <c r="B12177" s="1">
        <v>44686</v>
      </c>
      <c r="C12177">
        <v>1</v>
      </c>
      <c r="D12177">
        <v>199.69</v>
      </c>
      <c r="E12177">
        <v>282</v>
      </c>
    </row>
    <row r="12178" spans="1:5" x14ac:dyDescent="0.3">
      <c r="A12178" t="s">
        <v>10</v>
      </c>
      <c r="B12178" s="1">
        <v>44686</v>
      </c>
      <c r="C12178">
        <v>1</v>
      </c>
      <c r="D12178">
        <v>10.34</v>
      </c>
      <c r="E12178">
        <v>13</v>
      </c>
    </row>
    <row r="12179" spans="1:5" x14ac:dyDescent="0.3">
      <c r="A12179" t="s">
        <v>144</v>
      </c>
      <c r="B12179" s="1">
        <v>44686</v>
      </c>
      <c r="C12179">
        <v>1</v>
      </c>
      <c r="D12179">
        <v>51.62</v>
      </c>
      <c r="E12179">
        <v>75</v>
      </c>
    </row>
    <row r="12180" spans="1:5" x14ac:dyDescent="0.3">
      <c r="A12180" t="s">
        <v>65</v>
      </c>
      <c r="B12180" s="1">
        <v>44686</v>
      </c>
      <c r="C12180">
        <v>1</v>
      </c>
      <c r="D12180">
        <v>176.42</v>
      </c>
      <c r="E12180">
        <v>207</v>
      </c>
    </row>
    <row r="12181" spans="1:5" x14ac:dyDescent="0.3">
      <c r="A12181" t="s">
        <v>96</v>
      </c>
      <c r="B12181" s="1">
        <v>44686</v>
      </c>
      <c r="C12181">
        <v>1</v>
      </c>
      <c r="D12181">
        <v>72.73</v>
      </c>
      <c r="E12181">
        <v>109</v>
      </c>
    </row>
    <row r="12182" spans="1:5" x14ac:dyDescent="0.3">
      <c r="A12182" t="s">
        <v>96</v>
      </c>
      <c r="B12182" s="1">
        <v>44686</v>
      </c>
      <c r="C12182">
        <v>1</v>
      </c>
      <c r="D12182">
        <v>72.73</v>
      </c>
      <c r="E12182">
        <v>109</v>
      </c>
    </row>
    <row r="12183" spans="1:5" x14ac:dyDescent="0.3">
      <c r="A12183" t="s">
        <v>128</v>
      </c>
      <c r="B12183" s="1">
        <v>44686</v>
      </c>
      <c r="C12183">
        <v>1</v>
      </c>
      <c r="D12183">
        <v>269.89</v>
      </c>
      <c r="E12183">
        <v>373</v>
      </c>
    </row>
    <row r="12184" spans="1:5" x14ac:dyDescent="0.3">
      <c r="A12184" t="s">
        <v>145</v>
      </c>
      <c r="B12184" s="1">
        <v>44686</v>
      </c>
      <c r="C12184">
        <v>1</v>
      </c>
      <c r="D12184">
        <v>25.3</v>
      </c>
      <c r="E12184">
        <v>31</v>
      </c>
    </row>
    <row r="12185" spans="1:5" x14ac:dyDescent="0.3">
      <c r="A12185" t="s">
        <v>145</v>
      </c>
      <c r="B12185" s="1">
        <v>44686</v>
      </c>
      <c r="C12185">
        <v>1</v>
      </c>
      <c r="D12185">
        <v>25.3</v>
      </c>
      <c r="E12185">
        <v>31</v>
      </c>
    </row>
    <row r="12186" spans="1:5" x14ac:dyDescent="0.3">
      <c r="A12186" t="s">
        <v>65</v>
      </c>
      <c r="B12186" s="1">
        <v>44686</v>
      </c>
      <c r="C12186">
        <v>1</v>
      </c>
      <c r="D12186">
        <v>186.78</v>
      </c>
      <c r="E12186">
        <v>219</v>
      </c>
    </row>
    <row r="12187" spans="1:5" x14ac:dyDescent="0.3">
      <c r="A12187" t="s">
        <v>103</v>
      </c>
      <c r="B12187" s="1">
        <v>44686</v>
      </c>
      <c r="C12187">
        <v>1</v>
      </c>
      <c r="D12187">
        <v>24.84</v>
      </c>
      <c r="E12187">
        <v>38</v>
      </c>
    </row>
    <row r="12188" spans="1:5" x14ac:dyDescent="0.3">
      <c r="A12188" t="s">
        <v>65</v>
      </c>
      <c r="B12188" s="1">
        <v>44686</v>
      </c>
      <c r="C12188">
        <v>1</v>
      </c>
      <c r="D12188">
        <v>192.99</v>
      </c>
      <c r="E12188">
        <v>246</v>
      </c>
    </row>
    <row r="12189" spans="1:5" x14ac:dyDescent="0.3">
      <c r="A12189" t="s">
        <v>132</v>
      </c>
      <c r="B12189" s="1">
        <v>44686</v>
      </c>
      <c r="C12189">
        <v>1</v>
      </c>
      <c r="D12189">
        <v>58.97</v>
      </c>
      <c r="E12189">
        <v>88</v>
      </c>
    </row>
    <row r="12190" spans="1:5" x14ac:dyDescent="0.3">
      <c r="A12190" t="s">
        <v>111</v>
      </c>
      <c r="B12190" s="1">
        <v>44686</v>
      </c>
      <c r="C12190">
        <v>1</v>
      </c>
      <c r="D12190">
        <v>164.96</v>
      </c>
      <c r="E12190">
        <v>198</v>
      </c>
    </row>
    <row r="12191" spans="1:5" x14ac:dyDescent="0.3">
      <c r="A12191" t="s">
        <v>87</v>
      </c>
      <c r="B12191" s="1">
        <v>44686</v>
      </c>
      <c r="C12191">
        <v>1</v>
      </c>
      <c r="D12191">
        <v>348.66</v>
      </c>
      <c r="E12191">
        <v>395</v>
      </c>
    </row>
    <row r="12192" spans="1:5" x14ac:dyDescent="0.3">
      <c r="A12192" t="s">
        <v>23</v>
      </c>
      <c r="B12192" s="1">
        <v>44686</v>
      </c>
      <c r="C12192">
        <v>1</v>
      </c>
      <c r="D12192">
        <v>109.12</v>
      </c>
      <c r="E12192">
        <v>123</v>
      </c>
    </row>
    <row r="12193" spans="1:5" x14ac:dyDescent="0.3">
      <c r="A12193" t="s">
        <v>79</v>
      </c>
      <c r="B12193" s="1">
        <v>44686</v>
      </c>
      <c r="C12193">
        <v>1</v>
      </c>
      <c r="D12193">
        <v>148.5</v>
      </c>
      <c r="E12193">
        <v>177</v>
      </c>
    </row>
    <row r="12194" spans="1:5" x14ac:dyDescent="0.3">
      <c r="A12194" t="s">
        <v>53</v>
      </c>
      <c r="B12194" s="1">
        <v>44686</v>
      </c>
      <c r="C12194">
        <v>1</v>
      </c>
      <c r="D12194">
        <v>23.4</v>
      </c>
      <c r="E12194">
        <v>38</v>
      </c>
    </row>
    <row r="12195" spans="1:5" x14ac:dyDescent="0.3">
      <c r="A12195" t="s">
        <v>142</v>
      </c>
      <c r="B12195" s="1">
        <v>44686</v>
      </c>
      <c r="C12195">
        <v>1</v>
      </c>
      <c r="D12195">
        <v>12.86</v>
      </c>
      <c r="E12195">
        <v>15</v>
      </c>
    </row>
    <row r="12196" spans="1:5" x14ac:dyDescent="0.3">
      <c r="A12196" t="s">
        <v>153</v>
      </c>
      <c r="B12196" s="1">
        <v>44686</v>
      </c>
      <c r="C12196">
        <v>1</v>
      </c>
      <c r="D12196">
        <v>10.34</v>
      </c>
      <c r="E12196">
        <v>12</v>
      </c>
    </row>
    <row r="12197" spans="1:5" x14ac:dyDescent="0.3">
      <c r="A12197" t="s">
        <v>28</v>
      </c>
      <c r="B12197" s="1">
        <v>44686</v>
      </c>
      <c r="C12197">
        <v>1</v>
      </c>
      <c r="D12197">
        <v>150.5</v>
      </c>
      <c r="E12197">
        <v>219</v>
      </c>
    </row>
    <row r="12198" spans="1:5" x14ac:dyDescent="0.3">
      <c r="A12198" t="s">
        <v>15</v>
      </c>
      <c r="B12198" s="1">
        <v>44686</v>
      </c>
      <c r="C12198">
        <v>1</v>
      </c>
      <c r="D12198">
        <v>44.41</v>
      </c>
      <c r="E12198">
        <v>72</v>
      </c>
    </row>
    <row r="12199" spans="1:5" x14ac:dyDescent="0.3">
      <c r="A12199" t="s">
        <v>21</v>
      </c>
      <c r="B12199" s="1">
        <v>44686</v>
      </c>
      <c r="C12199">
        <v>1</v>
      </c>
      <c r="D12199">
        <v>182.55</v>
      </c>
      <c r="E12199">
        <v>254</v>
      </c>
    </row>
    <row r="12200" spans="1:5" x14ac:dyDescent="0.3">
      <c r="A12200" t="s">
        <v>18</v>
      </c>
      <c r="B12200" s="1">
        <v>44686</v>
      </c>
      <c r="C12200">
        <v>1</v>
      </c>
      <c r="D12200">
        <v>42</v>
      </c>
      <c r="E12200">
        <v>64</v>
      </c>
    </row>
    <row r="12201" spans="1:5" x14ac:dyDescent="0.3">
      <c r="A12201" t="s">
        <v>18</v>
      </c>
      <c r="B12201" s="1">
        <v>44686</v>
      </c>
      <c r="C12201">
        <v>1</v>
      </c>
      <c r="D12201">
        <v>42</v>
      </c>
      <c r="E12201">
        <v>64</v>
      </c>
    </row>
    <row r="12202" spans="1:5" x14ac:dyDescent="0.3">
      <c r="A12202" t="s">
        <v>5</v>
      </c>
      <c r="B12202" s="1">
        <v>44686</v>
      </c>
      <c r="C12202">
        <v>1</v>
      </c>
      <c r="D12202">
        <v>145.6</v>
      </c>
      <c r="E12202">
        <v>172</v>
      </c>
    </row>
    <row r="12203" spans="1:5" x14ac:dyDescent="0.3">
      <c r="A12203" t="s">
        <v>5</v>
      </c>
      <c r="B12203" s="1">
        <v>44686</v>
      </c>
      <c r="C12203">
        <v>1</v>
      </c>
      <c r="D12203">
        <v>145.6</v>
      </c>
      <c r="E12203">
        <v>172</v>
      </c>
    </row>
    <row r="12204" spans="1:5" x14ac:dyDescent="0.3">
      <c r="A12204" t="s">
        <v>53</v>
      </c>
      <c r="B12204" s="1">
        <v>44686</v>
      </c>
      <c r="C12204">
        <v>1</v>
      </c>
      <c r="D12204">
        <v>23.4</v>
      </c>
      <c r="E12204">
        <v>38</v>
      </c>
    </row>
    <row r="12205" spans="1:5" x14ac:dyDescent="0.3">
      <c r="A12205" t="s">
        <v>142</v>
      </c>
      <c r="B12205" s="1">
        <v>44686</v>
      </c>
      <c r="C12205">
        <v>1</v>
      </c>
      <c r="D12205">
        <v>12.5</v>
      </c>
      <c r="E12205">
        <v>14.99</v>
      </c>
    </row>
    <row r="12206" spans="1:5" x14ac:dyDescent="0.3">
      <c r="A12206" t="s">
        <v>89</v>
      </c>
      <c r="B12206" s="1">
        <v>44686</v>
      </c>
      <c r="C12206">
        <v>1</v>
      </c>
      <c r="D12206">
        <v>83.81</v>
      </c>
      <c r="E12206">
        <v>119</v>
      </c>
    </row>
    <row r="12207" spans="1:5" x14ac:dyDescent="0.3">
      <c r="A12207" t="s">
        <v>48</v>
      </c>
      <c r="B12207" s="1">
        <v>44686</v>
      </c>
      <c r="C12207">
        <v>1</v>
      </c>
      <c r="D12207">
        <v>38.67</v>
      </c>
      <c r="E12207">
        <v>59</v>
      </c>
    </row>
    <row r="12208" spans="1:5" x14ac:dyDescent="0.3">
      <c r="A12208" t="s">
        <v>131</v>
      </c>
      <c r="B12208" s="1">
        <v>44686</v>
      </c>
      <c r="C12208">
        <v>1</v>
      </c>
      <c r="D12208">
        <v>363</v>
      </c>
      <c r="E12208">
        <v>391</v>
      </c>
    </row>
    <row r="12209" spans="1:5" x14ac:dyDescent="0.3">
      <c r="A12209" t="s">
        <v>13</v>
      </c>
      <c r="B12209" s="1">
        <v>44686</v>
      </c>
      <c r="C12209">
        <v>1</v>
      </c>
      <c r="D12209">
        <v>133.32</v>
      </c>
      <c r="E12209">
        <v>158</v>
      </c>
    </row>
    <row r="12210" spans="1:5" x14ac:dyDescent="0.3">
      <c r="A12210" t="s">
        <v>122</v>
      </c>
      <c r="B12210" s="1">
        <v>44686</v>
      </c>
      <c r="C12210">
        <v>1</v>
      </c>
      <c r="D12210">
        <v>21.4</v>
      </c>
      <c r="E12210">
        <v>26</v>
      </c>
    </row>
    <row r="12211" spans="1:5" x14ac:dyDescent="0.3">
      <c r="A12211" t="s">
        <v>138</v>
      </c>
      <c r="B12211" s="1">
        <v>44686</v>
      </c>
      <c r="C12211">
        <v>1</v>
      </c>
      <c r="D12211">
        <v>46.5</v>
      </c>
      <c r="E12211">
        <v>76</v>
      </c>
    </row>
    <row r="12212" spans="1:5" x14ac:dyDescent="0.3">
      <c r="A12212" t="s">
        <v>59</v>
      </c>
      <c r="B12212" s="1">
        <v>44686</v>
      </c>
      <c r="C12212">
        <v>1</v>
      </c>
      <c r="D12212">
        <v>16.78</v>
      </c>
      <c r="E12212">
        <v>28</v>
      </c>
    </row>
    <row r="12213" spans="1:5" x14ac:dyDescent="0.3">
      <c r="A12213" t="s">
        <v>6</v>
      </c>
      <c r="B12213" s="1">
        <v>44686</v>
      </c>
      <c r="C12213">
        <v>0.5</v>
      </c>
      <c r="D12213">
        <v>409.63</v>
      </c>
      <c r="E12213">
        <v>513</v>
      </c>
    </row>
    <row r="12214" spans="1:5" x14ac:dyDescent="0.3">
      <c r="A12214" t="s">
        <v>47</v>
      </c>
      <c r="B12214" s="1">
        <v>44686</v>
      </c>
      <c r="C12214">
        <v>1</v>
      </c>
      <c r="D12214">
        <v>43.49</v>
      </c>
      <c r="E12214">
        <v>69</v>
      </c>
    </row>
    <row r="12215" spans="1:5" x14ac:dyDescent="0.3">
      <c r="A12215" t="s">
        <v>122</v>
      </c>
      <c r="B12215" s="1">
        <v>44686</v>
      </c>
      <c r="C12215">
        <v>1</v>
      </c>
      <c r="D12215">
        <v>22.5</v>
      </c>
      <c r="E12215">
        <v>27</v>
      </c>
    </row>
    <row r="12216" spans="1:5" x14ac:dyDescent="0.3">
      <c r="A12216" t="s">
        <v>122</v>
      </c>
      <c r="B12216" s="1">
        <v>44686</v>
      </c>
      <c r="C12216">
        <v>1</v>
      </c>
      <c r="D12216">
        <v>22.5</v>
      </c>
      <c r="E12216">
        <v>27</v>
      </c>
    </row>
    <row r="12217" spans="1:5" x14ac:dyDescent="0.3">
      <c r="A12217" t="s">
        <v>127</v>
      </c>
      <c r="B12217" s="1">
        <v>44686</v>
      </c>
      <c r="C12217">
        <v>1</v>
      </c>
      <c r="D12217">
        <v>121.51</v>
      </c>
      <c r="E12217">
        <v>172</v>
      </c>
    </row>
    <row r="12218" spans="1:5" x14ac:dyDescent="0.3">
      <c r="A12218" t="s">
        <v>63</v>
      </c>
      <c r="B12218" s="1">
        <v>44686</v>
      </c>
      <c r="C12218">
        <v>1</v>
      </c>
      <c r="D12218">
        <v>77.349999999999994</v>
      </c>
      <c r="E12218">
        <v>93</v>
      </c>
    </row>
    <row r="12219" spans="1:5" x14ac:dyDescent="0.3">
      <c r="A12219" t="s">
        <v>63</v>
      </c>
      <c r="B12219" s="1">
        <v>44686</v>
      </c>
      <c r="C12219">
        <v>1</v>
      </c>
      <c r="D12219">
        <v>73.239999999999995</v>
      </c>
      <c r="E12219">
        <v>88</v>
      </c>
    </row>
    <row r="12220" spans="1:5" x14ac:dyDescent="0.3">
      <c r="A12220" t="s">
        <v>66</v>
      </c>
      <c r="B12220" s="1">
        <v>44686</v>
      </c>
      <c r="C12220">
        <v>1</v>
      </c>
      <c r="D12220">
        <v>32.619999999999997</v>
      </c>
      <c r="E12220">
        <v>38</v>
      </c>
    </row>
    <row r="12221" spans="1:5" x14ac:dyDescent="0.3">
      <c r="A12221" t="s">
        <v>66</v>
      </c>
      <c r="B12221" s="1">
        <v>44686</v>
      </c>
      <c r="C12221">
        <v>1</v>
      </c>
      <c r="D12221">
        <v>32.619999999999997</v>
      </c>
      <c r="E12221">
        <v>38</v>
      </c>
    </row>
    <row r="12222" spans="1:5" x14ac:dyDescent="0.3">
      <c r="A12222" t="s">
        <v>92</v>
      </c>
      <c r="B12222" s="1">
        <v>44686</v>
      </c>
      <c r="C12222">
        <v>39</v>
      </c>
      <c r="D12222">
        <v>6.24</v>
      </c>
      <c r="E12222">
        <v>9</v>
      </c>
    </row>
    <row r="12223" spans="1:5" x14ac:dyDescent="0.3">
      <c r="A12223" t="s">
        <v>92</v>
      </c>
      <c r="B12223" s="1">
        <v>44686</v>
      </c>
      <c r="C12223">
        <v>11</v>
      </c>
      <c r="D12223">
        <v>8.69</v>
      </c>
      <c r="E12223">
        <v>12</v>
      </c>
    </row>
    <row r="12224" spans="1:5" x14ac:dyDescent="0.3">
      <c r="A12224" t="s">
        <v>36</v>
      </c>
      <c r="B12224" s="1">
        <v>44686</v>
      </c>
      <c r="C12224">
        <v>1</v>
      </c>
      <c r="D12224">
        <v>25.27</v>
      </c>
      <c r="E12224">
        <v>32</v>
      </c>
    </row>
    <row r="12225" spans="1:5" x14ac:dyDescent="0.3">
      <c r="A12225" t="s">
        <v>63</v>
      </c>
      <c r="B12225" s="1">
        <v>44686</v>
      </c>
      <c r="C12225">
        <v>1</v>
      </c>
      <c r="D12225">
        <v>71.790000000000006</v>
      </c>
      <c r="E12225">
        <v>87</v>
      </c>
    </row>
    <row r="12226" spans="1:5" x14ac:dyDescent="0.3">
      <c r="A12226" t="s">
        <v>56</v>
      </c>
      <c r="B12226" s="1">
        <v>44686</v>
      </c>
      <c r="C12226">
        <v>1</v>
      </c>
      <c r="D12226">
        <v>43.7</v>
      </c>
      <c r="E12226">
        <v>67</v>
      </c>
    </row>
    <row r="12227" spans="1:5" x14ac:dyDescent="0.3">
      <c r="A12227" t="s">
        <v>65</v>
      </c>
      <c r="B12227" s="1">
        <v>44686</v>
      </c>
      <c r="C12227">
        <v>1</v>
      </c>
      <c r="D12227">
        <v>186.78</v>
      </c>
      <c r="E12227">
        <v>219</v>
      </c>
    </row>
    <row r="12228" spans="1:5" x14ac:dyDescent="0.3">
      <c r="A12228" t="s">
        <v>123</v>
      </c>
      <c r="B12228" s="1">
        <v>44686</v>
      </c>
      <c r="C12228">
        <v>1</v>
      </c>
      <c r="D12228">
        <v>68.680000000000007</v>
      </c>
      <c r="E12228">
        <v>84</v>
      </c>
    </row>
    <row r="12229" spans="1:5" x14ac:dyDescent="0.3">
      <c r="A12229" t="s">
        <v>90</v>
      </c>
      <c r="B12229" s="1">
        <v>44686</v>
      </c>
      <c r="C12229">
        <v>1</v>
      </c>
      <c r="D12229">
        <v>383.43</v>
      </c>
      <c r="E12229">
        <v>472</v>
      </c>
    </row>
    <row r="12230" spans="1:5" x14ac:dyDescent="0.3">
      <c r="A12230" t="s">
        <v>48</v>
      </c>
      <c r="B12230" s="1">
        <v>44686</v>
      </c>
      <c r="C12230">
        <v>1</v>
      </c>
      <c r="D12230">
        <v>38.67</v>
      </c>
      <c r="E12230">
        <v>59</v>
      </c>
    </row>
    <row r="12231" spans="1:5" x14ac:dyDescent="0.3">
      <c r="A12231" t="s">
        <v>48</v>
      </c>
      <c r="B12231" s="1">
        <v>44686</v>
      </c>
      <c r="C12231">
        <v>1</v>
      </c>
      <c r="D12231">
        <v>38.67</v>
      </c>
      <c r="E12231">
        <v>59</v>
      </c>
    </row>
    <row r="12232" spans="1:5" x14ac:dyDescent="0.3">
      <c r="A12232" t="s">
        <v>123</v>
      </c>
      <c r="B12232" s="1">
        <v>44686</v>
      </c>
      <c r="C12232">
        <v>1</v>
      </c>
      <c r="D12232">
        <v>62.71</v>
      </c>
      <c r="E12232">
        <v>78</v>
      </c>
    </row>
    <row r="12233" spans="1:5" x14ac:dyDescent="0.3">
      <c r="A12233" t="s">
        <v>123</v>
      </c>
      <c r="B12233" s="1">
        <v>44686</v>
      </c>
      <c r="C12233">
        <v>1</v>
      </c>
      <c r="D12233">
        <v>62.71</v>
      </c>
      <c r="E12233">
        <v>78</v>
      </c>
    </row>
    <row r="12234" spans="1:5" x14ac:dyDescent="0.3">
      <c r="A12234" t="s">
        <v>28</v>
      </c>
      <c r="B12234" s="1">
        <v>44686</v>
      </c>
      <c r="C12234">
        <v>1</v>
      </c>
      <c r="D12234">
        <v>146.02000000000001</v>
      </c>
      <c r="E12234">
        <v>201</v>
      </c>
    </row>
    <row r="12235" spans="1:5" x14ac:dyDescent="0.3">
      <c r="A12235" t="s">
        <v>18</v>
      </c>
      <c r="B12235" s="1">
        <v>44686</v>
      </c>
      <c r="C12235">
        <v>1</v>
      </c>
      <c r="D12235">
        <v>44</v>
      </c>
      <c r="E12235">
        <v>69</v>
      </c>
    </row>
    <row r="12236" spans="1:5" x14ac:dyDescent="0.3">
      <c r="A12236" t="s">
        <v>44</v>
      </c>
      <c r="B12236" s="1">
        <v>44686</v>
      </c>
      <c r="C12236">
        <v>1</v>
      </c>
      <c r="D12236">
        <v>64.23</v>
      </c>
      <c r="E12236">
        <v>100</v>
      </c>
    </row>
    <row r="12237" spans="1:5" x14ac:dyDescent="0.3">
      <c r="A12237" t="s">
        <v>45</v>
      </c>
      <c r="B12237" s="1">
        <v>44686</v>
      </c>
      <c r="C12237">
        <v>2</v>
      </c>
      <c r="D12237">
        <v>25.36</v>
      </c>
      <c r="E12237">
        <v>42</v>
      </c>
    </row>
    <row r="12238" spans="1:5" x14ac:dyDescent="0.3">
      <c r="A12238" t="s">
        <v>105</v>
      </c>
      <c r="B12238" s="1">
        <v>44686</v>
      </c>
      <c r="C12238">
        <v>2</v>
      </c>
      <c r="D12238">
        <v>30.03</v>
      </c>
      <c r="E12238">
        <v>49</v>
      </c>
    </row>
    <row r="12239" spans="1:5" x14ac:dyDescent="0.3">
      <c r="A12239" t="s">
        <v>105</v>
      </c>
      <c r="B12239" s="1">
        <v>44686</v>
      </c>
      <c r="C12239">
        <v>1</v>
      </c>
      <c r="D12239">
        <v>24.59</v>
      </c>
      <c r="E12239">
        <v>40</v>
      </c>
    </row>
    <row r="12240" spans="1:5" x14ac:dyDescent="0.3">
      <c r="A12240" t="s">
        <v>135</v>
      </c>
      <c r="B12240" s="1">
        <v>44686</v>
      </c>
      <c r="C12240">
        <v>1</v>
      </c>
      <c r="D12240">
        <v>73.260000000000005</v>
      </c>
      <c r="E12240">
        <v>91</v>
      </c>
    </row>
    <row r="12241" spans="1:5" x14ac:dyDescent="0.3">
      <c r="A12241" t="s">
        <v>135</v>
      </c>
      <c r="B12241" s="1">
        <v>44686</v>
      </c>
      <c r="C12241">
        <v>1</v>
      </c>
      <c r="D12241">
        <v>73.260000000000005</v>
      </c>
      <c r="E12241">
        <v>91</v>
      </c>
    </row>
    <row r="12242" spans="1:5" x14ac:dyDescent="0.3">
      <c r="A12242" t="s">
        <v>135</v>
      </c>
      <c r="B12242" s="1">
        <v>44686</v>
      </c>
      <c r="C12242">
        <v>1</v>
      </c>
      <c r="D12242">
        <v>73.260000000000005</v>
      </c>
      <c r="E12242">
        <v>91</v>
      </c>
    </row>
    <row r="12243" spans="1:5" x14ac:dyDescent="0.3">
      <c r="A12243" t="s">
        <v>157</v>
      </c>
      <c r="B12243" s="1">
        <v>44686</v>
      </c>
      <c r="C12243">
        <v>3</v>
      </c>
      <c r="D12243">
        <v>12</v>
      </c>
      <c r="E12243">
        <v>20</v>
      </c>
    </row>
    <row r="12244" spans="1:5" x14ac:dyDescent="0.3">
      <c r="A12244" t="s">
        <v>59</v>
      </c>
      <c r="B12244" s="1">
        <v>44686</v>
      </c>
      <c r="C12244">
        <v>1</v>
      </c>
      <c r="D12244">
        <v>13.1</v>
      </c>
      <c r="E12244">
        <v>21</v>
      </c>
    </row>
    <row r="12245" spans="1:5" x14ac:dyDescent="0.3">
      <c r="A12245" t="s">
        <v>93</v>
      </c>
      <c r="B12245" s="1">
        <v>44686</v>
      </c>
      <c r="C12245">
        <v>1</v>
      </c>
      <c r="D12245">
        <v>67.540000000000006</v>
      </c>
      <c r="E12245">
        <v>101</v>
      </c>
    </row>
    <row r="12246" spans="1:5" x14ac:dyDescent="0.3">
      <c r="A12246" t="s">
        <v>141</v>
      </c>
      <c r="B12246" s="1">
        <v>44686</v>
      </c>
      <c r="C12246">
        <v>2</v>
      </c>
      <c r="D12246">
        <v>14.69</v>
      </c>
      <c r="E12246">
        <v>26</v>
      </c>
    </row>
    <row r="12247" spans="1:5" x14ac:dyDescent="0.3">
      <c r="A12247" t="s">
        <v>31</v>
      </c>
      <c r="B12247" s="1">
        <v>44686</v>
      </c>
      <c r="C12247">
        <v>1</v>
      </c>
      <c r="D12247">
        <v>14.56</v>
      </c>
      <c r="E12247">
        <v>20</v>
      </c>
    </row>
    <row r="12248" spans="1:5" x14ac:dyDescent="0.3">
      <c r="A12248" t="s">
        <v>31</v>
      </c>
      <c r="B12248" s="1">
        <v>44686</v>
      </c>
      <c r="C12248">
        <v>1</v>
      </c>
      <c r="D12248">
        <v>14.56</v>
      </c>
      <c r="E12248">
        <v>20</v>
      </c>
    </row>
    <row r="12249" spans="1:5" x14ac:dyDescent="0.3">
      <c r="A12249" t="s">
        <v>31</v>
      </c>
      <c r="B12249" s="1">
        <v>44686</v>
      </c>
      <c r="C12249">
        <v>1</v>
      </c>
      <c r="D12249">
        <v>14.56</v>
      </c>
      <c r="E12249">
        <v>20</v>
      </c>
    </row>
    <row r="12250" spans="1:5" x14ac:dyDescent="0.3">
      <c r="A12250" t="s">
        <v>31</v>
      </c>
      <c r="B12250" s="1">
        <v>44686</v>
      </c>
      <c r="C12250">
        <v>1</v>
      </c>
      <c r="D12250">
        <v>14.56</v>
      </c>
      <c r="E12250">
        <v>20</v>
      </c>
    </row>
    <row r="12251" spans="1:5" x14ac:dyDescent="0.3">
      <c r="A12251" t="s">
        <v>31</v>
      </c>
      <c r="B12251" s="1">
        <v>44686</v>
      </c>
      <c r="C12251">
        <v>1</v>
      </c>
      <c r="D12251">
        <v>14.56</v>
      </c>
      <c r="E12251">
        <v>20</v>
      </c>
    </row>
    <row r="12252" spans="1:5" x14ac:dyDescent="0.3">
      <c r="A12252" t="s">
        <v>31</v>
      </c>
      <c r="B12252" s="1">
        <v>44686</v>
      </c>
      <c r="C12252">
        <v>1</v>
      </c>
      <c r="D12252">
        <v>14.56</v>
      </c>
      <c r="E12252">
        <v>20</v>
      </c>
    </row>
    <row r="12253" spans="1:5" x14ac:dyDescent="0.3">
      <c r="A12253" t="s">
        <v>31</v>
      </c>
      <c r="B12253" s="1">
        <v>44686</v>
      </c>
      <c r="C12253">
        <v>1</v>
      </c>
      <c r="D12253">
        <v>14.56</v>
      </c>
      <c r="E12253">
        <v>20</v>
      </c>
    </row>
    <row r="12254" spans="1:5" x14ac:dyDescent="0.3">
      <c r="A12254" t="s">
        <v>31</v>
      </c>
      <c r="B12254" s="1">
        <v>44686</v>
      </c>
      <c r="C12254">
        <v>1</v>
      </c>
      <c r="D12254">
        <v>14.56</v>
      </c>
      <c r="E12254">
        <v>20</v>
      </c>
    </row>
    <row r="12255" spans="1:5" x14ac:dyDescent="0.3">
      <c r="A12255" t="s">
        <v>31</v>
      </c>
      <c r="B12255" s="1">
        <v>44686</v>
      </c>
      <c r="C12255">
        <v>1</v>
      </c>
      <c r="D12255">
        <v>14.56</v>
      </c>
      <c r="E12255">
        <v>20</v>
      </c>
    </row>
    <row r="12256" spans="1:5" x14ac:dyDescent="0.3">
      <c r="A12256" t="s">
        <v>31</v>
      </c>
      <c r="B12256" s="1">
        <v>44686</v>
      </c>
      <c r="C12256">
        <v>1</v>
      </c>
      <c r="D12256">
        <v>14.56</v>
      </c>
      <c r="E12256">
        <v>20</v>
      </c>
    </row>
    <row r="12257" spans="1:5" x14ac:dyDescent="0.3">
      <c r="A12257" t="s">
        <v>5</v>
      </c>
      <c r="B12257" s="1">
        <v>44686</v>
      </c>
      <c r="C12257">
        <v>1</v>
      </c>
      <c r="D12257">
        <v>136.58000000000001</v>
      </c>
      <c r="E12257">
        <v>166</v>
      </c>
    </row>
    <row r="12258" spans="1:5" x14ac:dyDescent="0.3">
      <c r="A12258" t="s">
        <v>56</v>
      </c>
      <c r="B12258" s="1">
        <v>44686</v>
      </c>
      <c r="C12258">
        <v>1</v>
      </c>
      <c r="D12258">
        <v>44.84</v>
      </c>
      <c r="E12258">
        <v>70</v>
      </c>
    </row>
    <row r="12259" spans="1:5" x14ac:dyDescent="0.3">
      <c r="A12259" t="s">
        <v>59</v>
      </c>
      <c r="B12259" s="1">
        <v>44686</v>
      </c>
      <c r="C12259">
        <v>2</v>
      </c>
      <c r="D12259">
        <v>16.78</v>
      </c>
      <c r="E12259">
        <v>28</v>
      </c>
    </row>
    <row r="12260" spans="1:5" x14ac:dyDescent="0.3">
      <c r="A12260" t="s">
        <v>23</v>
      </c>
      <c r="B12260" s="1">
        <v>44686</v>
      </c>
      <c r="C12260">
        <v>1</v>
      </c>
      <c r="D12260">
        <v>110.36</v>
      </c>
      <c r="E12260">
        <v>124</v>
      </c>
    </row>
    <row r="12261" spans="1:5" x14ac:dyDescent="0.3">
      <c r="A12261" t="s">
        <v>23</v>
      </c>
      <c r="B12261" s="1">
        <v>44686</v>
      </c>
      <c r="C12261">
        <v>1</v>
      </c>
      <c r="D12261">
        <v>110.23</v>
      </c>
      <c r="E12261">
        <v>124</v>
      </c>
    </row>
    <row r="12262" spans="1:5" x14ac:dyDescent="0.3">
      <c r="A12262" t="s">
        <v>5</v>
      </c>
      <c r="B12262" s="1">
        <v>44686</v>
      </c>
      <c r="C12262">
        <v>1</v>
      </c>
      <c r="D12262">
        <v>139.6</v>
      </c>
      <c r="E12262">
        <v>167</v>
      </c>
    </row>
    <row r="12263" spans="1:5" x14ac:dyDescent="0.3">
      <c r="A12263" t="s">
        <v>7</v>
      </c>
      <c r="B12263" s="1">
        <v>44686</v>
      </c>
      <c r="C12263">
        <v>1</v>
      </c>
      <c r="D12263">
        <v>91.19</v>
      </c>
      <c r="E12263">
        <v>112</v>
      </c>
    </row>
    <row r="12264" spans="1:5" x14ac:dyDescent="0.3">
      <c r="A12264" t="s">
        <v>154</v>
      </c>
      <c r="B12264" s="1">
        <v>44686</v>
      </c>
      <c r="C12264">
        <v>1</v>
      </c>
      <c r="D12264">
        <v>134.51</v>
      </c>
      <c r="E12264">
        <v>159</v>
      </c>
    </row>
    <row r="12265" spans="1:5" x14ac:dyDescent="0.3">
      <c r="A12265" t="s">
        <v>45</v>
      </c>
      <c r="B12265" s="1">
        <v>44686</v>
      </c>
      <c r="C12265">
        <v>1</v>
      </c>
      <c r="D12265">
        <v>27.54</v>
      </c>
      <c r="E12265">
        <v>45</v>
      </c>
    </row>
    <row r="12266" spans="1:5" x14ac:dyDescent="0.3">
      <c r="A12266" t="s">
        <v>141</v>
      </c>
      <c r="B12266" s="1">
        <v>44686</v>
      </c>
      <c r="C12266">
        <v>1</v>
      </c>
      <c r="D12266">
        <v>10.67</v>
      </c>
      <c r="E12266">
        <v>18</v>
      </c>
    </row>
    <row r="12267" spans="1:5" x14ac:dyDescent="0.3">
      <c r="A12267" t="s">
        <v>36</v>
      </c>
      <c r="B12267" s="1">
        <v>44686</v>
      </c>
      <c r="C12267">
        <v>1</v>
      </c>
      <c r="D12267">
        <v>22.31</v>
      </c>
      <c r="E12267">
        <v>28</v>
      </c>
    </row>
    <row r="12268" spans="1:5" x14ac:dyDescent="0.3">
      <c r="A12268" t="s">
        <v>36</v>
      </c>
      <c r="B12268" s="1">
        <v>44686</v>
      </c>
      <c r="C12268">
        <v>1</v>
      </c>
      <c r="D12268">
        <v>22.31</v>
      </c>
      <c r="E12268">
        <v>28</v>
      </c>
    </row>
    <row r="12269" spans="1:5" x14ac:dyDescent="0.3">
      <c r="A12269" t="s">
        <v>86</v>
      </c>
      <c r="B12269" s="1">
        <v>44686</v>
      </c>
      <c r="C12269">
        <v>1</v>
      </c>
      <c r="D12269">
        <v>40.869999999999997</v>
      </c>
      <c r="E12269">
        <v>66</v>
      </c>
    </row>
    <row r="12270" spans="1:5" x14ac:dyDescent="0.3">
      <c r="A12270" t="s">
        <v>24</v>
      </c>
      <c r="B12270" s="1">
        <v>44686</v>
      </c>
      <c r="C12270">
        <v>1</v>
      </c>
      <c r="D12270">
        <v>101.42</v>
      </c>
      <c r="E12270">
        <v>120</v>
      </c>
    </row>
    <row r="12271" spans="1:5" x14ac:dyDescent="0.3">
      <c r="A12271" t="s">
        <v>119</v>
      </c>
      <c r="B12271" s="1">
        <v>44686</v>
      </c>
      <c r="C12271">
        <v>3.5714299999999997E-2</v>
      </c>
      <c r="D12271">
        <v>642</v>
      </c>
      <c r="E12271">
        <v>708</v>
      </c>
    </row>
    <row r="12272" spans="1:5" x14ac:dyDescent="0.3">
      <c r="A12272" t="s">
        <v>28</v>
      </c>
      <c r="B12272" s="1">
        <v>44686</v>
      </c>
      <c r="C12272">
        <v>1</v>
      </c>
      <c r="D12272">
        <v>150.5</v>
      </c>
      <c r="E12272">
        <v>219</v>
      </c>
    </row>
    <row r="12273" spans="1:5" x14ac:dyDescent="0.3">
      <c r="A12273" t="s">
        <v>65</v>
      </c>
      <c r="B12273" s="1">
        <v>44686</v>
      </c>
      <c r="C12273">
        <v>1</v>
      </c>
      <c r="D12273">
        <v>181.12</v>
      </c>
      <c r="E12273">
        <v>212</v>
      </c>
    </row>
    <row r="12274" spans="1:5" x14ac:dyDescent="0.3">
      <c r="A12274" t="s">
        <v>19</v>
      </c>
      <c r="B12274" s="1">
        <v>44686</v>
      </c>
      <c r="C12274">
        <v>1</v>
      </c>
      <c r="D12274">
        <v>80.52</v>
      </c>
      <c r="E12274">
        <v>103</v>
      </c>
    </row>
    <row r="12275" spans="1:5" x14ac:dyDescent="0.3">
      <c r="A12275" t="s">
        <v>115</v>
      </c>
      <c r="B12275" s="1">
        <v>44686</v>
      </c>
      <c r="C12275">
        <v>1</v>
      </c>
      <c r="D12275">
        <v>71.349999999999994</v>
      </c>
      <c r="E12275">
        <v>90</v>
      </c>
    </row>
    <row r="12276" spans="1:5" x14ac:dyDescent="0.3">
      <c r="A12276" t="s">
        <v>47</v>
      </c>
      <c r="B12276" s="1">
        <v>44686</v>
      </c>
      <c r="C12276">
        <v>1</v>
      </c>
      <c r="D12276">
        <v>46.14</v>
      </c>
      <c r="E12276">
        <v>71</v>
      </c>
    </row>
    <row r="12277" spans="1:5" x14ac:dyDescent="0.3">
      <c r="A12277" t="s">
        <v>47</v>
      </c>
      <c r="B12277" s="1">
        <v>44686</v>
      </c>
      <c r="C12277">
        <v>1</v>
      </c>
      <c r="D12277">
        <v>46.14</v>
      </c>
      <c r="E12277">
        <v>71</v>
      </c>
    </row>
    <row r="12278" spans="1:5" x14ac:dyDescent="0.3">
      <c r="A12278" t="s">
        <v>49</v>
      </c>
      <c r="B12278" s="1">
        <v>44686</v>
      </c>
      <c r="C12278">
        <v>1</v>
      </c>
      <c r="D12278">
        <v>16.39</v>
      </c>
      <c r="E12278">
        <v>20</v>
      </c>
    </row>
    <row r="12279" spans="1:5" x14ac:dyDescent="0.3">
      <c r="A12279" t="s">
        <v>55</v>
      </c>
      <c r="B12279" s="1">
        <v>44686</v>
      </c>
      <c r="C12279">
        <v>1</v>
      </c>
      <c r="D12279">
        <v>78.510000000000005</v>
      </c>
      <c r="E12279">
        <v>95</v>
      </c>
    </row>
    <row r="12280" spans="1:5" x14ac:dyDescent="0.3">
      <c r="A12280" t="s">
        <v>53</v>
      </c>
      <c r="B12280" s="1">
        <v>44686</v>
      </c>
      <c r="C12280">
        <v>1</v>
      </c>
      <c r="D12280">
        <v>23.4</v>
      </c>
      <c r="E12280">
        <v>38</v>
      </c>
    </row>
    <row r="12281" spans="1:5" x14ac:dyDescent="0.3">
      <c r="A12281" t="s">
        <v>50</v>
      </c>
      <c r="B12281" s="1">
        <v>44686</v>
      </c>
      <c r="C12281">
        <v>1</v>
      </c>
      <c r="D12281">
        <v>44.75</v>
      </c>
      <c r="E12281">
        <v>55</v>
      </c>
    </row>
    <row r="12282" spans="1:5" x14ac:dyDescent="0.3">
      <c r="A12282" t="s">
        <v>122</v>
      </c>
      <c r="B12282" s="1">
        <v>44686</v>
      </c>
      <c r="C12282">
        <v>1</v>
      </c>
      <c r="D12282">
        <v>20.46</v>
      </c>
      <c r="E12282">
        <v>25</v>
      </c>
    </row>
    <row r="12283" spans="1:5" x14ac:dyDescent="0.3">
      <c r="A12283" t="s">
        <v>96</v>
      </c>
      <c r="B12283" s="1">
        <v>44686</v>
      </c>
      <c r="C12283">
        <v>1</v>
      </c>
      <c r="D12283">
        <v>72.84</v>
      </c>
      <c r="E12283">
        <v>104</v>
      </c>
    </row>
    <row r="12284" spans="1:5" x14ac:dyDescent="0.3">
      <c r="A12284" t="s">
        <v>5</v>
      </c>
      <c r="B12284" s="1">
        <v>44686</v>
      </c>
      <c r="C12284">
        <v>1</v>
      </c>
      <c r="D12284">
        <v>139.6</v>
      </c>
      <c r="E12284">
        <v>167</v>
      </c>
    </row>
    <row r="12285" spans="1:5" x14ac:dyDescent="0.3">
      <c r="A12285" t="s">
        <v>66</v>
      </c>
      <c r="B12285" s="1">
        <v>44686</v>
      </c>
      <c r="C12285">
        <v>1</v>
      </c>
      <c r="D12285">
        <v>32.01</v>
      </c>
      <c r="E12285">
        <v>37</v>
      </c>
    </row>
    <row r="12286" spans="1:5" x14ac:dyDescent="0.3">
      <c r="A12286" t="s">
        <v>124</v>
      </c>
      <c r="B12286" s="1">
        <v>44686</v>
      </c>
      <c r="C12286">
        <v>1</v>
      </c>
      <c r="D12286">
        <v>36.06</v>
      </c>
      <c r="E12286">
        <v>59</v>
      </c>
    </row>
    <row r="12287" spans="1:5" x14ac:dyDescent="0.3">
      <c r="A12287" t="s">
        <v>124</v>
      </c>
      <c r="B12287" s="1">
        <v>44686</v>
      </c>
      <c r="C12287">
        <v>2</v>
      </c>
      <c r="D12287">
        <v>37.799999999999997</v>
      </c>
      <c r="E12287">
        <v>62</v>
      </c>
    </row>
    <row r="12288" spans="1:5" x14ac:dyDescent="0.3">
      <c r="A12288" t="s">
        <v>160</v>
      </c>
      <c r="B12288" s="1">
        <v>44686</v>
      </c>
      <c r="C12288">
        <v>1</v>
      </c>
      <c r="D12288">
        <v>81.87</v>
      </c>
      <c r="E12288">
        <v>99</v>
      </c>
    </row>
    <row r="12289" spans="1:5" x14ac:dyDescent="0.3">
      <c r="A12289" t="s">
        <v>57</v>
      </c>
      <c r="B12289" s="1">
        <v>44686</v>
      </c>
      <c r="C12289">
        <v>1</v>
      </c>
      <c r="D12289">
        <v>239.87</v>
      </c>
      <c r="E12289">
        <v>281</v>
      </c>
    </row>
    <row r="12290" spans="1:5" x14ac:dyDescent="0.3">
      <c r="A12290" t="s">
        <v>30</v>
      </c>
      <c r="B12290" s="1">
        <v>44686</v>
      </c>
      <c r="C12290">
        <v>1</v>
      </c>
      <c r="D12290">
        <v>156.19999999999999</v>
      </c>
      <c r="E12290">
        <v>186</v>
      </c>
    </row>
    <row r="12291" spans="1:5" x14ac:dyDescent="0.3">
      <c r="A12291" t="s">
        <v>5</v>
      </c>
      <c r="B12291" s="1">
        <v>44686</v>
      </c>
      <c r="C12291">
        <v>1</v>
      </c>
      <c r="D12291">
        <v>145.6</v>
      </c>
      <c r="E12291">
        <v>169</v>
      </c>
    </row>
    <row r="12292" spans="1:5" x14ac:dyDescent="0.3">
      <c r="A12292" t="s">
        <v>93</v>
      </c>
      <c r="B12292" s="1">
        <v>44686</v>
      </c>
      <c r="C12292">
        <v>1</v>
      </c>
      <c r="D12292">
        <v>80.27</v>
      </c>
      <c r="E12292">
        <v>114</v>
      </c>
    </row>
    <row r="12293" spans="1:5" x14ac:dyDescent="0.3">
      <c r="A12293" t="s">
        <v>45</v>
      </c>
      <c r="B12293" s="1">
        <v>44686</v>
      </c>
      <c r="C12293">
        <v>2</v>
      </c>
      <c r="D12293">
        <v>25.59</v>
      </c>
      <c r="E12293">
        <v>45</v>
      </c>
    </row>
    <row r="12294" spans="1:5" x14ac:dyDescent="0.3">
      <c r="A12294" t="s">
        <v>45</v>
      </c>
      <c r="B12294" s="1">
        <v>44686</v>
      </c>
      <c r="C12294">
        <v>3</v>
      </c>
      <c r="D12294">
        <v>25.2</v>
      </c>
      <c r="E12294">
        <v>41</v>
      </c>
    </row>
    <row r="12295" spans="1:5" x14ac:dyDescent="0.3">
      <c r="A12295" t="s">
        <v>63</v>
      </c>
      <c r="B12295" s="1">
        <v>44686</v>
      </c>
      <c r="C12295">
        <v>1</v>
      </c>
      <c r="D12295">
        <v>71.790000000000006</v>
      </c>
      <c r="E12295">
        <v>87</v>
      </c>
    </row>
    <row r="12296" spans="1:5" x14ac:dyDescent="0.3">
      <c r="A12296" t="s">
        <v>112</v>
      </c>
      <c r="B12296" s="1">
        <v>44686</v>
      </c>
      <c r="C12296">
        <v>1</v>
      </c>
      <c r="D12296">
        <v>291.43</v>
      </c>
      <c r="E12296">
        <v>345</v>
      </c>
    </row>
    <row r="12297" spans="1:5" x14ac:dyDescent="0.3">
      <c r="A12297" t="s">
        <v>19</v>
      </c>
      <c r="B12297" s="1">
        <v>44686</v>
      </c>
      <c r="C12297">
        <v>1</v>
      </c>
      <c r="D12297">
        <v>80.52</v>
      </c>
      <c r="E12297">
        <v>103</v>
      </c>
    </row>
    <row r="12298" spans="1:5" x14ac:dyDescent="0.3">
      <c r="A12298" t="s">
        <v>20</v>
      </c>
      <c r="B12298" s="1">
        <v>44686</v>
      </c>
      <c r="C12298">
        <v>1</v>
      </c>
      <c r="D12298">
        <v>20.72</v>
      </c>
      <c r="E12298">
        <v>24</v>
      </c>
    </row>
    <row r="12299" spans="1:5" x14ac:dyDescent="0.3">
      <c r="A12299" t="s">
        <v>7</v>
      </c>
      <c r="B12299" s="1">
        <v>44686</v>
      </c>
      <c r="C12299">
        <v>1</v>
      </c>
      <c r="D12299">
        <v>89.27</v>
      </c>
      <c r="E12299">
        <v>111</v>
      </c>
    </row>
    <row r="12300" spans="1:5" x14ac:dyDescent="0.3">
      <c r="A12300" t="s">
        <v>116</v>
      </c>
      <c r="B12300" s="1">
        <v>44686</v>
      </c>
      <c r="C12300">
        <v>1</v>
      </c>
      <c r="D12300">
        <v>109.07</v>
      </c>
      <c r="E12300">
        <v>128</v>
      </c>
    </row>
    <row r="12301" spans="1:5" x14ac:dyDescent="0.3">
      <c r="A12301" t="s">
        <v>5</v>
      </c>
      <c r="B12301" s="1">
        <v>44686</v>
      </c>
      <c r="C12301">
        <v>1</v>
      </c>
      <c r="D12301">
        <v>136.58000000000001</v>
      </c>
      <c r="E12301">
        <v>166</v>
      </c>
    </row>
    <row r="12302" spans="1:5" x14ac:dyDescent="0.3">
      <c r="A12302" t="s">
        <v>93</v>
      </c>
      <c r="B12302" s="1">
        <v>44686</v>
      </c>
      <c r="C12302">
        <v>1</v>
      </c>
      <c r="D12302">
        <v>67.540000000000006</v>
      </c>
      <c r="E12302">
        <v>96</v>
      </c>
    </row>
    <row r="12303" spans="1:5" x14ac:dyDescent="0.3">
      <c r="A12303" t="s">
        <v>118</v>
      </c>
      <c r="B12303" s="1">
        <v>44686</v>
      </c>
      <c r="C12303">
        <v>1</v>
      </c>
      <c r="D12303">
        <v>11.1</v>
      </c>
      <c r="E12303">
        <v>13</v>
      </c>
    </row>
    <row r="12304" spans="1:5" x14ac:dyDescent="0.3">
      <c r="A12304" t="s">
        <v>12</v>
      </c>
      <c r="B12304" s="1">
        <v>44686</v>
      </c>
      <c r="C12304">
        <v>1</v>
      </c>
      <c r="D12304">
        <v>56.06</v>
      </c>
      <c r="E12304">
        <v>70</v>
      </c>
    </row>
    <row r="12305" spans="1:5" x14ac:dyDescent="0.3">
      <c r="A12305" t="s">
        <v>56</v>
      </c>
      <c r="B12305" s="1">
        <v>44686</v>
      </c>
      <c r="C12305">
        <v>1</v>
      </c>
      <c r="D12305">
        <v>43.97</v>
      </c>
      <c r="E12305">
        <v>67</v>
      </c>
    </row>
    <row r="12306" spans="1:5" x14ac:dyDescent="0.3">
      <c r="A12306" t="s">
        <v>136</v>
      </c>
      <c r="B12306" s="1">
        <v>44686</v>
      </c>
      <c r="C12306">
        <v>1</v>
      </c>
      <c r="D12306">
        <v>307.56</v>
      </c>
      <c r="E12306">
        <v>400</v>
      </c>
    </row>
    <row r="12307" spans="1:5" x14ac:dyDescent="0.3">
      <c r="A12307" t="s">
        <v>6</v>
      </c>
      <c r="B12307" s="1">
        <v>44686</v>
      </c>
      <c r="C12307">
        <v>0.1</v>
      </c>
      <c r="D12307">
        <v>409.63</v>
      </c>
      <c r="E12307">
        <v>513</v>
      </c>
    </row>
    <row r="12308" spans="1:5" x14ac:dyDescent="0.3">
      <c r="A12308" t="s">
        <v>24</v>
      </c>
      <c r="B12308" s="1">
        <v>44686</v>
      </c>
      <c r="C12308">
        <v>1</v>
      </c>
      <c r="D12308">
        <v>99.48</v>
      </c>
      <c r="E12308">
        <v>117</v>
      </c>
    </row>
    <row r="12309" spans="1:5" x14ac:dyDescent="0.3">
      <c r="A12309" t="s">
        <v>70</v>
      </c>
      <c r="B12309" s="1">
        <v>44686</v>
      </c>
      <c r="C12309">
        <v>1</v>
      </c>
      <c r="D12309">
        <v>165.86</v>
      </c>
      <c r="E12309">
        <v>200</v>
      </c>
    </row>
    <row r="12310" spans="1:5" x14ac:dyDescent="0.3">
      <c r="A12310" t="s">
        <v>89</v>
      </c>
      <c r="B12310" s="1">
        <v>44686</v>
      </c>
      <c r="C12310">
        <v>1</v>
      </c>
      <c r="D12310">
        <v>75.5</v>
      </c>
      <c r="E12310">
        <v>108</v>
      </c>
    </row>
    <row r="12311" spans="1:5" x14ac:dyDescent="0.3">
      <c r="A12311" t="s">
        <v>70</v>
      </c>
      <c r="B12311" s="1">
        <v>44686</v>
      </c>
      <c r="C12311">
        <v>1</v>
      </c>
      <c r="D12311">
        <v>184.39</v>
      </c>
      <c r="E12311">
        <v>218</v>
      </c>
    </row>
    <row r="12312" spans="1:5" x14ac:dyDescent="0.3">
      <c r="A12312" t="s">
        <v>103</v>
      </c>
      <c r="B12312" s="1">
        <v>44686</v>
      </c>
      <c r="C12312">
        <v>1</v>
      </c>
      <c r="D12312">
        <v>52.65</v>
      </c>
      <c r="E12312">
        <v>83</v>
      </c>
    </row>
    <row r="12313" spans="1:5" x14ac:dyDescent="0.3">
      <c r="A12313" t="s">
        <v>103</v>
      </c>
      <c r="B12313" s="1">
        <v>44686</v>
      </c>
      <c r="C12313">
        <v>1</v>
      </c>
      <c r="D12313">
        <v>52.65</v>
      </c>
      <c r="E12313">
        <v>83</v>
      </c>
    </row>
    <row r="12314" spans="1:5" x14ac:dyDescent="0.3">
      <c r="A12314" t="s">
        <v>103</v>
      </c>
      <c r="B12314" s="1">
        <v>44686</v>
      </c>
      <c r="C12314">
        <v>1</v>
      </c>
      <c r="D12314">
        <v>52.65</v>
      </c>
      <c r="E12314">
        <v>83</v>
      </c>
    </row>
    <row r="12315" spans="1:5" x14ac:dyDescent="0.3">
      <c r="A12315" t="s">
        <v>102</v>
      </c>
      <c r="B12315" s="1">
        <v>44686</v>
      </c>
      <c r="C12315">
        <v>1</v>
      </c>
      <c r="D12315">
        <v>27.5</v>
      </c>
      <c r="E12315">
        <v>34</v>
      </c>
    </row>
    <row r="12316" spans="1:5" x14ac:dyDescent="0.3">
      <c r="A12316" t="s">
        <v>102</v>
      </c>
      <c r="B12316" s="1">
        <v>44686</v>
      </c>
      <c r="C12316">
        <v>1</v>
      </c>
      <c r="D12316">
        <v>27.5</v>
      </c>
      <c r="E12316">
        <v>34</v>
      </c>
    </row>
    <row r="12317" spans="1:5" x14ac:dyDescent="0.3">
      <c r="A12317" t="s">
        <v>30</v>
      </c>
      <c r="B12317" s="1">
        <v>44686</v>
      </c>
      <c r="C12317">
        <v>1</v>
      </c>
      <c r="D12317">
        <v>156.19999999999999</v>
      </c>
      <c r="E12317">
        <v>186</v>
      </c>
    </row>
    <row r="12318" spans="1:5" x14ac:dyDescent="0.3">
      <c r="A12318" t="s">
        <v>73</v>
      </c>
      <c r="B12318" s="1">
        <v>44686</v>
      </c>
      <c r="C12318">
        <v>1</v>
      </c>
      <c r="D12318">
        <v>12</v>
      </c>
      <c r="E12318">
        <v>20</v>
      </c>
    </row>
    <row r="12319" spans="1:5" x14ac:dyDescent="0.3">
      <c r="A12319" t="s">
        <v>157</v>
      </c>
      <c r="B12319" s="1">
        <v>44686</v>
      </c>
      <c r="C12319">
        <v>1</v>
      </c>
      <c r="D12319">
        <v>12</v>
      </c>
      <c r="E12319">
        <v>20</v>
      </c>
    </row>
    <row r="12320" spans="1:5" x14ac:dyDescent="0.3">
      <c r="A12320" t="s">
        <v>6</v>
      </c>
      <c r="B12320" s="1">
        <v>44686</v>
      </c>
      <c r="C12320">
        <v>0.1</v>
      </c>
      <c r="D12320">
        <v>409.63</v>
      </c>
      <c r="E12320">
        <v>513</v>
      </c>
    </row>
    <row r="12321" spans="1:5" x14ac:dyDescent="0.3">
      <c r="A12321" t="s">
        <v>48</v>
      </c>
      <c r="B12321" s="1">
        <v>44686</v>
      </c>
      <c r="C12321">
        <v>1</v>
      </c>
      <c r="D12321">
        <v>38.67</v>
      </c>
      <c r="E12321">
        <v>60</v>
      </c>
    </row>
    <row r="12322" spans="1:5" x14ac:dyDescent="0.3">
      <c r="A12322" t="s">
        <v>37</v>
      </c>
      <c r="B12322" s="1">
        <v>44686</v>
      </c>
      <c r="C12322">
        <v>1</v>
      </c>
      <c r="D12322">
        <v>36.86</v>
      </c>
      <c r="E12322">
        <v>47</v>
      </c>
    </row>
    <row r="12323" spans="1:5" x14ac:dyDescent="0.3">
      <c r="A12323" t="s">
        <v>37</v>
      </c>
      <c r="B12323" s="1">
        <v>44686</v>
      </c>
      <c r="C12323">
        <v>1</v>
      </c>
      <c r="D12323">
        <v>36.86</v>
      </c>
      <c r="E12323">
        <v>47</v>
      </c>
    </row>
    <row r="12324" spans="1:5" x14ac:dyDescent="0.3">
      <c r="A12324" t="s">
        <v>37</v>
      </c>
      <c r="B12324" s="1">
        <v>44686</v>
      </c>
      <c r="C12324">
        <v>1</v>
      </c>
      <c r="D12324">
        <v>36.86</v>
      </c>
      <c r="E12324">
        <v>47</v>
      </c>
    </row>
    <row r="12325" spans="1:5" x14ac:dyDescent="0.3">
      <c r="A12325" t="s">
        <v>37</v>
      </c>
      <c r="B12325" s="1">
        <v>44686</v>
      </c>
      <c r="C12325">
        <v>1</v>
      </c>
      <c r="D12325">
        <v>36.86</v>
      </c>
      <c r="E12325">
        <v>47</v>
      </c>
    </row>
    <row r="12326" spans="1:5" x14ac:dyDescent="0.3">
      <c r="A12326" t="s">
        <v>37</v>
      </c>
      <c r="B12326" s="1">
        <v>44686</v>
      </c>
      <c r="C12326">
        <v>1</v>
      </c>
      <c r="D12326">
        <v>36.86</v>
      </c>
      <c r="E12326">
        <v>47</v>
      </c>
    </row>
    <row r="12327" spans="1:5" x14ac:dyDescent="0.3">
      <c r="A12327" t="s">
        <v>37</v>
      </c>
      <c r="B12327" s="1">
        <v>44686</v>
      </c>
      <c r="C12327">
        <v>1</v>
      </c>
      <c r="D12327">
        <v>36.86</v>
      </c>
      <c r="E12327">
        <v>47</v>
      </c>
    </row>
    <row r="12328" spans="1:5" x14ac:dyDescent="0.3">
      <c r="A12328" t="s">
        <v>38</v>
      </c>
      <c r="B12328" s="1">
        <v>44686</v>
      </c>
      <c r="C12328">
        <v>1</v>
      </c>
      <c r="D12328">
        <v>22.31</v>
      </c>
      <c r="E12328">
        <v>35</v>
      </c>
    </row>
    <row r="12329" spans="1:5" x14ac:dyDescent="0.3">
      <c r="A12329" t="s">
        <v>38</v>
      </c>
      <c r="B12329" s="1">
        <v>44686</v>
      </c>
      <c r="C12329">
        <v>1</v>
      </c>
      <c r="D12329">
        <v>22.31</v>
      </c>
      <c r="E12329">
        <v>35</v>
      </c>
    </row>
    <row r="12330" spans="1:5" x14ac:dyDescent="0.3">
      <c r="A12330" t="s">
        <v>38</v>
      </c>
      <c r="B12330" s="1">
        <v>44686</v>
      </c>
      <c r="C12330">
        <v>1</v>
      </c>
      <c r="D12330">
        <v>22.31</v>
      </c>
      <c r="E12330">
        <v>35</v>
      </c>
    </row>
    <row r="12331" spans="1:5" x14ac:dyDescent="0.3">
      <c r="A12331" t="s">
        <v>38</v>
      </c>
      <c r="B12331" s="1">
        <v>44686</v>
      </c>
      <c r="C12331">
        <v>1</v>
      </c>
      <c r="D12331">
        <v>22.31</v>
      </c>
      <c r="E12331">
        <v>35</v>
      </c>
    </row>
    <row r="12332" spans="1:5" x14ac:dyDescent="0.3">
      <c r="A12332" t="s">
        <v>38</v>
      </c>
      <c r="B12332" s="1">
        <v>44686</v>
      </c>
      <c r="C12332">
        <v>1</v>
      </c>
      <c r="D12332">
        <v>22.31</v>
      </c>
      <c r="E12332">
        <v>35</v>
      </c>
    </row>
    <row r="12333" spans="1:5" x14ac:dyDescent="0.3">
      <c r="A12333" t="s">
        <v>38</v>
      </c>
      <c r="B12333" s="1">
        <v>44686</v>
      </c>
      <c r="C12333">
        <v>1</v>
      </c>
      <c r="D12333">
        <v>22.31</v>
      </c>
      <c r="E12333">
        <v>35</v>
      </c>
    </row>
    <row r="12334" spans="1:5" x14ac:dyDescent="0.3">
      <c r="A12334" t="s">
        <v>93</v>
      </c>
      <c r="B12334" s="1">
        <v>44686</v>
      </c>
      <c r="C12334">
        <v>1</v>
      </c>
      <c r="D12334">
        <v>77.98</v>
      </c>
      <c r="E12334">
        <v>111</v>
      </c>
    </row>
    <row r="12335" spans="1:5" x14ac:dyDescent="0.3">
      <c r="A12335" t="s">
        <v>115</v>
      </c>
      <c r="B12335" s="1">
        <v>44686</v>
      </c>
      <c r="C12335">
        <v>1</v>
      </c>
      <c r="D12335">
        <v>71.349999999999994</v>
      </c>
      <c r="E12335">
        <v>90</v>
      </c>
    </row>
    <row r="12336" spans="1:5" x14ac:dyDescent="0.3">
      <c r="A12336" t="s">
        <v>115</v>
      </c>
      <c r="B12336" s="1">
        <v>44686</v>
      </c>
      <c r="C12336">
        <v>1</v>
      </c>
      <c r="D12336">
        <v>71.349999999999994</v>
      </c>
      <c r="E12336">
        <v>90</v>
      </c>
    </row>
    <row r="12337" spans="1:5" x14ac:dyDescent="0.3">
      <c r="A12337" t="s">
        <v>115</v>
      </c>
      <c r="B12337" s="1">
        <v>44686</v>
      </c>
      <c r="C12337">
        <v>1</v>
      </c>
      <c r="D12337">
        <v>71.349999999999994</v>
      </c>
      <c r="E12337">
        <v>90</v>
      </c>
    </row>
    <row r="12338" spans="1:5" x14ac:dyDescent="0.3">
      <c r="A12338" t="s">
        <v>115</v>
      </c>
      <c r="B12338" s="1">
        <v>44686</v>
      </c>
      <c r="C12338">
        <v>1</v>
      </c>
      <c r="D12338">
        <v>71.349999999999994</v>
      </c>
      <c r="E12338">
        <v>90</v>
      </c>
    </row>
    <row r="12339" spans="1:5" x14ac:dyDescent="0.3">
      <c r="A12339" t="s">
        <v>80</v>
      </c>
      <c r="B12339" s="1">
        <v>44686</v>
      </c>
      <c r="C12339">
        <v>1</v>
      </c>
      <c r="D12339">
        <v>23.57</v>
      </c>
      <c r="E12339">
        <v>36</v>
      </c>
    </row>
    <row r="12340" spans="1:5" x14ac:dyDescent="0.3">
      <c r="A12340" t="s">
        <v>80</v>
      </c>
      <c r="B12340" s="1">
        <v>44686</v>
      </c>
      <c r="C12340">
        <v>1</v>
      </c>
      <c r="D12340">
        <v>23.57</v>
      </c>
      <c r="E12340">
        <v>36</v>
      </c>
    </row>
    <row r="12341" spans="1:5" x14ac:dyDescent="0.3">
      <c r="A12341" t="s">
        <v>16</v>
      </c>
      <c r="B12341" s="1">
        <v>44686</v>
      </c>
      <c r="C12341">
        <v>1</v>
      </c>
      <c r="D12341">
        <v>49.32</v>
      </c>
      <c r="E12341">
        <v>75</v>
      </c>
    </row>
    <row r="12342" spans="1:5" x14ac:dyDescent="0.3">
      <c r="A12342" t="s">
        <v>59</v>
      </c>
      <c r="B12342" s="1">
        <v>44686</v>
      </c>
      <c r="C12342">
        <v>1</v>
      </c>
      <c r="D12342">
        <v>13.1</v>
      </c>
      <c r="E12342">
        <v>21</v>
      </c>
    </row>
    <row r="12343" spans="1:5" x14ac:dyDescent="0.3">
      <c r="A12343" t="s">
        <v>141</v>
      </c>
      <c r="B12343" s="1">
        <v>44686</v>
      </c>
      <c r="C12343">
        <v>1</v>
      </c>
      <c r="D12343">
        <v>16.38</v>
      </c>
      <c r="E12343">
        <v>27</v>
      </c>
    </row>
    <row r="12344" spans="1:5" x14ac:dyDescent="0.3">
      <c r="A12344" t="s">
        <v>99</v>
      </c>
      <c r="B12344" s="1">
        <v>44686</v>
      </c>
      <c r="C12344">
        <v>1</v>
      </c>
      <c r="D12344">
        <v>64.25</v>
      </c>
      <c r="E12344">
        <v>79</v>
      </c>
    </row>
    <row r="12345" spans="1:5" x14ac:dyDescent="0.3">
      <c r="A12345" t="s">
        <v>89</v>
      </c>
      <c r="B12345" s="1">
        <v>44686</v>
      </c>
      <c r="C12345">
        <v>1</v>
      </c>
      <c r="D12345">
        <v>90.48</v>
      </c>
      <c r="E12345">
        <v>132</v>
      </c>
    </row>
    <row r="12346" spans="1:5" x14ac:dyDescent="0.3">
      <c r="A12346" t="s">
        <v>8</v>
      </c>
      <c r="B12346" s="1">
        <v>44686</v>
      </c>
      <c r="C12346">
        <v>1</v>
      </c>
      <c r="D12346">
        <v>47.53</v>
      </c>
      <c r="E12346">
        <v>77</v>
      </c>
    </row>
    <row r="12347" spans="1:5" x14ac:dyDescent="0.3">
      <c r="A12347" t="s">
        <v>84</v>
      </c>
      <c r="B12347" s="1">
        <v>44686</v>
      </c>
      <c r="C12347">
        <v>1</v>
      </c>
      <c r="D12347">
        <v>161.47999999999999</v>
      </c>
      <c r="E12347">
        <v>202</v>
      </c>
    </row>
    <row r="12348" spans="1:5" x14ac:dyDescent="0.3">
      <c r="A12348" t="s">
        <v>91</v>
      </c>
      <c r="B12348" s="1">
        <v>44686</v>
      </c>
      <c r="C12348">
        <v>1</v>
      </c>
      <c r="D12348">
        <v>31.28</v>
      </c>
      <c r="E12348">
        <v>51</v>
      </c>
    </row>
    <row r="12349" spans="1:5" x14ac:dyDescent="0.3">
      <c r="A12349" t="s">
        <v>35</v>
      </c>
      <c r="B12349" s="1">
        <v>44686</v>
      </c>
      <c r="C12349">
        <v>1</v>
      </c>
      <c r="D12349">
        <v>30.35</v>
      </c>
      <c r="E12349">
        <v>48</v>
      </c>
    </row>
    <row r="12350" spans="1:5" x14ac:dyDescent="0.3">
      <c r="A12350" t="s">
        <v>7</v>
      </c>
      <c r="B12350" s="1">
        <v>44686</v>
      </c>
      <c r="C12350">
        <v>1</v>
      </c>
      <c r="D12350">
        <v>88.4</v>
      </c>
      <c r="E12350">
        <v>104</v>
      </c>
    </row>
    <row r="12351" spans="1:5" x14ac:dyDescent="0.3">
      <c r="A12351" t="s">
        <v>160</v>
      </c>
      <c r="B12351" s="1">
        <v>44686</v>
      </c>
      <c r="C12351">
        <v>1</v>
      </c>
      <c r="D12351">
        <v>81.87</v>
      </c>
      <c r="E12351">
        <v>99</v>
      </c>
    </row>
    <row r="12352" spans="1:5" x14ac:dyDescent="0.3">
      <c r="A12352" t="s">
        <v>160</v>
      </c>
      <c r="B12352" s="1">
        <v>44686</v>
      </c>
      <c r="C12352">
        <v>1</v>
      </c>
      <c r="D12352">
        <v>81.87</v>
      </c>
      <c r="E12352">
        <v>99</v>
      </c>
    </row>
    <row r="12353" spans="1:5" x14ac:dyDescent="0.3">
      <c r="A12353" t="s">
        <v>41</v>
      </c>
      <c r="B12353" s="1">
        <v>44686</v>
      </c>
      <c r="C12353">
        <v>1</v>
      </c>
      <c r="D12353">
        <v>10.73</v>
      </c>
      <c r="E12353">
        <v>18</v>
      </c>
    </row>
    <row r="12354" spans="1:5" x14ac:dyDescent="0.3">
      <c r="A12354" t="s">
        <v>41</v>
      </c>
      <c r="B12354" s="1">
        <v>44686</v>
      </c>
      <c r="C12354">
        <v>3</v>
      </c>
      <c r="D12354">
        <v>11.45</v>
      </c>
      <c r="E12354">
        <v>19</v>
      </c>
    </row>
    <row r="12355" spans="1:5" x14ac:dyDescent="0.3">
      <c r="A12355" t="s">
        <v>155</v>
      </c>
      <c r="B12355" s="1">
        <v>44686</v>
      </c>
      <c r="C12355">
        <v>0.04</v>
      </c>
      <c r="D12355">
        <v>485.1</v>
      </c>
      <c r="E12355">
        <v>738</v>
      </c>
    </row>
    <row r="12356" spans="1:5" x14ac:dyDescent="0.3">
      <c r="A12356" t="s">
        <v>155</v>
      </c>
      <c r="B12356" s="1">
        <v>44686</v>
      </c>
      <c r="C12356">
        <v>0.04</v>
      </c>
      <c r="D12356">
        <v>384.6</v>
      </c>
      <c r="E12356">
        <v>585</v>
      </c>
    </row>
    <row r="12357" spans="1:5" x14ac:dyDescent="0.3">
      <c r="A12357" t="s">
        <v>155</v>
      </c>
      <c r="B12357" s="1">
        <v>44686</v>
      </c>
      <c r="C12357">
        <v>0.16</v>
      </c>
      <c r="D12357">
        <v>487.04</v>
      </c>
      <c r="E12357">
        <v>731</v>
      </c>
    </row>
    <row r="12358" spans="1:5" x14ac:dyDescent="0.3">
      <c r="A12358" t="s">
        <v>86</v>
      </c>
      <c r="B12358" s="1">
        <v>44686</v>
      </c>
      <c r="C12358">
        <v>2</v>
      </c>
      <c r="D12358">
        <v>47.4</v>
      </c>
      <c r="E12358">
        <v>76</v>
      </c>
    </row>
    <row r="12359" spans="1:5" x14ac:dyDescent="0.3">
      <c r="A12359" t="s">
        <v>19</v>
      </c>
      <c r="B12359" s="1">
        <v>44686</v>
      </c>
      <c r="C12359">
        <v>1</v>
      </c>
      <c r="D12359">
        <v>82.07</v>
      </c>
      <c r="E12359">
        <v>103</v>
      </c>
    </row>
    <row r="12360" spans="1:5" x14ac:dyDescent="0.3">
      <c r="A12360" t="s">
        <v>112</v>
      </c>
      <c r="B12360" s="1">
        <v>44686</v>
      </c>
      <c r="C12360">
        <v>1</v>
      </c>
      <c r="D12360">
        <v>291.43</v>
      </c>
      <c r="E12360">
        <v>331</v>
      </c>
    </row>
    <row r="12361" spans="1:5" x14ac:dyDescent="0.3">
      <c r="A12361" t="s">
        <v>135</v>
      </c>
      <c r="B12361" s="1">
        <v>44686</v>
      </c>
      <c r="C12361">
        <v>1</v>
      </c>
      <c r="D12361">
        <v>73.48</v>
      </c>
      <c r="E12361">
        <v>91</v>
      </c>
    </row>
    <row r="12362" spans="1:5" x14ac:dyDescent="0.3">
      <c r="A12362" t="s">
        <v>135</v>
      </c>
      <c r="B12362" s="1">
        <v>44686</v>
      </c>
      <c r="C12362">
        <v>1</v>
      </c>
      <c r="D12362">
        <v>73.48</v>
      </c>
      <c r="E12362">
        <v>91</v>
      </c>
    </row>
    <row r="12363" spans="1:5" x14ac:dyDescent="0.3">
      <c r="A12363" t="s">
        <v>26</v>
      </c>
      <c r="B12363" s="1">
        <v>44686</v>
      </c>
      <c r="C12363">
        <v>0.8</v>
      </c>
      <c r="D12363">
        <v>987.84</v>
      </c>
      <c r="E12363">
        <v>1275</v>
      </c>
    </row>
    <row r="12364" spans="1:5" x14ac:dyDescent="0.3">
      <c r="A12364" t="s">
        <v>112</v>
      </c>
      <c r="B12364" s="1">
        <v>44686</v>
      </c>
      <c r="C12364">
        <v>1</v>
      </c>
      <c r="D12364">
        <v>291.39</v>
      </c>
      <c r="E12364">
        <v>345</v>
      </c>
    </row>
    <row r="12365" spans="1:5" x14ac:dyDescent="0.3">
      <c r="A12365" t="s">
        <v>153</v>
      </c>
      <c r="B12365" s="1">
        <v>44686</v>
      </c>
      <c r="C12365">
        <v>1</v>
      </c>
      <c r="D12365">
        <v>10.34</v>
      </c>
      <c r="E12365">
        <v>12</v>
      </c>
    </row>
    <row r="12366" spans="1:5" x14ac:dyDescent="0.3">
      <c r="A12366" t="s">
        <v>153</v>
      </c>
      <c r="B12366" s="1">
        <v>44686</v>
      </c>
      <c r="C12366">
        <v>1</v>
      </c>
      <c r="D12366">
        <v>10.34</v>
      </c>
      <c r="E12366">
        <v>12</v>
      </c>
    </row>
    <row r="12367" spans="1:5" x14ac:dyDescent="0.3">
      <c r="A12367" t="s">
        <v>153</v>
      </c>
      <c r="B12367" s="1">
        <v>44686</v>
      </c>
      <c r="C12367">
        <v>1</v>
      </c>
      <c r="D12367">
        <v>10.34</v>
      </c>
      <c r="E12367">
        <v>12</v>
      </c>
    </row>
    <row r="12368" spans="1:5" x14ac:dyDescent="0.3">
      <c r="A12368" t="s">
        <v>17</v>
      </c>
      <c r="B12368" s="1">
        <v>44686</v>
      </c>
      <c r="C12368">
        <v>1</v>
      </c>
      <c r="D12368">
        <v>392.76</v>
      </c>
      <c r="E12368">
        <v>472</v>
      </c>
    </row>
    <row r="12369" spans="1:5" x14ac:dyDescent="0.3">
      <c r="A12369" t="s">
        <v>103</v>
      </c>
      <c r="B12369" s="1">
        <v>44686</v>
      </c>
      <c r="C12369">
        <v>1</v>
      </c>
      <c r="D12369">
        <v>41.33</v>
      </c>
      <c r="E12369">
        <v>65</v>
      </c>
    </row>
    <row r="12370" spans="1:5" x14ac:dyDescent="0.3">
      <c r="A12370" t="s">
        <v>103</v>
      </c>
      <c r="B12370" s="1">
        <v>44686</v>
      </c>
      <c r="C12370">
        <v>1</v>
      </c>
      <c r="D12370">
        <v>41.33</v>
      </c>
      <c r="E12370">
        <v>65</v>
      </c>
    </row>
    <row r="12371" spans="1:5" x14ac:dyDescent="0.3">
      <c r="A12371" t="s">
        <v>24</v>
      </c>
      <c r="B12371" s="1">
        <v>44686</v>
      </c>
      <c r="C12371">
        <v>1</v>
      </c>
      <c r="D12371">
        <v>100.98</v>
      </c>
      <c r="E12371">
        <v>120</v>
      </c>
    </row>
    <row r="12372" spans="1:5" x14ac:dyDescent="0.3">
      <c r="A12372" t="s">
        <v>24</v>
      </c>
      <c r="B12372" s="1">
        <v>44686</v>
      </c>
      <c r="C12372">
        <v>1</v>
      </c>
      <c r="D12372">
        <v>100.98</v>
      </c>
      <c r="E12372">
        <v>120</v>
      </c>
    </row>
    <row r="12373" spans="1:5" x14ac:dyDescent="0.3">
      <c r="A12373" t="s">
        <v>78</v>
      </c>
      <c r="B12373" s="1">
        <v>44686</v>
      </c>
      <c r="C12373">
        <v>1</v>
      </c>
      <c r="D12373">
        <v>79.3</v>
      </c>
      <c r="E12373">
        <v>100</v>
      </c>
    </row>
    <row r="12374" spans="1:5" x14ac:dyDescent="0.3">
      <c r="A12374" t="s">
        <v>140</v>
      </c>
      <c r="B12374" s="1">
        <v>44686</v>
      </c>
      <c r="C12374">
        <v>1</v>
      </c>
      <c r="D12374">
        <v>159.22</v>
      </c>
      <c r="E12374">
        <v>191</v>
      </c>
    </row>
    <row r="12375" spans="1:5" x14ac:dyDescent="0.3">
      <c r="A12375" t="s">
        <v>117</v>
      </c>
      <c r="B12375" s="1">
        <v>44686</v>
      </c>
      <c r="C12375">
        <v>1</v>
      </c>
      <c r="D12375">
        <v>23.14</v>
      </c>
      <c r="E12375">
        <v>28</v>
      </c>
    </row>
    <row r="12376" spans="1:5" x14ac:dyDescent="0.3">
      <c r="A12376" t="s">
        <v>65</v>
      </c>
      <c r="B12376" s="1">
        <v>44686</v>
      </c>
      <c r="C12376">
        <v>1</v>
      </c>
      <c r="D12376">
        <v>181.12</v>
      </c>
      <c r="E12376">
        <v>212</v>
      </c>
    </row>
    <row r="12377" spans="1:5" x14ac:dyDescent="0.3">
      <c r="A12377" t="s">
        <v>13</v>
      </c>
      <c r="B12377" s="1">
        <v>44686</v>
      </c>
      <c r="C12377">
        <v>1</v>
      </c>
      <c r="D12377">
        <v>125.93</v>
      </c>
      <c r="E12377">
        <v>150</v>
      </c>
    </row>
    <row r="12378" spans="1:5" x14ac:dyDescent="0.3">
      <c r="A12378" t="s">
        <v>8</v>
      </c>
      <c r="B12378" s="1">
        <v>44686</v>
      </c>
      <c r="C12378">
        <v>1</v>
      </c>
      <c r="D12378">
        <v>47.03</v>
      </c>
      <c r="E12378">
        <v>77</v>
      </c>
    </row>
    <row r="12379" spans="1:5" x14ac:dyDescent="0.3">
      <c r="A12379" t="s">
        <v>84</v>
      </c>
      <c r="B12379" s="1">
        <v>44686</v>
      </c>
      <c r="C12379">
        <v>1</v>
      </c>
      <c r="D12379">
        <v>165.15</v>
      </c>
      <c r="E12379">
        <v>207</v>
      </c>
    </row>
    <row r="12380" spans="1:5" x14ac:dyDescent="0.3">
      <c r="A12380" t="s">
        <v>42</v>
      </c>
      <c r="B12380" s="1">
        <v>44686</v>
      </c>
      <c r="C12380">
        <v>1</v>
      </c>
      <c r="D12380">
        <v>559.34</v>
      </c>
      <c r="E12380">
        <v>644</v>
      </c>
    </row>
    <row r="12381" spans="1:5" x14ac:dyDescent="0.3">
      <c r="A12381" t="s">
        <v>62</v>
      </c>
      <c r="B12381" s="1">
        <v>44686</v>
      </c>
      <c r="C12381">
        <v>1</v>
      </c>
      <c r="D12381">
        <v>25.2</v>
      </c>
      <c r="E12381">
        <v>30</v>
      </c>
    </row>
    <row r="12382" spans="1:5" x14ac:dyDescent="0.3">
      <c r="A12382" t="s">
        <v>62</v>
      </c>
      <c r="B12382" s="1">
        <v>44686</v>
      </c>
      <c r="C12382">
        <v>1</v>
      </c>
      <c r="D12382">
        <v>25.48</v>
      </c>
      <c r="E12382">
        <v>31</v>
      </c>
    </row>
    <row r="12383" spans="1:5" x14ac:dyDescent="0.3">
      <c r="A12383" t="s">
        <v>133</v>
      </c>
      <c r="B12383" s="1">
        <v>44686</v>
      </c>
      <c r="C12383">
        <v>10</v>
      </c>
      <c r="D12383">
        <v>5.56</v>
      </c>
      <c r="E12383">
        <v>9</v>
      </c>
    </row>
    <row r="12384" spans="1:5" x14ac:dyDescent="0.3">
      <c r="A12384" t="s">
        <v>87</v>
      </c>
      <c r="B12384" s="1">
        <v>44686</v>
      </c>
      <c r="C12384">
        <v>1</v>
      </c>
      <c r="D12384">
        <v>351.11</v>
      </c>
      <c r="E12384">
        <v>413</v>
      </c>
    </row>
    <row r="12385" spans="1:5" x14ac:dyDescent="0.3">
      <c r="A12385" t="s">
        <v>137</v>
      </c>
      <c r="B12385" s="1">
        <v>44686</v>
      </c>
      <c r="C12385">
        <v>2</v>
      </c>
      <c r="D12385">
        <v>9.42</v>
      </c>
      <c r="E12385">
        <v>16</v>
      </c>
    </row>
    <row r="12386" spans="1:5" x14ac:dyDescent="0.3">
      <c r="A12386" t="s">
        <v>118</v>
      </c>
      <c r="B12386" s="1">
        <v>44686</v>
      </c>
      <c r="C12386">
        <v>1</v>
      </c>
      <c r="D12386">
        <v>11.1</v>
      </c>
      <c r="E12386">
        <v>13</v>
      </c>
    </row>
    <row r="12387" spans="1:5" x14ac:dyDescent="0.3">
      <c r="A12387" t="s">
        <v>31</v>
      </c>
      <c r="B12387" s="1">
        <v>44686</v>
      </c>
      <c r="C12387">
        <v>1</v>
      </c>
      <c r="D12387">
        <v>14.56</v>
      </c>
      <c r="E12387">
        <v>20</v>
      </c>
    </row>
    <row r="12388" spans="1:5" x14ac:dyDescent="0.3">
      <c r="A12388" t="s">
        <v>80</v>
      </c>
      <c r="B12388" s="1">
        <v>44686</v>
      </c>
      <c r="C12388">
        <v>1</v>
      </c>
      <c r="D12388">
        <v>28.19</v>
      </c>
      <c r="E12388">
        <v>45</v>
      </c>
    </row>
    <row r="12389" spans="1:5" x14ac:dyDescent="0.3">
      <c r="A12389" t="s">
        <v>80</v>
      </c>
      <c r="B12389" s="1">
        <v>44686</v>
      </c>
      <c r="C12389">
        <v>1</v>
      </c>
      <c r="D12389">
        <v>28.19</v>
      </c>
      <c r="E12389">
        <v>45</v>
      </c>
    </row>
    <row r="12390" spans="1:5" x14ac:dyDescent="0.3">
      <c r="A12390" t="s">
        <v>16</v>
      </c>
      <c r="B12390" s="1">
        <v>44686</v>
      </c>
      <c r="C12390">
        <v>1</v>
      </c>
      <c r="D12390">
        <v>44.34</v>
      </c>
      <c r="E12390">
        <v>68</v>
      </c>
    </row>
    <row r="12391" spans="1:5" x14ac:dyDescent="0.3">
      <c r="A12391" t="s">
        <v>138</v>
      </c>
      <c r="B12391" s="1">
        <v>44686</v>
      </c>
      <c r="C12391">
        <v>1</v>
      </c>
      <c r="D12391">
        <v>46.5</v>
      </c>
      <c r="E12391">
        <v>76</v>
      </c>
    </row>
    <row r="12392" spans="1:5" x14ac:dyDescent="0.3">
      <c r="A12392" t="s">
        <v>129</v>
      </c>
      <c r="B12392" s="1">
        <v>44686</v>
      </c>
      <c r="C12392">
        <v>0.08</v>
      </c>
      <c r="D12392">
        <v>496.39</v>
      </c>
      <c r="E12392">
        <v>597</v>
      </c>
    </row>
    <row r="12393" spans="1:5" x14ac:dyDescent="0.3">
      <c r="A12393" t="s">
        <v>63</v>
      </c>
      <c r="B12393" s="1">
        <v>44686</v>
      </c>
      <c r="C12393">
        <v>1</v>
      </c>
      <c r="D12393">
        <v>71.790000000000006</v>
      </c>
      <c r="E12393">
        <v>87</v>
      </c>
    </row>
    <row r="12394" spans="1:5" x14ac:dyDescent="0.3">
      <c r="A12394" t="s">
        <v>26</v>
      </c>
      <c r="B12394" s="1">
        <v>44686</v>
      </c>
      <c r="C12394">
        <v>1</v>
      </c>
      <c r="D12394">
        <v>987.84</v>
      </c>
      <c r="E12394">
        <v>1354</v>
      </c>
    </row>
    <row r="12395" spans="1:5" x14ac:dyDescent="0.3">
      <c r="A12395" t="s">
        <v>48</v>
      </c>
      <c r="B12395" s="1">
        <v>44686</v>
      </c>
      <c r="C12395">
        <v>1</v>
      </c>
      <c r="D12395">
        <v>38.67</v>
      </c>
      <c r="E12395">
        <v>59</v>
      </c>
    </row>
    <row r="12396" spans="1:5" x14ac:dyDescent="0.3">
      <c r="A12396" t="s">
        <v>24</v>
      </c>
      <c r="B12396" s="1">
        <v>44686</v>
      </c>
      <c r="C12396">
        <v>1</v>
      </c>
      <c r="D12396">
        <v>99.47</v>
      </c>
      <c r="E12396">
        <v>116</v>
      </c>
    </row>
    <row r="12397" spans="1:5" x14ac:dyDescent="0.3">
      <c r="A12397" t="s">
        <v>24</v>
      </c>
      <c r="B12397" s="1">
        <v>44686</v>
      </c>
      <c r="C12397">
        <v>1</v>
      </c>
      <c r="D12397">
        <v>99.47</v>
      </c>
      <c r="E12397">
        <v>116</v>
      </c>
    </row>
    <row r="12398" spans="1:5" x14ac:dyDescent="0.3">
      <c r="A12398" t="s">
        <v>24</v>
      </c>
      <c r="B12398" s="1">
        <v>44686</v>
      </c>
      <c r="C12398">
        <v>1</v>
      </c>
      <c r="D12398">
        <v>99.47</v>
      </c>
      <c r="E12398">
        <v>116</v>
      </c>
    </row>
    <row r="12399" spans="1:5" x14ac:dyDescent="0.3">
      <c r="A12399" t="s">
        <v>24</v>
      </c>
      <c r="B12399" s="1">
        <v>44686</v>
      </c>
      <c r="C12399">
        <v>1</v>
      </c>
      <c r="D12399">
        <v>99.47</v>
      </c>
      <c r="E12399">
        <v>116</v>
      </c>
    </row>
    <row r="12400" spans="1:5" x14ac:dyDescent="0.3">
      <c r="A12400" t="s">
        <v>24</v>
      </c>
      <c r="B12400" s="1">
        <v>44686</v>
      </c>
      <c r="C12400">
        <v>1</v>
      </c>
      <c r="D12400">
        <v>99.47</v>
      </c>
      <c r="E12400">
        <v>116</v>
      </c>
    </row>
    <row r="12401" spans="1:5" x14ac:dyDescent="0.3">
      <c r="A12401" t="s">
        <v>124</v>
      </c>
      <c r="B12401" s="1">
        <v>44686</v>
      </c>
      <c r="C12401">
        <v>1</v>
      </c>
      <c r="D12401">
        <v>36.69</v>
      </c>
      <c r="E12401">
        <v>59</v>
      </c>
    </row>
    <row r="12402" spans="1:5" x14ac:dyDescent="0.3">
      <c r="A12402" t="s">
        <v>57</v>
      </c>
      <c r="B12402" s="1">
        <v>44686</v>
      </c>
      <c r="C12402">
        <v>1</v>
      </c>
      <c r="D12402">
        <v>232.47</v>
      </c>
      <c r="E12402">
        <v>272</v>
      </c>
    </row>
    <row r="12403" spans="1:5" x14ac:dyDescent="0.3">
      <c r="A12403" t="s">
        <v>92</v>
      </c>
      <c r="B12403" s="1">
        <v>44686</v>
      </c>
      <c r="C12403">
        <v>25</v>
      </c>
      <c r="D12403">
        <v>6.17</v>
      </c>
      <c r="E12403">
        <v>9</v>
      </c>
    </row>
    <row r="12404" spans="1:5" x14ac:dyDescent="0.3">
      <c r="A12404" t="s">
        <v>20</v>
      </c>
      <c r="B12404" s="1">
        <v>44686</v>
      </c>
      <c r="C12404">
        <v>1</v>
      </c>
      <c r="D12404">
        <v>21</v>
      </c>
      <c r="E12404">
        <v>27</v>
      </c>
    </row>
    <row r="12405" spans="1:5" x14ac:dyDescent="0.3">
      <c r="A12405" t="s">
        <v>20</v>
      </c>
      <c r="B12405" s="1">
        <v>44686</v>
      </c>
      <c r="C12405">
        <v>1</v>
      </c>
      <c r="D12405">
        <v>20</v>
      </c>
      <c r="E12405">
        <v>25</v>
      </c>
    </row>
    <row r="12406" spans="1:5" x14ac:dyDescent="0.3">
      <c r="A12406" t="s">
        <v>20</v>
      </c>
      <c r="B12406" s="1">
        <v>44686</v>
      </c>
      <c r="C12406">
        <v>1</v>
      </c>
      <c r="D12406">
        <v>20</v>
      </c>
      <c r="E12406">
        <v>25</v>
      </c>
    </row>
    <row r="12407" spans="1:5" x14ac:dyDescent="0.3">
      <c r="A12407" t="s">
        <v>65</v>
      </c>
      <c r="B12407" s="1">
        <v>44686</v>
      </c>
      <c r="C12407">
        <v>1</v>
      </c>
      <c r="D12407">
        <v>186.78</v>
      </c>
      <c r="E12407">
        <v>219</v>
      </c>
    </row>
    <row r="12408" spans="1:5" x14ac:dyDescent="0.3">
      <c r="A12408" t="s">
        <v>129</v>
      </c>
      <c r="B12408" s="1">
        <v>44686</v>
      </c>
      <c r="C12408">
        <v>0.04</v>
      </c>
      <c r="D12408">
        <v>496.39</v>
      </c>
      <c r="E12408">
        <v>597</v>
      </c>
    </row>
    <row r="12409" spans="1:5" x14ac:dyDescent="0.3">
      <c r="A12409" t="s">
        <v>65</v>
      </c>
      <c r="B12409" s="1">
        <v>44686</v>
      </c>
      <c r="C12409">
        <v>1</v>
      </c>
      <c r="D12409">
        <v>176.77</v>
      </c>
      <c r="E12409">
        <v>207</v>
      </c>
    </row>
    <row r="12410" spans="1:5" x14ac:dyDescent="0.3">
      <c r="A12410" t="s">
        <v>20</v>
      </c>
      <c r="B12410" s="1">
        <v>44686</v>
      </c>
      <c r="C12410">
        <v>1</v>
      </c>
      <c r="D12410">
        <v>21</v>
      </c>
      <c r="E12410">
        <v>27</v>
      </c>
    </row>
    <row r="12411" spans="1:5" x14ac:dyDescent="0.3">
      <c r="A12411" t="s">
        <v>20</v>
      </c>
      <c r="B12411" s="1">
        <v>44686</v>
      </c>
      <c r="C12411">
        <v>1</v>
      </c>
      <c r="D12411">
        <v>21</v>
      </c>
      <c r="E12411">
        <v>27</v>
      </c>
    </row>
    <row r="12412" spans="1:5" x14ac:dyDescent="0.3">
      <c r="A12412" t="s">
        <v>20</v>
      </c>
      <c r="B12412" s="1">
        <v>44686</v>
      </c>
      <c r="C12412">
        <v>1</v>
      </c>
      <c r="D12412">
        <v>21</v>
      </c>
      <c r="E12412">
        <v>27</v>
      </c>
    </row>
    <row r="12413" spans="1:5" x14ac:dyDescent="0.3">
      <c r="A12413" t="s">
        <v>57</v>
      </c>
      <c r="B12413" s="1">
        <v>44686</v>
      </c>
      <c r="C12413">
        <v>1</v>
      </c>
      <c r="D12413">
        <v>233.76</v>
      </c>
      <c r="E12413">
        <v>274</v>
      </c>
    </row>
    <row r="12414" spans="1:5" x14ac:dyDescent="0.3">
      <c r="A12414" t="s">
        <v>99</v>
      </c>
      <c r="B12414" s="1">
        <v>44686</v>
      </c>
      <c r="C12414">
        <v>1</v>
      </c>
      <c r="D12414">
        <v>64.25</v>
      </c>
      <c r="E12414">
        <v>77</v>
      </c>
    </row>
    <row r="12415" spans="1:5" x14ac:dyDescent="0.3">
      <c r="A12415" t="s">
        <v>41</v>
      </c>
      <c r="B12415" s="1">
        <v>44686</v>
      </c>
      <c r="C12415">
        <v>4</v>
      </c>
      <c r="D12415">
        <v>10.89</v>
      </c>
      <c r="E12415">
        <v>18</v>
      </c>
    </row>
    <row r="12416" spans="1:5" x14ac:dyDescent="0.3">
      <c r="A12416" t="s">
        <v>77</v>
      </c>
      <c r="B12416" s="1">
        <v>44686</v>
      </c>
      <c r="C12416">
        <v>1</v>
      </c>
      <c r="D12416">
        <v>60.3</v>
      </c>
      <c r="E12416">
        <v>75</v>
      </c>
    </row>
    <row r="12417" spans="1:5" x14ac:dyDescent="0.3">
      <c r="A12417" t="s">
        <v>134</v>
      </c>
      <c r="B12417" s="1">
        <v>44686</v>
      </c>
      <c r="C12417">
        <v>1</v>
      </c>
      <c r="D12417">
        <v>27.28</v>
      </c>
      <c r="E12417">
        <v>43</v>
      </c>
    </row>
    <row r="12418" spans="1:5" x14ac:dyDescent="0.3">
      <c r="A12418" t="s">
        <v>134</v>
      </c>
      <c r="B12418" s="1">
        <v>44686</v>
      </c>
      <c r="C12418">
        <v>1</v>
      </c>
      <c r="D12418">
        <v>27.28</v>
      </c>
      <c r="E12418">
        <v>43</v>
      </c>
    </row>
    <row r="12419" spans="1:5" x14ac:dyDescent="0.3">
      <c r="A12419" t="s">
        <v>62</v>
      </c>
      <c r="B12419" s="1">
        <v>44686</v>
      </c>
      <c r="C12419">
        <v>1</v>
      </c>
      <c r="D12419">
        <v>25.71</v>
      </c>
      <c r="E12419">
        <v>31</v>
      </c>
    </row>
    <row r="12420" spans="1:5" x14ac:dyDescent="0.3">
      <c r="A12420" t="s">
        <v>153</v>
      </c>
      <c r="B12420" s="1">
        <v>44686</v>
      </c>
      <c r="C12420">
        <v>1</v>
      </c>
      <c r="D12420">
        <v>10.34</v>
      </c>
      <c r="E12420">
        <v>12</v>
      </c>
    </row>
    <row r="12421" spans="1:5" x14ac:dyDescent="0.3">
      <c r="A12421" t="s">
        <v>153</v>
      </c>
      <c r="B12421" s="1">
        <v>44686</v>
      </c>
      <c r="C12421">
        <v>1</v>
      </c>
      <c r="D12421">
        <v>10.34</v>
      </c>
      <c r="E12421">
        <v>12</v>
      </c>
    </row>
    <row r="12422" spans="1:5" x14ac:dyDescent="0.3">
      <c r="A12422" t="s">
        <v>153</v>
      </c>
      <c r="B12422" s="1">
        <v>44686</v>
      </c>
      <c r="C12422">
        <v>1</v>
      </c>
      <c r="D12422">
        <v>10.34</v>
      </c>
      <c r="E12422">
        <v>12</v>
      </c>
    </row>
    <row r="12423" spans="1:5" x14ac:dyDescent="0.3">
      <c r="A12423" t="s">
        <v>34</v>
      </c>
      <c r="B12423" s="1">
        <v>44686</v>
      </c>
      <c r="C12423">
        <v>1</v>
      </c>
      <c r="D12423">
        <v>200.94</v>
      </c>
      <c r="E12423">
        <v>232</v>
      </c>
    </row>
    <row r="12424" spans="1:5" x14ac:dyDescent="0.3">
      <c r="A12424" t="s">
        <v>55</v>
      </c>
      <c r="B12424" s="1">
        <v>44686</v>
      </c>
      <c r="C12424">
        <v>1</v>
      </c>
      <c r="D12424">
        <v>77.78</v>
      </c>
      <c r="E12424">
        <v>97</v>
      </c>
    </row>
    <row r="12425" spans="1:5" x14ac:dyDescent="0.3">
      <c r="A12425" t="s">
        <v>25</v>
      </c>
      <c r="B12425" s="1">
        <v>44686</v>
      </c>
      <c r="C12425">
        <v>1</v>
      </c>
      <c r="D12425">
        <v>148.58000000000001</v>
      </c>
      <c r="E12425">
        <v>179</v>
      </c>
    </row>
    <row r="12426" spans="1:5" x14ac:dyDescent="0.3">
      <c r="A12426" t="s">
        <v>49</v>
      </c>
      <c r="B12426" s="1">
        <v>44686</v>
      </c>
      <c r="C12426">
        <v>1</v>
      </c>
      <c r="D12426">
        <v>16.25</v>
      </c>
      <c r="E12426">
        <v>20</v>
      </c>
    </row>
    <row r="12427" spans="1:5" x14ac:dyDescent="0.3">
      <c r="A12427" t="s">
        <v>49</v>
      </c>
      <c r="B12427" s="1">
        <v>44686</v>
      </c>
      <c r="C12427">
        <v>1</v>
      </c>
      <c r="D12427">
        <v>16.25</v>
      </c>
      <c r="E12427">
        <v>20</v>
      </c>
    </row>
    <row r="12428" spans="1:5" x14ac:dyDescent="0.3">
      <c r="A12428" t="s">
        <v>141</v>
      </c>
      <c r="B12428" s="1">
        <v>44686</v>
      </c>
      <c r="C12428">
        <v>1</v>
      </c>
      <c r="D12428">
        <v>10.67</v>
      </c>
      <c r="E12428">
        <v>18</v>
      </c>
    </row>
    <row r="12429" spans="1:5" x14ac:dyDescent="0.3">
      <c r="A12429" t="s">
        <v>74</v>
      </c>
      <c r="B12429" s="1">
        <v>44686</v>
      </c>
      <c r="C12429">
        <v>1</v>
      </c>
      <c r="D12429">
        <v>89.28</v>
      </c>
      <c r="E12429">
        <v>111</v>
      </c>
    </row>
    <row r="12430" spans="1:5" x14ac:dyDescent="0.3">
      <c r="A12430" t="s">
        <v>21</v>
      </c>
      <c r="B12430" s="1">
        <v>44686</v>
      </c>
      <c r="C12430">
        <v>1</v>
      </c>
      <c r="D12430">
        <v>184.02</v>
      </c>
      <c r="E12430">
        <v>253</v>
      </c>
    </row>
    <row r="12431" spans="1:5" x14ac:dyDescent="0.3">
      <c r="A12431" t="s">
        <v>142</v>
      </c>
      <c r="B12431" s="1">
        <v>44686</v>
      </c>
      <c r="C12431">
        <v>1</v>
      </c>
      <c r="D12431">
        <v>12.86</v>
      </c>
      <c r="E12431">
        <v>15</v>
      </c>
    </row>
    <row r="12432" spans="1:5" x14ac:dyDescent="0.3">
      <c r="A12432" t="s">
        <v>106</v>
      </c>
      <c r="B12432" s="1">
        <v>44686</v>
      </c>
      <c r="C12432">
        <v>1</v>
      </c>
      <c r="D12432">
        <v>41.48</v>
      </c>
      <c r="E12432">
        <v>51</v>
      </c>
    </row>
    <row r="12433" spans="1:5" x14ac:dyDescent="0.3">
      <c r="A12433" t="s">
        <v>37</v>
      </c>
      <c r="B12433" s="1">
        <v>44686</v>
      </c>
      <c r="C12433">
        <v>1</v>
      </c>
      <c r="D12433">
        <v>36.86</v>
      </c>
      <c r="E12433">
        <v>47</v>
      </c>
    </row>
    <row r="12434" spans="1:5" x14ac:dyDescent="0.3">
      <c r="A12434" t="s">
        <v>111</v>
      </c>
      <c r="B12434" s="1">
        <v>44686</v>
      </c>
      <c r="C12434">
        <v>1</v>
      </c>
      <c r="D12434">
        <v>176.65</v>
      </c>
      <c r="E12434">
        <v>210</v>
      </c>
    </row>
    <row r="12435" spans="1:5" x14ac:dyDescent="0.3">
      <c r="A12435" t="s">
        <v>60</v>
      </c>
      <c r="B12435" s="1">
        <v>44686</v>
      </c>
      <c r="C12435">
        <v>1</v>
      </c>
      <c r="D12435">
        <v>59.29</v>
      </c>
      <c r="E12435">
        <v>73</v>
      </c>
    </row>
    <row r="12436" spans="1:5" x14ac:dyDescent="0.3">
      <c r="A12436" t="s">
        <v>18</v>
      </c>
      <c r="B12436" s="1">
        <v>44686</v>
      </c>
      <c r="C12436">
        <v>1</v>
      </c>
      <c r="D12436">
        <v>44</v>
      </c>
      <c r="E12436">
        <v>69</v>
      </c>
    </row>
    <row r="12437" spans="1:5" x14ac:dyDescent="0.3">
      <c r="A12437" t="s">
        <v>65</v>
      </c>
      <c r="B12437" s="1">
        <v>44686</v>
      </c>
      <c r="C12437">
        <v>1</v>
      </c>
      <c r="D12437">
        <v>186.78</v>
      </c>
      <c r="E12437">
        <v>219</v>
      </c>
    </row>
    <row r="12438" spans="1:5" x14ac:dyDescent="0.3">
      <c r="A12438" t="s">
        <v>71</v>
      </c>
      <c r="B12438" s="1">
        <v>44686</v>
      </c>
      <c r="C12438">
        <v>1</v>
      </c>
      <c r="D12438">
        <v>34.75</v>
      </c>
      <c r="E12438">
        <v>53</v>
      </c>
    </row>
    <row r="12439" spans="1:5" x14ac:dyDescent="0.3">
      <c r="A12439" t="s">
        <v>71</v>
      </c>
      <c r="B12439" s="1">
        <v>44686</v>
      </c>
      <c r="C12439">
        <v>1</v>
      </c>
      <c r="D12439">
        <v>34.75</v>
      </c>
      <c r="E12439">
        <v>53</v>
      </c>
    </row>
    <row r="12440" spans="1:5" x14ac:dyDescent="0.3">
      <c r="A12440" t="s">
        <v>71</v>
      </c>
      <c r="B12440" s="1">
        <v>44686</v>
      </c>
      <c r="C12440">
        <v>1</v>
      </c>
      <c r="D12440">
        <v>34.75</v>
      </c>
      <c r="E12440">
        <v>53</v>
      </c>
    </row>
    <row r="12441" spans="1:5" x14ac:dyDescent="0.3">
      <c r="A12441" t="s">
        <v>5</v>
      </c>
      <c r="B12441" s="1">
        <v>44686</v>
      </c>
      <c r="C12441">
        <v>1</v>
      </c>
      <c r="D12441">
        <v>141.77000000000001</v>
      </c>
      <c r="E12441">
        <v>168</v>
      </c>
    </row>
    <row r="12442" spans="1:5" x14ac:dyDescent="0.3">
      <c r="A12442" t="s">
        <v>5</v>
      </c>
      <c r="B12442" s="1">
        <v>44686</v>
      </c>
      <c r="C12442">
        <v>1</v>
      </c>
      <c r="D12442">
        <v>141.77000000000001</v>
      </c>
      <c r="E12442">
        <v>168</v>
      </c>
    </row>
    <row r="12443" spans="1:5" x14ac:dyDescent="0.3">
      <c r="A12443" t="s">
        <v>93</v>
      </c>
      <c r="B12443" s="1">
        <v>44686</v>
      </c>
      <c r="C12443">
        <v>1</v>
      </c>
      <c r="D12443">
        <v>70.97</v>
      </c>
      <c r="E12443">
        <v>106</v>
      </c>
    </row>
    <row r="12444" spans="1:5" x14ac:dyDescent="0.3">
      <c r="A12444" t="s">
        <v>65</v>
      </c>
      <c r="B12444" s="1">
        <v>44686</v>
      </c>
      <c r="C12444">
        <v>1</v>
      </c>
      <c r="D12444">
        <v>186.78</v>
      </c>
      <c r="E12444">
        <v>219</v>
      </c>
    </row>
    <row r="12445" spans="1:5" x14ac:dyDescent="0.3">
      <c r="A12445" t="s">
        <v>25</v>
      </c>
      <c r="B12445" s="1">
        <v>44686</v>
      </c>
      <c r="C12445">
        <v>1</v>
      </c>
      <c r="D12445">
        <v>150.25</v>
      </c>
      <c r="E12445">
        <v>180</v>
      </c>
    </row>
    <row r="12446" spans="1:5" x14ac:dyDescent="0.3">
      <c r="A12446" t="s">
        <v>106</v>
      </c>
      <c r="B12446" s="1">
        <v>44686</v>
      </c>
      <c r="C12446">
        <v>1</v>
      </c>
      <c r="D12446">
        <v>41.82</v>
      </c>
      <c r="E12446">
        <v>51</v>
      </c>
    </row>
    <row r="12447" spans="1:5" x14ac:dyDescent="0.3">
      <c r="A12447" t="s">
        <v>106</v>
      </c>
      <c r="B12447" s="1">
        <v>44686</v>
      </c>
      <c r="C12447">
        <v>1</v>
      </c>
      <c r="D12447">
        <v>41.82</v>
      </c>
      <c r="E12447">
        <v>51</v>
      </c>
    </row>
    <row r="12448" spans="1:5" x14ac:dyDescent="0.3">
      <c r="A12448" t="s">
        <v>159</v>
      </c>
      <c r="B12448" s="1">
        <v>44686</v>
      </c>
      <c r="C12448">
        <v>1</v>
      </c>
      <c r="D12448">
        <v>57.92</v>
      </c>
      <c r="E12448">
        <v>70</v>
      </c>
    </row>
    <row r="12449" spans="1:5" x14ac:dyDescent="0.3">
      <c r="A12449" t="s">
        <v>159</v>
      </c>
      <c r="B12449" s="1">
        <v>44686</v>
      </c>
      <c r="C12449">
        <v>1</v>
      </c>
      <c r="D12449">
        <v>57.92</v>
      </c>
      <c r="E12449">
        <v>70</v>
      </c>
    </row>
    <row r="12450" spans="1:5" x14ac:dyDescent="0.3">
      <c r="A12450" t="s">
        <v>159</v>
      </c>
      <c r="B12450" s="1">
        <v>44686</v>
      </c>
      <c r="C12450">
        <v>1</v>
      </c>
      <c r="D12450">
        <v>57.92</v>
      </c>
      <c r="E12450">
        <v>70</v>
      </c>
    </row>
    <row r="12451" spans="1:5" x14ac:dyDescent="0.3">
      <c r="A12451" t="s">
        <v>159</v>
      </c>
      <c r="B12451" s="1">
        <v>44686</v>
      </c>
      <c r="C12451">
        <v>1</v>
      </c>
      <c r="D12451">
        <v>57.92</v>
      </c>
      <c r="E12451">
        <v>70</v>
      </c>
    </row>
    <row r="12452" spans="1:5" x14ac:dyDescent="0.3">
      <c r="A12452" t="s">
        <v>159</v>
      </c>
      <c r="B12452" s="1">
        <v>44686</v>
      </c>
      <c r="C12452">
        <v>1</v>
      </c>
      <c r="D12452">
        <v>57.92</v>
      </c>
      <c r="E12452">
        <v>70</v>
      </c>
    </row>
    <row r="12453" spans="1:5" x14ac:dyDescent="0.3">
      <c r="A12453" t="s">
        <v>23</v>
      </c>
      <c r="B12453" s="1">
        <v>44686</v>
      </c>
      <c r="C12453">
        <v>1</v>
      </c>
      <c r="D12453">
        <v>110.07</v>
      </c>
      <c r="E12453">
        <v>124</v>
      </c>
    </row>
    <row r="12454" spans="1:5" x14ac:dyDescent="0.3">
      <c r="A12454" t="s">
        <v>61</v>
      </c>
      <c r="B12454" s="1">
        <v>44686</v>
      </c>
      <c r="C12454">
        <v>1</v>
      </c>
      <c r="D12454">
        <v>33.17</v>
      </c>
      <c r="E12454">
        <v>53</v>
      </c>
    </row>
    <row r="12455" spans="1:5" x14ac:dyDescent="0.3">
      <c r="A12455" t="s">
        <v>56</v>
      </c>
      <c r="B12455" s="1">
        <v>44686</v>
      </c>
      <c r="C12455">
        <v>1</v>
      </c>
      <c r="D12455">
        <v>43.97</v>
      </c>
      <c r="E12455">
        <v>67</v>
      </c>
    </row>
    <row r="12456" spans="1:5" x14ac:dyDescent="0.3">
      <c r="A12456" t="s">
        <v>68</v>
      </c>
      <c r="B12456" s="1">
        <v>44686</v>
      </c>
      <c r="C12456">
        <v>1</v>
      </c>
      <c r="D12456">
        <v>62.36</v>
      </c>
      <c r="E12456">
        <v>93</v>
      </c>
    </row>
    <row r="12457" spans="1:5" x14ac:dyDescent="0.3">
      <c r="A12457" t="s">
        <v>20</v>
      </c>
      <c r="B12457" s="1">
        <v>44686</v>
      </c>
      <c r="C12457">
        <v>1</v>
      </c>
      <c r="D12457">
        <v>19.66</v>
      </c>
      <c r="E12457">
        <v>23</v>
      </c>
    </row>
    <row r="12458" spans="1:5" x14ac:dyDescent="0.3">
      <c r="A12458" t="s">
        <v>119</v>
      </c>
      <c r="B12458" s="1">
        <v>44686</v>
      </c>
      <c r="C12458">
        <v>3.5714299999999997E-2</v>
      </c>
      <c r="D12458">
        <v>631.39</v>
      </c>
      <c r="E12458">
        <v>697</v>
      </c>
    </row>
    <row r="12459" spans="1:5" x14ac:dyDescent="0.3">
      <c r="A12459" t="s">
        <v>62</v>
      </c>
      <c r="B12459" s="1">
        <v>44686</v>
      </c>
      <c r="C12459">
        <v>1</v>
      </c>
      <c r="D12459">
        <v>25.71</v>
      </c>
      <c r="E12459">
        <v>31</v>
      </c>
    </row>
    <row r="12460" spans="1:5" x14ac:dyDescent="0.3">
      <c r="A12460" t="s">
        <v>62</v>
      </c>
      <c r="B12460" s="1">
        <v>44686</v>
      </c>
      <c r="C12460">
        <v>1</v>
      </c>
      <c r="D12460">
        <v>25.71</v>
      </c>
      <c r="E12460">
        <v>31</v>
      </c>
    </row>
    <row r="12461" spans="1:5" x14ac:dyDescent="0.3">
      <c r="A12461" t="s">
        <v>133</v>
      </c>
      <c r="B12461" s="1">
        <v>44686</v>
      </c>
      <c r="C12461">
        <v>5</v>
      </c>
      <c r="D12461">
        <v>5.56</v>
      </c>
      <c r="E12461">
        <v>9</v>
      </c>
    </row>
    <row r="12462" spans="1:5" x14ac:dyDescent="0.3">
      <c r="A12462" t="s">
        <v>56</v>
      </c>
      <c r="B12462" s="1">
        <v>44686</v>
      </c>
      <c r="C12462">
        <v>1</v>
      </c>
      <c r="D12462">
        <v>43.62</v>
      </c>
      <c r="E12462">
        <v>67</v>
      </c>
    </row>
    <row r="12463" spans="1:5" x14ac:dyDescent="0.3">
      <c r="A12463" t="s">
        <v>83</v>
      </c>
      <c r="B12463" s="1">
        <v>44686</v>
      </c>
      <c r="C12463">
        <v>1</v>
      </c>
      <c r="D12463">
        <v>207.73</v>
      </c>
      <c r="E12463">
        <v>246</v>
      </c>
    </row>
    <row r="12464" spans="1:5" x14ac:dyDescent="0.3">
      <c r="A12464" t="s">
        <v>131</v>
      </c>
      <c r="B12464" s="1">
        <v>44686</v>
      </c>
      <c r="C12464">
        <v>1</v>
      </c>
      <c r="D12464">
        <v>361.91</v>
      </c>
      <c r="E12464">
        <v>417</v>
      </c>
    </row>
    <row r="12465" spans="1:5" x14ac:dyDescent="0.3">
      <c r="A12465" t="s">
        <v>56</v>
      </c>
      <c r="B12465" s="1">
        <v>44686</v>
      </c>
      <c r="C12465">
        <v>1</v>
      </c>
      <c r="D12465">
        <v>43.97</v>
      </c>
      <c r="E12465">
        <v>67</v>
      </c>
    </row>
    <row r="12466" spans="1:5" x14ac:dyDescent="0.3">
      <c r="A12466" t="s">
        <v>159</v>
      </c>
      <c r="B12466" s="1">
        <v>44686</v>
      </c>
      <c r="C12466">
        <v>1</v>
      </c>
      <c r="D12466">
        <v>50.8</v>
      </c>
      <c r="E12466">
        <v>64</v>
      </c>
    </row>
    <row r="12467" spans="1:5" x14ac:dyDescent="0.3">
      <c r="A12467" t="s">
        <v>23</v>
      </c>
      <c r="B12467" s="1">
        <v>44686</v>
      </c>
      <c r="C12467">
        <v>1</v>
      </c>
      <c r="D12467">
        <v>110.23</v>
      </c>
      <c r="E12467">
        <v>124</v>
      </c>
    </row>
    <row r="12468" spans="1:5" x14ac:dyDescent="0.3">
      <c r="A12468" t="s">
        <v>25</v>
      </c>
      <c r="B12468" s="1">
        <v>44686</v>
      </c>
      <c r="C12468">
        <v>1</v>
      </c>
      <c r="D12468">
        <v>148.58000000000001</v>
      </c>
      <c r="E12468">
        <v>179</v>
      </c>
    </row>
    <row r="12469" spans="1:5" x14ac:dyDescent="0.3">
      <c r="A12469" t="s">
        <v>122</v>
      </c>
      <c r="B12469" s="1">
        <v>44686</v>
      </c>
      <c r="C12469">
        <v>1</v>
      </c>
      <c r="D12469">
        <v>23.42</v>
      </c>
      <c r="E12469">
        <v>28</v>
      </c>
    </row>
    <row r="12470" spans="1:5" x14ac:dyDescent="0.3">
      <c r="A12470" t="s">
        <v>86</v>
      </c>
      <c r="B12470" s="1">
        <v>44686</v>
      </c>
      <c r="C12470">
        <v>2</v>
      </c>
      <c r="D12470">
        <v>39.619999999999997</v>
      </c>
      <c r="E12470">
        <v>69</v>
      </c>
    </row>
    <row r="12471" spans="1:5" x14ac:dyDescent="0.3">
      <c r="A12471" t="s">
        <v>48</v>
      </c>
      <c r="B12471" s="1">
        <v>44686</v>
      </c>
      <c r="C12471">
        <v>1</v>
      </c>
      <c r="D12471">
        <v>39.24</v>
      </c>
      <c r="E12471">
        <v>60</v>
      </c>
    </row>
    <row r="12472" spans="1:5" x14ac:dyDescent="0.3">
      <c r="A12472" t="s">
        <v>25</v>
      </c>
      <c r="B12472" s="1">
        <v>44686</v>
      </c>
      <c r="C12472">
        <v>1</v>
      </c>
      <c r="D12472">
        <v>148.58000000000001</v>
      </c>
      <c r="E12472">
        <v>179</v>
      </c>
    </row>
    <row r="12473" spans="1:5" x14ac:dyDescent="0.3">
      <c r="A12473" t="s">
        <v>20</v>
      </c>
      <c r="B12473" s="1">
        <v>44686</v>
      </c>
      <c r="C12473">
        <v>1</v>
      </c>
      <c r="D12473">
        <v>19.71</v>
      </c>
      <c r="E12473">
        <v>25</v>
      </c>
    </row>
    <row r="12474" spans="1:5" x14ac:dyDescent="0.3">
      <c r="A12474" t="s">
        <v>20</v>
      </c>
      <c r="B12474" s="1">
        <v>44686</v>
      </c>
      <c r="C12474">
        <v>1</v>
      </c>
      <c r="D12474">
        <v>19.71</v>
      </c>
      <c r="E12474">
        <v>25</v>
      </c>
    </row>
    <row r="12475" spans="1:5" x14ac:dyDescent="0.3">
      <c r="A12475" t="s">
        <v>60</v>
      </c>
      <c r="B12475" s="1">
        <v>44686</v>
      </c>
      <c r="C12475">
        <v>1</v>
      </c>
      <c r="D12475">
        <v>58.15</v>
      </c>
      <c r="E12475">
        <v>72</v>
      </c>
    </row>
    <row r="12476" spans="1:5" x14ac:dyDescent="0.3">
      <c r="A12476" t="s">
        <v>95</v>
      </c>
      <c r="B12476" s="1">
        <v>44686</v>
      </c>
      <c r="C12476">
        <v>2</v>
      </c>
      <c r="D12476">
        <v>129.25</v>
      </c>
      <c r="E12476">
        <v>203</v>
      </c>
    </row>
    <row r="12477" spans="1:5" x14ac:dyDescent="0.3">
      <c r="A12477" t="s">
        <v>124</v>
      </c>
      <c r="B12477" s="1">
        <v>44686</v>
      </c>
      <c r="C12477">
        <v>1</v>
      </c>
      <c r="D12477">
        <v>36.06</v>
      </c>
      <c r="E12477">
        <v>59</v>
      </c>
    </row>
    <row r="12478" spans="1:5" x14ac:dyDescent="0.3">
      <c r="A12478" t="s">
        <v>34</v>
      </c>
      <c r="B12478" s="1">
        <v>44686</v>
      </c>
      <c r="C12478">
        <v>1</v>
      </c>
      <c r="D12478">
        <v>202.75</v>
      </c>
      <c r="E12478">
        <v>238</v>
      </c>
    </row>
    <row r="12479" spans="1:5" x14ac:dyDescent="0.3">
      <c r="A12479" t="s">
        <v>121</v>
      </c>
      <c r="B12479" s="1">
        <v>44686</v>
      </c>
      <c r="C12479">
        <v>2</v>
      </c>
      <c r="D12479">
        <v>7.24</v>
      </c>
      <c r="E12479">
        <v>12</v>
      </c>
    </row>
    <row r="12480" spans="1:5" x14ac:dyDescent="0.3">
      <c r="A12480" t="s">
        <v>24</v>
      </c>
      <c r="B12480" s="1">
        <v>44686</v>
      </c>
      <c r="C12480">
        <v>1</v>
      </c>
      <c r="D12480">
        <v>100.98</v>
      </c>
      <c r="E12480">
        <v>120</v>
      </c>
    </row>
    <row r="12481" spans="1:5" x14ac:dyDescent="0.3">
      <c r="A12481" t="s">
        <v>62</v>
      </c>
      <c r="B12481" s="1">
        <v>44686</v>
      </c>
      <c r="C12481">
        <v>1</v>
      </c>
      <c r="D12481">
        <v>25.71</v>
      </c>
      <c r="E12481">
        <v>31</v>
      </c>
    </row>
    <row r="12482" spans="1:5" x14ac:dyDescent="0.3">
      <c r="A12482" t="s">
        <v>62</v>
      </c>
      <c r="B12482" s="1">
        <v>44686</v>
      </c>
      <c r="C12482">
        <v>1</v>
      </c>
      <c r="D12482">
        <v>25.71</v>
      </c>
      <c r="E12482">
        <v>31</v>
      </c>
    </row>
    <row r="12483" spans="1:5" x14ac:dyDescent="0.3">
      <c r="A12483" t="s">
        <v>30</v>
      </c>
      <c r="B12483" s="1">
        <v>44686</v>
      </c>
      <c r="C12483">
        <v>1</v>
      </c>
      <c r="D12483">
        <v>156.19999999999999</v>
      </c>
      <c r="E12483">
        <v>186</v>
      </c>
    </row>
    <row r="12484" spans="1:5" x14ac:dyDescent="0.3">
      <c r="A12484" t="s">
        <v>30</v>
      </c>
      <c r="B12484" s="1">
        <v>44686</v>
      </c>
      <c r="C12484">
        <v>1</v>
      </c>
      <c r="D12484">
        <v>156.19999999999999</v>
      </c>
      <c r="E12484">
        <v>186</v>
      </c>
    </row>
    <row r="12485" spans="1:5" x14ac:dyDescent="0.3">
      <c r="A12485" t="s">
        <v>112</v>
      </c>
      <c r="B12485" s="1">
        <v>44686</v>
      </c>
      <c r="C12485">
        <v>1</v>
      </c>
      <c r="D12485">
        <v>289.25</v>
      </c>
      <c r="E12485">
        <v>343</v>
      </c>
    </row>
    <row r="12486" spans="1:5" x14ac:dyDescent="0.3">
      <c r="A12486" t="s">
        <v>30</v>
      </c>
      <c r="B12486" s="1">
        <v>44686</v>
      </c>
      <c r="C12486">
        <v>1</v>
      </c>
      <c r="D12486">
        <v>156.19999999999999</v>
      </c>
      <c r="E12486">
        <v>186</v>
      </c>
    </row>
    <row r="12487" spans="1:5" x14ac:dyDescent="0.3">
      <c r="A12487" t="s">
        <v>52</v>
      </c>
      <c r="B12487" s="1">
        <v>44686</v>
      </c>
      <c r="C12487">
        <v>1</v>
      </c>
      <c r="D12487">
        <v>221.19</v>
      </c>
      <c r="E12487">
        <v>262</v>
      </c>
    </row>
    <row r="12488" spans="1:5" x14ac:dyDescent="0.3">
      <c r="A12488" t="s">
        <v>113</v>
      </c>
      <c r="B12488" s="1">
        <v>44686</v>
      </c>
      <c r="C12488">
        <v>1</v>
      </c>
      <c r="D12488">
        <v>170.01</v>
      </c>
      <c r="E12488">
        <v>240</v>
      </c>
    </row>
    <row r="12489" spans="1:5" x14ac:dyDescent="0.3">
      <c r="A12489" t="s">
        <v>114</v>
      </c>
      <c r="B12489" s="1">
        <v>44686</v>
      </c>
      <c r="C12489">
        <v>1</v>
      </c>
      <c r="D12489">
        <v>74.8</v>
      </c>
      <c r="E12489">
        <v>92</v>
      </c>
    </row>
    <row r="12490" spans="1:5" x14ac:dyDescent="0.3">
      <c r="A12490" t="s">
        <v>50</v>
      </c>
      <c r="B12490" s="1">
        <v>44686</v>
      </c>
      <c r="C12490">
        <v>1</v>
      </c>
      <c r="D12490">
        <v>45.28</v>
      </c>
      <c r="E12490">
        <v>56</v>
      </c>
    </row>
    <row r="12491" spans="1:5" x14ac:dyDescent="0.3">
      <c r="A12491" t="s">
        <v>152</v>
      </c>
      <c r="B12491" s="1">
        <v>44686</v>
      </c>
      <c r="C12491">
        <v>1</v>
      </c>
      <c r="D12491">
        <v>127.93</v>
      </c>
      <c r="E12491">
        <v>160</v>
      </c>
    </row>
    <row r="12492" spans="1:5" x14ac:dyDescent="0.3">
      <c r="A12492" t="s">
        <v>152</v>
      </c>
      <c r="B12492" s="1">
        <v>44686</v>
      </c>
      <c r="C12492">
        <v>1</v>
      </c>
      <c r="D12492">
        <v>127.93</v>
      </c>
      <c r="E12492">
        <v>160</v>
      </c>
    </row>
    <row r="12493" spans="1:5" x14ac:dyDescent="0.3">
      <c r="A12493" t="s">
        <v>152</v>
      </c>
      <c r="B12493" s="1">
        <v>44686</v>
      </c>
      <c r="C12493">
        <v>1</v>
      </c>
      <c r="D12493">
        <v>104.37</v>
      </c>
      <c r="E12493">
        <v>131</v>
      </c>
    </row>
    <row r="12494" spans="1:5" x14ac:dyDescent="0.3">
      <c r="A12494" t="s">
        <v>56</v>
      </c>
      <c r="B12494" s="1">
        <v>44686</v>
      </c>
      <c r="C12494">
        <v>1</v>
      </c>
      <c r="D12494">
        <v>43.98</v>
      </c>
      <c r="E12494">
        <v>67</v>
      </c>
    </row>
    <row r="12495" spans="1:5" x14ac:dyDescent="0.3">
      <c r="A12495" t="s">
        <v>19</v>
      </c>
      <c r="B12495" s="1">
        <v>44685</v>
      </c>
      <c r="C12495">
        <v>1</v>
      </c>
      <c r="D12495">
        <v>82.54</v>
      </c>
      <c r="E12495">
        <v>103</v>
      </c>
    </row>
    <row r="12496" spans="1:5" x14ac:dyDescent="0.3">
      <c r="A12496" t="s">
        <v>153</v>
      </c>
      <c r="B12496" s="1">
        <v>44685</v>
      </c>
      <c r="C12496">
        <v>1</v>
      </c>
      <c r="D12496">
        <v>9.4600000000000009</v>
      </c>
      <c r="E12496">
        <v>11</v>
      </c>
    </row>
    <row r="12497" spans="1:5" x14ac:dyDescent="0.3">
      <c r="A12497" t="s">
        <v>153</v>
      </c>
      <c r="B12497" s="1">
        <v>44685</v>
      </c>
      <c r="C12497">
        <v>1</v>
      </c>
      <c r="D12497">
        <v>9.4600000000000009</v>
      </c>
      <c r="E12497">
        <v>11</v>
      </c>
    </row>
    <row r="12498" spans="1:5" x14ac:dyDescent="0.3">
      <c r="A12498" t="s">
        <v>142</v>
      </c>
      <c r="B12498" s="1">
        <v>44685</v>
      </c>
      <c r="C12498">
        <v>1</v>
      </c>
      <c r="D12498">
        <v>12.86</v>
      </c>
      <c r="E12498">
        <v>15</v>
      </c>
    </row>
    <row r="12499" spans="1:5" x14ac:dyDescent="0.3">
      <c r="A12499" t="s">
        <v>142</v>
      </c>
      <c r="B12499" s="1">
        <v>44685</v>
      </c>
      <c r="C12499">
        <v>1</v>
      </c>
      <c r="D12499">
        <v>12.86</v>
      </c>
      <c r="E12499">
        <v>15</v>
      </c>
    </row>
    <row r="12500" spans="1:5" x14ac:dyDescent="0.3">
      <c r="A12500" t="s">
        <v>118</v>
      </c>
      <c r="B12500" s="1">
        <v>44685</v>
      </c>
      <c r="C12500">
        <v>1</v>
      </c>
      <c r="D12500">
        <v>10.42</v>
      </c>
      <c r="E12500">
        <v>13</v>
      </c>
    </row>
    <row r="12501" spans="1:5" x14ac:dyDescent="0.3">
      <c r="A12501" t="s">
        <v>98</v>
      </c>
      <c r="B12501" s="1">
        <v>44685</v>
      </c>
      <c r="C12501">
        <v>1</v>
      </c>
      <c r="D12501">
        <v>111.85</v>
      </c>
      <c r="E12501">
        <v>135</v>
      </c>
    </row>
    <row r="12502" spans="1:5" x14ac:dyDescent="0.3">
      <c r="A12502" t="s">
        <v>56</v>
      </c>
      <c r="B12502" s="1">
        <v>44685</v>
      </c>
      <c r="C12502">
        <v>1</v>
      </c>
      <c r="D12502">
        <v>43.7</v>
      </c>
      <c r="E12502">
        <v>67</v>
      </c>
    </row>
    <row r="12503" spans="1:5" x14ac:dyDescent="0.3">
      <c r="A12503" t="s">
        <v>77</v>
      </c>
      <c r="B12503" s="1">
        <v>44685</v>
      </c>
      <c r="C12503">
        <v>1</v>
      </c>
      <c r="D12503">
        <v>60.3</v>
      </c>
      <c r="E12503">
        <v>75</v>
      </c>
    </row>
    <row r="12504" spans="1:5" x14ac:dyDescent="0.3">
      <c r="A12504" t="s">
        <v>95</v>
      </c>
      <c r="B12504" s="1">
        <v>44685</v>
      </c>
      <c r="C12504">
        <v>2</v>
      </c>
      <c r="D12504">
        <v>129.25</v>
      </c>
      <c r="E12504">
        <v>197</v>
      </c>
    </row>
    <row r="12505" spans="1:5" x14ac:dyDescent="0.3">
      <c r="A12505" t="s">
        <v>41</v>
      </c>
      <c r="B12505" s="1">
        <v>44685</v>
      </c>
      <c r="C12505">
        <v>2</v>
      </c>
      <c r="D12505">
        <v>10.57</v>
      </c>
      <c r="E12505">
        <v>17</v>
      </c>
    </row>
    <row r="12506" spans="1:5" x14ac:dyDescent="0.3">
      <c r="A12506" t="s">
        <v>119</v>
      </c>
      <c r="B12506" s="1">
        <v>44685</v>
      </c>
      <c r="C12506">
        <v>3.5714299999999997E-2</v>
      </c>
      <c r="D12506">
        <v>642</v>
      </c>
      <c r="E12506">
        <v>708</v>
      </c>
    </row>
    <row r="12507" spans="1:5" x14ac:dyDescent="0.3">
      <c r="A12507" t="s">
        <v>107</v>
      </c>
      <c r="B12507" s="1">
        <v>44685</v>
      </c>
      <c r="C12507">
        <v>1</v>
      </c>
      <c r="D12507">
        <v>71.03</v>
      </c>
      <c r="E12507">
        <v>88</v>
      </c>
    </row>
    <row r="12508" spans="1:5" x14ac:dyDescent="0.3">
      <c r="A12508" t="s">
        <v>115</v>
      </c>
      <c r="B12508" s="1">
        <v>44685</v>
      </c>
      <c r="C12508">
        <v>1</v>
      </c>
      <c r="D12508">
        <v>71.150000000000006</v>
      </c>
      <c r="E12508">
        <v>88</v>
      </c>
    </row>
    <row r="12509" spans="1:5" x14ac:dyDescent="0.3">
      <c r="A12509" t="s">
        <v>19</v>
      </c>
      <c r="B12509" s="1">
        <v>44685</v>
      </c>
      <c r="C12509">
        <v>1</v>
      </c>
      <c r="D12509">
        <v>82.26</v>
      </c>
      <c r="E12509">
        <v>103</v>
      </c>
    </row>
    <row r="12510" spans="1:5" x14ac:dyDescent="0.3">
      <c r="A12510" t="s">
        <v>53</v>
      </c>
      <c r="B12510" s="1">
        <v>44685</v>
      </c>
      <c r="C12510">
        <v>1</v>
      </c>
      <c r="D12510">
        <v>23.4</v>
      </c>
      <c r="E12510">
        <v>38</v>
      </c>
    </row>
    <row r="12511" spans="1:5" x14ac:dyDescent="0.3">
      <c r="A12511" t="s">
        <v>10</v>
      </c>
      <c r="B12511" s="1">
        <v>44685</v>
      </c>
      <c r="C12511">
        <v>1</v>
      </c>
      <c r="D12511">
        <v>11.88</v>
      </c>
      <c r="E12511">
        <v>14</v>
      </c>
    </row>
    <row r="12512" spans="1:5" x14ac:dyDescent="0.3">
      <c r="A12512" t="s">
        <v>146</v>
      </c>
      <c r="B12512" s="1">
        <v>44685</v>
      </c>
      <c r="C12512">
        <v>1</v>
      </c>
      <c r="D12512">
        <v>402.29</v>
      </c>
      <c r="E12512">
        <v>451</v>
      </c>
    </row>
    <row r="12513" spans="1:5" x14ac:dyDescent="0.3">
      <c r="A12513" t="s">
        <v>28</v>
      </c>
      <c r="B12513" s="1">
        <v>44685</v>
      </c>
      <c r="C12513">
        <v>1</v>
      </c>
      <c r="D12513">
        <v>146.80000000000001</v>
      </c>
      <c r="E12513">
        <v>199</v>
      </c>
    </row>
    <row r="12514" spans="1:5" x14ac:dyDescent="0.3">
      <c r="A12514" t="s">
        <v>17</v>
      </c>
      <c r="B12514" s="1">
        <v>44685</v>
      </c>
      <c r="C12514">
        <v>1</v>
      </c>
      <c r="D12514">
        <v>385.8</v>
      </c>
      <c r="E12514">
        <v>463</v>
      </c>
    </row>
    <row r="12515" spans="1:5" x14ac:dyDescent="0.3">
      <c r="A12515" t="s">
        <v>121</v>
      </c>
      <c r="B12515" s="1">
        <v>44685</v>
      </c>
      <c r="C12515">
        <v>1</v>
      </c>
      <c r="D12515">
        <v>7.96</v>
      </c>
      <c r="E12515">
        <v>13</v>
      </c>
    </row>
    <row r="12516" spans="1:5" x14ac:dyDescent="0.3">
      <c r="A12516" t="s">
        <v>157</v>
      </c>
      <c r="B12516" s="1">
        <v>44685</v>
      </c>
      <c r="C12516">
        <v>1</v>
      </c>
      <c r="D12516">
        <v>12</v>
      </c>
      <c r="E12516">
        <v>20</v>
      </c>
    </row>
    <row r="12517" spans="1:5" x14ac:dyDescent="0.3">
      <c r="A12517" t="s">
        <v>53</v>
      </c>
      <c r="B12517" s="1">
        <v>44685</v>
      </c>
      <c r="C12517">
        <v>1</v>
      </c>
      <c r="D12517">
        <v>23.4</v>
      </c>
      <c r="E12517">
        <v>38</v>
      </c>
    </row>
    <row r="12518" spans="1:5" x14ac:dyDescent="0.3">
      <c r="A12518" t="s">
        <v>134</v>
      </c>
      <c r="B12518" s="1">
        <v>44685</v>
      </c>
      <c r="C12518">
        <v>1</v>
      </c>
      <c r="D12518">
        <v>26.49</v>
      </c>
      <c r="E12518">
        <v>42</v>
      </c>
    </row>
    <row r="12519" spans="1:5" x14ac:dyDescent="0.3">
      <c r="A12519" t="s">
        <v>134</v>
      </c>
      <c r="B12519" s="1">
        <v>44685</v>
      </c>
      <c r="C12519">
        <v>1</v>
      </c>
      <c r="D12519">
        <v>26.49</v>
      </c>
      <c r="E12519">
        <v>42</v>
      </c>
    </row>
    <row r="12520" spans="1:5" x14ac:dyDescent="0.3">
      <c r="A12520" t="s">
        <v>134</v>
      </c>
      <c r="B12520" s="1">
        <v>44685</v>
      </c>
      <c r="C12520">
        <v>1</v>
      </c>
      <c r="D12520">
        <v>26.49</v>
      </c>
      <c r="E12520">
        <v>42</v>
      </c>
    </row>
    <row r="12521" spans="1:5" x14ac:dyDescent="0.3">
      <c r="A12521" t="s">
        <v>61</v>
      </c>
      <c r="B12521" s="1">
        <v>44685</v>
      </c>
      <c r="C12521">
        <v>1</v>
      </c>
      <c r="D12521">
        <v>32.97</v>
      </c>
      <c r="E12521">
        <v>51</v>
      </c>
    </row>
    <row r="12522" spans="1:5" x14ac:dyDescent="0.3">
      <c r="A12522" t="s">
        <v>157</v>
      </c>
      <c r="B12522" s="1">
        <v>44685</v>
      </c>
      <c r="C12522">
        <v>1</v>
      </c>
      <c r="D12522">
        <v>12</v>
      </c>
      <c r="E12522">
        <v>20</v>
      </c>
    </row>
    <row r="12523" spans="1:5" x14ac:dyDescent="0.3">
      <c r="A12523" t="s">
        <v>95</v>
      </c>
      <c r="B12523" s="1">
        <v>44685</v>
      </c>
      <c r="C12523">
        <v>1</v>
      </c>
      <c r="D12523">
        <v>129.25</v>
      </c>
      <c r="E12523">
        <v>203</v>
      </c>
    </row>
    <row r="12524" spans="1:5" x14ac:dyDescent="0.3">
      <c r="A12524" t="s">
        <v>62</v>
      </c>
      <c r="B12524" s="1">
        <v>44685</v>
      </c>
      <c r="C12524">
        <v>1</v>
      </c>
      <c r="D12524">
        <v>25.2</v>
      </c>
      <c r="E12524">
        <v>30</v>
      </c>
    </row>
    <row r="12525" spans="1:5" x14ac:dyDescent="0.3">
      <c r="A12525" t="s">
        <v>97</v>
      </c>
      <c r="B12525" s="1">
        <v>44685</v>
      </c>
      <c r="C12525">
        <v>1</v>
      </c>
      <c r="D12525">
        <v>425.96</v>
      </c>
      <c r="E12525">
        <v>563</v>
      </c>
    </row>
    <row r="12526" spans="1:5" x14ac:dyDescent="0.3">
      <c r="A12526" t="s">
        <v>24</v>
      </c>
      <c r="B12526" s="1">
        <v>44685</v>
      </c>
      <c r="C12526">
        <v>1</v>
      </c>
      <c r="D12526">
        <v>100.98</v>
      </c>
      <c r="E12526">
        <v>120</v>
      </c>
    </row>
    <row r="12527" spans="1:5" x14ac:dyDescent="0.3">
      <c r="A12527" t="s">
        <v>65</v>
      </c>
      <c r="B12527" s="1">
        <v>44685</v>
      </c>
      <c r="C12527">
        <v>1</v>
      </c>
      <c r="D12527">
        <v>176.77</v>
      </c>
      <c r="E12527">
        <v>207</v>
      </c>
    </row>
    <row r="12528" spans="1:5" x14ac:dyDescent="0.3">
      <c r="A12528" t="s">
        <v>134</v>
      </c>
      <c r="B12528" s="1">
        <v>44685</v>
      </c>
      <c r="C12528">
        <v>1</v>
      </c>
      <c r="D12528">
        <v>26.98</v>
      </c>
      <c r="E12528">
        <v>42</v>
      </c>
    </row>
    <row r="12529" spans="1:5" x14ac:dyDescent="0.3">
      <c r="A12529" t="s">
        <v>35</v>
      </c>
      <c r="B12529" s="1">
        <v>44685</v>
      </c>
      <c r="C12529">
        <v>1</v>
      </c>
      <c r="D12529">
        <v>35</v>
      </c>
      <c r="E12529">
        <v>54</v>
      </c>
    </row>
    <row r="12530" spans="1:5" x14ac:dyDescent="0.3">
      <c r="A12530" t="s">
        <v>56</v>
      </c>
      <c r="B12530" s="1">
        <v>44685</v>
      </c>
      <c r="C12530">
        <v>1</v>
      </c>
      <c r="D12530">
        <v>45.42</v>
      </c>
      <c r="E12530">
        <v>70</v>
      </c>
    </row>
    <row r="12531" spans="1:5" x14ac:dyDescent="0.3">
      <c r="A12531" t="s">
        <v>18</v>
      </c>
      <c r="B12531" s="1">
        <v>44685</v>
      </c>
      <c r="C12531">
        <v>1</v>
      </c>
      <c r="D12531">
        <v>42</v>
      </c>
      <c r="E12531">
        <v>64</v>
      </c>
    </row>
    <row r="12532" spans="1:5" x14ac:dyDescent="0.3">
      <c r="A12532" t="s">
        <v>26</v>
      </c>
      <c r="B12532" s="1">
        <v>44685</v>
      </c>
      <c r="C12532">
        <v>0.1</v>
      </c>
      <c r="D12532">
        <v>989.8</v>
      </c>
      <c r="E12532">
        <v>1238</v>
      </c>
    </row>
    <row r="12533" spans="1:5" x14ac:dyDescent="0.3">
      <c r="A12533" t="s">
        <v>124</v>
      </c>
      <c r="B12533" s="1">
        <v>44685</v>
      </c>
      <c r="C12533">
        <v>2</v>
      </c>
      <c r="D12533">
        <v>37.799999999999997</v>
      </c>
      <c r="E12533">
        <v>62</v>
      </c>
    </row>
    <row r="12534" spans="1:5" x14ac:dyDescent="0.3">
      <c r="A12534" t="s">
        <v>36</v>
      </c>
      <c r="B12534" s="1">
        <v>44685</v>
      </c>
      <c r="C12534">
        <v>1</v>
      </c>
      <c r="D12534">
        <v>25.27</v>
      </c>
      <c r="E12534">
        <v>32</v>
      </c>
    </row>
    <row r="12535" spans="1:5" x14ac:dyDescent="0.3">
      <c r="A12535" t="s">
        <v>25</v>
      </c>
      <c r="B12535" s="1">
        <v>44685</v>
      </c>
      <c r="C12535">
        <v>1</v>
      </c>
      <c r="D12535">
        <v>148.58000000000001</v>
      </c>
      <c r="E12535">
        <v>179</v>
      </c>
    </row>
    <row r="12536" spans="1:5" x14ac:dyDescent="0.3">
      <c r="A12536" t="s">
        <v>25</v>
      </c>
      <c r="B12536" s="1">
        <v>44685</v>
      </c>
      <c r="C12536">
        <v>1</v>
      </c>
      <c r="D12536">
        <v>148.58000000000001</v>
      </c>
      <c r="E12536">
        <v>179</v>
      </c>
    </row>
    <row r="12537" spans="1:5" x14ac:dyDescent="0.3">
      <c r="A12537" t="s">
        <v>5</v>
      </c>
      <c r="B12537" s="1">
        <v>44685</v>
      </c>
      <c r="C12537">
        <v>1</v>
      </c>
      <c r="D12537">
        <v>141.77000000000001</v>
      </c>
      <c r="E12537">
        <v>168</v>
      </c>
    </row>
    <row r="12538" spans="1:5" x14ac:dyDescent="0.3">
      <c r="A12538" t="s">
        <v>5</v>
      </c>
      <c r="B12538" s="1">
        <v>44685</v>
      </c>
      <c r="C12538">
        <v>1</v>
      </c>
      <c r="D12538">
        <v>141.77000000000001</v>
      </c>
      <c r="E12538">
        <v>168</v>
      </c>
    </row>
    <row r="12539" spans="1:5" x14ac:dyDescent="0.3">
      <c r="A12539" t="s">
        <v>89</v>
      </c>
      <c r="B12539" s="1">
        <v>44685</v>
      </c>
      <c r="C12539">
        <v>1</v>
      </c>
      <c r="D12539">
        <v>74.37</v>
      </c>
      <c r="E12539">
        <v>106</v>
      </c>
    </row>
    <row r="12540" spans="1:5" x14ac:dyDescent="0.3">
      <c r="A12540" t="s">
        <v>94</v>
      </c>
      <c r="B12540" s="1">
        <v>44685</v>
      </c>
      <c r="C12540">
        <v>1</v>
      </c>
      <c r="D12540">
        <v>28.46</v>
      </c>
      <c r="E12540">
        <v>39</v>
      </c>
    </row>
    <row r="12541" spans="1:5" x14ac:dyDescent="0.3">
      <c r="A12541" t="s">
        <v>94</v>
      </c>
      <c r="B12541" s="1">
        <v>44685</v>
      </c>
      <c r="C12541">
        <v>1</v>
      </c>
      <c r="D12541">
        <v>28.46</v>
      </c>
      <c r="E12541">
        <v>39</v>
      </c>
    </row>
    <row r="12542" spans="1:5" x14ac:dyDescent="0.3">
      <c r="A12542" t="s">
        <v>94</v>
      </c>
      <c r="B12542" s="1">
        <v>44685</v>
      </c>
      <c r="C12542">
        <v>1</v>
      </c>
      <c r="D12542">
        <v>28.46</v>
      </c>
      <c r="E12542">
        <v>39</v>
      </c>
    </row>
    <row r="12543" spans="1:5" x14ac:dyDescent="0.3">
      <c r="A12543" t="s">
        <v>94</v>
      </c>
      <c r="B12543" s="1">
        <v>44685</v>
      </c>
      <c r="C12543">
        <v>1</v>
      </c>
      <c r="D12543">
        <v>28.46</v>
      </c>
      <c r="E12543">
        <v>39</v>
      </c>
    </row>
    <row r="12544" spans="1:5" x14ac:dyDescent="0.3">
      <c r="A12544" t="s">
        <v>94</v>
      </c>
      <c r="B12544" s="1">
        <v>44685</v>
      </c>
      <c r="C12544">
        <v>1</v>
      </c>
      <c r="D12544">
        <v>28.46</v>
      </c>
      <c r="E12544">
        <v>39</v>
      </c>
    </row>
    <row r="12545" spans="1:5" x14ac:dyDescent="0.3">
      <c r="A12545" t="s">
        <v>94</v>
      </c>
      <c r="B12545" s="1">
        <v>44685</v>
      </c>
      <c r="C12545">
        <v>1</v>
      </c>
      <c r="D12545">
        <v>28.46</v>
      </c>
      <c r="E12545">
        <v>39</v>
      </c>
    </row>
    <row r="12546" spans="1:5" x14ac:dyDescent="0.3">
      <c r="A12546" t="s">
        <v>94</v>
      </c>
      <c r="B12546" s="1">
        <v>44685</v>
      </c>
      <c r="C12546">
        <v>1</v>
      </c>
      <c r="D12546">
        <v>28.46</v>
      </c>
      <c r="E12546">
        <v>39</v>
      </c>
    </row>
    <row r="12547" spans="1:5" x14ac:dyDescent="0.3">
      <c r="A12547" t="s">
        <v>94</v>
      </c>
      <c r="B12547" s="1">
        <v>44685</v>
      </c>
      <c r="C12547">
        <v>1</v>
      </c>
      <c r="D12547">
        <v>28.46</v>
      </c>
      <c r="E12547">
        <v>39</v>
      </c>
    </row>
    <row r="12548" spans="1:5" x14ac:dyDescent="0.3">
      <c r="A12548" t="s">
        <v>94</v>
      </c>
      <c r="B12548" s="1">
        <v>44685</v>
      </c>
      <c r="C12548">
        <v>1</v>
      </c>
      <c r="D12548">
        <v>28.46</v>
      </c>
      <c r="E12548">
        <v>39</v>
      </c>
    </row>
    <row r="12549" spans="1:5" x14ac:dyDescent="0.3">
      <c r="A12549" t="s">
        <v>94</v>
      </c>
      <c r="B12549" s="1">
        <v>44685</v>
      </c>
      <c r="C12549">
        <v>1</v>
      </c>
      <c r="D12549">
        <v>28.46</v>
      </c>
      <c r="E12549">
        <v>39</v>
      </c>
    </row>
    <row r="12550" spans="1:5" x14ac:dyDescent="0.3">
      <c r="A12550" t="s">
        <v>95</v>
      </c>
      <c r="B12550" s="1">
        <v>44685</v>
      </c>
      <c r="C12550">
        <v>1</v>
      </c>
      <c r="D12550">
        <v>129.25</v>
      </c>
      <c r="E12550">
        <v>197</v>
      </c>
    </row>
    <row r="12551" spans="1:5" x14ac:dyDescent="0.3">
      <c r="A12551" t="s">
        <v>65</v>
      </c>
      <c r="B12551" s="1">
        <v>44685</v>
      </c>
      <c r="C12551">
        <v>1</v>
      </c>
      <c r="D12551">
        <v>181.12</v>
      </c>
      <c r="E12551">
        <v>212</v>
      </c>
    </row>
    <row r="12552" spans="1:5" x14ac:dyDescent="0.3">
      <c r="A12552" t="s">
        <v>65</v>
      </c>
      <c r="B12552" s="1">
        <v>44685</v>
      </c>
      <c r="C12552">
        <v>1</v>
      </c>
      <c r="D12552">
        <v>181.12</v>
      </c>
      <c r="E12552">
        <v>212</v>
      </c>
    </row>
    <row r="12553" spans="1:5" x14ac:dyDescent="0.3">
      <c r="A12553" t="s">
        <v>25</v>
      </c>
      <c r="B12553" s="1">
        <v>44685</v>
      </c>
      <c r="C12553">
        <v>1</v>
      </c>
      <c r="D12553">
        <v>148.58000000000001</v>
      </c>
      <c r="E12553">
        <v>179</v>
      </c>
    </row>
    <row r="12554" spans="1:5" x14ac:dyDescent="0.3">
      <c r="A12554" t="s">
        <v>41</v>
      </c>
      <c r="B12554" s="1">
        <v>44685</v>
      </c>
      <c r="C12554">
        <v>3</v>
      </c>
      <c r="D12554">
        <v>12.73</v>
      </c>
      <c r="E12554">
        <v>21.01</v>
      </c>
    </row>
    <row r="12555" spans="1:5" x14ac:dyDescent="0.3">
      <c r="A12555" t="s">
        <v>93</v>
      </c>
      <c r="B12555" s="1">
        <v>44685</v>
      </c>
      <c r="C12555">
        <v>1</v>
      </c>
      <c r="D12555">
        <v>67.84</v>
      </c>
      <c r="E12555">
        <v>99</v>
      </c>
    </row>
    <row r="12556" spans="1:5" x14ac:dyDescent="0.3">
      <c r="A12556" t="s">
        <v>50</v>
      </c>
      <c r="B12556" s="1">
        <v>44685</v>
      </c>
      <c r="C12556">
        <v>1</v>
      </c>
      <c r="D12556">
        <v>44.43</v>
      </c>
      <c r="E12556">
        <v>55</v>
      </c>
    </row>
    <row r="12557" spans="1:5" x14ac:dyDescent="0.3">
      <c r="A12557" t="s">
        <v>50</v>
      </c>
      <c r="B12557" s="1">
        <v>44685</v>
      </c>
      <c r="C12557">
        <v>1</v>
      </c>
      <c r="D12557">
        <v>44.43</v>
      </c>
      <c r="E12557">
        <v>55</v>
      </c>
    </row>
    <row r="12558" spans="1:5" x14ac:dyDescent="0.3">
      <c r="A12558" t="s">
        <v>144</v>
      </c>
      <c r="B12558" s="1">
        <v>44685</v>
      </c>
      <c r="C12558">
        <v>1</v>
      </c>
      <c r="D12558">
        <v>55.03</v>
      </c>
      <c r="E12558">
        <v>79</v>
      </c>
    </row>
    <row r="12559" spans="1:5" x14ac:dyDescent="0.3">
      <c r="A12559" t="s">
        <v>29</v>
      </c>
      <c r="B12559" s="1">
        <v>44685</v>
      </c>
      <c r="C12559">
        <v>1</v>
      </c>
      <c r="D12559">
        <v>496.93</v>
      </c>
      <c r="E12559">
        <v>646</v>
      </c>
    </row>
    <row r="12560" spans="1:5" x14ac:dyDescent="0.3">
      <c r="A12560" t="s">
        <v>114</v>
      </c>
      <c r="B12560" s="1">
        <v>44685</v>
      </c>
      <c r="C12560">
        <v>1</v>
      </c>
      <c r="D12560">
        <v>74.8</v>
      </c>
      <c r="E12560">
        <v>92</v>
      </c>
    </row>
    <row r="12561" spans="1:5" x14ac:dyDescent="0.3">
      <c r="A12561" t="s">
        <v>83</v>
      </c>
      <c r="B12561" s="1">
        <v>44685</v>
      </c>
      <c r="C12561">
        <v>1</v>
      </c>
      <c r="D12561">
        <v>207.68</v>
      </c>
      <c r="E12561">
        <v>246</v>
      </c>
    </row>
    <row r="12562" spans="1:5" x14ac:dyDescent="0.3">
      <c r="A12562" t="s">
        <v>43</v>
      </c>
      <c r="B12562" s="1">
        <v>44685</v>
      </c>
      <c r="C12562">
        <v>1</v>
      </c>
      <c r="D12562">
        <v>138.69</v>
      </c>
      <c r="E12562">
        <v>169</v>
      </c>
    </row>
    <row r="12563" spans="1:5" x14ac:dyDescent="0.3">
      <c r="A12563" t="s">
        <v>25</v>
      </c>
      <c r="B12563" s="1">
        <v>44685</v>
      </c>
      <c r="C12563">
        <v>1</v>
      </c>
      <c r="D12563">
        <v>151.22</v>
      </c>
      <c r="E12563">
        <v>181</v>
      </c>
    </row>
    <row r="12564" spans="1:5" x14ac:dyDescent="0.3">
      <c r="A12564" t="s">
        <v>12</v>
      </c>
      <c r="B12564" s="1">
        <v>44685</v>
      </c>
      <c r="C12564">
        <v>1</v>
      </c>
      <c r="D12564">
        <v>56.84</v>
      </c>
      <c r="E12564">
        <v>70</v>
      </c>
    </row>
    <row r="12565" spans="1:5" x14ac:dyDescent="0.3">
      <c r="A12565" t="s">
        <v>65</v>
      </c>
      <c r="B12565" s="1">
        <v>44685</v>
      </c>
      <c r="C12565">
        <v>1</v>
      </c>
      <c r="D12565">
        <v>186.78</v>
      </c>
      <c r="E12565">
        <v>219</v>
      </c>
    </row>
    <row r="12566" spans="1:5" x14ac:dyDescent="0.3">
      <c r="A12566" t="s">
        <v>135</v>
      </c>
      <c r="B12566" s="1">
        <v>44685</v>
      </c>
      <c r="C12566">
        <v>1</v>
      </c>
      <c r="D12566">
        <v>74.540000000000006</v>
      </c>
      <c r="E12566">
        <v>92</v>
      </c>
    </row>
    <row r="12567" spans="1:5" x14ac:dyDescent="0.3">
      <c r="A12567" t="s">
        <v>135</v>
      </c>
      <c r="B12567" s="1">
        <v>44685</v>
      </c>
      <c r="C12567">
        <v>1</v>
      </c>
      <c r="D12567">
        <v>74.540000000000006</v>
      </c>
      <c r="E12567">
        <v>92</v>
      </c>
    </row>
    <row r="12568" spans="1:5" x14ac:dyDescent="0.3">
      <c r="A12568" t="s">
        <v>19</v>
      </c>
      <c r="B12568" s="1">
        <v>44685</v>
      </c>
      <c r="C12568">
        <v>1</v>
      </c>
      <c r="D12568">
        <v>80.52</v>
      </c>
      <c r="E12568">
        <v>103</v>
      </c>
    </row>
    <row r="12569" spans="1:5" x14ac:dyDescent="0.3">
      <c r="A12569" t="s">
        <v>43</v>
      </c>
      <c r="B12569" s="1">
        <v>44685</v>
      </c>
      <c r="C12569">
        <v>1</v>
      </c>
      <c r="D12569">
        <v>143.36000000000001</v>
      </c>
      <c r="E12569">
        <v>170</v>
      </c>
    </row>
    <row r="12570" spans="1:5" x14ac:dyDescent="0.3">
      <c r="A12570" t="s">
        <v>131</v>
      </c>
      <c r="B12570" s="1">
        <v>44685</v>
      </c>
      <c r="C12570">
        <v>1</v>
      </c>
      <c r="D12570">
        <v>363</v>
      </c>
      <c r="E12570">
        <v>480</v>
      </c>
    </row>
    <row r="12571" spans="1:5" x14ac:dyDescent="0.3">
      <c r="A12571" t="s">
        <v>156</v>
      </c>
      <c r="B12571" s="1">
        <v>44685</v>
      </c>
      <c r="C12571">
        <v>1</v>
      </c>
      <c r="D12571">
        <v>248.98</v>
      </c>
      <c r="E12571">
        <v>349</v>
      </c>
    </row>
    <row r="12572" spans="1:5" x14ac:dyDescent="0.3">
      <c r="A12572" t="s">
        <v>156</v>
      </c>
      <c r="B12572" s="1">
        <v>44685</v>
      </c>
      <c r="C12572">
        <v>1</v>
      </c>
      <c r="D12572">
        <v>248.98</v>
      </c>
      <c r="E12572">
        <v>349</v>
      </c>
    </row>
    <row r="12573" spans="1:5" x14ac:dyDescent="0.3">
      <c r="A12573" t="s">
        <v>72</v>
      </c>
      <c r="B12573" s="1">
        <v>44685</v>
      </c>
      <c r="C12573">
        <v>1</v>
      </c>
      <c r="D12573">
        <v>557.09</v>
      </c>
      <c r="E12573">
        <v>736</v>
      </c>
    </row>
    <row r="12574" spans="1:5" x14ac:dyDescent="0.3">
      <c r="A12574" t="s">
        <v>47</v>
      </c>
      <c r="B12574" s="1">
        <v>44685</v>
      </c>
      <c r="C12574">
        <v>1</v>
      </c>
      <c r="D12574">
        <v>41.58</v>
      </c>
      <c r="E12574">
        <v>65</v>
      </c>
    </row>
    <row r="12575" spans="1:5" x14ac:dyDescent="0.3">
      <c r="A12575" t="s">
        <v>45</v>
      </c>
      <c r="B12575" s="1">
        <v>44685</v>
      </c>
      <c r="C12575">
        <v>1</v>
      </c>
      <c r="D12575">
        <v>27.94</v>
      </c>
      <c r="E12575">
        <v>45</v>
      </c>
    </row>
    <row r="12576" spans="1:5" x14ac:dyDescent="0.3">
      <c r="A12576" t="s">
        <v>29</v>
      </c>
      <c r="B12576" s="1">
        <v>44685</v>
      </c>
      <c r="C12576">
        <v>1</v>
      </c>
      <c r="D12576">
        <v>488.54</v>
      </c>
      <c r="E12576">
        <v>675</v>
      </c>
    </row>
    <row r="12577" spans="1:5" x14ac:dyDescent="0.3">
      <c r="A12577" t="s">
        <v>146</v>
      </c>
      <c r="B12577" s="1">
        <v>44685</v>
      </c>
      <c r="C12577">
        <v>1</v>
      </c>
      <c r="D12577">
        <v>402.29</v>
      </c>
      <c r="E12577">
        <v>451</v>
      </c>
    </row>
    <row r="12578" spans="1:5" x14ac:dyDescent="0.3">
      <c r="A12578" t="s">
        <v>62</v>
      </c>
      <c r="B12578" s="1">
        <v>44685</v>
      </c>
      <c r="C12578">
        <v>1</v>
      </c>
      <c r="D12578">
        <v>25.2</v>
      </c>
      <c r="E12578">
        <v>30</v>
      </c>
    </row>
    <row r="12579" spans="1:5" x14ac:dyDescent="0.3">
      <c r="A12579" t="s">
        <v>111</v>
      </c>
      <c r="B12579" s="1">
        <v>44685</v>
      </c>
      <c r="C12579">
        <v>1</v>
      </c>
      <c r="D12579">
        <v>177.87</v>
      </c>
      <c r="E12579">
        <v>211</v>
      </c>
    </row>
    <row r="12580" spans="1:5" x14ac:dyDescent="0.3">
      <c r="A12580" t="s">
        <v>111</v>
      </c>
      <c r="B12580" s="1">
        <v>44685</v>
      </c>
      <c r="C12580">
        <v>1</v>
      </c>
      <c r="D12580">
        <v>177.87</v>
      </c>
      <c r="E12580">
        <v>211</v>
      </c>
    </row>
    <row r="12581" spans="1:5" x14ac:dyDescent="0.3">
      <c r="A12581" t="s">
        <v>95</v>
      </c>
      <c r="B12581" s="1">
        <v>44685</v>
      </c>
      <c r="C12581">
        <v>0.3</v>
      </c>
      <c r="D12581">
        <v>212.67</v>
      </c>
      <c r="E12581">
        <v>328</v>
      </c>
    </row>
    <row r="12582" spans="1:5" x14ac:dyDescent="0.3">
      <c r="A12582" t="s">
        <v>134</v>
      </c>
      <c r="B12582" s="1">
        <v>44685</v>
      </c>
      <c r="C12582">
        <v>1</v>
      </c>
      <c r="D12582">
        <v>26.6</v>
      </c>
      <c r="E12582">
        <v>42</v>
      </c>
    </row>
    <row r="12583" spans="1:5" x14ac:dyDescent="0.3">
      <c r="A12583" t="s">
        <v>134</v>
      </c>
      <c r="B12583" s="1">
        <v>44685</v>
      </c>
      <c r="C12583">
        <v>1</v>
      </c>
      <c r="D12583">
        <v>26.6</v>
      </c>
      <c r="E12583">
        <v>42</v>
      </c>
    </row>
    <row r="12584" spans="1:5" x14ac:dyDescent="0.3">
      <c r="A12584" t="s">
        <v>52</v>
      </c>
      <c r="B12584" s="1">
        <v>44685</v>
      </c>
      <c r="C12584">
        <v>1</v>
      </c>
      <c r="D12584">
        <v>203.72</v>
      </c>
      <c r="E12584">
        <v>245</v>
      </c>
    </row>
    <row r="12585" spans="1:5" x14ac:dyDescent="0.3">
      <c r="A12585" t="s">
        <v>24</v>
      </c>
      <c r="B12585" s="1">
        <v>44685</v>
      </c>
      <c r="C12585">
        <v>1</v>
      </c>
      <c r="D12585">
        <v>100.98</v>
      </c>
      <c r="E12585">
        <v>120</v>
      </c>
    </row>
    <row r="12586" spans="1:5" x14ac:dyDescent="0.3">
      <c r="A12586" t="s">
        <v>31</v>
      </c>
      <c r="B12586" s="1">
        <v>44685</v>
      </c>
      <c r="C12586">
        <v>1</v>
      </c>
      <c r="D12586">
        <v>14.56</v>
      </c>
      <c r="E12586">
        <v>20</v>
      </c>
    </row>
    <row r="12587" spans="1:5" x14ac:dyDescent="0.3">
      <c r="A12587" t="s">
        <v>31</v>
      </c>
      <c r="B12587" s="1">
        <v>44685</v>
      </c>
      <c r="C12587">
        <v>1</v>
      </c>
      <c r="D12587">
        <v>14.56</v>
      </c>
      <c r="E12587">
        <v>20</v>
      </c>
    </row>
    <row r="12588" spans="1:5" x14ac:dyDescent="0.3">
      <c r="A12588" t="s">
        <v>49</v>
      </c>
      <c r="B12588" s="1">
        <v>44685</v>
      </c>
      <c r="C12588">
        <v>1</v>
      </c>
      <c r="D12588">
        <v>16.25</v>
      </c>
      <c r="E12588">
        <v>20</v>
      </c>
    </row>
    <row r="12589" spans="1:5" x14ac:dyDescent="0.3">
      <c r="A12589" t="s">
        <v>12</v>
      </c>
      <c r="B12589" s="1">
        <v>44685</v>
      </c>
      <c r="C12589">
        <v>1</v>
      </c>
      <c r="D12589">
        <v>59.39</v>
      </c>
      <c r="E12589">
        <v>73</v>
      </c>
    </row>
    <row r="12590" spans="1:5" x14ac:dyDescent="0.3">
      <c r="A12590" t="s">
        <v>66</v>
      </c>
      <c r="B12590" s="1">
        <v>44685</v>
      </c>
      <c r="C12590">
        <v>1</v>
      </c>
      <c r="D12590">
        <v>32.01</v>
      </c>
      <c r="E12590">
        <v>37</v>
      </c>
    </row>
    <row r="12591" spans="1:5" x14ac:dyDescent="0.3">
      <c r="A12591" t="s">
        <v>79</v>
      </c>
      <c r="B12591" s="1">
        <v>44685</v>
      </c>
      <c r="C12591">
        <v>1</v>
      </c>
      <c r="D12591">
        <v>148.5</v>
      </c>
      <c r="E12591">
        <v>177</v>
      </c>
    </row>
    <row r="12592" spans="1:5" x14ac:dyDescent="0.3">
      <c r="A12592" t="s">
        <v>50</v>
      </c>
      <c r="B12592" s="1">
        <v>44685</v>
      </c>
      <c r="C12592">
        <v>1</v>
      </c>
      <c r="D12592">
        <v>45.74</v>
      </c>
      <c r="E12592">
        <v>56</v>
      </c>
    </row>
    <row r="12593" spans="1:5" x14ac:dyDescent="0.3">
      <c r="A12593" t="s">
        <v>35</v>
      </c>
      <c r="B12593" s="1">
        <v>44685</v>
      </c>
      <c r="C12593">
        <v>1</v>
      </c>
      <c r="D12593">
        <v>35</v>
      </c>
      <c r="E12593">
        <v>54</v>
      </c>
    </row>
    <row r="12594" spans="1:5" x14ac:dyDescent="0.3">
      <c r="A12594" t="s">
        <v>48</v>
      </c>
      <c r="B12594" s="1">
        <v>44685</v>
      </c>
      <c r="C12594">
        <v>1</v>
      </c>
      <c r="D12594">
        <v>38.67</v>
      </c>
      <c r="E12594">
        <v>59</v>
      </c>
    </row>
    <row r="12595" spans="1:5" x14ac:dyDescent="0.3">
      <c r="A12595" t="s">
        <v>99</v>
      </c>
      <c r="B12595" s="1">
        <v>44685</v>
      </c>
      <c r="C12595">
        <v>1</v>
      </c>
      <c r="D12595">
        <v>64.25</v>
      </c>
      <c r="E12595">
        <v>79</v>
      </c>
    </row>
    <row r="12596" spans="1:5" x14ac:dyDescent="0.3">
      <c r="A12596" t="s">
        <v>49</v>
      </c>
      <c r="B12596" s="1">
        <v>44685</v>
      </c>
      <c r="C12596">
        <v>1</v>
      </c>
      <c r="D12596">
        <v>16.39</v>
      </c>
      <c r="E12596">
        <v>20</v>
      </c>
    </row>
    <row r="12597" spans="1:5" x14ac:dyDescent="0.3">
      <c r="A12597" t="s">
        <v>49</v>
      </c>
      <c r="B12597" s="1">
        <v>44685</v>
      </c>
      <c r="C12597">
        <v>1</v>
      </c>
      <c r="D12597">
        <v>16.39</v>
      </c>
      <c r="E12597">
        <v>20</v>
      </c>
    </row>
    <row r="12598" spans="1:5" x14ac:dyDescent="0.3">
      <c r="A12598" t="s">
        <v>24</v>
      </c>
      <c r="B12598" s="1">
        <v>44685</v>
      </c>
      <c r="C12598">
        <v>1</v>
      </c>
      <c r="D12598">
        <v>100.98</v>
      </c>
      <c r="E12598">
        <v>120</v>
      </c>
    </row>
    <row r="12599" spans="1:5" x14ac:dyDescent="0.3">
      <c r="A12599" t="s">
        <v>43</v>
      </c>
      <c r="B12599" s="1">
        <v>44685</v>
      </c>
      <c r="C12599">
        <v>1</v>
      </c>
      <c r="D12599">
        <v>143.36000000000001</v>
      </c>
      <c r="E12599">
        <v>170</v>
      </c>
    </row>
    <row r="12600" spans="1:5" x14ac:dyDescent="0.3">
      <c r="A12600" t="s">
        <v>49</v>
      </c>
      <c r="B12600" s="1">
        <v>44685</v>
      </c>
      <c r="C12600">
        <v>1</v>
      </c>
      <c r="D12600">
        <v>16.309999999999999</v>
      </c>
      <c r="E12600">
        <v>20</v>
      </c>
    </row>
    <row r="12601" spans="1:5" x14ac:dyDescent="0.3">
      <c r="A12601" t="s">
        <v>25</v>
      </c>
      <c r="B12601" s="1">
        <v>44685</v>
      </c>
      <c r="C12601">
        <v>1</v>
      </c>
      <c r="D12601">
        <v>147.47</v>
      </c>
      <c r="E12601">
        <v>177</v>
      </c>
    </row>
    <row r="12602" spans="1:5" x14ac:dyDescent="0.3">
      <c r="A12602" t="s">
        <v>17</v>
      </c>
      <c r="B12602" s="1">
        <v>44685</v>
      </c>
      <c r="C12602">
        <v>1</v>
      </c>
      <c r="D12602">
        <v>385.8</v>
      </c>
      <c r="E12602">
        <v>463</v>
      </c>
    </row>
    <row r="12603" spans="1:5" x14ac:dyDescent="0.3">
      <c r="A12603" t="s">
        <v>157</v>
      </c>
      <c r="B12603" s="1">
        <v>44685</v>
      </c>
      <c r="C12603">
        <v>1</v>
      </c>
      <c r="D12603">
        <v>12</v>
      </c>
      <c r="E12603">
        <v>21</v>
      </c>
    </row>
    <row r="12604" spans="1:5" x14ac:dyDescent="0.3">
      <c r="A12604" t="s">
        <v>137</v>
      </c>
      <c r="B12604" s="1">
        <v>44685</v>
      </c>
      <c r="C12604">
        <v>1</v>
      </c>
      <c r="D12604">
        <v>8.5</v>
      </c>
      <c r="E12604">
        <v>14</v>
      </c>
    </row>
    <row r="12605" spans="1:5" x14ac:dyDescent="0.3">
      <c r="A12605" t="s">
        <v>53</v>
      </c>
      <c r="B12605" s="1">
        <v>44685</v>
      </c>
      <c r="C12605">
        <v>1</v>
      </c>
      <c r="D12605">
        <v>23.4</v>
      </c>
      <c r="E12605">
        <v>38</v>
      </c>
    </row>
    <row r="12606" spans="1:5" x14ac:dyDescent="0.3">
      <c r="A12606" t="s">
        <v>7</v>
      </c>
      <c r="B12606" s="1">
        <v>44685</v>
      </c>
      <c r="C12606">
        <v>1</v>
      </c>
      <c r="D12606">
        <v>90.39</v>
      </c>
      <c r="E12606">
        <v>112</v>
      </c>
    </row>
    <row r="12607" spans="1:5" x14ac:dyDescent="0.3">
      <c r="A12607" t="s">
        <v>23</v>
      </c>
      <c r="B12607" s="1">
        <v>44685</v>
      </c>
      <c r="C12607">
        <v>1</v>
      </c>
      <c r="D12607">
        <v>110.08</v>
      </c>
      <c r="E12607">
        <v>124</v>
      </c>
    </row>
    <row r="12608" spans="1:5" x14ac:dyDescent="0.3">
      <c r="A12608" t="s">
        <v>20</v>
      </c>
      <c r="B12608" s="1">
        <v>44685</v>
      </c>
      <c r="C12608">
        <v>1</v>
      </c>
      <c r="D12608">
        <v>19.66</v>
      </c>
      <c r="E12608">
        <v>23</v>
      </c>
    </row>
    <row r="12609" spans="1:5" x14ac:dyDescent="0.3">
      <c r="A12609" t="s">
        <v>20</v>
      </c>
      <c r="B12609" s="1">
        <v>44685</v>
      </c>
      <c r="C12609">
        <v>1</v>
      </c>
      <c r="D12609">
        <v>19.66</v>
      </c>
      <c r="E12609">
        <v>23</v>
      </c>
    </row>
    <row r="12610" spans="1:5" x14ac:dyDescent="0.3">
      <c r="A12610" t="s">
        <v>37</v>
      </c>
      <c r="B12610" s="1">
        <v>44685</v>
      </c>
      <c r="C12610">
        <v>1</v>
      </c>
      <c r="D12610">
        <v>38</v>
      </c>
      <c r="E12610">
        <v>48</v>
      </c>
    </row>
    <row r="12611" spans="1:5" x14ac:dyDescent="0.3">
      <c r="A12611" t="s">
        <v>45</v>
      </c>
      <c r="B12611" s="1">
        <v>44685</v>
      </c>
      <c r="C12611">
        <v>1</v>
      </c>
      <c r="D12611">
        <v>25.59</v>
      </c>
      <c r="E12611">
        <v>45</v>
      </c>
    </row>
    <row r="12612" spans="1:5" x14ac:dyDescent="0.3">
      <c r="A12612" t="s">
        <v>19</v>
      </c>
      <c r="B12612" s="1">
        <v>44685</v>
      </c>
      <c r="C12612">
        <v>1</v>
      </c>
      <c r="D12612">
        <v>81.58</v>
      </c>
      <c r="E12612">
        <v>102</v>
      </c>
    </row>
    <row r="12613" spans="1:5" x14ac:dyDescent="0.3">
      <c r="A12613" t="s">
        <v>19</v>
      </c>
      <c r="B12613" s="1">
        <v>44685</v>
      </c>
      <c r="C12613">
        <v>1</v>
      </c>
      <c r="D12613">
        <v>81.58</v>
      </c>
      <c r="E12613">
        <v>102</v>
      </c>
    </row>
    <row r="12614" spans="1:5" x14ac:dyDescent="0.3">
      <c r="A12614" t="s">
        <v>122</v>
      </c>
      <c r="B12614" s="1">
        <v>44685</v>
      </c>
      <c r="C12614">
        <v>1</v>
      </c>
      <c r="D12614">
        <v>20.82</v>
      </c>
      <c r="E12614">
        <v>26</v>
      </c>
    </row>
    <row r="12615" spans="1:5" x14ac:dyDescent="0.3">
      <c r="A12615" t="s">
        <v>47</v>
      </c>
      <c r="B12615" s="1">
        <v>44685</v>
      </c>
      <c r="C12615">
        <v>1</v>
      </c>
      <c r="D12615">
        <v>41.58</v>
      </c>
      <c r="E12615">
        <v>65</v>
      </c>
    </row>
    <row r="12616" spans="1:5" x14ac:dyDescent="0.3">
      <c r="A12616" t="s">
        <v>26</v>
      </c>
      <c r="B12616" s="1">
        <v>44685</v>
      </c>
      <c r="C12616">
        <v>0.3</v>
      </c>
      <c r="D12616">
        <v>989.8</v>
      </c>
      <c r="E12616">
        <v>1238</v>
      </c>
    </row>
    <row r="12617" spans="1:5" x14ac:dyDescent="0.3">
      <c r="A12617" t="s">
        <v>34</v>
      </c>
      <c r="B12617" s="1">
        <v>44685</v>
      </c>
      <c r="C12617">
        <v>1</v>
      </c>
      <c r="D12617">
        <v>205.48</v>
      </c>
      <c r="E12617">
        <v>237</v>
      </c>
    </row>
    <row r="12618" spans="1:5" x14ac:dyDescent="0.3">
      <c r="A12618" t="s">
        <v>59</v>
      </c>
      <c r="B12618" s="1">
        <v>44685</v>
      </c>
      <c r="C12618">
        <v>3</v>
      </c>
      <c r="D12618">
        <v>13.1</v>
      </c>
      <c r="E12618">
        <v>21</v>
      </c>
    </row>
    <row r="12619" spans="1:5" x14ac:dyDescent="0.3">
      <c r="A12619" t="s">
        <v>135</v>
      </c>
      <c r="B12619" s="1">
        <v>44685</v>
      </c>
      <c r="C12619">
        <v>1</v>
      </c>
      <c r="D12619">
        <v>73.260000000000005</v>
      </c>
      <c r="E12619">
        <v>91</v>
      </c>
    </row>
    <row r="12620" spans="1:5" x14ac:dyDescent="0.3">
      <c r="A12620" t="s">
        <v>152</v>
      </c>
      <c r="B12620" s="1">
        <v>44685</v>
      </c>
      <c r="C12620">
        <v>1</v>
      </c>
      <c r="D12620">
        <v>106.17</v>
      </c>
      <c r="E12620">
        <v>133</v>
      </c>
    </row>
    <row r="12621" spans="1:5" x14ac:dyDescent="0.3">
      <c r="A12621" t="s">
        <v>65</v>
      </c>
      <c r="B12621" s="1">
        <v>44685</v>
      </c>
      <c r="C12621">
        <v>1</v>
      </c>
      <c r="D12621">
        <v>176.77</v>
      </c>
      <c r="E12621">
        <v>239</v>
      </c>
    </row>
    <row r="12622" spans="1:5" x14ac:dyDescent="0.3">
      <c r="A12622" t="s">
        <v>32</v>
      </c>
      <c r="B12622" s="1">
        <v>44685</v>
      </c>
      <c r="C12622">
        <v>1</v>
      </c>
      <c r="D12622">
        <v>125.73</v>
      </c>
      <c r="E12622">
        <v>192</v>
      </c>
    </row>
    <row r="12623" spans="1:5" x14ac:dyDescent="0.3">
      <c r="A12623" t="s">
        <v>26</v>
      </c>
      <c r="B12623" s="1">
        <v>44685</v>
      </c>
      <c r="C12623">
        <v>0.3</v>
      </c>
      <c r="D12623">
        <v>989.8</v>
      </c>
      <c r="E12623">
        <v>1238</v>
      </c>
    </row>
    <row r="12624" spans="1:5" x14ac:dyDescent="0.3">
      <c r="A12624" t="s">
        <v>147</v>
      </c>
      <c r="B12624" s="1">
        <v>44685</v>
      </c>
      <c r="C12624">
        <v>1</v>
      </c>
      <c r="D12624">
        <v>135.72999999999999</v>
      </c>
      <c r="E12624">
        <v>192</v>
      </c>
    </row>
    <row r="12625" spans="1:5" x14ac:dyDescent="0.3">
      <c r="A12625" t="s">
        <v>20</v>
      </c>
      <c r="B12625" s="1">
        <v>44685</v>
      </c>
      <c r="C12625">
        <v>1</v>
      </c>
      <c r="D12625">
        <v>19.66</v>
      </c>
      <c r="E12625">
        <v>23</v>
      </c>
    </row>
    <row r="12626" spans="1:5" x14ac:dyDescent="0.3">
      <c r="A12626" t="s">
        <v>57</v>
      </c>
      <c r="B12626" s="1">
        <v>44685</v>
      </c>
      <c r="C12626">
        <v>1</v>
      </c>
      <c r="D12626">
        <v>239.87</v>
      </c>
      <c r="E12626">
        <v>269</v>
      </c>
    </row>
    <row r="12627" spans="1:5" x14ac:dyDescent="0.3">
      <c r="A12627" t="s">
        <v>83</v>
      </c>
      <c r="B12627" s="1">
        <v>44685</v>
      </c>
      <c r="C12627">
        <v>1</v>
      </c>
      <c r="D12627">
        <v>207.31</v>
      </c>
      <c r="E12627">
        <v>244</v>
      </c>
    </row>
    <row r="12628" spans="1:5" x14ac:dyDescent="0.3">
      <c r="A12628" t="s">
        <v>66</v>
      </c>
      <c r="B12628" s="1">
        <v>44685</v>
      </c>
      <c r="C12628">
        <v>1</v>
      </c>
      <c r="D12628">
        <v>35.36</v>
      </c>
      <c r="E12628">
        <v>39</v>
      </c>
    </row>
    <row r="12629" spans="1:5" x14ac:dyDescent="0.3">
      <c r="A12629" t="s">
        <v>30</v>
      </c>
      <c r="B12629" s="1">
        <v>44685</v>
      </c>
      <c r="C12629">
        <v>1</v>
      </c>
      <c r="D12629">
        <v>156.19999999999999</v>
      </c>
      <c r="E12629">
        <v>186</v>
      </c>
    </row>
    <row r="12630" spans="1:5" x14ac:dyDescent="0.3">
      <c r="A12630" t="s">
        <v>47</v>
      </c>
      <c r="B12630" s="1">
        <v>44685</v>
      </c>
      <c r="C12630">
        <v>1</v>
      </c>
      <c r="D12630">
        <v>41.58</v>
      </c>
      <c r="E12630">
        <v>65</v>
      </c>
    </row>
    <row r="12631" spans="1:5" x14ac:dyDescent="0.3">
      <c r="A12631" t="s">
        <v>47</v>
      </c>
      <c r="B12631" s="1">
        <v>44685</v>
      </c>
      <c r="C12631">
        <v>1</v>
      </c>
      <c r="D12631">
        <v>41.58</v>
      </c>
      <c r="E12631">
        <v>65</v>
      </c>
    </row>
    <row r="12632" spans="1:5" x14ac:dyDescent="0.3">
      <c r="A12632" t="s">
        <v>129</v>
      </c>
      <c r="B12632" s="1">
        <v>44685</v>
      </c>
      <c r="C12632">
        <v>0.08</v>
      </c>
      <c r="D12632">
        <v>500.48</v>
      </c>
      <c r="E12632">
        <v>553</v>
      </c>
    </row>
    <row r="12633" spans="1:5" x14ac:dyDescent="0.3">
      <c r="A12633" t="s">
        <v>56</v>
      </c>
      <c r="B12633" s="1">
        <v>44685</v>
      </c>
      <c r="C12633">
        <v>1</v>
      </c>
      <c r="D12633">
        <v>44.84</v>
      </c>
      <c r="E12633">
        <v>70</v>
      </c>
    </row>
    <row r="12634" spans="1:5" x14ac:dyDescent="0.3">
      <c r="A12634" t="s">
        <v>56</v>
      </c>
      <c r="B12634" s="1">
        <v>44685</v>
      </c>
      <c r="C12634">
        <v>1</v>
      </c>
      <c r="D12634">
        <v>44.84</v>
      </c>
      <c r="E12634">
        <v>70</v>
      </c>
    </row>
    <row r="12635" spans="1:5" x14ac:dyDescent="0.3">
      <c r="A12635" t="s">
        <v>56</v>
      </c>
      <c r="B12635" s="1">
        <v>44685</v>
      </c>
      <c r="C12635">
        <v>1</v>
      </c>
      <c r="D12635">
        <v>44.84</v>
      </c>
      <c r="E12635">
        <v>70</v>
      </c>
    </row>
    <row r="12636" spans="1:5" x14ac:dyDescent="0.3">
      <c r="A12636" t="s">
        <v>83</v>
      </c>
      <c r="B12636" s="1">
        <v>44685</v>
      </c>
      <c r="C12636">
        <v>1</v>
      </c>
      <c r="D12636">
        <v>207.73</v>
      </c>
      <c r="E12636">
        <v>246</v>
      </c>
    </row>
    <row r="12637" spans="1:5" x14ac:dyDescent="0.3">
      <c r="A12637" t="s">
        <v>21</v>
      </c>
      <c r="B12637" s="1">
        <v>44685</v>
      </c>
      <c r="C12637">
        <v>1</v>
      </c>
      <c r="D12637">
        <v>182.17</v>
      </c>
      <c r="E12637">
        <v>254</v>
      </c>
    </row>
    <row r="12638" spans="1:5" x14ac:dyDescent="0.3">
      <c r="A12638" t="s">
        <v>48</v>
      </c>
      <c r="B12638" s="1">
        <v>44685</v>
      </c>
      <c r="C12638">
        <v>1</v>
      </c>
      <c r="D12638">
        <v>42.41</v>
      </c>
      <c r="E12638">
        <v>65</v>
      </c>
    </row>
    <row r="12639" spans="1:5" x14ac:dyDescent="0.3">
      <c r="A12639" t="s">
        <v>24</v>
      </c>
      <c r="B12639" s="1">
        <v>44685</v>
      </c>
      <c r="C12639">
        <v>1</v>
      </c>
      <c r="D12639">
        <v>99.99</v>
      </c>
      <c r="E12639">
        <v>119</v>
      </c>
    </row>
    <row r="12640" spans="1:5" x14ac:dyDescent="0.3">
      <c r="A12640" t="s">
        <v>45</v>
      </c>
      <c r="B12640" s="1">
        <v>44685</v>
      </c>
      <c r="C12640">
        <v>1</v>
      </c>
      <c r="D12640">
        <v>27.54</v>
      </c>
      <c r="E12640">
        <v>45</v>
      </c>
    </row>
    <row r="12641" spans="1:5" x14ac:dyDescent="0.3">
      <c r="A12641" t="s">
        <v>65</v>
      </c>
      <c r="B12641" s="1">
        <v>44685</v>
      </c>
      <c r="C12641">
        <v>1</v>
      </c>
      <c r="D12641">
        <v>186.78</v>
      </c>
      <c r="E12641">
        <v>219</v>
      </c>
    </row>
    <row r="12642" spans="1:5" x14ac:dyDescent="0.3">
      <c r="A12642" t="s">
        <v>146</v>
      </c>
      <c r="B12642" s="1">
        <v>44685</v>
      </c>
      <c r="C12642">
        <v>1</v>
      </c>
      <c r="D12642">
        <v>406.36</v>
      </c>
      <c r="E12642">
        <v>456</v>
      </c>
    </row>
    <row r="12643" spans="1:5" x14ac:dyDescent="0.3">
      <c r="A12643" t="s">
        <v>19</v>
      </c>
      <c r="B12643" s="1">
        <v>44685</v>
      </c>
      <c r="C12643">
        <v>1</v>
      </c>
      <c r="D12643">
        <v>80.52</v>
      </c>
      <c r="E12643">
        <v>103</v>
      </c>
    </row>
    <row r="12644" spans="1:5" x14ac:dyDescent="0.3">
      <c r="A12644" t="s">
        <v>135</v>
      </c>
      <c r="B12644" s="1">
        <v>44685</v>
      </c>
      <c r="C12644">
        <v>1</v>
      </c>
      <c r="D12644">
        <v>75.28</v>
      </c>
      <c r="E12644">
        <v>95</v>
      </c>
    </row>
    <row r="12645" spans="1:5" x14ac:dyDescent="0.3">
      <c r="A12645" t="s">
        <v>58</v>
      </c>
      <c r="B12645" s="1">
        <v>44685</v>
      </c>
      <c r="C12645">
        <v>1</v>
      </c>
      <c r="D12645">
        <v>82.25</v>
      </c>
      <c r="E12645">
        <v>99</v>
      </c>
    </row>
    <row r="12646" spans="1:5" x14ac:dyDescent="0.3">
      <c r="A12646" t="s">
        <v>31</v>
      </c>
      <c r="B12646" s="1">
        <v>44685</v>
      </c>
      <c r="C12646">
        <v>1</v>
      </c>
      <c r="D12646">
        <v>12.48</v>
      </c>
      <c r="E12646">
        <v>17</v>
      </c>
    </row>
    <row r="12647" spans="1:5" x14ac:dyDescent="0.3">
      <c r="A12647" t="s">
        <v>39</v>
      </c>
      <c r="B12647" s="1">
        <v>44685</v>
      </c>
      <c r="C12647">
        <v>4</v>
      </c>
      <c r="D12647">
        <v>15.43</v>
      </c>
      <c r="E12647">
        <v>25</v>
      </c>
    </row>
    <row r="12648" spans="1:5" x14ac:dyDescent="0.3">
      <c r="A12648" t="s">
        <v>157</v>
      </c>
      <c r="B12648" s="1">
        <v>44685</v>
      </c>
      <c r="C12648">
        <v>2</v>
      </c>
      <c r="D12648">
        <v>12</v>
      </c>
      <c r="E12648">
        <v>20</v>
      </c>
    </row>
    <row r="12649" spans="1:5" x14ac:dyDescent="0.3">
      <c r="A12649" t="s">
        <v>57</v>
      </c>
      <c r="B12649" s="1">
        <v>44685</v>
      </c>
      <c r="C12649">
        <v>1</v>
      </c>
      <c r="D12649">
        <v>233.76</v>
      </c>
      <c r="E12649">
        <v>274</v>
      </c>
    </row>
    <row r="12650" spans="1:5" x14ac:dyDescent="0.3">
      <c r="A12650" t="s">
        <v>127</v>
      </c>
      <c r="B12650" s="1">
        <v>44685</v>
      </c>
      <c r="C12650">
        <v>1</v>
      </c>
      <c r="D12650">
        <v>118.8</v>
      </c>
      <c r="E12650">
        <v>166</v>
      </c>
    </row>
    <row r="12651" spans="1:5" x14ac:dyDescent="0.3">
      <c r="A12651" t="s">
        <v>23</v>
      </c>
      <c r="B12651" s="1">
        <v>44685</v>
      </c>
      <c r="C12651">
        <v>1</v>
      </c>
      <c r="D12651">
        <v>109.41</v>
      </c>
      <c r="E12651">
        <v>123</v>
      </c>
    </row>
    <row r="12652" spans="1:5" x14ac:dyDescent="0.3">
      <c r="A12652" t="s">
        <v>62</v>
      </c>
      <c r="B12652" s="1">
        <v>44685</v>
      </c>
      <c r="C12652">
        <v>1</v>
      </c>
      <c r="D12652">
        <v>25.71</v>
      </c>
      <c r="E12652">
        <v>30.06</v>
      </c>
    </row>
    <row r="12653" spans="1:5" x14ac:dyDescent="0.3">
      <c r="A12653" t="s">
        <v>122</v>
      </c>
      <c r="B12653" s="1">
        <v>44685</v>
      </c>
      <c r="C12653">
        <v>1</v>
      </c>
      <c r="D12653">
        <v>21.64</v>
      </c>
      <c r="E12653">
        <v>27</v>
      </c>
    </row>
    <row r="12654" spans="1:5" x14ac:dyDescent="0.3">
      <c r="A12654" t="s">
        <v>104</v>
      </c>
      <c r="B12654" s="1">
        <v>44685</v>
      </c>
      <c r="C12654">
        <v>1</v>
      </c>
      <c r="D12654">
        <v>44.4</v>
      </c>
      <c r="E12654">
        <v>57</v>
      </c>
    </row>
    <row r="12655" spans="1:5" x14ac:dyDescent="0.3">
      <c r="A12655" t="s">
        <v>104</v>
      </c>
      <c r="B12655" s="1">
        <v>44685</v>
      </c>
      <c r="C12655">
        <v>1</v>
      </c>
      <c r="D12655">
        <v>44.4</v>
      </c>
      <c r="E12655">
        <v>57</v>
      </c>
    </row>
    <row r="12656" spans="1:5" x14ac:dyDescent="0.3">
      <c r="A12656" t="s">
        <v>31</v>
      </c>
      <c r="B12656" s="1">
        <v>44685</v>
      </c>
      <c r="C12656">
        <v>1</v>
      </c>
      <c r="D12656">
        <v>14.56</v>
      </c>
      <c r="E12656">
        <v>20</v>
      </c>
    </row>
    <row r="12657" spans="1:5" x14ac:dyDescent="0.3">
      <c r="A12657" t="s">
        <v>31</v>
      </c>
      <c r="B12657" s="1">
        <v>44685</v>
      </c>
      <c r="C12657">
        <v>1</v>
      </c>
      <c r="D12657">
        <v>14.56</v>
      </c>
      <c r="E12657">
        <v>20</v>
      </c>
    </row>
    <row r="12658" spans="1:5" x14ac:dyDescent="0.3">
      <c r="A12658" t="s">
        <v>140</v>
      </c>
      <c r="B12658" s="1">
        <v>44685</v>
      </c>
      <c r="C12658">
        <v>1</v>
      </c>
      <c r="D12658">
        <v>159.55000000000001</v>
      </c>
      <c r="E12658">
        <v>192</v>
      </c>
    </row>
    <row r="12659" spans="1:5" x14ac:dyDescent="0.3">
      <c r="A12659" t="s">
        <v>93</v>
      </c>
      <c r="B12659" s="1">
        <v>44685</v>
      </c>
      <c r="C12659">
        <v>1</v>
      </c>
      <c r="D12659">
        <v>65.400000000000006</v>
      </c>
      <c r="E12659">
        <v>93</v>
      </c>
    </row>
    <row r="12660" spans="1:5" x14ac:dyDescent="0.3">
      <c r="A12660" t="s">
        <v>93</v>
      </c>
      <c r="B12660" s="1">
        <v>44685</v>
      </c>
      <c r="C12660">
        <v>1</v>
      </c>
      <c r="D12660">
        <v>65.400000000000006</v>
      </c>
      <c r="E12660">
        <v>93</v>
      </c>
    </row>
    <row r="12661" spans="1:5" x14ac:dyDescent="0.3">
      <c r="A12661" t="s">
        <v>127</v>
      </c>
      <c r="B12661" s="1">
        <v>44685</v>
      </c>
      <c r="C12661">
        <v>1</v>
      </c>
      <c r="D12661">
        <v>117.96</v>
      </c>
      <c r="E12661">
        <v>164</v>
      </c>
    </row>
    <row r="12662" spans="1:5" x14ac:dyDescent="0.3">
      <c r="A12662" t="s">
        <v>40</v>
      </c>
      <c r="B12662" s="1">
        <v>44685</v>
      </c>
      <c r="C12662">
        <v>1</v>
      </c>
      <c r="D12662">
        <v>180.38</v>
      </c>
      <c r="E12662">
        <v>218</v>
      </c>
    </row>
    <row r="12663" spans="1:5" x14ac:dyDescent="0.3">
      <c r="A12663" t="s">
        <v>50</v>
      </c>
      <c r="B12663" s="1">
        <v>44685</v>
      </c>
      <c r="C12663">
        <v>1</v>
      </c>
      <c r="D12663">
        <v>44.43</v>
      </c>
      <c r="E12663">
        <v>55</v>
      </c>
    </row>
    <row r="12664" spans="1:5" x14ac:dyDescent="0.3">
      <c r="A12664" t="s">
        <v>28</v>
      </c>
      <c r="B12664" s="1">
        <v>44685</v>
      </c>
      <c r="C12664">
        <v>1</v>
      </c>
      <c r="D12664">
        <v>176.17</v>
      </c>
      <c r="E12664">
        <v>256</v>
      </c>
    </row>
    <row r="12665" spans="1:5" x14ac:dyDescent="0.3">
      <c r="A12665" t="s">
        <v>86</v>
      </c>
      <c r="B12665" s="1">
        <v>44685</v>
      </c>
      <c r="C12665">
        <v>1</v>
      </c>
      <c r="D12665">
        <v>39.619999999999997</v>
      </c>
      <c r="E12665">
        <v>69</v>
      </c>
    </row>
    <row r="12666" spans="1:5" x14ac:dyDescent="0.3">
      <c r="A12666" t="s">
        <v>85</v>
      </c>
      <c r="B12666" s="1">
        <v>44685</v>
      </c>
      <c r="C12666">
        <v>1</v>
      </c>
      <c r="D12666">
        <v>18.84</v>
      </c>
      <c r="E12666">
        <v>29</v>
      </c>
    </row>
    <row r="12667" spans="1:5" x14ac:dyDescent="0.3">
      <c r="A12667" t="s">
        <v>85</v>
      </c>
      <c r="B12667" s="1">
        <v>44685</v>
      </c>
      <c r="C12667">
        <v>1</v>
      </c>
      <c r="D12667">
        <v>18.84</v>
      </c>
      <c r="E12667">
        <v>29</v>
      </c>
    </row>
    <row r="12668" spans="1:5" x14ac:dyDescent="0.3">
      <c r="A12668" t="s">
        <v>85</v>
      </c>
      <c r="B12668" s="1">
        <v>44685</v>
      </c>
      <c r="C12668">
        <v>1</v>
      </c>
      <c r="D12668">
        <v>18.84</v>
      </c>
      <c r="E12668">
        <v>29</v>
      </c>
    </row>
    <row r="12669" spans="1:5" x14ac:dyDescent="0.3">
      <c r="A12669" t="s">
        <v>118</v>
      </c>
      <c r="B12669" s="1">
        <v>44685</v>
      </c>
      <c r="C12669">
        <v>1</v>
      </c>
      <c r="D12669">
        <v>10.42</v>
      </c>
      <c r="E12669">
        <v>13</v>
      </c>
    </row>
    <row r="12670" spans="1:5" x14ac:dyDescent="0.3">
      <c r="A12670" t="s">
        <v>107</v>
      </c>
      <c r="B12670" s="1">
        <v>44685</v>
      </c>
      <c r="C12670">
        <v>1</v>
      </c>
      <c r="D12670">
        <v>75.900000000000006</v>
      </c>
      <c r="E12670">
        <v>87</v>
      </c>
    </row>
    <row r="12671" spans="1:5" x14ac:dyDescent="0.3">
      <c r="A12671" t="s">
        <v>157</v>
      </c>
      <c r="B12671" s="1">
        <v>44685</v>
      </c>
      <c r="C12671">
        <v>1</v>
      </c>
      <c r="D12671">
        <v>12</v>
      </c>
      <c r="E12671">
        <v>21</v>
      </c>
    </row>
    <row r="12672" spans="1:5" x14ac:dyDescent="0.3">
      <c r="A12672" t="s">
        <v>43</v>
      </c>
      <c r="B12672" s="1">
        <v>44685</v>
      </c>
      <c r="C12672">
        <v>1</v>
      </c>
      <c r="D12672">
        <v>143.36000000000001</v>
      </c>
      <c r="E12672">
        <v>170</v>
      </c>
    </row>
    <row r="12673" spans="1:5" x14ac:dyDescent="0.3">
      <c r="A12673" t="s">
        <v>129</v>
      </c>
      <c r="B12673" s="1">
        <v>44685</v>
      </c>
      <c r="C12673">
        <v>0.2</v>
      </c>
      <c r="D12673">
        <v>497.82</v>
      </c>
      <c r="E12673">
        <v>598</v>
      </c>
    </row>
    <row r="12674" spans="1:5" x14ac:dyDescent="0.3">
      <c r="A12674" t="s">
        <v>84</v>
      </c>
      <c r="B12674" s="1">
        <v>44685</v>
      </c>
      <c r="C12674">
        <v>1</v>
      </c>
      <c r="D12674">
        <v>175.74</v>
      </c>
      <c r="E12674">
        <v>220</v>
      </c>
    </row>
    <row r="12675" spans="1:5" x14ac:dyDescent="0.3">
      <c r="A12675" t="s">
        <v>65</v>
      </c>
      <c r="B12675" s="1">
        <v>44685</v>
      </c>
      <c r="C12675">
        <v>1</v>
      </c>
      <c r="D12675">
        <v>186.78</v>
      </c>
      <c r="E12675">
        <v>219</v>
      </c>
    </row>
    <row r="12676" spans="1:5" x14ac:dyDescent="0.3">
      <c r="A12676" t="s">
        <v>26</v>
      </c>
      <c r="B12676" s="1">
        <v>44685</v>
      </c>
      <c r="C12676">
        <v>0.1</v>
      </c>
      <c r="D12676">
        <v>987.84</v>
      </c>
      <c r="E12676">
        <v>1304</v>
      </c>
    </row>
    <row r="12677" spans="1:5" x14ac:dyDescent="0.3">
      <c r="A12677" t="s">
        <v>20</v>
      </c>
      <c r="B12677" s="1">
        <v>44685</v>
      </c>
      <c r="C12677">
        <v>1</v>
      </c>
      <c r="D12677">
        <v>20.23</v>
      </c>
      <c r="E12677">
        <v>26</v>
      </c>
    </row>
    <row r="12678" spans="1:5" x14ac:dyDescent="0.3">
      <c r="A12678" t="s">
        <v>20</v>
      </c>
      <c r="B12678" s="1">
        <v>44685</v>
      </c>
      <c r="C12678">
        <v>1</v>
      </c>
      <c r="D12678">
        <v>20.23</v>
      </c>
      <c r="E12678">
        <v>26</v>
      </c>
    </row>
    <row r="12679" spans="1:5" x14ac:dyDescent="0.3">
      <c r="A12679" t="s">
        <v>5</v>
      </c>
      <c r="B12679" s="1">
        <v>44685</v>
      </c>
      <c r="C12679">
        <v>1</v>
      </c>
      <c r="D12679">
        <v>141.04</v>
      </c>
      <c r="E12679">
        <v>168</v>
      </c>
    </row>
    <row r="12680" spans="1:5" x14ac:dyDescent="0.3">
      <c r="A12680" t="s">
        <v>58</v>
      </c>
      <c r="B12680" s="1">
        <v>44685</v>
      </c>
      <c r="C12680">
        <v>1</v>
      </c>
      <c r="D12680">
        <v>82.25</v>
      </c>
      <c r="E12680">
        <v>99</v>
      </c>
    </row>
    <row r="12681" spans="1:5" x14ac:dyDescent="0.3">
      <c r="A12681" t="s">
        <v>103</v>
      </c>
      <c r="B12681" s="1">
        <v>44685</v>
      </c>
      <c r="C12681">
        <v>1</v>
      </c>
      <c r="D12681">
        <v>41.33</v>
      </c>
      <c r="E12681">
        <v>65</v>
      </c>
    </row>
    <row r="12682" spans="1:5" x14ac:dyDescent="0.3">
      <c r="A12682" t="s">
        <v>103</v>
      </c>
      <c r="B12682" s="1">
        <v>44685</v>
      </c>
      <c r="C12682">
        <v>1</v>
      </c>
      <c r="D12682">
        <v>41.33</v>
      </c>
      <c r="E12682">
        <v>65</v>
      </c>
    </row>
    <row r="12683" spans="1:5" x14ac:dyDescent="0.3">
      <c r="A12683" t="s">
        <v>103</v>
      </c>
      <c r="B12683" s="1">
        <v>44685</v>
      </c>
      <c r="C12683">
        <v>1</v>
      </c>
      <c r="D12683">
        <v>41.33</v>
      </c>
      <c r="E12683">
        <v>65</v>
      </c>
    </row>
    <row r="12684" spans="1:5" x14ac:dyDescent="0.3">
      <c r="A12684" t="s">
        <v>103</v>
      </c>
      <c r="B12684" s="1">
        <v>44685</v>
      </c>
      <c r="C12684">
        <v>1</v>
      </c>
      <c r="D12684">
        <v>41.33</v>
      </c>
      <c r="E12684">
        <v>65</v>
      </c>
    </row>
    <row r="12685" spans="1:5" x14ac:dyDescent="0.3">
      <c r="A12685" t="s">
        <v>160</v>
      </c>
      <c r="B12685" s="1">
        <v>44685</v>
      </c>
      <c r="C12685">
        <v>1</v>
      </c>
      <c r="D12685">
        <v>79.89</v>
      </c>
      <c r="E12685">
        <v>97</v>
      </c>
    </row>
    <row r="12686" spans="1:5" x14ac:dyDescent="0.3">
      <c r="A12686" t="s">
        <v>129</v>
      </c>
      <c r="B12686" s="1">
        <v>44685</v>
      </c>
      <c r="C12686">
        <v>0.04</v>
      </c>
      <c r="D12686">
        <v>496.39</v>
      </c>
      <c r="E12686">
        <v>597</v>
      </c>
    </row>
    <row r="12687" spans="1:5" x14ac:dyDescent="0.3">
      <c r="A12687" t="s">
        <v>121</v>
      </c>
      <c r="B12687" s="1">
        <v>44685</v>
      </c>
      <c r="C12687">
        <v>1</v>
      </c>
      <c r="D12687">
        <v>7.24</v>
      </c>
      <c r="E12687">
        <v>12</v>
      </c>
    </row>
    <row r="12688" spans="1:5" x14ac:dyDescent="0.3">
      <c r="A12688" t="s">
        <v>134</v>
      </c>
      <c r="B12688" s="1">
        <v>44685</v>
      </c>
      <c r="C12688">
        <v>1</v>
      </c>
      <c r="D12688">
        <v>26.98</v>
      </c>
      <c r="E12688">
        <v>42</v>
      </c>
    </row>
    <row r="12689" spans="1:5" x14ac:dyDescent="0.3">
      <c r="A12689" t="s">
        <v>12</v>
      </c>
      <c r="B12689" s="1">
        <v>44685</v>
      </c>
      <c r="C12689">
        <v>1</v>
      </c>
      <c r="D12689">
        <v>56.84</v>
      </c>
      <c r="E12689">
        <v>70</v>
      </c>
    </row>
    <row r="12690" spans="1:5" x14ac:dyDescent="0.3">
      <c r="A12690" t="s">
        <v>89</v>
      </c>
      <c r="B12690" s="1">
        <v>44685</v>
      </c>
      <c r="C12690">
        <v>1</v>
      </c>
      <c r="D12690">
        <v>74.13</v>
      </c>
      <c r="E12690">
        <v>111</v>
      </c>
    </row>
    <row r="12691" spans="1:5" x14ac:dyDescent="0.3">
      <c r="A12691" t="s">
        <v>89</v>
      </c>
      <c r="B12691" s="1">
        <v>44685</v>
      </c>
      <c r="C12691">
        <v>1</v>
      </c>
      <c r="D12691">
        <v>74.13</v>
      </c>
      <c r="E12691">
        <v>111</v>
      </c>
    </row>
    <row r="12692" spans="1:5" x14ac:dyDescent="0.3">
      <c r="A12692" t="s">
        <v>89</v>
      </c>
      <c r="B12692" s="1">
        <v>44685</v>
      </c>
      <c r="C12692">
        <v>1</v>
      </c>
      <c r="D12692">
        <v>74.13</v>
      </c>
      <c r="E12692">
        <v>111</v>
      </c>
    </row>
    <row r="12693" spans="1:5" x14ac:dyDescent="0.3">
      <c r="A12693" t="s">
        <v>85</v>
      </c>
      <c r="B12693" s="1">
        <v>44685</v>
      </c>
      <c r="C12693">
        <v>1</v>
      </c>
      <c r="D12693">
        <v>18.84</v>
      </c>
      <c r="E12693">
        <v>29</v>
      </c>
    </row>
    <row r="12694" spans="1:5" x14ac:dyDescent="0.3">
      <c r="A12694" t="s">
        <v>41</v>
      </c>
      <c r="B12694" s="1">
        <v>44685</v>
      </c>
      <c r="C12694">
        <v>3</v>
      </c>
      <c r="D12694">
        <v>11.45</v>
      </c>
      <c r="E12694">
        <v>19</v>
      </c>
    </row>
    <row r="12695" spans="1:5" x14ac:dyDescent="0.3">
      <c r="A12695" t="s">
        <v>99</v>
      </c>
      <c r="B12695" s="1">
        <v>44685</v>
      </c>
      <c r="C12695">
        <v>1</v>
      </c>
      <c r="D12695">
        <v>65.45</v>
      </c>
      <c r="E12695">
        <v>77</v>
      </c>
    </row>
    <row r="12696" spans="1:5" x14ac:dyDescent="0.3">
      <c r="A12696" t="s">
        <v>36</v>
      </c>
      <c r="B12696" s="1">
        <v>44685</v>
      </c>
      <c r="C12696">
        <v>1</v>
      </c>
      <c r="D12696">
        <v>22.53</v>
      </c>
      <c r="E12696">
        <v>30</v>
      </c>
    </row>
    <row r="12697" spans="1:5" x14ac:dyDescent="0.3">
      <c r="A12697" t="s">
        <v>34</v>
      </c>
      <c r="B12697" s="1">
        <v>44685</v>
      </c>
      <c r="C12697">
        <v>1</v>
      </c>
      <c r="D12697">
        <v>219.13</v>
      </c>
      <c r="E12697">
        <v>274</v>
      </c>
    </row>
    <row r="12698" spans="1:5" x14ac:dyDescent="0.3">
      <c r="A12698" t="s">
        <v>26</v>
      </c>
      <c r="B12698" s="1">
        <v>44685</v>
      </c>
      <c r="C12698">
        <v>0.1</v>
      </c>
      <c r="D12698">
        <v>989.8</v>
      </c>
      <c r="E12698">
        <v>1238</v>
      </c>
    </row>
    <row r="12699" spans="1:5" x14ac:dyDescent="0.3">
      <c r="A12699" t="s">
        <v>106</v>
      </c>
      <c r="B12699" s="1">
        <v>44685</v>
      </c>
      <c r="C12699">
        <v>1</v>
      </c>
      <c r="D12699">
        <v>41.82</v>
      </c>
      <c r="E12699">
        <v>51</v>
      </c>
    </row>
    <row r="12700" spans="1:5" x14ac:dyDescent="0.3">
      <c r="A12700" t="s">
        <v>30</v>
      </c>
      <c r="B12700" s="1">
        <v>44685</v>
      </c>
      <c r="C12700">
        <v>1</v>
      </c>
      <c r="D12700">
        <v>156.19999999999999</v>
      </c>
      <c r="E12700">
        <v>189</v>
      </c>
    </row>
    <row r="12701" spans="1:5" x14ac:dyDescent="0.3">
      <c r="A12701" t="s">
        <v>101</v>
      </c>
      <c r="B12701" s="1">
        <v>44685</v>
      </c>
      <c r="C12701">
        <v>1</v>
      </c>
      <c r="D12701">
        <v>27.79</v>
      </c>
      <c r="E12701">
        <v>44</v>
      </c>
    </row>
    <row r="12702" spans="1:5" x14ac:dyDescent="0.3">
      <c r="A12702" t="s">
        <v>79</v>
      </c>
      <c r="B12702" s="1">
        <v>44685</v>
      </c>
      <c r="C12702">
        <v>1</v>
      </c>
      <c r="D12702">
        <v>148.5</v>
      </c>
      <c r="E12702">
        <v>180</v>
      </c>
    </row>
    <row r="12703" spans="1:5" x14ac:dyDescent="0.3">
      <c r="A12703" t="s">
        <v>57</v>
      </c>
      <c r="B12703" s="1">
        <v>44685</v>
      </c>
      <c r="C12703">
        <v>1</v>
      </c>
      <c r="D12703">
        <v>232.47</v>
      </c>
      <c r="E12703">
        <v>272</v>
      </c>
    </row>
    <row r="12704" spans="1:5" x14ac:dyDescent="0.3">
      <c r="A12704" t="s">
        <v>24</v>
      </c>
      <c r="B12704" s="1">
        <v>44685</v>
      </c>
      <c r="C12704">
        <v>1</v>
      </c>
      <c r="D12704">
        <v>99.47</v>
      </c>
      <c r="E12704">
        <v>121</v>
      </c>
    </row>
    <row r="12705" spans="1:5" x14ac:dyDescent="0.3">
      <c r="A12705" t="s">
        <v>24</v>
      </c>
      <c r="B12705" s="1">
        <v>44685</v>
      </c>
      <c r="C12705">
        <v>1</v>
      </c>
      <c r="D12705">
        <v>99.47</v>
      </c>
      <c r="E12705">
        <v>121</v>
      </c>
    </row>
    <row r="12706" spans="1:5" x14ac:dyDescent="0.3">
      <c r="A12706" t="s">
        <v>24</v>
      </c>
      <c r="B12706" s="1">
        <v>44685</v>
      </c>
      <c r="C12706">
        <v>1</v>
      </c>
      <c r="D12706">
        <v>99.48</v>
      </c>
      <c r="E12706">
        <v>116</v>
      </c>
    </row>
    <row r="12707" spans="1:5" x14ac:dyDescent="0.3">
      <c r="A12707" t="s">
        <v>24</v>
      </c>
      <c r="B12707" s="1">
        <v>44685</v>
      </c>
      <c r="C12707">
        <v>1</v>
      </c>
      <c r="D12707">
        <v>99.48</v>
      </c>
      <c r="E12707">
        <v>116</v>
      </c>
    </row>
    <row r="12708" spans="1:5" x14ac:dyDescent="0.3">
      <c r="A12708" t="s">
        <v>78</v>
      </c>
      <c r="B12708" s="1">
        <v>44685</v>
      </c>
      <c r="C12708">
        <v>1</v>
      </c>
      <c r="D12708">
        <v>69.010000000000005</v>
      </c>
      <c r="E12708">
        <v>87</v>
      </c>
    </row>
    <row r="12709" spans="1:5" x14ac:dyDescent="0.3">
      <c r="A12709" t="s">
        <v>78</v>
      </c>
      <c r="B12709" s="1">
        <v>44685</v>
      </c>
      <c r="C12709">
        <v>1</v>
      </c>
      <c r="D12709">
        <v>69.010000000000005</v>
      </c>
      <c r="E12709">
        <v>87</v>
      </c>
    </row>
    <row r="12710" spans="1:5" x14ac:dyDescent="0.3">
      <c r="A12710" t="s">
        <v>78</v>
      </c>
      <c r="B12710" s="1">
        <v>44685</v>
      </c>
      <c r="C12710">
        <v>1</v>
      </c>
      <c r="D12710">
        <v>69.13</v>
      </c>
      <c r="E12710">
        <v>88</v>
      </c>
    </row>
    <row r="12711" spans="1:5" x14ac:dyDescent="0.3">
      <c r="A12711" t="s">
        <v>115</v>
      </c>
      <c r="B12711" s="1">
        <v>44685</v>
      </c>
      <c r="C12711">
        <v>1</v>
      </c>
      <c r="D12711">
        <v>71.349999999999994</v>
      </c>
      <c r="E12711">
        <v>90</v>
      </c>
    </row>
    <row r="12712" spans="1:5" x14ac:dyDescent="0.3">
      <c r="A12712" t="s">
        <v>35</v>
      </c>
      <c r="B12712" s="1">
        <v>44685</v>
      </c>
      <c r="C12712">
        <v>1</v>
      </c>
      <c r="D12712">
        <v>39.6</v>
      </c>
      <c r="E12712">
        <v>61</v>
      </c>
    </row>
    <row r="12713" spans="1:5" x14ac:dyDescent="0.3">
      <c r="A12713" t="s">
        <v>143</v>
      </c>
      <c r="B12713" s="1">
        <v>44685</v>
      </c>
      <c r="C12713">
        <v>1</v>
      </c>
      <c r="D12713">
        <v>50.45</v>
      </c>
      <c r="E12713">
        <v>77</v>
      </c>
    </row>
    <row r="12714" spans="1:5" x14ac:dyDescent="0.3">
      <c r="A12714" t="s">
        <v>48</v>
      </c>
      <c r="B12714" s="1">
        <v>44685</v>
      </c>
      <c r="C12714">
        <v>1</v>
      </c>
      <c r="D12714">
        <v>41.24</v>
      </c>
      <c r="E12714">
        <v>65</v>
      </c>
    </row>
    <row r="12715" spans="1:5" x14ac:dyDescent="0.3">
      <c r="A12715" t="s">
        <v>50</v>
      </c>
      <c r="B12715" s="1">
        <v>44685</v>
      </c>
      <c r="C12715">
        <v>1</v>
      </c>
      <c r="D12715">
        <v>44.89</v>
      </c>
      <c r="E12715">
        <v>56</v>
      </c>
    </row>
    <row r="12716" spans="1:5" x14ac:dyDescent="0.3">
      <c r="A12716" t="s">
        <v>98</v>
      </c>
      <c r="B12716" s="1">
        <v>44685</v>
      </c>
      <c r="C12716">
        <v>1</v>
      </c>
      <c r="D12716">
        <v>111.57</v>
      </c>
      <c r="E12716">
        <v>134</v>
      </c>
    </row>
    <row r="12717" spans="1:5" x14ac:dyDescent="0.3">
      <c r="A12717" t="s">
        <v>67</v>
      </c>
      <c r="B12717" s="1">
        <v>44685</v>
      </c>
      <c r="C12717">
        <v>1</v>
      </c>
      <c r="D12717">
        <v>55.46</v>
      </c>
      <c r="E12717">
        <v>79</v>
      </c>
    </row>
    <row r="12718" spans="1:5" x14ac:dyDescent="0.3">
      <c r="A12718" t="s">
        <v>5</v>
      </c>
      <c r="B12718" s="1">
        <v>44685</v>
      </c>
      <c r="C12718">
        <v>1</v>
      </c>
      <c r="D12718">
        <v>145.6</v>
      </c>
      <c r="E12718">
        <v>172</v>
      </c>
    </row>
    <row r="12719" spans="1:5" x14ac:dyDescent="0.3">
      <c r="A12719" t="s">
        <v>112</v>
      </c>
      <c r="B12719" s="1">
        <v>44685</v>
      </c>
      <c r="C12719">
        <v>1</v>
      </c>
      <c r="D12719">
        <v>257.88</v>
      </c>
      <c r="E12719">
        <v>312</v>
      </c>
    </row>
    <row r="12720" spans="1:5" x14ac:dyDescent="0.3">
      <c r="A12720" t="s">
        <v>47</v>
      </c>
      <c r="B12720" s="1">
        <v>44685</v>
      </c>
      <c r="C12720">
        <v>1</v>
      </c>
      <c r="D12720">
        <v>41.58</v>
      </c>
      <c r="E12720">
        <v>65</v>
      </c>
    </row>
    <row r="12721" spans="1:5" x14ac:dyDescent="0.3">
      <c r="A12721" t="s">
        <v>62</v>
      </c>
      <c r="B12721" s="1">
        <v>44685</v>
      </c>
      <c r="C12721">
        <v>1</v>
      </c>
      <c r="D12721">
        <v>25.19</v>
      </c>
      <c r="E12721">
        <v>30</v>
      </c>
    </row>
    <row r="12722" spans="1:5" x14ac:dyDescent="0.3">
      <c r="A12722" t="s">
        <v>62</v>
      </c>
      <c r="B12722" s="1">
        <v>44685</v>
      </c>
      <c r="C12722">
        <v>1</v>
      </c>
      <c r="D12722">
        <v>25.71</v>
      </c>
      <c r="E12722">
        <v>31</v>
      </c>
    </row>
    <row r="12723" spans="1:5" x14ac:dyDescent="0.3">
      <c r="A12723" t="s">
        <v>62</v>
      </c>
      <c r="B12723" s="1">
        <v>44685</v>
      </c>
      <c r="C12723">
        <v>1</v>
      </c>
      <c r="D12723">
        <v>25.71</v>
      </c>
      <c r="E12723">
        <v>31</v>
      </c>
    </row>
    <row r="12724" spans="1:5" x14ac:dyDescent="0.3">
      <c r="A12724" t="s">
        <v>48</v>
      </c>
      <c r="B12724" s="1">
        <v>44685</v>
      </c>
      <c r="C12724">
        <v>1</v>
      </c>
      <c r="D12724">
        <v>38.67</v>
      </c>
      <c r="E12724">
        <v>60</v>
      </c>
    </row>
    <row r="12725" spans="1:5" x14ac:dyDescent="0.3">
      <c r="A12725" t="s">
        <v>27</v>
      </c>
      <c r="B12725" s="1">
        <v>44685</v>
      </c>
      <c r="C12725">
        <v>2</v>
      </c>
      <c r="D12725">
        <v>105.23</v>
      </c>
      <c r="E12725">
        <v>161</v>
      </c>
    </row>
    <row r="12726" spans="1:5" x14ac:dyDescent="0.3">
      <c r="A12726" t="s">
        <v>134</v>
      </c>
      <c r="B12726" s="1">
        <v>44685</v>
      </c>
      <c r="C12726">
        <v>1</v>
      </c>
      <c r="D12726">
        <v>28.66</v>
      </c>
      <c r="E12726">
        <v>44</v>
      </c>
    </row>
    <row r="12727" spans="1:5" x14ac:dyDescent="0.3">
      <c r="A12727" t="s">
        <v>134</v>
      </c>
      <c r="B12727" s="1">
        <v>44685</v>
      </c>
      <c r="C12727">
        <v>1</v>
      </c>
      <c r="D12727">
        <v>28.66</v>
      </c>
      <c r="E12727">
        <v>44</v>
      </c>
    </row>
    <row r="12728" spans="1:5" x14ac:dyDescent="0.3">
      <c r="A12728" t="s">
        <v>56</v>
      </c>
      <c r="B12728" s="1">
        <v>44685</v>
      </c>
      <c r="C12728">
        <v>1</v>
      </c>
      <c r="D12728">
        <v>44.84</v>
      </c>
      <c r="E12728">
        <v>70</v>
      </c>
    </row>
    <row r="12729" spans="1:5" x14ac:dyDescent="0.3">
      <c r="A12729" t="s">
        <v>122</v>
      </c>
      <c r="B12729" s="1">
        <v>44685</v>
      </c>
      <c r="C12729">
        <v>1</v>
      </c>
      <c r="D12729">
        <v>20.82</v>
      </c>
      <c r="E12729">
        <v>26</v>
      </c>
    </row>
    <row r="12730" spans="1:5" x14ac:dyDescent="0.3">
      <c r="A12730" t="s">
        <v>146</v>
      </c>
      <c r="B12730" s="1">
        <v>44685</v>
      </c>
      <c r="C12730">
        <v>1</v>
      </c>
      <c r="D12730">
        <v>406.36</v>
      </c>
      <c r="E12730">
        <v>456</v>
      </c>
    </row>
    <row r="12731" spans="1:5" x14ac:dyDescent="0.3">
      <c r="A12731" t="s">
        <v>30</v>
      </c>
      <c r="B12731" s="1">
        <v>44685</v>
      </c>
      <c r="C12731">
        <v>1</v>
      </c>
      <c r="D12731">
        <v>156.19999999999999</v>
      </c>
      <c r="E12731">
        <v>186</v>
      </c>
    </row>
    <row r="12732" spans="1:5" x14ac:dyDescent="0.3">
      <c r="A12732" t="s">
        <v>98</v>
      </c>
      <c r="B12732" s="1">
        <v>44685</v>
      </c>
      <c r="C12732">
        <v>1</v>
      </c>
      <c r="D12732">
        <v>112.36</v>
      </c>
      <c r="E12732">
        <v>135</v>
      </c>
    </row>
    <row r="12733" spans="1:5" x14ac:dyDescent="0.3">
      <c r="A12733" t="s">
        <v>146</v>
      </c>
      <c r="B12733" s="1">
        <v>44685</v>
      </c>
      <c r="C12733">
        <v>1</v>
      </c>
      <c r="D12733">
        <v>402.2</v>
      </c>
      <c r="E12733">
        <v>451</v>
      </c>
    </row>
    <row r="12734" spans="1:5" x14ac:dyDescent="0.3">
      <c r="A12734" t="s">
        <v>124</v>
      </c>
      <c r="B12734" s="1">
        <v>44685</v>
      </c>
      <c r="C12734">
        <v>1</v>
      </c>
      <c r="D12734">
        <v>37.799999999999997</v>
      </c>
      <c r="E12734">
        <v>62</v>
      </c>
    </row>
    <row r="12735" spans="1:5" x14ac:dyDescent="0.3">
      <c r="A12735" t="s">
        <v>56</v>
      </c>
      <c r="B12735" s="1">
        <v>44685</v>
      </c>
      <c r="C12735">
        <v>1</v>
      </c>
      <c r="D12735">
        <v>50</v>
      </c>
      <c r="E12735">
        <v>79</v>
      </c>
    </row>
    <row r="12736" spans="1:5" x14ac:dyDescent="0.3">
      <c r="A12736" t="s">
        <v>56</v>
      </c>
      <c r="B12736" s="1">
        <v>44685</v>
      </c>
      <c r="C12736">
        <v>1</v>
      </c>
      <c r="D12736">
        <v>43.97</v>
      </c>
      <c r="E12736">
        <v>70</v>
      </c>
    </row>
    <row r="12737" spans="1:5" x14ac:dyDescent="0.3">
      <c r="A12737" t="s">
        <v>58</v>
      </c>
      <c r="B12737" s="1">
        <v>44685</v>
      </c>
      <c r="C12737">
        <v>1</v>
      </c>
      <c r="D12737">
        <v>82.25</v>
      </c>
      <c r="E12737">
        <v>99</v>
      </c>
    </row>
    <row r="12738" spans="1:5" x14ac:dyDescent="0.3">
      <c r="A12738" t="s">
        <v>97</v>
      </c>
      <c r="B12738" s="1">
        <v>44685</v>
      </c>
      <c r="C12738">
        <v>1</v>
      </c>
      <c r="D12738">
        <v>425.96</v>
      </c>
      <c r="E12738">
        <v>563</v>
      </c>
    </row>
    <row r="12739" spans="1:5" x14ac:dyDescent="0.3">
      <c r="A12739" t="s">
        <v>51</v>
      </c>
      <c r="B12739" s="1">
        <v>44685</v>
      </c>
      <c r="C12739">
        <v>8</v>
      </c>
      <c r="D12739">
        <v>2.04</v>
      </c>
      <c r="E12739">
        <v>4</v>
      </c>
    </row>
    <row r="12740" spans="1:5" x14ac:dyDescent="0.3">
      <c r="A12740" t="s">
        <v>28</v>
      </c>
      <c r="B12740" s="1">
        <v>44685</v>
      </c>
      <c r="C12740">
        <v>1</v>
      </c>
      <c r="D12740">
        <v>135.44999999999999</v>
      </c>
      <c r="E12740">
        <v>189</v>
      </c>
    </row>
    <row r="12741" spans="1:5" x14ac:dyDescent="0.3">
      <c r="A12741" t="s">
        <v>34</v>
      </c>
      <c r="B12741" s="1">
        <v>44685</v>
      </c>
      <c r="C12741">
        <v>1</v>
      </c>
      <c r="D12741">
        <v>219.13</v>
      </c>
      <c r="E12741">
        <v>252</v>
      </c>
    </row>
    <row r="12742" spans="1:5" x14ac:dyDescent="0.3">
      <c r="A12742" t="s">
        <v>90</v>
      </c>
      <c r="B12742" s="1">
        <v>44685</v>
      </c>
      <c r="C12742">
        <v>1</v>
      </c>
      <c r="D12742">
        <v>383.43</v>
      </c>
      <c r="E12742">
        <v>472</v>
      </c>
    </row>
    <row r="12743" spans="1:5" x14ac:dyDescent="0.3">
      <c r="A12743" t="s">
        <v>113</v>
      </c>
      <c r="B12743" s="1">
        <v>44685</v>
      </c>
      <c r="C12743">
        <v>1</v>
      </c>
      <c r="D12743">
        <v>128.46</v>
      </c>
      <c r="E12743">
        <v>179</v>
      </c>
    </row>
    <row r="12744" spans="1:5" x14ac:dyDescent="0.3">
      <c r="A12744" t="s">
        <v>100</v>
      </c>
      <c r="B12744" s="1">
        <v>44685</v>
      </c>
      <c r="C12744">
        <v>1</v>
      </c>
      <c r="D12744">
        <v>37.49</v>
      </c>
      <c r="E12744">
        <v>59</v>
      </c>
    </row>
    <row r="12745" spans="1:5" x14ac:dyDescent="0.3">
      <c r="A12745" t="s">
        <v>100</v>
      </c>
      <c r="B12745" s="1">
        <v>44685</v>
      </c>
      <c r="C12745">
        <v>1</v>
      </c>
      <c r="D12745">
        <v>37.49</v>
      </c>
      <c r="E12745">
        <v>59</v>
      </c>
    </row>
    <row r="12746" spans="1:5" x14ac:dyDescent="0.3">
      <c r="A12746" t="s">
        <v>83</v>
      </c>
      <c r="B12746" s="1">
        <v>44685</v>
      </c>
      <c r="C12746">
        <v>1</v>
      </c>
      <c r="D12746">
        <v>206.86</v>
      </c>
      <c r="E12746">
        <v>245</v>
      </c>
    </row>
    <row r="12747" spans="1:5" x14ac:dyDescent="0.3">
      <c r="A12747" t="s">
        <v>121</v>
      </c>
      <c r="B12747" s="1">
        <v>44685</v>
      </c>
      <c r="C12747">
        <v>1</v>
      </c>
      <c r="D12747">
        <v>7.24</v>
      </c>
      <c r="E12747">
        <v>12</v>
      </c>
    </row>
    <row r="12748" spans="1:5" x14ac:dyDescent="0.3">
      <c r="A12748" t="s">
        <v>99</v>
      </c>
      <c r="B12748" s="1">
        <v>44685</v>
      </c>
      <c r="C12748">
        <v>1</v>
      </c>
      <c r="D12748">
        <v>64.25</v>
      </c>
      <c r="E12748">
        <v>77</v>
      </c>
    </row>
    <row r="12749" spans="1:5" x14ac:dyDescent="0.3">
      <c r="A12749" t="s">
        <v>15</v>
      </c>
      <c r="B12749" s="1">
        <v>44685</v>
      </c>
      <c r="C12749">
        <v>2</v>
      </c>
      <c r="D12749">
        <v>50.1</v>
      </c>
      <c r="E12749">
        <v>81</v>
      </c>
    </row>
    <row r="12750" spans="1:5" x14ac:dyDescent="0.3">
      <c r="A12750" t="s">
        <v>48</v>
      </c>
      <c r="B12750" s="1">
        <v>44685</v>
      </c>
      <c r="C12750">
        <v>1</v>
      </c>
      <c r="D12750">
        <v>42.23</v>
      </c>
      <c r="E12750">
        <v>67</v>
      </c>
    </row>
    <row r="12751" spans="1:5" x14ac:dyDescent="0.3">
      <c r="A12751" t="s">
        <v>88</v>
      </c>
      <c r="B12751" s="1">
        <v>44685</v>
      </c>
      <c r="C12751">
        <v>1</v>
      </c>
      <c r="D12751">
        <v>136.57</v>
      </c>
      <c r="E12751">
        <v>215</v>
      </c>
    </row>
    <row r="12752" spans="1:5" x14ac:dyDescent="0.3">
      <c r="A12752" t="s">
        <v>118</v>
      </c>
      <c r="B12752" s="1">
        <v>44685</v>
      </c>
      <c r="C12752">
        <v>1</v>
      </c>
      <c r="D12752">
        <v>11.1</v>
      </c>
      <c r="E12752">
        <v>13</v>
      </c>
    </row>
    <row r="12753" spans="1:5" x14ac:dyDescent="0.3">
      <c r="A12753" t="s">
        <v>68</v>
      </c>
      <c r="B12753" s="1">
        <v>44685</v>
      </c>
      <c r="C12753">
        <v>1</v>
      </c>
      <c r="D12753">
        <v>62.36</v>
      </c>
      <c r="E12753">
        <v>92</v>
      </c>
    </row>
    <row r="12754" spans="1:5" x14ac:dyDescent="0.3">
      <c r="A12754" t="s">
        <v>56</v>
      </c>
      <c r="B12754" s="1">
        <v>44685</v>
      </c>
      <c r="C12754">
        <v>1</v>
      </c>
      <c r="D12754">
        <v>43.62</v>
      </c>
      <c r="E12754">
        <v>67</v>
      </c>
    </row>
    <row r="12755" spans="1:5" x14ac:dyDescent="0.3">
      <c r="A12755" t="s">
        <v>27</v>
      </c>
      <c r="B12755" s="1">
        <v>44685</v>
      </c>
      <c r="C12755">
        <v>1</v>
      </c>
      <c r="D12755">
        <v>105.23</v>
      </c>
      <c r="E12755">
        <v>161</v>
      </c>
    </row>
    <row r="12756" spans="1:5" x14ac:dyDescent="0.3">
      <c r="A12756" t="s">
        <v>52</v>
      </c>
      <c r="B12756" s="1">
        <v>44685</v>
      </c>
      <c r="C12756">
        <v>1</v>
      </c>
      <c r="D12756">
        <v>203.17</v>
      </c>
      <c r="E12756">
        <v>244</v>
      </c>
    </row>
    <row r="12757" spans="1:5" x14ac:dyDescent="0.3">
      <c r="A12757" t="s">
        <v>141</v>
      </c>
      <c r="B12757" s="1">
        <v>44685</v>
      </c>
      <c r="C12757">
        <v>2</v>
      </c>
      <c r="D12757">
        <v>16.38</v>
      </c>
      <c r="E12757">
        <v>27</v>
      </c>
    </row>
    <row r="12758" spans="1:5" x14ac:dyDescent="0.3">
      <c r="A12758" t="s">
        <v>90</v>
      </c>
      <c r="B12758" s="1">
        <v>44685</v>
      </c>
      <c r="C12758">
        <v>1</v>
      </c>
      <c r="D12758">
        <v>401.83</v>
      </c>
      <c r="E12758">
        <v>483</v>
      </c>
    </row>
    <row r="12759" spans="1:5" x14ac:dyDescent="0.3">
      <c r="A12759" t="s">
        <v>35</v>
      </c>
      <c r="B12759" s="1">
        <v>44685</v>
      </c>
      <c r="C12759">
        <v>1</v>
      </c>
      <c r="D12759">
        <v>35</v>
      </c>
      <c r="E12759">
        <v>54</v>
      </c>
    </row>
    <row r="12760" spans="1:5" x14ac:dyDescent="0.3">
      <c r="A12760" t="s">
        <v>50</v>
      </c>
      <c r="B12760" s="1">
        <v>44685</v>
      </c>
      <c r="C12760">
        <v>1</v>
      </c>
      <c r="D12760">
        <v>44.86</v>
      </c>
      <c r="E12760">
        <v>56</v>
      </c>
    </row>
    <row r="12761" spans="1:5" x14ac:dyDescent="0.3">
      <c r="A12761" t="s">
        <v>84</v>
      </c>
      <c r="B12761" s="1">
        <v>44685</v>
      </c>
      <c r="C12761">
        <v>1</v>
      </c>
      <c r="D12761">
        <v>163.76</v>
      </c>
      <c r="E12761">
        <v>205</v>
      </c>
    </row>
    <row r="12762" spans="1:5" x14ac:dyDescent="0.3">
      <c r="A12762" t="s">
        <v>58</v>
      </c>
      <c r="B12762" s="1">
        <v>44685</v>
      </c>
      <c r="C12762">
        <v>1</v>
      </c>
      <c r="D12762">
        <v>82.25</v>
      </c>
      <c r="E12762">
        <v>99</v>
      </c>
    </row>
    <row r="12763" spans="1:5" x14ac:dyDescent="0.3">
      <c r="A12763" t="s">
        <v>56</v>
      </c>
      <c r="B12763" s="1">
        <v>44685</v>
      </c>
      <c r="C12763">
        <v>1</v>
      </c>
      <c r="D12763">
        <v>43.97</v>
      </c>
      <c r="E12763">
        <v>67</v>
      </c>
    </row>
    <row r="12764" spans="1:5" x14ac:dyDescent="0.3">
      <c r="A12764" t="s">
        <v>56</v>
      </c>
      <c r="B12764" s="1">
        <v>44685</v>
      </c>
      <c r="C12764">
        <v>1</v>
      </c>
      <c r="D12764">
        <v>43.97</v>
      </c>
      <c r="E12764">
        <v>67</v>
      </c>
    </row>
    <row r="12765" spans="1:5" x14ac:dyDescent="0.3">
      <c r="A12765" t="s">
        <v>84</v>
      </c>
      <c r="B12765" s="1">
        <v>44685</v>
      </c>
      <c r="C12765">
        <v>1</v>
      </c>
      <c r="D12765">
        <v>165.15</v>
      </c>
      <c r="E12765">
        <v>207</v>
      </c>
    </row>
    <row r="12766" spans="1:5" x14ac:dyDescent="0.3">
      <c r="A12766" t="s">
        <v>72</v>
      </c>
      <c r="B12766" s="1">
        <v>44685</v>
      </c>
      <c r="C12766">
        <v>1</v>
      </c>
      <c r="D12766">
        <v>557.09</v>
      </c>
      <c r="E12766">
        <v>736</v>
      </c>
    </row>
    <row r="12767" spans="1:5" x14ac:dyDescent="0.3">
      <c r="A12767" t="s">
        <v>133</v>
      </c>
      <c r="B12767" s="1">
        <v>44685</v>
      </c>
      <c r="C12767">
        <v>11</v>
      </c>
      <c r="D12767">
        <v>5.56</v>
      </c>
      <c r="E12767">
        <v>9</v>
      </c>
    </row>
    <row r="12768" spans="1:5" x14ac:dyDescent="0.3">
      <c r="A12768" t="s">
        <v>143</v>
      </c>
      <c r="B12768" s="1">
        <v>44685</v>
      </c>
      <c r="C12768">
        <v>1</v>
      </c>
      <c r="D12768">
        <v>42.19</v>
      </c>
      <c r="E12768">
        <v>65</v>
      </c>
    </row>
    <row r="12769" spans="1:5" x14ac:dyDescent="0.3">
      <c r="A12769" t="s">
        <v>97</v>
      </c>
      <c r="B12769" s="1">
        <v>44685</v>
      </c>
      <c r="C12769">
        <v>1</v>
      </c>
      <c r="D12769">
        <v>425.96</v>
      </c>
      <c r="E12769">
        <v>576</v>
      </c>
    </row>
    <row r="12770" spans="1:5" x14ac:dyDescent="0.3">
      <c r="A12770" t="s">
        <v>144</v>
      </c>
      <c r="B12770" s="1">
        <v>44685</v>
      </c>
      <c r="C12770">
        <v>1</v>
      </c>
      <c r="D12770">
        <v>52.42</v>
      </c>
      <c r="E12770">
        <v>75</v>
      </c>
    </row>
    <row r="12771" spans="1:5" x14ac:dyDescent="0.3">
      <c r="A12771" t="s">
        <v>97</v>
      </c>
      <c r="B12771" s="1">
        <v>44685</v>
      </c>
      <c r="C12771">
        <v>1</v>
      </c>
      <c r="D12771">
        <v>425.96</v>
      </c>
      <c r="E12771">
        <v>563</v>
      </c>
    </row>
    <row r="12772" spans="1:5" x14ac:dyDescent="0.3">
      <c r="A12772" t="s">
        <v>155</v>
      </c>
      <c r="B12772" s="1">
        <v>44685</v>
      </c>
      <c r="C12772">
        <v>0.2</v>
      </c>
      <c r="D12772">
        <v>465.39</v>
      </c>
      <c r="E12772">
        <v>685</v>
      </c>
    </row>
    <row r="12773" spans="1:5" x14ac:dyDescent="0.3">
      <c r="A12773" t="s">
        <v>112</v>
      </c>
      <c r="B12773" s="1">
        <v>44685</v>
      </c>
      <c r="C12773">
        <v>1</v>
      </c>
      <c r="D12773">
        <v>291.3</v>
      </c>
      <c r="E12773">
        <v>331</v>
      </c>
    </row>
    <row r="12774" spans="1:5" x14ac:dyDescent="0.3">
      <c r="A12774" t="s">
        <v>93</v>
      </c>
      <c r="B12774" s="1">
        <v>44685</v>
      </c>
      <c r="C12774">
        <v>1</v>
      </c>
      <c r="D12774">
        <v>66.09</v>
      </c>
      <c r="E12774">
        <v>94</v>
      </c>
    </row>
    <row r="12775" spans="1:5" x14ac:dyDescent="0.3">
      <c r="A12775" t="s">
        <v>5</v>
      </c>
      <c r="B12775" s="1">
        <v>44685</v>
      </c>
      <c r="C12775">
        <v>1</v>
      </c>
      <c r="D12775">
        <v>141.04</v>
      </c>
      <c r="E12775">
        <v>168</v>
      </c>
    </row>
    <row r="12776" spans="1:5" x14ac:dyDescent="0.3">
      <c r="A12776" t="s">
        <v>78</v>
      </c>
      <c r="B12776" s="1">
        <v>44685</v>
      </c>
      <c r="C12776">
        <v>1</v>
      </c>
      <c r="D12776">
        <v>69.13</v>
      </c>
      <c r="E12776">
        <v>88</v>
      </c>
    </row>
    <row r="12777" spans="1:5" x14ac:dyDescent="0.3">
      <c r="A12777" t="s">
        <v>115</v>
      </c>
      <c r="B12777" s="1">
        <v>44685</v>
      </c>
      <c r="C12777">
        <v>1</v>
      </c>
      <c r="D12777">
        <v>71.349999999999994</v>
      </c>
      <c r="E12777">
        <v>90</v>
      </c>
    </row>
    <row r="12778" spans="1:5" x14ac:dyDescent="0.3">
      <c r="A12778" t="s">
        <v>24</v>
      </c>
      <c r="B12778" s="1">
        <v>44685</v>
      </c>
      <c r="C12778">
        <v>1</v>
      </c>
      <c r="D12778">
        <v>99.48</v>
      </c>
      <c r="E12778">
        <v>116</v>
      </c>
    </row>
    <row r="12779" spans="1:5" x14ac:dyDescent="0.3">
      <c r="A12779" t="s">
        <v>105</v>
      </c>
      <c r="B12779" s="1">
        <v>44685</v>
      </c>
      <c r="C12779">
        <v>2</v>
      </c>
      <c r="D12779">
        <v>25.88</v>
      </c>
      <c r="E12779">
        <v>42</v>
      </c>
    </row>
    <row r="12780" spans="1:5" x14ac:dyDescent="0.3">
      <c r="A12780" t="s">
        <v>54</v>
      </c>
      <c r="B12780" s="1">
        <v>44685</v>
      </c>
      <c r="C12780">
        <v>1</v>
      </c>
      <c r="D12780">
        <v>642.92999999999995</v>
      </c>
      <c r="E12780">
        <v>830</v>
      </c>
    </row>
    <row r="12781" spans="1:5" x14ac:dyDescent="0.3">
      <c r="A12781" t="s">
        <v>155</v>
      </c>
      <c r="B12781" s="1">
        <v>44685</v>
      </c>
      <c r="C12781">
        <v>0.2</v>
      </c>
      <c r="D12781">
        <v>371.91</v>
      </c>
      <c r="E12781">
        <v>529</v>
      </c>
    </row>
    <row r="12782" spans="1:5" x14ac:dyDescent="0.3">
      <c r="A12782" t="s">
        <v>26</v>
      </c>
      <c r="B12782" s="1">
        <v>44685</v>
      </c>
      <c r="C12782">
        <v>0.2</v>
      </c>
      <c r="D12782">
        <v>986.87</v>
      </c>
      <c r="E12782">
        <v>1234</v>
      </c>
    </row>
    <row r="12783" spans="1:5" x14ac:dyDescent="0.3">
      <c r="A12783" t="s">
        <v>26</v>
      </c>
      <c r="B12783" s="1">
        <v>44685</v>
      </c>
      <c r="C12783">
        <v>0.13333300000000001</v>
      </c>
      <c r="D12783">
        <v>1282.05</v>
      </c>
      <c r="E12783">
        <v>1577</v>
      </c>
    </row>
    <row r="12784" spans="1:5" x14ac:dyDescent="0.3">
      <c r="A12784" t="s">
        <v>79</v>
      </c>
      <c r="B12784" s="1">
        <v>44685</v>
      </c>
      <c r="C12784">
        <v>1</v>
      </c>
      <c r="D12784">
        <v>148.5</v>
      </c>
      <c r="E12784">
        <v>177</v>
      </c>
    </row>
    <row r="12785" spans="1:5" x14ac:dyDescent="0.3">
      <c r="A12785" t="s">
        <v>42</v>
      </c>
      <c r="B12785" s="1">
        <v>44685</v>
      </c>
      <c r="C12785">
        <v>1</v>
      </c>
      <c r="D12785">
        <v>559.34</v>
      </c>
      <c r="E12785">
        <v>644</v>
      </c>
    </row>
    <row r="12786" spans="1:5" x14ac:dyDescent="0.3">
      <c r="A12786" t="s">
        <v>143</v>
      </c>
      <c r="B12786" s="1">
        <v>44685</v>
      </c>
      <c r="C12786">
        <v>1</v>
      </c>
      <c r="D12786">
        <v>46.9</v>
      </c>
      <c r="E12786">
        <v>73</v>
      </c>
    </row>
    <row r="12787" spans="1:5" x14ac:dyDescent="0.3">
      <c r="A12787" t="s">
        <v>136</v>
      </c>
      <c r="B12787" s="1">
        <v>44685</v>
      </c>
      <c r="C12787">
        <v>1</v>
      </c>
      <c r="D12787">
        <v>293.81</v>
      </c>
      <c r="E12787">
        <v>412</v>
      </c>
    </row>
    <row r="12788" spans="1:5" x14ac:dyDescent="0.3">
      <c r="A12788" t="s">
        <v>64</v>
      </c>
      <c r="B12788" s="1">
        <v>44685</v>
      </c>
      <c r="C12788">
        <v>1</v>
      </c>
      <c r="D12788">
        <v>205.33</v>
      </c>
      <c r="E12788">
        <v>278</v>
      </c>
    </row>
    <row r="12789" spans="1:5" x14ac:dyDescent="0.3">
      <c r="A12789" t="s">
        <v>65</v>
      </c>
      <c r="B12789" s="1">
        <v>44685</v>
      </c>
      <c r="C12789">
        <v>1</v>
      </c>
      <c r="D12789">
        <v>176.42</v>
      </c>
      <c r="E12789">
        <v>207</v>
      </c>
    </row>
    <row r="12790" spans="1:5" x14ac:dyDescent="0.3">
      <c r="A12790" t="s">
        <v>25</v>
      </c>
      <c r="B12790" s="1">
        <v>44685</v>
      </c>
      <c r="C12790">
        <v>1</v>
      </c>
      <c r="D12790">
        <v>148.58000000000001</v>
      </c>
      <c r="E12790">
        <v>179</v>
      </c>
    </row>
    <row r="12791" spans="1:5" x14ac:dyDescent="0.3">
      <c r="A12791" t="s">
        <v>85</v>
      </c>
      <c r="B12791" s="1">
        <v>44685</v>
      </c>
      <c r="C12791">
        <v>1</v>
      </c>
      <c r="D12791">
        <v>15.84</v>
      </c>
      <c r="E12791">
        <v>25</v>
      </c>
    </row>
    <row r="12792" spans="1:5" x14ac:dyDescent="0.3">
      <c r="A12792" t="s">
        <v>85</v>
      </c>
      <c r="B12792" s="1">
        <v>44685</v>
      </c>
      <c r="C12792">
        <v>1</v>
      </c>
      <c r="D12792">
        <v>15.84</v>
      </c>
      <c r="E12792">
        <v>25</v>
      </c>
    </row>
    <row r="12793" spans="1:5" x14ac:dyDescent="0.3">
      <c r="A12793" t="s">
        <v>85</v>
      </c>
      <c r="B12793" s="1">
        <v>44685</v>
      </c>
      <c r="C12793">
        <v>1</v>
      </c>
      <c r="D12793">
        <v>15.84</v>
      </c>
      <c r="E12793">
        <v>25</v>
      </c>
    </row>
    <row r="12794" spans="1:5" x14ac:dyDescent="0.3">
      <c r="A12794" t="s">
        <v>148</v>
      </c>
      <c r="B12794" s="1">
        <v>44685</v>
      </c>
      <c r="C12794">
        <v>1</v>
      </c>
      <c r="D12794">
        <v>36.840000000000003</v>
      </c>
      <c r="E12794">
        <v>56</v>
      </c>
    </row>
    <row r="12795" spans="1:5" x14ac:dyDescent="0.3">
      <c r="A12795" t="s">
        <v>97</v>
      </c>
      <c r="B12795" s="1">
        <v>44685</v>
      </c>
      <c r="C12795">
        <v>1</v>
      </c>
      <c r="D12795">
        <v>425.96</v>
      </c>
      <c r="E12795">
        <v>563</v>
      </c>
    </row>
    <row r="12796" spans="1:5" x14ac:dyDescent="0.3">
      <c r="A12796" t="s">
        <v>5</v>
      </c>
      <c r="B12796" s="1">
        <v>44685</v>
      </c>
      <c r="C12796">
        <v>1</v>
      </c>
      <c r="D12796">
        <v>141.04</v>
      </c>
      <c r="E12796">
        <v>168</v>
      </c>
    </row>
    <row r="12797" spans="1:5" x14ac:dyDescent="0.3">
      <c r="A12797" t="s">
        <v>60</v>
      </c>
      <c r="B12797" s="1">
        <v>44685</v>
      </c>
      <c r="C12797">
        <v>1</v>
      </c>
      <c r="D12797">
        <v>62.22</v>
      </c>
      <c r="E12797">
        <v>76</v>
      </c>
    </row>
    <row r="12798" spans="1:5" x14ac:dyDescent="0.3">
      <c r="A12798" t="s">
        <v>122</v>
      </c>
      <c r="B12798" s="1">
        <v>44685</v>
      </c>
      <c r="C12798">
        <v>1</v>
      </c>
      <c r="D12798">
        <v>20.82</v>
      </c>
      <c r="E12798">
        <v>26</v>
      </c>
    </row>
    <row r="12799" spans="1:5" x14ac:dyDescent="0.3">
      <c r="A12799" t="s">
        <v>58</v>
      </c>
      <c r="B12799" s="1">
        <v>44685</v>
      </c>
      <c r="C12799">
        <v>1</v>
      </c>
      <c r="D12799">
        <v>84.36</v>
      </c>
      <c r="E12799">
        <v>102</v>
      </c>
    </row>
    <row r="12800" spans="1:5" x14ac:dyDescent="0.3">
      <c r="A12800" t="s">
        <v>58</v>
      </c>
      <c r="B12800" s="1">
        <v>44685</v>
      </c>
      <c r="C12800">
        <v>1</v>
      </c>
      <c r="D12800">
        <v>84.36</v>
      </c>
      <c r="E12800">
        <v>102</v>
      </c>
    </row>
    <row r="12801" spans="1:5" x14ac:dyDescent="0.3">
      <c r="A12801" t="s">
        <v>58</v>
      </c>
      <c r="B12801" s="1">
        <v>44685</v>
      </c>
      <c r="C12801">
        <v>1</v>
      </c>
      <c r="D12801">
        <v>80.28</v>
      </c>
      <c r="E12801">
        <v>97</v>
      </c>
    </row>
    <row r="12802" spans="1:5" x14ac:dyDescent="0.3">
      <c r="A12802" t="s">
        <v>62</v>
      </c>
      <c r="B12802" s="1">
        <v>44685</v>
      </c>
      <c r="C12802">
        <v>1</v>
      </c>
      <c r="D12802">
        <v>25.71</v>
      </c>
      <c r="E12802">
        <v>31</v>
      </c>
    </row>
    <row r="12803" spans="1:5" x14ac:dyDescent="0.3">
      <c r="A12803" t="s">
        <v>62</v>
      </c>
      <c r="B12803" s="1">
        <v>44685</v>
      </c>
      <c r="C12803">
        <v>1</v>
      </c>
      <c r="D12803">
        <v>25.71</v>
      </c>
      <c r="E12803">
        <v>31</v>
      </c>
    </row>
    <row r="12804" spans="1:5" x14ac:dyDescent="0.3">
      <c r="A12804" t="s">
        <v>5</v>
      </c>
      <c r="B12804" s="1">
        <v>44685</v>
      </c>
      <c r="C12804">
        <v>1</v>
      </c>
      <c r="D12804">
        <v>146.1</v>
      </c>
      <c r="E12804">
        <v>173</v>
      </c>
    </row>
    <row r="12805" spans="1:5" x14ac:dyDescent="0.3">
      <c r="A12805" t="s">
        <v>106</v>
      </c>
      <c r="B12805" s="1">
        <v>44685</v>
      </c>
      <c r="C12805">
        <v>1</v>
      </c>
      <c r="D12805">
        <v>41.74</v>
      </c>
      <c r="E12805">
        <v>51</v>
      </c>
    </row>
    <row r="12806" spans="1:5" x14ac:dyDescent="0.3">
      <c r="A12806" t="s">
        <v>84</v>
      </c>
      <c r="B12806" s="1">
        <v>44685</v>
      </c>
      <c r="C12806">
        <v>1</v>
      </c>
      <c r="D12806">
        <v>168.78</v>
      </c>
      <c r="E12806">
        <v>195</v>
      </c>
    </row>
    <row r="12807" spans="1:5" x14ac:dyDescent="0.3">
      <c r="A12807" t="s">
        <v>49</v>
      </c>
      <c r="B12807" s="1">
        <v>44685</v>
      </c>
      <c r="C12807">
        <v>1</v>
      </c>
      <c r="D12807">
        <v>16.309999999999999</v>
      </c>
      <c r="E12807">
        <v>20</v>
      </c>
    </row>
    <row r="12808" spans="1:5" x14ac:dyDescent="0.3">
      <c r="A12808" t="s">
        <v>62</v>
      </c>
      <c r="B12808" s="1">
        <v>44685</v>
      </c>
      <c r="C12808">
        <v>1</v>
      </c>
      <c r="D12808">
        <v>25.2</v>
      </c>
      <c r="E12808">
        <v>30</v>
      </c>
    </row>
    <row r="12809" spans="1:5" x14ac:dyDescent="0.3">
      <c r="A12809" t="s">
        <v>5</v>
      </c>
      <c r="B12809" s="1">
        <v>44685</v>
      </c>
      <c r="C12809">
        <v>1</v>
      </c>
      <c r="D12809">
        <v>137.13</v>
      </c>
      <c r="E12809">
        <v>164</v>
      </c>
    </row>
    <row r="12810" spans="1:5" x14ac:dyDescent="0.3">
      <c r="A12810" t="s">
        <v>98</v>
      </c>
      <c r="B12810" s="1">
        <v>44685</v>
      </c>
      <c r="C12810">
        <v>1</v>
      </c>
      <c r="D12810">
        <v>111.24</v>
      </c>
      <c r="E12810">
        <v>133</v>
      </c>
    </row>
    <row r="12811" spans="1:5" x14ac:dyDescent="0.3">
      <c r="A12811" t="s">
        <v>26</v>
      </c>
      <c r="B12811" s="1">
        <v>44685</v>
      </c>
      <c r="C12811">
        <v>0.1</v>
      </c>
      <c r="D12811">
        <v>1217.92</v>
      </c>
      <c r="E12811">
        <v>1596</v>
      </c>
    </row>
    <row r="12812" spans="1:5" x14ac:dyDescent="0.3">
      <c r="A12812" t="s">
        <v>65</v>
      </c>
      <c r="B12812" s="1">
        <v>44685</v>
      </c>
      <c r="C12812">
        <v>1</v>
      </c>
      <c r="D12812">
        <v>176.42</v>
      </c>
      <c r="E12812">
        <v>207</v>
      </c>
    </row>
    <row r="12813" spans="1:5" x14ac:dyDescent="0.3">
      <c r="A12813" t="s">
        <v>93</v>
      </c>
      <c r="B12813" s="1">
        <v>44685</v>
      </c>
      <c r="C12813">
        <v>1</v>
      </c>
      <c r="D12813">
        <v>67.540000000000006</v>
      </c>
      <c r="E12813">
        <v>96</v>
      </c>
    </row>
    <row r="12814" spans="1:5" x14ac:dyDescent="0.3">
      <c r="A12814" t="s">
        <v>56</v>
      </c>
      <c r="B12814" s="1">
        <v>44685</v>
      </c>
      <c r="C12814">
        <v>1</v>
      </c>
      <c r="D12814">
        <v>43.7</v>
      </c>
      <c r="E12814">
        <v>67</v>
      </c>
    </row>
    <row r="12815" spans="1:5" x14ac:dyDescent="0.3">
      <c r="A12815" t="s">
        <v>65</v>
      </c>
      <c r="B12815" s="1">
        <v>44685</v>
      </c>
      <c r="C12815">
        <v>1</v>
      </c>
      <c r="D12815">
        <v>181.12</v>
      </c>
      <c r="E12815">
        <v>212</v>
      </c>
    </row>
    <row r="12816" spans="1:5" x14ac:dyDescent="0.3">
      <c r="A12816" t="s">
        <v>25</v>
      </c>
      <c r="B12816" s="1">
        <v>44685</v>
      </c>
      <c r="C12816">
        <v>1</v>
      </c>
      <c r="D12816">
        <v>147.47</v>
      </c>
      <c r="E12816">
        <v>177</v>
      </c>
    </row>
    <row r="12817" spans="1:5" x14ac:dyDescent="0.3">
      <c r="A12817" t="s">
        <v>70</v>
      </c>
      <c r="B12817" s="1">
        <v>44685</v>
      </c>
      <c r="C12817">
        <v>1</v>
      </c>
      <c r="D12817">
        <v>184.78</v>
      </c>
      <c r="E12817">
        <v>219</v>
      </c>
    </row>
    <row r="12818" spans="1:5" x14ac:dyDescent="0.3">
      <c r="A12818" t="s">
        <v>95</v>
      </c>
      <c r="B12818" s="1">
        <v>44685</v>
      </c>
      <c r="C12818">
        <v>1</v>
      </c>
      <c r="D12818">
        <v>129.25</v>
      </c>
      <c r="E12818">
        <v>197</v>
      </c>
    </row>
    <row r="12819" spans="1:5" x14ac:dyDescent="0.3">
      <c r="A12819" t="s">
        <v>105</v>
      </c>
      <c r="B12819" s="1">
        <v>44685</v>
      </c>
      <c r="C12819">
        <v>4</v>
      </c>
      <c r="D12819">
        <v>24.59</v>
      </c>
      <c r="E12819">
        <v>40</v>
      </c>
    </row>
    <row r="12820" spans="1:5" x14ac:dyDescent="0.3">
      <c r="A12820" t="s">
        <v>48</v>
      </c>
      <c r="B12820" s="1">
        <v>44685</v>
      </c>
      <c r="C12820">
        <v>1</v>
      </c>
      <c r="D12820">
        <v>42.23</v>
      </c>
      <c r="E12820">
        <v>67</v>
      </c>
    </row>
    <row r="12821" spans="1:5" x14ac:dyDescent="0.3">
      <c r="A12821" t="s">
        <v>48</v>
      </c>
      <c r="B12821" s="1">
        <v>44685</v>
      </c>
      <c r="C12821">
        <v>1</v>
      </c>
      <c r="D12821">
        <v>42.23</v>
      </c>
      <c r="E12821">
        <v>67</v>
      </c>
    </row>
    <row r="12822" spans="1:5" x14ac:dyDescent="0.3">
      <c r="A12822" t="s">
        <v>31</v>
      </c>
      <c r="B12822" s="1">
        <v>44685</v>
      </c>
      <c r="C12822">
        <v>1</v>
      </c>
      <c r="D12822">
        <v>12.48</v>
      </c>
      <c r="E12822">
        <v>17</v>
      </c>
    </row>
    <row r="12823" spans="1:5" x14ac:dyDescent="0.3">
      <c r="A12823" t="s">
        <v>31</v>
      </c>
      <c r="B12823" s="1">
        <v>44685</v>
      </c>
      <c r="C12823">
        <v>1</v>
      </c>
      <c r="D12823">
        <v>12.48</v>
      </c>
      <c r="E12823">
        <v>17</v>
      </c>
    </row>
    <row r="12824" spans="1:5" x14ac:dyDescent="0.3">
      <c r="A12824" t="s">
        <v>31</v>
      </c>
      <c r="B12824" s="1">
        <v>44685</v>
      </c>
      <c r="C12824">
        <v>1</v>
      </c>
      <c r="D12824">
        <v>12.48</v>
      </c>
      <c r="E12824">
        <v>17</v>
      </c>
    </row>
    <row r="12825" spans="1:5" x14ac:dyDescent="0.3">
      <c r="A12825" t="s">
        <v>31</v>
      </c>
      <c r="B12825" s="1">
        <v>44685</v>
      </c>
      <c r="C12825">
        <v>1</v>
      </c>
      <c r="D12825">
        <v>12.48</v>
      </c>
      <c r="E12825">
        <v>17</v>
      </c>
    </row>
    <row r="12826" spans="1:5" x14ac:dyDescent="0.3">
      <c r="A12826" t="s">
        <v>31</v>
      </c>
      <c r="B12826" s="1">
        <v>44685</v>
      </c>
      <c r="C12826">
        <v>1</v>
      </c>
      <c r="D12826">
        <v>12.48</v>
      </c>
      <c r="E12826">
        <v>17</v>
      </c>
    </row>
    <row r="12827" spans="1:5" x14ac:dyDescent="0.3">
      <c r="A12827" t="s">
        <v>131</v>
      </c>
      <c r="B12827" s="1">
        <v>44685</v>
      </c>
      <c r="C12827">
        <v>1</v>
      </c>
      <c r="D12827">
        <v>361.44</v>
      </c>
      <c r="E12827">
        <v>423</v>
      </c>
    </row>
    <row r="12828" spans="1:5" x14ac:dyDescent="0.3">
      <c r="A12828" t="s">
        <v>43</v>
      </c>
      <c r="B12828" s="1">
        <v>44685</v>
      </c>
      <c r="C12828">
        <v>1</v>
      </c>
      <c r="D12828">
        <v>143.36000000000001</v>
      </c>
      <c r="E12828">
        <v>170</v>
      </c>
    </row>
    <row r="12829" spans="1:5" x14ac:dyDescent="0.3">
      <c r="A12829" t="s">
        <v>24</v>
      </c>
      <c r="B12829" s="1">
        <v>44685</v>
      </c>
      <c r="C12829">
        <v>1</v>
      </c>
      <c r="D12829">
        <v>99.48</v>
      </c>
      <c r="E12829">
        <v>116</v>
      </c>
    </row>
    <row r="12830" spans="1:5" x14ac:dyDescent="0.3">
      <c r="A12830" t="s">
        <v>147</v>
      </c>
      <c r="B12830" s="1">
        <v>44685</v>
      </c>
      <c r="C12830">
        <v>1</v>
      </c>
      <c r="D12830">
        <v>137.1</v>
      </c>
      <c r="E12830">
        <v>194</v>
      </c>
    </row>
    <row r="12831" spans="1:5" x14ac:dyDescent="0.3">
      <c r="A12831" t="s">
        <v>64</v>
      </c>
      <c r="B12831" s="1">
        <v>44685</v>
      </c>
      <c r="C12831">
        <v>1</v>
      </c>
      <c r="D12831">
        <v>205.33</v>
      </c>
      <c r="E12831">
        <v>278</v>
      </c>
    </row>
    <row r="12832" spans="1:5" x14ac:dyDescent="0.3">
      <c r="A12832" t="s">
        <v>132</v>
      </c>
      <c r="B12832" s="1">
        <v>44684</v>
      </c>
      <c r="C12832">
        <v>1</v>
      </c>
      <c r="D12832">
        <v>58.75</v>
      </c>
      <c r="E12832">
        <v>86</v>
      </c>
    </row>
    <row r="12833" spans="1:5" x14ac:dyDescent="0.3">
      <c r="A12833" t="s">
        <v>19</v>
      </c>
      <c r="B12833" s="1">
        <v>44684</v>
      </c>
      <c r="C12833">
        <v>1</v>
      </c>
      <c r="D12833">
        <v>80.52</v>
      </c>
      <c r="E12833">
        <v>103</v>
      </c>
    </row>
    <row r="12834" spans="1:5" x14ac:dyDescent="0.3">
      <c r="A12834" t="s">
        <v>34</v>
      </c>
      <c r="B12834" s="1">
        <v>44684</v>
      </c>
      <c r="C12834">
        <v>1</v>
      </c>
      <c r="D12834">
        <v>205.48</v>
      </c>
      <c r="E12834">
        <v>237</v>
      </c>
    </row>
    <row r="12835" spans="1:5" x14ac:dyDescent="0.3">
      <c r="A12835" t="s">
        <v>53</v>
      </c>
      <c r="B12835" s="1">
        <v>44684</v>
      </c>
      <c r="C12835">
        <v>1</v>
      </c>
      <c r="D12835">
        <v>23.4</v>
      </c>
      <c r="E12835">
        <v>38</v>
      </c>
    </row>
    <row r="12836" spans="1:5" x14ac:dyDescent="0.3">
      <c r="A12836" t="s">
        <v>53</v>
      </c>
      <c r="B12836" s="1">
        <v>44684</v>
      </c>
      <c r="C12836">
        <v>1</v>
      </c>
      <c r="D12836">
        <v>23.4</v>
      </c>
      <c r="E12836">
        <v>38</v>
      </c>
    </row>
    <row r="12837" spans="1:5" x14ac:dyDescent="0.3">
      <c r="A12837" t="s">
        <v>18</v>
      </c>
      <c r="B12837" s="1">
        <v>44684</v>
      </c>
      <c r="C12837">
        <v>1</v>
      </c>
      <c r="D12837">
        <v>44</v>
      </c>
      <c r="E12837">
        <v>69</v>
      </c>
    </row>
    <row r="12838" spans="1:5" x14ac:dyDescent="0.3">
      <c r="A12838" t="s">
        <v>102</v>
      </c>
      <c r="B12838" s="1">
        <v>44684</v>
      </c>
      <c r="C12838">
        <v>1</v>
      </c>
      <c r="D12838">
        <v>27.5</v>
      </c>
      <c r="E12838">
        <v>34</v>
      </c>
    </row>
    <row r="12839" spans="1:5" x14ac:dyDescent="0.3">
      <c r="A12839" t="s">
        <v>94</v>
      </c>
      <c r="B12839" s="1">
        <v>44684</v>
      </c>
      <c r="C12839">
        <v>0.28876200000000002</v>
      </c>
      <c r="D12839">
        <v>28.46</v>
      </c>
      <c r="E12839">
        <v>39</v>
      </c>
    </row>
    <row r="12840" spans="1:5" x14ac:dyDescent="0.3">
      <c r="A12840" t="s">
        <v>94</v>
      </c>
      <c r="B12840" s="1">
        <v>44684</v>
      </c>
      <c r="C12840">
        <v>0.71123800000000004</v>
      </c>
      <c r="D12840">
        <v>28.46</v>
      </c>
      <c r="E12840">
        <v>39</v>
      </c>
    </row>
    <row r="12841" spans="1:5" x14ac:dyDescent="0.3">
      <c r="A12841" t="s">
        <v>94</v>
      </c>
      <c r="B12841" s="1">
        <v>44684</v>
      </c>
      <c r="C12841">
        <v>0.28876200000000002</v>
      </c>
      <c r="D12841">
        <v>28.46</v>
      </c>
      <c r="E12841">
        <v>39</v>
      </c>
    </row>
    <row r="12842" spans="1:5" x14ac:dyDescent="0.3">
      <c r="A12842" t="s">
        <v>94</v>
      </c>
      <c r="B12842" s="1">
        <v>44684</v>
      </c>
      <c r="C12842">
        <v>0.71123800000000004</v>
      </c>
      <c r="D12842">
        <v>28.46</v>
      </c>
      <c r="E12842">
        <v>39</v>
      </c>
    </row>
    <row r="12843" spans="1:5" x14ac:dyDescent="0.3">
      <c r="A12843" t="s">
        <v>94</v>
      </c>
      <c r="B12843" s="1">
        <v>44684</v>
      </c>
      <c r="C12843">
        <v>0.28876200000000002</v>
      </c>
      <c r="D12843">
        <v>28.46</v>
      </c>
      <c r="E12843">
        <v>39</v>
      </c>
    </row>
    <row r="12844" spans="1:5" x14ac:dyDescent="0.3">
      <c r="A12844" t="s">
        <v>94</v>
      </c>
      <c r="B12844" s="1">
        <v>44684</v>
      </c>
      <c r="C12844">
        <v>0.71123800000000004</v>
      </c>
      <c r="D12844">
        <v>28.46</v>
      </c>
      <c r="E12844">
        <v>39</v>
      </c>
    </row>
    <row r="12845" spans="1:5" x14ac:dyDescent="0.3">
      <c r="A12845" t="s">
        <v>94</v>
      </c>
      <c r="B12845" s="1">
        <v>44684</v>
      </c>
      <c r="C12845">
        <v>0.28876200000000002</v>
      </c>
      <c r="D12845">
        <v>28.46</v>
      </c>
      <c r="E12845">
        <v>39</v>
      </c>
    </row>
    <row r="12846" spans="1:5" x14ac:dyDescent="0.3">
      <c r="A12846" t="s">
        <v>94</v>
      </c>
      <c r="B12846" s="1">
        <v>44684</v>
      </c>
      <c r="C12846">
        <v>0.71123800000000004</v>
      </c>
      <c r="D12846">
        <v>28.46</v>
      </c>
      <c r="E12846">
        <v>39</v>
      </c>
    </row>
    <row r="12847" spans="1:5" x14ac:dyDescent="0.3">
      <c r="A12847" t="s">
        <v>94</v>
      </c>
      <c r="B12847" s="1">
        <v>44684</v>
      </c>
      <c r="C12847">
        <v>0.28876200000000002</v>
      </c>
      <c r="D12847">
        <v>28.46</v>
      </c>
      <c r="E12847">
        <v>39</v>
      </c>
    </row>
    <row r="12848" spans="1:5" x14ac:dyDescent="0.3">
      <c r="A12848" t="s">
        <v>94</v>
      </c>
      <c r="B12848" s="1">
        <v>44684</v>
      </c>
      <c r="C12848">
        <v>0.71123800000000004</v>
      </c>
      <c r="D12848">
        <v>28.46</v>
      </c>
      <c r="E12848">
        <v>39</v>
      </c>
    </row>
    <row r="12849" spans="1:5" x14ac:dyDescent="0.3">
      <c r="A12849" t="s">
        <v>94</v>
      </c>
      <c r="B12849" s="1">
        <v>44684</v>
      </c>
      <c r="C12849">
        <v>0.28876200000000002</v>
      </c>
      <c r="D12849">
        <v>28.46</v>
      </c>
      <c r="E12849">
        <v>39</v>
      </c>
    </row>
    <row r="12850" spans="1:5" x14ac:dyDescent="0.3">
      <c r="A12850" t="s">
        <v>94</v>
      </c>
      <c r="B12850" s="1">
        <v>44684</v>
      </c>
      <c r="C12850">
        <v>0.71123800000000004</v>
      </c>
      <c r="D12850">
        <v>28.46</v>
      </c>
      <c r="E12850">
        <v>39</v>
      </c>
    </row>
    <row r="12851" spans="1:5" x14ac:dyDescent="0.3">
      <c r="A12851" t="s">
        <v>94</v>
      </c>
      <c r="B12851" s="1">
        <v>44684</v>
      </c>
      <c r="C12851">
        <v>0.28876200000000002</v>
      </c>
      <c r="D12851">
        <v>28.46</v>
      </c>
      <c r="E12851">
        <v>39</v>
      </c>
    </row>
    <row r="12852" spans="1:5" x14ac:dyDescent="0.3">
      <c r="A12852" t="s">
        <v>94</v>
      </c>
      <c r="B12852" s="1">
        <v>44684</v>
      </c>
      <c r="C12852">
        <v>0.71123800000000004</v>
      </c>
      <c r="D12852">
        <v>28.46</v>
      </c>
      <c r="E12852">
        <v>39</v>
      </c>
    </row>
    <row r="12853" spans="1:5" x14ac:dyDescent="0.3">
      <c r="A12853" t="s">
        <v>94</v>
      </c>
      <c r="B12853" s="1">
        <v>44684</v>
      </c>
      <c r="C12853">
        <v>0.28876200000000002</v>
      </c>
      <c r="D12853">
        <v>28.46</v>
      </c>
      <c r="E12853">
        <v>39</v>
      </c>
    </row>
    <row r="12854" spans="1:5" x14ac:dyDescent="0.3">
      <c r="A12854" t="s">
        <v>94</v>
      </c>
      <c r="B12854" s="1">
        <v>44684</v>
      </c>
      <c r="C12854">
        <v>0.71123800000000004</v>
      </c>
      <c r="D12854">
        <v>28.46</v>
      </c>
      <c r="E12854">
        <v>39</v>
      </c>
    </row>
    <row r="12855" spans="1:5" x14ac:dyDescent="0.3">
      <c r="A12855" t="s">
        <v>94</v>
      </c>
      <c r="B12855" s="1">
        <v>44684</v>
      </c>
      <c r="C12855">
        <v>0.28876200000000002</v>
      </c>
      <c r="D12855">
        <v>28.46</v>
      </c>
      <c r="E12855">
        <v>39</v>
      </c>
    </row>
    <row r="12856" spans="1:5" x14ac:dyDescent="0.3">
      <c r="A12856" t="s">
        <v>94</v>
      </c>
      <c r="B12856" s="1">
        <v>44684</v>
      </c>
      <c r="C12856">
        <v>0.71123800000000004</v>
      </c>
      <c r="D12856">
        <v>28.46</v>
      </c>
      <c r="E12856">
        <v>39</v>
      </c>
    </row>
    <row r="12857" spans="1:5" x14ac:dyDescent="0.3">
      <c r="A12857" t="s">
        <v>94</v>
      </c>
      <c r="B12857" s="1">
        <v>44684</v>
      </c>
      <c r="C12857">
        <v>0.28876200000000002</v>
      </c>
      <c r="D12857">
        <v>28.46</v>
      </c>
      <c r="E12857">
        <v>39</v>
      </c>
    </row>
    <row r="12858" spans="1:5" x14ac:dyDescent="0.3">
      <c r="A12858" t="s">
        <v>94</v>
      </c>
      <c r="B12858" s="1">
        <v>44684</v>
      </c>
      <c r="C12858">
        <v>0.71123800000000004</v>
      </c>
      <c r="D12858">
        <v>28.46</v>
      </c>
      <c r="E12858">
        <v>39</v>
      </c>
    </row>
    <row r="12859" spans="1:5" x14ac:dyDescent="0.3">
      <c r="A12859" t="s">
        <v>95</v>
      </c>
      <c r="B12859" s="1">
        <v>44684</v>
      </c>
      <c r="C12859">
        <v>0.28876200000000002</v>
      </c>
      <c r="D12859">
        <v>129.25</v>
      </c>
      <c r="E12859">
        <v>197</v>
      </c>
    </row>
    <row r="12860" spans="1:5" x14ac:dyDescent="0.3">
      <c r="A12860" t="s">
        <v>95</v>
      </c>
      <c r="B12860" s="1">
        <v>44684</v>
      </c>
      <c r="C12860">
        <v>0.71123800000000004</v>
      </c>
      <c r="D12860">
        <v>129.25</v>
      </c>
      <c r="E12860">
        <v>197</v>
      </c>
    </row>
    <row r="12861" spans="1:5" x14ac:dyDescent="0.3">
      <c r="A12861" t="s">
        <v>28</v>
      </c>
      <c r="B12861" s="1">
        <v>44684</v>
      </c>
      <c r="C12861">
        <v>0.28876200000000002</v>
      </c>
      <c r="D12861">
        <v>135.44999999999999</v>
      </c>
      <c r="E12861">
        <v>189</v>
      </c>
    </row>
    <row r="12862" spans="1:5" x14ac:dyDescent="0.3">
      <c r="A12862" t="s">
        <v>28</v>
      </c>
      <c r="B12862" s="1">
        <v>44684</v>
      </c>
      <c r="C12862">
        <v>0.71123800000000004</v>
      </c>
      <c r="D12862">
        <v>135.44999999999999</v>
      </c>
      <c r="E12862">
        <v>189</v>
      </c>
    </row>
    <row r="12863" spans="1:5" x14ac:dyDescent="0.3">
      <c r="A12863" t="s">
        <v>91</v>
      </c>
      <c r="B12863" s="1">
        <v>44684</v>
      </c>
      <c r="C12863">
        <v>0.28876200000000002</v>
      </c>
      <c r="D12863">
        <v>30.78</v>
      </c>
      <c r="E12863">
        <v>50</v>
      </c>
    </row>
    <row r="12864" spans="1:5" x14ac:dyDescent="0.3">
      <c r="A12864" t="s">
        <v>91</v>
      </c>
      <c r="B12864" s="1">
        <v>44684</v>
      </c>
      <c r="C12864">
        <v>0.71123800000000004</v>
      </c>
      <c r="D12864">
        <v>30.78</v>
      </c>
      <c r="E12864">
        <v>50</v>
      </c>
    </row>
    <row r="12865" spans="1:5" x14ac:dyDescent="0.3">
      <c r="A12865" t="s">
        <v>53</v>
      </c>
      <c r="B12865" s="1">
        <v>44684</v>
      </c>
      <c r="C12865">
        <v>1</v>
      </c>
      <c r="D12865">
        <v>23.4</v>
      </c>
      <c r="E12865">
        <v>38</v>
      </c>
    </row>
    <row r="12866" spans="1:5" x14ac:dyDescent="0.3">
      <c r="A12866" t="s">
        <v>47</v>
      </c>
      <c r="B12866" s="1">
        <v>44684</v>
      </c>
      <c r="C12866">
        <v>1</v>
      </c>
      <c r="D12866">
        <v>42.92</v>
      </c>
      <c r="E12866">
        <v>66</v>
      </c>
    </row>
    <row r="12867" spans="1:5" x14ac:dyDescent="0.3">
      <c r="A12867" t="s">
        <v>47</v>
      </c>
      <c r="B12867" s="1">
        <v>44684</v>
      </c>
      <c r="C12867">
        <v>1</v>
      </c>
      <c r="D12867">
        <v>42.92</v>
      </c>
      <c r="E12867">
        <v>66</v>
      </c>
    </row>
    <row r="12868" spans="1:5" x14ac:dyDescent="0.3">
      <c r="A12868" t="s">
        <v>72</v>
      </c>
      <c r="B12868" s="1">
        <v>44684</v>
      </c>
      <c r="C12868">
        <v>1</v>
      </c>
      <c r="D12868">
        <v>557.09</v>
      </c>
      <c r="E12868">
        <v>736</v>
      </c>
    </row>
    <row r="12869" spans="1:5" x14ac:dyDescent="0.3">
      <c r="A12869" t="s">
        <v>24</v>
      </c>
      <c r="B12869" s="1">
        <v>44684</v>
      </c>
      <c r="C12869">
        <v>1</v>
      </c>
      <c r="D12869">
        <v>99.48</v>
      </c>
      <c r="E12869">
        <v>116</v>
      </c>
    </row>
    <row r="12870" spans="1:5" x14ac:dyDescent="0.3">
      <c r="A12870" t="s">
        <v>24</v>
      </c>
      <c r="B12870" s="1">
        <v>44684</v>
      </c>
      <c r="C12870">
        <v>1</v>
      </c>
      <c r="D12870">
        <v>99.48</v>
      </c>
      <c r="E12870">
        <v>117</v>
      </c>
    </row>
    <row r="12871" spans="1:5" x14ac:dyDescent="0.3">
      <c r="A12871" t="s">
        <v>95</v>
      </c>
      <c r="B12871" s="1">
        <v>44684</v>
      </c>
      <c r="C12871">
        <v>1</v>
      </c>
      <c r="D12871">
        <v>133.25</v>
      </c>
      <c r="E12871">
        <v>204</v>
      </c>
    </row>
    <row r="12872" spans="1:5" x14ac:dyDescent="0.3">
      <c r="A12872" t="s">
        <v>95</v>
      </c>
      <c r="B12872" s="1">
        <v>44684</v>
      </c>
      <c r="C12872">
        <v>0.2</v>
      </c>
      <c r="D12872">
        <v>212.67</v>
      </c>
      <c r="E12872">
        <v>328</v>
      </c>
    </row>
    <row r="12873" spans="1:5" x14ac:dyDescent="0.3">
      <c r="A12873" t="s">
        <v>65</v>
      </c>
      <c r="B12873" s="1">
        <v>44684</v>
      </c>
      <c r="C12873">
        <v>1</v>
      </c>
      <c r="D12873">
        <v>186.78</v>
      </c>
      <c r="E12873">
        <v>219</v>
      </c>
    </row>
    <row r="12874" spans="1:5" x14ac:dyDescent="0.3">
      <c r="A12874" t="s">
        <v>131</v>
      </c>
      <c r="B12874" s="1">
        <v>44684</v>
      </c>
      <c r="C12874">
        <v>1</v>
      </c>
      <c r="D12874">
        <v>361.91</v>
      </c>
      <c r="E12874">
        <v>417</v>
      </c>
    </row>
    <row r="12875" spans="1:5" x14ac:dyDescent="0.3">
      <c r="A12875" t="s">
        <v>93</v>
      </c>
      <c r="B12875" s="1">
        <v>44684</v>
      </c>
      <c r="C12875">
        <v>1</v>
      </c>
      <c r="D12875">
        <v>67.84</v>
      </c>
      <c r="E12875">
        <v>99</v>
      </c>
    </row>
    <row r="12876" spans="1:5" x14ac:dyDescent="0.3">
      <c r="A12876" t="s">
        <v>75</v>
      </c>
      <c r="B12876" s="1">
        <v>44684</v>
      </c>
      <c r="C12876">
        <v>0.2</v>
      </c>
      <c r="D12876">
        <v>438.6</v>
      </c>
      <c r="E12876">
        <v>667</v>
      </c>
    </row>
    <row r="12877" spans="1:5" x14ac:dyDescent="0.3">
      <c r="A12877" t="s">
        <v>25</v>
      </c>
      <c r="B12877" s="1">
        <v>44684</v>
      </c>
      <c r="C12877">
        <v>1</v>
      </c>
      <c r="D12877">
        <v>148.58000000000001</v>
      </c>
      <c r="E12877">
        <v>179</v>
      </c>
    </row>
    <row r="12878" spans="1:5" x14ac:dyDescent="0.3">
      <c r="A12878" t="s">
        <v>104</v>
      </c>
      <c r="B12878" s="1">
        <v>44684</v>
      </c>
      <c r="C12878">
        <v>1</v>
      </c>
      <c r="D12878">
        <v>45.2</v>
      </c>
      <c r="E12878">
        <v>57</v>
      </c>
    </row>
    <row r="12879" spans="1:5" x14ac:dyDescent="0.3">
      <c r="A12879" t="s">
        <v>104</v>
      </c>
      <c r="B12879" s="1">
        <v>44684</v>
      </c>
      <c r="C12879">
        <v>1</v>
      </c>
      <c r="D12879">
        <v>45.2</v>
      </c>
      <c r="E12879">
        <v>57</v>
      </c>
    </row>
    <row r="12880" spans="1:5" x14ac:dyDescent="0.3">
      <c r="A12880" t="s">
        <v>138</v>
      </c>
      <c r="B12880" s="1">
        <v>44684</v>
      </c>
      <c r="C12880">
        <v>1</v>
      </c>
      <c r="D12880">
        <v>46.5</v>
      </c>
      <c r="E12880">
        <v>76</v>
      </c>
    </row>
    <row r="12881" spans="1:5" x14ac:dyDescent="0.3">
      <c r="A12881" t="s">
        <v>72</v>
      </c>
      <c r="B12881" s="1">
        <v>44684</v>
      </c>
      <c r="C12881">
        <v>1</v>
      </c>
      <c r="D12881">
        <v>557.09</v>
      </c>
      <c r="E12881">
        <v>736</v>
      </c>
    </row>
    <row r="12882" spans="1:5" x14ac:dyDescent="0.3">
      <c r="A12882" t="s">
        <v>24</v>
      </c>
      <c r="B12882" s="1">
        <v>44684</v>
      </c>
      <c r="C12882">
        <v>1</v>
      </c>
      <c r="D12882">
        <v>99.48</v>
      </c>
      <c r="E12882">
        <v>116</v>
      </c>
    </row>
    <row r="12883" spans="1:5" x14ac:dyDescent="0.3">
      <c r="A12883" t="s">
        <v>91</v>
      </c>
      <c r="B12883" s="1">
        <v>44684</v>
      </c>
      <c r="C12883">
        <v>1</v>
      </c>
      <c r="D12883">
        <v>32.6</v>
      </c>
      <c r="E12883">
        <v>57</v>
      </c>
    </row>
    <row r="12884" spans="1:5" x14ac:dyDescent="0.3">
      <c r="A12884" t="s">
        <v>118</v>
      </c>
      <c r="B12884" s="1">
        <v>44684</v>
      </c>
      <c r="C12884">
        <v>1</v>
      </c>
      <c r="D12884">
        <v>10.79</v>
      </c>
      <c r="E12884">
        <v>13</v>
      </c>
    </row>
    <row r="12885" spans="1:5" x14ac:dyDescent="0.3">
      <c r="A12885" t="s">
        <v>8</v>
      </c>
      <c r="B12885" s="1">
        <v>44684</v>
      </c>
      <c r="C12885">
        <v>1</v>
      </c>
      <c r="D12885">
        <v>49.12</v>
      </c>
      <c r="E12885">
        <v>85</v>
      </c>
    </row>
    <row r="12886" spans="1:5" x14ac:dyDescent="0.3">
      <c r="A12886" t="s">
        <v>24</v>
      </c>
      <c r="B12886" s="1">
        <v>44684</v>
      </c>
      <c r="C12886">
        <v>1</v>
      </c>
      <c r="D12886">
        <v>99.84</v>
      </c>
      <c r="E12886">
        <v>122</v>
      </c>
    </row>
    <row r="12887" spans="1:5" x14ac:dyDescent="0.3">
      <c r="A12887" t="s">
        <v>24</v>
      </c>
      <c r="B12887" s="1">
        <v>44684</v>
      </c>
      <c r="C12887">
        <v>1</v>
      </c>
      <c r="D12887">
        <v>99.84</v>
      </c>
      <c r="E12887">
        <v>122</v>
      </c>
    </row>
    <row r="12888" spans="1:5" x14ac:dyDescent="0.3">
      <c r="A12888" t="s">
        <v>24</v>
      </c>
      <c r="B12888" s="1">
        <v>44684</v>
      </c>
      <c r="C12888">
        <v>1</v>
      </c>
      <c r="D12888">
        <v>99.84</v>
      </c>
      <c r="E12888">
        <v>122</v>
      </c>
    </row>
    <row r="12889" spans="1:5" x14ac:dyDescent="0.3">
      <c r="A12889" t="s">
        <v>24</v>
      </c>
      <c r="B12889" s="1">
        <v>44684</v>
      </c>
      <c r="C12889">
        <v>1</v>
      </c>
      <c r="D12889">
        <v>101.4</v>
      </c>
      <c r="E12889">
        <v>120</v>
      </c>
    </row>
    <row r="12890" spans="1:5" x14ac:dyDescent="0.3">
      <c r="A12890" t="s">
        <v>25</v>
      </c>
      <c r="B12890" s="1">
        <v>44684</v>
      </c>
      <c r="C12890">
        <v>1</v>
      </c>
      <c r="D12890">
        <v>148.58000000000001</v>
      </c>
      <c r="E12890">
        <v>179</v>
      </c>
    </row>
    <row r="12891" spans="1:5" x14ac:dyDescent="0.3">
      <c r="A12891" t="s">
        <v>31</v>
      </c>
      <c r="B12891" s="1">
        <v>44684</v>
      </c>
      <c r="C12891">
        <v>1</v>
      </c>
      <c r="D12891">
        <v>13.73</v>
      </c>
      <c r="E12891">
        <v>19</v>
      </c>
    </row>
    <row r="12892" spans="1:5" x14ac:dyDescent="0.3">
      <c r="A12892" t="s">
        <v>155</v>
      </c>
      <c r="B12892" s="1">
        <v>44684</v>
      </c>
      <c r="C12892">
        <v>0.56000000000000005</v>
      </c>
      <c r="D12892">
        <v>491.7</v>
      </c>
      <c r="E12892">
        <v>713</v>
      </c>
    </row>
    <row r="12893" spans="1:5" x14ac:dyDescent="0.3">
      <c r="A12893" t="s">
        <v>88</v>
      </c>
      <c r="B12893" s="1">
        <v>44684</v>
      </c>
      <c r="C12893">
        <v>2</v>
      </c>
      <c r="D12893">
        <v>109.8</v>
      </c>
      <c r="E12893">
        <v>173</v>
      </c>
    </row>
    <row r="12894" spans="1:5" x14ac:dyDescent="0.3">
      <c r="A12894" t="s">
        <v>18</v>
      </c>
      <c r="B12894" s="1">
        <v>44684</v>
      </c>
      <c r="C12894">
        <v>1</v>
      </c>
      <c r="D12894">
        <v>46</v>
      </c>
      <c r="E12894">
        <v>73</v>
      </c>
    </row>
    <row r="12895" spans="1:5" x14ac:dyDescent="0.3">
      <c r="A12895" t="s">
        <v>18</v>
      </c>
      <c r="B12895" s="1">
        <v>44684</v>
      </c>
      <c r="C12895">
        <v>1</v>
      </c>
      <c r="D12895">
        <v>46</v>
      </c>
      <c r="E12895">
        <v>73</v>
      </c>
    </row>
    <row r="12896" spans="1:5" x14ac:dyDescent="0.3">
      <c r="A12896" t="s">
        <v>25</v>
      </c>
      <c r="B12896" s="1">
        <v>44684</v>
      </c>
      <c r="C12896">
        <v>1</v>
      </c>
      <c r="D12896">
        <v>148.58000000000001</v>
      </c>
      <c r="E12896">
        <v>179</v>
      </c>
    </row>
    <row r="12897" spans="1:5" x14ac:dyDescent="0.3">
      <c r="A12897" t="s">
        <v>35</v>
      </c>
      <c r="B12897" s="1">
        <v>44684</v>
      </c>
      <c r="C12897">
        <v>1</v>
      </c>
      <c r="D12897">
        <v>35</v>
      </c>
      <c r="E12897">
        <v>54</v>
      </c>
    </row>
    <row r="12898" spans="1:5" x14ac:dyDescent="0.3">
      <c r="A12898" t="s">
        <v>49</v>
      </c>
      <c r="B12898" s="1">
        <v>44684</v>
      </c>
      <c r="C12898">
        <v>3</v>
      </c>
      <c r="D12898">
        <v>16.309999999999999</v>
      </c>
      <c r="E12898">
        <v>20</v>
      </c>
    </row>
    <row r="12899" spans="1:5" x14ac:dyDescent="0.3">
      <c r="A12899" t="s">
        <v>54</v>
      </c>
      <c r="B12899" s="1">
        <v>44684</v>
      </c>
      <c r="C12899">
        <v>1</v>
      </c>
      <c r="D12899">
        <v>642.92999999999995</v>
      </c>
      <c r="E12899">
        <v>830</v>
      </c>
    </row>
    <row r="12900" spans="1:5" x14ac:dyDescent="0.3">
      <c r="A12900" t="s">
        <v>24</v>
      </c>
      <c r="B12900" s="1">
        <v>44684</v>
      </c>
      <c r="C12900">
        <v>1</v>
      </c>
      <c r="D12900">
        <v>99.84</v>
      </c>
      <c r="E12900">
        <v>122</v>
      </c>
    </row>
    <row r="12901" spans="1:5" x14ac:dyDescent="0.3">
      <c r="A12901" t="s">
        <v>24</v>
      </c>
      <c r="B12901" s="1">
        <v>44684</v>
      </c>
      <c r="C12901">
        <v>1</v>
      </c>
      <c r="D12901">
        <v>99.84</v>
      </c>
      <c r="E12901">
        <v>122</v>
      </c>
    </row>
    <row r="12902" spans="1:5" x14ac:dyDescent="0.3">
      <c r="A12902" t="s">
        <v>44</v>
      </c>
      <c r="B12902" s="1">
        <v>44684</v>
      </c>
      <c r="C12902">
        <v>1</v>
      </c>
      <c r="D12902">
        <v>64.23</v>
      </c>
      <c r="E12902">
        <v>100</v>
      </c>
    </row>
    <row r="12903" spans="1:5" x14ac:dyDescent="0.3">
      <c r="A12903" t="s">
        <v>129</v>
      </c>
      <c r="B12903" s="1">
        <v>44684</v>
      </c>
      <c r="C12903">
        <v>0.08</v>
      </c>
      <c r="D12903">
        <v>513.71</v>
      </c>
      <c r="E12903">
        <v>566</v>
      </c>
    </row>
    <row r="12904" spans="1:5" x14ac:dyDescent="0.3">
      <c r="A12904" t="s">
        <v>45</v>
      </c>
      <c r="B12904" s="1">
        <v>44684</v>
      </c>
      <c r="C12904">
        <v>1</v>
      </c>
      <c r="D12904">
        <v>27.94</v>
      </c>
      <c r="E12904">
        <v>45</v>
      </c>
    </row>
    <row r="12905" spans="1:5" x14ac:dyDescent="0.3">
      <c r="A12905" t="s">
        <v>157</v>
      </c>
      <c r="B12905" s="1">
        <v>44684</v>
      </c>
      <c r="C12905">
        <v>1</v>
      </c>
      <c r="D12905">
        <v>12</v>
      </c>
      <c r="E12905">
        <v>20</v>
      </c>
    </row>
    <row r="12906" spans="1:5" x14ac:dyDescent="0.3">
      <c r="A12906" t="s">
        <v>136</v>
      </c>
      <c r="B12906" s="1">
        <v>44684</v>
      </c>
      <c r="C12906">
        <v>1</v>
      </c>
      <c r="D12906">
        <v>292.33999999999997</v>
      </c>
      <c r="E12906">
        <v>410</v>
      </c>
    </row>
    <row r="12907" spans="1:5" x14ac:dyDescent="0.3">
      <c r="A12907" t="s">
        <v>78</v>
      </c>
      <c r="B12907" s="1">
        <v>44684</v>
      </c>
      <c r="C12907">
        <v>1</v>
      </c>
      <c r="D12907">
        <v>69.87</v>
      </c>
      <c r="E12907">
        <v>88</v>
      </c>
    </row>
    <row r="12908" spans="1:5" x14ac:dyDescent="0.3">
      <c r="A12908" t="s">
        <v>25</v>
      </c>
      <c r="B12908" s="1">
        <v>44684</v>
      </c>
      <c r="C12908">
        <v>1</v>
      </c>
      <c r="D12908">
        <v>148.58000000000001</v>
      </c>
      <c r="E12908">
        <v>179</v>
      </c>
    </row>
    <row r="12909" spans="1:5" x14ac:dyDescent="0.3">
      <c r="A12909" t="s">
        <v>72</v>
      </c>
      <c r="B12909" s="1">
        <v>44684</v>
      </c>
      <c r="C12909">
        <v>1</v>
      </c>
      <c r="D12909">
        <v>557.09</v>
      </c>
      <c r="E12909">
        <v>736</v>
      </c>
    </row>
    <row r="12910" spans="1:5" x14ac:dyDescent="0.3">
      <c r="A12910" t="s">
        <v>28</v>
      </c>
      <c r="B12910" s="1">
        <v>44684</v>
      </c>
      <c r="C12910">
        <v>1</v>
      </c>
      <c r="D12910">
        <v>148.74</v>
      </c>
      <c r="E12910">
        <v>201</v>
      </c>
    </row>
    <row r="12911" spans="1:5" x14ac:dyDescent="0.3">
      <c r="A12911" t="s">
        <v>77</v>
      </c>
      <c r="B12911" s="1">
        <v>44684</v>
      </c>
      <c r="C12911">
        <v>1</v>
      </c>
      <c r="D12911">
        <v>60.3</v>
      </c>
      <c r="E12911">
        <v>75</v>
      </c>
    </row>
    <row r="12912" spans="1:5" x14ac:dyDescent="0.3">
      <c r="A12912" t="s">
        <v>93</v>
      </c>
      <c r="B12912" s="1">
        <v>44684</v>
      </c>
      <c r="C12912">
        <v>1</v>
      </c>
      <c r="D12912">
        <v>67.84</v>
      </c>
      <c r="E12912">
        <v>99</v>
      </c>
    </row>
    <row r="12913" spans="1:5" x14ac:dyDescent="0.3">
      <c r="A12913" t="s">
        <v>157</v>
      </c>
      <c r="B12913" s="1">
        <v>44684</v>
      </c>
      <c r="C12913">
        <v>1</v>
      </c>
      <c r="D12913">
        <v>12</v>
      </c>
      <c r="E12913">
        <v>20</v>
      </c>
    </row>
    <row r="12914" spans="1:5" x14ac:dyDescent="0.3">
      <c r="A12914" t="s">
        <v>111</v>
      </c>
      <c r="B12914" s="1">
        <v>44684</v>
      </c>
      <c r="C12914">
        <v>1</v>
      </c>
      <c r="D12914">
        <v>177.87</v>
      </c>
      <c r="E12914">
        <v>189.65</v>
      </c>
    </row>
    <row r="12915" spans="1:5" x14ac:dyDescent="0.3">
      <c r="A12915" t="s">
        <v>34</v>
      </c>
      <c r="B12915" s="1">
        <v>44684</v>
      </c>
      <c r="C12915">
        <v>1</v>
      </c>
      <c r="D12915">
        <v>205.48</v>
      </c>
      <c r="E12915">
        <v>237</v>
      </c>
    </row>
    <row r="12916" spans="1:5" x14ac:dyDescent="0.3">
      <c r="A12916" t="s">
        <v>135</v>
      </c>
      <c r="B12916" s="1">
        <v>44684</v>
      </c>
      <c r="C12916">
        <v>1</v>
      </c>
      <c r="D12916">
        <v>72.97</v>
      </c>
      <c r="E12916">
        <v>91</v>
      </c>
    </row>
    <row r="12917" spans="1:5" x14ac:dyDescent="0.3">
      <c r="A12917" t="s">
        <v>135</v>
      </c>
      <c r="B12917" s="1">
        <v>44684</v>
      </c>
      <c r="C12917">
        <v>1</v>
      </c>
      <c r="D12917">
        <v>72.97</v>
      </c>
      <c r="E12917">
        <v>91</v>
      </c>
    </row>
    <row r="12918" spans="1:5" x14ac:dyDescent="0.3">
      <c r="A12918" t="s">
        <v>95</v>
      </c>
      <c r="B12918" s="1">
        <v>44684</v>
      </c>
      <c r="C12918">
        <v>1</v>
      </c>
      <c r="D12918">
        <v>133.25</v>
      </c>
      <c r="E12918">
        <v>204</v>
      </c>
    </row>
    <row r="12919" spans="1:5" x14ac:dyDescent="0.3">
      <c r="A12919" t="s">
        <v>85</v>
      </c>
      <c r="B12919" s="1">
        <v>44684</v>
      </c>
      <c r="C12919">
        <v>1</v>
      </c>
      <c r="D12919">
        <v>14.73</v>
      </c>
      <c r="E12919">
        <v>23</v>
      </c>
    </row>
    <row r="12920" spans="1:5" x14ac:dyDescent="0.3">
      <c r="A12920" t="s">
        <v>24</v>
      </c>
      <c r="B12920" s="1">
        <v>44684</v>
      </c>
      <c r="C12920">
        <v>1</v>
      </c>
      <c r="D12920">
        <v>97.99</v>
      </c>
      <c r="E12920">
        <v>117</v>
      </c>
    </row>
    <row r="12921" spans="1:5" x14ac:dyDescent="0.3">
      <c r="A12921" t="s">
        <v>122</v>
      </c>
      <c r="B12921" s="1">
        <v>44684</v>
      </c>
      <c r="C12921">
        <v>1</v>
      </c>
      <c r="D12921">
        <v>23.91</v>
      </c>
      <c r="E12921">
        <v>29</v>
      </c>
    </row>
    <row r="12922" spans="1:5" x14ac:dyDescent="0.3">
      <c r="A12922" t="s">
        <v>25</v>
      </c>
      <c r="B12922" s="1">
        <v>44684</v>
      </c>
      <c r="C12922">
        <v>1</v>
      </c>
      <c r="D12922">
        <v>148.58000000000001</v>
      </c>
      <c r="E12922">
        <v>179</v>
      </c>
    </row>
    <row r="12923" spans="1:5" x14ac:dyDescent="0.3">
      <c r="A12923" t="s">
        <v>157</v>
      </c>
      <c r="B12923" s="1">
        <v>44684</v>
      </c>
      <c r="C12923">
        <v>1</v>
      </c>
      <c r="D12923">
        <v>12</v>
      </c>
      <c r="E12923">
        <v>21</v>
      </c>
    </row>
    <row r="12924" spans="1:5" x14ac:dyDescent="0.3">
      <c r="A12924" t="s">
        <v>23</v>
      </c>
      <c r="B12924" s="1">
        <v>44684</v>
      </c>
      <c r="C12924">
        <v>1</v>
      </c>
      <c r="D12924">
        <v>110.23</v>
      </c>
      <c r="E12924">
        <v>124</v>
      </c>
    </row>
    <row r="12925" spans="1:5" x14ac:dyDescent="0.3">
      <c r="A12925" t="s">
        <v>24</v>
      </c>
      <c r="B12925" s="1">
        <v>44684</v>
      </c>
      <c r="C12925">
        <v>1</v>
      </c>
      <c r="D12925">
        <v>101.4</v>
      </c>
      <c r="E12925">
        <v>120</v>
      </c>
    </row>
    <row r="12926" spans="1:5" x14ac:dyDescent="0.3">
      <c r="A12926" t="s">
        <v>90</v>
      </c>
      <c r="B12926" s="1">
        <v>44684</v>
      </c>
      <c r="C12926">
        <v>1</v>
      </c>
      <c r="D12926">
        <v>401.83</v>
      </c>
      <c r="E12926">
        <v>483</v>
      </c>
    </row>
    <row r="12927" spans="1:5" x14ac:dyDescent="0.3">
      <c r="A12927" t="s">
        <v>8</v>
      </c>
      <c r="B12927" s="1">
        <v>44684</v>
      </c>
      <c r="C12927">
        <v>1</v>
      </c>
      <c r="D12927">
        <v>47.03</v>
      </c>
      <c r="E12927">
        <v>77</v>
      </c>
    </row>
    <row r="12928" spans="1:5" x14ac:dyDescent="0.3">
      <c r="A12928" t="s">
        <v>53</v>
      </c>
      <c r="B12928" s="1">
        <v>44684</v>
      </c>
      <c r="C12928">
        <v>1</v>
      </c>
      <c r="D12928">
        <v>23.4</v>
      </c>
      <c r="E12928">
        <v>38</v>
      </c>
    </row>
    <row r="12929" spans="1:5" x14ac:dyDescent="0.3">
      <c r="A12929" t="s">
        <v>24</v>
      </c>
      <c r="B12929" s="1">
        <v>44684</v>
      </c>
      <c r="C12929">
        <v>1</v>
      </c>
      <c r="D12929">
        <v>99.48</v>
      </c>
      <c r="E12929">
        <v>117</v>
      </c>
    </row>
    <row r="12930" spans="1:5" x14ac:dyDescent="0.3">
      <c r="A12930" t="s">
        <v>85</v>
      </c>
      <c r="B12930" s="1">
        <v>44684</v>
      </c>
      <c r="C12930">
        <v>1</v>
      </c>
      <c r="D12930">
        <v>18.84</v>
      </c>
      <c r="E12930">
        <v>29</v>
      </c>
    </row>
    <row r="12931" spans="1:5" x14ac:dyDescent="0.3">
      <c r="A12931" t="s">
        <v>85</v>
      </c>
      <c r="B12931" s="1">
        <v>44684</v>
      </c>
      <c r="C12931">
        <v>1</v>
      </c>
      <c r="D12931">
        <v>18.84</v>
      </c>
      <c r="E12931">
        <v>29</v>
      </c>
    </row>
    <row r="12932" spans="1:5" x14ac:dyDescent="0.3">
      <c r="A12932" t="s">
        <v>31</v>
      </c>
      <c r="B12932" s="1">
        <v>44684</v>
      </c>
      <c r="C12932">
        <v>1</v>
      </c>
      <c r="D12932">
        <v>13.73</v>
      </c>
      <c r="E12932">
        <v>19</v>
      </c>
    </row>
    <row r="12933" spans="1:5" x14ac:dyDescent="0.3">
      <c r="A12933" t="s">
        <v>31</v>
      </c>
      <c r="B12933" s="1">
        <v>44684</v>
      </c>
      <c r="C12933">
        <v>1</v>
      </c>
      <c r="D12933">
        <v>13.73</v>
      </c>
      <c r="E12933">
        <v>19</v>
      </c>
    </row>
    <row r="12934" spans="1:5" x14ac:dyDescent="0.3">
      <c r="A12934" t="s">
        <v>31</v>
      </c>
      <c r="B12934" s="1">
        <v>44684</v>
      </c>
      <c r="C12934">
        <v>1</v>
      </c>
      <c r="D12934">
        <v>13.73</v>
      </c>
      <c r="E12934">
        <v>19</v>
      </c>
    </row>
    <row r="12935" spans="1:5" x14ac:dyDescent="0.3">
      <c r="A12935" t="s">
        <v>31</v>
      </c>
      <c r="B12935" s="1">
        <v>44684</v>
      </c>
      <c r="C12935">
        <v>1</v>
      </c>
      <c r="D12935">
        <v>13.73</v>
      </c>
      <c r="E12935">
        <v>19</v>
      </c>
    </row>
    <row r="12936" spans="1:5" x14ac:dyDescent="0.3">
      <c r="A12936" t="s">
        <v>31</v>
      </c>
      <c r="B12936" s="1">
        <v>44684</v>
      </c>
      <c r="C12936">
        <v>1</v>
      </c>
      <c r="D12936">
        <v>13.73</v>
      </c>
      <c r="E12936">
        <v>19</v>
      </c>
    </row>
    <row r="12937" spans="1:5" x14ac:dyDescent="0.3">
      <c r="A12937" t="s">
        <v>98</v>
      </c>
      <c r="B12937" s="1">
        <v>44684</v>
      </c>
      <c r="C12937">
        <v>1</v>
      </c>
      <c r="D12937">
        <v>111.24</v>
      </c>
      <c r="E12937">
        <v>134</v>
      </c>
    </row>
    <row r="12938" spans="1:5" x14ac:dyDescent="0.3">
      <c r="A12938" t="s">
        <v>92</v>
      </c>
      <c r="B12938" s="1">
        <v>44684</v>
      </c>
      <c r="C12938">
        <v>1</v>
      </c>
      <c r="D12938">
        <v>6.48</v>
      </c>
      <c r="E12938">
        <v>9</v>
      </c>
    </row>
    <row r="12939" spans="1:5" x14ac:dyDescent="0.3">
      <c r="A12939" t="s">
        <v>144</v>
      </c>
      <c r="B12939" s="1">
        <v>44684</v>
      </c>
      <c r="C12939">
        <v>1</v>
      </c>
      <c r="D12939">
        <v>52.23</v>
      </c>
      <c r="E12939">
        <v>81</v>
      </c>
    </row>
    <row r="12940" spans="1:5" x14ac:dyDescent="0.3">
      <c r="A12940" t="s">
        <v>136</v>
      </c>
      <c r="B12940" s="1">
        <v>44684</v>
      </c>
      <c r="C12940">
        <v>1</v>
      </c>
      <c r="D12940">
        <v>292.33999999999997</v>
      </c>
      <c r="E12940">
        <v>386</v>
      </c>
    </row>
    <row r="12941" spans="1:5" x14ac:dyDescent="0.3">
      <c r="A12941" t="s">
        <v>24</v>
      </c>
      <c r="B12941" s="1">
        <v>44684</v>
      </c>
      <c r="C12941">
        <v>1</v>
      </c>
      <c r="D12941">
        <v>99.48</v>
      </c>
      <c r="E12941">
        <v>117</v>
      </c>
    </row>
    <row r="12942" spans="1:5" x14ac:dyDescent="0.3">
      <c r="A12942" t="s">
        <v>65</v>
      </c>
      <c r="B12942" s="1">
        <v>44684</v>
      </c>
      <c r="C12942">
        <v>1</v>
      </c>
      <c r="D12942">
        <v>186.78</v>
      </c>
      <c r="E12942">
        <v>219</v>
      </c>
    </row>
    <row r="12943" spans="1:5" x14ac:dyDescent="0.3">
      <c r="A12943" t="s">
        <v>123</v>
      </c>
      <c r="B12943" s="1">
        <v>44684</v>
      </c>
      <c r="C12943">
        <v>1</v>
      </c>
      <c r="D12943">
        <v>63.31</v>
      </c>
      <c r="E12943">
        <v>78</v>
      </c>
    </row>
    <row r="12944" spans="1:5" x14ac:dyDescent="0.3">
      <c r="A12944" t="s">
        <v>123</v>
      </c>
      <c r="B12944" s="1">
        <v>44684</v>
      </c>
      <c r="C12944">
        <v>1</v>
      </c>
      <c r="D12944">
        <v>63.31</v>
      </c>
      <c r="E12944">
        <v>78</v>
      </c>
    </row>
    <row r="12945" spans="1:5" x14ac:dyDescent="0.3">
      <c r="A12945" t="s">
        <v>8</v>
      </c>
      <c r="B12945" s="1">
        <v>44684</v>
      </c>
      <c r="C12945">
        <v>1</v>
      </c>
      <c r="D12945">
        <v>50.12</v>
      </c>
      <c r="E12945">
        <v>79</v>
      </c>
    </row>
    <row r="12946" spans="1:5" x14ac:dyDescent="0.3">
      <c r="A12946" t="s">
        <v>19</v>
      </c>
      <c r="B12946" s="1">
        <v>44684</v>
      </c>
      <c r="C12946">
        <v>1</v>
      </c>
      <c r="D12946">
        <v>81.58</v>
      </c>
      <c r="E12946">
        <v>102</v>
      </c>
    </row>
    <row r="12947" spans="1:5" x14ac:dyDescent="0.3">
      <c r="A12947" t="s">
        <v>19</v>
      </c>
      <c r="B12947" s="1">
        <v>44684</v>
      </c>
      <c r="C12947">
        <v>1</v>
      </c>
      <c r="D12947">
        <v>81.58</v>
      </c>
      <c r="E12947">
        <v>102</v>
      </c>
    </row>
    <row r="12948" spans="1:5" x14ac:dyDescent="0.3">
      <c r="A12948" t="s">
        <v>26</v>
      </c>
      <c r="B12948" s="1">
        <v>44684</v>
      </c>
      <c r="C12948">
        <v>0.2</v>
      </c>
      <c r="D12948">
        <v>1023</v>
      </c>
      <c r="E12948">
        <v>1330</v>
      </c>
    </row>
    <row r="12949" spans="1:5" x14ac:dyDescent="0.3">
      <c r="A12949" t="s">
        <v>95</v>
      </c>
      <c r="B12949" s="1">
        <v>44684</v>
      </c>
      <c r="C12949">
        <v>1</v>
      </c>
      <c r="D12949">
        <v>129.25</v>
      </c>
      <c r="E12949">
        <v>203</v>
      </c>
    </row>
    <row r="12950" spans="1:5" x14ac:dyDescent="0.3">
      <c r="A12950" t="s">
        <v>25</v>
      </c>
      <c r="B12950" s="1">
        <v>44684</v>
      </c>
      <c r="C12950">
        <v>1</v>
      </c>
      <c r="D12950">
        <v>148.58000000000001</v>
      </c>
      <c r="E12950">
        <v>179</v>
      </c>
    </row>
    <row r="12951" spans="1:5" x14ac:dyDescent="0.3">
      <c r="A12951" t="s">
        <v>134</v>
      </c>
      <c r="B12951" s="1">
        <v>44684</v>
      </c>
      <c r="C12951">
        <v>1</v>
      </c>
      <c r="D12951">
        <v>26.98</v>
      </c>
      <c r="E12951">
        <v>42</v>
      </c>
    </row>
    <row r="12952" spans="1:5" x14ac:dyDescent="0.3">
      <c r="A12952" t="s">
        <v>134</v>
      </c>
      <c r="B12952" s="1">
        <v>44684</v>
      </c>
      <c r="C12952">
        <v>1</v>
      </c>
      <c r="D12952">
        <v>26.98</v>
      </c>
      <c r="E12952">
        <v>42</v>
      </c>
    </row>
    <row r="12953" spans="1:5" x14ac:dyDescent="0.3">
      <c r="A12953" t="s">
        <v>78</v>
      </c>
      <c r="B12953" s="1">
        <v>44684</v>
      </c>
      <c r="C12953">
        <v>1</v>
      </c>
      <c r="D12953">
        <v>69.010000000000005</v>
      </c>
      <c r="E12953">
        <v>87</v>
      </c>
    </row>
    <row r="12954" spans="1:5" x14ac:dyDescent="0.3">
      <c r="A12954" t="s">
        <v>55</v>
      </c>
      <c r="B12954" s="1">
        <v>44684</v>
      </c>
      <c r="C12954">
        <v>1</v>
      </c>
      <c r="D12954">
        <v>78.510000000000005</v>
      </c>
      <c r="E12954">
        <v>95</v>
      </c>
    </row>
    <row r="12955" spans="1:5" x14ac:dyDescent="0.3">
      <c r="A12955" t="s">
        <v>124</v>
      </c>
      <c r="B12955" s="1">
        <v>44684</v>
      </c>
      <c r="C12955">
        <v>1</v>
      </c>
      <c r="D12955">
        <v>36.06</v>
      </c>
      <c r="E12955">
        <v>59</v>
      </c>
    </row>
    <row r="12956" spans="1:5" x14ac:dyDescent="0.3">
      <c r="A12956" t="s">
        <v>25</v>
      </c>
      <c r="B12956" s="1">
        <v>44684</v>
      </c>
      <c r="C12956">
        <v>1</v>
      </c>
      <c r="D12956">
        <v>148.58000000000001</v>
      </c>
      <c r="E12956">
        <v>179</v>
      </c>
    </row>
    <row r="12957" spans="1:5" x14ac:dyDescent="0.3">
      <c r="A12957" t="s">
        <v>50</v>
      </c>
      <c r="B12957" s="1">
        <v>44684</v>
      </c>
      <c r="C12957">
        <v>1</v>
      </c>
      <c r="D12957">
        <v>45.28</v>
      </c>
      <c r="E12957">
        <v>56</v>
      </c>
    </row>
    <row r="12958" spans="1:5" x14ac:dyDescent="0.3">
      <c r="A12958" t="s">
        <v>152</v>
      </c>
      <c r="B12958" s="1">
        <v>44684</v>
      </c>
      <c r="C12958">
        <v>1</v>
      </c>
      <c r="D12958">
        <v>106.17</v>
      </c>
      <c r="E12958">
        <v>133</v>
      </c>
    </row>
    <row r="12959" spans="1:5" x14ac:dyDescent="0.3">
      <c r="A12959" t="s">
        <v>62</v>
      </c>
      <c r="B12959" s="1">
        <v>44684</v>
      </c>
      <c r="C12959">
        <v>1</v>
      </c>
      <c r="D12959">
        <v>25.2</v>
      </c>
      <c r="E12959">
        <v>30</v>
      </c>
    </row>
    <row r="12960" spans="1:5" x14ac:dyDescent="0.3">
      <c r="A12960" t="s">
        <v>20</v>
      </c>
      <c r="B12960" s="1">
        <v>44684</v>
      </c>
      <c r="C12960">
        <v>1</v>
      </c>
      <c r="D12960">
        <v>21.33</v>
      </c>
      <c r="E12960">
        <v>27</v>
      </c>
    </row>
    <row r="12961" spans="1:5" x14ac:dyDescent="0.3">
      <c r="A12961" t="s">
        <v>62</v>
      </c>
      <c r="B12961" s="1">
        <v>44684</v>
      </c>
      <c r="C12961">
        <v>1</v>
      </c>
      <c r="D12961">
        <v>25.71</v>
      </c>
      <c r="E12961">
        <v>31</v>
      </c>
    </row>
    <row r="12962" spans="1:5" x14ac:dyDescent="0.3">
      <c r="A12962" t="s">
        <v>62</v>
      </c>
      <c r="B12962" s="1">
        <v>44684</v>
      </c>
      <c r="C12962">
        <v>1</v>
      </c>
      <c r="D12962">
        <v>25.2</v>
      </c>
      <c r="E12962">
        <v>30</v>
      </c>
    </row>
    <row r="12963" spans="1:5" x14ac:dyDescent="0.3">
      <c r="A12963" t="s">
        <v>24</v>
      </c>
      <c r="B12963" s="1">
        <v>44684</v>
      </c>
      <c r="C12963">
        <v>1</v>
      </c>
      <c r="D12963">
        <v>99.48</v>
      </c>
      <c r="E12963">
        <v>116</v>
      </c>
    </row>
    <row r="12964" spans="1:5" x14ac:dyDescent="0.3">
      <c r="A12964" t="s">
        <v>31</v>
      </c>
      <c r="B12964" s="1">
        <v>44684</v>
      </c>
      <c r="C12964">
        <v>1</v>
      </c>
      <c r="D12964">
        <v>13.31</v>
      </c>
      <c r="E12964">
        <v>18</v>
      </c>
    </row>
    <row r="12965" spans="1:5" x14ac:dyDescent="0.3">
      <c r="A12965" t="s">
        <v>112</v>
      </c>
      <c r="B12965" s="1">
        <v>44684</v>
      </c>
      <c r="C12965">
        <v>1</v>
      </c>
      <c r="D12965">
        <v>291.43</v>
      </c>
      <c r="E12965">
        <v>331</v>
      </c>
    </row>
    <row r="12966" spans="1:5" x14ac:dyDescent="0.3">
      <c r="A12966" t="s">
        <v>67</v>
      </c>
      <c r="B12966" s="1">
        <v>44684</v>
      </c>
      <c r="C12966">
        <v>1</v>
      </c>
      <c r="D12966">
        <v>54.32</v>
      </c>
      <c r="E12966">
        <v>78</v>
      </c>
    </row>
    <row r="12967" spans="1:5" x14ac:dyDescent="0.3">
      <c r="A12967" t="s">
        <v>25</v>
      </c>
      <c r="B12967" s="1">
        <v>44684</v>
      </c>
      <c r="C12967">
        <v>1</v>
      </c>
      <c r="D12967">
        <v>148.58000000000001</v>
      </c>
      <c r="E12967">
        <v>179</v>
      </c>
    </row>
    <row r="12968" spans="1:5" x14ac:dyDescent="0.3">
      <c r="A12968" t="s">
        <v>65</v>
      </c>
      <c r="B12968" s="1">
        <v>44684</v>
      </c>
      <c r="C12968">
        <v>1</v>
      </c>
      <c r="D12968">
        <v>186.78</v>
      </c>
      <c r="E12968">
        <v>219</v>
      </c>
    </row>
    <row r="12969" spans="1:5" x14ac:dyDescent="0.3">
      <c r="A12969" t="s">
        <v>47</v>
      </c>
      <c r="B12969" s="1">
        <v>44684</v>
      </c>
      <c r="C12969">
        <v>1</v>
      </c>
      <c r="D12969">
        <v>41.58</v>
      </c>
      <c r="E12969">
        <v>65</v>
      </c>
    </row>
    <row r="12970" spans="1:5" x14ac:dyDescent="0.3">
      <c r="A12970" t="s">
        <v>47</v>
      </c>
      <c r="B12970" s="1">
        <v>44684</v>
      </c>
      <c r="C12970">
        <v>1</v>
      </c>
      <c r="D12970">
        <v>41.58</v>
      </c>
      <c r="E12970">
        <v>65</v>
      </c>
    </row>
    <row r="12971" spans="1:5" x14ac:dyDescent="0.3">
      <c r="A12971" t="s">
        <v>143</v>
      </c>
      <c r="B12971" s="1">
        <v>44684</v>
      </c>
      <c r="C12971">
        <v>1</v>
      </c>
      <c r="D12971">
        <v>46.9</v>
      </c>
      <c r="E12971">
        <v>73</v>
      </c>
    </row>
    <row r="12972" spans="1:5" x14ac:dyDescent="0.3">
      <c r="A12972" t="s">
        <v>21</v>
      </c>
      <c r="B12972" s="1">
        <v>44684</v>
      </c>
      <c r="C12972">
        <v>1</v>
      </c>
      <c r="D12972">
        <v>184.02</v>
      </c>
      <c r="E12972">
        <v>256</v>
      </c>
    </row>
    <row r="12973" spans="1:5" x14ac:dyDescent="0.3">
      <c r="A12973" t="s">
        <v>87</v>
      </c>
      <c r="B12973" s="1">
        <v>44684</v>
      </c>
      <c r="C12973">
        <v>1</v>
      </c>
      <c r="D12973">
        <v>351.11</v>
      </c>
      <c r="E12973">
        <v>413</v>
      </c>
    </row>
    <row r="12974" spans="1:5" x14ac:dyDescent="0.3">
      <c r="A12974" t="s">
        <v>157</v>
      </c>
      <c r="B12974" s="1">
        <v>44684</v>
      </c>
      <c r="C12974">
        <v>1</v>
      </c>
      <c r="D12974">
        <v>12</v>
      </c>
      <c r="E12974">
        <v>20</v>
      </c>
    </row>
    <row r="12975" spans="1:5" x14ac:dyDescent="0.3">
      <c r="A12975" t="s">
        <v>95</v>
      </c>
      <c r="B12975" s="1">
        <v>44684</v>
      </c>
      <c r="C12975">
        <v>1</v>
      </c>
      <c r="D12975">
        <v>113.11</v>
      </c>
      <c r="E12975">
        <v>174</v>
      </c>
    </row>
    <row r="12976" spans="1:5" x14ac:dyDescent="0.3">
      <c r="A12976" t="s">
        <v>146</v>
      </c>
      <c r="B12976" s="1">
        <v>44684</v>
      </c>
      <c r="C12976">
        <v>1</v>
      </c>
      <c r="D12976">
        <v>406.36</v>
      </c>
      <c r="E12976">
        <v>456</v>
      </c>
    </row>
    <row r="12977" spans="1:5" x14ac:dyDescent="0.3">
      <c r="A12977" t="s">
        <v>26</v>
      </c>
      <c r="B12977" s="1">
        <v>44684</v>
      </c>
      <c r="C12977">
        <v>0.4</v>
      </c>
      <c r="D12977">
        <v>1262.29</v>
      </c>
      <c r="E12977">
        <v>1616</v>
      </c>
    </row>
    <row r="12978" spans="1:5" x14ac:dyDescent="0.3">
      <c r="A12978" t="s">
        <v>72</v>
      </c>
      <c r="B12978" s="1">
        <v>44684</v>
      </c>
      <c r="C12978">
        <v>1</v>
      </c>
      <c r="D12978">
        <v>557.09</v>
      </c>
      <c r="E12978">
        <v>736</v>
      </c>
    </row>
    <row r="12979" spans="1:5" x14ac:dyDescent="0.3">
      <c r="A12979" t="s">
        <v>98</v>
      </c>
      <c r="B12979" s="1">
        <v>44684</v>
      </c>
      <c r="C12979">
        <v>1</v>
      </c>
      <c r="D12979">
        <v>111.74</v>
      </c>
      <c r="E12979">
        <v>135</v>
      </c>
    </row>
    <row r="12980" spans="1:5" x14ac:dyDescent="0.3">
      <c r="A12980" t="s">
        <v>23</v>
      </c>
      <c r="B12980" s="1">
        <v>44684</v>
      </c>
      <c r="C12980">
        <v>1</v>
      </c>
      <c r="D12980">
        <v>110.23</v>
      </c>
      <c r="E12980">
        <v>124</v>
      </c>
    </row>
    <row r="12981" spans="1:5" x14ac:dyDescent="0.3">
      <c r="A12981" t="s">
        <v>34</v>
      </c>
      <c r="B12981" s="1">
        <v>44684</v>
      </c>
      <c r="C12981">
        <v>1</v>
      </c>
      <c r="D12981">
        <v>222.48</v>
      </c>
      <c r="E12981">
        <v>256</v>
      </c>
    </row>
    <row r="12982" spans="1:5" x14ac:dyDescent="0.3">
      <c r="A12982" t="s">
        <v>25</v>
      </c>
      <c r="B12982" s="1">
        <v>44684</v>
      </c>
      <c r="C12982">
        <v>1</v>
      </c>
      <c r="D12982">
        <v>148.58000000000001</v>
      </c>
      <c r="E12982">
        <v>179</v>
      </c>
    </row>
    <row r="12983" spans="1:5" x14ac:dyDescent="0.3">
      <c r="A12983" t="s">
        <v>25</v>
      </c>
      <c r="B12983" s="1">
        <v>44684</v>
      </c>
      <c r="C12983">
        <v>1</v>
      </c>
      <c r="D12983">
        <v>148.58000000000001</v>
      </c>
      <c r="E12983">
        <v>179</v>
      </c>
    </row>
    <row r="12984" spans="1:5" x14ac:dyDescent="0.3">
      <c r="A12984" t="s">
        <v>156</v>
      </c>
      <c r="B12984" s="1">
        <v>44684</v>
      </c>
      <c r="C12984">
        <v>1</v>
      </c>
      <c r="D12984">
        <v>257.69</v>
      </c>
      <c r="E12984">
        <v>361</v>
      </c>
    </row>
    <row r="12985" spans="1:5" x14ac:dyDescent="0.3">
      <c r="A12985" t="s">
        <v>156</v>
      </c>
      <c r="B12985" s="1">
        <v>44684</v>
      </c>
      <c r="C12985">
        <v>1</v>
      </c>
      <c r="D12985">
        <v>257.69</v>
      </c>
      <c r="E12985">
        <v>361</v>
      </c>
    </row>
    <row r="12986" spans="1:5" x14ac:dyDescent="0.3">
      <c r="A12986" t="s">
        <v>156</v>
      </c>
      <c r="B12986" s="1">
        <v>44684</v>
      </c>
      <c r="C12986">
        <v>1</v>
      </c>
      <c r="D12986">
        <v>251.44</v>
      </c>
      <c r="E12986">
        <v>353</v>
      </c>
    </row>
    <row r="12987" spans="1:5" x14ac:dyDescent="0.3">
      <c r="A12987" t="s">
        <v>68</v>
      </c>
      <c r="B12987" s="1">
        <v>44684</v>
      </c>
      <c r="C12987">
        <v>1</v>
      </c>
      <c r="D12987">
        <v>62.36</v>
      </c>
      <c r="E12987">
        <v>93</v>
      </c>
    </row>
    <row r="12988" spans="1:5" x14ac:dyDescent="0.3">
      <c r="A12988" t="s">
        <v>99</v>
      </c>
      <c r="B12988" s="1">
        <v>44684</v>
      </c>
      <c r="C12988">
        <v>1</v>
      </c>
      <c r="D12988">
        <v>64.25</v>
      </c>
      <c r="E12988">
        <v>76</v>
      </c>
    </row>
    <row r="12989" spans="1:5" x14ac:dyDescent="0.3">
      <c r="A12989" t="s">
        <v>151</v>
      </c>
      <c r="B12989" s="1">
        <v>44684</v>
      </c>
      <c r="C12989">
        <v>1</v>
      </c>
      <c r="D12989">
        <v>23.2</v>
      </c>
      <c r="E12989">
        <v>29</v>
      </c>
    </row>
    <row r="12990" spans="1:5" x14ac:dyDescent="0.3">
      <c r="A12990" t="s">
        <v>47</v>
      </c>
      <c r="B12990" s="1">
        <v>44684</v>
      </c>
      <c r="C12990">
        <v>1</v>
      </c>
      <c r="D12990">
        <v>42.92</v>
      </c>
      <c r="E12990">
        <v>66</v>
      </c>
    </row>
    <row r="12991" spans="1:5" x14ac:dyDescent="0.3">
      <c r="A12991" t="s">
        <v>122</v>
      </c>
      <c r="B12991" s="1">
        <v>44684</v>
      </c>
      <c r="C12991">
        <v>1</v>
      </c>
      <c r="D12991">
        <v>20.47</v>
      </c>
      <c r="E12991">
        <v>25</v>
      </c>
    </row>
    <row r="12992" spans="1:5" x14ac:dyDescent="0.3">
      <c r="A12992" t="s">
        <v>36</v>
      </c>
      <c r="B12992" s="1">
        <v>44684</v>
      </c>
      <c r="C12992">
        <v>1</v>
      </c>
      <c r="D12992">
        <v>22.53</v>
      </c>
      <c r="E12992">
        <v>30</v>
      </c>
    </row>
    <row r="12993" spans="1:5" x14ac:dyDescent="0.3">
      <c r="A12993" t="s">
        <v>36</v>
      </c>
      <c r="B12993" s="1">
        <v>44684</v>
      </c>
      <c r="C12993">
        <v>1</v>
      </c>
      <c r="D12993">
        <v>22.53</v>
      </c>
      <c r="E12993">
        <v>30</v>
      </c>
    </row>
    <row r="12994" spans="1:5" x14ac:dyDescent="0.3">
      <c r="A12994" t="s">
        <v>38</v>
      </c>
      <c r="B12994" s="1">
        <v>44684</v>
      </c>
      <c r="C12994">
        <v>1</v>
      </c>
      <c r="D12994">
        <v>44.3</v>
      </c>
      <c r="E12994">
        <v>70</v>
      </c>
    </row>
    <row r="12995" spans="1:5" x14ac:dyDescent="0.3">
      <c r="A12995" t="s">
        <v>38</v>
      </c>
      <c r="B12995" s="1">
        <v>44684</v>
      </c>
      <c r="C12995">
        <v>1</v>
      </c>
      <c r="D12995">
        <v>44.3</v>
      </c>
      <c r="E12995">
        <v>70</v>
      </c>
    </row>
    <row r="12996" spans="1:5" x14ac:dyDescent="0.3">
      <c r="A12996" t="s">
        <v>57</v>
      </c>
      <c r="B12996" s="1">
        <v>44684</v>
      </c>
      <c r="C12996">
        <v>1</v>
      </c>
      <c r="D12996">
        <v>232.47</v>
      </c>
      <c r="E12996">
        <v>272</v>
      </c>
    </row>
    <row r="12997" spans="1:5" x14ac:dyDescent="0.3">
      <c r="A12997" t="s">
        <v>83</v>
      </c>
      <c r="B12997" s="1">
        <v>44684</v>
      </c>
      <c r="C12997">
        <v>1</v>
      </c>
      <c r="D12997">
        <v>236.97</v>
      </c>
      <c r="E12997">
        <v>275</v>
      </c>
    </row>
    <row r="12998" spans="1:5" x14ac:dyDescent="0.3">
      <c r="A12998" t="s">
        <v>73</v>
      </c>
      <c r="B12998" s="1">
        <v>44684</v>
      </c>
      <c r="C12998">
        <v>1</v>
      </c>
      <c r="D12998">
        <v>7.77</v>
      </c>
      <c r="E12998">
        <v>13</v>
      </c>
    </row>
    <row r="12999" spans="1:5" x14ac:dyDescent="0.3">
      <c r="A12999" t="s">
        <v>156</v>
      </c>
      <c r="B12999" s="1">
        <v>44684</v>
      </c>
      <c r="C12999">
        <v>1</v>
      </c>
      <c r="D12999">
        <v>253.44</v>
      </c>
      <c r="E12999">
        <v>338</v>
      </c>
    </row>
    <row r="13000" spans="1:5" x14ac:dyDescent="0.3">
      <c r="A13000" t="s">
        <v>157</v>
      </c>
      <c r="B13000" s="1">
        <v>44684</v>
      </c>
      <c r="C13000">
        <v>1</v>
      </c>
      <c r="D13000">
        <v>12</v>
      </c>
      <c r="E13000">
        <v>20</v>
      </c>
    </row>
    <row r="13001" spans="1:5" x14ac:dyDescent="0.3">
      <c r="A13001" t="s">
        <v>25</v>
      </c>
      <c r="B13001" s="1">
        <v>44684</v>
      </c>
      <c r="C13001">
        <v>1</v>
      </c>
      <c r="D13001">
        <v>148.58000000000001</v>
      </c>
      <c r="E13001">
        <v>179</v>
      </c>
    </row>
    <row r="13002" spans="1:5" x14ac:dyDescent="0.3">
      <c r="A13002" t="s">
        <v>46</v>
      </c>
      <c r="B13002" s="1">
        <v>44684</v>
      </c>
      <c r="C13002">
        <v>1</v>
      </c>
      <c r="D13002">
        <v>19.89</v>
      </c>
      <c r="E13002">
        <v>24</v>
      </c>
    </row>
    <row r="13003" spans="1:5" x14ac:dyDescent="0.3">
      <c r="A13003" t="s">
        <v>24</v>
      </c>
      <c r="B13003" s="1">
        <v>44684</v>
      </c>
      <c r="C13003">
        <v>1</v>
      </c>
      <c r="D13003">
        <v>99.48</v>
      </c>
      <c r="E13003">
        <v>116</v>
      </c>
    </row>
    <row r="13004" spans="1:5" x14ac:dyDescent="0.3">
      <c r="A13004" t="s">
        <v>53</v>
      </c>
      <c r="B13004" s="1">
        <v>44684</v>
      </c>
      <c r="C13004">
        <v>1</v>
      </c>
      <c r="D13004">
        <v>23.4</v>
      </c>
      <c r="E13004">
        <v>38</v>
      </c>
    </row>
    <row r="13005" spans="1:5" x14ac:dyDescent="0.3">
      <c r="A13005" t="s">
        <v>14</v>
      </c>
      <c r="B13005" s="1">
        <v>44684</v>
      </c>
      <c r="C13005">
        <v>0.1</v>
      </c>
      <c r="D13005">
        <v>466.1</v>
      </c>
      <c r="E13005">
        <v>644</v>
      </c>
    </row>
    <row r="13006" spans="1:5" x14ac:dyDescent="0.3">
      <c r="A13006" t="s">
        <v>87</v>
      </c>
      <c r="B13006" s="1">
        <v>44684</v>
      </c>
      <c r="C13006">
        <v>1</v>
      </c>
      <c r="D13006">
        <v>348.66</v>
      </c>
      <c r="E13006">
        <v>395</v>
      </c>
    </row>
    <row r="13007" spans="1:5" x14ac:dyDescent="0.3">
      <c r="A13007" t="s">
        <v>41</v>
      </c>
      <c r="B13007" s="1">
        <v>44684</v>
      </c>
      <c r="C13007">
        <v>2</v>
      </c>
      <c r="D13007">
        <v>10.73</v>
      </c>
      <c r="E13007">
        <v>18</v>
      </c>
    </row>
    <row r="13008" spans="1:5" x14ac:dyDescent="0.3">
      <c r="A13008" t="s">
        <v>41</v>
      </c>
      <c r="B13008" s="1">
        <v>44684</v>
      </c>
      <c r="C13008">
        <v>3</v>
      </c>
      <c r="D13008">
        <v>11.45</v>
      </c>
      <c r="E13008">
        <v>19</v>
      </c>
    </row>
    <row r="13009" spans="1:5" x14ac:dyDescent="0.3">
      <c r="A13009" t="s">
        <v>72</v>
      </c>
      <c r="B13009" s="1">
        <v>44684</v>
      </c>
      <c r="C13009">
        <v>1</v>
      </c>
      <c r="D13009">
        <v>557.09</v>
      </c>
      <c r="E13009">
        <v>736</v>
      </c>
    </row>
    <row r="13010" spans="1:5" x14ac:dyDescent="0.3">
      <c r="A13010" t="s">
        <v>5</v>
      </c>
      <c r="B13010" s="1">
        <v>44684</v>
      </c>
      <c r="C13010">
        <v>1</v>
      </c>
      <c r="D13010">
        <v>141.04</v>
      </c>
      <c r="E13010">
        <v>168</v>
      </c>
    </row>
    <row r="13011" spans="1:5" x14ac:dyDescent="0.3">
      <c r="A13011" t="s">
        <v>62</v>
      </c>
      <c r="B13011" s="1">
        <v>44684</v>
      </c>
      <c r="C13011">
        <v>1</v>
      </c>
      <c r="D13011">
        <v>25.19</v>
      </c>
      <c r="E13011">
        <v>30</v>
      </c>
    </row>
    <row r="13012" spans="1:5" x14ac:dyDescent="0.3">
      <c r="A13012" t="s">
        <v>124</v>
      </c>
      <c r="B13012" s="1">
        <v>44684</v>
      </c>
      <c r="C13012">
        <v>1</v>
      </c>
      <c r="D13012">
        <v>36.69</v>
      </c>
      <c r="E13012">
        <v>59</v>
      </c>
    </row>
    <row r="13013" spans="1:5" x14ac:dyDescent="0.3">
      <c r="A13013" t="s">
        <v>50</v>
      </c>
      <c r="B13013" s="1">
        <v>44684</v>
      </c>
      <c r="C13013">
        <v>1</v>
      </c>
      <c r="D13013">
        <v>45.74</v>
      </c>
      <c r="E13013">
        <v>56</v>
      </c>
    </row>
    <row r="13014" spans="1:5" x14ac:dyDescent="0.3">
      <c r="A13014" t="s">
        <v>136</v>
      </c>
      <c r="B13014" s="1">
        <v>44684</v>
      </c>
      <c r="C13014">
        <v>1</v>
      </c>
      <c r="D13014">
        <v>292.33999999999997</v>
      </c>
      <c r="E13014">
        <v>410</v>
      </c>
    </row>
    <row r="13015" spans="1:5" x14ac:dyDescent="0.3">
      <c r="A13015" t="s">
        <v>104</v>
      </c>
      <c r="B13015" s="1">
        <v>44684</v>
      </c>
      <c r="C13015">
        <v>1</v>
      </c>
      <c r="D13015">
        <v>44.4</v>
      </c>
      <c r="E13015">
        <v>56</v>
      </c>
    </row>
    <row r="13016" spans="1:5" x14ac:dyDescent="0.3">
      <c r="A13016" t="s">
        <v>104</v>
      </c>
      <c r="B13016" s="1">
        <v>44684</v>
      </c>
      <c r="C13016">
        <v>1</v>
      </c>
      <c r="D13016">
        <v>44.4</v>
      </c>
      <c r="E13016">
        <v>56</v>
      </c>
    </row>
    <row r="13017" spans="1:5" x14ac:dyDescent="0.3">
      <c r="A13017" t="s">
        <v>104</v>
      </c>
      <c r="B13017" s="1">
        <v>44684</v>
      </c>
      <c r="C13017">
        <v>1</v>
      </c>
      <c r="D13017">
        <v>44.4</v>
      </c>
      <c r="E13017">
        <v>56</v>
      </c>
    </row>
    <row r="13018" spans="1:5" x14ac:dyDescent="0.3">
      <c r="A13018" t="s">
        <v>118</v>
      </c>
      <c r="B13018" s="1">
        <v>44684</v>
      </c>
      <c r="C13018">
        <v>1</v>
      </c>
      <c r="D13018">
        <v>10.42</v>
      </c>
      <c r="E13018">
        <v>13</v>
      </c>
    </row>
    <row r="13019" spans="1:5" x14ac:dyDescent="0.3">
      <c r="A13019" t="s">
        <v>18</v>
      </c>
      <c r="B13019" s="1">
        <v>44684</v>
      </c>
      <c r="C13019">
        <v>1</v>
      </c>
      <c r="D13019">
        <v>44</v>
      </c>
      <c r="E13019">
        <v>67</v>
      </c>
    </row>
    <row r="13020" spans="1:5" x14ac:dyDescent="0.3">
      <c r="A13020" t="s">
        <v>90</v>
      </c>
      <c r="B13020" s="1">
        <v>44684</v>
      </c>
      <c r="C13020">
        <v>1</v>
      </c>
      <c r="D13020">
        <v>390.94</v>
      </c>
      <c r="E13020">
        <v>470</v>
      </c>
    </row>
    <row r="13021" spans="1:5" x14ac:dyDescent="0.3">
      <c r="A13021" t="s">
        <v>43</v>
      </c>
      <c r="B13021" s="1">
        <v>44684</v>
      </c>
      <c r="C13021">
        <v>1</v>
      </c>
      <c r="D13021">
        <v>141.93</v>
      </c>
      <c r="E13021">
        <v>169</v>
      </c>
    </row>
    <row r="13022" spans="1:5" x14ac:dyDescent="0.3">
      <c r="A13022" t="s">
        <v>25</v>
      </c>
      <c r="B13022" s="1">
        <v>44684</v>
      </c>
      <c r="C13022">
        <v>1</v>
      </c>
      <c r="D13022">
        <v>150.08000000000001</v>
      </c>
      <c r="E13022">
        <v>180</v>
      </c>
    </row>
    <row r="13023" spans="1:5" x14ac:dyDescent="0.3">
      <c r="A13023" t="s">
        <v>152</v>
      </c>
      <c r="B13023" s="1">
        <v>44684</v>
      </c>
      <c r="C13023">
        <v>1</v>
      </c>
      <c r="D13023">
        <v>106.17</v>
      </c>
      <c r="E13023">
        <v>133</v>
      </c>
    </row>
    <row r="13024" spans="1:5" x14ac:dyDescent="0.3">
      <c r="A13024" t="s">
        <v>122</v>
      </c>
      <c r="B13024" s="1">
        <v>44684</v>
      </c>
      <c r="C13024">
        <v>1</v>
      </c>
      <c r="D13024">
        <v>20.46</v>
      </c>
      <c r="E13024">
        <v>25</v>
      </c>
    </row>
    <row r="13025" spans="1:5" x14ac:dyDescent="0.3">
      <c r="A13025" t="s">
        <v>122</v>
      </c>
      <c r="B13025" s="1">
        <v>44684</v>
      </c>
      <c r="C13025">
        <v>1</v>
      </c>
      <c r="D13025">
        <v>20.46</v>
      </c>
      <c r="E13025">
        <v>25</v>
      </c>
    </row>
    <row r="13026" spans="1:5" x14ac:dyDescent="0.3">
      <c r="A13026" t="s">
        <v>62</v>
      </c>
      <c r="B13026" s="1">
        <v>44684</v>
      </c>
      <c r="C13026">
        <v>1</v>
      </c>
      <c r="D13026">
        <v>25.2</v>
      </c>
      <c r="E13026">
        <v>30</v>
      </c>
    </row>
    <row r="13027" spans="1:5" x14ac:dyDescent="0.3">
      <c r="A13027" t="s">
        <v>62</v>
      </c>
      <c r="B13027" s="1">
        <v>44684</v>
      </c>
      <c r="C13027">
        <v>1</v>
      </c>
      <c r="D13027">
        <v>25.2</v>
      </c>
      <c r="E13027">
        <v>30</v>
      </c>
    </row>
    <row r="13028" spans="1:5" x14ac:dyDescent="0.3">
      <c r="A13028" t="s">
        <v>20</v>
      </c>
      <c r="B13028" s="1">
        <v>44684</v>
      </c>
      <c r="C13028">
        <v>1</v>
      </c>
      <c r="D13028">
        <v>19.71</v>
      </c>
      <c r="E13028">
        <v>25</v>
      </c>
    </row>
    <row r="13029" spans="1:5" x14ac:dyDescent="0.3">
      <c r="A13029" t="s">
        <v>146</v>
      </c>
      <c r="B13029" s="1">
        <v>44684</v>
      </c>
      <c r="C13029">
        <v>1</v>
      </c>
      <c r="D13029">
        <v>398.18</v>
      </c>
      <c r="E13029">
        <v>446</v>
      </c>
    </row>
    <row r="13030" spans="1:5" x14ac:dyDescent="0.3">
      <c r="A13030" t="s">
        <v>73</v>
      </c>
      <c r="B13030" s="1">
        <v>44684</v>
      </c>
      <c r="C13030">
        <v>1</v>
      </c>
      <c r="D13030">
        <v>12</v>
      </c>
      <c r="E13030">
        <v>20</v>
      </c>
    </row>
    <row r="13031" spans="1:5" x14ac:dyDescent="0.3">
      <c r="A13031" t="s">
        <v>157</v>
      </c>
      <c r="B13031" s="1">
        <v>44684</v>
      </c>
      <c r="C13031">
        <v>2</v>
      </c>
      <c r="D13031">
        <v>12</v>
      </c>
      <c r="E13031">
        <v>20</v>
      </c>
    </row>
    <row r="13032" spans="1:5" x14ac:dyDescent="0.3">
      <c r="A13032" t="s">
        <v>16</v>
      </c>
      <c r="B13032" s="1">
        <v>44684</v>
      </c>
      <c r="C13032">
        <v>1</v>
      </c>
      <c r="D13032">
        <v>44.1</v>
      </c>
      <c r="E13032">
        <v>68</v>
      </c>
    </row>
    <row r="13033" spans="1:5" x14ac:dyDescent="0.3">
      <c r="A13033" t="s">
        <v>16</v>
      </c>
      <c r="B13033" s="1">
        <v>44684</v>
      </c>
      <c r="C13033">
        <v>1</v>
      </c>
      <c r="D13033">
        <v>44.1</v>
      </c>
      <c r="E13033">
        <v>68</v>
      </c>
    </row>
    <row r="13034" spans="1:5" x14ac:dyDescent="0.3">
      <c r="A13034" t="s">
        <v>16</v>
      </c>
      <c r="B13034" s="1">
        <v>44684</v>
      </c>
      <c r="C13034">
        <v>1</v>
      </c>
      <c r="D13034">
        <v>44.1</v>
      </c>
      <c r="E13034">
        <v>68</v>
      </c>
    </row>
    <row r="13035" spans="1:5" x14ac:dyDescent="0.3">
      <c r="A13035" t="s">
        <v>16</v>
      </c>
      <c r="B13035" s="1">
        <v>44684</v>
      </c>
      <c r="C13035">
        <v>1</v>
      </c>
      <c r="D13035">
        <v>44.1</v>
      </c>
      <c r="E13035">
        <v>68</v>
      </c>
    </row>
    <row r="13036" spans="1:5" x14ac:dyDescent="0.3">
      <c r="A13036" t="s">
        <v>16</v>
      </c>
      <c r="B13036" s="1">
        <v>44684</v>
      </c>
      <c r="C13036">
        <v>1</v>
      </c>
      <c r="D13036">
        <v>44.1</v>
      </c>
      <c r="E13036">
        <v>68</v>
      </c>
    </row>
    <row r="13037" spans="1:5" x14ac:dyDescent="0.3">
      <c r="A13037" t="s">
        <v>48</v>
      </c>
      <c r="B13037" s="1">
        <v>44684</v>
      </c>
      <c r="C13037">
        <v>1</v>
      </c>
      <c r="D13037">
        <v>41.24</v>
      </c>
      <c r="E13037">
        <v>65</v>
      </c>
    </row>
    <row r="13038" spans="1:5" x14ac:dyDescent="0.3">
      <c r="A13038" t="s">
        <v>101</v>
      </c>
      <c r="B13038" s="1">
        <v>44684</v>
      </c>
      <c r="C13038">
        <v>1</v>
      </c>
      <c r="D13038">
        <v>27.84</v>
      </c>
      <c r="E13038">
        <v>44</v>
      </c>
    </row>
    <row r="13039" spans="1:5" x14ac:dyDescent="0.3">
      <c r="A13039" t="s">
        <v>115</v>
      </c>
      <c r="B13039" s="1">
        <v>44684</v>
      </c>
      <c r="C13039">
        <v>1</v>
      </c>
      <c r="D13039">
        <v>72.78</v>
      </c>
      <c r="E13039">
        <v>90</v>
      </c>
    </row>
    <row r="13040" spans="1:5" x14ac:dyDescent="0.3">
      <c r="A13040" t="s">
        <v>81</v>
      </c>
      <c r="B13040" s="1">
        <v>44684</v>
      </c>
      <c r="C13040">
        <v>1</v>
      </c>
      <c r="D13040">
        <v>41.22</v>
      </c>
      <c r="E13040">
        <v>52</v>
      </c>
    </row>
    <row r="13041" spans="1:5" x14ac:dyDescent="0.3">
      <c r="A13041" t="s">
        <v>81</v>
      </c>
      <c r="B13041" s="1">
        <v>44684</v>
      </c>
      <c r="C13041">
        <v>1</v>
      </c>
      <c r="D13041">
        <v>41.22</v>
      </c>
      <c r="E13041">
        <v>52</v>
      </c>
    </row>
    <row r="13042" spans="1:5" x14ac:dyDescent="0.3">
      <c r="A13042" t="s">
        <v>81</v>
      </c>
      <c r="B13042" s="1">
        <v>44684</v>
      </c>
      <c r="C13042">
        <v>1</v>
      </c>
      <c r="D13042">
        <v>41.22</v>
      </c>
      <c r="E13042">
        <v>52</v>
      </c>
    </row>
    <row r="13043" spans="1:5" x14ac:dyDescent="0.3">
      <c r="A13043" t="s">
        <v>61</v>
      </c>
      <c r="B13043" s="1">
        <v>44684</v>
      </c>
      <c r="C13043">
        <v>1</v>
      </c>
      <c r="D13043">
        <v>32.85</v>
      </c>
      <c r="E13043">
        <v>52</v>
      </c>
    </row>
    <row r="13044" spans="1:5" x14ac:dyDescent="0.3">
      <c r="A13044" t="s">
        <v>26</v>
      </c>
      <c r="B13044" s="1">
        <v>44684</v>
      </c>
      <c r="C13044">
        <v>0.1</v>
      </c>
      <c r="D13044">
        <v>992.79</v>
      </c>
      <c r="E13044">
        <v>1281</v>
      </c>
    </row>
    <row r="13045" spans="1:5" x14ac:dyDescent="0.3">
      <c r="A13045" t="s">
        <v>157</v>
      </c>
      <c r="B13045" s="1">
        <v>44684</v>
      </c>
      <c r="C13045">
        <v>1</v>
      </c>
      <c r="D13045">
        <v>12</v>
      </c>
      <c r="E13045">
        <v>20</v>
      </c>
    </row>
    <row r="13046" spans="1:5" x14ac:dyDescent="0.3">
      <c r="A13046" t="s">
        <v>131</v>
      </c>
      <c r="B13046" s="1">
        <v>44684</v>
      </c>
      <c r="C13046">
        <v>1</v>
      </c>
      <c r="D13046">
        <v>361.91</v>
      </c>
      <c r="E13046">
        <v>417</v>
      </c>
    </row>
    <row r="13047" spans="1:5" x14ac:dyDescent="0.3">
      <c r="A13047" t="s">
        <v>54</v>
      </c>
      <c r="B13047" s="1">
        <v>44684</v>
      </c>
      <c r="C13047">
        <v>1</v>
      </c>
      <c r="D13047">
        <v>642.92999999999995</v>
      </c>
      <c r="E13047">
        <v>830</v>
      </c>
    </row>
    <row r="13048" spans="1:5" x14ac:dyDescent="0.3">
      <c r="A13048" t="s">
        <v>92</v>
      </c>
      <c r="B13048" s="1">
        <v>44684</v>
      </c>
      <c r="C13048">
        <v>2</v>
      </c>
      <c r="D13048">
        <v>6.17</v>
      </c>
      <c r="E13048">
        <v>9</v>
      </c>
    </row>
    <row r="13049" spans="1:5" x14ac:dyDescent="0.3">
      <c r="A13049" t="s">
        <v>51</v>
      </c>
      <c r="B13049" s="1">
        <v>44684</v>
      </c>
      <c r="C13049">
        <v>4</v>
      </c>
      <c r="D13049">
        <v>2.29</v>
      </c>
      <c r="E13049">
        <v>4</v>
      </c>
    </row>
    <row r="13050" spans="1:5" x14ac:dyDescent="0.3">
      <c r="A13050" t="s">
        <v>51</v>
      </c>
      <c r="B13050" s="1">
        <v>44684</v>
      </c>
      <c r="C13050">
        <v>8</v>
      </c>
      <c r="D13050">
        <v>2.29</v>
      </c>
      <c r="E13050">
        <v>4</v>
      </c>
    </row>
    <row r="13051" spans="1:5" x14ac:dyDescent="0.3">
      <c r="A13051" t="s">
        <v>30</v>
      </c>
      <c r="B13051" s="1">
        <v>44684</v>
      </c>
      <c r="C13051">
        <v>1</v>
      </c>
      <c r="D13051">
        <v>156.19999999999999</v>
      </c>
      <c r="E13051">
        <v>186</v>
      </c>
    </row>
    <row r="13052" spans="1:5" x14ac:dyDescent="0.3">
      <c r="A13052" t="s">
        <v>47</v>
      </c>
      <c r="B13052" s="1">
        <v>44684</v>
      </c>
      <c r="C13052">
        <v>1</v>
      </c>
      <c r="D13052">
        <v>41.58</v>
      </c>
      <c r="E13052">
        <v>65</v>
      </c>
    </row>
    <row r="13053" spans="1:5" x14ac:dyDescent="0.3">
      <c r="A13053" t="s">
        <v>24</v>
      </c>
      <c r="B13053" s="1">
        <v>44684</v>
      </c>
      <c r="C13053">
        <v>1</v>
      </c>
      <c r="D13053">
        <v>99.48</v>
      </c>
      <c r="E13053">
        <v>117</v>
      </c>
    </row>
    <row r="13054" spans="1:5" x14ac:dyDescent="0.3">
      <c r="A13054" t="s">
        <v>90</v>
      </c>
      <c r="B13054" s="1">
        <v>44684</v>
      </c>
      <c r="C13054">
        <v>1</v>
      </c>
      <c r="D13054">
        <v>399.31</v>
      </c>
      <c r="E13054">
        <v>492</v>
      </c>
    </row>
    <row r="13055" spans="1:5" x14ac:dyDescent="0.3">
      <c r="A13055" t="s">
        <v>26</v>
      </c>
      <c r="B13055" s="1">
        <v>44684</v>
      </c>
      <c r="C13055">
        <v>0.2</v>
      </c>
      <c r="D13055">
        <v>1217.92</v>
      </c>
      <c r="E13055">
        <v>1596</v>
      </c>
    </row>
    <row r="13056" spans="1:5" x14ac:dyDescent="0.3">
      <c r="A13056" t="s">
        <v>20</v>
      </c>
      <c r="B13056" s="1">
        <v>44684</v>
      </c>
      <c r="C13056">
        <v>1</v>
      </c>
      <c r="D13056">
        <v>22.66</v>
      </c>
      <c r="E13056">
        <v>30</v>
      </c>
    </row>
    <row r="13057" spans="1:5" x14ac:dyDescent="0.3">
      <c r="A13057" t="s">
        <v>25</v>
      </c>
      <c r="B13057" s="1">
        <v>44684</v>
      </c>
      <c r="C13057">
        <v>1</v>
      </c>
      <c r="D13057">
        <v>148.58000000000001</v>
      </c>
      <c r="E13057">
        <v>179</v>
      </c>
    </row>
    <row r="13058" spans="1:5" x14ac:dyDescent="0.3">
      <c r="A13058" t="s">
        <v>118</v>
      </c>
      <c r="B13058" s="1">
        <v>44684</v>
      </c>
      <c r="C13058">
        <v>1</v>
      </c>
      <c r="D13058">
        <v>10.79</v>
      </c>
      <c r="E13058">
        <v>13</v>
      </c>
    </row>
    <row r="13059" spans="1:5" x14ac:dyDescent="0.3">
      <c r="A13059" t="s">
        <v>122</v>
      </c>
      <c r="B13059" s="1">
        <v>44684</v>
      </c>
      <c r="C13059">
        <v>1</v>
      </c>
      <c r="D13059">
        <v>23.9</v>
      </c>
      <c r="E13059">
        <v>29</v>
      </c>
    </row>
    <row r="13060" spans="1:5" x14ac:dyDescent="0.3">
      <c r="A13060" t="s">
        <v>31</v>
      </c>
      <c r="B13060" s="1">
        <v>44684</v>
      </c>
      <c r="C13060">
        <v>1</v>
      </c>
      <c r="D13060">
        <v>13.19</v>
      </c>
      <c r="E13060">
        <v>18</v>
      </c>
    </row>
    <row r="13061" spans="1:5" x14ac:dyDescent="0.3">
      <c r="A13061" t="s">
        <v>31</v>
      </c>
      <c r="B13061" s="1">
        <v>44684</v>
      </c>
      <c r="C13061">
        <v>1</v>
      </c>
      <c r="D13061">
        <v>13.19</v>
      </c>
      <c r="E13061">
        <v>18</v>
      </c>
    </row>
    <row r="13062" spans="1:5" x14ac:dyDescent="0.3">
      <c r="A13062" t="s">
        <v>31</v>
      </c>
      <c r="B13062" s="1">
        <v>44684</v>
      </c>
      <c r="C13062">
        <v>1</v>
      </c>
      <c r="D13062">
        <v>13.19</v>
      </c>
      <c r="E13062">
        <v>18</v>
      </c>
    </row>
    <row r="13063" spans="1:5" x14ac:dyDescent="0.3">
      <c r="A13063" t="s">
        <v>31</v>
      </c>
      <c r="B13063" s="1">
        <v>44684</v>
      </c>
      <c r="C13063">
        <v>1</v>
      </c>
      <c r="D13063">
        <v>13.19</v>
      </c>
      <c r="E13063">
        <v>18</v>
      </c>
    </row>
    <row r="13064" spans="1:5" x14ac:dyDescent="0.3">
      <c r="A13064" t="s">
        <v>31</v>
      </c>
      <c r="B13064" s="1">
        <v>44684</v>
      </c>
      <c r="C13064">
        <v>1</v>
      </c>
      <c r="D13064">
        <v>13.19</v>
      </c>
      <c r="E13064">
        <v>18</v>
      </c>
    </row>
    <row r="13065" spans="1:5" x14ac:dyDescent="0.3">
      <c r="A13065" t="s">
        <v>31</v>
      </c>
      <c r="B13065" s="1">
        <v>44684</v>
      </c>
      <c r="C13065">
        <v>1</v>
      </c>
      <c r="D13065">
        <v>13.19</v>
      </c>
      <c r="E13065">
        <v>18</v>
      </c>
    </row>
    <row r="13066" spans="1:5" x14ac:dyDescent="0.3">
      <c r="A13066" t="s">
        <v>31</v>
      </c>
      <c r="B13066" s="1">
        <v>44684</v>
      </c>
      <c r="C13066">
        <v>1</v>
      </c>
      <c r="D13066">
        <v>13.19</v>
      </c>
      <c r="E13066">
        <v>18</v>
      </c>
    </row>
    <row r="13067" spans="1:5" x14ac:dyDescent="0.3">
      <c r="A13067" t="s">
        <v>31</v>
      </c>
      <c r="B13067" s="1">
        <v>44684</v>
      </c>
      <c r="C13067">
        <v>1</v>
      </c>
      <c r="D13067">
        <v>13.19</v>
      </c>
      <c r="E13067">
        <v>18</v>
      </c>
    </row>
    <row r="13068" spans="1:5" x14ac:dyDescent="0.3">
      <c r="A13068" t="s">
        <v>31</v>
      </c>
      <c r="B13068" s="1">
        <v>44684</v>
      </c>
      <c r="C13068">
        <v>1</v>
      </c>
      <c r="D13068">
        <v>13.19</v>
      </c>
      <c r="E13068">
        <v>18</v>
      </c>
    </row>
    <row r="13069" spans="1:5" x14ac:dyDescent="0.3">
      <c r="A13069" t="s">
        <v>31</v>
      </c>
      <c r="B13069" s="1">
        <v>44684</v>
      </c>
      <c r="C13069">
        <v>1</v>
      </c>
      <c r="D13069">
        <v>13.19</v>
      </c>
      <c r="E13069">
        <v>18</v>
      </c>
    </row>
    <row r="13070" spans="1:5" x14ac:dyDescent="0.3">
      <c r="A13070" t="s">
        <v>93</v>
      </c>
      <c r="B13070" s="1">
        <v>44684</v>
      </c>
      <c r="C13070">
        <v>1</v>
      </c>
      <c r="D13070">
        <v>67.540000000000006</v>
      </c>
      <c r="E13070">
        <v>96</v>
      </c>
    </row>
    <row r="13071" spans="1:5" x14ac:dyDescent="0.3">
      <c r="A13071" t="s">
        <v>92</v>
      </c>
      <c r="B13071" s="1">
        <v>44684</v>
      </c>
      <c r="C13071">
        <v>2</v>
      </c>
      <c r="D13071">
        <v>6.17</v>
      </c>
      <c r="E13071">
        <v>9</v>
      </c>
    </row>
    <row r="13072" spans="1:5" x14ac:dyDescent="0.3">
      <c r="A13072" t="s">
        <v>5</v>
      </c>
      <c r="B13072" s="1">
        <v>44684</v>
      </c>
      <c r="C13072">
        <v>1</v>
      </c>
      <c r="D13072">
        <v>141.04</v>
      </c>
      <c r="E13072">
        <v>168</v>
      </c>
    </row>
    <row r="13073" spans="1:5" x14ac:dyDescent="0.3">
      <c r="A13073" t="s">
        <v>70</v>
      </c>
      <c r="B13073" s="1">
        <v>44684</v>
      </c>
      <c r="C13073">
        <v>1</v>
      </c>
      <c r="D13073">
        <v>184.78</v>
      </c>
      <c r="E13073">
        <v>222</v>
      </c>
    </row>
    <row r="13074" spans="1:5" x14ac:dyDescent="0.3">
      <c r="A13074" t="s">
        <v>19</v>
      </c>
      <c r="B13074" s="1">
        <v>44684</v>
      </c>
      <c r="C13074">
        <v>1</v>
      </c>
      <c r="D13074">
        <v>80.52</v>
      </c>
      <c r="E13074">
        <v>103</v>
      </c>
    </row>
    <row r="13075" spans="1:5" x14ac:dyDescent="0.3">
      <c r="A13075" t="s">
        <v>132</v>
      </c>
      <c r="B13075" s="1">
        <v>44684</v>
      </c>
      <c r="C13075">
        <v>1</v>
      </c>
      <c r="D13075">
        <v>58.23</v>
      </c>
      <c r="E13075">
        <v>86</v>
      </c>
    </row>
    <row r="13076" spans="1:5" x14ac:dyDescent="0.3">
      <c r="A13076" t="s">
        <v>132</v>
      </c>
      <c r="B13076" s="1">
        <v>44684</v>
      </c>
      <c r="C13076">
        <v>1</v>
      </c>
      <c r="D13076">
        <v>58.23</v>
      </c>
      <c r="E13076">
        <v>86</v>
      </c>
    </row>
    <row r="13077" spans="1:5" x14ac:dyDescent="0.3">
      <c r="A13077" t="s">
        <v>132</v>
      </c>
      <c r="B13077" s="1">
        <v>44684</v>
      </c>
      <c r="C13077">
        <v>1</v>
      </c>
      <c r="D13077">
        <v>58.23</v>
      </c>
      <c r="E13077">
        <v>86</v>
      </c>
    </row>
    <row r="13078" spans="1:5" x14ac:dyDescent="0.3">
      <c r="A13078" t="s">
        <v>40</v>
      </c>
      <c r="B13078" s="1">
        <v>44684</v>
      </c>
      <c r="C13078">
        <v>1</v>
      </c>
      <c r="D13078">
        <v>180.38</v>
      </c>
      <c r="E13078">
        <v>218</v>
      </c>
    </row>
    <row r="13079" spans="1:5" x14ac:dyDescent="0.3">
      <c r="A13079" t="s">
        <v>134</v>
      </c>
      <c r="B13079" s="1">
        <v>44684</v>
      </c>
      <c r="C13079">
        <v>1</v>
      </c>
      <c r="D13079">
        <v>27.28</v>
      </c>
      <c r="E13079">
        <v>43</v>
      </c>
    </row>
    <row r="13080" spans="1:5" x14ac:dyDescent="0.3">
      <c r="A13080" t="s">
        <v>114</v>
      </c>
      <c r="B13080" s="1">
        <v>44684</v>
      </c>
      <c r="C13080">
        <v>1</v>
      </c>
      <c r="D13080">
        <v>74.8</v>
      </c>
      <c r="E13080">
        <v>92</v>
      </c>
    </row>
    <row r="13081" spans="1:5" x14ac:dyDescent="0.3">
      <c r="A13081" t="s">
        <v>65</v>
      </c>
      <c r="B13081" s="1">
        <v>44684</v>
      </c>
      <c r="C13081">
        <v>1</v>
      </c>
      <c r="D13081">
        <v>176.77</v>
      </c>
      <c r="E13081">
        <v>207</v>
      </c>
    </row>
    <row r="13082" spans="1:5" x14ac:dyDescent="0.3">
      <c r="A13082" t="s">
        <v>127</v>
      </c>
      <c r="B13082" s="1">
        <v>44684</v>
      </c>
      <c r="C13082">
        <v>1</v>
      </c>
      <c r="D13082">
        <v>118.82</v>
      </c>
      <c r="E13082">
        <v>168</v>
      </c>
    </row>
    <row r="13083" spans="1:5" x14ac:dyDescent="0.3">
      <c r="A13083" t="s">
        <v>20</v>
      </c>
      <c r="B13083" s="1">
        <v>44684</v>
      </c>
      <c r="C13083">
        <v>1</v>
      </c>
      <c r="D13083">
        <v>20</v>
      </c>
      <c r="E13083">
        <v>25</v>
      </c>
    </row>
    <row r="13084" spans="1:5" x14ac:dyDescent="0.3">
      <c r="A13084" t="s">
        <v>20</v>
      </c>
      <c r="B13084" s="1">
        <v>44684</v>
      </c>
      <c r="C13084">
        <v>1</v>
      </c>
      <c r="D13084">
        <v>21</v>
      </c>
      <c r="E13084">
        <v>27</v>
      </c>
    </row>
    <row r="13085" spans="1:5" x14ac:dyDescent="0.3">
      <c r="A13085" t="s">
        <v>41</v>
      </c>
      <c r="B13085" s="1">
        <v>44684</v>
      </c>
      <c r="C13085">
        <v>1</v>
      </c>
      <c r="D13085">
        <v>10.73</v>
      </c>
      <c r="E13085">
        <v>18</v>
      </c>
    </row>
    <row r="13086" spans="1:5" x14ac:dyDescent="0.3">
      <c r="A13086" t="s">
        <v>41</v>
      </c>
      <c r="B13086" s="1">
        <v>44684</v>
      </c>
      <c r="C13086">
        <v>2</v>
      </c>
      <c r="D13086">
        <v>11.45</v>
      </c>
      <c r="E13086">
        <v>19</v>
      </c>
    </row>
    <row r="13087" spans="1:5" x14ac:dyDescent="0.3">
      <c r="A13087" t="s">
        <v>86</v>
      </c>
      <c r="B13087" s="1">
        <v>44684</v>
      </c>
      <c r="C13087">
        <v>2</v>
      </c>
      <c r="D13087">
        <v>47.4</v>
      </c>
      <c r="E13087">
        <v>76</v>
      </c>
    </row>
    <row r="13088" spans="1:5" x14ac:dyDescent="0.3">
      <c r="A13088" t="s">
        <v>37</v>
      </c>
      <c r="B13088" s="1">
        <v>44684</v>
      </c>
      <c r="C13088">
        <v>1</v>
      </c>
      <c r="D13088">
        <v>36.86</v>
      </c>
      <c r="E13088">
        <v>47</v>
      </c>
    </row>
    <row r="13089" spans="1:5" x14ac:dyDescent="0.3">
      <c r="A13089" t="s">
        <v>37</v>
      </c>
      <c r="B13089" s="1">
        <v>44684</v>
      </c>
      <c r="C13089">
        <v>1</v>
      </c>
      <c r="D13089">
        <v>36.86</v>
      </c>
      <c r="E13089">
        <v>47</v>
      </c>
    </row>
    <row r="13090" spans="1:5" x14ac:dyDescent="0.3">
      <c r="A13090" t="s">
        <v>92</v>
      </c>
      <c r="B13090" s="1">
        <v>44684</v>
      </c>
      <c r="C13090">
        <v>1</v>
      </c>
      <c r="D13090">
        <v>15</v>
      </c>
      <c r="E13090">
        <v>20</v>
      </c>
    </row>
    <row r="13091" spans="1:5" x14ac:dyDescent="0.3">
      <c r="A13091" t="s">
        <v>15</v>
      </c>
      <c r="B13091" s="1">
        <v>44684</v>
      </c>
      <c r="C13091">
        <v>1</v>
      </c>
      <c r="D13091">
        <v>50.1</v>
      </c>
      <c r="E13091">
        <v>81</v>
      </c>
    </row>
    <row r="13092" spans="1:5" x14ac:dyDescent="0.3">
      <c r="A13092" t="s">
        <v>24</v>
      </c>
      <c r="B13092" s="1">
        <v>44684</v>
      </c>
      <c r="C13092">
        <v>1</v>
      </c>
      <c r="D13092">
        <v>99.48</v>
      </c>
      <c r="E13092">
        <v>117</v>
      </c>
    </row>
    <row r="13093" spans="1:5" x14ac:dyDescent="0.3">
      <c r="A13093" t="s">
        <v>24</v>
      </c>
      <c r="B13093" s="1">
        <v>44684</v>
      </c>
      <c r="C13093">
        <v>1</v>
      </c>
      <c r="D13093">
        <v>99.48</v>
      </c>
      <c r="E13093">
        <v>117</v>
      </c>
    </row>
    <row r="13094" spans="1:5" x14ac:dyDescent="0.3">
      <c r="A13094" t="s">
        <v>24</v>
      </c>
      <c r="B13094" s="1">
        <v>44684</v>
      </c>
      <c r="C13094">
        <v>1</v>
      </c>
      <c r="D13094">
        <v>99.48</v>
      </c>
      <c r="E13094">
        <v>117</v>
      </c>
    </row>
    <row r="13095" spans="1:5" x14ac:dyDescent="0.3">
      <c r="A13095" t="s">
        <v>146</v>
      </c>
      <c r="B13095" s="1">
        <v>44684</v>
      </c>
      <c r="C13095">
        <v>1</v>
      </c>
      <c r="D13095">
        <v>406.36</v>
      </c>
      <c r="E13095">
        <v>456</v>
      </c>
    </row>
    <row r="13096" spans="1:5" x14ac:dyDescent="0.3">
      <c r="A13096" t="s">
        <v>83</v>
      </c>
      <c r="B13096" s="1">
        <v>44684</v>
      </c>
      <c r="C13096">
        <v>1</v>
      </c>
      <c r="D13096">
        <v>207.31</v>
      </c>
      <c r="E13096">
        <v>244</v>
      </c>
    </row>
    <row r="13097" spans="1:5" x14ac:dyDescent="0.3">
      <c r="A13097" t="s">
        <v>131</v>
      </c>
      <c r="B13097" s="1">
        <v>44684</v>
      </c>
      <c r="C13097">
        <v>1</v>
      </c>
      <c r="D13097">
        <v>361.9</v>
      </c>
      <c r="E13097">
        <v>424</v>
      </c>
    </row>
    <row r="13098" spans="1:5" x14ac:dyDescent="0.3">
      <c r="A13098" t="s">
        <v>48</v>
      </c>
      <c r="B13098" s="1">
        <v>44684</v>
      </c>
      <c r="C13098">
        <v>1</v>
      </c>
      <c r="D13098">
        <v>39.14</v>
      </c>
      <c r="E13098">
        <v>60</v>
      </c>
    </row>
    <row r="13099" spans="1:5" x14ac:dyDescent="0.3">
      <c r="A13099" t="s">
        <v>118</v>
      </c>
      <c r="B13099" s="1">
        <v>44684</v>
      </c>
      <c r="C13099">
        <v>1</v>
      </c>
      <c r="D13099">
        <v>10.79</v>
      </c>
      <c r="E13099">
        <v>13</v>
      </c>
    </row>
    <row r="13100" spans="1:5" x14ac:dyDescent="0.3">
      <c r="A13100" t="s">
        <v>118</v>
      </c>
      <c r="B13100" s="1">
        <v>44684</v>
      </c>
      <c r="C13100">
        <v>1</v>
      </c>
      <c r="D13100">
        <v>10.79</v>
      </c>
      <c r="E13100">
        <v>13</v>
      </c>
    </row>
    <row r="13101" spans="1:5" x14ac:dyDescent="0.3">
      <c r="A13101" t="s">
        <v>111</v>
      </c>
      <c r="B13101" s="1">
        <v>44684</v>
      </c>
      <c r="C13101">
        <v>1</v>
      </c>
      <c r="D13101">
        <v>170</v>
      </c>
      <c r="E13101">
        <v>203</v>
      </c>
    </row>
    <row r="13102" spans="1:5" x14ac:dyDescent="0.3">
      <c r="A13102" t="s">
        <v>145</v>
      </c>
      <c r="B13102" s="1">
        <v>44684</v>
      </c>
      <c r="C13102">
        <v>1</v>
      </c>
      <c r="D13102">
        <v>25.3</v>
      </c>
      <c r="E13102">
        <v>31</v>
      </c>
    </row>
    <row r="13103" spans="1:5" x14ac:dyDescent="0.3">
      <c r="A13103" t="s">
        <v>145</v>
      </c>
      <c r="B13103" s="1">
        <v>44684</v>
      </c>
      <c r="C13103">
        <v>1</v>
      </c>
      <c r="D13103">
        <v>25.3</v>
      </c>
      <c r="E13103">
        <v>31</v>
      </c>
    </row>
    <row r="13104" spans="1:5" x14ac:dyDescent="0.3">
      <c r="A13104" t="s">
        <v>145</v>
      </c>
      <c r="B13104" s="1">
        <v>44684</v>
      </c>
      <c r="C13104">
        <v>1</v>
      </c>
      <c r="D13104">
        <v>25.3</v>
      </c>
      <c r="E13104">
        <v>31</v>
      </c>
    </row>
    <row r="13105" spans="1:5" x14ac:dyDescent="0.3">
      <c r="A13105" t="s">
        <v>145</v>
      </c>
      <c r="B13105" s="1">
        <v>44684</v>
      </c>
      <c r="C13105">
        <v>1</v>
      </c>
      <c r="D13105">
        <v>25.3</v>
      </c>
      <c r="E13105">
        <v>31</v>
      </c>
    </row>
    <row r="13106" spans="1:5" x14ac:dyDescent="0.3">
      <c r="A13106" t="s">
        <v>23</v>
      </c>
      <c r="B13106" s="1">
        <v>44684</v>
      </c>
      <c r="C13106">
        <v>1</v>
      </c>
      <c r="D13106">
        <v>110.23</v>
      </c>
      <c r="E13106">
        <v>124</v>
      </c>
    </row>
    <row r="13107" spans="1:5" x14ac:dyDescent="0.3">
      <c r="A13107" t="s">
        <v>112</v>
      </c>
      <c r="B13107" s="1">
        <v>44684</v>
      </c>
      <c r="C13107">
        <v>1</v>
      </c>
      <c r="D13107">
        <v>291.3</v>
      </c>
      <c r="E13107">
        <v>331</v>
      </c>
    </row>
    <row r="13108" spans="1:5" x14ac:dyDescent="0.3">
      <c r="A13108" t="s">
        <v>144</v>
      </c>
      <c r="B13108" s="1">
        <v>44684</v>
      </c>
      <c r="C13108">
        <v>1</v>
      </c>
      <c r="D13108">
        <v>51.62</v>
      </c>
      <c r="E13108">
        <v>75</v>
      </c>
    </row>
    <row r="13109" spans="1:5" x14ac:dyDescent="0.3">
      <c r="A13109" t="s">
        <v>137</v>
      </c>
      <c r="B13109" s="1">
        <v>44684</v>
      </c>
      <c r="C13109">
        <v>2</v>
      </c>
      <c r="D13109">
        <v>7.7</v>
      </c>
      <c r="E13109">
        <v>14</v>
      </c>
    </row>
    <row r="13110" spans="1:5" x14ac:dyDescent="0.3">
      <c r="A13110" t="s">
        <v>157</v>
      </c>
      <c r="B13110" s="1">
        <v>44684</v>
      </c>
      <c r="C13110">
        <v>1</v>
      </c>
      <c r="D13110">
        <v>12</v>
      </c>
      <c r="E13110">
        <v>21</v>
      </c>
    </row>
    <row r="13111" spans="1:5" x14ac:dyDescent="0.3">
      <c r="A13111" t="s">
        <v>65</v>
      </c>
      <c r="B13111" s="1">
        <v>44684</v>
      </c>
      <c r="C13111">
        <v>1</v>
      </c>
      <c r="D13111">
        <v>181.12</v>
      </c>
      <c r="E13111">
        <v>212</v>
      </c>
    </row>
    <row r="13112" spans="1:5" x14ac:dyDescent="0.3">
      <c r="A13112" t="s">
        <v>57</v>
      </c>
      <c r="B13112" s="1">
        <v>44684</v>
      </c>
      <c r="C13112">
        <v>1</v>
      </c>
      <c r="D13112">
        <v>232.47</v>
      </c>
      <c r="E13112">
        <v>272</v>
      </c>
    </row>
    <row r="13113" spans="1:5" x14ac:dyDescent="0.3">
      <c r="A13113" t="s">
        <v>138</v>
      </c>
      <c r="B13113" s="1">
        <v>44684</v>
      </c>
      <c r="C13113">
        <v>1</v>
      </c>
      <c r="D13113">
        <v>46.5</v>
      </c>
      <c r="E13113">
        <v>76</v>
      </c>
    </row>
    <row r="13114" spans="1:5" x14ac:dyDescent="0.3">
      <c r="A13114" t="s">
        <v>157</v>
      </c>
      <c r="B13114" s="1">
        <v>44684</v>
      </c>
      <c r="C13114">
        <v>1</v>
      </c>
      <c r="D13114">
        <v>12</v>
      </c>
      <c r="E13114">
        <v>20</v>
      </c>
    </row>
    <row r="13115" spans="1:5" x14ac:dyDescent="0.3">
      <c r="A13115" t="s">
        <v>156</v>
      </c>
      <c r="B13115" s="1">
        <v>44684</v>
      </c>
      <c r="C13115">
        <v>1</v>
      </c>
      <c r="D13115">
        <v>253.44</v>
      </c>
      <c r="E13115">
        <v>338</v>
      </c>
    </row>
    <row r="13116" spans="1:5" x14ac:dyDescent="0.3">
      <c r="A13116" t="s">
        <v>41</v>
      </c>
      <c r="B13116" s="1">
        <v>44684</v>
      </c>
      <c r="C13116">
        <v>1</v>
      </c>
      <c r="D13116">
        <v>11.45</v>
      </c>
      <c r="E13116">
        <v>19</v>
      </c>
    </row>
    <row r="13117" spans="1:5" x14ac:dyDescent="0.3">
      <c r="A13117" t="s">
        <v>65</v>
      </c>
      <c r="B13117" s="1">
        <v>44684</v>
      </c>
      <c r="C13117">
        <v>1</v>
      </c>
      <c r="D13117">
        <v>176.78</v>
      </c>
      <c r="E13117">
        <v>225</v>
      </c>
    </row>
    <row r="13118" spans="1:5" x14ac:dyDescent="0.3">
      <c r="A13118" t="s">
        <v>157</v>
      </c>
      <c r="B13118" s="1">
        <v>44684</v>
      </c>
      <c r="C13118">
        <v>2</v>
      </c>
      <c r="D13118">
        <v>12</v>
      </c>
      <c r="E13118">
        <v>20</v>
      </c>
    </row>
    <row r="13119" spans="1:5" x14ac:dyDescent="0.3">
      <c r="A13119" t="s">
        <v>157</v>
      </c>
      <c r="B13119" s="1">
        <v>44684</v>
      </c>
      <c r="C13119">
        <v>1</v>
      </c>
      <c r="D13119">
        <v>12</v>
      </c>
      <c r="E13119">
        <v>20</v>
      </c>
    </row>
    <row r="13120" spans="1:5" x14ac:dyDescent="0.3">
      <c r="A13120" t="s">
        <v>65</v>
      </c>
      <c r="B13120" s="1">
        <v>44684</v>
      </c>
      <c r="C13120">
        <v>1</v>
      </c>
      <c r="D13120">
        <v>181.12</v>
      </c>
      <c r="E13120">
        <v>212</v>
      </c>
    </row>
    <row r="13121" spans="1:5" x14ac:dyDescent="0.3">
      <c r="A13121" t="s">
        <v>66</v>
      </c>
      <c r="B13121" s="1">
        <v>44684</v>
      </c>
      <c r="C13121">
        <v>1</v>
      </c>
      <c r="D13121">
        <v>32.619999999999997</v>
      </c>
      <c r="E13121">
        <v>38</v>
      </c>
    </row>
    <row r="13122" spans="1:5" x14ac:dyDescent="0.3">
      <c r="A13122" t="s">
        <v>66</v>
      </c>
      <c r="B13122" s="1">
        <v>44684</v>
      </c>
      <c r="C13122">
        <v>1</v>
      </c>
      <c r="D13122">
        <v>32.619999999999997</v>
      </c>
      <c r="E13122">
        <v>38</v>
      </c>
    </row>
    <row r="13123" spans="1:5" x14ac:dyDescent="0.3">
      <c r="A13123" t="s">
        <v>120</v>
      </c>
      <c r="B13123" s="1">
        <v>44684</v>
      </c>
      <c r="C13123">
        <v>1</v>
      </c>
      <c r="D13123">
        <v>137.47999999999999</v>
      </c>
      <c r="E13123">
        <v>192</v>
      </c>
    </row>
    <row r="13124" spans="1:5" x14ac:dyDescent="0.3">
      <c r="A13124" t="s">
        <v>113</v>
      </c>
      <c r="B13124" s="1">
        <v>44684</v>
      </c>
      <c r="C13124">
        <v>1</v>
      </c>
      <c r="D13124">
        <v>126.69</v>
      </c>
      <c r="E13124">
        <v>179</v>
      </c>
    </row>
    <row r="13125" spans="1:5" x14ac:dyDescent="0.3">
      <c r="A13125" t="s">
        <v>67</v>
      </c>
      <c r="B13125" s="1">
        <v>44684</v>
      </c>
      <c r="C13125">
        <v>1</v>
      </c>
      <c r="D13125">
        <v>53.95</v>
      </c>
      <c r="E13125">
        <v>77</v>
      </c>
    </row>
    <row r="13126" spans="1:5" x14ac:dyDescent="0.3">
      <c r="A13126" t="s">
        <v>43</v>
      </c>
      <c r="B13126" s="1">
        <v>44684</v>
      </c>
      <c r="C13126">
        <v>1</v>
      </c>
      <c r="D13126">
        <v>146.88999999999999</v>
      </c>
      <c r="E13126">
        <v>174</v>
      </c>
    </row>
    <row r="13127" spans="1:5" x14ac:dyDescent="0.3">
      <c r="A13127" t="s">
        <v>106</v>
      </c>
      <c r="B13127" s="1">
        <v>44684</v>
      </c>
      <c r="C13127">
        <v>1</v>
      </c>
      <c r="D13127">
        <v>46.2</v>
      </c>
      <c r="E13127">
        <v>56</v>
      </c>
    </row>
    <row r="13128" spans="1:5" x14ac:dyDescent="0.3">
      <c r="A13128" t="s">
        <v>91</v>
      </c>
      <c r="B13128" s="1">
        <v>44684</v>
      </c>
      <c r="C13128">
        <v>1</v>
      </c>
      <c r="D13128">
        <v>31.73</v>
      </c>
      <c r="E13128">
        <v>52</v>
      </c>
    </row>
    <row r="13129" spans="1:5" x14ac:dyDescent="0.3">
      <c r="A13129" t="s">
        <v>124</v>
      </c>
      <c r="B13129" s="1">
        <v>44684</v>
      </c>
      <c r="C13129">
        <v>1</v>
      </c>
      <c r="D13129">
        <v>36.69</v>
      </c>
      <c r="E13129">
        <v>59</v>
      </c>
    </row>
    <row r="13130" spans="1:5" x14ac:dyDescent="0.3">
      <c r="A13130" t="s">
        <v>24</v>
      </c>
      <c r="B13130" s="1">
        <v>44684</v>
      </c>
      <c r="C13130">
        <v>1</v>
      </c>
      <c r="D13130">
        <v>99.48</v>
      </c>
      <c r="E13130">
        <v>117</v>
      </c>
    </row>
    <row r="13131" spans="1:5" x14ac:dyDescent="0.3">
      <c r="A13131" t="s">
        <v>137</v>
      </c>
      <c r="B13131" s="1">
        <v>44684</v>
      </c>
      <c r="C13131">
        <v>2</v>
      </c>
      <c r="D13131">
        <v>6.4</v>
      </c>
      <c r="E13131">
        <v>11</v>
      </c>
    </row>
    <row r="13132" spans="1:5" x14ac:dyDescent="0.3">
      <c r="A13132" t="s">
        <v>65</v>
      </c>
      <c r="B13132" s="1">
        <v>44684</v>
      </c>
      <c r="C13132">
        <v>1</v>
      </c>
      <c r="D13132">
        <v>176.77</v>
      </c>
      <c r="E13132">
        <v>207</v>
      </c>
    </row>
    <row r="13133" spans="1:5" x14ac:dyDescent="0.3">
      <c r="A13133" t="s">
        <v>62</v>
      </c>
      <c r="B13133" s="1">
        <v>44684</v>
      </c>
      <c r="C13133">
        <v>1</v>
      </c>
      <c r="D13133">
        <v>25.71</v>
      </c>
      <c r="E13133">
        <v>31</v>
      </c>
    </row>
    <row r="13134" spans="1:5" x14ac:dyDescent="0.3">
      <c r="A13134" t="s">
        <v>62</v>
      </c>
      <c r="B13134" s="1">
        <v>44684</v>
      </c>
      <c r="C13134">
        <v>1</v>
      </c>
      <c r="D13134">
        <v>25.2</v>
      </c>
      <c r="E13134">
        <v>30</v>
      </c>
    </row>
    <row r="13135" spans="1:5" x14ac:dyDescent="0.3">
      <c r="A13135" t="s">
        <v>21</v>
      </c>
      <c r="B13135" s="1">
        <v>44684</v>
      </c>
      <c r="C13135">
        <v>1</v>
      </c>
      <c r="D13135">
        <v>184.02</v>
      </c>
      <c r="E13135">
        <v>260</v>
      </c>
    </row>
    <row r="13136" spans="1:5" x14ac:dyDescent="0.3">
      <c r="A13136" t="s">
        <v>118</v>
      </c>
      <c r="B13136" s="1">
        <v>44684</v>
      </c>
      <c r="C13136">
        <v>1</v>
      </c>
      <c r="D13136">
        <v>10.79</v>
      </c>
      <c r="E13136">
        <v>13</v>
      </c>
    </row>
    <row r="13137" spans="1:5" x14ac:dyDescent="0.3">
      <c r="A13137" t="s">
        <v>118</v>
      </c>
      <c r="B13137" s="1">
        <v>44684</v>
      </c>
      <c r="C13137">
        <v>1</v>
      </c>
      <c r="D13137">
        <v>10.79</v>
      </c>
      <c r="E13137">
        <v>13</v>
      </c>
    </row>
    <row r="13138" spans="1:5" x14ac:dyDescent="0.3">
      <c r="A13138" t="s">
        <v>55</v>
      </c>
      <c r="B13138" s="1">
        <v>44684</v>
      </c>
      <c r="C13138">
        <v>1</v>
      </c>
      <c r="D13138">
        <v>75.040000000000006</v>
      </c>
      <c r="E13138">
        <v>93.5</v>
      </c>
    </row>
    <row r="13139" spans="1:5" x14ac:dyDescent="0.3">
      <c r="A13139" t="s">
        <v>66</v>
      </c>
      <c r="B13139" s="1">
        <v>44684</v>
      </c>
      <c r="C13139">
        <v>1</v>
      </c>
      <c r="D13139">
        <v>31.52</v>
      </c>
      <c r="E13139">
        <v>37</v>
      </c>
    </row>
    <row r="13140" spans="1:5" x14ac:dyDescent="0.3">
      <c r="A13140" t="s">
        <v>25</v>
      </c>
      <c r="B13140" s="1">
        <v>44684</v>
      </c>
      <c r="C13140">
        <v>1</v>
      </c>
      <c r="D13140">
        <v>148.58000000000001</v>
      </c>
      <c r="E13140">
        <v>179</v>
      </c>
    </row>
    <row r="13141" spans="1:5" x14ac:dyDescent="0.3">
      <c r="A13141" t="s">
        <v>54</v>
      </c>
      <c r="B13141" s="1">
        <v>44684</v>
      </c>
      <c r="C13141">
        <v>1</v>
      </c>
      <c r="D13141">
        <v>642.92999999999995</v>
      </c>
      <c r="E13141">
        <v>830</v>
      </c>
    </row>
    <row r="13142" spans="1:5" x14ac:dyDescent="0.3">
      <c r="A13142" t="s">
        <v>102</v>
      </c>
      <c r="B13142" s="1">
        <v>44684</v>
      </c>
      <c r="C13142">
        <v>1</v>
      </c>
      <c r="D13142">
        <v>26.15</v>
      </c>
      <c r="E13142">
        <v>32</v>
      </c>
    </row>
    <row r="13143" spans="1:5" x14ac:dyDescent="0.3">
      <c r="A13143" t="s">
        <v>102</v>
      </c>
      <c r="B13143" s="1">
        <v>44684</v>
      </c>
      <c r="C13143">
        <v>1</v>
      </c>
      <c r="D13143">
        <v>26.15</v>
      </c>
      <c r="E13143">
        <v>32</v>
      </c>
    </row>
    <row r="13144" spans="1:5" x14ac:dyDescent="0.3">
      <c r="A13144" t="s">
        <v>66</v>
      </c>
      <c r="B13144" s="1">
        <v>44684</v>
      </c>
      <c r="C13144">
        <v>1</v>
      </c>
      <c r="D13144">
        <v>32.01</v>
      </c>
      <c r="E13144">
        <v>39</v>
      </c>
    </row>
    <row r="13145" spans="1:5" x14ac:dyDescent="0.3">
      <c r="A13145" t="s">
        <v>153</v>
      </c>
      <c r="B13145" s="1">
        <v>44684</v>
      </c>
      <c r="C13145">
        <v>1</v>
      </c>
      <c r="D13145">
        <v>46.68</v>
      </c>
      <c r="E13145">
        <v>65</v>
      </c>
    </row>
    <row r="13146" spans="1:5" x14ac:dyDescent="0.3">
      <c r="A13146" t="s">
        <v>157</v>
      </c>
      <c r="B13146" s="1">
        <v>44684</v>
      </c>
      <c r="C13146">
        <v>1</v>
      </c>
      <c r="D13146">
        <v>12</v>
      </c>
      <c r="E13146">
        <v>21</v>
      </c>
    </row>
    <row r="13147" spans="1:5" x14ac:dyDescent="0.3">
      <c r="A13147" t="s">
        <v>25</v>
      </c>
      <c r="B13147" s="1">
        <v>44684</v>
      </c>
      <c r="C13147">
        <v>1</v>
      </c>
      <c r="D13147">
        <v>148.58000000000001</v>
      </c>
      <c r="E13147">
        <v>179</v>
      </c>
    </row>
    <row r="13148" spans="1:5" x14ac:dyDescent="0.3">
      <c r="A13148" t="s">
        <v>25</v>
      </c>
      <c r="B13148" s="1">
        <v>44684</v>
      </c>
      <c r="C13148">
        <v>1</v>
      </c>
      <c r="D13148">
        <v>148.58000000000001</v>
      </c>
      <c r="E13148">
        <v>179</v>
      </c>
    </row>
    <row r="13149" spans="1:5" x14ac:dyDescent="0.3">
      <c r="A13149" t="s">
        <v>120</v>
      </c>
      <c r="B13149" s="1">
        <v>44684</v>
      </c>
      <c r="C13149">
        <v>1</v>
      </c>
      <c r="D13149">
        <v>133.72999999999999</v>
      </c>
      <c r="E13149">
        <v>194</v>
      </c>
    </row>
    <row r="13150" spans="1:5" x14ac:dyDescent="0.3">
      <c r="A13150" t="s">
        <v>63</v>
      </c>
      <c r="B13150" s="1">
        <v>44684</v>
      </c>
      <c r="C13150">
        <v>1</v>
      </c>
      <c r="D13150">
        <v>71.790000000000006</v>
      </c>
      <c r="E13150">
        <v>87</v>
      </c>
    </row>
    <row r="13151" spans="1:5" x14ac:dyDescent="0.3">
      <c r="A13151" t="s">
        <v>63</v>
      </c>
      <c r="B13151" s="1">
        <v>44684</v>
      </c>
      <c r="C13151">
        <v>1</v>
      </c>
      <c r="D13151">
        <v>71.790000000000006</v>
      </c>
      <c r="E13151">
        <v>87</v>
      </c>
    </row>
    <row r="13152" spans="1:5" x14ac:dyDescent="0.3">
      <c r="A13152" t="s">
        <v>148</v>
      </c>
      <c r="B13152" s="1">
        <v>44684</v>
      </c>
      <c r="C13152">
        <v>1</v>
      </c>
      <c r="D13152">
        <v>37.6</v>
      </c>
      <c r="E13152">
        <v>60</v>
      </c>
    </row>
    <row r="13153" spans="1:5" x14ac:dyDescent="0.3">
      <c r="A13153" t="s">
        <v>65</v>
      </c>
      <c r="B13153" s="1">
        <v>44684</v>
      </c>
      <c r="C13153">
        <v>1</v>
      </c>
      <c r="D13153">
        <v>176.77</v>
      </c>
      <c r="E13153">
        <v>207</v>
      </c>
    </row>
    <row r="13154" spans="1:5" x14ac:dyDescent="0.3">
      <c r="A13154" t="s">
        <v>56</v>
      </c>
      <c r="B13154" s="1">
        <v>44684</v>
      </c>
      <c r="C13154">
        <v>1</v>
      </c>
      <c r="D13154">
        <v>43.98</v>
      </c>
      <c r="E13154">
        <v>67</v>
      </c>
    </row>
    <row r="13155" spans="1:5" x14ac:dyDescent="0.3">
      <c r="A13155" t="s">
        <v>65</v>
      </c>
      <c r="B13155" s="1">
        <v>44684</v>
      </c>
      <c r="C13155">
        <v>1</v>
      </c>
      <c r="D13155">
        <v>181.12</v>
      </c>
      <c r="E13155">
        <v>212</v>
      </c>
    </row>
    <row r="13156" spans="1:5" x14ac:dyDescent="0.3">
      <c r="A13156" t="s">
        <v>63</v>
      </c>
      <c r="B13156" s="1">
        <v>44684</v>
      </c>
      <c r="C13156">
        <v>1</v>
      </c>
      <c r="D13156">
        <v>73.3</v>
      </c>
      <c r="E13156">
        <v>88</v>
      </c>
    </row>
    <row r="13157" spans="1:5" x14ac:dyDescent="0.3">
      <c r="A13157" t="s">
        <v>129</v>
      </c>
      <c r="B13157" s="1">
        <v>44684</v>
      </c>
      <c r="C13157">
        <v>0.04</v>
      </c>
      <c r="D13157">
        <v>496.39</v>
      </c>
      <c r="E13157">
        <v>597</v>
      </c>
    </row>
    <row r="13158" spans="1:5" x14ac:dyDescent="0.3">
      <c r="A13158" t="s">
        <v>89</v>
      </c>
      <c r="B13158" s="1">
        <v>44684</v>
      </c>
      <c r="C13158">
        <v>1</v>
      </c>
      <c r="D13158">
        <v>75.5</v>
      </c>
      <c r="E13158">
        <v>108</v>
      </c>
    </row>
    <row r="13159" spans="1:5" x14ac:dyDescent="0.3">
      <c r="A13159" t="s">
        <v>91</v>
      </c>
      <c r="B13159" s="1">
        <v>44684</v>
      </c>
      <c r="C13159">
        <v>1</v>
      </c>
      <c r="D13159">
        <v>31.81</v>
      </c>
      <c r="E13159">
        <v>52</v>
      </c>
    </row>
    <row r="13160" spans="1:5" x14ac:dyDescent="0.3">
      <c r="A13160" t="s">
        <v>14</v>
      </c>
      <c r="B13160" s="1">
        <v>44684</v>
      </c>
      <c r="C13160">
        <v>0.2</v>
      </c>
      <c r="D13160">
        <v>515.08000000000004</v>
      </c>
      <c r="E13160">
        <v>696</v>
      </c>
    </row>
    <row r="13161" spans="1:5" x14ac:dyDescent="0.3">
      <c r="A13161" t="s">
        <v>57</v>
      </c>
      <c r="B13161" s="1">
        <v>44684</v>
      </c>
      <c r="C13161">
        <v>1</v>
      </c>
      <c r="D13161">
        <v>232.47</v>
      </c>
      <c r="E13161">
        <v>291</v>
      </c>
    </row>
    <row r="13162" spans="1:5" x14ac:dyDescent="0.3">
      <c r="A13162" t="s">
        <v>48</v>
      </c>
      <c r="B13162" s="1">
        <v>44684</v>
      </c>
      <c r="C13162">
        <v>1</v>
      </c>
      <c r="D13162">
        <v>39.14</v>
      </c>
      <c r="E13162">
        <v>60</v>
      </c>
    </row>
    <row r="13163" spans="1:5" x14ac:dyDescent="0.3">
      <c r="A13163" t="s">
        <v>5</v>
      </c>
      <c r="B13163" s="1">
        <v>44683</v>
      </c>
      <c r="C13163">
        <v>1</v>
      </c>
      <c r="D13163">
        <v>136.47999999999999</v>
      </c>
      <c r="E13163">
        <v>163</v>
      </c>
    </row>
    <row r="13164" spans="1:5" x14ac:dyDescent="0.3">
      <c r="A13164" t="s">
        <v>95</v>
      </c>
      <c r="B13164" s="1">
        <v>44683</v>
      </c>
      <c r="C13164">
        <v>0.2</v>
      </c>
      <c r="D13164">
        <v>133.25</v>
      </c>
      <c r="E13164">
        <v>204</v>
      </c>
    </row>
    <row r="13165" spans="1:5" x14ac:dyDescent="0.3">
      <c r="A13165" t="s">
        <v>47</v>
      </c>
      <c r="B13165" s="1">
        <v>44683</v>
      </c>
      <c r="C13165">
        <v>1</v>
      </c>
      <c r="D13165">
        <v>41.58</v>
      </c>
      <c r="E13165">
        <v>65</v>
      </c>
    </row>
    <row r="13166" spans="1:5" x14ac:dyDescent="0.3">
      <c r="A13166" t="s">
        <v>18</v>
      </c>
      <c r="B13166" s="1">
        <v>44683</v>
      </c>
      <c r="C13166">
        <v>1</v>
      </c>
      <c r="D13166">
        <v>44</v>
      </c>
      <c r="E13166">
        <v>69</v>
      </c>
    </row>
    <row r="13167" spans="1:5" x14ac:dyDescent="0.3">
      <c r="A13167" t="s">
        <v>122</v>
      </c>
      <c r="B13167" s="1">
        <v>44683</v>
      </c>
      <c r="C13167">
        <v>1</v>
      </c>
      <c r="D13167">
        <v>21.64</v>
      </c>
      <c r="E13167">
        <v>27</v>
      </c>
    </row>
    <row r="13168" spans="1:5" x14ac:dyDescent="0.3">
      <c r="A13168" t="s">
        <v>127</v>
      </c>
      <c r="B13168" s="1">
        <v>44683</v>
      </c>
      <c r="C13168">
        <v>1</v>
      </c>
      <c r="D13168">
        <v>120.56</v>
      </c>
      <c r="E13168">
        <v>166</v>
      </c>
    </row>
    <row r="13169" spans="1:5" x14ac:dyDescent="0.3">
      <c r="A13169" t="s">
        <v>31</v>
      </c>
      <c r="B13169" s="1">
        <v>44683</v>
      </c>
      <c r="C13169">
        <v>1</v>
      </c>
      <c r="D13169">
        <v>12.9</v>
      </c>
      <c r="E13169">
        <v>18</v>
      </c>
    </row>
    <row r="13170" spans="1:5" x14ac:dyDescent="0.3">
      <c r="A13170" t="s">
        <v>47</v>
      </c>
      <c r="B13170" s="1">
        <v>44683</v>
      </c>
      <c r="C13170">
        <v>1</v>
      </c>
      <c r="D13170">
        <v>41.58</v>
      </c>
      <c r="E13170">
        <v>65</v>
      </c>
    </row>
    <row r="13171" spans="1:5" x14ac:dyDescent="0.3">
      <c r="A13171" t="s">
        <v>28</v>
      </c>
      <c r="B13171" s="1">
        <v>44683</v>
      </c>
      <c r="C13171">
        <v>1</v>
      </c>
      <c r="D13171">
        <v>135.44999999999999</v>
      </c>
      <c r="E13171">
        <v>189</v>
      </c>
    </row>
    <row r="13172" spans="1:5" x14ac:dyDescent="0.3">
      <c r="A13172" t="s">
        <v>86</v>
      </c>
      <c r="B13172" s="1">
        <v>44683</v>
      </c>
      <c r="C13172">
        <v>1</v>
      </c>
      <c r="D13172">
        <v>40.869999999999997</v>
      </c>
      <c r="E13172">
        <v>66</v>
      </c>
    </row>
    <row r="13173" spans="1:5" x14ac:dyDescent="0.3">
      <c r="A13173" t="s">
        <v>65</v>
      </c>
      <c r="B13173" s="1">
        <v>44683</v>
      </c>
      <c r="C13173">
        <v>1</v>
      </c>
      <c r="D13173">
        <v>181.12</v>
      </c>
      <c r="E13173">
        <v>212</v>
      </c>
    </row>
    <row r="13174" spans="1:5" x14ac:dyDescent="0.3">
      <c r="A13174" t="s">
        <v>155</v>
      </c>
      <c r="B13174" s="1">
        <v>44683</v>
      </c>
      <c r="C13174">
        <v>0.04</v>
      </c>
      <c r="D13174">
        <v>487.04</v>
      </c>
      <c r="E13174">
        <v>731</v>
      </c>
    </row>
    <row r="13175" spans="1:5" x14ac:dyDescent="0.3">
      <c r="A13175" t="s">
        <v>27</v>
      </c>
      <c r="B13175" s="1">
        <v>44683</v>
      </c>
      <c r="C13175">
        <v>1</v>
      </c>
      <c r="D13175">
        <v>105.23</v>
      </c>
      <c r="E13175">
        <v>161</v>
      </c>
    </row>
    <row r="13176" spans="1:5" x14ac:dyDescent="0.3">
      <c r="A13176" t="s">
        <v>65</v>
      </c>
      <c r="B13176" s="1">
        <v>44683</v>
      </c>
      <c r="C13176">
        <v>1</v>
      </c>
      <c r="D13176">
        <v>181.12</v>
      </c>
      <c r="E13176">
        <v>212</v>
      </c>
    </row>
    <row r="13177" spans="1:5" x14ac:dyDescent="0.3">
      <c r="A13177" t="s">
        <v>65</v>
      </c>
      <c r="B13177" s="1">
        <v>44683</v>
      </c>
      <c r="C13177">
        <v>1</v>
      </c>
      <c r="D13177">
        <v>181.12</v>
      </c>
      <c r="E13177">
        <v>212</v>
      </c>
    </row>
    <row r="13178" spans="1:5" x14ac:dyDescent="0.3">
      <c r="A13178" t="s">
        <v>12</v>
      </c>
      <c r="B13178" s="1">
        <v>44683</v>
      </c>
      <c r="C13178">
        <v>1</v>
      </c>
      <c r="D13178">
        <v>59.7</v>
      </c>
      <c r="E13178">
        <v>75</v>
      </c>
    </row>
    <row r="13179" spans="1:5" x14ac:dyDescent="0.3">
      <c r="A13179" t="s">
        <v>59</v>
      </c>
      <c r="B13179" s="1">
        <v>44683</v>
      </c>
      <c r="C13179">
        <v>1</v>
      </c>
      <c r="D13179">
        <v>13.1</v>
      </c>
      <c r="E13179">
        <v>21</v>
      </c>
    </row>
    <row r="13180" spans="1:5" x14ac:dyDescent="0.3">
      <c r="A13180" t="s">
        <v>152</v>
      </c>
      <c r="B13180" s="1">
        <v>44683</v>
      </c>
      <c r="C13180">
        <v>1</v>
      </c>
      <c r="D13180">
        <v>106.17</v>
      </c>
      <c r="E13180">
        <v>133</v>
      </c>
    </row>
    <row r="13181" spans="1:5" x14ac:dyDescent="0.3">
      <c r="A13181" t="s">
        <v>7</v>
      </c>
      <c r="B13181" s="1">
        <v>44683</v>
      </c>
      <c r="C13181">
        <v>1</v>
      </c>
      <c r="D13181">
        <v>90.07</v>
      </c>
      <c r="E13181">
        <v>107</v>
      </c>
    </row>
    <row r="13182" spans="1:5" x14ac:dyDescent="0.3">
      <c r="A13182" t="s">
        <v>75</v>
      </c>
      <c r="B13182" s="1">
        <v>44683</v>
      </c>
      <c r="C13182">
        <v>0.1</v>
      </c>
      <c r="D13182">
        <v>429.66</v>
      </c>
      <c r="E13182">
        <v>654</v>
      </c>
    </row>
    <row r="13183" spans="1:5" x14ac:dyDescent="0.3">
      <c r="A13183" t="s">
        <v>131</v>
      </c>
      <c r="B13183" s="1">
        <v>44683</v>
      </c>
      <c r="C13183">
        <v>1</v>
      </c>
      <c r="D13183">
        <v>363</v>
      </c>
      <c r="E13183">
        <v>480</v>
      </c>
    </row>
    <row r="13184" spans="1:5" x14ac:dyDescent="0.3">
      <c r="A13184" t="s">
        <v>156</v>
      </c>
      <c r="B13184" s="1">
        <v>44683</v>
      </c>
      <c r="C13184">
        <v>1</v>
      </c>
      <c r="D13184">
        <v>253.44</v>
      </c>
      <c r="E13184">
        <v>338</v>
      </c>
    </row>
    <row r="13185" spans="1:5" x14ac:dyDescent="0.3">
      <c r="A13185" t="s">
        <v>87</v>
      </c>
      <c r="B13185" s="1">
        <v>44683</v>
      </c>
      <c r="C13185">
        <v>1</v>
      </c>
      <c r="D13185">
        <v>351.11</v>
      </c>
      <c r="E13185">
        <v>413</v>
      </c>
    </row>
    <row r="13186" spans="1:5" x14ac:dyDescent="0.3">
      <c r="A13186" t="s">
        <v>118</v>
      </c>
      <c r="B13186" s="1">
        <v>44683</v>
      </c>
      <c r="C13186">
        <v>1</v>
      </c>
      <c r="D13186">
        <v>10.78</v>
      </c>
      <c r="E13186">
        <v>13</v>
      </c>
    </row>
    <row r="13187" spans="1:5" x14ac:dyDescent="0.3">
      <c r="A13187" t="s">
        <v>118</v>
      </c>
      <c r="B13187" s="1">
        <v>44683</v>
      </c>
      <c r="C13187">
        <v>1</v>
      </c>
      <c r="D13187">
        <v>10.78</v>
      </c>
      <c r="E13187">
        <v>13</v>
      </c>
    </row>
    <row r="13188" spans="1:5" x14ac:dyDescent="0.3">
      <c r="A13188" t="s">
        <v>118</v>
      </c>
      <c r="B13188" s="1">
        <v>44683</v>
      </c>
      <c r="C13188">
        <v>1</v>
      </c>
      <c r="D13188">
        <v>10.78</v>
      </c>
      <c r="E13188">
        <v>13</v>
      </c>
    </row>
    <row r="13189" spans="1:5" x14ac:dyDescent="0.3">
      <c r="A13189" t="s">
        <v>118</v>
      </c>
      <c r="B13189" s="1">
        <v>44683</v>
      </c>
      <c r="C13189">
        <v>1</v>
      </c>
      <c r="D13189">
        <v>10.78</v>
      </c>
      <c r="E13189">
        <v>13</v>
      </c>
    </row>
    <row r="13190" spans="1:5" x14ac:dyDescent="0.3">
      <c r="A13190" t="s">
        <v>118</v>
      </c>
      <c r="B13190" s="1">
        <v>44683</v>
      </c>
      <c r="C13190">
        <v>1</v>
      </c>
      <c r="D13190">
        <v>10.78</v>
      </c>
      <c r="E13190">
        <v>13</v>
      </c>
    </row>
    <row r="13191" spans="1:5" x14ac:dyDescent="0.3">
      <c r="A13191" t="s">
        <v>8</v>
      </c>
      <c r="B13191" s="1">
        <v>44683</v>
      </c>
      <c r="C13191">
        <v>1</v>
      </c>
      <c r="D13191">
        <v>50.12</v>
      </c>
      <c r="E13191">
        <v>79</v>
      </c>
    </row>
    <row r="13192" spans="1:5" x14ac:dyDescent="0.3">
      <c r="A13192" t="s">
        <v>65</v>
      </c>
      <c r="B13192" s="1">
        <v>44683</v>
      </c>
      <c r="C13192">
        <v>1</v>
      </c>
      <c r="D13192">
        <v>181.12</v>
      </c>
      <c r="E13192">
        <v>227</v>
      </c>
    </row>
    <row r="13193" spans="1:5" x14ac:dyDescent="0.3">
      <c r="A13193" t="s">
        <v>65</v>
      </c>
      <c r="B13193" s="1">
        <v>44683</v>
      </c>
      <c r="C13193">
        <v>1</v>
      </c>
      <c r="D13193">
        <v>181.12</v>
      </c>
      <c r="E13193">
        <v>212</v>
      </c>
    </row>
    <row r="13194" spans="1:5" x14ac:dyDescent="0.3">
      <c r="A13194" t="s">
        <v>122</v>
      </c>
      <c r="B13194" s="1">
        <v>44683</v>
      </c>
      <c r="C13194">
        <v>1</v>
      </c>
      <c r="D13194">
        <v>20.47</v>
      </c>
      <c r="E13194">
        <v>25</v>
      </c>
    </row>
    <row r="13195" spans="1:5" x14ac:dyDescent="0.3">
      <c r="A13195" t="s">
        <v>58</v>
      </c>
      <c r="B13195" s="1">
        <v>44683</v>
      </c>
      <c r="C13195">
        <v>1</v>
      </c>
      <c r="D13195">
        <v>81.64</v>
      </c>
      <c r="E13195">
        <v>98</v>
      </c>
    </row>
    <row r="13196" spans="1:5" x14ac:dyDescent="0.3">
      <c r="A13196" t="s">
        <v>20</v>
      </c>
      <c r="B13196" s="1">
        <v>44683</v>
      </c>
      <c r="C13196">
        <v>1</v>
      </c>
      <c r="D13196">
        <v>21.33</v>
      </c>
      <c r="E13196">
        <v>27</v>
      </c>
    </row>
    <row r="13197" spans="1:5" x14ac:dyDescent="0.3">
      <c r="A13197" t="s">
        <v>20</v>
      </c>
      <c r="B13197" s="1">
        <v>44683</v>
      </c>
      <c r="C13197">
        <v>1</v>
      </c>
      <c r="D13197">
        <v>21.33</v>
      </c>
      <c r="E13197">
        <v>27</v>
      </c>
    </row>
    <row r="13198" spans="1:5" x14ac:dyDescent="0.3">
      <c r="A13198" t="s">
        <v>65</v>
      </c>
      <c r="B13198" s="1">
        <v>44683</v>
      </c>
      <c r="C13198">
        <v>1</v>
      </c>
      <c r="D13198">
        <v>181.12</v>
      </c>
      <c r="E13198">
        <v>212</v>
      </c>
    </row>
    <row r="13199" spans="1:5" x14ac:dyDescent="0.3">
      <c r="A13199" t="s">
        <v>24</v>
      </c>
      <c r="B13199" s="1">
        <v>44683</v>
      </c>
      <c r="C13199">
        <v>1</v>
      </c>
      <c r="D13199">
        <v>99.48</v>
      </c>
      <c r="E13199">
        <v>116</v>
      </c>
    </row>
    <row r="13200" spans="1:5" x14ac:dyDescent="0.3">
      <c r="A13200" t="s">
        <v>148</v>
      </c>
      <c r="B13200" s="1">
        <v>44683</v>
      </c>
      <c r="C13200">
        <v>1</v>
      </c>
      <c r="D13200">
        <v>37.6</v>
      </c>
      <c r="E13200">
        <v>60</v>
      </c>
    </row>
    <row r="13201" spans="1:5" x14ac:dyDescent="0.3">
      <c r="A13201" t="s">
        <v>31</v>
      </c>
      <c r="B13201" s="1">
        <v>44683</v>
      </c>
      <c r="C13201">
        <v>1</v>
      </c>
      <c r="D13201">
        <v>13.19</v>
      </c>
      <c r="E13201">
        <v>18</v>
      </c>
    </row>
    <row r="13202" spans="1:5" x14ac:dyDescent="0.3">
      <c r="A13202" t="s">
        <v>31</v>
      </c>
      <c r="B13202" s="1">
        <v>44683</v>
      </c>
      <c r="C13202">
        <v>1</v>
      </c>
      <c r="D13202">
        <v>13.19</v>
      </c>
      <c r="E13202">
        <v>18</v>
      </c>
    </row>
    <row r="13203" spans="1:5" x14ac:dyDescent="0.3">
      <c r="A13203" t="s">
        <v>136</v>
      </c>
      <c r="B13203" s="1">
        <v>44683</v>
      </c>
      <c r="C13203">
        <v>1</v>
      </c>
      <c r="D13203">
        <v>295.88</v>
      </c>
      <c r="E13203">
        <v>400</v>
      </c>
    </row>
    <row r="13204" spans="1:5" x14ac:dyDescent="0.3">
      <c r="A13204" t="s">
        <v>157</v>
      </c>
      <c r="B13204" s="1">
        <v>44683</v>
      </c>
      <c r="C13204">
        <v>3</v>
      </c>
      <c r="D13204">
        <v>12</v>
      </c>
      <c r="E13204">
        <v>20</v>
      </c>
    </row>
    <row r="13205" spans="1:5" x14ac:dyDescent="0.3">
      <c r="A13205" t="s">
        <v>65</v>
      </c>
      <c r="B13205" s="1">
        <v>44683</v>
      </c>
      <c r="C13205">
        <v>1</v>
      </c>
      <c r="D13205">
        <v>176.77</v>
      </c>
      <c r="E13205">
        <v>207</v>
      </c>
    </row>
    <row r="13206" spans="1:5" x14ac:dyDescent="0.3">
      <c r="A13206" t="s">
        <v>105</v>
      </c>
      <c r="B13206" s="1">
        <v>44683</v>
      </c>
      <c r="C13206">
        <v>1</v>
      </c>
      <c r="D13206">
        <v>27.62</v>
      </c>
      <c r="E13206">
        <v>48</v>
      </c>
    </row>
    <row r="13207" spans="1:5" x14ac:dyDescent="0.3">
      <c r="A13207" t="s">
        <v>105</v>
      </c>
      <c r="B13207" s="1">
        <v>44683</v>
      </c>
      <c r="C13207">
        <v>2</v>
      </c>
      <c r="D13207">
        <v>27.62</v>
      </c>
      <c r="E13207">
        <v>48</v>
      </c>
    </row>
    <row r="13208" spans="1:5" x14ac:dyDescent="0.3">
      <c r="A13208" t="s">
        <v>139</v>
      </c>
      <c r="B13208" s="1">
        <v>44683</v>
      </c>
      <c r="C13208">
        <v>1</v>
      </c>
      <c r="D13208">
        <v>35.51</v>
      </c>
      <c r="E13208">
        <v>58</v>
      </c>
    </row>
    <row r="13209" spans="1:5" x14ac:dyDescent="0.3">
      <c r="A13209" t="s">
        <v>10</v>
      </c>
      <c r="B13209" s="1">
        <v>44683</v>
      </c>
      <c r="C13209">
        <v>1</v>
      </c>
      <c r="D13209">
        <v>11.65</v>
      </c>
      <c r="E13209">
        <v>14</v>
      </c>
    </row>
    <row r="13210" spans="1:5" x14ac:dyDescent="0.3">
      <c r="A13210" t="s">
        <v>10</v>
      </c>
      <c r="B13210" s="1">
        <v>44683</v>
      </c>
      <c r="C13210">
        <v>1</v>
      </c>
      <c r="D13210">
        <v>11.65</v>
      </c>
      <c r="E13210">
        <v>14</v>
      </c>
    </row>
    <row r="13211" spans="1:5" x14ac:dyDescent="0.3">
      <c r="A13211" t="s">
        <v>15</v>
      </c>
      <c r="B13211" s="1">
        <v>44683</v>
      </c>
      <c r="C13211">
        <v>1</v>
      </c>
      <c r="D13211">
        <v>44.41</v>
      </c>
      <c r="E13211">
        <v>72</v>
      </c>
    </row>
    <row r="13212" spans="1:5" x14ac:dyDescent="0.3">
      <c r="A13212" t="s">
        <v>147</v>
      </c>
      <c r="B13212" s="1">
        <v>44683</v>
      </c>
      <c r="C13212">
        <v>1</v>
      </c>
      <c r="D13212">
        <v>137.1</v>
      </c>
      <c r="E13212">
        <v>188</v>
      </c>
    </row>
    <row r="13213" spans="1:5" x14ac:dyDescent="0.3">
      <c r="A13213" t="s">
        <v>95</v>
      </c>
      <c r="B13213" s="1">
        <v>44683</v>
      </c>
      <c r="C13213">
        <v>0.1</v>
      </c>
      <c r="D13213">
        <v>135.38</v>
      </c>
      <c r="E13213">
        <v>208</v>
      </c>
    </row>
    <row r="13214" spans="1:5" x14ac:dyDescent="0.3">
      <c r="A13214" t="s">
        <v>90</v>
      </c>
      <c r="B13214" s="1">
        <v>44683</v>
      </c>
      <c r="C13214">
        <v>1</v>
      </c>
      <c r="D13214">
        <v>383.43</v>
      </c>
      <c r="E13214">
        <v>472</v>
      </c>
    </row>
    <row r="13215" spans="1:5" x14ac:dyDescent="0.3">
      <c r="A13215" t="s">
        <v>65</v>
      </c>
      <c r="B13215" s="1">
        <v>44683</v>
      </c>
      <c r="C13215">
        <v>1</v>
      </c>
      <c r="D13215">
        <v>176.77</v>
      </c>
      <c r="E13215">
        <v>207</v>
      </c>
    </row>
    <row r="13216" spans="1:5" x14ac:dyDescent="0.3">
      <c r="A13216" t="s">
        <v>90</v>
      </c>
      <c r="B13216" s="1">
        <v>44683</v>
      </c>
      <c r="C13216">
        <v>1</v>
      </c>
      <c r="D13216">
        <v>383.43</v>
      </c>
      <c r="E13216">
        <v>480</v>
      </c>
    </row>
    <row r="13217" spans="1:5" x14ac:dyDescent="0.3">
      <c r="A13217" t="s">
        <v>65</v>
      </c>
      <c r="B13217" s="1">
        <v>44683</v>
      </c>
      <c r="C13217">
        <v>1</v>
      </c>
      <c r="D13217">
        <v>181.12</v>
      </c>
      <c r="E13217">
        <v>212</v>
      </c>
    </row>
    <row r="13218" spans="1:5" x14ac:dyDescent="0.3">
      <c r="A13218" t="s">
        <v>26</v>
      </c>
      <c r="B13218" s="1">
        <v>44683</v>
      </c>
      <c r="C13218">
        <v>0.1</v>
      </c>
      <c r="D13218">
        <v>1283.8399999999999</v>
      </c>
      <c r="E13218">
        <v>1580</v>
      </c>
    </row>
    <row r="13219" spans="1:5" x14ac:dyDescent="0.3">
      <c r="A13219" t="s">
        <v>93</v>
      </c>
      <c r="B13219" s="1">
        <v>44683</v>
      </c>
      <c r="C13219">
        <v>1</v>
      </c>
      <c r="D13219">
        <v>66.09</v>
      </c>
      <c r="E13219">
        <v>98</v>
      </c>
    </row>
    <row r="13220" spans="1:5" x14ac:dyDescent="0.3">
      <c r="A13220" t="s">
        <v>157</v>
      </c>
      <c r="B13220" s="1">
        <v>44683</v>
      </c>
      <c r="C13220">
        <v>1</v>
      </c>
      <c r="D13220">
        <v>12</v>
      </c>
      <c r="E13220">
        <v>20</v>
      </c>
    </row>
    <row r="13221" spans="1:5" x14ac:dyDescent="0.3">
      <c r="A13221" t="s">
        <v>13</v>
      </c>
      <c r="B13221" s="1">
        <v>44683</v>
      </c>
      <c r="C13221">
        <v>1</v>
      </c>
      <c r="D13221">
        <v>122.17</v>
      </c>
      <c r="E13221">
        <v>147</v>
      </c>
    </row>
    <row r="13222" spans="1:5" x14ac:dyDescent="0.3">
      <c r="A13222" t="s">
        <v>98</v>
      </c>
      <c r="B13222" s="1">
        <v>44683</v>
      </c>
      <c r="C13222">
        <v>1</v>
      </c>
      <c r="D13222">
        <v>111.24</v>
      </c>
      <c r="E13222">
        <v>133</v>
      </c>
    </row>
    <row r="13223" spans="1:5" x14ac:dyDescent="0.3">
      <c r="A13223" t="s">
        <v>53</v>
      </c>
      <c r="B13223" s="1">
        <v>44683</v>
      </c>
      <c r="C13223">
        <v>1</v>
      </c>
      <c r="D13223">
        <v>23.4</v>
      </c>
      <c r="E13223">
        <v>38</v>
      </c>
    </row>
    <row r="13224" spans="1:5" x14ac:dyDescent="0.3">
      <c r="A13224" t="s">
        <v>64</v>
      </c>
      <c r="B13224" s="1">
        <v>44683</v>
      </c>
      <c r="C13224">
        <v>1</v>
      </c>
      <c r="D13224">
        <v>199.69</v>
      </c>
      <c r="E13224">
        <v>290</v>
      </c>
    </row>
    <row r="13225" spans="1:5" x14ac:dyDescent="0.3">
      <c r="A13225" t="s">
        <v>137</v>
      </c>
      <c r="B13225" s="1">
        <v>44683</v>
      </c>
      <c r="C13225">
        <v>1</v>
      </c>
      <c r="D13225">
        <v>7.7</v>
      </c>
      <c r="E13225">
        <v>14</v>
      </c>
    </row>
    <row r="13226" spans="1:5" x14ac:dyDescent="0.3">
      <c r="A13226" t="s">
        <v>56</v>
      </c>
      <c r="B13226" s="1">
        <v>44683</v>
      </c>
      <c r="C13226">
        <v>1</v>
      </c>
      <c r="D13226">
        <v>43.79</v>
      </c>
      <c r="E13226">
        <v>68</v>
      </c>
    </row>
    <row r="13227" spans="1:5" x14ac:dyDescent="0.3">
      <c r="A13227" t="s">
        <v>85</v>
      </c>
      <c r="B13227" s="1">
        <v>44683</v>
      </c>
      <c r="C13227">
        <v>1</v>
      </c>
      <c r="D13227">
        <v>15.95</v>
      </c>
      <c r="E13227">
        <v>25</v>
      </c>
    </row>
    <row r="13228" spans="1:5" x14ac:dyDescent="0.3">
      <c r="A13228" t="s">
        <v>156</v>
      </c>
      <c r="B13228" s="1">
        <v>44683</v>
      </c>
      <c r="C13228">
        <v>1</v>
      </c>
      <c r="D13228">
        <v>253.44</v>
      </c>
      <c r="E13228">
        <v>338</v>
      </c>
    </row>
    <row r="13229" spans="1:5" x14ac:dyDescent="0.3">
      <c r="A13229" t="s">
        <v>92</v>
      </c>
      <c r="B13229" s="1">
        <v>44683</v>
      </c>
      <c r="C13229">
        <v>1</v>
      </c>
      <c r="D13229">
        <v>6.17</v>
      </c>
      <c r="E13229">
        <v>9</v>
      </c>
    </row>
    <row r="13230" spans="1:5" x14ac:dyDescent="0.3">
      <c r="A13230" t="s">
        <v>104</v>
      </c>
      <c r="B13230" s="1">
        <v>44683</v>
      </c>
      <c r="C13230">
        <v>1</v>
      </c>
      <c r="D13230">
        <v>45.2</v>
      </c>
      <c r="E13230">
        <v>57</v>
      </c>
    </row>
    <row r="13231" spans="1:5" x14ac:dyDescent="0.3">
      <c r="A13231" t="s">
        <v>24</v>
      </c>
      <c r="B13231" s="1">
        <v>44683</v>
      </c>
      <c r="C13231">
        <v>1</v>
      </c>
      <c r="D13231">
        <v>99.48</v>
      </c>
      <c r="E13231">
        <v>116</v>
      </c>
    </row>
    <row r="13232" spans="1:5" x14ac:dyDescent="0.3">
      <c r="A13232" t="s">
        <v>111</v>
      </c>
      <c r="B13232" s="1">
        <v>44683</v>
      </c>
      <c r="C13232">
        <v>1</v>
      </c>
      <c r="D13232">
        <v>168.56</v>
      </c>
      <c r="E13232">
        <v>205</v>
      </c>
    </row>
    <row r="13233" spans="1:5" x14ac:dyDescent="0.3">
      <c r="A13233" t="s">
        <v>34</v>
      </c>
      <c r="B13233" s="1">
        <v>44683</v>
      </c>
      <c r="C13233">
        <v>1</v>
      </c>
      <c r="D13233">
        <v>200.94</v>
      </c>
      <c r="E13233">
        <v>232</v>
      </c>
    </row>
    <row r="13234" spans="1:5" x14ac:dyDescent="0.3">
      <c r="A13234" t="s">
        <v>107</v>
      </c>
      <c r="B13234" s="1">
        <v>44683</v>
      </c>
      <c r="C13234">
        <v>1</v>
      </c>
      <c r="D13234">
        <v>71.03</v>
      </c>
      <c r="E13234">
        <v>88</v>
      </c>
    </row>
    <row r="13235" spans="1:5" x14ac:dyDescent="0.3">
      <c r="A13235" t="s">
        <v>138</v>
      </c>
      <c r="B13235" s="1">
        <v>44683</v>
      </c>
      <c r="C13235">
        <v>1</v>
      </c>
      <c r="D13235">
        <v>46.5</v>
      </c>
      <c r="E13235">
        <v>76</v>
      </c>
    </row>
    <row r="13236" spans="1:5" x14ac:dyDescent="0.3">
      <c r="A13236" t="s">
        <v>96</v>
      </c>
      <c r="B13236" s="1">
        <v>44683</v>
      </c>
      <c r="C13236">
        <v>1</v>
      </c>
      <c r="D13236">
        <v>72.569999999999993</v>
      </c>
      <c r="E13236">
        <v>109</v>
      </c>
    </row>
    <row r="13237" spans="1:5" x14ac:dyDescent="0.3">
      <c r="A13237" t="s">
        <v>96</v>
      </c>
      <c r="B13237" s="1">
        <v>44683</v>
      </c>
      <c r="C13237">
        <v>1</v>
      </c>
      <c r="D13237">
        <v>73.44</v>
      </c>
      <c r="E13237">
        <v>110</v>
      </c>
    </row>
    <row r="13238" spans="1:5" x14ac:dyDescent="0.3">
      <c r="A13238" t="s">
        <v>96</v>
      </c>
      <c r="B13238" s="1">
        <v>44683</v>
      </c>
      <c r="C13238">
        <v>1</v>
      </c>
      <c r="D13238">
        <v>72.73</v>
      </c>
      <c r="E13238">
        <v>109</v>
      </c>
    </row>
    <row r="13239" spans="1:5" x14ac:dyDescent="0.3">
      <c r="A13239" t="s">
        <v>122</v>
      </c>
      <c r="B13239" s="1">
        <v>44683</v>
      </c>
      <c r="C13239">
        <v>1</v>
      </c>
      <c r="D13239">
        <v>21.64</v>
      </c>
      <c r="E13239">
        <v>27</v>
      </c>
    </row>
    <row r="13240" spans="1:5" x14ac:dyDescent="0.3">
      <c r="A13240" t="s">
        <v>35</v>
      </c>
      <c r="B13240" s="1">
        <v>44683</v>
      </c>
      <c r="C13240">
        <v>1</v>
      </c>
      <c r="D13240">
        <v>39.6</v>
      </c>
      <c r="E13240">
        <v>61</v>
      </c>
    </row>
    <row r="13241" spans="1:5" x14ac:dyDescent="0.3">
      <c r="A13241" t="s">
        <v>45</v>
      </c>
      <c r="B13241" s="1">
        <v>44683</v>
      </c>
      <c r="C13241">
        <v>1</v>
      </c>
      <c r="D13241">
        <v>25.25</v>
      </c>
      <c r="E13241">
        <v>41</v>
      </c>
    </row>
    <row r="13242" spans="1:5" x14ac:dyDescent="0.3">
      <c r="A13242" t="s">
        <v>45</v>
      </c>
      <c r="B13242" s="1">
        <v>44683</v>
      </c>
      <c r="C13242">
        <v>1</v>
      </c>
      <c r="D13242">
        <v>30.46</v>
      </c>
      <c r="E13242">
        <v>50</v>
      </c>
    </row>
    <row r="13243" spans="1:5" x14ac:dyDescent="0.3">
      <c r="A13243" t="s">
        <v>65</v>
      </c>
      <c r="B13243" s="1">
        <v>44683</v>
      </c>
      <c r="C13243">
        <v>1</v>
      </c>
      <c r="D13243">
        <v>176.77</v>
      </c>
      <c r="E13243">
        <v>207</v>
      </c>
    </row>
    <row r="13244" spans="1:5" x14ac:dyDescent="0.3">
      <c r="A13244" t="s">
        <v>7</v>
      </c>
      <c r="B13244" s="1">
        <v>44683</v>
      </c>
      <c r="C13244">
        <v>1</v>
      </c>
      <c r="D13244">
        <v>87.9</v>
      </c>
      <c r="E13244">
        <v>104</v>
      </c>
    </row>
    <row r="13245" spans="1:5" x14ac:dyDescent="0.3">
      <c r="A13245" t="s">
        <v>149</v>
      </c>
      <c r="B13245" s="1">
        <v>44683</v>
      </c>
      <c r="C13245">
        <v>1</v>
      </c>
      <c r="D13245">
        <v>221.03</v>
      </c>
      <c r="E13245">
        <v>303</v>
      </c>
    </row>
    <row r="13246" spans="1:5" x14ac:dyDescent="0.3">
      <c r="A13246" t="s">
        <v>149</v>
      </c>
      <c r="B13246" s="1">
        <v>44683</v>
      </c>
      <c r="C13246">
        <v>1</v>
      </c>
      <c r="D13246">
        <v>221.03</v>
      </c>
      <c r="E13246">
        <v>303</v>
      </c>
    </row>
    <row r="13247" spans="1:5" x14ac:dyDescent="0.3">
      <c r="A13247" t="s">
        <v>24</v>
      </c>
      <c r="B13247" s="1">
        <v>44683</v>
      </c>
      <c r="C13247">
        <v>1</v>
      </c>
      <c r="D13247">
        <v>99.47</v>
      </c>
      <c r="E13247">
        <v>116</v>
      </c>
    </row>
    <row r="13248" spans="1:5" x14ac:dyDescent="0.3">
      <c r="A13248" t="s">
        <v>138</v>
      </c>
      <c r="B13248" s="1">
        <v>44683</v>
      </c>
      <c r="C13248">
        <v>1</v>
      </c>
      <c r="D13248">
        <v>46.5</v>
      </c>
      <c r="E13248">
        <v>75</v>
      </c>
    </row>
    <row r="13249" spans="1:5" x14ac:dyDescent="0.3">
      <c r="A13249" t="s">
        <v>51</v>
      </c>
      <c r="B13249" s="1">
        <v>44683</v>
      </c>
      <c r="C13249">
        <v>4</v>
      </c>
      <c r="D13249">
        <v>1.98</v>
      </c>
      <c r="E13249">
        <v>3.2</v>
      </c>
    </row>
    <row r="13250" spans="1:5" x14ac:dyDescent="0.3">
      <c r="A13250" t="s">
        <v>157</v>
      </c>
      <c r="B13250" s="1">
        <v>44683</v>
      </c>
      <c r="C13250">
        <v>1</v>
      </c>
      <c r="D13250">
        <v>12</v>
      </c>
      <c r="E13250">
        <v>20</v>
      </c>
    </row>
    <row r="13251" spans="1:5" x14ac:dyDescent="0.3">
      <c r="A13251" t="s">
        <v>90</v>
      </c>
      <c r="B13251" s="1">
        <v>44683</v>
      </c>
      <c r="C13251">
        <v>1</v>
      </c>
      <c r="D13251">
        <v>399.31</v>
      </c>
      <c r="E13251">
        <v>492</v>
      </c>
    </row>
    <row r="13252" spans="1:5" x14ac:dyDescent="0.3">
      <c r="A13252" t="s">
        <v>113</v>
      </c>
      <c r="B13252" s="1">
        <v>44683</v>
      </c>
      <c r="C13252">
        <v>1</v>
      </c>
      <c r="D13252">
        <v>151.22999999999999</v>
      </c>
      <c r="E13252">
        <v>174</v>
      </c>
    </row>
    <row r="13253" spans="1:5" x14ac:dyDescent="0.3">
      <c r="A13253" t="s">
        <v>58</v>
      </c>
      <c r="B13253" s="1">
        <v>44683</v>
      </c>
      <c r="C13253">
        <v>1</v>
      </c>
      <c r="D13253">
        <v>82.25</v>
      </c>
      <c r="E13253">
        <v>99</v>
      </c>
    </row>
    <row r="13254" spans="1:5" x14ac:dyDescent="0.3">
      <c r="A13254" t="s">
        <v>24</v>
      </c>
      <c r="B13254" s="1">
        <v>44683</v>
      </c>
      <c r="C13254">
        <v>1</v>
      </c>
      <c r="D13254">
        <v>99.48</v>
      </c>
      <c r="E13254">
        <v>117</v>
      </c>
    </row>
    <row r="13255" spans="1:5" x14ac:dyDescent="0.3">
      <c r="A13255" t="s">
        <v>122</v>
      </c>
      <c r="B13255" s="1">
        <v>44683</v>
      </c>
      <c r="C13255">
        <v>1</v>
      </c>
      <c r="D13255">
        <v>20.82</v>
      </c>
      <c r="E13255">
        <v>26</v>
      </c>
    </row>
    <row r="13256" spans="1:5" x14ac:dyDescent="0.3">
      <c r="A13256" t="s">
        <v>45</v>
      </c>
      <c r="B13256" s="1">
        <v>44683</v>
      </c>
      <c r="C13256">
        <v>1</v>
      </c>
      <c r="D13256">
        <v>25.59</v>
      </c>
      <c r="E13256">
        <v>45</v>
      </c>
    </row>
    <row r="13257" spans="1:5" x14ac:dyDescent="0.3">
      <c r="A13257" t="s">
        <v>107</v>
      </c>
      <c r="B13257" s="1">
        <v>44683</v>
      </c>
      <c r="C13257">
        <v>1</v>
      </c>
      <c r="D13257">
        <v>71.16</v>
      </c>
      <c r="E13257">
        <v>88</v>
      </c>
    </row>
    <row r="13258" spans="1:5" x14ac:dyDescent="0.3">
      <c r="A13258" t="s">
        <v>143</v>
      </c>
      <c r="B13258" s="1">
        <v>44683</v>
      </c>
      <c r="C13258">
        <v>1</v>
      </c>
      <c r="D13258">
        <v>42.98</v>
      </c>
      <c r="E13258">
        <v>66</v>
      </c>
    </row>
    <row r="13259" spans="1:5" x14ac:dyDescent="0.3">
      <c r="A13259" t="s">
        <v>25</v>
      </c>
      <c r="B13259" s="1">
        <v>44683</v>
      </c>
      <c r="C13259">
        <v>1</v>
      </c>
      <c r="D13259">
        <v>148.58000000000001</v>
      </c>
      <c r="E13259">
        <v>179</v>
      </c>
    </row>
    <row r="13260" spans="1:5" x14ac:dyDescent="0.3">
      <c r="A13260" t="s">
        <v>5</v>
      </c>
      <c r="B13260" s="1">
        <v>44683</v>
      </c>
      <c r="C13260">
        <v>1</v>
      </c>
      <c r="D13260">
        <v>136.47999999999999</v>
      </c>
      <c r="E13260">
        <v>163</v>
      </c>
    </row>
    <row r="13261" spans="1:5" x14ac:dyDescent="0.3">
      <c r="A13261" t="s">
        <v>99</v>
      </c>
      <c r="B13261" s="1">
        <v>44683</v>
      </c>
      <c r="C13261">
        <v>1</v>
      </c>
      <c r="D13261">
        <v>65.45</v>
      </c>
      <c r="E13261">
        <v>77</v>
      </c>
    </row>
    <row r="13262" spans="1:5" x14ac:dyDescent="0.3">
      <c r="A13262" t="s">
        <v>74</v>
      </c>
      <c r="B13262" s="1">
        <v>44683</v>
      </c>
      <c r="C13262">
        <v>1</v>
      </c>
      <c r="D13262">
        <v>101.09</v>
      </c>
      <c r="E13262">
        <v>119</v>
      </c>
    </row>
    <row r="13263" spans="1:5" x14ac:dyDescent="0.3">
      <c r="A13263" t="s">
        <v>90</v>
      </c>
      <c r="B13263" s="1">
        <v>44683</v>
      </c>
      <c r="C13263">
        <v>1</v>
      </c>
      <c r="D13263">
        <v>390.94</v>
      </c>
      <c r="E13263">
        <v>470</v>
      </c>
    </row>
    <row r="13264" spans="1:5" x14ac:dyDescent="0.3">
      <c r="A13264" t="s">
        <v>65</v>
      </c>
      <c r="B13264" s="1">
        <v>44683</v>
      </c>
      <c r="C13264">
        <v>1</v>
      </c>
      <c r="D13264">
        <v>176.77</v>
      </c>
      <c r="E13264">
        <v>207</v>
      </c>
    </row>
    <row r="13265" spans="1:5" x14ac:dyDescent="0.3">
      <c r="A13265" t="s">
        <v>20</v>
      </c>
      <c r="B13265" s="1">
        <v>44683</v>
      </c>
      <c r="C13265">
        <v>1</v>
      </c>
      <c r="D13265">
        <v>20</v>
      </c>
      <c r="E13265">
        <v>25</v>
      </c>
    </row>
    <row r="13266" spans="1:5" x14ac:dyDescent="0.3">
      <c r="A13266" t="s">
        <v>20</v>
      </c>
      <c r="B13266" s="1">
        <v>44683</v>
      </c>
      <c r="C13266">
        <v>1</v>
      </c>
      <c r="D13266">
        <v>20</v>
      </c>
      <c r="E13266">
        <v>25</v>
      </c>
    </row>
    <row r="13267" spans="1:5" x14ac:dyDescent="0.3">
      <c r="A13267" t="s">
        <v>24</v>
      </c>
      <c r="B13267" s="1">
        <v>44683</v>
      </c>
      <c r="C13267">
        <v>1</v>
      </c>
      <c r="D13267">
        <v>99.48</v>
      </c>
      <c r="E13267">
        <v>117</v>
      </c>
    </row>
    <row r="13268" spans="1:5" x14ac:dyDescent="0.3">
      <c r="A13268" t="s">
        <v>131</v>
      </c>
      <c r="B13268" s="1">
        <v>44683</v>
      </c>
      <c r="C13268">
        <v>1</v>
      </c>
      <c r="D13268">
        <v>361.9</v>
      </c>
      <c r="E13268">
        <v>424</v>
      </c>
    </row>
    <row r="13269" spans="1:5" x14ac:dyDescent="0.3">
      <c r="A13269" t="s">
        <v>103</v>
      </c>
      <c r="B13269" s="1">
        <v>44683</v>
      </c>
      <c r="C13269">
        <v>1</v>
      </c>
      <c r="D13269">
        <v>41.33</v>
      </c>
      <c r="E13269">
        <v>65</v>
      </c>
    </row>
    <row r="13270" spans="1:5" x14ac:dyDescent="0.3">
      <c r="A13270" t="s">
        <v>103</v>
      </c>
      <c r="B13270" s="1">
        <v>44683</v>
      </c>
      <c r="C13270">
        <v>1</v>
      </c>
      <c r="D13270">
        <v>41.33</v>
      </c>
      <c r="E13270">
        <v>65</v>
      </c>
    </row>
    <row r="13271" spans="1:5" x14ac:dyDescent="0.3">
      <c r="A13271" t="s">
        <v>137</v>
      </c>
      <c r="B13271" s="1">
        <v>44683</v>
      </c>
      <c r="C13271">
        <v>2</v>
      </c>
      <c r="D13271">
        <v>9.42</v>
      </c>
      <c r="E13271">
        <v>16</v>
      </c>
    </row>
    <row r="13272" spans="1:5" x14ac:dyDescent="0.3">
      <c r="A13272" t="s">
        <v>90</v>
      </c>
      <c r="B13272" s="1">
        <v>44683</v>
      </c>
      <c r="C13272">
        <v>1</v>
      </c>
      <c r="D13272">
        <v>383.43</v>
      </c>
      <c r="E13272">
        <v>472</v>
      </c>
    </row>
    <row r="13273" spans="1:5" x14ac:dyDescent="0.3">
      <c r="A13273" t="s">
        <v>65</v>
      </c>
      <c r="B13273" s="1">
        <v>44683</v>
      </c>
      <c r="C13273">
        <v>1</v>
      </c>
      <c r="D13273">
        <v>181.12</v>
      </c>
      <c r="E13273">
        <v>212</v>
      </c>
    </row>
    <row r="13274" spans="1:5" x14ac:dyDescent="0.3">
      <c r="A13274" t="s">
        <v>25</v>
      </c>
      <c r="B13274" s="1">
        <v>44683</v>
      </c>
      <c r="C13274">
        <v>1</v>
      </c>
      <c r="D13274">
        <v>148.58000000000001</v>
      </c>
      <c r="E13274">
        <v>175</v>
      </c>
    </row>
    <row r="13275" spans="1:5" x14ac:dyDescent="0.3">
      <c r="A13275" t="s">
        <v>108</v>
      </c>
      <c r="B13275" s="1">
        <v>44683</v>
      </c>
      <c r="C13275">
        <v>1</v>
      </c>
      <c r="D13275">
        <v>29.37</v>
      </c>
      <c r="E13275">
        <v>45</v>
      </c>
    </row>
    <row r="13276" spans="1:5" x14ac:dyDescent="0.3">
      <c r="A13276" t="s">
        <v>108</v>
      </c>
      <c r="B13276" s="1">
        <v>44683</v>
      </c>
      <c r="C13276">
        <v>1</v>
      </c>
      <c r="D13276">
        <v>29.37</v>
      </c>
      <c r="E13276">
        <v>45</v>
      </c>
    </row>
    <row r="13277" spans="1:5" x14ac:dyDescent="0.3">
      <c r="A13277" t="s">
        <v>108</v>
      </c>
      <c r="B13277" s="1">
        <v>44683</v>
      </c>
      <c r="C13277">
        <v>1</v>
      </c>
      <c r="D13277">
        <v>29.37</v>
      </c>
      <c r="E13277">
        <v>45</v>
      </c>
    </row>
    <row r="13278" spans="1:5" x14ac:dyDescent="0.3">
      <c r="A13278" t="s">
        <v>108</v>
      </c>
      <c r="B13278" s="1">
        <v>44683</v>
      </c>
      <c r="C13278">
        <v>1</v>
      </c>
      <c r="D13278">
        <v>29.37</v>
      </c>
      <c r="E13278">
        <v>45</v>
      </c>
    </row>
    <row r="13279" spans="1:5" x14ac:dyDescent="0.3">
      <c r="A13279" t="s">
        <v>90</v>
      </c>
      <c r="B13279" s="1">
        <v>44683</v>
      </c>
      <c r="C13279">
        <v>1</v>
      </c>
      <c r="D13279">
        <v>412.35</v>
      </c>
      <c r="E13279">
        <v>508</v>
      </c>
    </row>
    <row r="13280" spans="1:5" x14ac:dyDescent="0.3">
      <c r="A13280" t="s">
        <v>58</v>
      </c>
      <c r="B13280" s="1">
        <v>44683</v>
      </c>
      <c r="C13280">
        <v>1</v>
      </c>
      <c r="D13280">
        <v>82.25</v>
      </c>
      <c r="E13280">
        <v>99</v>
      </c>
    </row>
    <row r="13281" spans="1:5" x14ac:dyDescent="0.3">
      <c r="A13281" t="s">
        <v>58</v>
      </c>
      <c r="B13281" s="1">
        <v>44683</v>
      </c>
      <c r="C13281">
        <v>1</v>
      </c>
      <c r="D13281">
        <v>82.25</v>
      </c>
      <c r="E13281">
        <v>99</v>
      </c>
    </row>
    <row r="13282" spans="1:5" x14ac:dyDescent="0.3">
      <c r="A13282" t="s">
        <v>114</v>
      </c>
      <c r="B13282" s="1">
        <v>44683</v>
      </c>
      <c r="C13282">
        <v>1</v>
      </c>
      <c r="D13282">
        <v>74.8</v>
      </c>
      <c r="E13282">
        <v>92</v>
      </c>
    </row>
    <row r="13283" spans="1:5" x14ac:dyDescent="0.3">
      <c r="A13283" t="s">
        <v>131</v>
      </c>
      <c r="B13283" s="1">
        <v>44683</v>
      </c>
      <c r="C13283">
        <v>1</v>
      </c>
      <c r="D13283">
        <v>361.44</v>
      </c>
      <c r="E13283">
        <v>416</v>
      </c>
    </row>
    <row r="13284" spans="1:5" x14ac:dyDescent="0.3">
      <c r="A13284" t="s">
        <v>7</v>
      </c>
      <c r="B13284" s="1">
        <v>44683</v>
      </c>
      <c r="C13284">
        <v>1</v>
      </c>
      <c r="D13284">
        <v>87.9</v>
      </c>
      <c r="E13284">
        <v>104</v>
      </c>
    </row>
    <row r="13285" spans="1:5" x14ac:dyDescent="0.3">
      <c r="A13285" t="s">
        <v>155</v>
      </c>
      <c r="B13285" s="1">
        <v>44683</v>
      </c>
      <c r="C13285">
        <v>0.2</v>
      </c>
      <c r="D13285">
        <v>487.04</v>
      </c>
      <c r="E13285">
        <v>731</v>
      </c>
    </row>
    <row r="13286" spans="1:5" x14ac:dyDescent="0.3">
      <c r="A13286" t="s">
        <v>81</v>
      </c>
      <c r="B13286" s="1">
        <v>44683</v>
      </c>
      <c r="C13286">
        <v>1</v>
      </c>
      <c r="D13286">
        <v>40.450000000000003</v>
      </c>
      <c r="E13286">
        <v>50</v>
      </c>
    </row>
    <row r="13287" spans="1:5" x14ac:dyDescent="0.3">
      <c r="A13287" t="s">
        <v>20</v>
      </c>
      <c r="B13287" s="1">
        <v>44683</v>
      </c>
      <c r="C13287">
        <v>1</v>
      </c>
      <c r="D13287">
        <v>19.71</v>
      </c>
      <c r="E13287">
        <v>25</v>
      </c>
    </row>
    <row r="13288" spans="1:5" x14ac:dyDescent="0.3">
      <c r="A13288" t="s">
        <v>20</v>
      </c>
      <c r="B13288" s="1">
        <v>44683</v>
      </c>
      <c r="C13288">
        <v>1</v>
      </c>
      <c r="D13288">
        <v>20.23</v>
      </c>
      <c r="E13288">
        <v>26</v>
      </c>
    </row>
    <row r="13289" spans="1:5" x14ac:dyDescent="0.3">
      <c r="A13289" t="s">
        <v>20</v>
      </c>
      <c r="B13289" s="1">
        <v>44683</v>
      </c>
      <c r="C13289">
        <v>1</v>
      </c>
      <c r="D13289">
        <v>20.23</v>
      </c>
      <c r="E13289">
        <v>26</v>
      </c>
    </row>
    <row r="13290" spans="1:5" x14ac:dyDescent="0.3">
      <c r="A13290" t="s">
        <v>62</v>
      </c>
      <c r="B13290" s="1">
        <v>44683</v>
      </c>
      <c r="C13290">
        <v>1</v>
      </c>
      <c r="D13290">
        <v>25.2</v>
      </c>
      <c r="E13290">
        <v>30</v>
      </c>
    </row>
    <row r="13291" spans="1:5" x14ac:dyDescent="0.3">
      <c r="A13291" t="s">
        <v>36</v>
      </c>
      <c r="B13291" s="1">
        <v>44683</v>
      </c>
      <c r="C13291">
        <v>1</v>
      </c>
      <c r="D13291">
        <v>25.27</v>
      </c>
      <c r="E13291">
        <v>32</v>
      </c>
    </row>
    <row r="13292" spans="1:5" x14ac:dyDescent="0.3">
      <c r="A13292" t="s">
        <v>36</v>
      </c>
      <c r="B13292" s="1">
        <v>44683</v>
      </c>
      <c r="C13292">
        <v>1</v>
      </c>
      <c r="D13292">
        <v>25.27</v>
      </c>
      <c r="E13292">
        <v>32</v>
      </c>
    </row>
    <row r="13293" spans="1:5" x14ac:dyDescent="0.3">
      <c r="A13293" t="s">
        <v>152</v>
      </c>
      <c r="B13293" s="1">
        <v>44683</v>
      </c>
      <c r="C13293">
        <v>1</v>
      </c>
      <c r="D13293">
        <v>105.81</v>
      </c>
      <c r="E13293">
        <v>133</v>
      </c>
    </row>
    <row r="13294" spans="1:5" x14ac:dyDescent="0.3">
      <c r="A13294" t="s">
        <v>82</v>
      </c>
      <c r="B13294" s="1">
        <v>44683</v>
      </c>
      <c r="C13294">
        <v>1</v>
      </c>
      <c r="D13294">
        <v>33.299999999999997</v>
      </c>
      <c r="E13294">
        <v>42</v>
      </c>
    </row>
    <row r="13295" spans="1:5" x14ac:dyDescent="0.3">
      <c r="A13295" t="s">
        <v>82</v>
      </c>
      <c r="B13295" s="1">
        <v>44683</v>
      </c>
      <c r="C13295">
        <v>1</v>
      </c>
      <c r="D13295">
        <v>33.299999999999997</v>
      </c>
      <c r="E13295">
        <v>42</v>
      </c>
    </row>
    <row r="13296" spans="1:5" x14ac:dyDescent="0.3">
      <c r="A13296" t="s">
        <v>74</v>
      </c>
      <c r="B13296" s="1">
        <v>44683</v>
      </c>
      <c r="C13296">
        <v>1</v>
      </c>
      <c r="D13296">
        <v>89.27</v>
      </c>
      <c r="E13296">
        <v>111</v>
      </c>
    </row>
    <row r="13297" spans="1:5" x14ac:dyDescent="0.3">
      <c r="A13297" t="s">
        <v>19</v>
      </c>
      <c r="B13297" s="1">
        <v>44683</v>
      </c>
      <c r="C13297">
        <v>1</v>
      </c>
      <c r="D13297">
        <v>81.83</v>
      </c>
      <c r="E13297">
        <v>102</v>
      </c>
    </row>
    <row r="13298" spans="1:5" x14ac:dyDescent="0.3">
      <c r="A13298" t="s">
        <v>155</v>
      </c>
      <c r="B13298" s="1">
        <v>44683</v>
      </c>
      <c r="C13298">
        <v>0.4</v>
      </c>
      <c r="D13298">
        <v>421.68</v>
      </c>
      <c r="E13298">
        <v>641</v>
      </c>
    </row>
    <row r="13299" spans="1:5" x14ac:dyDescent="0.3">
      <c r="A13299" t="s">
        <v>134</v>
      </c>
      <c r="B13299" s="1">
        <v>44683</v>
      </c>
      <c r="C13299">
        <v>1</v>
      </c>
      <c r="D13299">
        <v>26.98</v>
      </c>
      <c r="E13299">
        <v>42</v>
      </c>
    </row>
    <row r="13300" spans="1:5" x14ac:dyDescent="0.3">
      <c r="A13300" t="s">
        <v>134</v>
      </c>
      <c r="B13300" s="1">
        <v>44683</v>
      </c>
      <c r="C13300">
        <v>1</v>
      </c>
      <c r="D13300">
        <v>26.98</v>
      </c>
      <c r="E13300">
        <v>42</v>
      </c>
    </row>
    <row r="13301" spans="1:5" x14ac:dyDescent="0.3">
      <c r="A13301" t="s">
        <v>134</v>
      </c>
      <c r="B13301" s="1">
        <v>44683</v>
      </c>
      <c r="C13301">
        <v>1</v>
      </c>
      <c r="D13301">
        <v>26.98</v>
      </c>
      <c r="E13301">
        <v>42</v>
      </c>
    </row>
    <row r="13302" spans="1:5" x14ac:dyDescent="0.3">
      <c r="A13302" t="s">
        <v>89</v>
      </c>
      <c r="B13302" s="1">
        <v>44683</v>
      </c>
      <c r="C13302">
        <v>1</v>
      </c>
      <c r="D13302">
        <v>74.37</v>
      </c>
      <c r="E13302">
        <v>106</v>
      </c>
    </row>
    <row r="13303" spans="1:5" x14ac:dyDescent="0.3">
      <c r="A13303" t="s">
        <v>89</v>
      </c>
      <c r="B13303" s="1">
        <v>44683</v>
      </c>
      <c r="C13303">
        <v>1</v>
      </c>
      <c r="D13303">
        <v>74.37</v>
      </c>
      <c r="E13303">
        <v>106</v>
      </c>
    </row>
    <row r="13304" spans="1:5" x14ac:dyDescent="0.3">
      <c r="A13304" t="s">
        <v>89</v>
      </c>
      <c r="B13304" s="1">
        <v>44683</v>
      </c>
      <c r="C13304">
        <v>1</v>
      </c>
      <c r="D13304">
        <v>74.37</v>
      </c>
      <c r="E13304">
        <v>106</v>
      </c>
    </row>
    <row r="13305" spans="1:5" x14ac:dyDescent="0.3">
      <c r="A13305" t="s">
        <v>141</v>
      </c>
      <c r="B13305" s="1">
        <v>44683</v>
      </c>
      <c r="C13305">
        <v>1</v>
      </c>
      <c r="D13305">
        <v>28.61</v>
      </c>
      <c r="E13305">
        <v>47</v>
      </c>
    </row>
    <row r="13306" spans="1:5" x14ac:dyDescent="0.3">
      <c r="A13306" t="s">
        <v>91</v>
      </c>
      <c r="B13306" s="1">
        <v>44683</v>
      </c>
      <c r="C13306">
        <v>0.95</v>
      </c>
      <c r="D13306">
        <v>31.81</v>
      </c>
      <c r="E13306">
        <v>52</v>
      </c>
    </row>
    <row r="13307" spans="1:5" x14ac:dyDescent="0.3">
      <c r="A13307" t="s">
        <v>77</v>
      </c>
      <c r="B13307" s="1">
        <v>44683</v>
      </c>
      <c r="C13307">
        <v>1</v>
      </c>
      <c r="D13307">
        <v>60.3</v>
      </c>
      <c r="E13307">
        <v>75</v>
      </c>
    </row>
    <row r="13308" spans="1:5" x14ac:dyDescent="0.3">
      <c r="A13308" t="s">
        <v>118</v>
      </c>
      <c r="B13308" s="1">
        <v>44683</v>
      </c>
      <c r="C13308">
        <v>1</v>
      </c>
      <c r="D13308">
        <v>10.79</v>
      </c>
      <c r="E13308">
        <v>13</v>
      </c>
    </row>
    <row r="13309" spans="1:5" x14ac:dyDescent="0.3">
      <c r="A13309" t="s">
        <v>28</v>
      </c>
      <c r="B13309" s="1">
        <v>44683</v>
      </c>
      <c r="C13309">
        <v>1</v>
      </c>
      <c r="D13309">
        <v>135.44999999999999</v>
      </c>
      <c r="E13309">
        <v>189</v>
      </c>
    </row>
    <row r="13310" spans="1:5" x14ac:dyDescent="0.3">
      <c r="A13310" t="s">
        <v>25</v>
      </c>
      <c r="B13310" s="1">
        <v>44683</v>
      </c>
      <c r="C13310">
        <v>1</v>
      </c>
      <c r="D13310">
        <v>148.58000000000001</v>
      </c>
      <c r="E13310">
        <v>179</v>
      </c>
    </row>
    <row r="13311" spans="1:5" x14ac:dyDescent="0.3">
      <c r="A13311" t="s">
        <v>39</v>
      </c>
      <c r="B13311" s="1">
        <v>44683</v>
      </c>
      <c r="C13311">
        <v>1</v>
      </c>
      <c r="D13311">
        <v>16.8</v>
      </c>
      <c r="E13311">
        <v>28</v>
      </c>
    </row>
    <row r="13312" spans="1:5" x14ac:dyDescent="0.3">
      <c r="A13312" t="s">
        <v>53</v>
      </c>
      <c r="B13312" s="1">
        <v>44683</v>
      </c>
      <c r="C13312">
        <v>1</v>
      </c>
      <c r="D13312">
        <v>23.4</v>
      </c>
      <c r="E13312">
        <v>38</v>
      </c>
    </row>
    <row r="13313" spans="1:5" x14ac:dyDescent="0.3">
      <c r="A13313" t="s">
        <v>5</v>
      </c>
      <c r="B13313" s="1">
        <v>44683</v>
      </c>
      <c r="C13313">
        <v>1</v>
      </c>
      <c r="D13313">
        <v>136.47999999999999</v>
      </c>
      <c r="E13313">
        <v>163</v>
      </c>
    </row>
    <row r="13314" spans="1:5" x14ac:dyDescent="0.3">
      <c r="A13314" t="s">
        <v>141</v>
      </c>
      <c r="B13314" s="1">
        <v>44683</v>
      </c>
      <c r="C13314">
        <v>1</v>
      </c>
      <c r="D13314">
        <v>28.61</v>
      </c>
      <c r="E13314">
        <v>47</v>
      </c>
    </row>
    <row r="13315" spans="1:5" x14ac:dyDescent="0.3">
      <c r="A13315" t="s">
        <v>25</v>
      </c>
      <c r="B13315" s="1">
        <v>44683</v>
      </c>
      <c r="C13315">
        <v>1</v>
      </c>
      <c r="D13315">
        <v>149.86000000000001</v>
      </c>
      <c r="E13315">
        <v>178</v>
      </c>
    </row>
    <row r="13316" spans="1:5" x14ac:dyDescent="0.3">
      <c r="A13316" t="s">
        <v>57</v>
      </c>
      <c r="B13316" s="1">
        <v>44683</v>
      </c>
      <c r="C13316">
        <v>1</v>
      </c>
      <c r="D13316">
        <v>239.87</v>
      </c>
      <c r="E13316">
        <v>269</v>
      </c>
    </row>
    <row r="13317" spans="1:5" x14ac:dyDescent="0.3">
      <c r="A13317" t="s">
        <v>157</v>
      </c>
      <c r="B13317" s="1">
        <v>44683</v>
      </c>
      <c r="C13317">
        <v>1</v>
      </c>
      <c r="D13317">
        <v>12</v>
      </c>
      <c r="E13317">
        <v>20</v>
      </c>
    </row>
    <row r="13318" spans="1:5" x14ac:dyDescent="0.3">
      <c r="A13318" t="s">
        <v>20</v>
      </c>
      <c r="B13318" s="1">
        <v>44683</v>
      </c>
      <c r="C13318">
        <v>1</v>
      </c>
      <c r="D13318">
        <v>20.23</v>
      </c>
      <c r="E13318">
        <v>26</v>
      </c>
    </row>
    <row r="13319" spans="1:5" x14ac:dyDescent="0.3">
      <c r="A13319" t="s">
        <v>24</v>
      </c>
      <c r="B13319" s="1">
        <v>44683</v>
      </c>
      <c r="C13319">
        <v>1</v>
      </c>
      <c r="D13319">
        <v>99.47</v>
      </c>
      <c r="E13319">
        <v>116</v>
      </c>
    </row>
    <row r="13320" spans="1:5" x14ac:dyDescent="0.3">
      <c r="A13320" t="s">
        <v>95</v>
      </c>
      <c r="B13320" s="1">
        <v>44683</v>
      </c>
      <c r="C13320">
        <v>1</v>
      </c>
      <c r="D13320">
        <v>129.25</v>
      </c>
      <c r="E13320">
        <v>203</v>
      </c>
    </row>
    <row r="13321" spans="1:5" x14ac:dyDescent="0.3">
      <c r="A13321" t="s">
        <v>119</v>
      </c>
      <c r="B13321" s="1">
        <v>44683</v>
      </c>
      <c r="C13321">
        <v>3.5714299999999997E-2</v>
      </c>
      <c r="D13321">
        <v>631.39</v>
      </c>
      <c r="E13321">
        <v>697</v>
      </c>
    </row>
    <row r="13322" spans="1:5" x14ac:dyDescent="0.3">
      <c r="A13322" t="s">
        <v>137</v>
      </c>
      <c r="B13322" s="1">
        <v>44683</v>
      </c>
      <c r="C13322">
        <v>1</v>
      </c>
      <c r="D13322">
        <v>8.5</v>
      </c>
      <c r="E13322">
        <v>14</v>
      </c>
    </row>
    <row r="13323" spans="1:5" x14ac:dyDescent="0.3">
      <c r="A13323" t="s">
        <v>65</v>
      </c>
      <c r="B13323" s="1">
        <v>44683</v>
      </c>
      <c r="C13323">
        <v>1</v>
      </c>
      <c r="D13323">
        <v>176.77</v>
      </c>
      <c r="E13323">
        <v>207</v>
      </c>
    </row>
    <row r="13324" spans="1:5" x14ac:dyDescent="0.3">
      <c r="A13324" t="s">
        <v>132</v>
      </c>
      <c r="B13324" s="1">
        <v>44683</v>
      </c>
      <c r="C13324">
        <v>1</v>
      </c>
      <c r="D13324">
        <v>57.93</v>
      </c>
      <c r="E13324">
        <v>83</v>
      </c>
    </row>
    <row r="13325" spans="1:5" x14ac:dyDescent="0.3">
      <c r="A13325" t="s">
        <v>20</v>
      </c>
      <c r="B13325" s="1">
        <v>44683</v>
      </c>
      <c r="C13325">
        <v>1</v>
      </c>
      <c r="D13325">
        <v>21</v>
      </c>
      <c r="E13325">
        <v>27</v>
      </c>
    </row>
    <row r="13326" spans="1:5" x14ac:dyDescent="0.3">
      <c r="A13326" t="s">
        <v>85</v>
      </c>
      <c r="B13326" s="1">
        <v>44683</v>
      </c>
      <c r="C13326">
        <v>1</v>
      </c>
      <c r="D13326">
        <v>15.95</v>
      </c>
      <c r="E13326">
        <v>25</v>
      </c>
    </row>
    <row r="13327" spans="1:5" x14ac:dyDescent="0.3">
      <c r="A13327" t="s">
        <v>7</v>
      </c>
      <c r="B13327" s="1">
        <v>44683</v>
      </c>
      <c r="C13327">
        <v>1</v>
      </c>
      <c r="D13327">
        <v>89.24</v>
      </c>
      <c r="E13327">
        <v>110</v>
      </c>
    </row>
    <row r="13328" spans="1:5" x14ac:dyDescent="0.3">
      <c r="A13328" t="s">
        <v>20</v>
      </c>
      <c r="B13328" s="1">
        <v>44683</v>
      </c>
      <c r="C13328">
        <v>1</v>
      </c>
      <c r="D13328">
        <v>21</v>
      </c>
      <c r="E13328">
        <v>27</v>
      </c>
    </row>
    <row r="13329" spans="1:5" x14ac:dyDescent="0.3">
      <c r="A13329" t="s">
        <v>7</v>
      </c>
      <c r="B13329" s="1">
        <v>44683</v>
      </c>
      <c r="C13329">
        <v>1</v>
      </c>
      <c r="D13329">
        <v>90.07</v>
      </c>
      <c r="E13329">
        <v>107</v>
      </c>
    </row>
    <row r="13330" spans="1:5" x14ac:dyDescent="0.3">
      <c r="A13330" t="s">
        <v>7</v>
      </c>
      <c r="B13330" s="1">
        <v>44683</v>
      </c>
      <c r="C13330">
        <v>1</v>
      </c>
      <c r="D13330">
        <v>90.07</v>
      </c>
      <c r="E13330">
        <v>107</v>
      </c>
    </row>
    <row r="13331" spans="1:5" x14ac:dyDescent="0.3">
      <c r="A13331" t="s">
        <v>7</v>
      </c>
      <c r="B13331" s="1">
        <v>44683</v>
      </c>
      <c r="C13331">
        <v>1</v>
      </c>
      <c r="D13331">
        <v>90.07</v>
      </c>
      <c r="E13331">
        <v>107</v>
      </c>
    </row>
    <row r="13332" spans="1:5" x14ac:dyDescent="0.3">
      <c r="A13332" t="s">
        <v>65</v>
      </c>
      <c r="B13332" s="1">
        <v>44683</v>
      </c>
      <c r="C13332">
        <v>1</v>
      </c>
      <c r="D13332">
        <v>181.12</v>
      </c>
      <c r="E13332">
        <v>212</v>
      </c>
    </row>
    <row r="13333" spans="1:5" x14ac:dyDescent="0.3">
      <c r="A13333" t="s">
        <v>144</v>
      </c>
      <c r="B13333" s="1">
        <v>44683</v>
      </c>
      <c r="C13333">
        <v>1</v>
      </c>
      <c r="D13333">
        <v>52.42</v>
      </c>
      <c r="E13333">
        <v>75</v>
      </c>
    </row>
    <row r="13334" spans="1:5" x14ac:dyDescent="0.3">
      <c r="A13334" t="s">
        <v>93</v>
      </c>
      <c r="B13334" s="1">
        <v>44683</v>
      </c>
      <c r="C13334">
        <v>1</v>
      </c>
      <c r="D13334">
        <v>67.540000000000006</v>
      </c>
      <c r="E13334">
        <v>96</v>
      </c>
    </row>
    <row r="13335" spans="1:5" x14ac:dyDescent="0.3">
      <c r="A13335" t="s">
        <v>93</v>
      </c>
      <c r="B13335" s="1">
        <v>44683</v>
      </c>
      <c r="C13335">
        <v>1</v>
      </c>
      <c r="D13335">
        <v>67.540000000000006</v>
      </c>
      <c r="E13335">
        <v>96</v>
      </c>
    </row>
    <row r="13336" spans="1:5" x14ac:dyDescent="0.3">
      <c r="A13336" t="s">
        <v>143</v>
      </c>
      <c r="B13336" s="1">
        <v>44683</v>
      </c>
      <c r="C13336">
        <v>1</v>
      </c>
      <c r="D13336">
        <v>42.55</v>
      </c>
      <c r="E13336">
        <v>65</v>
      </c>
    </row>
    <row r="13337" spans="1:5" x14ac:dyDescent="0.3">
      <c r="A13337" t="s">
        <v>143</v>
      </c>
      <c r="B13337" s="1">
        <v>44683</v>
      </c>
      <c r="C13337">
        <v>1</v>
      </c>
      <c r="D13337">
        <v>42.55</v>
      </c>
      <c r="E13337">
        <v>65</v>
      </c>
    </row>
    <row r="13338" spans="1:5" x14ac:dyDescent="0.3">
      <c r="A13338" t="s">
        <v>157</v>
      </c>
      <c r="B13338" s="1">
        <v>44683</v>
      </c>
      <c r="C13338">
        <v>1</v>
      </c>
      <c r="D13338">
        <v>12</v>
      </c>
      <c r="E13338">
        <v>20</v>
      </c>
    </row>
    <row r="13339" spans="1:5" x14ac:dyDescent="0.3">
      <c r="A13339" t="s">
        <v>101</v>
      </c>
      <c r="B13339" s="1">
        <v>44683</v>
      </c>
      <c r="C13339">
        <v>1</v>
      </c>
      <c r="D13339">
        <v>28.66</v>
      </c>
      <c r="E13339">
        <v>44</v>
      </c>
    </row>
    <row r="13340" spans="1:5" x14ac:dyDescent="0.3">
      <c r="A13340" t="s">
        <v>7</v>
      </c>
      <c r="B13340" s="1">
        <v>44683</v>
      </c>
      <c r="C13340">
        <v>1</v>
      </c>
      <c r="D13340">
        <v>90.07</v>
      </c>
      <c r="E13340">
        <v>107</v>
      </c>
    </row>
    <row r="13341" spans="1:5" x14ac:dyDescent="0.3">
      <c r="A13341" t="s">
        <v>127</v>
      </c>
      <c r="B13341" s="1">
        <v>44683</v>
      </c>
      <c r="C13341">
        <v>1</v>
      </c>
      <c r="D13341">
        <v>120.56</v>
      </c>
      <c r="E13341">
        <v>166</v>
      </c>
    </row>
    <row r="13342" spans="1:5" x14ac:dyDescent="0.3">
      <c r="A13342" t="s">
        <v>159</v>
      </c>
      <c r="B13342" s="1">
        <v>44683</v>
      </c>
      <c r="C13342">
        <v>1</v>
      </c>
      <c r="D13342">
        <v>50.8</v>
      </c>
      <c r="E13342">
        <v>64</v>
      </c>
    </row>
    <row r="13343" spans="1:5" x14ac:dyDescent="0.3">
      <c r="A13343" t="s">
        <v>157</v>
      </c>
      <c r="B13343" s="1">
        <v>44683</v>
      </c>
      <c r="C13343">
        <v>1</v>
      </c>
      <c r="D13343">
        <v>12</v>
      </c>
      <c r="E13343">
        <v>20</v>
      </c>
    </row>
    <row r="13344" spans="1:5" x14ac:dyDescent="0.3">
      <c r="A13344" t="s">
        <v>157</v>
      </c>
      <c r="B13344" s="1">
        <v>44683</v>
      </c>
      <c r="C13344">
        <v>1</v>
      </c>
      <c r="D13344">
        <v>12</v>
      </c>
      <c r="E13344">
        <v>20</v>
      </c>
    </row>
    <row r="13345" spans="1:5" x14ac:dyDescent="0.3">
      <c r="A13345" t="s">
        <v>113</v>
      </c>
      <c r="B13345" s="1">
        <v>44683</v>
      </c>
      <c r="C13345">
        <v>1</v>
      </c>
      <c r="D13345">
        <v>153.63</v>
      </c>
      <c r="E13345">
        <v>214</v>
      </c>
    </row>
    <row r="13346" spans="1:5" x14ac:dyDescent="0.3">
      <c r="A13346" t="s">
        <v>7</v>
      </c>
      <c r="B13346" s="1">
        <v>44683</v>
      </c>
      <c r="C13346">
        <v>1</v>
      </c>
      <c r="D13346">
        <v>89.24</v>
      </c>
      <c r="E13346">
        <v>110</v>
      </c>
    </row>
    <row r="13347" spans="1:5" x14ac:dyDescent="0.3">
      <c r="A13347" t="s">
        <v>26</v>
      </c>
      <c r="B13347" s="1">
        <v>44683</v>
      </c>
      <c r="C13347">
        <v>0.1</v>
      </c>
      <c r="D13347">
        <v>1262.29</v>
      </c>
      <c r="E13347">
        <v>1616</v>
      </c>
    </row>
    <row r="13348" spans="1:5" x14ac:dyDescent="0.3">
      <c r="A13348" t="s">
        <v>47</v>
      </c>
      <c r="B13348" s="1">
        <v>44683</v>
      </c>
      <c r="C13348">
        <v>1</v>
      </c>
      <c r="D13348">
        <v>43.93</v>
      </c>
      <c r="E13348">
        <v>67</v>
      </c>
    </row>
    <row r="13349" spans="1:5" x14ac:dyDescent="0.3">
      <c r="A13349" t="s">
        <v>47</v>
      </c>
      <c r="B13349" s="1">
        <v>44683</v>
      </c>
      <c r="C13349">
        <v>1</v>
      </c>
      <c r="D13349">
        <v>43.93</v>
      </c>
      <c r="E13349">
        <v>67</v>
      </c>
    </row>
    <row r="13350" spans="1:5" x14ac:dyDescent="0.3">
      <c r="A13350" t="s">
        <v>65</v>
      </c>
      <c r="B13350" s="1">
        <v>44683</v>
      </c>
      <c r="C13350">
        <v>1</v>
      </c>
      <c r="D13350">
        <v>176.78</v>
      </c>
      <c r="E13350">
        <v>225</v>
      </c>
    </row>
    <row r="13351" spans="1:5" x14ac:dyDescent="0.3">
      <c r="A13351" t="s">
        <v>18</v>
      </c>
      <c r="B13351" s="1">
        <v>44683</v>
      </c>
      <c r="C13351">
        <v>1</v>
      </c>
      <c r="D13351">
        <v>44</v>
      </c>
      <c r="E13351">
        <v>69</v>
      </c>
    </row>
    <row r="13352" spans="1:5" x14ac:dyDescent="0.3">
      <c r="A13352" t="s">
        <v>116</v>
      </c>
      <c r="B13352" s="1">
        <v>44683</v>
      </c>
      <c r="C13352">
        <v>1</v>
      </c>
      <c r="D13352">
        <v>109.07</v>
      </c>
      <c r="E13352">
        <v>128</v>
      </c>
    </row>
    <row r="13353" spans="1:5" x14ac:dyDescent="0.3">
      <c r="A13353" t="s">
        <v>122</v>
      </c>
      <c r="B13353" s="1">
        <v>44683</v>
      </c>
      <c r="C13353">
        <v>1</v>
      </c>
      <c r="D13353">
        <v>20.47</v>
      </c>
      <c r="E13353">
        <v>25</v>
      </c>
    </row>
    <row r="13354" spans="1:5" x14ac:dyDescent="0.3">
      <c r="A13354" t="s">
        <v>116</v>
      </c>
      <c r="B13354" s="1">
        <v>44683</v>
      </c>
      <c r="C13354">
        <v>1</v>
      </c>
      <c r="D13354">
        <v>109.07</v>
      </c>
      <c r="E13354">
        <v>130</v>
      </c>
    </row>
    <row r="13355" spans="1:5" x14ac:dyDescent="0.3">
      <c r="A13355" t="s">
        <v>32</v>
      </c>
      <c r="B13355" s="1">
        <v>44683</v>
      </c>
      <c r="C13355">
        <v>1</v>
      </c>
      <c r="D13355">
        <v>125.73</v>
      </c>
      <c r="E13355">
        <v>198</v>
      </c>
    </row>
    <row r="13356" spans="1:5" x14ac:dyDescent="0.3">
      <c r="A13356" t="s">
        <v>8</v>
      </c>
      <c r="B13356" s="1">
        <v>44683</v>
      </c>
      <c r="C13356">
        <v>1</v>
      </c>
      <c r="D13356">
        <v>59.15</v>
      </c>
      <c r="E13356">
        <v>93</v>
      </c>
    </row>
    <row r="13357" spans="1:5" x14ac:dyDescent="0.3">
      <c r="A13357" t="s">
        <v>61</v>
      </c>
      <c r="B13357" s="1">
        <v>44683</v>
      </c>
      <c r="C13357">
        <v>1</v>
      </c>
      <c r="D13357">
        <v>33.17</v>
      </c>
      <c r="E13357">
        <v>53</v>
      </c>
    </row>
    <row r="13358" spans="1:5" x14ac:dyDescent="0.3">
      <c r="A13358" t="s">
        <v>28</v>
      </c>
      <c r="B13358" s="1">
        <v>44683</v>
      </c>
      <c r="C13358">
        <v>1</v>
      </c>
      <c r="D13358">
        <v>148.74</v>
      </c>
      <c r="E13358">
        <v>204</v>
      </c>
    </row>
    <row r="13359" spans="1:5" x14ac:dyDescent="0.3">
      <c r="A13359" t="s">
        <v>19</v>
      </c>
      <c r="B13359" s="1">
        <v>44683</v>
      </c>
      <c r="C13359">
        <v>1</v>
      </c>
      <c r="D13359">
        <v>80.52</v>
      </c>
      <c r="E13359">
        <v>103</v>
      </c>
    </row>
    <row r="13360" spans="1:5" x14ac:dyDescent="0.3">
      <c r="A13360" t="s">
        <v>92</v>
      </c>
      <c r="B13360" s="1">
        <v>44683</v>
      </c>
      <c r="C13360">
        <v>1</v>
      </c>
      <c r="D13360">
        <v>6.48</v>
      </c>
      <c r="E13360">
        <v>9</v>
      </c>
    </row>
    <row r="13361" spans="1:5" x14ac:dyDescent="0.3">
      <c r="A13361" t="s">
        <v>14</v>
      </c>
      <c r="B13361" s="1">
        <v>44683</v>
      </c>
      <c r="C13361">
        <v>0.4</v>
      </c>
      <c r="D13361">
        <v>501.97</v>
      </c>
      <c r="E13361">
        <v>628</v>
      </c>
    </row>
    <row r="13362" spans="1:5" x14ac:dyDescent="0.3">
      <c r="A13362" t="s">
        <v>14</v>
      </c>
      <c r="B13362" s="1">
        <v>44683</v>
      </c>
      <c r="C13362">
        <v>0.1</v>
      </c>
      <c r="D13362">
        <v>512.30999999999995</v>
      </c>
      <c r="E13362">
        <v>641</v>
      </c>
    </row>
    <row r="13363" spans="1:5" x14ac:dyDescent="0.3">
      <c r="A13363" t="s">
        <v>45</v>
      </c>
      <c r="B13363" s="1">
        <v>44683</v>
      </c>
      <c r="C13363">
        <v>2</v>
      </c>
      <c r="D13363">
        <v>25.59</v>
      </c>
      <c r="E13363">
        <v>45</v>
      </c>
    </row>
    <row r="13364" spans="1:5" x14ac:dyDescent="0.3">
      <c r="A13364" t="s">
        <v>45</v>
      </c>
      <c r="B13364" s="1">
        <v>44683</v>
      </c>
      <c r="C13364">
        <v>1</v>
      </c>
      <c r="D13364">
        <v>25.59</v>
      </c>
      <c r="E13364">
        <v>45</v>
      </c>
    </row>
    <row r="13365" spans="1:5" x14ac:dyDescent="0.3">
      <c r="A13365" t="s">
        <v>62</v>
      </c>
      <c r="B13365" s="1">
        <v>44683</v>
      </c>
      <c r="C13365">
        <v>1</v>
      </c>
      <c r="D13365">
        <v>25.71</v>
      </c>
      <c r="E13365">
        <v>31</v>
      </c>
    </row>
    <row r="13366" spans="1:5" x14ac:dyDescent="0.3">
      <c r="A13366" t="s">
        <v>72</v>
      </c>
      <c r="B13366" s="1">
        <v>44683</v>
      </c>
      <c r="C13366">
        <v>1</v>
      </c>
      <c r="D13366">
        <v>557.09</v>
      </c>
      <c r="E13366">
        <v>736</v>
      </c>
    </row>
    <row r="13367" spans="1:5" x14ac:dyDescent="0.3">
      <c r="A13367" t="s">
        <v>7</v>
      </c>
      <c r="B13367" s="1">
        <v>44683</v>
      </c>
      <c r="C13367">
        <v>1</v>
      </c>
      <c r="D13367">
        <v>90.07</v>
      </c>
      <c r="E13367">
        <v>107</v>
      </c>
    </row>
    <row r="13368" spans="1:5" x14ac:dyDescent="0.3">
      <c r="A13368" t="s">
        <v>7</v>
      </c>
      <c r="B13368" s="1">
        <v>44683</v>
      </c>
      <c r="C13368">
        <v>1</v>
      </c>
      <c r="D13368">
        <v>90.07</v>
      </c>
      <c r="E13368">
        <v>107</v>
      </c>
    </row>
    <row r="13369" spans="1:5" x14ac:dyDescent="0.3">
      <c r="A13369" t="s">
        <v>17</v>
      </c>
      <c r="B13369" s="1">
        <v>44683</v>
      </c>
      <c r="C13369">
        <v>1</v>
      </c>
      <c r="D13369">
        <v>387.48</v>
      </c>
      <c r="E13369">
        <v>465</v>
      </c>
    </row>
    <row r="13370" spans="1:5" x14ac:dyDescent="0.3">
      <c r="A13370" t="s">
        <v>47</v>
      </c>
      <c r="B13370" s="1">
        <v>44683</v>
      </c>
      <c r="C13370">
        <v>1</v>
      </c>
      <c r="D13370">
        <v>42.92</v>
      </c>
      <c r="E13370">
        <v>66</v>
      </c>
    </row>
    <row r="13371" spans="1:5" x14ac:dyDescent="0.3">
      <c r="A13371" t="s">
        <v>100</v>
      </c>
      <c r="B13371" s="1">
        <v>44683</v>
      </c>
      <c r="C13371">
        <v>1</v>
      </c>
      <c r="D13371">
        <v>36.03</v>
      </c>
      <c r="E13371">
        <v>55</v>
      </c>
    </row>
    <row r="13372" spans="1:5" x14ac:dyDescent="0.3">
      <c r="A13372" t="s">
        <v>66</v>
      </c>
      <c r="B13372" s="1">
        <v>44683</v>
      </c>
      <c r="C13372">
        <v>1</v>
      </c>
      <c r="D13372">
        <v>35.36</v>
      </c>
      <c r="E13372">
        <v>39</v>
      </c>
    </row>
    <row r="13373" spans="1:5" x14ac:dyDescent="0.3">
      <c r="A13373" t="s">
        <v>35</v>
      </c>
      <c r="B13373" s="1">
        <v>44683</v>
      </c>
      <c r="C13373">
        <v>1</v>
      </c>
      <c r="D13373">
        <v>39.6</v>
      </c>
      <c r="E13373">
        <v>61</v>
      </c>
    </row>
    <row r="13374" spans="1:5" x14ac:dyDescent="0.3">
      <c r="A13374" t="s">
        <v>24</v>
      </c>
      <c r="B13374" s="1">
        <v>44683</v>
      </c>
      <c r="C13374">
        <v>1</v>
      </c>
      <c r="D13374">
        <v>99.48</v>
      </c>
      <c r="E13374">
        <v>116</v>
      </c>
    </row>
    <row r="13375" spans="1:5" x14ac:dyDescent="0.3">
      <c r="A13375" t="s">
        <v>24</v>
      </c>
      <c r="B13375" s="1">
        <v>44683</v>
      </c>
      <c r="C13375">
        <v>1</v>
      </c>
      <c r="D13375">
        <v>99.48</v>
      </c>
      <c r="E13375">
        <v>116</v>
      </c>
    </row>
    <row r="13376" spans="1:5" x14ac:dyDescent="0.3">
      <c r="A13376" t="s">
        <v>24</v>
      </c>
      <c r="B13376" s="1">
        <v>44683</v>
      </c>
      <c r="C13376">
        <v>1</v>
      </c>
      <c r="D13376">
        <v>99.48</v>
      </c>
      <c r="E13376">
        <v>116</v>
      </c>
    </row>
    <row r="13377" spans="1:5" x14ac:dyDescent="0.3">
      <c r="A13377" t="s">
        <v>65</v>
      </c>
      <c r="B13377" s="1">
        <v>44683</v>
      </c>
      <c r="C13377">
        <v>1</v>
      </c>
      <c r="D13377">
        <v>181.12</v>
      </c>
      <c r="E13377">
        <v>212</v>
      </c>
    </row>
    <row r="13378" spans="1:5" x14ac:dyDescent="0.3">
      <c r="A13378" t="s">
        <v>131</v>
      </c>
      <c r="B13378" s="1">
        <v>44683</v>
      </c>
      <c r="C13378">
        <v>1</v>
      </c>
      <c r="D13378">
        <v>363</v>
      </c>
      <c r="E13378">
        <v>418</v>
      </c>
    </row>
    <row r="13379" spans="1:5" x14ac:dyDescent="0.3">
      <c r="A13379" t="s">
        <v>99</v>
      </c>
      <c r="B13379" s="1">
        <v>44683</v>
      </c>
      <c r="C13379">
        <v>1</v>
      </c>
      <c r="D13379">
        <v>65.31</v>
      </c>
      <c r="E13379">
        <v>81</v>
      </c>
    </row>
    <row r="13380" spans="1:5" x14ac:dyDescent="0.3">
      <c r="A13380" t="s">
        <v>23</v>
      </c>
      <c r="B13380" s="1">
        <v>44683</v>
      </c>
      <c r="C13380">
        <v>1</v>
      </c>
      <c r="D13380">
        <v>109.41</v>
      </c>
      <c r="E13380">
        <v>123</v>
      </c>
    </row>
    <row r="13381" spans="1:5" x14ac:dyDescent="0.3">
      <c r="A13381" t="s">
        <v>130</v>
      </c>
      <c r="B13381" s="1">
        <v>44683</v>
      </c>
      <c r="C13381">
        <v>1</v>
      </c>
      <c r="D13381">
        <v>25.19</v>
      </c>
      <c r="E13381">
        <v>31</v>
      </c>
    </row>
    <row r="13382" spans="1:5" x14ac:dyDescent="0.3">
      <c r="A13382" t="s">
        <v>130</v>
      </c>
      <c r="B13382" s="1">
        <v>44683</v>
      </c>
      <c r="C13382">
        <v>1</v>
      </c>
      <c r="D13382">
        <v>25.19</v>
      </c>
      <c r="E13382">
        <v>31</v>
      </c>
    </row>
    <row r="13383" spans="1:5" x14ac:dyDescent="0.3">
      <c r="A13383" t="s">
        <v>130</v>
      </c>
      <c r="B13383" s="1">
        <v>44683</v>
      </c>
      <c r="C13383">
        <v>1</v>
      </c>
      <c r="D13383">
        <v>25.19</v>
      </c>
      <c r="E13383">
        <v>31</v>
      </c>
    </row>
    <row r="13384" spans="1:5" x14ac:dyDescent="0.3">
      <c r="A13384" t="s">
        <v>65</v>
      </c>
      <c r="B13384" s="1">
        <v>44683</v>
      </c>
      <c r="C13384">
        <v>1</v>
      </c>
      <c r="D13384">
        <v>181.12</v>
      </c>
      <c r="E13384">
        <v>212</v>
      </c>
    </row>
    <row r="13385" spans="1:5" x14ac:dyDescent="0.3">
      <c r="A13385" t="s">
        <v>5</v>
      </c>
      <c r="B13385" s="1">
        <v>44683</v>
      </c>
      <c r="C13385">
        <v>1</v>
      </c>
      <c r="D13385">
        <v>145.6</v>
      </c>
      <c r="E13385">
        <v>169</v>
      </c>
    </row>
    <row r="13386" spans="1:5" x14ac:dyDescent="0.3">
      <c r="A13386" t="s">
        <v>65</v>
      </c>
      <c r="B13386" s="1">
        <v>44683</v>
      </c>
      <c r="C13386">
        <v>1</v>
      </c>
      <c r="D13386">
        <v>181.12</v>
      </c>
      <c r="E13386">
        <v>212</v>
      </c>
    </row>
    <row r="13387" spans="1:5" x14ac:dyDescent="0.3">
      <c r="A13387" t="s">
        <v>128</v>
      </c>
      <c r="B13387" s="1">
        <v>44683</v>
      </c>
      <c r="C13387">
        <v>1</v>
      </c>
      <c r="D13387">
        <v>289.20999999999998</v>
      </c>
      <c r="E13387">
        <v>405</v>
      </c>
    </row>
    <row r="13388" spans="1:5" x14ac:dyDescent="0.3">
      <c r="A13388" t="s">
        <v>131</v>
      </c>
      <c r="B13388" s="1">
        <v>44683</v>
      </c>
      <c r="C13388">
        <v>1</v>
      </c>
      <c r="D13388">
        <v>361.9</v>
      </c>
      <c r="E13388">
        <v>424</v>
      </c>
    </row>
    <row r="13389" spans="1:5" x14ac:dyDescent="0.3">
      <c r="A13389" t="s">
        <v>63</v>
      </c>
      <c r="B13389" s="1">
        <v>44683</v>
      </c>
      <c r="C13389">
        <v>1</v>
      </c>
      <c r="D13389">
        <v>74.599999999999994</v>
      </c>
      <c r="E13389">
        <v>90</v>
      </c>
    </row>
    <row r="13390" spans="1:5" x14ac:dyDescent="0.3">
      <c r="A13390" t="s">
        <v>63</v>
      </c>
      <c r="B13390" s="1">
        <v>44683</v>
      </c>
      <c r="C13390">
        <v>1</v>
      </c>
      <c r="D13390">
        <v>74.599999999999994</v>
      </c>
      <c r="E13390">
        <v>90</v>
      </c>
    </row>
    <row r="13391" spans="1:5" x14ac:dyDescent="0.3">
      <c r="A13391" t="s">
        <v>24</v>
      </c>
      <c r="B13391" s="1">
        <v>44683</v>
      </c>
      <c r="C13391">
        <v>1</v>
      </c>
      <c r="D13391">
        <v>99.48</v>
      </c>
      <c r="E13391">
        <v>117</v>
      </c>
    </row>
    <row r="13392" spans="1:5" x14ac:dyDescent="0.3">
      <c r="A13392" t="s">
        <v>130</v>
      </c>
      <c r="B13392" s="1">
        <v>44683</v>
      </c>
      <c r="C13392">
        <v>1</v>
      </c>
      <c r="D13392">
        <v>25.19</v>
      </c>
      <c r="E13392">
        <v>31</v>
      </c>
    </row>
    <row r="13393" spans="1:5" x14ac:dyDescent="0.3">
      <c r="A13393" t="s">
        <v>130</v>
      </c>
      <c r="B13393" s="1">
        <v>44683</v>
      </c>
      <c r="C13393">
        <v>1</v>
      </c>
      <c r="D13393">
        <v>25.19</v>
      </c>
      <c r="E13393">
        <v>31</v>
      </c>
    </row>
    <row r="13394" spans="1:5" x14ac:dyDescent="0.3">
      <c r="A13394" t="s">
        <v>130</v>
      </c>
      <c r="B13394" s="1">
        <v>44683</v>
      </c>
      <c r="C13394">
        <v>1</v>
      </c>
      <c r="D13394">
        <v>25.19</v>
      </c>
      <c r="E13394">
        <v>31</v>
      </c>
    </row>
    <row r="13395" spans="1:5" x14ac:dyDescent="0.3">
      <c r="A13395" t="s">
        <v>130</v>
      </c>
      <c r="B13395" s="1">
        <v>44683</v>
      </c>
      <c r="C13395">
        <v>1</v>
      </c>
      <c r="D13395">
        <v>25.19</v>
      </c>
      <c r="E13395">
        <v>31</v>
      </c>
    </row>
    <row r="13396" spans="1:5" x14ac:dyDescent="0.3">
      <c r="A13396" t="s">
        <v>130</v>
      </c>
      <c r="B13396" s="1">
        <v>44683</v>
      </c>
      <c r="C13396">
        <v>1</v>
      </c>
      <c r="D13396">
        <v>25.19</v>
      </c>
      <c r="E13396">
        <v>31</v>
      </c>
    </row>
    <row r="13397" spans="1:5" x14ac:dyDescent="0.3">
      <c r="A13397" t="s">
        <v>130</v>
      </c>
      <c r="B13397" s="1">
        <v>44683</v>
      </c>
      <c r="C13397">
        <v>1</v>
      </c>
      <c r="D13397">
        <v>25.19</v>
      </c>
      <c r="E13397">
        <v>31</v>
      </c>
    </row>
    <row r="13398" spans="1:5" x14ac:dyDescent="0.3">
      <c r="A13398" t="s">
        <v>54</v>
      </c>
      <c r="B13398" s="1">
        <v>44683</v>
      </c>
      <c r="C13398">
        <v>1</v>
      </c>
      <c r="D13398">
        <v>642.92999999999995</v>
      </c>
      <c r="E13398">
        <v>830</v>
      </c>
    </row>
    <row r="13399" spans="1:5" x14ac:dyDescent="0.3">
      <c r="A13399" t="s">
        <v>62</v>
      </c>
      <c r="B13399" s="1">
        <v>44683</v>
      </c>
      <c r="C13399">
        <v>1</v>
      </c>
      <c r="D13399">
        <v>24.68</v>
      </c>
      <c r="E13399">
        <v>30</v>
      </c>
    </row>
    <row r="13400" spans="1:5" x14ac:dyDescent="0.3">
      <c r="A13400" t="s">
        <v>62</v>
      </c>
      <c r="B13400" s="1">
        <v>44683</v>
      </c>
      <c r="C13400">
        <v>1</v>
      </c>
      <c r="D13400">
        <v>24.68</v>
      </c>
      <c r="E13400">
        <v>30</v>
      </c>
    </row>
    <row r="13401" spans="1:5" x14ac:dyDescent="0.3">
      <c r="A13401" t="s">
        <v>131</v>
      </c>
      <c r="B13401" s="1">
        <v>44683</v>
      </c>
      <c r="C13401">
        <v>1</v>
      </c>
      <c r="D13401">
        <v>361.44</v>
      </c>
      <c r="E13401">
        <v>423</v>
      </c>
    </row>
    <row r="13402" spans="1:5" x14ac:dyDescent="0.3">
      <c r="A13402" t="s">
        <v>148</v>
      </c>
      <c r="B13402" s="1">
        <v>44683</v>
      </c>
      <c r="C13402">
        <v>1</v>
      </c>
      <c r="D13402">
        <v>37.6</v>
      </c>
      <c r="E13402">
        <v>60</v>
      </c>
    </row>
    <row r="13403" spans="1:5" x14ac:dyDescent="0.3">
      <c r="A13403" t="s">
        <v>19</v>
      </c>
      <c r="B13403" s="1">
        <v>44683</v>
      </c>
      <c r="C13403">
        <v>1</v>
      </c>
      <c r="D13403">
        <v>82.07</v>
      </c>
      <c r="E13403">
        <v>103</v>
      </c>
    </row>
    <row r="13404" spans="1:5" x14ac:dyDescent="0.3">
      <c r="A13404" t="s">
        <v>88</v>
      </c>
      <c r="B13404" s="1">
        <v>44683</v>
      </c>
      <c r="C13404">
        <v>2</v>
      </c>
      <c r="D13404">
        <v>109.8</v>
      </c>
      <c r="E13404">
        <v>173</v>
      </c>
    </row>
    <row r="13405" spans="1:5" x14ac:dyDescent="0.3">
      <c r="A13405" t="s">
        <v>106</v>
      </c>
      <c r="B13405" s="1">
        <v>44683</v>
      </c>
      <c r="C13405">
        <v>1</v>
      </c>
      <c r="D13405">
        <v>41.48</v>
      </c>
      <c r="E13405">
        <v>51</v>
      </c>
    </row>
    <row r="13406" spans="1:5" x14ac:dyDescent="0.3">
      <c r="A13406" t="s">
        <v>90</v>
      </c>
      <c r="B13406" s="1">
        <v>44683</v>
      </c>
      <c r="C13406">
        <v>1</v>
      </c>
      <c r="D13406">
        <v>383.43</v>
      </c>
      <c r="E13406">
        <v>472</v>
      </c>
    </row>
    <row r="13407" spans="1:5" x14ac:dyDescent="0.3">
      <c r="A13407" t="s">
        <v>65</v>
      </c>
      <c r="B13407" s="1">
        <v>44683</v>
      </c>
      <c r="C13407">
        <v>1</v>
      </c>
      <c r="D13407">
        <v>181.12</v>
      </c>
      <c r="E13407">
        <v>212</v>
      </c>
    </row>
    <row r="13408" spans="1:5" x14ac:dyDescent="0.3">
      <c r="A13408" t="s">
        <v>93</v>
      </c>
      <c r="B13408" s="1">
        <v>44683</v>
      </c>
      <c r="C13408">
        <v>1</v>
      </c>
      <c r="D13408">
        <v>67.540000000000006</v>
      </c>
      <c r="E13408">
        <v>96</v>
      </c>
    </row>
    <row r="13409" spans="1:5" x14ac:dyDescent="0.3">
      <c r="A13409" t="s">
        <v>65</v>
      </c>
      <c r="B13409" s="1">
        <v>44683</v>
      </c>
      <c r="C13409">
        <v>1</v>
      </c>
      <c r="D13409">
        <v>176.77</v>
      </c>
      <c r="E13409">
        <v>207</v>
      </c>
    </row>
    <row r="13410" spans="1:5" x14ac:dyDescent="0.3">
      <c r="A13410" t="s">
        <v>138</v>
      </c>
      <c r="B13410" s="1">
        <v>44683</v>
      </c>
      <c r="C13410">
        <v>2</v>
      </c>
      <c r="D13410">
        <v>46.5</v>
      </c>
      <c r="E13410">
        <v>76</v>
      </c>
    </row>
    <row r="13411" spans="1:5" x14ac:dyDescent="0.3">
      <c r="A13411" t="s">
        <v>138</v>
      </c>
      <c r="B13411" s="1">
        <v>44683</v>
      </c>
      <c r="C13411">
        <v>4</v>
      </c>
      <c r="D13411">
        <v>46.5</v>
      </c>
      <c r="E13411">
        <v>76</v>
      </c>
    </row>
    <row r="13412" spans="1:5" x14ac:dyDescent="0.3">
      <c r="A13412" t="s">
        <v>118</v>
      </c>
      <c r="B13412" s="1">
        <v>44683</v>
      </c>
      <c r="C13412">
        <v>1</v>
      </c>
      <c r="D13412">
        <v>10.79</v>
      </c>
      <c r="E13412">
        <v>13</v>
      </c>
    </row>
    <row r="13413" spans="1:5" x14ac:dyDescent="0.3">
      <c r="A13413" t="s">
        <v>118</v>
      </c>
      <c r="B13413" s="1">
        <v>44683</v>
      </c>
      <c r="C13413">
        <v>1</v>
      </c>
      <c r="D13413">
        <v>10.79</v>
      </c>
      <c r="E13413">
        <v>13</v>
      </c>
    </row>
    <row r="13414" spans="1:5" x14ac:dyDescent="0.3">
      <c r="A13414" t="s">
        <v>53</v>
      </c>
      <c r="B13414" s="1">
        <v>44683</v>
      </c>
      <c r="C13414">
        <v>1</v>
      </c>
      <c r="D13414">
        <v>23.4</v>
      </c>
      <c r="E13414">
        <v>38</v>
      </c>
    </row>
    <row r="13415" spans="1:5" x14ac:dyDescent="0.3">
      <c r="A13415" t="s">
        <v>7</v>
      </c>
      <c r="B13415" s="1">
        <v>44683</v>
      </c>
      <c r="C13415">
        <v>1</v>
      </c>
      <c r="D13415">
        <v>90.07</v>
      </c>
      <c r="E13415">
        <v>107</v>
      </c>
    </row>
    <row r="13416" spans="1:5" x14ac:dyDescent="0.3">
      <c r="A13416" t="s">
        <v>26</v>
      </c>
      <c r="B13416" s="1">
        <v>44683</v>
      </c>
      <c r="C13416">
        <v>0.2</v>
      </c>
      <c r="D13416">
        <v>1182.26</v>
      </c>
      <c r="E13416">
        <v>1537</v>
      </c>
    </row>
    <row r="13417" spans="1:5" x14ac:dyDescent="0.3">
      <c r="A13417" t="s">
        <v>38</v>
      </c>
      <c r="B13417" s="1">
        <v>44683</v>
      </c>
      <c r="C13417">
        <v>1</v>
      </c>
      <c r="D13417">
        <v>34.450000000000003</v>
      </c>
      <c r="E13417">
        <v>55</v>
      </c>
    </row>
    <row r="13418" spans="1:5" x14ac:dyDescent="0.3">
      <c r="A13418" t="s">
        <v>57</v>
      </c>
      <c r="B13418" s="1">
        <v>44683</v>
      </c>
      <c r="C13418">
        <v>1</v>
      </c>
      <c r="D13418">
        <v>232.47</v>
      </c>
      <c r="E13418">
        <v>272</v>
      </c>
    </row>
    <row r="13419" spans="1:5" x14ac:dyDescent="0.3">
      <c r="A13419" t="s">
        <v>122</v>
      </c>
      <c r="B13419" s="1">
        <v>44683</v>
      </c>
      <c r="C13419">
        <v>1</v>
      </c>
      <c r="D13419">
        <v>23.91</v>
      </c>
      <c r="E13419">
        <v>29</v>
      </c>
    </row>
    <row r="13420" spans="1:5" x14ac:dyDescent="0.3">
      <c r="A13420" t="s">
        <v>157</v>
      </c>
      <c r="B13420" s="1">
        <v>44683</v>
      </c>
      <c r="C13420">
        <v>1</v>
      </c>
      <c r="D13420">
        <v>12</v>
      </c>
      <c r="E13420">
        <v>20</v>
      </c>
    </row>
    <row r="13421" spans="1:5" x14ac:dyDescent="0.3">
      <c r="A13421" t="s">
        <v>24</v>
      </c>
      <c r="B13421" s="1">
        <v>44683</v>
      </c>
      <c r="C13421">
        <v>1</v>
      </c>
      <c r="D13421">
        <v>100.98</v>
      </c>
      <c r="E13421">
        <v>120</v>
      </c>
    </row>
    <row r="13422" spans="1:5" x14ac:dyDescent="0.3">
      <c r="A13422" t="s">
        <v>123</v>
      </c>
      <c r="B13422" s="1">
        <v>44683</v>
      </c>
      <c r="C13422">
        <v>1</v>
      </c>
      <c r="D13422">
        <v>62.29</v>
      </c>
      <c r="E13422">
        <v>77</v>
      </c>
    </row>
    <row r="13423" spans="1:5" x14ac:dyDescent="0.3">
      <c r="A13423" t="s">
        <v>10</v>
      </c>
      <c r="B13423" s="1">
        <v>44683</v>
      </c>
      <c r="C13423">
        <v>1</v>
      </c>
      <c r="D13423">
        <v>11.65</v>
      </c>
      <c r="E13423">
        <v>14</v>
      </c>
    </row>
    <row r="13424" spans="1:5" x14ac:dyDescent="0.3">
      <c r="A13424" t="s">
        <v>53</v>
      </c>
      <c r="B13424" s="1">
        <v>44683</v>
      </c>
      <c r="C13424">
        <v>1</v>
      </c>
      <c r="D13424">
        <v>23.4</v>
      </c>
      <c r="E13424">
        <v>38</v>
      </c>
    </row>
    <row r="13425" spans="1:5" x14ac:dyDescent="0.3">
      <c r="A13425" t="s">
        <v>15</v>
      </c>
      <c r="B13425" s="1">
        <v>44683</v>
      </c>
      <c r="C13425">
        <v>1</v>
      </c>
      <c r="D13425">
        <v>44.41</v>
      </c>
      <c r="E13425">
        <v>72</v>
      </c>
    </row>
    <row r="13426" spans="1:5" x14ac:dyDescent="0.3">
      <c r="A13426" t="s">
        <v>40</v>
      </c>
      <c r="B13426" s="1">
        <v>44683</v>
      </c>
      <c r="C13426">
        <v>1</v>
      </c>
      <c r="D13426">
        <v>173.09</v>
      </c>
      <c r="E13426">
        <v>207</v>
      </c>
    </row>
    <row r="13427" spans="1:5" x14ac:dyDescent="0.3">
      <c r="A13427" t="s">
        <v>65</v>
      </c>
      <c r="B13427" s="1">
        <v>44683</v>
      </c>
      <c r="C13427">
        <v>1</v>
      </c>
      <c r="D13427">
        <v>181.12</v>
      </c>
      <c r="E13427">
        <v>212</v>
      </c>
    </row>
    <row r="13428" spans="1:5" x14ac:dyDescent="0.3">
      <c r="A13428" t="s">
        <v>17</v>
      </c>
      <c r="B13428" s="1">
        <v>44683</v>
      </c>
      <c r="C13428">
        <v>1</v>
      </c>
      <c r="D13428">
        <v>392.65</v>
      </c>
      <c r="E13428">
        <v>472</v>
      </c>
    </row>
    <row r="13429" spans="1:5" x14ac:dyDescent="0.3">
      <c r="A13429" t="s">
        <v>30</v>
      </c>
      <c r="B13429" s="1">
        <v>44683</v>
      </c>
      <c r="C13429">
        <v>1</v>
      </c>
      <c r="D13429">
        <v>156.19999999999999</v>
      </c>
      <c r="E13429">
        <v>186</v>
      </c>
    </row>
    <row r="13430" spans="1:5" x14ac:dyDescent="0.3">
      <c r="A13430" t="s">
        <v>111</v>
      </c>
      <c r="B13430" s="1">
        <v>44683</v>
      </c>
      <c r="C13430">
        <v>1</v>
      </c>
      <c r="D13430">
        <v>164.96</v>
      </c>
      <c r="E13430">
        <v>198</v>
      </c>
    </row>
    <row r="13431" spans="1:5" x14ac:dyDescent="0.3">
      <c r="A13431" t="s">
        <v>120</v>
      </c>
      <c r="B13431" s="1">
        <v>44683</v>
      </c>
      <c r="C13431">
        <v>1</v>
      </c>
      <c r="D13431">
        <v>132.26</v>
      </c>
      <c r="E13431">
        <v>182</v>
      </c>
    </row>
    <row r="13432" spans="1:5" x14ac:dyDescent="0.3">
      <c r="A13432" t="s">
        <v>91</v>
      </c>
      <c r="B13432" s="1">
        <v>44683</v>
      </c>
      <c r="C13432">
        <v>2</v>
      </c>
      <c r="D13432">
        <v>31.73</v>
      </c>
      <c r="E13432">
        <v>52</v>
      </c>
    </row>
    <row r="13433" spans="1:5" x14ac:dyDescent="0.3">
      <c r="A13433" t="s">
        <v>20</v>
      </c>
      <c r="B13433" s="1">
        <v>44683</v>
      </c>
      <c r="C13433">
        <v>1</v>
      </c>
      <c r="D13433">
        <v>20.72</v>
      </c>
      <c r="E13433">
        <v>24</v>
      </c>
    </row>
    <row r="13434" spans="1:5" x14ac:dyDescent="0.3">
      <c r="A13434" t="s">
        <v>20</v>
      </c>
      <c r="B13434" s="1">
        <v>44683</v>
      </c>
      <c r="C13434">
        <v>1</v>
      </c>
      <c r="D13434">
        <v>20.72</v>
      </c>
      <c r="E13434">
        <v>24</v>
      </c>
    </row>
    <row r="13435" spans="1:5" x14ac:dyDescent="0.3">
      <c r="A13435" t="s">
        <v>20</v>
      </c>
      <c r="B13435" s="1">
        <v>44683</v>
      </c>
      <c r="C13435">
        <v>1</v>
      </c>
      <c r="D13435">
        <v>20.72</v>
      </c>
      <c r="E13435">
        <v>24</v>
      </c>
    </row>
    <row r="13436" spans="1:5" x14ac:dyDescent="0.3">
      <c r="A13436" t="s">
        <v>20</v>
      </c>
      <c r="B13436" s="1">
        <v>44683</v>
      </c>
      <c r="C13436">
        <v>1</v>
      </c>
      <c r="D13436">
        <v>20.72</v>
      </c>
      <c r="E13436">
        <v>24</v>
      </c>
    </row>
    <row r="13437" spans="1:5" x14ac:dyDescent="0.3">
      <c r="A13437" t="s">
        <v>20</v>
      </c>
      <c r="B13437" s="1">
        <v>44683</v>
      </c>
      <c r="C13437">
        <v>1</v>
      </c>
      <c r="D13437">
        <v>20.72</v>
      </c>
      <c r="E13437">
        <v>24</v>
      </c>
    </row>
    <row r="13438" spans="1:5" x14ac:dyDescent="0.3">
      <c r="A13438" t="s">
        <v>20</v>
      </c>
      <c r="B13438" s="1">
        <v>44683</v>
      </c>
      <c r="C13438">
        <v>1</v>
      </c>
      <c r="D13438">
        <v>20.72</v>
      </c>
      <c r="E13438">
        <v>24</v>
      </c>
    </row>
    <row r="13439" spans="1:5" x14ac:dyDescent="0.3">
      <c r="A13439" t="s">
        <v>20</v>
      </c>
      <c r="B13439" s="1">
        <v>44683</v>
      </c>
      <c r="C13439">
        <v>1</v>
      </c>
      <c r="D13439">
        <v>20.72</v>
      </c>
      <c r="E13439">
        <v>24</v>
      </c>
    </row>
    <row r="13440" spans="1:5" x14ac:dyDescent="0.3">
      <c r="A13440" t="s">
        <v>20</v>
      </c>
      <c r="B13440" s="1">
        <v>44683</v>
      </c>
      <c r="C13440">
        <v>1</v>
      </c>
      <c r="D13440">
        <v>20.72</v>
      </c>
      <c r="E13440">
        <v>24</v>
      </c>
    </row>
    <row r="13441" spans="1:5" x14ac:dyDescent="0.3">
      <c r="A13441" t="s">
        <v>20</v>
      </c>
      <c r="B13441" s="1">
        <v>44683</v>
      </c>
      <c r="C13441">
        <v>1</v>
      </c>
      <c r="D13441">
        <v>20.72</v>
      </c>
      <c r="E13441">
        <v>24</v>
      </c>
    </row>
    <row r="13442" spans="1:5" x14ac:dyDescent="0.3">
      <c r="A13442" t="s">
        <v>20</v>
      </c>
      <c r="B13442" s="1">
        <v>44683</v>
      </c>
      <c r="C13442">
        <v>1</v>
      </c>
      <c r="D13442">
        <v>20.72</v>
      </c>
      <c r="E13442">
        <v>24</v>
      </c>
    </row>
    <row r="13443" spans="1:5" x14ac:dyDescent="0.3">
      <c r="A13443" t="s">
        <v>21</v>
      </c>
      <c r="B13443" s="1">
        <v>44683</v>
      </c>
      <c r="C13443">
        <v>1</v>
      </c>
      <c r="D13443">
        <v>184.02</v>
      </c>
      <c r="E13443">
        <v>260</v>
      </c>
    </row>
    <row r="13444" spans="1:5" x14ac:dyDescent="0.3">
      <c r="A13444" t="s">
        <v>52</v>
      </c>
      <c r="B13444" s="1">
        <v>44683</v>
      </c>
      <c r="C13444">
        <v>1</v>
      </c>
      <c r="D13444">
        <v>206.65</v>
      </c>
      <c r="E13444">
        <v>247</v>
      </c>
    </row>
    <row r="13445" spans="1:5" x14ac:dyDescent="0.3">
      <c r="A13445" t="s">
        <v>156</v>
      </c>
      <c r="B13445" s="1">
        <v>44683</v>
      </c>
      <c r="C13445">
        <v>1</v>
      </c>
      <c r="D13445">
        <v>248.98</v>
      </c>
      <c r="E13445">
        <v>344</v>
      </c>
    </row>
    <row r="13446" spans="1:5" x14ac:dyDescent="0.3">
      <c r="A13446" t="s">
        <v>22</v>
      </c>
      <c r="B13446" s="1">
        <v>44683</v>
      </c>
      <c r="C13446">
        <v>1</v>
      </c>
      <c r="D13446">
        <v>30.3</v>
      </c>
      <c r="E13446">
        <v>49</v>
      </c>
    </row>
    <row r="13447" spans="1:5" x14ac:dyDescent="0.3">
      <c r="A13447" t="s">
        <v>79</v>
      </c>
      <c r="B13447" s="1">
        <v>44683</v>
      </c>
      <c r="C13447">
        <v>1</v>
      </c>
      <c r="D13447">
        <v>148.5</v>
      </c>
      <c r="E13447">
        <v>180</v>
      </c>
    </row>
    <row r="13448" spans="1:5" x14ac:dyDescent="0.3">
      <c r="A13448" t="s">
        <v>40</v>
      </c>
      <c r="B13448" s="1">
        <v>44683</v>
      </c>
      <c r="C13448">
        <v>1</v>
      </c>
      <c r="D13448">
        <v>182.57</v>
      </c>
      <c r="E13448">
        <v>217</v>
      </c>
    </row>
    <row r="13449" spans="1:5" x14ac:dyDescent="0.3">
      <c r="A13449" t="s">
        <v>37</v>
      </c>
      <c r="B13449" s="1">
        <v>44683</v>
      </c>
      <c r="C13449">
        <v>1</v>
      </c>
      <c r="D13449">
        <v>36.86</v>
      </c>
      <c r="E13449">
        <v>47</v>
      </c>
    </row>
    <row r="13450" spans="1:5" x14ac:dyDescent="0.3">
      <c r="A13450" t="s">
        <v>37</v>
      </c>
      <c r="B13450" s="1">
        <v>44683</v>
      </c>
      <c r="C13450">
        <v>1</v>
      </c>
      <c r="D13450">
        <v>36.86</v>
      </c>
      <c r="E13450">
        <v>47</v>
      </c>
    </row>
    <row r="13451" spans="1:5" x14ac:dyDescent="0.3">
      <c r="A13451" t="s">
        <v>37</v>
      </c>
      <c r="B13451" s="1">
        <v>44683</v>
      </c>
      <c r="C13451">
        <v>1</v>
      </c>
      <c r="D13451">
        <v>36.86</v>
      </c>
      <c r="E13451">
        <v>47</v>
      </c>
    </row>
    <row r="13452" spans="1:5" x14ac:dyDescent="0.3">
      <c r="A13452" t="s">
        <v>38</v>
      </c>
      <c r="B13452" s="1">
        <v>44683</v>
      </c>
      <c r="C13452">
        <v>1</v>
      </c>
      <c r="D13452">
        <v>22.31</v>
      </c>
      <c r="E13452">
        <v>35</v>
      </c>
    </row>
    <row r="13453" spans="1:5" x14ac:dyDescent="0.3">
      <c r="A13453" t="s">
        <v>38</v>
      </c>
      <c r="B13453" s="1">
        <v>44683</v>
      </c>
      <c r="C13453">
        <v>1</v>
      </c>
      <c r="D13453">
        <v>22.31</v>
      </c>
      <c r="E13453">
        <v>35</v>
      </c>
    </row>
    <row r="13454" spans="1:5" x14ac:dyDescent="0.3">
      <c r="A13454" t="s">
        <v>38</v>
      </c>
      <c r="B13454" s="1">
        <v>44683</v>
      </c>
      <c r="C13454">
        <v>1</v>
      </c>
      <c r="D13454">
        <v>22.31</v>
      </c>
      <c r="E13454">
        <v>35</v>
      </c>
    </row>
    <row r="13455" spans="1:5" x14ac:dyDescent="0.3">
      <c r="A13455" t="s">
        <v>32</v>
      </c>
      <c r="B13455" s="1">
        <v>44683</v>
      </c>
      <c r="C13455">
        <v>1</v>
      </c>
      <c r="D13455">
        <v>104.59</v>
      </c>
      <c r="E13455">
        <v>163</v>
      </c>
    </row>
    <row r="13456" spans="1:5" x14ac:dyDescent="0.3">
      <c r="A13456" t="s">
        <v>5</v>
      </c>
      <c r="B13456" s="1">
        <v>44683</v>
      </c>
      <c r="C13456">
        <v>1</v>
      </c>
      <c r="D13456">
        <v>136.47999999999999</v>
      </c>
      <c r="E13456">
        <v>163</v>
      </c>
    </row>
    <row r="13457" spans="1:5" x14ac:dyDescent="0.3">
      <c r="A13457" t="s">
        <v>18</v>
      </c>
      <c r="B13457" s="1">
        <v>44683</v>
      </c>
      <c r="C13457">
        <v>1</v>
      </c>
      <c r="D13457">
        <v>44</v>
      </c>
      <c r="E13457">
        <v>67</v>
      </c>
    </row>
    <row r="13458" spans="1:5" x14ac:dyDescent="0.3">
      <c r="A13458" t="s">
        <v>85</v>
      </c>
      <c r="B13458" s="1">
        <v>44683</v>
      </c>
      <c r="C13458">
        <v>1</v>
      </c>
      <c r="D13458">
        <v>15.95</v>
      </c>
      <c r="E13458">
        <v>25</v>
      </c>
    </row>
    <row r="13459" spans="1:5" x14ac:dyDescent="0.3">
      <c r="A13459" t="s">
        <v>85</v>
      </c>
      <c r="B13459" s="1">
        <v>44683</v>
      </c>
      <c r="C13459">
        <v>1</v>
      </c>
      <c r="D13459">
        <v>15.95</v>
      </c>
      <c r="E13459">
        <v>25</v>
      </c>
    </row>
    <row r="13460" spans="1:5" x14ac:dyDescent="0.3">
      <c r="A13460" t="s">
        <v>85</v>
      </c>
      <c r="B13460" s="1">
        <v>44683</v>
      </c>
      <c r="C13460">
        <v>1</v>
      </c>
      <c r="D13460">
        <v>18.010000000000002</v>
      </c>
      <c r="E13460">
        <v>28</v>
      </c>
    </row>
    <row r="13461" spans="1:5" x14ac:dyDescent="0.3">
      <c r="A13461" t="s">
        <v>28</v>
      </c>
      <c r="B13461" s="1">
        <v>44683</v>
      </c>
      <c r="C13461">
        <v>1</v>
      </c>
      <c r="D13461">
        <v>146.80000000000001</v>
      </c>
      <c r="E13461">
        <v>207</v>
      </c>
    </row>
    <row r="13462" spans="1:5" x14ac:dyDescent="0.3">
      <c r="A13462" t="s">
        <v>28</v>
      </c>
      <c r="B13462" s="1">
        <v>44683</v>
      </c>
      <c r="C13462">
        <v>1</v>
      </c>
      <c r="D13462">
        <v>146.80000000000001</v>
      </c>
      <c r="E13462">
        <v>207</v>
      </c>
    </row>
    <row r="13463" spans="1:5" x14ac:dyDescent="0.3">
      <c r="A13463" t="s">
        <v>24</v>
      </c>
      <c r="B13463" s="1">
        <v>44683</v>
      </c>
      <c r="C13463">
        <v>1</v>
      </c>
      <c r="D13463">
        <v>97.99</v>
      </c>
      <c r="E13463">
        <v>117</v>
      </c>
    </row>
    <row r="13464" spans="1:5" x14ac:dyDescent="0.3">
      <c r="A13464" t="s">
        <v>24</v>
      </c>
      <c r="B13464" s="1">
        <v>44683</v>
      </c>
      <c r="C13464">
        <v>1</v>
      </c>
      <c r="D13464">
        <v>97.99</v>
      </c>
      <c r="E13464">
        <v>117</v>
      </c>
    </row>
    <row r="13465" spans="1:5" x14ac:dyDescent="0.3">
      <c r="A13465" t="s">
        <v>5</v>
      </c>
      <c r="B13465" s="1">
        <v>44683</v>
      </c>
      <c r="C13465">
        <v>1</v>
      </c>
      <c r="D13465">
        <v>136.47999999999999</v>
      </c>
      <c r="E13465">
        <v>163</v>
      </c>
    </row>
    <row r="13466" spans="1:5" x14ac:dyDescent="0.3">
      <c r="A13466" t="s">
        <v>35</v>
      </c>
      <c r="B13466" s="1">
        <v>44683</v>
      </c>
      <c r="C13466">
        <v>1</v>
      </c>
      <c r="D13466">
        <v>39.6</v>
      </c>
      <c r="E13466">
        <v>61</v>
      </c>
    </row>
    <row r="13467" spans="1:5" x14ac:dyDescent="0.3">
      <c r="A13467" t="s">
        <v>135</v>
      </c>
      <c r="B13467" s="1">
        <v>44683</v>
      </c>
      <c r="C13467">
        <v>1</v>
      </c>
      <c r="D13467">
        <v>74.540000000000006</v>
      </c>
      <c r="E13467">
        <v>92</v>
      </c>
    </row>
    <row r="13468" spans="1:5" x14ac:dyDescent="0.3">
      <c r="A13468" t="s">
        <v>70</v>
      </c>
      <c r="B13468" s="1">
        <v>44683</v>
      </c>
      <c r="C13468">
        <v>1</v>
      </c>
      <c r="D13468">
        <v>170.53</v>
      </c>
      <c r="E13468">
        <v>205</v>
      </c>
    </row>
    <row r="13469" spans="1:5" x14ac:dyDescent="0.3">
      <c r="A13469" t="s">
        <v>143</v>
      </c>
      <c r="B13469" s="1">
        <v>44683</v>
      </c>
      <c r="C13469">
        <v>1</v>
      </c>
      <c r="D13469">
        <v>46.89</v>
      </c>
      <c r="E13469">
        <v>72</v>
      </c>
    </row>
    <row r="13470" spans="1:5" x14ac:dyDescent="0.3">
      <c r="A13470" t="s">
        <v>24</v>
      </c>
      <c r="B13470" s="1">
        <v>44683</v>
      </c>
      <c r="C13470">
        <v>1</v>
      </c>
      <c r="D13470">
        <v>99.48</v>
      </c>
      <c r="E13470">
        <v>117</v>
      </c>
    </row>
    <row r="13471" spans="1:5" x14ac:dyDescent="0.3">
      <c r="A13471" t="s">
        <v>65</v>
      </c>
      <c r="B13471" s="1">
        <v>44683</v>
      </c>
      <c r="C13471">
        <v>1</v>
      </c>
      <c r="D13471">
        <v>176.77</v>
      </c>
      <c r="E13471">
        <v>207</v>
      </c>
    </row>
    <row r="13472" spans="1:5" x14ac:dyDescent="0.3">
      <c r="A13472" t="s">
        <v>65</v>
      </c>
      <c r="B13472" s="1">
        <v>44683</v>
      </c>
      <c r="C13472">
        <v>1</v>
      </c>
      <c r="D13472">
        <v>176.77</v>
      </c>
      <c r="E13472">
        <v>207</v>
      </c>
    </row>
    <row r="13473" spans="1:5" x14ac:dyDescent="0.3">
      <c r="A13473" t="s">
        <v>132</v>
      </c>
      <c r="B13473" s="1">
        <v>44683</v>
      </c>
      <c r="C13473">
        <v>1</v>
      </c>
      <c r="D13473">
        <v>57.93</v>
      </c>
      <c r="E13473">
        <v>83</v>
      </c>
    </row>
    <row r="13474" spans="1:5" x14ac:dyDescent="0.3">
      <c r="A13474" t="s">
        <v>24</v>
      </c>
      <c r="B13474" s="1">
        <v>44683</v>
      </c>
      <c r="C13474">
        <v>1</v>
      </c>
      <c r="D13474">
        <v>97.99</v>
      </c>
      <c r="E13474">
        <v>114</v>
      </c>
    </row>
    <row r="13475" spans="1:5" x14ac:dyDescent="0.3">
      <c r="A13475" t="s">
        <v>90</v>
      </c>
      <c r="B13475" s="1">
        <v>44683</v>
      </c>
      <c r="C13475">
        <v>1</v>
      </c>
      <c r="D13475">
        <v>374.07</v>
      </c>
      <c r="E13475">
        <v>449</v>
      </c>
    </row>
    <row r="13476" spans="1:5" x14ac:dyDescent="0.3">
      <c r="A13476" t="s">
        <v>24</v>
      </c>
      <c r="B13476" s="1">
        <v>44683</v>
      </c>
      <c r="C13476">
        <v>1</v>
      </c>
      <c r="D13476">
        <v>100.98</v>
      </c>
      <c r="E13476">
        <v>120</v>
      </c>
    </row>
    <row r="13477" spans="1:5" x14ac:dyDescent="0.3">
      <c r="A13477" t="s">
        <v>41</v>
      </c>
      <c r="B13477" s="1">
        <v>44683</v>
      </c>
      <c r="C13477">
        <v>5</v>
      </c>
      <c r="D13477">
        <v>10.89</v>
      </c>
      <c r="E13477">
        <v>18</v>
      </c>
    </row>
    <row r="13478" spans="1:5" x14ac:dyDescent="0.3">
      <c r="A13478" t="s">
        <v>85</v>
      </c>
      <c r="B13478" s="1">
        <v>44683</v>
      </c>
      <c r="C13478">
        <v>1</v>
      </c>
      <c r="D13478">
        <v>15.95</v>
      </c>
      <c r="E13478">
        <v>26</v>
      </c>
    </row>
    <row r="13479" spans="1:5" x14ac:dyDescent="0.3">
      <c r="A13479" t="s">
        <v>138</v>
      </c>
      <c r="B13479" s="1">
        <v>44683</v>
      </c>
      <c r="C13479">
        <v>1</v>
      </c>
      <c r="D13479">
        <v>46.5</v>
      </c>
      <c r="E13479">
        <v>75</v>
      </c>
    </row>
    <row r="13480" spans="1:5" x14ac:dyDescent="0.3">
      <c r="A13480" t="s">
        <v>66</v>
      </c>
      <c r="B13480" s="1">
        <v>44683</v>
      </c>
      <c r="C13480">
        <v>1</v>
      </c>
      <c r="D13480">
        <v>35.36</v>
      </c>
      <c r="E13480">
        <v>39</v>
      </c>
    </row>
    <row r="13481" spans="1:5" x14ac:dyDescent="0.3">
      <c r="A13481" t="s">
        <v>66</v>
      </c>
      <c r="B13481" s="1">
        <v>44683</v>
      </c>
      <c r="C13481">
        <v>1</v>
      </c>
      <c r="D13481">
        <v>35.36</v>
      </c>
      <c r="E13481">
        <v>39</v>
      </c>
    </row>
    <row r="13482" spans="1:5" x14ac:dyDescent="0.3">
      <c r="A13482" t="s">
        <v>66</v>
      </c>
      <c r="B13482" s="1">
        <v>44683</v>
      </c>
      <c r="C13482">
        <v>1</v>
      </c>
      <c r="D13482">
        <v>35.36</v>
      </c>
      <c r="E13482">
        <v>39</v>
      </c>
    </row>
    <row r="13483" spans="1:5" x14ac:dyDescent="0.3">
      <c r="A13483" t="s">
        <v>66</v>
      </c>
      <c r="B13483" s="1">
        <v>44683</v>
      </c>
      <c r="C13483">
        <v>1</v>
      </c>
      <c r="D13483">
        <v>35.36</v>
      </c>
      <c r="E13483">
        <v>39</v>
      </c>
    </row>
    <row r="13484" spans="1:5" x14ac:dyDescent="0.3">
      <c r="A13484" t="s">
        <v>66</v>
      </c>
      <c r="B13484" s="1">
        <v>44683</v>
      </c>
      <c r="C13484">
        <v>1</v>
      </c>
      <c r="D13484">
        <v>35.36</v>
      </c>
      <c r="E13484">
        <v>39</v>
      </c>
    </row>
    <row r="13485" spans="1:5" x14ac:dyDescent="0.3">
      <c r="A13485" t="s">
        <v>129</v>
      </c>
      <c r="B13485" s="1">
        <v>44683</v>
      </c>
      <c r="C13485">
        <v>0.2</v>
      </c>
      <c r="D13485">
        <v>496.39</v>
      </c>
      <c r="E13485">
        <v>597</v>
      </c>
    </row>
    <row r="13486" spans="1:5" x14ac:dyDescent="0.3">
      <c r="A13486" t="s">
        <v>129</v>
      </c>
      <c r="B13486" s="1">
        <v>44683</v>
      </c>
      <c r="C13486">
        <v>0.2</v>
      </c>
      <c r="D13486">
        <v>515.66</v>
      </c>
      <c r="E13486">
        <v>568</v>
      </c>
    </row>
    <row r="13487" spans="1:5" x14ac:dyDescent="0.3">
      <c r="A13487" t="s">
        <v>65</v>
      </c>
      <c r="B13487" s="1">
        <v>44683</v>
      </c>
      <c r="C13487">
        <v>1</v>
      </c>
      <c r="D13487">
        <v>176.77</v>
      </c>
      <c r="E13487">
        <v>207</v>
      </c>
    </row>
    <row r="13488" spans="1:5" x14ac:dyDescent="0.3">
      <c r="A13488" t="s">
        <v>18</v>
      </c>
      <c r="B13488" s="1">
        <v>44683</v>
      </c>
      <c r="C13488">
        <v>1</v>
      </c>
      <c r="D13488">
        <v>44</v>
      </c>
      <c r="E13488">
        <v>67</v>
      </c>
    </row>
    <row r="13489" spans="1:5" x14ac:dyDescent="0.3">
      <c r="A13489" t="s">
        <v>30</v>
      </c>
      <c r="B13489" s="1">
        <v>44683</v>
      </c>
      <c r="C13489">
        <v>1</v>
      </c>
      <c r="D13489">
        <v>156.19999999999999</v>
      </c>
      <c r="E13489">
        <v>186</v>
      </c>
    </row>
    <row r="13490" spans="1:5" x14ac:dyDescent="0.3">
      <c r="A13490" t="s">
        <v>92</v>
      </c>
      <c r="B13490" s="1">
        <v>44683</v>
      </c>
      <c r="C13490">
        <v>10</v>
      </c>
      <c r="D13490">
        <v>6.24</v>
      </c>
      <c r="E13490">
        <v>9</v>
      </c>
    </row>
    <row r="13491" spans="1:5" x14ac:dyDescent="0.3">
      <c r="A13491" t="s">
        <v>94</v>
      </c>
      <c r="B13491" s="1">
        <v>44683</v>
      </c>
      <c r="C13491">
        <v>1</v>
      </c>
      <c r="D13491">
        <v>27.31</v>
      </c>
      <c r="E13491">
        <v>39</v>
      </c>
    </row>
    <row r="13492" spans="1:5" x14ac:dyDescent="0.3">
      <c r="A13492" t="s">
        <v>94</v>
      </c>
      <c r="B13492" s="1">
        <v>44683</v>
      </c>
      <c r="C13492">
        <v>1</v>
      </c>
      <c r="D13492">
        <v>27.31</v>
      </c>
      <c r="E13492">
        <v>39</v>
      </c>
    </row>
    <row r="13493" spans="1:5" x14ac:dyDescent="0.3">
      <c r="A13493" t="s">
        <v>94</v>
      </c>
      <c r="B13493" s="1">
        <v>44683</v>
      </c>
      <c r="C13493">
        <v>1</v>
      </c>
      <c r="D13493">
        <v>27.31</v>
      </c>
      <c r="E13493">
        <v>39</v>
      </c>
    </row>
    <row r="13494" spans="1:5" x14ac:dyDescent="0.3">
      <c r="A13494" t="s">
        <v>94</v>
      </c>
      <c r="B13494" s="1">
        <v>44683</v>
      </c>
      <c r="C13494">
        <v>1</v>
      </c>
      <c r="D13494">
        <v>27.31</v>
      </c>
      <c r="E13494">
        <v>39</v>
      </c>
    </row>
    <row r="13495" spans="1:5" x14ac:dyDescent="0.3">
      <c r="A13495" t="s">
        <v>94</v>
      </c>
      <c r="B13495" s="1">
        <v>44683</v>
      </c>
      <c r="C13495">
        <v>1</v>
      </c>
      <c r="D13495">
        <v>27.31</v>
      </c>
      <c r="E13495">
        <v>39</v>
      </c>
    </row>
    <row r="13496" spans="1:5" x14ac:dyDescent="0.3">
      <c r="A13496" t="s">
        <v>94</v>
      </c>
      <c r="B13496" s="1">
        <v>44683</v>
      </c>
      <c r="C13496">
        <v>1</v>
      </c>
      <c r="D13496">
        <v>27.31</v>
      </c>
      <c r="E13496">
        <v>39</v>
      </c>
    </row>
    <row r="13497" spans="1:5" x14ac:dyDescent="0.3">
      <c r="A13497" t="s">
        <v>94</v>
      </c>
      <c r="B13497" s="1">
        <v>44683</v>
      </c>
      <c r="C13497">
        <v>1</v>
      </c>
      <c r="D13497">
        <v>27.31</v>
      </c>
      <c r="E13497">
        <v>39</v>
      </c>
    </row>
    <row r="13498" spans="1:5" x14ac:dyDescent="0.3">
      <c r="A13498" t="s">
        <v>94</v>
      </c>
      <c r="B13498" s="1">
        <v>44683</v>
      </c>
      <c r="C13498">
        <v>1</v>
      </c>
      <c r="D13498">
        <v>27.31</v>
      </c>
      <c r="E13498">
        <v>39</v>
      </c>
    </row>
    <row r="13499" spans="1:5" x14ac:dyDescent="0.3">
      <c r="A13499" t="s">
        <v>94</v>
      </c>
      <c r="B13499" s="1">
        <v>44683</v>
      </c>
      <c r="C13499">
        <v>1</v>
      </c>
      <c r="D13499">
        <v>27.31</v>
      </c>
      <c r="E13499">
        <v>39</v>
      </c>
    </row>
    <row r="13500" spans="1:5" x14ac:dyDescent="0.3">
      <c r="A13500" t="s">
        <v>94</v>
      </c>
      <c r="B13500" s="1">
        <v>44683</v>
      </c>
      <c r="C13500">
        <v>1</v>
      </c>
      <c r="D13500">
        <v>27.31</v>
      </c>
      <c r="E13500">
        <v>39</v>
      </c>
    </row>
    <row r="13501" spans="1:5" x14ac:dyDescent="0.3">
      <c r="A13501" t="s">
        <v>95</v>
      </c>
      <c r="B13501" s="1">
        <v>44683</v>
      </c>
      <c r="C13501">
        <v>1</v>
      </c>
      <c r="D13501">
        <v>135.38</v>
      </c>
      <c r="E13501">
        <v>210</v>
      </c>
    </row>
    <row r="13502" spans="1:5" x14ac:dyDescent="0.3">
      <c r="A13502" t="s">
        <v>119</v>
      </c>
      <c r="B13502" s="1">
        <v>44683</v>
      </c>
      <c r="C13502">
        <v>3.5714299999999997E-2</v>
      </c>
      <c r="D13502">
        <v>631.39</v>
      </c>
      <c r="E13502">
        <v>697</v>
      </c>
    </row>
    <row r="13503" spans="1:5" x14ac:dyDescent="0.3">
      <c r="A13503" t="s">
        <v>53</v>
      </c>
      <c r="B13503" s="1">
        <v>44683</v>
      </c>
      <c r="C13503">
        <v>1</v>
      </c>
      <c r="D13503">
        <v>23.4</v>
      </c>
      <c r="E13503">
        <v>38</v>
      </c>
    </row>
    <row r="13504" spans="1:5" x14ac:dyDescent="0.3">
      <c r="A13504" t="s">
        <v>38</v>
      </c>
      <c r="B13504" s="1">
        <v>44683</v>
      </c>
      <c r="C13504">
        <v>1</v>
      </c>
      <c r="D13504">
        <v>27.64</v>
      </c>
      <c r="E13504">
        <v>43</v>
      </c>
    </row>
    <row r="13505" spans="1:5" x14ac:dyDescent="0.3">
      <c r="A13505" t="s">
        <v>118</v>
      </c>
      <c r="B13505" s="1">
        <v>44683</v>
      </c>
      <c r="C13505">
        <v>1</v>
      </c>
      <c r="D13505">
        <v>10.79</v>
      </c>
      <c r="E13505">
        <v>13</v>
      </c>
    </row>
    <row r="13506" spans="1:5" x14ac:dyDescent="0.3">
      <c r="A13506" t="s">
        <v>79</v>
      </c>
      <c r="B13506" s="1">
        <v>44683</v>
      </c>
      <c r="C13506">
        <v>1</v>
      </c>
      <c r="D13506">
        <v>148.5</v>
      </c>
      <c r="E13506">
        <v>177</v>
      </c>
    </row>
    <row r="13507" spans="1:5" x14ac:dyDescent="0.3">
      <c r="A13507" t="s">
        <v>112</v>
      </c>
      <c r="B13507" s="1">
        <v>44683</v>
      </c>
      <c r="C13507">
        <v>1</v>
      </c>
      <c r="D13507">
        <v>291.39</v>
      </c>
      <c r="E13507">
        <v>345</v>
      </c>
    </row>
    <row r="13508" spans="1:5" x14ac:dyDescent="0.3">
      <c r="A13508" t="s">
        <v>47</v>
      </c>
      <c r="B13508" s="1">
        <v>44683</v>
      </c>
      <c r="C13508">
        <v>1</v>
      </c>
      <c r="D13508">
        <v>43.49</v>
      </c>
      <c r="E13508">
        <v>69</v>
      </c>
    </row>
    <row r="13509" spans="1:5" x14ac:dyDescent="0.3">
      <c r="A13509" t="s">
        <v>47</v>
      </c>
      <c r="B13509" s="1">
        <v>44683</v>
      </c>
      <c r="C13509">
        <v>1</v>
      </c>
      <c r="D13509">
        <v>43.49</v>
      </c>
      <c r="E13509">
        <v>69</v>
      </c>
    </row>
    <row r="13510" spans="1:5" x14ac:dyDescent="0.3">
      <c r="A13510" t="s">
        <v>106</v>
      </c>
      <c r="B13510" s="1">
        <v>44683</v>
      </c>
      <c r="C13510">
        <v>1</v>
      </c>
      <c r="D13510">
        <v>41.1</v>
      </c>
      <c r="E13510">
        <v>51</v>
      </c>
    </row>
    <row r="13511" spans="1:5" x14ac:dyDescent="0.3">
      <c r="A13511" t="s">
        <v>53</v>
      </c>
      <c r="B13511" s="1">
        <v>44683</v>
      </c>
      <c r="C13511">
        <v>1</v>
      </c>
      <c r="D13511">
        <v>23.4</v>
      </c>
      <c r="E13511">
        <v>38</v>
      </c>
    </row>
    <row r="13512" spans="1:5" x14ac:dyDescent="0.3">
      <c r="A13512" t="s">
        <v>42</v>
      </c>
      <c r="B13512" s="1">
        <v>44683</v>
      </c>
      <c r="C13512">
        <v>1</v>
      </c>
      <c r="D13512">
        <v>569.76</v>
      </c>
      <c r="E13512">
        <v>656</v>
      </c>
    </row>
    <row r="13513" spans="1:5" x14ac:dyDescent="0.3">
      <c r="A13513" t="s">
        <v>115</v>
      </c>
      <c r="B13513" s="1">
        <v>44683</v>
      </c>
      <c r="C13513">
        <v>1</v>
      </c>
      <c r="D13513">
        <v>72.78</v>
      </c>
      <c r="E13513">
        <v>90</v>
      </c>
    </row>
    <row r="13514" spans="1:5" x14ac:dyDescent="0.3">
      <c r="A13514" t="s">
        <v>146</v>
      </c>
      <c r="B13514" s="1">
        <v>44683</v>
      </c>
      <c r="C13514">
        <v>1</v>
      </c>
      <c r="D13514">
        <v>398.18</v>
      </c>
      <c r="E13514">
        <v>446</v>
      </c>
    </row>
    <row r="13515" spans="1:5" x14ac:dyDescent="0.3">
      <c r="A13515" t="s">
        <v>85</v>
      </c>
      <c r="B13515" s="1">
        <v>44683</v>
      </c>
      <c r="C13515">
        <v>1</v>
      </c>
      <c r="D13515">
        <v>18.84</v>
      </c>
      <c r="E13515">
        <v>29</v>
      </c>
    </row>
    <row r="13516" spans="1:5" x14ac:dyDescent="0.3">
      <c r="A13516" t="s">
        <v>85</v>
      </c>
      <c r="B13516" s="1">
        <v>44683</v>
      </c>
      <c r="C13516">
        <v>1</v>
      </c>
      <c r="D13516">
        <v>18.84</v>
      </c>
      <c r="E13516">
        <v>29</v>
      </c>
    </row>
    <row r="13517" spans="1:5" x14ac:dyDescent="0.3">
      <c r="A13517" t="s">
        <v>85</v>
      </c>
      <c r="B13517" s="1">
        <v>44683</v>
      </c>
      <c r="C13517">
        <v>1</v>
      </c>
      <c r="D13517">
        <v>18.84</v>
      </c>
      <c r="E13517">
        <v>29</v>
      </c>
    </row>
    <row r="13518" spans="1:5" x14ac:dyDescent="0.3">
      <c r="A13518" t="s">
        <v>90</v>
      </c>
      <c r="B13518" s="1">
        <v>44683</v>
      </c>
      <c r="C13518">
        <v>1</v>
      </c>
      <c r="D13518">
        <v>383.43</v>
      </c>
      <c r="E13518">
        <v>472</v>
      </c>
    </row>
    <row r="13519" spans="1:5" x14ac:dyDescent="0.3">
      <c r="A13519" t="s">
        <v>132</v>
      </c>
      <c r="B13519" s="1">
        <v>44683</v>
      </c>
      <c r="C13519">
        <v>1</v>
      </c>
      <c r="D13519">
        <v>58.97</v>
      </c>
      <c r="E13519">
        <v>88</v>
      </c>
    </row>
    <row r="13520" spans="1:5" x14ac:dyDescent="0.3">
      <c r="A13520" t="s">
        <v>23</v>
      </c>
      <c r="B13520" s="1">
        <v>44683</v>
      </c>
      <c r="C13520">
        <v>1</v>
      </c>
      <c r="D13520">
        <v>110.23</v>
      </c>
      <c r="E13520">
        <v>124</v>
      </c>
    </row>
    <row r="13521" spans="1:5" x14ac:dyDescent="0.3">
      <c r="A13521" t="s">
        <v>23</v>
      </c>
      <c r="B13521" s="1">
        <v>44683</v>
      </c>
      <c r="C13521">
        <v>1</v>
      </c>
      <c r="D13521">
        <v>110.23</v>
      </c>
      <c r="E13521">
        <v>124</v>
      </c>
    </row>
    <row r="13522" spans="1:5" x14ac:dyDescent="0.3">
      <c r="A13522" t="s">
        <v>23</v>
      </c>
      <c r="B13522" s="1">
        <v>44683</v>
      </c>
      <c r="C13522">
        <v>1</v>
      </c>
      <c r="D13522">
        <v>110.23</v>
      </c>
      <c r="E13522">
        <v>124</v>
      </c>
    </row>
    <row r="13523" spans="1:5" x14ac:dyDescent="0.3">
      <c r="A13523" t="s">
        <v>90</v>
      </c>
      <c r="B13523" s="1">
        <v>44683</v>
      </c>
      <c r="C13523">
        <v>1</v>
      </c>
      <c r="D13523">
        <v>384.59</v>
      </c>
      <c r="E13523">
        <v>462</v>
      </c>
    </row>
    <row r="13524" spans="1:5" x14ac:dyDescent="0.3">
      <c r="A13524" t="s">
        <v>122</v>
      </c>
      <c r="B13524" s="1">
        <v>44683</v>
      </c>
      <c r="C13524">
        <v>1</v>
      </c>
      <c r="D13524">
        <v>23.91</v>
      </c>
      <c r="E13524">
        <v>29</v>
      </c>
    </row>
    <row r="13525" spans="1:5" x14ac:dyDescent="0.3">
      <c r="A13525" t="s">
        <v>122</v>
      </c>
      <c r="B13525" s="1">
        <v>44683</v>
      </c>
      <c r="C13525">
        <v>1</v>
      </c>
      <c r="D13525">
        <v>23.91</v>
      </c>
      <c r="E13525">
        <v>29</v>
      </c>
    </row>
    <row r="13526" spans="1:5" x14ac:dyDescent="0.3">
      <c r="A13526" t="s">
        <v>122</v>
      </c>
      <c r="B13526" s="1">
        <v>44683</v>
      </c>
      <c r="C13526">
        <v>1</v>
      </c>
      <c r="D13526">
        <v>23.91</v>
      </c>
      <c r="E13526">
        <v>29</v>
      </c>
    </row>
    <row r="13527" spans="1:5" x14ac:dyDescent="0.3">
      <c r="A13527" t="s">
        <v>91</v>
      </c>
      <c r="B13527" s="1">
        <v>44683</v>
      </c>
      <c r="C13527">
        <v>1</v>
      </c>
      <c r="D13527">
        <v>31.73</v>
      </c>
      <c r="E13527">
        <v>52</v>
      </c>
    </row>
    <row r="13528" spans="1:5" x14ac:dyDescent="0.3">
      <c r="A13528" t="s">
        <v>92</v>
      </c>
      <c r="B13528" s="1">
        <v>44683</v>
      </c>
      <c r="C13528">
        <v>1</v>
      </c>
      <c r="D13528">
        <v>6.24</v>
      </c>
      <c r="E13528">
        <v>9</v>
      </c>
    </row>
    <row r="13529" spans="1:5" x14ac:dyDescent="0.3">
      <c r="A13529" t="s">
        <v>66</v>
      </c>
      <c r="B13529" s="1">
        <v>44682</v>
      </c>
      <c r="C13529">
        <v>1</v>
      </c>
      <c r="D13529">
        <v>32.01</v>
      </c>
      <c r="E13529">
        <v>37</v>
      </c>
    </row>
    <row r="13530" spans="1:5" x14ac:dyDescent="0.3">
      <c r="A13530" t="s">
        <v>66</v>
      </c>
      <c r="B13530" s="1">
        <v>44682</v>
      </c>
      <c r="C13530">
        <v>1</v>
      </c>
      <c r="D13530">
        <v>32.01</v>
      </c>
      <c r="E13530">
        <v>37</v>
      </c>
    </row>
    <row r="13531" spans="1:5" x14ac:dyDescent="0.3">
      <c r="A13531" t="s">
        <v>115</v>
      </c>
      <c r="B13531" s="1">
        <v>44682</v>
      </c>
      <c r="C13531">
        <v>1</v>
      </c>
      <c r="D13531">
        <v>72</v>
      </c>
      <c r="E13531">
        <v>91</v>
      </c>
    </row>
    <row r="13532" spans="1:5" x14ac:dyDescent="0.3">
      <c r="A13532" t="s">
        <v>7</v>
      </c>
      <c r="B13532" s="1">
        <v>44682</v>
      </c>
      <c r="C13532">
        <v>1</v>
      </c>
      <c r="D13532">
        <v>89.24</v>
      </c>
      <c r="E13532">
        <v>110</v>
      </c>
    </row>
    <row r="13533" spans="1:5" x14ac:dyDescent="0.3">
      <c r="A13533" t="s">
        <v>75</v>
      </c>
      <c r="B13533" s="1">
        <v>44682</v>
      </c>
      <c r="C13533">
        <v>0.1</v>
      </c>
      <c r="D13533">
        <v>429.66</v>
      </c>
      <c r="E13533">
        <v>602</v>
      </c>
    </row>
    <row r="13534" spans="1:5" x14ac:dyDescent="0.3">
      <c r="A13534" t="s">
        <v>92</v>
      </c>
      <c r="B13534" s="1">
        <v>44682</v>
      </c>
      <c r="C13534">
        <v>3</v>
      </c>
      <c r="D13534">
        <v>15</v>
      </c>
      <c r="E13534">
        <v>20</v>
      </c>
    </row>
    <row r="13535" spans="1:5" x14ac:dyDescent="0.3">
      <c r="A13535" t="s">
        <v>91</v>
      </c>
      <c r="B13535" s="1">
        <v>44682</v>
      </c>
      <c r="C13535">
        <v>1</v>
      </c>
      <c r="D13535">
        <v>32.6</v>
      </c>
      <c r="E13535">
        <v>57</v>
      </c>
    </row>
    <row r="13536" spans="1:5" x14ac:dyDescent="0.3">
      <c r="A13536" t="s">
        <v>28</v>
      </c>
      <c r="B13536" s="1">
        <v>44682</v>
      </c>
      <c r="C13536">
        <v>1</v>
      </c>
      <c r="D13536">
        <v>135.44999999999999</v>
      </c>
      <c r="E13536">
        <v>189</v>
      </c>
    </row>
    <row r="13537" spans="1:5" x14ac:dyDescent="0.3">
      <c r="A13537" t="s">
        <v>26</v>
      </c>
      <c r="B13537" s="1">
        <v>44682</v>
      </c>
      <c r="C13537">
        <v>0.2</v>
      </c>
      <c r="D13537">
        <v>1262.29</v>
      </c>
      <c r="E13537">
        <v>1616</v>
      </c>
    </row>
    <row r="13538" spans="1:5" x14ac:dyDescent="0.3">
      <c r="A13538" t="s">
        <v>51</v>
      </c>
      <c r="B13538" s="1">
        <v>44682</v>
      </c>
      <c r="C13538">
        <v>12</v>
      </c>
      <c r="D13538">
        <v>2.04</v>
      </c>
      <c r="E13538">
        <v>4</v>
      </c>
    </row>
    <row r="13539" spans="1:5" x14ac:dyDescent="0.3">
      <c r="A13539" t="s">
        <v>65</v>
      </c>
      <c r="B13539" s="1">
        <v>44682</v>
      </c>
      <c r="C13539">
        <v>1</v>
      </c>
      <c r="D13539">
        <v>176.77</v>
      </c>
      <c r="E13539">
        <v>207</v>
      </c>
    </row>
    <row r="13540" spans="1:5" x14ac:dyDescent="0.3">
      <c r="A13540" t="s">
        <v>56</v>
      </c>
      <c r="B13540" s="1">
        <v>44682</v>
      </c>
      <c r="C13540">
        <v>1</v>
      </c>
      <c r="D13540">
        <v>43.79</v>
      </c>
      <c r="E13540">
        <v>68</v>
      </c>
    </row>
    <row r="13541" spans="1:5" x14ac:dyDescent="0.3">
      <c r="A13541" t="s">
        <v>26</v>
      </c>
      <c r="B13541" s="1">
        <v>44682</v>
      </c>
      <c r="C13541">
        <v>0.2</v>
      </c>
      <c r="D13541">
        <v>1283.8399999999999</v>
      </c>
      <c r="E13541">
        <v>1580</v>
      </c>
    </row>
    <row r="13542" spans="1:5" x14ac:dyDescent="0.3">
      <c r="A13542" t="s">
        <v>75</v>
      </c>
      <c r="B13542" s="1">
        <v>44682</v>
      </c>
      <c r="C13542">
        <v>0.06</v>
      </c>
      <c r="D13542">
        <v>429.66</v>
      </c>
      <c r="E13542">
        <v>654</v>
      </c>
    </row>
    <row r="13543" spans="1:5" x14ac:dyDescent="0.3">
      <c r="A13543" t="s">
        <v>146</v>
      </c>
      <c r="B13543" s="1">
        <v>44682</v>
      </c>
      <c r="C13543">
        <v>1</v>
      </c>
      <c r="D13543">
        <v>406.36</v>
      </c>
      <c r="E13543">
        <v>456</v>
      </c>
    </row>
    <row r="13544" spans="1:5" x14ac:dyDescent="0.3">
      <c r="A13544" t="s">
        <v>28</v>
      </c>
      <c r="B13544" s="1">
        <v>44682</v>
      </c>
      <c r="C13544">
        <v>1</v>
      </c>
      <c r="D13544">
        <v>148.74</v>
      </c>
      <c r="E13544">
        <v>204</v>
      </c>
    </row>
    <row r="13545" spans="1:5" x14ac:dyDescent="0.3">
      <c r="A13545" t="s">
        <v>139</v>
      </c>
      <c r="B13545" s="1">
        <v>44682</v>
      </c>
      <c r="C13545">
        <v>1</v>
      </c>
      <c r="D13545">
        <v>35.51</v>
      </c>
      <c r="E13545">
        <v>58</v>
      </c>
    </row>
    <row r="13546" spans="1:5" x14ac:dyDescent="0.3">
      <c r="A13546" t="s">
        <v>93</v>
      </c>
      <c r="B13546" s="1">
        <v>44682</v>
      </c>
      <c r="C13546">
        <v>1</v>
      </c>
      <c r="D13546">
        <v>67.540000000000006</v>
      </c>
      <c r="E13546">
        <v>96</v>
      </c>
    </row>
    <row r="13547" spans="1:5" x14ac:dyDescent="0.3">
      <c r="A13547" t="s">
        <v>118</v>
      </c>
      <c r="B13547" s="1">
        <v>44682</v>
      </c>
      <c r="C13547">
        <v>1</v>
      </c>
      <c r="D13547">
        <v>10.78</v>
      </c>
      <c r="E13547">
        <v>13</v>
      </c>
    </row>
    <row r="13548" spans="1:5" x14ac:dyDescent="0.3">
      <c r="A13548" t="s">
        <v>21</v>
      </c>
      <c r="B13548" s="1">
        <v>44682</v>
      </c>
      <c r="C13548">
        <v>1</v>
      </c>
      <c r="D13548">
        <v>184.02</v>
      </c>
      <c r="E13548">
        <v>256</v>
      </c>
    </row>
    <row r="13549" spans="1:5" x14ac:dyDescent="0.3">
      <c r="A13549" t="s">
        <v>44</v>
      </c>
      <c r="B13549" s="1">
        <v>44682</v>
      </c>
      <c r="C13549">
        <v>1</v>
      </c>
      <c r="D13549">
        <v>68.040000000000006</v>
      </c>
      <c r="E13549">
        <v>107</v>
      </c>
    </row>
    <row r="13550" spans="1:5" x14ac:dyDescent="0.3">
      <c r="A13550" t="s">
        <v>118</v>
      </c>
      <c r="B13550" s="1">
        <v>44682</v>
      </c>
      <c r="C13550">
        <v>1</v>
      </c>
      <c r="D13550">
        <v>11.1</v>
      </c>
      <c r="E13550">
        <v>13</v>
      </c>
    </row>
    <row r="13551" spans="1:5" x14ac:dyDescent="0.3">
      <c r="A13551" t="s">
        <v>16</v>
      </c>
      <c r="B13551" s="1">
        <v>44682</v>
      </c>
      <c r="C13551">
        <v>1</v>
      </c>
      <c r="D13551">
        <v>46.01</v>
      </c>
      <c r="E13551">
        <v>72</v>
      </c>
    </row>
    <row r="13552" spans="1:5" x14ac:dyDescent="0.3">
      <c r="A13552" t="s">
        <v>7</v>
      </c>
      <c r="B13552" s="1">
        <v>44682</v>
      </c>
      <c r="C13552">
        <v>1</v>
      </c>
      <c r="D13552">
        <v>89.27</v>
      </c>
      <c r="E13552">
        <v>111</v>
      </c>
    </row>
    <row r="13553" spans="1:5" x14ac:dyDescent="0.3">
      <c r="A13553" t="s">
        <v>59</v>
      </c>
      <c r="B13553" s="1">
        <v>44682</v>
      </c>
      <c r="C13553">
        <v>2</v>
      </c>
      <c r="D13553">
        <v>12.02</v>
      </c>
      <c r="E13553">
        <v>20</v>
      </c>
    </row>
    <row r="13554" spans="1:5" x14ac:dyDescent="0.3">
      <c r="A13554" t="s">
        <v>20</v>
      </c>
      <c r="B13554" s="1">
        <v>44682</v>
      </c>
      <c r="C13554">
        <v>1</v>
      </c>
      <c r="D13554">
        <v>21.33</v>
      </c>
      <c r="E13554">
        <v>27</v>
      </c>
    </row>
    <row r="13555" spans="1:5" x14ac:dyDescent="0.3">
      <c r="A13555" t="s">
        <v>66</v>
      </c>
      <c r="B13555" s="1">
        <v>44682</v>
      </c>
      <c r="C13555">
        <v>2</v>
      </c>
      <c r="D13555">
        <v>30.93</v>
      </c>
      <c r="E13555">
        <v>36</v>
      </c>
    </row>
    <row r="13556" spans="1:5" x14ac:dyDescent="0.3">
      <c r="A13556" t="s">
        <v>158</v>
      </c>
      <c r="B13556" s="1">
        <v>44682</v>
      </c>
      <c r="C13556">
        <v>1</v>
      </c>
      <c r="D13556">
        <v>23.88</v>
      </c>
      <c r="E13556">
        <v>32</v>
      </c>
    </row>
    <row r="13557" spans="1:5" x14ac:dyDescent="0.3">
      <c r="A13557" t="s">
        <v>158</v>
      </c>
      <c r="B13557" s="1">
        <v>44682</v>
      </c>
      <c r="C13557">
        <v>1</v>
      </c>
      <c r="D13557">
        <v>23.88</v>
      </c>
      <c r="E13557">
        <v>32</v>
      </c>
    </row>
    <row r="13558" spans="1:5" x14ac:dyDescent="0.3">
      <c r="A13558" t="s">
        <v>158</v>
      </c>
      <c r="B13558" s="1">
        <v>44682</v>
      </c>
      <c r="C13558">
        <v>1</v>
      </c>
      <c r="D13558">
        <v>23.88</v>
      </c>
      <c r="E13558">
        <v>32</v>
      </c>
    </row>
    <row r="13559" spans="1:5" x14ac:dyDescent="0.3">
      <c r="A13559" t="s">
        <v>158</v>
      </c>
      <c r="B13559" s="1">
        <v>44682</v>
      </c>
      <c r="C13559">
        <v>1</v>
      </c>
      <c r="D13559">
        <v>23.88</v>
      </c>
      <c r="E13559">
        <v>32</v>
      </c>
    </row>
    <row r="13560" spans="1:5" x14ac:dyDescent="0.3">
      <c r="A13560" t="s">
        <v>158</v>
      </c>
      <c r="B13560" s="1">
        <v>44682</v>
      </c>
      <c r="C13560">
        <v>1</v>
      </c>
      <c r="D13560">
        <v>23.88</v>
      </c>
      <c r="E13560">
        <v>32</v>
      </c>
    </row>
    <row r="13561" spans="1:5" x14ac:dyDescent="0.3">
      <c r="A13561" t="s">
        <v>158</v>
      </c>
      <c r="B13561" s="1">
        <v>44682</v>
      </c>
      <c r="C13561">
        <v>1</v>
      </c>
      <c r="D13561">
        <v>23.88</v>
      </c>
      <c r="E13561">
        <v>32</v>
      </c>
    </row>
    <row r="13562" spans="1:5" x14ac:dyDescent="0.3">
      <c r="A13562" t="s">
        <v>158</v>
      </c>
      <c r="B13562" s="1">
        <v>44682</v>
      </c>
      <c r="C13562">
        <v>1</v>
      </c>
      <c r="D13562">
        <v>23.88</v>
      </c>
      <c r="E13562">
        <v>32</v>
      </c>
    </row>
    <row r="13563" spans="1:5" x14ac:dyDescent="0.3">
      <c r="A13563" t="s">
        <v>65</v>
      </c>
      <c r="B13563" s="1">
        <v>44682</v>
      </c>
      <c r="C13563">
        <v>1</v>
      </c>
      <c r="D13563">
        <v>181.12</v>
      </c>
      <c r="E13563">
        <v>212</v>
      </c>
    </row>
    <row r="13564" spans="1:5" x14ac:dyDescent="0.3">
      <c r="A13564" t="s">
        <v>90</v>
      </c>
      <c r="B13564" s="1">
        <v>44682</v>
      </c>
      <c r="C13564">
        <v>1</v>
      </c>
      <c r="D13564">
        <v>441.47</v>
      </c>
      <c r="E13564">
        <v>530</v>
      </c>
    </row>
    <row r="13565" spans="1:5" x14ac:dyDescent="0.3">
      <c r="A13565" t="s">
        <v>62</v>
      </c>
      <c r="B13565" s="1">
        <v>44682</v>
      </c>
      <c r="C13565">
        <v>1</v>
      </c>
      <c r="D13565">
        <v>25.19</v>
      </c>
      <c r="E13565">
        <v>30</v>
      </c>
    </row>
    <row r="13566" spans="1:5" x14ac:dyDescent="0.3">
      <c r="A13566" t="s">
        <v>13</v>
      </c>
      <c r="B13566" s="1">
        <v>44682</v>
      </c>
      <c r="C13566">
        <v>1</v>
      </c>
      <c r="D13566">
        <v>130.94999999999999</v>
      </c>
      <c r="E13566">
        <v>155</v>
      </c>
    </row>
    <row r="13567" spans="1:5" x14ac:dyDescent="0.3">
      <c r="A13567" t="s">
        <v>139</v>
      </c>
      <c r="B13567" s="1">
        <v>44682</v>
      </c>
      <c r="C13567">
        <v>1</v>
      </c>
      <c r="D13567">
        <v>35.51</v>
      </c>
      <c r="E13567">
        <v>58</v>
      </c>
    </row>
    <row r="13568" spans="1:5" x14ac:dyDescent="0.3">
      <c r="A13568" t="s">
        <v>148</v>
      </c>
      <c r="B13568" s="1">
        <v>44682</v>
      </c>
      <c r="C13568">
        <v>1</v>
      </c>
      <c r="D13568">
        <v>37.81</v>
      </c>
      <c r="E13568">
        <v>58</v>
      </c>
    </row>
    <row r="13569" spans="1:5" x14ac:dyDescent="0.3">
      <c r="A13569" t="s">
        <v>151</v>
      </c>
      <c r="B13569" s="1">
        <v>44682</v>
      </c>
      <c r="C13569">
        <v>1</v>
      </c>
      <c r="D13569">
        <v>23.2</v>
      </c>
      <c r="E13569">
        <v>29</v>
      </c>
    </row>
    <row r="13570" spans="1:5" x14ac:dyDescent="0.3">
      <c r="A13570" t="s">
        <v>25</v>
      </c>
      <c r="B13570" s="1">
        <v>44682</v>
      </c>
      <c r="C13570">
        <v>1</v>
      </c>
      <c r="D13570">
        <v>148.58000000000001</v>
      </c>
      <c r="E13570">
        <v>175</v>
      </c>
    </row>
    <row r="13571" spans="1:5" x14ac:dyDescent="0.3">
      <c r="A13571" t="s">
        <v>99</v>
      </c>
      <c r="B13571" s="1">
        <v>44682</v>
      </c>
      <c r="C13571">
        <v>1</v>
      </c>
      <c r="D13571">
        <v>66.099999999999994</v>
      </c>
      <c r="E13571">
        <v>79</v>
      </c>
    </row>
    <row r="13572" spans="1:5" x14ac:dyDescent="0.3">
      <c r="A13572" t="s">
        <v>134</v>
      </c>
      <c r="B13572" s="1">
        <v>44682</v>
      </c>
      <c r="C13572">
        <v>1</v>
      </c>
      <c r="D13572">
        <v>26.6</v>
      </c>
      <c r="E13572">
        <v>41</v>
      </c>
    </row>
    <row r="13573" spans="1:5" x14ac:dyDescent="0.3">
      <c r="A13573" t="s">
        <v>134</v>
      </c>
      <c r="B13573" s="1">
        <v>44682</v>
      </c>
      <c r="C13573">
        <v>1</v>
      </c>
      <c r="D13573">
        <v>26.98</v>
      </c>
      <c r="E13573">
        <v>42</v>
      </c>
    </row>
    <row r="13574" spans="1:5" x14ac:dyDescent="0.3">
      <c r="A13574" t="s">
        <v>13</v>
      </c>
      <c r="B13574" s="1">
        <v>44682</v>
      </c>
      <c r="C13574">
        <v>1</v>
      </c>
      <c r="D13574">
        <v>125.93</v>
      </c>
      <c r="E13574">
        <v>150</v>
      </c>
    </row>
    <row r="13575" spans="1:5" x14ac:dyDescent="0.3">
      <c r="A13575" t="s">
        <v>40</v>
      </c>
      <c r="B13575" s="1">
        <v>44682</v>
      </c>
      <c r="C13575">
        <v>1</v>
      </c>
      <c r="D13575">
        <v>173.09</v>
      </c>
      <c r="E13575">
        <v>207</v>
      </c>
    </row>
    <row r="13576" spans="1:5" x14ac:dyDescent="0.3">
      <c r="A13576" t="s">
        <v>96</v>
      </c>
      <c r="B13576" s="1">
        <v>44682</v>
      </c>
      <c r="C13576">
        <v>1</v>
      </c>
      <c r="D13576">
        <v>81.72</v>
      </c>
      <c r="E13576">
        <v>119</v>
      </c>
    </row>
    <row r="13577" spans="1:5" x14ac:dyDescent="0.3">
      <c r="A13577" t="s">
        <v>84</v>
      </c>
      <c r="B13577" s="1">
        <v>44682</v>
      </c>
      <c r="C13577">
        <v>1</v>
      </c>
      <c r="D13577">
        <v>175.74</v>
      </c>
      <c r="E13577">
        <v>220</v>
      </c>
    </row>
    <row r="13578" spans="1:5" x14ac:dyDescent="0.3">
      <c r="A13578" t="s">
        <v>84</v>
      </c>
      <c r="B13578" s="1">
        <v>44682</v>
      </c>
      <c r="C13578">
        <v>1</v>
      </c>
      <c r="D13578">
        <v>174.72</v>
      </c>
      <c r="E13578">
        <v>219</v>
      </c>
    </row>
    <row r="13579" spans="1:5" x14ac:dyDescent="0.3">
      <c r="A13579" t="s">
        <v>33</v>
      </c>
      <c r="B13579" s="1">
        <v>44682</v>
      </c>
      <c r="C13579">
        <v>1</v>
      </c>
      <c r="D13579">
        <v>21.57</v>
      </c>
      <c r="E13579">
        <v>26</v>
      </c>
    </row>
    <row r="13580" spans="1:5" x14ac:dyDescent="0.3">
      <c r="A13580" t="s">
        <v>33</v>
      </c>
      <c r="B13580" s="1">
        <v>44682</v>
      </c>
      <c r="C13580">
        <v>1</v>
      </c>
      <c r="D13580">
        <v>21.57</v>
      </c>
      <c r="E13580">
        <v>26</v>
      </c>
    </row>
    <row r="13581" spans="1:5" x14ac:dyDescent="0.3">
      <c r="A13581" t="s">
        <v>33</v>
      </c>
      <c r="B13581" s="1">
        <v>44682</v>
      </c>
      <c r="C13581">
        <v>1</v>
      </c>
      <c r="D13581">
        <v>21.57</v>
      </c>
      <c r="E13581">
        <v>26</v>
      </c>
    </row>
    <row r="13582" spans="1:5" x14ac:dyDescent="0.3">
      <c r="A13582" t="s">
        <v>33</v>
      </c>
      <c r="B13582" s="1">
        <v>44682</v>
      </c>
      <c r="C13582">
        <v>1</v>
      </c>
      <c r="D13582">
        <v>21.57</v>
      </c>
      <c r="E13582">
        <v>26</v>
      </c>
    </row>
    <row r="13583" spans="1:5" x14ac:dyDescent="0.3">
      <c r="A13583" t="s">
        <v>72</v>
      </c>
      <c r="B13583" s="1">
        <v>44682</v>
      </c>
      <c r="C13583">
        <v>1</v>
      </c>
      <c r="D13583">
        <v>558.75</v>
      </c>
      <c r="E13583">
        <v>738</v>
      </c>
    </row>
    <row r="13584" spans="1:5" x14ac:dyDescent="0.3">
      <c r="A13584" t="s">
        <v>21</v>
      </c>
      <c r="B13584" s="1">
        <v>44682</v>
      </c>
      <c r="C13584">
        <v>1</v>
      </c>
      <c r="D13584">
        <v>184.02</v>
      </c>
      <c r="E13584">
        <v>260</v>
      </c>
    </row>
    <row r="13585" spans="1:5" x14ac:dyDescent="0.3">
      <c r="A13585" t="s">
        <v>86</v>
      </c>
      <c r="B13585" s="1">
        <v>44682</v>
      </c>
      <c r="C13585">
        <v>1</v>
      </c>
      <c r="D13585">
        <v>47.4</v>
      </c>
      <c r="E13585">
        <v>77</v>
      </c>
    </row>
    <row r="13586" spans="1:5" x14ac:dyDescent="0.3">
      <c r="A13586" t="s">
        <v>93</v>
      </c>
      <c r="B13586" s="1">
        <v>44682</v>
      </c>
      <c r="C13586">
        <v>1</v>
      </c>
      <c r="D13586">
        <v>67.84</v>
      </c>
      <c r="E13586">
        <v>99</v>
      </c>
    </row>
    <row r="13587" spans="1:5" x14ac:dyDescent="0.3">
      <c r="A13587" t="s">
        <v>24</v>
      </c>
      <c r="B13587" s="1">
        <v>44682</v>
      </c>
      <c r="C13587">
        <v>1</v>
      </c>
      <c r="D13587">
        <v>100.98</v>
      </c>
      <c r="E13587">
        <v>120</v>
      </c>
    </row>
    <row r="13588" spans="1:5" x14ac:dyDescent="0.3">
      <c r="A13588" t="s">
        <v>143</v>
      </c>
      <c r="B13588" s="1">
        <v>44682</v>
      </c>
      <c r="C13588">
        <v>1</v>
      </c>
      <c r="D13588">
        <v>46.9</v>
      </c>
      <c r="E13588">
        <v>73</v>
      </c>
    </row>
    <row r="13589" spans="1:5" x14ac:dyDescent="0.3">
      <c r="A13589" t="s">
        <v>106</v>
      </c>
      <c r="B13589" s="1">
        <v>44682</v>
      </c>
      <c r="C13589">
        <v>1</v>
      </c>
      <c r="D13589">
        <v>46.16</v>
      </c>
      <c r="E13589">
        <v>56</v>
      </c>
    </row>
    <row r="13590" spans="1:5" x14ac:dyDescent="0.3">
      <c r="A13590" t="s">
        <v>20</v>
      </c>
      <c r="B13590" s="1">
        <v>44682</v>
      </c>
      <c r="C13590">
        <v>1</v>
      </c>
      <c r="D13590">
        <v>19.71</v>
      </c>
      <c r="E13590">
        <v>25</v>
      </c>
    </row>
    <row r="13591" spans="1:5" x14ac:dyDescent="0.3">
      <c r="A13591" t="s">
        <v>111</v>
      </c>
      <c r="B13591" s="1">
        <v>44682</v>
      </c>
      <c r="C13591">
        <v>1</v>
      </c>
      <c r="D13591">
        <v>168.56</v>
      </c>
      <c r="E13591">
        <v>205</v>
      </c>
    </row>
    <row r="13592" spans="1:5" x14ac:dyDescent="0.3">
      <c r="A13592" t="s">
        <v>72</v>
      </c>
      <c r="B13592" s="1">
        <v>44682</v>
      </c>
      <c r="C13592">
        <v>1</v>
      </c>
      <c r="D13592">
        <v>558.75</v>
      </c>
      <c r="E13592">
        <v>738</v>
      </c>
    </row>
    <row r="13593" spans="1:5" x14ac:dyDescent="0.3">
      <c r="A13593" t="s">
        <v>7</v>
      </c>
      <c r="B13593" s="1">
        <v>44682</v>
      </c>
      <c r="C13593">
        <v>1</v>
      </c>
      <c r="D13593">
        <v>87.9</v>
      </c>
      <c r="E13593">
        <v>108</v>
      </c>
    </row>
    <row r="13594" spans="1:5" x14ac:dyDescent="0.3">
      <c r="A13594" t="s">
        <v>127</v>
      </c>
      <c r="B13594" s="1">
        <v>44682</v>
      </c>
      <c r="C13594">
        <v>1</v>
      </c>
      <c r="D13594">
        <v>121.51</v>
      </c>
      <c r="E13594">
        <v>172</v>
      </c>
    </row>
    <row r="13595" spans="1:5" x14ac:dyDescent="0.3">
      <c r="A13595" t="s">
        <v>56</v>
      </c>
      <c r="B13595" s="1">
        <v>44682</v>
      </c>
      <c r="C13595">
        <v>1</v>
      </c>
      <c r="D13595">
        <v>43.97</v>
      </c>
      <c r="E13595">
        <v>67</v>
      </c>
    </row>
    <row r="13596" spans="1:5" x14ac:dyDescent="0.3">
      <c r="A13596" t="s">
        <v>65</v>
      </c>
      <c r="B13596" s="1">
        <v>44682</v>
      </c>
      <c r="C13596">
        <v>1</v>
      </c>
      <c r="D13596">
        <v>176.77</v>
      </c>
      <c r="E13596">
        <v>207</v>
      </c>
    </row>
    <row r="13597" spans="1:5" x14ac:dyDescent="0.3">
      <c r="A13597" t="s">
        <v>42</v>
      </c>
      <c r="B13597" s="1">
        <v>44682</v>
      </c>
      <c r="C13597">
        <v>1</v>
      </c>
      <c r="D13597">
        <v>594.54</v>
      </c>
      <c r="E13597">
        <v>621</v>
      </c>
    </row>
    <row r="13598" spans="1:5" x14ac:dyDescent="0.3">
      <c r="A13598" t="s">
        <v>123</v>
      </c>
      <c r="B13598" s="1">
        <v>44682</v>
      </c>
      <c r="C13598">
        <v>1</v>
      </c>
      <c r="D13598">
        <v>62.46</v>
      </c>
      <c r="E13598">
        <v>80</v>
      </c>
    </row>
    <row r="13599" spans="1:5" x14ac:dyDescent="0.3">
      <c r="A13599" t="s">
        <v>88</v>
      </c>
      <c r="B13599" s="1">
        <v>44682</v>
      </c>
      <c r="C13599">
        <v>0.1</v>
      </c>
      <c r="D13599">
        <v>121</v>
      </c>
      <c r="E13599">
        <v>186</v>
      </c>
    </row>
    <row r="13600" spans="1:5" x14ac:dyDescent="0.3">
      <c r="A13600" t="s">
        <v>93</v>
      </c>
      <c r="B13600" s="1">
        <v>44682</v>
      </c>
      <c r="C13600">
        <v>1</v>
      </c>
      <c r="D13600">
        <v>70.97</v>
      </c>
      <c r="E13600">
        <v>106</v>
      </c>
    </row>
    <row r="13601" spans="1:5" x14ac:dyDescent="0.3">
      <c r="A13601" t="s">
        <v>65</v>
      </c>
      <c r="B13601" s="1">
        <v>44682</v>
      </c>
      <c r="C13601">
        <v>1</v>
      </c>
      <c r="D13601">
        <v>181.12</v>
      </c>
      <c r="E13601">
        <v>212</v>
      </c>
    </row>
    <row r="13602" spans="1:5" x14ac:dyDescent="0.3">
      <c r="A13602" t="s">
        <v>89</v>
      </c>
      <c r="B13602" s="1">
        <v>44682</v>
      </c>
      <c r="C13602">
        <v>1</v>
      </c>
      <c r="D13602">
        <v>80.75</v>
      </c>
      <c r="E13602">
        <v>115</v>
      </c>
    </row>
    <row r="13603" spans="1:5" x14ac:dyDescent="0.3">
      <c r="A13603" t="s">
        <v>88</v>
      </c>
      <c r="B13603" s="1">
        <v>44682</v>
      </c>
      <c r="C13603">
        <v>1</v>
      </c>
      <c r="D13603">
        <v>121</v>
      </c>
      <c r="E13603">
        <v>186</v>
      </c>
    </row>
    <row r="13604" spans="1:5" x14ac:dyDescent="0.3">
      <c r="A13604" t="s">
        <v>112</v>
      </c>
      <c r="B13604" s="1">
        <v>44682</v>
      </c>
      <c r="C13604">
        <v>1</v>
      </c>
      <c r="D13604">
        <v>291.43</v>
      </c>
      <c r="E13604">
        <v>345</v>
      </c>
    </row>
    <row r="13605" spans="1:5" x14ac:dyDescent="0.3">
      <c r="A13605" t="s">
        <v>12</v>
      </c>
      <c r="B13605" s="1">
        <v>44682</v>
      </c>
      <c r="C13605">
        <v>1</v>
      </c>
      <c r="D13605">
        <v>56.84</v>
      </c>
      <c r="E13605">
        <v>70</v>
      </c>
    </row>
    <row r="13606" spans="1:5" x14ac:dyDescent="0.3">
      <c r="A13606" t="s">
        <v>65</v>
      </c>
      <c r="B13606" s="1">
        <v>44682</v>
      </c>
      <c r="C13606">
        <v>1</v>
      </c>
      <c r="D13606">
        <v>176.77</v>
      </c>
      <c r="E13606">
        <v>207</v>
      </c>
    </row>
    <row r="13607" spans="1:5" x14ac:dyDescent="0.3">
      <c r="A13607" t="s">
        <v>93</v>
      </c>
      <c r="B13607" s="1">
        <v>44682</v>
      </c>
      <c r="C13607">
        <v>1</v>
      </c>
      <c r="D13607">
        <v>76.959999999999994</v>
      </c>
      <c r="E13607">
        <v>110</v>
      </c>
    </row>
    <row r="13608" spans="1:5" x14ac:dyDescent="0.3">
      <c r="A13608" t="s">
        <v>93</v>
      </c>
      <c r="B13608" s="1">
        <v>44682</v>
      </c>
      <c r="C13608">
        <v>1</v>
      </c>
      <c r="D13608">
        <v>76.959999999999994</v>
      </c>
      <c r="E13608">
        <v>110</v>
      </c>
    </row>
    <row r="13609" spans="1:5" x14ac:dyDescent="0.3">
      <c r="A13609" t="s">
        <v>35</v>
      </c>
      <c r="B13609" s="1">
        <v>44682</v>
      </c>
      <c r="C13609">
        <v>1</v>
      </c>
      <c r="D13609">
        <v>39.6</v>
      </c>
      <c r="E13609">
        <v>61</v>
      </c>
    </row>
    <row r="13610" spans="1:5" x14ac:dyDescent="0.3">
      <c r="A13610" t="s">
        <v>47</v>
      </c>
      <c r="B13610" s="1">
        <v>44682</v>
      </c>
      <c r="C13610">
        <v>1</v>
      </c>
      <c r="D13610">
        <v>41.58</v>
      </c>
      <c r="E13610">
        <v>65</v>
      </c>
    </row>
    <row r="13611" spans="1:5" x14ac:dyDescent="0.3">
      <c r="A13611" t="s">
        <v>122</v>
      </c>
      <c r="B13611" s="1">
        <v>44682</v>
      </c>
      <c r="C13611">
        <v>1</v>
      </c>
      <c r="D13611">
        <v>21.64</v>
      </c>
      <c r="E13611">
        <v>27</v>
      </c>
    </row>
    <row r="13612" spans="1:5" x14ac:dyDescent="0.3">
      <c r="A13612" t="s">
        <v>92</v>
      </c>
      <c r="B13612" s="1">
        <v>44682</v>
      </c>
      <c r="C13612">
        <v>1</v>
      </c>
      <c r="D13612">
        <v>6.48</v>
      </c>
      <c r="E13612">
        <v>9</v>
      </c>
    </row>
    <row r="13613" spans="1:5" x14ac:dyDescent="0.3">
      <c r="A13613" t="s">
        <v>49</v>
      </c>
      <c r="B13613" s="1">
        <v>44682</v>
      </c>
      <c r="C13613">
        <v>1</v>
      </c>
      <c r="D13613">
        <v>16.309999999999999</v>
      </c>
      <c r="E13613">
        <v>20</v>
      </c>
    </row>
    <row r="13614" spans="1:5" x14ac:dyDescent="0.3">
      <c r="A13614" t="s">
        <v>100</v>
      </c>
      <c r="B13614" s="1">
        <v>44682</v>
      </c>
      <c r="C13614">
        <v>1</v>
      </c>
      <c r="D13614">
        <v>35.49</v>
      </c>
      <c r="E13614">
        <v>55</v>
      </c>
    </row>
    <row r="13615" spans="1:5" x14ac:dyDescent="0.3">
      <c r="A13615" t="s">
        <v>65</v>
      </c>
      <c r="B13615" s="1">
        <v>44682</v>
      </c>
      <c r="C13615">
        <v>1</v>
      </c>
      <c r="D13615">
        <v>181.12</v>
      </c>
      <c r="E13615">
        <v>212</v>
      </c>
    </row>
    <row r="13616" spans="1:5" x14ac:dyDescent="0.3">
      <c r="A13616" t="s">
        <v>115</v>
      </c>
      <c r="B13616" s="1">
        <v>44682</v>
      </c>
      <c r="C13616">
        <v>1</v>
      </c>
      <c r="D13616">
        <v>72</v>
      </c>
      <c r="E13616">
        <v>91</v>
      </c>
    </row>
    <row r="13617" spans="1:5" x14ac:dyDescent="0.3">
      <c r="A13617" t="s">
        <v>116</v>
      </c>
      <c r="B13617" s="1">
        <v>44682</v>
      </c>
      <c r="C13617">
        <v>1</v>
      </c>
      <c r="D13617">
        <v>109.02</v>
      </c>
      <c r="E13617">
        <v>128</v>
      </c>
    </row>
    <row r="13618" spans="1:5" x14ac:dyDescent="0.3">
      <c r="A13618" t="s">
        <v>23</v>
      </c>
      <c r="B13618" s="1">
        <v>44682</v>
      </c>
      <c r="C13618">
        <v>1</v>
      </c>
      <c r="D13618">
        <v>110.23</v>
      </c>
      <c r="E13618">
        <v>124</v>
      </c>
    </row>
    <row r="13619" spans="1:5" x14ac:dyDescent="0.3">
      <c r="A13619" t="s">
        <v>133</v>
      </c>
      <c r="B13619" s="1">
        <v>44682</v>
      </c>
      <c r="C13619">
        <v>2</v>
      </c>
      <c r="D13619">
        <v>4.63</v>
      </c>
      <c r="E13619">
        <v>8</v>
      </c>
    </row>
    <row r="13620" spans="1:5" x14ac:dyDescent="0.3">
      <c r="A13620" t="s">
        <v>22</v>
      </c>
      <c r="B13620" s="1">
        <v>44682</v>
      </c>
      <c r="C13620">
        <v>1</v>
      </c>
      <c r="D13620">
        <v>30.3</v>
      </c>
      <c r="E13620">
        <v>49</v>
      </c>
    </row>
    <row r="13621" spans="1:5" x14ac:dyDescent="0.3">
      <c r="A13621" t="s">
        <v>24</v>
      </c>
      <c r="B13621" s="1">
        <v>44682</v>
      </c>
      <c r="C13621">
        <v>1</v>
      </c>
      <c r="D13621">
        <v>99.48</v>
      </c>
      <c r="E13621">
        <v>117</v>
      </c>
    </row>
    <row r="13622" spans="1:5" x14ac:dyDescent="0.3">
      <c r="A13622" t="s">
        <v>42</v>
      </c>
      <c r="B13622" s="1">
        <v>44682</v>
      </c>
      <c r="C13622">
        <v>1</v>
      </c>
      <c r="D13622">
        <v>588.37</v>
      </c>
      <c r="E13622">
        <v>659</v>
      </c>
    </row>
    <row r="13623" spans="1:5" x14ac:dyDescent="0.3">
      <c r="A13623" t="s">
        <v>65</v>
      </c>
      <c r="B13623" s="1">
        <v>44682</v>
      </c>
      <c r="C13623">
        <v>1</v>
      </c>
      <c r="D13623">
        <v>176.78</v>
      </c>
      <c r="E13623">
        <v>225</v>
      </c>
    </row>
    <row r="13624" spans="1:5" x14ac:dyDescent="0.3">
      <c r="A13624" t="s">
        <v>20</v>
      </c>
      <c r="B13624" s="1">
        <v>44682</v>
      </c>
      <c r="C13624">
        <v>1</v>
      </c>
      <c r="D13624">
        <v>20.72</v>
      </c>
      <c r="E13624">
        <v>24</v>
      </c>
    </row>
    <row r="13625" spans="1:5" x14ac:dyDescent="0.3">
      <c r="A13625" t="s">
        <v>37</v>
      </c>
      <c r="B13625" s="1">
        <v>44682</v>
      </c>
      <c r="C13625">
        <v>1</v>
      </c>
      <c r="D13625">
        <v>38</v>
      </c>
      <c r="E13625">
        <v>48</v>
      </c>
    </row>
    <row r="13626" spans="1:5" x14ac:dyDescent="0.3">
      <c r="A13626" t="s">
        <v>54</v>
      </c>
      <c r="B13626" s="1">
        <v>44682</v>
      </c>
      <c r="C13626">
        <v>1</v>
      </c>
      <c r="D13626">
        <v>642.92999999999995</v>
      </c>
      <c r="E13626">
        <v>830</v>
      </c>
    </row>
    <row r="13627" spans="1:5" x14ac:dyDescent="0.3">
      <c r="A13627" t="s">
        <v>149</v>
      </c>
      <c r="B13627" s="1">
        <v>44682</v>
      </c>
      <c r="C13627">
        <v>1</v>
      </c>
      <c r="D13627">
        <v>203.47</v>
      </c>
      <c r="E13627">
        <v>269</v>
      </c>
    </row>
    <row r="13628" spans="1:5" x14ac:dyDescent="0.3">
      <c r="A13628" t="s">
        <v>76</v>
      </c>
      <c r="B13628" s="1">
        <v>44682</v>
      </c>
      <c r="C13628">
        <v>1</v>
      </c>
      <c r="D13628">
        <v>32.67</v>
      </c>
      <c r="E13628">
        <v>40</v>
      </c>
    </row>
    <row r="13629" spans="1:5" x14ac:dyDescent="0.3">
      <c r="A13629" t="s">
        <v>65</v>
      </c>
      <c r="B13629" s="1">
        <v>44682</v>
      </c>
      <c r="C13629">
        <v>1</v>
      </c>
      <c r="D13629">
        <v>176.78</v>
      </c>
      <c r="E13629">
        <v>225</v>
      </c>
    </row>
    <row r="13630" spans="1:5" x14ac:dyDescent="0.3">
      <c r="A13630" t="s">
        <v>90</v>
      </c>
      <c r="B13630" s="1">
        <v>44682</v>
      </c>
      <c r="C13630">
        <v>1</v>
      </c>
      <c r="D13630">
        <v>383.43</v>
      </c>
      <c r="E13630">
        <v>480</v>
      </c>
    </row>
    <row r="13631" spans="1:5" x14ac:dyDescent="0.3">
      <c r="A13631" t="s">
        <v>65</v>
      </c>
      <c r="B13631" s="1">
        <v>44682</v>
      </c>
      <c r="C13631">
        <v>1</v>
      </c>
      <c r="D13631">
        <v>176.77</v>
      </c>
      <c r="E13631">
        <v>207</v>
      </c>
    </row>
    <row r="13632" spans="1:5" x14ac:dyDescent="0.3">
      <c r="A13632" t="s">
        <v>21</v>
      </c>
      <c r="B13632" s="1">
        <v>44682</v>
      </c>
      <c r="C13632">
        <v>1</v>
      </c>
      <c r="D13632">
        <v>183.7</v>
      </c>
      <c r="E13632">
        <v>252</v>
      </c>
    </row>
    <row r="13633" spans="1:5" x14ac:dyDescent="0.3">
      <c r="A13633" t="s">
        <v>70</v>
      </c>
      <c r="B13633" s="1">
        <v>44682</v>
      </c>
      <c r="C13633">
        <v>1</v>
      </c>
      <c r="D13633">
        <v>184.78</v>
      </c>
      <c r="E13633">
        <v>222</v>
      </c>
    </row>
    <row r="13634" spans="1:5" x14ac:dyDescent="0.3">
      <c r="A13634" t="s">
        <v>52</v>
      </c>
      <c r="B13634" s="1">
        <v>44682</v>
      </c>
      <c r="C13634">
        <v>1</v>
      </c>
      <c r="D13634">
        <v>220.88</v>
      </c>
      <c r="E13634">
        <v>262</v>
      </c>
    </row>
    <row r="13635" spans="1:5" x14ac:dyDescent="0.3">
      <c r="A13635" t="s">
        <v>65</v>
      </c>
      <c r="B13635" s="1">
        <v>44682</v>
      </c>
      <c r="C13635">
        <v>1</v>
      </c>
      <c r="D13635">
        <v>181.12</v>
      </c>
      <c r="E13635">
        <v>212</v>
      </c>
    </row>
    <row r="13636" spans="1:5" x14ac:dyDescent="0.3">
      <c r="A13636" t="s">
        <v>7</v>
      </c>
      <c r="B13636" s="1">
        <v>44682</v>
      </c>
      <c r="C13636">
        <v>1</v>
      </c>
      <c r="D13636">
        <v>89.24</v>
      </c>
      <c r="E13636">
        <v>110</v>
      </c>
    </row>
    <row r="13637" spans="1:5" x14ac:dyDescent="0.3">
      <c r="A13637" t="s">
        <v>148</v>
      </c>
      <c r="B13637" s="1">
        <v>44682</v>
      </c>
      <c r="C13637">
        <v>1</v>
      </c>
      <c r="D13637">
        <v>37.81</v>
      </c>
      <c r="E13637">
        <v>58</v>
      </c>
    </row>
    <row r="13638" spans="1:5" x14ac:dyDescent="0.3">
      <c r="A13638" t="s">
        <v>24</v>
      </c>
      <c r="B13638" s="1">
        <v>44682</v>
      </c>
      <c r="C13638">
        <v>1</v>
      </c>
      <c r="D13638">
        <v>101.42</v>
      </c>
      <c r="E13638">
        <v>119</v>
      </c>
    </row>
    <row r="13639" spans="1:5" x14ac:dyDescent="0.3">
      <c r="A13639" t="s">
        <v>47</v>
      </c>
      <c r="B13639" s="1">
        <v>44682</v>
      </c>
      <c r="C13639">
        <v>1</v>
      </c>
      <c r="D13639">
        <v>41.58</v>
      </c>
      <c r="E13639">
        <v>65</v>
      </c>
    </row>
    <row r="13640" spans="1:5" x14ac:dyDescent="0.3">
      <c r="A13640" t="s">
        <v>24</v>
      </c>
      <c r="B13640" s="1">
        <v>44682</v>
      </c>
      <c r="C13640">
        <v>1</v>
      </c>
      <c r="D13640">
        <v>97.99</v>
      </c>
      <c r="E13640">
        <v>114</v>
      </c>
    </row>
    <row r="13641" spans="1:5" x14ac:dyDescent="0.3">
      <c r="A13641" t="s">
        <v>157</v>
      </c>
      <c r="B13641" s="1">
        <v>44682</v>
      </c>
      <c r="C13641">
        <v>2</v>
      </c>
      <c r="D13641">
        <v>12</v>
      </c>
      <c r="E13641">
        <v>21</v>
      </c>
    </row>
    <row r="13642" spans="1:5" x14ac:dyDescent="0.3">
      <c r="A13642" t="s">
        <v>24</v>
      </c>
      <c r="B13642" s="1">
        <v>44682</v>
      </c>
      <c r="C13642">
        <v>1</v>
      </c>
      <c r="D13642">
        <v>101.4</v>
      </c>
      <c r="E13642">
        <v>120</v>
      </c>
    </row>
    <row r="13643" spans="1:5" x14ac:dyDescent="0.3">
      <c r="A13643" t="s">
        <v>156</v>
      </c>
      <c r="B13643" s="1">
        <v>44682</v>
      </c>
      <c r="C13643">
        <v>1</v>
      </c>
      <c r="D13643">
        <v>251.44</v>
      </c>
      <c r="E13643">
        <v>347</v>
      </c>
    </row>
    <row r="13644" spans="1:5" x14ac:dyDescent="0.3">
      <c r="A13644" t="s">
        <v>65</v>
      </c>
      <c r="B13644" s="1">
        <v>44682</v>
      </c>
      <c r="C13644">
        <v>1</v>
      </c>
      <c r="D13644">
        <v>181.12</v>
      </c>
      <c r="E13644">
        <v>212</v>
      </c>
    </row>
    <row r="13645" spans="1:5" x14ac:dyDescent="0.3">
      <c r="A13645" t="s">
        <v>18</v>
      </c>
      <c r="B13645" s="1">
        <v>44682</v>
      </c>
      <c r="C13645">
        <v>1</v>
      </c>
      <c r="D13645">
        <v>44</v>
      </c>
      <c r="E13645">
        <v>69</v>
      </c>
    </row>
    <row r="13646" spans="1:5" x14ac:dyDescent="0.3">
      <c r="A13646" t="s">
        <v>31</v>
      </c>
      <c r="B13646" s="1">
        <v>44682</v>
      </c>
      <c r="C13646">
        <v>1</v>
      </c>
      <c r="D13646">
        <v>12.48</v>
      </c>
      <c r="E13646">
        <v>17</v>
      </c>
    </row>
    <row r="13647" spans="1:5" x14ac:dyDescent="0.3">
      <c r="A13647" t="s">
        <v>105</v>
      </c>
      <c r="B13647" s="1">
        <v>44682</v>
      </c>
      <c r="C13647">
        <v>6</v>
      </c>
      <c r="D13647">
        <v>20.04</v>
      </c>
      <c r="E13647">
        <v>33</v>
      </c>
    </row>
    <row r="13648" spans="1:5" x14ac:dyDescent="0.3">
      <c r="A13648" t="s">
        <v>134</v>
      </c>
      <c r="B13648" s="1">
        <v>44682</v>
      </c>
      <c r="C13648">
        <v>1</v>
      </c>
      <c r="D13648">
        <v>26.98</v>
      </c>
      <c r="E13648">
        <v>42</v>
      </c>
    </row>
    <row r="13649" spans="1:5" x14ac:dyDescent="0.3">
      <c r="A13649" t="s">
        <v>118</v>
      </c>
      <c r="B13649" s="1">
        <v>44682</v>
      </c>
      <c r="C13649">
        <v>1</v>
      </c>
      <c r="D13649">
        <v>10.78</v>
      </c>
      <c r="E13649">
        <v>13</v>
      </c>
    </row>
    <row r="13650" spans="1:5" x14ac:dyDescent="0.3">
      <c r="A13650" t="s">
        <v>118</v>
      </c>
      <c r="B13650" s="1">
        <v>44682</v>
      </c>
      <c r="C13650">
        <v>1</v>
      </c>
      <c r="D13650">
        <v>10.78</v>
      </c>
      <c r="E13650">
        <v>13</v>
      </c>
    </row>
    <row r="13651" spans="1:5" x14ac:dyDescent="0.3">
      <c r="A13651" t="s">
        <v>65</v>
      </c>
      <c r="B13651" s="1">
        <v>44682</v>
      </c>
      <c r="C13651">
        <v>1</v>
      </c>
      <c r="D13651">
        <v>176.77</v>
      </c>
      <c r="E13651">
        <v>207</v>
      </c>
    </row>
    <row r="13652" spans="1:5" x14ac:dyDescent="0.3">
      <c r="A13652" t="s">
        <v>95</v>
      </c>
      <c r="B13652" s="1">
        <v>44682</v>
      </c>
      <c r="C13652">
        <v>1</v>
      </c>
      <c r="D13652">
        <v>135.38</v>
      </c>
      <c r="E13652">
        <v>208</v>
      </c>
    </row>
    <row r="13653" spans="1:5" x14ac:dyDescent="0.3">
      <c r="A13653" t="s">
        <v>93</v>
      </c>
      <c r="B13653" s="1">
        <v>44682</v>
      </c>
      <c r="C13653">
        <v>1</v>
      </c>
      <c r="D13653">
        <v>67.84</v>
      </c>
      <c r="E13653">
        <v>99</v>
      </c>
    </row>
    <row r="13654" spans="1:5" x14ac:dyDescent="0.3">
      <c r="A13654" t="s">
        <v>19</v>
      </c>
      <c r="B13654" s="1">
        <v>44682</v>
      </c>
      <c r="C13654">
        <v>1</v>
      </c>
      <c r="D13654">
        <v>82.07</v>
      </c>
      <c r="E13654">
        <v>103</v>
      </c>
    </row>
    <row r="13655" spans="1:5" x14ac:dyDescent="0.3">
      <c r="A13655" t="s">
        <v>19</v>
      </c>
      <c r="B13655" s="1">
        <v>44682</v>
      </c>
      <c r="C13655">
        <v>1</v>
      </c>
      <c r="D13655">
        <v>82.07</v>
      </c>
      <c r="E13655">
        <v>103</v>
      </c>
    </row>
    <row r="13656" spans="1:5" x14ac:dyDescent="0.3">
      <c r="A13656" t="s">
        <v>62</v>
      </c>
      <c r="B13656" s="1">
        <v>44682</v>
      </c>
      <c r="C13656">
        <v>1</v>
      </c>
      <c r="D13656">
        <v>25.19</v>
      </c>
      <c r="E13656">
        <v>30</v>
      </c>
    </row>
    <row r="13657" spans="1:5" x14ac:dyDescent="0.3">
      <c r="A13657" t="s">
        <v>57</v>
      </c>
      <c r="B13657" s="1">
        <v>44682</v>
      </c>
      <c r="C13657">
        <v>1</v>
      </c>
      <c r="D13657">
        <v>232.47</v>
      </c>
      <c r="E13657">
        <v>272</v>
      </c>
    </row>
    <row r="13658" spans="1:5" x14ac:dyDescent="0.3">
      <c r="A13658" t="s">
        <v>143</v>
      </c>
      <c r="B13658" s="1">
        <v>44682</v>
      </c>
      <c r="C13658">
        <v>1</v>
      </c>
      <c r="D13658">
        <v>42.28</v>
      </c>
      <c r="E13658">
        <v>66</v>
      </c>
    </row>
    <row r="13659" spans="1:5" x14ac:dyDescent="0.3">
      <c r="A13659" t="s">
        <v>48</v>
      </c>
      <c r="B13659" s="1">
        <v>44682</v>
      </c>
      <c r="C13659">
        <v>1</v>
      </c>
      <c r="D13659">
        <v>38.67</v>
      </c>
      <c r="E13659">
        <v>60</v>
      </c>
    </row>
    <row r="13660" spans="1:5" x14ac:dyDescent="0.3">
      <c r="A13660" t="s">
        <v>48</v>
      </c>
      <c r="B13660" s="1">
        <v>44682</v>
      </c>
      <c r="C13660">
        <v>1</v>
      </c>
      <c r="D13660">
        <v>38.67</v>
      </c>
      <c r="E13660">
        <v>60</v>
      </c>
    </row>
    <row r="13661" spans="1:5" x14ac:dyDescent="0.3">
      <c r="A13661" t="s">
        <v>88</v>
      </c>
      <c r="B13661" s="1">
        <v>44682</v>
      </c>
      <c r="C13661">
        <v>0.1</v>
      </c>
      <c r="D13661">
        <v>121</v>
      </c>
      <c r="E13661">
        <v>186</v>
      </c>
    </row>
    <row r="13662" spans="1:5" x14ac:dyDescent="0.3">
      <c r="A13662" t="s">
        <v>47</v>
      </c>
      <c r="B13662" s="1">
        <v>44682</v>
      </c>
      <c r="C13662">
        <v>1</v>
      </c>
      <c r="D13662">
        <v>42.92</v>
      </c>
      <c r="E13662">
        <v>66</v>
      </c>
    </row>
    <row r="13663" spans="1:5" x14ac:dyDescent="0.3">
      <c r="A13663" t="s">
        <v>47</v>
      </c>
      <c r="B13663" s="1">
        <v>44682</v>
      </c>
      <c r="C13663">
        <v>1</v>
      </c>
      <c r="D13663">
        <v>42.92</v>
      </c>
      <c r="E13663">
        <v>66</v>
      </c>
    </row>
    <row r="13664" spans="1:5" x14ac:dyDescent="0.3">
      <c r="A13664" t="s">
        <v>11</v>
      </c>
      <c r="B13664" s="1">
        <v>44682</v>
      </c>
      <c r="C13664">
        <v>1</v>
      </c>
      <c r="D13664">
        <v>22</v>
      </c>
      <c r="E13664">
        <v>36</v>
      </c>
    </row>
    <row r="13665" spans="1:5" x14ac:dyDescent="0.3">
      <c r="A13665" t="s">
        <v>21</v>
      </c>
      <c r="B13665" s="1">
        <v>44682</v>
      </c>
      <c r="C13665">
        <v>1</v>
      </c>
      <c r="D13665">
        <v>184.02</v>
      </c>
      <c r="E13665">
        <v>256</v>
      </c>
    </row>
    <row r="13666" spans="1:5" x14ac:dyDescent="0.3">
      <c r="A13666" t="s">
        <v>91</v>
      </c>
      <c r="B13666" s="1">
        <v>44682</v>
      </c>
      <c r="C13666">
        <v>1</v>
      </c>
      <c r="D13666">
        <v>32.6</v>
      </c>
      <c r="E13666">
        <v>57</v>
      </c>
    </row>
    <row r="13667" spans="1:5" x14ac:dyDescent="0.3">
      <c r="A13667" t="s">
        <v>99</v>
      </c>
      <c r="B13667" s="1">
        <v>44682</v>
      </c>
      <c r="C13667">
        <v>1</v>
      </c>
      <c r="D13667">
        <v>64.25</v>
      </c>
      <c r="E13667">
        <v>79</v>
      </c>
    </row>
    <row r="13668" spans="1:5" x14ac:dyDescent="0.3">
      <c r="A13668" t="s">
        <v>22</v>
      </c>
      <c r="B13668" s="1">
        <v>44682</v>
      </c>
      <c r="C13668">
        <v>1</v>
      </c>
      <c r="D13668">
        <v>30.3</v>
      </c>
      <c r="E13668">
        <v>49</v>
      </c>
    </row>
    <row r="13669" spans="1:5" x14ac:dyDescent="0.3">
      <c r="A13669" t="s">
        <v>80</v>
      </c>
      <c r="B13669" s="1">
        <v>44682</v>
      </c>
      <c r="C13669">
        <v>1</v>
      </c>
      <c r="D13669">
        <v>29.7</v>
      </c>
      <c r="E13669">
        <v>47</v>
      </c>
    </row>
    <row r="13670" spans="1:5" x14ac:dyDescent="0.3">
      <c r="A13670" t="s">
        <v>80</v>
      </c>
      <c r="B13670" s="1">
        <v>44682</v>
      </c>
      <c r="C13670">
        <v>1</v>
      </c>
      <c r="D13670">
        <v>29.7</v>
      </c>
      <c r="E13670">
        <v>47</v>
      </c>
    </row>
    <row r="13671" spans="1:5" x14ac:dyDescent="0.3">
      <c r="A13671" t="s">
        <v>80</v>
      </c>
      <c r="B13671" s="1">
        <v>44682</v>
      </c>
      <c r="C13671">
        <v>1</v>
      </c>
      <c r="D13671">
        <v>29.7</v>
      </c>
      <c r="E13671">
        <v>47</v>
      </c>
    </row>
    <row r="13672" spans="1:5" x14ac:dyDescent="0.3">
      <c r="A13672" t="s">
        <v>47</v>
      </c>
      <c r="B13672" s="1">
        <v>44682</v>
      </c>
      <c r="C13672">
        <v>1</v>
      </c>
      <c r="D13672">
        <v>41.58</v>
      </c>
      <c r="E13672">
        <v>65</v>
      </c>
    </row>
    <row r="13673" spans="1:5" x14ac:dyDescent="0.3">
      <c r="A13673" t="s">
        <v>65</v>
      </c>
      <c r="B13673" s="1">
        <v>44682</v>
      </c>
      <c r="C13673">
        <v>1</v>
      </c>
      <c r="D13673">
        <v>176.77</v>
      </c>
      <c r="E13673">
        <v>207</v>
      </c>
    </row>
    <row r="13674" spans="1:5" x14ac:dyDescent="0.3">
      <c r="A13674" t="s">
        <v>111</v>
      </c>
      <c r="B13674" s="1">
        <v>44682</v>
      </c>
      <c r="C13674">
        <v>1</v>
      </c>
      <c r="D13674">
        <v>166.88</v>
      </c>
      <c r="E13674">
        <v>203</v>
      </c>
    </row>
    <row r="13675" spans="1:5" x14ac:dyDescent="0.3">
      <c r="A13675" t="s">
        <v>151</v>
      </c>
      <c r="B13675" s="1">
        <v>44682</v>
      </c>
      <c r="C13675">
        <v>1</v>
      </c>
      <c r="D13675">
        <v>26.8</v>
      </c>
      <c r="E13675">
        <v>32</v>
      </c>
    </row>
    <row r="13676" spans="1:5" x14ac:dyDescent="0.3">
      <c r="A13676" t="s">
        <v>23</v>
      </c>
      <c r="B13676" s="1">
        <v>44682</v>
      </c>
      <c r="C13676">
        <v>1</v>
      </c>
      <c r="D13676">
        <v>110.08</v>
      </c>
      <c r="E13676">
        <v>124</v>
      </c>
    </row>
    <row r="13677" spans="1:5" x14ac:dyDescent="0.3">
      <c r="A13677" t="s">
        <v>95</v>
      </c>
      <c r="B13677" s="1">
        <v>44682</v>
      </c>
      <c r="C13677">
        <v>1</v>
      </c>
      <c r="D13677">
        <v>135.38</v>
      </c>
      <c r="E13677">
        <v>208</v>
      </c>
    </row>
    <row r="13678" spans="1:5" x14ac:dyDescent="0.3">
      <c r="A13678" t="s">
        <v>32</v>
      </c>
      <c r="B13678" s="1">
        <v>44682</v>
      </c>
      <c r="C13678">
        <v>1</v>
      </c>
      <c r="D13678">
        <v>105</v>
      </c>
      <c r="E13678">
        <v>161</v>
      </c>
    </row>
    <row r="13679" spans="1:5" x14ac:dyDescent="0.3">
      <c r="A13679" t="s">
        <v>129</v>
      </c>
      <c r="B13679" s="1">
        <v>44682</v>
      </c>
      <c r="C13679">
        <v>0.08</v>
      </c>
      <c r="D13679">
        <v>539.69000000000005</v>
      </c>
      <c r="E13679">
        <v>597</v>
      </c>
    </row>
    <row r="13680" spans="1:5" x14ac:dyDescent="0.3">
      <c r="A13680" t="s">
        <v>88</v>
      </c>
      <c r="B13680" s="1">
        <v>44682</v>
      </c>
      <c r="C13680">
        <v>1</v>
      </c>
      <c r="D13680">
        <v>121</v>
      </c>
      <c r="E13680">
        <v>186</v>
      </c>
    </row>
    <row r="13681" spans="1:5" x14ac:dyDescent="0.3">
      <c r="A13681" t="s">
        <v>157</v>
      </c>
      <c r="B13681" s="1">
        <v>44682</v>
      </c>
      <c r="C13681">
        <v>1</v>
      </c>
      <c r="D13681">
        <v>12</v>
      </c>
      <c r="E13681">
        <v>21</v>
      </c>
    </row>
    <row r="13682" spans="1:5" x14ac:dyDescent="0.3">
      <c r="A13682" t="s">
        <v>23</v>
      </c>
      <c r="B13682" s="1">
        <v>44682</v>
      </c>
      <c r="C13682">
        <v>1</v>
      </c>
      <c r="D13682">
        <v>110.23</v>
      </c>
      <c r="E13682">
        <v>124</v>
      </c>
    </row>
    <row r="13683" spans="1:5" x14ac:dyDescent="0.3">
      <c r="A13683" t="s">
        <v>92</v>
      </c>
      <c r="B13683" s="1">
        <v>44682</v>
      </c>
      <c r="C13683">
        <v>2</v>
      </c>
      <c r="D13683">
        <v>15</v>
      </c>
      <c r="E13683">
        <v>20</v>
      </c>
    </row>
    <row r="13684" spans="1:5" x14ac:dyDescent="0.3">
      <c r="A13684" t="s">
        <v>72</v>
      </c>
      <c r="B13684" s="1">
        <v>44682</v>
      </c>
      <c r="C13684">
        <v>1</v>
      </c>
      <c r="D13684">
        <v>558.75</v>
      </c>
      <c r="E13684">
        <v>738</v>
      </c>
    </row>
    <row r="13685" spans="1:5" x14ac:dyDescent="0.3">
      <c r="A13685" t="s">
        <v>93</v>
      </c>
      <c r="B13685" s="1">
        <v>44682</v>
      </c>
      <c r="C13685">
        <v>1</v>
      </c>
      <c r="D13685">
        <v>66.09</v>
      </c>
      <c r="E13685">
        <v>98</v>
      </c>
    </row>
    <row r="13686" spans="1:5" x14ac:dyDescent="0.3">
      <c r="A13686" t="s">
        <v>146</v>
      </c>
      <c r="B13686" s="1">
        <v>44682</v>
      </c>
      <c r="C13686">
        <v>1</v>
      </c>
      <c r="D13686">
        <v>406.36</v>
      </c>
      <c r="E13686">
        <v>456</v>
      </c>
    </row>
    <row r="13687" spans="1:5" x14ac:dyDescent="0.3">
      <c r="A13687" t="s">
        <v>23</v>
      </c>
      <c r="B13687" s="1">
        <v>44682</v>
      </c>
      <c r="C13687">
        <v>1</v>
      </c>
      <c r="D13687">
        <v>128.47999999999999</v>
      </c>
      <c r="E13687">
        <v>142</v>
      </c>
    </row>
    <row r="13688" spans="1:5" x14ac:dyDescent="0.3">
      <c r="A13688" t="s">
        <v>112</v>
      </c>
      <c r="B13688" s="1">
        <v>44682</v>
      </c>
      <c r="C13688">
        <v>1</v>
      </c>
      <c r="D13688">
        <v>257.88</v>
      </c>
      <c r="E13688">
        <v>312</v>
      </c>
    </row>
    <row r="13689" spans="1:5" x14ac:dyDescent="0.3">
      <c r="A13689" t="s">
        <v>65</v>
      </c>
      <c r="B13689" s="1">
        <v>44682</v>
      </c>
      <c r="C13689">
        <v>1</v>
      </c>
      <c r="D13689">
        <v>176.77</v>
      </c>
      <c r="E13689">
        <v>207</v>
      </c>
    </row>
    <row r="13690" spans="1:5" x14ac:dyDescent="0.3">
      <c r="A13690" t="s">
        <v>122</v>
      </c>
      <c r="B13690" s="1">
        <v>44682</v>
      </c>
      <c r="C13690">
        <v>1</v>
      </c>
      <c r="D13690">
        <v>21.64</v>
      </c>
      <c r="E13690">
        <v>27</v>
      </c>
    </row>
    <row r="13691" spans="1:5" x14ac:dyDescent="0.3">
      <c r="A13691" t="s">
        <v>157</v>
      </c>
      <c r="B13691" s="1">
        <v>44682</v>
      </c>
      <c r="C13691">
        <v>2</v>
      </c>
      <c r="D13691">
        <v>12</v>
      </c>
      <c r="E13691">
        <v>20</v>
      </c>
    </row>
    <row r="13692" spans="1:5" x14ac:dyDescent="0.3">
      <c r="A13692" t="s">
        <v>156</v>
      </c>
      <c r="B13692" s="1">
        <v>44682</v>
      </c>
      <c r="C13692">
        <v>1</v>
      </c>
      <c r="D13692">
        <v>253.44</v>
      </c>
      <c r="E13692">
        <v>338</v>
      </c>
    </row>
    <row r="13693" spans="1:5" x14ac:dyDescent="0.3">
      <c r="A13693" t="s">
        <v>36</v>
      </c>
      <c r="B13693" s="1">
        <v>44682</v>
      </c>
      <c r="C13693">
        <v>1</v>
      </c>
      <c r="D13693">
        <v>25.27</v>
      </c>
      <c r="E13693">
        <v>32</v>
      </c>
    </row>
    <row r="13694" spans="1:5" x14ac:dyDescent="0.3">
      <c r="A13694" t="s">
        <v>36</v>
      </c>
      <c r="B13694" s="1">
        <v>44682</v>
      </c>
      <c r="C13694">
        <v>1</v>
      </c>
      <c r="D13694">
        <v>25.27</v>
      </c>
      <c r="E13694">
        <v>32</v>
      </c>
    </row>
    <row r="13695" spans="1:5" x14ac:dyDescent="0.3">
      <c r="A13695" t="s">
        <v>147</v>
      </c>
      <c r="B13695" s="1">
        <v>44682</v>
      </c>
      <c r="C13695">
        <v>1</v>
      </c>
      <c r="D13695">
        <v>136.72999999999999</v>
      </c>
      <c r="E13695">
        <v>191</v>
      </c>
    </row>
    <row r="13696" spans="1:5" x14ac:dyDescent="0.3">
      <c r="A13696" t="s">
        <v>21</v>
      </c>
      <c r="B13696" s="1">
        <v>44682</v>
      </c>
      <c r="C13696">
        <v>1</v>
      </c>
      <c r="D13696">
        <v>182.91</v>
      </c>
      <c r="E13696">
        <v>266</v>
      </c>
    </row>
    <row r="13697" spans="1:5" x14ac:dyDescent="0.3">
      <c r="A13697" t="s">
        <v>67</v>
      </c>
      <c r="B13697" s="1">
        <v>44682</v>
      </c>
      <c r="C13697">
        <v>1</v>
      </c>
      <c r="D13697">
        <v>63.59</v>
      </c>
      <c r="E13697">
        <v>95</v>
      </c>
    </row>
    <row r="13698" spans="1:5" x14ac:dyDescent="0.3">
      <c r="A13698" t="s">
        <v>35</v>
      </c>
      <c r="B13698" s="1">
        <v>44682</v>
      </c>
      <c r="C13698">
        <v>1</v>
      </c>
      <c r="D13698">
        <v>39.6</v>
      </c>
      <c r="E13698">
        <v>61</v>
      </c>
    </row>
    <row r="13699" spans="1:5" x14ac:dyDescent="0.3">
      <c r="A13699" t="s">
        <v>101</v>
      </c>
      <c r="B13699" s="1">
        <v>44682</v>
      </c>
      <c r="C13699">
        <v>1</v>
      </c>
      <c r="D13699">
        <v>28.74</v>
      </c>
      <c r="E13699">
        <v>45</v>
      </c>
    </row>
    <row r="13700" spans="1:5" x14ac:dyDescent="0.3">
      <c r="A13700" t="s">
        <v>66</v>
      </c>
      <c r="B13700" s="1">
        <v>44682</v>
      </c>
      <c r="C13700">
        <v>1</v>
      </c>
      <c r="D13700">
        <v>32.01</v>
      </c>
      <c r="E13700">
        <v>37</v>
      </c>
    </row>
    <row r="13701" spans="1:5" x14ac:dyDescent="0.3">
      <c r="A13701" t="s">
        <v>66</v>
      </c>
      <c r="B13701" s="1">
        <v>44682</v>
      </c>
      <c r="C13701">
        <v>1</v>
      </c>
      <c r="D13701">
        <v>32.01</v>
      </c>
      <c r="E13701">
        <v>37</v>
      </c>
    </row>
    <row r="13702" spans="1:5" x14ac:dyDescent="0.3">
      <c r="A13702" t="s">
        <v>124</v>
      </c>
      <c r="B13702" s="1">
        <v>44682</v>
      </c>
      <c r="C13702">
        <v>1</v>
      </c>
      <c r="D13702">
        <v>36.06</v>
      </c>
      <c r="E13702">
        <v>59</v>
      </c>
    </row>
    <row r="13703" spans="1:5" x14ac:dyDescent="0.3">
      <c r="A13703" t="s">
        <v>25</v>
      </c>
      <c r="B13703" s="1">
        <v>44682</v>
      </c>
      <c r="C13703">
        <v>1</v>
      </c>
      <c r="D13703">
        <v>148.58000000000001</v>
      </c>
      <c r="E13703">
        <v>179</v>
      </c>
    </row>
    <row r="13704" spans="1:5" x14ac:dyDescent="0.3">
      <c r="A13704" t="s">
        <v>20</v>
      </c>
      <c r="B13704" s="1">
        <v>44682</v>
      </c>
      <c r="C13704">
        <v>1</v>
      </c>
      <c r="D13704">
        <v>19.71</v>
      </c>
      <c r="E13704">
        <v>25</v>
      </c>
    </row>
    <row r="13705" spans="1:5" x14ac:dyDescent="0.3">
      <c r="A13705" t="s">
        <v>20</v>
      </c>
      <c r="B13705" s="1">
        <v>44682</v>
      </c>
      <c r="C13705">
        <v>1</v>
      </c>
      <c r="D13705">
        <v>19.71</v>
      </c>
      <c r="E13705">
        <v>25</v>
      </c>
    </row>
    <row r="13706" spans="1:5" x14ac:dyDescent="0.3">
      <c r="A13706" t="s">
        <v>66</v>
      </c>
      <c r="B13706" s="1">
        <v>44682</v>
      </c>
      <c r="C13706">
        <v>1</v>
      </c>
      <c r="D13706">
        <v>30.93</v>
      </c>
      <c r="E13706">
        <v>36</v>
      </c>
    </row>
    <row r="13707" spans="1:5" x14ac:dyDescent="0.3">
      <c r="A13707" t="s">
        <v>103</v>
      </c>
      <c r="B13707" s="1">
        <v>44682</v>
      </c>
      <c r="C13707">
        <v>1</v>
      </c>
      <c r="D13707">
        <v>24.84</v>
      </c>
      <c r="E13707">
        <v>38</v>
      </c>
    </row>
    <row r="13708" spans="1:5" x14ac:dyDescent="0.3">
      <c r="A13708" t="s">
        <v>42</v>
      </c>
      <c r="B13708" s="1">
        <v>44682</v>
      </c>
      <c r="C13708">
        <v>1</v>
      </c>
      <c r="D13708">
        <v>654.16999999999996</v>
      </c>
      <c r="E13708">
        <v>685</v>
      </c>
    </row>
    <row r="13709" spans="1:5" x14ac:dyDescent="0.3">
      <c r="A13709" t="s">
        <v>103</v>
      </c>
      <c r="B13709" s="1">
        <v>44682</v>
      </c>
      <c r="C13709">
        <v>1</v>
      </c>
      <c r="D13709">
        <v>24.84</v>
      </c>
      <c r="E13709">
        <v>38</v>
      </c>
    </row>
    <row r="13710" spans="1:5" x14ac:dyDescent="0.3">
      <c r="A13710" t="s">
        <v>88</v>
      </c>
      <c r="B13710" s="1">
        <v>44682</v>
      </c>
      <c r="C13710">
        <v>1</v>
      </c>
      <c r="D13710">
        <v>128.1</v>
      </c>
      <c r="E13710">
        <v>195</v>
      </c>
    </row>
    <row r="13711" spans="1:5" x14ac:dyDescent="0.3">
      <c r="A13711" t="s">
        <v>106</v>
      </c>
      <c r="B13711" s="1">
        <v>44682</v>
      </c>
      <c r="C13711">
        <v>1</v>
      </c>
      <c r="D13711">
        <v>40.950000000000003</v>
      </c>
      <c r="E13711">
        <v>51</v>
      </c>
    </row>
    <row r="13712" spans="1:5" x14ac:dyDescent="0.3">
      <c r="A13712" t="s">
        <v>47</v>
      </c>
      <c r="B13712" s="1">
        <v>44682</v>
      </c>
      <c r="C13712">
        <v>1</v>
      </c>
      <c r="D13712">
        <v>41.58</v>
      </c>
      <c r="E13712">
        <v>65</v>
      </c>
    </row>
    <row r="13713" spans="1:5" x14ac:dyDescent="0.3">
      <c r="A13713" t="s">
        <v>64</v>
      </c>
      <c r="B13713" s="1">
        <v>44682</v>
      </c>
      <c r="C13713">
        <v>1</v>
      </c>
      <c r="D13713">
        <v>224.24</v>
      </c>
      <c r="E13713">
        <v>314</v>
      </c>
    </row>
    <row r="13714" spans="1:5" x14ac:dyDescent="0.3">
      <c r="A13714" t="s">
        <v>127</v>
      </c>
      <c r="B13714" s="1">
        <v>44682</v>
      </c>
      <c r="C13714">
        <v>1</v>
      </c>
      <c r="D13714">
        <v>120.56</v>
      </c>
      <c r="E13714">
        <v>166</v>
      </c>
    </row>
    <row r="13715" spans="1:5" x14ac:dyDescent="0.3">
      <c r="A13715" t="s">
        <v>139</v>
      </c>
      <c r="B13715" s="1">
        <v>44682</v>
      </c>
      <c r="C13715">
        <v>1</v>
      </c>
      <c r="D13715">
        <v>35.51</v>
      </c>
      <c r="E13715">
        <v>58</v>
      </c>
    </row>
    <row r="13716" spans="1:5" x14ac:dyDescent="0.3">
      <c r="A13716" t="s">
        <v>116</v>
      </c>
      <c r="B13716" s="1">
        <v>44682</v>
      </c>
      <c r="C13716">
        <v>1</v>
      </c>
      <c r="D13716">
        <v>109.07</v>
      </c>
      <c r="E13716">
        <v>130</v>
      </c>
    </row>
    <row r="13717" spans="1:5" x14ac:dyDescent="0.3">
      <c r="A13717" t="s">
        <v>26</v>
      </c>
      <c r="B13717" s="1">
        <v>44682</v>
      </c>
      <c r="C13717">
        <v>0.1</v>
      </c>
      <c r="D13717">
        <v>1262.29</v>
      </c>
      <c r="E13717">
        <v>1616</v>
      </c>
    </row>
    <row r="13718" spans="1:5" x14ac:dyDescent="0.3">
      <c r="A13718" t="s">
        <v>22</v>
      </c>
      <c r="B13718" s="1">
        <v>44682</v>
      </c>
      <c r="C13718">
        <v>1</v>
      </c>
      <c r="D13718">
        <v>30.3</v>
      </c>
      <c r="E13718">
        <v>49</v>
      </c>
    </row>
    <row r="13719" spans="1:5" x14ac:dyDescent="0.3">
      <c r="A13719" t="s">
        <v>56</v>
      </c>
      <c r="B13719" s="1">
        <v>44682</v>
      </c>
      <c r="C13719">
        <v>1</v>
      </c>
      <c r="D13719">
        <v>43.6</v>
      </c>
      <c r="E13719">
        <v>68</v>
      </c>
    </row>
    <row r="13720" spans="1:5" x14ac:dyDescent="0.3">
      <c r="A13720" t="s">
        <v>113</v>
      </c>
      <c r="B13720" s="1">
        <v>44682</v>
      </c>
      <c r="C13720">
        <v>1</v>
      </c>
      <c r="D13720">
        <v>167.29</v>
      </c>
      <c r="E13720">
        <v>243</v>
      </c>
    </row>
    <row r="13721" spans="1:5" x14ac:dyDescent="0.3">
      <c r="A13721" t="s">
        <v>101</v>
      </c>
      <c r="B13721" s="1">
        <v>44682</v>
      </c>
      <c r="C13721">
        <v>1</v>
      </c>
      <c r="D13721">
        <v>27.84</v>
      </c>
      <c r="E13721">
        <v>44</v>
      </c>
    </row>
    <row r="13722" spans="1:5" x14ac:dyDescent="0.3">
      <c r="A13722" t="s">
        <v>65</v>
      </c>
      <c r="B13722" s="1">
        <v>44682</v>
      </c>
      <c r="C13722">
        <v>1</v>
      </c>
      <c r="D13722">
        <v>176.77</v>
      </c>
      <c r="E13722">
        <v>207</v>
      </c>
    </row>
    <row r="13723" spans="1:5" x14ac:dyDescent="0.3">
      <c r="A13723" t="s">
        <v>64</v>
      </c>
      <c r="B13723" s="1">
        <v>44682</v>
      </c>
      <c r="C13723">
        <v>1</v>
      </c>
      <c r="D13723">
        <v>201</v>
      </c>
      <c r="E13723">
        <v>282</v>
      </c>
    </row>
    <row r="13724" spans="1:5" x14ac:dyDescent="0.3">
      <c r="A13724" t="s">
        <v>64</v>
      </c>
      <c r="B13724" s="1">
        <v>44682</v>
      </c>
      <c r="C13724">
        <v>1</v>
      </c>
      <c r="D13724">
        <v>201</v>
      </c>
      <c r="E13724">
        <v>282</v>
      </c>
    </row>
    <row r="13725" spans="1:5" x14ac:dyDescent="0.3">
      <c r="A13725" t="s">
        <v>47</v>
      </c>
      <c r="B13725" s="1">
        <v>44682</v>
      </c>
      <c r="C13725">
        <v>1</v>
      </c>
      <c r="D13725">
        <v>41.58</v>
      </c>
      <c r="E13725">
        <v>65</v>
      </c>
    </row>
    <row r="13726" spans="1:5" x14ac:dyDescent="0.3">
      <c r="A13726" t="s">
        <v>50</v>
      </c>
      <c r="B13726" s="1">
        <v>44682</v>
      </c>
      <c r="C13726">
        <v>1</v>
      </c>
      <c r="D13726">
        <v>44.86</v>
      </c>
      <c r="E13726">
        <v>57</v>
      </c>
    </row>
    <row r="13727" spans="1:5" x14ac:dyDescent="0.3">
      <c r="A13727" t="s">
        <v>116</v>
      </c>
      <c r="B13727" s="1">
        <v>44682</v>
      </c>
      <c r="C13727">
        <v>1</v>
      </c>
      <c r="D13727">
        <v>109.07</v>
      </c>
      <c r="E13727">
        <v>130</v>
      </c>
    </row>
    <row r="13728" spans="1:5" x14ac:dyDescent="0.3">
      <c r="A13728" t="s">
        <v>131</v>
      </c>
      <c r="B13728" s="1">
        <v>44682</v>
      </c>
      <c r="C13728">
        <v>1</v>
      </c>
      <c r="D13728">
        <v>361.9</v>
      </c>
      <c r="E13728">
        <v>424</v>
      </c>
    </row>
    <row r="13729" spans="1:5" x14ac:dyDescent="0.3">
      <c r="A13729" t="s">
        <v>48</v>
      </c>
      <c r="B13729" s="1">
        <v>44682</v>
      </c>
      <c r="C13729">
        <v>1</v>
      </c>
      <c r="D13729">
        <v>42.23</v>
      </c>
      <c r="E13729">
        <v>67</v>
      </c>
    </row>
    <row r="13730" spans="1:5" x14ac:dyDescent="0.3">
      <c r="A13730" t="s">
        <v>48</v>
      </c>
      <c r="B13730" s="1">
        <v>44682</v>
      </c>
      <c r="C13730">
        <v>1</v>
      </c>
      <c r="D13730">
        <v>42.23</v>
      </c>
      <c r="E13730">
        <v>67</v>
      </c>
    </row>
    <row r="13731" spans="1:5" x14ac:dyDescent="0.3">
      <c r="A13731" t="s">
        <v>58</v>
      </c>
      <c r="B13731" s="1">
        <v>44682</v>
      </c>
      <c r="C13731">
        <v>1</v>
      </c>
      <c r="D13731">
        <v>82.25</v>
      </c>
      <c r="E13731">
        <v>99</v>
      </c>
    </row>
    <row r="13732" spans="1:5" x14ac:dyDescent="0.3">
      <c r="A13732" t="s">
        <v>58</v>
      </c>
      <c r="B13732" s="1">
        <v>44682</v>
      </c>
      <c r="C13732">
        <v>1</v>
      </c>
      <c r="D13732">
        <v>82.25</v>
      </c>
      <c r="E13732">
        <v>99</v>
      </c>
    </row>
    <row r="13733" spans="1:5" x14ac:dyDescent="0.3">
      <c r="A13733" t="s">
        <v>25</v>
      </c>
      <c r="B13733" s="1">
        <v>44682</v>
      </c>
      <c r="C13733">
        <v>1</v>
      </c>
      <c r="D13733">
        <v>148.58000000000001</v>
      </c>
      <c r="E13733">
        <v>179</v>
      </c>
    </row>
    <row r="13734" spans="1:5" x14ac:dyDescent="0.3">
      <c r="A13734" t="s">
        <v>156</v>
      </c>
      <c r="B13734" s="1">
        <v>44682</v>
      </c>
      <c r="C13734">
        <v>1</v>
      </c>
      <c r="D13734">
        <v>248.71</v>
      </c>
      <c r="E13734">
        <v>329</v>
      </c>
    </row>
    <row r="13735" spans="1:5" x14ac:dyDescent="0.3">
      <c r="A13735" t="s">
        <v>19</v>
      </c>
      <c r="B13735" s="1">
        <v>44682</v>
      </c>
      <c r="C13735">
        <v>1</v>
      </c>
      <c r="D13735">
        <v>80.52</v>
      </c>
      <c r="E13735">
        <v>103</v>
      </c>
    </row>
    <row r="13736" spans="1:5" x14ac:dyDescent="0.3">
      <c r="A13736" t="s">
        <v>113</v>
      </c>
      <c r="B13736" s="1">
        <v>44682</v>
      </c>
      <c r="C13736">
        <v>1</v>
      </c>
      <c r="D13736">
        <v>159.4</v>
      </c>
      <c r="E13736">
        <v>216</v>
      </c>
    </row>
    <row r="13737" spans="1:5" x14ac:dyDescent="0.3">
      <c r="A13737" t="s">
        <v>49</v>
      </c>
      <c r="B13737" s="1">
        <v>44682</v>
      </c>
      <c r="C13737">
        <v>3</v>
      </c>
      <c r="D13737">
        <v>16.309999999999999</v>
      </c>
      <c r="E13737">
        <v>20</v>
      </c>
    </row>
    <row r="13738" spans="1:5" x14ac:dyDescent="0.3">
      <c r="A13738" t="s">
        <v>90</v>
      </c>
      <c r="B13738" s="1">
        <v>44682</v>
      </c>
      <c r="C13738">
        <v>1</v>
      </c>
      <c r="D13738">
        <v>384.59</v>
      </c>
      <c r="E13738">
        <v>462</v>
      </c>
    </row>
    <row r="13739" spans="1:5" x14ac:dyDescent="0.3">
      <c r="A13739" t="s">
        <v>65</v>
      </c>
      <c r="B13739" s="1">
        <v>44682</v>
      </c>
      <c r="C13739">
        <v>1</v>
      </c>
      <c r="D13739">
        <v>176.78</v>
      </c>
      <c r="E13739">
        <v>225</v>
      </c>
    </row>
    <row r="13740" spans="1:5" x14ac:dyDescent="0.3">
      <c r="A13740" t="s">
        <v>90</v>
      </c>
      <c r="B13740" s="1">
        <v>44682</v>
      </c>
      <c r="C13740">
        <v>1</v>
      </c>
      <c r="D13740">
        <v>390.94</v>
      </c>
      <c r="E13740">
        <v>470</v>
      </c>
    </row>
    <row r="13741" spans="1:5" x14ac:dyDescent="0.3">
      <c r="A13741" t="s">
        <v>138</v>
      </c>
      <c r="B13741" s="1">
        <v>44682</v>
      </c>
      <c r="C13741">
        <v>2</v>
      </c>
      <c r="D13741">
        <v>46.5</v>
      </c>
      <c r="E13741">
        <v>75</v>
      </c>
    </row>
    <row r="13742" spans="1:5" x14ac:dyDescent="0.3">
      <c r="A13742" t="s">
        <v>157</v>
      </c>
      <c r="B13742" s="1">
        <v>44682</v>
      </c>
      <c r="C13742">
        <v>1</v>
      </c>
      <c r="D13742">
        <v>12</v>
      </c>
      <c r="E13742">
        <v>21</v>
      </c>
    </row>
    <row r="13743" spans="1:5" x14ac:dyDescent="0.3">
      <c r="A13743" t="s">
        <v>62</v>
      </c>
      <c r="B13743" s="1">
        <v>44682</v>
      </c>
      <c r="C13743">
        <v>1</v>
      </c>
      <c r="D13743">
        <v>25.71</v>
      </c>
      <c r="E13743">
        <v>31</v>
      </c>
    </row>
    <row r="13744" spans="1:5" x14ac:dyDescent="0.3">
      <c r="A13744" t="s">
        <v>62</v>
      </c>
      <c r="B13744" s="1">
        <v>44682</v>
      </c>
      <c r="C13744">
        <v>1</v>
      </c>
      <c r="D13744">
        <v>24.68</v>
      </c>
      <c r="E13744">
        <v>30</v>
      </c>
    </row>
    <row r="13745" spans="1:5" x14ac:dyDescent="0.3">
      <c r="A13745" t="s">
        <v>84</v>
      </c>
      <c r="B13745" s="1">
        <v>44682</v>
      </c>
      <c r="C13745">
        <v>1</v>
      </c>
      <c r="D13745">
        <v>175.62</v>
      </c>
      <c r="E13745">
        <v>220</v>
      </c>
    </row>
    <row r="13746" spans="1:5" x14ac:dyDescent="0.3">
      <c r="A13746" t="s">
        <v>91</v>
      </c>
      <c r="B13746" s="1">
        <v>44682</v>
      </c>
      <c r="C13746">
        <v>1</v>
      </c>
      <c r="D13746">
        <v>32.6</v>
      </c>
      <c r="E13746">
        <v>57</v>
      </c>
    </row>
    <row r="13747" spans="1:5" x14ac:dyDescent="0.3">
      <c r="A13747" t="s">
        <v>81</v>
      </c>
      <c r="B13747" s="1">
        <v>44682</v>
      </c>
      <c r="C13747">
        <v>1</v>
      </c>
      <c r="D13747">
        <v>41.22</v>
      </c>
      <c r="E13747">
        <v>52</v>
      </c>
    </row>
    <row r="13748" spans="1:5" x14ac:dyDescent="0.3">
      <c r="A13748" t="s">
        <v>66</v>
      </c>
      <c r="B13748" s="1">
        <v>44682</v>
      </c>
      <c r="C13748">
        <v>1</v>
      </c>
      <c r="D13748">
        <v>35.36</v>
      </c>
      <c r="E13748">
        <v>39</v>
      </c>
    </row>
    <row r="13749" spans="1:5" x14ac:dyDescent="0.3">
      <c r="A13749" t="s">
        <v>66</v>
      </c>
      <c r="B13749" s="1">
        <v>44682</v>
      </c>
      <c r="C13749">
        <v>1</v>
      </c>
      <c r="D13749">
        <v>35.36</v>
      </c>
      <c r="E13749">
        <v>39</v>
      </c>
    </row>
    <row r="13750" spans="1:5" x14ac:dyDescent="0.3">
      <c r="A13750" t="s">
        <v>66</v>
      </c>
      <c r="B13750" s="1">
        <v>44682</v>
      </c>
      <c r="C13750">
        <v>1</v>
      </c>
      <c r="D13750">
        <v>35.36</v>
      </c>
      <c r="E13750">
        <v>39</v>
      </c>
    </row>
    <row r="13751" spans="1:5" x14ac:dyDescent="0.3">
      <c r="A13751" t="s">
        <v>66</v>
      </c>
      <c r="B13751" s="1">
        <v>44682</v>
      </c>
      <c r="C13751">
        <v>1</v>
      </c>
      <c r="D13751">
        <v>35.36</v>
      </c>
      <c r="E13751">
        <v>39</v>
      </c>
    </row>
    <row r="13752" spans="1:5" x14ac:dyDescent="0.3">
      <c r="A13752" t="s">
        <v>65</v>
      </c>
      <c r="B13752" s="1">
        <v>44682</v>
      </c>
      <c r="C13752">
        <v>1</v>
      </c>
      <c r="D13752">
        <v>176.77</v>
      </c>
      <c r="E13752">
        <v>207</v>
      </c>
    </row>
    <row r="13753" spans="1:5" x14ac:dyDescent="0.3">
      <c r="A13753" t="s">
        <v>15</v>
      </c>
      <c r="B13753" s="1">
        <v>44682</v>
      </c>
      <c r="C13753">
        <v>1</v>
      </c>
      <c r="D13753">
        <v>44.41</v>
      </c>
      <c r="E13753">
        <v>72</v>
      </c>
    </row>
    <row r="13754" spans="1:5" x14ac:dyDescent="0.3">
      <c r="A13754" t="s">
        <v>65</v>
      </c>
      <c r="B13754" s="1">
        <v>44682</v>
      </c>
      <c r="C13754">
        <v>1</v>
      </c>
      <c r="D13754">
        <v>176.78</v>
      </c>
      <c r="E13754">
        <v>225</v>
      </c>
    </row>
    <row r="13755" spans="1:5" x14ac:dyDescent="0.3">
      <c r="A13755" t="s">
        <v>131</v>
      </c>
      <c r="B13755" s="1">
        <v>44682</v>
      </c>
      <c r="C13755">
        <v>1</v>
      </c>
      <c r="D13755">
        <v>363</v>
      </c>
      <c r="E13755">
        <v>436</v>
      </c>
    </row>
    <row r="13756" spans="1:5" x14ac:dyDescent="0.3">
      <c r="A13756" t="s">
        <v>157</v>
      </c>
      <c r="B13756" s="1">
        <v>44682</v>
      </c>
      <c r="C13756">
        <v>1</v>
      </c>
      <c r="D13756">
        <v>12</v>
      </c>
      <c r="E13756">
        <v>21</v>
      </c>
    </row>
    <row r="13757" spans="1:5" x14ac:dyDescent="0.3">
      <c r="A13757" t="s">
        <v>59</v>
      </c>
      <c r="B13757" s="1">
        <v>44682</v>
      </c>
      <c r="C13757">
        <v>1</v>
      </c>
      <c r="D13757">
        <v>11.59</v>
      </c>
      <c r="E13757">
        <v>19</v>
      </c>
    </row>
    <row r="13758" spans="1:5" x14ac:dyDescent="0.3">
      <c r="A13758" t="s">
        <v>100</v>
      </c>
      <c r="B13758" s="1">
        <v>44682</v>
      </c>
      <c r="C13758">
        <v>1</v>
      </c>
      <c r="D13758">
        <v>35.49</v>
      </c>
      <c r="E13758">
        <v>54</v>
      </c>
    </row>
    <row r="13759" spans="1:5" x14ac:dyDescent="0.3">
      <c r="A13759" t="s">
        <v>7</v>
      </c>
      <c r="B13759" s="1">
        <v>44682</v>
      </c>
      <c r="C13759">
        <v>1</v>
      </c>
      <c r="D13759">
        <v>89.24</v>
      </c>
      <c r="E13759">
        <v>110</v>
      </c>
    </row>
    <row r="13760" spans="1:5" x14ac:dyDescent="0.3">
      <c r="A13760" t="s">
        <v>113</v>
      </c>
      <c r="B13760" s="1">
        <v>44682</v>
      </c>
      <c r="C13760">
        <v>1</v>
      </c>
      <c r="D13760">
        <v>128.46</v>
      </c>
      <c r="E13760">
        <v>179</v>
      </c>
    </row>
    <row r="13761" spans="1:5" x14ac:dyDescent="0.3">
      <c r="A13761" t="s">
        <v>65</v>
      </c>
      <c r="B13761" s="1">
        <v>44682</v>
      </c>
      <c r="C13761">
        <v>1</v>
      </c>
      <c r="D13761">
        <v>176.77</v>
      </c>
      <c r="E13761">
        <v>207</v>
      </c>
    </row>
    <row r="13762" spans="1:5" x14ac:dyDescent="0.3">
      <c r="A13762" t="s">
        <v>30</v>
      </c>
      <c r="B13762" s="1">
        <v>44682</v>
      </c>
      <c r="C13762">
        <v>1</v>
      </c>
      <c r="D13762">
        <v>156.19999999999999</v>
      </c>
      <c r="E13762">
        <v>186</v>
      </c>
    </row>
    <row r="13763" spans="1:5" x14ac:dyDescent="0.3">
      <c r="A13763" t="s">
        <v>95</v>
      </c>
      <c r="B13763" s="1">
        <v>44682</v>
      </c>
      <c r="C13763">
        <v>0.1</v>
      </c>
      <c r="D13763">
        <v>128.82</v>
      </c>
      <c r="E13763">
        <v>196</v>
      </c>
    </row>
    <row r="13764" spans="1:5" x14ac:dyDescent="0.3">
      <c r="A13764" t="s">
        <v>66</v>
      </c>
      <c r="B13764" s="1">
        <v>44682</v>
      </c>
      <c r="C13764">
        <v>1</v>
      </c>
      <c r="D13764">
        <v>32.01</v>
      </c>
      <c r="E13764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ADB4-A191-4F8D-BA81-3820FCA9DDB8}">
  <dimension ref="B2:AQ158"/>
  <sheetViews>
    <sheetView topLeftCell="C1" zoomScale="99" workbookViewId="0">
      <selection activeCell="AQ29" sqref="AQ29:AQ158"/>
    </sheetView>
  </sheetViews>
  <sheetFormatPr defaultRowHeight="14.4" x14ac:dyDescent="0.3"/>
  <cols>
    <col min="2" max="2" width="45.5546875" style="17" customWidth="1"/>
    <col min="3" max="42" width="10.21875" bestFit="1" customWidth="1"/>
    <col min="43" max="43" width="8.88671875" style="6"/>
  </cols>
  <sheetData>
    <row r="2" spans="2:43" x14ac:dyDescent="0.3">
      <c r="B2" s="17" t="s">
        <v>166</v>
      </c>
      <c r="C2" s="1">
        <v>44682</v>
      </c>
      <c r="D2" s="1">
        <v>44683</v>
      </c>
      <c r="E2" s="1">
        <v>44684</v>
      </c>
      <c r="F2" s="1">
        <v>44685</v>
      </c>
      <c r="G2" s="1">
        <v>44686</v>
      </c>
      <c r="H2" s="1">
        <v>44687</v>
      </c>
      <c r="I2" s="1">
        <v>44688</v>
      </c>
      <c r="J2" s="1">
        <v>44689</v>
      </c>
      <c r="K2" s="1">
        <v>44690</v>
      </c>
      <c r="L2" s="1">
        <v>44691</v>
      </c>
      <c r="M2" s="1">
        <v>44692</v>
      </c>
      <c r="N2" s="1">
        <v>44693</v>
      </c>
      <c r="O2" s="1">
        <v>44694</v>
      </c>
      <c r="P2" s="1">
        <v>44695</v>
      </c>
      <c r="Q2" s="1">
        <v>44696</v>
      </c>
      <c r="R2" s="1">
        <v>44697</v>
      </c>
      <c r="S2" s="1">
        <v>44698</v>
      </c>
      <c r="T2" s="1">
        <v>44699</v>
      </c>
      <c r="U2" s="1">
        <v>44700</v>
      </c>
      <c r="V2" s="1">
        <v>44701</v>
      </c>
      <c r="W2" s="1">
        <v>44702</v>
      </c>
      <c r="X2" s="1">
        <v>44703</v>
      </c>
      <c r="Y2" s="1">
        <v>44704</v>
      </c>
      <c r="Z2" s="1">
        <v>44705</v>
      </c>
      <c r="AA2" s="1">
        <v>44706</v>
      </c>
      <c r="AB2" s="1">
        <v>44707</v>
      </c>
      <c r="AC2" s="1">
        <v>44708</v>
      </c>
      <c r="AD2" s="1">
        <v>44709</v>
      </c>
      <c r="AE2" s="1">
        <v>44710</v>
      </c>
      <c r="AF2" s="1">
        <v>44711</v>
      </c>
      <c r="AG2" s="1">
        <v>44712</v>
      </c>
      <c r="AH2" s="1">
        <v>44713</v>
      </c>
      <c r="AI2" s="1">
        <v>44714</v>
      </c>
      <c r="AJ2" s="1">
        <v>44715</v>
      </c>
      <c r="AK2" s="1">
        <v>44716</v>
      </c>
      <c r="AL2" s="1">
        <v>44717</v>
      </c>
      <c r="AM2" s="1">
        <v>44718</v>
      </c>
      <c r="AN2" s="1">
        <v>44719</v>
      </c>
      <c r="AO2" s="1">
        <v>44720</v>
      </c>
      <c r="AP2" s="1">
        <v>44721</v>
      </c>
      <c r="AQ2" s="12" t="s">
        <v>213</v>
      </c>
    </row>
    <row r="3" spans="2:43" ht="28.8" x14ac:dyDescent="0.3">
      <c r="B3" s="17" t="s">
        <v>8</v>
      </c>
      <c r="C3">
        <f>SUMIFS(data!$C:$C,data!$A:$A,"="&amp;'Покупки по дням'!$B3,data!$B:$B,"="&amp;'Покупки по дням'!C$2)</f>
        <v>0</v>
      </c>
      <c r="D3">
        <f>SUMIFS(data!$C:$C,data!$A:$A,"="&amp;'Покупки по дням'!$B3,data!$B:$B,"="&amp;'Покупки по дням'!D$2)</f>
        <v>2</v>
      </c>
      <c r="E3">
        <f>SUMIFS(data!$C:$C,data!$A:$A,"="&amp;'Покупки по дням'!$B3,data!$B:$B,"="&amp;'Покупки по дням'!E$2)</f>
        <v>3</v>
      </c>
      <c r="F3">
        <f>SUMIFS(data!$C:$C,data!$A:$A,"="&amp;'Покупки по дням'!$B3,data!$B:$B,"="&amp;'Покупки по дням'!F$2)</f>
        <v>0</v>
      </c>
      <c r="G3">
        <f>SUMIFS(data!$C:$C,data!$A:$A,"="&amp;'Покупки по дням'!$B3,data!$B:$B,"="&amp;'Покупки по дням'!G$2)</f>
        <v>2</v>
      </c>
      <c r="H3">
        <f>SUMIFS(data!$C:$C,data!$A:$A,"="&amp;'Покупки по дням'!$B3,data!$B:$B,"="&amp;'Покупки по дням'!H$2)</f>
        <v>7</v>
      </c>
      <c r="I3">
        <f>SUMIFS(data!$C:$C,data!$A:$A,"="&amp;'Покупки по дням'!$B3,data!$B:$B,"="&amp;'Покупки по дням'!I$2)</f>
        <v>6</v>
      </c>
      <c r="J3">
        <f>SUMIFS(data!$C:$C,data!$A:$A,"="&amp;'Покупки по дням'!$B3,data!$B:$B,"="&amp;'Покупки по дням'!J$2)</f>
        <v>3</v>
      </c>
      <c r="K3">
        <f>SUMIFS(data!$C:$C,data!$A:$A,"="&amp;'Покупки по дням'!$B3,data!$B:$B,"="&amp;'Покупки по дням'!K$2)</f>
        <v>0</v>
      </c>
      <c r="L3">
        <f>SUMIFS(data!$C:$C,data!$A:$A,"="&amp;'Покупки по дням'!$B3,data!$B:$B,"="&amp;'Покупки по дням'!L$2)</f>
        <v>3</v>
      </c>
      <c r="M3">
        <f>SUMIFS(data!$C:$C,data!$A:$A,"="&amp;'Покупки по дням'!$B3,data!$B:$B,"="&amp;'Покупки по дням'!M$2)</f>
        <v>2</v>
      </c>
      <c r="N3">
        <f>SUMIFS(data!$C:$C,data!$A:$A,"="&amp;'Покупки по дням'!$B3,data!$B:$B,"="&amp;'Покупки по дням'!N$2)</f>
        <v>0</v>
      </c>
      <c r="O3">
        <f>SUMIFS(data!$C:$C,data!$A:$A,"="&amp;'Покупки по дням'!$B3,data!$B:$B,"="&amp;'Покупки по дням'!O$2)</f>
        <v>4</v>
      </c>
      <c r="P3">
        <f>SUMIFS(data!$C:$C,data!$A:$A,"="&amp;'Покупки по дням'!$B3,data!$B:$B,"="&amp;'Покупки по дням'!P$2)</f>
        <v>2</v>
      </c>
      <c r="Q3">
        <f>SUMIFS(data!$C:$C,data!$A:$A,"="&amp;'Покупки по дням'!$B3,data!$B:$B,"="&amp;'Покупки по дням'!Q$2)</f>
        <v>4</v>
      </c>
      <c r="R3">
        <f>SUMIFS(data!$C:$C,data!$A:$A,"="&amp;'Покупки по дням'!$B3,data!$B:$B,"="&amp;'Покупки по дням'!R$2)</f>
        <v>4</v>
      </c>
      <c r="S3">
        <f>SUMIFS(data!$C:$C,data!$A:$A,"="&amp;'Покупки по дням'!$B3,data!$B:$B,"="&amp;'Покупки по дням'!S$2)</f>
        <v>1</v>
      </c>
      <c r="T3">
        <f>SUMIFS(data!$C:$C,data!$A:$A,"="&amp;'Покупки по дням'!$B3,data!$B:$B,"="&amp;'Покупки по дням'!T$2)</f>
        <v>11</v>
      </c>
      <c r="U3">
        <f>SUMIFS(data!$C:$C,data!$A:$A,"="&amp;'Покупки по дням'!$B3,data!$B:$B,"="&amp;'Покупки по дням'!U$2)</f>
        <v>5</v>
      </c>
      <c r="V3">
        <f>SUMIFS(data!$C:$C,data!$A:$A,"="&amp;'Покупки по дням'!$B3,data!$B:$B,"="&amp;'Покупки по дням'!V$2)</f>
        <v>8</v>
      </c>
      <c r="W3">
        <f>SUMIFS(data!$C:$C,data!$A:$A,"="&amp;'Покупки по дням'!$B3,data!$B:$B,"="&amp;'Покупки по дням'!W$2)</f>
        <v>4</v>
      </c>
      <c r="X3">
        <f>SUMIFS(data!$C:$C,data!$A:$A,"="&amp;'Покупки по дням'!$B3,data!$B:$B,"="&amp;'Покупки по дням'!X$2)</f>
        <v>2</v>
      </c>
      <c r="Y3">
        <f>SUMIFS(data!$C:$C,data!$A:$A,"="&amp;'Покупки по дням'!$B3,data!$B:$B,"="&amp;'Покупки по дням'!Y$2)</f>
        <v>1</v>
      </c>
      <c r="Z3">
        <f>SUMIFS(data!$C:$C,data!$A:$A,"="&amp;'Покупки по дням'!$B3,data!$B:$B,"="&amp;'Покупки по дням'!Z$2)</f>
        <v>4</v>
      </c>
      <c r="AA3">
        <f>SUMIFS(data!$C:$C,data!$A:$A,"="&amp;'Покупки по дням'!$B3,data!$B:$B,"="&amp;'Покупки по дням'!AA$2)</f>
        <v>11</v>
      </c>
      <c r="AB3">
        <f>SUMIFS(data!$C:$C,data!$A:$A,"="&amp;'Покупки по дням'!$B3,data!$B:$B,"="&amp;'Покупки по дням'!AB$2)</f>
        <v>1</v>
      </c>
      <c r="AC3">
        <f>SUMIFS(data!$C:$C,data!$A:$A,"="&amp;'Покупки по дням'!$B3,data!$B:$B,"="&amp;'Покупки по дням'!AC$2)</f>
        <v>1</v>
      </c>
      <c r="AD3">
        <f>SUMIFS(data!$C:$C,data!$A:$A,"="&amp;'Покупки по дням'!$B3,data!$B:$B,"="&amp;'Покупки по дням'!AD$2)</f>
        <v>5</v>
      </c>
      <c r="AE3">
        <f>SUMIFS(data!$C:$C,data!$A:$A,"="&amp;'Покупки по дням'!$B3,data!$B:$B,"="&amp;'Покупки по дням'!AE$2)</f>
        <v>1</v>
      </c>
      <c r="AF3">
        <f>SUMIFS(data!$C:$C,data!$A:$A,"="&amp;'Покупки по дням'!$B3,data!$B:$B,"="&amp;'Покупки по дням'!AF$2)</f>
        <v>6</v>
      </c>
      <c r="AG3">
        <f>SUMIFS(data!$C:$C,data!$A:$A,"="&amp;'Покупки по дням'!$B3,data!$B:$B,"="&amp;'Покупки по дням'!AG$2)</f>
        <v>0</v>
      </c>
      <c r="AH3">
        <f>SUMIFS(data!$C:$C,data!$A:$A,"="&amp;'Покупки по дням'!$B3,data!$B:$B,"="&amp;'Покупки по дням'!AH$2)</f>
        <v>1</v>
      </c>
      <c r="AI3">
        <f>SUMIFS(data!$C:$C,data!$A:$A,"="&amp;'Покупки по дням'!$B3,data!$B:$B,"="&amp;'Покупки по дням'!AI$2)</f>
        <v>9</v>
      </c>
      <c r="AJ3">
        <f>SUMIFS(data!$C:$C,data!$A:$A,"="&amp;'Покупки по дням'!$B3,data!$B:$B,"="&amp;'Покупки по дням'!AJ$2)</f>
        <v>7</v>
      </c>
      <c r="AK3">
        <f>SUMIFS(data!$C:$C,data!$A:$A,"="&amp;'Покупки по дням'!$B3,data!$B:$B,"="&amp;'Покупки по дням'!AK$2)</f>
        <v>3</v>
      </c>
      <c r="AL3">
        <f>SUMIFS(data!$C:$C,data!$A:$A,"="&amp;'Покупки по дням'!$B3,data!$B:$B,"="&amp;'Покупки по дням'!AL$2)</f>
        <v>2</v>
      </c>
      <c r="AM3">
        <f>SUMIFS(data!$C:$C,data!$A:$A,"="&amp;'Покупки по дням'!$B3,data!$B:$B,"="&amp;'Покупки по дням'!AM$2)</f>
        <v>8</v>
      </c>
      <c r="AN3">
        <f>SUMIFS(data!$C:$C,data!$A:$A,"="&amp;'Покупки по дням'!$B3,data!$B:$B,"="&amp;'Покупки по дням'!AN$2)</f>
        <v>5</v>
      </c>
      <c r="AO3">
        <f>SUMIFS(data!$C:$C,data!$A:$A,"="&amp;'Покупки по дням'!$B3,data!$B:$B,"="&amp;'Покупки по дням'!AO$2)</f>
        <v>2</v>
      </c>
      <c r="AP3">
        <f>SUMIFS(data!$C:$C,data!$A:$A,"="&amp;'Покупки по дням'!$B3,data!$B:$B,"="&amp;'Покупки по дням'!AP$2)</f>
        <v>11</v>
      </c>
      <c r="AQ3" s="6">
        <f>_xlfn.STDEV.S(C3:AP3)/AVERAGE(C3:AP3)</f>
        <v>0.84514712651704427</v>
      </c>
    </row>
    <row r="4" spans="2:43" ht="28.8" x14ac:dyDescent="0.3">
      <c r="B4" s="17" t="s">
        <v>48</v>
      </c>
      <c r="C4">
        <f>SUMIFS(data!$C:$C,data!$A:$A,"="&amp;'Покупки по дням'!$B4,data!$B:$B,"="&amp;'Покупки по дням'!C$2)</f>
        <v>4</v>
      </c>
      <c r="D4">
        <f>SUMIFS(data!$C:$C,data!$A:$A,"="&amp;'Покупки по дням'!$B4,data!$B:$B,"="&amp;'Покупки по дням'!D$2)</f>
        <v>0</v>
      </c>
      <c r="E4">
        <f>SUMIFS(data!$C:$C,data!$A:$A,"="&amp;'Покупки по дням'!$B4,data!$B:$B,"="&amp;'Покупки по дням'!E$2)</f>
        <v>3</v>
      </c>
      <c r="F4">
        <f>SUMIFS(data!$C:$C,data!$A:$A,"="&amp;'Покупки по дням'!$B4,data!$B:$B,"="&amp;'Покупки по дням'!F$2)</f>
        <v>7</v>
      </c>
      <c r="G4">
        <f>SUMIFS(data!$C:$C,data!$A:$A,"="&amp;'Покупки по дням'!$B4,data!$B:$B,"="&amp;'Покупки по дням'!G$2)</f>
        <v>6</v>
      </c>
      <c r="H4">
        <f>SUMIFS(data!$C:$C,data!$A:$A,"="&amp;'Покупки по дням'!$B4,data!$B:$B,"="&amp;'Покупки по дням'!H$2)</f>
        <v>6</v>
      </c>
      <c r="I4">
        <f>SUMIFS(data!$C:$C,data!$A:$A,"="&amp;'Покупки по дням'!$B4,data!$B:$B,"="&amp;'Покупки по дням'!I$2)</f>
        <v>7</v>
      </c>
      <c r="J4">
        <f>SUMIFS(data!$C:$C,data!$A:$A,"="&amp;'Покупки по дням'!$B4,data!$B:$B,"="&amp;'Покупки по дням'!J$2)</f>
        <v>5</v>
      </c>
      <c r="K4">
        <f>SUMIFS(data!$C:$C,data!$A:$A,"="&amp;'Покупки по дням'!$B4,data!$B:$B,"="&amp;'Покупки по дням'!K$2)</f>
        <v>0</v>
      </c>
      <c r="L4">
        <f>SUMIFS(data!$C:$C,data!$A:$A,"="&amp;'Покупки по дням'!$B4,data!$B:$B,"="&amp;'Покупки по дням'!L$2)</f>
        <v>10</v>
      </c>
      <c r="M4">
        <f>SUMIFS(data!$C:$C,data!$A:$A,"="&amp;'Покупки по дням'!$B4,data!$B:$B,"="&amp;'Покупки по дням'!M$2)</f>
        <v>2</v>
      </c>
      <c r="N4">
        <f>SUMIFS(data!$C:$C,data!$A:$A,"="&amp;'Покупки по дням'!$B4,data!$B:$B,"="&amp;'Покупки по дням'!N$2)</f>
        <v>9</v>
      </c>
      <c r="O4">
        <f>SUMIFS(data!$C:$C,data!$A:$A,"="&amp;'Покупки по дням'!$B4,data!$B:$B,"="&amp;'Покупки по дням'!O$2)</f>
        <v>2</v>
      </c>
      <c r="P4">
        <f>SUMIFS(data!$C:$C,data!$A:$A,"="&amp;'Покупки по дням'!$B4,data!$B:$B,"="&amp;'Покупки по дням'!P$2)</f>
        <v>6</v>
      </c>
      <c r="Q4">
        <f>SUMIFS(data!$C:$C,data!$A:$A,"="&amp;'Покупки по дням'!$B4,data!$B:$B,"="&amp;'Покупки по дням'!Q$2)</f>
        <v>5</v>
      </c>
      <c r="R4">
        <f>SUMIFS(data!$C:$C,data!$A:$A,"="&amp;'Покупки по дням'!$B4,data!$B:$B,"="&amp;'Покупки по дням'!R$2)</f>
        <v>5</v>
      </c>
      <c r="S4">
        <f>SUMIFS(data!$C:$C,data!$A:$A,"="&amp;'Покупки по дням'!$B4,data!$B:$B,"="&amp;'Покупки по дням'!S$2)</f>
        <v>7</v>
      </c>
      <c r="T4">
        <f>SUMIFS(data!$C:$C,data!$A:$A,"="&amp;'Покупки по дням'!$B4,data!$B:$B,"="&amp;'Покупки по дням'!T$2)</f>
        <v>4</v>
      </c>
      <c r="U4">
        <f>SUMIFS(data!$C:$C,data!$A:$A,"="&amp;'Покупки по дням'!$B4,data!$B:$B,"="&amp;'Покупки по дням'!U$2)</f>
        <v>1</v>
      </c>
      <c r="V4">
        <f>SUMIFS(data!$C:$C,data!$A:$A,"="&amp;'Покупки по дням'!$B4,data!$B:$B,"="&amp;'Покупки по дням'!V$2)</f>
        <v>13</v>
      </c>
      <c r="W4">
        <f>SUMIFS(data!$C:$C,data!$A:$A,"="&amp;'Покупки по дням'!$B4,data!$B:$B,"="&amp;'Покупки по дням'!W$2)</f>
        <v>5</v>
      </c>
      <c r="X4">
        <f>SUMIFS(data!$C:$C,data!$A:$A,"="&amp;'Покупки по дням'!$B4,data!$B:$B,"="&amp;'Покупки по дням'!X$2)</f>
        <v>1</v>
      </c>
      <c r="Y4">
        <f>SUMIFS(data!$C:$C,data!$A:$A,"="&amp;'Покупки по дням'!$B4,data!$B:$B,"="&amp;'Покупки по дням'!Y$2)</f>
        <v>3</v>
      </c>
      <c r="Z4">
        <f>SUMIFS(data!$C:$C,data!$A:$A,"="&amp;'Покупки по дням'!$B4,data!$B:$B,"="&amp;'Покупки по дням'!Z$2)</f>
        <v>3</v>
      </c>
      <c r="AA4">
        <f>SUMIFS(data!$C:$C,data!$A:$A,"="&amp;'Покупки по дням'!$B4,data!$B:$B,"="&amp;'Покупки по дням'!AA$2)</f>
        <v>3</v>
      </c>
      <c r="AB4">
        <f>SUMIFS(data!$C:$C,data!$A:$A,"="&amp;'Покупки по дням'!$B4,data!$B:$B,"="&amp;'Покупки по дням'!AB$2)</f>
        <v>2</v>
      </c>
      <c r="AC4">
        <f>SUMIFS(data!$C:$C,data!$A:$A,"="&amp;'Покупки по дням'!$B4,data!$B:$B,"="&amp;'Покупки по дням'!AC$2)</f>
        <v>6</v>
      </c>
      <c r="AD4">
        <f>SUMIFS(data!$C:$C,data!$A:$A,"="&amp;'Покупки по дням'!$B4,data!$B:$B,"="&amp;'Покупки по дням'!AD$2)</f>
        <v>6</v>
      </c>
      <c r="AE4">
        <f>SUMIFS(data!$C:$C,data!$A:$A,"="&amp;'Покупки по дням'!$B4,data!$B:$B,"="&amp;'Покупки по дням'!AE$2)</f>
        <v>0</v>
      </c>
      <c r="AF4">
        <f>SUMIFS(data!$C:$C,data!$A:$A,"="&amp;'Покупки по дням'!$B4,data!$B:$B,"="&amp;'Покупки по дням'!AF$2)</f>
        <v>4</v>
      </c>
      <c r="AG4">
        <f>SUMIFS(data!$C:$C,data!$A:$A,"="&amp;'Покупки по дням'!$B4,data!$B:$B,"="&amp;'Покупки по дням'!AG$2)</f>
        <v>4</v>
      </c>
      <c r="AH4">
        <f>SUMIFS(data!$C:$C,data!$A:$A,"="&amp;'Покупки по дням'!$B4,data!$B:$B,"="&amp;'Покупки по дням'!AH$2)</f>
        <v>2</v>
      </c>
      <c r="AI4">
        <f>SUMIFS(data!$C:$C,data!$A:$A,"="&amp;'Покупки по дням'!$B4,data!$B:$B,"="&amp;'Покупки по дням'!AI$2)</f>
        <v>4</v>
      </c>
      <c r="AJ4">
        <f>SUMIFS(data!$C:$C,data!$A:$A,"="&amp;'Покупки по дням'!$B4,data!$B:$B,"="&amp;'Покупки по дням'!AJ$2)</f>
        <v>3</v>
      </c>
      <c r="AK4">
        <f>SUMIFS(data!$C:$C,data!$A:$A,"="&amp;'Покупки по дням'!$B4,data!$B:$B,"="&amp;'Покупки по дням'!AK$2)</f>
        <v>9</v>
      </c>
      <c r="AL4">
        <f>SUMIFS(data!$C:$C,data!$A:$A,"="&amp;'Покупки по дням'!$B4,data!$B:$B,"="&amp;'Покупки по дням'!AL$2)</f>
        <v>5</v>
      </c>
      <c r="AM4">
        <f>SUMIFS(data!$C:$C,data!$A:$A,"="&amp;'Покупки по дням'!$B4,data!$B:$B,"="&amp;'Покупки по дням'!AM$2)</f>
        <v>3</v>
      </c>
      <c r="AN4">
        <f>SUMIFS(data!$C:$C,data!$A:$A,"="&amp;'Покупки по дням'!$B4,data!$B:$B,"="&amp;'Покупки по дням'!AN$2)</f>
        <v>5</v>
      </c>
      <c r="AO4">
        <f>SUMIFS(data!$C:$C,data!$A:$A,"="&amp;'Покупки по дням'!$B4,data!$B:$B,"="&amp;'Покупки по дням'!AO$2)</f>
        <v>7</v>
      </c>
      <c r="AP4">
        <f>SUMIFS(data!$C:$C,data!$A:$A,"="&amp;'Покупки по дням'!$B4,data!$B:$B,"="&amp;'Покупки по дням'!AP$2)</f>
        <v>2</v>
      </c>
      <c r="AQ4" s="6">
        <f t="shared" ref="AQ4:AQ67" si="0">_xlfn.STDEV.S(C4:AP4)/AVERAGE(C4:AP4)</f>
        <v>0.63202543107970466</v>
      </c>
    </row>
    <row r="5" spans="2:43" x14ac:dyDescent="0.3">
      <c r="B5" s="17" t="s">
        <v>47</v>
      </c>
      <c r="C5">
        <f>SUMIFS(data!$C:$C,data!$A:$A,"="&amp;'Покупки по дням'!$B5,data!$B:$B,"="&amp;'Покупки по дням'!C$2)</f>
        <v>7</v>
      </c>
      <c r="D5">
        <f>SUMIFS(data!$C:$C,data!$A:$A,"="&amp;'Покупки по дням'!$B5,data!$B:$B,"="&amp;'Покупки по дням'!D$2)</f>
        <v>7</v>
      </c>
      <c r="E5">
        <f>SUMIFS(data!$C:$C,data!$A:$A,"="&amp;'Покупки по дням'!$B5,data!$B:$B,"="&amp;'Покупки по дням'!E$2)</f>
        <v>6</v>
      </c>
      <c r="F5">
        <f>SUMIFS(data!$C:$C,data!$A:$A,"="&amp;'Покупки по дням'!$B5,data!$B:$B,"="&amp;'Покупки по дням'!F$2)</f>
        <v>5</v>
      </c>
      <c r="G5">
        <f>SUMIFS(data!$C:$C,data!$A:$A,"="&amp;'Покупки по дням'!$B5,data!$B:$B,"="&amp;'Покупки по дням'!G$2)</f>
        <v>4</v>
      </c>
      <c r="H5">
        <f>SUMIFS(data!$C:$C,data!$A:$A,"="&amp;'Покупки по дням'!$B5,data!$B:$B,"="&amp;'Покупки по дням'!H$2)</f>
        <v>5</v>
      </c>
      <c r="I5">
        <f>SUMIFS(data!$C:$C,data!$A:$A,"="&amp;'Покупки по дням'!$B5,data!$B:$B,"="&amp;'Покупки по дням'!I$2)</f>
        <v>3</v>
      </c>
      <c r="J5">
        <f>SUMIFS(data!$C:$C,data!$A:$A,"="&amp;'Покупки по дням'!$B5,data!$B:$B,"="&amp;'Покупки по дням'!J$2)</f>
        <v>3</v>
      </c>
      <c r="K5">
        <f>SUMIFS(data!$C:$C,data!$A:$A,"="&amp;'Покупки по дням'!$B5,data!$B:$B,"="&amp;'Покупки по дням'!K$2)</f>
        <v>0</v>
      </c>
      <c r="L5">
        <f>SUMIFS(data!$C:$C,data!$A:$A,"="&amp;'Покупки по дням'!$B5,data!$B:$B,"="&amp;'Покупки по дням'!L$2)</f>
        <v>4</v>
      </c>
      <c r="M5">
        <f>SUMIFS(data!$C:$C,data!$A:$A,"="&amp;'Покупки по дням'!$B5,data!$B:$B,"="&amp;'Покупки по дням'!M$2)</f>
        <v>1</v>
      </c>
      <c r="N5">
        <f>SUMIFS(data!$C:$C,data!$A:$A,"="&amp;'Покупки по дням'!$B5,data!$B:$B,"="&amp;'Покупки по дням'!N$2)</f>
        <v>1</v>
      </c>
      <c r="O5">
        <f>SUMIFS(data!$C:$C,data!$A:$A,"="&amp;'Покупки по дням'!$B5,data!$B:$B,"="&amp;'Покупки по дням'!O$2)</f>
        <v>4</v>
      </c>
      <c r="P5">
        <f>SUMIFS(data!$C:$C,data!$A:$A,"="&amp;'Покупки по дням'!$B5,data!$B:$B,"="&amp;'Покупки по дням'!P$2)</f>
        <v>1</v>
      </c>
      <c r="Q5">
        <f>SUMIFS(data!$C:$C,data!$A:$A,"="&amp;'Покупки по дням'!$B5,data!$B:$B,"="&amp;'Покупки по дням'!Q$2)</f>
        <v>1</v>
      </c>
      <c r="R5">
        <f>SUMIFS(data!$C:$C,data!$A:$A,"="&amp;'Покупки по дням'!$B5,data!$B:$B,"="&amp;'Покупки по дням'!R$2)</f>
        <v>2</v>
      </c>
      <c r="S5">
        <f>SUMIFS(data!$C:$C,data!$A:$A,"="&amp;'Покупки по дням'!$B5,data!$B:$B,"="&amp;'Покупки по дням'!S$2)</f>
        <v>7</v>
      </c>
      <c r="T5">
        <f>SUMIFS(data!$C:$C,data!$A:$A,"="&amp;'Покупки по дням'!$B5,data!$B:$B,"="&amp;'Покупки по дням'!T$2)</f>
        <v>6</v>
      </c>
      <c r="U5">
        <f>SUMIFS(data!$C:$C,data!$A:$A,"="&amp;'Покупки по дням'!$B5,data!$B:$B,"="&amp;'Покупки по дням'!U$2)</f>
        <v>7</v>
      </c>
      <c r="V5">
        <f>SUMIFS(data!$C:$C,data!$A:$A,"="&amp;'Покупки по дням'!$B5,data!$B:$B,"="&amp;'Покупки по дням'!V$2)</f>
        <v>4</v>
      </c>
      <c r="W5">
        <f>SUMIFS(data!$C:$C,data!$A:$A,"="&amp;'Покупки по дням'!$B5,data!$B:$B,"="&amp;'Покупки по дням'!W$2)</f>
        <v>6</v>
      </c>
      <c r="X5">
        <f>SUMIFS(data!$C:$C,data!$A:$A,"="&amp;'Покупки по дням'!$B5,data!$B:$B,"="&amp;'Покупки по дням'!X$2)</f>
        <v>6</v>
      </c>
      <c r="Y5">
        <f>SUMIFS(data!$C:$C,data!$A:$A,"="&amp;'Покупки по дням'!$B5,data!$B:$B,"="&amp;'Покупки по дням'!Y$2)</f>
        <v>8</v>
      </c>
      <c r="Z5">
        <f>SUMIFS(data!$C:$C,data!$A:$A,"="&amp;'Покупки по дням'!$B5,data!$B:$B,"="&amp;'Покупки по дням'!Z$2)</f>
        <v>2</v>
      </c>
      <c r="AA5">
        <f>SUMIFS(data!$C:$C,data!$A:$A,"="&amp;'Покупки по дням'!$B5,data!$B:$B,"="&amp;'Покупки по дням'!AA$2)</f>
        <v>6</v>
      </c>
      <c r="AB5">
        <f>SUMIFS(data!$C:$C,data!$A:$A,"="&amp;'Покупки по дням'!$B5,data!$B:$B,"="&amp;'Покупки по дням'!AB$2)</f>
        <v>5</v>
      </c>
      <c r="AC5">
        <f>SUMIFS(data!$C:$C,data!$A:$A,"="&amp;'Покупки по дням'!$B5,data!$B:$B,"="&amp;'Покупки по дням'!AC$2)</f>
        <v>3</v>
      </c>
      <c r="AD5">
        <f>SUMIFS(data!$C:$C,data!$A:$A,"="&amp;'Покупки по дням'!$B5,data!$B:$B,"="&amp;'Покупки по дням'!AD$2)</f>
        <v>10</v>
      </c>
      <c r="AE5">
        <f>SUMIFS(data!$C:$C,data!$A:$A,"="&amp;'Покупки по дням'!$B5,data!$B:$B,"="&amp;'Покупки по дням'!AE$2)</f>
        <v>8</v>
      </c>
      <c r="AF5">
        <f>SUMIFS(data!$C:$C,data!$A:$A,"="&amp;'Покупки по дням'!$B5,data!$B:$B,"="&amp;'Покупки по дням'!AF$2)</f>
        <v>2</v>
      </c>
      <c r="AG5">
        <f>SUMIFS(data!$C:$C,data!$A:$A,"="&amp;'Покупки по дням'!$B5,data!$B:$B,"="&amp;'Покупки по дням'!AG$2)</f>
        <v>2</v>
      </c>
      <c r="AH5">
        <f>SUMIFS(data!$C:$C,data!$A:$A,"="&amp;'Покупки по дням'!$B5,data!$B:$B,"="&amp;'Покупки по дням'!AH$2)</f>
        <v>9</v>
      </c>
      <c r="AI5">
        <f>SUMIFS(data!$C:$C,data!$A:$A,"="&amp;'Покупки по дням'!$B5,data!$B:$B,"="&amp;'Покупки по дням'!AI$2)</f>
        <v>6</v>
      </c>
      <c r="AJ5">
        <f>SUMIFS(data!$C:$C,data!$A:$A,"="&amp;'Покупки по дням'!$B5,data!$B:$B,"="&amp;'Покупки по дням'!AJ$2)</f>
        <v>1</v>
      </c>
      <c r="AK5">
        <f>SUMIFS(data!$C:$C,data!$A:$A,"="&amp;'Покупки по дням'!$B5,data!$B:$B,"="&amp;'Покупки по дням'!AK$2)</f>
        <v>9</v>
      </c>
      <c r="AL5">
        <f>SUMIFS(data!$C:$C,data!$A:$A,"="&amp;'Покупки по дням'!$B5,data!$B:$B,"="&amp;'Покупки по дням'!AL$2)</f>
        <v>1</v>
      </c>
      <c r="AM5">
        <f>SUMIFS(data!$C:$C,data!$A:$A,"="&amp;'Покупки по дням'!$B5,data!$B:$B,"="&amp;'Покупки по дням'!AM$2)</f>
        <v>4</v>
      </c>
      <c r="AN5">
        <f>SUMIFS(data!$C:$C,data!$A:$A,"="&amp;'Покупки по дням'!$B5,data!$B:$B,"="&amp;'Покупки по дням'!AN$2)</f>
        <v>4</v>
      </c>
      <c r="AO5">
        <f>SUMIFS(data!$C:$C,data!$A:$A,"="&amp;'Покупки по дням'!$B5,data!$B:$B,"="&amp;'Покупки по дням'!AO$2)</f>
        <v>2</v>
      </c>
      <c r="AP5">
        <f>SUMIFS(data!$C:$C,data!$A:$A,"="&amp;'Покупки по дням'!$B5,data!$B:$B,"="&amp;'Покупки по дням'!AP$2)</f>
        <v>1</v>
      </c>
      <c r="AQ5" s="6">
        <f t="shared" si="0"/>
        <v>0.61817081439201105</v>
      </c>
    </row>
    <row r="6" spans="2:43" ht="28.8" x14ac:dyDescent="0.3">
      <c r="B6" s="17" t="s">
        <v>18</v>
      </c>
      <c r="C6">
        <f>SUMIFS(data!$C:$C,data!$A:$A,"="&amp;'Покупки по дням'!$B6,data!$B:$B,"="&amp;'Покупки по дням'!C$2)</f>
        <v>1</v>
      </c>
      <c r="D6">
        <f>SUMIFS(data!$C:$C,data!$A:$A,"="&amp;'Покупки по дням'!$B6,data!$B:$B,"="&amp;'Покупки по дням'!D$2)</f>
        <v>4</v>
      </c>
      <c r="E6">
        <f>SUMIFS(data!$C:$C,data!$A:$A,"="&amp;'Покупки по дням'!$B6,data!$B:$B,"="&amp;'Покупки по дням'!E$2)</f>
        <v>4</v>
      </c>
      <c r="F6">
        <f>SUMIFS(data!$C:$C,data!$A:$A,"="&amp;'Покупки по дням'!$B6,data!$B:$B,"="&amp;'Покупки по дням'!F$2)</f>
        <v>1</v>
      </c>
      <c r="G6">
        <f>SUMIFS(data!$C:$C,data!$A:$A,"="&amp;'Покупки по дням'!$B6,data!$B:$B,"="&amp;'Покупки по дням'!G$2)</f>
        <v>4</v>
      </c>
      <c r="H6">
        <f>SUMIFS(data!$C:$C,data!$A:$A,"="&amp;'Покупки по дням'!$B6,data!$B:$B,"="&amp;'Покупки по дням'!H$2)</f>
        <v>6</v>
      </c>
      <c r="I6">
        <f>SUMIFS(data!$C:$C,data!$A:$A,"="&amp;'Покупки по дням'!$B6,data!$B:$B,"="&amp;'Покупки по дням'!I$2)</f>
        <v>6</v>
      </c>
      <c r="J6">
        <f>SUMIFS(data!$C:$C,data!$A:$A,"="&amp;'Покупки по дням'!$B6,data!$B:$B,"="&amp;'Покупки по дням'!J$2)</f>
        <v>0</v>
      </c>
      <c r="K6">
        <f>SUMIFS(data!$C:$C,data!$A:$A,"="&amp;'Покупки по дням'!$B6,data!$B:$B,"="&amp;'Покупки по дням'!K$2)</f>
        <v>0</v>
      </c>
      <c r="L6">
        <f>SUMIFS(data!$C:$C,data!$A:$A,"="&amp;'Покупки по дням'!$B6,data!$B:$B,"="&amp;'Покупки по дням'!L$2)</f>
        <v>7</v>
      </c>
      <c r="M6">
        <f>SUMIFS(data!$C:$C,data!$A:$A,"="&amp;'Покупки по дням'!$B6,data!$B:$B,"="&amp;'Покупки по дням'!M$2)</f>
        <v>8</v>
      </c>
      <c r="N6">
        <f>SUMIFS(data!$C:$C,data!$A:$A,"="&amp;'Покупки по дням'!$B6,data!$B:$B,"="&amp;'Покупки по дням'!N$2)</f>
        <v>3</v>
      </c>
      <c r="O6">
        <f>SUMIFS(data!$C:$C,data!$A:$A,"="&amp;'Покупки по дням'!$B6,data!$B:$B,"="&amp;'Покупки по дням'!O$2)</f>
        <v>5</v>
      </c>
      <c r="P6">
        <f>SUMIFS(data!$C:$C,data!$A:$A,"="&amp;'Покупки по дням'!$B6,data!$B:$B,"="&amp;'Покупки по дням'!P$2)</f>
        <v>3</v>
      </c>
      <c r="Q6">
        <f>SUMIFS(data!$C:$C,data!$A:$A,"="&amp;'Покупки по дням'!$B6,data!$B:$B,"="&amp;'Покупки по дням'!Q$2)</f>
        <v>5</v>
      </c>
      <c r="R6">
        <f>SUMIFS(data!$C:$C,data!$A:$A,"="&amp;'Покупки по дням'!$B6,data!$B:$B,"="&amp;'Покупки по дням'!R$2)</f>
        <v>2</v>
      </c>
      <c r="S6">
        <f>SUMIFS(data!$C:$C,data!$A:$A,"="&amp;'Покупки по дням'!$B6,data!$B:$B,"="&amp;'Покупки по дням'!S$2)</f>
        <v>2</v>
      </c>
      <c r="T6">
        <f>SUMIFS(data!$C:$C,data!$A:$A,"="&amp;'Покупки по дням'!$B6,data!$B:$B,"="&amp;'Покупки по дням'!T$2)</f>
        <v>6</v>
      </c>
      <c r="U6">
        <f>SUMIFS(data!$C:$C,data!$A:$A,"="&amp;'Покупки по дням'!$B6,data!$B:$B,"="&amp;'Покупки по дням'!U$2)</f>
        <v>5</v>
      </c>
      <c r="V6">
        <f>SUMIFS(data!$C:$C,data!$A:$A,"="&amp;'Покупки по дням'!$B6,data!$B:$B,"="&amp;'Покупки по дням'!V$2)</f>
        <v>6</v>
      </c>
      <c r="W6">
        <f>SUMIFS(data!$C:$C,data!$A:$A,"="&amp;'Покупки по дням'!$B6,data!$B:$B,"="&amp;'Покупки по дням'!W$2)</f>
        <v>4</v>
      </c>
      <c r="X6">
        <f>SUMIFS(data!$C:$C,data!$A:$A,"="&amp;'Покупки по дням'!$B6,data!$B:$B,"="&amp;'Покупки по дням'!X$2)</f>
        <v>3</v>
      </c>
      <c r="Y6">
        <f>SUMIFS(data!$C:$C,data!$A:$A,"="&amp;'Покупки по дням'!$B6,data!$B:$B,"="&amp;'Покупки по дням'!Y$2)</f>
        <v>6</v>
      </c>
      <c r="Z6">
        <f>SUMIFS(data!$C:$C,data!$A:$A,"="&amp;'Покупки по дням'!$B6,data!$B:$B,"="&amp;'Покупки по дням'!Z$2)</f>
        <v>4</v>
      </c>
      <c r="AA6">
        <f>SUMIFS(data!$C:$C,data!$A:$A,"="&amp;'Покупки по дням'!$B6,data!$B:$B,"="&amp;'Покупки по дням'!AA$2)</f>
        <v>12</v>
      </c>
      <c r="AB6">
        <f>SUMIFS(data!$C:$C,data!$A:$A,"="&amp;'Покупки по дням'!$B6,data!$B:$B,"="&amp;'Покупки по дням'!AB$2)</f>
        <v>5</v>
      </c>
      <c r="AC6">
        <f>SUMIFS(data!$C:$C,data!$A:$A,"="&amp;'Покупки по дням'!$B6,data!$B:$B,"="&amp;'Покупки по дням'!AC$2)</f>
        <v>3</v>
      </c>
      <c r="AD6">
        <f>SUMIFS(data!$C:$C,data!$A:$A,"="&amp;'Покупки по дням'!$B6,data!$B:$B,"="&amp;'Покупки по дням'!AD$2)</f>
        <v>3</v>
      </c>
      <c r="AE6">
        <f>SUMIFS(data!$C:$C,data!$A:$A,"="&amp;'Покупки по дням'!$B6,data!$B:$B,"="&amp;'Покупки по дням'!AE$2)</f>
        <v>5</v>
      </c>
      <c r="AF6">
        <f>SUMIFS(data!$C:$C,data!$A:$A,"="&amp;'Покупки по дням'!$B6,data!$B:$B,"="&amp;'Покупки по дням'!AF$2)</f>
        <v>1</v>
      </c>
      <c r="AG6">
        <f>SUMIFS(data!$C:$C,data!$A:$A,"="&amp;'Покупки по дням'!$B6,data!$B:$B,"="&amp;'Покупки по дням'!AG$2)</f>
        <v>2</v>
      </c>
      <c r="AH6">
        <f>SUMIFS(data!$C:$C,data!$A:$A,"="&amp;'Покупки по дням'!$B6,data!$B:$B,"="&amp;'Покупки по дням'!AH$2)</f>
        <v>2</v>
      </c>
      <c r="AI6">
        <f>SUMIFS(data!$C:$C,data!$A:$A,"="&amp;'Покупки по дням'!$B6,data!$B:$B,"="&amp;'Покупки по дням'!AI$2)</f>
        <v>2</v>
      </c>
      <c r="AJ6">
        <f>SUMIFS(data!$C:$C,data!$A:$A,"="&amp;'Покупки по дням'!$B6,data!$B:$B,"="&amp;'Покупки по дням'!AJ$2)</f>
        <v>3</v>
      </c>
      <c r="AK6">
        <f>SUMIFS(data!$C:$C,data!$A:$A,"="&amp;'Покупки по дням'!$B6,data!$B:$B,"="&amp;'Покупки по дням'!AK$2)</f>
        <v>2</v>
      </c>
      <c r="AL6">
        <f>SUMIFS(data!$C:$C,data!$A:$A,"="&amp;'Покупки по дням'!$B6,data!$B:$B,"="&amp;'Покупки по дням'!AL$2)</f>
        <v>3</v>
      </c>
      <c r="AM6">
        <f>SUMIFS(data!$C:$C,data!$A:$A,"="&amp;'Покупки по дням'!$B6,data!$B:$B,"="&amp;'Покупки по дням'!AM$2)</f>
        <v>1</v>
      </c>
      <c r="AN6">
        <f>SUMIFS(data!$C:$C,data!$A:$A,"="&amp;'Покупки по дням'!$B6,data!$B:$B,"="&amp;'Покупки по дням'!AN$2)</f>
        <v>6</v>
      </c>
      <c r="AO6">
        <f>SUMIFS(data!$C:$C,data!$A:$A,"="&amp;'Покупки по дням'!$B6,data!$B:$B,"="&amp;'Покупки по дням'!AO$2)</f>
        <v>6</v>
      </c>
      <c r="AP6">
        <f>SUMIFS(data!$C:$C,data!$A:$A,"="&amp;'Покупки по дням'!$B6,data!$B:$B,"="&amp;'Покупки по дням'!AP$2)</f>
        <v>3</v>
      </c>
      <c r="AQ6" s="6">
        <f t="shared" si="0"/>
        <v>0.61844536394814531</v>
      </c>
    </row>
    <row r="7" spans="2:43" ht="28.8" x14ac:dyDescent="0.3">
      <c r="B7" s="17" t="s">
        <v>32</v>
      </c>
      <c r="C7">
        <f>SUMIFS(data!$C:$C,data!$A:$A,"="&amp;'Покупки по дням'!$B7,data!$B:$B,"="&amp;'Покупки по дням'!C$2)</f>
        <v>1</v>
      </c>
      <c r="D7">
        <f>SUMIFS(data!$C:$C,data!$A:$A,"="&amp;'Покупки по дням'!$B7,data!$B:$B,"="&amp;'Покупки по дням'!D$2)</f>
        <v>2</v>
      </c>
      <c r="E7">
        <f>SUMIFS(data!$C:$C,data!$A:$A,"="&amp;'Покупки по дням'!$B7,data!$B:$B,"="&amp;'Покупки по дням'!E$2)</f>
        <v>0</v>
      </c>
      <c r="F7">
        <f>SUMIFS(data!$C:$C,data!$A:$A,"="&amp;'Покупки по дням'!$B7,data!$B:$B,"="&amp;'Покупки по дням'!F$2)</f>
        <v>1</v>
      </c>
      <c r="G7">
        <f>SUMIFS(data!$C:$C,data!$A:$A,"="&amp;'Покупки по дням'!$B7,data!$B:$B,"="&amp;'Покупки по дням'!G$2)</f>
        <v>1</v>
      </c>
      <c r="H7">
        <f>SUMIFS(data!$C:$C,data!$A:$A,"="&amp;'Покупки по дням'!$B7,data!$B:$B,"="&amp;'Покупки по дням'!H$2)</f>
        <v>3</v>
      </c>
      <c r="I7">
        <f>SUMIFS(data!$C:$C,data!$A:$A,"="&amp;'Покупки по дням'!$B7,data!$B:$B,"="&amp;'Покупки по дням'!I$2)</f>
        <v>2</v>
      </c>
      <c r="J7">
        <f>SUMIFS(data!$C:$C,data!$A:$A,"="&amp;'Покупки по дням'!$B7,data!$B:$B,"="&amp;'Покупки по дням'!J$2)</f>
        <v>0</v>
      </c>
      <c r="K7">
        <f>SUMIFS(data!$C:$C,data!$A:$A,"="&amp;'Покупки по дням'!$B7,data!$B:$B,"="&amp;'Покупки по дням'!K$2)</f>
        <v>0</v>
      </c>
      <c r="L7">
        <f>SUMIFS(data!$C:$C,data!$A:$A,"="&amp;'Покупки по дням'!$B7,data!$B:$B,"="&amp;'Покупки по дням'!L$2)</f>
        <v>1</v>
      </c>
      <c r="M7">
        <f>SUMIFS(data!$C:$C,data!$A:$A,"="&amp;'Покупки по дням'!$B7,data!$B:$B,"="&amp;'Покупки по дням'!M$2)</f>
        <v>2.1</v>
      </c>
      <c r="N7">
        <f>SUMIFS(data!$C:$C,data!$A:$A,"="&amp;'Покупки по дням'!$B7,data!$B:$B,"="&amp;'Покупки по дням'!N$2)</f>
        <v>6.5</v>
      </c>
      <c r="O7">
        <f>SUMIFS(data!$C:$C,data!$A:$A,"="&amp;'Покупки по дням'!$B7,data!$B:$B,"="&amp;'Покупки по дням'!O$2)</f>
        <v>3</v>
      </c>
      <c r="P7">
        <f>SUMIFS(data!$C:$C,data!$A:$A,"="&amp;'Покупки по дням'!$B7,data!$B:$B,"="&amp;'Покупки по дням'!P$2)</f>
        <v>2.2000000000000002</v>
      </c>
      <c r="Q7">
        <f>SUMIFS(data!$C:$C,data!$A:$A,"="&amp;'Покупки по дням'!$B7,data!$B:$B,"="&amp;'Покупки по дням'!Q$2)</f>
        <v>2</v>
      </c>
      <c r="R7">
        <f>SUMIFS(data!$C:$C,data!$A:$A,"="&amp;'Покупки по дням'!$B7,data!$B:$B,"="&amp;'Покупки по дням'!R$2)</f>
        <v>3.1</v>
      </c>
      <c r="S7">
        <f>SUMIFS(data!$C:$C,data!$A:$A,"="&amp;'Покупки по дням'!$B7,data!$B:$B,"="&amp;'Покупки по дням'!S$2)</f>
        <v>4.0999999999999996</v>
      </c>
      <c r="T7">
        <f>SUMIFS(data!$C:$C,data!$A:$A,"="&amp;'Покупки по дням'!$B7,data!$B:$B,"="&amp;'Покупки по дням'!T$2)</f>
        <v>2</v>
      </c>
      <c r="U7">
        <f>SUMIFS(data!$C:$C,data!$A:$A,"="&amp;'Покупки по дням'!$B7,data!$B:$B,"="&amp;'Покупки по дням'!U$2)</f>
        <v>2</v>
      </c>
      <c r="V7">
        <f>SUMIFS(data!$C:$C,data!$A:$A,"="&amp;'Покупки по дням'!$B7,data!$B:$B,"="&amp;'Покупки по дням'!V$2)</f>
        <v>0</v>
      </c>
      <c r="W7">
        <f>SUMIFS(data!$C:$C,data!$A:$A,"="&amp;'Покупки по дням'!$B7,data!$B:$B,"="&amp;'Покупки по дням'!W$2)</f>
        <v>4</v>
      </c>
      <c r="X7">
        <f>SUMIFS(data!$C:$C,data!$A:$A,"="&amp;'Покупки по дням'!$B7,data!$B:$B,"="&amp;'Покупки по дням'!X$2)</f>
        <v>2.5</v>
      </c>
      <c r="Y7">
        <f>SUMIFS(data!$C:$C,data!$A:$A,"="&amp;'Покупки по дням'!$B7,data!$B:$B,"="&amp;'Покупки по дням'!Y$2)</f>
        <v>4.5999999999999996</v>
      </c>
      <c r="Z7">
        <f>SUMIFS(data!$C:$C,data!$A:$A,"="&amp;'Покупки по дням'!$B7,data!$B:$B,"="&amp;'Покупки по дням'!Z$2)</f>
        <v>0.6</v>
      </c>
      <c r="AA7">
        <f>SUMIFS(data!$C:$C,data!$A:$A,"="&amp;'Покупки по дням'!$B7,data!$B:$B,"="&amp;'Покупки по дням'!AA$2)</f>
        <v>1</v>
      </c>
      <c r="AB7">
        <f>SUMIFS(data!$C:$C,data!$A:$A,"="&amp;'Покупки по дням'!$B7,data!$B:$B,"="&amp;'Покупки по дням'!AB$2)</f>
        <v>1.3</v>
      </c>
      <c r="AC7">
        <f>SUMIFS(data!$C:$C,data!$A:$A,"="&amp;'Покупки по дням'!$B7,data!$B:$B,"="&amp;'Покупки по дням'!AC$2)</f>
        <v>3.5</v>
      </c>
      <c r="AD7">
        <f>SUMIFS(data!$C:$C,data!$A:$A,"="&amp;'Покупки по дням'!$B7,data!$B:$B,"="&amp;'Покупки по дням'!AD$2)</f>
        <v>2</v>
      </c>
      <c r="AE7">
        <f>SUMIFS(data!$C:$C,data!$A:$A,"="&amp;'Покупки по дням'!$B7,data!$B:$B,"="&amp;'Покупки по дням'!AE$2)</f>
        <v>1.1000000000000001</v>
      </c>
      <c r="AF7">
        <f>SUMIFS(data!$C:$C,data!$A:$A,"="&amp;'Покупки по дням'!$B7,data!$B:$B,"="&amp;'Покупки по дням'!AF$2)</f>
        <v>1.2</v>
      </c>
      <c r="AG7">
        <f>SUMIFS(data!$C:$C,data!$A:$A,"="&amp;'Покупки по дням'!$B7,data!$B:$B,"="&amp;'Покупки по дням'!AG$2)</f>
        <v>3</v>
      </c>
      <c r="AH7">
        <f>SUMIFS(data!$C:$C,data!$A:$A,"="&amp;'Покупки по дням'!$B7,data!$B:$B,"="&amp;'Покупки по дням'!AH$2)</f>
        <v>1</v>
      </c>
      <c r="AI7">
        <f>SUMIFS(data!$C:$C,data!$A:$A,"="&amp;'Покупки по дням'!$B7,data!$B:$B,"="&amp;'Покупки по дням'!AI$2)</f>
        <v>1.5</v>
      </c>
      <c r="AJ7">
        <f>SUMIFS(data!$C:$C,data!$A:$A,"="&amp;'Покупки по дням'!$B7,data!$B:$B,"="&amp;'Покупки по дням'!AJ$2)</f>
        <v>3</v>
      </c>
      <c r="AK7">
        <f>SUMIFS(data!$C:$C,data!$A:$A,"="&amp;'Покупки по дням'!$B7,data!$B:$B,"="&amp;'Покупки по дням'!AK$2)</f>
        <v>1</v>
      </c>
      <c r="AL7">
        <f>SUMIFS(data!$C:$C,data!$A:$A,"="&amp;'Покупки по дням'!$B7,data!$B:$B,"="&amp;'Покупки по дням'!AL$2)</f>
        <v>1</v>
      </c>
      <c r="AM7">
        <f>SUMIFS(data!$C:$C,data!$A:$A,"="&amp;'Покупки по дням'!$B7,data!$B:$B,"="&amp;'Покупки по дням'!AM$2)</f>
        <v>2</v>
      </c>
      <c r="AN7">
        <f>SUMIFS(data!$C:$C,data!$A:$A,"="&amp;'Покупки по дням'!$B7,data!$B:$B,"="&amp;'Покупки по дням'!AN$2)</f>
        <v>0.5</v>
      </c>
      <c r="AO7">
        <f>SUMIFS(data!$C:$C,data!$A:$A,"="&amp;'Покупки по дням'!$B7,data!$B:$B,"="&amp;'Покупки по дням'!AO$2)</f>
        <v>3.8</v>
      </c>
      <c r="AP7">
        <f>SUMIFS(data!$C:$C,data!$A:$A,"="&amp;'Покупки по дням'!$B7,data!$B:$B,"="&amp;'Покупки по дням'!AP$2)</f>
        <v>1.5</v>
      </c>
      <c r="AQ7" s="6">
        <f t="shared" si="0"/>
        <v>0.7195565023841316</v>
      </c>
    </row>
    <row r="8" spans="2:43" ht="28.8" x14ac:dyDescent="0.3">
      <c r="B8" s="17" t="s">
        <v>95</v>
      </c>
      <c r="C8">
        <f>SUMIFS(data!$C:$C,data!$A:$A,"="&amp;'Покупки по дням'!$B8,data!$B:$B,"="&amp;'Покупки по дням'!C$2)</f>
        <v>2.1</v>
      </c>
      <c r="D8">
        <f>SUMIFS(data!$C:$C,data!$A:$A,"="&amp;'Покупки по дням'!$B8,data!$B:$B,"="&amp;'Покупки по дням'!D$2)</f>
        <v>2.2999999999999998</v>
      </c>
      <c r="E8">
        <f>SUMIFS(data!$C:$C,data!$A:$A,"="&amp;'Покупки по дням'!$B8,data!$B:$B,"="&amp;'Покупки по дням'!E$2)</f>
        <v>5.2</v>
      </c>
      <c r="F8">
        <f>SUMIFS(data!$C:$C,data!$A:$A,"="&amp;'Покупки по дням'!$B8,data!$B:$B,"="&amp;'Покупки по дням'!F$2)</f>
        <v>5.3</v>
      </c>
      <c r="G8">
        <f>SUMIFS(data!$C:$C,data!$A:$A,"="&amp;'Покупки по дням'!$B8,data!$B:$B,"="&amp;'Покупки по дням'!G$2)</f>
        <v>3</v>
      </c>
      <c r="H8">
        <f>SUMIFS(data!$C:$C,data!$A:$A,"="&amp;'Покупки по дням'!$B8,data!$B:$B,"="&amp;'Покупки по дням'!H$2)</f>
        <v>1</v>
      </c>
      <c r="I8">
        <f>SUMIFS(data!$C:$C,data!$A:$A,"="&amp;'Покупки по дням'!$B8,data!$B:$B,"="&amp;'Покупки по дням'!I$2)</f>
        <v>4.2</v>
      </c>
      <c r="J8">
        <f>SUMIFS(data!$C:$C,data!$A:$A,"="&amp;'Покупки по дням'!$B8,data!$B:$B,"="&amp;'Покупки по дням'!J$2)</f>
        <v>1.1000000000000001</v>
      </c>
      <c r="K8">
        <f>SUMIFS(data!$C:$C,data!$A:$A,"="&amp;'Покупки по дням'!$B8,data!$B:$B,"="&amp;'Покупки по дням'!K$2)</f>
        <v>0</v>
      </c>
      <c r="L8">
        <f>SUMIFS(data!$C:$C,data!$A:$A,"="&amp;'Покупки по дням'!$B8,data!$B:$B,"="&amp;'Покупки по дням'!L$2)</f>
        <v>3</v>
      </c>
      <c r="M8">
        <f>SUMIFS(data!$C:$C,data!$A:$A,"="&amp;'Покупки по дням'!$B8,data!$B:$B,"="&amp;'Покупки по дням'!M$2)</f>
        <v>2.6</v>
      </c>
      <c r="N8">
        <f>SUMIFS(data!$C:$C,data!$A:$A,"="&amp;'Покупки по дням'!$B8,data!$B:$B,"="&amp;'Покупки по дням'!N$2)</f>
        <v>4.5</v>
      </c>
      <c r="O8">
        <f>SUMIFS(data!$C:$C,data!$A:$A,"="&amp;'Покупки по дням'!$B8,data!$B:$B,"="&amp;'Покупки по дням'!O$2)</f>
        <v>3</v>
      </c>
      <c r="P8">
        <f>SUMIFS(data!$C:$C,data!$A:$A,"="&amp;'Покупки по дням'!$B8,data!$B:$B,"="&amp;'Покупки по дням'!P$2)</f>
        <v>2</v>
      </c>
      <c r="Q8">
        <f>SUMIFS(data!$C:$C,data!$A:$A,"="&amp;'Покупки по дням'!$B8,data!$B:$B,"="&amp;'Покупки по дням'!Q$2)</f>
        <v>2.1</v>
      </c>
      <c r="R8">
        <f>SUMIFS(data!$C:$C,data!$A:$A,"="&amp;'Покупки по дням'!$B8,data!$B:$B,"="&amp;'Покупки по дням'!R$2)</f>
        <v>2</v>
      </c>
      <c r="S8">
        <f>SUMIFS(data!$C:$C,data!$A:$A,"="&amp;'Покупки по дням'!$B8,data!$B:$B,"="&amp;'Покупки по дням'!S$2)</f>
        <v>5</v>
      </c>
      <c r="T8">
        <f>SUMIFS(data!$C:$C,data!$A:$A,"="&amp;'Покупки по дням'!$B8,data!$B:$B,"="&amp;'Покупки по дням'!T$2)</f>
        <v>1.9</v>
      </c>
      <c r="U8">
        <f>SUMIFS(data!$C:$C,data!$A:$A,"="&amp;'Покупки по дням'!$B8,data!$B:$B,"="&amp;'Покупки по дням'!U$2)</f>
        <v>5</v>
      </c>
      <c r="V8">
        <f>SUMIFS(data!$C:$C,data!$A:$A,"="&amp;'Покупки по дням'!$B8,data!$B:$B,"="&amp;'Покупки по дням'!V$2)</f>
        <v>1</v>
      </c>
      <c r="W8">
        <f>SUMIFS(data!$C:$C,data!$A:$A,"="&amp;'Покупки по дням'!$B8,data!$B:$B,"="&amp;'Покупки по дням'!W$2)</f>
        <v>3.5</v>
      </c>
      <c r="X8">
        <f>SUMIFS(data!$C:$C,data!$A:$A,"="&amp;'Покупки по дням'!$B8,data!$B:$B,"="&amp;'Покупки по дням'!X$2)</f>
        <v>1.5</v>
      </c>
      <c r="Y8">
        <f>SUMIFS(data!$C:$C,data!$A:$A,"="&amp;'Покупки по дням'!$B8,data!$B:$B,"="&amp;'Покупки по дням'!Y$2)</f>
        <v>4</v>
      </c>
      <c r="Z8">
        <f>SUMIFS(data!$C:$C,data!$A:$A,"="&amp;'Покупки по дням'!$B8,data!$B:$B,"="&amp;'Покупки по дням'!Z$2)</f>
        <v>2</v>
      </c>
      <c r="AA8">
        <f>SUMIFS(data!$C:$C,data!$A:$A,"="&amp;'Покупки по дням'!$B8,data!$B:$B,"="&amp;'Покупки по дням'!AA$2)</f>
        <v>1.4000000000000001</v>
      </c>
      <c r="AB8">
        <f>SUMIFS(data!$C:$C,data!$A:$A,"="&amp;'Покупки по дням'!$B8,data!$B:$B,"="&amp;'Покупки по дням'!AB$2)</f>
        <v>2</v>
      </c>
      <c r="AC8">
        <f>SUMIFS(data!$C:$C,data!$A:$A,"="&amp;'Покупки по дням'!$B8,data!$B:$B,"="&amp;'Покупки по дням'!AC$2)</f>
        <v>2</v>
      </c>
      <c r="AD8">
        <f>SUMIFS(data!$C:$C,data!$A:$A,"="&amp;'Покупки по дням'!$B8,data!$B:$B,"="&amp;'Покупки по дням'!AD$2)</f>
        <v>1.5</v>
      </c>
      <c r="AE8">
        <f>SUMIFS(data!$C:$C,data!$A:$A,"="&amp;'Покупки по дням'!$B8,data!$B:$B,"="&amp;'Покупки по дням'!AE$2)</f>
        <v>2.2000000000000002</v>
      </c>
      <c r="AF8">
        <f>SUMIFS(data!$C:$C,data!$A:$A,"="&amp;'Покупки по дням'!$B8,data!$B:$B,"="&amp;'Покупки по дням'!AF$2)</f>
        <v>2.2999999999999998</v>
      </c>
      <c r="AG8">
        <f>SUMIFS(data!$C:$C,data!$A:$A,"="&amp;'Покупки по дням'!$B8,data!$B:$B,"="&amp;'Покупки по дням'!AG$2)</f>
        <v>3.6</v>
      </c>
      <c r="AH8">
        <f>SUMIFS(data!$C:$C,data!$A:$A,"="&amp;'Покупки по дням'!$B8,data!$B:$B,"="&amp;'Покупки по дням'!AH$2)</f>
        <v>5.3</v>
      </c>
      <c r="AI8">
        <f>SUMIFS(data!$C:$C,data!$A:$A,"="&amp;'Покупки по дням'!$B8,data!$B:$B,"="&amp;'Покупки по дням'!AI$2)</f>
        <v>5</v>
      </c>
      <c r="AJ8">
        <f>SUMIFS(data!$C:$C,data!$A:$A,"="&amp;'Покупки по дням'!$B8,data!$B:$B,"="&amp;'Покупки по дням'!AJ$2)</f>
        <v>5.5</v>
      </c>
      <c r="AK8">
        <f>SUMIFS(data!$C:$C,data!$A:$A,"="&amp;'Покупки по дням'!$B8,data!$B:$B,"="&amp;'Покупки по дням'!AK$2)</f>
        <v>0.60000000000000009</v>
      </c>
      <c r="AL8">
        <f>SUMIFS(data!$C:$C,data!$A:$A,"="&amp;'Покупки по дням'!$B8,data!$B:$B,"="&amp;'Покупки по дням'!AL$2)</f>
        <v>3.7</v>
      </c>
      <c r="AM8">
        <f>SUMIFS(data!$C:$C,data!$A:$A,"="&amp;'Покупки по дням'!$B8,data!$B:$B,"="&amp;'Покупки по дням'!AM$2)</f>
        <v>3.5</v>
      </c>
      <c r="AN8">
        <f>SUMIFS(data!$C:$C,data!$A:$A,"="&amp;'Покупки по дням'!$B8,data!$B:$B,"="&amp;'Покупки по дням'!AN$2)</f>
        <v>2.6</v>
      </c>
      <c r="AO8">
        <f>SUMIFS(data!$C:$C,data!$A:$A,"="&amp;'Покупки по дням'!$B8,data!$B:$B,"="&amp;'Покупки по дням'!AO$2)</f>
        <v>5.5</v>
      </c>
      <c r="AP8">
        <f>SUMIFS(data!$C:$C,data!$A:$A,"="&amp;'Покупки по дням'!$B8,data!$B:$B,"="&amp;'Покупки по дням'!AP$2)</f>
        <v>1.6</v>
      </c>
      <c r="AQ8" s="6">
        <f t="shared" si="0"/>
        <v>0.52749727336081687</v>
      </c>
    </row>
    <row r="9" spans="2:43" ht="28.8" x14ac:dyDescent="0.3">
      <c r="B9" s="17" t="s">
        <v>56</v>
      </c>
      <c r="C9">
        <f>SUMIFS(data!$C:$C,data!$A:$A,"="&amp;'Покупки по дням'!$B9,data!$B:$B,"="&amp;'Покупки по дням'!C$2)</f>
        <v>3</v>
      </c>
      <c r="D9">
        <f>SUMIFS(data!$C:$C,data!$A:$A,"="&amp;'Покупки по дням'!$B9,data!$B:$B,"="&amp;'Покупки по дням'!D$2)</f>
        <v>1</v>
      </c>
      <c r="E9">
        <f>SUMIFS(data!$C:$C,data!$A:$A,"="&amp;'Покупки по дням'!$B9,data!$B:$B,"="&amp;'Покупки по дням'!E$2)</f>
        <v>1</v>
      </c>
      <c r="F9">
        <f>SUMIFS(data!$C:$C,data!$A:$A,"="&amp;'Покупки по дням'!$B9,data!$B:$B,"="&amp;'Покупки по дням'!F$2)</f>
        <v>12</v>
      </c>
      <c r="G9">
        <f>SUMIFS(data!$C:$C,data!$A:$A,"="&amp;'Покупки по дням'!$B9,data!$B:$B,"="&amp;'Покупки по дням'!G$2)</f>
        <v>8</v>
      </c>
      <c r="H9">
        <f>SUMIFS(data!$C:$C,data!$A:$A,"="&amp;'Покупки по дням'!$B9,data!$B:$B,"="&amp;'Покупки по дням'!H$2)</f>
        <v>5</v>
      </c>
      <c r="I9">
        <f>SUMIFS(data!$C:$C,data!$A:$A,"="&amp;'Покупки по дням'!$B9,data!$B:$B,"="&amp;'Покупки по дням'!I$2)</f>
        <v>5</v>
      </c>
      <c r="J9">
        <f>SUMIFS(data!$C:$C,data!$A:$A,"="&amp;'Покупки по дням'!$B9,data!$B:$B,"="&amp;'Покупки по дням'!J$2)</f>
        <v>4</v>
      </c>
      <c r="K9">
        <f>SUMIFS(data!$C:$C,data!$A:$A,"="&amp;'Покупки по дням'!$B9,data!$B:$B,"="&amp;'Покупки по дням'!K$2)</f>
        <v>0</v>
      </c>
      <c r="L9">
        <f>SUMIFS(data!$C:$C,data!$A:$A,"="&amp;'Покупки по дням'!$B9,data!$B:$B,"="&amp;'Покупки по дням'!L$2)</f>
        <v>4</v>
      </c>
      <c r="M9">
        <f>SUMIFS(data!$C:$C,data!$A:$A,"="&amp;'Покупки по дням'!$B9,data!$B:$B,"="&amp;'Покупки по дням'!M$2)</f>
        <v>10</v>
      </c>
      <c r="N9">
        <f>SUMIFS(data!$C:$C,data!$A:$A,"="&amp;'Покупки по дням'!$B9,data!$B:$B,"="&amp;'Покупки по дням'!N$2)</f>
        <v>7</v>
      </c>
      <c r="O9">
        <f>SUMIFS(data!$C:$C,data!$A:$A,"="&amp;'Покупки по дням'!$B9,data!$B:$B,"="&amp;'Покупки по дням'!O$2)</f>
        <v>15</v>
      </c>
      <c r="P9">
        <f>SUMIFS(data!$C:$C,data!$A:$A,"="&amp;'Покупки по дням'!$B9,data!$B:$B,"="&amp;'Покупки по дням'!P$2)</f>
        <v>6</v>
      </c>
      <c r="Q9">
        <f>SUMIFS(data!$C:$C,data!$A:$A,"="&amp;'Покупки по дням'!$B9,data!$B:$B,"="&amp;'Покупки по дням'!Q$2)</f>
        <v>0</v>
      </c>
      <c r="R9">
        <f>SUMIFS(data!$C:$C,data!$A:$A,"="&amp;'Покупки по дням'!$B9,data!$B:$B,"="&amp;'Покупки по дням'!R$2)</f>
        <v>8</v>
      </c>
      <c r="S9">
        <f>SUMIFS(data!$C:$C,data!$A:$A,"="&amp;'Покупки по дням'!$B9,data!$B:$B,"="&amp;'Покупки по дням'!S$2)</f>
        <v>6</v>
      </c>
      <c r="T9">
        <f>SUMIFS(data!$C:$C,data!$A:$A,"="&amp;'Покупки по дням'!$B9,data!$B:$B,"="&amp;'Покупки по дням'!T$2)</f>
        <v>4</v>
      </c>
      <c r="U9">
        <f>SUMIFS(data!$C:$C,data!$A:$A,"="&amp;'Покупки по дням'!$B9,data!$B:$B,"="&amp;'Покупки по дням'!U$2)</f>
        <v>10</v>
      </c>
      <c r="V9">
        <f>SUMIFS(data!$C:$C,data!$A:$A,"="&amp;'Покупки по дням'!$B9,data!$B:$B,"="&amp;'Покупки по дням'!V$2)</f>
        <v>3</v>
      </c>
      <c r="W9">
        <f>SUMIFS(data!$C:$C,data!$A:$A,"="&amp;'Покупки по дням'!$B9,data!$B:$B,"="&amp;'Покупки по дням'!W$2)</f>
        <v>5</v>
      </c>
      <c r="X9">
        <f>SUMIFS(data!$C:$C,data!$A:$A,"="&amp;'Покупки по дням'!$B9,data!$B:$B,"="&amp;'Покупки по дням'!X$2)</f>
        <v>10</v>
      </c>
      <c r="Y9">
        <f>SUMIFS(data!$C:$C,data!$A:$A,"="&amp;'Покупки по дням'!$B9,data!$B:$B,"="&amp;'Покупки по дням'!Y$2)</f>
        <v>5</v>
      </c>
      <c r="Z9">
        <f>SUMIFS(data!$C:$C,data!$A:$A,"="&amp;'Покупки по дням'!$B9,data!$B:$B,"="&amp;'Покупки по дням'!Z$2)</f>
        <v>6</v>
      </c>
      <c r="AA9">
        <f>SUMIFS(data!$C:$C,data!$A:$A,"="&amp;'Покупки по дням'!$B9,data!$B:$B,"="&amp;'Покупки по дням'!AA$2)</f>
        <v>1</v>
      </c>
      <c r="AB9">
        <f>SUMIFS(data!$C:$C,data!$A:$A,"="&amp;'Покупки по дням'!$B9,data!$B:$B,"="&amp;'Покупки по дням'!AB$2)</f>
        <v>4</v>
      </c>
      <c r="AC9">
        <f>SUMIFS(data!$C:$C,data!$A:$A,"="&amp;'Покупки по дням'!$B9,data!$B:$B,"="&amp;'Покупки по дням'!AC$2)</f>
        <v>3</v>
      </c>
      <c r="AD9">
        <f>SUMIFS(data!$C:$C,data!$A:$A,"="&amp;'Покупки по дням'!$B9,data!$B:$B,"="&amp;'Покупки по дням'!AD$2)</f>
        <v>8</v>
      </c>
      <c r="AE9">
        <f>SUMIFS(data!$C:$C,data!$A:$A,"="&amp;'Покупки по дням'!$B9,data!$B:$B,"="&amp;'Покупки по дням'!AE$2)</f>
        <v>4</v>
      </c>
      <c r="AF9">
        <f>SUMIFS(data!$C:$C,data!$A:$A,"="&amp;'Покупки по дням'!$B9,data!$B:$B,"="&amp;'Покупки по дням'!AF$2)</f>
        <v>0</v>
      </c>
      <c r="AG9">
        <f>SUMIFS(data!$C:$C,data!$A:$A,"="&amp;'Покупки по дням'!$B9,data!$B:$B,"="&amp;'Покупки по дням'!AG$2)</f>
        <v>6</v>
      </c>
      <c r="AH9">
        <f>SUMIFS(data!$C:$C,data!$A:$A,"="&amp;'Покупки по дням'!$B9,data!$B:$B,"="&amp;'Покупки по дням'!AH$2)</f>
        <v>3</v>
      </c>
      <c r="AI9">
        <f>SUMIFS(data!$C:$C,data!$A:$A,"="&amp;'Покупки по дням'!$B9,data!$B:$B,"="&amp;'Покупки по дням'!AI$2)</f>
        <v>4</v>
      </c>
      <c r="AJ9">
        <f>SUMIFS(data!$C:$C,data!$A:$A,"="&amp;'Покупки по дням'!$B9,data!$B:$B,"="&amp;'Покупки по дням'!AJ$2)</f>
        <v>2</v>
      </c>
      <c r="AK9">
        <f>SUMIFS(data!$C:$C,data!$A:$A,"="&amp;'Покупки по дням'!$B9,data!$B:$B,"="&amp;'Покупки по дням'!AK$2)</f>
        <v>4</v>
      </c>
      <c r="AL9">
        <f>SUMIFS(data!$C:$C,data!$A:$A,"="&amp;'Покупки по дням'!$B9,data!$B:$B,"="&amp;'Покупки по дням'!AL$2)</f>
        <v>3</v>
      </c>
      <c r="AM9">
        <f>SUMIFS(data!$C:$C,data!$A:$A,"="&amp;'Покупки по дням'!$B9,data!$B:$B,"="&amp;'Покупки по дням'!AM$2)</f>
        <v>5</v>
      </c>
      <c r="AN9">
        <f>SUMIFS(data!$C:$C,data!$A:$A,"="&amp;'Покупки по дням'!$B9,data!$B:$B,"="&amp;'Покупки по дням'!AN$2)</f>
        <v>2</v>
      </c>
      <c r="AO9">
        <f>SUMIFS(data!$C:$C,data!$A:$A,"="&amp;'Покупки по дням'!$B9,data!$B:$B,"="&amp;'Покупки по дням'!AO$2)</f>
        <v>5</v>
      </c>
      <c r="AP9">
        <f>SUMIFS(data!$C:$C,data!$A:$A,"="&amp;'Покупки по дням'!$B9,data!$B:$B,"="&amp;'Покупки по дням'!AP$2)</f>
        <v>2</v>
      </c>
      <c r="AQ9" s="6">
        <f t="shared" si="0"/>
        <v>0.68868480281801669</v>
      </c>
    </row>
    <row r="10" spans="2:43" ht="28.8" x14ac:dyDescent="0.3">
      <c r="B10" s="17" t="s">
        <v>93</v>
      </c>
      <c r="C10">
        <f>SUMIFS(data!$C:$C,data!$A:$A,"="&amp;'Покупки по дням'!$B10,data!$B:$B,"="&amp;'Покупки по дням'!C$2)</f>
        <v>7</v>
      </c>
      <c r="D10">
        <f>SUMIFS(data!$C:$C,data!$A:$A,"="&amp;'Покупки по дням'!$B10,data!$B:$B,"="&amp;'Покупки по дням'!D$2)</f>
        <v>4</v>
      </c>
      <c r="E10">
        <f>SUMIFS(data!$C:$C,data!$A:$A,"="&amp;'Покупки по дням'!$B10,data!$B:$B,"="&amp;'Покупки по дням'!E$2)</f>
        <v>3</v>
      </c>
      <c r="F10">
        <f>SUMIFS(data!$C:$C,data!$A:$A,"="&amp;'Покупки по дням'!$B10,data!$B:$B,"="&amp;'Покупки по дням'!F$2)</f>
        <v>5</v>
      </c>
      <c r="G10">
        <f>SUMIFS(data!$C:$C,data!$A:$A,"="&amp;'Покупки по дням'!$B10,data!$B:$B,"="&amp;'Покупки по дням'!G$2)</f>
        <v>5</v>
      </c>
      <c r="H10">
        <f>SUMIFS(data!$C:$C,data!$A:$A,"="&amp;'Покупки по дням'!$B10,data!$B:$B,"="&amp;'Покупки по дням'!H$2)</f>
        <v>4</v>
      </c>
      <c r="I10">
        <f>SUMIFS(data!$C:$C,data!$A:$A,"="&amp;'Покупки по дням'!$B10,data!$B:$B,"="&amp;'Покупки по дням'!I$2)</f>
        <v>3</v>
      </c>
      <c r="J10">
        <f>SUMIFS(data!$C:$C,data!$A:$A,"="&amp;'Покупки по дням'!$B10,data!$B:$B,"="&amp;'Покупки по дням'!J$2)</f>
        <v>3</v>
      </c>
      <c r="K10">
        <f>SUMIFS(data!$C:$C,data!$A:$A,"="&amp;'Покупки по дням'!$B10,data!$B:$B,"="&amp;'Покупки по дням'!K$2)</f>
        <v>0</v>
      </c>
      <c r="L10">
        <f>SUMIFS(data!$C:$C,data!$A:$A,"="&amp;'Покупки по дням'!$B10,data!$B:$B,"="&amp;'Покупки по дням'!L$2)</f>
        <v>1</v>
      </c>
      <c r="M10">
        <f>SUMIFS(data!$C:$C,data!$A:$A,"="&amp;'Покупки по дням'!$B10,data!$B:$B,"="&amp;'Покупки по дням'!M$2)</f>
        <v>3</v>
      </c>
      <c r="N10">
        <f>SUMIFS(data!$C:$C,data!$A:$A,"="&amp;'Покупки по дням'!$B10,data!$B:$B,"="&amp;'Покупки по дням'!N$2)</f>
        <v>9</v>
      </c>
      <c r="O10">
        <f>SUMIFS(data!$C:$C,data!$A:$A,"="&amp;'Покупки по дням'!$B10,data!$B:$B,"="&amp;'Покупки по дням'!O$2)</f>
        <v>2</v>
      </c>
      <c r="P10">
        <f>SUMIFS(data!$C:$C,data!$A:$A,"="&amp;'Покупки по дням'!$B10,data!$B:$B,"="&amp;'Покупки по дням'!P$2)</f>
        <v>6</v>
      </c>
      <c r="Q10">
        <f>SUMIFS(data!$C:$C,data!$A:$A,"="&amp;'Покупки по дням'!$B10,data!$B:$B,"="&amp;'Покупки по дням'!Q$2)</f>
        <v>2</v>
      </c>
      <c r="R10">
        <f>SUMIFS(data!$C:$C,data!$A:$A,"="&amp;'Покупки по дням'!$B10,data!$B:$B,"="&amp;'Покупки по дням'!R$2)</f>
        <v>4</v>
      </c>
      <c r="S10">
        <f>SUMIFS(data!$C:$C,data!$A:$A,"="&amp;'Покупки по дням'!$B10,data!$B:$B,"="&amp;'Покупки по дням'!S$2)</f>
        <v>3</v>
      </c>
      <c r="T10">
        <f>SUMIFS(data!$C:$C,data!$A:$A,"="&amp;'Покупки по дням'!$B10,data!$B:$B,"="&amp;'Покупки по дням'!T$2)</f>
        <v>6</v>
      </c>
      <c r="U10">
        <f>SUMIFS(data!$C:$C,data!$A:$A,"="&amp;'Покупки по дням'!$B10,data!$B:$B,"="&amp;'Покупки по дням'!U$2)</f>
        <v>4</v>
      </c>
      <c r="V10">
        <f>SUMIFS(data!$C:$C,data!$A:$A,"="&amp;'Покупки по дням'!$B10,data!$B:$B,"="&amp;'Покупки по дням'!V$2)</f>
        <v>4</v>
      </c>
      <c r="W10">
        <f>SUMIFS(data!$C:$C,data!$A:$A,"="&amp;'Покупки по дням'!$B10,data!$B:$B,"="&amp;'Покупки по дням'!W$2)</f>
        <v>1</v>
      </c>
      <c r="X10">
        <f>SUMIFS(data!$C:$C,data!$A:$A,"="&amp;'Покупки по дням'!$B10,data!$B:$B,"="&amp;'Покупки по дням'!X$2)</f>
        <v>3</v>
      </c>
      <c r="Y10">
        <f>SUMIFS(data!$C:$C,data!$A:$A,"="&amp;'Покупки по дням'!$B10,data!$B:$B,"="&amp;'Покупки по дням'!Y$2)</f>
        <v>5</v>
      </c>
      <c r="Z10">
        <f>SUMIFS(data!$C:$C,data!$A:$A,"="&amp;'Покупки по дням'!$B10,data!$B:$B,"="&amp;'Покупки по дням'!Z$2)</f>
        <v>10</v>
      </c>
      <c r="AA10">
        <f>SUMIFS(data!$C:$C,data!$A:$A,"="&amp;'Покупки по дням'!$B10,data!$B:$B,"="&amp;'Покупки по дням'!AA$2)</f>
        <v>3</v>
      </c>
      <c r="AB10">
        <f>SUMIFS(data!$C:$C,data!$A:$A,"="&amp;'Покупки по дням'!$B10,data!$B:$B,"="&amp;'Покупки по дням'!AB$2)</f>
        <v>3</v>
      </c>
      <c r="AC10">
        <f>SUMIFS(data!$C:$C,data!$A:$A,"="&amp;'Покупки по дням'!$B10,data!$B:$B,"="&amp;'Покупки по дням'!AC$2)</f>
        <v>4</v>
      </c>
      <c r="AD10">
        <f>SUMIFS(data!$C:$C,data!$A:$A,"="&amp;'Покупки по дням'!$B10,data!$B:$B,"="&amp;'Покупки по дням'!AD$2)</f>
        <v>4</v>
      </c>
      <c r="AE10">
        <f>SUMIFS(data!$C:$C,data!$A:$A,"="&amp;'Покупки по дням'!$B10,data!$B:$B,"="&amp;'Покупки по дням'!AE$2)</f>
        <v>4</v>
      </c>
      <c r="AF10">
        <f>SUMIFS(data!$C:$C,data!$A:$A,"="&amp;'Покупки по дням'!$B10,data!$B:$B,"="&amp;'Покупки по дням'!AF$2)</f>
        <v>3</v>
      </c>
      <c r="AG10">
        <f>SUMIFS(data!$C:$C,data!$A:$A,"="&amp;'Покупки по дням'!$B10,data!$B:$B,"="&amp;'Покупки по дням'!AG$2)</f>
        <v>7</v>
      </c>
      <c r="AH10">
        <f>SUMIFS(data!$C:$C,data!$A:$A,"="&amp;'Покупки по дням'!$B10,data!$B:$B,"="&amp;'Покупки по дням'!AH$2)</f>
        <v>3</v>
      </c>
      <c r="AI10">
        <f>SUMIFS(data!$C:$C,data!$A:$A,"="&amp;'Покупки по дням'!$B10,data!$B:$B,"="&amp;'Покупки по дням'!AI$2)</f>
        <v>3</v>
      </c>
      <c r="AJ10">
        <f>SUMIFS(data!$C:$C,data!$A:$A,"="&amp;'Покупки по дням'!$B10,data!$B:$B,"="&amp;'Покупки по дням'!AJ$2)</f>
        <v>3</v>
      </c>
      <c r="AK10">
        <f>SUMIFS(data!$C:$C,data!$A:$A,"="&amp;'Покупки по дням'!$B10,data!$B:$B,"="&amp;'Покупки по дням'!AK$2)</f>
        <v>1</v>
      </c>
      <c r="AL10">
        <f>SUMIFS(data!$C:$C,data!$A:$A,"="&amp;'Покупки по дням'!$B10,data!$B:$B,"="&amp;'Покупки по дням'!AL$2)</f>
        <v>1</v>
      </c>
      <c r="AM10">
        <f>SUMIFS(data!$C:$C,data!$A:$A,"="&amp;'Покупки по дням'!$B10,data!$B:$B,"="&amp;'Покупки по дням'!AM$2)</f>
        <v>2</v>
      </c>
      <c r="AN10">
        <f>SUMIFS(data!$C:$C,data!$A:$A,"="&amp;'Покупки по дням'!$B10,data!$B:$B,"="&amp;'Покупки по дням'!AN$2)</f>
        <v>0</v>
      </c>
      <c r="AO10">
        <f>SUMIFS(data!$C:$C,data!$A:$A,"="&amp;'Покупки по дням'!$B10,data!$B:$B,"="&amp;'Покупки по дням'!AO$2)</f>
        <v>3</v>
      </c>
      <c r="AP10">
        <f>SUMIFS(data!$C:$C,data!$A:$A,"="&amp;'Покупки по дням'!$B10,data!$B:$B,"="&amp;'Покупки по дням'!AP$2)</f>
        <v>1</v>
      </c>
      <c r="AQ10" s="6">
        <f t="shared" si="0"/>
        <v>0.61168834844117792</v>
      </c>
    </row>
    <row r="11" spans="2:43" ht="28.8" x14ac:dyDescent="0.3">
      <c r="B11" s="17" t="s">
        <v>28</v>
      </c>
      <c r="C11">
        <f>SUMIFS(data!$C:$C,data!$A:$A,"="&amp;'Покупки по дням'!$B11,data!$B:$B,"="&amp;'Покупки по дням'!C$2)</f>
        <v>2</v>
      </c>
      <c r="D11">
        <f>SUMIFS(data!$C:$C,data!$A:$A,"="&amp;'Покупки по дням'!$B11,data!$B:$B,"="&amp;'Покупки по дням'!D$2)</f>
        <v>5</v>
      </c>
      <c r="E11">
        <f>SUMIFS(data!$C:$C,data!$A:$A,"="&amp;'Покупки по дням'!$B11,data!$B:$B,"="&amp;'Покупки по дням'!E$2)</f>
        <v>2</v>
      </c>
      <c r="F11">
        <f>SUMIFS(data!$C:$C,data!$A:$A,"="&amp;'Покупки по дням'!$B11,data!$B:$B,"="&amp;'Покупки по дням'!F$2)</f>
        <v>3</v>
      </c>
      <c r="G11">
        <f>SUMIFS(data!$C:$C,data!$A:$A,"="&amp;'Покупки по дням'!$B11,data!$B:$B,"="&amp;'Покупки по дням'!G$2)</f>
        <v>4</v>
      </c>
      <c r="H11">
        <f>SUMIFS(data!$C:$C,data!$A:$A,"="&amp;'Покупки по дням'!$B11,data!$B:$B,"="&amp;'Покупки по дням'!H$2)</f>
        <v>2</v>
      </c>
      <c r="I11">
        <f>SUMIFS(data!$C:$C,data!$A:$A,"="&amp;'Покупки по дням'!$B11,data!$B:$B,"="&amp;'Покупки по дням'!I$2)</f>
        <v>7</v>
      </c>
      <c r="J11">
        <f>SUMIFS(data!$C:$C,data!$A:$A,"="&amp;'Покупки по дням'!$B11,data!$B:$B,"="&amp;'Покупки по дням'!J$2)</f>
        <v>2</v>
      </c>
      <c r="K11">
        <f>SUMIFS(data!$C:$C,data!$A:$A,"="&amp;'Покупки по дням'!$B11,data!$B:$B,"="&amp;'Покупки по дням'!K$2)</f>
        <v>0</v>
      </c>
      <c r="L11">
        <f>SUMIFS(data!$C:$C,data!$A:$A,"="&amp;'Покупки по дням'!$B11,data!$B:$B,"="&amp;'Покупки по дням'!L$2)</f>
        <v>5</v>
      </c>
      <c r="M11">
        <f>SUMIFS(data!$C:$C,data!$A:$A,"="&amp;'Покупки по дням'!$B11,data!$B:$B,"="&amp;'Покупки по дням'!M$2)</f>
        <v>3</v>
      </c>
      <c r="N11">
        <f>SUMIFS(data!$C:$C,data!$A:$A,"="&amp;'Покупки по дням'!$B11,data!$B:$B,"="&amp;'Покупки по дням'!N$2)</f>
        <v>3</v>
      </c>
      <c r="O11">
        <f>SUMIFS(data!$C:$C,data!$A:$A,"="&amp;'Покупки по дням'!$B11,data!$B:$B,"="&amp;'Покупки по дням'!O$2)</f>
        <v>0</v>
      </c>
      <c r="P11">
        <f>SUMIFS(data!$C:$C,data!$A:$A,"="&amp;'Покупки по дням'!$B11,data!$B:$B,"="&amp;'Покупки по дням'!P$2)</f>
        <v>3</v>
      </c>
      <c r="Q11">
        <f>SUMIFS(data!$C:$C,data!$A:$A,"="&amp;'Покупки по дням'!$B11,data!$B:$B,"="&amp;'Покупки по дням'!Q$2)</f>
        <v>2</v>
      </c>
      <c r="R11">
        <f>SUMIFS(data!$C:$C,data!$A:$A,"="&amp;'Покупки по дням'!$B11,data!$B:$B,"="&amp;'Покупки по дням'!R$2)</f>
        <v>0</v>
      </c>
      <c r="S11">
        <f>SUMIFS(data!$C:$C,data!$A:$A,"="&amp;'Покупки по дням'!$B11,data!$B:$B,"="&amp;'Покупки по дням'!S$2)</f>
        <v>3</v>
      </c>
      <c r="T11">
        <f>SUMIFS(data!$C:$C,data!$A:$A,"="&amp;'Покупки по дням'!$B11,data!$B:$B,"="&amp;'Покупки по дням'!T$2)</f>
        <v>2</v>
      </c>
      <c r="U11">
        <f>SUMIFS(data!$C:$C,data!$A:$A,"="&amp;'Покупки по дням'!$B11,data!$B:$B,"="&amp;'Покупки по дням'!U$2)</f>
        <v>4</v>
      </c>
      <c r="V11">
        <f>SUMIFS(data!$C:$C,data!$A:$A,"="&amp;'Покупки по дням'!$B11,data!$B:$B,"="&amp;'Покупки по дням'!V$2)</f>
        <v>5</v>
      </c>
      <c r="W11">
        <f>SUMIFS(data!$C:$C,data!$A:$A,"="&amp;'Покупки по дням'!$B11,data!$B:$B,"="&amp;'Покупки по дням'!W$2)</f>
        <v>4</v>
      </c>
      <c r="X11">
        <f>SUMIFS(data!$C:$C,data!$A:$A,"="&amp;'Покупки по дням'!$B11,data!$B:$B,"="&amp;'Покупки по дням'!X$2)</f>
        <v>2</v>
      </c>
      <c r="Y11">
        <f>SUMIFS(data!$C:$C,data!$A:$A,"="&amp;'Покупки по дням'!$B11,data!$B:$B,"="&amp;'Покупки по дням'!Y$2)</f>
        <v>5</v>
      </c>
      <c r="Z11">
        <f>SUMIFS(data!$C:$C,data!$A:$A,"="&amp;'Покупки по дням'!$B11,data!$B:$B,"="&amp;'Покупки по дням'!Z$2)</f>
        <v>2</v>
      </c>
      <c r="AA11">
        <f>SUMIFS(data!$C:$C,data!$A:$A,"="&amp;'Покупки по дням'!$B11,data!$B:$B,"="&amp;'Покупки по дням'!AA$2)</f>
        <v>2</v>
      </c>
      <c r="AB11">
        <f>SUMIFS(data!$C:$C,data!$A:$A,"="&amp;'Покупки по дням'!$B11,data!$B:$B,"="&amp;'Покупки по дням'!AB$2)</f>
        <v>1</v>
      </c>
      <c r="AC11">
        <f>SUMIFS(data!$C:$C,data!$A:$A,"="&amp;'Покупки по дням'!$B11,data!$B:$B,"="&amp;'Покупки по дням'!AC$2)</f>
        <v>4</v>
      </c>
      <c r="AD11">
        <f>SUMIFS(data!$C:$C,data!$A:$A,"="&amp;'Покупки по дням'!$B11,data!$B:$B,"="&amp;'Покупки по дням'!AD$2)</f>
        <v>1</v>
      </c>
      <c r="AE11">
        <f>SUMIFS(data!$C:$C,data!$A:$A,"="&amp;'Покупки по дням'!$B11,data!$B:$B,"="&amp;'Покупки по дням'!AE$2)</f>
        <v>2</v>
      </c>
      <c r="AF11">
        <f>SUMIFS(data!$C:$C,data!$A:$A,"="&amp;'Покупки по дням'!$B11,data!$B:$B,"="&amp;'Покупки по дням'!AF$2)</f>
        <v>1</v>
      </c>
      <c r="AG11">
        <f>SUMIFS(data!$C:$C,data!$A:$A,"="&amp;'Покупки по дням'!$B11,data!$B:$B,"="&amp;'Покупки по дням'!AG$2)</f>
        <v>5</v>
      </c>
      <c r="AH11">
        <f>SUMIFS(data!$C:$C,data!$A:$A,"="&amp;'Покупки по дням'!$B11,data!$B:$B,"="&amp;'Покупки по дням'!AH$2)</f>
        <v>0</v>
      </c>
      <c r="AI11">
        <f>SUMIFS(data!$C:$C,data!$A:$A,"="&amp;'Покупки по дням'!$B11,data!$B:$B,"="&amp;'Покупки по дням'!AI$2)</f>
        <v>2</v>
      </c>
      <c r="AJ11">
        <f>SUMIFS(data!$C:$C,data!$A:$A,"="&amp;'Покупки по дням'!$B11,data!$B:$B,"="&amp;'Покупки по дням'!AJ$2)</f>
        <v>5</v>
      </c>
      <c r="AK11">
        <f>SUMIFS(data!$C:$C,data!$A:$A,"="&amp;'Покупки по дням'!$B11,data!$B:$B,"="&amp;'Покупки по дням'!AK$2)</f>
        <v>4</v>
      </c>
      <c r="AL11">
        <f>SUMIFS(data!$C:$C,data!$A:$A,"="&amp;'Покупки по дням'!$B11,data!$B:$B,"="&amp;'Покупки по дням'!AL$2)</f>
        <v>1</v>
      </c>
      <c r="AM11">
        <f>SUMIFS(data!$C:$C,data!$A:$A,"="&amp;'Покупки по дням'!$B11,data!$B:$B,"="&amp;'Покупки по дням'!AM$2)</f>
        <v>3</v>
      </c>
      <c r="AN11">
        <f>SUMIFS(data!$C:$C,data!$A:$A,"="&amp;'Покупки по дням'!$B11,data!$B:$B,"="&amp;'Покупки по дням'!AN$2)</f>
        <v>10.000000099999999</v>
      </c>
      <c r="AO11">
        <f>SUMIFS(data!$C:$C,data!$A:$A,"="&amp;'Покупки по дням'!$B11,data!$B:$B,"="&amp;'Покупки по дням'!AO$2)</f>
        <v>5</v>
      </c>
      <c r="AP11">
        <f>SUMIFS(data!$C:$C,data!$A:$A,"="&amp;'Покупки по дням'!$B11,data!$B:$B,"="&amp;'Покупки по дням'!AP$2)</f>
        <v>2</v>
      </c>
      <c r="AQ11" s="6">
        <f t="shared" si="0"/>
        <v>0.69066763684902399</v>
      </c>
    </row>
    <row r="12" spans="2:43" ht="28.8" x14ac:dyDescent="0.3">
      <c r="B12" s="17" t="s">
        <v>127</v>
      </c>
      <c r="C12">
        <f>SUMIFS(data!$C:$C,data!$A:$A,"="&amp;'Покупки по дням'!$B12,data!$B:$B,"="&amp;'Покупки по дням'!C$2)</f>
        <v>2</v>
      </c>
      <c r="D12">
        <f>SUMIFS(data!$C:$C,data!$A:$A,"="&amp;'Покупки по дням'!$B12,data!$B:$B,"="&amp;'Покупки по дням'!D$2)</f>
        <v>2</v>
      </c>
      <c r="E12">
        <f>SUMIFS(data!$C:$C,data!$A:$A,"="&amp;'Покупки по дням'!$B12,data!$B:$B,"="&amp;'Покупки по дням'!E$2)</f>
        <v>1</v>
      </c>
      <c r="F12">
        <f>SUMIFS(data!$C:$C,data!$A:$A,"="&amp;'Покупки по дням'!$B12,data!$B:$B,"="&amp;'Покупки по дням'!F$2)</f>
        <v>2</v>
      </c>
      <c r="G12">
        <f>SUMIFS(data!$C:$C,data!$A:$A,"="&amp;'Покупки по дням'!$B12,data!$B:$B,"="&amp;'Покупки по дням'!G$2)</f>
        <v>1</v>
      </c>
      <c r="H12">
        <f>SUMIFS(data!$C:$C,data!$A:$A,"="&amp;'Покупки по дням'!$B12,data!$B:$B,"="&amp;'Покупки по дням'!H$2)</f>
        <v>4</v>
      </c>
      <c r="I12">
        <f>SUMIFS(data!$C:$C,data!$A:$A,"="&amp;'Покупки по дням'!$B12,data!$B:$B,"="&amp;'Покупки по дням'!I$2)</f>
        <v>2</v>
      </c>
      <c r="J12">
        <f>SUMIFS(data!$C:$C,data!$A:$A,"="&amp;'Покупки по дням'!$B12,data!$B:$B,"="&amp;'Покупки по дням'!J$2)</f>
        <v>2</v>
      </c>
      <c r="K12">
        <f>SUMIFS(data!$C:$C,data!$A:$A,"="&amp;'Покупки по дням'!$B12,data!$B:$B,"="&amp;'Покупки по дням'!K$2)</f>
        <v>0</v>
      </c>
      <c r="L12">
        <f>SUMIFS(data!$C:$C,data!$A:$A,"="&amp;'Покупки по дням'!$B12,data!$B:$B,"="&amp;'Покупки по дням'!L$2)</f>
        <v>1</v>
      </c>
      <c r="M12">
        <f>SUMIFS(data!$C:$C,data!$A:$A,"="&amp;'Покупки по дням'!$B12,data!$B:$B,"="&amp;'Покупки по дням'!M$2)</f>
        <v>1</v>
      </c>
      <c r="N12">
        <f>SUMIFS(data!$C:$C,data!$A:$A,"="&amp;'Покупки по дням'!$B12,data!$B:$B,"="&amp;'Покупки по дням'!N$2)</f>
        <v>0</v>
      </c>
      <c r="O12">
        <f>SUMIFS(data!$C:$C,data!$A:$A,"="&amp;'Покупки по дням'!$B12,data!$B:$B,"="&amp;'Покупки по дням'!O$2)</f>
        <v>1</v>
      </c>
      <c r="P12">
        <f>SUMIFS(data!$C:$C,data!$A:$A,"="&amp;'Покупки по дням'!$B12,data!$B:$B,"="&amp;'Покупки по дням'!P$2)</f>
        <v>1</v>
      </c>
      <c r="Q12">
        <f>SUMIFS(data!$C:$C,data!$A:$A,"="&amp;'Покупки по дням'!$B12,data!$B:$B,"="&amp;'Покупки по дням'!Q$2)</f>
        <v>1</v>
      </c>
      <c r="R12">
        <f>SUMIFS(data!$C:$C,data!$A:$A,"="&amp;'Покупки по дням'!$B12,data!$B:$B,"="&amp;'Покупки по дням'!R$2)</f>
        <v>4</v>
      </c>
      <c r="S12">
        <f>SUMIFS(data!$C:$C,data!$A:$A,"="&amp;'Покупки по дням'!$B12,data!$B:$B,"="&amp;'Покупки по дням'!S$2)</f>
        <v>0</v>
      </c>
      <c r="T12">
        <f>SUMIFS(data!$C:$C,data!$A:$A,"="&amp;'Покупки по дням'!$B12,data!$B:$B,"="&amp;'Покупки по дням'!T$2)</f>
        <v>3</v>
      </c>
      <c r="U12">
        <f>SUMIFS(data!$C:$C,data!$A:$A,"="&amp;'Покупки по дням'!$B12,data!$B:$B,"="&amp;'Покупки по дням'!U$2)</f>
        <v>3</v>
      </c>
      <c r="V12">
        <f>SUMIFS(data!$C:$C,data!$A:$A,"="&amp;'Покупки по дням'!$B12,data!$B:$B,"="&amp;'Покупки по дням'!V$2)</f>
        <v>3</v>
      </c>
      <c r="W12">
        <f>SUMIFS(data!$C:$C,data!$A:$A,"="&amp;'Покупки по дням'!$B12,data!$B:$B,"="&amp;'Покупки по дням'!W$2)</f>
        <v>1</v>
      </c>
      <c r="X12">
        <f>SUMIFS(data!$C:$C,data!$A:$A,"="&amp;'Покупки по дням'!$B12,data!$B:$B,"="&amp;'Покупки по дням'!X$2)</f>
        <v>1</v>
      </c>
      <c r="Y12">
        <f>SUMIFS(data!$C:$C,data!$A:$A,"="&amp;'Покупки по дням'!$B12,data!$B:$B,"="&amp;'Покупки по дням'!Y$2)</f>
        <v>3</v>
      </c>
      <c r="Z12">
        <f>SUMIFS(data!$C:$C,data!$A:$A,"="&amp;'Покупки по дням'!$B12,data!$B:$B,"="&amp;'Покупки по дням'!Z$2)</f>
        <v>4</v>
      </c>
      <c r="AA12">
        <f>SUMIFS(data!$C:$C,data!$A:$A,"="&amp;'Покупки по дням'!$B12,data!$B:$B,"="&amp;'Покупки по дням'!AA$2)</f>
        <v>0</v>
      </c>
      <c r="AB12">
        <f>SUMIFS(data!$C:$C,data!$A:$A,"="&amp;'Покупки по дням'!$B12,data!$B:$B,"="&amp;'Покупки по дням'!AB$2)</f>
        <v>0</v>
      </c>
      <c r="AC12">
        <f>SUMIFS(data!$C:$C,data!$A:$A,"="&amp;'Покупки по дням'!$B12,data!$B:$B,"="&amp;'Покупки по дням'!AC$2)</f>
        <v>2</v>
      </c>
      <c r="AD12">
        <f>SUMIFS(data!$C:$C,data!$A:$A,"="&amp;'Покупки по дням'!$B12,data!$B:$B,"="&amp;'Покупки по дням'!AD$2)</f>
        <v>4</v>
      </c>
      <c r="AE12">
        <f>SUMIFS(data!$C:$C,data!$A:$A,"="&amp;'Покупки по дням'!$B12,data!$B:$B,"="&amp;'Покупки по дням'!AE$2)</f>
        <v>0</v>
      </c>
      <c r="AF12">
        <f>SUMIFS(data!$C:$C,data!$A:$A,"="&amp;'Покупки по дням'!$B12,data!$B:$B,"="&amp;'Покупки по дням'!AF$2)</f>
        <v>2</v>
      </c>
      <c r="AG12">
        <f>SUMIFS(data!$C:$C,data!$A:$A,"="&amp;'Покупки по дням'!$B12,data!$B:$B,"="&amp;'Покупки по дням'!AG$2)</f>
        <v>3</v>
      </c>
      <c r="AH12">
        <f>SUMIFS(data!$C:$C,data!$A:$A,"="&amp;'Покупки по дням'!$B12,data!$B:$B,"="&amp;'Покупки по дням'!AH$2)</f>
        <v>4</v>
      </c>
      <c r="AI12">
        <f>SUMIFS(data!$C:$C,data!$A:$A,"="&amp;'Покупки по дням'!$B12,data!$B:$B,"="&amp;'Покупки по дням'!AI$2)</f>
        <v>1</v>
      </c>
      <c r="AJ12">
        <f>SUMIFS(data!$C:$C,data!$A:$A,"="&amp;'Покупки по дням'!$B12,data!$B:$B,"="&amp;'Покупки по дням'!AJ$2)</f>
        <v>2</v>
      </c>
      <c r="AK12">
        <f>SUMIFS(data!$C:$C,data!$A:$A,"="&amp;'Покупки по дням'!$B12,data!$B:$B,"="&amp;'Покупки по дням'!AK$2)</f>
        <v>2</v>
      </c>
      <c r="AL12">
        <f>SUMIFS(data!$C:$C,data!$A:$A,"="&amp;'Покупки по дням'!$B12,data!$B:$B,"="&amp;'Покупки по дням'!AL$2)</f>
        <v>4</v>
      </c>
      <c r="AM12">
        <f>SUMIFS(data!$C:$C,data!$A:$A,"="&amp;'Покупки по дням'!$B12,data!$B:$B,"="&amp;'Покупки по дням'!AM$2)</f>
        <v>0</v>
      </c>
      <c r="AN12">
        <f>SUMIFS(data!$C:$C,data!$A:$A,"="&amp;'Покупки по дням'!$B12,data!$B:$B,"="&amp;'Покупки по дням'!AN$2)</f>
        <v>2</v>
      </c>
      <c r="AO12">
        <f>SUMIFS(data!$C:$C,data!$A:$A,"="&amp;'Покупки по дням'!$B12,data!$B:$B,"="&amp;'Покупки по дням'!AO$2)</f>
        <v>3</v>
      </c>
      <c r="AP12">
        <f>SUMIFS(data!$C:$C,data!$A:$A,"="&amp;'Покупки по дням'!$B12,data!$B:$B,"="&amp;'Покупки по дням'!AP$2)</f>
        <v>0</v>
      </c>
      <c r="AQ12" s="6">
        <f t="shared" si="0"/>
        <v>0.74641699800856143</v>
      </c>
    </row>
    <row r="13" spans="2:43" x14ac:dyDescent="0.3">
      <c r="B13" s="17" t="s">
        <v>21</v>
      </c>
      <c r="C13">
        <f>SUMIFS(data!$C:$C,data!$A:$A,"="&amp;'Покупки по дням'!$B13,data!$B:$B,"="&amp;'Покупки по дням'!C$2)</f>
        <v>5</v>
      </c>
      <c r="D13">
        <f>SUMIFS(data!$C:$C,data!$A:$A,"="&amp;'Покупки по дням'!$B13,data!$B:$B,"="&amp;'Покупки по дням'!D$2)</f>
        <v>1</v>
      </c>
      <c r="E13">
        <f>SUMIFS(data!$C:$C,data!$A:$A,"="&amp;'Покупки по дням'!$B13,data!$B:$B,"="&amp;'Покупки по дням'!E$2)</f>
        <v>2</v>
      </c>
      <c r="F13">
        <f>SUMIFS(data!$C:$C,data!$A:$A,"="&amp;'Покупки по дням'!$B13,data!$B:$B,"="&amp;'Покупки по дням'!F$2)</f>
        <v>1</v>
      </c>
      <c r="G13">
        <f>SUMIFS(data!$C:$C,data!$A:$A,"="&amp;'Покупки по дням'!$B13,data!$B:$B,"="&amp;'Покупки по дням'!G$2)</f>
        <v>2</v>
      </c>
      <c r="H13">
        <f>SUMIFS(data!$C:$C,data!$A:$A,"="&amp;'Покупки по дням'!$B13,data!$B:$B,"="&amp;'Покупки по дням'!H$2)</f>
        <v>2</v>
      </c>
      <c r="I13">
        <f>SUMIFS(data!$C:$C,data!$A:$A,"="&amp;'Покупки по дням'!$B13,data!$B:$B,"="&amp;'Покупки по дням'!I$2)</f>
        <v>1</v>
      </c>
      <c r="J13">
        <f>SUMIFS(data!$C:$C,data!$A:$A,"="&amp;'Покупки по дням'!$B13,data!$B:$B,"="&amp;'Покупки по дням'!J$2)</f>
        <v>2</v>
      </c>
      <c r="K13">
        <f>SUMIFS(data!$C:$C,data!$A:$A,"="&amp;'Покупки по дням'!$B13,data!$B:$B,"="&amp;'Покупки по дням'!K$2)</f>
        <v>0</v>
      </c>
      <c r="L13">
        <f>SUMIFS(data!$C:$C,data!$A:$A,"="&amp;'Покупки по дням'!$B13,data!$B:$B,"="&amp;'Покупки по дням'!L$2)</f>
        <v>2</v>
      </c>
      <c r="M13">
        <f>SUMIFS(data!$C:$C,data!$A:$A,"="&amp;'Покупки по дням'!$B13,data!$B:$B,"="&amp;'Покупки по дням'!M$2)</f>
        <v>3</v>
      </c>
      <c r="N13">
        <f>SUMIFS(data!$C:$C,data!$A:$A,"="&amp;'Покупки по дням'!$B13,data!$B:$B,"="&amp;'Покупки по дням'!N$2)</f>
        <v>2</v>
      </c>
      <c r="O13">
        <f>SUMIFS(data!$C:$C,data!$A:$A,"="&amp;'Покупки по дням'!$B13,data!$B:$B,"="&amp;'Покупки по дням'!O$2)</f>
        <v>0</v>
      </c>
      <c r="P13">
        <f>SUMIFS(data!$C:$C,data!$A:$A,"="&amp;'Покупки по дням'!$B13,data!$B:$B,"="&amp;'Покупки по дням'!P$2)</f>
        <v>1</v>
      </c>
      <c r="Q13">
        <f>SUMIFS(data!$C:$C,data!$A:$A,"="&amp;'Покупки по дням'!$B13,data!$B:$B,"="&amp;'Покупки по дням'!Q$2)</f>
        <v>2</v>
      </c>
      <c r="R13">
        <f>SUMIFS(data!$C:$C,data!$A:$A,"="&amp;'Покупки по дням'!$B13,data!$B:$B,"="&amp;'Покупки по дням'!R$2)</f>
        <v>0</v>
      </c>
      <c r="S13">
        <f>SUMIFS(data!$C:$C,data!$A:$A,"="&amp;'Покупки по дням'!$B13,data!$B:$B,"="&amp;'Покупки по дням'!S$2)</f>
        <v>4</v>
      </c>
      <c r="T13">
        <f>SUMIFS(data!$C:$C,data!$A:$A,"="&amp;'Покупки по дням'!$B13,data!$B:$B,"="&amp;'Покупки по дням'!T$2)</f>
        <v>3</v>
      </c>
      <c r="U13">
        <f>SUMIFS(data!$C:$C,data!$A:$A,"="&amp;'Покупки по дням'!$B13,data!$B:$B,"="&amp;'Покупки по дням'!U$2)</f>
        <v>1</v>
      </c>
      <c r="V13">
        <f>SUMIFS(data!$C:$C,data!$A:$A,"="&amp;'Покупки по дням'!$B13,data!$B:$B,"="&amp;'Покупки по дням'!V$2)</f>
        <v>2</v>
      </c>
      <c r="W13">
        <f>SUMIFS(data!$C:$C,data!$A:$A,"="&amp;'Покупки по дням'!$B13,data!$B:$B,"="&amp;'Покупки по дням'!W$2)</f>
        <v>2</v>
      </c>
      <c r="X13">
        <f>SUMIFS(data!$C:$C,data!$A:$A,"="&amp;'Покупки по дням'!$B13,data!$B:$B,"="&amp;'Покупки по дням'!X$2)</f>
        <v>0</v>
      </c>
      <c r="Y13">
        <f>SUMIFS(data!$C:$C,data!$A:$A,"="&amp;'Покупки по дням'!$B13,data!$B:$B,"="&amp;'Покупки по дням'!Y$2)</f>
        <v>1</v>
      </c>
      <c r="Z13">
        <f>SUMIFS(data!$C:$C,data!$A:$A,"="&amp;'Покупки по дням'!$B13,data!$B:$B,"="&amp;'Покупки по дням'!Z$2)</f>
        <v>0</v>
      </c>
      <c r="AA13">
        <f>SUMIFS(data!$C:$C,data!$A:$A,"="&amp;'Покупки по дням'!$B13,data!$B:$B,"="&amp;'Покупки по дням'!AA$2)</f>
        <v>3</v>
      </c>
      <c r="AB13">
        <f>SUMIFS(data!$C:$C,data!$A:$A,"="&amp;'Покупки по дням'!$B13,data!$B:$B,"="&amp;'Покупки по дням'!AB$2)</f>
        <v>4</v>
      </c>
      <c r="AC13">
        <f>SUMIFS(data!$C:$C,data!$A:$A,"="&amp;'Покупки по дням'!$B13,data!$B:$B,"="&amp;'Покупки по дням'!AC$2)</f>
        <v>3</v>
      </c>
      <c r="AD13">
        <f>SUMIFS(data!$C:$C,data!$A:$A,"="&amp;'Покупки по дням'!$B13,data!$B:$B,"="&amp;'Покупки по дням'!AD$2)</f>
        <v>2</v>
      </c>
      <c r="AE13">
        <f>SUMIFS(data!$C:$C,data!$A:$A,"="&amp;'Покупки по дням'!$B13,data!$B:$B,"="&amp;'Покупки по дням'!AE$2)</f>
        <v>2</v>
      </c>
      <c r="AF13">
        <f>SUMIFS(data!$C:$C,data!$A:$A,"="&amp;'Покупки по дням'!$B13,data!$B:$B,"="&amp;'Покупки по дням'!AF$2)</f>
        <v>2</v>
      </c>
      <c r="AG13">
        <f>SUMIFS(data!$C:$C,data!$A:$A,"="&amp;'Покупки по дням'!$B13,data!$B:$B,"="&amp;'Покупки по дням'!AG$2)</f>
        <v>0</v>
      </c>
      <c r="AH13">
        <f>SUMIFS(data!$C:$C,data!$A:$A,"="&amp;'Покупки по дням'!$B13,data!$B:$B,"="&amp;'Покупки по дням'!AH$2)</f>
        <v>4</v>
      </c>
      <c r="AI13">
        <f>SUMIFS(data!$C:$C,data!$A:$A,"="&amp;'Покупки по дням'!$B13,data!$B:$B,"="&amp;'Покупки по дням'!AI$2)</f>
        <v>3</v>
      </c>
      <c r="AJ13">
        <f>SUMIFS(data!$C:$C,data!$A:$A,"="&amp;'Покупки по дням'!$B13,data!$B:$B,"="&amp;'Покупки по дням'!AJ$2)</f>
        <v>0</v>
      </c>
      <c r="AK13">
        <f>SUMIFS(data!$C:$C,data!$A:$A,"="&amp;'Покупки по дням'!$B13,data!$B:$B,"="&amp;'Покупки по дням'!AK$2)</f>
        <v>1</v>
      </c>
      <c r="AL13">
        <f>SUMIFS(data!$C:$C,data!$A:$A,"="&amp;'Покупки по дням'!$B13,data!$B:$B,"="&amp;'Покупки по дням'!AL$2)</f>
        <v>5</v>
      </c>
      <c r="AM13">
        <f>SUMIFS(data!$C:$C,data!$A:$A,"="&amp;'Покупки по дням'!$B13,data!$B:$B,"="&amp;'Покупки по дням'!AM$2)</f>
        <v>4</v>
      </c>
      <c r="AN13">
        <f>SUMIFS(data!$C:$C,data!$A:$A,"="&amp;'Покупки по дням'!$B13,data!$B:$B,"="&amp;'Покупки по дням'!AN$2)</f>
        <v>3</v>
      </c>
      <c r="AO13">
        <f>SUMIFS(data!$C:$C,data!$A:$A,"="&amp;'Покупки по дням'!$B13,data!$B:$B,"="&amp;'Покупки по дням'!AO$2)</f>
        <v>3</v>
      </c>
      <c r="AP13">
        <f>SUMIFS(data!$C:$C,data!$A:$A,"="&amp;'Покупки по дням'!$B13,data!$B:$B,"="&amp;'Покупки по дням'!AP$2)</f>
        <v>3</v>
      </c>
      <c r="AQ13" s="6">
        <f t="shared" si="0"/>
        <v>0.69377319744771959</v>
      </c>
    </row>
    <row r="14" spans="2:43" x14ac:dyDescent="0.3">
      <c r="B14" s="17" t="s">
        <v>120</v>
      </c>
      <c r="C14">
        <f>SUMIFS(data!$C:$C,data!$A:$A,"="&amp;'Покупки по дням'!$B14,data!$B:$B,"="&amp;'Покупки по дням'!C$2)</f>
        <v>0</v>
      </c>
      <c r="D14">
        <f>SUMIFS(data!$C:$C,data!$A:$A,"="&amp;'Покупки по дням'!$B14,data!$B:$B,"="&amp;'Покупки по дням'!D$2)</f>
        <v>1</v>
      </c>
      <c r="E14">
        <f>SUMIFS(data!$C:$C,data!$A:$A,"="&amp;'Покупки по дням'!$B14,data!$B:$B,"="&amp;'Покупки по дням'!E$2)</f>
        <v>2</v>
      </c>
      <c r="F14">
        <f>SUMIFS(data!$C:$C,data!$A:$A,"="&amp;'Покупки по дням'!$B14,data!$B:$B,"="&amp;'Покупки по дням'!F$2)</f>
        <v>0</v>
      </c>
      <c r="G14">
        <f>SUMIFS(data!$C:$C,data!$A:$A,"="&amp;'Покупки по дням'!$B14,data!$B:$B,"="&amp;'Покупки по дням'!G$2)</f>
        <v>0</v>
      </c>
      <c r="H14">
        <f>SUMIFS(data!$C:$C,data!$A:$A,"="&amp;'Покупки по дням'!$B14,data!$B:$B,"="&amp;'Покупки по дням'!H$2)</f>
        <v>3</v>
      </c>
      <c r="I14">
        <f>SUMIFS(data!$C:$C,data!$A:$A,"="&amp;'Покупки по дням'!$B14,data!$B:$B,"="&amp;'Покупки по дням'!I$2)</f>
        <v>3</v>
      </c>
      <c r="J14">
        <f>SUMIFS(data!$C:$C,data!$A:$A,"="&amp;'Покупки по дням'!$B14,data!$B:$B,"="&amp;'Покупки по дням'!J$2)</f>
        <v>0</v>
      </c>
      <c r="K14">
        <f>SUMIFS(data!$C:$C,data!$A:$A,"="&amp;'Покупки по дням'!$B14,data!$B:$B,"="&amp;'Покупки по дням'!K$2)</f>
        <v>0</v>
      </c>
      <c r="L14">
        <f>SUMIFS(data!$C:$C,data!$A:$A,"="&amp;'Покупки по дням'!$B14,data!$B:$B,"="&amp;'Покупки по дням'!L$2)</f>
        <v>3</v>
      </c>
      <c r="M14">
        <f>SUMIFS(data!$C:$C,data!$A:$A,"="&amp;'Покупки по дням'!$B14,data!$B:$B,"="&amp;'Покупки по дням'!M$2)</f>
        <v>6</v>
      </c>
      <c r="N14">
        <f>SUMIFS(data!$C:$C,data!$A:$A,"="&amp;'Покупки по дням'!$B14,data!$B:$B,"="&amp;'Покупки по дням'!N$2)</f>
        <v>1</v>
      </c>
      <c r="O14">
        <f>SUMIFS(data!$C:$C,data!$A:$A,"="&amp;'Покупки по дням'!$B14,data!$B:$B,"="&amp;'Покупки по дням'!O$2)</f>
        <v>3</v>
      </c>
      <c r="P14">
        <f>SUMIFS(data!$C:$C,data!$A:$A,"="&amp;'Покупки по дням'!$B14,data!$B:$B,"="&amp;'Покупки по дням'!P$2)</f>
        <v>1</v>
      </c>
      <c r="Q14">
        <f>SUMIFS(data!$C:$C,data!$A:$A,"="&amp;'Покупки по дням'!$B14,data!$B:$B,"="&amp;'Покупки по дням'!Q$2)</f>
        <v>2</v>
      </c>
      <c r="R14">
        <f>SUMIFS(data!$C:$C,data!$A:$A,"="&amp;'Покупки по дням'!$B14,data!$B:$B,"="&amp;'Покупки по дням'!R$2)</f>
        <v>1</v>
      </c>
      <c r="S14">
        <f>SUMIFS(data!$C:$C,data!$A:$A,"="&amp;'Покупки по дням'!$B14,data!$B:$B,"="&amp;'Покупки по дням'!S$2)</f>
        <v>2</v>
      </c>
      <c r="T14">
        <f>SUMIFS(data!$C:$C,data!$A:$A,"="&amp;'Покупки по дням'!$B14,data!$B:$B,"="&amp;'Покупки по дням'!T$2)</f>
        <v>2</v>
      </c>
      <c r="U14">
        <f>SUMIFS(data!$C:$C,data!$A:$A,"="&amp;'Покупки по дням'!$B14,data!$B:$B,"="&amp;'Покупки по дням'!U$2)</f>
        <v>1</v>
      </c>
      <c r="V14">
        <f>SUMIFS(data!$C:$C,data!$A:$A,"="&amp;'Покупки по дням'!$B14,data!$B:$B,"="&amp;'Покупки по дням'!V$2)</f>
        <v>0</v>
      </c>
      <c r="W14">
        <f>SUMIFS(data!$C:$C,data!$A:$A,"="&amp;'Покупки по дням'!$B14,data!$B:$B,"="&amp;'Покупки по дням'!W$2)</f>
        <v>4</v>
      </c>
      <c r="X14">
        <f>SUMIFS(data!$C:$C,data!$A:$A,"="&amp;'Покупки по дням'!$B14,data!$B:$B,"="&amp;'Покупки по дням'!X$2)</f>
        <v>0</v>
      </c>
      <c r="Y14">
        <f>SUMIFS(data!$C:$C,data!$A:$A,"="&amp;'Покупки по дням'!$B14,data!$B:$B,"="&amp;'Покупки по дням'!Y$2)</f>
        <v>1</v>
      </c>
      <c r="Z14">
        <f>SUMIFS(data!$C:$C,data!$A:$A,"="&amp;'Покупки по дням'!$B14,data!$B:$B,"="&amp;'Покупки по дням'!Z$2)</f>
        <v>1</v>
      </c>
      <c r="AA14">
        <f>SUMIFS(data!$C:$C,data!$A:$A,"="&amp;'Покупки по дням'!$B14,data!$B:$B,"="&amp;'Покупки по дням'!AA$2)</f>
        <v>6</v>
      </c>
      <c r="AB14">
        <f>SUMIFS(data!$C:$C,data!$A:$A,"="&amp;'Покупки по дням'!$B14,data!$B:$B,"="&amp;'Покупки по дням'!AB$2)</f>
        <v>8</v>
      </c>
      <c r="AC14">
        <f>SUMIFS(data!$C:$C,data!$A:$A,"="&amp;'Покупки по дням'!$B14,data!$B:$B,"="&amp;'Покупки по дням'!AC$2)</f>
        <v>2</v>
      </c>
      <c r="AD14">
        <f>SUMIFS(data!$C:$C,data!$A:$A,"="&amp;'Покупки по дням'!$B14,data!$B:$B,"="&amp;'Покупки по дням'!AD$2)</f>
        <v>2</v>
      </c>
      <c r="AE14">
        <f>SUMIFS(data!$C:$C,data!$A:$A,"="&amp;'Покупки по дням'!$B14,data!$B:$B,"="&amp;'Покупки по дням'!AE$2)</f>
        <v>1</v>
      </c>
      <c r="AF14">
        <f>SUMIFS(data!$C:$C,data!$A:$A,"="&amp;'Покупки по дням'!$B14,data!$B:$B,"="&amp;'Покупки по дням'!AF$2)</f>
        <v>0</v>
      </c>
      <c r="AG14">
        <f>SUMIFS(data!$C:$C,data!$A:$A,"="&amp;'Покупки по дням'!$B14,data!$B:$B,"="&amp;'Покупки по дням'!AG$2)</f>
        <v>3</v>
      </c>
      <c r="AH14">
        <f>SUMIFS(data!$C:$C,data!$A:$A,"="&amp;'Покупки по дням'!$B14,data!$B:$B,"="&amp;'Покупки по дням'!AH$2)</f>
        <v>1</v>
      </c>
      <c r="AI14">
        <f>SUMIFS(data!$C:$C,data!$A:$A,"="&amp;'Покупки по дням'!$B14,data!$B:$B,"="&amp;'Покупки по дням'!AI$2)</f>
        <v>0</v>
      </c>
      <c r="AJ14">
        <f>SUMIFS(data!$C:$C,data!$A:$A,"="&amp;'Покупки по дням'!$B14,data!$B:$B,"="&amp;'Покупки по дням'!AJ$2)</f>
        <v>2</v>
      </c>
      <c r="AK14">
        <f>SUMIFS(data!$C:$C,data!$A:$A,"="&amp;'Покупки по дням'!$B14,data!$B:$B,"="&amp;'Покупки по дням'!AK$2)</f>
        <v>1</v>
      </c>
      <c r="AL14">
        <f>SUMIFS(data!$C:$C,data!$A:$A,"="&amp;'Покупки по дням'!$B14,data!$B:$B,"="&amp;'Покупки по дням'!AL$2)</f>
        <v>1</v>
      </c>
      <c r="AM14">
        <f>SUMIFS(data!$C:$C,data!$A:$A,"="&amp;'Покупки по дням'!$B14,data!$B:$B,"="&amp;'Покупки по дням'!AM$2)</f>
        <v>0</v>
      </c>
      <c r="AN14">
        <f>SUMIFS(data!$C:$C,data!$A:$A,"="&amp;'Покупки по дням'!$B14,data!$B:$B,"="&amp;'Покупки по дням'!AN$2)</f>
        <v>2</v>
      </c>
      <c r="AO14">
        <f>SUMIFS(data!$C:$C,data!$A:$A,"="&amp;'Покупки по дням'!$B14,data!$B:$B,"="&amp;'Покупки по дням'!AO$2)</f>
        <v>2</v>
      </c>
      <c r="AP14">
        <f>SUMIFS(data!$C:$C,data!$A:$A,"="&amp;'Покупки по дням'!$B14,data!$B:$B,"="&amp;'Покупки по дням'!AP$2)</f>
        <v>1</v>
      </c>
      <c r="AQ14" s="6">
        <f t="shared" si="0"/>
        <v>1.0418873871466634</v>
      </c>
    </row>
    <row r="15" spans="2:43" x14ac:dyDescent="0.3">
      <c r="B15" s="17" t="s">
        <v>156</v>
      </c>
      <c r="C15">
        <f>SUMIFS(data!$C:$C,data!$A:$A,"="&amp;'Покупки по дням'!$B15,data!$B:$B,"="&amp;'Покупки по дням'!C$2)</f>
        <v>3</v>
      </c>
      <c r="D15">
        <f>SUMIFS(data!$C:$C,data!$A:$A,"="&amp;'Покупки по дням'!$B15,data!$B:$B,"="&amp;'Покупки по дням'!D$2)</f>
        <v>3</v>
      </c>
      <c r="E15">
        <f>SUMIFS(data!$C:$C,data!$A:$A,"="&amp;'Покупки по дням'!$B15,data!$B:$B,"="&amp;'Покупки по дням'!E$2)</f>
        <v>5</v>
      </c>
      <c r="F15">
        <f>SUMIFS(data!$C:$C,data!$A:$A,"="&amp;'Покупки по дням'!$B15,data!$B:$B,"="&amp;'Покупки по дням'!F$2)</f>
        <v>2</v>
      </c>
      <c r="G15">
        <f>SUMIFS(data!$C:$C,data!$A:$A,"="&amp;'Покупки по дням'!$B15,data!$B:$B,"="&amp;'Покупки по дням'!G$2)</f>
        <v>0</v>
      </c>
      <c r="H15">
        <f>SUMIFS(data!$C:$C,data!$A:$A,"="&amp;'Покупки по дням'!$B15,data!$B:$B,"="&amp;'Покупки по дням'!H$2)</f>
        <v>1</v>
      </c>
      <c r="I15">
        <f>SUMIFS(data!$C:$C,data!$A:$A,"="&amp;'Покупки по дням'!$B15,data!$B:$B,"="&amp;'Покупки по дням'!I$2)</f>
        <v>0</v>
      </c>
      <c r="J15">
        <f>SUMIFS(data!$C:$C,data!$A:$A,"="&amp;'Покупки по дням'!$B15,data!$B:$B,"="&amp;'Покупки по дням'!J$2)</f>
        <v>0</v>
      </c>
      <c r="K15">
        <f>SUMIFS(data!$C:$C,data!$A:$A,"="&amp;'Покупки по дням'!$B15,data!$B:$B,"="&amp;'Покупки по дням'!K$2)</f>
        <v>0</v>
      </c>
      <c r="L15">
        <f>SUMIFS(data!$C:$C,data!$A:$A,"="&amp;'Покупки по дням'!$B15,data!$B:$B,"="&amp;'Покупки по дням'!L$2)</f>
        <v>0</v>
      </c>
      <c r="M15">
        <f>SUMIFS(data!$C:$C,data!$A:$A,"="&amp;'Покупки по дням'!$B15,data!$B:$B,"="&amp;'Покупки по дням'!M$2)</f>
        <v>0</v>
      </c>
      <c r="N15">
        <f>SUMIFS(data!$C:$C,data!$A:$A,"="&amp;'Покупки по дням'!$B15,data!$B:$B,"="&amp;'Покупки по дням'!N$2)</f>
        <v>2</v>
      </c>
      <c r="O15">
        <f>SUMIFS(data!$C:$C,data!$A:$A,"="&amp;'Покупки по дням'!$B15,data!$B:$B,"="&amp;'Покупки по дням'!O$2)</f>
        <v>2</v>
      </c>
      <c r="P15">
        <f>SUMIFS(data!$C:$C,data!$A:$A,"="&amp;'Покупки по дням'!$B15,data!$B:$B,"="&amp;'Покупки по дням'!P$2)</f>
        <v>3</v>
      </c>
      <c r="Q15">
        <f>SUMIFS(data!$C:$C,data!$A:$A,"="&amp;'Покупки по дням'!$B15,data!$B:$B,"="&amp;'Покупки по дням'!Q$2)</f>
        <v>1</v>
      </c>
      <c r="R15">
        <f>SUMIFS(data!$C:$C,data!$A:$A,"="&amp;'Покупки по дням'!$B15,data!$B:$B,"="&amp;'Покупки по дням'!R$2)</f>
        <v>2</v>
      </c>
      <c r="S15">
        <f>SUMIFS(data!$C:$C,data!$A:$A,"="&amp;'Покупки по дням'!$B15,data!$B:$B,"="&amp;'Покупки по дням'!S$2)</f>
        <v>4</v>
      </c>
      <c r="T15">
        <f>SUMIFS(data!$C:$C,data!$A:$A,"="&amp;'Покупки по дням'!$B15,data!$B:$B,"="&amp;'Покупки по дням'!T$2)</f>
        <v>6</v>
      </c>
      <c r="U15">
        <f>SUMIFS(data!$C:$C,data!$A:$A,"="&amp;'Покупки по дням'!$B15,data!$B:$B,"="&amp;'Покупки по дням'!U$2)</f>
        <v>0</v>
      </c>
      <c r="V15">
        <f>SUMIFS(data!$C:$C,data!$A:$A,"="&amp;'Покупки по дням'!$B15,data!$B:$B,"="&amp;'Покупки по дням'!V$2)</f>
        <v>3</v>
      </c>
      <c r="W15">
        <f>SUMIFS(data!$C:$C,data!$A:$A,"="&amp;'Покупки по дням'!$B15,data!$B:$B,"="&amp;'Покупки по дням'!W$2)</f>
        <v>1</v>
      </c>
      <c r="X15">
        <f>SUMIFS(data!$C:$C,data!$A:$A,"="&amp;'Покупки по дням'!$B15,data!$B:$B,"="&amp;'Покупки по дням'!X$2)</f>
        <v>5</v>
      </c>
      <c r="Y15">
        <f>SUMIFS(data!$C:$C,data!$A:$A,"="&amp;'Покупки по дням'!$B15,data!$B:$B,"="&amp;'Покупки по дням'!Y$2)</f>
        <v>3</v>
      </c>
      <c r="Z15">
        <f>SUMIFS(data!$C:$C,data!$A:$A,"="&amp;'Покупки по дням'!$B15,data!$B:$B,"="&amp;'Покупки по дням'!Z$2)</f>
        <v>2</v>
      </c>
      <c r="AA15">
        <f>SUMIFS(data!$C:$C,data!$A:$A,"="&amp;'Покупки по дням'!$B15,data!$B:$B,"="&amp;'Покупки по дням'!AA$2)</f>
        <v>1</v>
      </c>
      <c r="AB15">
        <f>SUMIFS(data!$C:$C,data!$A:$A,"="&amp;'Покупки по дням'!$B15,data!$B:$B,"="&amp;'Покупки по дням'!AB$2)</f>
        <v>1</v>
      </c>
      <c r="AC15">
        <f>SUMIFS(data!$C:$C,data!$A:$A,"="&amp;'Покупки по дням'!$B15,data!$B:$B,"="&amp;'Покупки по дням'!AC$2)</f>
        <v>2</v>
      </c>
      <c r="AD15">
        <f>SUMIFS(data!$C:$C,data!$A:$A,"="&amp;'Покупки по дням'!$B15,data!$B:$B,"="&amp;'Покупки по дням'!AD$2)</f>
        <v>0</v>
      </c>
      <c r="AE15">
        <f>SUMIFS(data!$C:$C,data!$A:$A,"="&amp;'Покупки по дням'!$B15,data!$B:$B,"="&amp;'Покупки по дням'!AE$2)</f>
        <v>5</v>
      </c>
      <c r="AF15">
        <f>SUMIFS(data!$C:$C,data!$A:$A,"="&amp;'Покупки по дням'!$B15,data!$B:$B,"="&amp;'Покупки по дням'!AF$2)</f>
        <v>1</v>
      </c>
      <c r="AG15">
        <f>SUMIFS(data!$C:$C,data!$A:$A,"="&amp;'Покупки по дням'!$B15,data!$B:$B,"="&amp;'Покупки по дням'!AG$2)</f>
        <v>1</v>
      </c>
      <c r="AH15">
        <f>SUMIFS(data!$C:$C,data!$A:$A,"="&amp;'Покупки по дням'!$B15,data!$B:$B,"="&amp;'Покупки по дням'!AH$2)</f>
        <v>1</v>
      </c>
      <c r="AI15">
        <f>SUMIFS(data!$C:$C,data!$A:$A,"="&amp;'Покупки по дням'!$B15,data!$B:$B,"="&amp;'Покупки по дням'!AI$2)</f>
        <v>1</v>
      </c>
      <c r="AJ15">
        <f>SUMIFS(data!$C:$C,data!$A:$A,"="&amp;'Покупки по дням'!$B15,data!$B:$B,"="&amp;'Покупки по дням'!AJ$2)</f>
        <v>0</v>
      </c>
      <c r="AK15">
        <f>SUMIFS(data!$C:$C,data!$A:$A,"="&amp;'Покупки по дням'!$B15,data!$B:$B,"="&amp;'Покупки по дням'!AK$2)</f>
        <v>1</v>
      </c>
      <c r="AL15">
        <f>SUMIFS(data!$C:$C,data!$A:$A,"="&amp;'Покупки по дням'!$B15,data!$B:$B,"="&amp;'Покупки по дням'!AL$2)</f>
        <v>1</v>
      </c>
      <c r="AM15">
        <f>SUMIFS(data!$C:$C,data!$A:$A,"="&amp;'Покупки по дням'!$B15,data!$B:$B,"="&amp;'Покупки по дням'!AM$2)</f>
        <v>2</v>
      </c>
      <c r="AN15">
        <f>SUMIFS(data!$C:$C,data!$A:$A,"="&amp;'Покупки по дням'!$B15,data!$B:$B,"="&amp;'Покупки по дням'!AN$2)</f>
        <v>0</v>
      </c>
      <c r="AO15">
        <f>SUMIFS(data!$C:$C,data!$A:$A,"="&amp;'Покупки по дням'!$B15,data!$B:$B,"="&amp;'Покупки по дням'!AO$2)</f>
        <v>0</v>
      </c>
      <c r="AP15">
        <f>SUMIFS(data!$C:$C,data!$A:$A,"="&amp;'Покупки по дням'!$B15,data!$B:$B,"="&amp;'Покупки по дням'!AP$2)</f>
        <v>0</v>
      </c>
      <c r="AQ15" s="6">
        <f t="shared" si="0"/>
        <v>1.0115401489400284</v>
      </c>
    </row>
    <row r="16" spans="2:43" x14ac:dyDescent="0.3">
      <c r="B16" s="17" t="s">
        <v>72</v>
      </c>
      <c r="C16">
        <f>SUMIFS(data!$C:$C,data!$A:$A,"="&amp;'Покупки по дням'!$B16,data!$B:$B,"="&amp;'Покупки по дням'!C$2)</f>
        <v>3</v>
      </c>
      <c r="D16">
        <f>SUMIFS(data!$C:$C,data!$A:$A,"="&amp;'Покупки по дням'!$B16,data!$B:$B,"="&amp;'Покупки по дням'!D$2)</f>
        <v>1</v>
      </c>
      <c r="E16">
        <f>SUMIFS(data!$C:$C,data!$A:$A,"="&amp;'Покупки по дням'!$B16,data!$B:$B,"="&amp;'Покупки по дням'!E$2)</f>
        <v>5</v>
      </c>
      <c r="F16">
        <f>SUMIFS(data!$C:$C,data!$A:$A,"="&amp;'Покупки по дням'!$B16,data!$B:$B,"="&amp;'Покупки по дням'!F$2)</f>
        <v>2</v>
      </c>
      <c r="G16">
        <f>SUMIFS(data!$C:$C,data!$A:$A,"="&amp;'Покупки по дням'!$B16,data!$B:$B,"="&amp;'Покупки по дням'!G$2)</f>
        <v>1</v>
      </c>
      <c r="H16">
        <f>SUMIFS(data!$C:$C,data!$A:$A,"="&amp;'Покупки по дням'!$B16,data!$B:$B,"="&amp;'Покупки по дням'!H$2)</f>
        <v>2</v>
      </c>
      <c r="I16">
        <f>SUMIFS(data!$C:$C,data!$A:$A,"="&amp;'Покупки по дням'!$B16,data!$B:$B,"="&amp;'Покупки по дням'!I$2)</f>
        <v>2</v>
      </c>
      <c r="J16">
        <f>SUMIFS(data!$C:$C,data!$A:$A,"="&amp;'Покупки по дням'!$B16,data!$B:$B,"="&amp;'Покупки по дням'!J$2)</f>
        <v>3</v>
      </c>
      <c r="K16">
        <f>SUMIFS(data!$C:$C,data!$A:$A,"="&amp;'Покупки по дням'!$B16,data!$B:$B,"="&amp;'Покупки по дням'!K$2)</f>
        <v>0</v>
      </c>
      <c r="L16">
        <f>SUMIFS(data!$C:$C,data!$A:$A,"="&amp;'Покупки по дням'!$B16,data!$B:$B,"="&amp;'Покупки по дням'!L$2)</f>
        <v>3</v>
      </c>
      <c r="M16">
        <f>SUMIFS(data!$C:$C,data!$A:$A,"="&amp;'Покупки по дням'!$B16,data!$B:$B,"="&amp;'Покупки по дням'!M$2)</f>
        <v>0</v>
      </c>
      <c r="N16">
        <f>SUMIFS(data!$C:$C,data!$A:$A,"="&amp;'Покупки по дням'!$B16,data!$B:$B,"="&amp;'Покупки по дням'!N$2)</f>
        <v>2</v>
      </c>
      <c r="O16">
        <f>SUMIFS(data!$C:$C,data!$A:$A,"="&amp;'Покупки по дням'!$B16,data!$B:$B,"="&amp;'Покупки по дням'!O$2)</f>
        <v>1</v>
      </c>
      <c r="P16">
        <f>SUMIFS(data!$C:$C,data!$A:$A,"="&amp;'Покупки по дням'!$B16,data!$B:$B,"="&amp;'Покупки по дням'!P$2)</f>
        <v>1</v>
      </c>
      <c r="Q16">
        <f>SUMIFS(data!$C:$C,data!$A:$A,"="&amp;'Покупки по дням'!$B16,data!$B:$B,"="&amp;'Покупки по дням'!Q$2)</f>
        <v>5</v>
      </c>
      <c r="R16">
        <f>SUMIFS(data!$C:$C,data!$A:$A,"="&amp;'Покупки по дням'!$B16,data!$B:$B,"="&amp;'Покупки по дням'!R$2)</f>
        <v>1</v>
      </c>
      <c r="S16">
        <f>SUMIFS(data!$C:$C,data!$A:$A,"="&amp;'Покупки по дням'!$B16,data!$B:$B,"="&amp;'Покупки по дням'!S$2)</f>
        <v>4</v>
      </c>
      <c r="T16">
        <f>SUMIFS(data!$C:$C,data!$A:$A,"="&amp;'Покупки по дням'!$B16,data!$B:$B,"="&amp;'Покупки по дням'!T$2)</f>
        <v>1</v>
      </c>
      <c r="U16">
        <f>SUMIFS(data!$C:$C,data!$A:$A,"="&amp;'Покупки по дням'!$B16,data!$B:$B,"="&amp;'Покупки по дням'!U$2)</f>
        <v>1</v>
      </c>
      <c r="V16">
        <f>SUMIFS(data!$C:$C,data!$A:$A,"="&amp;'Покупки по дням'!$B16,data!$B:$B,"="&amp;'Покупки по дням'!V$2)</f>
        <v>0</v>
      </c>
      <c r="W16">
        <f>SUMIFS(data!$C:$C,data!$A:$A,"="&amp;'Покупки по дням'!$B16,data!$B:$B,"="&amp;'Покупки по дням'!W$2)</f>
        <v>0</v>
      </c>
      <c r="X16">
        <f>SUMIFS(data!$C:$C,data!$A:$A,"="&amp;'Покупки по дням'!$B16,data!$B:$B,"="&amp;'Покупки по дням'!X$2)</f>
        <v>0</v>
      </c>
      <c r="Y16">
        <f>SUMIFS(data!$C:$C,data!$A:$A,"="&amp;'Покупки по дням'!$B16,data!$B:$B,"="&amp;'Покупки по дням'!Y$2)</f>
        <v>3</v>
      </c>
      <c r="Z16">
        <f>SUMIFS(data!$C:$C,data!$A:$A,"="&amp;'Покупки по дням'!$B16,data!$B:$B,"="&amp;'Покупки по дням'!Z$2)</f>
        <v>1</v>
      </c>
      <c r="AA16">
        <f>SUMIFS(data!$C:$C,data!$A:$A,"="&amp;'Покупки по дням'!$B16,data!$B:$B,"="&amp;'Покупки по дням'!AA$2)</f>
        <v>5</v>
      </c>
      <c r="AB16">
        <f>SUMIFS(data!$C:$C,data!$A:$A,"="&amp;'Покупки по дням'!$B16,data!$B:$B,"="&amp;'Покупки по дням'!AB$2)</f>
        <v>1</v>
      </c>
      <c r="AC16">
        <f>SUMIFS(data!$C:$C,data!$A:$A,"="&amp;'Покупки по дням'!$B16,data!$B:$B,"="&amp;'Покупки по дням'!AC$2)</f>
        <v>3</v>
      </c>
      <c r="AD16">
        <f>SUMIFS(data!$C:$C,data!$A:$A,"="&amp;'Покупки по дням'!$B16,data!$B:$B,"="&amp;'Покупки по дням'!AD$2)</f>
        <v>2</v>
      </c>
      <c r="AE16">
        <f>SUMIFS(data!$C:$C,data!$A:$A,"="&amp;'Покупки по дням'!$B16,data!$B:$B,"="&amp;'Покупки по дням'!AE$2)</f>
        <v>6</v>
      </c>
      <c r="AF16">
        <f>SUMIFS(data!$C:$C,data!$A:$A,"="&amp;'Покупки по дням'!$B16,data!$B:$B,"="&amp;'Покупки по дням'!AF$2)</f>
        <v>3</v>
      </c>
      <c r="AG16">
        <f>SUMIFS(data!$C:$C,data!$A:$A,"="&amp;'Покупки по дням'!$B16,data!$B:$B,"="&amp;'Покупки по дням'!AG$2)</f>
        <v>0</v>
      </c>
      <c r="AH16">
        <f>SUMIFS(data!$C:$C,data!$A:$A,"="&amp;'Покупки по дням'!$B16,data!$B:$B,"="&amp;'Покупки по дням'!AH$2)</f>
        <v>4</v>
      </c>
      <c r="AI16">
        <f>SUMIFS(data!$C:$C,data!$A:$A,"="&amp;'Покупки по дням'!$B16,data!$B:$B,"="&amp;'Покупки по дням'!AI$2)</f>
        <v>2</v>
      </c>
      <c r="AJ16">
        <f>SUMIFS(data!$C:$C,data!$A:$A,"="&amp;'Покупки по дням'!$B16,data!$B:$B,"="&amp;'Покупки по дням'!AJ$2)</f>
        <v>2</v>
      </c>
      <c r="AK16">
        <f>SUMIFS(data!$C:$C,data!$A:$A,"="&amp;'Покупки по дням'!$B16,data!$B:$B,"="&amp;'Покупки по дням'!AK$2)</f>
        <v>2</v>
      </c>
      <c r="AL16">
        <f>SUMIFS(data!$C:$C,data!$A:$A,"="&amp;'Покупки по дням'!$B16,data!$B:$B,"="&amp;'Покупки по дням'!AL$2)</f>
        <v>2</v>
      </c>
      <c r="AM16">
        <f>SUMIFS(data!$C:$C,data!$A:$A,"="&amp;'Покупки по дням'!$B16,data!$B:$B,"="&amp;'Покупки по дням'!AM$2)</f>
        <v>4</v>
      </c>
      <c r="AN16">
        <f>SUMIFS(data!$C:$C,data!$A:$A,"="&amp;'Покупки по дням'!$B16,data!$B:$B,"="&amp;'Покупки по дням'!AN$2)</f>
        <v>0</v>
      </c>
      <c r="AO16">
        <f>SUMIFS(data!$C:$C,data!$A:$A,"="&amp;'Покупки по дням'!$B16,data!$B:$B,"="&amp;'Покупки по дням'!AO$2)</f>
        <v>1</v>
      </c>
      <c r="AP16">
        <f>SUMIFS(data!$C:$C,data!$A:$A,"="&amp;'Покупки по дням'!$B16,data!$B:$B,"="&amp;'Покупки по дням'!AP$2)</f>
        <v>1</v>
      </c>
      <c r="AQ16" s="6">
        <f t="shared" si="0"/>
        <v>0.80064076902543568</v>
      </c>
    </row>
    <row r="17" spans="2:43" ht="28.8" x14ac:dyDescent="0.3">
      <c r="B17" s="17" t="s">
        <v>20</v>
      </c>
      <c r="C17">
        <f>SUMIFS(data!$C:$C,data!$A:$A,"="&amp;'Покупки по дням'!$B17,data!$B:$B,"="&amp;'Покупки по дням'!C$2)</f>
        <v>5</v>
      </c>
      <c r="D17">
        <f>SUMIFS(data!$C:$C,data!$A:$A,"="&amp;'Покупки по дням'!$B17,data!$B:$B,"="&amp;'Покупки по дням'!D$2)</f>
        <v>20</v>
      </c>
      <c r="E17">
        <f>SUMIFS(data!$C:$C,data!$A:$A,"="&amp;'Покупки по дням'!$B17,data!$B:$B,"="&amp;'Покупки по дням'!E$2)</f>
        <v>5</v>
      </c>
      <c r="F17">
        <f>SUMIFS(data!$C:$C,data!$A:$A,"="&amp;'Покупки по дням'!$B17,data!$B:$B,"="&amp;'Покупки по дням'!F$2)</f>
        <v>5</v>
      </c>
      <c r="G17">
        <f>SUMIFS(data!$C:$C,data!$A:$A,"="&amp;'Покупки по дням'!$B17,data!$B:$B,"="&amp;'Покупки по дням'!G$2)</f>
        <v>10</v>
      </c>
      <c r="H17">
        <f>SUMIFS(data!$C:$C,data!$A:$A,"="&amp;'Покупки по дням'!$B17,data!$B:$B,"="&amp;'Покупки по дням'!H$2)</f>
        <v>1</v>
      </c>
      <c r="I17">
        <f>SUMIFS(data!$C:$C,data!$A:$A,"="&amp;'Покупки по дням'!$B17,data!$B:$B,"="&amp;'Покупки по дням'!I$2)</f>
        <v>3</v>
      </c>
      <c r="J17">
        <f>SUMIFS(data!$C:$C,data!$A:$A,"="&amp;'Покупки по дням'!$B17,data!$B:$B,"="&amp;'Покупки по дням'!J$2)</f>
        <v>7</v>
      </c>
      <c r="K17">
        <f>SUMIFS(data!$C:$C,data!$A:$A,"="&amp;'Покупки по дням'!$B17,data!$B:$B,"="&amp;'Покупки по дням'!K$2)</f>
        <v>0</v>
      </c>
      <c r="L17">
        <f>SUMIFS(data!$C:$C,data!$A:$A,"="&amp;'Покупки по дням'!$B17,data!$B:$B,"="&amp;'Покупки по дням'!L$2)</f>
        <v>14</v>
      </c>
      <c r="M17">
        <f>SUMIFS(data!$C:$C,data!$A:$A,"="&amp;'Покупки по дням'!$B17,data!$B:$B,"="&amp;'Покупки по дням'!M$2)</f>
        <v>3</v>
      </c>
      <c r="N17">
        <f>SUMIFS(data!$C:$C,data!$A:$A,"="&amp;'Покупки по дням'!$B17,data!$B:$B,"="&amp;'Покупки по дням'!N$2)</f>
        <v>7</v>
      </c>
      <c r="O17">
        <f>SUMIFS(data!$C:$C,data!$A:$A,"="&amp;'Покупки по дням'!$B17,data!$B:$B,"="&amp;'Покупки по дням'!O$2)</f>
        <v>16</v>
      </c>
      <c r="P17">
        <f>SUMIFS(data!$C:$C,data!$A:$A,"="&amp;'Покупки по дням'!$B17,data!$B:$B,"="&amp;'Покупки по дням'!P$2)</f>
        <v>9</v>
      </c>
      <c r="Q17">
        <f>SUMIFS(data!$C:$C,data!$A:$A,"="&amp;'Покупки по дням'!$B17,data!$B:$B,"="&amp;'Покупки по дням'!Q$2)</f>
        <v>8</v>
      </c>
      <c r="R17">
        <f>SUMIFS(data!$C:$C,data!$A:$A,"="&amp;'Покупки по дням'!$B17,data!$B:$B,"="&amp;'Покупки по дням'!R$2)</f>
        <v>10</v>
      </c>
      <c r="S17">
        <f>SUMIFS(data!$C:$C,data!$A:$A,"="&amp;'Покупки по дням'!$B17,data!$B:$B,"="&amp;'Покупки по дням'!S$2)</f>
        <v>11</v>
      </c>
      <c r="T17">
        <f>SUMIFS(data!$C:$C,data!$A:$A,"="&amp;'Покупки по дням'!$B17,data!$B:$B,"="&amp;'Покупки по дням'!T$2)</f>
        <v>5</v>
      </c>
      <c r="U17">
        <f>SUMIFS(data!$C:$C,data!$A:$A,"="&amp;'Покупки по дням'!$B17,data!$B:$B,"="&amp;'Покупки по дням'!U$2)</f>
        <v>12</v>
      </c>
      <c r="V17">
        <f>SUMIFS(data!$C:$C,data!$A:$A,"="&amp;'Покупки по дням'!$B17,data!$B:$B,"="&amp;'Покупки по дням'!V$2)</f>
        <v>9</v>
      </c>
      <c r="W17">
        <f>SUMIFS(data!$C:$C,data!$A:$A,"="&amp;'Покупки по дням'!$B17,data!$B:$B,"="&amp;'Покупки по дням'!W$2)</f>
        <v>15</v>
      </c>
      <c r="X17">
        <f>SUMIFS(data!$C:$C,data!$A:$A,"="&amp;'Покупки по дням'!$B17,data!$B:$B,"="&amp;'Покупки по дням'!X$2)</f>
        <v>17</v>
      </c>
      <c r="Y17">
        <f>SUMIFS(data!$C:$C,data!$A:$A,"="&amp;'Покупки по дням'!$B17,data!$B:$B,"="&amp;'Покупки по дням'!Y$2)</f>
        <v>8</v>
      </c>
      <c r="Z17">
        <f>SUMIFS(data!$C:$C,data!$A:$A,"="&amp;'Покупки по дням'!$B17,data!$B:$B,"="&amp;'Покупки по дням'!Z$2)</f>
        <v>6</v>
      </c>
      <c r="AA17">
        <f>SUMIFS(data!$C:$C,data!$A:$A,"="&amp;'Покупки по дням'!$B17,data!$B:$B,"="&amp;'Покупки по дням'!AA$2)</f>
        <v>11</v>
      </c>
      <c r="AB17">
        <f>SUMIFS(data!$C:$C,data!$A:$A,"="&amp;'Покупки по дням'!$B17,data!$B:$B,"="&amp;'Покупки по дням'!AB$2)</f>
        <v>9</v>
      </c>
      <c r="AC17">
        <f>SUMIFS(data!$C:$C,data!$A:$A,"="&amp;'Покупки по дням'!$B17,data!$B:$B,"="&amp;'Покупки по дням'!AC$2)</f>
        <v>9</v>
      </c>
      <c r="AD17">
        <f>SUMIFS(data!$C:$C,data!$A:$A,"="&amp;'Покупки по дням'!$B17,data!$B:$B,"="&amp;'Покупки по дням'!AD$2)</f>
        <v>8</v>
      </c>
      <c r="AE17">
        <f>SUMIFS(data!$C:$C,data!$A:$A,"="&amp;'Покупки по дням'!$B17,data!$B:$B,"="&amp;'Покупки по дням'!AE$2)</f>
        <v>8</v>
      </c>
      <c r="AF17">
        <f>SUMIFS(data!$C:$C,data!$A:$A,"="&amp;'Покупки по дням'!$B17,data!$B:$B,"="&amp;'Покупки по дням'!AF$2)</f>
        <v>7</v>
      </c>
      <c r="AG17">
        <f>SUMIFS(data!$C:$C,data!$A:$A,"="&amp;'Покупки по дням'!$B17,data!$B:$B,"="&amp;'Покупки по дням'!AG$2)</f>
        <v>17</v>
      </c>
      <c r="AH17">
        <f>SUMIFS(data!$C:$C,data!$A:$A,"="&amp;'Покупки по дням'!$B17,data!$B:$B,"="&amp;'Покупки по дням'!AH$2)</f>
        <v>5</v>
      </c>
      <c r="AI17">
        <f>SUMIFS(data!$C:$C,data!$A:$A,"="&amp;'Покупки по дням'!$B17,data!$B:$B,"="&amp;'Покупки по дням'!AI$2)</f>
        <v>11</v>
      </c>
      <c r="AJ17">
        <f>SUMIFS(data!$C:$C,data!$A:$A,"="&amp;'Покупки по дням'!$B17,data!$B:$B,"="&amp;'Покупки по дням'!AJ$2)</f>
        <v>12</v>
      </c>
      <c r="AK17">
        <f>SUMIFS(data!$C:$C,data!$A:$A,"="&amp;'Покупки по дням'!$B17,data!$B:$B,"="&amp;'Покупки по дням'!AK$2)</f>
        <v>7</v>
      </c>
      <c r="AL17">
        <f>SUMIFS(data!$C:$C,data!$A:$A,"="&amp;'Покупки по дням'!$B17,data!$B:$B,"="&amp;'Покупки по дням'!AL$2)</f>
        <v>0</v>
      </c>
      <c r="AM17">
        <f>SUMIFS(data!$C:$C,data!$A:$A,"="&amp;'Покупки по дням'!$B17,data!$B:$B,"="&amp;'Покупки по дням'!AM$2)</f>
        <v>4</v>
      </c>
      <c r="AN17">
        <f>SUMIFS(data!$C:$C,data!$A:$A,"="&amp;'Покупки по дням'!$B17,data!$B:$B,"="&amp;'Покупки по дням'!AN$2)</f>
        <v>12</v>
      </c>
      <c r="AO17">
        <f>SUMIFS(data!$C:$C,data!$A:$A,"="&amp;'Покупки по дням'!$B17,data!$B:$B,"="&amp;'Покупки по дням'!AO$2)</f>
        <v>12</v>
      </c>
      <c r="AP17">
        <f>SUMIFS(data!$C:$C,data!$A:$A,"="&amp;'Покупки по дням'!$B17,data!$B:$B,"="&amp;'Покупки по дням'!AP$2)</f>
        <v>13</v>
      </c>
      <c r="AQ17" s="6">
        <f t="shared" si="0"/>
        <v>0.53357721914695966</v>
      </c>
    </row>
    <row r="18" spans="2:43" ht="43.2" x14ac:dyDescent="0.3">
      <c r="B18" s="17" t="s">
        <v>19</v>
      </c>
      <c r="C18">
        <f>SUMIFS(data!$C:$C,data!$A:$A,"="&amp;'Покупки по дням'!$B18,data!$B:$B,"="&amp;'Покупки по дням'!C$2)</f>
        <v>3</v>
      </c>
      <c r="D18">
        <f>SUMIFS(data!$C:$C,data!$A:$A,"="&amp;'Покупки по дням'!$B18,data!$B:$B,"="&amp;'Покупки по дням'!D$2)</f>
        <v>3</v>
      </c>
      <c r="E18">
        <f>SUMIFS(data!$C:$C,data!$A:$A,"="&amp;'Покупки по дням'!$B18,data!$B:$B,"="&amp;'Покупки по дням'!E$2)</f>
        <v>4</v>
      </c>
      <c r="F18">
        <f>SUMIFS(data!$C:$C,data!$A:$A,"="&amp;'Покупки по дням'!$B18,data!$B:$B,"="&amp;'Покупки по дням'!F$2)</f>
        <v>6</v>
      </c>
      <c r="G18">
        <f>SUMIFS(data!$C:$C,data!$A:$A,"="&amp;'Покупки по дням'!$B18,data!$B:$B,"="&amp;'Покупки по дням'!G$2)</f>
        <v>4</v>
      </c>
      <c r="H18">
        <f>SUMIFS(data!$C:$C,data!$A:$A,"="&amp;'Покупки по дням'!$B18,data!$B:$B,"="&amp;'Покупки по дням'!H$2)</f>
        <v>9</v>
      </c>
      <c r="I18">
        <f>SUMIFS(data!$C:$C,data!$A:$A,"="&amp;'Покупки по дням'!$B18,data!$B:$B,"="&amp;'Покупки по дням'!I$2)</f>
        <v>6</v>
      </c>
      <c r="J18">
        <f>SUMIFS(data!$C:$C,data!$A:$A,"="&amp;'Покупки по дням'!$B18,data!$B:$B,"="&amp;'Покупки по дням'!J$2)</f>
        <v>5</v>
      </c>
      <c r="K18">
        <f>SUMIFS(data!$C:$C,data!$A:$A,"="&amp;'Покупки по дням'!$B18,data!$B:$B,"="&amp;'Покупки по дням'!K$2)</f>
        <v>0</v>
      </c>
      <c r="L18">
        <f>SUMIFS(data!$C:$C,data!$A:$A,"="&amp;'Покупки по дням'!$B18,data!$B:$B,"="&amp;'Покупки по дням'!L$2)</f>
        <v>4</v>
      </c>
      <c r="M18">
        <f>SUMIFS(data!$C:$C,data!$A:$A,"="&amp;'Покупки по дням'!$B18,data!$B:$B,"="&amp;'Покупки по дням'!M$2)</f>
        <v>0</v>
      </c>
      <c r="N18">
        <f>SUMIFS(data!$C:$C,data!$A:$A,"="&amp;'Покупки по дням'!$B18,data!$B:$B,"="&amp;'Покупки по дням'!N$2)</f>
        <v>5</v>
      </c>
      <c r="O18">
        <f>SUMIFS(data!$C:$C,data!$A:$A,"="&amp;'Покупки по дням'!$B18,data!$B:$B,"="&amp;'Покупки по дням'!O$2)</f>
        <v>2</v>
      </c>
      <c r="P18">
        <f>SUMIFS(data!$C:$C,data!$A:$A,"="&amp;'Покупки по дням'!$B18,data!$B:$B,"="&amp;'Покупки по дням'!P$2)</f>
        <v>5</v>
      </c>
      <c r="Q18">
        <f>SUMIFS(data!$C:$C,data!$A:$A,"="&amp;'Покупки по дням'!$B18,data!$B:$B,"="&amp;'Покупки по дням'!Q$2)</f>
        <v>4</v>
      </c>
      <c r="R18">
        <f>SUMIFS(data!$C:$C,data!$A:$A,"="&amp;'Покупки по дням'!$B18,data!$B:$B,"="&amp;'Покупки по дням'!R$2)</f>
        <v>6</v>
      </c>
      <c r="S18">
        <f>SUMIFS(data!$C:$C,data!$A:$A,"="&amp;'Покупки по дням'!$B18,data!$B:$B,"="&amp;'Покупки по дням'!S$2)</f>
        <v>6</v>
      </c>
      <c r="T18">
        <f>SUMIFS(data!$C:$C,data!$A:$A,"="&amp;'Покупки по дням'!$B18,data!$B:$B,"="&amp;'Покупки по дням'!T$2)</f>
        <v>2</v>
      </c>
      <c r="U18">
        <f>SUMIFS(data!$C:$C,data!$A:$A,"="&amp;'Покупки по дням'!$B18,data!$B:$B,"="&amp;'Покупки по дням'!U$2)</f>
        <v>7</v>
      </c>
      <c r="V18">
        <f>SUMIFS(data!$C:$C,data!$A:$A,"="&amp;'Покупки по дням'!$B18,data!$B:$B,"="&amp;'Покупки по дням'!V$2)</f>
        <v>4</v>
      </c>
      <c r="W18">
        <f>SUMIFS(data!$C:$C,data!$A:$A,"="&amp;'Покупки по дням'!$B18,data!$B:$B,"="&amp;'Покупки по дням'!W$2)</f>
        <v>12</v>
      </c>
      <c r="X18">
        <f>SUMIFS(data!$C:$C,data!$A:$A,"="&amp;'Покупки по дням'!$B18,data!$B:$B,"="&amp;'Покупки по дням'!X$2)</f>
        <v>2</v>
      </c>
      <c r="Y18">
        <f>SUMIFS(data!$C:$C,data!$A:$A,"="&amp;'Покупки по дням'!$B18,data!$B:$B,"="&amp;'Покупки по дням'!Y$2)</f>
        <v>4</v>
      </c>
      <c r="Z18">
        <f>SUMIFS(data!$C:$C,data!$A:$A,"="&amp;'Покупки по дням'!$B18,data!$B:$B,"="&amp;'Покупки по дням'!Z$2)</f>
        <v>5</v>
      </c>
      <c r="AA18">
        <f>SUMIFS(data!$C:$C,data!$A:$A,"="&amp;'Покупки по дням'!$B18,data!$B:$B,"="&amp;'Покупки по дням'!AA$2)</f>
        <v>7</v>
      </c>
      <c r="AB18">
        <f>SUMIFS(data!$C:$C,data!$A:$A,"="&amp;'Покупки по дням'!$B18,data!$B:$B,"="&amp;'Покупки по дням'!AB$2)</f>
        <v>5</v>
      </c>
      <c r="AC18">
        <f>SUMIFS(data!$C:$C,data!$A:$A,"="&amp;'Покупки по дням'!$B18,data!$B:$B,"="&amp;'Покупки по дням'!AC$2)</f>
        <v>4</v>
      </c>
      <c r="AD18">
        <f>SUMIFS(data!$C:$C,data!$A:$A,"="&amp;'Покупки по дням'!$B18,data!$B:$B,"="&amp;'Покупки по дням'!AD$2)</f>
        <v>2</v>
      </c>
      <c r="AE18">
        <f>SUMIFS(data!$C:$C,data!$A:$A,"="&amp;'Покупки по дням'!$B18,data!$B:$B,"="&amp;'Покупки по дням'!AE$2)</f>
        <v>5</v>
      </c>
      <c r="AF18">
        <f>SUMIFS(data!$C:$C,data!$A:$A,"="&amp;'Покупки по дням'!$B18,data!$B:$B,"="&amp;'Покупки по дням'!AF$2)</f>
        <v>7</v>
      </c>
      <c r="AG18">
        <f>SUMIFS(data!$C:$C,data!$A:$A,"="&amp;'Покупки по дням'!$B18,data!$B:$B,"="&amp;'Покупки по дням'!AG$2)</f>
        <v>5</v>
      </c>
      <c r="AH18">
        <f>SUMIFS(data!$C:$C,data!$A:$A,"="&amp;'Покупки по дням'!$B18,data!$B:$B,"="&amp;'Покупки по дням'!AH$2)</f>
        <v>7</v>
      </c>
      <c r="AI18">
        <f>SUMIFS(data!$C:$C,data!$A:$A,"="&amp;'Покупки по дням'!$B18,data!$B:$B,"="&amp;'Покупки по дням'!AI$2)</f>
        <v>0</v>
      </c>
      <c r="AJ18">
        <f>SUMIFS(data!$C:$C,data!$A:$A,"="&amp;'Покупки по дням'!$B18,data!$B:$B,"="&amp;'Покупки по дням'!AJ$2)</f>
        <v>1</v>
      </c>
      <c r="AK18">
        <f>SUMIFS(data!$C:$C,data!$A:$A,"="&amp;'Покупки по дням'!$B18,data!$B:$B,"="&amp;'Покупки по дням'!AK$2)</f>
        <v>3</v>
      </c>
      <c r="AL18">
        <f>SUMIFS(data!$C:$C,data!$A:$A,"="&amp;'Покупки по дням'!$B18,data!$B:$B,"="&amp;'Покупки по дням'!AL$2)</f>
        <v>3</v>
      </c>
      <c r="AM18">
        <f>SUMIFS(data!$C:$C,data!$A:$A,"="&amp;'Покупки по дням'!$B18,data!$B:$B,"="&amp;'Покупки по дням'!AM$2)</f>
        <v>5</v>
      </c>
      <c r="AN18">
        <f>SUMIFS(data!$C:$C,data!$A:$A,"="&amp;'Покупки по дням'!$B18,data!$B:$B,"="&amp;'Покупки по дням'!AN$2)</f>
        <v>1</v>
      </c>
      <c r="AO18">
        <f>SUMIFS(data!$C:$C,data!$A:$A,"="&amp;'Покупки по дням'!$B18,data!$B:$B,"="&amp;'Покупки по дням'!AO$2)</f>
        <v>5</v>
      </c>
      <c r="AP18">
        <f>SUMIFS(data!$C:$C,data!$A:$A,"="&amp;'Покупки по дням'!$B18,data!$B:$B,"="&amp;'Покупки по дням'!AP$2)</f>
        <v>12</v>
      </c>
      <c r="AQ18" s="6">
        <f t="shared" si="0"/>
        <v>0.60597426649095931</v>
      </c>
    </row>
    <row r="19" spans="2:43" ht="28.8" x14ac:dyDescent="0.3">
      <c r="B19" s="17" t="s">
        <v>9</v>
      </c>
      <c r="C19">
        <f>SUMIFS(data!$C:$C,data!$A:$A,"="&amp;'Покупки по дням'!$B19,data!$B:$B,"="&amp;'Покупки по дням'!C$2)</f>
        <v>0</v>
      </c>
      <c r="D19">
        <f>SUMIFS(data!$C:$C,data!$A:$A,"="&amp;'Покупки по дням'!$B19,data!$B:$B,"="&amp;'Покупки по дням'!D$2)</f>
        <v>0</v>
      </c>
      <c r="E19">
        <f>SUMIFS(data!$C:$C,data!$A:$A,"="&amp;'Покупки по дням'!$B19,data!$B:$B,"="&amp;'Покупки по дням'!E$2)</f>
        <v>0</v>
      </c>
      <c r="F19">
        <f>SUMIFS(data!$C:$C,data!$A:$A,"="&amp;'Покупки по дням'!$B19,data!$B:$B,"="&amp;'Покупки по дням'!F$2)</f>
        <v>0</v>
      </c>
      <c r="G19">
        <f>SUMIFS(data!$C:$C,data!$A:$A,"="&amp;'Покупки по дням'!$B19,data!$B:$B,"="&amp;'Покупки по дням'!G$2)</f>
        <v>0</v>
      </c>
      <c r="H19">
        <f>SUMIFS(data!$C:$C,data!$A:$A,"="&amp;'Покупки по дням'!$B19,data!$B:$B,"="&amp;'Покупки по дням'!H$2)</f>
        <v>0</v>
      </c>
      <c r="I19">
        <f>SUMIFS(data!$C:$C,data!$A:$A,"="&amp;'Покупки по дням'!$B19,data!$B:$B,"="&amp;'Покупки по дням'!I$2)</f>
        <v>0</v>
      </c>
      <c r="J19">
        <f>SUMIFS(data!$C:$C,data!$A:$A,"="&amp;'Покупки по дням'!$B19,data!$B:$B,"="&amp;'Покупки по дням'!J$2)</f>
        <v>0</v>
      </c>
      <c r="K19">
        <f>SUMIFS(data!$C:$C,data!$A:$A,"="&amp;'Покупки по дням'!$B19,data!$B:$B,"="&amp;'Покупки по дням'!K$2)</f>
        <v>0</v>
      </c>
      <c r="L19">
        <f>SUMIFS(data!$C:$C,data!$A:$A,"="&amp;'Покупки по дням'!$B19,data!$B:$B,"="&amp;'Покупки по дням'!L$2)</f>
        <v>0</v>
      </c>
      <c r="M19">
        <f>SUMIFS(data!$C:$C,data!$A:$A,"="&amp;'Покупки по дням'!$B19,data!$B:$B,"="&amp;'Покупки по дням'!M$2)</f>
        <v>0</v>
      </c>
      <c r="N19">
        <f>SUMIFS(data!$C:$C,data!$A:$A,"="&amp;'Покупки по дням'!$B19,data!$B:$B,"="&amp;'Покупки по дням'!N$2)</f>
        <v>0</v>
      </c>
      <c r="O19">
        <f>SUMIFS(data!$C:$C,data!$A:$A,"="&amp;'Покупки по дням'!$B19,data!$B:$B,"="&amp;'Покупки по дням'!O$2)</f>
        <v>0</v>
      </c>
      <c r="P19">
        <f>SUMIFS(data!$C:$C,data!$A:$A,"="&amp;'Покупки по дням'!$B19,data!$B:$B,"="&amp;'Покупки по дням'!P$2)</f>
        <v>0</v>
      </c>
      <c r="Q19">
        <f>SUMIFS(data!$C:$C,data!$A:$A,"="&amp;'Покупки по дням'!$B19,data!$B:$B,"="&amp;'Покупки по дням'!Q$2)</f>
        <v>0</v>
      </c>
      <c r="R19">
        <f>SUMIFS(data!$C:$C,data!$A:$A,"="&amp;'Покупки по дням'!$B19,data!$B:$B,"="&amp;'Покупки по дням'!R$2)</f>
        <v>0</v>
      </c>
      <c r="S19">
        <f>SUMIFS(data!$C:$C,data!$A:$A,"="&amp;'Покупки по дням'!$B19,data!$B:$B,"="&amp;'Покупки по дням'!S$2)</f>
        <v>0</v>
      </c>
      <c r="T19">
        <f>SUMIFS(data!$C:$C,data!$A:$A,"="&amp;'Покупки по дням'!$B19,data!$B:$B,"="&amp;'Покупки по дням'!T$2)</f>
        <v>0</v>
      </c>
      <c r="U19">
        <f>SUMIFS(data!$C:$C,data!$A:$A,"="&amp;'Покупки по дням'!$B19,data!$B:$B,"="&amp;'Покупки по дням'!U$2)</f>
        <v>0</v>
      </c>
      <c r="V19">
        <f>SUMIFS(data!$C:$C,data!$A:$A,"="&amp;'Покупки по дням'!$B19,data!$B:$B,"="&amp;'Покупки по дням'!V$2)</f>
        <v>0</v>
      </c>
      <c r="W19">
        <f>SUMIFS(data!$C:$C,data!$A:$A,"="&amp;'Покупки по дням'!$B19,data!$B:$B,"="&amp;'Покупки по дням'!W$2)</f>
        <v>0</v>
      </c>
      <c r="X19">
        <f>SUMIFS(data!$C:$C,data!$A:$A,"="&amp;'Покупки по дням'!$B19,data!$B:$B,"="&amp;'Покупки по дням'!X$2)</f>
        <v>0</v>
      </c>
      <c r="Y19">
        <f>SUMIFS(data!$C:$C,data!$A:$A,"="&amp;'Покупки по дням'!$B19,data!$B:$B,"="&amp;'Покупки по дням'!Y$2)</f>
        <v>5</v>
      </c>
      <c r="Z19">
        <f>SUMIFS(data!$C:$C,data!$A:$A,"="&amp;'Покупки по дням'!$B19,data!$B:$B,"="&amp;'Покупки по дням'!Z$2)</f>
        <v>6</v>
      </c>
      <c r="AA19">
        <f>SUMIFS(data!$C:$C,data!$A:$A,"="&amp;'Покупки по дням'!$B19,data!$B:$B,"="&amp;'Покупки по дням'!AA$2)</f>
        <v>4</v>
      </c>
      <c r="AB19">
        <f>SUMIFS(data!$C:$C,data!$A:$A,"="&amp;'Покупки по дням'!$B19,data!$B:$B,"="&amp;'Покупки по дням'!AB$2)</f>
        <v>10</v>
      </c>
      <c r="AC19">
        <f>SUMIFS(data!$C:$C,data!$A:$A,"="&amp;'Покупки по дням'!$B19,data!$B:$B,"="&amp;'Покупки по дням'!AC$2)</f>
        <v>4</v>
      </c>
      <c r="AD19">
        <f>SUMIFS(data!$C:$C,data!$A:$A,"="&amp;'Покупки по дням'!$B19,data!$B:$B,"="&amp;'Покупки по дням'!AD$2)</f>
        <v>4</v>
      </c>
      <c r="AE19">
        <f>SUMIFS(data!$C:$C,data!$A:$A,"="&amp;'Покупки по дням'!$B19,data!$B:$B,"="&amp;'Покупки по дням'!AE$2)</f>
        <v>3</v>
      </c>
      <c r="AF19">
        <f>SUMIFS(data!$C:$C,data!$A:$A,"="&amp;'Покупки по дням'!$B19,data!$B:$B,"="&amp;'Покупки по дням'!AF$2)</f>
        <v>8</v>
      </c>
      <c r="AG19">
        <f>SUMIFS(data!$C:$C,data!$A:$A,"="&amp;'Покупки по дням'!$B19,data!$B:$B,"="&amp;'Покупки по дням'!AG$2)</f>
        <v>5</v>
      </c>
      <c r="AH19">
        <f>SUMIFS(data!$C:$C,data!$A:$A,"="&amp;'Покупки по дням'!$B19,data!$B:$B,"="&amp;'Покупки по дням'!AH$2)</f>
        <v>8</v>
      </c>
      <c r="AI19">
        <f>SUMIFS(data!$C:$C,data!$A:$A,"="&amp;'Покупки по дням'!$B19,data!$B:$B,"="&amp;'Покупки по дням'!AI$2)</f>
        <v>3</v>
      </c>
      <c r="AJ19">
        <f>SUMIFS(data!$C:$C,data!$A:$A,"="&amp;'Покупки по дням'!$B19,data!$B:$B,"="&amp;'Покупки по дням'!AJ$2)</f>
        <v>10</v>
      </c>
      <c r="AK19">
        <f>SUMIFS(data!$C:$C,data!$A:$A,"="&amp;'Покупки по дням'!$B19,data!$B:$B,"="&amp;'Покупки по дням'!AK$2)</f>
        <v>5</v>
      </c>
      <c r="AL19">
        <f>SUMIFS(data!$C:$C,data!$A:$A,"="&amp;'Покупки по дням'!$B19,data!$B:$B,"="&amp;'Покупки по дням'!AL$2)</f>
        <v>5</v>
      </c>
      <c r="AM19">
        <f>SUMIFS(data!$C:$C,data!$A:$A,"="&amp;'Покупки по дням'!$B19,data!$B:$B,"="&amp;'Покупки по дням'!AM$2)</f>
        <v>6</v>
      </c>
      <c r="AN19">
        <f>SUMIFS(data!$C:$C,data!$A:$A,"="&amp;'Покупки по дням'!$B19,data!$B:$B,"="&amp;'Покупки по дням'!AN$2)</f>
        <v>6</v>
      </c>
      <c r="AO19">
        <f>SUMIFS(data!$C:$C,data!$A:$A,"="&amp;'Покупки по дням'!$B19,data!$B:$B,"="&amp;'Покупки по дням'!AO$2)</f>
        <v>9</v>
      </c>
      <c r="AP19">
        <f>SUMIFS(data!$C:$C,data!$A:$A,"="&amp;'Покупки по дням'!$B19,data!$B:$B,"="&amp;'Покупки по дням'!AP$2)</f>
        <v>4</v>
      </c>
      <c r="AQ19" s="6">
        <f t="shared" si="0"/>
        <v>1.255165500076898</v>
      </c>
    </row>
    <row r="20" spans="2:43" ht="28.8" x14ac:dyDescent="0.3">
      <c r="B20" s="17" t="s">
        <v>90</v>
      </c>
      <c r="C20">
        <f>SUMIFS(data!$C:$C,data!$A:$A,"="&amp;'Покупки по дням'!$B20,data!$B:$B,"="&amp;'Покупки по дням'!C$2)</f>
        <v>4</v>
      </c>
      <c r="D20">
        <f>SUMIFS(data!$C:$C,data!$A:$A,"="&amp;'Покупки по дням'!$B20,data!$B:$B,"="&amp;'Покупки по дням'!D$2)</f>
        <v>10</v>
      </c>
      <c r="E20">
        <f>SUMIFS(data!$C:$C,data!$A:$A,"="&amp;'Покупки по дням'!$B20,data!$B:$B,"="&amp;'Покупки по дням'!E$2)</f>
        <v>3</v>
      </c>
      <c r="F20">
        <f>SUMIFS(data!$C:$C,data!$A:$A,"="&amp;'Покупки по дням'!$B20,data!$B:$B,"="&amp;'Покупки по дням'!F$2)</f>
        <v>2</v>
      </c>
      <c r="G20">
        <f>SUMIFS(data!$C:$C,data!$A:$A,"="&amp;'Покупки по дням'!$B20,data!$B:$B,"="&amp;'Покупки по дням'!G$2)</f>
        <v>2</v>
      </c>
      <c r="H20">
        <f>SUMIFS(data!$C:$C,data!$A:$A,"="&amp;'Покупки по дням'!$B20,data!$B:$B,"="&amp;'Покупки по дням'!H$2)</f>
        <v>7</v>
      </c>
      <c r="I20">
        <f>SUMIFS(data!$C:$C,data!$A:$A,"="&amp;'Покупки по дням'!$B20,data!$B:$B,"="&amp;'Покупки по дням'!I$2)</f>
        <v>1</v>
      </c>
      <c r="J20">
        <f>SUMIFS(data!$C:$C,data!$A:$A,"="&amp;'Покупки по дням'!$B20,data!$B:$B,"="&amp;'Покупки по дням'!J$2)</f>
        <v>1</v>
      </c>
      <c r="K20">
        <f>SUMIFS(data!$C:$C,data!$A:$A,"="&amp;'Покупки по дням'!$B20,data!$B:$B,"="&amp;'Покупки по дням'!K$2)</f>
        <v>0</v>
      </c>
      <c r="L20">
        <f>SUMIFS(data!$C:$C,data!$A:$A,"="&amp;'Покупки по дням'!$B20,data!$B:$B,"="&amp;'Покупки по дням'!L$2)</f>
        <v>2</v>
      </c>
      <c r="M20">
        <f>SUMIFS(data!$C:$C,data!$A:$A,"="&amp;'Покупки по дням'!$B20,data!$B:$B,"="&amp;'Покупки по дням'!M$2)</f>
        <v>2</v>
      </c>
      <c r="N20">
        <f>SUMIFS(data!$C:$C,data!$A:$A,"="&amp;'Покупки по дням'!$B20,data!$B:$B,"="&amp;'Покупки по дням'!N$2)</f>
        <v>1</v>
      </c>
      <c r="O20">
        <f>SUMIFS(data!$C:$C,data!$A:$A,"="&amp;'Покупки по дням'!$B20,data!$B:$B,"="&amp;'Покупки по дням'!O$2)</f>
        <v>0</v>
      </c>
      <c r="P20">
        <f>SUMIFS(data!$C:$C,data!$A:$A,"="&amp;'Покупки по дням'!$B20,data!$B:$B,"="&amp;'Покупки по дням'!P$2)</f>
        <v>1</v>
      </c>
      <c r="Q20">
        <f>SUMIFS(data!$C:$C,data!$A:$A,"="&amp;'Покупки по дням'!$B20,data!$B:$B,"="&amp;'Покупки по дням'!Q$2)</f>
        <v>2</v>
      </c>
      <c r="R20">
        <f>SUMIFS(data!$C:$C,data!$A:$A,"="&amp;'Покупки по дням'!$B20,data!$B:$B,"="&amp;'Покупки по дням'!R$2)</f>
        <v>1</v>
      </c>
      <c r="S20">
        <f>SUMIFS(data!$C:$C,data!$A:$A,"="&amp;'Покупки по дням'!$B20,data!$B:$B,"="&amp;'Покупки по дням'!S$2)</f>
        <v>3</v>
      </c>
      <c r="T20">
        <f>SUMIFS(data!$C:$C,data!$A:$A,"="&amp;'Покупки по дням'!$B20,data!$B:$B,"="&amp;'Покупки по дням'!T$2)</f>
        <v>2</v>
      </c>
      <c r="U20">
        <f>SUMIFS(data!$C:$C,data!$A:$A,"="&amp;'Покупки по дням'!$B20,data!$B:$B,"="&amp;'Покупки по дням'!U$2)</f>
        <v>1</v>
      </c>
      <c r="V20">
        <f>SUMIFS(data!$C:$C,data!$A:$A,"="&amp;'Покупки по дням'!$B20,data!$B:$B,"="&amp;'Покупки по дням'!V$2)</f>
        <v>3</v>
      </c>
      <c r="W20">
        <f>SUMIFS(data!$C:$C,data!$A:$A,"="&amp;'Покупки по дням'!$B20,data!$B:$B,"="&amp;'Покупки по дням'!W$2)</f>
        <v>2</v>
      </c>
      <c r="X20">
        <f>SUMIFS(data!$C:$C,data!$A:$A,"="&amp;'Покупки по дням'!$B20,data!$B:$B,"="&amp;'Покупки по дням'!X$2)</f>
        <v>1</v>
      </c>
      <c r="Y20">
        <f>SUMIFS(data!$C:$C,data!$A:$A,"="&amp;'Покупки по дням'!$B20,data!$B:$B,"="&amp;'Покупки по дням'!Y$2)</f>
        <v>3</v>
      </c>
      <c r="Z20">
        <f>SUMIFS(data!$C:$C,data!$A:$A,"="&amp;'Покупки по дням'!$B20,data!$B:$B,"="&amp;'Покупки по дням'!Z$2)</f>
        <v>2</v>
      </c>
      <c r="AA20">
        <f>SUMIFS(data!$C:$C,data!$A:$A,"="&amp;'Покупки по дням'!$B20,data!$B:$B,"="&amp;'Покупки по дням'!AA$2)</f>
        <v>2</v>
      </c>
      <c r="AB20">
        <f>SUMIFS(data!$C:$C,data!$A:$A,"="&amp;'Покупки по дням'!$B20,data!$B:$B,"="&amp;'Покупки по дням'!AB$2)</f>
        <v>3</v>
      </c>
      <c r="AC20">
        <f>SUMIFS(data!$C:$C,data!$A:$A,"="&amp;'Покупки по дням'!$B20,data!$B:$B,"="&amp;'Покупки по дням'!AC$2)</f>
        <v>3</v>
      </c>
      <c r="AD20">
        <f>SUMIFS(data!$C:$C,data!$A:$A,"="&amp;'Покупки по дням'!$B20,data!$B:$B,"="&amp;'Покупки по дням'!AD$2)</f>
        <v>2</v>
      </c>
      <c r="AE20">
        <f>SUMIFS(data!$C:$C,data!$A:$A,"="&amp;'Покупки по дням'!$B20,data!$B:$B,"="&amp;'Покупки по дням'!AE$2)</f>
        <v>3</v>
      </c>
      <c r="AF20">
        <f>SUMIFS(data!$C:$C,data!$A:$A,"="&amp;'Покупки по дням'!$B20,data!$B:$B,"="&amp;'Покупки по дням'!AF$2)</f>
        <v>0</v>
      </c>
      <c r="AG20">
        <f>SUMIFS(data!$C:$C,data!$A:$A,"="&amp;'Покупки по дням'!$B20,data!$B:$B,"="&amp;'Покупки по дням'!AG$2)</f>
        <v>2</v>
      </c>
      <c r="AH20">
        <f>SUMIFS(data!$C:$C,data!$A:$A,"="&amp;'Покупки по дням'!$B20,data!$B:$B,"="&amp;'Покупки по дням'!AH$2)</f>
        <v>1</v>
      </c>
      <c r="AI20">
        <f>SUMIFS(data!$C:$C,data!$A:$A,"="&amp;'Покупки по дням'!$B20,data!$B:$B,"="&amp;'Покупки по дням'!AI$2)</f>
        <v>1</v>
      </c>
      <c r="AJ20">
        <f>SUMIFS(data!$C:$C,data!$A:$A,"="&amp;'Покупки по дням'!$B20,data!$B:$B,"="&amp;'Покупки по дням'!AJ$2)</f>
        <v>3</v>
      </c>
      <c r="AK20">
        <f>SUMIFS(data!$C:$C,data!$A:$A,"="&amp;'Покупки по дням'!$B20,data!$B:$B,"="&amp;'Покупки по дням'!AK$2)</f>
        <v>2</v>
      </c>
      <c r="AL20">
        <f>SUMIFS(data!$C:$C,data!$A:$A,"="&amp;'Покупки по дням'!$B20,data!$B:$B,"="&amp;'Покупки по дням'!AL$2)</f>
        <v>2</v>
      </c>
      <c r="AM20">
        <f>SUMIFS(data!$C:$C,data!$A:$A,"="&amp;'Покупки по дням'!$B20,data!$B:$B,"="&amp;'Покупки по дням'!AM$2)</f>
        <v>2</v>
      </c>
      <c r="AN20">
        <f>SUMIFS(data!$C:$C,data!$A:$A,"="&amp;'Покупки по дням'!$B20,data!$B:$B,"="&amp;'Покупки по дням'!AN$2)</f>
        <v>2</v>
      </c>
      <c r="AO20">
        <f>SUMIFS(data!$C:$C,data!$A:$A,"="&amp;'Покупки по дням'!$B20,data!$B:$B,"="&amp;'Покупки по дням'!AO$2)</f>
        <v>2</v>
      </c>
      <c r="AP20">
        <f>SUMIFS(data!$C:$C,data!$A:$A,"="&amp;'Покупки по дням'!$B20,data!$B:$B,"="&amp;'Покупки по дням'!AP$2)</f>
        <v>1</v>
      </c>
      <c r="AQ20" s="6">
        <f t="shared" si="0"/>
        <v>0.81243290409852809</v>
      </c>
    </row>
    <row r="21" spans="2:43" ht="28.8" x14ac:dyDescent="0.3">
      <c r="B21" s="17" t="s">
        <v>160</v>
      </c>
      <c r="C21">
        <f>SUMIFS(data!$C:$C,data!$A:$A,"="&amp;'Покупки по дням'!$B21,data!$B:$B,"="&amp;'Покупки по дням'!C$2)</f>
        <v>0</v>
      </c>
      <c r="D21">
        <f>SUMIFS(data!$C:$C,data!$A:$A,"="&amp;'Покупки по дням'!$B21,data!$B:$B,"="&amp;'Покупки по дням'!D$2)</f>
        <v>0</v>
      </c>
      <c r="E21">
        <f>SUMIFS(data!$C:$C,data!$A:$A,"="&amp;'Покупки по дням'!$B21,data!$B:$B,"="&amp;'Покупки по дням'!E$2)</f>
        <v>0</v>
      </c>
      <c r="F21">
        <f>SUMIFS(data!$C:$C,data!$A:$A,"="&amp;'Покупки по дням'!$B21,data!$B:$B,"="&amp;'Покупки по дням'!F$2)</f>
        <v>1</v>
      </c>
      <c r="G21">
        <f>SUMIFS(data!$C:$C,data!$A:$A,"="&amp;'Покупки по дням'!$B21,data!$B:$B,"="&amp;'Покупки по дням'!G$2)</f>
        <v>3</v>
      </c>
      <c r="H21">
        <f>SUMIFS(data!$C:$C,data!$A:$A,"="&amp;'Покупки по дням'!$B21,data!$B:$B,"="&amp;'Покупки по дням'!H$2)</f>
        <v>15</v>
      </c>
      <c r="I21">
        <f>SUMIFS(data!$C:$C,data!$A:$A,"="&amp;'Покупки по дням'!$B21,data!$B:$B,"="&amp;'Покупки по дням'!I$2)</f>
        <v>15</v>
      </c>
      <c r="J21">
        <f>SUMIFS(data!$C:$C,data!$A:$A,"="&amp;'Покупки по дням'!$B21,data!$B:$B,"="&amp;'Покупки по дням'!J$2)</f>
        <v>7</v>
      </c>
      <c r="K21">
        <f>SUMIFS(data!$C:$C,data!$A:$A,"="&amp;'Покупки по дням'!$B21,data!$B:$B,"="&amp;'Покупки по дням'!K$2)</f>
        <v>0</v>
      </c>
      <c r="L21">
        <f>SUMIFS(data!$C:$C,data!$A:$A,"="&amp;'Покупки по дням'!$B21,data!$B:$B,"="&amp;'Покупки по дням'!L$2)</f>
        <v>14</v>
      </c>
      <c r="M21">
        <f>SUMIFS(data!$C:$C,data!$A:$A,"="&amp;'Покупки по дням'!$B21,data!$B:$B,"="&amp;'Покупки по дням'!M$2)</f>
        <v>8</v>
      </c>
      <c r="N21">
        <f>SUMIFS(data!$C:$C,data!$A:$A,"="&amp;'Покупки по дням'!$B21,data!$B:$B,"="&amp;'Покупки по дням'!N$2)</f>
        <v>4</v>
      </c>
      <c r="O21">
        <f>SUMIFS(data!$C:$C,data!$A:$A,"="&amp;'Покупки по дням'!$B21,data!$B:$B,"="&amp;'Покупки по дням'!O$2)</f>
        <v>8</v>
      </c>
      <c r="P21">
        <f>SUMIFS(data!$C:$C,data!$A:$A,"="&amp;'Покупки по дням'!$B21,data!$B:$B,"="&amp;'Покупки по дням'!P$2)</f>
        <v>7</v>
      </c>
      <c r="Q21">
        <f>SUMIFS(data!$C:$C,data!$A:$A,"="&amp;'Покупки по дням'!$B21,data!$B:$B,"="&amp;'Покупки по дням'!Q$2)</f>
        <v>9</v>
      </c>
      <c r="R21">
        <f>SUMIFS(data!$C:$C,data!$A:$A,"="&amp;'Покупки по дням'!$B21,data!$B:$B,"="&amp;'Покупки по дням'!R$2)</f>
        <v>9</v>
      </c>
      <c r="S21">
        <f>SUMIFS(data!$C:$C,data!$A:$A,"="&amp;'Покупки по дням'!$B21,data!$B:$B,"="&amp;'Покупки по дням'!S$2)</f>
        <v>8</v>
      </c>
      <c r="T21">
        <f>SUMIFS(data!$C:$C,data!$A:$A,"="&amp;'Покупки по дням'!$B21,data!$B:$B,"="&amp;'Покупки по дням'!T$2)</f>
        <v>8</v>
      </c>
      <c r="U21">
        <f>SUMIFS(data!$C:$C,data!$A:$A,"="&amp;'Покупки по дням'!$B21,data!$B:$B,"="&amp;'Покупки по дням'!U$2)</f>
        <v>12</v>
      </c>
      <c r="V21">
        <f>SUMIFS(data!$C:$C,data!$A:$A,"="&amp;'Покупки по дням'!$B21,data!$B:$B,"="&amp;'Покупки по дням'!V$2)</f>
        <v>1</v>
      </c>
      <c r="W21">
        <f>SUMIFS(data!$C:$C,data!$A:$A,"="&amp;'Покупки по дням'!$B21,data!$B:$B,"="&amp;'Покупки по дням'!W$2)</f>
        <v>4</v>
      </c>
      <c r="X21">
        <f>SUMIFS(data!$C:$C,data!$A:$A,"="&amp;'Покупки по дням'!$B21,data!$B:$B,"="&amp;'Покупки по дням'!X$2)</f>
        <v>7</v>
      </c>
      <c r="Y21">
        <f>SUMIFS(data!$C:$C,data!$A:$A,"="&amp;'Покупки по дням'!$B21,data!$B:$B,"="&amp;'Покупки по дням'!Y$2)</f>
        <v>0</v>
      </c>
      <c r="Z21">
        <f>SUMIFS(data!$C:$C,data!$A:$A,"="&amp;'Покупки по дням'!$B21,data!$B:$B,"="&amp;'Покупки по дням'!Z$2)</f>
        <v>0</v>
      </c>
      <c r="AA21">
        <f>SUMIFS(data!$C:$C,data!$A:$A,"="&amp;'Покупки по дням'!$B21,data!$B:$B,"="&amp;'Покупки по дням'!AA$2)</f>
        <v>0</v>
      </c>
      <c r="AB21">
        <f>SUMIFS(data!$C:$C,data!$A:$A,"="&amp;'Покупки по дням'!$B21,data!$B:$B,"="&amp;'Покупки по дням'!AB$2)</f>
        <v>0</v>
      </c>
      <c r="AC21">
        <f>SUMIFS(data!$C:$C,data!$A:$A,"="&amp;'Покупки по дням'!$B21,data!$B:$B,"="&amp;'Покупки по дням'!AC$2)</f>
        <v>0</v>
      </c>
      <c r="AD21">
        <f>SUMIFS(data!$C:$C,data!$A:$A,"="&amp;'Покупки по дням'!$B21,data!$B:$B,"="&amp;'Покупки по дням'!AD$2)</f>
        <v>0</v>
      </c>
      <c r="AE21">
        <f>SUMIFS(data!$C:$C,data!$A:$A,"="&amp;'Покупки по дням'!$B21,data!$B:$B,"="&amp;'Покупки по дням'!AE$2)</f>
        <v>0</v>
      </c>
      <c r="AF21">
        <f>SUMIFS(data!$C:$C,data!$A:$A,"="&amp;'Покупки по дням'!$B21,data!$B:$B,"="&amp;'Покупки по дням'!AF$2)</f>
        <v>0</v>
      </c>
      <c r="AG21">
        <f>SUMIFS(data!$C:$C,data!$A:$A,"="&amp;'Покупки по дням'!$B21,data!$B:$B,"="&amp;'Покупки по дням'!AG$2)</f>
        <v>0</v>
      </c>
      <c r="AH21">
        <f>SUMIFS(data!$C:$C,data!$A:$A,"="&amp;'Покупки по дням'!$B21,data!$B:$B,"="&amp;'Покупки по дням'!AH$2)</f>
        <v>0</v>
      </c>
      <c r="AI21">
        <f>SUMIFS(data!$C:$C,data!$A:$A,"="&amp;'Покупки по дням'!$B21,data!$B:$B,"="&amp;'Покупки по дням'!AI$2)</f>
        <v>0</v>
      </c>
      <c r="AJ21">
        <f>SUMIFS(data!$C:$C,data!$A:$A,"="&amp;'Покупки по дням'!$B21,data!$B:$B,"="&amp;'Покупки по дням'!AJ$2)</f>
        <v>0</v>
      </c>
      <c r="AK21">
        <f>SUMIFS(data!$C:$C,data!$A:$A,"="&amp;'Покупки по дням'!$B21,data!$B:$B,"="&amp;'Покупки по дням'!AK$2)</f>
        <v>0</v>
      </c>
      <c r="AL21">
        <f>SUMIFS(data!$C:$C,data!$A:$A,"="&amp;'Покупки по дням'!$B21,data!$B:$B,"="&amp;'Покупки по дням'!AL$2)</f>
        <v>0</v>
      </c>
      <c r="AM21">
        <f>SUMIFS(data!$C:$C,data!$A:$A,"="&amp;'Покупки по дням'!$B21,data!$B:$B,"="&amp;'Покупки по дням'!AM$2)</f>
        <v>0</v>
      </c>
      <c r="AN21">
        <f>SUMIFS(data!$C:$C,data!$A:$A,"="&amp;'Покупки по дням'!$B21,data!$B:$B,"="&amp;'Покупки по дням'!AN$2)</f>
        <v>0</v>
      </c>
      <c r="AO21">
        <f>SUMIFS(data!$C:$C,data!$A:$A,"="&amp;'Покупки по дням'!$B21,data!$B:$B,"="&amp;'Покупки по дням'!AO$2)</f>
        <v>0</v>
      </c>
      <c r="AP21">
        <f>SUMIFS(data!$C:$C,data!$A:$A,"="&amp;'Покупки по дням'!$B21,data!$B:$B,"="&amp;'Покупки по дням'!AP$2)</f>
        <v>0</v>
      </c>
      <c r="AQ21" s="6">
        <f t="shared" si="0"/>
        <v>1.3786136568529013</v>
      </c>
    </row>
    <row r="22" spans="2:43" x14ac:dyDescent="0.3">
      <c r="B22" s="17" t="s">
        <v>55</v>
      </c>
      <c r="C22">
        <f>SUMIFS(data!$C:$C,data!$A:$A,"="&amp;'Покупки по дням'!$B22,data!$B:$B,"="&amp;'Покупки по дням'!C$2)</f>
        <v>0</v>
      </c>
      <c r="D22">
        <f>SUMIFS(data!$C:$C,data!$A:$A,"="&amp;'Покупки по дням'!$B22,data!$B:$B,"="&amp;'Покупки по дням'!D$2)</f>
        <v>0</v>
      </c>
      <c r="E22">
        <f>SUMIFS(data!$C:$C,data!$A:$A,"="&amp;'Покупки по дням'!$B22,data!$B:$B,"="&amp;'Покупки по дням'!E$2)</f>
        <v>2</v>
      </c>
      <c r="F22">
        <f>SUMIFS(data!$C:$C,data!$A:$A,"="&amp;'Покупки по дням'!$B22,data!$B:$B,"="&amp;'Покупки по дням'!F$2)</f>
        <v>0</v>
      </c>
      <c r="G22">
        <f>SUMIFS(data!$C:$C,data!$A:$A,"="&amp;'Покупки по дням'!$B22,data!$B:$B,"="&amp;'Покупки по дням'!G$2)</f>
        <v>2</v>
      </c>
      <c r="H22">
        <f>SUMIFS(data!$C:$C,data!$A:$A,"="&amp;'Покупки по дням'!$B22,data!$B:$B,"="&amp;'Покупки по дням'!H$2)</f>
        <v>8</v>
      </c>
      <c r="I22">
        <f>SUMIFS(data!$C:$C,data!$A:$A,"="&amp;'Покупки по дням'!$B22,data!$B:$B,"="&amp;'Покупки по дням'!I$2)</f>
        <v>3</v>
      </c>
      <c r="J22">
        <f>SUMIFS(data!$C:$C,data!$A:$A,"="&amp;'Покупки по дням'!$B22,data!$B:$B,"="&amp;'Покупки по дням'!J$2)</f>
        <v>4</v>
      </c>
      <c r="K22">
        <f>SUMIFS(data!$C:$C,data!$A:$A,"="&amp;'Покупки по дням'!$B22,data!$B:$B,"="&amp;'Покупки по дням'!K$2)</f>
        <v>0</v>
      </c>
      <c r="L22">
        <f>SUMIFS(data!$C:$C,data!$A:$A,"="&amp;'Покупки по дням'!$B22,data!$B:$B,"="&amp;'Покупки по дням'!L$2)</f>
        <v>1</v>
      </c>
      <c r="M22">
        <f>SUMIFS(data!$C:$C,data!$A:$A,"="&amp;'Покупки по дням'!$B22,data!$B:$B,"="&amp;'Покупки по дням'!M$2)</f>
        <v>2</v>
      </c>
      <c r="N22">
        <f>SUMIFS(data!$C:$C,data!$A:$A,"="&amp;'Покупки по дням'!$B22,data!$B:$B,"="&amp;'Покупки по дням'!N$2)</f>
        <v>5</v>
      </c>
      <c r="O22">
        <f>SUMIFS(data!$C:$C,data!$A:$A,"="&amp;'Покупки по дням'!$B22,data!$B:$B,"="&amp;'Покупки по дням'!O$2)</f>
        <v>7</v>
      </c>
      <c r="P22">
        <f>SUMIFS(data!$C:$C,data!$A:$A,"="&amp;'Покупки по дням'!$B22,data!$B:$B,"="&amp;'Покупки по дням'!P$2)</f>
        <v>3</v>
      </c>
      <c r="Q22">
        <f>SUMIFS(data!$C:$C,data!$A:$A,"="&amp;'Покупки по дням'!$B22,data!$B:$B,"="&amp;'Покупки по дням'!Q$2)</f>
        <v>3</v>
      </c>
      <c r="R22">
        <f>SUMIFS(data!$C:$C,data!$A:$A,"="&amp;'Покупки по дням'!$B22,data!$B:$B,"="&amp;'Покупки по дням'!R$2)</f>
        <v>1</v>
      </c>
      <c r="S22">
        <f>SUMIFS(data!$C:$C,data!$A:$A,"="&amp;'Покупки по дням'!$B22,data!$B:$B,"="&amp;'Покупки по дням'!S$2)</f>
        <v>1</v>
      </c>
      <c r="T22">
        <f>SUMIFS(data!$C:$C,data!$A:$A,"="&amp;'Покупки по дням'!$B22,data!$B:$B,"="&amp;'Покупки по дням'!T$2)</f>
        <v>2</v>
      </c>
      <c r="U22">
        <f>SUMIFS(data!$C:$C,data!$A:$A,"="&amp;'Покупки по дням'!$B22,data!$B:$B,"="&amp;'Покупки по дням'!U$2)</f>
        <v>1</v>
      </c>
      <c r="V22">
        <f>SUMIFS(data!$C:$C,data!$A:$A,"="&amp;'Покупки по дням'!$B22,data!$B:$B,"="&amp;'Покупки по дням'!V$2)</f>
        <v>2</v>
      </c>
      <c r="W22">
        <f>SUMIFS(data!$C:$C,data!$A:$A,"="&amp;'Покупки по дням'!$B22,data!$B:$B,"="&amp;'Покупки по дням'!W$2)</f>
        <v>3</v>
      </c>
      <c r="X22">
        <f>SUMIFS(data!$C:$C,data!$A:$A,"="&amp;'Покупки по дням'!$B22,data!$B:$B,"="&amp;'Покупки по дням'!X$2)</f>
        <v>0</v>
      </c>
      <c r="Y22">
        <f>SUMIFS(data!$C:$C,data!$A:$A,"="&amp;'Покупки по дням'!$B22,data!$B:$B,"="&amp;'Покупки по дням'!Y$2)</f>
        <v>2</v>
      </c>
      <c r="Z22">
        <f>SUMIFS(data!$C:$C,data!$A:$A,"="&amp;'Покупки по дням'!$B22,data!$B:$B,"="&amp;'Покупки по дням'!Z$2)</f>
        <v>1</v>
      </c>
      <c r="AA22">
        <f>SUMIFS(data!$C:$C,data!$A:$A,"="&amp;'Покупки по дням'!$B22,data!$B:$B,"="&amp;'Покупки по дням'!AA$2)</f>
        <v>2</v>
      </c>
      <c r="AB22">
        <f>SUMIFS(data!$C:$C,data!$A:$A,"="&amp;'Покупки по дням'!$B22,data!$B:$B,"="&amp;'Покупки по дням'!AB$2)</f>
        <v>1</v>
      </c>
      <c r="AC22">
        <f>SUMIFS(data!$C:$C,data!$A:$A,"="&amp;'Покупки по дням'!$B22,data!$B:$B,"="&amp;'Покупки по дням'!AC$2)</f>
        <v>3</v>
      </c>
      <c r="AD22">
        <f>SUMIFS(data!$C:$C,data!$A:$A,"="&amp;'Покупки по дням'!$B22,data!$B:$B,"="&amp;'Покупки по дням'!AD$2)</f>
        <v>2</v>
      </c>
      <c r="AE22">
        <f>SUMIFS(data!$C:$C,data!$A:$A,"="&amp;'Покупки по дням'!$B22,data!$B:$B,"="&amp;'Покупки по дням'!AE$2)</f>
        <v>2</v>
      </c>
      <c r="AF22">
        <f>SUMIFS(data!$C:$C,data!$A:$A,"="&amp;'Покупки по дням'!$B22,data!$B:$B,"="&amp;'Покупки по дням'!AF$2)</f>
        <v>2</v>
      </c>
      <c r="AG22">
        <f>SUMIFS(data!$C:$C,data!$A:$A,"="&amp;'Покупки по дням'!$B22,data!$B:$B,"="&amp;'Покупки по дням'!AG$2)</f>
        <v>4</v>
      </c>
      <c r="AH22">
        <f>SUMIFS(data!$C:$C,data!$A:$A,"="&amp;'Покупки по дням'!$B22,data!$B:$B,"="&amp;'Покупки по дням'!AH$2)</f>
        <v>0</v>
      </c>
      <c r="AI22">
        <f>SUMIFS(data!$C:$C,data!$A:$A,"="&amp;'Покупки по дням'!$B22,data!$B:$B,"="&amp;'Покупки по дням'!AI$2)</f>
        <v>8</v>
      </c>
      <c r="AJ22">
        <f>SUMIFS(data!$C:$C,data!$A:$A,"="&amp;'Покупки по дням'!$B22,data!$B:$B,"="&amp;'Покупки по дням'!AJ$2)</f>
        <v>1</v>
      </c>
      <c r="AK22">
        <f>SUMIFS(data!$C:$C,data!$A:$A,"="&amp;'Покупки по дням'!$B22,data!$B:$B,"="&amp;'Покупки по дням'!AK$2)</f>
        <v>1</v>
      </c>
      <c r="AL22">
        <f>SUMIFS(data!$C:$C,data!$A:$A,"="&amp;'Покупки по дням'!$B22,data!$B:$B,"="&amp;'Покупки по дням'!AL$2)</f>
        <v>1</v>
      </c>
      <c r="AM22">
        <f>SUMIFS(data!$C:$C,data!$A:$A,"="&amp;'Покупки по дням'!$B22,data!$B:$B,"="&amp;'Покупки по дням'!AM$2)</f>
        <v>9</v>
      </c>
      <c r="AN22">
        <f>SUMIFS(data!$C:$C,data!$A:$A,"="&amp;'Покупки по дням'!$B22,data!$B:$B,"="&amp;'Покупки по дням'!AN$2)</f>
        <v>6</v>
      </c>
      <c r="AO22">
        <f>SUMIFS(data!$C:$C,data!$A:$A,"="&amp;'Покупки по дням'!$B22,data!$B:$B,"="&amp;'Покупки по дням'!AO$2)</f>
        <v>2</v>
      </c>
      <c r="AP22">
        <f>SUMIFS(data!$C:$C,data!$A:$A,"="&amp;'Покупки по дням'!$B22,data!$B:$B,"="&amp;'Покупки по дням'!AP$2)</f>
        <v>5</v>
      </c>
      <c r="AQ22" s="6">
        <f t="shared" si="0"/>
        <v>0.91840218508362648</v>
      </c>
    </row>
    <row r="23" spans="2:43" ht="28.8" x14ac:dyDescent="0.3">
      <c r="B23" s="17" t="s">
        <v>7</v>
      </c>
      <c r="C23">
        <f>SUMIFS(data!$C:$C,data!$A:$A,"="&amp;'Покупки по дням'!$B23,data!$B:$B,"="&amp;'Покупки по дням'!C$2)</f>
        <v>5</v>
      </c>
      <c r="D23">
        <f>SUMIFS(data!$C:$C,data!$A:$A,"="&amp;'Покупки по дням'!$B23,data!$B:$B,"="&amp;'Покупки по дням'!D$2)</f>
        <v>12</v>
      </c>
      <c r="E23">
        <f>SUMIFS(data!$C:$C,data!$A:$A,"="&amp;'Покупки по дням'!$B23,data!$B:$B,"="&amp;'Покупки по дням'!E$2)</f>
        <v>0</v>
      </c>
      <c r="F23">
        <f>SUMIFS(data!$C:$C,data!$A:$A,"="&amp;'Покупки по дням'!$B23,data!$B:$B,"="&amp;'Покупки по дням'!F$2)</f>
        <v>1</v>
      </c>
      <c r="G23">
        <f>SUMIFS(data!$C:$C,data!$A:$A,"="&amp;'Покупки по дням'!$B23,data!$B:$B,"="&amp;'Покупки по дням'!G$2)</f>
        <v>3</v>
      </c>
      <c r="H23">
        <f>SUMIFS(data!$C:$C,data!$A:$A,"="&amp;'Покупки по дням'!$B23,data!$B:$B,"="&amp;'Покупки по дням'!H$2)</f>
        <v>1</v>
      </c>
      <c r="I23">
        <f>SUMIFS(data!$C:$C,data!$A:$A,"="&amp;'Покупки по дням'!$B23,data!$B:$B,"="&amp;'Покупки по дням'!I$2)</f>
        <v>11</v>
      </c>
      <c r="J23">
        <f>SUMIFS(data!$C:$C,data!$A:$A,"="&amp;'Покупки по дням'!$B23,data!$B:$B,"="&amp;'Покупки по дням'!J$2)</f>
        <v>9</v>
      </c>
      <c r="K23">
        <f>SUMIFS(data!$C:$C,data!$A:$A,"="&amp;'Покупки по дням'!$B23,data!$B:$B,"="&amp;'Покупки по дням'!K$2)</f>
        <v>0</v>
      </c>
      <c r="L23">
        <f>SUMIFS(data!$C:$C,data!$A:$A,"="&amp;'Покупки по дням'!$B23,data!$B:$B,"="&amp;'Покупки по дням'!L$2)</f>
        <v>2</v>
      </c>
      <c r="M23">
        <f>SUMIFS(data!$C:$C,data!$A:$A,"="&amp;'Покупки по дням'!$B23,data!$B:$B,"="&amp;'Покупки по дням'!M$2)</f>
        <v>7</v>
      </c>
      <c r="N23">
        <f>SUMIFS(data!$C:$C,data!$A:$A,"="&amp;'Покупки по дням'!$B23,data!$B:$B,"="&amp;'Покупки по дням'!N$2)</f>
        <v>8</v>
      </c>
      <c r="O23">
        <f>SUMIFS(data!$C:$C,data!$A:$A,"="&amp;'Покупки по дням'!$B23,data!$B:$B,"="&amp;'Покупки по дням'!O$2)</f>
        <v>0</v>
      </c>
      <c r="P23">
        <f>SUMIFS(data!$C:$C,data!$A:$A,"="&amp;'Покупки по дням'!$B23,data!$B:$B,"="&amp;'Покупки по дням'!P$2)</f>
        <v>2</v>
      </c>
      <c r="Q23">
        <f>SUMIFS(data!$C:$C,data!$A:$A,"="&amp;'Покупки по дням'!$B23,data!$B:$B,"="&amp;'Покупки по дням'!Q$2)</f>
        <v>3</v>
      </c>
      <c r="R23">
        <f>SUMIFS(data!$C:$C,data!$A:$A,"="&amp;'Покупки по дням'!$B23,data!$B:$B,"="&amp;'Покупки по дням'!R$2)</f>
        <v>1</v>
      </c>
      <c r="S23">
        <f>SUMIFS(data!$C:$C,data!$A:$A,"="&amp;'Покупки по дням'!$B23,data!$B:$B,"="&amp;'Покупки по дням'!S$2)</f>
        <v>1</v>
      </c>
      <c r="T23">
        <f>SUMIFS(data!$C:$C,data!$A:$A,"="&amp;'Покупки по дням'!$B23,data!$B:$B,"="&amp;'Покупки по дням'!T$2)</f>
        <v>5</v>
      </c>
      <c r="U23">
        <f>SUMIFS(data!$C:$C,data!$A:$A,"="&amp;'Покупки по дням'!$B23,data!$B:$B,"="&amp;'Покупки по дням'!U$2)</f>
        <v>6</v>
      </c>
      <c r="V23">
        <f>SUMIFS(data!$C:$C,data!$A:$A,"="&amp;'Покупки по дням'!$B23,data!$B:$B,"="&amp;'Покупки по дням'!V$2)</f>
        <v>12</v>
      </c>
      <c r="W23">
        <f>SUMIFS(data!$C:$C,data!$A:$A,"="&amp;'Покупки по дням'!$B23,data!$B:$B,"="&amp;'Покупки по дням'!W$2)</f>
        <v>10</v>
      </c>
      <c r="X23">
        <f>SUMIFS(data!$C:$C,data!$A:$A,"="&amp;'Покупки по дням'!$B23,data!$B:$B,"="&amp;'Покупки по дням'!X$2)</f>
        <v>13</v>
      </c>
      <c r="Y23">
        <f>SUMIFS(data!$C:$C,data!$A:$A,"="&amp;'Покупки по дням'!$B23,data!$B:$B,"="&amp;'Покупки по дням'!Y$2)</f>
        <v>10</v>
      </c>
      <c r="Z23">
        <f>SUMIFS(data!$C:$C,data!$A:$A,"="&amp;'Покупки по дням'!$B23,data!$B:$B,"="&amp;'Покупки по дням'!Z$2)</f>
        <v>18</v>
      </c>
      <c r="AA23">
        <f>SUMIFS(data!$C:$C,data!$A:$A,"="&amp;'Покупки по дням'!$B23,data!$B:$B,"="&amp;'Покупки по дням'!AA$2)</f>
        <v>13</v>
      </c>
      <c r="AB23">
        <f>SUMIFS(data!$C:$C,data!$A:$A,"="&amp;'Покупки по дням'!$B23,data!$B:$B,"="&amp;'Покупки по дням'!AB$2)</f>
        <v>6</v>
      </c>
      <c r="AC23">
        <f>SUMIFS(data!$C:$C,data!$A:$A,"="&amp;'Покупки по дням'!$B23,data!$B:$B,"="&amp;'Покупки по дням'!AC$2)</f>
        <v>7</v>
      </c>
      <c r="AD23">
        <f>SUMIFS(data!$C:$C,data!$A:$A,"="&amp;'Покупки по дням'!$B23,data!$B:$B,"="&amp;'Покупки по дням'!AD$2)</f>
        <v>8</v>
      </c>
      <c r="AE23">
        <f>SUMIFS(data!$C:$C,data!$A:$A,"="&amp;'Покупки по дням'!$B23,data!$B:$B,"="&amp;'Покупки по дням'!AE$2)</f>
        <v>10</v>
      </c>
      <c r="AF23">
        <f>SUMIFS(data!$C:$C,data!$A:$A,"="&amp;'Покупки по дням'!$B23,data!$B:$B,"="&amp;'Покупки по дням'!AF$2)</f>
        <v>8</v>
      </c>
      <c r="AG23">
        <f>SUMIFS(data!$C:$C,data!$A:$A,"="&amp;'Покупки по дням'!$B23,data!$B:$B,"="&amp;'Покупки по дням'!AG$2)</f>
        <v>10</v>
      </c>
      <c r="AH23">
        <f>SUMIFS(data!$C:$C,data!$A:$A,"="&amp;'Покупки по дням'!$B23,data!$B:$B,"="&amp;'Покупки по дням'!AH$2)</f>
        <v>5</v>
      </c>
      <c r="AI23">
        <f>SUMIFS(data!$C:$C,data!$A:$A,"="&amp;'Покупки по дням'!$B23,data!$B:$B,"="&amp;'Покупки по дням'!AI$2)</f>
        <v>3</v>
      </c>
      <c r="AJ23">
        <f>SUMIFS(data!$C:$C,data!$A:$A,"="&amp;'Покупки по дням'!$B23,data!$B:$B,"="&amp;'Покупки по дням'!AJ$2)</f>
        <v>3</v>
      </c>
      <c r="AK23">
        <f>SUMIFS(data!$C:$C,data!$A:$A,"="&amp;'Покупки по дням'!$B23,data!$B:$B,"="&amp;'Покупки по дням'!AK$2)</f>
        <v>2</v>
      </c>
      <c r="AL23">
        <f>SUMIFS(data!$C:$C,data!$A:$A,"="&amp;'Покупки по дням'!$B23,data!$B:$B,"="&amp;'Покупки по дням'!AL$2)</f>
        <v>3</v>
      </c>
      <c r="AM23">
        <f>SUMIFS(data!$C:$C,data!$A:$A,"="&amp;'Покупки по дням'!$B23,data!$B:$B,"="&amp;'Покупки по дням'!AM$2)</f>
        <v>3</v>
      </c>
      <c r="AN23">
        <f>SUMIFS(data!$C:$C,data!$A:$A,"="&amp;'Покупки по дням'!$B23,data!$B:$B,"="&amp;'Покупки по дням'!AN$2)</f>
        <v>5</v>
      </c>
      <c r="AO23">
        <f>SUMIFS(data!$C:$C,data!$A:$A,"="&amp;'Покупки по дням'!$B23,data!$B:$B,"="&amp;'Покупки по дням'!AO$2)</f>
        <v>2</v>
      </c>
      <c r="AP23">
        <f>SUMIFS(data!$C:$C,data!$A:$A,"="&amp;'Покупки по дням'!$B23,data!$B:$B,"="&amp;'Покупки по дням'!AP$2)</f>
        <v>8</v>
      </c>
      <c r="AQ23" s="6">
        <f t="shared" si="0"/>
        <v>0.7480113072276332</v>
      </c>
    </row>
    <row r="24" spans="2:43" x14ac:dyDescent="0.3">
      <c r="B24" s="17" t="s">
        <v>98</v>
      </c>
      <c r="C24">
        <f>SUMIFS(data!$C:$C,data!$A:$A,"="&amp;'Покупки по дням'!$B24,data!$B:$B,"="&amp;'Покупки по дням'!C$2)</f>
        <v>0</v>
      </c>
      <c r="D24">
        <f>SUMIFS(data!$C:$C,data!$A:$A,"="&amp;'Покупки по дням'!$B24,data!$B:$B,"="&amp;'Покупки по дням'!D$2)</f>
        <v>1</v>
      </c>
      <c r="E24">
        <f>SUMIFS(data!$C:$C,data!$A:$A,"="&amp;'Покупки по дням'!$B24,data!$B:$B,"="&amp;'Покупки по дням'!E$2)</f>
        <v>2</v>
      </c>
      <c r="F24">
        <f>SUMIFS(data!$C:$C,data!$A:$A,"="&amp;'Покупки по дням'!$B24,data!$B:$B,"="&amp;'Покупки по дням'!F$2)</f>
        <v>4</v>
      </c>
      <c r="G24">
        <f>SUMIFS(data!$C:$C,data!$A:$A,"="&amp;'Покупки по дням'!$B24,data!$B:$B,"="&amp;'Покупки по дням'!G$2)</f>
        <v>0</v>
      </c>
      <c r="H24">
        <f>SUMIFS(data!$C:$C,data!$A:$A,"="&amp;'Покупки по дням'!$B24,data!$B:$B,"="&amp;'Покупки по дням'!H$2)</f>
        <v>6</v>
      </c>
      <c r="I24">
        <f>SUMIFS(data!$C:$C,data!$A:$A,"="&amp;'Покупки по дням'!$B24,data!$B:$B,"="&amp;'Покупки по дням'!I$2)</f>
        <v>9</v>
      </c>
      <c r="J24">
        <f>SUMIFS(data!$C:$C,data!$A:$A,"="&amp;'Покупки по дням'!$B24,data!$B:$B,"="&amp;'Покупки по дням'!J$2)</f>
        <v>2</v>
      </c>
      <c r="K24">
        <f>SUMIFS(data!$C:$C,data!$A:$A,"="&amp;'Покупки по дням'!$B24,data!$B:$B,"="&amp;'Покупки по дням'!K$2)</f>
        <v>0</v>
      </c>
      <c r="L24">
        <f>SUMIFS(data!$C:$C,data!$A:$A,"="&amp;'Покупки по дням'!$B24,data!$B:$B,"="&amp;'Покупки по дням'!L$2)</f>
        <v>1</v>
      </c>
      <c r="M24">
        <f>SUMIFS(data!$C:$C,data!$A:$A,"="&amp;'Покупки по дням'!$B24,data!$B:$B,"="&amp;'Покупки по дням'!M$2)</f>
        <v>0</v>
      </c>
      <c r="N24">
        <f>SUMIFS(data!$C:$C,data!$A:$A,"="&amp;'Покупки по дням'!$B24,data!$B:$B,"="&amp;'Покупки по дням'!N$2)</f>
        <v>6</v>
      </c>
      <c r="O24">
        <f>SUMIFS(data!$C:$C,data!$A:$A,"="&amp;'Покупки по дням'!$B24,data!$B:$B,"="&amp;'Покупки по дням'!O$2)</f>
        <v>2</v>
      </c>
      <c r="P24">
        <f>SUMIFS(data!$C:$C,data!$A:$A,"="&amp;'Покупки по дням'!$B24,data!$B:$B,"="&amp;'Покупки по дням'!P$2)</f>
        <v>4</v>
      </c>
      <c r="Q24">
        <f>SUMIFS(data!$C:$C,data!$A:$A,"="&amp;'Покупки по дням'!$B24,data!$B:$B,"="&amp;'Покупки по дням'!Q$2)</f>
        <v>1</v>
      </c>
      <c r="R24">
        <f>SUMIFS(data!$C:$C,data!$A:$A,"="&amp;'Покупки по дням'!$B24,data!$B:$B,"="&amp;'Покупки по дням'!R$2)</f>
        <v>2</v>
      </c>
      <c r="S24">
        <f>SUMIFS(data!$C:$C,data!$A:$A,"="&amp;'Покупки по дням'!$B24,data!$B:$B,"="&amp;'Покупки по дням'!S$2)</f>
        <v>1</v>
      </c>
      <c r="T24">
        <f>SUMIFS(data!$C:$C,data!$A:$A,"="&amp;'Покупки по дням'!$B24,data!$B:$B,"="&amp;'Покупки по дням'!T$2)</f>
        <v>5</v>
      </c>
      <c r="U24">
        <f>SUMIFS(data!$C:$C,data!$A:$A,"="&amp;'Покупки по дням'!$B24,data!$B:$B,"="&amp;'Покупки по дням'!U$2)</f>
        <v>0</v>
      </c>
      <c r="V24">
        <f>SUMIFS(data!$C:$C,data!$A:$A,"="&amp;'Покупки по дням'!$B24,data!$B:$B,"="&amp;'Покупки по дням'!V$2)</f>
        <v>3</v>
      </c>
      <c r="W24">
        <f>SUMIFS(data!$C:$C,data!$A:$A,"="&amp;'Покупки по дням'!$B24,data!$B:$B,"="&amp;'Покупки по дням'!W$2)</f>
        <v>1</v>
      </c>
      <c r="X24">
        <f>SUMIFS(data!$C:$C,data!$A:$A,"="&amp;'Покупки по дням'!$B24,data!$B:$B,"="&amp;'Покупки по дням'!X$2)</f>
        <v>2</v>
      </c>
      <c r="Y24">
        <f>SUMIFS(data!$C:$C,data!$A:$A,"="&amp;'Покупки по дням'!$B24,data!$B:$B,"="&amp;'Покупки по дням'!Y$2)</f>
        <v>3</v>
      </c>
      <c r="Z24">
        <f>SUMIFS(data!$C:$C,data!$A:$A,"="&amp;'Покупки по дням'!$B24,data!$B:$B,"="&amp;'Покупки по дням'!Z$2)</f>
        <v>11</v>
      </c>
      <c r="AA24">
        <f>SUMIFS(data!$C:$C,data!$A:$A,"="&amp;'Покупки по дням'!$B24,data!$B:$B,"="&amp;'Покупки по дням'!AA$2)</f>
        <v>3</v>
      </c>
      <c r="AB24">
        <f>SUMIFS(data!$C:$C,data!$A:$A,"="&amp;'Покупки по дням'!$B24,data!$B:$B,"="&amp;'Покупки по дням'!AB$2)</f>
        <v>8</v>
      </c>
      <c r="AC24">
        <f>SUMIFS(data!$C:$C,data!$A:$A,"="&amp;'Покупки по дням'!$B24,data!$B:$B,"="&amp;'Покупки по дням'!AC$2)</f>
        <v>4</v>
      </c>
      <c r="AD24">
        <f>SUMIFS(data!$C:$C,data!$A:$A,"="&amp;'Покупки по дням'!$B24,data!$B:$B,"="&amp;'Покупки по дням'!AD$2)</f>
        <v>3</v>
      </c>
      <c r="AE24">
        <f>SUMIFS(data!$C:$C,data!$A:$A,"="&amp;'Покупки по дням'!$B24,data!$B:$B,"="&amp;'Покупки по дням'!AE$2)</f>
        <v>3</v>
      </c>
      <c r="AF24">
        <f>SUMIFS(data!$C:$C,data!$A:$A,"="&amp;'Покупки по дням'!$B24,data!$B:$B,"="&amp;'Покупки по дням'!AF$2)</f>
        <v>2</v>
      </c>
      <c r="AG24">
        <f>SUMIFS(data!$C:$C,data!$A:$A,"="&amp;'Покупки по дням'!$B24,data!$B:$B,"="&amp;'Покупки по дням'!AG$2)</f>
        <v>2</v>
      </c>
      <c r="AH24">
        <f>SUMIFS(data!$C:$C,data!$A:$A,"="&amp;'Покупки по дням'!$B24,data!$B:$B,"="&amp;'Покупки по дням'!AH$2)</f>
        <v>2</v>
      </c>
      <c r="AI24">
        <f>SUMIFS(data!$C:$C,data!$A:$A,"="&amp;'Покупки по дням'!$B24,data!$B:$B,"="&amp;'Покупки по дням'!AI$2)</f>
        <v>1</v>
      </c>
      <c r="AJ24">
        <f>SUMIFS(data!$C:$C,data!$A:$A,"="&amp;'Покупки по дням'!$B24,data!$B:$B,"="&amp;'Покупки по дням'!AJ$2)</f>
        <v>5</v>
      </c>
      <c r="AK24">
        <f>SUMIFS(data!$C:$C,data!$A:$A,"="&amp;'Покупки по дням'!$B24,data!$B:$B,"="&amp;'Покупки по дням'!AK$2)</f>
        <v>7</v>
      </c>
      <c r="AL24">
        <f>SUMIFS(data!$C:$C,data!$A:$A,"="&amp;'Покупки по дням'!$B24,data!$B:$B,"="&amp;'Покупки по дням'!AL$2)</f>
        <v>0</v>
      </c>
      <c r="AM24">
        <f>SUMIFS(data!$C:$C,data!$A:$A,"="&amp;'Покупки по дням'!$B24,data!$B:$B,"="&amp;'Покупки по дням'!AM$2)</f>
        <v>3</v>
      </c>
      <c r="AN24">
        <f>SUMIFS(data!$C:$C,data!$A:$A,"="&amp;'Покупки по дням'!$B24,data!$B:$B,"="&amp;'Покупки по дням'!AN$2)</f>
        <v>5</v>
      </c>
      <c r="AO24">
        <f>SUMIFS(data!$C:$C,data!$A:$A,"="&amp;'Покупки по дням'!$B24,data!$B:$B,"="&amp;'Покупки по дням'!AO$2)</f>
        <v>3</v>
      </c>
      <c r="AP24">
        <f>SUMIFS(data!$C:$C,data!$A:$A,"="&amp;'Покупки по дням'!$B24,data!$B:$B,"="&amp;'Покупки по дням'!AP$2)</f>
        <v>1</v>
      </c>
      <c r="AQ24" s="6">
        <f t="shared" si="0"/>
        <v>0.8817904187627873</v>
      </c>
    </row>
    <row r="25" spans="2:43" x14ac:dyDescent="0.3">
      <c r="B25" s="17" t="s">
        <v>52</v>
      </c>
      <c r="C25">
        <f>SUMIFS(data!$C:$C,data!$A:$A,"="&amp;'Покупки по дням'!$B25,data!$B:$B,"="&amp;'Покупки по дням'!C$2)</f>
        <v>1</v>
      </c>
      <c r="D25">
        <f>SUMIFS(data!$C:$C,data!$A:$A,"="&amp;'Покупки по дням'!$B25,data!$B:$B,"="&amp;'Покупки по дням'!D$2)</f>
        <v>1</v>
      </c>
      <c r="E25">
        <f>SUMIFS(data!$C:$C,data!$A:$A,"="&amp;'Покупки по дням'!$B25,data!$B:$B,"="&amp;'Покупки по дням'!E$2)</f>
        <v>0</v>
      </c>
      <c r="F25">
        <f>SUMIFS(data!$C:$C,data!$A:$A,"="&amp;'Покупки по дням'!$B25,data!$B:$B,"="&amp;'Покупки по дням'!F$2)</f>
        <v>2</v>
      </c>
      <c r="G25">
        <f>SUMIFS(data!$C:$C,data!$A:$A,"="&amp;'Покупки по дням'!$B25,data!$B:$B,"="&amp;'Покупки по дням'!G$2)</f>
        <v>2</v>
      </c>
      <c r="H25">
        <f>SUMIFS(data!$C:$C,data!$A:$A,"="&amp;'Покупки по дням'!$B25,data!$B:$B,"="&amp;'Покупки по дням'!H$2)</f>
        <v>0</v>
      </c>
      <c r="I25">
        <f>SUMIFS(data!$C:$C,data!$A:$A,"="&amp;'Покупки по дням'!$B25,data!$B:$B,"="&amp;'Покупки по дням'!I$2)</f>
        <v>2</v>
      </c>
      <c r="J25">
        <f>SUMIFS(data!$C:$C,data!$A:$A,"="&amp;'Покупки по дням'!$B25,data!$B:$B,"="&amp;'Покупки по дням'!J$2)</f>
        <v>1</v>
      </c>
      <c r="K25">
        <f>SUMIFS(data!$C:$C,data!$A:$A,"="&amp;'Покупки по дням'!$B25,data!$B:$B,"="&amp;'Покупки по дням'!K$2)</f>
        <v>0</v>
      </c>
      <c r="L25">
        <f>SUMIFS(data!$C:$C,data!$A:$A,"="&amp;'Покупки по дням'!$B25,data!$B:$B,"="&amp;'Покупки по дням'!L$2)</f>
        <v>4</v>
      </c>
      <c r="M25">
        <f>SUMIFS(data!$C:$C,data!$A:$A,"="&amp;'Покупки по дням'!$B25,data!$B:$B,"="&amp;'Покупки по дням'!M$2)</f>
        <v>2</v>
      </c>
      <c r="N25">
        <f>SUMIFS(data!$C:$C,data!$A:$A,"="&amp;'Покупки по дням'!$B25,data!$B:$B,"="&amp;'Покупки по дням'!N$2)</f>
        <v>2</v>
      </c>
      <c r="O25">
        <f>SUMIFS(data!$C:$C,data!$A:$A,"="&amp;'Покупки по дням'!$B25,data!$B:$B,"="&amp;'Покупки по дням'!O$2)</f>
        <v>3</v>
      </c>
      <c r="P25">
        <f>SUMIFS(data!$C:$C,data!$A:$A,"="&amp;'Покупки по дням'!$B25,data!$B:$B,"="&amp;'Покупки по дням'!P$2)</f>
        <v>1</v>
      </c>
      <c r="Q25">
        <f>SUMIFS(data!$C:$C,data!$A:$A,"="&amp;'Покупки по дням'!$B25,data!$B:$B,"="&amp;'Покупки по дням'!Q$2)</f>
        <v>4</v>
      </c>
      <c r="R25">
        <f>SUMIFS(data!$C:$C,data!$A:$A,"="&amp;'Покупки по дням'!$B25,data!$B:$B,"="&amp;'Покупки по дням'!R$2)</f>
        <v>1</v>
      </c>
      <c r="S25">
        <f>SUMIFS(data!$C:$C,data!$A:$A,"="&amp;'Покупки по дням'!$B25,data!$B:$B,"="&amp;'Покупки по дням'!S$2)</f>
        <v>2</v>
      </c>
      <c r="T25">
        <f>SUMIFS(data!$C:$C,data!$A:$A,"="&amp;'Покупки по дням'!$B25,data!$B:$B,"="&amp;'Покупки по дням'!T$2)</f>
        <v>4</v>
      </c>
      <c r="U25">
        <f>SUMIFS(data!$C:$C,data!$A:$A,"="&amp;'Покупки по дням'!$B25,data!$B:$B,"="&amp;'Покупки по дням'!U$2)</f>
        <v>2</v>
      </c>
      <c r="V25">
        <f>SUMIFS(data!$C:$C,data!$A:$A,"="&amp;'Покупки по дням'!$B25,data!$B:$B,"="&amp;'Покупки по дням'!V$2)</f>
        <v>1</v>
      </c>
      <c r="W25">
        <f>SUMIFS(data!$C:$C,data!$A:$A,"="&amp;'Покупки по дням'!$B25,data!$B:$B,"="&amp;'Покупки по дням'!W$2)</f>
        <v>1</v>
      </c>
      <c r="X25">
        <f>SUMIFS(data!$C:$C,data!$A:$A,"="&amp;'Покупки по дням'!$B25,data!$B:$B,"="&amp;'Покупки по дням'!X$2)</f>
        <v>4</v>
      </c>
      <c r="Y25">
        <f>SUMIFS(data!$C:$C,data!$A:$A,"="&amp;'Покупки по дням'!$B25,data!$B:$B,"="&amp;'Покупки по дням'!Y$2)</f>
        <v>2</v>
      </c>
      <c r="Z25">
        <f>SUMIFS(data!$C:$C,data!$A:$A,"="&amp;'Покупки по дням'!$B25,data!$B:$B,"="&amp;'Покупки по дням'!Z$2)</f>
        <v>0</v>
      </c>
      <c r="AA25">
        <f>SUMIFS(data!$C:$C,data!$A:$A,"="&amp;'Покупки по дням'!$B25,data!$B:$B,"="&amp;'Покупки по дням'!AA$2)</f>
        <v>3</v>
      </c>
      <c r="AB25">
        <f>SUMIFS(data!$C:$C,data!$A:$A,"="&amp;'Покупки по дням'!$B25,data!$B:$B,"="&amp;'Покупки по дням'!AB$2)</f>
        <v>0</v>
      </c>
      <c r="AC25">
        <f>SUMIFS(data!$C:$C,data!$A:$A,"="&amp;'Покупки по дням'!$B25,data!$B:$B,"="&amp;'Покупки по дням'!AC$2)</f>
        <v>2</v>
      </c>
      <c r="AD25">
        <f>SUMIFS(data!$C:$C,data!$A:$A,"="&amp;'Покупки по дням'!$B25,data!$B:$B,"="&amp;'Покупки по дням'!AD$2)</f>
        <v>2</v>
      </c>
      <c r="AE25">
        <f>SUMIFS(data!$C:$C,data!$A:$A,"="&amp;'Покупки по дням'!$B25,data!$B:$B,"="&amp;'Покупки по дням'!AE$2)</f>
        <v>3</v>
      </c>
      <c r="AF25">
        <f>SUMIFS(data!$C:$C,data!$A:$A,"="&amp;'Покупки по дням'!$B25,data!$B:$B,"="&amp;'Покупки по дням'!AF$2)</f>
        <v>1</v>
      </c>
      <c r="AG25">
        <f>SUMIFS(data!$C:$C,data!$A:$A,"="&amp;'Покупки по дням'!$B25,data!$B:$B,"="&amp;'Покупки по дням'!AG$2)</f>
        <v>1</v>
      </c>
      <c r="AH25">
        <f>SUMIFS(data!$C:$C,data!$A:$A,"="&amp;'Покупки по дням'!$B25,data!$B:$B,"="&amp;'Покупки по дням'!AH$2)</f>
        <v>1</v>
      </c>
      <c r="AI25">
        <f>SUMIFS(data!$C:$C,data!$A:$A,"="&amp;'Покупки по дням'!$B25,data!$B:$B,"="&amp;'Покупки по дням'!AI$2)</f>
        <v>1</v>
      </c>
      <c r="AJ25">
        <f>SUMIFS(data!$C:$C,data!$A:$A,"="&amp;'Покупки по дням'!$B25,data!$B:$B,"="&amp;'Покупки по дням'!AJ$2)</f>
        <v>5</v>
      </c>
      <c r="AK25">
        <f>SUMIFS(data!$C:$C,data!$A:$A,"="&amp;'Покупки по дням'!$B25,data!$B:$B,"="&amp;'Покупки по дням'!AK$2)</f>
        <v>0</v>
      </c>
      <c r="AL25">
        <f>SUMIFS(data!$C:$C,data!$A:$A,"="&amp;'Покупки по дням'!$B25,data!$B:$B,"="&amp;'Покупки по дням'!AL$2)</f>
        <v>4</v>
      </c>
      <c r="AM25">
        <f>SUMIFS(data!$C:$C,data!$A:$A,"="&amp;'Покупки по дням'!$B25,data!$B:$B,"="&amp;'Покупки по дням'!AM$2)</f>
        <v>1</v>
      </c>
      <c r="AN25">
        <f>SUMIFS(data!$C:$C,data!$A:$A,"="&amp;'Покупки по дням'!$B25,data!$B:$B,"="&amp;'Покупки по дням'!AN$2)</f>
        <v>2</v>
      </c>
      <c r="AO25">
        <f>SUMIFS(data!$C:$C,data!$A:$A,"="&amp;'Покупки по дням'!$B25,data!$B:$B,"="&amp;'Покупки по дням'!AO$2)</f>
        <v>2</v>
      </c>
      <c r="AP25">
        <f>SUMIFS(data!$C:$C,data!$A:$A,"="&amp;'Покупки по дням'!$B25,data!$B:$B,"="&amp;'Покупки по дням'!AP$2)</f>
        <v>2</v>
      </c>
      <c r="AQ25" s="6">
        <f t="shared" si="0"/>
        <v>0.72490188833039337</v>
      </c>
    </row>
    <row r="26" spans="2:43" x14ac:dyDescent="0.3">
      <c r="B26" s="17" t="s">
        <v>25</v>
      </c>
      <c r="C26">
        <f>SUMIFS(data!$C:$C,data!$A:$A,"="&amp;'Покупки по дням'!$B26,data!$B:$B,"="&amp;'Покупки по дням'!C$2)</f>
        <v>3</v>
      </c>
      <c r="D26">
        <f>SUMIFS(data!$C:$C,data!$A:$A,"="&amp;'Покупки по дням'!$B26,data!$B:$B,"="&amp;'Покупки по дням'!D$2)</f>
        <v>4</v>
      </c>
      <c r="E26">
        <f>SUMIFS(data!$C:$C,data!$A:$A,"="&amp;'Покупки по дням'!$B26,data!$B:$B,"="&amp;'Покупки по дням'!E$2)</f>
        <v>16</v>
      </c>
      <c r="F26">
        <f>SUMIFS(data!$C:$C,data!$A:$A,"="&amp;'Покупки по дням'!$B26,data!$B:$B,"="&amp;'Покупки по дням'!F$2)</f>
        <v>7</v>
      </c>
      <c r="G26">
        <f>SUMIFS(data!$C:$C,data!$A:$A,"="&amp;'Покупки по дням'!$B26,data!$B:$B,"="&amp;'Покупки по дням'!G$2)</f>
        <v>7</v>
      </c>
      <c r="H26">
        <f>SUMIFS(data!$C:$C,data!$A:$A,"="&amp;'Покупки по дням'!$B26,data!$B:$B,"="&amp;'Покупки по дням'!H$2)</f>
        <v>8</v>
      </c>
      <c r="I26">
        <f>SUMIFS(data!$C:$C,data!$A:$A,"="&amp;'Покупки по дням'!$B26,data!$B:$B,"="&amp;'Покупки по дням'!I$2)</f>
        <v>8</v>
      </c>
      <c r="J26">
        <f>SUMIFS(data!$C:$C,data!$A:$A,"="&amp;'Покупки по дням'!$B26,data!$B:$B,"="&amp;'Покупки по дням'!J$2)</f>
        <v>10</v>
      </c>
      <c r="K26">
        <f>SUMIFS(data!$C:$C,data!$A:$A,"="&amp;'Покупки по дням'!$B26,data!$B:$B,"="&amp;'Покупки по дням'!K$2)</f>
        <v>0</v>
      </c>
      <c r="L26">
        <f>SUMIFS(data!$C:$C,data!$A:$A,"="&amp;'Покупки по дням'!$B26,data!$B:$B,"="&amp;'Покупки по дням'!L$2)</f>
        <v>3</v>
      </c>
      <c r="M26">
        <f>SUMIFS(data!$C:$C,data!$A:$A,"="&amp;'Покупки по дням'!$B26,data!$B:$B,"="&amp;'Покупки по дням'!M$2)</f>
        <v>3</v>
      </c>
      <c r="N26">
        <f>SUMIFS(data!$C:$C,data!$A:$A,"="&amp;'Покупки по дням'!$B26,data!$B:$B,"="&amp;'Покупки по дням'!N$2)</f>
        <v>5</v>
      </c>
      <c r="O26">
        <f>SUMIFS(data!$C:$C,data!$A:$A,"="&amp;'Покупки по дням'!$B26,data!$B:$B,"="&amp;'Покупки по дням'!O$2)</f>
        <v>10</v>
      </c>
      <c r="P26">
        <f>SUMIFS(data!$C:$C,data!$A:$A,"="&amp;'Покупки по дням'!$B26,data!$B:$B,"="&amp;'Покупки по дням'!P$2)</f>
        <v>4</v>
      </c>
      <c r="Q26">
        <f>SUMIFS(data!$C:$C,data!$A:$A,"="&amp;'Покупки по дням'!$B26,data!$B:$B,"="&amp;'Покупки по дням'!Q$2)</f>
        <v>6</v>
      </c>
      <c r="R26">
        <f>SUMIFS(data!$C:$C,data!$A:$A,"="&amp;'Покупки по дням'!$B26,data!$B:$B,"="&amp;'Покупки по дням'!R$2)</f>
        <v>5</v>
      </c>
      <c r="S26">
        <f>SUMIFS(data!$C:$C,data!$A:$A,"="&amp;'Покупки по дням'!$B26,data!$B:$B,"="&amp;'Покупки по дням'!S$2)</f>
        <v>5</v>
      </c>
      <c r="T26">
        <f>SUMIFS(data!$C:$C,data!$A:$A,"="&amp;'Покупки по дням'!$B26,data!$B:$B,"="&amp;'Покупки по дням'!T$2)</f>
        <v>2</v>
      </c>
      <c r="U26">
        <f>SUMIFS(data!$C:$C,data!$A:$A,"="&amp;'Покупки по дням'!$B26,data!$B:$B,"="&amp;'Покупки по дням'!U$2)</f>
        <v>3</v>
      </c>
      <c r="V26">
        <f>SUMIFS(data!$C:$C,data!$A:$A,"="&amp;'Покупки по дням'!$B26,data!$B:$B,"="&amp;'Покупки по дням'!V$2)</f>
        <v>10</v>
      </c>
      <c r="W26">
        <f>SUMIFS(data!$C:$C,data!$A:$A,"="&amp;'Покупки по дням'!$B26,data!$B:$B,"="&amp;'Покупки по дням'!W$2)</f>
        <v>8</v>
      </c>
      <c r="X26">
        <f>SUMIFS(data!$C:$C,data!$A:$A,"="&amp;'Покупки по дням'!$B26,data!$B:$B,"="&amp;'Покупки по дням'!X$2)</f>
        <v>6</v>
      </c>
      <c r="Y26">
        <f>SUMIFS(data!$C:$C,data!$A:$A,"="&amp;'Покупки по дням'!$B26,data!$B:$B,"="&amp;'Покупки по дням'!Y$2)</f>
        <v>5</v>
      </c>
      <c r="Z26">
        <f>SUMIFS(data!$C:$C,data!$A:$A,"="&amp;'Покупки по дням'!$B26,data!$B:$B,"="&amp;'Покупки по дням'!Z$2)</f>
        <v>9</v>
      </c>
      <c r="AA26">
        <f>SUMIFS(data!$C:$C,data!$A:$A,"="&amp;'Покупки по дням'!$B26,data!$B:$B,"="&amp;'Покупки по дням'!AA$2)</f>
        <v>5</v>
      </c>
      <c r="AB26">
        <f>SUMIFS(data!$C:$C,data!$A:$A,"="&amp;'Покупки по дням'!$B26,data!$B:$B,"="&amp;'Покупки по дням'!AB$2)</f>
        <v>3</v>
      </c>
      <c r="AC26">
        <f>SUMIFS(data!$C:$C,data!$A:$A,"="&amp;'Покупки по дням'!$B26,data!$B:$B,"="&amp;'Покупки по дням'!AC$2)</f>
        <v>5</v>
      </c>
      <c r="AD26">
        <f>SUMIFS(data!$C:$C,data!$A:$A,"="&amp;'Покупки по дням'!$B26,data!$B:$B,"="&amp;'Покупки по дням'!AD$2)</f>
        <v>2</v>
      </c>
      <c r="AE26">
        <f>SUMIFS(data!$C:$C,data!$A:$A,"="&amp;'Покупки по дням'!$B26,data!$B:$B,"="&amp;'Покупки по дням'!AE$2)</f>
        <v>6</v>
      </c>
      <c r="AF26">
        <f>SUMIFS(data!$C:$C,data!$A:$A,"="&amp;'Покупки по дням'!$B26,data!$B:$B,"="&amp;'Покупки по дням'!AF$2)</f>
        <v>3</v>
      </c>
      <c r="AG26">
        <f>SUMIFS(data!$C:$C,data!$A:$A,"="&amp;'Покупки по дням'!$B26,data!$B:$B,"="&amp;'Покупки по дням'!AG$2)</f>
        <v>7</v>
      </c>
      <c r="AH26">
        <f>SUMIFS(data!$C:$C,data!$A:$A,"="&amp;'Покупки по дням'!$B26,data!$B:$B,"="&amp;'Покупки по дням'!AH$2)</f>
        <v>7</v>
      </c>
      <c r="AI26">
        <f>SUMIFS(data!$C:$C,data!$A:$A,"="&amp;'Покупки по дням'!$B26,data!$B:$B,"="&amp;'Покупки по дням'!AI$2)</f>
        <v>7</v>
      </c>
      <c r="AJ26">
        <f>SUMIFS(data!$C:$C,data!$A:$A,"="&amp;'Покупки по дням'!$B26,data!$B:$B,"="&amp;'Покупки по дням'!AJ$2)</f>
        <v>2</v>
      </c>
      <c r="AK26">
        <f>SUMIFS(data!$C:$C,data!$A:$A,"="&amp;'Покупки по дням'!$B26,data!$B:$B,"="&amp;'Покупки по дням'!AK$2)</f>
        <v>4</v>
      </c>
      <c r="AL26">
        <f>SUMIFS(data!$C:$C,data!$A:$A,"="&amp;'Покупки по дням'!$B26,data!$B:$B,"="&amp;'Покупки по дням'!AL$2)</f>
        <v>5</v>
      </c>
      <c r="AM26">
        <f>SUMIFS(data!$C:$C,data!$A:$A,"="&amp;'Покупки по дням'!$B26,data!$B:$B,"="&amp;'Покупки по дням'!AM$2)</f>
        <v>6</v>
      </c>
      <c r="AN26">
        <f>SUMIFS(data!$C:$C,data!$A:$A,"="&amp;'Покупки по дням'!$B26,data!$B:$B,"="&amp;'Покупки по дням'!AN$2)</f>
        <v>4</v>
      </c>
      <c r="AO26">
        <f>SUMIFS(data!$C:$C,data!$A:$A,"="&amp;'Покупки по дням'!$B26,data!$B:$B,"="&amp;'Покупки по дням'!AO$2)</f>
        <v>6</v>
      </c>
      <c r="AP26">
        <f>SUMIFS(data!$C:$C,data!$A:$A,"="&amp;'Покупки по дням'!$B26,data!$B:$B,"="&amp;'Покупки по дням'!AP$2)</f>
        <v>6</v>
      </c>
      <c r="AQ26" s="6">
        <f t="shared" si="0"/>
        <v>0.51664292443074822</v>
      </c>
    </row>
    <row r="27" spans="2:43" x14ac:dyDescent="0.3">
      <c r="B27" s="17" t="s">
        <v>30</v>
      </c>
      <c r="C27">
        <f>SUMIFS(data!$C:$C,data!$A:$A,"="&amp;'Покупки по дням'!$B27,data!$B:$B,"="&amp;'Покупки по дням'!C$2)</f>
        <v>1</v>
      </c>
      <c r="D27">
        <f>SUMIFS(data!$C:$C,data!$A:$A,"="&amp;'Покупки по дням'!$B27,data!$B:$B,"="&amp;'Покупки по дням'!D$2)</f>
        <v>2</v>
      </c>
      <c r="E27">
        <f>SUMIFS(data!$C:$C,data!$A:$A,"="&amp;'Покупки по дням'!$B27,data!$B:$B,"="&amp;'Покупки по дням'!E$2)</f>
        <v>1</v>
      </c>
      <c r="F27">
        <f>SUMIFS(data!$C:$C,data!$A:$A,"="&amp;'Покупки по дням'!$B27,data!$B:$B,"="&amp;'Покупки по дням'!F$2)</f>
        <v>3</v>
      </c>
      <c r="G27">
        <f>SUMIFS(data!$C:$C,data!$A:$A,"="&amp;'Покупки по дням'!$B27,data!$B:$B,"="&amp;'Покупки по дням'!G$2)</f>
        <v>5</v>
      </c>
      <c r="H27">
        <f>SUMIFS(data!$C:$C,data!$A:$A,"="&amp;'Покупки по дням'!$B27,data!$B:$B,"="&amp;'Покупки по дням'!H$2)</f>
        <v>5</v>
      </c>
      <c r="I27">
        <f>SUMIFS(data!$C:$C,data!$A:$A,"="&amp;'Покупки по дням'!$B27,data!$B:$B,"="&amp;'Покупки по дням'!I$2)</f>
        <v>1</v>
      </c>
      <c r="J27">
        <f>SUMIFS(data!$C:$C,data!$A:$A,"="&amp;'Покупки по дням'!$B27,data!$B:$B,"="&amp;'Покупки по дням'!J$2)</f>
        <v>0</v>
      </c>
      <c r="K27">
        <f>SUMIFS(data!$C:$C,data!$A:$A,"="&amp;'Покупки по дням'!$B27,data!$B:$B,"="&amp;'Покупки по дням'!K$2)</f>
        <v>0</v>
      </c>
      <c r="L27">
        <f>SUMIFS(data!$C:$C,data!$A:$A,"="&amp;'Покупки по дням'!$B27,data!$B:$B,"="&amp;'Покупки по дням'!L$2)</f>
        <v>0</v>
      </c>
      <c r="M27">
        <f>SUMIFS(data!$C:$C,data!$A:$A,"="&amp;'Покупки по дням'!$B27,data!$B:$B,"="&amp;'Покупки по дням'!M$2)</f>
        <v>1</v>
      </c>
      <c r="N27">
        <f>SUMIFS(data!$C:$C,data!$A:$A,"="&amp;'Покупки по дням'!$B27,data!$B:$B,"="&amp;'Покупки по дням'!N$2)</f>
        <v>3</v>
      </c>
      <c r="O27">
        <f>SUMIFS(data!$C:$C,data!$A:$A,"="&amp;'Покупки по дням'!$B27,data!$B:$B,"="&amp;'Покупки по дням'!O$2)</f>
        <v>3</v>
      </c>
      <c r="P27">
        <f>SUMIFS(data!$C:$C,data!$A:$A,"="&amp;'Покупки по дням'!$B27,data!$B:$B,"="&amp;'Покупки по дням'!P$2)</f>
        <v>0</v>
      </c>
      <c r="Q27">
        <f>SUMIFS(data!$C:$C,data!$A:$A,"="&amp;'Покупки по дням'!$B27,data!$B:$B,"="&amp;'Покупки по дням'!Q$2)</f>
        <v>2</v>
      </c>
      <c r="R27">
        <f>SUMIFS(data!$C:$C,data!$A:$A,"="&amp;'Покупки по дням'!$B27,data!$B:$B,"="&amp;'Покупки по дням'!R$2)</f>
        <v>4</v>
      </c>
      <c r="S27">
        <f>SUMIFS(data!$C:$C,data!$A:$A,"="&amp;'Покупки по дням'!$B27,data!$B:$B,"="&amp;'Покупки по дням'!S$2)</f>
        <v>3</v>
      </c>
      <c r="T27">
        <f>SUMIFS(data!$C:$C,data!$A:$A,"="&amp;'Покупки по дням'!$B27,data!$B:$B,"="&amp;'Покупки по дням'!T$2)</f>
        <v>2</v>
      </c>
      <c r="U27">
        <f>SUMIFS(data!$C:$C,data!$A:$A,"="&amp;'Покупки по дням'!$B27,data!$B:$B,"="&amp;'Покупки по дням'!U$2)</f>
        <v>3</v>
      </c>
      <c r="V27">
        <f>SUMIFS(data!$C:$C,data!$A:$A,"="&amp;'Покупки по дням'!$B27,data!$B:$B,"="&amp;'Покупки по дням'!V$2)</f>
        <v>3</v>
      </c>
      <c r="W27">
        <f>SUMIFS(data!$C:$C,data!$A:$A,"="&amp;'Покупки по дням'!$B27,data!$B:$B,"="&amp;'Покупки по дням'!W$2)</f>
        <v>0</v>
      </c>
      <c r="X27">
        <f>SUMIFS(data!$C:$C,data!$A:$A,"="&amp;'Покупки по дням'!$B27,data!$B:$B,"="&amp;'Покупки по дням'!X$2)</f>
        <v>2</v>
      </c>
      <c r="Y27">
        <f>SUMIFS(data!$C:$C,data!$A:$A,"="&amp;'Покупки по дням'!$B27,data!$B:$B,"="&amp;'Покупки по дням'!Y$2)</f>
        <v>5</v>
      </c>
      <c r="Z27">
        <f>SUMIFS(data!$C:$C,data!$A:$A,"="&amp;'Покупки по дням'!$B27,data!$B:$B,"="&amp;'Покупки по дням'!Z$2)</f>
        <v>2</v>
      </c>
      <c r="AA27">
        <f>SUMIFS(data!$C:$C,data!$A:$A,"="&amp;'Покупки по дням'!$B27,data!$B:$B,"="&amp;'Покупки по дням'!AA$2)</f>
        <v>2</v>
      </c>
      <c r="AB27">
        <f>SUMIFS(data!$C:$C,data!$A:$A,"="&amp;'Покупки по дням'!$B27,data!$B:$B,"="&amp;'Покупки по дням'!AB$2)</f>
        <v>2</v>
      </c>
      <c r="AC27">
        <f>SUMIFS(data!$C:$C,data!$A:$A,"="&amp;'Покупки по дням'!$B27,data!$B:$B,"="&amp;'Покупки по дням'!AC$2)</f>
        <v>3</v>
      </c>
      <c r="AD27">
        <f>SUMIFS(data!$C:$C,data!$A:$A,"="&amp;'Покупки по дням'!$B27,data!$B:$B,"="&amp;'Покупки по дням'!AD$2)</f>
        <v>1</v>
      </c>
      <c r="AE27">
        <f>SUMIFS(data!$C:$C,data!$A:$A,"="&amp;'Покупки по дням'!$B27,data!$B:$B,"="&amp;'Покупки по дням'!AE$2)</f>
        <v>0</v>
      </c>
      <c r="AF27">
        <f>SUMIFS(data!$C:$C,data!$A:$A,"="&amp;'Покупки по дням'!$B27,data!$B:$B,"="&amp;'Покупки по дням'!AF$2)</f>
        <v>2</v>
      </c>
      <c r="AG27">
        <f>SUMIFS(data!$C:$C,data!$A:$A,"="&amp;'Покупки по дням'!$B27,data!$B:$B,"="&amp;'Покупки по дням'!AG$2)</f>
        <v>2</v>
      </c>
      <c r="AH27">
        <f>SUMIFS(data!$C:$C,data!$A:$A,"="&amp;'Покупки по дням'!$B27,data!$B:$B,"="&amp;'Покупки по дням'!AH$2)</f>
        <v>2</v>
      </c>
      <c r="AI27">
        <f>SUMIFS(data!$C:$C,data!$A:$A,"="&amp;'Покупки по дням'!$B27,data!$B:$B,"="&amp;'Покупки по дням'!AI$2)</f>
        <v>3</v>
      </c>
      <c r="AJ27">
        <f>SUMIFS(data!$C:$C,data!$A:$A,"="&amp;'Покупки по дням'!$B27,data!$B:$B,"="&amp;'Покупки по дням'!AJ$2)</f>
        <v>4</v>
      </c>
      <c r="AK27">
        <f>SUMIFS(data!$C:$C,data!$A:$A,"="&amp;'Покупки по дням'!$B27,data!$B:$B,"="&amp;'Покупки по дням'!AK$2)</f>
        <v>1</v>
      </c>
      <c r="AL27">
        <f>SUMIFS(data!$C:$C,data!$A:$A,"="&amp;'Покупки по дням'!$B27,data!$B:$B,"="&amp;'Покупки по дням'!AL$2)</f>
        <v>1</v>
      </c>
      <c r="AM27">
        <f>SUMIFS(data!$C:$C,data!$A:$A,"="&amp;'Покупки по дням'!$B27,data!$B:$B,"="&amp;'Покупки по дням'!AM$2)</f>
        <v>1</v>
      </c>
      <c r="AN27">
        <f>SUMIFS(data!$C:$C,data!$A:$A,"="&amp;'Покупки по дням'!$B27,data!$B:$B,"="&amp;'Покупки по дням'!AN$2)</f>
        <v>0</v>
      </c>
      <c r="AO27">
        <f>SUMIFS(data!$C:$C,data!$A:$A,"="&amp;'Покупки по дням'!$B27,data!$B:$B,"="&amp;'Покупки по дням'!AO$2)</f>
        <v>3</v>
      </c>
      <c r="AP27">
        <f>SUMIFS(data!$C:$C,data!$A:$A,"="&amp;'Покупки по дням'!$B27,data!$B:$B,"="&amp;'Покупки по дням'!AP$2)</f>
        <v>4</v>
      </c>
      <c r="AQ27" s="6">
        <f t="shared" si="0"/>
        <v>0.71547558076452034</v>
      </c>
    </row>
    <row r="28" spans="2:43" x14ac:dyDescent="0.3">
      <c r="B28" s="17" t="s">
        <v>65</v>
      </c>
      <c r="C28">
        <f>SUMIFS(data!$C:$C,data!$A:$A,"="&amp;'Покупки по дням'!$B28,data!$B:$B,"="&amp;'Покупки по дням'!C$2)</f>
        <v>19</v>
      </c>
      <c r="D28">
        <f>SUMIFS(data!$C:$C,data!$A:$A,"="&amp;'Покупки по дням'!$B28,data!$B:$B,"="&amp;'Покупки по дням'!D$2)</f>
        <v>24</v>
      </c>
      <c r="E28">
        <f>SUMIFS(data!$C:$C,data!$A:$A,"="&amp;'Покупки по дням'!$B28,data!$B:$B,"="&amp;'Покупки по дням'!E$2)</f>
        <v>10</v>
      </c>
      <c r="F28">
        <f>SUMIFS(data!$C:$C,data!$A:$A,"="&amp;'Покупки по дням'!$B28,data!$B:$B,"="&amp;'Покупки по дням'!F$2)</f>
        <v>10</v>
      </c>
      <c r="G28">
        <f>SUMIFS(data!$C:$C,data!$A:$A,"="&amp;'Покупки по дням'!$B28,data!$B:$B,"="&amp;'Покупки по дням'!G$2)</f>
        <v>11</v>
      </c>
      <c r="H28">
        <f>SUMIFS(data!$C:$C,data!$A:$A,"="&amp;'Покупки по дням'!$B28,data!$B:$B,"="&amp;'Покупки по дням'!H$2)</f>
        <v>9</v>
      </c>
      <c r="I28">
        <f>SUMIFS(data!$C:$C,data!$A:$A,"="&amp;'Покупки по дням'!$B28,data!$B:$B,"="&amp;'Покупки по дням'!I$2)</f>
        <v>12</v>
      </c>
      <c r="J28">
        <f>SUMIFS(data!$C:$C,data!$A:$A,"="&amp;'Покупки по дням'!$B28,data!$B:$B,"="&amp;'Покупки по дням'!J$2)</f>
        <v>9</v>
      </c>
      <c r="K28">
        <f>SUMIFS(data!$C:$C,data!$A:$A,"="&amp;'Покупки по дням'!$B28,data!$B:$B,"="&amp;'Покупки по дням'!K$2)</f>
        <v>0</v>
      </c>
      <c r="L28">
        <f>SUMIFS(data!$C:$C,data!$A:$A,"="&amp;'Покупки по дням'!$B28,data!$B:$B,"="&amp;'Покупки по дням'!L$2)</f>
        <v>8</v>
      </c>
      <c r="M28">
        <f>SUMIFS(data!$C:$C,data!$A:$A,"="&amp;'Покупки по дням'!$B28,data!$B:$B,"="&amp;'Покупки по дням'!M$2)</f>
        <v>7</v>
      </c>
      <c r="N28">
        <f>SUMIFS(data!$C:$C,data!$A:$A,"="&amp;'Покупки по дням'!$B28,data!$B:$B,"="&amp;'Покупки по дням'!N$2)</f>
        <v>9</v>
      </c>
      <c r="O28">
        <f>SUMIFS(data!$C:$C,data!$A:$A,"="&amp;'Покупки по дням'!$B28,data!$B:$B,"="&amp;'Покупки по дням'!O$2)</f>
        <v>4</v>
      </c>
      <c r="P28">
        <f>SUMIFS(data!$C:$C,data!$A:$A,"="&amp;'Покупки по дням'!$B28,data!$B:$B,"="&amp;'Покупки по дням'!P$2)</f>
        <v>4</v>
      </c>
      <c r="Q28">
        <f>SUMIFS(data!$C:$C,data!$A:$A,"="&amp;'Покупки по дням'!$B28,data!$B:$B,"="&amp;'Покупки по дням'!Q$2)</f>
        <v>4</v>
      </c>
      <c r="R28">
        <f>SUMIFS(data!$C:$C,data!$A:$A,"="&amp;'Покупки по дням'!$B28,data!$B:$B,"="&amp;'Покупки по дням'!R$2)</f>
        <v>1</v>
      </c>
      <c r="S28">
        <f>SUMIFS(data!$C:$C,data!$A:$A,"="&amp;'Покупки по дням'!$B28,data!$B:$B,"="&amp;'Покупки по дням'!S$2)</f>
        <v>3</v>
      </c>
      <c r="T28">
        <f>SUMIFS(data!$C:$C,data!$A:$A,"="&amp;'Покупки по дням'!$B28,data!$B:$B,"="&amp;'Покупки по дням'!T$2)</f>
        <v>4</v>
      </c>
      <c r="U28">
        <f>SUMIFS(data!$C:$C,data!$A:$A,"="&amp;'Покупки по дням'!$B28,data!$B:$B,"="&amp;'Покупки по дням'!U$2)</f>
        <v>6</v>
      </c>
      <c r="V28">
        <f>SUMIFS(data!$C:$C,data!$A:$A,"="&amp;'Покупки по дням'!$B28,data!$B:$B,"="&amp;'Покупки по дням'!V$2)</f>
        <v>1</v>
      </c>
      <c r="W28">
        <f>SUMIFS(data!$C:$C,data!$A:$A,"="&amp;'Покупки по дням'!$B28,data!$B:$B,"="&amp;'Покупки по дням'!W$2)</f>
        <v>12</v>
      </c>
      <c r="X28">
        <f>SUMIFS(data!$C:$C,data!$A:$A,"="&amp;'Покупки по дням'!$B28,data!$B:$B,"="&amp;'Покупки по дням'!X$2)</f>
        <v>1</v>
      </c>
      <c r="Y28">
        <f>SUMIFS(data!$C:$C,data!$A:$A,"="&amp;'Покупки по дням'!$B28,data!$B:$B,"="&amp;'Покупки по дням'!Y$2)</f>
        <v>6</v>
      </c>
      <c r="Z28">
        <f>SUMIFS(data!$C:$C,data!$A:$A,"="&amp;'Покупки по дням'!$B28,data!$B:$B,"="&amp;'Покупки по дням'!Z$2)</f>
        <v>3</v>
      </c>
      <c r="AA28">
        <f>SUMIFS(data!$C:$C,data!$A:$A,"="&amp;'Покупки по дням'!$B28,data!$B:$B,"="&amp;'Покупки по дням'!AA$2)</f>
        <v>6</v>
      </c>
      <c r="AB28">
        <f>SUMIFS(data!$C:$C,data!$A:$A,"="&amp;'Покупки по дням'!$B28,data!$B:$B,"="&amp;'Покупки по дням'!AB$2)</f>
        <v>2</v>
      </c>
      <c r="AC28">
        <f>SUMIFS(data!$C:$C,data!$A:$A,"="&amp;'Покупки по дням'!$B28,data!$B:$B,"="&amp;'Покупки по дням'!AC$2)</f>
        <v>6</v>
      </c>
      <c r="AD28">
        <f>SUMIFS(data!$C:$C,data!$A:$A,"="&amp;'Покупки по дням'!$B28,data!$B:$B,"="&amp;'Покупки по дням'!AD$2)</f>
        <v>4</v>
      </c>
      <c r="AE28">
        <f>SUMIFS(data!$C:$C,data!$A:$A,"="&amp;'Покупки по дням'!$B28,data!$B:$B,"="&amp;'Покупки по дням'!AE$2)</f>
        <v>6</v>
      </c>
      <c r="AF28">
        <f>SUMIFS(data!$C:$C,data!$A:$A,"="&amp;'Покупки по дням'!$B28,data!$B:$B,"="&amp;'Покупки по дням'!AF$2)</f>
        <v>5</v>
      </c>
      <c r="AG28">
        <f>SUMIFS(data!$C:$C,data!$A:$A,"="&amp;'Покупки по дням'!$B28,data!$B:$B,"="&amp;'Покупки по дням'!AG$2)</f>
        <v>6</v>
      </c>
      <c r="AH28">
        <f>SUMIFS(data!$C:$C,data!$A:$A,"="&amp;'Покупки по дням'!$B28,data!$B:$B,"="&amp;'Покупки по дням'!AH$2)</f>
        <v>3</v>
      </c>
      <c r="AI28">
        <f>SUMIFS(data!$C:$C,data!$A:$A,"="&amp;'Покупки по дням'!$B28,data!$B:$B,"="&amp;'Покупки по дням'!AI$2)</f>
        <v>5</v>
      </c>
      <c r="AJ28">
        <f>SUMIFS(data!$C:$C,data!$A:$A,"="&amp;'Покупки по дням'!$B28,data!$B:$B,"="&amp;'Покупки по дням'!AJ$2)</f>
        <v>10</v>
      </c>
      <c r="AK28">
        <f>SUMIFS(data!$C:$C,data!$A:$A,"="&amp;'Покупки по дням'!$B28,data!$B:$B,"="&amp;'Покупки по дням'!AK$2)</f>
        <v>9</v>
      </c>
      <c r="AL28">
        <f>SUMIFS(data!$C:$C,data!$A:$A,"="&amp;'Покупки по дням'!$B28,data!$B:$B,"="&amp;'Покупки по дням'!AL$2)</f>
        <v>1</v>
      </c>
      <c r="AM28">
        <f>SUMIFS(data!$C:$C,data!$A:$A,"="&amp;'Покупки по дням'!$B28,data!$B:$B,"="&amp;'Покупки по дням'!AM$2)</f>
        <v>6</v>
      </c>
      <c r="AN28">
        <f>SUMIFS(data!$C:$C,data!$A:$A,"="&amp;'Покупки по дням'!$B28,data!$B:$B,"="&amp;'Покупки по дням'!AN$2)</f>
        <v>7</v>
      </c>
      <c r="AO28">
        <f>SUMIFS(data!$C:$C,data!$A:$A,"="&amp;'Покупки по дням'!$B28,data!$B:$B,"="&amp;'Покупки по дням'!AO$2)</f>
        <v>5</v>
      </c>
      <c r="AP28">
        <f>SUMIFS(data!$C:$C,data!$A:$A,"="&amp;'Покупки по дням'!$B28,data!$B:$B,"="&amp;'Покупки по дням'!AP$2)</f>
        <v>3</v>
      </c>
      <c r="AQ28" s="6">
        <f t="shared" si="0"/>
        <v>0.72798486030598686</v>
      </c>
    </row>
    <row r="29" spans="2:43" ht="28.8" x14ac:dyDescent="0.3">
      <c r="B29" s="17" t="s">
        <v>24</v>
      </c>
      <c r="C29">
        <f>SUMIFS(data!$C:$C,data!$A:$A,"="&amp;'Покупки по дням'!$B29,data!$B:$B,"="&amp;'Покупки по дням'!C$2)</f>
        <v>5</v>
      </c>
      <c r="D29">
        <f>SUMIFS(data!$C:$C,data!$A:$A,"="&amp;'Покупки по дням'!$B29,data!$B:$B,"="&amp;'Покупки по дням'!D$2)</f>
        <v>16</v>
      </c>
      <c r="E29">
        <f>SUMIFS(data!$C:$C,data!$A:$A,"="&amp;'Покупки по дням'!$B29,data!$B:$B,"="&amp;'Покупки по дням'!E$2)</f>
        <v>20</v>
      </c>
      <c r="F29">
        <f>SUMIFS(data!$C:$C,data!$A:$A,"="&amp;'Покупки по дням'!$B29,data!$B:$B,"="&amp;'Покупки по дням'!F$2)</f>
        <v>10</v>
      </c>
      <c r="G29">
        <f>SUMIFS(data!$C:$C,data!$A:$A,"="&amp;'Покупки по дням'!$B29,data!$B:$B,"="&amp;'Покупки по дням'!G$2)</f>
        <v>14</v>
      </c>
      <c r="H29">
        <f>SUMIFS(data!$C:$C,data!$A:$A,"="&amp;'Покупки по дням'!$B29,data!$B:$B,"="&amp;'Покупки по дням'!H$2)</f>
        <v>17</v>
      </c>
      <c r="I29">
        <f>SUMIFS(data!$C:$C,data!$A:$A,"="&amp;'Покупки по дням'!$B29,data!$B:$B,"="&amp;'Покупки по дням'!I$2)</f>
        <v>5</v>
      </c>
      <c r="J29">
        <f>SUMIFS(data!$C:$C,data!$A:$A,"="&amp;'Покупки по дням'!$B29,data!$B:$B,"="&amp;'Покупки по дням'!J$2)</f>
        <v>7</v>
      </c>
      <c r="K29">
        <f>SUMIFS(data!$C:$C,data!$A:$A,"="&amp;'Покупки по дням'!$B29,data!$B:$B,"="&amp;'Покупки по дням'!K$2)</f>
        <v>0</v>
      </c>
      <c r="L29">
        <f>SUMIFS(data!$C:$C,data!$A:$A,"="&amp;'Покупки по дням'!$B29,data!$B:$B,"="&amp;'Покупки по дням'!L$2)</f>
        <v>14</v>
      </c>
      <c r="M29">
        <f>SUMIFS(data!$C:$C,data!$A:$A,"="&amp;'Покупки по дням'!$B29,data!$B:$B,"="&amp;'Покупки по дням'!M$2)</f>
        <v>8</v>
      </c>
      <c r="N29">
        <f>SUMIFS(data!$C:$C,data!$A:$A,"="&amp;'Покупки по дням'!$B29,data!$B:$B,"="&amp;'Покупки по дням'!N$2)</f>
        <v>7</v>
      </c>
      <c r="O29">
        <f>SUMIFS(data!$C:$C,data!$A:$A,"="&amp;'Покупки по дням'!$B29,data!$B:$B,"="&amp;'Покупки по дням'!O$2)</f>
        <v>3</v>
      </c>
      <c r="P29">
        <f>SUMIFS(data!$C:$C,data!$A:$A,"="&amp;'Покупки по дням'!$B29,data!$B:$B,"="&amp;'Покупки по дням'!P$2)</f>
        <v>5</v>
      </c>
      <c r="Q29">
        <f>SUMIFS(data!$C:$C,data!$A:$A,"="&amp;'Покупки по дням'!$B29,data!$B:$B,"="&amp;'Покупки по дням'!Q$2)</f>
        <v>12</v>
      </c>
      <c r="R29">
        <f>SUMIFS(data!$C:$C,data!$A:$A,"="&amp;'Покупки по дням'!$B29,data!$B:$B,"="&amp;'Покупки по дням'!R$2)</f>
        <v>3</v>
      </c>
      <c r="S29">
        <f>SUMIFS(data!$C:$C,data!$A:$A,"="&amp;'Покупки по дням'!$B29,data!$B:$B,"="&amp;'Покупки по дням'!S$2)</f>
        <v>5</v>
      </c>
      <c r="T29">
        <f>SUMIFS(data!$C:$C,data!$A:$A,"="&amp;'Покупки по дням'!$B29,data!$B:$B,"="&amp;'Покупки по дням'!T$2)</f>
        <v>8</v>
      </c>
      <c r="U29">
        <f>SUMIFS(data!$C:$C,data!$A:$A,"="&amp;'Покупки по дням'!$B29,data!$B:$B,"="&amp;'Покупки по дням'!U$2)</f>
        <v>7</v>
      </c>
      <c r="V29">
        <f>SUMIFS(data!$C:$C,data!$A:$A,"="&amp;'Покупки по дням'!$B29,data!$B:$B,"="&amp;'Покупки по дням'!V$2)</f>
        <v>8</v>
      </c>
      <c r="W29">
        <f>SUMIFS(data!$C:$C,data!$A:$A,"="&amp;'Покупки по дням'!$B29,data!$B:$B,"="&amp;'Покупки по дням'!W$2)</f>
        <v>10</v>
      </c>
      <c r="X29">
        <f>SUMIFS(data!$C:$C,data!$A:$A,"="&amp;'Покупки по дням'!$B29,data!$B:$B,"="&amp;'Покупки по дням'!X$2)</f>
        <v>7</v>
      </c>
      <c r="Y29">
        <f>SUMIFS(data!$C:$C,data!$A:$A,"="&amp;'Покупки по дням'!$B29,data!$B:$B,"="&amp;'Покупки по дням'!Y$2)</f>
        <v>4</v>
      </c>
      <c r="Z29">
        <f>SUMIFS(data!$C:$C,data!$A:$A,"="&amp;'Покупки по дням'!$B29,data!$B:$B,"="&amp;'Покупки по дням'!Z$2)</f>
        <v>6</v>
      </c>
      <c r="AA29">
        <f>SUMIFS(data!$C:$C,data!$A:$A,"="&amp;'Покупки по дням'!$B29,data!$B:$B,"="&amp;'Покупки по дням'!AA$2)</f>
        <v>7</v>
      </c>
      <c r="AB29">
        <f>SUMIFS(data!$C:$C,data!$A:$A,"="&amp;'Покупки по дням'!$B29,data!$B:$B,"="&amp;'Покупки по дням'!AB$2)</f>
        <v>3</v>
      </c>
      <c r="AC29">
        <f>SUMIFS(data!$C:$C,data!$A:$A,"="&amp;'Покупки по дням'!$B29,data!$B:$B,"="&amp;'Покупки по дням'!AC$2)</f>
        <v>9</v>
      </c>
      <c r="AD29">
        <f>SUMIFS(data!$C:$C,data!$A:$A,"="&amp;'Покупки по дням'!$B29,data!$B:$B,"="&amp;'Покупки по дням'!AD$2)</f>
        <v>8</v>
      </c>
      <c r="AE29">
        <f>SUMIFS(data!$C:$C,data!$A:$A,"="&amp;'Покупки по дням'!$B29,data!$B:$B,"="&amp;'Покупки по дням'!AE$2)</f>
        <v>8</v>
      </c>
      <c r="AF29">
        <f>SUMIFS(data!$C:$C,data!$A:$A,"="&amp;'Покупки по дням'!$B29,data!$B:$B,"="&amp;'Покупки по дням'!AF$2)</f>
        <v>3</v>
      </c>
      <c r="AG29">
        <f>SUMIFS(data!$C:$C,data!$A:$A,"="&amp;'Покупки по дням'!$B29,data!$B:$B,"="&amp;'Покупки по дням'!AG$2)</f>
        <v>3</v>
      </c>
      <c r="AH29">
        <f>SUMIFS(data!$C:$C,data!$A:$A,"="&amp;'Покупки по дням'!$B29,data!$B:$B,"="&amp;'Покупки по дням'!AH$2)</f>
        <v>11</v>
      </c>
      <c r="AI29">
        <f>SUMIFS(data!$C:$C,data!$A:$A,"="&amp;'Покупки по дням'!$B29,data!$B:$B,"="&amp;'Покупки по дням'!AI$2)</f>
        <v>9</v>
      </c>
      <c r="AJ29">
        <f>SUMIFS(data!$C:$C,data!$A:$A,"="&amp;'Покупки по дням'!$B29,data!$B:$B,"="&amp;'Покупки по дням'!AJ$2)</f>
        <v>9</v>
      </c>
      <c r="AK29">
        <f>SUMIFS(data!$C:$C,data!$A:$A,"="&amp;'Покупки по дням'!$B29,data!$B:$B,"="&amp;'Покупки по дням'!AK$2)</f>
        <v>5</v>
      </c>
      <c r="AL29">
        <f>SUMIFS(data!$C:$C,data!$A:$A,"="&amp;'Покупки по дням'!$B29,data!$B:$B,"="&amp;'Покупки по дням'!AL$2)</f>
        <v>8</v>
      </c>
      <c r="AM29">
        <f>SUMIFS(data!$C:$C,data!$A:$A,"="&amp;'Покупки по дням'!$B29,data!$B:$B,"="&amp;'Покупки по дням'!AM$2)</f>
        <v>12</v>
      </c>
      <c r="AN29">
        <f>SUMIFS(data!$C:$C,data!$A:$A,"="&amp;'Покупки по дням'!$B29,data!$B:$B,"="&amp;'Покупки по дням'!AN$2)</f>
        <v>5</v>
      </c>
      <c r="AO29">
        <f>SUMIFS(data!$C:$C,data!$A:$A,"="&amp;'Покупки по дням'!$B29,data!$B:$B,"="&amp;'Покупки по дням'!AO$2)</f>
        <v>11</v>
      </c>
      <c r="AP29">
        <f>SUMIFS(data!$C:$C,data!$A:$A,"="&amp;'Покупки по дням'!$B29,data!$B:$B,"="&amp;'Покупки по дням'!AP$2)</f>
        <v>7</v>
      </c>
      <c r="AQ29" s="6">
        <f t="shared" si="0"/>
        <v>0.52779852480567169</v>
      </c>
    </row>
    <row r="30" spans="2:43" x14ac:dyDescent="0.3">
      <c r="B30" s="17" t="s">
        <v>5</v>
      </c>
      <c r="C30">
        <f>SUMIFS(data!$C:$C,data!$A:$A,"="&amp;'Покупки по дням'!$B30,data!$B:$B,"="&amp;'Покупки по дням'!C$2)</f>
        <v>0</v>
      </c>
      <c r="D30">
        <f>SUMIFS(data!$C:$C,data!$A:$A,"="&amp;'Покупки по дням'!$B30,data!$B:$B,"="&amp;'Покупки по дням'!D$2)</f>
        <v>6</v>
      </c>
      <c r="E30">
        <f>SUMIFS(data!$C:$C,data!$A:$A,"="&amp;'Покупки по дням'!$B30,data!$B:$B,"="&amp;'Покупки по дням'!E$2)</f>
        <v>2</v>
      </c>
      <c r="F30">
        <f>SUMIFS(data!$C:$C,data!$A:$A,"="&amp;'Покупки по дням'!$B30,data!$B:$B,"="&amp;'Покупки по дням'!F$2)</f>
        <v>8</v>
      </c>
      <c r="G30">
        <f>SUMIFS(data!$C:$C,data!$A:$A,"="&amp;'Покупки по дням'!$B30,data!$B:$B,"="&amp;'Покупки по дням'!G$2)</f>
        <v>9</v>
      </c>
      <c r="H30">
        <f>SUMIFS(data!$C:$C,data!$A:$A,"="&amp;'Покупки по дням'!$B30,data!$B:$B,"="&amp;'Покупки по дням'!H$2)</f>
        <v>4</v>
      </c>
      <c r="I30">
        <f>SUMIFS(data!$C:$C,data!$A:$A,"="&amp;'Покупки по дням'!$B30,data!$B:$B,"="&amp;'Покупки по дням'!I$2)</f>
        <v>1</v>
      </c>
      <c r="J30">
        <f>SUMIFS(data!$C:$C,data!$A:$A,"="&amp;'Покупки по дням'!$B30,data!$B:$B,"="&amp;'Покупки по дням'!J$2)</f>
        <v>1</v>
      </c>
      <c r="K30">
        <f>SUMIFS(data!$C:$C,data!$A:$A,"="&amp;'Покупки по дням'!$B30,data!$B:$B,"="&amp;'Покупки по дням'!K$2)</f>
        <v>0</v>
      </c>
      <c r="L30">
        <f>SUMIFS(data!$C:$C,data!$A:$A,"="&amp;'Покупки по дням'!$B30,data!$B:$B,"="&amp;'Покупки по дням'!L$2)</f>
        <v>8</v>
      </c>
      <c r="M30">
        <f>SUMIFS(data!$C:$C,data!$A:$A,"="&amp;'Покупки по дням'!$B30,data!$B:$B,"="&amp;'Покупки по дням'!M$2)</f>
        <v>4</v>
      </c>
      <c r="N30">
        <f>SUMIFS(data!$C:$C,data!$A:$A,"="&amp;'Покупки по дням'!$B30,data!$B:$B,"="&amp;'Покупки по дням'!N$2)</f>
        <v>4</v>
      </c>
      <c r="O30">
        <f>SUMIFS(data!$C:$C,data!$A:$A,"="&amp;'Покупки по дням'!$B30,data!$B:$B,"="&amp;'Покупки по дням'!O$2)</f>
        <v>1</v>
      </c>
      <c r="P30">
        <f>SUMIFS(data!$C:$C,data!$A:$A,"="&amp;'Покупки по дням'!$B30,data!$B:$B,"="&amp;'Покупки по дням'!P$2)</f>
        <v>6</v>
      </c>
      <c r="Q30">
        <f>SUMIFS(data!$C:$C,data!$A:$A,"="&amp;'Покупки по дням'!$B30,data!$B:$B,"="&amp;'Покупки по дням'!Q$2)</f>
        <v>7</v>
      </c>
      <c r="R30">
        <f>SUMIFS(data!$C:$C,data!$A:$A,"="&amp;'Покупки по дням'!$B30,data!$B:$B,"="&amp;'Покупки по дням'!R$2)</f>
        <v>4</v>
      </c>
      <c r="S30">
        <f>SUMIFS(data!$C:$C,data!$A:$A,"="&amp;'Покупки по дням'!$B30,data!$B:$B,"="&amp;'Покупки по дням'!S$2)</f>
        <v>2</v>
      </c>
      <c r="T30">
        <f>SUMIFS(data!$C:$C,data!$A:$A,"="&amp;'Покупки по дням'!$B30,data!$B:$B,"="&amp;'Покупки по дням'!T$2)</f>
        <v>3</v>
      </c>
      <c r="U30">
        <f>SUMIFS(data!$C:$C,data!$A:$A,"="&amp;'Покупки по дням'!$B30,data!$B:$B,"="&amp;'Покупки по дням'!U$2)</f>
        <v>5</v>
      </c>
      <c r="V30">
        <f>SUMIFS(data!$C:$C,data!$A:$A,"="&amp;'Покупки по дням'!$B30,data!$B:$B,"="&amp;'Покупки по дням'!V$2)</f>
        <v>3</v>
      </c>
      <c r="W30">
        <f>SUMIFS(data!$C:$C,data!$A:$A,"="&amp;'Покупки по дням'!$B30,data!$B:$B,"="&amp;'Покупки по дням'!W$2)</f>
        <v>1</v>
      </c>
      <c r="X30">
        <f>SUMIFS(data!$C:$C,data!$A:$A,"="&amp;'Покупки по дням'!$B30,data!$B:$B,"="&amp;'Покупки по дням'!X$2)</f>
        <v>2</v>
      </c>
      <c r="Y30">
        <f>SUMIFS(data!$C:$C,data!$A:$A,"="&amp;'Покупки по дням'!$B30,data!$B:$B,"="&amp;'Покупки по дням'!Y$2)</f>
        <v>7</v>
      </c>
      <c r="Z30">
        <f>SUMIFS(data!$C:$C,data!$A:$A,"="&amp;'Покупки по дням'!$B30,data!$B:$B,"="&amp;'Покупки по дням'!Z$2)</f>
        <v>1</v>
      </c>
      <c r="AA30">
        <f>SUMIFS(data!$C:$C,data!$A:$A,"="&amp;'Покупки по дням'!$B30,data!$B:$B,"="&amp;'Покупки по дням'!AA$2)</f>
        <v>5</v>
      </c>
      <c r="AB30">
        <f>SUMIFS(data!$C:$C,data!$A:$A,"="&amp;'Покупки по дням'!$B30,data!$B:$B,"="&amp;'Покупки по дням'!AB$2)</f>
        <v>4</v>
      </c>
      <c r="AC30">
        <f>SUMIFS(data!$C:$C,data!$A:$A,"="&amp;'Покупки по дням'!$B30,data!$B:$B,"="&amp;'Покупки по дням'!AC$2)</f>
        <v>5</v>
      </c>
      <c r="AD30">
        <f>SUMIFS(data!$C:$C,data!$A:$A,"="&amp;'Покупки по дням'!$B30,data!$B:$B,"="&amp;'Покупки по дням'!AD$2)</f>
        <v>3</v>
      </c>
      <c r="AE30">
        <f>SUMIFS(data!$C:$C,data!$A:$A,"="&amp;'Покупки по дням'!$B30,data!$B:$B,"="&amp;'Покупки по дням'!AE$2)</f>
        <v>4</v>
      </c>
      <c r="AF30">
        <f>SUMIFS(data!$C:$C,data!$A:$A,"="&amp;'Покупки по дням'!$B30,data!$B:$B,"="&amp;'Покупки по дням'!AF$2)</f>
        <v>6</v>
      </c>
      <c r="AG30">
        <f>SUMIFS(data!$C:$C,data!$A:$A,"="&amp;'Покупки по дням'!$B30,data!$B:$B,"="&amp;'Покупки по дням'!AG$2)</f>
        <v>5</v>
      </c>
      <c r="AH30">
        <f>SUMIFS(data!$C:$C,data!$A:$A,"="&amp;'Покупки по дням'!$B30,data!$B:$B,"="&amp;'Покупки по дням'!AH$2)</f>
        <v>8</v>
      </c>
      <c r="AI30">
        <f>SUMIFS(data!$C:$C,data!$A:$A,"="&amp;'Покупки по дням'!$B30,data!$B:$B,"="&amp;'Покупки по дням'!AI$2)</f>
        <v>4</v>
      </c>
      <c r="AJ30">
        <f>SUMIFS(data!$C:$C,data!$A:$A,"="&amp;'Покупки по дням'!$B30,data!$B:$B,"="&amp;'Покупки по дням'!AJ$2)</f>
        <v>4</v>
      </c>
      <c r="AK30">
        <f>SUMIFS(data!$C:$C,data!$A:$A,"="&amp;'Покупки по дням'!$B30,data!$B:$B,"="&amp;'Покупки по дням'!AK$2)</f>
        <v>4</v>
      </c>
      <c r="AL30">
        <f>SUMIFS(data!$C:$C,data!$A:$A,"="&amp;'Покупки по дням'!$B30,data!$B:$B,"="&amp;'Покупки по дням'!AL$2)</f>
        <v>3</v>
      </c>
      <c r="AM30">
        <f>SUMIFS(data!$C:$C,data!$A:$A,"="&amp;'Покупки по дням'!$B30,data!$B:$B,"="&amp;'Покупки по дням'!AM$2)</f>
        <v>4</v>
      </c>
      <c r="AN30">
        <f>SUMIFS(data!$C:$C,data!$A:$A,"="&amp;'Покупки по дням'!$B30,data!$B:$B,"="&amp;'Покупки по дням'!AN$2)</f>
        <v>1</v>
      </c>
      <c r="AO30">
        <f>SUMIFS(data!$C:$C,data!$A:$A,"="&amp;'Покупки по дням'!$B30,data!$B:$B,"="&amp;'Покупки по дням'!AO$2)</f>
        <v>10</v>
      </c>
      <c r="AP30">
        <f>SUMIFS(data!$C:$C,data!$A:$A,"="&amp;'Покупки по дням'!$B30,data!$B:$B,"="&amp;'Покупки по дням'!AP$2)</f>
        <v>5</v>
      </c>
      <c r="AQ30" s="6">
        <f t="shared" si="0"/>
        <v>0.61206566979575661</v>
      </c>
    </row>
    <row r="31" spans="2:43" ht="28.8" x14ac:dyDescent="0.3">
      <c r="B31" s="17" t="s">
        <v>131</v>
      </c>
      <c r="C31">
        <f>SUMIFS(data!$C:$C,data!$A:$A,"="&amp;'Покупки по дням'!$B31,data!$B:$B,"="&amp;'Покупки по дням'!C$2)</f>
        <v>2</v>
      </c>
      <c r="D31">
        <f>SUMIFS(data!$C:$C,data!$A:$A,"="&amp;'Покупки по дням'!$B31,data!$B:$B,"="&amp;'Покупки по дням'!D$2)</f>
        <v>6</v>
      </c>
      <c r="E31">
        <f>SUMIFS(data!$C:$C,data!$A:$A,"="&amp;'Покупки по дням'!$B31,data!$B:$B,"="&amp;'Покупки по дням'!E$2)</f>
        <v>3</v>
      </c>
      <c r="F31">
        <f>SUMIFS(data!$C:$C,data!$A:$A,"="&amp;'Покупки по дням'!$B31,data!$B:$B,"="&amp;'Покупки по дням'!F$2)</f>
        <v>2</v>
      </c>
      <c r="G31">
        <f>SUMIFS(data!$C:$C,data!$A:$A,"="&amp;'Покупки по дням'!$B31,data!$B:$B,"="&amp;'Покупки по дням'!G$2)</f>
        <v>2</v>
      </c>
      <c r="H31">
        <f>SUMIFS(data!$C:$C,data!$A:$A,"="&amp;'Покупки по дням'!$B31,data!$B:$B,"="&amp;'Покупки по дням'!H$2)</f>
        <v>1</v>
      </c>
      <c r="I31">
        <f>SUMIFS(data!$C:$C,data!$A:$A,"="&amp;'Покупки по дням'!$B31,data!$B:$B,"="&amp;'Покупки по дням'!I$2)</f>
        <v>2</v>
      </c>
      <c r="J31">
        <f>SUMIFS(data!$C:$C,data!$A:$A,"="&amp;'Покупки по дням'!$B31,data!$B:$B,"="&amp;'Покупки по дням'!J$2)</f>
        <v>2</v>
      </c>
      <c r="K31">
        <f>SUMIFS(data!$C:$C,data!$A:$A,"="&amp;'Покупки по дням'!$B31,data!$B:$B,"="&amp;'Покупки по дням'!K$2)</f>
        <v>0</v>
      </c>
      <c r="L31">
        <f>SUMIFS(data!$C:$C,data!$A:$A,"="&amp;'Покупки по дням'!$B31,data!$B:$B,"="&amp;'Покупки по дням'!L$2)</f>
        <v>4</v>
      </c>
      <c r="M31">
        <f>SUMIFS(data!$C:$C,data!$A:$A,"="&amp;'Покупки по дням'!$B31,data!$B:$B,"="&amp;'Покупки по дням'!M$2)</f>
        <v>1</v>
      </c>
      <c r="N31">
        <f>SUMIFS(data!$C:$C,data!$A:$A,"="&amp;'Покупки по дням'!$B31,data!$B:$B,"="&amp;'Покупки по дням'!N$2)</f>
        <v>0</v>
      </c>
      <c r="O31">
        <f>SUMIFS(data!$C:$C,data!$A:$A,"="&amp;'Покупки по дням'!$B31,data!$B:$B,"="&amp;'Покупки по дням'!O$2)</f>
        <v>0</v>
      </c>
      <c r="P31">
        <f>SUMIFS(data!$C:$C,data!$A:$A,"="&amp;'Покупки по дням'!$B31,data!$B:$B,"="&amp;'Покупки по дням'!P$2)</f>
        <v>3</v>
      </c>
      <c r="Q31">
        <f>SUMIFS(data!$C:$C,data!$A:$A,"="&amp;'Покупки по дням'!$B31,data!$B:$B,"="&amp;'Покупки по дням'!Q$2)</f>
        <v>1</v>
      </c>
      <c r="R31">
        <f>SUMIFS(data!$C:$C,data!$A:$A,"="&amp;'Покупки по дням'!$B31,data!$B:$B,"="&amp;'Покупки по дням'!R$2)</f>
        <v>1</v>
      </c>
      <c r="S31">
        <f>SUMIFS(data!$C:$C,data!$A:$A,"="&amp;'Покупки по дням'!$B31,data!$B:$B,"="&amp;'Покупки по дням'!S$2)</f>
        <v>2</v>
      </c>
      <c r="T31">
        <f>SUMIFS(data!$C:$C,data!$A:$A,"="&amp;'Покупки по дням'!$B31,data!$B:$B,"="&amp;'Покупки по дням'!T$2)</f>
        <v>1</v>
      </c>
      <c r="U31">
        <f>SUMIFS(data!$C:$C,data!$A:$A,"="&amp;'Покупки по дням'!$B31,data!$B:$B,"="&amp;'Покупки по дням'!U$2)</f>
        <v>0</v>
      </c>
      <c r="V31">
        <f>SUMIFS(data!$C:$C,data!$A:$A,"="&amp;'Покупки по дням'!$B31,data!$B:$B,"="&amp;'Покупки по дням'!V$2)</f>
        <v>0</v>
      </c>
      <c r="W31">
        <f>SUMIFS(data!$C:$C,data!$A:$A,"="&amp;'Покупки по дням'!$B31,data!$B:$B,"="&amp;'Покупки по дням'!W$2)</f>
        <v>0</v>
      </c>
      <c r="X31">
        <f>SUMIFS(data!$C:$C,data!$A:$A,"="&amp;'Покупки по дням'!$B31,data!$B:$B,"="&amp;'Покупки по дням'!X$2)</f>
        <v>3</v>
      </c>
      <c r="Y31">
        <f>SUMIFS(data!$C:$C,data!$A:$A,"="&amp;'Покупки по дням'!$B31,data!$B:$B,"="&amp;'Покупки по дням'!Y$2)</f>
        <v>2</v>
      </c>
      <c r="Z31">
        <f>SUMIFS(data!$C:$C,data!$A:$A,"="&amp;'Покупки по дням'!$B31,data!$B:$B,"="&amp;'Покупки по дням'!Z$2)</f>
        <v>1</v>
      </c>
      <c r="AA31">
        <f>SUMIFS(data!$C:$C,data!$A:$A,"="&amp;'Покупки по дням'!$B31,data!$B:$B,"="&amp;'Покупки по дням'!AA$2)</f>
        <v>2</v>
      </c>
      <c r="AB31">
        <f>SUMIFS(data!$C:$C,data!$A:$A,"="&amp;'Покупки по дням'!$B31,data!$B:$B,"="&amp;'Покупки по дням'!AB$2)</f>
        <v>0</v>
      </c>
      <c r="AC31">
        <f>SUMIFS(data!$C:$C,data!$A:$A,"="&amp;'Покупки по дням'!$B31,data!$B:$B,"="&amp;'Покупки по дням'!AC$2)</f>
        <v>4</v>
      </c>
      <c r="AD31">
        <f>SUMIFS(data!$C:$C,data!$A:$A,"="&amp;'Покупки по дням'!$B31,data!$B:$B,"="&amp;'Покупки по дням'!AD$2)</f>
        <v>1</v>
      </c>
      <c r="AE31">
        <f>SUMIFS(data!$C:$C,data!$A:$A,"="&amp;'Покупки по дням'!$B31,data!$B:$B,"="&amp;'Покупки по дням'!AE$2)</f>
        <v>1</v>
      </c>
      <c r="AF31">
        <f>SUMIFS(data!$C:$C,data!$A:$A,"="&amp;'Покупки по дням'!$B31,data!$B:$B,"="&amp;'Покупки по дням'!AF$2)</f>
        <v>2</v>
      </c>
      <c r="AG31">
        <f>SUMIFS(data!$C:$C,data!$A:$A,"="&amp;'Покупки по дням'!$B31,data!$B:$B,"="&amp;'Покупки по дням'!AG$2)</f>
        <v>1</v>
      </c>
      <c r="AH31">
        <f>SUMIFS(data!$C:$C,data!$A:$A,"="&amp;'Покупки по дням'!$B31,data!$B:$B,"="&amp;'Покупки по дням'!AH$2)</f>
        <v>2</v>
      </c>
      <c r="AI31">
        <f>SUMIFS(data!$C:$C,data!$A:$A,"="&amp;'Покупки по дням'!$B31,data!$B:$B,"="&amp;'Покупки по дням'!AI$2)</f>
        <v>0</v>
      </c>
      <c r="AJ31">
        <f>SUMIFS(data!$C:$C,data!$A:$A,"="&amp;'Покупки по дням'!$B31,data!$B:$B,"="&amp;'Покупки по дням'!AJ$2)</f>
        <v>5</v>
      </c>
      <c r="AK31">
        <f>SUMIFS(data!$C:$C,data!$A:$A,"="&amp;'Покупки по дням'!$B31,data!$B:$B,"="&amp;'Покупки по дням'!AK$2)</f>
        <v>1</v>
      </c>
      <c r="AL31">
        <f>SUMIFS(data!$C:$C,data!$A:$A,"="&amp;'Покупки по дням'!$B31,data!$B:$B,"="&amp;'Покупки по дням'!AL$2)</f>
        <v>3</v>
      </c>
      <c r="AM31">
        <f>SUMIFS(data!$C:$C,data!$A:$A,"="&amp;'Покупки по дням'!$B31,data!$B:$B,"="&amp;'Покупки по дням'!AM$2)</f>
        <v>1</v>
      </c>
      <c r="AN31">
        <f>SUMIFS(data!$C:$C,data!$A:$A,"="&amp;'Покупки по дням'!$B31,data!$B:$B,"="&amp;'Покупки по дням'!AN$2)</f>
        <v>4</v>
      </c>
      <c r="AO31">
        <f>SUMIFS(data!$C:$C,data!$A:$A,"="&amp;'Покупки по дням'!$B31,data!$B:$B,"="&amp;'Покупки по дням'!AO$2)</f>
        <v>2</v>
      </c>
      <c r="AP31">
        <f>SUMIFS(data!$C:$C,data!$A:$A,"="&amp;'Покупки по дням'!$B31,data!$B:$B,"="&amp;'Покупки по дням'!AP$2)</f>
        <v>0</v>
      </c>
      <c r="AQ31" s="6">
        <f t="shared" si="0"/>
        <v>0.86534641424373282</v>
      </c>
    </row>
    <row r="32" spans="2:43" ht="28.8" x14ac:dyDescent="0.3">
      <c r="B32" s="17" t="s">
        <v>66</v>
      </c>
      <c r="C32">
        <f>SUMIFS(data!$C:$C,data!$A:$A,"="&amp;'Покупки по дням'!$B32,data!$B:$B,"="&amp;'Покупки по дням'!C$2)</f>
        <v>12</v>
      </c>
      <c r="D32">
        <f>SUMIFS(data!$C:$C,data!$A:$A,"="&amp;'Покупки по дням'!$B32,data!$B:$B,"="&amp;'Покупки по дням'!D$2)</f>
        <v>6</v>
      </c>
      <c r="E32">
        <f>SUMIFS(data!$C:$C,data!$A:$A,"="&amp;'Покупки по дням'!$B32,data!$B:$B,"="&amp;'Покупки по дням'!E$2)</f>
        <v>4</v>
      </c>
      <c r="F32">
        <f>SUMIFS(data!$C:$C,data!$A:$A,"="&amp;'Покупки по дням'!$B32,data!$B:$B,"="&amp;'Покупки по дням'!F$2)</f>
        <v>2</v>
      </c>
      <c r="G32">
        <f>SUMIFS(data!$C:$C,data!$A:$A,"="&amp;'Покупки по дням'!$B32,data!$B:$B,"="&amp;'Покупки по дням'!G$2)</f>
        <v>3</v>
      </c>
      <c r="H32">
        <f>SUMIFS(data!$C:$C,data!$A:$A,"="&amp;'Покупки по дням'!$B32,data!$B:$B,"="&amp;'Покупки по дням'!H$2)</f>
        <v>2</v>
      </c>
      <c r="I32">
        <f>SUMIFS(data!$C:$C,data!$A:$A,"="&amp;'Покупки по дням'!$B32,data!$B:$B,"="&amp;'Покупки по дням'!I$2)</f>
        <v>6</v>
      </c>
      <c r="J32">
        <f>SUMIFS(data!$C:$C,data!$A:$A,"="&amp;'Покупки по дням'!$B32,data!$B:$B,"="&amp;'Покупки по дням'!J$2)</f>
        <v>2</v>
      </c>
      <c r="K32">
        <f>SUMIFS(data!$C:$C,data!$A:$A,"="&amp;'Покупки по дням'!$B32,data!$B:$B,"="&amp;'Покупки по дням'!K$2)</f>
        <v>0</v>
      </c>
      <c r="L32">
        <f>SUMIFS(data!$C:$C,data!$A:$A,"="&amp;'Покупки по дням'!$B32,data!$B:$B,"="&amp;'Покупки по дням'!L$2)</f>
        <v>9</v>
      </c>
      <c r="M32">
        <f>SUMIFS(data!$C:$C,data!$A:$A,"="&amp;'Покупки по дням'!$B32,data!$B:$B,"="&amp;'Покупки по дням'!M$2)</f>
        <v>12</v>
      </c>
      <c r="N32">
        <f>SUMIFS(data!$C:$C,data!$A:$A,"="&amp;'Покупки по дням'!$B32,data!$B:$B,"="&amp;'Покупки по дням'!N$2)</f>
        <v>8</v>
      </c>
      <c r="O32">
        <f>SUMIFS(data!$C:$C,data!$A:$A,"="&amp;'Покупки по дням'!$B32,data!$B:$B,"="&amp;'Покупки по дням'!O$2)</f>
        <v>8</v>
      </c>
      <c r="P32">
        <f>SUMIFS(data!$C:$C,data!$A:$A,"="&amp;'Покупки по дням'!$B32,data!$B:$B,"="&amp;'Покупки по дням'!P$2)</f>
        <v>8</v>
      </c>
      <c r="Q32">
        <f>SUMIFS(data!$C:$C,data!$A:$A,"="&amp;'Покупки по дням'!$B32,data!$B:$B,"="&amp;'Покупки по дням'!Q$2)</f>
        <v>8</v>
      </c>
      <c r="R32">
        <f>SUMIFS(data!$C:$C,data!$A:$A,"="&amp;'Покупки по дням'!$B32,data!$B:$B,"="&amp;'Покупки по дням'!R$2)</f>
        <v>17</v>
      </c>
      <c r="S32">
        <f>SUMIFS(data!$C:$C,data!$A:$A,"="&amp;'Покупки по дням'!$B32,data!$B:$B,"="&amp;'Покупки по дням'!S$2)</f>
        <v>11</v>
      </c>
      <c r="T32">
        <f>SUMIFS(data!$C:$C,data!$A:$A,"="&amp;'Покупки по дням'!$B32,data!$B:$B,"="&amp;'Покупки по дням'!T$2)</f>
        <v>6</v>
      </c>
      <c r="U32">
        <f>SUMIFS(data!$C:$C,data!$A:$A,"="&amp;'Покупки по дням'!$B32,data!$B:$B,"="&amp;'Покупки по дням'!U$2)</f>
        <v>8</v>
      </c>
      <c r="V32">
        <f>SUMIFS(data!$C:$C,data!$A:$A,"="&amp;'Покупки по дням'!$B32,data!$B:$B,"="&amp;'Покупки по дням'!V$2)</f>
        <v>18</v>
      </c>
      <c r="W32">
        <f>SUMIFS(data!$C:$C,data!$A:$A,"="&amp;'Покупки по дням'!$B32,data!$B:$B,"="&amp;'Покупки по дням'!W$2)</f>
        <v>7</v>
      </c>
      <c r="X32">
        <f>SUMIFS(data!$C:$C,data!$A:$A,"="&amp;'Покупки по дням'!$B32,data!$B:$B,"="&amp;'Покупки по дням'!X$2)</f>
        <v>0</v>
      </c>
      <c r="Y32">
        <f>SUMIFS(data!$C:$C,data!$A:$A,"="&amp;'Покупки по дням'!$B32,data!$B:$B,"="&amp;'Покупки по дням'!Y$2)</f>
        <v>6</v>
      </c>
      <c r="Z32">
        <f>SUMIFS(data!$C:$C,data!$A:$A,"="&amp;'Покупки по дням'!$B32,data!$B:$B,"="&amp;'Покупки по дням'!Z$2)</f>
        <v>26</v>
      </c>
      <c r="AA32">
        <f>SUMIFS(data!$C:$C,data!$A:$A,"="&amp;'Покупки по дням'!$B32,data!$B:$B,"="&amp;'Покупки по дням'!AA$2)</f>
        <v>4</v>
      </c>
      <c r="AB32">
        <f>SUMIFS(data!$C:$C,data!$A:$A,"="&amp;'Покупки по дням'!$B32,data!$B:$B,"="&amp;'Покупки по дням'!AB$2)</f>
        <v>7</v>
      </c>
      <c r="AC32">
        <f>SUMIFS(data!$C:$C,data!$A:$A,"="&amp;'Покупки по дням'!$B32,data!$B:$B,"="&amp;'Покупки по дням'!AC$2)</f>
        <v>1</v>
      </c>
      <c r="AD32">
        <f>SUMIFS(data!$C:$C,data!$A:$A,"="&amp;'Покупки по дням'!$B32,data!$B:$B,"="&amp;'Покупки по дням'!AD$2)</f>
        <v>6</v>
      </c>
      <c r="AE32">
        <f>SUMIFS(data!$C:$C,data!$A:$A,"="&amp;'Покупки по дням'!$B32,data!$B:$B,"="&amp;'Покупки по дням'!AE$2)</f>
        <v>4</v>
      </c>
      <c r="AF32">
        <f>SUMIFS(data!$C:$C,data!$A:$A,"="&amp;'Покупки по дням'!$B32,data!$B:$B,"="&amp;'Покупки по дням'!AF$2)</f>
        <v>3</v>
      </c>
      <c r="AG32">
        <f>SUMIFS(data!$C:$C,data!$A:$A,"="&amp;'Покупки по дням'!$B32,data!$B:$B,"="&amp;'Покупки по дням'!AG$2)</f>
        <v>3</v>
      </c>
      <c r="AH32">
        <f>SUMIFS(data!$C:$C,data!$A:$A,"="&amp;'Покупки по дням'!$B32,data!$B:$B,"="&amp;'Покупки по дням'!AH$2)</f>
        <v>8</v>
      </c>
      <c r="AI32">
        <f>SUMIFS(data!$C:$C,data!$A:$A,"="&amp;'Покупки по дням'!$B32,data!$B:$B,"="&amp;'Покупки по дням'!AI$2)</f>
        <v>4</v>
      </c>
      <c r="AJ32">
        <f>SUMIFS(data!$C:$C,data!$A:$A,"="&amp;'Покупки по дням'!$B32,data!$B:$B,"="&amp;'Покупки по дням'!AJ$2)</f>
        <v>14</v>
      </c>
      <c r="AK32">
        <f>SUMIFS(data!$C:$C,data!$A:$A,"="&amp;'Покупки по дням'!$B32,data!$B:$B,"="&amp;'Покупки по дням'!AK$2)</f>
        <v>3</v>
      </c>
      <c r="AL32">
        <f>SUMIFS(data!$C:$C,data!$A:$A,"="&amp;'Покупки по дням'!$B32,data!$B:$B,"="&amp;'Покупки по дням'!AL$2)</f>
        <v>0</v>
      </c>
      <c r="AM32">
        <f>SUMIFS(data!$C:$C,data!$A:$A,"="&amp;'Покупки по дням'!$B32,data!$B:$B,"="&amp;'Покупки по дням'!AM$2)</f>
        <v>7</v>
      </c>
      <c r="AN32">
        <f>SUMIFS(data!$C:$C,data!$A:$A,"="&amp;'Покупки по дням'!$B32,data!$B:$B,"="&amp;'Покупки по дням'!AN$2)</f>
        <v>1</v>
      </c>
      <c r="AO32">
        <f>SUMIFS(data!$C:$C,data!$A:$A,"="&amp;'Покупки по дням'!$B32,data!$B:$B,"="&amp;'Покупки по дням'!AO$2)</f>
        <v>5</v>
      </c>
      <c r="AP32">
        <f>SUMIFS(data!$C:$C,data!$A:$A,"="&amp;'Покупки по дням'!$B32,data!$B:$B,"="&amp;'Покупки по дням'!AP$2)</f>
        <v>17</v>
      </c>
      <c r="AQ32" s="6">
        <f t="shared" si="0"/>
        <v>0.80712257546479482</v>
      </c>
    </row>
    <row r="33" spans="2:43" x14ac:dyDescent="0.3">
      <c r="B33" s="17" t="s">
        <v>57</v>
      </c>
      <c r="C33">
        <f>SUMIFS(data!$C:$C,data!$A:$A,"="&amp;'Покупки по дням'!$B33,data!$B:$B,"="&amp;'Покупки по дням'!C$2)</f>
        <v>1</v>
      </c>
      <c r="D33">
        <f>SUMIFS(data!$C:$C,data!$A:$A,"="&amp;'Покупки по дням'!$B33,data!$B:$B,"="&amp;'Покупки по дням'!D$2)</f>
        <v>2</v>
      </c>
      <c r="E33">
        <f>SUMIFS(data!$C:$C,data!$A:$A,"="&amp;'Покупки по дням'!$B33,data!$B:$B,"="&amp;'Покупки по дням'!E$2)</f>
        <v>3</v>
      </c>
      <c r="F33">
        <f>SUMIFS(data!$C:$C,data!$A:$A,"="&amp;'Покупки по дням'!$B33,data!$B:$B,"="&amp;'Покупки по дням'!F$2)</f>
        <v>3</v>
      </c>
      <c r="G33">
        <f>SUMIFS(data!$C:$C,data!$A:$A,"="&amp;'Покупки по дням'!$B33,data!$B:$B,"="&amp;'Покупки по дням'!G$2)</f>
        <v>4</v>
      </c>
      <c r="H33">
        <f>SUMIFS(data!$C:$C,data!$A:$A,"="&amp;'Покупки по дням'!$B33,data!$B:$B,"="&amp;'Покупки по дням'!H$2)</f>
        <v>4</v>
      </c>
      <c r="I33">
        <f>SUMIFS(data!$C:$C,data!$A:$A,"="&amp;'Покупки по дням'!$B33,data!$B:$B,"="&amp;'Покупки по дням'!I$2)</f>
        <v>1</v>
      </c>
      <c r="J33">
        <f>SUMIFS(data!$C:$C,data!$A:$A,"="&amp;'Покупки по дням'!$B33,data!$B:$B,"="&amp;'Покупки по дням'!J$2)</f>
        <v>1</v>
      </c>
      <c r="K33">
        <f>SUMIFS(data!$C:$C,data!$A:$A,"="&amp;'Покупки по дням'!$B33,data!$B:$B,"="&amp;'Покупки по дням'!K$2)</f>
        <v>0</v>
      </c>
      <c r="L33">
        <f>SUMIFS(data!$C:$C,data!$A:$A,"="&amp;'Покупки по дням'!$B33,data!$B:$B,"="&amp;'Покупки по дням'!L$2)</f>
        <v>0</v>
      </c>
      <c r="M33">
        <f>SUMIFS(data!$C:$C,data!$A:$A,"="&amp;'Покупки по дням'!$B33,data!$B:$B,"="&amp;'Покупки по дням'!M$2)</f>
        <v>7</v>
      </c>
      <c r="N33">
        <f>SUMIFS(data!$C:$C,data!$A:$A,"="&amp;'Покупки по дням'!$B33,data!$B:$B,"="&amp;'Покупки по дням'!N$2)</f>
        <v>6</v>
      </c>
      <c r="O33">
        <f>SUMIFS(data!$C:$C,data!$A:$A,"="&amp;'Покупки по дням'!$B33,data!$B:$B,"="&amp;'Покупки по дням'!O$2)</f>
        <v>2</v>
      </c>
      <c r="P33">
        <f>SUMIFS(data!$C:$C,data!$A:$A,"="&amp;'Покупки по дням'!$B33,data!$B:$B,"="&amp;'Покупки по дням'!P$2)</f>
        <v>5</v>
      </c>
      <c r="Q33">
        <f>SUMIFS(data!$C:$C,data!$A:$A,"="&amp;'Покупки по дням'!$B33,data!$B:$B,"="&amp;'Покупки по дням'!Q$2)</f>
        <v>1</v>
      </c>
      <c r="R33">
        <f>SUMIFS(data!$C:$C,data!$A:$A,"="&amp;'Покупки по дням'!$B33,data!$B:$B,"="&amp;'Покупки по дням'!R$2)</f>
        <v>0</v>
      </c>
      <c r="S33">
        <f>SUMIFS(data!$C:$C,data!$A:$A,"="&amp;'Покупки по дням'!$B33,data!$B:$B,"="&amp;'Покупки по дням'!S$2)</f>
        <v>3</v>
      </c>
      <c r="T33">
        <f>SUMIFS(data!$C:$C,data!$A:$A,"="&amp;'Покупки по дням'!$B33,data!$B:$B,"="&amp;'Покупки по дням'!T$2)</f>
        <v>3</v>
      </c>
      <c r="U33">
        <f>SUMIFS(data!$C:$C,data!$A:$A,"="&amp;'Покупки по дням'!$B33,data!$B:$B,"="&amp;'Покупки по дням'!U$2)</f>
        <v>3</v>
      </c>
      <c r="V33">
        <f>SUMIFS(data!$C:$C,data!$A:$A,"="&amp;'Покупки по дням'!$B33,data!$B:$B,"="&amp;'Покупки по дням'!V$2)</f>
        <v>3</v>
      </c>
      <c r="W33">
        <f>SUMIFS(data!$C:$C,data!$A:$A,"="&amp;'Покупки по дням'!$B33,data!$B:$B,"="&amp;'Покупки по дням'!W$2)</f>
        <v>5</v>
      </c>
      <c r="X33">
        <f>SUMIFS(data!$C:$C,data!$A:$A,"="&amp;'Покупки по дням'!$B33,data!$B:$B,"="&amp;'Покупки по дням'!X$2)</f>
        <v>8</v>
      </c>
      <c r="Y33">
        <f>SUMIFS(data!$C:$C,data!$A:$A,"="&amp;'Покупки по дням'!$B33,data!$B:$B,"="&amp;'Покупки по дням'!Y$2)</f>
        <v>3</v>
      </c>
      <c r="Z33">
        <f>SUMIFS(data!$C:$C,data!$A:$A,"="&amp;'Покупки по дням'!$B33,data!$B:$B,"="&amp;'Покупки по дням'!Z$2)</f>
        <v>6</v>
      </c>
      <c r="AA33">
        <f>SUMIFS(data!$C:$C,data!$A:$A,"="&amp;'Покупки по дням'!$B33,data!$B:$B,"="&amp;'Покупки по дням'!AA$2)</f>
        <v>4</v>
      </c>
      <c r="AB33">
        <f>SUMIFS(data!$C:$C,data!$A:$A,"="&amp;'Покупки по дням'!$B33,data!$B:$B,"="&amp;'Покупки по дням'!AB$2)</f>
        <v>0</v>
      </c>
      <c r="AC33">
        <f>SUMIFS(data!$C:$C,data!$A:$A,"="&amp;'Покупки по дням'!$B33,data!$B:$B,"="&amp;'Покупки по дням'!AC$2)</f>
        <v>5</v>
      </c>
      <c r="AD33">
        <f>SUMIFS(data!$C:$C,data!$A:$A,"="&amp;'Покупки по дням'!$B33,data!$B:$B,"="&amp;'Покупки по дням'!AD$2)</f>
        <v>3</v>
      </c>
      <c r="AE33">
        <f>SUMIFS(data!$C:$C,data!$A:$A,"="&amp;'Покупки по дням'!$B33,data!$B:$B,"="&amp;'Покупки по дням'!AE$2)</f>
        <v>7</v>
      </c>
      <c r="AF33">
        <f>SUMIFS(data!$C:$C,data!$A:$A,"="&amp;'Покупки по дням'!$B33,data!$B:$B,"="&amp;'Покупки по дням'!AF$2)</f>
        <v>7</v>
      </c>
      <c r="AG33">
        <f>SUMIFS(data!$C:$C,data!$A:$A,"="&amp;'Покупки по дням'!$B33,data!$B:$B,"="&amp;'Покупки по дням'!AG$2)</f>
        <v>1</v>
      </c>
      <c r="AH33">
        <f>SUMIFS(data!$C:$C,data!$A:$A,"="&amp;'Покупки по дням'!$B33,data!$B:$B,"="&amp;'Покупки по дням'!AH$2)</f>
        <v>5</v>
      </c>
      <c r="AI33">
        <f>SUMIFS(data!$C:$C,data!$A:$A,"="&amp;'Покупки по дням'!$B33,data!$B:$B,"="&amp;'Покупки по дням'!AI$2)</f>
        <v>2</v>
      </c>
      <c r="AJ33">
        <f>SUMIFS(data!$C:$C,data!$A:$A,"="&amp;'Покупки по дням'!$B33,data!$B:$B,"="&amp;'Покупки по дням'!AJ$2)</f>
        <v>6</v>
      </c>
      <c r="AK33">
        <f>SUMIFS(data!$C:$C,data!$A:$A,"="&amp;'Покупки по дням'!$B33,data!$B:$B,"="&amp;'Покупки по дням'!AK$2)</f>
        <v>0</v>
      </c>
      <c r="AL33">
        <f>SUMIFS(data!$C:$C,data!$A:$A,"="&amp;'Покупки по дням'!$B33,data!$B:$B,"="&amp;'Покупки по дням'!AL$2)</f>
        <v>1</v>
      </c>
      <c r="AM33">
        <f>SUMIFS(data!$C:$C,data!$A:$A,"="&amp;'Покупки по дням'!$B33,data!$B:$B,"="&amp;'Покупки по дням'!AM$2)</f>
        <v>4</v>
      </c>
      <c r="AN33">
        <f>SUMIFS(data!$C:$C,data!$A:$A,"="&amp;'Покупки по дням'!$B33,data!$B:$B,"="&amp;'Покупки по дням'!AN$2)</f>
        <v>3</v>
      </c>
      <c r="AO33">
        <f>SUMIFS(data!$C:$C,data!$A:$A,"="&amp;'Покупки по дням'!$B33,data!$B:$B,"="&amp;'Покупки по дням'!AO$2)</f>
        <v>4</v>
      </c>
      <c r="AP33">
        <f>SUMIFS(data!$C:$C,data!$A:$A,"="&amp;'Покупки по дням'!$B33,data!$B:$B,"="&amp;'Покупки по дням'!AP$2)</f>
        <v>5</v>
      </c>
      <c r="AQ33" s="6">
        <f t="shared" si="0"/>
        <v>0.68097202718559635</v>
      </c>
    </row>
    <row r="34" spans="2:43" x14ac:dyDescent="0.3">
      <c r="B34" s="17" t="s">
        <v>34</v>
      </c>
      <c r="C34">
        <f>SUMIFS(data!$C:$C,data!$A:$A,"="&amp;'Покупки по дням'!$B34,data!$B:$B,"="&amp;'Покупки по дням'!C$2)</f>
        <v>0</v>
      </c>
      <c r="D34">
        <f>SUMIFS(data!$C:$C,data!$A:$A,"="&amp;'Покупки по дням'!$B34,data!$B:$B,"="&amp;'Покупки по дням'!D$2)</f>
        <v>1</v>
      </c>
      <c r="E34">
        <f>SUMIFS(data!$C:$C,data!$A:$A,"="&amp;'Покупки по дням'!$B34,data!$B:$B,"="&amp;'Покупки по дням'!E$2)</f>
        <v>3</v>
      </c>
      <c r="F34">
        <f>SUMIFS(data!$C:$C,data!$A:$A,"="&amp;'Покупки по дням'!$B34,data!$B:$B,"="&amp;'Покупки по дням'!F$2)</f>
        <v>3</v>
      </c>
      <c r="G34">
        <f>SUMIFS(data!$C:$C,data!$A:$A,"="&amp;'Покупки по дням'!$B34,data!$B:$B,"="&amp;'Покупки по дням'!G$2)</f>
        <v>2</v>
      </c>
      <c r="H34">
        <f>SUMIFS(data!$C:$C,data!$A:$A,"="&amp;'Покупки по дням'!$B34,data!$B:$B,"="&amp;'Покупки по дням'!H$2)</f>
        <v>1</v>
      </c>
      <c r="I34">
        <f>SUMIFS(data!$C:$C,data!$A:$A,"="&amp;'Покупки по дням'!$B34,data!$B:$B,"="&amp;'Покупки по дням'!I$2)</f>
        <v>4</v>
      </c>
      <c r="J34">
        <f>SUMIFS(data!$C:$C,data!$A:$A,"="&amp;'Покупки по дням'!$B34,data!$B:$B,"="&amp;'Покупки по дням'!J$2)</f>
        <v>1</v>
      </c>
      <c r="K34">
        <f>SUMIFS(data!$C:$C,data!$A:$A,"="&amp;'Покупки по дням'!$B34,data!$B:$B,"="&amp;'Покупки по дням'!K$2)</f>
        <v>0</v>
      </c>
      <c r="L34">
        <f>SUMIFS(data!$C:$C,data!$A:$A,"="&amp;'Покупки по дням'!$B34,data!$B:$B,"="&amp;'Покупки по дням'!L$2)</f>
        <v>1</v>
      </c>
      <c r="M34">
        <f>SUMIFS(data!$C:$C,data!$A:$A,"="&amp;'Покупки по дням'!$B34,data!$B:$B,"="&amp;'Покупки по дням'!M$2)</f>
        <v>4</v>
      </c>
      <c r="N34">
        <f>SUMIFS(data!$C:$C,data!$A:$A,"="&amp;'Покупки по дням'!$B34,data!$B:$B,"="&amp;'Покупки по дням'!N$2)</f>
        <v>2</v>
      </c>
      <c r="O34">
        <f>SUMIFS(data!$C:$C,data!$A:$A,"="&amp;'Покупки по дням'!$B34,data!$B:$B,"="&amp;'Покупки по дням'!O$2)</f>
        <v>3</v>
      </c>
      <c r="P34">
        <f>SUMIFS(data!$C:$C,data!$A:$A,"="&amp;'Покупки по дням'!$B34,data!$B:$B,"="&amp;'Покупки по дням'!P$2)</f>
        <v>3</v>
      </c>
      <c r="Q34">
        <f>SUMIFS(data!$C:$C,data!$A:$A,"="&amp;'Покупки по дням'!$B34,data!$B:$B,"="&amp;'Покупки по дням'!Q$2)</f>
        <v>2</v>
      </c>
      <c r="R34">
        <f>SUMIFS(data!$C:$C,data!$A:$A,"="&amp;'Покупки по дням'!$B34,data!$B:$B,"="&amp;'Покупки по дням'!R$2)</f>
        <v>5</v>
      </c>
      <c r="S34">
        <f>SUMIFS(data!$C:$C,data!$A:$A,"="&amp;'Покупки по дням'!$B34,data!$B:$B,"="&amp;'Покупки по дням'!S$2)</f>
        <v>1</v>
      </c>
      <c r="T34">
        <f>SUMIFS(data!$C:$C,data!$A:$A,"="&amp;'Покупки по дням'!$B34,data!$B:$B,"="&amp;'Покупки по дням'!T$2)</f>
        <v>1</v>
      </c>
      <c r="U34">
        <f>SUMIFS(data!$C:$C,data!$A:$A,"="&amp;'Покупки по дням'!$B34,data!$B:$B,"="&amp;'Покупки по дням'!U$2)</f>
        <v>4</v>
      </c>
      <c r="V34">
        <f>SUMIFS(data!$C:$C,data!$A:$A,"="&amp;'Покупки по дням'!$B34,data!$B:$B,"="&amp;'Покупки по дням'!V$2)</f>
        <v>4</v>
      </c>
      <c r="W34">
        <f>SUMIFS(data!$C:$C,data!$A:$A,"="&amp;'Покупки по дням'!$B34,data!$B:$B,"="&amp;'Покупки по дням'!W$2)</f>
        <v>3</v>
      </c>
      <c r="X34">
        <f>SUMIFS(data!$C:$C,data!$A:$A,"="&amp;'Покупки по дням'!$B34,data!$B:$B,"="&amp;'Покупки по дням'!X$2)</f>
        <v>3</v>
      </c>
      <c r="Y34">
        <f>SUMIFS(data!$C:$C,data!$A:$A,"="&amp;'Покупки по дням'!$B34,data!$B:$B,"="&amp;'Покупки по дням'!Y$2)</f>
        <v>0</v>
      </c>
      <c r="Z34">
        <f>SUMIFS(data!$C:$C,data!$A:$A,"="&amp;'Покупки по дням'!$B34,data!$B:$B,"="&amp;'Покупки по дням'!Z$2)</f>
        <v>2</v>
      </c>
      <c r="AA34">
        <f>SUMIFS(data!$C:$C,data!$A:$A,"="&amp;'Покупки по дням'!$B34,data!$B:$B,"="&amp;'Покупки по дням'!AA$2)</f>
        <v>3</v>
      </c>
      <c r="AB34">
        <f>SUMIFS(data!$C:$C,data!$A:$A,"="&amp;'Покупки по дням'!$B34,data!$B:$B,"="&amp;'Покупки по дням'!AB$2)</f>
        <v>5</v>
      </c>
      <c r="AC34">
        <f>SUMIFS(data!$C:$C,data!$A:$A,"="&amp;'Покупки по дням'!$B34,data!$B:$B,"="&amp;'Покупки по дням'!AC$2)</f>
        <v>0</v>
      </c>
      <c r="AD34">
        <f>SUMIFS(data!$C:$C,data!$A:$A,"="&amp;'Покупки по дням'!$B34,data!$B:$B,"="&amp;'Покупки по дням'!AD$2)</f>
        <v>1</v>
      </c>
      <c r="AE34">
        <f>SUMIFS(data!$C:$C,data!$A:$A,"="&amp;'Покупки по дням'!$B34,data!$B:$B,"="&amp;'Покупки по дням'!AE$2)</f>
        <v>0</v>
      </c>
      <c r="AF34">
        <f>SUMIFS(data!$C:$C,data!$A:$A,"="&amp;'Покупки по дням'!$B34,data!$B:$B,"="&amp;'Покупки по дням'!AF$2)</f>
        <v>0</v>
      </c>
      <c r="AG34">
        <f>SUMIFS(data!$C:$C,data!$A:$A,"="&amp;'Покупки по дням'!$B34,data!$B:$B,"="&amp;'Покупки по дням'!AG$2)</f>
        <v>2</v>
      </c>
      <c r="AH34">
        <f>SUMIFS(data!$C:$C,data!$A:$A,"="&amp;'Покупки по дням'!$B34,data!$B:$B,"="&amp;'Покупки по дням'!AH$2)</f>
        <v>1</v>
      </c>
      <c r="AI34">
        <f>SUMIFS(data!$C:$C,data!$A:$A,"="&amp;'Покупки по дням'!$B34,data!$B:$B,"="&amp;'Покупки по дням'!AI$2)</f>
        <v>4</v>
      </c>
      <c r="AJ34">
        <f>SUMIFS(data!$C:$C,data!$A:$A,"="&amp;'Покупки по дням'!$B34,data!$B:$B,"="&amp;'Покупки по дням'!AJ$2)</f>
        <v>3</v>
      </c>
      <c r="AK34">
        <f>SUMIFS(data!$C:$C,data!$A:$A,"="&amp;'Покупки по дням'!$B34,data!$B:$B,"="&amp;'Покупки по дням'!AK$2)</f>
        <v>3</v>
      </c>
      <c r="AL34">
        <f>SUMIFS(data!$C:$C,data!$A:$A,"="&amp;'Покупки по дням'!$B34,data!$B:$B,"="&amp;'Покупки по дням'!AL$2)</f>
        <v>1</v>
      </c>
      <c r="AM34">
        <f>SUMIFS(data!$C:$C,data!$A:$A,"="&amp;'Покупки по дням'!$B34,data!$B:$B,"="&amp;'Покупки по дням'!AM$2)</f>
        <v>3</v>
      </c>
      <c r="AN34">
        <f>SUMIFS(data!$C:$C,data!$A:$A,"="&amp;'Покупки по дням'!$B34,data!$B:$B,"="&amp;'Покупки по дням'!AN$2)</f>
        <v>0</v>
      </c>
      <c r="AO34">
        <f>SUMIFS(data!$C:$C,data!$A:$A,"="&amp;'Покупки по дням'!$B34,data!$B:$B,"="&amp;'Покупки по дням'!AO$2)</f>
        <v>3</v>
      </c>
      <c r="AP34">
        <f>SUMIFS(data!$C:$C,data!$A:$A,"="&amp;'Покупки по дням'!$B34,data!$B:$B,"="&amp;'Покупки по дням'!AP$2)</f>
        <v>1</v>
      </c>
      <c r="AQ34" s="6">
        <f t="shared" si="0"/>
        <v>0.71886428386391787</v>
      </c>
    </row>
    <row r="35" spans="2:43" ht="28.8" x14ac:dyDescent="0.3">
      <c r="B35" s="17" t="s">
        <v>146</v>
      </c>
      <c r="C35">
        <f>SUMIFS(data!$C:$C,data!$A:$A,"="&amp;'Покупки по дням'!$B35,data!$B:$B,"="&amp;'Покупки по дням'!C$2)</f>
        <v>2</v>
      </c>
      <c r="D35">
        <f>SUMIFS(data!$C:$C,data!$A:$A,"="&amp;'Покупки по дням'!$B35,data!$B:$B,"="&amp;'Покупки по дням'!D$2)</f>
        <v>1</v>
      </c>
      <c r="E35">
        <f>SUMIFS(data!$C:$C,data!$A:$A,"="&amp;'Покупки по дням'!$B35,data!$B:$B,"="&amp;'Покупки по дням'!E$2)</f>
        <v>3</v>
      </c>
      <c r="F35">
        <f>SUMIFS(data!$C:$C,data!$A:$A,"="&amp;'Покупки по дням'!$B35,data!$B:$B,"="&amp;'Покупки по дням'!F$2)</f>
        <v>5</v>
      </c>
      <c r="G35">
        <f>SUMIFS(data!$C:$C,data!$A:$A,"="&amp;'Покупки по дням'!$B35,data!$B:$B,"="&amp;'Покупки по дням'!G$2)</f>
        <v>1</v>
      </c>
      <c r="H35">
        <f>SUMIFS(data!$C:$C,data!$A:$A,"="&amp;'Покупки по дням'!$B35,data!$B:$B,"="&amp;'Покупки по дням'!H$2)</f>
        <v>0</v>
      </c>
      <c r="I35">
        <f>SUMIFS(data!$C:$C,data!$A:$A,"="&amp;'Покупки по дням'!$B35,data!$B:$B,"="&amp;'Покупки по дням'!I$2)</f>
        <v>5</v>
      </c>
      <c r="J35">
        <f>SUMIFS(data!$C:$C,data!$A:$A,"="&amp;'Покупки по дням'!$B35,data!$B:$B,"="&amp;'Покупки по дням'!J$2)</f>
        <v>2</v>
      </c>
      <c r="K35">
        <f>SUMIFS(data!$C:$C,data!$A:$A,"="&amp;'Покупки по дням'!$B35,data!$B:$B,"="&amp;'Покупки по дням'!K$2)</f>
        <v>0</v>
      </c>
      <c r="L35">
        <f>SUMIFS(data!$C:$C,data!$A:$A,"="&amp;'Покупки по дням'!$B35,data!$B:$B,"="&amp;'Покупки по дням'!L$2)</f>
        <v>2</v>
      </c>
      <c r="M35">
        <f>SUMIFS(data!$C:$C,data!$A:$A,"="&amp;'Покупки по дням'!$B35,data!$B:$B,"="&amp;'Покупки по дням'!M$2)</f>
        <v>3</v>
      </c>
      <c r="N35">
        <f>SUMIFS(data!$C:$C,data!$A:$A,"="&amp;'Покупки по дням'!$B35,data!$B:$B,"="&amp;'Покупки по дням'!N$2)</f>
        <v>2</v>
      </c>
      <c r="O35">
        <f>SUMIFS(data!$C:$C,data!$A:$A,"="&amp;'Покупки по дням'!$B35,data!$B:$B,"="&amp;'Покупки по дням'!O$2)</f>
        <v>2</v>
      </c>
      <c r="P35">
        <f>SUMIFS(data!$C:$C,data!$A:$A,"="&amp;'Покупки по дням'!$B35,data!$B:$B,"="&amp;'Покупки по дням'!P$2)</f>
        <v>1</v>
      </c>
      <c r="Q35">
        <f>SUMIFS(data!$C:$C,data!$A:$A,"="&amp;'Покупки по дням'!$B35,data!$B:$B,"="&amp;'Покупки по дням'!Q$2)</f>
        <v>4</v>
      </c>
      <c r="R35">
        <f>SUMIFS(data!$C:$C,data!$A:$A,"="&amp;'Покупки по дням'!$B35,data!$B:$B,"="&amp;'Покупки по дням'!R$2)</f>
        <v>3</v>
      </c>
      <c r="S35">
        <f>SUMIFS(data!$C:$C,data!$A:$A,"="&amp;'Покупки по дням'!$B35,data!$B:$B,"="&amp;'Покупки по дням'!S$2)</f>
        <v>2</v>
      </c>
      <c r="T35">
        <f>SUMIFS(data!$C:$C,data!$A:$A,"="&amp;'Покупки по дням'!$B35,data!$B:$B,"="&amp;'Покупки по дням'!T$2)</f>
        <v>2</v>
      </c>
      <c r="U35">
        <f>SUMIFS(data!$C:$C,data!$A:$A,"="&amp;'Покупки по дням'!$B35,data!$B:$B,"="&amp;'Покупки по дням'!U$2)</f>
        <v>0</v>
      </c>
      <c r="V35">
        <f>SUMIFS(data!$C:$C,data!$A:$A,"="&amp;'Покупки по дням'!$B35,data!$B:$B,"="&amp;'Покупки по дням'!V$2)</f>
        <v>0</v>
      </c>
      <c r="W35">
        <f>SUMIFS(data!$C:$C,data!$A:$A,"="&amp;'Покупки по дням'!$B35,data!$B:$B,"="&amp;'Покупки по дням'!W$2)</f>
        <v>1</v>
      </c>
      <c r="X35">
        <f>SUMIFS(data!$C:$C,data!$A:$A,"="&amp;'Покупки по дням'!$B35,data!$B:$B,"="&amp;'Покупки по дням'!X$2)</f>
        <v>0</v>
      </c>
      <c r="Y35">
        <f>SUMIFS(data!$C:$C,data!$A:$A,"="&amp;'Покупки по дням'!$B35,data!$B:$B,"="&amp;'Покупки по дням'!Y$2)</f>
        <v>7</v>
      </c>
      <c r="Z35">
        <f>SUMIFS(data!$C:$C,data!$A:$A,"="&amp;'Покупки по дням'!$B35,data!$B:$B,"="&amp;'Покупки по дням'!Z$2)</f>
        <v>0</v>
      </c>
      <c r="AA35">
        <f>SUMIFS(data!$C:$C,data!$A:$A,"="&amp;'Покупки по дням'!$B35,data!$B:$B,"="&amp;'Покупки по дням'!AA$2)</f>
        <v>1</v>
      </c>
      <c r="AB35">
        <f>SUMIFS(data!$C:$C,data!$A:$A,"="&amp;'Покупки по дням'!$B35,data!$B:$B,"="&amp;'Покупки по дням'!AB$2)</f>
        <v>2</v>
      </c>
      <c r="AC35">
        <f>SUMIFS(data!$C:$C,data!$A:$A,"="&amp;'Покупки по дням'!$B35,data!$B:$B,"="&amp;'Покупки по дням'!AC$2)</f>
        <v>2</v>
      </c>
      <c r="AD35">
        <f>SUMIFS(data!$C:$C,data!$A:$A,"="&amp;'Покупки по дням'!$B35,data!$B:$B,"="&amp;'Покупки по дням'!AD$2)</f>
        <v>2</v>
      </c>
      <c r="AE35">
        <f>SUMIFS(data!$C:$C,data!$A:$A,"="&amp;'Покупки по дням'!$B35,data!$B:$B,"="&amp;'Покупки по дням'!AE$2)</f>
        <v>3</v>
      </c>
      <c r="AF35">
        <f>SUMIFS(data!$C:$C,data!$A:$A,"="&amp;'Покупки по дням'!$B35,data!$B:$B,"="&amp;'Покупки по дням'!AF$2)</f>
        <v>2</v>
      </c>
      <c r="AG35">
        <f>SUMIFS(data!$C:$C,data!$A:$A,"="&amp;'Покупки по дням'!$B35,data!$B:$B,"="&amp;'Покупки по дням'!AG$2)</f>
        <v>2</v>
      </c>
      <c r="AH35">
        <f>SUMIFS(data!$C:$C,data!$A:$A,"="&amp;'Покупки по дням'!$B35,data!$B:$B,"="&amp;'Покупки по дням'!AH$2)</f>
        <v>3</v>
      </c>
      <c r="AI35">
        <f>SUMIFS(data!$C:$C,data!$A:$A,"="&amp;'Покупки по дням'!$B35,data!$B:$B,"="&amp;'Покупки по дням'!AI$2)</f>
        <v>0</v>
      </c>
      <c r="AJ35">
        <f>SUMIFS(data!$C:$C,data!$A:$A,"="&amp;'Покупки по дням'!$B35,data!$B:$B,"="&amp;'Покупки по дням'!AJ$2)</f>
        <v>2</v>
      </c>
      <c r="AK35">
        <f>SUMIFS(data!$C:$C,data!$A:$A,"="&amp;'Покупки по дням'!$B35,data!$B:$B,"="&amp;'Покупки по дням'!AK$2)</f>
        <v>2</v>
      </c>
      <c r="AL35">
        <f>SUMIFS(data!$C:$C,data!$A:$A,"="&amp;'Покупки по дням'!$B35,data!$B:$B,"="&amp;'Покупки по дням'!AL$2)</f>
        <v>1</v>
      </c>
      <c r="AM35">
        <f>SUMIFS(data!$C:$C,data!$A:$A,"="&amp;'Покупки по дням'!$B35,data!$B:$B,"="&amp;'Покупки по дням'!AM$2)</f>
        <v>1</v>
      </c>
      <c r="AN35">
        <f>SUMIFS(data!$C:$C,data!$A:$A,"="&amp;'Покупки по дням'!$B35,data!$B:$B,"="&amp;'Покупки по дням'!AN$2)</f>
        <v>2</v>
      </c>
      <c r="AO35">
        <f>SUMIFS(data!$C:$C,data!$A:$A,"="&amp;'Покупки по дням'!$B35,data!$B:$B,"="&amp;'Покупки по дням'!AO$2)</f>
        <v>0</v>
      </c>
      <c r="AP35">
        <f>SUMIFS(data!$C:$C,data!$A:$A,"="&amp;'Покупки по дням'!$B35,data!$B:$B,"="&amp;'Покупки по дням'!AP$2)</f>
        <v>0</v>
      </c>
      <c r="AQ35" s="6">
        <f t="shared" si="0"/>
        <v>0.84966624281805725</v>
      </c>
    </row>
    <row r="36" spans="2:43" ht="28.8" x14ac:dyDescent="0.3">
      <c r="B36" s="17" t="s">
        <v>23</v>
      </c>
      <c r="C36">
        <f>SUMIFS(data!$C:$C,data!$A:$A,"="&amp;'Покупки по дням'!$B36,data!$B:$B,"="&amp;'Покупки по дням'!C$2)</f>
        <v>4</v>
      </c>
      <c r="D36">
        <f>SUMIFS(data!$C:$C,data!$A:$A,"="&amp;'Покупки по дням'!$B36,data!$B:$B,"="&amp;'Покупки по дням'!D$2)</f>
        <v>4</v>
      </c>
      <c r="E36">
        <f>SUMIFS(data!$C:$C,data!$A:$A,"="&amp;'Покупки по дням'!$B36,data!$B:$B,"="&amp;'Покупки по дням'!E$2)</f>
        <v>3</v>
      </c>
      <c r="F36">
        <f>SUMIFS(data!$C:$C,data!$A:$A,"="&amp;'Покупки по дням'!$B36,data!$B:$B,"="&amp;'Покупки по дням'!F$2)</f>
        <v>2</v>
      </c>
      <c r="G36">
        <f>SUMIFS(data!$C:$C,data!$A:$A,"="&amp;'Покупки по дням'!$B36,data!$B:$B,"="&amp;'Покупки по дням'!G$2)</f>
        <v>5</v>
      </c>
      <c r="H36">
        <f>SUMIFS(data!$C:$C,data!$A:$A,"="&amp;'Покупки по дням'!$B36,data!$B:$B,"="&amp;'Покупки по дням'!H$2)</f>
        <v>7</v>
      </c>
      <c r="I36">
        <f>SUMIFS(data!$C:$C,data!$A:$A,"="&amp;'Покупки по дням'!$B36,data!$B:$B,"="&amp;'Покупки по дням'!I$2)</f>
        <v>5</v>
      </c>
      <c r="J36">
        <f>SUMIFS(data!$C:$C,data!$A:$A,"="&amp;'Покупки по дням'!$B36,data!$B:$B,"="&amp;'Покупки по дням'!J$2)</f>
        <v>6</v>
      </c>
      <c r="K36">
        <f>SUMIFS(data!$C:$C,data!$A:$A,"="&amp;'Покупки по дням'!$B36,data!$B:$B,"="&amp;'Покупки по дням'!K$2)</f>
        <v>0</v>
      </c>
      <c r="L36">
        <f>SUMIFS(data!$C:$C,data!$A:$A,"="&amp;'Покупки по дням'!$B36,data!$B:$B,"="&amp;'Покупки по дням'!L$2)</f>
        <v>4</v>
      </c>
      <c r="M36">
        <f>SUMIFS(data!$C:$C,data!$A:$A,"="&amp;'Покупки по дням'!$B36,data!$B:$B,"="&amp;'Покупки по дням'!M$2)</f>
        <v>4</v>
      </c>
      <c r="N36">
        <f>SUMIFS(data!$C:$C,data!$A:$A,"="&amp;'Покупки по дням'!$B36,data!$B:$B,"="&amp;'Покупки по дням'!N$2)</f>
        <v>5</v>
      </c>
      <c r="O36">
        <f>SUMIFS(data!$C:$C,data!$A:$A,"="&amp;'Покупки по дням'!$B36,data!$B:$B,"="&amp;'Покупки по дням'!O$2)</f>
        <v>7</v>
      </c>
      <c r="P36">
        <f>SUMIFS(data!$C:$C,data!$A:$A,"="&amp;'Покупки по дням'!$B36,data!$B:$B,"="&amp;'Покупки по дням'!P$2)</f>
        <v>3</v>
      </c>
      <c r="Q36">
        <f>SUMIFS(data!$C:$C,data!$A:$A,"="&amp;'Покупки по дням'!$B36,data!$B:$B,"="&amp;'Покупки по дням'!Q$2)</f>
        <v>6</v>
      </c>
      <c r="R36">
        <f>SUMIFS(data!$C:$C,data!$A:$A,"="&amp;'Покупки по дням'!$B36,data!$B:$B,"="&amp;'Покупки по дням'!R$2)</f>
        <v>7</v>
      </c>
      <c r="S36">
        <f>SUMIFS(data!$C:$C,data!$A:$A,"="&amp;'Покупки по дням'!$B36,data!$B:$B,"="&amp;'Покупки по дням'!S$2)</f>
        <v>8</v>
      </c>
      <c r="T36">
        <f>SUMIFS(data!$C:$C,data!$A:$A,"="&amp;'Покупки по дням'!$B36,data!$B:$B,"="&amp;'Покупки по дням'!T$2)</f>
        <v>5</v>
      </c>
      <c r="U36">
        <f>SUMIFS(data!$C:$C,data!$A:$A,"="&amp;'Покупки по дням'!$B36,data!$B:$B,"="&amp;'Покупки по дням'!U$2)</f>
        <v>8</v>
      </c>
      <c r="V36">
        <f>SUMIFS(data!$C:$C,data!$A:$A,"="&amp;'Покупки по дням'!$B36,data!$B:$B,"="&amp;'Покупки по дням'!V$2)</f>
        <v>3</v>
      </c>
      <c r="W36">
        <f>SUMIFS(data!$C:$C,data!$A:$A,"="&amp;'Покупки по дням'!$B36,data!$B:$B,"="&amp;'Покупки по дням'!W$2)</f>
        <v>7</v>
      </c>
      <c r="X36">
        <f>SUMIFS(data!$C:$C,data!$A:$A,"="&amp;'Покупки по дням'!$B36,data!$B:$B,"="&amp;'Покупки по дням'!X$2)</f>
        <v>2</v>
      </c>
      <c r="Y36">
        <f>SUMIFS(data!$C:$C,data!$A:$A,"="&amp;'Покупки по дням'!$B36,data!$B:$B,"="&amp;'Покупки по дням'!Y$2)</f>
        <v>5</v>
      </c>
      <c r="Z36">
        <f>SUMIFS(data!$C:$C,data!$A:$A,"="&amp;'Покупки по дням'!$B36,data!$B:$B,"="&amp;'Покупки по дням'!Z$2)</f>
        <v>11</v>
      </c>
      <c r="AA36">
        <f>SUMIFS(data!$C:$C,data!$A:$A,"="&amp;'Покупки по дням'!$B36,data!$B:$B,"="&amp;'Покупки по дням'!AA$2)</f>
        <v>7</v>
      </c>
      <c r="AB36">
        <f>SUMIFS(data!$C:$C,data!$A:$A,"="&amp;'Покупки по дням'!$B36,data!$B:$B,"="&amp;'Покупки по дням'!AB$2)</f>
        <v>5</v>
      </c>
      <c r="AC36">
        <f>SUMIFS(data!$C:$C,data!$A:$A,"="&amp;'Покупки по дням'!$B36,data!$B:$B,"="&amp;'Покупки по дням'!AC$2)</f>
        <v>2</v>
      </c>
      <c r="AD36">
        <f>SUMIFS(data!$C:$C,data!$A:$A,"="&amp;'Покупки по дням'!$B36,data!$B:$B,"="&amp;'Покупки по дням'!AD$2)</f>
        <v>7</v>
      </c>
      <c r="AE36">
        <f>SUMIFS(data!$C:$C,data!$A:$A,"="&amp;'Покупки по дням'!$B36,data!$B:$B,"="&amp;'Покупки по дням'!AE$2)</f>
        <v>2</v>
      </c>
      <c r="AF36">
        <f>SUMIFS(data!$C:$C,data!$A:$A,"="&amp;'Покупки по дням'!$B36,data!$B:$B,"="&amp;'Покупки по дням'!AF$2)</f>
        <v>7</v>
      </c>
      <c r="AG36">
        <f>SUMIFS(data!$C:$C,data!$A:$A,"="&amp;'Покупки по дням'!$B36,data!$B:$B,"="&amp;'Покупки по дням'!AG$2)</f>
        <v>8</v>
      </c>
      <c r="AH36">
        <f>SUMIFS(data!$C:$C,data!$A:$A,"="&amp;'Покупки по дням'!$B36,data!$B:$B,"="&amp;'Покупки по дням'!AH$2)</f>
        <v>2</v>
      </c>
      <c r="AI36">
        <f>SUMIFS(data!$C:$C,data!$A:$A,"="&amp;'Покупки по дням'!$B36,data!$B:$B,"="&amp;'Покупки по дням'!AI$2)</f>
        <v>3</v>
      </c>
      <c r="AJ36">
        <f>SUMIFS(data!$C:$C,data!$A:$A,"="&amp;'Покупки по дням'!$B36,data!$B:$B,"="&amp;'Покупки по дням'!AJ$2)</f>
        <v>4</v>
      </c>
      <c r="AK36">
        <f>SUMIFS(data!$C:$C,data!$A:$A,"="&amp;'Покупки по дням'!$B36,data!$B:$B,"="&amp;'Покупки по дням'!AK$2)</f>
        <v>4</v>
      </c>
      <c r="AL36">
        <f>SUMIFS(data!$C:$C,data!$A:$A,"="&amp;'Покупки по дням'!$B36,data!$B:$B,"="&amp;'Покупки по дням'!AL$2)</f>
        <v>1</v>
      </c>
      <c r="AM36">
        <f>SUMIFS(data!$C:$C,data!$A:$A,"="&amp;'Покупки по дням'!$B36,data!$B:$B,"="&amp;'Покупки по дням'!AM$2)</f>
        <v>4</v>
      </c>
      <c r="AN36">
        <f>SUMIFS(data!$C:$C,data!$A:$A,"="&amp;'Покупки по дням'!$B36,data!$B:$B,"="&amp;'Покупки по дням'!AN$2)</f>
        <v>6</v>
      </c>
      <c r="AO36">
        <f>SUMIFS(data!$C:$C,data!$A:$A,"="&amp;'Покупки по дням'!$B36,data!$B:$B,"="&amp;'Покупки по дням'!AO$2)</f>
        <v>2</v>
      </c>
      <c r="AP36">
        <f>SUMIFS(data!$C:$C,data!$A:$A,"="&amp;'Покупки по дням'!$B36,data!$B:$B,"="&amp;'Покупки по дням'!AP$2)</f>
        <v>6</v>
      </c>
      <c r="AQ36" s="6">
        <f t="shared" si="0"/>
        <v>0.48709067830751113</v>
      </c>
    </row>
    <row r="37" spans="2:43" x14ac:dyDescent="0.3">
      <c r="B37" s="17" t="s">
        <v>91</v>
      </c>
      <c r="C37">
        <f>SUMIFS(data!$C:$C,data!$A:$A,"="&amp;'Покупки по дням'!$B37,data!$B:$B,"="&amp;'Покупки по дням'!C$2)</f>
        <v>3</v>
      </c>
      <c r="D37">
        <f>SUMIFS(data!$C:$C,data!$A:$A,"="&amp;'Покупки по дням'!$B37,data!$B:$B,"="&amp;'Покупки по дням'!D$2)</f>
        <v>3.95</v>
      </c>
      <c r="E37">
        <f>SUMIFS(data!$C:$C,data!$A:$A,"="&amp;'Покупки по дням'!$B37,data!$B:$B,"="&amp;'Покупки по дням'!E$2)</f>
        <v>4</v>
      </c>
      <c r="F37">
        <f>SUMIFS(data!$C:$C,data!$A:$A,"="&amp;'Покупки по дням'!$B37,data!$B:$B,"="&amp;'Покупки по дням'!F$2)</f>
        <v>0</v>
      </c>
      <c r="G37">
        <f>SUMIFS(data!$C:$C,data!$A:$A,"="&amp;'Покупки по дням'!$B37,data!$B:$B,"="&amp;'Покупки по дням'!G$2)</f>
        <v>2</v>
      </c>
      <c r="H37">
        <f>SUMIFS(data!$C:$C,data!$A:$A,"="&amp;'Покупки по дням'!$B37,data!$B:$B,"="&amp;'Покупки по дням'!H$2)</f>
        <v>1</v>
      </c>
      <c r="I37">
        <f>SUMIFS(data!$C:$C,data!$A:$A,"="&amp;'Покупки по дням'!$B37,data!$B:$B,"="&amp;'Покупки по дням'!I$2)</f>
        <v>3</v>
      </c>
      <c r="J37">
        <f>SUMIFS(data!$C:$C,data!$A:$A,"="&amp;'Покупки по дням'!$B37,data!$B:$B,"="&amp;'Покупки по дням'!J$2)</f>
        <v>2</v>
      </c>
      <c r="K37">
        <f>SUMIFS(data!$C:$C,data!$A:$A,"="&amp;'Покупки по дням'!$B37,data!$B:$B,"="&amp;'Покупки по дням'!K$2)</f>
        <v>0</v>
      </c>
      <c r="L37">
        <f>SUMIFS(data!$C:$C,data!$A:$A,"="&amp;'Покупки по дням'!$B37,data!$B:$B,"="&amp;'Покупки по дням'!L$2)</f>
        <v>3</v>
      </c>
      <c r="M37">
        <f>SUMIFS(data!$C:$C,data!$A:$A,"="&amp;'Покупки по дням'!$B37,data!$B:$B,"="&amp;'Покупки по дням'!M$2)</f>
        <v>3</v>
      </c>
      <c r="N37">
        <f>SUMIFS(data!$C:$C,data!$A:$A,"="&amp;'Покупки по дням'!$B37,data!$B:$B,"="&amp;'Покупки по дням'!N$2)</f>
        <v>4</v>
      </c>
      <c r="O37">
        <f>SUMIFS(data!$C:$C,data!$A:$A,"="&amp;'Покупки по дням'!$B37,data!$B:$B,"="&amp;'Покупки по дням'!O$2)</f>
        <v>3</v>
      </c>
      <c r="P37">
        <f>SUMIFS(data!$C:$C,data!$A:$A,"="&amp;'Покупки по дням'!$B37,data!$B:$B,"="&amp;'Покупки по дням'!P$2)</f>
        <v>6</v>
      </c>
      <c r="Q37">
        <f>SUMIFS(data!$C:$C,data!$A:$A,"="&amp;'Покупки по дням'!$B37,data!$B:$B,"="&amp;'Покупки по дням'!Q$2)</f>
        <v>2</v>
      </c>
      <c r="R37">
        <f>SUMIFS(data!$C:$C,data!$A:$A,"="&amp;'Покупки по дням'!$B37,data!$B:$B,"="&amp;'Покупки по дням'!R$2)</f>
        <v>2</v>
      </c>
      <c r="S37">
        <f>SUMIFS(data!$C:$C,data!$A:$A,"="&amp;'Покупки по дням'!$B37,data!$B:$B,"="&amp;'Покупки по дням'!S$2)</f>
        <v>2</v>
      </c>
      <c r="T37">
        <f>SUMIFS(data!$C:$C,data!$A:$A,"="&amp;'Покупки по дням'!$B37,data!$B:$B,"="&amp;'Покупки по дням'!T$2)</f>
        <v>4</v>
      </c>
      <c r="U37">
        <f>SUMIFS(data!$C:$C,data!$A:$A,"="&amp;'Покупки по дням'!$B37,data!$B:$B,"="&amp;'Покупки по дням'!U$2)</f>
        <v>2</v>
      </c>
      <c r="V37">
        <f>SUMIFS(data!$C:$C,data!$A:$A,"="&amp;'Покупки по дням'!$B37,data!$B:$B,"="&amp;'Покупки по дням'!V$2)</f>
        <v>2</v>
      </c>
      <c r="W37">
        <f>SUMIFS(data!$C:$C,data!$A:$A,"="&amp;'Покупки по дням'!$B37,data!$B:$B,"="&amp;'Покупки по дням'!W$2)</f>
        <v>4</v>
      </c>
      <c r="X37">
        <f>SUMIFS(data!$C:$C,data!$A:$A,"="&amp;'Покупки по дням'!$B37,data!$B:$B,"="&amp;'Покупки по дням'!X$2)</f>
        <v>2</v>
      </c>
      <c r="Y37">
        <f>SUMIFS(data!$C:$C,data!$A:$A,"="&amp;'Покупки по дням'!$B37,data!$B:$B,"="&amp;'Покупки по дням'!Y$2)</f>
        <v>1</v>
      </c>
      <c r="Z37">
        <f>SUMIFS(data!$C:$C,data!$A:$A,"="&amp;'Покупки по дням'!$B37,data!$B:$B,"="&amp;'Покупки по дням'!Z$2)</f>
        <v>4</v>
      </c>
      <c r="AA37">
        <f>SUMIFS(data!$C:$C,data!$A:$A,"="&amp;'Покупки по дням'!$B37,data!$B:$B,"="&amp;'Покупки по дням'!AA$2)</f>
        <v>3</v>
      </c>
      <c r="AB37">
        <f>SUMIFS(data!$C:$C,data!$A:$A,"="&amp;'Покупки по дням'!$B37,data!$B:$B,"="&amp;'Покупки по дням'!AB$2)</f>
        <v>7</v>
      </c>
      <c r="AC37">
        <f>SUMIFS(data!$C:$C,data!$A:$A,"="&amp;'Покупки по дням'!$B37,data!$B:$B,"="&amp;'Покупки по дням'!AC$2)</f>
        <v>2</v>
      </c>
      <c r="AD37">
        <f>SUMIFS(data!$C:$C,data!$A:$A,"="&amp;'Покупки по дням'!$B37,data!$B:$B,"="&amp;'Покупки по дням'!AD$2)</f>
        <v>2</v>
      </c>
      <c r="AE37">
        <f>SUMIFS(data!$C:$C,data!$A:$A,"="&amp;'Покупки по дням'!$B37,data!$B:$B,"="&amp;'Покупки по дням'!AE$2)</f>
        <v>3</v>
      </c>
      <c r="AF37">
        <f>SUMIFS(data!$C:$C,data!$A:$A,"="&amp;'Покупки по дням'!$B37,data!$B:$B,"="&amp;'Покупки по дням'!AF$2)</f>
        <v>0</v>
      </c>
      <c r="AG37">
        <f>SUMIFS(data!$C:$C,data!$A:$A,"="&amp;'Покупки по дням'!$B37,data!$B:$B,"="&amp;'Покупки по дням'!AG$2)</f>
        <v>3</v>
      </c>
      <c r="AH37">
        <f>SUMIFS(data!$C:$C,data!$A:$A,"="&amp;'Покупки по дням'!$B37,data!$B:$B,"="&amp;'Покупки по дням'!AH$2)</f>
        <v>4</v>
      </c>
      <c r="AI37">
        <f>SUMIFS(data!$C:$C,data!$A:$A,"="&amp;'Покупки по дням'!$B37,data!$B:$B,"="&amp;'Покупки по дням'!AI$2)</f>
        <v>0</v>
      </c>
      <c r="AJ37">
        <f>SUMIFS(data!$C:$C,data!$A:$A,"="&amp;'Покупки по дням'!$B37,data!$B:$B,"="&amp;'Покупки по дням'!AJ$2)</f>
        <v>2</v>
      </c>
      <c r="AK37">
        <f>SUMIFS(data!$C:$C,data!$A:$A,"="&amp;'Покупки по дням'!$B37,data!$B:$B,"="&amp;'Покупки по дням'!AK$2)</f>
        <v>2</v>
      </c>
      <c r="AL37">
        <f>SUMIFS(data!$C:$C,data!$A:$A,"="&amp;'Покупки по дням'!$B37,data!$B:$B,"="&amp;'Покупки по дням'!AL$2)</f>
        <v>1</v>
      </c>
      <c r="AM37">
        <f>SUMIFS(data!$C:$C,data!$A:$A,"="&amp;'Покупки по дням'!$B37,data!$B:$B,"="&amp;'Покупки по дням'!AM$2)</f>
        <v>1</v>
      </c>
      <c r="AN37">
        <f>SUMIFS(data!$C:$C,data!$A:$A,"="&amp;'Покупки по дням'!$B37,data!$B:$B,"="&amp;'Покупки по дням'!AN$2)</f>
        <v>2</v>
      </c>
      <c r="AO37">
        <f>SUMIFS(data!$C:$C,data!$A:$A,"="&amp;'Покупки по дням'!$B37,data!$B:$B,"="&amp;'Покупки по дням'!AO$2)</f>
        <v>2</v>
      </c>
      <c r="AP37">
        <f>SUMIFS(data!$C:$C,data!$A:$A,"="&amp;'Покупки по дням'!$B37,data!$B:$B,"="&amp;'Покупки по дням'!AP$2)</f>
        <v>1</v>
      </c>
      <c r="AQ37" s="6">
        <f t="shared" si="0"/>
        <v>0.61948996559736946</v>
      </c>
    </row>
    <row r="38" spans="2:43" ht="28.8" x14ac:dyDescent="0.3">
      <c r="B38" s="17" t="s">
        <v>138</v>
      </c>
      <c r="C38">
        <f>SUMIFS(data!$C:$C,data!$A:$A,"="&amp;'Покупки по дням'!$B38,data!$B:$B,"="&amp;'Покупки по дням'!C$2)</f>
        <v>2</v>
      </c>
      <c r="D38">
        <f>SUMIFS(data!$C:$C,data!$A:$A,"="&amp;'Покупки по дням'!$B38,data!$B:$B,"="&amp;'Покупки по дням'!D$2)</f>
        <v>9</v>
      </c>
      <c r="E38">
        <f>SUMIFS(data!$C:$C,data!$A:$A,"="&amp;'Покупки по дням'!$B38,data!$B:$B,"="&amp;'Покупки по дням'!E$2)</f>
        <v>2</v>
      </c>
      <c r="F38">
        <f>SUMIFS(data!$C:$C,data!$A:$A,"="&amp;'Покупки по дням'!$B38,data!$B:$B,"="&amp;'Покупки по дням'!F$2)</f>
        <v>0</v>
      </c>
      <c r="G38">
        <f>SUMIFS(data!$C:$C,data!$A:$A,"="&amp;'Покупки по дням'!$B38,data!$B:$B,"="&amp;'Покупки по дням'!G$2)</f>
        <v>2</v>
      </c>
      <c r="H38">
        <f>SUMIFS(data!$C:$C,data!$A:$A,"="&amp;'Покупки по дням'!$B38,data!$B:$B,"="&amp;'Покупки по дням'!H$2)</f>
        <v>6</v>
      </c>
      <c r="I38">
        <f>SUMIFS(data!$C:$C,data!$A:$A,"="&amp;'Покупки по дням'!$B38,data!$B:$B,"="&amp;'Покупки по дням'!I$2)</f>
        <v>15</v>
      </c>
      <c r="J38">
        <f>SUMIFS(data!$C:$C,data!$A:$A,"="&amp;'Покупки по дням'!$B38,data!$B:$B,"="&amp;'Покупки по дням'!J$2)</f>
        <v>0</v>
      </c>
      <c r="K38">
        <f>SUMIFS(data!$C:$C,data!$A:$A,"="&amp;'Покупки по дням'!$B38,data!$B:$B,"="&amp;'Покупки по дням'!K$2)</f>
        <v>0</v>
      </c>
      <c r="L38">
        <f>SUMIFS(data!$C:$C,data!$A:$A,"="&amp;'Покупки по дням'!$B38,data!$B:$B,"="&amp;'Покупки по дням'!L$2)</f>
        <v>3</v>
      </c>
      <c r="M38">
        <f>SUMIFS(data!$C:$C,data!$A:$A,"="&amp;'Покупки по дням'!$B38,data!$B:$B,"="&amp;'Покупки по дням'!M$2)</f>
        <v>5</v>
      </c>
      <c r="N38">
        <f>SUMIFS(data!$C:$C,data!$A:$A,"="&amp;'Покупки по дням'!$B38,data!$B:$B,"="&amp;'Покупки по дням'!N$2)</f>
        <v>2</v>
      </c>
      <c r="O38">
        <f>SUMIFS(data!$C:$C,data!$A:$A,"="&amp;'Покупки по дням'!$B38,data!$B:$B,"="&amp;'Покупки по дням'!O$2)</f>
        <v>1</v>
      </c>
      <c r="P38">
        <f>SUMIFS(data!$C:$C,data!$A:$A,"="&amp;'Покупки по дням'!$B38,data!$B:$B,"="&amp;'Покупки по дням'!P$2)</f>
        <v>0</v>
      </c>
      <c r="Q38">
        <f>SUMIFS(data!$C:$C,data!$A:$A,"="&amp;'Покупки по дням'!$B38,data!$B:$B,"="&amp;'Покупки по дням'!Q$2)</f>
        <v>1</v>
      </c>
      <c r="R38">
        <f>SUMIFS(data!$C:$C,data!$A:$A,"="&amp;'Покупки по дням'!$B38,data!$B:$B,"="&amp;'Покупки по дням'!R$2)</f>
        <v>2</v>
      </c>
      <c r="S38">
        <f>SUMIFS(data!$C:$C,data!$A:$A,"="&amp;'Покупки по дням'!$B38,data!$B:$B,"="&amp;'Покупки по дням'!S$2)</f>
        <v>4</v>
      </c>
      <c r="T38">
        <f>SUMIFS(data!$C:$C,data!$A:$A,"="&amp;'Покупки по дням'!$B38,data!$B:$B,"="&amp;'Покупки по дням'!T$2)</f>
        <v>4</v>
      </c>
      <c r="U38">
        <f>SUMIFS(data!$C:$C,data!$A:$A,"="&amp;'Покупки по дням'!$B38,data!$B:$B,"="&amp;'Покупки по дням'!U$2)</f>
        <v>4</v>
      </c>
      <c r="V38">
        <f>SUMIFS(data!$C:$C,data!$A:$A,"="&amp;'Покупки по дням'!$B38,data!$B:$B,"="&amp;'Покупки по дням'!V$2)</f>
        <v>1</v>
      </c>
      <c r="W38">
        <f>SUMIFS(data!$C:$C,data!$A:$A,"="&amp;'Покупки по дням'!$B38,data!$B:$B,"="&amp;'Покупки по дням'!W$2)</f>
        <v>0</v>
      </c>
      <c r="X38">
        <f>SUMIFS(data!$C:$C,data!$A:$A,"="&amp;'Покупки по дням'!$B38,data!$B:$B,"="&amp;'Покупки по дням'!X$2)</f>
        <v>1</v>
      </c>
      <c r="Y38">
        <f>SUMIFS(data!$C:$C,data!$A:$A,"="&amp;'Покупки по дням'!$B38,data!$B:$B,"="&amp;'Покупки по дням'!Y$2)</f>
        <v>3</v>
      </c>
      <c r="Z38">
        <f>SUMIFS(data!$C:$C,data!$A:$A,"="&amp;'Покупки по дням'!$B38,data!$B:$B,"="&amp;'Покупки по дням'!Z$2)</f>
        <v>0</v>
      </c>
      <c r="AA38">
        <f>SUMIFS(data!$C:$C,data!$A:$A,"="&amp;'Покупки по дням'!$B38,data!$B:$B,"="&amp;'Покупки по дням'!AA$2)</f>
        <v>1</v>
      </c>
      <c r="AB38">
        <f>SUMIFS(data!$C:$C,data!$A:$A,"="&amp;'Покупки по дням'!$B38,data!$B:$B,"="&amp;'Покупки по дням'!AB$2)</f>
        <v>1</v>
      </c>
      <c r="AC38">
        <f>SUMIFS(data!$C:$C,data!$A:$A,"="&amp;'Покупки по дням'!$B38,data!$B:$B,"="&amp;'Покупки по дням'!AC$2)</f>
        <v>7</v>
      </c>
      <c r="AD38">
        <f>SUMIFS(data!$C:$C,data!$A:$A,"="&amp;'Покупки по дням'!$B38,data!$B:$B,"="&amp;'Покупки по дням'!AD$2)</f>
        <v>2</v>
      </c>
      <c r="AE38">
        <f>SUMIFS(data!$C:$C,data!$A:$A,"="&amp;'Покупки по дням'!$B38,data!$B:$B,"="&amp;'Покупки по дням'!AE$2)</f>
        <v>2</v>
      </c>
      <c r="AF38">
        <f>SUMIFS(data!$C:$C,data!$A:$A,"="&amp;'Покупки по дням'!$B38,data!$B:$B,"="&amp;'Покупки по дням'!AF$2)</f>
        <v>2</v>
      </c>
      <c r="AG38">
        <f>SUMIFS(data!$C:$C,data!$A:$A,"="&amp;'Покупки по дням'!$B38,data!$B:$B,"="&amp;'Покупки по дням'!AG$2)</f>
        <v>3</v>
      </c>
      <c r="AH38">
        <f>SUMIFS(data!$C:$C,data!$A:$A,"="&amp;'Покупки по дням'!$B38,data!$B:$B,"="&amp;'Покупки по дням'!AH$2)</f>
        <v>6</v>
      </c>
      <c r="AI38">
        <f>SUMIFS(data!$C:$C,data!$A:$A,"="&amp;'Покупки по дням'!$B38,data!$B:$B,"="&amp;'Покупки по дням'!AI$2)</f>
        <v>0</v>
      </c>
      <c r="AJ38">
        <f>SUMIFS(data!$C:$C,data!$A:$A,"="&amp;'Покупки по дням'!$B38,data!$B:$B,"="&amp;'Покупки по дням'!AJ$2)</f>
        <v>1</v>
      </c>
      <c r="AK38">
        <f>SUMIFS(data!$C:$C,data!$A:$A,"="&amp;'Покупки по дням'!$B38,data!$B:$B,"="&amp;'Покупки по дням'!AK$2)</f>
        <v>1</v>
      </c>
      <c r="AL38">
        <f>SUMIFS(data!$C:$C,data!$A:$A,"="&amp;'Покупки по дням'!$B38,data!$B:$B,"="&amp;'Покупки по дням'!AL$2)</f>
        <v>5</v>
      </c>
      <c r="AM38">
        <f>SUMIFS(data!$C:$C,data!$A:$A,"="&amp;'Покупки по дням'!$B38,data!$B:$B,"="&amp;'Покупки по дням'!AM$2)</f>
        <v>6</v>
      </c>
      <c r="AN38">
        <f>SUMIFS(data!$C:$C,data!$A:$A,"="&amp;'Покупки по дням'!$B38,data!$B:$B,"="&amp;'Покупки по дням'!AN$2)</f>
        <v>2</v>
      </c>
      <c r="AO38">
        <f>SUMIFS(data!$C:$C,data!$A:$A,"="&amp;'Покупки по дням'!$B38,data!$B:$B,"="&amp;'Покупки по дням'!AO$2)</f>
        <v>2</v>
      </c>
      <c r="AP38">
        <f>SUMIFS(data!$C:$C,data!$A:$A,"="&amp;'Покупки по дням'!$B38,data!$B:$B,"="&amp;'Покупки по дням'!AP$2)</f>
        <v>0</v>
      </c>
      <c r="AQ38" s="6">
        <f t="shared" si="0"/>
        <v>1.1006151934015795</v>
      </c>
    </row>
    <row r="39" spans="2:43" x14ac:dyDescent="0.3">
      <c r="B39" s="17" t="s">
        <v>45</v>
      </c>
      <c r="C39">
        <f>SUMIFS(data!$C:$C,data!$A:$A,"="&amp;'Покупки по дням'!$B39,data!$B:$B,"="&amp;'Покупки по дням'!C$2)</f>
        <v>0</v>
      </c>
      <c r="D39">
        <f>SUMIFS(data!$C:$C,data!$A:$A,"="&amp;'Покупки по дням'!$B39,data!$B:$B,"="&amp;'Покупки по дням'!D$2)</f>
        <v>6</v>
      </c>
      <c r="E39">
        <f>SUMIFS(data!$C:$C,data!$A:$A,"="&amp;'Покупки по дням'!$B39,data!$B:$B,"="&amp;'Покупки по дням'!E$2)</f>
        <v>1</v>
      </c>
      <c r="F39">
        <f>SUMIFS(data!$C:$C,data!$A:$A,"="&amp;'Покупки по дням'!$B39,data!$B:$B,"="&amp;'Покупки по дням'!F$2)</f>
        <v>3</v>
      </c>
      <c r="G39">
        <f>SUMIFS(data!$C:$C,data!$A:$A,"="&amp;'Покупки по дням'!$B39,data!$B:$B,"="&amp;'Покупки по дням'!G$2)</f>
        <v>13</v>
      </c>
      <c r="H39">
        <f>SUMIFS(data!$C:$C,data!$A:$A,"="&amp;'Покупки по дням'!$B39,data!$B:$B,"="&amp;'Покупки по дням'!H$2)</f>
        <v>5</v>
      </c>
      <c r="I39">
        <f>SUMIFS(data!$C:$C,data!$A:$A,"="&amp;'Покупки по дням'!$B39,data!$B:$B,"="&amp;'Покупки по дням'!I$2)</f>
        <v>5</v>
      </c>
      <c r="J39">
        <f>SUMIFS(data!$C:$C,data!$A:$A,"="&amp;'Покупки по дням'!$B39,data!$B:$B,"="&amp;'Покупки по дням'!J$2)</f>
        <v>9</v>
      </c>
      <c r="K39">
        <f>SUMIFS(data!$C:$C,data!$A:$A,"="&amp;'Покупки по дням'!$B39,data!$B:$B,"="&amp;'Покупки по дням'!K$2)</f>
        <v>0</v>
      </c>
      <c r="L39">
        <f>SUMIFS(data!$C:$C,data!$A:$A,"="&amp;'Покупки по дням'!$B39,data!$B:$B,"="&amp;'Покупки по дням'!L$2)</f>
        <v>4</v>
      </c>
      <c r="M39">
        <f>SUMIFS(data!$C:$C,data!$A:$A,"="&amp;'Покупки по дням'!$B39,data!$B:$B,"="&amp;'Покупки по дням'!M$2)</f>
        <v>2</v>
      </c>
      <c r="N39">
        <f>SUMIFS(data!$C:$C,data!$A:$A,"="&amp;'Покупки по дням'!$B39,data!$B:$B,"="&amp;'Покупки по дням'!N$2)</f>
        <v>6</v>
      </c>
      <c r="O39">
        <f>SUMIFS(data!$C:$C,data!$A:$A,"="&amp;'Покупки по дням'!$B39,data!$B:$B,"="&amp;'Покупки по дням'!O$2)</f>
        <v>5</v>
      </c>
      <c r="P39">
        <f>SUMIFS(data!$C:$C,data!$A:$A,"="&amp;'Покупки по дням'!$B39,data!$B:$B,"="&amp;'Покупки по дням'!P$2)</f>
        <v>13</v>
      </c>
      <c r="Q39">
        <f>SUMIFS(data!$C:$C,data!$A:$A,"="&amp;'Покупки по дням'!$B39,data!$B:$B,"="&amp;'Покупки по дням'!Q$2)</f>
        <v>11</v>
      </c>
      <c r="R39">
        <f>SUMIFS(data!$C:$C,data!$A:$A,"="&amp;'Покупки по дням'!$B39,data!$B:$B,"="&amp;'Покупки по дням'!R$2)</f>
        <v>5</v>
      </c>
      <c r="S39">
        <f>SUMIFS(data!$C:$C,data!$A:$A,"="&amp;'Покупки по дням'!$B39,data!$B:$B,"="&amp;'Покупки по дням'!S$2)</f>
        <v>17</v>
      </c>
      <c r="T39">
        <f>SUMIFS(data!$C:$C,data!$A:$A,"="&amp;'Покупки по дням'!$B39,data!$B:$B,"="&amp;'Покупки по дням'!T$2)</f>
        <v>15</v>
      </c>
      <c r="U39">
        <f>SUMIFS(data!$C:$C,data!$A:$A,"="&amp;'Покупки по дням'!$B39,data!$B:$B,"="&amp;'Покупки по дням'!U$2)</f>
        <v>1</v>
      </c>
      <c r="V39">
        <f>SUMIFS(data!$C:$C,data!$A:$A,"="&amp;'Покупки по дням'!$B39,data!$B:$B,"="&amp;'Покупки по дням'!V$2)</f>
        <v>21</v>
      </c>
      <c r="W39">
        <f>SUMIFS(data!$C:$C,data!$A:$A,"="&amp;'Покупки по дням'!$B39,data!$B:$B,"="&amp;'Покупки по дням'!W$2)</f>
        <v>17</v>
      </c>
      <c r="X39">
        <f>SUMIFS(data!$C:$C,data!$A:$A,"="&amp;'Покупки по дням'!$B39,data!$B:$B,"="&amp;'Покупки по дням'!X$2)</f>
        <v>3</v>
      </c>
      <c r="Y39">
        <f>SUMIFS(data!$C:$C,data!$A:$A,"="&amp;'Покупки по дням'!$B39,data!$B:$B,"="&amp;'Покупки по дням'!Y$2)</f>
        <v>2</v>
      </c>
      <c r="Z39">
        <f>SUMIFS(data!$C:$C,data!$A:$A,"="&amp;'Покупки по дням'!$B39,data!$B:$B,"="&amp;'Покупки по дням'!Z$2)</f>
        <v>5</v>
      </c>
      <c r="AA39">
        <f>SUMIFS(data!$C:$C,data!$A:$A,"="&amp;'Покупки по дням'!$B39,data!$B:$B,"="&amp;'Покупки по дням'!AA$2)</f>
        <v>3</v>
      </c>
      <c r="AB39">
        <f>SUMIFS(data!$C:$C,data!$A:$A,"="&amp;'Покупки по дням'!$B39,data!$B:$B,"="&amp;'Покупки по дням'!AB$2)</f>
        <v>8</v>
      </c>
      <c r="AC39">
        <f>SUMIFS(data!$C:$C,data!$A:$A,"="&amp;'Покупки по дням'!$B39,data!$B:$B,"="&amp;'Покупки по дням'!AC$2)</f>
        <v>4</v>
      </c>
      <c r="AD39">
        <f>SUMIFS(data!$C:$C,data!$A:$A,"="&amp;'Покупки по дням'!$B39,data!$B:$B,"="&amp;'Покупки по дням'!AD$2)</f>
        <v>13</v>
      </c>
      <c r="AE39">
        <f>SUMIFS(data!$C:$C,data!$A:$A,"="&amp;'Покупки по дням'!$B39,data!$B:$B,"="&amp;'Покупки по дням'!AE$2)</f>
        <v>10</v>
      </c>
      <c r="AF39">
        <f>SUMIFS(data!$C:$C,data!$A:$A,"="&amp;'Покупки по дням'!$B39,data!$B:$B,"="&amp;'Покупки по дням'!AF$2)</f>
        <v>3</v>
      </c>
      <c r="AG39">
        <f>SUMIFS(data!$C:$C,data!$A:$A,"="&amp;'Покупки по дням'!$B39,data!$B:$B,"="&amp;'Покупки по дням'!AG$2)</f>
        <v>15</v>
      </c>
      <c r="AH39">
        <f>SUMIFS(data!$C:$C,data!$A:$A,"="&amp;'Покупки по дням'!$B39,data!$B:$B,"="&amp;'Покупки по дням'!AH$2)</f>
        <v>8</v>
      </c>
      <c r="AI39">
        <f>SUMIFS(data!$C:$C,data!$A:$A,"="&amp;'Покупки по дням'!$B39,data!$B:$B,"="&amp;'Покупки по дням'!AI$2)</f>
        <v>8</v>
      </c>
      <c r="AJ39">
        <f>SUMIFS(data!$C:$C,data!$A:$A,"="&amp;'Покупки по дням'!$B39,data!$B:$B,"="&amp;'Покупки по дням'!AJ$2)</f>
        <v>4</v>
      </c>
      <c r="AK39">
        <f>SUMIFS(data!$C:$C,data!$A:$A,"="&amp;'Покупки по дням'!$B39,data!$B:$B,"="&amp;'Покупки по дням'!AK$2)</f>
        <v>2</v>
      </c>
      <c r="AL39">
        <f>SUMIFS(data!$C:$C,data!$A:$A,"="&amp;'Покупки по дням'!$B39,data!$B:$B,"="&amp;'Покупки по дням'!AL$2)</f>
        <v>4</v>
      </c>
      <c r="AM39">
        <f>SUMIFS(data!$C:$C,data!$A:$A,"="&amp;'Покупки по дням'!$B39,data!$B:$B,"="&amp;'Покупки по дням'!AM$2)</f>
        <v>7</v>
      </c>
      <c r="AN39">
        <f>SUMIFS(data!$C:$C,data!$A:$A,"="&amp;'Покупки по дням'!$B39,data!$B:$B,"="&amp;'Покупки по дням'!AN$2)</f>
        <v>1</v>
      </c>
      <c r="AO39">
        <f>SUMIFS(data!$C:$C,data!$A:$A,"="&amp;'Покупки по дням'!$B39,data!$B:$B,"="&amp;'Покупки по дням'!AO$2)</f>
        <v>6</v>
      </c>
      <c r="AP39">
        <f>SUMIFS(data!$C:$C,data!$A:$A,"="&amp;'Покупки по дням'!$B39,data!$B:$B,"="&amp;'Покупки по дням'!AP$2)</f>
        <v>8</v>
      </c>
      <c r="AQ39" s="6">
        <f t="shared" si="0"/>
        <v>0.76666372511116743</v>
      </c>
    </row>
    <row r="40" spans="2:43" x14ac:dyDescent="0.3">
      <c r="B40" s="17" t="s">
        <v>124</v>
      </c>
      <c r="C40">
        <f>SUMIFS(data!$C:$C,data!$A:$A,"="&amp;'Покупки по дням'!$B40,data!$B:$B,"="&amp;'Покупки по дням'!C$2)</f>
        <v>1</v>
      </c>
      <c r="D40">
        <f>SUMIFS(data!$C:$C,data!$A:$A,"="&amp;'Покупки по дням'!$B40,data!$B:$B,"="&amp;'Покупки по дням'!D$2)</f>
        <v>0</v>
      </c>
      <c r="E40">
        <f>SUMIFS(data!$C:$C,data!$A:$A,"="&amp;'Покупки по дням'!$B40,data!$B:$B,"="&amp;'Покупки по дням'!E$2)</f>
        <v>3</v>
      </c>
      <c r="F40">
        <f>SUMIFS(data!$C:$C,data!$A:$A,"="&amp;'Покупки по дням'!$B40,data!$B:$B,"="&amp;'Покупки по дням'!F$2)</f>
        <v>3</v>
      </c>
      <c r="G40">
        <f>SUMIFS(data!$C:$C,data!$A:$A,"="&amp;'Покупки по дням'!$B40,data!$B:$B,"="&amp;'Покупки по дням'!G$2)</f>
        <v>6</v>
      </c>
      <c r="H40">
        <f>SUMIFS(data!$C:$C,data!$A:$A,"="&amp;'Покупки по дням'!$B40,data!$B:$B,"="&amp;'Покупки по дням'!H$2)</f>
        <v>2</v>
      </c>
      <c r="I40">
        <f>SUMIFS(data!$C:$C,data!$A:$A,"="&amp;'Покупки по дням'!$B40,data!$B:$B,"="&amp;'Покупки по дням'!I$2)</f>
        <v>2</v>
      </c>
      <c r="J40">
        <f>SUMIFS(data!$C:$C,data!$A:$A,"="&amp;'Покупки по дням'!$B40,data!$B:$B,"="&amp;'Покупки по дням'!J$2)</f>
        <v>1</v>
      </c>
      <c r="K40">
        <f>SUMIFS(data!$C:$C,data!$A:$A,"="&amp;'Покупки по дням'!$B40,data!$B:$B,"="&amp;'Покупки по дням'!K$2)</f>
        <v>0</v>
      </c>
      <c r="L40">
        <f>SUMIFS(data!$C:$C,data!$A:$A,"="&amp;'Покупки по дням'!$B40,data!$B:$B,"="&amp;'Покупки по дням'!L$2)</f>
        <v>2</v>
      </c>
      <c r="M40">
        <f>SUMIFS(data!$C:$C,data!$A:$A,"="&amp;'Покупки по дням'!$B40,data!$B:$B,"="&amp;'Покупки по дням'!M$2)</f>
        <v>0</v>
      </c>
      <c r="N40">
        <f>SUMIFS(data!$C:$C,data!$A:$A,"="&amp;'Покупки по дням'!$B40,data!$B:$B,"="&amp;'Покупки по дням'!N$2)</f>
        <v>2</v>
      </c>
      <c r="O40">
        <f>SUMIFS(data!$C:$C,data!$A:$A,"="&amp;'Покупки по дням'!$B40,data!$B:$B,"="&amp;'Покупки по дням'!O$2)</f>
        <v>4</v>
      </c>
      <c r="P40">
        <f>SUMIFS(data!$C:$C,data!$A:$A,"="&amp;'Покупки по дням'!$B40,data!$B:$B,"="&amp;'Покупки по дням'!P$2)</f>
        <v>1</v>
      </c>
      <c r="Q40">
        <f>SUMIFS(data!$C:$C,data!$A:$A,"="&amp;'Покупки по дням'!$B40,data!$B:$B,"="&amp;'Покупки по дням'!Q$2)</f>
        <v>7</v>
      </c>
      <c r="R40">
        <f>SUMIFS(data!$C:$C,data!$A:$A,"="&amp;'Покупки по дням'!$B40,data!$B:$B,"="&amp;'Покупки по дням'!R$2)</f>
        <v>4</v>
      </c>
      <c r="S40">
        <f>SUMIFS(data!$C:$C,data!$A:$A,"="&amp;'Покупки по дням'!$B40,data!$B:$B,"="&amp;'Покупки по дням'!S$2)</f>
        <v>5</v>
      </c>
      <c r="T40">
        <f>SUMIFS(data!$C:$C,data!$A:$A,"="&amp;'Покупки по дням'!$B40,data!$B:$B,"="&amp;'Покупки по дням'!T$2)</f>
        <v>3</v>
      </c>
      <c r="U40">
        <f>SUMIFS(data!$C:$C,data!$A:$A,"="&amp;'Покупки по дням'!$B40,data!$B:$B,"="&amp;'Покупки по дням'!U$2)</f>
        <v>2</v>
      </c>
      <c r="V40">
        <f>SUMIFS(data!$C:$C,data!$A:$A,"="&amp;'Покупки по дням'!$B40,data!$B:$B,"="&amp;'Покупки по дням'!V$2)</f>
        <v>2</v>
      </c>
      <c r="W40">
        <f>SUMIFS(data!$C:$C,data!$A:$A,"="&amp;'Покупки по дням'!$B40,data!$B:$B,"="&amp;'Покупки по дням'!W$2)</f>
        <v>2</v>
      </c>
      <c r="X40">
        <f>SUMIFS(data!$C:$C,data!$A:$A,"="&amp;'Покупки по дням'!$B40,data!$B:$B,"="&amp;'Покупки по дням'!X$2)</f>
        <v>0</v>
      </c>
      <c r="Y40">
        <f>SUMIFS(data!$C:$C,data!$A:$A,"="&amp;'Покупки по дням'!$B40,data!$B:$B,"="&amp;'Покупки по дням'!Y$2)</f>
        <v>1</v>
      </c>
      <c r="Z40">
        <f>SUMIFS(data!$C:$C,data!$A:$A,"="&amp;'Покупки по дням'!$B40,data!$B:$B,"="&amp;'Покупки по дням'!Z$2)</f>
        <v>3</v>
      </c>
      <c r="AA40">
        <f>SUMIFS(data!$C:$C,data!$A:$A,"="&amp;'Покупки по дням'!$B40,data!$B:$B,"="&amp;'Покупки по дням'!AA$2)</f>
        <v>4</v>
      </c>
      <c r="AB40">
        <f>SUMIFS(data!$C:$C,data!$A:$A,"="&amp;'Покупки по дням'!$B40,data!$B:$B,"="&amp;'Покупки по дням'!AB$2)</f>
        <v>3</v>
      </c>
      <c r="AC40">
        <f>SUMIFS(data!$C:$C,data!$A:$A,"="&amp;'Покупки по дням'!$B40,data!$B:$B,"="&amp;'Покупки по дням'!AC$2)</f>
        <v>2</v>
      </c>
      <c r="AD40">
        <f>SUMIFS(data!$C:$C,data!$A:$A,"="&amp;'Покупки по дням'!$B40,data!$B:$B,"="&amp;'Покупки по дням'!AD$2)</f>
        <v>0</v>
      </c>
      <c r="AE40">
        <f>SUMIFS(data!$C:$C,data!$A:$A,"="&amp;'Покупки по дням'!$B40,data!$B:$B,"="&amp;'Покупки по дням'!AE$2)</f>
        <v>2</v>
      </c>
      <c r="AF40">
        <f>SUMIFS(data!$C:$C,data!$A:$A,"="&amp;'Покупки по дням'!$B40,data!$B:$B,"="&amp;'Покупки по дням'!AF$2)</f>
        <v>0</v>
      </c>
      <c r="AG40">
        <f>SUMIFS(data!$C:$C,data!$A:$A,"="&amp;'Покупки по дням'!$B40,data!$B:$B,"="&amp;'Покупки по дням'!AG$2)</f>
        <v>2</v>
      </c>
      <c r="AH40">
        <f>SUMIFS(data!$C:$C,data!$A:$A,"="&amp;'Покупки по дням'!$B40,data!$B:$B,"="&amp;'Покупки по дням'!AH$2)</f>
        <v>4</v>
      </c>
      <c r="AI40">
        <f>SUMIFS(data!$C:$C,data!$A:$A,"="&amp;'Покупки по дням'!$B40,data!$B:$B,"="&amp;'Покупки по дням'!AI$2)</f>
        <v>1</v>
      </c>
      <c r="AJ40">
        <f>SUMIFS(data!$C:$C,data!$A:$A,"="&amp;'Покупки по дням'!$B40,data!$B:$B,"="&amp;'Покупки по дням'!AJ$2)</f>
        <v>2</v>
      </c>
      <c r="AK40">
        <f>SUMIFS(data!$C:$C,data!$A:$A,"="&amp;'Покупки по дням'!$B40,data!$B:$B,"="&amp;'Покупки по дням'!AK$2)</f>
        <v>0</v>
      </c>
      <c r="AL40">
        <f>SUMIFS(data!$C:$C,data!$A:$A,"="&amp;'Покупки по дням'!$B40,data!$B:$B,"="&amp;'Покупки по дням'!AL$2)</f>
        <v>1</v>
      </c>
      <c r="AM40">
        <f>SUMIFS(data!$C:$C,data!$A:$A,"="&amp;'Покупки по дням'!$B40,data!$B:$B,"="&amp;'Покупки по дням'!AM$2)</f>
        <v>4</v>
      </c>
      <c r="AN40">
        <f>SUMIFS(data!$C:$C,data!$A:$A,"="&amp;'Покупки по дням'!$B40,data!$B:$B,"="&amp;'Покупки по дням'!AN$2)</f>
        <v>1</v>
      </c>
      <c r="AO40">
        <f>SUMIFS(data!$C:$C,data!$A:$A,"="&amp;'Покупки по дням'!$B40,data!$B:$B,"="&amp;'Покупки по дням'!AO$2)</f>
        <v>6</v>
      </c>
      <c r="AP40">
        <f>SUMIFS(data!$C:$C,data!$A:$A,"="&amp;'Покупки по дням'!$B40,data!$B:$B,"="&amp;'Покупки по дням'!AP$2)</f>
        <v>0</v>
      </c>
      <c r="AQ40" s="6">
        <f t="shared" si="0"/>
        <v>0.82475988144856061</v>
      </c>
    </row>
    <row r="41" spans="2:43" ht="28.8" x14ac:dyDescent="0.3">
      <c r="B41" s="17" t="s">
        <v>22</v>
      </c>
      <c r="C41">
        <f>SUMIFS(data!$C:$C,data!$A:$A,"="&amp;'Покупки по дням'!$B41,data!$B:$B,"="&amp;'Покупки по дням'!C$2)</f>
        <v>3</v>
      </c>
      <c r="D41">
        <f>SUMIFS(data!$C:$C,data!$A:$A,"="&amp;'Покупки по дням'!$B41,data!$B:$B,"="&amp;'Покупки по дням'!D$2)</f>
        <v>1</v>
      </c>
      <c r="E41">
        <f>SUMIFS(data!$C:$C,data!$A:$A,"="&amp;'Покупки по дням'!$B41,data!$B:$B,"="&amp;'Покупки по дням'!E$2)</f>
        <v>0</v>
      </c>
      <c r="F41">
        <f>SUMIFS(data!$C:$C,data!$A:$A,"="&amp;'Покупки по дням'!$B41,data!$B:$B,"="&amp;'Покупки по дням'!F$2)</f>
        <v>0</v>
      </c>
      <c r="G41">
        <f>SUMIFS(data!$C:$C,data!$A:$A,"="&amp;'Покупки по дням'!$B41,data!$B:$B,"="&amp;'Покупки по дням'!G$2)</f>
        <v>0</v>
      </c>
      <c r="H41">
        <f>SUMIFS(data!$C:$C,data!$A:$A,"="&amp;'Покупки по дням'!$B41,data!$B:$B,"="&amp;'Покупки по дням'!H$2)</f>
        <v>4</v>
      </c>
      <c r="I41">
        <f>SUMIFS(data!$C:$C,data!$A:$A,"="&amp;'Покупки по дням'!$B41,data!$B:$B,"="&amp;'Покупки по дням'!I$2)</f>
        <v>5</v>
      </c>
      <c r="J41">
        <f>SUMIFS(data!$C:$C,data!$A:$A,"="&amp;'Покупки по дням'!$B41,data!$B:$B,"="&amp;'Покупки по дням'!J$2)</f>
        <v>4</v>
      </c>
      <c r="K41">
        <f>SUMIFS(data!$C:$C,data!$A:$A,"="&amp;'Покупки по дням'!$B41,data!$B:$B,"="&amp;'Покупки по дням'!K$2)</f>
        <v>0</v>
      </c>
      <c r="L41">
        <f>SUMIFS(data!$C:$C,data!$A:$A,"="&amp;'Покупки по дням'!$B41,data!$B:$B,"="&amp;'Покупки по дням'!L$2)</f>
        <v>0</v>
      </c>
      <c r="M41">
        <f>SUMIFS(data!$C:$C,data!$A:$A,"="&amp;'Покупки по дням'!$B41,data!$B:$B,"="&amp;'Покупки по дням'!M$2)</f>
        <v>1</v>
      </c>
      <c r="N41">
        <f>SUMIFS(data!$C:$C,data!$A:$A,"="&amp;'Покупки по дням'!$B41,data!$B:$B,"="&amp;'Покупки по дням'!N$2)</f>
        <v>3</v>
      </c>
      <c r="O41">
        <f>SUMIFS(data!$C:$C,data!$A:$A,"="&amp;'Покупки по дням'!$B41,data!$B:$B,"="&amp;'Покупки по дням'!O$2)</f>
        <v>3</v>
      </c>
      <c r="P41">
        <f>SUMIFS(data!$C:$C,data!$A:$A,"="&amp;'Покупки по дням'!$B41,data!$B:$B,"="&amp;'Покупки по дням'!P$2)</f>
        <v>4</v>
      </c>
      <c r="Q41">
        <f>SUMIFS(data!$C:$C,data!$A:$A,"="&amp;'Покупки по дням'!$B41,data!$B:$B,"="&amp;'Покупки по дням'!Q$2)</f>
        <v>2</v>
      </c>
      <c r="R41">
        <f>SUMIFS(data!$C:$C,data!$A:$A,"="&amp;'Покупки по дням'!$B41,data!$B:$B,"="&amp;'Покупки по дням'!R$2)</f>
        <v>2</v>
      </c>
      <c r="S41">
        <f>SUMIFS(data!$C:$C,data!$A:$A,"="&amp;'Покупки по дням'!$B41,data!$B:$B,"="&amp;'Покупки по дням'!S$2)</f>
        <v>2</v>
      </c>
      <c r="T41">
        <f>SUMIFS(data!$C:$C,data!$A:$A,"="&amp;'Покупки по дням'!$B41,data!$B:$B,"="&amp;'Покупки по дням'!T$2)</f>
        <v>0</v>
      </c>
      <c r="U41">
        <f>SUMIFS(data!$C:$C,data!$A:$A,"="&amp;'Покупки по дням'!$B41,data!$B:$B,"="&amp;'Покупки по дням'!U$2)</f>
        <v>0</v>
      </c>
      <c r="V41">
        <f>SUMIFS(data!$C:$C,data!$A:$A,"="&amp;'Покупки по дням'!$B41,data!$B:$B,"="&amp;'Покупки по дням'!V$2)</f>
        <v>0</v>
      </c>
      <c r="W41">
        <f>SUMIFS(data!$C:$C,data!$A:$A,"="&amp;'Покупки по дням'!$B41,data!$B:$B,"="&amp;'Покупки по дням'!W$2)</f>
        <v>0</v>
      </c>
      <c r="X41">
        <f>SUMIFS(data!$C:$C,data!$A:$A,"="&amp;'Покупки по дням'!$B41,data!$B:$B,"="&amp;'Покупки по дням'!X$2)</f>
        <v>0</v>
      </c>
      <c r="Y41">
        <f>SUMIFS(data!$C:$C,data!$A:$A,"="&amp;'Покупки по дням'!$B41,data!$B:$B,"="&amp;'Покупки по дням'!Y$2)</f>
        <v>4</v>
      </c>
      <c r="Z41">
        <f>SUMIFS(data!$C:$C,data!$A:$A,"="&amp;'Покупки по дням'!$B41,data!$B:$B,"="&amp;'Покупки по дням'!Z$2)</f>
        <v>0</v>
      </c>
      <c r="AA41">
        <f>SUMIFS(data!$C:$C,data!$A:$A,"="&amp;'Покупки по дням'!$B41,data!$B:$B,"="&amp;'Покупки по дням'!AA$2)</f>
        <v>5</v>
      </c>
      <c r="AB41">
        <f>SUMIFS(data!$C:$C,data!$A:$A,"="&amp;'Покупки по дням'!$B41,data!$B:$B,"="&amp;'Покупки по дням'!AB$2)</f>
        <v>2</v>
      </c>
      <c r="AC41">
        <f>SUMIFS(data!$C:$C,data!$A:$A,"="&amp;'Покупки по дням'!$B41,data!$B:$B,"="&amp;'Покупки по дням'!AC$2)</f>
        <v>6</v>
      </c>
      <c r="AD41">
        <f>SUMIFS(data!$C:$C,data!$A:$A,"="&amp;'Покупки по дням'!$B41,data!$B:$B,"="&amp;'Покупки по дням'!AD$2)</f>
        <v>5</v>
      </c>
      <c r="AE41">
        <f>SUMIFS(data!$C:$C,data!$A:$A,"="&amp;'Покупки по дням'!$B41,data!$B:$B,"="&amp;'Покупки по дням'!AE$2)</f>
        <v>5</v>
      </c>
      <c r="AF41">
        <f>SUMIFS(data!$C:$C,data!$A:$A,"="&amp;'Покупки по дням'!$B41,data!$B:$B,"="&amp;'Покупки по дням'!AF$2)</f>
        <v>0</v>
      </c>
      <c r="AG41">
        <f>SUMIFS(data!$C:$C,data!$A:$A,"="&amp;'Покупки по дням'!$B41,data!$B:$B,"="&amp;'Покупки по дням'!AG$2)</f>
        <v>5</v>
      </c>
      <c r="AH41">
        <f>SUMIFS(data!$C:$C,data!$A:$A,"="&amp;'Покупки по дням'!$B41,data!$B:$B,"="&amp;'Покупки по дням'!AH$2)</f>
        <v>7</v>
      </c>
      <c r="AI41">
        <f>SUMIFS(data!$C:$C,data!$A:$A,"="&amp;'Покупки по дням'!$B41,data!$B:$B,"="&amp;'Покупки по дням'!AI$2)</f>
        <v>1</v>
      </c>
      <c r="AJ41">
        <f>SUMIFS(data!$C:$C,data!$A:$A,"="&amp;'Покупки по дням'!$B41,data!$B:$B,"="&amp;'Покупки по дням'!AJ$2)</f>
        <v>0</v>
      </c>
      <c r="AK41">
        <f>SUMIFS(data!$C:$C,data!$A:$A,"="&amp;'Покупки по дням'!$B41,data!$B:$B,"="&amp;'Покупки по дням'!AK$2)</f>
        <v>1</v>
      </c>
      <c r="AL41">
        <f>SUMIFS(data!$C:$C,data!$A:$A,"="&amp;'Покупки по дням'!$B41,data!$B:$B,"="&amp;'Покупки по дням'!AL$2)</f>
        <v>0</v>
      </c>
      <c r="AM41">
        <f>SUMIFS(data!$C:$C,data!$A:$A,"="&amp;'Покупки по дням'!$B41,data!$B:$B,"="&amp;'Покупки по дням'!AM$2)</f>
        <v>1</v>
      </c>
      <c r="AN41">
        <f>SUMIFS(data!$C:$C,data!$A:$A,"="&amp;'Покупки по дням'!$B41,data!$B:$B,"="&amp;'Покупки по дням'!AN$2)</f>
        <v>6</v>
      </c>
      <c r="AO41">
        <f>SUMIFS(data!$C:$C,data!$A:$A,"="&amp;'Покупки по дням'!$B41,data!$B:$B,"="&amp;'Покупки по дням'!AO$2)</f>
        <v>1</v>
      </c>
      <c r="AP41">
        <f>SUMIFS(data!$C:$C,data!$A:$A,"="&amp;'Покупки по дням'!$B41,data!$B:$B,"="&amp;'Покупки по дням'!AP$2)</f>
        <v>5</v>
      </c>
      <c r="AQ41" s="6">
        <f t="shared" si="0"/>
        <v>1.0043347456976455</v>
      </c>
    </row>
    <row r="42" spans="2:43" ht="28.8" x14ac:dyDescent="0.3">
      <c r="B42" s="17" t="s">
        <v>85</v>
      </c>
      <c r="C42">
        <f>SUMIFS(data!$C:$C,data!$A:$A,"="&amp;'Покупки по дням'!$B42,data!$B:$B,"="&amp;'Покупки по дням'!C$2)</f>
        <v>0</v>
      </c>
      <c r="D42">
        <f>SUMIFS(data!$C:$C,data!$A:$A,"="&amp;'Покупки по дням'!$B42,data!$B:$B,"="&amp;'Покупки по дням'!D$2)</f>
        <v>9</v>
      </c>
      <c r="E42">
        <f>SUMIFS(data!$C:$C,data!$A:$A,"="&amp;'Покупки по дням'!$B42,data!$B:$B,"="&amp;'Покупки по дням'!E$2)</f>
        <v>3</v>
      </c>
      <c r="F42">
        <f>SUMIFS(data!$C:$C,data!$A:$A,"="&amp;'Покупки по дням'!$B42,data!$B:$B,"="&amp;'Покупки по дням'!F$2)</f>
        <v>7</v>
      </c>
      <c r="G42">
        <f>SUMIFS(data!$C:$C,data!$A:$A,"="&amp;'Покупки по дням'!$B42,data!$B:$B,"="&amp;'Покупки по дням'!G$2)</f>
        <v>0</v>
      </c>
      <c r="H42">
        <f>SUMIFS(data!$C:$C,data!$A:$A,"="&amp;'Покупки по дням'!$B42,data!$B:$B,"="&amp;'Покупки по дням'!H$2)</f>
        <v>7</v>
      </c>
      <c r="I42">
        <f>SUMIFS(data!$C:$C,data!$A:$A,"="&amp;'Покупки по дням'!$B42,data!$B:$B,"="&amp;'Покупки по дням'!I$2)</f>
        <v>8</v>
      </c>
      <c r="J42">
        <f>SUMIFS(data!$C:$C,data!$A:$A,"="&amp;'Покупки по дням'!$B42,data!$B:$B,"="&amp;'Покупки по дням'!J$2)</f>
        <v>7</v>
      </c>
      <c r="K42">
        <f>SUMIFS(data!$C:$C,data!$A:$A,"="&amp;'Покупки по дням'!$B42,data!$B:$B,"="&amp;'Покупки по дням'!K$2)</f>
        <v>0</v>
      </c>
      <c r="L42">
        <f>SUMIFS(data!$C:$C,data!$A:$A,"="&amp;'Покупки по дням'!$B42,data!$B:$B,"="&amp;'Покупки по дням'!L$2)</f>
        <v>4</v>
      </c>
      <c r="M42">
        <f>SUMIFS(data!$C:$C,data!$A:$A,"="&amp;'Покупки по дням'!$B42,data!$B:$B,"="&amp;'Покупки по дням'!M$2)</f>
        <v>7</v>
      </c>
      <c r="N42">
        <f>SUMIFS(data!$C:$C,data!$A:$A,"="&amp;'Покупки по дням'!$B42,data!$B:$B,"="&amp;'Покупки по дням'!N$2)</f>
        <v>3</v>
      </c>
      <c r="O42">
        <f>SUMIFS(data!$C:$C,data!$A:$A,"="&amp;'Покупки по дням'!$B42,data!$B:$B,"="&amp;'Покупки по дням'!O$2)</f>
        <v>0</v>
      </c>
      <c r="P42">
        <f>SUMIFS(data!$C:$C,data!$A:$A,"="&amp;'Покупки по дням'!$B42,data!$B:$B,"="&amp;'Покупки по дням'!P$2)</f>
        <v>7</v>
      </c>
      <c r="Q42">
        <f>SUMIFS(data!$C:$C,data!$A:$A,"="&amp;'Покупки по дням'!$B42,data!$B:$B,"="&amp;'Покупки по дням'!Q$2)</f>
        <v>6</v>
      </c>
      <c r="R42">
        <f>SUMIFS(data!$C:$C,data!$A:$A,"="&amp;'Покупки по дням'!$B42,data!$B:$B,"="&amp;'Покупки по дням'!R$2)</f>
        <v>3</v>
      </c>
      <c r="S42">
        <f>SUMIFS(data!$C:$C,data!$A:$A,"="&amp;'Покупки по дням'!$B42,data!$B:$B,"="&amp;'Покупки по дням'!S$2)</f>
        <v>0</v>
      </c>
      <c r="T42">
        <f>SUMIFS(data!$C:$C,data!$A:$A,"="&amp;'Покупки по дням'!$B42,data!$B:$B,"="&amp;'Покупки по дням'!T$2)</f>
        <v>2</v>
      </c>
      <c r="U42">
        <f>SUMIFS(data!$C:$C,data!$A:$A,"="&amp;'Покупки по дням'!$B42,data!$B:$B,"="&amp;'Покупки по дням'!U$2)</f>
        <v>4</v>
      </c>
      <c r="V42">
        <f>SUMIFS(data!$C:$C,data!$A:$A,"="&amp;'Покупки по дням'!$B42,data!$B:$B,"="&amp;'Покупки по дням'!V$2)</f>
        <v>5</v>
      </c>
      <c r="W42">
        <f>SUMIFS(data!$C:$C,data!$A:$A,"="&amp;'Покупки по дням'!$B42,data!$B:$B,"="&amp;'Покупки по дням'!W$2)</f>
        <v>14</v>
      </c>
      <c r="X42">
        <f>SUMIFS(data!$C:$C,data!$A:$A,"="&amp;'Покупки по дням'!$B42,data!$B:$B,"="&amp;'Покупки по дням'!X$2)</f>
        <v>0</v>
      </c>
      <c r="Y42">
        <f>SUMIFS(data!$C:$C,data!$A:$A,"="&amp;'Покупки по дням'!$B42,data!$B:$B,"="&amp;'Покупки по дням'!Y$2)</f>
        <v>7</v>
      </c>
      <c r="Z42">
        <f>SUMIFS(data!$C:$C,data!$A:$A,"="&amp;'Покупки по дням'!$B42,data!$B:$B,"="&amp;'Покупки по дням'!Z$2)</f>
        <v>2</v>
      </c>
      <c r="AA42">
        <f>SUMIFS(data!$C:$C,data!$A:$A,"="&amp;'Покупки по дням'!$B42,data!$B:$B,"="&amp;'Покупки по дням'!AA$2)</f>
        <v>4</v>
      </c>
      <c r="AB42">
        <f>SUMIFS(data!$C:$C,data!$A:$A,"="&amp;'Покупки по дням'!$B42,data!$B:$B,"="&amp;'Покупки по дням'!AB$2)</f>
        <v>3</v>
      </c>
      <c r="AC42">
        <f>SUMIFS(data!$C:$C,data!$A:$A,"="&amp;'Покупки по дням'!$B42,data!$B:$B,"="&amp;'Покупки по дням'!AC$2)</f>
        <v>1</v>
      </c>
      <c r="AD42">
        <f>SUMIFS(data!$C:$C,data!$A:$A,"="&amp;'Покупки по дням'!$B42,data!$B:$B,"="&amp;'Покупки по дням'!AD$2)</f>
        <v>0</v>
      </c>
      <c r="AE42">
        <f>SUMIFS(data!$C:$C,data!$A:$A,"="&amp;'Покупки по дням'!$B42,data!$B:$B,"="&amp;'Покупки по дням'!AE$2)</f>
        <v>2</v>
      </c>
      <c r="AF42">
        <f>SUMIFS(data!$C:$C,data!$A:$A,"="&amp;'Покупки по дням'!$B42,data!$B:$B,"="&amp;'Покупки по дням'!AF$2)</f>
        <v>4</v>
      </c>
      <c r="AG42">
        <f>SUMIFS(data!$C:$C,data!$A:$A,"="&amp;'Покупки по дням'!$B42,data!$B:$B,"="&amp;'Покупки по дням'!AG$2)</f>
        <v>1</v>
      </c>
      <c r="AH42">
        <f>SUMIFS(data!$C:$C,data!$A:$A,"="&amp;'Покупки по дням'!$B42,data!$B:$B,"="&amp;'Покупки по дням'!AH$2)</f>
        <v>1</v>
      </c>
      <c r="AI42">
        <f>SUMIFS(data!$C:$C,data!$A:$A,"="&amp;'Покупки по дням'!$B42,data!$B:$B,"="&amp;'Покупки по дням'!AI$2)</f>
        <v>6</v>
      </c>
      <c r="AJ42">
        <f>SUMIFS(data!$C:$C,data!$A:$A,"="&amp;'Покупки по дням'!$B42,data!$B:$B,"="&amp;'Покупки по дням'!AJ$2)</f>
        <v>8</v>
      </c>
      <c r="AK42">
        <f>SUMIFS(data!$C:$C,data!$A:$A,"="&amp;'Покупки по дням'!$B42,data!$B:$B,"="&amp;'Покупки по дням'!AK$2)</f>
        <v>6</v>
      </c>
      <c r="AL42">
        <f>SUMIFS(data!$C:$C,data!$A:$A,"="&amp;'Покупки по дням'!$B42,data!$B:$B,"="&amp;'Покупки по дням'!AL$2)</f>
        <v>5</v>
      </c>
      <c r="AM42">
        <f>SUMIFS(data!$C:$C,data!$A:$A,"="&amp;'Покупки по дням'!$B42,data!$B:$B,"="&amp;'Покупки по дням'!AM$2)</f>
        <v>6</v>
      </c>
      <c r="AN42">
        <f>SUMIFS(data!$C:$C,data!$A:$A,"="&amp;'Покупки по дням'!$B42,data!$B:$B,"="&amp;'Покупки по дням'!AN$2)</f>
        <v>5</v>
      </c>
      <c r="AO42">
        <f>SUMIFS(data!$C:$C,data!$A:$A,"="&amp;'Покупки по дням'!$B42,data!$B:$B,"="&amp;'Покупки по дням'!AO$2)</f>
        <v>3</v>
      </c>
      <c r="AP42">
        <f>SUMIFS(data!$C:$C,data!$A:$A,"="&amp;'Покупки по дням'!$B42,data!$B:$B,"="&amp;'Покупки по дням'!AP$2)</f>
        <v>5</v>
      </c>
      <c r="AQ42" s="6">
        <f t="shared" si="0"/>
        <v>0.76304166480774971</v>
      </c>
    </row>
    <row r="43" spans="2:43" ht="28.8" x14ac:dyDescent="0.3">
      <c r="B43" s="17" t="s">
        <v>38</v>
      </c>
      <c r="C43">
        <f>SUMIFS(data!$C:$C,data!$A:$A,"="&amp;'Покупки по дням'!$B43,data!$B:$B,"="&amp;'Покупки по дням'!C$2)</f>
        <v>0</v>
      </c>
      <c r="D43">
        <f>SUMIFS(data!$C:$C,data!$A:$A,"="&amp;'Покупки по дням'!$B43,data!$B:$B,"="&amp;'Покупки по дням'!D$2)</f>
        <v>5</v>
      </c>
      <c r="E43">
        <f>SUMIFS(data!$C:$C,data!$A:$A,"="&amp;'Покупки по дням'!$B43,data!$B:$B,"="&amp;'Покупки по дням'!E$2)</f>
        <v>2</v>
      </c>
      <c r="F43">
        <f>SUMIFS(data!$C:$C,data!$A:$A,"="&amp;'Покупки по дням'!$B43,data!$B:$B,"="&amp;'Покупки по дням'!F$2)</f>
        <v>0</v>
      </c>
      <c r="G43">
        <f>SUMIFS(data!$C:$C,data!$A:$A,"="&amp;'Покупки по дням'!$B43,data!$B:$B,"="&amp;'Покупки по дням'!G$2)</f>
        <v>6</v>
      </c>
      <c r="H43">
        <f>SUMIFS(data!$C:$C,data!$A:$A,"="&amp;'Покупки по дням'!$B43,data!$B:$B,"="&amp;'Покупки по дням'!H$2)</f>
        <v>8</v>
      </c>
      <c r="I43">
        <f>SUMIFS(data!$C:$C,data!$A:$A,"="&amp;'Покупки по дням'!$B43,data!$B:$B,"="&amp;'Покупки по дням'!I$2)</f>
        <v>4</v>
      </c>
      <c r="J43">
        <f>SUMIFS(data!$C:$C,data!$A:$A,"="&amp;'Покупки по дням'!$B43,data!$B:$B,"="&amp;'Покупки по дням'!J$2)</f>
        <v>6</v>
      </c>
      <c r="K43">
        <f>SUMIFS(data!$C:$C,data!$A:$A,"="&amp;'Покупки по дням'!$B43,data!$B:$B,"="&amp;'Покупки по дням'!K$2)</f>
        <v>0</v>
      </c>
      <c r="L43">
        <f>SUMIFS(data!$C:$C,data!$A:$A,"="&amp;'Покупки по дням'!$B43,data!$B:$B,"="&amp;'Покупки по дням'!L$2)</f>
        <v>0</v>
      </c>
      <c r="M43">
        <f>SUMIFS(data!$C:$C,data!$A:$A,"="&amp;'Покупки по дням'!$B43,data!$B:$B,"="&amp;'Покупки по дням'!M$2)</f>
        <v>0</v>
      </c>
      <c r="N43">
        <f>SUMIFS(data!$C:$C,data!$A:$A,"="&amp;'Покупки по дням'!$B43,data!$B:$B,"="&amp;'Покупки по дням'!N$2)</f>
        <v>0</v>
      </c>
      <c r="O43">
        <f>SUMIFS(data!$C:$C,data!$A:$A,"="&amp;'Покупки по дням'!$B43,data!$B:$B,"="&amp;'Покупки по дням'!O$2)</f>
        <v>0</v>
      </c>
      <c r="P43">
        <f>SUMIFS(data!$C:$C,data!$A:$A,"="&amp;'Покупки по дням'!$B43,data!$B:$B,"="&amp;'Покупки по дням'!P$2)</f>
        <v>9</v>
      </c>
      <c r="Q43">
        <f>SUMIFS(data!$C:$C,data!$A:$A,"="&amp;'Покупки по дням'!$B43,data!$B:$B,"="&amp;'Покупки по дням'!Q$2)</f>
        <v>0</v>
      </c>
      <c r="R43">
        <f>SUMIFS(data!$C:$C,data!$A:$A,"="&amp;'Покупки по дням'!$B43,data!$B:$B,"="&amp;'Покупки по дням'!R$2)</f>
        <v>0</v>
      </c>
      <c r="S43">
        <f>SUMIFS(data!$C:$C,data!$A:$A,"="&amp;'Покупки по дням'!$B43,data!$B:$B,"="&amp;'Покупки по дням'!S$2)</f>
        <v>0</v>
      </c>
      <c r="T43">
        <f>SUMIFS(data!$C:$C,data!$A:$A,"="&amp;'Покупки по дням'!$B43,data!$B:$B,"="&amp;'Покупки по дням'!T$2)</f>
        <v>9</v>
      </c>
      <c r="U43">
        <f>SUMIFS(data!$C:$C,data!$A:$A,"="&amp;'Покупки по дням'!$B43,data!$B:$B,"="&amp;'Покупки по дням'!U$2)</f>
        <v>0</v>
      </c>
      <c r="V43">
        <f>SUMIFS(data!$C:$C,data!$A:$A,"="&amp;'Покупки по дням'!$B43,data!$B:$B,"="&amp;'Покупки по дням'!V$2)</f>
        <v>6</v>
      </c>
      <c r="W43">
        <f>SUMIFS(data!$C:$C,data!$A:$A,"="&amp;'Покупки по дням'!$B43,data!$B:$B,"="&amp;'Покупки по дням'!W$2)</f>
        <v>6</v>
      </c>
      <c r="X43">
        <f>SUMIFS(data!$C:$C,data!$A:$A,"="&amp;'Покупки по дням'!$B43,data!$B:$B,"="&amp;'Покупки по дням'!X$2)</f>
        <v>0</v>
      </c>
      <c r="Y43">
        <f>SUMIFS(data!$C:$C,data!$A:$A,"="&amp;'Покупки по дням'!$B43,data!$B:$B,"="&amp;'Покупки по дням'!Y$2)</f>
        <v>9</v>
      </c>
      <c r="Z43">
        <f>SUMIFS(data!$C:$C,data!$A:$A,"="&amp;'Покупки по дням'!$B43,data!$B:$B,"="&amp;'Покупки по дням'!Z$2)</f>
        <v>0</v>
      </c>
      <c r="AA43">
        <f>SUMIFS(data!$C:$C,data!$A:$A,"="&amp;'Покупки по дням'!$B43,data!$B:$B,"="&amp;'Покупки по дням'!AA$2)</f>
        <v>0</v>
      </c>
      <c r="AB43">
        <f>SUMIFS(data!$C:$C,data!$A:$A,"="&amp;'Покупки по дням'!$B43,data!$B:$B,"="&amp;'Покупки по дням'!AB$2)</f>
        <v>6</v>
      </c>
      <c r="AC43">
        <f>SUMIFS(data!$C:$C,data!$A:$A,"="&amp;'Покупки по дням'!$B43,data!$B:$B,"="&amp;'Покупки по дням'!AC$2)</f>
        <v>6</v>
      </c>
      <c r="AD43">
        <f>SUMIFS(data!$C:$C,data!$A:$A,"="&amp;'Покупки по дням'!$B43,data!$B:$B,"="&amp;'Покупки по дням'!AD$2)</f>
        <v>0</v>
      </c>
      <c r="AE43">
        <f>SUMIFS(data!$C:$C,data!$A:$A,"="&amp;'Покупки по дням'!$B43,data!$B:$B,"="&amp;'Покупки по дням'!AE$2)</f>
        <v>6</v>
      </c>
      <c r="AF43">
        <f>SUMIFS(data!$C:$C,data!$A:$A,"="&amp;'Покупки по дням'!$B43,data!$B:$B,"="&amp;'Покупки по дням'!AF$2)</f>
        <v>7</v>
      </c>
      <c r="AG43">
        <f>SUMIFS(data!$C:$C,data!$A:$A,"="&amp;'Покупки по дням'!$B43,data!$B:$B,"="&amp;'Покупки по дням'!AG$2)</f>
        <v>0</v>
      </c>
      <c r="AH43">
        <f>SUMIFS(data!$C:$C,data!$A:$A,"="&amp;'Покупки по дням'!$B43,data!$B:$B,"="&amp;'Покупки по дням'!AH$2)</f>
        <v>1</v>
      </c>
      <c r="AI43">
        <f>SUMIFS(data!$C:$C,data!$A:$A,"="&amp;'Покупки по дням'!$B43,data!$B:$B,"="&amp;'Покупки по дням'!AI$2)</f>
        <v>0</v>
      </c>
      <c r="AJ43">
        <f>SUMIFS(data!$C:$C,data!$A:$A,"="&amp;'Покупки по дням'!$B43,data!$B:$B,"="&amp;'Покупки по дням'!AJ$2)</f>
        <v>0</v>
      </c>
      <c r="AK43">
        <f>SUMIFS(data!$C:$C,data!$A:$A,"="&amp;'Покупки по дням'!$B43,data!$B:$B,"="&amp;'Покупки по дням'!AK$2)</f>
        <v>0</v>
      </c>
      <c r="AL43">
        <f>SUMIFS(data!$C:$C,data!$A:$A,"="&amp;'Покупки по дням'!$B43,data!$B:$B,"="&amp;'Покупки по дням'!AL$2)</f>
        <v>0</v>
      </c>
      <c r="AM43">
        <f>SUMIFS(data!$C:$C,data!$A:$A,"="&amp;'Покупки по дням'!$B43,data!$B:$B,"="&amp;'Покупки по дням'!AM$2)</f>
        <v>0</v>
      </c>
      <c r="AN43">
        <f>SUMIFS(data!$C:$C,data!$A:$A,"="&amp;'Покупки по дням'!$B43,data!$B:$B,"="&amp;'Покупки по дням'!AN$2)</f>
        <v>0</v>
      </c>
      <c r="AO43">
        <f>SUMIFS(data!$C:$C,data!$A:$A,"="&amp;'Покупки по дням'!$B43,data!$B:$B,"="&amp;'Покупки по дням'!AO$2)</f>
        <v>0</v>
      </c>
      <c r="AP43">
        <f>SUMIFS(data!$C:$C,data!$A:$A,"="&amp;'Покупки по дням'!$B43,data!$B:$B,"="&amp;'Покупки по дням'!AP$2)</f>
        <v>4</v>
      </c>
      <c r="AQ43" s="6">
        <f t="shared" si="0"/>
        <v>1.3126602466277872</v>
      </c>
    </row>
    <row r="44" spans="2:43" ht="28.8" x14ac:dyDescent="0.3">
      <c r="B44" s="17" t="s">
        <v>103</v>
      </c>
      <c r="C44">
        <f>SUMIFS(data!$C:$C,data!$A:$A,"="&amp;'Покупки по дням'!$B44,data!$B:$B,"="&amp;'Покупки по дням'!C$2)</f>
        <v>2</v>
      </c>
      <c r="D44">
        <f>SUMIFS(data!$C:$C,data!$A:$A,"="&amp;'Покупки по дням'!$B44,data!$B:$B,"="&amp;'Покупки по дням'!D$2)</f>
        <v>2</v>
      </c>
      <c r="E44">
        <f>SUMIFS(data!$C:$C,data!$A:$A,"="&amp;'Покупки по дням'!$B44,data!$B:$B,"="&amp;'Покупки по дням'!E$2)</f>
        <v>0</v>
      </c>
      <c r="F44">
        <f>SUMIFS(data!$C:$C,data!$A:$A,"="&amp;'Покупки по дням'!$B44,data!$B:$B,"="&amp;'Покупки по дням'!F$2)</f>
        <v>4</v>
      </c>
      <c r="G44">
        <f>SUMIFS(data!$C:$C,data!$A:$A,"="&amp;'Покупки по дням'!$B44,data!$B:$B,"="&amp;'Покупки по дням'!G$2)</f>
        <v>7</v>
      </c>
      <c r="H44">
        <f>SUMIFS(data!$C:$C,data!$A:$A,"="&amp;'Покупки по дням'!$B44,data!$B:$B,"="&amp;'Покупки по дням'!H$2)</f>
        <v>4</v>
      </c>
      <c r="I44">
        <f>SUMIFS(data!$C:$C,data!$A:$A,"="&amp;'Покупки по дням'!$B44,data!$B:$B,"="&amp;'Покупки по дням'!I$2)</f>
        <v>3</v>
      </c>
      <c r="J44">
        <f>SUMIFS(data!$C:$C,data!$A:$A,"="&amp;'Покупки по дням'!$B44,data!$B:$B,"="&amp;'Покупки по дням'!J$2)</f>
        <v>6</v>
      </c>
      <c r="K44">
        <f>SUMIFS(data!$C:$C,data!$A:$A,"="&amp;'Покупки по дням'!$B44,data!$B:$B,"="&amp;'Покупки по дням'!K$2)</f>
        <v>0</v>
      </c>
      <c r="L44">
        <f>SUMIFS(data!$C:$C,data!$A:$A,"="&amp;'Покупки по дням'!$B44,data!$B:$B,"="&amp;'Покупки по дням'!L$2)</f>
        <v>2</v>
      </c>
      <c r="M44">
        <f>SUMIFS(data!$C:$C,data!$A:$A,"="&amp;'Покупки по дням'!$B44,data!$B:$B,"="&amp;'Покупки по дням'!M$2)</f>
        <v>3</v>
      </c>
      <c r="N44">
        <f>SUMIFS(data!$C:$C,data!$A:$A,"="&amp;'Покупки по дням'!$B44,data!$B:$B,"="&amp;'Покупки по дням'!N$2)</f>
        <v>0</v>
      </c>
      <c r="O44">
        <f>SUMIFS(data!$C:$C,data!$A:$A,"="&amp;'Покупки по дням'!$B44,data!$B:$B,"="&amp;'Покупки по дням'!O$2)</f>
        <v>0</v>
      </c>
      <c r="P44">
        <f>SUMIFS(data!$C:$C,data!$A:$A,"="&amp;'Покупки по дням'!$B44,data!$B:$B,"="&amp;'Покупки по дням'!P$2)</f>
        <v>3</v>
      </c>
      <c r="Q44">
        <f>SUMIFS(data!$C:$C,data!$A:$A,"="&amp;'Покупки по дням'!$B44,data!$B:$B,"="&amp;'Покупки по дням'!Q$2)</f>
        <v>0</v>
      </c>
      <c r="R44">
        <f>SUMIFS(data!$C:$C,data!$A:$A,"="&amp;'Покупки по дням'!$B44,data!$B:$B,"="&amp;'Покупки по дням'!R$2)</f>
        <v>0</v>
      </c>
      <c r="S44">
        <f>SUMIFS(data!$C:$C,data!$A:$A,"="&amp;'Покупки по дням'!$B44,data!$B:$B,"="&amp;'Покупки по дням'!S$2)</f>
        <v>0</v>
      </c>
      <c r="T44">
        <f>SUMIFS(data!$C:$C,data!$A:$A,"="&amp;'Покупки по дням'!$B44,data!$B:$B,"="&amp;'Покупки по дням'!T$2)</f>
        <v>2</v>
      </c>
      <c r="U44">
        <f>SUMIFS(data!$C:$C,data!$A:$A,"="&amp;'Покупки по дням'!$B44,data!$B:$B,"="&amp;'Покупки по дням'!U$2)</f>
        <v>5</v>
      </c>
      <c r="V44">
        <f>SUMIFS(data!$C:$C,data!$A:$A,"="&amp;'Покупки по дням'!$B44,data!$B:$B,"="&amp;'Покупки по дням'!V$2)</f>
        <v>5</v>
      </c>
      <c r="W44">
        <f>SUMIFS(data!$C:$C,data!$A:$A,"="&amp;'Покупки по дням'!$B44,data!$B:$B,"="&amp;'Покупки по дням'!W$2)</f>
        <v>0</v>
      </c>
      <c r="X44">
        <f>SUMIFS(data!$C:$C,data!$A:$A,"="&amp;'Покупки по дням'!$B44,data!$B:$B,"="&amp;'Покупки по дням'!X$2)</f>
        <v>0</v>
      </c>
      <c r="Y44">
        <f>SUMIFS(data!$C:$C,data!$A:$A,"="&amp;'Покупки по дням'!$B44,data!$B:$B,"="&amp;'Покупки по дням'!Y$2)</f>
        <v>2</v>
      </c>
      <c r="Z44">
        <f>SUMIFS(data!$C:$C,data!$A:$A,"="&amp;'Покупки по дням'!$B44,data!$B:$B,"="&amp;'Покупки по дням'!Z$2)</f>
        <v>0</v>
      </c>
      <c r="AA44">
        <f>SUMIFS(data!$C:$C,data!$A:$A,"="&amp;'Покупки по дням'!$B44,data!$B:$B,"="&amp;'Покупки по дням'!AA$2)</f>
        <v>5</v>
      </c>
      <c r="AB44">
        <f>SUMIFS(data!$C:$C,data!$A:$A,"="&amp;'Покупки по дням'!$B44,data!$B:$B,"="&amp;'Покупки по дням'!AB$2)</f>
        <v>1</v>
      </c>
      <c r="AC44">
        <f>SUMIFS(data!$C:$C,data!$A:$A,"="&amp;'Покупки по дням'!$B44,data!$B:$B,"="&amp;'Покупки по дням'!AC$2)</f>
        <v>1</v>
      </c>
      <c r="AD44">
        <f>SUMIFS(data!$C:$C,data!$A:$A,"="&amp;'Покупки по дням'!$B44,data!$B:$B,"="&amp;'Покупки по дням'!AD$2)</f>
        <v>4</v>
      </c>
      <c r="AE44">
        <f>SUMIFS(data!$C:$C,data!$A:$A,"="&amp;'Покупки по дням'!$B44,data!$B:$B,"="&amp;'Покупки по дням'!AE$2)</f>
        <v>0</v>
      </c>
      <c r="AF44">
        <f>SUMIFS(data!$C:$C,data!$A:$A,"="&amp;'Покупки по дням'!$B44,data!$B:$B,"="&amp;'Покупки по дням'!AF$2)</f>
        <v>3</v>
      </c>
      <c r="AG44">
        <f>SUMIFS(data!$C:$C,data!$A:$A,"="&amp;'Покупки по дням'!$B44,data!$B:$B,"="&amp;'Покупки по дням'!AG$2)</f>
        <v>1</v>
      </c>
      <c r="AH44">
        <f>SUMIFS(data!$C:$C,data!$A:$A,"="&amp;'Покупки по дням'!$B44,data!$B:$B,"="&amp;'Покупки по дням'!AH$2)</f>
        <v>0</v>
      </c>
      <c r="AI44">
        <f>SUMIFS(data!$C:$C,data!$A:$A,"="&amp;'Покупки по дням'!$B44,data!$B:$B,"="&amp;'Покупки по дням'!AI$2)</f>
        <v>0</v>
      </c>
      <c r="AJ44">
        <f>SUMIFS(data!$C:$C,data!$A:$A,"="&amp;'Покупки по дням'!$B44,data!$B:$B,"="&amp;'Покупки по дням'!AJ$2)</f>
        <v>5</v>
      </c>
      <c r="AK44">
        <f>SUMIFS(data!$C:$C,data!$A:$A,"="&amp;'Покупки по дням'!$B44,data!$B:$B,"="&amp;'Покупки по дням'!AK$2)</f>
        <v>6</v>
      </c>
      <c r="AL44">
        <f>SUMIFS(data!$C:$C,data!$A:$A,"="&amp;'Покупки по дням'!$B44,data!$B:$B,"="&amp;'Покупки по дням'!AL$2)</f>
        <v>0</v>
      </c>
      <c r="AM44">
        <f>SUMIFS(data!$C:$C,data!$A:$A,"="&amp;'Покупки по дням'!$B44,data!$B:$B,"="&amp;'Покупки по дням'!AM$2)</f>
        <v>0</v>
      </c>
      <c r="AN44">
        <f>SUMIFS(data!$C:$C,data!$A:$A,"="&amp;'Покупки по дням'!$B44,data!$B:$B,"="&amp;'Покупки по дням'!AN$2)</f>
        <v>4</v>
      </c>
      <c r="AO44">
        <f>SUMIFS(data!$C:$C,data!$A:$A,"="&amp;'Покупки по дням'!$B44,data!$B:$B,"="&amp;'Покупки по дням'!AO$2)</f>
        <v>5</v>
      </c>
      <c r="AP44">
        <f>SUMIFS(data!$C:$C,data!$A:$A,"="&amp;'Покупки по дням'!$B44,data!$B:$B,"="&amp;'Покупки по дням'!AP$2)</f>
        <v>1</v>
      </c>
      <c r="AQ44" s="6">
        <f t="shared" si="0"/>
        <v>1.0132869418017421</v>
      </c>
    </row>
    <row r="45" spans="2:43" x14ac:dyDescent="0.3">
      <c r="B45" s="17" t="s">
        <v>35</v>
      </c>
      <c r="C45">
        <f>SUMIFS(data!$C:$C,data!$A:$A,"="&amp;'Покупки по дням'!$B45,data!$B:$B,"="&amp;'Покупки по дням'!C$2)</f>
        <v>2</v>
      </c>
      <c r="D45">
        <f>SUMIFS(data!$C:$C,data!$A:$A,"="&amp;'Покупки по дням'!$B45,data!$B:$B,"="&amp;'Покупки по дням'!D$2)</f>
        <v>3</v>
      </c>
      <c r="E45">
        <f>SUMIFS(data!$C:$C,data!$A:$A,"="&amp;'Покупки по дням'!$B45,data!$B:$B,"="&amp;'Покупки по дням'!E$2)</f>
        <v>1</v>
      </c>
      <c r="F45">
        <f>SUMIFS(data!$C:$C,data!$A:$A,"="&amp;'Покупки по дням'!$B45,data!$B:$B,"="&amp;'Покупки по дням'!F$2)</f>
        <v>4</v>
      </c>
      <c r="G45">
        <f>SUMIFS(data!$C:$C,data!$A:$A,"="&amp;'Покупки по дням'!$B45,data!$B:$B,"="&amp;'Покупки по дням'!G$2)</f>
        <v>1</v>
      </c>
      <c r="H45">
        <f>SUMIFS(data!$C:$C,data!$A:$A,"="&amp;'Покупки по дням'!$B45,data!$B:$B,"="&amp;'Покупки по дням'!H$2)</f>
        <v>4</v>
      </c>
      <c r="I45">
        <f>SUMIFS(data!$C:$C,data!$A:$A,"="&amp;'Покупки по дням'!$B45,data!$B:$B,"="&amp;'Покупки по дням'!I$2)</f>
        <v>8</v>
      </c>
      <c r="J45">
        <f>SUMIFS(data!$C:$C,data!$A:$A,"="&amp;'Покупки по дням'!$B45,data!$B:$B,"="&amp;'Покупки по дням'!J$2)</f>
        <v>4</v>
      </c>
      <c r="K45">
        <f>SUMIFS(data!$C:$C,data!$A:$A,"="&amp;'Покупки по дням'!$B45,data!$B:$B,"="&amp;'Покупки по дням'!K$2)</f>
        <v>0</v>
      </c>
      <c r="L45">
        <f>SUMIFS(data!$C:$C,data!$A:$A,"="&amp;'Покупки по дням'!$B45,data!$B:$B,"="&amp;'Покупки по дням'!L$2)</f>
        <v>8</v>
      </c>
      <c r="M45">
        <f>SUMIFS(data!$C:$C,data!$A:$A,"="&amp;'Покупки по дням'!$B45,data!$B:$B,"="&amp;'Покупки по дням'!M$2)</f>
        <v>8</v>
      </c>
      <c r="N45">
        <f>SUMIFS(data!$C:$C,data!$A:$A,"="&amp;'Покупки по дням'!$B45,data!$B:$B,"="&amp;'Покупки по дням'!N$2)</f>
        <v>1</v>
      </c>
      <c r="O45">
        <f>SUMIFS(data!$C:$C,data!$A:$A,"="&amp;'Покупки по дням'!$B45,data!$B:$B,"="&amp;'Покупки по дням'!O$2)</f>
        <v>1</v>
      </c>
      <c r="P45">
        <f>SUMIFS(data!$C:$C,data!$A:$A,"="&amp;'Покупки по дням'!$B45,data!$B:$B,"="&amp;'Покупки по дням'!P$2)</f>
        <v>4</v>
      </c>
      <c r="Q45">
        <f>SUMIFS(data!$C:$C,data!$A:$A,"="&amp;'Покупки по дням'!$B45,data!$B:$B,"="&amp;'Покупки по дням'!Q$2)</f>
        <v>2</v>
      </c>
      <c r="R45">
        <f>SUMIFS(data!$C:$C,data!$A:$A,"="&amp;'Покупки по дням'!$B45,data!$B:$B,"="&amp;'Покупки по дням'!R$2)</f>
        <v>3</v>
      </c>
      <c r="S45">
        <f>SUMIFS(data!$C:$C,data!$A:$A,"="&amp;'Покупки по дням'!$B45,data!$B:$B,"="&amp;'Покупки по дням'!S$2)</f>
        <v>3</v>
      </c>
      <c r="T45">
        <f>SUMIFS(data!$C:$C,data!$A:$A,"="&amp;'Покупки по дням'!$B45,data!$B:$B,"="&amp;'Покупки по дням'!T$2)</f>
        <v>0</v>
      </c>
      <c r="U45">
        <f>SUMIFS(data!$C:$C,data!$A:$A,"="&amp;'Покупки по дням'!$B45,data!$B:$B,"="&amp;'Покупки по дням'!U$2)</f>
        <v>5</v>
      </c>
      <c r="V45">
        <f>SUMIFS(data!$C:$C,data!$A:$A,"="&amp;'Покупки по дням'!$B45,data!$B:$B,"="&amp;'Покупки по дням'!V$2)</f>
        <v>3</v>
      </c>
      <c r="W45">
        <f>SUMIFS(data!$C:$C,data!$A:$A,"="&amp;'Покупки по дням'!$B45,data!$B:$B,"="&amp;'Покупки по дням'!W$2)</f>
        <v>5</v>
      </c>
      <c r="X45">
        <f>SUMIFS(data!$C:$C,data!$A:$A,"="&amp;'Покупки по дням'!$B45,data!$B:$B,"="&amp;'Покупки по дням'!X$2)</f>
        <v>3</v>
      </c>
      <c r="Y45">
        <f>SUMIFS(data!$C:$C,data!$A:$A,"="&amp;'Покупки по дням'!$B45,data!$B:$B,"="&amp;'Покупки по дням'!Y$2)</f>
        <v>6</v>
      </c>
      <c r="Z45">
        <f>SUMIFS(data!$C:$C,data!$A:$A,"="&amp;'Покупки по дням'!$B45,data!$B:$B,"="&amp;'Покупки по дням'!Z$2)</f>
        <v>0</v>
      </c>
      <c r="AA45">
        <f>SUMIFS(data!$C:$C,data!$A:$A,"="&amp;'Покупки по дням'!$B45,data!$B:$B,"="&amp;'Покупки по дням'!AA$2)</f>
        <v>1</v>
      </c>
      <c r="AB45">
        <f>SUMIFS(data!$C:$C,data!$A:$A,"="&amp;'Покупки по дням'!$B45,data!$B:$B,"="&amp;'Покупки по дням'!AB$2)</f>
        <v>3</v>
      </c>
      <c r="AC45">
        <f>SUMIFS(data!$C:$C,data!$A:$A,"="&amp;'Покупки по дням'!$B45,data!$B:$B,"="&amp;'Покупки по дням'!AC$2)</f>
        <v>1</v>
      </c>
      <c r="AD45">
        <f>SUMIFS(data!$C:$C,data!$A:$A,"="&amp;'Покупки по дням'!$B45,data!$B:$B,"="&amp;'Покупки по дням'!AD$2)</f>
        <v>2</v>
      </c>
      <c r="AE45">
        <f>SUMIFS(data!$C:$C,data!$A:$A,"="&amp;'Покупки по дням'!$B45,data!$B:$B,"="&amp;'Покупки по дням'!AE$2)</f>
        <v>4</v>
      </c>
      <c r="AF45">
        <f>SUMIFS(data!$C:$C,data!$A:$A,"="&amp;'Покупки по дням'!$B45,data!$B:$B,"="&amp;'Покупки по дням'!AF$2)</f>
        <v>4</v>
      </c>
      <c r="AG45">
        <f>SUMIFS(data!$C:$C,data!$A:$A,"="&amp;'Покупки по дням'!$B45,data!$B:$B,"="&amp;'Покупки по дням'!AG$2)</f>
        <v>6</v>
      </c>
      <c r="AH45">
        <f>SUMIFS(data!$C:$C,data!$A:$A,"="&amp;'Покупки по дням'!$B45,data!$B:$B,"="&amp;'Покупки по дням'!AH$2)</f>
        <v>5</v>
      </c>
      <c r="AI45">
        <f>SUMIFS(data!$C:$C,data!$A:$A,"="&amp;'Покупки по дням'!$B45,data!$B:$B,"="&amp;'Покупки по дням'!AI$2)</f>
        <v>0</v>
      </c>
      <c r="AJ45">
        <f>SUMIFS(data!$C:$C,data!$A:$A,"="&amp;'Покупки по дням'!$B45,data!$B:$B,"="&amp;'Покупки по дням'!AJ$2)</f>
        <v>0</v>
      </c>
      <c r="AK45">
        <f>SUMIFS(data!$C:$C,data!$A:$A,"="&amp;'Покупки по дням'!$B45,data!$B:$B,"="&amp;'Покупки по дням'!AK$2)</f>
        <v>4</v>
      </c>
      <c r="AL45">
        <f>SUMIFS(data!$C:$C,data!$A:$A,"="&amp;'Покупки по дням'!$B45,data!$B:$B,"="&amp;'Покупки по дням'!AL$2)</f>
        <v>1</v>
      </c>
      <c r="AM45">
        <f>SUMIFS(data!$C:$C,data!$A:$A,"="&amp;'Покупки по дням'!$B45,data!$B:$B,"="&amp;'Покупки по дням'!AM$2)</f>
        <v>4</v>
      </c>
      <c r="AN45">
        <f>SUMIFS(data!$C:$C,data!$A:$A,"="&amp;'Покупки по дням'!$B45,data!$B:$B,"="&amp;'Покупки по дням'!AN$2)</f>
        <v>2</v>
      </c>
      <c r="AO45">
        <f>SUMIFS(data!$C:$C,data!$A:$A,"="&amp;'Покупки по дням'!$B45,data!$B:$B,"="&amp;'Покупки по дням'!AO$2)</f>
        <v>1</v>
      </c>
      <c r="AP45">
        <f>SUMIFS(data!$C:$C,data!$A:$A,"="&amp;'Покупки по дням'!$B45,data!$B:$B,"="&amp;'Покупки по дням'!AP$2)</f>
        <v>4</v>
      </c>
      <c r="AQ45" s="6">
        <f t="shared" si="0"/>
        <v>0.73914863974032174</v>
      </c>
    </row>
    <row r="46" spans="2:43" ht="28.8" x14ac:dyDescent="0.3">
      <c r="B46" s="17" t="s">
        <v>134</v>
      </c>
      <c r="C46">
        <f>SUMIFS(data!$C:$C,data!$A:$A,"="&amp;'Покупки по дням'!$B46,data!$B:$B,"="&amp;'Покупки по дням'!C$2)</f>
        <v>3</v>
      </c>
      <c r="D46">
        <f>SUMIFS(data!$C:$C,data!$A:$A,"="&amp;'Покупки по дням'!$B46,data!$B:$B,"="&amp;'Покупки по дням'!D$2)</f>
        <v>3</v>
      </c>
      <c r="E46">
        <f>SUMIFS(data!$C:$C,data!$A:$A,"="&amp;'Покупки по дням'!$B46,data!$B:$B,"="&amp;'Покупки по дням'!E$2)</f>
        <v>3</v>
      </c>
      <c r="F46">
        <f>SUMIFS(data!$C:$C,data!$A:$A,"="&amp;'Покупки по дням'!$B46,data!$B:$B,"="&amp;'Покупки по дням'!F$2)</f>
        <v>9</v>
      </c>
      <c r="G46">
        <f>SUMIFS(data!$C:$C,data!$A:$A,"="&amp;'Покупки по дням'!$B46,data!$B:$B,"="&amp;'Покупки по дням'!G$2)</f>
        <v>2</v>
      </c>
      <c r="H46">
        <f>SUMIFS(data!$C:$C,data!$A:$A,"="&amp;'Покупки по дням'!$B46,data!$B:$B,"="&amp;'Покупки по дням'!H$2)</f>
        <v>17</v>
      </c>
      <c r="I46">
        <f>SUMIFS(data!$C:$C,data!$A:$A,"="&amp;'Покупки по дням'!$B46,data!$B:$B,"="&amp;'Покупки по дням'!I$2)</f>
        <v>6</v>
      </c>
      <c r="J46">
        <f>SUMIFS(data!$C:$C,data!$A:$A,"="&amp;'Покупки по дням'!$B46,data!$B:$B,"="&amp;'Покупки по дням'!J$2)</f>
        <v>3</v>
      </c>
      <c r="K46">
        <f>SUMIFS(data!$C:$C,data!$A:$A,"="&amp;'Покупки по дням'!$B46,data!$B:$B,"="&amp;'Покупки по дням'!K$2)</f>
        <v>0</v>
      </c>
      <c r="L46">
        <f>SUMIFS(data!$C:$C,data!$A:$A,"="&amp;'Покупки по дням'!$B46,data!$B:$B,"="&amp;'Покупки по дням'!L$2)</f>
        <v>4</v>
      </c>
      <c r="M46">
        <f>SUMIFS(data!$C:$C,data!$A:$A,"="&amp;'Покупки по дням'!$B46,data!$B:$B,"="&amp;'Покупки по дням'!M$2)</f>
        <v>7</v>
      </c>
      <c r="N46">
        <f>SUMIFS(data!$C:$C,data!$A:$A,"="&amp;'Покупки по дням'!$B46,data!$B:$B,"="&amp;'Покупки по дням'!N$2)</f>
        <v>4</v>
      </c>
      <c r="O46">
        <f>SUMIFS(data!$C:$C,data!$A:$A,"="&amp;'Покупки по дням'!$B46,data!$B:$B,"="&amp;'Покупки по дням'!O$2)</f>
        <v>7</v>
      </c>
      <c r="P46">
        <f>SUMIFS(data!$C:$C,data!$A:$A,"="&amp;'Покупки по дням'!$B46,data!$B:$B,"="&amp;'Покупки по дням'!P$2)</f>
        <v>9</v>
      </c>
      <c r="Q46">
        <f>SUMIFS(data!$C:$C,data!$A:$A,"="&amp;'Покупки по дням'!$B46,data!$B:$B,"="&amp;'Покупки по дням'!Q$2)</f>
        <v>2</v>
      </c>
      <c r="R46">
        <f>SUMIFS(data!$C:$C,data!$A:$A,"="&amp;'Покупки по дням'!$B46,data!$B:$B,"="&amp;'Покупки по дням'!R$2)</f>
        <v>2</v>
      </c>
      <c r="S46">
        <f>SUMIFS(data!$C:$C,data!$A:$A,"="&amp;'Покупки по дням'!$B46,data!$B:$B,"="&amp;'Покупки по дням'!S$2)</f>
        <v>2</v>
      </c>
      <c r="T46">
        <f>SUMIFS(data!$C:$C,data!$A:$A,"="&amp;'Покупки по дням'!$B46,data!$B:$B,"="&amp;'Покупки по дням'!T$2)</f>
        <v>0</v>
      </c>
      <c r="U46">
        <f>SUMIFS(data!$C:$C,data!$A:$A,"="&amp;'Покупки по дням'!$B46,data!$B:$B,"="&amp;'Покупки по дням'!U$2)</f>
        <v>4</v>
      </c>
      <c r="V46">
        <f>SUMIFS(data!$C:$C,data!$A:$A,"="&amp;'Покупки по дням'!$B46,data!$B:$B,"="&amp;'Покупки по дням'!V$2)</f>
        <v>9</v>
      </c>
      <c r="W46">
        <f>SUMIFS(data!$C:$C,data!$A:$A,"="&amp;'Покупки по дням'!$B46,data!$B:$B,"="&amp;'Покупки по дням'!W$2)</f>
        <v>1</v>
      </c>
      <c r="X46">
        <f>SUMIFS(data!$C:$C,data!$A:$A,"="&amp;'Покупки по дням'!$B46,data!$B:$B,"="&amp;'Покупки по дням'!X$2)</f>
        <v>11</v>
      </c>
      <c r="Y46">
        <f>SUMIFS(data!$C:$C,data!$A:$A,"="&amp;'Покупки по дням'!$B46,data!$B:$B,"="&amp;'Покупки по дням'!Y$2)</f>
        <v>8</v>
      </c>
      <c r="Z46">
        <f>SUMIFS(data!$C:$C,data!$A:$A,"="&amp;'Покупки по дням'!$B46,data!$B:$B,"="&amp;'Покупки по дням'!Z$2)</f>
        <v>1</v>
      </c>
      <c r="AA46">
        <f>SUMIFS(data!$C:$C,data!$A:$A,"="&amp;'Покупки по дням'!$B46,data!$B:$B,"="&amp;'Покупки по дням'!AA$2)</f>
        <v>4</v>
      </c>
      <c r="AB46">
        <f>SUMIFS(data!$C:$C,data!$A:$A,"="&amp;'Покупки по дням'!$B46,data!$B:$B,"="&amp;'Покупки по дням'!AB$2)</f>
        <v>3</v>
      </c>
      <c r="AC46">
        <f>SUMIFS(data!$C:$C,data!$A:$A,"="&amp;'Покупки по дням'!$B46,data!$B:$B,"="&amp;'Покупки по дням'!AC$2)</f>
        <v>2</v>
      </c>
      <c r="AD46">
        <f>SUMIFS(data!$C:$C,data!$A:$A,"="&amp;'Покупки по дням'!$B46,data!$B:$B,"="&amp;'Покупки по дням'!AD$2)</f>
        <v>1</v>
      </c>
      <c r="AE46">
        <f>SUMIFS(data!$C:$C,data!$A:$A,"="&amp;'Покупки по дням'!$B46,data!$B:$B,"="&amp;'Покупки по дням'!AE$2)</f>
        <v>3</v>
      </c>
      <c r="AF46">
        <f>SUMIFS(data!$C:$C,data!$A:$A,"="&amp;'Покупки по дням'!$B46,data!$B:$B,"="&amp;'Покупки по дням'!AF$2)</f>
        <v>3</v>
      </c>
      <c r="AG46">
        <f>SUMIFS(data!$C:$C,data!$A:$A,"="&amp;'Покупки по дням'!$B46,data!$B:$B,"="&amp;'Покупки по дням'!AG$2)</f>
        <v>2</v>
      </c>
      <c r="AH46">
        <f>SUMIFS(data!$C:$C,data!$A:$A,"="&amp;'Покупки по дням'!$B46,data!$B:$B,"="&amp;'Покупки по дням'!AH$2)</f>
        <v>3</v>
      </c>
      <c r="AI46">
        <f>SUMIFS(data!$C:$C,data!$A:$A,"="&amp;'Покупки по дням'!$B46,data!$B:$B,"="&amp;'Покупки по дням'!AI$2)</f>
        <v>4</v>
      </c>
      <c r="AJ46">
        <f>SUMIFS(data!$C:$C,data!$A:$A,"="&amp;'Покупки по дням'!$B46,data!$B:$B,"="&amp;'Покупки по дням'!AJ$2)</f>
        <v>1</v>
      </c>
      <c r="AK46">
        <f>SUMIFS(data!$C:$C,data!$A:$A,"="&amp;'Покупки по дням'!$B46,data!$B:$B,"="&amp;'Покупки по дням'!AK$2)</f>
        <v>0</v>
      </c>
      <c r="AL46">
        <f>SUMIFS(data!$C:$C,data!$A:$A,"="&amp;'Покупки по дням'!$B46,data!$B:$B,"="&amp;'Покупки по дням'!AL$2)</f>
        <v>2</v>
      </c>
      <c r="AM46">
        <f>SUMIFS(data!$C:$C,data!$A:$A,"="&amp;'Покупки по дням'!$B46,data!$B:$B,"="&amp;'Покупки по дням'!AM$2)</f>
        <v>4</v>
      </c>
      <c r="AN46">
        <f>SUMIFS(data!$C:$C,data!$A:$A,"="&amp;'Покупки по дням'!$B46,data!$B:$B,"="&amp;'Покупки по дням'!AN$2)</f>
        <v>1</v>
      </c>
      <c r="AO46">
        <f>SUMIFS(data!$C:$C,data!$A:$A,"="&amp;'Покупки по дням'!$B46,data!$B:$B,"="&amp;'Покупки по дням'!AO$2)</f>
        <v>8</v>
      </c>
      <c r="AP46">
        <f>SUMIFS(data!$C:$C,data!$A:$A,"="&amp;'Покупки по дням'!$B46,data!$B:$B,"="&amp;'Покупки по дням'!AP$2)</f>
        <v>0</v>
      </c>
      <c r="AQ46" s="6">
        <f t="shared" si="0"/>
        <v>0.89910210022291293</v>
      </c>
    </row>
    <row r="47" spans="2:43" x14ac:dyDescent="0.3">
      <c r="B47" s="17" t="s">
        <v>100</v>
      </c>
      <c r="C47">
        <f>SUMIFS(data!$C:$C,data!$A:$A,"="&amp;'Покупки по дням'!$B47,data!$B:$B,"="&amp;'Покупки по дням'!C$2)</f>
        <v>2</v>
      </c>
      <c r="D47">
        <f>SUMIFS(data!$C:$C,data!$A:$A,"="&amp;'Покупки по дням'!$B47,data!$B:$B,"="&amp;'Покупки по дням'!D$2)</f>
        <v>1</v>
      </c>
      <c r="E47">
        <f>SUMIFS(data!$C:$C,data!$A:$A,"="&amp;'Покупки по дням'!$B47,data!$B:$B,"="&amp;'Покупки по дням'!E$2)</f>
        <v>0</v>
      </c>
      <c r="F47">
        <f>SUMIFS(data!$C:$C,data!$A:$A,"="&amp;'Покупки по дням'!$B47,data!$B:$B,"="&amp;'Покупки по дням'!F$2)</f>
        <v>2</v>
      </c>
      <c r="G47">
        <f>SUMIFS(data!$C:$C,data!$A:$A,"="&amp;'Покупки по дням'!$B47,data!$B:$B,"="&amp;'Покупки по дням'!G$2)</f>
        <v>0</v>
      </c>
      <c r="H47">
        <f>SUMIFS(data!$C:$C,data!$A:$A,"="&amp;'Покупки по дням'!$B47,data!$B:$B,"="&amp;'Покупки по дням'!H$2)</f>
        <v>6</v>
      </c>
      <c r="I47">
        <f>SUMIFS(data!$C:$C,data!$A:$A,"="&amp;'Покупки по дням'!$B47,data!$B:$B,"="&amp;'Покупки по дням'!I$2)</f>
        <v>3</v>
      </c>
      <c r="J47">
        <f>SUMIFS(data!$C:$C,data!$A:$A,"="&amp;'Покупки по дням'!$B47,data!$B:$B,"="&amp;'Покупки по дням'!J$2)</f>
        <v>1</v>
      </c>
      <c r="K47">
        <f>SUMIFS(data!$C:$C,data!$A:$A,"="&amp;'Покупки по дням'!$B47,data!$B:$B,"="&amp;'Покупки по дням'!K$2)</f>
        <v>0</v>
      </c>
      <c r="L47">
        <f>SUMIFS(data!$C:$C,data!$A:$A,"="&amp;'Покупки по дням'!$B47,data!$B:$B,"="&amp;'Покупки по дням'!L$2)</f>
        <v>4</v>
      </c>
      <c r="M47">
        <f>SUMIFS(data!$C:$C,data!$A:$A,"="&amp;'Покупки по дням'!$B47,data!$B:$B,"="&amp;'Покупки по дням'!M$2)</f>
        <v>2</v>
      </c>
      <c r="N47">
        <f>SUMIFS(data!$C:$C,data!$A:$A,"="&amp;'Покупки по дням'!$B47,data!$B:$B,"="&amp;'Покупки по дням'!N$2)</f>
        <v>4</v>
      </c>
      <c r="O47">
        <f>SUMIFS(data!$C:$C,data!$A:$A,"="&amp;'Покупки по дням'!$B47,data!$B:$B,"="&amp;'Покупки по дням'!O$2)</f>
        <v>4</v>
      </c>
      <c r="P47">
        <f>SUMIFS(data!$C:$C,data!$A:$A,"="&amp;'Покупки по дням'!$B47,data!$B:$B,"="&amp;'Покупки по дням'!P$2)</f>
        <v>1</v>
      </c>
      <c r="Q47">
        <f>SUMIFS(data!$C:$C,data!$A:$A,"="&amp;'Покупки по дням'!$B47,data!$B:$B,"="&amp;'Покупки по дням'!Q$2)</f>
        <v>1</v>
      </c>
      <c r="R47">
        <f>SUMIFS(data!$C:$C,data!$A:$A,"="&amp;'Покупки по дням'!$B47,data!$B:$B,"="&amp;'Покупки по дням'!R$2)</f>
        <v>4</v>
      </c>
      <c r="S47">
        <f>SUMIFS(data!$C:$C,data!$A:$A,"="&amp;'Покупки по дням'!$B47,data!$B:$B,"="&amp;'Покупки по дням'!S$2)</f>
        <v>2</v>
      </c>
      <c r="T47">
        <f>SUMIFS(data!$C:$C,data!$A:$A,"="&amp;'Покупки по дням'!$B47,data!$B:$B,"="&amp;'Покупки по дням'!T$2)</f>
        <v>1</v>
      </c>
      <c r="U47">
        <f>SUMIFS(data!$C:$C,data!$A:$A,"="&amp;'Покупки по дням'!$B47,data!$B:$B,"="&amp;'Покупки по дням'!U$2)</f>
        <v>1</v>
      </c>
      <c r="V47">
        <f>SUMIFS(data!$C:$C,data!$A:$A,"="&amp;'Покупки по дням'!$B47,data!$B:$B,"="&amp;'Покупки по дням'!V$2)</f>
        <v>3</v>
      </c>
      <c r="W47">
        <f>SUMIFS(data!$C:$C,data!$A:$A,"="&amp;'Покупки по дням'!$B47,data!$B:$B,"="&amp;'Покупки по дням'!W$2)</f>
        <v>3</v>
      </c>
      <c r="X47">
        <f>SUMIFS(data!$C:$C,data!$A:$A,"="&amp;'Покупки по дням'!$B47,data!$B:$B,"="&amp;'Покупки по дням'!X$2)</f>
        <v>2</v>
      </c>
      <c r="Y47">
        <f>SUMIFS(data!$C:$C,data!$A:$A,"="&amp;'Покупки по дням'!$B47,data!$B:$B,"="&amp;'Покупки по дням'!Y$2)</f>
        <v>2</v>
      </c>
      <c r="Z47">
        <f>SUMIFS(data!$C:$C,data!$A:$A,"="&amp;'Покупки по дням'!$B47,data!$B:$B,"="&amp;'Покупки по дням'!Z$2)</f>
        <v>2</v>
      </c>
      <c r="AA47">
        <f>SUMIFS(data!$C:$C,data!$A:$A,"="&amp;'Покупки по дням'!$B47,data!$B:$B,"="&amp;'Покупки по дням'!AA$2)</f>
        <v>6</v>
      </c>
      <c r="AB47">
        <f>SUMIFS(data!$C:$C,data!$A:$A,"="&amp;'Покупки по дням'!$B47,data!$B:$B,"="&amp;'Покупки по дням'!AB$2)</f>
        <v>7</v>
      </c>
      <c r="AC47">
        <f>SUMIFS(data!$C:$C,data!$A:$A,"="&amp;'Покупки по дням'!$B47,data!$B:$B,"="&amp;'Покупки по дням'!AC$2)</f>
        <v>0</v>
      </c>
      <c r="AD47">
        <f>SUMIFS(data!$C:$C,data!$A:$A,"="&amp;'Покупки по дням'!$B47,data!$B:$B,"="&amp;'Покупки по дням'!AD$2)</f>
        <v>6</v>
      </c>
      <c r="AE47">
        <f>SUMIFS(data!$C:$C,data!$A:$A,"="&amp;'Покупки по дням'!$B47,data!$B:$B,"="&amp;'Покупки по дням'!AE$2)</f>
        <v>2</v>
      </c>
      <c r="AF47">
        <f>SUMIFS(data!$C:$C,data!$A:$A,"="&amp;'Покупки по дням'!$B47,data!$B:$B,"="&amp;'Покупки по дням'!AF$2)</f>
        <v>6</v>
      </c>
      <c r="AG47">
        <f>SUMIFS(data!$C:$C,data!$A:$A,"="&amp;'Покупки по дням'!$B47,data!$B:$B,"="&amp;'Покупки по дням'!AG$2)</f>
        <v>2</v>
      </c>
      <c r="AH47">
        <f>SUMIFS(data!$C:$C,data!$A:$A,"="&amp;'Покупки по дням'!$B47,data!$B:$B,"="&amp;'Покупки по дням'!AH$2)</f>
        <v>3</v>
      </c>
      <c r="AI47">
        <f>SUMIFS(data!$C:$C,data!$A:$A,"="&amp;'Покупки по дням'!$B47,data!$B:$B,"="&amp;'Покупки по дням'!AI$2)</f>
        <v>4</v>
      </c>
      <c r="AJ47">
        <f>SUMIFS(data!$C:$C,data!$A:$A,"="&amp;'Покупки по дням'!$B47,data!$B:$B,"="&amp;'Покупки по дням'!AJ$2)</f>
        <v>5</v>
      </c>
      <c r="AK47">
        <f>SUMIFS(data!$C:$C,data!$A:$A,"="&amp;'Покупки по дням'!$B47,data!$B:$B,"="&amp;'Покупки по дням'!AK$2)</f>
        <v>6</v>
      </c>
      <c r="AL47">
        <f>SUMIFS(data!$C:$C,data!$A:$A,"="&amp;'Покупки по дням'!$B47,data!$B:$B,"="&amp;'Покупки по дням'!AL$2)</f>
        <v>3</v>
      </c>
      <c r="AM47">
        <f>SUMIFS(data!$C:$C,data!$A:$A,"="&amp;'Покупки по дням'!$B47,data!$B:$B,"="&amp;'Покупки по дням'!AM$2)</f>
        <v>3</v>
      </c>
      <c r="AN47">
        <f>SUMIFS(data!$C:$C,data!$A:$A,"="&amp;'Покупки по дням'!$B47,data!$B:$B,"="&amp;'Покупки по дням'!AN$2)</f>
        <v>4</v>
      </c>
      <c r="AO47">
        <f>SUMIFS(data!$C:$C,data!$A:$A,"="&amp;'Покупки по дням'!$B47,data!$B:$B,"="&amp;'Покупки по дням'!AO$2)</f>
        <v>6</v>
      </c>
      <c r="AP47">
        <f>SUMIFS(data!$C:$C,data!$A:$A,"="&amp;'Покупки по дням'!$B47,data!$B:$B,"="&amp;'Покупки по дням'!AP$2)</f>
        <v>1</v>
      </c>
      <c r="AQ47" s="6">
        <f t="shared" si="0"/>
        <v>0.68752216950168143</v>
      </c>
    </row>
    <row r="48" spans="2:43" ht="28.8" x14ac:dyDescent="0.3">
      <c r="B48" s="17" t="s">
        <v>132</v>
      </c>
      <c r="C48">
        <f>SUMIFS(data!$C:$C,data!$A:$A,"="&amp;'Покупки по дням'!$B48,data!$B:$B,"="&amp;'Покупки по дням'!C$2)</f>
        <v>0</v>
      </c>
      <c r="D48">
        <f>SUMIFS(data!$C:$C,data!$A:$A,"="&amp;'Покупки по дням'!$B48,data!$B:$B,"="&amp;'Покупки по дням'!D$2)</f>
        <v>3</v>
      </c>
      <c r="E48">
        <f>SUMIFS(data!$C:$C,data!$A:$A,"="&amp;'Покупки по дням'!$B48,data!$B:$B,"="&amp;'Покупки по дням'!E$2)</f>
        <v>4</v>
      </c>
      <c r="F48">
        <f>SUMIFS(data!$C:$C,data!$A:$A,"="&amp;'Покупки по дням'!$B48,data!$B:$B,"="&amp;'Покупки по дням'!F$2)</f>
        <v>0</v>
      </c>
      <c r="G48">
        <f>SUMIFS(data!$C:$C,data!$A:$A,"="&amp;'Покупки по дням'!$B48,data!$B:$B,"="&amp;'Покупки по дням'!G$2)</f>
        <v>1</v>
      </c>
      <c r="H48">
        <f>SUMIFS(data!$C:$C,data!$A:$A,"="&amp;'Покупки по дням'!$B48,data!$B:$B,"="&amp;'Покупки по дням'!H$2)</f>
        <v>2</v>
      </c>
      <c r="I48">
        <f>SUMIFS(data!$C:$C,data!$A:$A,"="&amp;'Покупки по дням'!$B48,data!$B:$B,"="&amp;'Покупки по дням'!I$2)</f>
        <v>2</v>
      </c>
      <c r="J48">
        <f>SUMIFS(data!$C:$C,data!$A:$A,"="&amp;'Покупки по дням'!$B48,data!$B:$B,"="&amp;'Покупки по дням'!J$2)</f>
        <v>3</v>
      </c>
      <c r="K48">
        <f>SUMIFS(data!$C:$C,data!$A:$A,"="&amp;'Покупки по дням'!$B48,data!$B:$B,"="&amp;'Покупки по дням'!K$2)</f>
        <v>0</v>
      </c>
      <c r="L48">
        <f>SUMIFS(data!$C:$C,data!$A:$A,"="&amp;'Покупки по дням'!$B48,data!$B:$B,"="&amp;'Покупки по дням'!L$2)</f>
        <v>2</v>
      </c>
      <c r="M48">
        <f>SUMIFS(data!$C:$C,data!$A:$A,"="&amp;'Покупки по дням'!$B48,data!$B:$B,"="&amp;'Покупки по дням'!M$2)</f>
        <v>1</v>
      </c>
      <c r="N48">
        <f>SUMIFS(data!$C:$C,data!$A:$A,"="&amp;'Покупки по дням'!$B48,data!$B:$B,"="&amp;'Покупки по дням'!N$2)</f>
        <v>2</v>
      </c>
      <c r="O48">
        <f>SUMIFS(data!$C:$C,data!$A:$A,"="&amp;'Покупки по дням'!$B48,data!$B:$B,"="&amp;'Покупки по дням'!O$2)</f>
        <v>3</v>
      </c>
      <c r="P48">
        <f>SUMIFS(data!$C:$C,data!$A:$A,"="&amp;'Покупки по дням'!$B48,data!$B:$B,"="&amp;'Покупки по дням'!P$2)</f>
        <v>3</v>
      </c>
      <c r="Q48">
        <f>SUMIFS(data!$C:$C,data!$A:$A,"="&amp;'Покупки по дням'!$B48,data!$B:$B,"="&amp;'Покупки по дням'!Q$2)</f>
        <v>2</v>
      </c>
      <c r="R48">
        <f>SUMIFS(data!$C:$C,data!$A:$A,"="&amp;'Покупки по дням'!$B48,data!$B:$B,"="&amp;'Покупки по дням'!R$2)</f>
        <v>1</v>
      </c>
      <c r="S48">
        <f>SUMIFS(data!$C:$C,data!$A:$A,"="&amp;'Покупки по дням'!$B48,data!$B:$B,"="&amp;'Покупки по дням'!S$2)</f>
        <v>1</v>
      </c>
      <c r="T48">
        <f>SUMIFS(data!$C:$C,data!$A:$A,"="&amp;'Покупки по дням'!$B48,data!$B:$B,"="&amp;'Покупки по дням'!T$2)</f>
        <v>0</v>
      </c>
      <c r="U48">
        <f>SUMIFS(data!$C:$C,data!$A:$A,"="&amp;'Покупки по дням'!$B48,data!$B:$B,"="&amp;'Покупки по дням'!U$2)</f>
        <v>4</v>
      </c>
      <c r="V48">
        <f>SUMIFS(data!$C:$C,data!$A:$A,"="&amp;'Покупки по дням'!$B48,data!$B:$B,"="&amp;'Покупки по дням'!V$2)</f>
        <v>0</v>
      </c>
      <c r="W48">
        <f>SUMIFS(data!$C:$C,data!$A:$A,"="&amp;'Покупки по дням'!$B48,data!$B:$B,"="&amp;'Покупки по дням'!W$2)</f>
        <v>1</v>
      </c>
      <c r="X48">
        <f>SUMIFS(data!$C:$C,data!$A:$A,"="&amp;'Покупки по дням'!$B48,data!$B:$B,"="&amp;'Покупки по дням'!X$2)</f>
        <v>2</v>
      </c>
      <c r="Y48">
        <f>SUMIFS(data!$C:$C,data!$A:$A,"="&amp;'Покупки по дням'!$B48,data!$B:$B,"="&amp;'Покупки по дням'!Y$2)</f>
        <v>3</v>
      </c>
      <c r="Z48">
        <f>SUMIFS(data!$C:$C,data!$A:$A,"="&amp;'Покупки по дням'!$B48,data!$B:$B,"="&amp;'Покупки по дням'!Z$2)</f>
        <v>2</v>
      </c>
      <c r="AA48">
        <f>SUMIFS(data!$C:$C,data!$A:$A,"="&amp;'Покупки по дням'!$B48,data!$B:$B,"="&amp;'Покупки по дням'!AA$2)</f>
        <v>2</v>
      </c>
      <c r="AB48">
        <f>SUMIFS(data!$C:$C,data!$A:$A,"="&amp;'Покупки по дням'!$B48,data!$B:$B,"="&amp;'Покупки по дням'!AB$2)</f>
        <v>1</v>
      </c>
      <c r="AC48">
        <f>SUMIFS(data!$C:$C,data!$A:$A,"="&amp;'Покупки по дням'!$B48,data!$B:$B,"="&amp;'Покупки по дням'!AC$2)</f>
        <v>0</v>
      </c>
      <c r="AD48">
        <f>SUMIFS(data!$C:$C,data!$A:$A,"="&amp;'Покупки по дням'!$B48,data!$B:$B,"="&amp;'Покупки по дням'!AD$2)</f>
        <v>1</v>
      </c>
      <c r="AE48">
        <f>SUMIFS(data!$C:$C,data!$A:$A,"="&amp;'Покупки по дням'!$B48,data!$B:$B,"="&amp;'Покупки по дням'!AE$2)</f>
        <v>4</v>
      </c>
      <c r="AF48">
        <f>SUMIFS(data!$C:$C,data!$A:$A,"="&amp;'Покупки по дням'!$B48,data!$B:$B,"="&amp;'Покупки по дням'!AF$2)</f>
        <v>0</v>
      </c>
      <c r="AG48">
        <f>SUMIFS(data!$C:$C,data!$A:$A,"="&amp;'Покупки по дням'!$B48,data!$B:$B,"="&amp;'Покупки по дням'!AG$2)</f>
        <v>4</v>
      </c>
      <c r="AH48">
        <f>SUMIFS(data!$C:$C,data!$A:$A,"="&amp;'Покупки по дням'!$B48,data!$B:$B,"="&amp;'Покупки по дням'!AH$2)</f>
        <v>0</v>
      </c>
      <c r="AI48">
        <f>SUMIFS(data!$C:$C,data!$A:$A,"="&amp;'Покупки по дням'!$B48,data!$B:$B,"="&amp;'Покупки по дням'!AI$2)</f>
        <v>0</v>
      </c>
      <c r="AJ48">
        <f>SUMIFS(data!$C:$C,data!$A:$A,"="&amp;'Покупки по дням'!$B48,data!$B:$B,"="&amp;'Покупки по дням'!AJ$2)</f>
        <v>2</v>
      </c>
      <c r="AK48">
        <f>SUMIFS(data!$C:$C,data!$A:$A,"="&amp;'Покупки по дням'!$B48,data!$B:$B,"="&amp;'Покупки по дням'!AK$2)</f>
        <v>3</v>
      </c>
      <c r="AL48">
        <f>SUMIFS(data!$C:$C,data!$A:$A,"="&amp;'Покупки по дням'!$B48,data!$B:$B,"="&amp;'Покупки по дням'!AL$2)</f>
        <v>0</v>
      </c>
      <c r="AM48">
        <f>SUMIFS(data!$C:$C,data!$A:$A,"="&amp;'Покупки по дням'!$B48,data!$B:$B,"="&amp;'Покупки по дням'!AM$2)</f>
        <v>3</v>
      </c>
      <c r="AN48">
        <f>SUMIFS(data!$C:$C,data!$A:$A,"="&amp;'Покупки по дням'!$B48,data!$B:$B,"="&amp;'Покупки по дням'!AN$2)</f>
        <v>1</v>
      </c>
      <c r="AO48">
        <f>SUMIFS(data!$C:$C,data!$A:$A,"="&amp;'Покупки по дням'!$B48,data!$B:$B,"="&amp;'Покупки по дням'!AO$2)</f>
        <v>6</v>
      </c>
      <c r="AP48">
        <f>SUMIFS(data!$C:$C,data!$A:$A,"="&amp;'Покупки по дням'!$B48,data!$B:$B,"="&amp;'Покупки по дням'!AP$2)</f>
        <v>0</v>
      </c>
      <c r="AQ48" s="6">
        <f t="shared" si="0"/>
        <v>0.8706793308749966</v>
      </c>
    </row>
    <row r="49" spans="2:43" ht="28.8" x14ac:dyDescent="0.3">
      <c r="B49" s="17" t="s">
        <v>94</v>
      </c>
      <c r="C49">
        <f>SUMIFS(data!$C:$C,data!$A:$A,"="&amp;'Покупки по дням'!$B49,data!$B:$B,"="&amp;'Покупки по дням'!C$2)</f>
        <v>0</v>
      </c>
      <c r="D49">
        <f>SUMIFS(data!$C:$C,data!$A:$A,"="&amp;'Покупки по дням'!$B49,data!$B:$B,"="&amp;'Покупки по дням'!D$2)</f>
        <v>10</v>
      </c>
      <c r="E49">
        <f>SUMIFS(data!$C:$C,data!$A:$A,"="&amp;'Покупки по дням'!$B49,data!$B:$B,"="&amp;'Покупки по дням'!E$2)</f>
        <v>10</v>
      </c>
      <c r="F49">
        <f>SUMIFS(data!$C:$C,data!$A:$A,"="&amp;'Покупки по дням'!$B49,data!$B:$B,"="&amp;'Покупки по дням'!F$2)</f>
        <v>10</v>
      </c>
      <c r="G49">
        <f>SUMIFS(data!$C:$C,data!$A:$A,"="&amp;'Покупки по дням'!$B49,data!$B:$B,"="&amp;'Покупки по дням'!G$2)</f>
        <v>10</v>
      </c>
      <c r="H49">
        <f>SUMIFS(data!$C:$C,data!$A:$A,"="&amp;'Покупки по дням'!$B49,data!$B:$B,"="&amp;'Покупки по дням'!H$2)</f>
        <v>1</v>
      </c>
      <c r="I49">
        <f>SUMIFS(data!$C:$C,data!$A:$A,"="&amp;'Покупки по дням'!$B49,data!$B:$B,"="&amp;'Покупки по дням'!I$2)</f>
        <v>16</v>
      </c>
      <c r="J49">
        <f>SUMIFS(data!$C:$C,data!$A:$A,"="&amp;'Покупки по дням'!$B49,data!$B:$B,"="&amp;'Покупки по дням'!J$2)</f>
        <v>3</v>
      </c>
      <c r="K49">
        <f>SUMIFS(data!$C:$C,data!$A:$A,"="&amp;'Покупки по дням'!$B49,data!$B:$B,"="&amp;'Покупки по дням'!K$2)</f>
        <v>0</v>
      </c>
      <c r="L49">
        <f>SUMIFS(data!$C:$C,data!$A:$A,"="&amp;'Покупки по дням'!$B49,data!$B:$B,"="&amp;'Покупки по дням'!L$2)</f>
        <v>2</v>
      </c>
      <c r="M49">
        <f>SUMIFS(data!$C:$C,data!$A:$A,"="&amp;'Покупки по дням'!$B49,data!$B:$B,"="&amp;'Покупки по дням'!M$2)</f>
        <v>0</v>
      </c>
      <c r="N49">
        <f>SUMIFS(data!$C:$C,data!$A:$A,"="&amp;'Покупки по дням'!$B49,data!$B:$B,"="&amp;'Покупки по дням'!N$2)</f>
        <v>0</v>
      </c>
      <c r="O49">
        <f>SUMIFS(data!$C:$C,data!$A:$A,"="&amp;'Покупки по дням'!$B49,data!$B:$B,"="&amp;'Покупки по дням'!O$2)</f>
        <v>0</v>
      </c>
      <c r="P49">
        <f>SUMIFS(data!$C:$C,data!$A:$A,"="&amp;'Покупки по дням'!$B49,data!$B:$B,"="&amp;'Покупки по дням'!P$2)</f>
        <v>4</v>
      </c>
      <c r="Q49">
        <f>SUMIFS(data!$C:$C,data!$A:$A,"="&amp;'Покупки по дням'!$B49,data!$B:$B,"="&amp;'Покупки по дням'!Q$2)</f>
        <v>0</v>
      </c>
      <c r="R49">
        <f>SUMIFS(data!$C:$C,data!$A:$A,"="&amp;'Покупки по дням'!$B49,data!$B:$B,"="&amp;'Покупки по дням'!R$2)</f>
        <v>0</v>
      </c>
      <c r="S49">
        <f>SUMIFS(data!$C:$C,data!$A:$A,"="&amp;'Покупки по дням'!$B49,data!$B:$B,"="&amp;'Покупки по дням'!S$2)</f>
        <v>0</v>
      </c>
      <c r="T49">
        <f>SUMIFS(data!$C:$C,data!$A:$A,"="&amp;'Покупки по дням'!$B49,data!$B:$B,"="&amp;'Покупки по дням'!T$2)</f>
        <v>0</v>
      </c>
      <c r="U49">
        <f>SUMIFS(data!$C:$C,data!$A:$A,"="&amp;'Покупки по дням'!$B49,data!$B:$B,"="&amp;'Покупки по дням'!U$2)</f>
        <v>0</v>
      </c>
      <c r="V49">
        <f>SUMIFS(data!$C:$C,data!$A:$A,"="&amp;'Покупки по дням'!$B49,data!$B:$B,"="&amp;'Покупки по дням'!V$2)</f>
        <v>0</v>
      </c>
      <c r="W49">
        <f>SUMIFS(data!$C:$C,data!$A:$A,"="&amp;'Покупки по дням'!$B49,data!$B:$B,"="&amp;'Покупки по дням'!W$2)</f>
        <v>0</v>
      </c>
      <c r="X49">
        <f>SUMIFS(data!$C:$C,data!$A:$A,"="&amp;'Покупки по дням'!$B49,data!$B:$B,"="&amp;'Покупки по дням'!X$2)</f>
        <v>0</v>
      </c>
      <c r="Y49">
        <f>SUMIFS(data!$C:$C,data!$A:$A,"="&amp;'Покупки по дням'!$B49,data!$B:$B,"="&amp;'Покупки по дням'!Y$2)</f>
        <v>0</v>
      </c>
      <c r="Z49">
        <f>SUMIFS(data!$C:$C,data!$A:$A,"="&amp;'Покупки по дням'!$B49,data!$B:$B,"="&amp;'Покупки по дням'!Z$2)</f>
        <v>0</v>
      </c>
      <c r="AA49">
        <f>SUMIFS(data!$C:$C,data!$A:$A,"="&amp;'Покупки по дням'!$B49,data!$B:$B,"="&amp;'Покупки по дням'!AA$2)</f>
        <v>0</v>
      </c>
      <c r="AB49">
        <f>SUMIFS(data!$C:$C,data!$A:$A,"="&amp;'Покупки по дням'!$B49,data!$B:$B,"="&amp;'Покупки по дням'!AB$2)</f>
        <v>0</v>
      </c>
      <c r="AC49">
        <f>SUMIFS(data!$C:$C,data!$A:$A,"="&amp;'Покупки по дням'!$B49,data!$B:$B,"="&amp;'Покупки по дням'!AC$2)</f>
        <v>10</v>
      </c>
      <c r="AD49">
        <f>SUMIFS(data!$C:$C,data!$A:$A,"="&amp;'Покупки по дням'!$B49,data!$B:$B,"="&amp;'Покупки по дням'!AD$2)</f>
        <v>5</v>
      </c>
      <c r="AE49">
        <f>SUMIFS(data!$C:$C,data!$A:$A,"="&amp;'Покупки по дням'!$B49,data!$B:$B,"="&amp;'Покупки по дням'!AE$2)</f>
        <v>0</v>
      </c>
      <c r="AF49">
        <f>SUMIFS(data!$C:$C,data!$A:$A,"="&amp;'Покупки по дням'!$B49,data!$B:$B,"="&amp;'Покупки по дням'!AF$2)</f>
        <v>0</v>
      </c>
      <c r="AG49">
        <f>SUMIFS(data!$C:$C,data!$A:$A,"="&amp;'Покупки по дням'!$B49,data!$B:$B,"="&amp;'Покупки по дням'!AG$2)</f>
        <v>0</v>
      </c>
      <c r="AH49">
        <f>SUMIFS(data!$C:$C,data!$A:$A,"="&amp;'Покупки по дням'!$B49,data!$B:$B,"="&amp;'Покупки по дням'!AH$2)</f>
        <v>0</v>
      </c>
      <c r="AI49">
        <f>SUMIFS(data!$C:$C,data!$A:$A,"="&amp;'Покупки по дням'!$B49,data!$B:$B,"="&amp;'Покупки по дням'!AI$2)</f>
        <v>0</v>
      </c>
      <c r="AJ49">
        <f>SUMIFS(data!$C:$C,data!$A:$A,"="&amp;'Покупки по дням'!$B49,data!$B:$B,"="&amp;'Покупки по дням'!AJ$2)</f>
        <v>0</v>
      </c>
      <c r="AK49">
        <f>SUMIFS(data!$C:$C,data!$A:$A,"="&amp;'Покупки по дням'!$B49,data!$B:$B,"="&amp;'Покупки по дням'!AK$2)</f>
        <v>0</v>
      </c>
      <c r="AL49">
        <f>SUMIFS(data!$C:$C,data!$A:$A,"="&amp;'Покупки по дням'!$B49,data!$B:$B,"="&amp;'Покупки по дням'!AL$2)</f>
        <v>2</v>
      </c>
      <c r="AM49">
        <f>SUMIFS(data!$C:$C,data!$A:$A,"="&amp;'Покупки по дням'!$B49,data!$B:$B,"="&amp;'Покупки по дням'!AM$2)</f>
        <v>5</v>
      </c>
      <c r="AN49">
        <f>SUMIFS(data!$C:$C,data!$A:$A,"="&amp;'Покупки по дням'!$B49,data!$B:$B,"="&amp;'Покупки по дням'!AN$2)</f>
        <v>0</v>
      </c>
      <c r="AO49">
        <f>SUMIFS(data!$C:$C,data!$A:$A,"="&amp;'Покупки по дням'!$B49,data!$B:$B,"="&amp;'Покупки по дням'!AO$2)</f>
        <v>5</v>
      </c>
      <c r="AP49">
        <f>SUMIFS(data!$C:$C,data!$A:$A,"="&amp;'Покупки по дням'!$B49,data!$B:$B,"="&amp;'Покупки по дням'!AP$2)</f>
        <v>2</v>
      </c>
      <c r="AQ49" s="6">
        <f t="shared" si="0"/>
        <v>1.710157751219991</v>
      </c>
    </row>
    <row r="50" spans="2:43" ht="28.8" x14ac:dyDescent="0.3">
      <c r="B50" s="17" t="s">
        <v>31</v>
      </c>
      <c r="C50">
        <f>SUMIFS(data!$C:$C,data!$A:$A,"="&amp;'Покупки по дням'!$B50,data!$B:$B,"="&amp;'Покупки по дням'!C$2)</f>
        <v>1</v>
      </c>
      <c r="D50">
        <f>SUMIFS(data!$C:$C,data!$A:$A,"="&amp;'Покупки по дням'!$B50,data!$B:$B,"="&amp;'Покупки по дням'!D$2)</f>
        <v>3</v>
      </c>
      <c r="E50">
        <f>SUMIFS(data!$C:$C,data!$A:$A,"="&amp;'Покупки по дням'!$B50,data!$B:$B,"="&amp;'Покупки по дням'!E$2)</f>
        <v>17</v>
      </c>
      <c r="F50">
        <f>SUMIFS(data!$C:$C,data!$A:$A,"="&amp;'Покупки по дням'!$B50,data!$B:$B,"="&amp;'Покупки по дням'!F$2)</f>
        <v>10</v>
      </c>
      <c r="G50">
        <f>SUMIFS(data!$C:$C,data!$A:$A,"="&amp;'Покупки по дням'!$B50,data!$B:$B,"="&amp;'Покупки по дням'!G$2)</f>
        <v>11</v>
      </c>
      <c r="H50">
        <f>SUMIFS(data!$C:$C,data!$A:$A,"="&amp;'Покупки по дням'!$B50,data!$B:$B,"="&amp;'Покупки по дням'!H$2)</f>
        <v>11</v>
      </c>
      <c r="I50">
        <f>SUMIFS(data!$C:$C,data!$A:$A,"="&amp;'Покупки по дням'!$B50,data!$B:$B,"="&amp;'Покупки по дням'!I$2)</f>
        <v>2</v>
      </c>
      <c r="J50">
        <f>SUMIFS(data!$C:$C,data!$A:$A,"="&amp;'Покупки по дням'!$B50,data!$B:$B,"="&amp;'Покупки по дням'!J$2)</f>
        <v>7</v>
      </c>
      <c r="K50">
        <f>SUMIFS(data!$C:$C,data!$A:$A,"="&amp;'Покупки по дням'!$B50,data!$B:$B,"="&amp;'Покупки по дням'!K$2)</f>
        <v>0</v>
      </c>
      <c r="L50">
        <f>SUMIFS(data!$C:$C,data!$A:$A,"="&amp;'Покупки по дням'!$B50,data!$B:$B,"="&amp;'Покупки по дням'!L$2)</f>
        <v>0</v>
      </c>
      <c r="M50">
        <f>SUMIFS(data!$C:$C,data!$A:$A,"="&amp;'Покупки по дням'!$B50,data!$B:$B,"="&amp;'Покупки по дням'!M$2)</f>
        <v>7</v>
      </c>
      <c r="N50">
        <f>SUMIFS(data!$C:$C,data!$A:$A,"="&amp;'Покупки по дням'!$B50,data!$B:$B,"="&amp;'Покупки по дням'!N$2)</f>
        <v>13</v>
      </c>
      <c r="O50">
        <f>SUMIFS(data!$C:$C,data!$A:$A,"="&amp;'Покупки по дням'!$B50,data!$B:$B,"="&amp;'Покупки по дням'!O$2)</f>
        <v>0</v>
      </c>
      <c r="P50">
        <f>SUMIFS(data!$C:$C,data!$A:$A,"="&amp;'Покупки по дням'!$B50,data!$B:$B,"="&amp;'Покупки по дням'!P$2)</f>
        <v>0</v>
      </c>
      <c r="Q50">
        <f>SUMIFS(data!$C:$C,data!$A:$A,"="&amp;'Покупки по дням'!$B50,data!$B:$B,"="&amp;'Покупки по дням'!Q$2)</f>
        <v>1</v>
      </c>
      <c r="R50">
        <f>SUMIFS(data!$C:$C,data!$A:$A,"="&amp;'Покупки по дням'!$B50,data!$B:$B,"="&amp;'Покупки по дням'!R$2)</f>
        <v>16</v>
      </c>
      <c r="S50">
        <f>SUMIFS(data!$C:$C,data!$A:$A,"="&amp;'Покупки по дням'!$B50,data!$B:$B,"="&amp;'Покупки по дням'!S$2)</f>
        <v>11</v>
      </c>
      <c r="T50">
        <f>SUMIFS(data!$C:$C,data!$A:$A,"="&amp;'Покупки по дням'!$B50,data!$B:$B,"="&amp;'Покупки по дням'!T$2)</f>
        <v>0</v>
      </c>
      <c r="U50">
        <f>SUMIFS(data!$C:$C,data!$A:$A,"="&amp;'Покупки по дням'!$B50,data!$B:$B,"="&amp;'Покупки по дням'!U$2)</f>
        <v>5</v>
      </c>
      <c r="V50">
        <f>SUMIFS(data!$C:$C,data!$A:$A,"="&amp;'Покупки по дням'!$B50,data!$B:$B,"="&amp;'Покупки по дням'!V$2)</f>
        <v>3</v>
      </c>
      <c r="W50">
        <f>SUMIFS(data!$C:$C,data!$A:$A,"="&amp;'Покупки по дням'!$B50,data!$B:$B,"="&amp;'Покупки по дням'!W$2)</f>
        <v>18</v>
      </c>
      <c r="X50">
        <f>SUMIFS(data!$C:$C,data!$A:$A,"="&amp;'Покупки по дням'!$B50,data!$B:$B,"="&amp;'Покупки по дням'!X$2)</f>
        <v>18</v>
      </c>
      <c r="Y50">
        <f>SUMIFS(data!$C:$C,data!$A:$A,"="&amp;'Покупки по дням'!$B50,data!$B:$B,"="&amp;'Покупки по дням'!Y$2)</f>
        <v>5</v>
      </c>
      <c r="Z50">
        <f>SUMIFS(data!$C:$C,data!$A:$A,"="&amp;'Покупки по дням'!$B50,data!$B:$B,"="&amp;'Покупки по дням'!Z$2)</f>
        <v>13</v>
      </c>
      <c r="AA50">
        <f>SUMIFS(data!$C:$C,data!$A:$A,"="&amp;'Покупки по дням'!$B50,data!$B:$B,"="&amp;'Покупки по дням'!AA$2)</f>
        <v>22</v>
      </c>
      <c r="AB50">
        <f>SUMIFS(data!$C:$C,data!$A:$A,"="&amp;'Покупки по дням'!$B50,data!$B:$B,"="&amp;'Покупки по дням'!AB$2)</f>
        <v>12</v>
      </c>
      <c r="AC50">
        <f>SUMIFS(data!$C:$C,data!$A:$A,"="&amp;'Покупки по дням'!$B50,data!$B:$B,"="&amp;'Покупки по дням'!AC$2)</f>
        <v>2</v>
      </c>
      <c r="AD50">
        <f>SUMIFS(data!$C:$C,data!$A:$A,"="&amp;'Покупки по дням'!$B50,data!$B:$B,"="&amp;'Покупки по дням'!AD$2)</f>
        <v>2</v>
      </c>
      <c r="AE50">
        <f>SUMIFS(data!$C:$C,data!$A:$A,"="&amp;'Покупки по дням'!$B50,data!$B:$B,"="&amp;'Покупки по дням'!AE$2)</f>
        <v>11</v>
      </c>
      <c r="AF50">
        <f>SUMIFS(data!$C:$C,data!$A:$A,"="&amp;'Покупки по дням'!$B50,data!$B:$B,"="&amp;'Покупки по дням'!AF$2)</f>
        <v>20</v>
      </c>
      <c r="AG50">
        <f>SUMIFS(data!$C:$C,data!$A:$A,"="&amp;'Покупки по дням'!$B50,data!$B:$B,"="&amp;'Покупки по дням'!AG$2)</f>
        <v>7</v>
      </c>
      <c r="AH50">
        <f>SUMIFS(data!$C:$C,data!$A:$A,"="&amp;'Покупки по дням'!$B50,data!$B:$B,"="&amp;'Покупки по дням'!AH$2)</f>
        <v>0</v>
      </c>
      <c r="AI50">
        <f>SUMIFS(data!$C:$C,data!$A:$A,"="&amp;'Покупки по дням'!$B50,data!$B:$B,"="&amp;'Покупки по дням'!AI$2)</f>
        <v>7</v>
      </c>
      <c r="AJ50">
        <f>SUMIFS(data!$C:$C,data!$A:$A,"="&amp;'Покупки по дням'!$B50,data!$B:$B,"="&amp;'Покупки по дням'!AJ$2)</f>
        <v>6</v>
      </c>
      <c r="AK50">
        <f>SUMIFS(data!$C:$C,data!$A:$A,"="&amp;'Покупки по дням'!$B50,data!$B:$B,"="&amp;'Покупки по дням'!AK$2)</f>
        <v>0</v>
      </c>
      <c r="AL50">
        <f>SUMIFS(data!$C:$C,data!$A:$A,"="&amp;'Покупки по дням'!$B50,data!$B:$B,"="&amp;'Покупки по дням'!AL$2)</f>
        <v>3</v>
      </c>
      <c r="AM50">
        <f>SUMIFS(data!$C:$C,data!$A:$A,"="&amp;'Покупки по дням'!$B50,data!$B:$B,"="&amp;'Покупки по дням'!AM$2)</f>
        <v>16</v>
      </c>
      <c r="AN50">
        <f>SUMIFS(data!$C:$C,data!$A:$A,"="&amp;'Покупки по дням'!$B50,data!$B:$B,"="&amp;'Покупки по дням'!AN$2)</f>
        <v>6</v>
      </c>
      <c r="AO50">
        <f>SUMIFS(data!$C:$C,data!$A:$A,"="&amp;'Покупки по дням'!$B50,data!$B:$B,"="&amp;'Покупки по дням'!AO$2)</f>
        <v>4</v>
      </c>
      <c r="AP50">
        <f>SUMIFS(data!$C:$C,data!$A:$A,"="&amp;'Покупки по дням'!$B50,data!$B:$B,"="&amp;'Покупки по дням'!AP$2)</f>
        <v>6</v>
      </c>
      <c r="AQ50" s="6">
        <f t="shared" si="0"/>
        <v>0.8708429910863793</v>
      </c>
    </row>
    <row r="51" spans="2:43" ht="28.8" x14ac:dyDescent="0.3">
      <c r="B51" s="17" t="s">
        <v>158</v>
      </c>
      <c r="C51">
        <f>SUMIFS(data!$C:$C,data!$A:$A,"="&amp;'Покупки по дням'!$B51,data!$B:$B,"="&amp;'Покупки по дням'!C$2)</f>
        <v>7</v>
      </c>
      <c r="D51">
        <f>SUMIFS(data!$C:$C,data!$A:$A,"="&amp;'Покупки по дням'!$B51,data!$B:$B,"="&amp;'Покупки по дням'!D$2)</f>
        <v>0</v>
      </c>
      <c r="E51">
        <f>SUMIFS(data!$C:$C,data!$A:$A,"="&amp;'Покупки по дням'!$B51,data!$B:$B,"="&amp;'Покупки по дням'!E$2)</f>
        <v>0</v>
      </c>
      <c r="F51">
        <f>SUMIFS(data!$C:$C,data!$A:$A,"="&amp;'Покупки по дням'!$B51,data!$B:$B,"="&amp;'Покупки по дням'!F$2)</f>
        <v>0</v>
      </c>
      <c r="G51">
        <f>SUMIFS(data!$C:$C,data!$A:$A,"="&amp;'Покупки по дням'!$B51,data!$B:$B,"="&amp;'Покупки по дням'!G$2)</f>
        <v>0</v>
      </c>
      <c r="H51">
        <f>SUMIFS(data!$C:$C,data!$A:$A,"="&amp;'Покупки по дням'!$B51,data!$B:$B,"="&amp;'Покупки по дням'!H$2)</f>
        <v>0</v>
      </c>
      <c r="I51">
        <f>SUMIFS(data!$C:$C,data!$A:$A,"="&amp;'Покупки по дням'!$B51,data!$B:$B,"="&amp;'Покупки по дням'!I$2)</f>
        <v>7</v>
      </c>
      <c r="J51">
        <f>SUMIFS(data!$C:$C,data!$A:$A,"="&amp;'Покупки по дням'!$B51,data!$B:$B,"="&amp;'Покупки по дням'!J$2)</f>
        <v>0</v>
      </c>
      <c r="K51">
        <f>SUMIFS(data!$C:$C,data!$A:$A,"="&amp;'Покупки по дням'!$B51,data!$B:$B,"="&amp;'Покупки по дням'!K$2)</f>
        <v>0</v>
      </c>
      <c r="L51">
        <f>SUMIFS(data!$C:$C,data!$A:$A,"="&amp;'Покупки по дням'!$B51,data!$B:$B,"="&amp;'Покупки по дням'!L$2)</f>
        <v>1</v>
      </c>
      <c r="M51">
        <f>SUMIFS(data!$C:$C,data!$A:$A,"="&amp;'Покупки по дням'!$B51,data!$B:$B,"="&amp;'Покупки по дням'!M$2)</f>
        <v>0</v>
      </c>
      <c r="N51">
        <f>SUMIFS(data!$C:$C,data!$A:$A,"="&amp;'Покупки по дням'!$B51,data!$B:$B,"="&amp;'Покупки по дням'!N$2)</f>
        <v>10</v>
      </c>
      <c r="O51">
        <f>SUMIFS(data!$C:$C,data!$A:$A,"="&amp;'Покупки по дням'!$B51,data!$B:$B,"="&amp;'Покупки по дням'!O$2)</f>
        <v>0</v>
      </c>
      <c r="P51">
        <f>SUMIFS(data!$C:$C,data!$A:$A,"="&amp;'Покупки по дням'!$B51,data!$B:$B,"="&amp;'Покупки по дням'!P$2)</f>
        <v>0</v>
      </c>
      <c r="Q51">
        <f>SUMIFS(data!$C:$C,data!$A:$A,"="&amp;'Покупки по дням'!$B51,data!$B:$B,"="&amp;'Покупки по дням'!Q$2)</f>
        <v>14</v>
      </c>
      <c r="R51">
        <f>SUMIFS(data!$C:$C,data!$A:$A,"="&amp;'Покупки по дням'!$B51,data!$B:$B,"="&amp;'Покупки по дням'!R$2)</f>
        <v>20</v>
      </c>
      <c r="S51">
        <f>SUMIFS(data!$C:$C,data!$A:$A,"="&amp;'Покупки по дням'!$B51,data!$B:$B,"="&amp;'Покупки по дням'!S$2)</f>
        <v>0</v>
      </c>
      <c r="T51">
        <f>SUMIFS(data!$C:$C,data!$A:$A,"="&amp;'Покупки по дням'!$B51,data!$B:$B,"="&amp;'Покупки по дням'!T$2)</f>
        <v>4</v>
      </c>
      <c r="U51">
        <f>SUMIFS(data!$C:$C,data!$A:$A,"="&amp;'Покупки по дням'!$B51,data!$B:$B,"="&amp;'Покупки по дням'!U$2)</f>
        <v>5</v>
      </c>
      <c r="V51">
        <f>SUMIFS(data!$C:$C,data!$A:$A,"="&amp;'Покупки по дням'!$B51,data!$B:$B,"="&amp;'Покупки по дням'!V$2)</f>
        <v>20</v>
      </c>
      <c r="W51">
        <f>SUMIFS(data!$C:$C,data!$A:$A,"="&amp;'Покупки по дням'!$B51,data!$B:$B,"="&amp;'Покупки по дням'!W$2)</f>
        <v>10</v>
      </c>
      <c r="X51">
        <f>SUMIFS(data!$C:$C,data!$A:$A,"="&amp;'Покупки по дням'!$B51,data!$B:$B,"="&amp;'Покупки по дням'!X$2)</f>
        <v>0</v>
      </c>
      <c r="Y51">
        <f>SUMIFS(data!$C:$C,data!$A:$A,"="&amp;'Покупки по дням'!$B51,data!$B:$B,"="&amp;'Покупки по дням'!Y$2)</f>
        <v>12</v>
      </c>
      <c r="Z51">
        <f>SUMIFS(data!$C:$C,data!$A:$A,"="&amp;'Покупки по дням'!$B51,data!$B:$B,"="&amp;'Покупки по дням'!Z$2)</f>
        <v>0</v>
      </c>
      <c r="AA51">
        <f>SUMIFS(data!$C:$C,data!$A:$A,"="&amp;'Покупки по дням'!$B51,data!$B:$B,"="&amp;'Покупки по дням'!AA$2)</f>
        <v>3</v>
      </c>
      <c r="AB51">
        <f>SUMIFS(data!$C:$C,data!$A:$A,"="&amp;'Покупки по дням'!$B51,data!$B:$B,"="&amp;'Покупки по дням'!AB$2)</f>
        <v>10</v>
      </c>
      <c r="AC51">
        <f>SUMIFS(data!$C:$C,data!$A:$A,"="&amp;'Покупки по дням'!$B51,data!$B:$B,"="&amp;'Покупки по дням'!AC$2)</f>
        <v>0</v>
      </c>
      <c r="AD51">
        <f>SUMIFS(data!$C:$C,data!$A:$A,"="&amp;'Покупки по дням'!$B51,data!$B:$B,"="&amp;'Покупки по дням'!AD$2)</f>
        <v>0</v>
      </c>
      <c r="AE51">
        <f>SUMIFS(data!$C:$C,data!$A:$A,"="&amp;'Покупки по дням'!$B51,data!$B:$B,"="&amp;'Покупки по дням'!AE$2)</f>
        <v>13</v>
      </c>
      <c r="AF51">
        <f>SUMIFS(data!$C:$C,data!$A:$A,"="&amp;'Покупки по дням'!$B51,data!$B:$B,"="&amp;'Покупки по дням'!AF$2)</f>
        <v>10</v>
      </c>
      <c r="AG51">
        <f>SUMIFS(data!$C:$C,data!$A:$A,"="&amp;'Покупки по дням'!$B51,data!$B:$B,"="&amp;'Покупки по дням'!AG$2)</f>
        <v>16</v>
      </c>
      <c r="AH51">
        <f>SUMIFS(data!$C:$C,data!$A:$A,"="&amp;'Покупки по дням'!$B51,data!$B:$B,"="&amp;'Покупки по дням'!AH$2)</f>
        <v>15</v>
      </c>
      <c r="AI51">
        <f>SUMIFS(data!$C:$C,data!$A:$A,"="&amp;'Покупки по дням'!$B51,data!$B:$B,"="&amp;'Покупки по дням'!AI$2)</f>
        <v>5</v>
      </c>
      <c r="AJ51">
        <f>SUMIFS(data!$C:$C,data!$A:$A,"="&amp;'Покупки по дням'!$B51,data!$B:$B,"="&amp;'Покупки по дням'!AJ$2)</f>
        <v>0</v>
      </c>
      <c r="AK51">
        <f>SUMIFS(data!$C:$C,data!$A:$A,"="&amp;'Покупки по дням'!$B51,data!$B:$B,"="&amp;'Покупки по дням'!AK$2)</f>
        <v>0</v>
      </c>
      <c r="AL51">
        <f>SUMIFS(data!$C:$C,data!$A:$A,"="&amp;'Покупки по дням'!$B51,data!$B:$B,"="&amp;'Покупки по дням'!AL$2)</f>
        <v>5</v>
      </c>
      <c r="AM51">
        <f>SUMIFS(data!$C:$C,data!$A:$A,"="&amp;'Покупки по дням'!$B51,data!$B:$B,"="&amp;'Покупки по дням'!AM$2)</f>
        <v>0</v>
      </c>
      <c r="AN51">
        <f>SUMIFS(data!$C:$C,data!$A:$A,"="&amp;'Покупки по дням'!$B51,data!$B:$B,"="&amp;'Покупки по дням'!AN$2)</f>
        <v>0</v>
      </c>
      <c r="AO51">
        <f>SUMIFS(data!$C:$C,data!$A:$A,"="&amp;'Покупки по дням'!$B51,data!$B:$B,"="&amp;'Покупки по дням'!AO$2)</f>
        <v>0</v>
      </c>
      <c r="AP51">
        <f>SUMIFS(data!$C:$C,data!$A:$A,"="&amp;'Покупки по дням'!$B51,data!$B:$B,"="&amp;'Покупки по дням'!AP$2)</f>
        <v>0</v>
      </c>
      <c r="AQ51" s="6">
        <f t="shared" si="0"/>
        <v>1.3330920721956032</v>
      </c>
    </row>
    <row r="52" spans="2:43" x14ac:dyDescent="0.3">
      <c r="B52" s="17" t="s">
        <v>37</v>
      </c>
      <c r="C52">
        <f>SUMIFS(data!$C:$C,data!$A:$A,"="&amp;'Покупки по дням'!$B52,data!$B:$B,"="&amp;'Покупки по дням'!C$2)</f>
        <v>1</v>
      </c>
      <c r="D52">
        <f>SUMIFS(data!$C:$C,data!$A:$A,"="&amp;'Покупки по дням'!$B52,data!$B:$B,"="&amp;'Покупки по дням'!D$2)</f>
        <v>3</v>
      </c>
      <c r="E52">
        <f>SUMIFS(data!$C:$C,data!$A:$A,"="&amp;'Покупки по дням'!$B52,data!$B:$B,"="&amp;'Покупки по дням'!E$2)</f>
        <v>2</v>
      </c>
      <c r="F52">
        <f>SUMIFS(data!$C:$C,data!$A:$A,"="&amp;'Покупки по дням'!$B52,data!$B:$B,"="&amp;'Покупки по дням'!F$2)</f>
        <v>1</v>
      </c>
      <c r="G52">
        <f>SUMIFS(data!$C:$C,data!$A:$A,"="&amp;'Покупки по дням'!$B52,data!$B:$B,"="&amp;'Покупки по дням'!G$2)</f>
        <v>7</v>
      </c>
      <c r="H52">
        <f>SUMIFS(data!$C:$C,data!$A:$A,"="&amp;'Покупки по дням'!$B52,data!$B:$B,"="&amp;'Покупки по дням'!H$2)</f>
        <v>5</v>
      </c>
      <c r="I52">
        <f>SUMIFS(data!$C:$C,data!$A:$A,"="&amp;'Покупки по дням'!$B52,data!$B:$B,"="&amp;'Покупки по дням'!I$2)</f>
        <v>1</v>
      </c>
      <c r="J52">
        <f>SUMIFS(data!$C:$C,data!$A:$A,"="&amp;'Покупки по дням'!$B52,data!$B:$B,"="&amp;'Покупки по дням'!J$2)</f>
        <v>1</v>
      </c>
      <c r="K52">
        <f>SUMIFS(data!$C:$C,data!$A:$A,"="&amp;'Покупки по дням'!$B52,data!$B:$B,"="&amp;'Покупки по дням'!K$2)</f>
        <v>0</v>
      </c>
      <c r="L52">
        <f>SUMIFS(data!$C:$C,data!$A:$A,"="&amp;'Покупки по дням'!$B52,data!$B:$B,"="&amp;'Покупки по дням'!L$2)</f>
        <v>0</v>
      </c>
      <c r="M52">
        <f>SUMIFS(data!$C:$C,data!$A:$A,"="&amp;'Покупки по дням'!$B52,data!$B:$B,"="&amp;'Покупки по дням'!M$2)</f>
        <v>1</v>
      </c>
      <c r="N52">
        <f>SUMIFS(data!$C:$C,data!$A:$A,"="&amp;'Покупки по дням'!$B52,data!$B:$B,"="&amp;'Покупки по дням'!N$2)</f>
        <v>0</v>
      </c>
      <c r="O52">
        <f>SUMIFS(data!$C:$C,data!$A:$A,"="&amp;'Покупки по дням'!$B52,data!$B:$B,"="&amp;'Покупки по дням'!O$2)</f>
        <v>3</v>
      </c>
      <c r="P52">
        <f>SUMIFS(data!$C:$C,data!$A:$A,"="&amp;'Покупки по дням'!$B52,data!$B:$B,"="&amp;'Покупки по дням'!P$2)</f>
        <v>1</v>
      </c>
      <c r="Q52">
        <f>SUMIFS(data!$C:$C,data!$A:$A,"="&amp;'Покупки по дням'!$B52,data!$B:$B,"="&amp;'Покупки по дням'!Q$2)</f>
        <v>0</v>
      </c>
      <c r="R52">
        <f>SUMIFS(data!$C:$C,data!$A:$A,"="&amp;'Покупки по дням'!$B52,data!$B:$B,"="&amp;'Покупки по дням'!R$2)</f>
        <v>0</v>
      </c>
      <c r="S52">
        <f>SUMIFS(data!$C:$C,data!$A:$A,"="&amp;'Покупки по дням'!$B52,data!$B:$B,"="&amp;'Покупки по дням'!S$2)</f>
        <v>0</v>
      </c>
      <c r="T52">
        <f>SUMIFS(data!$C:$C,data!$A:$A,"="&amp;'Покупки по дням'!$B52,data!$B:$B,"="&amp;'Покупки по дням'!T$2)</f>
        <v>7</v>
      </c>
      <c r="U52">
        <f>SUMIFS(data!$C:$C,data!$A:$A,"="&amp;'Покупки по дням'!$B52,data!$B:$B,"="&amp;'Покупки по дням'!U$2)</f>
        <v>0</v>
      </c>
      <c r="V52">
        <f>SUMIFS(data!$C:$C,data!$A:$A,"="&amp;'Покупки по дням'!$B52,data!$B:$B,"="&amp;'Покупки по дням'!V$2)</f>
        <v>9</v>
      </c>
      <c r="W52">
        <f>SUMIFS(data!$C:$C,data!$A:$A,"="&amp;'Покупки по дням'!$B52,data!$B:$B,"="&amp;'Покупки по дням'!W$2)</f>
        <v>11</v>
      </c>
      <c r="X52">
        <f>SUMIFS(data!$C:$C,data!$A:$A,"="&amp;'Покупки по дням'!$B52,data!$B:$B,"="&amp;'Покупки по дням'!X$2)</f>
        <v>3</v>
      </c>
      <c r="Y52">
        <f>SUMIFS(data!$C:$C,data!$A:$A,"="&amp;'Покупки по дням'!$B52,data!$B:$B,"="&amp;'Покупки по дням'!Y$2)</f>
        <v>11</v>
      </c>
      <c r="Z52">
        <f>SUMIFS(data!$C:$C,data!$A:$A,"="&amp;'Покупки по дням'!$B52,data!$B:$B,"="&amp;'Покупки по дням'!Z$2)</f>
        <v>0</v>
      </c>
      <c r="AA52">
        <f>SUMIFS(data!$C:$C,data!$A:$A,"="&amp;'Покупки по дням'!$B52,data!$B:$B,"="&amp;'Покупки по дням'!AA$2)</f>
        <v>2</v>
      </c>
      <c r="AB52">
        <f>SUMIFS(data!$C:$C,data!$A:$A,"="&amp;'Покупки по дням'!$B52,data!$B:$B,"="&amp;'Покупки по дням'!AB$2)</f>
        <v>0</v>
      </c>
      <c r="AC52">
        <f>SUMIFS(data!$C:$C,data!$A:$A,"="&amp;'Покупки по дням'!$B52,data!$B:$B,"="&amp;'Покупки по дням'!AC$2)</f>
        <v>3</v>
      </c>
      <c r="AD52">
        <f>SUMIFS(data!$C:$C,data!$A:$A,"="&amp;'Покупки по дням'!$B52,data!$B:$B,"="&amp;'Покупки по дням'!AD$2)</f>
        <v>0</v>
      </c>
      <c r="AE52">
        <f>SUMIFS(data!$C:$C,data!$A:$A,"="&amp;'Покупки по дням'!$B52,data!$B:$B,"="&amp;'Покупки по дням'!AE$2)</f>
        <v>0</v>
      </c>
      <c r="AF52">
        <f>SUMIFS(data!$C:$C,data!$A:$A,"="&amp;'Покупки по дням'!$B52,data!$B:$B,"="&amp;'Покупки по дням'!AF$2)</f>
        <v>3</v>
      </c>
      <c r="AG52">
        <f>SUMIFS(data!$C:$C,data!$A:$A,"="&amp;'Покупки по дням'!$B52,data!$B:$B,"="&amp;'Покупки по дням'!AG$2)</f>
        <v>0</v>
      </c>
      <c r="AH52">
        <f>SUMIFS(data!$C:$C,data!$A:$A,"="&amp;'Покупки по дням'!$B52,data!$B:$B,"="&amp;'Покупки по дням'!AH$2)</f>
        <v>1</v>
      </c>
      <c r="AI52">
        <f>SUMIFS(data!$C:$C,data!$A:$A,"="&amp;'Покупки по дням'!$B52,data!$B:$B,"="&amp;'Покупки по дням'!AI$2)</f>
        <v>3</v>
      </c>
      <c r="AJ52">
        <f>SUMIFS(data!$C:$C,data!$A:$A,"="&amp;'Покупки по дням'!$B52,data!$B:$B,"="&amp;'Покупки по дням'!AJ$2)</f>
        <v>4</v>
      </c>
      <c r="AK52">
        <f>SUMIFS(data!$C:$C,data!$A:$A,"="&amp;'Покупки по дням'!$B52,data!$B:$B,"="&amp;'Покупки по дням'!AK$2)</f>
        <v>0</v>
      </c>
      <c r="AL52">
        <f>SUMIFS(data!$C:$C,data!$A:$A,"="&amp;'Покупки по дням'!$B52,data!$B:$B,"="&amp;'Покупки по дням'!AL$2)</f>
        <v>0</v>
      </c>
      <c r="AM52">
        <f>SUMIFS(data!$C:$C,data!$A:$A,"="&amp;'Покупки по дням'!$B52,data!$B:$B,"="&amp;'Покупки по дням'!AM$2)</f>
        <v>0</v>
      </c>
      <c r="AN52">
        <f>SUMIFS(data!$C:$C,data!$A:$A,"="&amp;'Покупки по дням'!$B52,data!$B:$B,"="&amp;'Покупки по дням'!AN$2)</f>
        <v>0</v>
      </c>
      <c r="AO52">
        <f>SUMIFS(data!$C:$C,data!$A:$A,"="&amp;'Покупки по дням'!$B52,data!$B:$B,"="&amp;'Покупки по дням'!AO$2)</f>
        <v>0</v>
      </c>
      <c r="AP52">
        <f>SUMIFS(data!$C:$C,data!$A:$A,"="&amp;'Покупки по дням'!$B52,data!$B:$B,"="&amp;'Покупки по дням'!AP$2)</f>
        <v>4</v>
      </c>
      <c r="AQ52" s="6">
        <f t="shared" si="0"/>
        <v>1.3925584419082149</v>
      </c>
    </row>
    <row r="53" spans="2:43" x14ac:dyDescent="0.3">
      <c r="B53" s="17" t="s">
        <v>36</v>
      </c>
      <c r="C53">
        <f>SUMIFS(data!$C:$C,data!$A:$A,"="&amp;'Покупки по дням'!$B53,data!$B:$B,"="&amp;'Покупки по дням'!C$2)</f>
        <v>2</v>
      </c>
      <c r="D53">
        <f>SUMIFS(data!$C:$C,data!$A:$A,"="&amp;'Покупки по дням'!$B53,data!$B:$B,"="&amp;'Покупки по дням'!D$2)</f>
        <v>2</v>
      </c>
      <c r="E53">
        <f>SUMIFS(data!$C:$C,data!$A:$A,"="&amp;'Покупки по дням'!$B53,data!$B:$B,"="&amp;'Покупки по дням'!E$2)</f>
        <v>2</v>
      </c>
      <c r="F53">
        <f>SUMIFS(data!$C:$C,data!$A:$A,"="&amp;'Покупки по дням'!$B53,data!$B:$B,"="&amp;'Покупки по дням'!F$2)</f>
        <v>2</v>
      </c>
      <c r="G53">
        <f>SUMIFS(data!$C:$C,data!$A:$A,"="&amp;'Покупки по дням'!$B53,data!$B:$B,"="&amp;'Покупки по дням'!G$2)</f>
        <v>3</v>
      </c>
      <c r="H53">
        <f>SUMIFS(data!$C:$C,data!$A:$A,"="&amp;'Покупки по дням'!$B53,data!$B:$B,"="&amp;'Покупки по дням'!H$2)</f>
        <v>0</v>
      </c>
      <c r="I53">
        <f>SUMIFS(data!$C:$C,data!$A:$A,"="&amp;'Покупки по дням'!$B53,data!$B:$B,"="&amp;'Покупки по дням'!I$2)</f>
        <v>0</v>
      </c>
      <c r="J53">
        <f>SUMIFS(data!$C:$C,data!$A:$A,"="&amp;'Покупки по дням'!$B53,data!$B:$B,"="&amp;'Покупки по дням'!J$2)</f>
        <v>4</v>
      </c>
      <c r="K53">
        <f>SUMIFS(data!$C:$C,data!$A:$A,"="&amp;'Покупки по дням'!$B53,data!$B:$B,"="&amp;'Покупки по дням'!K$2)</f>
        <v>0</v>
      </c>
      <c r="L53">
        <f>SUMIFS(data!$C:$C,data!$A:$A,"="&amp;'Покупки по дням'!$B53,data!$B:$B,"="&amp;'Покупки по дням'!L$2)</f>
        <v>0</v>
      </c>
      <c r="M53">
        <f>SUMIFS(data!$C:$C,data!$A:$A,"="&amp;'Покупки по дням'!$B53,data!$B:$B,"="&amp;'Покупки по дням'!M$2)</f>
        <v>0</v>
      </c>
      <c r="N53">
        <f>SUMIFS(data!$C:$C,data!$A:$A,"="&amp;'Покупки по дням'!$B53,data!$B:$B,"="&amp;'Покупки по дням'!N$2)</f>
        <v>9</v>
      </c>
      <c r="O53">
        <f>SUMIFS(data!$C:$C,data!$A:$A,"="&amp;'Покупки по дням'!$B53,data!$B:$B,"="&amp;'Покупки по дням'!O$2)</f>
        <v>3</v>
      </c>
      <c r="P53">
        <f>SUMIFS(data!$C:$C,data!$A:$A,"="&amp;'Покупки по дням'!$B53,data!$B:$B,"="&amp;'Покупки по дням'!P$2)</f>
        <v>9</v>
      </c>
      <c r="Q53">
        <f>SUMIFS(data!$C:$C,data!$A:$A,"="&amp;'Покупки по дням'!$B53,data!$B:$B,"="&amp;'Покупки по дням'!Q$2)</f>
        <v>0</v>
      </c>
      <c r="R53">
        <f>SUMIFS(data!$C:$C,data!$A:$A,"="&amp;'Покупки по дням'!$B53,data!$B:$B,"="&amp;'Покупки по дням'!R$2)</f>
        <v>6</v>
      </c>
      <c r="S53">
        <f>SUMIFS(data!$C:$C,data!$A:$A,"="&amp;'Покупки по дням'!$B53,data!$B:$B,"="&amp;'Покупки по дням'!S$2)</f>
        <v>5</v>
      </c>
      <c r="T53">
        <f>SUMIFS(data!$C:$C,data!$A:$A,"="&amp;'Покупки по дням'!$B53,data!$B:$B,"="&amp;'Покупки по дням'!T$2)</f>
        <v>5</v>
      </c>
      <c r="U53">
        <f>SUMIFS(data!$C:$C,data!$A:$A,"="&amp;'Покупки по дням'!$B53,data!$B:$B,"="&amp;'Покупки по дням'!U$2)</f>
        <v>2</v>
      </c>
      <c r="V53">
        <f>SUMIFS(data!$C:$C,data!$A:$A,"="&amp;'Покупки по дням'!$B53,data!$B:$B,"="&amp;'Покупки по дням'!V$2)</f>
        <v>3</v>
      </c>
      <c r="W53">
        <f>SUMIFS(data!$C:$C,data!$A:$A,"="&amp;'Покупки по дням'!$B53,data!$B:$B,"="&amp;'Покупки по дням'!W$2)</f>
        <v>1</v>
      </c>
      <c r="X53">
        <f>SUMIFS(data!$C:$C,data!$A:$A,"="&amp;'Покупки по дням'!$B53,data!$B:$B,"="&amp;'Покупки по дням'!X$2)</f>
        <v>15</v>
      </c>
      <c r="Y53">
        <f>SUMIFS(data!$C:$C,data!$A:$A,"="&amp;'Покупки по дням'!$B53,data!$B:$B,"="&amp;'Покупки по дням'!Y$2)</f>
        <v>10</v>
      </c>
      <c r="Z53">
        <f>SUMIFS(data!$C:$C,data!$A:$A,"="&amp;'Покупки по дням'!$B53,data!$B:$B,"="&amp;'Покупки по дням'!Z$2)</f>
        <v>9</v>
      </c>
      <c r="AA53">
        <f>SUMIFS(data!$C:$C,data!$A:$A,"="&amp;'Покупки по дням'!$B53,data!$B:$B,"="&amp;'Покупки по дням'!AA$2)</f>
        <v>4</v>
      </c>
      <c r="AB53">
        <f>SUMIFS(data!$C:$C,data!$A:$A,"="&amp;'Покупки по дням'!$B53,data!$B:$B,"="&amp;'Покупки по дням'!AB$2)</f>
        <v>10</v>
      </c>
      <c r="AC53">
        <f>SUMIFS(data!$C:$C,data!$A:$A,"="&amp;'Покупки по дням'!$B53,data!$B:$B,"="&amp;'Покупки по дням'!AC$2)</f>
        <v>12</v>
      </c>
      <c r="AD53">
        <f>SUMIFS(data!$C:$C,data!$A:$A,"="&amp;'Покупки по дням'!$B53,data!$B:$B,"="&amp;'Покупки по дням'!AD$2)</f>
        <v>0</v>
      </c>
      <c r="AE53">
        <f>SUMIFS(data!$C:$C,data!$A:$A,"="&amp;'Покупки по дням'!$B53,data!$B:$B,"="&amp;'Покупки по дням'!AE$2)</f>
        <v>10</v>
      </c>
      <c r="AF53">
        <f>SUMIFS(data!$C:$C,data!$A:$A,"="&amp;'Покупки по дням'!$B53,data!$B:$B,"="&amp;'Покупки по дням'!AF$2)</f>
        <v>16</v>
      </c>
      <c r="AG53">
        <f>SUMIFS(data!$C:$C,data!$A:$A,"="&amp;'Покупки по дням'!$B53,data!$B:$B,"="&amp;'Покупки по дням'!AG$2)</f>
        <v>14</v>
      </c>
      <c r="AH53">
        <f>SUMIFS(data!$C:$C,data!$A:$A,"="&amp;'Покупки по дням'!$B53,data!$B:$B,"="&amp;'Покупки по дням'!AH$2)</f>
        <v>8</v>
      </c>
      <c r="AI53">
        <f>SUMIFS(data!$C:$C,data!$A:$A,"="&amp;'Покупки по дням'!$B53,data!$B:$B,"="&amp;'Покупки по дням'!AI$2)</f>
        <v>2</v>
      </c>
      <c r="AJ53">
        <f>SUMIFS(data!$C:$C,data!$A:$A,"="&amp;'Покупки по дням'!$B53,data!$B:$B,"="&amp;'Покупки по дням'!AJ$2)</f>
        <v>15</v>
      </c>
      <c r="AK53">
        <f>SUMIFS(data!$C:$C,data!$A:$A,"="&amp;'Покупки по дням'!$B53,data!$B:$B,"="&amp;'Покупки по дням'!AK$2)</f>
        <v>6</v>
      </c>
      <c r="AL53">
        <f>SUMIFS(data!$C:$C,data!$A:$A,"="&amp;'Покупки по дням'!$B53,data!$B:$B,"="&amp;'Покупки по дням'!AL$2)</f>
        <v>0</v>
      </c>
      <c r="AM53">
        <f>SUMIFS(data!$C:$C,data!$A:$A,"="&amp;'Покупки по дням'!$B53,data!$B:$B,"="&amp;'Покупки по дням'!AM$2)</f>
        <v>3</v>
      </c>
      <c r="AN53">
        <f>SUMIFS(data!$C:$C,data!$A:$A,"="&amp;'Покупки по дням'!$B53,data!$B:$B,"="&amp;'Покупки по дням'!AN$2)</f>
        <v>9</v>
      </c>
      <c r="AO53">
        <f>SUMIFS(data!$C:$C,data!$A:$A,"="&amp;'Покупки по дням'!$B53,data!$B:$B,"="&amp;'Покупки по дням'!AO$2)</f>
        <v>9</v>
      </c>
      <c r="AP53">
        <f>SUMIFS(data!$C:$C,data!$A:$A,"="&amp;'Покупки по дням'!$B53,data!$B:$B,"="&amp;'Покупки по дням'!AP$2)</f>
        <v>7</v>
      </c>
      <c r="AQ53" s="6">
        <f t="shared" si="0"/>
        <v>0.88637408393317885</v>
      </c>
    </row>
    <row r="54" spans="2:43" x14ac:dyDescent="0.3">
      <c r="B54" s="17" t="s">
        <v>78</v>
      </c>
      <c r="C54">
        <f>SUMIFS(data!$C:$C,data!$A:$A,"="&amp;'Покупки по дням'!$B54,data!$B:$B,"="&amp;'Покупки по дням'!C$2)</f>
        <v>0</v>
      </c>
      <c r="D54">
        <f>SUMIFS(data!$C:$C,data!$A:$A,"="&amp;'Покупки по дням'!$B54,data!$B:$B,"="&amp;'Покупки по дням'!D$2)</f>
        <v>0</v>
      </c>
      <c r="E54">
        <f>SUMIFS(data!$C:$C,data!$A:$A,"="&amp;'Покупки по дням'!$B54,data!$B:$B,"="&amp;'Покупки по дням'!E$2)</f>
        <v>2</v>
      </c>
      <c r="F54">
        <f>SUMIFS(data!$C:$C,data!$A:$A,"="&amp;'Покупки по дням'!$B54,data!$B:$B,"="&amp;'Покупки по дням'!F$2)</f>
        <v>4</v>
      </c>
      <c r="G54">
        <f>SUMIFS(data!$C:$C,data!$A:$A,"="&amp;'Покупки по дням'!$B54,data!$B:$B,"="&amp;'Покупки по дням'!G$2)</f>
        <v>1</v>
      </c>
      <c r="H54">
        <f>SUMIFS(data!$C:$C,data!$A:$A,"="&amp;'Покупки по дням'!$B54,data!$B:$B,"="&amp;'Покупки по дням'!H$2)</f>
        <v>0</v>
      </c>
      <c r="I54">
        <f>SUMIFS(data!$C:$C,data!$A:$A,"="&amp;'Покупки по дням'!$B54,data!$B:$B,"="&amp;'Покупки по дням'!I$2)</f>
        <v>1</v>
      </c>
      <c r="J54">
        <f>SUMIFS(data!$C:$C,data!$A:$A,"="&amp;'Покупки по дням'!$B54,data!$B:$B,"="&amp;'Покупки по дням'!J$2)</f>
        <v>1</v>
      </c>
      <c r="K54">
        <f>SUMIFS(data!$C:$C,data!$A:$A,"="&amp;'Покупки по дням'!$B54,data!$B:$B,"="&amp;'Покупки по дням'!K$2)</f>
        <v>0</v>
      </c>
      <c r="L54">
        <f>SUMIFS(data!$C:$C,data!$A:$A,"="&amp;'Покупки по дням'!$B54,data!$B:$B,"="&amp;'Покупки по дням'!L$2)</f>
        <v>2</v>
      </c>
      <c r="M54">
        <f>SUMIFS(data!$C:$C,data!$A:$A,"="&amp;'Покупки по дням'!$B54,data!$B:$B,"="&amp;'Покупки по дням'!M$2)</f>
        <v>1</v>
      </c>
      <c r="N54">
        <f>SUMIFS(data!$C:$C,data!$A:$A,"="&amp;'Покупки по дням'!$B54,data!$B:$B,"="&amp;'Покупки по дням'!N$2)</f>
        <v>2</v>
      </c>
      <c r="O54">
        <f>SUMIFS(data!$C:$C,data!$A:$A,"="&amp;'Покупки по дням'!$B54,data!$B:$B,"="&amp;'Покупки по дням'!O$2)</f>
        <v>2</v>
      </c>
      <c r="P54">
        <f>SUMIFS(data!$C:$C,data!$A:$A,"="&amp;'Покупки по дням'!$B54,data!$B:$B,"="&amp;'Покупки по дням'!P$2)</f>
        <v>1</v>
      </c>
      <c r="Q54">
        <f>SUMIFS(data!$C:$C,data!$A:$A,"="&amp;'Покупки по дням'!$B54,data!$B:$B,"="&amp;'Покупки по дням'!Q$2)</f>
        <v>3</v>
      </c>
      <c r="R54">
        <f>SUMIFS(data!$C:$C,data!$A:$A,"="&amp;'Покупки по дням'!$B54,data!$B:$B,"="&amp;'Покупки по дням'!R$2)</f>
        <v>3</v>
      </c>
      <c r="S54">
        <f>SUMIFS(data!$C:$C,data!$A:$A,"="&amp;'Покупки по дням'!$B54,data!$B:$B,"="&amp;'Покупки по дням'!S$2)</f>
        <v>3</v>
      </c>
      <c r="T54">
        <f>SUMIFS(data!$C:$C,data!$A:$A,"="&amp;'Покупки по дням'!$B54,data!$B:$B,"="&amp;'Покупки по дням'!T$2)</f>
        <v>6</v>
      </c>
      <c r="U54">
        <f>SUMIFS(data!$C:$C,data!$A:$A,"="&amp;'Покупки по дням'!$B54,data!$B:$B,"="&amp;'Покупки по дням'!U$2)</f>
        <v>2</v>
      </c>
      <c r="V54">
        <f>SUMIFS(data!$C:$C,data!$A:$A,"="&amp;'Покупки по дням'!$B54,data!$B:$B,"="&amp;'Покупки по дням'!V$2)</f>
        <v>1</v>
      </c>
      <c r="W54">
        <f>SUMIFS(data!$C:$C,data!$A:$A,"="&amp;'Покупки по дням'!$B54,data!$B:$B,"="&amp;'Покупки по дням'!W$2)</f>
        <v>0</v>
      </c>
      <c r="X54">
        <f>SUMIFS(data!$C:$C,data!$A:$A,"="&amp;'Покупки по дням'!$B54,data!$B:$B,"="&amp;'Покупки по дням'!X$2)</f>
        <v>1</v>
      </c>
      <c r="Y54">
        <f>SUMIFS(data!$C:$C,data!$A:$A,"="&amp;'Покупки по дням'!$B54,data!$B:$B,"="&amp;'Покупки по дням'!Y$2)</f>
        <v>3</v>
      </c>
      <c r="Z54">
        <f>SUMIFS(data!$C:$C,data!$A:$A,"="&amp;'Покупки по дням'!$B54,data!$B:$B,"="&amp;'Покупки по дням'!Z$2)</f>
        <v>1</v>
      </c>
      <c r="AA54">
        <f>SUMIFS(data!$C:$C,data!$A:$A,"="&amp;'Покупки по дням'!$B54,data!$B:$B,"="&amp;'Покупки по дням'!AA$2)</f>
        <v>2</v>
      </c>
      <c r="AB54">
        <f>SUMIFS(data!$C:$C,data!$A:$A,"="&amp;'Покупки по дням'!$B54,data!$B:$B,"="&amp;'Покупки по дням'!AB$2)</f>
        <v>1</v>
      </c>
      <c r="AC54">
        <f>SUMIFS(data!$C:$C,data!$A:$A,"="&amp;'Покупки по дням'!$B54,data!$B:$B,"="&amp;'Покупки по дням'!AC$2)</f>
        <v>1</v>
      </c>
      <c r="AD54">
        <f>SUMIFS(data!$C:$C,data!$A:$A,"="&amp;'Покупки по дням'!$B54,data!$B:$B,"="&amp;'Покупки по дням'!AD$2)</f>
        <v>3</v>
      </c>
      <c r="AE54">
        <f>SUMIFS(data!$C:$C,data!$A:$A,"="&amp;'Покупки по дням'!$B54,data!$B:$B,"="&amp;'Покупки по дням'!AE$2)</f>
        <v>0</v>
      </c>
      <c r="AF54">
        <f>SUMIFS(data!$C:$C,data!$A:$A,"="&amp;'Покупки по дням'!$B54,data!$B:$B,"="&amp;'Покупки по дням'!AF$2)</f>
        <v>2</v>
      </c>
      <c r="AG54">
        <f>SUMIFS(data!$C:$C,data!$A:$A,"="&amp;'Покупки по дням'!$B54,data!$B:$B,"="&amp;'Покупки по дням'!AG$2)</f>
        <v>3</v>
      </c>
      <c r="AH54">
        <f>SUMIFS(data!$C:$C,data!$A:$A,"="&amp;'Покупки по дням'!$B54,data!$B:$B,"="&amp;'Покупки по дням'!AH$2)</f>
        <v>3</v>
      </c>
      <c r="AI54">
        <f>SUMIFS(data!$C:$C,data!$A:$A,"="&amp;'Покупки по дням'!$B54,data!$B:$B,"="&amp;'Покупки по дням'!AI$2)</f>
        <v>2</v>
      </c>
      <c r="AJ54">
        <f>SUMIFS(data!$C:$C,data!$A:$A,"="&amp;'Покупки по дням'!$B54,data!$B:$B,"="&amp;'Покупки по дням'!AJ$2)</f>
        <v>4</v>
      </c>
      <c r="AK54">
        <f>SUMIFS(data!$C:$C,data!$A:$A,"="&amp;'Покупки по дням'!$B54,data!$B:$B,"="&amp;'Покупки по дням'!AK$2)</f>
        <v>1</v>
      </c>
      <c r="AL54">
        <f>SUMIFS(data!$C:$C,data!$A:$A,"="&amp;'Покупки по дням'!$B54,data!$B:$B,"="&amp;'Покупки по дням'!AL$2)</f>
        <v>0</v>
      </c>
      <c r="AM54">
        <f>SUMIFS(data!$C:$C,data!$A:$A,"="&amp;'Покупки по дням'!$B54,data!$B:$B,"="&amp;'Покупки по дням'!AM$2)</f>
        <v>0</v>
      </c>
      <c r="AN54">
        <f>SUMIFS(data!$C:$C,data!$A:$A,"="&amp;'Покупки по дням'!$B54,data!$B:$B,"="&amp;'Покупки по дням'!AN$2)</f>
        <v>1</v>
      </c>
      <c r="AO54">
        <f>SUMIFS(data!$C:$C,data!$A:$A,"="&amp;'Покупки по дням'!$B54,data!$B:$B,"="&amp;'Покупки по дням'!AO$2)</f>
        <v>2</v>
      </c>
      <c r="AP54">
        <f>SUMIFS(data!$C:$C,data!$A:$A,"="&amp;'Покупки по дням'!$B54,data!$B:$B,"="&amp;'Покупки по дням'!AP$2)</f>
        <v>1</v>
      </c>
      <c r="AQ54" s="6">
        <f t="shared" si="0"/>
        <v>0.81831130806443364</v>
      </c>
    </row>
    <row r="55" spans="2:43" ht="28.8" x14ac:dyDescent="0.3">
      <c r="B55" s="17" t="s">
        <v>104</v>
      </c>
      <c r="C55">
        <f>SUMIFS(data!$C:$C,data!$A:$A,"="&amp;'Покупки по дням'!$B55,data!$B:$B,"="&amp;'Покупки по дням'!C$2)</f>
        <v>0</v>
      </c>
      <c r="D55">
        <f>SUMIFS(data!$C:$C,data!$A:$A,"="&amp;'Покупки по дням'!$B55,data!$B:$B,"="&amp;'Покупки по дням'!D$2)</f>
        <v>1</v>
      </c>
      <c r="E55">
        <f>SUMIFS(data!$C:$C,data!$A:$A,"="&amp;'Покупки по дням'!$B55,data!$B:$B,"="&amp;'Покупки по дням'!E$2)</f>
        <v>5</v>
      </c>
      <c r="F55">
        <f>SUMIFS(data!$C:$C,data!$A:$A,"="&amp;'Покупки по дням'!$B55,data!$B:$B,"="&amp;'Покупки по дням'!F$2)</f>
        <v>2</v>
      </c>
      <c r="G55">
        <f>SUMIFS(data!$C:$C,data!$A:$A,"="&amp;'Покупки по дням'!$B55,data!$B:$B,"="&amp;'Покупки по дням'!G$2)</f>
        <v>0</v>
      </c>
      <c r="H55">
        <f>SUMIFS(data!$C:$C,data!$A:$A,"="&amp;'Покупки по дням'!$B55,data!$B:$B,"="&amp;'Покупки по дням'!H$2)</f>
        <v>1</v>
      </c>
      <c r="I55">
        <f>SUMIFS(data!$C:$C,data!$A:$A,"="&amp;'Покупки по дням'!$B55,data!$B:$B,"="&amp;'Покупки по дням'!I$2)</f>
        <v>0</v>
      </c>
      <c r="J55">
        <f>SUMIFS(data!$C:$C,data!$A:$A,"="&amp;'Покупки по дням'!$B55,data!$B:$B,"="&amp;'Покупки по дням'!J$2)</f>
        <v>5</v>
      </c>
      <c r="K55">
        <f>SUMIFS(data!$C:$C,data!$A:$A,"="&amp;'Покупки по дням'!$B55,data!$B:$B,"="&amp;'Покупки по дням'!K$2)</f>
        <v>0</v>
      </c>
      <c r="L55">
        <f>SUMIFS(data!$C:$C,data!$A:$A,"="&amp;'Покупки по дням'!$B55,data!$B:$B,"="&amp;'Покупки по дням'!L$2)</f>
        <v>1</v>
      </c>
      <c r="M55">
        <f>SUMIFS(data!$C:$C,data!$A:$A,"="&amp;'Покупки по дням'!$B55,data!$B:$B,"="&amp;'Покупки по дням'!M$2)</f>
        <v>3</v>
      </c>
      <c r="N55">
        <f>SUMIFS(data!$C:$C,data!$A:$A,"="&amp;'Покупки по дням'!$B55,data!$B:$B,"="&amp;'Покупки по дням'!N$2)</f>
        <v>0</v>
      </c>
      <c r="O55">
        <f>SUMIFS(data!$C:$C,data!$A:$A,"="&amp;'Покупки по дням'!$B55,data!$B:$B,"="&amp;'Покупки по дням'!O$2)</f>
        <v>3</v>
      </c>
      <c r="P55">
        <f>SUMIFS(data!$C:$C,data!$A:$A,"="&amp;'Покупки по дням'!$B55,data!$B:$B,"="&amp;'Покупки по дням'!P$2)</f>
        <v>1</v>
      </c>
      <c r="Q55">
        <f>SUMIFS(data!$C:$C,data!$A:$A,"="&amp;'Покупки по дням'!$B55,data!$B:$B,"="&amp;'Покупки по дням'!Q$2)</f>
        <v>2</v>
      </c>
      <c r="R55">
        <f>SUMIFS(data!$C:$C,data!$A:$A,"="&amp;'Покупки по дням'!$B55,data!$B:$B,"="&amp;'Покупки по дням'!R$2)</f>
        <v>2</v>
      </c>
      <c r="S55">
        <f>SUMIFS(data!$C:$C,data!$A:$A,"="&amp;'Покупки по дням'!$B55,data!$B:$B,"="&amp;'Покупки по дням'!S$2)</f>
        <v>4</v>
      </c>
      <c r="T55">
        <f>SUMIFS(data!$C:$C,data!$A:$A,"="&amp;'Покупки по дням'!$B55,data!$B:$B,"="&amp;'Покупки по дням'!T$2)</f>
        <v>1</v>
      </c>
      <c r="U55">
        <f>SUMIFS(data!$C:$C,data!$A:$A,"="&amp;'Покупки по дням'!$B55,data!$B:$B,"="&amp;'Покупки по дням'!U$2)</f>
        <v>2</v>
      </c>
      <c r="V55">
        <f>SUMIFS(data!$C:$C,data!$A:$A,"="&amp;'Покупки по дням'!$B55,data!$B:$B,"="&amp;'Покупки по дням'!V$2)</f>
        <v>2</v>
      </c>
      <c r="W55">
        <f>SUMIFS(data!$C:$C,data!$A:$A,"="&amp;'Покупки по дням'!$B55,data!$B:$B,"="&amp;'Покупки по дням'!W$2)</f>
        <v>1</v>
      </c>
      <c r="X55">
        <f>SUMIFS(data!$C:$C,data!$A:$A,"="&amp;'Покупки по дням'!$B55,data!$B:$B,"="&amp;'Покупки по дням'!X$2)</f>
        <v>1</v>
      </c>
      <c r="Y55">
        <f>SUMIFS(data!$C:$C,data!$A:$A,"="&amp;'Покупки по дням'!$B55,data!$B:$B,"="&amp;'Покупки по дням'!Y$2)</f>
        <v>1</v>
      </c>
      <c r="Z55">
        <f>SUMIFS(data!$C:$C,data!$A:$A,"="&amp;'Покупки по дням'!$B55,data!$B:$B,"="&amp;'Покупки по дням'!Z$2)</f>
        <v>2</v>
      </c>
      <c r="AA55">
        <f>SUMIFS(data!$C:$C,data!$A:$A,"="&amp;'Покупки по дням'!$B55,data!$B:$B,"="&amp;'Покупки по дням'!AA$2)</f>
        <v>1</v>
      </c>
      <c r="AB55">
        <f>SUMIFS(data!$C:$C,data!$A:$A,"="&amp;'Покупки по дням'!$B55,data!$B:$B,"="&amp;'Покупки по дням'!AB$2)</f>
        <v>1</v>
      </c>
      <c r="AC55">
        <f>SUMIFS(data!$C:$C,data!$A:$A,"="&amp;'Покупки по дням'!$B55,data!$B:$B,"="&amp;'Покупки по дням'!AC$2)</f>
        <v>1</v>
      </c>
      <c r="AD55">
        <f>SUMIFS(data!$C:$C,data!$A:$A,"="&amp;'Покупки по дням'!$B55,data!$B:$B,"="&amp;'Покупки по дням'!AD$2)</f>
        <v>6</v>
      </c>
      <c r="AE55">
        <f>SUMIFS(data!$C:$C,data!$A:$A,"="&amp;'Покупки по дням'!$B55,data!$B:$B,"="&amp;'Покупки по дням'!AE$2)</f>
        <v>0</v>
      </c>
      <c r="AF55">
        <f>SUMIFS(data!$C:$C,data!$A:$A,"="&amp;'Покупки по дням'!$B55,data!$B:$B,"="&amp;'Покупки по дням'!AF$2)</f>
        <v>3</v>
      </c>
      <c r="AG55">
        <f>SUMIFS(data!$C:$C,data!$A:$A,"="&amp;'Покупки по дням'!$B55,data!$B:$B,"="&amp;'Покупки по дням'!AG$2)</f>
        <v>2</v>
      </c>
      <c r="AH55">
        <f>SUMIFS(data!$C:$C,data!$A:$A,"="&amp;'Покупки по дням'!$B55,data!$B:$B,"="&amp;'Покупки по дням'!AH$2)</f>
        <v>3</v>
      </c>
      <c r="AI55">
        <f>SUMIFS(data!$C:$C,data!$A:$A,"="&amp;'Покупки по дням'!$B55,data!$B:$B,"="&amp;'Покупки по дням'!AI$2)</f>
        <v>0</v>
      </c>
      <c r="AJ55">
        <f>SUMIFS(data!$C:$C,data!$A:$A,"="&amp;'Покупки по дням'!$B55,data!$B:$B,"="&amp;'Покупки по дням'!AJ$2)</f>
        <v>2</v>
      </c>
      <c r="AK55">
        <f>SUMIFS(data!$C:$C,data!$A:$A,"="&amp;'Покупки по дням'!$B55,data!$B:$B,"="&amp;'Покупки по дням'!AK$2)</f>
        <v>0</v>
      </c>
      <c r="AL55">
        <f>SUMIFS(data!$C:$C,data!$A:$A,"="&amp;'Покупки по дням'!$B55,data!$B:$B,"="&amp;'Покупки по дням'!AL$2)</f>
        <v>10</v>
      </c>
      <c r="AM55">
        <f>SUMIFS(data!$C:$C,data!$A:$A,"="&amp;'Покупки по дням'!$B55,data!$B:$B,"="&amp;'Покупки по дням'!AM$2)</f>
        <v>0</v>
      </c>
      <c r="AN55">
        <f>SUMIFS(data!$C:$C,data!$A:$A,"="&amp;'Покупки по дням'!$B55,data!$B:$B,"="&amp;'Покупки по дням'!AN$2)</f>
        <v>4</v>
      </c>
      <c r="AO55">
        <f>SUMIFS(data!$C:$C,data!$A:$A,"="&amp;'Покупки по дням'!$B55,data!$B:$B,"="&amp;'Покупки по дням'!AO$2)</f>
        <v>2</v>
      </c>
      <c r="AP55">
        <f>SUMIFS(data!$C:$C,data!$A:$A,"="&amp;'Покупки по дням'!$B55,data!$B:$B,"="&amp;'Покупки по дням'!AP$2)</f>
        <v>3</v>
      </c>
      <c r="AQ55" s="6">
        <f t="shared" si="0"/>
        <v>1.0318680135055918</v>
      </c>
    </row>
    <row r="56" spans="2:43" ht="28.8" x14ac:dyDescent="0.3">
      <c r="B56" s="17" t="s">
        <v>50</v>
      </c>
      <c r="C56">
        <f>SUMIFS(data!$C:$C,data!$A:$A,"="&amp;'Покупки по дням'!$B56,data!$B:$B,"="&amp;'Покупки по дням'!C$2)</f>
        <v>1</v>
      </c>
      <c r="D56">
        <f>SUMIFS(data!$C:$C,data!$A:$A,"="&amp;'Покупки по дням'!$B56,data!$B:$B,"="&amp;'Покупки по дням'!D$2)</f>
        <v>0</v>
      </c>
      <c r="E56">
        <f>SUMIFS(data!$C:$C,data!$A:$A,"="&amp;'Покупки по дням'!$B56,data!$B:$B,"="&amp;'Покупки по дням'!E$2)</f>
        <v>2</v>
      </c>
      <c r="F56">
        <f>SUMIFS(data!$C:$C,data!$A:$A,"="&amp;'Покупки по дням'!$B56,data!$B:$B,"="&amp;'Покупки по дням'!F$2)</f>
        <v>6</v>
      </c>
      <c r="G56">
        <f>SUMIFS(data!$C:$C,data!$A:$A,"="&amp;'Покупки по дням'!$B56,data!$B:$B,"="&amp;'Покупки по дням'!G$2)</f>
        <v>3</v>
      </c>
      <c r="H56">
        <f>SUMIFS(data!$C:$C,data!$A:$A,"="&amp;'Покупки по дням'!$B56,data!$B:$B,"="&amp;'Покупки по дням'!H$2)</f>
        <v>1</v>
      </c>
      <c r="I56">
        <f>SUMIFS(data!$C:$C,data!$A:$A,"="&amp;'Покупки по дням'!$B56,data!$B:$B,"="&amp;'Покупки по дням'!I$2)</f>
        <v>0</v>
      </c>
      <c r="J56">
        <f>SUMIFS(data!$C:$C,data!$A:$A,"="&amp;'Покупки по дням'!$B56,data!$B:$B,"="&amp;'Покупки по дням'!J$2)</f>
        <v>1</v>
      </c>
      <c r="K56">
        <f>SUMIFS(data!$C:$C,data!$A:$A,"="&amp;'Покупки по дням'!$B56,data!$B:$B,"="&amp;'Покупки по дням'!K$2)</f>
        <v>0</v>
      </c>
      <c r="L56">
        <f>SUMIFS(data!$C:$C,data!$A:$A,"="&amp;'Покупки по дням'!$B56,data!$B:$B,"="&amp;'Покупки по дням'!L$2)</f>
        <v>2</v>
      </c>
      <c r="M56">
        <f>SUMIFS(data!$C:$C,data!$A:$A,"="&amp;'Покупки по дням'!$B56,data!$B:$B,"="&amp;'Покупки по дням'!M$2)</f>
        <v>4</v>
      </c>
      <c r="N56">
        <f>SUMIFS(data!$C:$C,data!$A:$A,"="&amp;'Покупки по дням'!$B56,data!$B:$B,"="&amp;'Покупки по дням'!N$2)</f>
        <v>0</v>
      </c>
      <c r="O56">
        <f>SUMIFS(data!$C:$C,data!$A:$A,"="&amp;'Покупки по дням'!$B56,data!$B:$B,"="&amp;'Покупки по дням'!O$2)</f>
        <v>0</v>
      </c>
      <c r="P56">
        <f>SUMIFS(data!$C:$C,data!$A:$A,"="&amp;'Покупки по дням'!$B56,data!$B:$B,"="&amp;'Покупки по дням'!P$2)</f>
        <v>1</v>
      </c>
      <c r="Q56">
        <f>SUMIFS(data!$C:$C,data!$A:$A,"="&amp;'Покупки по дням'!$B56,data!$B:$B,"="&amp;'Покупки по дням'!Q$2)</f>
        <v>1</v>
      </c>
      <c r="R56">
        <f>SUMIFS(data!$C:$C,data!$A:$A,"="&amp;'Покупки по дням'!$B56,data!$B:$B,"="&amp;'Покупки по дням'!R$2)</f>
        <v>8</v>
      </c>
      <c r="S56">
        <f>SUMIFS(data!$C:$C,data!$A:$A,"="&amp;'Покупки по дням'!$B56,data!$B:$B,"="&amp;'Покупки по дням'!S$2)</f>
        <v>3</v>
      </c>
      <c r="T56">
        <f>SUMIFS(data!$C:$C,data!$A:$A,"="&amp;'Покупки по дням'!$B56,data!$B:$B,"="&amp;'Покупки по дням'!T$2)</f>
        <v>0</v>
      </c>
      <c r="U56">
        <f>SUMIFS(data!$C:$C,data!$A:$A,"="&amp;'Покупки по дням'!$B56,data!$B:$B,"="&amp;'Покупки по дням'!U$2)</f>
        <v>3</v>
      </c>
      <c r="V56">
        <f>SUMIFS(data!$C:$C,data!$A:$A,"="&amp;'Покупки по дням'!$B56,data!$B:$B,"="&amp;'Покупки по дням'!V$2)</f>
        <v>6</v>
      </c>
      <c r="W56">
        <f>SUMIFS(data!$C:$C,data!$A:$A,"="&amp;'Покупки по дням'!$B56,data!$B:$B,"="&amp;'Покупки по дням'!W$2)</f>
        <v>5</v>
      </c>
      <c r="X56">
        <f>SUMIFS(data!$C:$C,data!$A:$A,"="&amp;'Покупки по дням'!$B56,data!$B:$B,"="&amp;'Покупки по дням'!X$2)</f>
        <v>7</v>
      </c>
      <c r="Y56">
        <f>SUMIFS(data!$C:$C,data!$A:$A,"="&amp;'Покупки по дням'!$B56,data!$B:$B,"="&amp;'Покупки по дням'!Y$2)</f>
        <v>7</v>
      </c>
      <c r="Z56">
        <f>SUMIFS(data!$C:$C,data!$A:$A,"="&amp;'Покупки по дням'!$B56,data!$B:$B,"="&amp;'Покупки по дням'!Z$2)</f>
        <v>6</v>
      </c>
      <c r="AA56">
        <f>SUMIFS(data!$C:$C,data!$A:$A,"="&amp;'Покупки по дням'!$B56,data!$B:$B,"="&amp;'Покупки по дням'!AA$2)</f>
        <v>0</v>
      </c>
      <c r="AB56">
        <f>SUMIFS(data!$C:$C,data!$A:$A,"="&amp;'Покупки по дням'!$B56,data!$B:$B,"="&amp;'Покупки по дням'!AB$2)</f>
        <v>3</v>
      </c>
      <c r="AC56">
        <f>SUMIFS(data!$C:$C,data!$A:$A,"="&amp;'Покупки по дням'!$B56,data!$B:$B,"="&amp;'Покупки по дням'!AC$2)</f>
        <v>2</v>
      </c>
      <c r="AD56">
        <f>SUMIFS(data!$C:$C,data!$A:$A,"="&amp;'Покупки по дням'!$B56,data!$B:$B,"="&amp;'Покупки по дням'!AD$2)</f>
        <v>3</v>
      </c>
      <c r="AE56">
        <f>SUMIFS(data!$C:$C,data!$A:$A,"="&amp;'Покупки по дням'!$B56,data!$B:$B,"="&amp;'Покупки по дням'!AE$2)</f>
        <v>2</v>
      </c>
      <c r="AF56">
        <f>SUMIFS(data!$C:$C,data!$A:$A,"="&amp;'Покупки по дням'!$B56,data!$B:$B,"="&amp;'Покупки по дням'!AF$2)</f>
        <v>1</v>
      </c>
      <c r="AG56">
        <f>SUMIFS(data!$C:$C,data!$A:$A,"="&amp;'Покупки по дням'!$B56,data!$B:$B,"="&amp;'Покупки по дням'!AG$2)</f>
        <v>6</v>
      </c>
      <c r="AH56">
        <f>SUMIFS(data!$C:$C,data!$A:$A,"="&amp;'Покупки по дням'!$B56,data!$B:$B,"="&amp;'Покупки по дням'!AH$2)</f>
        <v>2</v>
      </c>
      <c r="AI56">
        <f>SUMIFS(data!$C:$C,data!$A:$A,"="&amp;'Покупки по дням'!$B56,data!$B:$B,"="&amp;'Покупки по дням'!AI$2)</f>
        <v>0</v>
      </c>
      <c r="AJ56">
        <f>SUMIFS(data!$C:$C,data!$A:$A,"="&amp;'Покупки по дням'!$B56,data!$B:$B,"="&amp;'Покупки по дням'!AJ$2)</f>
        <v>7</v>
      </c>
      <c r="AK56">
        <f>SUMIFS(data!$C:$C,data!$A:$A,"="&amp;'Покупки по дням'!$B56,data!$B:$B,"="&amp;'Покупки по дням'!AK$2)</f>
        <v>9</v>
      </c>
      <c r="AL56">
        <f>SUMIFS(data!$C:$C,data!$A:$A,"="&amp;'Покупки по дням'!$B56,data!$B:$B,"="&amp;'Покупки по дням'!AL$2)</f>
        <v>4</v>
      </c>
      <c r="AM56">
        <f>SUMIFS(data!$C:$C,data!$A:$A,"="&amp;'Покупки по дням'!$B56,data!$B:$B,"="&amp;'Покупки по дням'!AM$2)</f>
        <v>2</v>
      </c>
      <c r="AN56">
        <f>SUMIFS(data!$C:$C,data!$A:$A,"="&amp;'Покупки по дням'!$B56,data!$B:$B,"="&amp;'Покупки по дням'!AN$2)</f>
        <v>4</v>
      </c>
      <c r="AO56">
        <f>SUMIFS(data!$C:$C,data!$A:$A,"="&amp;'Покупки по дням'!$B56,data!$B:$B,"="&amp;'Покупки по дням'!AO$2)</f>
        <v>2</v>
      </c>
      <c r="AP56">
        <f>SUMIFS(data!$C:$C,data!$A:$A,"="&amp;'Покупки по дням'!$B56,data!$B:$B,"="&amp;'Покупки по дням'!AP$2)</f>
        <v>2</v>
      </c>
      <c r="AQ56" s="6">
        <f t="shared" si="0"/>
        <v>0.88277519878332489</v>
      </c>
    </row>
    <row r="57" spans="2:43" ht="28.8" x14ac:dyDescent="0.3">
      <c r="B57" s="17" t="s">
        <v>77</v>
      </c>
      <c r="C57">
        <f>SUMIFS(data!$C:$C,data!$A:$A,"="&amp;'Покупки по дням'!$B57,data!$B:$B,"="&amp;'Покупки по дням'!C$2)</f>
        <v>0</v>
      </c>
      <c r="D57">
        <f>SUMIFS(data!$C:$C,data!$A:$A,"="&amp;'Покупки по дням'!$B57,data!$B:$B,"="&amp;'Покупки по дням'!D$2)</f>
        <v>1</v>
      </c>
      <c r="E57">
        <f>SUMIFS(data!$C:$C,data!$A:$A,"="&amp;'Покупки по дням'!$B57,data!$B:$B,"="&amp;'Покупки по дням'!E$2)</f>
        <v>1</v>
      </c>
      <c r="F57">
        <f>SUMIFS(data!$C:$C,data!$A:$A,"="&amp;'Покупки по дням'!$B57,data!$B:$B,"="&amp;'Покупки по дням'!F$2)</f>
        <v>1</v>
      </c>
      <c r="G57">
        <f>SUMIFS(data!$C:$C,data!$A:$A,"="&amp;'Покупки по дням'!$B57,data!$B:$B,"="&amp;'Покупки по дням'!G$2)</f>
        <v>1</v>
      </c>
      <c r="H57">
        <f>SUMIFS(data!$C:$C,data!$A:$A,"="&amp;'Покупки по дням'!$B57,data!$B:$B,"="&amp;'Покупки по дням'!H$2)</f>
        <v>0</v>
      </c>
      <c r="I57">
        <f>SUMIFS(data!$C:$C,data!$A:$A,"="&amp;'Покупки по дням'!$B57,data!$B:$B,"="&amp;'Покупки по дням'!I$2)</f>
        <v>0</v>
      </c>
      <c r="J57">
        <f>SUMIFS(data!$C:$C,data!$A:$A,"="&amp;'Покупки по дням'!$B57,data!$B:$B,"="&amp;'Покупки по дням'!J$2)</f>
        <v>2</v>
      </c>
      <c r="K57">
        <f>SUMIFS(data!$C:$C,data!$A:$A,"="&amp;'Покупки по дням'!$B57,data!$B:$B,"="&amp;'Покупки по дням'!K$2)</f>
        <v>0</v>
      </c>
      <c r="L57">
        <f>SUMIFS(data!$C:$C,data!$A:$A,"="&amp;'Покупки по дням'!$B57,data!$B:$B,"="&amp;'Покупки по дням'!L$2)</f>
        <v>2</v>
      </c>
      <c r="M57">
        <f>SUMIFS(data!$C:$C,data!$A:$A,"="&amp;'Покупки по дням'!$B57,data!$B:$B,"="&amp;'Покупки по дням'!M$2)</f>
        <v>1</v>
      </c>
      <c r="N57">
        <f>SUMIFS(data!$C:$C,data!$A:$A,"="&amp;'Покупки по дням'!$B57,data!$B:$B,"="&amp;'Покупки по дням'!N$2)</f>
        <v>2</v>
      </c>
      <c r="O57">
        <f>SUMIFS(data!$C:$C,data!$A:$A,"="&amp;'Покупки по дням'!$B57,data!$B:$B,"="&amp;'Покупки по дням'!O$2)</f>
        <v>0</v>
      </c>
      <c r="P57">
        <f>SUMIFS(data!$C:$C,data!$A:$A,"="&amp;'Покупки по дням'!$B57,data!$B:$B,"="&amp;'Покупки по дням'!P$2)</f>
        <v>2</v>
      </c>
      <c r="Q57">
        <f>SUMIFS(data!$C:$C,data!$A:$A,"="&amp;'Покупки по дням'!$B57,data!$B:$B,"="&amp;'Покупки по дням'!Q$2)</f>
        <v>5</v>
      </c>
      <c r="R57">
        <f>SUMIFS(data!$C:$C,data!$A:$A,"="&amp;'Покупки по дням'!$B57,data!$B:$B,"="&amp;'Покупки по дням'!R$2)</f>
        <v>2</v>
      </c>
      <c r="S57">
        <f>SUMIFS(data!$C:$C,data!$A:$A,"="&amp;'Покупки по дням'!$B57,data!$B:$B,"="&amp;'Покупки по дням'!S$2)</f>
        <v>0</v>
      </c>
      <c r="T57">
        <f>SUMIFS(data!$C:$C,data!$A:$A,"="&amp;'Покупки по дням'!$B57,data!$B:$B,"="&amp;'Покупки по дням'!T$2)</f>
        <v>4</v>
      </c>
      <c r="U57">
        <f>SUMIFS(data!$C:$C,data!$A:$A,"="&amp;'Покупки по дням'!$B57,data!$B:$B,"="&amp;'Покупки по дням'!U$2)</f>
        <v>0</v>
      </c>
      <c r="V57">
        <f>SUMIFS(data!$C:$C,data!$A:$A,"="&amp;'Покупки по дням'!$B57,data!$B:$B,"="&amp;'Покупки по дням'!V$2)</f>
        <v>4</v>
      </c>
      <c r="W57">
        <f>SUMIFS(data!$C:$C,data!$A:$A,"="&amp;'Покупки по дням'!$B57,data!$B:$B,"="&amp;'Покупки по дням'!W$2)</f>
        <v>1</v>
      </c>
      <c r="X57">
        <f>SUMIFS(data!$C:$C,data!$A:$A,"="&amp;'Покупки по дням'!$B57,data!$B:$B,"="&amp;'Покупки по дням'!X$2)</f>
        <v>3</v>
      </c>
      <c r="Y57">
        <f>SUMIFS(data!$C:$C,data!$A:$A,"="&amp;'Покупки по дням'!$B57,data!$B:$B,"="&amp;'Покупки по дням'!Y$2)</f>
        <v>4</v>
      </c>
      <c r="Z57">
        <f>SUMIFS(data!$C:$C,data!$A:$A,"="&amp;'Покупки по дням'!$B57,data!$B:$B,"="&amp;'Покупки по дням'!Z$2)</f>
        <v>2</v>
      </c>
      <c r="AA57">
        <f>SUMIFS(data!$C:$C,data!$A:$A,"="&amp;'Покупки по дням'!$B57,data!$B:$B,"="&amp;'Покупки по дням'!AA$2)</f>
        <v>1</v>
      </c>
      <c r="AB57">
        <f>SUMIFS(data!$C:$C,data!$A:$A,"="&amp;'Покупки по дням'!$B57,data!$B:$B,"="&amp;'Покупки по дням'!AB$2)</f>
        <v>0</v>
      </c>
      <c r="AC57">
        <f>SUMIFS(data!$C:$C,data!$A:$A,"="&amp;'Покупки по дням'!$B57,data!$B:$B,"="&amp;'Покупки по дням'!AC$2)</f>
        <v>3</v>
      </c>
      <c r="AD57">
        <f>SUMIFS(data!$C:$C,data!$A:$A,"="&amp;'Покупки по дням'!$B57,data!$B:$B,"="&amp;'Покупки по дням'!AD$2)</f>
        <v>2</v>
      </c>
      <c r="AE57">
        <f>SUMIFS(data!$C:$C,data!$A:$A,"="&amp;'Покупки по дням'!$B57,data!$B:$B,"="&amp;'Покупки по дням'!AE$2)</f>
        <v>0</v>
      </c>
      <c r="AF57">
        <f>SUMIFS(data!$C:$C,data!$A:$A,"="&amp;'Покупки по дням'!$B57,data!$B:$B,"="&amp;'Покупки по дням'!AF$2)</f>
        <v>1</v>
      </c>
      <c r="AG57">
        <f>SUMIFS(data!$C:$C,data!$A:$A,"="&amp;'Покупки по дням'!$B57,data!$B:$B,"="&amp;'Покупки по дням'!AG$2)</f>
        <v>1</v>
      </c>
      <c r="AH57">
        <f>SUMIFS(data!$C:$C,data!$A:$A,"="&amp;'Покупки по дням'!$B57,data!$B:$B,"="&amp;'Покупки по дням'!AH$2)</f>
        <v>2</v>
      </c>
      <c r="AI57">
        <f>SUMIFS(data!$C:$C,data!$A:$A,"="&amp;'Покупки по дням'!$B57,data!$B:$B,"="&amp;'Покупки по дням'!AI$2)</f>
        <v>1</v>
      </c>
      <c r="AJ57">
        <f>SUMIFS(data!$C:$C,data!$A:$A,"="&amp;'Покупки по дням'!$B57,data!$B:$B,"="&amp;'Покупки по дням'!AJ$2)</f>
        <v>2</v>
      </c>
      <c r="AK57">
        <f>SUMIFS(data!$C:$C,data!$A:$A,"="&amp;'Покупки по дням'!$B57,data!$B:$B,"="&amp;'Покупки по дням'!AK$2)</f>
        <v>1</v>
      </c>
      <c r="AL57">
        <f>SUMIFS(data!$C:$C,data!$A:$A,"="&amp;'Покупки по дням'!$B57,data!$B:$B,"="&amp;'Покупки по дням'!AL$2)</f>
        <v>2</v>
      </c>
      <c r="AM57">
        <f>SUMIFS(data!$C:$C,data!$A:$A,"="&amp;'Покупки по дням'!$B57,data!$B:$B,"="&amp;'Покупки по дням'!AM$2)</f>
        <v>3</v>
      </c>
      <c r="AN57">
        <f>SUMIFS(data!$C:$C,data!$A:$A,"="&amp;'Покупки по дням'!$B57,data!$B:$B,"="&amp;'Покупки по дням'!AN$2)</f>
        <v>5</v>
      </c>
      <c r="AO57">
        <f>SUMIFS(data!$C:$C,data!$A:$A,"="&amp;'Покупки по дням'!$B57,data!$B:$B,"="&amp;'Покупки по дням'!AO$2)</f>
        <v>1</v>
      </c>
      <c r="AP57">
        <f>SUMIFS(data!$C:$C,data!$A:$A,"="&amp;'Покупки по дням'!$B57,data!$B:$B,"="&amp;'Покупки по дням'!AP$2)</f>
        <v>2</v>
      </c>
      <c r="AQ57" s="6">
        <f t="shared" si="0"/>
        <v>0.85551571938119853</v>
      </c>
    </row>
    <row r="58" spans="2:43" ht="28.8" x14ac:dyDescent="0.3">
      <c r="B58" s="17" t="s">
        <v>115</v>
      </c>
      <c r="C58">
        <f>SUMIFS(data!$C:$C,data!$A:$A,"="&amp;'Покупки по дням'!$B58,data!$B:$B,"="&amp;'Покупки по дням'!C$2)</f>
        <v>2</v>
      </c>
      <c r="D58">
        <f>SUMIFS(data!$C:$C,data!$A:$A,"="&amp;'Покупки по дням'!$B58,data!$B:$B,"="&amp;'Покупки по дням'!D$2)</f>
        <v>1</v>
      </c>
      <c r="E58">
        <f>SUMIFS(data!$C:$C,data!$A:$A,"="&amp;'Покупки по дням'!$B58,data!$B:$B,"="&amp;'Покупки по дням'!E$2)</f>
        <v>1</v>
      </c>
      <c r="F58">
        <f>SUMIFS(data!$C:$C,data!$A:$A,"="&amp;'Покупки по дням'!$B58,data!$B:$B,"="&amp;'Покупки по дням'!F$2)</f>
        <v>3</v>
      </c>
      <c r="G58">
        <f>SUMIFS(data!$C:$C,data!$A:$A,"="&amp;'Покупки по дням'!$B58,data!$B:$B,"="&amp;'Покупки по дням'!G$2)</f>
        <v>5</v>
      </c>
      <c r="H58">
        <f>SUMIFS(data!$C:$C,data!$A:$A,"="&amp;'Покупки по дням'!$B58,data!$B:$B,"="&amp;'Покупки по дням'!H$2)</f>
        <v>2</v>
      </c>
      <c r="I58">
        <f>SUMIFS(data!$C:$C,data!$A:$A,"="&amp;'Покупки по дням'!$B58,data!$B:$B,"="&amp;'Покупки по дням'!I$2)</f>
        <v>2</v>
      </c>
      <c r="J58">
        <f>SUMIFS(data!$C:$C,data!$A:$A,"="&amp;'Покупки по дням'!$B58,data!$B:$B,"="&amp;'Покупки по дням'!J$2)</f>
        <v>3</v>
      </c>
      <c r="K58">
        <f>SUMIFS(data!$C:$C,data!$A:$A,"="&amp;'Покупки по дням'!$B58,data!$B:$B,"="&amp;'Покупки по дням'!K$2)</f>
        <v>0</v>
      </c>
      <c r="L58">
        <f>SUMIFS(data!$C:$C,data!$A:$A,"="&amp;'Покупки по дням'!$B58,data!$B:$B,"="&amp;'Покупки по дням'!L$2)</f>
        <v>2</v>
      </c>
      <c r="M58">
        <f>SUMIFS(data!$C:$C,data!$A:$A,"="&amp;'Покупки по дням'!$B58,data!$B:$B,"="&amp;'Покупки по дням'!M$2)</f>
        <v>3</v>
      </c>
      <c r="N58">
        <f>SUMIFS(data!$C:$C,data!$A:$A,"="&amp;'Покупки по дням'!$B58,data!$B:$B,"="&amp;'Покупки по дням'!N$2)</f>
        <v>0</v>
      </c>
      <c r="O58">
        <f>SUMIFS(data!$C:$C,data!$A:$A,"="&amp;'Покупки по дням'!$B58,data!$B:$B,"="&amp;'Покупки по дням'!O$2)</f>
        <v>2</v>
      </c>
      <c r="P58">
        <f>SUMIFS(data!$C:$C,data!$A:$A,"="&amp;'Покупки по дням'!$B58,data!$B:$B,"="&amp;'Покупки по дням'!P$2)</f>
        <v>1</v>
      </c>
      <c r="Q58">
        <f>SUMIFS(data!$C:$C,data!$A:$A,"="&amp;'Покупки по дням'!$B58,data!$B:$B,"="&amp;'Покупки по дням'!Q$2)</f>
        <v>4</v>
      </c>
      <c r="R58">
        <f>SUMIFS(data!$C:$C,data!$A:$A,"="&amp;'Покупки по дням'!$B58,data!$B:$B,"="&amp;'Покупки по дням'!R$2)</f>
        <v>4</v>
      </c>
      <c r="S58">
        <f>SUMIFS(data!$C:$C,data!$A:$A,"="&amp;'Покупки по дням'!$B58,data!$B:$B,"="&amp;'Покупки по дням'!S$2)</f>
        <v>1</v>
      </c>
      <c r="T58">
        <f>SUMIFS(data!$C:$C,data!$A:$A,"="&amp;'Покупки по дням'!$B58,data!$B:$B,"="&amp;'Покупки по дням'!T$2)</f>
        <v>5</v>
      </c>
      <c r="U58">
        <f>SUMIFS(data!$C:$C,data!$A:$A,"="&amp;'Покупки по дням'!$B58,data!$B:$B,"="&amp;'Покупки по дням'!U$2)</f>
        <v>4</v>
      </c>
      <c r="V58">
        <f>SUMIFS(data!$C:$C,data!$A:$A,"="&amp;'Покупки по дням'!$B58,data!$B:$B,"="&amp;'Покупки по дням'!V$2)</f>
        <v>0</v>
      </c>
      <c r="W58">
        <f>SUMIFS(data!$C:$C,data!$A:$A,"="&amp;'Покупки по дням'!$B58,data!$B:$B,"="&amp;'Покупки по дням'!W$2)</f>
        <v>2</v>
      </c>
      <c r="X58">
        <f>SUMIFS(data!$C:$C,data!$A:$A,"="&amp;'Покупки по дням'!$B58,data!$B:$B,"="&amp;'Покупки по дням'!X$2)</f>
        <v>2</v>
      </c>
      <c r="Y58">
        <f>SUMIFS(data!$C:$C,data!$A:$A,"="&amp;'Покупки по дням'!$B58,data!$B:$B,"="&amp;'Покупки по дням'!Y$2)</f>
        <v>5</v>
      </c>
      <c r="Z58">
        <f>SUMIFS(data!$C:$C,data!$A:$A,"="&amp;'Покупки по дням'!$B58,data!$B:$B,"="&amp;'Покупки по дням'!Z$2)</f>
        <v>3</v>
      </c>
      <c r="AA58">
        <f>SUMIFS(data!$C:$C,data!$A:$A,"="&amp;'Покупки по дням'!$B58,data!$B:$B,"="&amp;'Покупки по дням'!AA$2)</f>
        <v>0</v>
      </c>
      <c r="AB58">
        <f>SUMIFS(data!$C:$C,data!$A:$A,"="&amp;'Покупки по дням'!$B58,data!$B:$B,"="&amp;'Покупки по дням'!AB$2)</f>
        <v>2</v>
      </c>
      <c r="AC58">
        <f>SUMIFS(data!$C:$C,data!$A:$A,"="&amp;'Покупки по дням'!$B58,data!$B:$B,"="&amp;'Покупки по дням'!AC$2)</f>
        <v>2</v>
      </c>
      <c r="AD58">
        <f>SUMIFS(data!$C:$C,data!$A:$A,"="&amp;'Покупки по дням'!$B58,data!$B:$B,"="&amp;'Покупки по дням'!AD$2)</f>
        <v>10</v>
      </c>
      <c r="AE58">
        <f>SUMIFS(data!$C:$C,data!$A:$A,"="&amp;'Покупки по дням'!$B58,data!$B:$B,"="&amp;'Покупки по дням'!AE$2)</f>
        <v>1</v>
      </c>
      <c r="AF58">
        <f>SUMIFS(data!$C:$C,data!$A:$A,"="&amp;'Покупки по дням'!$B58,data!$B:$B,"="&amp;'Покупки по дням'!AF$2)</f>
        <v>4</v>
      </c>
      <c r="AG58">
        <f>SUMIFS(data!$C:$C,data!$A:$A,"="&amp;'Покупки по дням'!$B58,data!$B:$B,"="&amp;'Покупки по дням'!AG$2)</f>
        <v>2</v>
      </c>
      <c r="AH58">
        <f>SUMIFS(data!$C:$C,data!$A:$A,"="&amp;'Покупки по дням'!$B58,data!$B:$B,"="&amp;'Покупки по дням'!AH$2)</f>
        <v>0</v>
      </c>
      <c r="AI58">
        <f>SUMIFS(data!$C:$C,data!$A:$A,"="&amp;'Покупки по дням'!$B58,data!$B:$B,"="&amp;'Покупки по дням'!AI$2)</f>
        <v>3</v>
      </c>
      <c r="AJ58">
        <f>SUMIFS(data!$C:$C,data!$A:$A,"="&amp;'Покупки по дням'!$B58,data!$B:$B,"="&amp;'Покупки по дням'!AJ$2)</f>
        <v>6</v>
      </c>
      <c r="AK58">
        <f>SUMIFS(data!$C:$C,data!$A:$A,"="&amp;'Покупки по дням'!$B58,data!$B:$B,"="&amp;'Покупки по дням'!AK$2)</f>
        <v>3</v>
      </c>
      <c r="AL58">
        <f>SUMIFS(data!$C:$C,data!$A:$A,"="&amp;'Покупки по дням'!$B58,data!$B:$B,"="&amp;'Покупки по дням'!AL$2)</f>
        <v>0</v>
      </c>
      <c r="AM58">
        <f>SUMIFS(data!$C:$C,data!$A:$A,"="&amp;'Покупки по дням'!$B58,data!$B:$B,"="&amp;'Покупки по дням'!AM$2)</f>
        <v>1</v>
      </c>
      <c r="AN58">
        <f>SUMIFS(data!$C:$C,data!$A:$A,"="&amp;'Покупки по дням'!$B58,data!$B:$B,"="&amp;'Покупки по дням'!AN$2)</f>
        <v>5</v>
      </c>
      <c r="AO58">
        <f>SUMIFS(data!$C:$C,data!$A:$A,"="&amp;'Покупки по дням'!$B58,data!$B:$B,"="&amp;'Покупки по дням'!AO$2)</f>
        <v>1</v>
      </c>
      <c r="AP58">
        <f>SUMIFS(data!$C:$C,data!$A:$A,"="&amp;'Покупки по дням'!$B58,data!$B:$B,"="&amp;'Покупки по дням'!AP$2)</f>
        <v>4</v>
      </c>
      <c r="AQ58" s="6">
        <f t="shared" si="0"/>
        <v>0.80710550284889526</v>
      </c>
    </row>
    <row r="59" spans="2:43" x14ac:dyDescent="0.3">
      <c r="B59" s="17" t="s">
        <v>135</v>
      </c>
      <c r="C59">
        <f>SUMIFS(data!$C:$C,data!$A:$A,"="&amp;'Покупки по дням'!$B59,data!$B:$B,"="&amp;'Покупки по дням'!C$2)</f>
        <v>0</v>
      </c>
      <c r="D59">
        <f>SUMIFS(data!$C:$C,data!$A:$A,"="&amp;'Покупки по дням'!$B59,data!$B:$B,"="&amp;'Покупки по дням'!D$2)</f>
        <v>1</v>
      </c>
      <c r="E59">
        <f>SUMIFS(data!$C:$C,data!$A:$A,"="&amp;'Покупки по дням'!$B59,data!$B:$B,"="&amp;'Покупки по дням'!E$2)</f>
        <v>2</v>
      </c>
      <c r="F59">
        <f>SUMIFS(data!$C:$C,data!$A:$A,"="&amp;'Покупки по дням'!$B59,data!$B:$B,"="&amp;'Покупки по дням'!F$2)</f>
        <v>4</v>
      </c>
      <c r="G59">
        <f>SUMIFS(data!$C:$C,data!$A:$A,"="&amp;'Покупки по дням'!$B59,data!$B:$B,"="&amp;'Покупки по дням'!G$2)</f>
        <v>5</v>
      </c>
      <c r="H59">
        <f>SUMIFS(data!$C:$C,data!$A:$A,"="&amp;'Покупки по дням'!$B59,data!$B:$B,"="&amp;'Покупки по дням'!H$2)</f>
        <v>0</v>
      </c>
      <c r="I59">
        <f>SUMIFS(data!$C:$C,data!$A:$A,"="&amp;'Покупки по дням'!$B59,data!$B:$B,"="&amp;'Покупки по дням'!I$2)</f>
        <v>2</v>
      </c>
      <c r="J59">
        <f>SUMIFS(data!$C:$C,data!$A:$A,"="&amp;'Покупки по дням'!$B59,data!$B:$B,"="&amp;'Покупки по дням'!J$2)</f>
        <v>2</v>
      </c>
      <c r="K59">
        <f>SUMIFS(data!$C:$C,data!$A:$A,"="&amp;'Покупки по дням'!$B59,data!$B:$B,"="&amp;'Покупки по дням'!K$2)</f>
        <v>0</v>
      </c>
      <c r="L59">
        <f>SUMIFS(data!$C:$C,data!$A:$A,"="&amp;'Покупки по дням'!$B59,data!$B:$B,"="&amp;'Покупки по дням'!L$2)</f>
        <v>1</v>
      </c>
      <c r="M59">
        <f>SUMIFS(data!$C:$C,data!$A:$A,"="&amp;'Покупки по дням'!$B59,data!$B:$B,"="&amp;'Покупки по дням'!M$2)</f>
        <v>0</v>
      </c>
      <c r="N59">
        <f>SUMIFS(data!$C:$C,data!$A:$A,"="&amp;'Покупки по дням'!$B59,data!$B:$B,"="&amp;'Покупки по дням'!N$2)</f>
        <v>3</v>
      </c>
      <c r="O59">
        <f>SUMIFS(data!$C:$C,data!$A:$A,"="&amp;'Покупки по дням'!$B59,data!$B:$B,"="&amp;'Покупки по дням'!O$2)</f>
        <v>0</v>
      </c>
      <c r="P59">
        <f>SUMIFS(data!$C:$C,data!$A:$A,"="&amp;'Покупки по дням'!$B59,data!$B:$B,"="&amp;'Покупки по дням'!P$2)</f>
        <v>6</v>
      </c>
      <c r="Q59">
        <f>SUMIFS(data!$C:$C,data!$A:$A,"="&amp;'Покупки по дням'!$B59,data!$B:$B,"="&amp;'Покупки по дням'!Q$2)</f>
        <v>0</v>
      </c>
      <c r="R59">
        <f>SUMIFS(data!$C:$C,data!$A:$A,"="&amp;'Покупки по дням'!$B59,data!$B:$B,"="&amp;'Покупки по дням'!R$2)</f>
        <v>0</v>
      </c>
      <c r="S59">
        <f>SUMIFS(data!$C:$C,data!$A:$A,"="&amp;'Покупки по дням'!$B59,data!$B:$B,"="&amp;'Покупки по дням'!S$2)</f>
        <v>1</v>
      </c>
      <c r="T59">
        <f>SUMIFS(data!$C:$C,data!$A:$A,"="&amp;'Покупки по дням'!$B59,data!$B:$B,"="&amp;'Покупки по дням'!T$2)</f>
        <v>1</v>
      </c>
      <c r="U59">
        <f>SUMIFS(data!$C:$C,data!$A:$A,"="&amp;'Покупки по дням'!$B59,data!$B:$B,"="&amp;'Покупки по дням'!U$2)</f>
        <v>1</v>
      </c>
      <c r="V59">
        <f>SUMIFS(data!$C:$C,data!$A:$A,"="&amp;'Покупки по дням'!$B59,data!$B:$B,"="&amp;'Покупки по дням'!V$2)</f>
        <v>1</v>
      </c>
      <c r="W59">
        <f>SUMIFS(data!$C:$C,data!$A:$A,"="&amp;'Покупки по дням'!$B59,data!$B:$B,"="&amp;'Покупки по дням'!W$2)</f>
        <v>6</v>
      </c>
      <c r="X59">
        <f>SUMIFS(data!$C:$C,data!$A:$A,"="&amp;'Покупки по дням'!$B59,data!$B:$B,"="&amp;'Покупки по дням'!X$2)</f>
        <v>2</v>
      </c>
      <c r="Y59">
        <f>SUMIFS(data!$C:$C,data!$A:$A,"="&amp;'Покупки по дням'!$B59,data!$B:$B,"="&amp;'Покупки по дням'!Y$2)</f>
        <v>3</v>
      </c>
      <c r="Z59">
        <f>SUMIFS(data!$C:$C,data!$A:$A,"="&amp;'Покупки по дням'!$B59,data!$B:$B,"="&amp;'Покупки по дням'!Z$2)</f>
        <v>7</v>
      </c>
      <c r="AA59">
        <f>SUMIFS(data!$C:$C,data!$A:$A,"="&amp;'Покупки по дням'!$B59,data!$B:$B,"="&amp;'Покупки по дням'!AA$2)</f>
        <v>0</v>
      </c>
      <c r="AB59">
        <f>SUMIFS(data!$C:$C,data!$A:$A,"="&amp;'Покупки по дням'!$B59,data!$B:$B,"="&amp;'Покупки по дням'!AB$2)</f>
        <v>0</v>
      </c>
      <c r="AC59">
        <f>SUMIFS(data!$C:$C,data!$A:$A,"="&amp;'Покупки по дням'!$B59,data!$B:$B,"="&amp;'Покупки по дням'!AC$2)</f>
        <v>1</v>
      </c>
      <c r="AD59">
        <f>SUMIFS(data!$C:$C,data!$A:$A,"="&amp;'Покупки по дням'!$B59,data!$B:$B,"="&amp;'Покупки по дням'!AD$2)</f>
        <v>0</v>
      </c>
      <c r="AE59">
        <f>SUMIFS(data!$C:$C,data!$A:$A,"="&amp;'Покупки по дням'!$B59,data!$B:$B,"="&amp;'Покупки по дням'!AE$2)</f>
        <v>0</v>
      </c>
      <c r="AF59">
        <f>SUMIFS(data!$C:$C,data!$A:$A,"="&amp;'Покупки по дням'!$B59,data!$B:$B,"="&amp;'Покупки по дням'!AF$2)</f>
        <v>2</v>
      </c>
      <c r="AG59">
        <f>SUMIFS(data!$C:$C,data!$A:$A,"="&amp;'Покупки по дням'!$B59,data!$B:$B,"="&amp;'Покупки по дням'!AG$2)</f>
        <v>2</v>
      </c>
      <c r="AH59">
        <f>SUMIFS(data!$C:$C,data!$A:$A,"="&amp;'Покупки по дням'!$B59,data!$B:$B,"="&amp;'Покупки по дням'!AH$2)</f>
        <v>3</v>
      </c>
      <c r="AI59">
        <f>SUMIFS(data!$C:$C,data!$A:$A,"="&amp;'Покупки по дням'!$B59,data!$B:$B,"="&amp;'Покупки по дням'!AI$2)</f>
        <v>1</v>
      </c>
      <c r="AJ59">
        <f>SUMIFS(data!$C:$C,data!$A:$A,"="&amp;'Покупки по дням'!$B59,data!$B:$B,"="&amp;'Покупки по дням'!AJ$2)</f>
        <v>5</v>
      </c>
      <c r="AK59">
        <f>SUMIFS(data!$C:$C,data!$A:$A,"="&amp;'Покупки по дням'!$B59,data!$B:$B,"="&amp;'Покупки по дням'!AK$2)</f>
        <v>1</v>
      </c>
      <c r="AL59">
        <f>SUMIFS(data!$C:$C,data!$A:$A,"="&amp;'Покупки по дням'!$B59,data!$B:$B,"="&amp;'Покупки по дням'!AL$2)</f>
        <v>1</v>
      </c>
      <c r="AM59">
        <f>SUMIFS(data!$C:$C,data!$A:$A,"="&amp;'Покупки по дням'!$B59,data!$B:$B,"="&amp;'Покупки по дням'!AM$2)</f>
        <v>2</v>
      </c>
      <c r="AN59">
        <f>SUMIFS(data!$C:$C,data!$A:$A,"="&amp;'Покупки по дням'!$B59,data!$B:$B,"="&amp;'Покупки по дням'!AN$2)</f>
        <v>1</v>
      </c>
      <c r="AO59">
        <f>SUMIFS(data!$C:$C,data!$A:$A,"="&amp;'Покупки по дням'!$B59,data!$B:$B,"="&amp;'Покупки по дням'!AO$2)</f>
        <v>3</v>
      </c>
      <c r="AP59">
        <f>SUMIFS(data!$C:$C,data!$A:$A,"="&amp;'Покупки по дням'!$B59,data!$B:$B,"="&amp;'Покупки по дням'!AP$2)</f>
        <v>0</v>
      </c>
      <c r="AQ59" s="6">
        <f t="shared" si="0"/>
        <v>1.0807288662104833</v>
      </c>
    </row>
    <row r="60" spans="2:43" ht="43.2" x14ac:dyDescent="0.3">
      <c r="B60" s="17" t="s">
        <v>102</v>
      </c>
      <c r="C60">
        <f>SUMIFS(data!$C:$C,data!$A:$A,"="&amp;'Покупки по дням'!$B60,data!$B:$B,"="&amp;'Покупки по дням'!C$2)</f>
        <v>0</v>
      </c>
      <c r="D60">
        <f>SUMIFS(data!$C:$C,data!$A:$A,"="&amp;'Покупки по дням'!$B60,data!$B:$B,"="&amp;'Покупки по дням'!D$2)</f>
        <v>0</v>
      </c>
      <c r="E60">
        <f>SUMIFS(data!$C:$C,data!$A:$A,"="&amp;'Покупки по дням'!$B60,data!$B:$B,"="&amp;'Покупки по дням'!E$2)</f>
        <v>3</v>
      </c>
      <c r="F60">
        <f>SUMIFS(data!$C:$C,data!$A:$A,"="&amp;'Покупки по дням'!$B60,data!$B:$B,"="&amp;'Покупки по дням'!F$2)</f>
        <v>0</v>
      </c>
      <c r="G60">
        <f>SUMIFS(data!$C:$C,data!$A:$A,"="&amp;'Покупки по дням'!$B60,data!$B:$B,"="&amp;'Покупки по дням'!G$2)</f>
        <v>2</v>
      </c>
      <c r="H60">
        <f>SUMIFS(data!$C:$C,data!$A:$A,"="&amp;'Покупки по дням'!$B60,data!$B:$B,"="&amp;'Покупки по дням'!H$2)</f>
        <v>3</v>
      </c>
      <c r="I60">
        <f>SUMIFS(data!$C:$C,data!$A:$A,"="&amp;'Покупки по дням'!$B60,data!$B:$B,"="&amp;'Покупки по дням'!I$2)</f>
        <v>15</v>
      </c>
      <c r="J60">
        <f>SUMIFS(data!$C:$C,data!$A:$A,"="&amp;'Покупки по дням'!$B60,data!$B:$B,"="&amp;'Покупки по дням'!J$2)</f>
        <v>1</v>
      </c>
      <c r="K60">
        <f>SUMIFS(data!$C:$C,data!$A:$A,"="&amp;'Покупки по дням'!$B60,data!$B:$B,"="&amp;'Покупки по дням'!K$2)</f>
        <v>0</v>
      </c>
      <c r="L60">
        <f>SUMIFS(data!$C:$C,data!$A:$A,"="&amp;'Покупки по дням'!$B60,data!$B:$B,"="&amp;'Покупки по дням'!L$2)</f>
        <v>1</v>
      </c>
      <c r="M60">
        <f>SUMIFS(data!$C:$C,data!$A:$A,"="&amp;'Покупки по дням'!$B60,data!$B:$B,"="&amp;'Покупки по дням'!M$2)</f>
        <v>8</v>
      </c>
      <c r="N60">
        <f>SUMIFS(data!$C:$C,data!$A:$A,"="&amp;'Покупки по дням'!$B60,data!$B:$B,"="&amp;'Покупки по дням'!N$2)</f>
        <v>1</v>
      </c>
      <c r="O60">
        <f>SUMIFS(data!$C:$C,data!$A:$A,"="&amp;'Покупки по дням'!$B60,data!$B:$B,"="&amp;'Покупки по дням'!O$2)</f>
        <v>4</v>
      </c>
      <c r="P60">
        <f>SUMIFS(data!$C:$C,data!$A:$A,"="&amp;'Покупки по дням'!$B60,data!$B:$B,"="&amp;'Покупки по дням'!P$2)</f>
        <v>1</v>
      </c>
      <c r="Q60">
        <f>SUMIFS(data!$C:$C,data!$A:$A,"="&amp;'Покупки по дням'!$B60,data!$B:$B,"="&amp;'Покупки по дням'!Q$2)</f>
        <v>3</v>
      </c>
      <c r="R60">
        <f>SUMIFS(data!$C:$C,data!$A:$A,"="&amp;'Покупки по дням'!$B60,data!$B:$B,"="&amp;'Покупки по дням'!R$2)</f>
        <v>2</v>
      </c>
      <c r="S60">
        <f>SUMIFS(data!$C:$C,data!$A:$A,"="&amp;'Покупки по дням'!$B60,data!$B:$B,"="&amp;'Покупки по дням'!S$2)</f>
        <v>0</v>
      </c>
      <c r="T60">
        <f>SUMIFS(data!$C:$C,data!$A:$A,"="&amp;'Покупки по дням'!$B60,data!$B:$B,"="&amp;'Покупки по дням'!T$2)</f>
        <v>0</v>
      </c>
      <c r="U60">
        <f>SUMIFS(data!$C:$C,data!$A:$A,"="&amp;'Покупки по дням'!$B60,data!$B:$B,"="&amp;'Покупки по дням'!U$2)</f>
        <v>13</v>
      </c>
      <c r="V60">
        <f>SUMIFS(data!$C:$C,data!$A:$A,"="&amp;'Покупки по дням'!$B60,data!$B:$B,"="&amp;'Покупки по дням'!V$2)</f>
        <v>0</v>
      </c>
      <c r="W60">
        <f>SUMIFS(data!$C:$C,data!$A:$A,"="&amp;'Покупки по дням'!$B60,data!$B:$B,"="&amp;'Покупки по дням'!W$2)</f>
        <v>0</v>
      </c>
      <c r="X60">
        <f>SUMIFS(data!$C:$C,data!$A:$A,"="&amp;'Покупки по дням'!$B60,data!$B:$B,"="&amp;'Покупки по дням'!X$2)</f>
        <v>0</v>
      </c>
      <c r="Y60">
        <f>SUMIFS(data!$C:$C,data!$A:$A,"="&amp;'Покупки по дням'!$B60,data!$B:$B,"="&amp;'Покупки по дням'!Y$2)</f>
        <v>4</v>
      </c>
      <c r="Z60">
        <f>SUMIFS(data!$C:$C,data!$A:$A,"="&amp;'Покупки по дням'!$B60,data!$B:$B,"="&amp;'Покупки по дням'!Z$2)</f>
        <v>6</v>
      </c>
      <c r="AA60">
        <f>SUMIFS(data!$C:$C,data!$A:$A,"="&amp;'Покупки по дням'!$B60,data!$B:$B,"="&amp;'Покупки по дням'!AA$2)</f>
        <v>0</v>
      </c>
      <c r="AB60">
        <f>SUMIFS(data!$C:$C,data!$A:$A,"="&amp;'Покупки по дням'!$B60,data!$B:$B,"="&amp;'Покупки по дням'!AB$2)</f>
        <v>2</v>
      </c>
      <c r="AC60">
        <f>SUMIFS(data!$C:$C,data!$A:$A,"="&amp;'Покупки по дням'!$B60,data!$B:$B,"="&amp;'Покупки по дням'!AC$2)</f>
        <v>3</v>
      </c>
      <c r="AD60">
        <f>SUMIFS(data!$C:$C,data!$A:$A,"="&amp;'Покупки по дням'!$B60,data!$B:$B,"="&amp;'Покупки по дням'!AD$2)</f>
        <v>0</v>
      </c>
      <c r="AE60">
        <f>SUMIFS(data!$C:$C,data!$A:$A,"="&amp;'Покупки по дням'!$B60,data!$B:$B,"="&amp;'Покупки по дням'!AE$2)</f>
        <v>4</v>
      </c>
      <c r="AF60">
        <f>SUMIFS(data!$C:$C,data!$A:$A,"="&amp;'Покупки по дням'!$B60,data!$B:$B,"="&amp;'Покупки по дням'!AF$2)</f>
        <v>3</v>
      </c>
      <c r="AG60">
        <f>SUMIFS(data!$C:$C,data!$A:$A,"="&amp;'Покупки по дням'!$B60,data!$B:$B,"="&amp;'Покупки по дням'!AG$2)</f>
        <v>6</v>
      </c>
      <c r="AH60">
        <f>SUMIFS(data!$C:$C,data!$A:$A,"="&amp;'Покупки по дням'!$B60,data!$B:$B,"="&amp;'Покупки по дням'!AH$2)</f>
        <v>6</v>
      </c>
      <c r="AI60">
        <f>SUMIFS(data!$C:$C,data!$A:$A,"="&amp;'Покупки по дням'!$B60,data!$B:$B,"="&amp;'Покупки по дням'!AI$2)</f>
        <v>5</v>
      </c>
      <c r="AJ60">
        <f>SUMIFS(data!$C:$C,data!$A:$A,"="&amp;'Покупки по дням'!$B60,data!$B:$B,"="&amp;'Покупки по дням'!AJ$2)</f>
        <v>0</v>
      </c>
      <c r="AK60">
        <f>SUMIFS(data!$C:$C,data!$A:$A,"="&amp;'Покупки по дням'!$B60,data!$B:$B,"="&amp;'Покупки по дням'!AK$2)</f>
        <v>0</v>
      </c>
      <c r="AL60">
        <f>SUMIFS(data!$C:$C,data!$A:$A,"="&amp;'Покупки по дням'!$B60,data!$B:$B,"="&amp;'Покупки по дням'!AL$2)</f>
        <v>4</v>
      </c>
      <c r="AM60">
        <f>SUMIFS(data!$C:$C,data!$A:$A,"="&amp;'Покупки по дням'!$B60,data!$B:$B,"="&amp;'Покупки по дням'!AM$2)</f>
        <v>3</v>
      </c>
      <c r="AN60">
        <f>SUMIFS(data!$C:$C,data!$A:$A,"="&amp;'Покупки по дням'!$B60,data!$B:$B,"="&amp;'Покупки по дням'!AN$2)</f>
        <v>6</v>
      </c>
      <c r="AO60">
        <f>SUMIFS(data!$C:$C,data!$A:$A,"="&amp;'Покупки по дням'!$B60,data!$B:$B,"="&amp;'Покупки по дням'!AO$2)</f>
        <v>11</v>
      </c>
      <c r="AP60">
        <f>SUMIFS(data!$C:$C,data!$A:$A,"="&amp;'Покупки по дням'!$B60,data!$B:$B,"="&amp;'Покупки по дням'!AP$2)</f>
        <v>4</v>
      </c>
      <c r="AQ60" s="6">
        <f t="shared" si="0"/>
        <v>1.1706269285076345</v>
      </c>
    </row>
    <row r="61" spans="2:43" ht="28.8" x14ac:dyDescent="0.3">
      <c r="B61" s="17" t="s">
        <v>12</v>
      </c>
      <c r="C61">
        <f>SUMIFS(data!$C:$C,data!$A:$A,"="&amp;'Покупки по дням'!$B61,data!$B:$B,"="&amp;'Покупки по дням'!C$2)</f>
        <v>1</v>
      </c>
      <c r="D61">
        <f>SUMIFS(data!$C:$C,data!$A:$A,"="&amp;'Покупки по дням'!$B61,data!$B:$B,"="&amp;'Покупки по дням'!D$2)</f>
        <v>1</v>
      </c>
      <c r="E61">
        <f>SUMIFS(data!$C:$C,data!$A:$A,"="&amp;'Покупки по дням'!$B61,data!$B:$B,"="&amp;'Покупки по дням'!E$2)</f>
        <v>0</v>
      </c>
      <c r="F61">
        <f>SUMIFS(data!$C:$C,data!$A:$A,"="&amp;'Покупки по дням'!$B61,data!$B:$B,"="&amp;'Покупки по дням'!F$2)</f>
        <v>3</v>
      </c>
      <c r="G61">
        <f>SUMIFS(data!$C:$C,data!$A:$A,"="&amp;'Покупки по дням'!$B61,data!$B:$B,"="&amp;'Покупки по дням'!G$2)</f>
        <v>1</v>
      </c>
      <c r="H61">
        <f>SUMIFS(data!$C:$C,data!$A:$A,"="&amp;'Покупки по дням'!$B61,data!$B:$B,"="&amp;'Покупки по дням'!H$2)</f>
        <v>7</v>
      </c>
      <c r="I61">
        <f>SUMIFS(data!$C:$C,data!$A:$A,"="&amp;'Покупки по дням'!$B61,data!$B:$B,"="&amp;'Покупки по дням'!I$2)</f>
        <v>2</v>
      </c>
      <c r="J61">
        <f>SUMIFS(data!$C:$C,data!$A:$A,"="&amp;'Покупки по дням'!$B61,data!$B:$B,"="&amp;'Покупки по дням'!J$2)</f>
        <v>5</v>
      </c>
      <c r="K61">
        <f>SUMIFS(data!$C:$C,data!$A:$A,"="&amp;'Покупки по дням'!$B61,data!$B:$B,"="&amp;'Покупки по дням'!K$2)</f>
        <v>0</v>
      </c>
      <c r="L61">
        <f>SUMIFS(data!$C:$C,data!$A:$A,"="&amp;'Покупки по дням'!$B61,data!$B:$B,"="&amp;'Покупки по дням'!L$2)</f>
        <v>8</v>
      </c>
      <c r="M61">
        <f>SUMIFS(data!$C:$C,data!$A:$A,"="&amp;'Покупки по дням'!$B61,data!$B:$B,"="&amp;'Покупки по дням'!M$2)</f>
        <v>1</v>
      </c>
      <c r="N61">
        <f>SUMIFS(data!$C:$C,data!$A:$A,"="&amp;'Покупки по дням'!$B61,data!$B:$B,"="&amp;'Покупки по дням'!N$2)</f>
        <v>1</v>
      </c>
      <c r="O61">
        <f>SUMIFS(data!$C:$C,data!$A:$A,"="&amp;'Покупки по дням'!$B61,data!$B:$B,"="&amp;'Покупки по дням'!O$2)</f>
        <v>5</v>
      </c>
      <c r="P61">
        <f>SUMIFS(data!$C:$C,data!$A:$A,"="&amp;'Покупки по дням'!$B61,data!$B:$B,"="&amp;'Покупки по дням'!P$2)</f>
        <v>3</v>
      </c>
      <c r="Q61">
        <f>SUMIFS(data!$C:$C,data!$A:$A,"="&amp;'Покупки по дням'!$B61,data!$B:$B,"="&amp;'Покупки по дням'!Q$2)</f>
        <v>1</v>
      </c>
      <c r="R61">
        <f>SUMIFS(data!$C:$C,data!$A:$A,"="&amp;'Покупки по дням'!$B61,data!$B:$B,"="&amp;'Покупки по дням'!R$2)</f>
        <v>0</v>
      </c>
      <c r="S61">
        <f>SUMIFS(data!$C:$C,data!$A:$A,"="&amp;'Покупки по дням'!$B61,data!$B:$B,"="&amp;'Покупки по дням'!S$2)</f>
        <v>3</v>
      </c>
      <c r="T61">
        <f>SUMIFS(data!$C:$C,data!$A:$A,"="&amp;'Покупки по дням'!$B61,data!$B:$B,"="&amp;'Покупки по дням'!T$2)</f>
        <v>1</v>
      </c>
      <c r="U61">
        <f>SUMIFS(data!$C:$C,data!$A:$A,"="&amp;'Покупки по дням'!$B61,data!$B:$B,"="&amp;'Покупки по дням'!U$2)</f>
        <v>9</v>
      </c>
      <c r="V61">
        <f>SUMIFS(data!$C:$C,data!$A:$A,"="&amp;'Покупки по дням'!$B61,data!$B:$B,"="&amp;'Покупки по дням'!V$2)</f>
        <v>10</v>
      </c>
      <c r="W61">
        <f>SUMIFS(data!$C:$C,data!$A:$A,"="&amp;'Покупки по дням'!$B61,data!$B:$B,"="&amp;'Покупки по дням'!W$2)</f>
        <v>1</v>
      </c>
      <c r="X61">
        <f>SUMIFS(data!$C:$C,data!$A:$A,"="&amp;'Покупки по дням'!$B61,data!$B:$B,"="&amp;'Покупки по дням'!X$2)</f>
        <v>1</v>
      </c>
      <c r="Y61">
        <f>SUMIFS(data!$C:$C,data!$A:$A,"="&amp;'Покупки по дням'!$B61,data!$B:$B,"="&amp;'Покупки по дням'!Y$2)</f>
        <v>7</v>
      </c>
      <c r="Z61">
        <f>SUMIFS(data!$C:$C,data!$A:$A,"="&amp;'Покупки по дням'!$B61,data!$B:$B,"="&amp;'Покупки по дням'!Z$2)</f>
        <v>1</v>
      </c>
      <c r="AA61">
        <f>SUMIFS(data!$C:$C,data!$A:$A,"="&amp;'Покупки по дням'!$B61,data!$B:$B,"="&amp;'Покупки по дням'!AA$2)</f>
        <v>3</v>
      </c>
      <c r="AB61">
        <f>SUMIFS(data!$C:$C,data!$A:$A,"="&amp;'Покупки по дням'!$B61,data!$B:$B,"="&amp;'Покупки по дням'!AB$2)</f>
        <v>2</v>
      </c>
      <c r="AC61">
        <f>SUMIFS(data!$C:$C,data!$A:$A,"="&amp;'Покупки по дням'!$B61,data!$B:$B,"="&amp;'Покупки по дням'!AC$2)</f>
        <v>0</v>
      </c>
      <c r="AD61">
        <f>SUMIFS(data!$C:$C,data!$A:$A,"="&amp;'Покупки по дням'!$B61,data!$B:$B,"="&amp;'Покупки по дням'!AD$2)</f>
        <v>2</v>
      </c>
      <c r="AE61">
        <f>SUMIFS(data!$C:$C,data!$A:$A,"="&amp;'Покупки по дням'!$B61,data!$B:$B,"="&amp;'Покупки по дням'!AE$2)</f>
        <v>2</v>
      </c>
      <c r="AF61">
        <f>SUMIFS(data!$C:$C,data!$A:$A,"="&amp;'Покупки по дням'!$B61,data!$B:$B,"="&amp;'Покупки по дням'!AF$2)</f>
        <v>3</v>
      </c>
      <c r="AG61">
        <f>SUMIFS(data!$C:$C,data!$A:$A,"="&amp;'Покупки по дням'!$B61,data!$B:$B,"="&amp;'Покупки по дням'!AG$2)</f>
        <v>1</v>
      </c>
      <c r="AH61">
        <f>SUMIFS(data!$C:$C,data!$A:$A,"="&amp;'Покупки по дням'!$B61,data!$B:$B,"="&amp;'Покупки по дням'!AH$2)</f>
        <v>6</v>
      </c>
      <c r="AI61">
        <f>SUMIFS(data!$C:$C,data!$A:$A,"="&amp;'Покупки по дням'!$B61,data!$B:$B,"="&amp;'Покупки по дням'!AI$2)</f>
        <v>5</v>
      </c>
      <c r="AJ61">
        <f>SUMIFS(data!$C:$C,data!$A:$A,"="&amp;'Покупки по дням'!$B61,data!$B:$B,"="&amp;'Покупки по дням'!AJ$2)</f>
        <v>0</v>
      </c>
      <c r="AK61">
        <f>SUMIFS(data!$C:$C,data!$A:$A,"="&amp;'Покупки по дням'!$B61,data!$B:$B,"="&amp;'Покупки по дням'!AK$2)</f>
        <v>0</v>
      </c>
      <c r="AL61">
        <f>SUMIFS(data!$C:$C,data!$A:$A,"="&amp;'Покупки по дням'!$B61,data!$B:$B,"="&amp;'Покупки по дням'!AL$2)</f>
        <v>3</v>
      </c>
      <c r="AM61">
        <f>SUMIFS(data!$C:$C,data!$A:$A,"="&amp;'Покупки по дням'!$B61,data!$B:$B,"="&amp;'Покупки по дням'!AM$2)</f>
        <v>6</v>
      </c>
      <c r="AN61">
        <f>SUMIFS(data!$C:$C,data!$A:$A,"="&amp;'Покупки по дням'!$B61,data!$B:$B,"="&amp;'Покупки по дням'!AN$2)</f>
        <v>0</v>
      </c>
      <c r="AO61">
        <f>SUMIFS(data!$C:$C,data!$A:$A,"="&amp;'Покупки по дням'!$B61,data!$B:$B,"="&amp;'Покупки по дням'!AO$2)</f>
        <v>1</v>
      </c>
      <c r="AP61">
        <f>SUMIFS(data!$C:$C,data!$A:$A,"="&amp;'Покупки по дням'!$B61,data!$B:$B,"="&amp;'Покупки по дням'!AP$2)</f>
        <v>5</v>
      </c>
      <c r="AQ61" s="6">
        <f t="shared" si="0"/>
        <v>0.98092283634252275</v>
      </c>
    </row>
    <row r="62" spans="2:43" ht="28.8" x14ac:dyDescent="0.3">
      <c r="B62" s="17" t="s">
        <v>122</v>
      </c>
      <c r="C62">
        <f>SUMIFS(data!$C:$C,data!$A:$A,"="&amp;'Покупки по дням'!$B62,data!$B:$B,"="&amp;'Покупки по дням'!C$2)</f>
        <v>2</v>
      </c>
      <c r="D62">
        <f>SUMIFS(data!$C:$C,data!$A:$A,"="&amp;'Покупки по дням'!$B62,data!$B:$B,"="&amp;'Покупки по дням'!D$2)</f>
        <v>9</v>
      </c>
      <c r="E62">
        <f>SUMIFS(data!$C:$C,data!$A:$A,"="&amp;'Покупки по дням'!$B62,data!$B:$B,"="&amp;'Покупки по дням'!E$2)</f>
        <v>5</v>
      </c>
      <c r="F62">
        <f>SUMIFS(data!$C:$C,data!$A:$A,"="&amp;'Покупки по дням'!$B62,data!$B:$B,"="&amp;'Покупки по дням'!F$2)</f>
        <v>4</v>
      </c>
      <c r="G62">
        <f>SUMIFS(data!$C:$C,data!$A:$A,"="&amp;'Покупки по дням'!$B62,data!$B:$B,"="&amp;'Покупки по дням'!G$2)</f>
        <v>6</v>
      </c>
      <c r="H62">
        <f>SUMIFS(data!$C:$C,data!$A:$A,"="&amp;'Покупки по дням'!$B62,data!$B:$B,"="&amp;'Покупки по дням'!H$2)</f>
        <v>6</v>
      </c>
      <c r="I62">
        <f>SUMIFS(data!$C:$C,data!$A:$A,"="&amp;'Покупки по дням'!$B62,data!$B:$B,"="&amp;'Покупки по дням'!I$2)</f>
        <v>3</v>
      </c>
      <c r="J62">
        <f>SUMIFS(data!$C:$C,data!$A:$A,"="&amp;'Покупки по дням'!$B62,data!$B:$B,"="&amp;'Покупки по дням'!J$2)</f>
        <v>3</v>
      </c>
      <c r="K62">
        <f>SUMIFS(data!$C:$C,data!$A:$A,"="&amp;'Покупки по дням'!$B62,data!$B:$B,"="&amp;'Покупки по дням'!K$2)</f>
        <v>0</v>
      </c>
      <c r="L62">
        <f>SUMIFS(data!$C:$C,data!$A:$A,"="&amp;'Покупки по дням'!$B62,data!$B:$B,"="&amp;'Покупки по дням'!L$2)</f>
        <v>1</v>
      </c>
      <c r="M62">
        <f>SUMIFS(data!$C:$C,data!$A:$A,"="&amp;'Покупки по дням'!$B62,data!$B:$B,"="&amp;'Покупки по дням'!M$2)</f>
        <v>3</v>
      </c>
      <c r="N62">
        <f>SUMIFS(data!$C:$C,data!$A:$A,"="&amp;'Покупки по дням'!$B62,data!$B:$B,"="&amp;'Покупки по дням'!N$2)</f>
        <v>5</v>
      </c>
      <c r="O62">
        <f>SUMIFS(data!$C:$C,data!$A:$A,"="&amp;'Покупки по дням'!$B62,data!$B:$B,"="&amp;'Покупки по дням'!O$2)</f>
        <v>2</v>
      </c>
      <c r="P62">
        <f>SUMIFS(data!$C:$C,data!$A:$A,"="&amp;'Покупки по дням'!$B62,data!$B:$B,"="&amp;'Покупки по дням'!P$2)</f>
        <v>2</v>
      </c>
      <c r="Q62">
        <f>SUMIFS(data!$C:$C,data!$A:$A,"="&amp;'Покупки по дням'!$B62,data!$B:$B,"="&amp;'Покупки по дням'!Q$2)</f>
        <v>2</v>
      </c>
      <c r="R62">
        <f>SUMIFS(data!$C:$C,data!$A:$A,"="&amp;'Покупки по дням'!$B62,data!$B:$B,"="&amp;'Покупки по дням'!R$2)</f>
        <v>3</v>
      </c>
      <c r="S62">
        <f>SUMIFS(data!$C:$C,data!$A:$A,"="&amp;'Покупки по дням'!$B62,data!$B:$B,"="&amp;'Покупки по дням'!S$2)</f>
        <v>4</v>
      </c>
      <c r="T62">
        <f>SUMIFS(data!$C:$C,data!$A:$A,"="&amp;'Покупки по дням'!$B62,data!$B:$B,"="&amp;'Покупки по дням'!T$2)</f>
        <v>5</v>
      </c>
      <c r="U62">
        <f>SUMIFS(data!$C:$C,data!$A:$A,"="&amp;'Покупки по дням'!$B62,data!$B:$B,"="&amp;'Покупки по дням'!U$2)</f>
        <v>6</v>
      </c>
      <c r="V62">
        <f>SUMIFS(data!$C:$C,data!$A:$A,"="&amp;'Покупки по дням'!$B62,data!$B:$B,"="&amp;'Покупки по дням'!V$2)</f>
        <v>5</v>
      </c>
      <c r="W62">
        <f>SUMIFS(data!$C:$C,data!$A:$A,"="&amp;'Покупки по дням'!$B62,data!$B:$B,"="&amp;'Покупки по дням'!W$2)</f>
        <v>3</v>
      </c>
      <c r="X62">
        <f>SUMIFS(data!$C:$C,data!$A:$A,"="&amp;'Покупки по дням'!$B62,data!$B:$B,"="&amp;'Покупки по дням'!X$2)</f>
        <v>6</v>
      </c>
      <c r="Y62">
        <f>SUMIFS(data!$C:$C,data!$A:$A,"="&amp;'Покупки по дням'!$B62,data!$B:$B,"="&amp;'Покупки по дням'!Y$2)</f>
        <v>7</v>
      </c>
      <c r="Z62">
        <f>SUMIFS(data!$C:$C,data!$A:$A,"="&amp;'Покупки по дням'!$B62,data!$B:$B,"="&amp;'Покупки по дням'!Z$2)</f>
        <v>4</v>
      </c>
      <c r="AA62">
        <f>SUMIFS(data!$C:$C,data!$A:$A,"="&amp;'Покупки по дням'!$B62,data!$B:$B,"="&amp;'Покупки по дням'!AA$2)</f>
        <v>5</v>
      </c>
      <c r="AB62">
        <f>SUMIFS(data!$C:$C,data!$A:$A,"="&amp;'Покупки по дням'!$B62,data!$B:$B,"="&amp;'Покупки по дням'!AB$2)</f>
        <v>5</v>
      </c>
      <c r="AC62">
        <f>SUMIFS(data!$C:$C,data!$A:$A,"="&amp;'Покупки по дням'!$B62,data!$B:$B,"="&amp;'Покупки по дням'!AC$2)</f>
        <v>6</v>
      </c>
      <c r="AD62">
        <f>SUMIFS(data!$C:$C,data!$A:$A,"="&amp;'Покупки по дням'!$B62,data!$B:$B,"="&amp;'Покупки по дням'!AD$2)</f>
        <v>8</v>
      </c>
      <c r="AE62">
        <f>SUMIFS(data!$C:$C,data!$A:$A,"="&amp;'Покупки по дням'!$B62,data!$B:$B,"="&amp;'Покупки по дням'!AE$2)</f>
        <v>9</v>
      </c>
      <c r="AF62">
        <f>SUMIFS(data!$C:$C,data!$A:$A,"="&amp;'Покупки по дням'!$B62,data!$B:$B,"="&amp;'Покупки по дням'!AF$2)</f>
        <v>7</v>
      </c>
      <c r="AG62">
        <f>SUMIFS(data!$C:$C,data!$A:$A,"="&amp;'Покупки по дням'!$B62,data!$B:$B,"="&amp;'Покупки по дням'!AG$2)</f>
        <v>9</v>
      </c>
      <c r="AH62">
        <f>SUMIFS(data!$C:$C,data!$A:$A,"="&amp;'Покупки по дням'!$B62,data!$B:$B,"="&amp;'Покупки по дням'!AH$2)</f>
        <v>5</v>
      </c>
      <c r="AI62">
        <f>SUMIFS(data!$C:$C,data!$A:$A,"="&amp;'Покупки по дням'!$B62,data!$B:$B,"="&amp;'Покупки по дням'!AI$2)</f>
        <v>6</v>
      </c>
      <c r="AJ62">
        <f>SUMIFS(data!$C:$C,data!$A:$A,"="&amp;'Покупки по дням'!$B62,data!$B:$B,"="&amp;'Покупки по дням'!AJ$2)</f>
        <v>6</v>
      </c>
      <c r="AK62">
        <f>SUMIFS(data!$C:$C,data!$A:$A,"="&amp;'Покупки по дням'!$B62,data!$B:$B,"="&amp;'Покупки по дням'!AK$2)</f>
        <v>1</v>
      </c>
      <c r="AL62">
        <f>SUMIFS(data!$C:$C,data!$A:$A,"="&amp;'Покупки по дням'!$B62,data!$B:$B,"="&amp;'Покупки по дням'!AL$2)</f>
        <v>3</v>
      </c>
      <c r="AM62">
        <f>SUMIFS(data!$C:$C,data!$A:$A,"="&amp;'Покупки по дням'!$B62,data!$B:$B,"="&amp;'Покупки по дням'!AM$2)</f>
        <v>4</v>
      </c>
      <c r="AN62">
        <f>SUMIFS(data!$C:$C,data!$A:$A,"="&amp;'Покупки по дням'!$B62,data!$B:$B,"="&amp;'Покупки по дням'!AN$2)</f>
        <v>5.0000001000000003</v>
      </c>
      <c r="AO62">
        <f>SUMIFS(data!$C:$C,data!$A:$A,"="&amp;'Покупки по дням'!$B62,data!$B:$B,"="&amp;'Покупки по дням'!AO$2)</f>
        <v>3</v>
      </c>
      <c r="AP62">
        <f>SUMIFS(data!$C:$C,data!$A:$A,"="&amp;'Покупки по дням'!$B62,data!$B:$B,"="&amp;'Покупки по дням'!AP$2)</f>
        <v>0</v>
      </c>
      <c r="AQ62" s="6">
        <f t="shared" si="0"/>
        <v>0.52133142547346123</v>
      </c>
    </row>
    <row r="63" spans="2:43" ht="28.8" x14ac:dyDescent="0.3">
      <c r="B63" s="17" t="s">
        <v>63</v>
      </c>
      <c r="C63">
        <f>SUMIFS(data!$C:$C,data!$A:$A,"="&amp;'Покупки по дням'!$B63,data!$B:$B,"="&amp;'Покупки по дням'!C$2)</f>
        <v>0</v>
      </c>
      <c r="D63">
        <f>SUMIFS(data!$C:$C,data!$A:$A,"="&amp;'Покупки по дням'!$B63,data!$B:$B,"="&amp;'Покупки по дням'!D$2)</f>
        <v>2</v>
      </c>
      <c r="E63">
        <f>SUMIFS(data!$C:$C,data!$A:$A,"="&amp;'Покупки по дням'!$B63,data!$B:$B,"="&amp;'Покупки по дням'!E$2)</f>
        <v>3</v>
      </c>
      <c r="F63">
        <f>SUMIFS(data!$C:$C,data!$A:$A,"="&amp;'Покупки по дням'!$B63,data!$B:$B,"="&amp;'Покупки по дням'!F$2)</f>
        <v>0</v>
      </c>
      <c r="G63">
        <f>SUMIFS(data!$C:$C,data!$A:$A,"="&amp;'Покупки по дням'!$B63,data!$B:$B,"="&amp;'Покупки по дням'!G$2)</f>
        <v>5</v>
      </c>
      <c r="H63">
        <f>SUMIFS(data!$C:$C,data!$A:$A,"="&amp;'Покупки по дням'!$B63,data!$B:$B,"="&amp;'Покупки по дням'!H$2)</f>
        <v>1</v>
      </c>
      <c r="I63">
        <f>SUMIFS(data!$C:$C,data!$A:$A,"="&amp;'Покупки по дням'!$B63,data!$B:$B,"="&amp;'Покупки по дням'!I$2)</f>
        <v>0</v>
      </c>
      <c r="J63">
        <f>SUMIFS(data!$C:$C,data!$A:$A,"="&amp;'Покупки по дням'!$B63,data!$B:$B,"="&amp;'Покупки по дням'!J$2)</f>
        <v>1</v>
      </c>
      <c r="K63">
        <f>SUMIFS(data!$C:$C,data!$A:$A,"="&amp;'Покупки по дням'!$B63,data!$B:$B,"="&amp;'Покупки по дням'!K$2)</f>
        <v>0</v>
      </c>
      <c r="L63">
        <f>SUMIFS(data!$C:$C,data!$A:$A,"="&amp;'Покупки по дням'!$B63,data!$B:$B,"="&amp;'Покупки по дням'!L$2)</f>
        <v>1</v>
      </c>
      <c r="M63">
        <f>SUMIFS(data!$C:$C,data!$A:$A,"="&amp;'Покупки по дням'!$B63,data!$B:$B,"="&amp;'Покупки по дням'!M$2)</f>
        <v>2</v>
      </c>
      <c r="N63">
        <f>SUMIFS(data!$C:$C,data!$A:$A,"="&amp;'Покупки по дням'!$B63,data!$B:$B,"="&amp;'Покупки по дням'!N$2)</f>
        <v>4</v>
      </c>
      <c r="O63">
        <f>SUMIFS(data!$C:$C,data!$A:$A,"="&amp;'Покупки по дням'!$B63,data!$B:$B,"="&amp;'Покупки по дням'!O$2)</f>
        <v>0</v>
      </c>
      <c r="P63">
        <f>SUMIFS(data!$C:$C,data!$A:$A,"="&amp;'Покупки по дням'!$B63,data!$B:$B,"="&amp;'Покупки по дням'!P$2)</f>
        <v>1</v>
      </c>
      <c r="Q63">
        <f>SUMIFS(data!$C:$C,data!$A:$A,"="&amp;'Покупки по дням'!$B63,data!$B:$B,"="&amp;'Покупки по дням'!Q$2)</f>
        <v>2</v>
      </c>
      <c r="R63">
        <f>SUMIFS(data!$C:$C,data!$A:$A,"="&amp;'Покупки по дням'!$B63,data!$B:$B,"="&amp;'Покупки по дням'!R$2)</f>
        <v>4</v>
      </c>
      <c r="S63">
        <f>SUMIFS(data!$C:$C,data!$A:$A,"="&amp;'Покупки по дням'!$B63,data!$B:$B,"="&amp;'Покупки по дням'!S$2)</f>
        <v>1</v>
      </c>
      <c r="T63">
        <f>SUMIFS(data!$C:$C,data!$A:$A,"="&amp;'Покупки по дням'!$B63,data!$B:$B,"="&amp;'Покупки по дням'!T$2)</f>
        <v>0</v>
      </c>
      <c r="U63">
        <f>SUMIFS(data!$C:$C,data!$A:$A,"="&amp;'Покупки по дням'!$B63,data!$B:$B,"="&amp;'Покупки по дням'!U$2)</f>
        <v>1</v>
      </c>
      <c r="V63">
        <f>SUMIFS(data!$C:$C,data!$A:$A,"="&amp;'Покупки по дням'!$B63,data!$B:$B,"="&amp;'Покупки по дням'!V$2)</f>
        <v>6</v>
      </c>
      <c r="W63">
        <f>SUMIFS(data!$C:$C,data!$A:$A,"="&amp;'Покупки по дням'!$B63,data!$B:$B,"="&amp;'Покупки по дням'!W$2)</f>
        <v>1</v>
      </c>
      <c r="X63">
        <f>SUMIFS(data!$C:$C,data!$A:$A,"="&amp;'Покупки по дням'!$B63,data!$B:$B,"="&amp;'Покупки по дням'!X$2)</f>
        <v>1</v>
      </c>
      <c r="Y63">
        <f>SUMIFS(data!$C:$C,data!$A:$A,"="&amp;'Покупки по дням'!$B63,data!$B:$B,"="&amp;'Покупки по дням'!Y$2)</f>
        <v>2</v>
      </c>
      <c r="Z63">
        <f>SUMIFS(data!$C:$C,data!$A:$A,"="&amp;'Покупки по дням'!$B63,data!$B:$B,"="&amp;'Покупки по дням'!Z$2)</f>
        <v>0</v>
      </c>
      <c r="AA63">
        <f>SUMIFS(data!$C:$C,data!$A:$A,"="&amp;'Покупки по дням'!$B63,data!$B:$B,"="&amp;'Покупки по дням'!AA$2)</f>
        <v>5</v>
      </c>
      <c r="AB63">
        <f>SUMIFS(data!$C:$C,data!$A:$A,"="&amp;'Покупки по дням'!$B63,data!$B:$B,"="&amp;'Покупки по дням'!AB$2)</f>
        <v>3</v>
      </c>
      <c r="AC63">
        <f>SUMIFS(data!$C:$C,data!$A:$A,"="&amp;'Покупки по дням'!$B63,data!$B:$B,"="&amp;'Покупки по дням'!AC$2)</f>
        <v>0</v>
      </c>
      <c r="AD63">
        <f>SUMIFS(data!$C:$C,data!$A:$A,"="&amp;'Покупки по дням'!$B63,data!$B:$B,"="&amp;'Покупки по дням'!AD$2)</f>
        <v>0</v>
      </c>
      <c r="AE63">
        <f>SUMIFS(data!$C:$C,data!$A:$A,"="&amp;'Покупки по дням'!$B63,data!$B:$B,"="&amp;'Покупки по дням'!AE$2)</f>
        <v>6</v>
      </c>
      <c r="AF63">
        <f>SUMIFS(data!$C:$C,data!$A:$A,"="&amp;'Покупки по дням'!$B63,data!$B:$B,"="&amp;'Покупки по дням'!AF$2)</f>
        <v>6</v>
      </c>
      <c r="AG63">
        <f>SUMIFS(data!$C:$C,data!$A:$A,"="&amp;'Покупки по дням'!$B63,data!$B:$B,"="&amp;'Покупки по дням'!AG$2)</f>
        <v>1</v>
      </c>
      <c r="AH63">
        <f>SUMIFS(data!$C:$C,data!$A:$A,"="&amp;'Покупки по дням'!$B63,data!$B:$B,"="&amp;'Покупки по дням'!AH$2)</f>
        <v>8</v>
      </c>
      <c r="AI63">
        <f>SUMIFS(data!$C:$C,data!$A:$A,"="&amp;'Покупки по дням'!$B63,data!$B:$B,"="&amp;'Покупки по дням'!AI$2)</f>
        <v>0</v>
      </c>
      <c r="AJ63">
        <f>SUMIFS(data!$C:$C,data!$A:$A,"="&amp;'Покупки по дням'!$B63,data!$B:$B,"="&amp;'Покупки по дням'!AJ$2)</f>
        <v>0</v>
      </c>
      <c r="AK63">
        <f>SUMIFS(data!$C:$C,data!$A:$A,"="&amp;'Покупки по дням'!$B63,data!$B:$B,"="&amp;'Покупки по дням'!AK$2)</f>
        <v>3</v>
      </c>
      <c r="AL63">
        <f>SUMIFS(data!$C:$C,data!$A:$A,"="&amp;'Покупки по дням'!$B63,data!$B:$B,"="&amp;'Покупки по дням'!AL$2)</f>
        <v>2</v>
      </c>
      <c r="AM63">
        <f>SUMIFS(data!$C:$C,data!$A:$A,"="&amp;'Покупки по дням'!$B63,data!$B:$B,"="&amp;'Покупки по дням'!AM$2)</f>
        <v>4</v>
      </c>
      <c r="AN63">
        <f>SUMIFS(data!$C:$C,data!$A:$A,"="&amp;'Покупки по дням'!$B63,data!$B:$B,"="&amp;'Покупки по дням'!AN$2)</f>
        <v>1</v>
      </c>
      <c r="AO63">
        <f>SUMIFS(data!$C:$C,data!$A:$A,"="&amp;'Покупки по дням'!$B63,data!$B:$B,"="&amp;'Покупки по дням'!AO$2)</f>
        <v>6</v>
      </c>
      <c r="AP63">
        <f>SUMIFS(data!$C:$C,data!$A:$A,"="&amp;'Покупки по дням'!$B63,data!$B:$B,"="&amp;'Покупки по дням'!AP$2)</f>
        <v>7</v>
      </c>
      <c r="AQ63" s="6">
        <f t="shared" si="0"/>
        <v>1.0300947933649143</v>
      </c>
    </row>
    <row r="64" spans="2:43" ht="28.8" x14ac:dyDescent="0.3">
      <c r="B64" s="17" t="s">
        <v>58</v>
      </c>
      <c r="C64">
        <f>SUMIFS(data!$C:$C,data!$A:$A,"="&amp;'Покупки по дням'!$B64,data!$B:$B,"="&amp;'Покупки по дням'!C$2)</f>
        <v>2</v>
      </c>
      <c r="D64">
        <f>SUMIFS(data!$C:$C,data!$A:$A,"="&amp;'Покупки по дням'!$B64,data!$B:$B,"="&amp;'Покупки по дням'!D$2)</f>
        <v>4</v>
      </c>
      <c r="E64">
        <f>SUMIFS(data!$C:$C,data!$A:$A,"="&amp;'Покупки по дням'!$B64,data!$B:$B,"="&amp;'Покупки по дням'!E$2)</f>
        <v>0</v>
      </c>
      <c r="F64">
        <f>SUMIFS(data!$C:$C,data!$A:$A,"="&amp;'Покупки по дням'!$B64,data!$B:$B,"="&amp;'Покупки по дням'!F$2)</f>
        <v>7</v>
      </c>
      <c r="G64">
        <f>SUMIFS(data!$C:$C,data!$A:$A,"="&amp;'Покупки по дням'!$B64,data!$B:$B,"="&amp;'Покупки по дням'!G$2)</f>
        <v>0</v>
      </c>
      <c r="H64">
        <f>SUMIFS(data!$C:$C,data!$A:$A,"="&amp;'Покупки по дням'!$B64,data!$B:$B,"="&amp;'Покупки по дням'!H$2)</f>
        <v>4</v>
      </c>
      <c r="I64">
        <f>SUMIFS(data!$C:$C,data!$A:$A,"="&amp;'Покупки по дням'!$B64,data!$B:$B,"="&amp;'Покупки по дням'!I$2)</f>
        <v>0</v>
      </c>
      <c r="J64">
        <f>SUMIFS(data!$C:$C,data!$A:$A,"="&amp;'Покупки по дням'!$B64,data!$B:$B,"="&amp;'Покупки по дням'!J$2)</f>
        <v>1</v>
      </c>
      <c r="K64">
        <f>SUMIFS(data!$C:$C,data!$A:$A,"="&amp;'Покупки по дням'!$B64,data!$B:$B,"="&amp;'Покупки по дням'!K$2)</f>
        <v>0</v>
      </c>
      <c r="L64">
        <f>SUMIFS(data!$C:$C,data!$A:$A,"="&amp;'Покупки по дням'!$B64,data!$B:$B,"="&amp;'Покупки по дням'!L$2)</f>
        <v>3</v>
      </c>
      <c r="M64">
        <f>SUMIFS(data!$C:$C,data!$A:$A,"="&amp;'Покупки по дням'!$B64,data!$B:$B,"="&amp;'Покупки по дням'!M$2)</f>
        <v>2</v>
      </c>
      <c r="N64">
        <f>SUMIFS(data!$C:$C,data!$A:$A,"="&amp;'Покупки по дням'!$B64,data!$B:$B,"="&amp;'Покупки по дням'!N$2)</f>
        <v>1</v>
      </c>
      <c r="O64">
        <f>SUMIFS(data!$C:$C,data!$A:$A,"="&amp;'Покупки по дням'!$B64,data!$B:$B,"="&amp;'Покупки по дням'!O$2)</f>
        <v>2</v>
      </c>
      <c r="P64">
        <f>SUMIFS(data!$C:$C,data!$A:$A,"="&amp;'Покупки по дням'!$B64,data!$B:$B,"="&amp;'Покупки по дням'!P$2)</f>
        <v>0</v>
      </c>
      <c r="Q64">
        <f>SUMIFS(data!$C:$C,data!$A:$A,"="&amp;'Покупки по дням'!$B64,data!$B:$B,"="&amp;'Покупки по дням'!Q$2)</f>
        <v>0</v>
      </c>
      <c r="R64">
        <f>SUMIFS(data!$C:$C,data!$A:$A,"="&amp;'Покупки по дням'!$B64,data!$B:$B,"="&amp;'Покупки по дням'!R$2)</f>
        <v>4</v>
      </c>
      <c r="S64">
        <f>SUMIFS(data!$C:$C,data!$A:$A,"="&amp;'Покупки по дням'!$B64,data!$B:$B,"="&amp;'Покупки по дням'!S$2)</f>
        <v>1</v>
      </c>
      <c r="T64">
        <f>SUMIFS(data!$C:$C,data!$A:$A,"="&amp;'Покупки по дням'!$B64,data!$B:$B,"="&amp;'Покупки по дням'!T$2)</f>
        <v>3</v>
      </c>
      <c r="U64">
        <f>SUMIFS(data!$C:$C,data!$A:$A,"="&amp;'Покупки по дням'!$B64,data!$B:$B,"="&amp;'Покупки по дням'!U$2)</f>
        <v>0</v>
      </c>
      <c r="V64">
        <f>SUMIFS(data!$C:$C,data!$A:$A,"="&amp;'Покупки по дням'!$B64,data!$B:$B,"="&amp;'Покупки по дням'!V$2)</f>
        <v>0</v>
      </c>
      <c r="W64">
        <f>SUMIFS(data!$C:$C,data!$A:$A,"="&amp;'Покупки по дням'!$B64,data!$B:$B,"="&amp;'Покупки по дням'!W$2)</f>
        <v>1</v>
      </c>
      <c r="X64">
        <f>SUMIFS(data!$C:$C,data!$A:$A,"="&amp;'Покупки по дням'!$B64,data!$B:$B,"="&amp;'Покупки по дням'!X$2)</f>
        <v>7</v>
      </c>
      <c r="Y64">
        <f>SUMIFS(data!$C:$C,data!$A:$A,"="&amp;'Покупки по дням'!$B64,data!$B:$B,"="&amp;'Покупки по дням'!Y$2)</f>
        <v>4</v>
      </c>
      <c r="Z64">
        <f>SUMIFS(data!$C:$C,data!$A:$A,"="&amp;'Покупки по дням'!$B64,data!$B:$B,"="&amp;'Покупки по дням'!Z$2)</f>
        <v>0</v>
      </c>
      <c r="AA64">
        <f>SUMIFS(data!$C:$C,data!$A:$A,"="&amp;'Покупки по дням'!$B64,data!$B:$B,"="&amp;'Покупки по дням'!AA$2)</f>
        <v>5</v>
      </c>
      <c r="AB64">
        <f>SUMIFS(data!$C:$C,data!$A:$A,"="&amp;'Покупки по дням'!$B64,data!$B:$B,"="&amp;'Покупки по дням'!AB$2)</f>
        <v>2</v>
      </c>
      <c r="AC64">
        <f>SUMIFS(data!$C:$C,data!$A:$A,"="&amp;'Покупки по дням'!$B64,data!$B:$B,"="&amp;'Покупки по дням'!AC$2)</f>
        <v>0</v>
      </c>
      <c r="AD64">
        <f>SUMIFS(data!$C:$C,data!$A:$A,"="&amp;'Покупки по дням'!$B64,data!$B:$B,"="&amp;'Покупки по дням'!AD$2)</f>
        <v>5</v>
      </c>
      <c r="AE64">
        <f>SUMIFS(data!$C:$C,data!$A:$A,"="&amp;'Покупки по дням'!$B64,data!$B:$B,"="&amp;'Покупки по дням'!AE$2)</f>
        <v>4</v>
      </c>
      <c r="AF64">
        <f>SUMIFS(data!$C:$C,data!$A:$A,"="&amp;'Покупки по дням'!$B64,data!$B:$B,"="&amp;'Покупки по дням'!AF$2)</f>
        <v>0</v>
      </c>
      <c r="AG64">
        <f>SUMIFS(data!$C:$C,data!$A:$A,"="&amp;'Покупки по дням'!$B64,data!$B:$B,"="&amp;'Покупки по дням'!AG$2)</f>
        <v>0</v>
      </c>
      <c r="AH64">
        <f>SUMIFS(data!$C:$C,data!$A:$A,"="&amp;'Покупки по дням'!$B64,data!$B:$B,"="&amp;'Покупки по дням'!AH$2)</f>
        <v>0</v>
      </c>
      <c r="AI64">
        <f>SUMIFS(data!$C:$C,data!$A:$A,"="&amp;'Покупки по дням'!$B64,data!$B:$B,"="&amp;'Покупки по дням'!AI$2)</f>
        <v>8</v>
      </c>
      <c r="AJ64">
        <f>SUMIFS(data!$C:$C,data!$A:$A,"="&amp;'Покупки по дням'!$B64,data!$B:$B,"="&amp;'Покупки по дням'!AJ$2)</f>
        <v>3</v>
      </c>
      <c r="AK64">
        <f>SUMIFS(data!$C:$C,data!$A:$A,"="&amp;'Покупки по дням'!$B64,data!$B:$B,"="&amp;'Покупки по дням'!AK$2)</f>
        <v>2</v>
      </c>
      <c r="AL64">
        <f>SUMIFS(data!$C:$C,data!$A:$A,"="&amp;'Покупки по дням'!$B64,data!$B:$B,"="&amp;'Покупки по дням'!AL$2)</f>
        <v>1</v>
      </c>
      <c r="AM64">
        <f>SUMIFS(data!$C:$C,data!$A:$A,"="&amp;'Покупки по дням'!$B64,data!$B:$B,"="&amp;'Покупки по дням'!AM$2)</f>
        <v>3</v>
      </c>
      <c r="AN64">
        <f>SUMIFS(data!$C:$C,data!$A:$A,"="&amp;'Покупки по дням'!$B64,data!$B:$B,"="&amp;'Покупки по дням'!AN$2)</f>
        <v>5</v>
      </c>
      <c r="AO64">
        <f>SUMIFS(data!$C:$C,data!$A:$A,"="&amp;'Покупки по дням'!$B64,data!$B:$B,"="&amp;'Покупки по дням'!AO$2)</f>
        <v>2</v>
      </c>
      <c r="AP64">
        <f>SUMIFS(data!$C:$C,data!$A:$A,"="&amp;'Покупки по дням'!$B64,data!$B:$B,"="&amp;'Покупки по дням'!AP$2)</f>
        <v>7</v>
      </c>
      <c r="AQ64" s="6">
        <f t="shared" si="0"/>
        <v>1.0093379512970631</v>
      </c>
    </row>
    <row r="65" spans="2:43" x14ac:dyDescent="0.3">
      <c r="B65" s="17" t="s">
        <v>99</v>
      </c>
      <c r="C65">
        <f>SUMIFS(data!$C:$C,data!$A:$A,"="&amp;'Покупки по дням'!$B65,data!$B:$B,"="&amp;'Покупки по дням'!C$2)</f>
        <v>2</v>
      </c>
      <c r="D65">
        <f>SUMIFS(data!$C:$C,data!$A:$A,"="&amp;'Покупки по дням'!$B65,data!$B:$B,"="&amp;'Покупки по дням'!D$2)</f>
        <v>2</v>
      </c>
      <c r="E65">
        <f>SUMIFS(data!$C:$C,data!$A:$A,"="&amp;'Покупки по дням'!$B65,data!$B:$B,"="&amp;'Покупки по дням'!E$2)</f>
        <v>1</v>
      </c>
      <c r="F65">
        <f>SUMIFS(data!$C:$C,data!$A:$A,"="&amp;'Покупки по дням'!$B65,data!$B:$B,"="&amp;'Покупки по дням'!F$2)</f>
        <v>3</v>
      </c>
      <c r="G65">
        <f>SUMIFS(data!$C:$C,data!$A:$A,"="&amp;'Покупки по дням'!$B65,data!$B:$B,"="&amp;'Покупки по дням'!G$2)</f>
        <v>2</v>
      </c>
      <c r="H65">
        <f>SUMIFS(data!$C:$C,data!$A:$A,"="&amp;'Покупки по дням'!$B65,data!$B:$B,"="&amp;'Покупки по дням'!H$2)</f>
        <v>1</v>
      </c>
      <c r="I65">
        <f>SUMIFS(data!$C:$C,data!$A:$A,"="&amp;'Покупки по дням'!$B65,data!$B:$B,"="&amp;'Покупки по дням'!I$2)</f>
        <v>7</v>
      </c>
      <c r="J65">
        <f>SUMIFS(data!$C:$C,data!$A:$A,"="&amp;'Покупки по дням'!$B65,data!$B:$B,"="&amp;'Покупки по дням'!J$2)</f>
        <v>0</v>
      </c>
      <c r="K65">
        <f>SUMIFS(data!$C:$C,data!$A:$A,"="&amp;'Покупки по дням'!$B65,data!$B:$B,"="&amp;'Покупки по дням'!K$2)</f>
        <v>0</v>
      </c>
      <c r="L65">
        <f>SUMIFS(data!$C:$C,data!$A:$A,"="&amp;'Покупки по дням'!$B65,data!$B:$B,"="&amp;'Покупки по дням'!L$2)</f>
        <v>1</v>
      </c>
      <c r="M65">
        <f>SUMIFS(data!$C:$C,data!$A:$A,"="&amp;'Покупки по дням'!$B65,data!$B:$B,"="&amp;'Покупки по дням'!M$2)</f>
        <v>3</v>
      </c>
      <c r="N65">
        <f>SUMIFS(data!$C:$C,data!$A:$A,"="&amp;'Покупки по дням'!$B65,data!$B:$B,"="&amp;'Покупки по дням'!N$2)</f>
        <v>3</v>
      </c>
      <c r="O65">
        <f>SUMIFS(data!$C:$C,data!$A:$A,"="&amp;'Покупки по дням'!$B65,data!$B:$B,"="&amp;'Покупки по дням'!O$2)</f>
        <v>4</v>
      </c>
      <c r="P65">
        <f>SUMIFS(data!$C:$C,data!$A:$A,"="&amp;'Покупки по дням'!$B65,data!$B:$B,"="&amp;'Покупки по дням'!P$2)</f>
        <v>2</v>
      </c>
      <c r="Q65">
        <f>SUMIFS(data!$C:$C,data!$A:$A,"="&amp;'Покупки по дням'!$B65,data!$B:$B,"="&amp;'Покупки по дням'!Q$2)</f>
        <v>4</v>
      </c>
      <c r="R65">
        <f>SUMIFS(data!$C:$C,data!$A:$A,"="&amp;'Покупки по дням'!$B65,data!$B:$B,"="&amp;'Покупки по дням'!R$2)</f>
        <v>0</v>
      </c>
      <c r="S65">
        <f>SUMIFS(data!$C:$C,data!$A:$A,"="&amp;'Покупки по дням'!$B65,data!$B:$B,"="&amp;'Покупки по дням'!S$2)</f>
        <v>0</v>
      </c>
      <c r="T65">
        <f>SUMIFS(data!$C:$C,data!$A:$A,"="&amp;'Покупки по дням'!$B65,data!$B:$B,"="&amp;'Покупки по дням'!T$2)</f>
        <v>3</v>
      </c>
      <c r="U65">
        <f>SUMIFS(data!$C:$C,data!$A:$A,"="&amp;'Покупки по дням'!$B65,data!$B:$B,"="&amp;'Покупки по дням'!U$2)</f>
        <v>4</v>
      </c>
      <c r="V65">
        <f>SUMIFS(data!$C:$C,data!$A:$A,"="&amp;'Покупки по дням'!$B65,data!$B:$B,"="&amp;'Покупки по дням'!V$2)</f>
        <v>4</v>
      </c>
      <c r="W65">
        <f>SUMIFS(data!$C:$C,data!$A:$A,"="&amp;'Покупки по дням'!$B65,data!$B:$B,"="&amp;'Покупки по дням'!W$2)</f>
        <v>0</v>
      </c>
      <c r="X65">
        <f>SUMIFS(data!$C:$C,data!$A:$A,"="&amp;'Покупки по дням'!$B65,data!$B:$B,"="&amp;'Покупки по дням'!X$2)</f>
        <v>3</v>
      </c>
      <c r="Y65">
        <f>SUMIFS(data!$C:$C,data!$A:$A,"="&amp;'Покупки по дням'!$B65,data!$B:$B,"="&amp;'Покупки по дням'!Y$2)</f>
        <v>3</v>
      </c>
      <c r="Z65">
        <f>SUMIFS(data!$C:$C,data!$A:$A,"="&amp;'Покупки по дням'!$B65,data!$B:$B,"="&amp;'Покупки по дням'!Z$2)</f>
        <v>0</v>
      </c>
      <c r="AA65">
        <f>SUMIFS(data!$C:$C,data!$A:$A,"="&amp;'Покупки по дням'!$B65,data!$B:$B,"="&amp;'Покупки по дням'!AA$2)</f>
        <v>5</v>
      </c>
      <c r="AB65">
        <f>SUMIFS(data!$C:$C,data!$A:$A,"="&amp;'Покупки по дням'!$B65,data!$B:$B,"="&amp;'Покупки по дням'!AB$2)</f>
        <v>2</v>
      </c>
      <c r="AC65">
        <f>SUMIFS(data!$C:$C,data!$A:$A,"="&amp;'Покупки по дням'!$B65,data!$B:$B,"="&amp;'Покупки по дням'!AC$2)</f>
        <v>0</v>
      </c>
      <c r="AD65">
        <f>SUMIFS(data!$C:$C,data!$A:$A,"="&amp;'Покупки по дням'!$B65,data!$B:$B,"="&amp;'Покупки по дням'!AD$2)</f>
        <v>3</v>
      </c>
      <c r="AE65">
        <f>SUMIFS(data!$C:$C,data!$A:$A,"="&amp;'Покупки по дням'!$B65,data!$B:$B,"="&amp;'Покупки по дням'!AE$2)</f>
        <v>0</v>
      </c>
      <c r="AF65">
        <f>SUMIFS(data!$C:$C,data!$A:$A,"="&amp;'Покупки по дням'!$B65,data!$B:$B,"="&amp;'Покупки по дням'!AF$2)</f>
        <v>3</v>
      </c>
      <c r="AG65">
        <f>SUMIFS(data!$C:$C,data!$A:$A,"="&amp;'Покупки по дням'!$B65,data!$B:$B,"="&amp;'Покупки по дням'!AG$2)</f>
        <v>1</v>
      </c>
      <c r="AH65">
        <f>SUMIFS(data!$C:$C,data!$A:$A,"="&amp;'Покупки по дням'!$B65,data!$B:$B,"="&amp;'Покупки по дням'!AH$2)</f>
        <v>0</v>
      </c>
      <c r="AI65">
        <f>SUMIFS(data!$C:$C,data!$A:$A,"="&amp;'Покупки по дням'!$B65,data!$B:$B,"="&amp;'Покупки по дням'!AI$2)</f>
        <v>2</v>
      </c>
      <c r="AJ65">
        <f>SUMIFS(data!$C:$C,data!$A:$A,"="&amp;'Покупки по дням'!$B65,data!$B:$B,"="&amp;'Покупки по дням'!AJ$2)</f>
        <v>3</v>
      </c>
      <c r="AK65">
        <f>SUMIFS(data!$C:$C,data!$A:$A,"="&amp;'Покупки по дням'!$B65,data!$B:$B,"="&amp;'Покупки по дням'!AK$2)</f>
        <v>0</v>
      </c>
      <c r="AL65">
        <f>SUMIFS(data!$C:$C,data!$A:$A,"="&amp;'Покупки по дням'!$B65,data!$B:$B,"="&amp;'Покупки по дням'!AL$2)</f>
        <v>2</v>
      </c>
      <c r="AM65">
        <f>SUMIFS(data!$C:$C,data!$A:$A,"="&amp;'Покупки по дням'!$B65,data!$B:$B,"="&amp;'Покупки по дням'!AM$2)</f>
        <v>0</v>
      </c>
      <c r="AN65">
        <f>SUMIFS(data!$C:$C,data!$A:$A,"="&amp;'Покупки по дням'!$B65,data!$B:$B,"="&amp;'Покупки по дням'!AN$2)</f>
        <v>2</v>
      </c>
      <c r="AO65">
        <f>SUMIFS(data!$C:$C,data!$A:$A,"="&amp;'Покупки по дням'!$B65,data!$B:$B,"="&amp;'Покупки по дням'!AO$2)</f>
        <v>3</v>
      </c>
      <c r="AP65">
        <f>SUMIFS(data!$C:$C,data!$A:$A,"="&amp;'Покупки по дням'!$B65,data!$B:$B,"="&amp;'Покупки по дням'!AP$2)</f>
        <v>1</v>
      </c>
      <c r="AQ65" s="6">
        <f t="shared" si="0"/>
        <v>0.84637735531310254</v>
      </c>
    </row>
    <row r="66" spans="2:43" ht="28.8" x14ac:dyDescent="0.3">
      <c r="B66" s="17" t="s">
        <v>62</v>
      </c>
      <c r="C66">
        <f>SUMIFS(data!$C:$C,data!$A:$A,"="&amp;'Покупки по дням'!$B66,data!$B:$B,"="&amp;'Покупки по дням'!C$2)</f>
        <v>4</v>
      </c>
      <c r="D66">
        <f>SUMIFS(data!$C:$C,data!$A:$A,"="&amp;'Покупки по дням'!$B66,data!$B:$B,"="&amp;'Покупки по дням'!D$2)</f>
        <v>4</v>
      </c>
      <c r="E66">
        <f>SUMIFS(data!$C:$C,data!$A:$A,"="&amp;'Покупки по дням'!$B66,data!$B:$B,"="&amp;'Покупки по дням'!E$2)</f>
        <v>8</v>
      </c>
      <c r="F66">
        <f>SUMIFS(data!$C:$C,data!$A:$A,"="&amp;'Покупки по дням'!$B66,data!$B:$B,"="&amp;'Покупки по дням'!F$2)</f>
        <v>9</v>
      </c>
      <c r="G66">
        <f>SUMIFS(data!$C:$C,data!$A:$A,"="&amp;'Покупки по дням'!$B66,data!$B:$B,"="&amp;'Покупки по дням'!G$2)</f>
        <v>8</v>
      </c>
      <c r="H66">
        <f>SUMIFS(data!$C:$C,data!$A:$A,"="&amp;'Покупки по дням'!$B66,data!$B:$B,"="&amp;'Покупки по дням'!H$2)</f>
        <v>4</v>
      </c>
      <c r="I66">
        <f>SUMIFS(data!$C:$C,data!$A:$A,"="&amp;'Покупки по дням'!$B66,data!$B:$B,"="&amp;'Покупки по дням'!I$2)</f>
        <v>4</v>
      </c>
      <c r="J66">
        <f>SUMIFS(data!$C:$C,data!$A:$A,"="&amp;'Покупки по дням'!$B66,data!$B:$B,"="&amp;'Покупки по дням'!J$2)</f>
        <v>1</v>
      </c>
      <c r="K66">
        <f>SUMIFS(data!$C:$C,data!$A:$A,"="&amp;'Покупки по дням'!$B66,data!$B:$B,"="&amp;'Покупки по дням'!K$2)</f>
        <v>0</v>
      </c>
      <c r="L66">
        <f>SUMIFS(data!$C:$C,data!$A:$A,"="&amp;'Покупки по дням'!$B66,data!$B:$B,"="&amp;'Покупки по дням'!L$2)</f>
        <v>3</v>
      </c>
      <c r="M66">
        <f>SUMIFS(data!$C:$C,data!$A:$A,"="&amp;'Покупки по дням'!$B66,data!$B:$B,"="&amp;'Покупки по дням'!M$2)</f>
        <v>6</v>
      </c>
      <c r="N66">
        <f>SUMIFS(data!$C:$C,data!$A:$A,"="&amp;'Покупки по дням'!$B66,data!$B:$B,"="&amp;'Покупки по дням'!N$2)</f>
        <v>7</v>
      </c>
      <c r="O66">
        <f>SUMIFS(data!$C:$C,data!$A:$A,"="&amp;'Покупки по дням'!$B66,data!$B:$B,"="&amp;'Покупки по дням'!O$2)</f>
        <v>3</v>
      </c>
      <c r="P66">
        <f>SUMIFS(data!$C:$C,data!$A:$A,"="&amp;'Покупки по дням'!$B66,data!$B:$B,"="&amp;'Покупки по дням'!P$2)</f>
        <v>4</v>
      </c>
      <c r="Q66">
        <f>SUMIFS(data!$C:$C,data!$A:$A,"="&amp;'Покупки по дням'!$B66,data!$B:$B,"="&amp;'Покупки по дням'!Q$2)</f>
        <v>10</v>
      </c>
      <c r="R66">
        <f>SUMIFS(data!$C:$C,data!$A:$A,"="&amp;'Покупки по дням'!$B66,data!$B:$B,"="&amp;'Покупки по дням'!R$2)</f>
        <v>6</v>
      </c>
      <c r="S66">
        <f>SUMIFS(data!$C:$C,data!$A:$A,"="&amp;'Покупки по дням'!$B66,data!$B:$B,"="&amp;'Покупки по дням'!S$2)</f>
        <v>3</v>
      </c>
      <c r="T66">
        <f>SUMIFS(data!$C:$C,data!$A:$A,"="&amp;'Покупки по дням'!$B66,data!$B:$B,"="&amp;'Покупки по дням'!T$2)</f>
        <v>2</v>
      </c>
      <c r="U66">
        <f>SUMIFS(data!$C:$C,data!$A:$A,"="&amp;'Покупки по дням'!$B66,data!$B:$B,"="&amp;'Покупки по дням'!U$2)</f>
        <v>4</v>
      </c>
      <c r="V66">
        <f>SUMIFS(data!$C:$C,data!$A:$A,"="&amp;'Покупки по дням'!$B66,data!$B:$B,"="&amp;'Покупки по дням'!V$2)</f>
        <v>8</v>
      </c>
      <c r="W66">
        <f>SUMIFS(data!$C:$C,data!$A:$A,"="&amp;'Покупки по дням'!$B66,data!$B:$B,"="&amp;'Покупки по дням'!W$2)</f>
        <v>3</v>
      </c>
      <c r="X66">
        <f>SUMIFS(data!$C:$C,data!$A:$A,"="&amp;'Покупки по дням'!$B66,data!$B:$B,"="&amp;'Покупки по дням'!X$2)</f>
        <v>3</v>
      </c>
      <c r="Y66">
        <f>SUMIFS(data!$C:$C,data!$A:$A,"="&amp;'Покупки по дням'!$B66,data!$B:$B,"="&amp;'Покупки по дням'!Y$2)</f>
        <v>2</v>
      </c>
      <c r="Z66">
        <f>SUMIFS(data!$C:$C,data!$A:$A,"="&amp;'Покупки по дням'!$B66,data!$B:$B,"="&amp;'Покупки по дням'!Z$2)</f>
        <v>2</v>
      </c>
      <c r="AA66">
        <f>SUMIFS(data!$C:$C,data!$A:$A,"="&amp;'Покупки по дням'!$B66,data!$B:$B,"="&amp;'Покупки по дням'!AA$2)</f>
        <v>9</v>
      </c>
      <c r="AB66">
        <f>SUMIFS(data!$C:$C,data!$A:$A,"="&amp;'Покупки по дням'!$B66,data!$B:$B,"="&amp;'Покупки по дням'!AB$2)</f>
        <v>4</v>
      </c>
      <c r="AC66">
        <f>SUMIFS(data!$C:$C,data!$A:$A,"="&amp;'Покупки по дням'!$B66,data!$B:$B,"="&amp;'Покупки по дням'!AC$2)</f>
        <v>6</v>
      </c>
      <c r="AD66">
        <f>SUMIFS(data!$C:$C,data!$A:$A,"="&amp;'Покупки по дням'!$B66,data!$B:$B,"="&amp;'Покупки по дням'!AD$2)</f>
        <v>3</v>
      </c>
      <c r="AE66">
        <f>SUMIFS(data!$C:$C,data!$A:$A,"="&amp;'Покупки по дням'!$B66,data!$B:$B,"="&amp;'Покупки по дням'!AE$2)</f>
        <v>1</v>
      </c>
      <c r="AF66">
        <f>SUMIFS(data!$C:$C,data!$A:$A,"="&amp;'Покупки по дням'!$B66,data!$B:$B,"="&amp;'Покупки по дням'!AF$2)</f>
        <v>8</v>
      </c>
      <c r="AG66">
        <f>SUMIFS(data!$C:$C,data!$A:$A,"="&amp;'Покупки по дням'!$B66,data!$B:$B,"="&amp;'Покупки по дням'!AG$2)</f>
        <v>5</v>
      </c>
      <c r="AH66">
        <f>SUMIFS(data!$C:$C,data!$A:$A,"="&amp;'Покупки по дням'!$B66,data!$B:$B,"="&amp;'Покупки по дням'!AH$2)</f>
        <v>2</v>
      </c>
      <c r="AI66">
        <f>SUMIFS(data!$C:$C,data!$A:$A,"="&amp;'Покупки по дням'!$B66,data!$B:$B,"="&amp;'Покупки по дням'!AI$2)</f>
        <v>2</v>
      </c>
      <c r="AJ66">
        <f>SUMIFS(data!$C:$C,data!$A:$A,"="&amp;'Покупки по дням'!$B66,data!$B:$B,"="&amp;'Покупки по дням'!AJ$2)</f>
        <v>4</v>
      </c>
      <c r="AK66">
        <f>SUMIFS(data!$C:$C,data!$A:$A,"="&amp;'Покупки по дням'!$B66,data!$B:$B,"="&amp;'Покупки по дням'!AK$2)</f>
        <v>1</v>
      </c>
      <c r="AL66">
        <f>SUMIFS(data!$C:$C,data!$A:$A,"="&amp;'Покупки по дням'!$B66,data!$B:$B,"="&amp;'Покупки по дням'!AL$2)</f>
        <v>4</v>
      </c>
      <c r="AM66">
        <f>SUMIFS(data!$C:$C,data!$A:$A,"="&amp;'Покупки по дням'!$B66,data!$B:$B,"="&amp;'Покупки по дням'!AM$2)</f>
        <v>0</v>
      </c>
      <c r="AN66">
        <f>SUMIFS(data!$C:$C,data!$A:$A,"="&amp;'Покупки по дням'!$B66,data!$B:$B,"="&amp;'Покупки по дням'!AN$2)</f>
        <v>2</v>
      </c>
      <c r="AO66">
        <f>SUMIFS(data!$C:$C,data!$A:$A,"="&amp;'Покупки по дням'!$B66,data!$B:$B,"="&amp;'Покупки по дням'!AO$2)</f>
        <v>0</v>
      </c>
      <c r="AP66">
        <f>SUMIFS(data!$C:$C,data!$A:$A,"="&amp;'Покупки по дням'!$B66,data!$B:$B,"="&amp;'Покупки по дням'!AP$2)</f>
        <v>10</v>
      </c>
      <c r="AQ66" s="6">
        <f t="shared" si="0"/>
        <v>0.66834964459743551</v>
      </c>
    </row>
    <row r="67" spans="2:43" ht="28.8" x14ac:dyDescent="0.3">
      <c r="B67" s="17" t="s">
        <v>51</v>
      </c>
      <c r="C67">
        <f>SUMIFS(data!$C:$C,data!$A:$A,"="&amp;'Покупки по дням'!$B67,data!$B:$B,"="&amp;'Покупки по дням'!C$2)</f>
        <v>12</v>
      </c>
      <c r="D67">
        <f>SUMIFS(data!$C:$C,data!$A:$A,"="&amp;'Покупки по дням'!$B67,data!$B:$B,"="&amp;'Покупки по дням'!D$2)</f>
        <v>4</v>
      </c>
      <c r="E67">
        <f>SUMIFS(data!$C:$C,data!$A:$A,"="&amp;'Покупки по дням'!$B67,data!$B:$B,"="&amp;'Покупки по дням'!E$2)</f>
        <v>12</v>
      </c>
      <c r="F67">
        <f>SUMIFS(data!$C:$C,data!$A:$A,"="&amp;'Покупки по дням'!$B67,data!$B:$B,"="&amp;'Покупки по дням'!F$2)</f>
        <v>8</v>
      </c>
      <c r="G67">
        <f>SUMIFS(data!$C:$C,data!$A:$A,"="&amp;'Покупки по дням'!$B67,data!$B:$B,"="&amp;'Покупки по дням'!G$2)</f>
        <v>0</v>
      </c>
      <c r="H67">
        <f>SUMIFS(data!$C:$C,data!$A:$A,"="&amp;'Покупки по дням'!$B67,data!$B:$B,"="&amp;'Покупки по дням'!H$2)</f>
        <v>36</v>
      </c>
      <c r="I67">
        <f>SUMIFS(data!$C:$C,data!$A:$A,"="&amp;'Покупки по дням'!$B67,data!$B:$B,"="&amp;'Покупки по дням'!I$2)</f>
        <v>24</v>
      </c>
      <c r="J67">
        <f>SUMIFS(data!$C:$C,data!$A:$A,"="&amp;'Покупки по дням'!$B67,data!$B:$B,"="&amp;'Покупки по дням'!J$2)</f>
        <v>12</v>
      </c>
      <c r="K67">
        <f>SUMIFS(data!$C:$C,data!$A:$A,"="&amp;'Покупки по дням'!$B67,data!$B:$B,"="&amp;'Покупки по дням'!K$2)</f>
        <v>0</v>
      </c>
      <c r="L67">
        <f>SUMIFS(data!$C:$C,data!$A:$A,"="&amp;'Покупки по дням'!$B67,data!$B:$B,"="&amp;'Покупки по дням'!L$2)</f>
        <v>40</v>
      </c>
      <c r="M67">
        <f>SUMIFS(data!$C:$C,data!$A:$A,"="&amp;'Покупки по дням'!$B67,data!$B:$B,"="&amp;'Покупки по дням'!M$2)</f>
        <v>42</v>
      </c>
      <c r="N67">
        <f>SUMIFS(data!$C:$C,data!$A:$A,"="&amp;'Покупки по дням'!$B67,data!$B:$B,"="&amp;'Покупки по дням'!N$2)</f>
        <v>4</v>
      </c>
      <c r="O67">
        <f>SUMIFS(data!$C:$C,data!$A:$A,"="&amp;'Покупки по дням'!$B67,data!$B:$B,"="&amp;'Покупки по дням'!O$2)</f>
        <v>0</v>
      </c>
      <c r="P67">
        <f>SUMIFS(data!$C:$C,data!$A:$A,"="&amp;'Покупки по дням'!$B67,data!$B:$B,"="&amp;'Покупки по дням'!P$2)</f>
        <v>12</v>
      </c>
      <c r="Q67">
        <f>SUMIFS(data!$C:$C,data!$A:$A,"="&amp;'Покупки по дням'!$B67,data!$B:$B,"="&amp;'Покупки по дням'!Q$2)</f>
        <v>4</v>
      </c>
      <c r="R67">
        <f>SUMIFS(data!$C:$C,data!$A:$A,"="&amp;'Покупки по дням'!$B67,data!$B:$B,"="&amp;'Покупки по дням'!R$2)</f>
        <v>12</v>
      </c>
      <c r="S67">
        <f>SUMIFS(data!$C:$C,data!$A:$A,"="&amp;'Покупки по дням'!$B67,data!$B:$B,"="&amp;'Покупки по дням'!S$2)</f>
        <v>20</v>
      </c>
      <c r="T67">
        <f>SUMIFS(data!$C:$C,data!$A:$A,"="&amp;'Покупки по дням'!$B67,data!$B:$B,"="&amp;'Покупки по дням'!T$2)</f>
        <v>8</v>
      </c>
      <c r="U67">
        <f>SUMIFS(data!$C:$C,data!$A:$A,"="&amp;'Покупки по дням'!$B67,data!$B:$B,"="&amp;'Покупки по дням'!U$2)</f>
        <v>28</v>
      </c>
      <c r="V67">
        <f>SUMIFS(data!$C:$C,data!$A:$A,"="&amp;'Покупки по дням'!$B67,data!$B:$B,"="&amp;'Покупки по дням'!V$2)</f>
        <v>48</v>
      </c>
      <c r="W67">
        <f>SUMIFS(data!$C:$C,data!$A:$A,"="&amp;'Покупки по дням'!$B67,data!$B:$B,"="&amp;'Покупки по дням'!W$2)</f>
        <v>36</v>
      </c>
      <c r="X67">
        <f>SUMIFS(data!$C:$C,data!$A:$A,"="&amp;'Покупки по дням'!$B67,data!$B:$B,"="&amp;'Покупки по дням'!X$2)</f>
        <v>4</v>
      </c>
      <c r="Y67">
        <f>SUMIFS(data!$C:$C,data!$A:$A,"="&amp;'Покупки по дням'!$B67,data!$B:$B,"="&amp;'Покупки по дням'!Y$2)</f>
        <v>0</v>
      </c>
      <c r="Z67">
        <f>SUMIFS(data!$C:$C,data!$A:$A,"="&amp;'Покупки по дням'!$B67,data!$B:$B,"="&amp;'Покупки по дням'!Z$2)</f>
        <v>12</v>
      </c>
      <c r="AA67">
        <f>SUMIFS(data!$C:$C,data!$A:$A,"="&amp;'Покупки по дням'!$B67,data!$B:$B,"="&amp;'Покупки по дням'!AA$2)</f>
        <v>208</v>
      </c>
      <c r="AB67">
        <f>SUMIFS(data!$C:$C,data!$A:$A,"="&amp;'Покупки по дням'!$B67,data!$B:$B,"="&amp;'Покупки по дням'!AB$2)</f>
        <v>4</v>
      </c>
      <c r="AC67">
        <f>SUMIFS(data!$C:$C,data!$A:$A,"="&amp;'Покупки по дням'!$B67,data!$B:$B,"="&amp;'Покупки по дням'!AC$2)</f>
        <v>0</v>
      </c>
      <c r="AD67">
        <f>SUMIFS(data!$C:$C,data!$A:$A,"="&amp;'Покупки по дням'!$B67,data!$B:$B,"="&amp;'Покупки по дням'!AD$2)</f>
        <v>44</v>
      </c>
      <c r="AE67">
        <f>SUMIFS(data!$C:$C,data!$A:$A,"="&amp;'Покупки по дням'!$B67,data!$B:$B,"="&amp;'Покупки по дням'!AE$2)</f>
        <v>8</v>
      </c>
      <c r="AF67">
        <f>SUMIFS(data!$C:$C,data!$A:$A,"="&amp;'Покупки по дням'!$B67,data!$B:$B,"="&amp;'Покупки по дням'!AF$2)</f>
        <v>28</v>
      </c>
      <c r="AG67">
        <f>SUMIFS(data!$C:$C,data!$A:$A,"="&amp;'Покупки по дням'!$B67,data!$B:$B,"="&amp;'Покупки по дням'!AG$2)</f>
        <v>8</v>
      </c>
      <c r="AH67">
        <f>SUMIFS(data!$C:$C,data!$A:$A,"="&amp;'Покупки по дням'!$B67,data!$B:$B,"="&amp;'Покупки по дням'!AH$2)</f>
        <v>16</v>
      </c>
      <c r="AI67">
        <f>SUMIFS(data!$C:$C,data!$A:$A,"="&amp;'Покупки по дням'!$B67,data!$B:$B,"="&amp;'Покупки по дням'!AI$2)</f>
        <v>0</v>
      </c>
      <c r="AJ67">
        <f>SUMIFS(data!$C:$C,data!$A:$A,"="&amp;'Покупки по дням'!$B67,data!$B:$B,"="&amp;'Покупки по дням'!AJ$2)</f>
        <v>4</v>
      </c>
      <c r="AK67">
        <f>SUMIFS(data!$C:$C,data!$A:$A,"="&amp;'Покупки по дням'!$B67,data!$B:$B,"="&amp;'Покупки по дням'!AK$2)</f>
        <v>24</v>
      </c>
      <c r="AL67">
        <f>SUMIFS(data!$C:$C,data!$A:$A,"="&amp;'Покупки по дням'!$B67,data!$B:$B,"="&amp;'Покупки по дням'!AL$2)</f>
        <v>5</v>
      </c>
      <c r="AM67">
        <f>SUMIFS(data!$C:$C,data!$A:$A,"="&amp;'Покупки по дням'!$B67,data!$B:$B,"="&amp;'Покупки по дням'!AM$2)</f>
        <v>32</v>
      </c>
      <c r="AN67">
        <f>SUMIFS(data!$C:$C,data!$A:$A,"="&amp;'Покупки по дням'!$B67,data!$B:$B,"="&amp;'Покупки по дням'!AN$2)</f>
        <v>61</v>
      </c>
      <c r="AO67">
        <f>SUMIFS(data!$C:$C,data!$A:$A,"="&amp;'Покупки по дням'!$B67,data!$B:$B,"="&amp;'Покупки по дням'!AO$2)</f>
        <v>32</v>
      </c>
      <c r="AP67">
        <f>SUMIFS(data!$C:$C,data!$A:$A,"="&amp;'Покупки по дням'!$B67,data!$B:$B,"="&amp;'Покупки по дням'!AP$2)</f>
        <v>10</v>
      </c>
      <c r="AQ67" s="6">
        <f t="shared" si="0"/>
        <v>1.5827208843490639</v>
      </c>
    </row>
    <row r="68" spans="2:43" x14ac:dyDescent="0.3">
      <c r="B68" s="17" t="s">
        <v>137</v>
      </c>
      <c r="C68">
        <f>SUMIFS(data!$C:$C,data!$A:$A,"="&amp;'Покупки по дням'!$B68,data!$B:$B,"="&amp;'Покупки по дням'!C$2)</f>
        <v>0</v>
      </c>
      <c r="D68">
        <f>SUMIFS(data!$C:$C,data!$A:$A,"="&amp;'Покупки по дням'!$B68,data!$B:$B,"="&amp;'Покупки по дням'!D$2)</f>
        <v>4</v>
      </c>
      <c r="E68">
        <f>SUMIFS(data!$C:$C,data!$A:$A,"="&amp;'Покупки по дням'!$B68,data!$B:$B,"="&amp;'Покупки по дням'!E$2)</f>
        <v>4</v>
      </c>
      <c r="F68">
        <f>SUMIFS(data!$C:$C,data!$A:$A,"="&amp;'Покупки по дням'!$B68,data!$B:$B,"="&amp;'Покупки по дням'!F$2)</f>
        <v>1</v>
      </c>
      <c r="G68">
        <f>SUMIFS(data!$C:$C,data!$A:$A,"="&amp;'Покупки по дням'!$B68,data!$B:$B,"="&amp;'Покупки по дням'!G$2)</f>
        <v>2</v>
      </c>
      <c r="H68">
        <f>SUMIFS(data!$C:$C,data!$A:$A,"="&amp;'Покупки по дням'!$B68,data!$B:$B,"="&amp;'Покупки по дням'!H$2)</f>
        <v>0</v>
      </c>
      <c r="I68">
        <f>SUMIFS(data!$C:$C,data!$A:$A,"="&amp;'Покупки по дням'!$B68,data!$B:$B,"="&amp;'Покупки по дням'!I$2)</f>
        <v>1</v>
      </c>
      <c r="J68">
        <f>SUMIFS(data!$C:$C,data!$A:$A,"="&amp;'Покупки по дням'!$B68,data!$B:$B,"="&amp;'Покупки по дням'!J$2)</f>
        <v>3</v>
      </c>
      <c r="K68">
        <f>SUMIFS(data!$C:$C,data!$A:$A,"="&amp;'Покупки по дням'!$B68,data!$B:$B,"="&amp;'Покупки по дням'!K$2)</f>
        <v>0</v>
      </c>
      <c r="L68">
        <f>SUMIFS(data!$C:$C,data!$A:$A,"="&amp;'Покупки по дням'!$B68,data!$B:$B,"="&amp;'Покупки по дням'!L$2)</f>
        <v>0</v>
      </c>
      <c r="M68">
        <f>SUMIFS(data!$C:$C,data!$A:$A,"="&amp;'Покупки по дням'!$B68,data!$B:$B,"="&amp;'Покупки по дням'!M$2)</f>
        <v>2</v>
      </c>
      <c r="N68">
        <f>SUMIFS(data!$C:$C,data!$A:$A,"="&amp;'Покупки по дням'!$B68,data!$B:$B,"="&amp;'Покупки по дням'!N$2)</f>
        <v>0</v>
      </c>
      <c r="O68">
        <f>SUMIFS(data!$C:$C,data!$A:$A,"="&amp;'Покупки по дням'!$B68,data!$B:$B,"="&amp;'Покупки по дням'!O$2)</f>
        <v>2</v>
      </c>
      <c r="P68">
        <f>SUMIFS(data!$C:$C,data!$A:$A,"="&amp;'Покупки по дням'!$B68,data!$B:$B,"="&amp;'Покупки по дням'!P$2)</f>
        <v>0</v>
      </c>
      <c r="Q68">
        <f>SUMIFS(data!$C:$C,data!$A:$A,"="&amp;'Покупки по дням'!$B68,data!$B:$B,"="&amp;'Покупки по дням'!Q$2)</f>
        <v>2</v>
      </c>
      <c r="R68">
        <f>SUMIFS(data!$C:$C,data!$A:$A,"="&amp;'Покупки по дням'!$B68,data!$B:$B,"="&amp;'Покупки по дням'!R$2)</f>
        <v>15</v>
      </c>
      <c r="S68">
        <f>SUMIFS(data!$C:$C,data!$A:$A,"="&amp;'Покупки по дням'!$B68,data!$B:$B,"="&amp;'Покупки по дням'!S$2)</f>
        <v>1</v>
      </c>
      <c r="T68">
        <f>SUMIFS(data!$C:$C,data!$A:$A,"="&amp;'Покупки по дням'!$B68,data!$B:$B,"="&amp;'Покупки по дням'!T$2)</f>
        <v>1</v>
      </c>
      <c r="U68">
        <f>SUMIFS(data!$C:$C,data!$A:$A,"="&amp;'Покупки по дням'!$B68,data!$B:$B,"="&amp;'Покупки по дням'!U$2)</f>
        <v>4</v>
      </c>
      <c r="V68">
        <f>SUMIFS(data!$C:$C,data!$A:$A,"="&amp;'Покупки по дням'!$B68,data!$B:$B,"="&amp;'Покупки по дням'!V$2)</f>
        <v>0</v>
      </c>
      <c r="W68">
        <f>SUMIFS(data!$C:$C,data!$A:$A,"="&amp;'Покупки по дням'!$B68,data!$B:$B,"="&amp;'Покупки по дням'!W$2)</f>
        <v>2</v>
      </c>
      <c r="X68">
        <f>SUMIFS(data!$C:$C,data!$A:$A,"="&amp;'Покупки по дням'!$B68,data!$B:$B,"="&amp;'Покупки по дням'!X$2)</f>
        <v>3</v>
      </c>
      <c r="Y68">
        <f>SUMIFS(data!$C:$C,data!$A:$A,"="&amp;'Покупки по дням'!$B68,data!$B:$B,"="&amp;'Покупки по дням'!Y$2)</f>
        <v>0</v>
      </c>
      <c r="Z68">
        <f>SUMIFS(data!$C:$C,data!$A:$A,"="&amp;'Покупки по дням'!$B68,data!$B:$B,"="&amp;'Покупки по дням'!Z$2)</f>
        <v>0</v>
      </c>
      <c r="AA68">
        <f>SUMIFS(data!$C:$C,data!$A:$A,"="&amp;'Покупки по дням'!$B68,data!$B:$B,"="&amp;'Покупки по дням'!AA$2)</f>
        <v>3</v>
      </c>
      <c r="AB68">
        <f>SUMIFS(data!$C:$C,data!$A:$A,"="&amp;'Покупки по дням'!$B68,data!$B:$B,"="&amp;'Покупки по дням'!AB$2)</f>
        <v>0</v>
      </c>
      <c r="AC68">
        <f>SUMIFS(data!$C:$C,data!$A:$A,"="&amp;'Покупки по дням'!$B68,data!$B:$B,"="&amp;'Покупки по дням'!AC$2)</f>
        <v>3</v>
      </c>
      <c r="AD68">
        <f>SUMIFS(data!$C:$C,data!$A:$A,"="&amp;'Покупки по дням'!$B68,data!$B:$B,"="&amp;'Покупки по дням'!AD$2)</f>
        <v>0</v>
      </c>
      <c r="AE68">
        <f>SUMIFS(data!$C:$C,data!$A:$A,"="&amp;'Покупки по дням'!$B68,data!$B:$B,"="&amp;'Покупки по дням'!AE$2)</f>
        <v>0</v>
      </c>
      <c r="AF68">
        <f>SUMIFS(data!$C:$C,data!$A:$A,"="&amp;'Покупки по дням'!$B68,data!$B:$B,"="&amp;'Покупки по дням'!AF$2)</f>
        <v>0</v>
      </c>
      <c r="AG68">
        <f>SUMIFS(data!$C:$C,data!$A:$A,"="&amp;'Покупки по дням'!$B68,data!$B:$B,"="&amp;'Покупки по дням'!AG$2)</f>
        <v>1</v>
      </c>
      <c r="AH68">
        <f>SUMIFS(data!$C:$C,data!$A:$A,"="&amp;'Покупки по дням'!$B68,data!$B:$B,"="&amp;'Покупки по дням'!AH$2)</f>
        <v>0</v>
      </c>
      <c r="AI68">
        <f>SUMIFS(data!$C:$C,data!$A:$A,"="&amp;'Покупки по дням'!$B68,data!$B:$B,"="&amp;'Покупки по дням'!AI$2)</f>
        <v>5</v>
      </c>
      <c r="AJ68">
        <f>SUMIFS(data!$C:$C,data!$A:$A,"="&amp;'Покупки по дням'!$B68,data!$B:$B,"="&amp;'Покупки по дням'!AJ$2)</f>
        <v>1</v>
      </c>
      <c r="AK68">
        <f>SUMIFS(data!$C:$C,data!$A:$A,"="&amp;'Покупки по дням'!$B68,data!$B:$B,"="&amp;'Покупки по дням'!AK$2)</f>
        <v>6</v>
      </c>
      <c r="AL68">
        <f>SUMIFS(data!$C:$C,data!$A:$A,"="&amp;'Покупки по дням'!$B68,data!$B:$B,"="&amp;'Покупки по дням'!AL$2)</f>
        <v>0</v>
      </c>
      <c r="AM68">
        <f>SUMIFS(data!$C:$C,data!$A:$A,"="&amp;'Покупки по дням'!$B68,data!$B:$B,"="&amp;'Покупки по дням'!AM$2)</f>
        <v>1</v>
      </c>
      <c r="AN68">
        <f>SUMIFS(data!$C:$C,data!$A:$A,"="&amp;'Покупки по дням'!$B68,data!$B:$B,"="&amp;'Покупки по дням'!AN$2)</f>
        <v>2</v>
      </c>
      <c r="AO68">
        <f>SUMIFS(data!$C:$C,data!$A:$A,"="&amp;'Покупки по дням'!$B68,data!$B:$B,"="&amp;'Покупки по дням'!AO$2)</f>
        <v>2</v>
      </c>
      <c r="AP68">
        <f>SUMIFS(data!$C:$C,data!$A:$A,"="&amp;'Покупки по дням'!$B68,data!$B:$B,"="&amp;'Покупки по дням'!AP$2)</f>
        <v>0</v>
      </c>
      <c r="AQ68" s="6">
        <f t="shared" ref="AQ68:AQ131" si="1">_xlfn.STDEV.S(C68:AP68)/AVERAGE(C68:AP68)</f>
        <v>1.506787408038325</v>
      </c>
    </row>
    <row r="69" spans="2:43" x14ac:dyDescent="0.3">
      <c r="B69" s="17" t="s">
        <v>133</v>
      </c>
      <c r="C69">
        <f>SUMIFS(data!$C:$C,data!$A:$A,"="&amp;'Покупки по дням'!$B69,data!$B:$B,"="&amp;'Покупки по дням'!C$2)</f>
        <v>2</v>
      </c>
      <c r="D69">
        <f>SUMIFS(data!$C:$C,data!$A:$A,"="&amp;'Покупки по дням'!$B69,data!$B:$B,"="&amp;'Покупки по дням'!D$2)</f>
        <v>0</v>
      </c>
      <c r="E69">
        <f>SUMIFS(data!$C:$C,data!$A:$A,"="&amp;'Покупки по дням'!$B69,data!$B:$B,"="&amp;'Покупки по дням'!E$2)</f>
        <v>0</v>
      </c>
      <c r="F69">
        <f>SUMIFS(data!$C:$C,data!$A:$A,"="&amp;'Покупки по дням'!$B69,data!$B:$B,"="&amp;'Покупки по дням'!F$2)</f>
        <v>11</v>
      </c>
      <c r="G69">
        <f>SUMIFS(data!$C:$C,data!$A:$A,"="&amp;'Покупки по дням'!$B69,data!$B:$B,"="&amp;'Покупки по дням'!G$2)</f>
        <v>15</v>
      </c>
      <c r="H69">
        <f>SUMIFS(data!$C:$C,data!$A:$A,"="&amp;'Покупки по дням'!$B69,data!$B:$B,"="&amp;'Покупки по дням'!H$2)</f>
        <v>3</v>
      </c>
      <c r="I69">
        <f>SUMIFS(data!$C:$C,data!$A:$A,"="&amp;'Покупки по дням'!$B69,data!$B:$B,"="&amp;'Покупки по дням'!I$2)</f>
        <v>1</v>
      </c>
      <c r="J69">
        <f>SUMIFS(data!$C:$C,data!$A:$A,"="&amp;'Покупки по дням'!$B69,data!$B:$B,"="&amp;'Покупки по дням'!J$2)</f>
        <v>2</v>
      </c>
      <c r="K69">
        <f>SUMIFS(data!$C:$C,data!$A:$A,"="&amp;'Покупки по дням'!$B69,data!$B:$B,"="&amp;'Покупки по дням'!K$2)</f>
        <v>0</v>
      </c>
      <c r="L69">
        <f>SUMIFS(data!$C:$C,data!$A:$A,"="&amp;'Покупки по дням'!$B69,data!$B:$B,"="&amp;'Покупки по дням'!L$2)</f>
        <v>7</v>
      </c>
      <c r="M69">
        <f>SUMIFS(data!$C:$C,data!$A:$A,"="&amp;'Покупки по дням'!$B69,data!$B:$B,"="&amp;'Покупки по дням'!M$2)</f>
        <v>0</v>
      </c>
      <c r="N69">
        <f>SUMIFS(data!$C:$C,data!$A:$A,"="&amp;'Покупки по дням'!$B69,data!$B:$B,"="&amp;'Покупки по дням'!N$2)</f>
        <v>0</v>
      </c>
      <c r="O69">
        <f>SUMIFS(data!$C:$C,data!$A:$A,"="&amp;'Покупки по дням'!$B69,data!$B:$B,"="&amp;'Покупки по дням'!O$2)</f>
        <v>2</v>
      </c>
      <c r="P69">
        <f>SUMIFS(data!$C:$C,data!$A:$A,"="&amp;'Покупки по дням'!$B69,data!$B:$B,"="&amp;'Покупки по дням'!P$2)</f>
        <v>2</v>
      </c>
      <c r="Q69">
        <f>SUMIFS(data!$C:$C,data!$A:$A,"="&amp;'Покупки по дням'!$B69,data!$B:$B,"="&amp;'Покупки по дням'!Q$2)</f>
        <v>0</v>
      </c>
      <c r="R69">
        <f>SUMIFS(data!$C:$C,data!$A:$A,"="&amp;'Покупки по дням'!$B69,data!$B:$B,"="&amp;'Покупки по дням'!R$2)</f>
        <v>4</v>
      </c>
      <c r="S69">
        <f>SUMIFS(data!$C:$C,data!$A:$A,"="&amp;'Покупки по дням'!$B69,data!$B:$B,"="&amp;'Покупки по дням'!S$2)</f>
        <v>21</v>
      </c>
      <c r="T69">
        <f>SUMIFS(data!$C:$C,data!$A:$A,"="&amp;'Покупки по дням'!$B69,data!$B:$B,"="&amp;'Покупки по дням'!T$2)</f>
        <v>13</v>
      </c>
      <c r="U69">
        <f>SUMIFS(data!$C:$C,data!$A:$A,"="&amp;'Покупки по дням'!$B69,data!$B:$B,"="&amp;'Покупки по дням'!U$2)</f>
        <v>0</v>
      </c>
      <c r="V69">
        <f>SUMIFS(data!$C:$C,data!$A:$A,"="&amp;'Покупки по дням'!$B69,data!$B:$B,"="&amp;'Покупки по дням'!V$2)</f>
        <v>6</v>
      </c>
      <c r="W69">
        <f>SUMIFS(data!$C:$C,data!$A:$A,"="&amp;'Покупки по дням'!$B69,data!$B:$B,"="&amp;'Покупки по дням'!W$2)</f>
        <v>1</v>
      </c>
      <c r="X69">
        <f>SUMIFS(data!$C:$C,data!$A:$A,"="&amp;'Покупки по дням'!$B69,data!$B:$B,"="&amp;'Покупки по дням'!X$2)</f>
        <v>1</v>
      </c>
      <c r="Y69">
        <f>SUMIFS(data!$C:$C,data!$A:$A,"="&amp;'Покупки по дням'!$B69,data!$B:$B,"="&amp;'Покупки по дням'!Y$2)</f>
        <v>0</v>
      </c>
      <c r="Z69">
        <f>SUMIFS(data!$C:$C,data!$A:$A,"="&amp;'Покупки по дням'!$B69,data!$B:$B,"="&amp;'Покупки по дням'!Z$2)</f>
        <v>10</v>
      </c>
      <c r="AA69">
        <f>SUMIFS(data!$C:$C,data!$A:$A,"="&amp;'Покупки по дням'!$B69,data!$B:$B,"="&amp;'Покупки по дням'!AA$2)</f>
        <v>0</v>
      </c>
      <c r="AB69">
        <f>SUMIFS(data!$C:$C,data!$A:$A,"="&amp;'Покупки по дням'!$B69,data!$B:$B,"="&amp;'Покупки по дням'!AB$2)</f>
        <v>14</v>
      </c>
      <c r="AC69">
        <f>SUMIFS(data!$C:$C,data!$A:$A,"="&amp;'Покупки по дням'!$B69,data!$B:$B,"="&amp;'Покупки по дням'!AC$2)</f>
        <v>3</v>
      </c>
      <c r="AD69">
        <f>SUMIFS(data!$C:$C,data!$A:$A,"="&amp;'Покупки по дням'!$B69,data!$B:$B,"="&amp;'Покупки по дням'!AD$2)</f>
        <v>0</v>
      </c>
      <c r="AE69">
        <f>SUMIFS(data!$C:$C,data!$A:$A,"="&amp;'Покупки по дням'!$B69,data!$B:$B,"="&amp;'Покупки по дням'!AE$2)</f>
        <v>11</v>
      </c>
      <c r="AF69">
        <f>SUMIFS(data!$C:$C,data!$A:$A,"="&amp;'Покупки по дням'!$B69,data!$B:$B,"="&amp;'Покупки по дням'!AF$2)</f>
        <v>4</v>
      </c>
      <c r="AG69">
        <f>SUMIFS(data!$C:$C,data!$A:$A,"="&amp;'Покупки по дням'!$B69,data!$B:$B,"="&amp;'Покупки по дням'!AG$2)</f>
        <v>20</v>
      </c>
      <c r="AH69">
        <f>SUMIFS(data!$C:$C,data!$A:$A,"="&amp;'Покупки по дням'!$B69,data!$B:$B,"="&amp;'Покупки по дням'!AH$2)</f>
        <v>2</v>
      </c>
      <c r="AI69">
        <f>SUMIFS(data!$C:$C,data!$A:$A,"="&amp;'Покупки по дням'!$B69,data!$B:$B,"="&amp;'Покупки по дням'!AI$2)</f>
        <v>3</v>
      </c>
      <c r="AJ69">
        <f>SUMIFS(data!$C:$C,data!$A:$A,"="&amp;'Покупки по дням'!$B69,data!$B:$B,"="&amp;'Покупки по дням'!AJ$2)</f>
        <v>9</v>
      </c>
      <c r="AK69">
        <f>SUMIFS(data!$C:$C,data!$A:$A,"="&amp;'Покупки по дням'!$B69,data!$B:$B,"="&amp;'Покупки по дням'!AK$2)</f>
        <v>1</v>
      </c>
      <c r="AL69">
        <f>SUMIFS(data!$C:$C,data!$A:$A,"="&amp;'Покупки по дням'!$B69,data!$B:$B,"="&amp;'Покупки по дням'!AL$2)</f>
        <v>0</v>
      </c>
      <c r="AM69">
        <f>SUMIFS(data!$C:$C,data!$A:$A,"="&amp;'Покупки по дням'!$B69,data!$B:$B,"="&amp;'Покупки по дням'!AM$2)</f>
        <v>5</v>
      </c>
      <c r="AN69">
        <f>SUMIFS(data!$C:$C,data!$A:$A,"="&amp;'Покупки по дням'!$B69,data!$B:$B,"="&amp;'Покупки по дням'!AN$2)</f>
        <v>0</v>
      </c>
      <c r="AO69">
        <f>SUMIFS(data!$C:$C,data!$A:$A,"="&amp;'Покупки по дням'!$B69,data!$B:$B,"="&amp;'Покупки по дням'!AO$2)</f>
        <v>54</v>
      </c>
      <c r="AP69">
        <f>SUMIFS(data!$C:$C,data!$A:$A,"="&amp;'Покупки по дням'!$B69,data!$B:$B,"="&amp;'Покупки по дням'!AP$2)</f>
        <v>0</v>
      </c>
      <c r="AQ69" s="6">
        <f t="shared" si="1"/>
        <v>1.7104768755195745</v>
      </c>
    </row>
    <row r="70" spans="2:43" ht="28.8" x14ac:dyDescent="0.3">
      <c r="B70" s="17" t="s">
        <v>157</v>
      </c>
      <c r="C70">
        <f>SUMIFS(data!$C:$C,data!$A:$A,"="&amp;'Покупки по дням'!$B70,data!$B:$B,"="&amp;'Покупки по дням'!C$2)</f>
        <v>7</v>
      </c>
      <c r="D70">
        <f>SUMIFS(data!$C:$C,data!$A:$A,"="&amp;'Покупки по дням'!$B70,data!$B:$B,"="&amp;'Покупки по дням'!D$2)</f>
        <v>10</v>
      </c>
      <c r="E70">
        <f>SUMIFS(data!$C:$C,data!$A:$A,"="&amp;'Покупки по дням'!$B70,data!$B:$B,"="&amp;'Покупки по дням'!E$2)</f>
        <v>14</v>
      </c>
      <c r="F70">
        <f>SUMIFS(data!$C:$C,data!$A:$A,"="&amp;'Покупки по дням'!$B70,data!$B:$B,"="&amp;'Покупки по дням'!F$2)</f>
        <v>6</v>
      </c>
      <c r="G70">
        <f>SUMIFS(data!$C:$C,data!$A:$A,"="&amp;'Покупки по дням'!$B70,data!$B:$B,"="&amp;'Покупки по дням'!G$2)</f>
        <v>4</v>
      </c>
      <c r="H70">
        <f>SUMIFS(data!$C:$C,data!$A:$A,"="&amp;'Покупки по дням'!$B70,data!$B:$B,"="&amp;'Покупки по дням'!H$2)</f>
        <v>11</v>
      </c>
      <c r="I70">
        <f>SUMIFS(data!$C:$C,data!$A:$A,"="&amp;'Покупки по дням'!$B70,data!$B:$B,"="&amp;'Покупки по дням'!I$2)</f>
        <v>10</v>
      </c>
      <c r="J70">
        <f>SUMIFS(data!$C:$C,data!$A:$A,"="&amp;'Покупки по дням'!$B70,data!$B:$B,"="&amp;'Покупки по дням'!J$2)</f>
        <v>2</v>
      </c>
      <c r="K70">
        <f>SUMIFS(data!$C:$C,data!$A:$A,"="&amp;'Покупки по дням'!$B70,data!$B:$B,"="&amp;'Покупки по дням'!K$2)</f>
        <v>0</v>
      </c>
      <c r="L70">
        <f>SUMIFS(data!$C:$C,data!$A:$A,"="&amp;'Покупки по дням'!$B70,data!$B:$B,"="&amp;'Покупки по дням'!L$2)</f>
        <v>7</v>
      </c>
      <c r="M70">
        <f>SUMIFS(data!$C:$C,data!$A:$A,"="&amp;'Покупки по дням'!$B70,data!$B:$B,"="&amp;'Покупки по дням'!M$2)</f>
        <v>9</v>
      </c>
      <c r="N70">
        <f>SUMIFS(data!$C:$C,data!$A:$A,"="&amp;'Покупки по дням'!$B70,data!$B:$B,"="&amp;'Покупки по дням'!N$2)</f>
        <v>4</v>
      </c>
      <c r="O70">
        <f>SUMIFS(data!$C:$C,data!$A:$A,"="&amp;'Покупки по дням'!$B70,data!$B:$B,"="&amp;'Покупки по дням'!O$2)</f>
        <v>6</v>
      </c>
      <c r="P70">
        <f>SUMIFS(data!$C:$C,data!$A:$A,"="&amp;'Покупки по дням'!$B70,data!$B:$B,"="&amp;'Покупки по дням'!P$2)</f>
        <v>8</v>
      </c>
      <c r="Q70">
        <f>SUMIFS(data!$C:$C,data!$A:$A,"="&amp;'Покупки по дням'!$B70,data!$B:$B,"="&amp;'Покупки по дням'!Q$2)</f>
        <v>2</v>
      </c>
      <c r="R70">
        <f>SUMIFS(data!$C:$C,data!$A:$A,"="&amp;'Покупки по дням'!$B70,data!$B:$B,"="&amp;'Покупки по дням'!R$2)</f>
        <v>4</v>
      </c>
      <c r="S70">
        <f>SUMIFS(data!$C:$C,data!$A:$A,"="&amp;'Покупки по дням'!$B70,data!$B:$B,"="&amp;'Покупки по дням'!S$2)</f>
        <v>3</v>
      </c>
      <c r="T70">
        <f>SUMIFS(data!$C:$C,data!$A:$A,"="&amp;'Покупки по дням'!$B70,data!$B:$B,"="&amp;'Покупки по дням'!T$2)</f>
        <v>5</v>
      </c>
      <c r="U70">
        <f>SUMIFS(data!$C:$C,data!$A:$A,"="&amp;'Покупки по дням'!$B70,data!$B:$B,"="&amp;'Покупки по дням'!U$2)</f>
        <v>1</v>
      </c>
      <c r="V70">
        <f>SUMIFS(data!$C:$C,data!$A:$A,"="&amp;'Покупки по дням'!$B70,data!$B:$B,"="&amp;'Покупки по дням'!V$2)</f>
        <v>5</v>
      </c>
      <c r="W70">
        <f>SUMIFS(data!$C:$C,data!$A:$A,"="&amp;'Покупки по дням'!$B70,data!$B:$B,"="&amp;'Покупки по дням'!W$2)</f>
        <v>3</v>
      </c>
      <c r="X70">
        <f>SUMIFS(data!$C:$C,data!$A:$A,"="&amp;'Покупки по дням'!$B70,data!$B:$B,"="&amp;'Покупки по дням'!X$2)</f>
        <v>3</v>
      </c>
      <c r="Y70">
        <f>SUMIFS(data!$C:$C,data!$A:$A,"="&amp;'Покупки по дням'!$B70,data!$B:$B,"="&amp;'Покупки по дням'!Y$2)</f>
        <v>0</v>
      </c>
      <c r="Z70">
        <f>SUMIFS(data!$C:$C,data!$A:$A,"="&amp;'Покупки по дням'!$B70,data!$B:$B,"="&amp;'Покупки по дням'!Z$2)</f>
        <v>1</v>
      </c>
      <c r="AA70">
        <f>SUMIFS(data!$C:$C,data!$A:$A,"="&amp;'Покупки по дням'!$B70,data!$B:$B,"="&amp;'Покупки по дням'!AA$2)</f>
        <v>2</v>
      </c>
      <c r="AB70">
        <f>SUMIFS(data!$C:$C,data!$A:$A,"="&amp;'Покупки по дням'!$B70,data!$B:$B,"="&amp;'Покупки по дням'!AB$2)</f>
        <v>1</v>
      </c>
      <c r="AC70">
        <f>SUMIFS(data!$C:$C,data!$A:$A,"="&amp;'Покупки по дням'!$B70,data!$B:$B,"="&amp;'Покупки по дням'!AC$2)</f>
        <v>0</v>
      </c>
      <c r="AD70">
        <f>SUMIFS(data!$C:$C,data!$A:$A,"="&amp;'Покупки по дням'!$B70,data!$B:$B,"="&amp;'Покупки по дням'!AD$2)</f>
        <v>6</v>
      </c>
      <c r="AE70">
        <f>SUMIFS(data!$C:$C,data!$A:$A,"="&amp;'Покупки по дням'!$B70,data!$B:$B,"="&amp;'Покупки по дням'!AE$2)</f>
        <v>4</v>
      </c>
      <c r="AF70">
        <f>SUMIFS(data!$C:$C,data!$A:$A,"="&amp;'Покупки по дням'!$B70,data!$B:$B,"="&amp;'Покупки по дням'!AF$2)</f>
        <v>1</v>
      </c>
      <c r="AG70">
        <f>SUMIFS(data!$C:$C,data!$A:$A,"="&amp;'Покупки по дням'!$B70,data!$B:$B,"="&amp;'Покупки по дням'!AG$2)</f>
        <v>0</v>
      </c>
      <c r="AH70">
        <f>SUMIFS(data!$C:$C,data!$A:$A,"="&amp;'Покупки по дням'!$B70,data!$B:$B,"="&amp;'Покупки по дням'!AH$2)</f>
        <v>0</v>
      </c>
      <c r="AI70">
        <f>SUMIFS(data!$C:$C,data!$A:$A,"="&amp;'Покупки по дням'!$B70,data!$B:$B,"="&amp;'Покупки по дням'!AI$2)</f>
        <v>1</v>
      </c>
      <c r="AJ70">
        <f>SUMIFS(data!$C:$C,data!$A:$A,"="&amp;'Покупки по дням'!$B70,data!$B:$B,"="&amp;'Покупки по дням'!AJ$2)</f>
        <v>1</v>
      </c>
      <c r="AK70">
        <f>SUMIFS(data!$C:$C,data!$A:$A,"="&amp;'Покупки по дням'!$B70,data!$B:$B,"="&amp;'Покупки по дням'!AK$2)</f>
        <v>0</v>
      </c>
      <c r="AL70">
        <f>SUMIFS(data!$C:$C,data!$A:$A,"="&amp;'Покупки по дням'!$B70,data!$B:$B,"="&amp;'Покупки по дням'!AL$2)</f>
        <v>1</v>
      </c>
      <c r="AM70">
        <f>SUMIFS(data!$C:$C,data!$A:$A,"="&amp;'Покупки по дням'!$B70,data!$B:$B,"="&amp;'Покупки по дням'!AM$2)</f>
        <v>0</v>
      </c>
      <c r="AN70">
        <f>SUMIFS(data!$C:$C,data!$A:$A,"="&amp;'Покупки по дням'!$B70,data!$B:$B,"="&amp;'Покупки по дням'!AN$2)</f>
        <v>0</v>
      </c>
      <c r="AO70">
        <f>SUMIFS(data!$C:$C,data!$A:$A,"="&amp;'Покупки по дням'!$B70,data!$B:$B,"="&amp;'Покупки по дням'!AO$2)</f>
        <v>0</v>
      </c>
      <c r="AP70">
        <f>SUMIFS(data!$C:$C,data!$A:$A,"="&amp;'Покупки по дням'!$B70,data!$B:$B,"="&amp;'Покупки по дням'!AP$2)</f>
        <v>0</v>
      </c>
      <c r="AQ70" s="6">
        <f t="shared" si="1"/>
        <v>1.0324369583026074</v>
      </c>
    </row>
    <row r="71" spans="2:43" ht="28.8" x14ac:dyDescent="0.3">
      <c r="B71" s="17" t="s">
        <v>73</v>
      </c>
      <c r="C71">
        <f>SUMIFS(data!$C:$C,data!$A:$A,"="&amp;'Покупки по дням'!$B71,data!$B:$B,"="&amp;'Покупки по дням'!C$2)</f>
        <v>0</v>
      </c>
      <c r="D71">
        <f>SUMIFS(data!$C:$C,data!$A:$A,"="&amp;'Покупки по дням'!$B71,data!$B:$B,"="&amp;'Покупки по дням'!D$2)</f>
        <v>0</v>
      </c>
      <c r="E71">
        <f>SUMIFS(data!$C:$C,data!$A:$A,"="&amp;'Покупки по дням'!$B71,data!$B:$B,"="&amp;'Покупки по дням'!E$2)</f>
        <v>2</v>
      </c>
      <c r="F71">
        <f>SUMIFS(data!$C:$C,data!$A:$A,"="&amp;'Покупки по дням'!$B71,data!$B:$B,"="&amp;'Покупки по дням'!F$2)</f>
        <v>0</v>
      </c>
      <c r="G71">
        <f>SUMIFS(data!$C:$C,data!$A:$A,"="&amp;'Покупки по дням'!$B71,data!$B:$B,"="&amp;'Покупки по дням'!G$2)</f>
        <v>4</v>
      </c>
      <c r="H71">
        <f>SUMIFS(data!$C:$C,data!$A:$A,"="&amp;'Покупки по дням'!$B71,data!$B:$B,"="&amp;'Покупки по дням'!H$2)</f>
        <v>0</v>
      </c>
      <c r="I71">
        <f>SUMIFS(data!$C:$C,data!$A:$A,"="&amp;'Покупки по дням'!$B71,data!$B:$B,"="&amp;'Покупки по дням'!I$2)</f>
        <v>0</v>
      </c>
      <c r="J71">
        <f>SUMIFS(data!$C:$C,data!$A:$A,"="&amp;'Покупки по дням'!$B71,data!$B:$B,"="&amp;'Покупки по дням'!J$2)</f>
        <v>1</v>
      </c>
      <c r="K71">
        <f>SUMIFS(data!$C:$C,data!$A:$A,"="&amp;'Покупки по дням'!$B71,data!$B:$B,"="&amp;'Покупки по дням'!K$2)</f>
        <v>0</v>
      </c>
      <c r="L71">
        <f>SUMIFS(data!$C:$C,data!$A:$A,"="&amp;'Покупки по дням'!$B71,data!$B:$B,"="&amp;'Покупки по дням'!L$2)</f>
        <v>0</v>
      </c>
      <c r="M71">
        <f>SUMIFS(data!$C:$C,data!$A:$A,"="&amp;'Покупки по дням'!$B71,data!$B:$B,"="&amp;'Покупки по дням'!M$2)</f>
        <v>0</v>
      </c>
      <c r="N71">
        <f>SUMIFS(data!$C:$C,data!$A:$A,"="&amp;'Покупки по дням'!$B71,data!$B:$B,"="&amp;'Покупки по дням'!N$2)</f>
        <v>0</v>
      </c>
      <c r="O71">
        <f>SUMIFS(data!$C:$C,data!$A:$A,"="&amp;'Покупки по дням'!$B71,data!$B:$B,"="&amp;'Покупки по дням'!O$2)</f>
        <v>3</v>
      </c>
      <c r="P71">
        <f>SUMIFS(data!$C:$C,data!$A:$A,"="&amp;'Покупки по дням'!$B71,data!$B:$B,"="&amp;'Покупки по дням'!P$2)</f>
        <v>1</v>
      </c>
      <c r="Q71">
        <f>SUMIFS(data!$C:$C,data!$A:$A,"="&amp;'Покупки по дням'!$B71,data!$B:$B,"="&amp;'Покупки по дням'!Q$2)</f>
        <v>3</v>
      </c>
      <c r="R71">
        <f>SUMIFS(data!$C:$C,data!$A:$A,"="&amp;'Покупки по дням'!$B71,data!$B:$B,"="&amp;'Покупки по дням'!R$2)</f>
        <v>5</v>
      </c>
      <c r="S71">
        <f>SUMIFS(data!$C:$C,data!$A:$A,"="&amp;'Покупки по дням'!$B71,data!$B:$B,"="&amp;'Покупки по дням'!S$2)</f>
        <v>3</v>
      </c>
      <c r="T71">
        <f>SUMIFS(data!$C:$C,data!$A:$A,"="&amp;'Покупки по дням'!$B71,data!$B:$B,"="&amp;'Покупки по дням'!T$2)</f>
        <v>1</v>
      </c>
      <c r="U71">
        <f>SUMIFS(data!$C:$C,data!$A:$A,"="&amp;'Покупки по дням'!$B71,data!$B:$B,"="&amp;'Покупки по дням'!U$2)</f>
        <v>3</v>
      </c>
      <c r="V71">
        <f>SUMIFS(data!$C:$C,data!$A:$A,"="&amp;'Покупки по дням'!$B71,data!$B:$B,"="&amp;'Покупки по дням'!V$2)</f>
        <v>3</v>
      </c>
      <c r="W71">
        <f>SUMIFS(data!$C:$C,data!$A:$A,"="&amp;'Покупки по дням'!$B71,data!$B:$B,"="&amp;'Покупки по дням'!W$2)</f>
        <v>2</v>
      </c>
      <c r="X71">
        <f>SUMIFS(data!$C:$C,data!$A:$A,"="&amp;'Покупки по дням'!$B71,data!$B:$B,"="&amp;'Покупки по дням'!X$2)</f>
        <v>0</v>
      </c>
      <c r="Y71">
        <f>SUMIFS(data!$C:$C,data!$A:$A,"="&amp;'Покупки по дням'!$B71,data!$B:$B,"="&amp;'Покупки по дням'!Y$2)</f>
        <v>1</v>
      </c>
      <c r="Z71">
        <f>SUMIFS(data!$C:$C,data!$A:$A,"="&amp;'Покупки по дням'!$B71,data!$B:$B,"="&amp;'Покупки по дням'!Z$2)</f>
        <v>5</v>
      </c>
      <c r="AA71">
        <f>SUMIFS(data!$C:$C,data!$A:$A,"="&amp;'Покупки по дням'!$B71,data!$B:$B,"="&amp;'Покупки по дням'!AA$2)</f>
        <v>1</v>
      </c>
      <c r="AB71">
        <f>SUMIFS(data!$C:$C,data!$A:$A,"="&amp;'Покупки по дням'!$B71,data!$B:$B,"="&amp;'Покупки по дням'!AB$2)</f>
        <v>1</v>
      </c>
      <c r="AC71">
        <f>SUMIFS(data!$C:$C,data!$A:$A,"="&amp;'Покупки по дням'!$B71,data!$B:$B,"="&amp;'Покупки по дням'!AC$2)</f>
        <v>5</v>
      </c>
      <c r="AD71">
        <f>SUMIFS(data!$C:$C,data!$A:$A,"="&amp;'Покупки по дням'!$B71,data!$B:$B,"="&amp;'Покупки по дням'!AD$2)</f>
        <v>0</v>
      </c>
      <c r="AE71">
        <f>SUMIFS(data!$C:$C,data!$A:$A,"="&amp;'Покупки по дням'!$B71,data!$B:$B,"="&amp;'Покупки по дням'!AE$2)</f>
        <v>2</v>
      </c>
      <c r="AF71">
        <f>SUMIFS(data!$C:$C,data!$A:$A,"="&amp;'Покупки по дням'!$B71,data!$B:$B,"="&amp;'Покупки по дням'!AF$2)</f>
        <v>3</v>
      </c>
      <c r="AG71">
        <f>SUMIFS(data!$C:$C,data!$A:$A,"="&amp;'Покупки по дням'!$B71,data!$B:$B,"="&amp;'Покупки по дням'!AG$2)</f>
        <v>4</v>
      </c>
      <c r="AH71">
        <f>SUMIFS(data!$C:$C,data!$A:$A,"="&amp;'Покупки по дням'!$B71,data!$B:$B,"="&amp;'Покупки по дням'!AH$2)</f>
        <v>0</v>
      </c>
      <c r="AI71">
        <f>SUMIFS(data!$C:$C,data!$A:$A,"="&amp;'Покупки по дням'!$B71,data!$B:$B,"="&amp;'Покупки по дням'!AI$2)</f>
        <v>2</v>
      </c>
      <c r="AJ71">
        <f>SUMIFS(data!$C:$C,data!$A:$A,"="&amp;'Покупки по дням'!$B71,data!$B:$B,"="&amp;'Покупки по дням'!AJ$2)</f>
        <v>2</v>
      </c>
      <c r="AK71">
        <f>SUMIFS(data!$C:$C,data!$A:$A,"="&amp;'Покупки по дням'!$B71,data!$B:$B,"="&amp;'Покупки по дням'!AK$2)</f>
        <v>0</v>
      </c>
      <c r="AL71">
        <f>SUMIFS(data!$C:$C,data!$A:$A,"="&amp;'Покупки по дням'!$B71,data!$B:$B,"="&amp;'Покупки по дням'!AL$2)</f>
        <v>0</v>
      </c>
      <c r="AM71">
        <f>SUMIFS(data!$C:$C,data!$A:$A,"="&amp;'Покупки по дням'!$B71,data!$B:$B,"="&amp;'Покупки по дням'!AM$2)</f>
        <v>7</v>
      </c>
      <c r="AN71">
        <f>SUMIFS(data!$C:$C,data!$A:$A,"="&amp;'Покупки по дням'!$B71,data!$B:$B,"="&amp;'Покупки по дням'!AN$2)</f>
        <v>2</v>
      </c>
      <c r="AO71">
        <f>SUMIFS(data!$C:$C,data!$A:$A,"="&amp;'Покупки по дням'!$B71,data!$B:$B,"="&amp;'Покупки по дням'!AO$2)</f>
        <v>3</v>
      </c>
      <c r="AP71">
        <f>SUMIFS(data!$C:$C,data!$A:$A,"="&amp;'Покупки по дням'!$B71,data!$B:$B,"="&amp;'Покупки по дням'!AP$2)</f>
        <v>1</v>
      </c>
      <c r="AQ71" s="6">
        <f t="shared" si="1"/>
        <v>1.0332008152565415</v>
      </c>
    </row>
    <row r="72" spans="2:43" x14ac:dyDescent="0.3">
      <c r="B72" s="17" t="s">
        <v>141</v>
      </c>
      <c r="C72">
        <f>SUMIFS(data!$C:$C,data!$A:$A,"="&amp;'Покупки по дням'!$B72,data!$B:$B,"="&amp;'Покупки по дням'!C$2)</f>
        <v>0</v>
      </c>
      <c r="D72">
        <f>SUMIFS(data!$C:$C,data!$A:$A,"="&amp;'Покупки по дням'!$B72,data!$B:$B,"="&amp;'Покупки по дням'!D$2)</f>
        <v>2</v>
      </c>
      <c r="E72">
        <f>SUMIFS(data!$C:$C,data!$A:$A,"="&amp;'Покупки по дням'!$B72,data!$B:$B,"="&amp;'Покупки по дням'!E$2)</f>
        <v>0</v>
      </c>
      <c r="F72">
        <f>SUMIFS(data!$C:$C,data!$A:$A,"="&amp;'Покупки по дням'!$B72,data!$B:$B,"="&amp;'Покупки по дням'!F$2)</f>
        <v>2</v>
      </c>
      <c r="G72">
        <f>SUMIFS(data!$C:$C,data!$A:$A,"="&amp;'Покупки по дням'!$B72,data!$B:$B,"="&amp;'Покупки по дням'!G$2)</f>
        <v>5</v>
      </c>
      <c r="H72">
        <f>SUMIFS(data!$C:$C,data!$A:$A,"="&amp;'Покупки по дням'!$B72,data!$B:$B,"="&amp;'Покупки по дням'!H$2)</f>
        <v>8</v>
      </c>
      <c r="I72">
        <f>SUMIFS(data!$C:$C,data!$A:$A,"="&amp;'Покупки по дням'!$B72,data!$B:$B,"="&amp;'Покупки по дням'!I$2)</f>
        <v>5</v>
      </c>
      <c r="J72">
        <f>SUMIFS(data!$C:$C,data!$A:$A,"="&amp;'Покупки по дням'!$B72,data!$B:$B,"="&amp;'Покупки по дням'!J$2)</f>
        <v>1</v>
      </c>
      <c r="K72">
        <f>SUMIFS(data!$C:$C,data!$A:$A,"="&amp;'Покупки по дням'!$B72,data!$B:$B,"="&amp;'Покупки по дням'!K$2)</f>
        <v>0</v>
      </c>
      <c r="L72">
        <f>SUMIFS(data!$C:$C,data!$A:$A,"="&amp;'Покупки по дням'!$B72,data!$B:$B,"="&amp;'Покупки по дням'!L$2)</f>
        <v>3</v>
      </c>
      <c r="M72">
        <f>SUMIFS(data!$C:$C,data!$A:$A,"="&amp;'Покупки по дням'!$B72,data!$B:$B,"="&amp;'Покупки по дням'!M$2)</f>
        <v>5</v>
      </c>
      <c r="N72">
        <f>SUMIFS(data!$C:$C,data!$A:$A,"="&amp;'Покупки по дням'!$B72,data!$B:$B,"="&amp;'Покупки по дням'!N$2)</f>
        <v>1</v>
      </c>
      <c r="O72">
        <f>SUMIFS(data!$C:$C,data!$A:$A,"="&amp;'Покупки по дням'!$B72,data!$B:$B,"="&amp;'Покупки по дням'!O$2)</f>
        <v>2</v>
      </c>
      <c r="P72">
        <f>SUMIFS(data!$C:$C,data!$A:$A,"="&amp;'Покупки по дням'!$B72,data!$B:$B,"="&amp;'Покупки по дням'!P$2)</f>
        <v>4</v>
      </c>
      <c r="Q72">
        <f>SUMIFS(data!$C:$C,data!$A:$A,"="&amp;'Покупки по дням'!$B72,data!$B:$B,"="&amp;'Покупки по дням'!Q$2)</f>
        <v>7</v>
      </c>
      <c r="R72">
        <f>SUMIFS(data!$C:$C,data!$A:$A,"="&amp;'Покупки по дням'!$B72,data!$B:$B,"="&amp;'Покупки по дням'!R$2)</f>
        <v>1</v>
      </c>
      <c r="S72">
        <f>SUMIFS(data!$C:$C,data!$A:$A,"="&amp;'Покупки по дням'!$B72,data!$B:$B,"="&amp;'Покупки по дням'!S$2)</f>
        <v>10</v>
      </c>
      <c r="T72">
        <f>SUMIFS(data!$C:$C,data!$A:$A,"="&amp;'Покупки по дням'!$B72,data!$B:$B,"="&amp;'Покупки по дням'!T$2)</f>
        <v>5</v>
      </c>
      <c r="U72">
        <f>SUMIFS(data!$C:$C,data!$A:$A,"="&amp;'Покупки по дням'!$B72,data!$B:$B,"="&amp;'Покупки по дням'!U$2)</f>
        <v>0</v>
      </c>
      <c r="V72">
        <f>SUMIFS(data!$C:$C,data!$A:$A,"="&amp;'Покупки по дням'!$B72,data!$B:$B,"="&amp;'Покупки по дням'!V$2)</f>
        <v>6</v>
      </c>
      <c r="W72">
        <f>SUMIFS(data!$C:$C,data!$A:$A,"="&amp;'Покупки по дням'!$B72,data!$B:$B,"="&amp;'Покупки по дням'!W$2)</f>
        <v>4</v>
      </c>
      <c r="X72">
        <f>SUMIFS(data!$C:$C,data!$A:$A,"="&amp;'Покупки по дням'!$B72,data!$B:$B,"="&amp;'Покупки по дням'!X$2)</f>
        <v>1</v>
      </c>
      <c r="Y72">
        <f>SUMIFS(data!$C:$C,data!$A:$A,"="&amp;'Покупки по дням'!$B72,data!$B:$B,"="&amp;'Покупки по дням'!Y$2)</f>
        <v>1</v>
      </c>
      <c r="Z72">
        <f>SUMIFS(data!$C:$C,data!$A:$A,"="&amp;'Покупки по дням'!$B72,data!$B:$B,"="&amp;'Покупки по дням'!Z$2)</f>
        <v>4</v>
      </c>
      <c r="AA72">
        <f>SUMIFS(data!$C:$C,data!$A:$A,"="&amp;'Покупки по дням'!$B72,data!$B:$B,"="&amp;'Покупки по дням'!AA$2)</f>
        <v>5</v>
      </c>
      <c r="AB72">
        <f>SUMIFS(data!$C:$C,data!$A:$A,"="&amp;'Покупки по дням'!$B72,data!$B:$B,"="&amp;'Покупки по дням'!AB$2)</f>
        <v>2</v>
      </c>
      <c r="AC72">
        <f>SUMIFS(data!$C:$C,data!$A:$A,"="&amp;'Покупки по дням'!$B72,data!$B:$B,"="&amp;'Покупки по дням'!AC$2)</f>
        <v>1</v>
      </c>
      <c r="AD72">
        <f>SUMIFS(data!$C:$C,data!$A:$A,"="&amp;'Покупки по дням'!$B72,data!$B:$B,"="&amp;'Покупки по дням'!AD$2)</f>
        <v>9</v>
      </c>
      <c r="AE72">
        <f>SUMIFS(data!$C:$C,data!$A:$A,"="&amp;'Покупки по дням'!$B72,data!$B:$B,"="&amp;'Покупки по дням'!AE$2)</f>
        <v>7</v>
      </c>
      <c r="AF72">
        <f>SUMIFS(data!$C:$C,data!$A:$A,"="&amp;'Покупки по дням'!$B72,data!$B:$B,"="&amp;'Покупки по дням'!AF$2)</f>
        <v>3</v>
      </c>
      <c r="AG72">
        <f>SUMIFS(data!$C:$C,data!$A:$A,"="&amp;'Покупки по дням'!$B72,data!$B:$B,"="&amp;'Покупки по дням'!AG$2)</f>
        <v>6</v>
      </c>
      <c r="AH72">
        <f>SUMIFS(data!$C:$C,data!$A:$A,"="&amp;'Покупки по дням'!$B72,data!$B:$B,"="&amp;'Покупки по дням'!AH$2)</f>
        <v>0</v>
      </c>
      <c r="AI72">
        <f>SUMIFS(data!$C:$C,data!$A:$A,"="&amp;'Покупки по дням'!$B72,data!$B:$B,"="&amp;'Покупки по дням'!AI$2)</f>
        <v>5</v>
      </c>
      <c r="AJ72">
        <f>SUMIFS(data!$C:$C,data!$A:$A,"="&amp;'Покупки по дням'!$B72,data!$B:$B,"="&amp;'Покупки по дням'!AJ$2)</f>
        <v>4</v>
      </c>
      <c r="AK72">
        <f>SUMIFS(data!$C:$C,data!$A:$A,"="&amp;'Покупки по дням'!$B72,data!$B:$B,"="&amp;'Покупки по дням'!AK$2)</f>
        <v>0</v>
      </c>
      <c r="AL72">
        <f>SUMIFS(data!$C:$C,data!$A:$A,"="&amp;'Покупки по дням'!$B72,data!$B:$B,"="&amp;'Покупки по дням'!AL$2)</f>
        <v>0</v>
      </c>
      <c r="AM72">
        <f>SUMIFS(data!$C:$C,data!$A:$A,"="&amp;'Покупки по дням'!$B72,data!$B:$B,"="&amp;'Покупки по дням'!AM$2)</f>
        <v>7</v>
      </c>
      <c r="AN72">
        <f>SUMIFS(data!$C:$C,data!$A:$A,"="&amp;'Покупки по дням'!$B72,data!$B:$B,"="&amp;'Покупки по дням'!AN$2)</f>
        <v>2</v>
      </c>
      <c r="AO72">
        <f>SUMIFS(data!$C:$C,data!$A:$A,"="&amp;'Покупки по дням'!$B72,data!$B:$B,"="&amp;'Покупки по дням'!AO$2)</f>
        <v>2</v>
      </c>
      <c r="AP72">
        <f>SUMIFS(data!$C:$C,data!$A:$A,"="&amp;'Покупки по дням'!$B72,data!$B:$B,"="&amp;'Покупки по дням'!AP$2)</f>
        <v>0</v>
      </c>
      <c r="AQ72" s="6">
        <f t="shared" si="1"/>
        <v>0.85834856064139287</v>
      </c>
    </row>
    <row r="73" spans="2:43" ht="28.8" x14ac:dyDescent="0.3">
      <c r="B73" s="17" t="s">
        <v>41</v>
      </c>
      <c r="C73">
        <f>SUMIFS(data!$C:$C,data!$A:$A,"="&amp;'Покупки по дням'!$B73,data!$B:$B,"="&amp;'Покупки по дням'!C$2)</f>
        <v>0</v>
      </c>
      <c r="D73">
        <f>SUMIFS(data!$C:$C,data!$A:$A,"="&amp;'Покупки по дням'!$B73,data!$B:$B,"="&amp;'Покупки по дням'!D$2)</f>
        <v>5</v>
      </c>
      <c r="E73">
        <f>SUMIFS(data!$C:$C,data!$A:$A,"="&amp;'Покупки по дням'!$B73,data!$B:$B,"="&amp;'Покупки по дням'!E$2)</f>
        <v>9</v>
      </c>
      <c r="F73">
        <f>SUMIFS(data!$C:$C,data!$A:$A,"="&amp;'Покупки по дням'!$B73,data!$B:$B,"="&amp;'Покупки по дням'!F$2)</f>
        <v>8</v>
      </c>
      <c r="G73">
        <f>SUMIFS(data!$C:$C,data!$A:$A,"="&amp;'Покупки по дням'!$B73,data!$B:$B,"="&amp;'Покупки по дням'!G$2)</f>
        <v>9</v>
      </c>
      <c r="H73">
        <f>SUMIFS(data!$C:$C,data!$A:$A,"="&amp;'Покупки по дням'!$B73,data!$B:$B,"="&amp;'Покупки по дням'!H$2)</f>
        <v>0</v>
      </c>
      <c r="I73">
        <f>SUMIFS(data!$C:$C,data!$A:$A,"="&amp;'Покупки по дням'!$B73,data!$B:$B,"="&amp;'Покупки по дням'!I$2)</f>
        <v>0</v>
      </c>
      <c r="J73">
        <f>SUMIFS(data!$C:$C,data!$A:$A,"="&amp;'Покупки по дням'!$B73,data!$B:$B,"="&amp;'Покупки по дням'!J$2)</f>
        <v>0</v>
      </c>
      <c r="K73">
        <f>SUMIFS(data!$C:$C,data!$A:$A,"="&amp;'Покупки по дням'!$B73,data!$B:$B,"="&amp;'Покупки по дням'!K$2)</f>
        <v>0</v>
      </c>
      <c r="L73">
        <f>SUMIFS(data!$C:$C,data!$A:$A,"="&amp;'Покупки по дням'!$B73,data!$B:$B,"="&amp;'Покупки по дням'!L$2)</f>
        <v>3</v>
      </c>
      <c r="M73">
        <f>SUMIFS(data!$C:$C,data!$A:$A,"="&amp;'Покупки по дням'!$B73,data!$B:$B,"="&amp;'Покупки по дням'!M$2)</f>
        <v>7</v>
      </c>
      <c r="N73">
        <f>SUMIFS(data!$C:$C,data!$A:$A,"="&amp;'Покупки по дням'!$B73,data!$B:$B,"="&amp;'Покупки по дням'!N$2)</f>
        <v>2</v>
      </c>
      <c r="O73">
        <f>SUMIFS(data!$C:$C,data!$A:$A,"="&amp;'Покупки по дням'!$B73,data!$B:$B,"="&amp;'Покупки по дням'!O$2)</f>
        <v>4</v>
      </c>
      <c r="P73">
        <f>SUMIFS(data!$C:$C,data!$A:$A,"="&amp;'Покупки по дням'!$B73,data!$B:$B,"="&amp;'Покупки по дням'!P$2)</f>
        <v>2</v>
      </c>
      <c r="Q73">
        <f>SUMIFS(data!$C:$C,data!$A:$A,"="&amp;'Покупки по дням'!$B73,data!$B:$B,"="&amp;'Покупки по дням'!Q$2)</f>
        <v>1</v>
      </c>
      <c r="R73">
        <f>SUMIFS(data!$C:$C,data!$A:$A,"="&amp;'Покупки по дням'!$B73,data!$B:$B,"="&amp;'Покупки по дням'!R$2)</f>
        <v>5</v>
      </c>
      <c r="S73">
        <f>SUMIFS(data!$C:$C,data!$A:$A,"="&amp;'Покупки по дням'!$B73,data!$B:$B,"="&amp;'Покупки по дням'!S$2)</f>
        <v>8</v>
      </c>
      <c r="T73">
        <f>SUMIFS(data!$C:$C,data!$A:$A,"="&amp;'Покупки по дням'!$B73,data!$B:$B,"="&amp;'Покупки по дням'!T$2)</f>
        <v>2</v>
      </c>
      <c r="U73">
        <f>SUMIFS(data!$C:$C,data!$A:$A,"="&amp;'Покупки по дням'!$B73,data!$B:$B,"="&amp;'Покупки по дням'!U$2)</f>
        <v>2</v>
      </c>
      <c r="V73">
        <f>SUMIFS(data!$C:$C,data!$A:$A,"="&amp;'Покупки по дням'!$B73,data!$B:$B,"="&amp;'Покупки по дням'!V$2)</f>
        <v>1</v>
      </c>
      <c r="W73">
        <f>SUMIFS(data!$C:$C,data!$A:$A,"="&amp;'Покупки по дням'!$B73,data!$B:$B,"="&amp;'Покупки по дням'!W$2)</f>
        <v>1</v>
      </c>
      <c r="X73">
        <f>SUMIFS(data!$C:$C,data!$A:$A,"="&amp;'Покупки по дням'!$B73,data!$B:$B,"="&amp;'Покупки по дням'!X$2)</f>
        <v>3</v>
      </c>
      <c r="Y73">
        <f>SUMIFS(data!$C:$C,data!$A:$A,"="&amp;'Покупки по дням'!$B73,data!$B:$B,"="&amp;'Покупки по дням'!Y$2)</f>
        <v>6</v>
      </c>
      <c r="Z73">
        <f>SUMIFS(data!$C:$C,data!$A:$A,"="&amp;'Покупки по дням'!$B73,data!$B:$B,"="&amp;'Покупки по дням'!Z$2)</f>
        <v>11</v>
      </c>
      <c r="AA73">
        <f>SUMIFS(data!$C:$C,data!$A:$A,"="&amp;'Покупки по дням'!$B73,data!$B:$B,"="&amp;'Покупки по дням'!AA$2)</f>
        <v>1</v>
      </c>
      <c r="AB73">
        <f>SUMIFS(data!$C:$C,data!$A:$A,"="&amp;'Покупки по дням'!$B73,data!$B:$B,"="&amp;'Покупки по дням'!AB$2)</f>
        <v>2</v>
      </c>
      <c r="AC73">
        <f>SUMIFS(data!$C:$C,data!$A:$A,"="&amp;'Покупки по дням'!$B73,data!$B:$B,"="&amp;'Покупки по дням'!AC$2)</f>
        <v>1</v>
      </c>
      <c r="AD73">
        <f>SUMIFS(data!$C:$C,data!$A:$A,"="&amp;'Покупки по дням'!$B73,data!$B:$B,"="&amp;'Покупки по дням'!AD$2)</f>
        <v>0</v>
      </c>
      <c r="AE73">
        <f>SUMIFS(data!$C:$C,data!$A:$A,"="&amp;'Покупки по дням'!$B73,data!$B:$B,"="&amp;'Покупки по дням'!AE$2)</f>
        <v>10</v>
      </c>
      <c r="AF73">
        <f>SUMIFS(data!$C:$C,data!$A:$A,"="&amp;'Покупки по дням'!$B73,data!$B:$B,"="&amp;'Покупки по дням'!AF$2)</f>
        <v>2</v>
      </c>
      <c r="AG73">
        <f>SUMIFS(data!$C:$C,data!$A:$A,"="&amp;'Покупки по дням'!$B73,data!$B:$B,"="&amp;'Покупки по дням'!AG$2)</f>
        <v>2</v>
      </c>
      <c r="AH73">
        <f>SUMIFS(data!$C:$C,data!$A:$A,"="&amp;'Покупки по дням'!$B73,data!$B:$B,"="&amp;'Покупки по дням'!AH$2)</f>
        <v>7</v>
      </c>
      <c r="AI73">
        <f>SUMIFS(data!$C:$C,data!$A:$A,"="&amp;'Покупки по дням'!$B73,data!$B:$B,"="&amp;'Покупки по дням'!AI$2)</f>
        <v>7</v>
      </c>
      <c r="AJ73">
        <f>SUMIFS(data!$C:$C,data!$A:$A,"="&amp;'Покупки по дням'!$B73,data!$B:$B,"="&amp;'Покупки по дням'!AJ$2)</f>
        <v>0</v>
      </c>
      <c r="AK73">
        <f>SUMIFS(data!$C:$C,data!$A:$A,"="&amp;'Покупки по дням'!$B73,data!$B:$B,"="&amp;'Покупки по дням'!AK$2)</f>
        <v>2</v>
      </c>
      <c r="AL73">
        <f>SUMIFS(data!$C:$C,data!$A:$A,"="&amp;'Покупки по дням'!$B73,data!$B:$B,"="&amp;'Покупки по дням'!AL$2)</f>
        <v>4</v>
      </c>
      <c r="AM73">
        <f>SUMIFS(data!$C:$C,data!$A:$A,"="&amp;'Покупки по дням'!$B73,data!$B:$B,"="&amp;'Покупки по дням'!AM$2)</f>
        <v>5</v>
      </c>
      <c r="AN73">
        <f>SUMIFS(data!$C:$C,data!$A:$A,"="&amp;'Покупки по дням'!$B73,data!$B:$B,"="&amp;'Покупки по дням'!AN$2)</f>
        <v>5</v>
      </c>
      <c r="AO73">
        <f>SUMIFS(data!$C:$C,data!$A:$A,"="&amp;'Покупки по дням'!$B73,data!$B:$B,"="&amp;'Покупки по дням'!AO$2)</f>
        <v>2</v>
      </c>
      <c r="AP73">
        <f>SUMIFS(data!$C:$C,data!$A:$A,"="&amp;'Покупки по дням'!$B73,data!$B:$B,"="&amp;'Покупки по дням'!AP$2)</f>
        <v>8</v>
      </c>
      <c r="AQ73" s="6">
        <f t="shared" si="1"/>
        <v>0.88095254931988021</v>
      </c>
    </row>
    <row r="74" spans="2:43" x14ac:dyDescent="0.3">
      <c r="B74" s="17" t="s">
        <v>39</v>
      </c>
      <c r="C74">
        <f>SUMIFS(data!$C:$C,data!$A:$A,"="&amp;'Покупки по дням'!$B74,data!$B:$B,"="&amp;'Покупки по дням'!C$2)</f>
        <v>0</v>
      </c>
      <c r="D74">
        <f>SUMIFS(data!$C:$C,data!$A:$A,"="&amp;'Покупки по дням'!$B74,data!$B:$B,"="&amp;'Покупки по дням'!D$2)</f>
        <v>1</v>
      </c>
      <c r="E74">
        <f>SUMIFS(data!$C:$C,data!$A:$A,"="&amp;'Покупки по дням'!$B74,data!$B:$B,"="&amp;'Покупки по дням'!E$2)</f>
        <v>0</v>
      </c>
      <c r="F74">
        <f>SUMIFS(data!$C:$C,data!$A:$A,"="&amp;'Покупки по дням'!$B74,data!$B:$B,"="&amp;'Покупки по дням'!F$2)</f>
        <v>4</v>
      </c>
      <c r="G74">
        <f>SUMIFS(data!$C:$C,data!$A:$A,"="&amp;'Покупки по дням'!$B74,data!$B:$B,"="&amp;'Покупки по дням'!G$2)</f>
        <v>0</v>
      </c>
      <c r="H74">
        <f>SUMIFS(data!$C:$C,data!$A:$A,"="&amp;'Покупки по дням'!$B74,data!$B:$B,"="&amp;'Покупки по дням'!H$2)</f>
        <v>2</v>
      </c>
      <c r="I74">
        <f>SUMIFS(data!$C:$C,data!$A:$A,"="&amp;'Покупки по дням'!$B74,data!$B:$B,"="&amp;'Покупки по дням'!I$2)</f>
        <v>9</v>
      </c>
      <c r="J74">
        <f>SUMIFS(data!$C:$C,data!$A:$A,"="&amp;'Покупки по дням'!$B74,data!$B:$B,"="&amp;'Покупки по дням'!J$2)</f>
        <v>1</v>
      </c>
      <c r="K74">
        <f>SUMIFS(data!$C:$C,data!$A:$A,"="&amp;'Покупки по дням'!$B74,data!$B:$B,"="&amp;'Покупки по дням'!K$2)</f>
        <v>0</v>
      </c>
      <c r="L74">
        <f>SUMIFS(data!$C:$C,data!$A:$A,"="&amp;'Покупки по дням'!$B74,data!$B:$B,"="&amp;'Покупки по дням'!L$2)</f>
        <v>3</v>
      </c>
      <c r="M74">
        <f>SUMIFS(data!$C:$C,data!$A:$A,"="&amp;'Покупки по дням'!$B74,data!$B:$B,"="&amp;'Покупки по дням'!M$2)</f>
        <v>11</v>
      </c>
      <c r="N74">
        <f>SUMIFS(data!$C:$C,data!$A:$A,"="&amp;'Покупки по дням'!$B74,data!$B:$B,"="&amp;'Покупки по дням'!N$2)</f>
        <v>0</v>
      </c>
      <c r="O74">
        <f>SUMIFS(data!$C:$C,data!$A:$A,"="&amp;'Покупки по дням'!$B74,data!$B:$B,"="&amp;'Покупки по дням'!O$2)</f>
        <v>4</v>
      </c>
      <c r="P74">
        <f>SUMIFS(data!$C:$C,data!$A:$A,"="&amp;'Покупки по дням'!$B74,data!$B:$B,"="&amp;'Покупки по дням'!P$2)</f>
        <v>7</v>
      </c>
      <c r="Q74">
        <f>SUMIFS(data!$C:$C,data!$A:$A,"="&amp;'Покупки по дням'!$B74,data!$B:$B,"="&amp;'Покупки по дням'!Q$2)</f>
        <v>26</v>
      </c>
      <c r="R74">
        <f>SUMIFS(data!$C:$C,data!$A:$A,"="&amp;'Покупки по дням'!$B74,data!$B:$B,"="&amp;'Покупки по дням'!R$2)</f>
        <v>2</v>
      </c>
      <c r="S74">
        <f>SUMIFS(data!$C:$C,data!$A:$A,"="&amp;'Покупки по дням'!$B74,data!$B:$B,"="&amp;'Покупки по дням'!S$2)</f>
        <v>12</v>
      </c>
      <c r="T74">
        <f>SUMIFS(data!$C:$C,data!$A:$A,"="&amp;'Покупки по дням'!$B74,data!$B:$B,"="&amp;'Покупки по дням'!T$2)</f>
        <v>7</v>
      </c>
      <c r="U74">
        <f>SUMIFS(data!$C:$C,data!$A:$A,"="&amp;'Покупки по дням'!$B74,data!$B:$B,"="&amp;'Покупки по дням'!U$2)</f>
        <v>11</v>
      </c>
      <c r="V74">
        <f>SUMIFS(data!$C:$C,data!$A:$A,"="&amp;'Покупки по дням'!$B74,data!$B:$B,"="&amp;'Покупки по дням'!V$2)</f>
        <v>1</v>
      </c>
      <c r="W74">
        <f>SUMIFS(data!$C:$C,data!$A:$A,"="&amp;'Покупки по дням'!$B74,data!$B:$B,"="&amp;'Покупки по дням'!W$2)</f>
        <v>0</v>
      </c>
      <c r="X74">
        <f>SUMIFS(data!$C:$C,data!$A:$A,"="&amp;'Покупки по дням'!$B74,data!$B:$B,"="&amp;'Покупки по дням'!X$2)</f>
        <v>2</v>
      </c>
      <c r="Y74">
        <f>SUMIFS(data!$C:$C,data!$A:$A,"="&amp;'Покупки по дням'!$B74,data!$B:$B,"="&amp;'Покупки по дням'!Y$2)</f>
        <v>7</v>
      </c>
      <c r="Z74">
        <f>SUMIFS(data!$C:$C,data!$A:$A,"="&amp;'Покупки по дням'!$B74,data!$B:$B,"="&amp;'Покупки по дням'!Z$2)</f>
        <v>3</v>
      </c>
      <c r="AA74">
        <f>SUMIFS(data!$C:$C,data!$A:$A,"="&amp;'Покупки по дням'!$B74,data!$B:$B,"="&amp;'Покупки по дням'!AA$2)</f>
        <v>6</v>
      </c>
      <c r="AB74">
        <f>SUMIFS(data!$C:$C,data!$A:$A,"="&amp;'Покупки по дням'!$B74,data!$B:$B,"="&amp;'Покупки по дням'!AB$2)</f>
        <v>11</v>
      </c>
      <c r="AC74">
        <f>SUMIFS(data!$C:$C,data!$A:$A,"="&amp;'Покупки по дням'!$B74,data!$B:$B,"="&amp;'Покупки по дням'!AC$2)</f>
        <v>4</v>
      </c>
      <c r="AD74">
        <f>SUMIFS(data!$C:$C,data!$A:$A,"="&amp;'Покупки по дням'!$B74,data!$B:$B,"="&amp;'Покупки по дням'!AD$2)</f>
        <v>2</v>
      </c>
      <c r="AE74">
        <f>SUMIFS(data!$C:$C,data!$A:$A,"="&amp;'Покупки по дням'!$B74,data!$B:$B,"="&amp;'Покупки по дням'!AE$2)</f>
        <v>3</v>
      </c>
      <c r="AF74">
        <f>SUMIFS(data!$C:$C,data!$A:$A,"="&amp;'Покупки по дням'!$B74,data!$B:$B,"="&amp;'Покупки по дням'!AF$2)</f>
        <v>7</v>
      </c>
      <c r="AG74">
        <f>SUMIFS(data!$C:$C,data!$A:$A,"="&amp;'Покупки по дням'!$B74,data!$B:$B,"="&amp;'Покупки по дням'!AG$2)</f>
        <v>9</v>
      </c>
      <c r="AH74">
        <f>SUMIFS(data!$C:$C,data!$A:$A,"="&amp;'Покупки по дням'!$B74,data!$B:$B,"="&amp;'Покупки по дням'!AH$2)</f>
        <v>8</v>
      </c>
      <c r="AI74">
        <f>SUMIFS(data!$C:$C,data!$A:$A,"="&amp;'Покупки по дням'!$B74,data!$B:$B,"="&amp;'Покупки по дням'!AI$2)</f>
        <v>0</v>
      </c>
      <c r="AJ74">
        <f>SUMIFS(data!$C:$C,data!$A:$A,"="&amp;'Покупки по дням'!$B74,data!$B:$B,"="&amp;'Покупки по дням'!AJ$2)</f>
        <v>6</v>
      </c>
      <c r="AK74">
        <f>SUMIFS(data!$C:$C,data!$A:$A,"="&amp;'Покупки по дням'!$B74,data!$B:$B,"="&amp;'Покупки по дням'!AK$2)</f>
        <v>8</v>
      </c>
      <c r="AL74">
        <f>SUMIFS(data!$C:$C,data!$A:$A,"="&amp;'Покупки по дням'!$B74,data!$B:$B,"="&amp;'Покупки по дням'!AL$2)</f>
        <v>15</v>
      </c>
      <c r="AM74">
        <f>SUMIFS(data!$C:$C,data!$A:$A,"="&amp;'Покупки по дням'!$B74,data!$B:$B,"="&amp;'Покупки по дням'!AM$2)</f>
        <v>23</v>
      </c>
      <c r="AN74">
        <f>SUMIFS(data!$C:$C,data!$A:$A,"="&amp;'Покупки по дням'!$B74,data!$B:$B,"="&amp;'Покупки по дням'!AN$2)</f>
        <v>20</v>
      </c>
      <c r="AO74">
        <f>SUMIFS(data!$C:$C,data!$A:$A,"="&amp;'Покупки по дням'!$B74,data!$B:$B,"="&amp;'Покупки по дням'!AO$2)</f>
        <v>13</v>
      </c>
      <c r="AP74">
        <f>SUMIFS(data!$C:$C,data!$A:$A,"="&amp;'Покупки по дням'!$B74,data!$B:$B,"="&amp;'Покупки по дням'!AP$2)</f>
        <v>23</v>
      </c>
      <c r="AQ74" s="6">
        <f t="shared" si="1"/>
        <v>1.0168541688303643</v>
      </c>
    </row>
    <row r="75" spans="2:43" ht="28.8" x14ac:dyDescent="0.3">
      <c r="B75" s="17" t="s">
        <v>121</v>
      </c>
      <c r="C75">
        <f>SUMIFS(data!$C:$C,data!$A:$A,"="&amp;'Покупки по дням'!$B75,data!$B:$B,"="&amp;'Покупки по дням'!C$2)</f>
        <v>0</v>
      </c>
      <c r="D75">
        <f>SUMIFS(data!$C:$C,data!$A:$A,"="&amp;'Покупки по дням'!$B75,data!$B:$B,"="&amp;'Покупки по дням'!D$2)</f>
        <v>0</v>
      </c>
      <c r="E75">
        <f>SUMIFS(data!$C:$C,data!$A:$A,"="&amp;'Покупки по дням'!$B75,data!$B:$B,"="&amp;'Покупки по дням'!E$2)</f>
        <v>0</v>
      </c>
      <c r="F75">
        <f>SUMIFS(data!$C:$C,data!$A:$A,"="&amp;'Покупки по дням'!$B75,data!$B:$B,"="&amp;'Покупки по дням'!F$2)</f>
        <v>3</v>
      </c>
      <c r="G75">
        <f>SUMIFS(data!$C:$C,data!$A:$A,"="&amp;'Покупки по дням'!$B75,data!$B:$B,"="&amp;'Покупки по дням'!G$2)</f>
        <v>5</v>
      </c>
      <c r="H75">
        <f>SUMIFS(data!$C:$C,data!$A:$A,"="&amp;'Покупки по дням'!$B75,data!$B:$B,"="&amp;'Покупки по дням'!H$2)</f>
        <v>0</v>
      </c>
      <c r="I75">
        <f>SUMIFS(data!$C:$C,data!$A:$A,"="&amp;'Покупки по дням'!$B75,data!$B:$B,"="&amp;'Покупки по дням'!I$2)</f>
        <v>0</v>
      </c>
      <c r="J75">
        <f>SUMIFS(data!$C:$C,data!$A:$A,"="&amp;'Покупки по дням'!$B75,data!$B:$B,"="&amp;'Покупки по дням'!J$2)</f>
        <v>0</v>
      </c>
      <c r="K75">
        <f>SUMIFS(data!$C:$C,data!$A:$A,"="&amp;'Покупки по дням'!$B75,data!$B:$B,"="&amp;'Покупки по дням'!K$2)</f>
        <v>0</v>
      </c>
      <c r="L75">
        <f>SUMIFS(data!$C:$C,data!$A:$A,"="&amp;'Покупки по дням'!$B75,data!$B:$B,"="&amp;'Покупки по дням'!L$2)</f>
        <v>4</v>
      </c>
      <c r="M75">
        <f>SUMIFS(data!$C:$C,data!$A:$A,"="&amp;'Покупки по дням'!$B75,data!$B:$B,"="&amp;'Покупки по дням'!M$2)</f>
        <v>1</v>
      </c>
      <c r="N75">
        <f>SUMIFS(data!$C:$C,data!$A:$A,"="&amp;'Покупки по дням'!$B75,data!$B:$B,"="&amp;'Покупки по дням'!N$2)</f>
        <v>0</v>
      </c>
      <c r="O75">
        <f>SUMIFS(data!$C:$C,data!$A:$A,"="&amp;'Покупки по дням'!$B75,data!$B:$B,"="&amp;'Покупки по дням'!O$2)</f>
        <v>1</v>
      </c>
      <c r="P75">
        <f>SUMIFS(data!$C:$C,data!$A:$A,"="&amp;'Покупки по дням'!$B75,data!$B:$B,"="&amp;'Покупки по дням'!P$2)</f>
        <v>0</v>
      </c>
      <c r="Q75">
        <f>SUMIFS(data!$C:$C,data!$A:$A,"="&amp;'Покупки по дням'!$B75,data!$B:$B,"="&amp;'Покупки по дням'!Q$2)</f>
        <v>1</v>
      </c>
      <c r="R75">
        <f>SUMIFS(data!$C:$C,data!$A:$A,"="&amp;'Покупки по дням'!$B75,data!$B:$B,"="&amp;'Покупки по дням'!R$2)</f>
        <v>1</v>
      </c>
      <c r="S75">
        <f>SUMIFS(data!$C:$C,data!$A:$A,"="&amp;'Покупки по дням'!$B75,data!$B:$B,"="&amp;'Покупки по дням'!S$2)</f>
        <v>10</v>
      </c>
      <c r="T75">
        <f>SUMIFS(data!$C:$C,data!$A:$A,"="&amp;'Покупки по дням'!$B75,data!$B:$B,"="&amp;'Покупки по дням'!T$2)</f>
        <v>3</v>
      </c>
      <c r="U75">
        <f>SUMIFS(data!$C:$C,data!$A:$A,"="&amp;'Покупки по дням'!$B75,data!$B:$B,"="&amp;'Покупки по дням'!U$2)</f>
        <v>6</v>
      </c>
      <c r="V75">
        <f>SUMIFS(data!$C:$C,data!$A:$A,"="&amp;'Покупки по дням'!$B75,data!$B:$B,"="&amp;'Покупки по дням'!V$2)</f>
        <v>0</v>
      </c>
      <c r="W75">
        <f>SUMIFS(data!$C:$C,data!$A:$A,"="&amp;'Покупки по дням'!$B75,data!$B:$B,"="&amp;'Покупки по дням'!W$2)</f>
        <v>0</v>
      </c>
      <c r="X75">
        <f>SUMIFS(data!$C:$C,data!$A:$A,"="&amp;'Покупки по дням'!$B75,data!$B:$B,"="&amp;'Покупки по дням'!X$2)</f>
        <v>3</v>
      </c>
      <c r="Y75">
        <f>SUMIFS(data!$C:$C,data!$A:$A,"="&amp;'Покупки по дням'!$B75,data!$B:$B,"="&amp;'Покупки по дням'!Y$2)</f>
        <v>3</v>
      </c>
      <c r="Z75">
        <f>SUMIFS(data!$C:$C,data!$A:$A,"="&amp;'Покупки по дням'!$B75,data!$B:$B,"="&amp;'Покупки по дням'!Z$2)</f>
        <v>0</v>
      </c>
      <c r="AA75">
        <f>SUMIFS(data!$C:$C,data!$A:$A,"="&amp;'Покупки по дням'!$B75,data!$B:$B,"="&amp;'Покупки по дням'!AA$2)</f>
        <v>0</v>
      </c>
      <c r="AB75">
        <f>SUMIFS(data!$C:$C,data!$A:$A,"="&amp;'Покупки по дням'!$B75,data!$B:$B,"="&amp;'Покупки по дням'!AB$2)</f>
        <v>6</v>
      </c>
      <c r="AC75">
        <f>SUMIFS(data!$C:$C,data!$A:$A,"="&amp;'Покупки по дням'!$B75,data!$B:$B,"="&amp;'Покупки по дням'!AC$2)</f>
        <v>1</v>
      </c>
      <c r="AD75">
        <f>SUMIFS(data!$C:$C,data!$A:$A,"="&amp;'Покупки по дням'!$B75,data!$B:$B,"="&amp;'Покупки по дням'!AD$2)</f>
        <v>1</v>
      </c>
      <c r="AE75">
        <f>SUMIFS(data!$C:$C,data!$A:$A,"="&amp;'Покупки по дням'!$B75,data!$B:$B,"="&amp;'Покупки по дням'!AE$2)</f>
        <v>2</v>
      </c>
      <c r="AF75">
        <f>SUMIFS(data!$C:$C,data!$A:$A,"="&amp;'Покупки по дням'!$B75,data!$B:$B,"="&amp;'Покупки по дням'!AF$2)</f>
        <v>10</v>
      </c>
      <c r="AG75">
        <f>SUMIFS(data!$C:$C,data!$A:$A,"="&amp;'Покупки по дням'!$B75,data!$B:$B,"="&amp;'Покупки по дням'!AG$2)</f>
        <v>0</v>
      </c>
      <c r="AH75">
        <f>SUMIFS(data!$C:$C,data!$A:$A,"="&amp;'Покупки по дням'!$B75,data!$B:$B,"="&amp;'Покупки по дням'!AH$2)</f>
        <v>5</v>
      </c>
      <c r="AI75">
        <f>SUMIFS(data!$C:$C,data!$A:$A,"="&amp;'Покупки по дням'!$B75,data!$B:$B,"="&amp;'Покупки по дням'!AI$2)</f>
        <v>6</v>
      </c>
      <c r="AJ75">
        <f>SUMIFS(data!$C:$C,data!$A:$A,"="&amp;'Покупки по дням'!$B75,data!$B:$B,"="&amp;'Покупки по дням'!AJ$2)</f>
        <v>2</v>
      </c>
      <c r="AK75">
        <f>SUMIFS(data!$C:$C,data!$A:$A,"="&amp;'Покупки по дням'!$B75,data!$B:$B,"="&amp;'Покупки по дням'!AK$2)</f>
        <v>1</v>
      </c>
      <c r="AL75">
        <f>SUMIFS(data!$C:$C,data!$A:$A,"="&amp;'Покупки по дням'!$B75,data!$B:$B,"="&amp;'Покупки по дням'!AL$2)</f>
        <v>2</v>
      </c>
      <c r="AM75">
        <f>SUMIFS(data!$C:$C,data!$A:$A,"="&amp;'Покупки по дням'!$B75,data!$B:$B,"="&amp;'Покупки по дням'!AM$2)</f>
        <v>3</v>
      </c>
      <c r="AN75">
        <f>SUMIFS(data!$C:$C,data!$A:$A,"="&amp;'Покупки по дням'!$B75,data!$B:$B,"="&amp;'Покупки по дням'!AN$2)</f>
        <v>5</v>
      </c>
      <c r="AO75">
        <f>SUMIFS(data!$C:$C,data!$A:$A,"="&amp;'Покупки по дням'!$B75,data!$B:$B,"="&amp;'Покупки по дням'!AO$2)</f>
        <v>6</v>
      </c>
      <c r="AP75">
        <f>SUMIFS(data!$C:$C,data!$A:$A,"="&amp;'Покупки по дням'!$B75,data!$B:$B,"="&amp;'Покупки по дням'!AP$2)</f>
        <v>1</v>
      </c>
      <c r="AQ75" s="6">
        <f t="shared" si="1"/>
        <v>1.1823266763213043</v>
      </c>
    </row>
    <row r="76" spans="2:43" x14ac:dyDescent="0.3">
      <c r="B76" s="17" t="s">
        <v>86</v>
      </c>
      <c r="C76">
        <f>SUMIFS(data!$C:$C,data!$A:$A,"="&amp;'Покупки по дням'!$B76,data!$B:$B,"="&amp;'Покупки по дням'!C$2)</f>
        <v>1</v>
      </c>
      <c r="D76">
        <f>SUMIFS(data!$C:$C,data!$A:$A,"="&amp;'Покупки по дням'!$B76,data!$B:$B,"="&amp;'Покупки по дням'!D$2)</f>
        <v>1</v>
      </c>
      <c r="E76">
        <f>SUMIFS(data!$C:$C,data!$A:$A,"="&amp;'Покупки по дням'!$B76,data!$B:$B,"="&amp;'Покупки по дням'!E$2)</f>
        <v>2</v>
      </c>
      <c r="F76">
        <f>SUMIFS(data!$C:$C,data!$A:$A,"="&amp;'Покупки по дням'!$B76,data!$B:$B,"="&amp;'Покупки по дням'!F$2)</f>
        <v>1</v>
      </c>
      <c r="G76">
        <f>SUMIFS(data!$C:$C,data!$A:$A,"="&amp;'Покупки по дням'!$B76,data!$B:$B,"="&amp;'Покупки по дням'!G$2)</f>
        <v>5</v>
      </c>
      <c r="H76">
        <f>SUMIFS(data!$C:$C,data!$A:$A,"="&amp;'Покупки по дням'!$B76,data!$B:$B,"="&amp;'Покупки по дням'!H$2)</f>
        <v>3</v>
      </c>
      <c r="I76">
        <f>SUMIFS(data!$C:$C,data!$A:$A,"="&amp;'Покупки по дням'!$B76,data!$B:$B,"="&amp;'Покупки по дням'!I$2)</f>
        <v>2</v>
      </c>
      <c r="J76">
        <f>SUMIFS(data!$C:$C,data!$A:$A,"="&amp;'Покупки по дням'!$B76,data!$B:$B,"="&amp;'Покупки по дням'!J$2)</f>
        <v>0</v>
      </c>
      <c r="K76">
        <f>SUMIFS(data!$C:$C,data!$A:$A,"="&amp;'Покупки по дням'!$B76,data!$B:$B,"="&amp;'Покупки по дням'!K$2)</f>
        <v>0</v>
      </c>
      <c r="L76">
        <f>SUMIFS(data!$C:$C,data!$A:$A,"="&amp;'Покупки по дням'!$B76,data!$B:$B,"="&amp;'Покупки по дням'!L$2)</f>
        <v>1</v>
      </c>
      <c r="M76">
        <f>SUMIFS(data!$C:$C,data!$A:$A,"="&amp;'Покупки по дням'!$B76,data!$B:$B,"="&amp;'Покупки по дням'!M$2)</f>
        <v>6</v>
      </c>
      <c r="N76">
        <f>SUMIFS(data!$C:$C,data!$A:$A,"="&amp;'Покупки по дням'!$B76,data!$B:$B,"="&amp;'Покупки по дням'!N$2)</f>
        <v>0</v>
      </c>
      <c r="O76">
        <f>SUMIFS(data!$C:$C,data!$A:$A,"="&amp;'Покупки по дням'!$B76,data!$B:$B,"="&amp;'Покупки по дням'!O$2)</f>
        <v>3</v>
      </c>
      <c r="P76">
        <f>SUMIFS(data!$C:$C,data!$A:$A,"="&amp;'Покупки по дням'!$B76,data!$B:$B,"="&amp;'Покупки по дням'!P$2)</f>
        <v>3</v>
      </c>
      <c r="Q76">
        <f>SUMIFS(data!$C:$C,data!$A:$A,"="&amp;'Покупки по дням'!$B76,data!$B:$B,"="&amp;'Покупки по дням'!Q$2)</f>
        <v>5</v>
      </c>
      <c r="R76">
        <f>SUMIFS(data!$C:$C,data!$A:$A,"="&amp;'Покупки по дням'!$B76,data!$B:$B,"="&amp;'Покупки по дням'!R$2)</f>
        <v>1</v>
      </c>
      <c r="S76">
        <f>SUMIFS(data!$C:$C,data!$A:$A,"="&amp;'Покупки по дням'!$B76,data!$B:$B,"="&amp;'Покупки по дням'!S$2)</f>
        <v>0</v>
      </c>
      <c r="T76">
        <f>SUMIFS(data!$C:$C,data!$A:$A,"="&amp;'Покупки по дням'!$B76,data!$B:$B,"="&amp;'Покупки по дням'!T$2)</f>
        <v>2</v>
      </c>
      <c r="U76">
        <f>SUMIFS(data!$C:$C,data!$A:$A,"="&amp;'Покупки по дням'!$B76,data!$B:$B,"="&amp;'Покупки по дням'!U$2)</f>
        <v>1</v>
      </c>
      <c r="V76">
        <f>SUMIFS(data!$C:$C,data!$A:$A,"="&amp;'Покупки по дням'!$B76,data!$B:$B,"="&amp;'Покупки по дням'!V$2)</f>
        <v>1</v>
      </c>
      <c r="W76">
        <f>SUMIFS(data!$C:$C,data!$A:$A,"="&amp;'Покупки по дням'!$B76,data!$B:$B,"="&amp;'Покупки по дням'!W$2)</f>
        <v>10</v>
      </c>
      <c r="X76">
        <f>SUMIFS(data!$C:$C,data!$A:$A,"="&amp;'Покупки по дням'!$B76,data!$B:$B,"="&amp;'Покупки по дням'!X$2)</f>
        <v>0</v>
      </c>
      <c r="Y76">
        <f>SUMIFS(data!$C:$C,data!$A:$A,"="&amp;'Покупки по дням'!$B76,data!$B:$B,"="&amp;'Покупки по дням'!Y$2)</f>
        <v>0</v>
      </c>
      <c r="Z76">
        <f>SUMIFS(data!$C:$C,data!$A:$A,"="&amp;'Покупки по дням'!$B76,data!$B:$B,"="&amp;'Покупки по дням'!Z$2)</f>
        <v>4</v>
      </c>
      <c r="AA76">
        <f>SUMIFS(data!$C:$C,data!$A:$A,"="&amp;'Покупки по дням'!$B76,data!$B:$B,"="&amp;'Покупки по дням'!AA$2)</f>
        <v>6</v>
      </c>
      <c r="AB76">
        <f>SUMIFS(data!$C:$C,data!$A:$A,"="&amp;'Покупки по дням'!$B76,data!$B:$B,"="&amp;'Покупки по дням'!AB$2)</f>
        <v>0</v>
      </c>
      <c r="AC76">
        <f>SUMIFS(data!$C:$C,data!$A:$A,"="&amp;'Покупки по дням'!$B76,data!$B:$B,"="&amp;'Покупки по дням'!AC$2)</f>
        <v>0</v>
      </c>
      <c r="AD76">
        <f>SUMIFS(data!$C:$C,data!$A:$A,"="&amp;'Покупки по дням'!$B76,data!$B:$B,"="&amp;'Покупки по дням'!AD$2)</f>
        <v>6</v>
      </c>
      <c r="AE76">
        <f>SUMIFS(data!$C:$C,data!$A:$A,"="&amp;'Покупки по дням'!$B76,data!$B:$B,"="&amp;'Покупки по дням'!AE$2)</f>
        <v>0</v>
      </c>
      <c r="AF76">
        <f>SUMIFS(data!$C:$C,data!$A:$A,"="&amp;'Покупки по дням'!$B76,data!$B:$B,"="&amp;'Покупки по дням'!AF$2)</f>
        <v>2</v>
      </c>
      <c r="AG76">
        <f>SUMIFS(data!$C:$C,data!$A:$A,"="&amp;'Покупки по дням'!$B76,data!$B:$B,"="&amp;'Покупки по дням'!AG$2)</f>
        <v>1</v>
      </c>
      <c r="AH76">
        <f>SUMIFS(data!$C:$C,data!$A:$A,"="&amp;'Покупки по дням'!$B76,data!$B:$B,"="&amp;'Покупки по дням'!AH$2)</f>
        <v>3</v>
      </c>
      <c r="AI76">
        <f>SUMIFS(data!$C:$C,data!$A:$A,"="&amp;'Покупки по дням'!$B76,data!$B:$B,"="&amp;'Покупки по дням'!AI$2)</f>
        <v>1</v>
      </c>
      <c r="AJ76">
        <f>SUMIFS(data!$C:$C,data!$A:$A,"="&amp;'Покупки по дням'!$B76,data!$B:$B,"="&amp;'Покупки по дням'!AJ$2)</f>
        <v>3</v>
      </c>
      <c r="AK76">
        <f>SUMIFS(data!$C:$C,data!$A:$A,"="&amp;'Покупки по дням'!$B76,data!$B:$B,"="&amp;'Покупки по дням'!AK$2)</f>
        <v>1</v>
      </c>
      <c r="AL76">
        <f>SUMIFS(data!$C:$C,data!$A:$A,"="&amp;'Покупки по дням'!$B76,data!$B:$B,"="&amp;'Покупки по дням'!AL$2)</f>
        <v>2</v>
      </c>
      <c r="AM76">
        <f>SUMIFS(data!$C:$C,data!$A:$A,"="&amp;'Покупки по дням'!$B76,data!$B:$B,"="&amp;'Покупки по дням'!AM$2)</f>
        <v>0</v>
      </c>
      <c r="AN76">
        <f>SUMIFS(data!$C:$C,data!$A:$A,"="&amp;'Покупки по дням'!$B76,data!$B:$B,"="&amp;'Покупки по дням'!AN$2)</f>
        <v>2</v>
      </c>
      <c r="AO76">
        <f>SUMIFS(data!$C:$C,data!$A:$A,"="&amp;'Покупки по дням'!$B76,data!$B:$B,"="&amp;'Покупки по дням'!AO$2)</f>
        <v>0</v>
      </c>
      <c r="AP76">
        <f>SUMIFS(data!$C:$C,data!$A:$A,"="&amp;'Покупки по дням'!$B76,data!$B:$B,"="&amp;'Покупки по дням'!AP$2)</f>
        <v>4</v>
      </c>
      <c r="AQ76" s="6">
        <f t="shared" si="1"/>
        <v>1.082516577934916</v>
      </c>
    </row>
    <row r="77" spans="2:43" ht="28.8" x14ac:dyDescent="0.3">
      <c r="B77" s="17" t="s">
        <v>59</v>
      </c>
      <c r="C77">
        <f>SUMIFS(data!$C:$C,data!$A:$A,"="&amp;'Покупки по дням'!$B77,data!$B:$B,"="&amp;'Покупки по дням'!C$2)</f>
        <v>3</v>
      </c>
      <c r="D77">
        <f>SUMIFS(data!$C:$C,data!$A:$A,"="&amp;'Покупки по дням'!$B77,data!$B:$B,"="&amp;'Покупки по дням'!D$2)</f>
        <v>1</v>
      </c>
      <c r="E77">
        <f>SUMIFS(data!$C:$C,data!$A:$A,"="&amp;'Покупки по дням'!$B77,data!$B:$B,"="&amp;'Покупки по дням'!E$2)</f>
        <v>0</v>
      </c>
      <c r="F77">
        <f>SUMIFS(data!$C:$C,data!$A:$A,"="&amp;'Покупки по дням'!$B77,data!$B:$B,"="&amp;'Покупки по дням'!F$2)</f>
        <v>3</v>
      </c>
      <c r="G77">
        <f>SUMIFS(data!$C:$C,data!$A:$A,"="&amp;'Покупки по дням'!$B77,data!$B:$B,"="&amp;'Покупки по дням'!G$2)</f>
        <v>5</v>
      </c>
      <c r="H77">
        <f>SUMIFS(data!$C:$C,data!$A:$A,"="&amp;'Покупки по дням'!$B77,data!$B:$B,"="&amp;'Покупки по дням'!H$2)</f>
        <v>0</v>
      </c>
      <c r="I77">
        <f>SUMIFS(data!$C:$C,data!$A:$A,"="&amp;'Покупки по дням'!$B77,data!$B:$B,"="&amp;'Покупки по дням'!I$2)</f>
        <v>5</v>
      </c>
      <c r="J77">
        <f>SUMIFS(data!$C:$C,data!$A:$A,"="&amp;'Покупки по дням'!$B77,data!$B:$B,"="&amp;'Покупки по дням'!J$2)</f>
        <v>0</v>
      </c>
      <c r="K77">
        <f>SUMIFS(data!$C:$C,data!$A:$A,"="&amp;'Покупки по дням'!$B77,data!$B:$B,"="&amp;'Покупки по дням'!K$2)</f>
        <v>0</v>
      </c>
      <c r="L77">
        <f>SUMIFS(data!$C:$C,data!$A:$A,"="&amp;'Покупки по дням'!$B77,data!$B:$B,"="&amp;'Покупки по дням'!L$2)</f>
        <v>7</v>
      </c>
      <c r="M77">
        <f>SUMIFS(data!$C:$C,data!$A:$A,"="&amp;'Покупки по дням'!$B77,data!$B:$B,"="&amp;'Покупки по дням'!M$2)</f>
        <v>4</v>
      </c>
      <c r="N77">
        <f>SUMIFS(data!$C:$C,data!$A:$A,"="&amp;'Покупки по дням'!$B77,data!$B:$B,"="&amp;'Покупки по дням'!N$2)</f>
        <v>5</v>
      </c>
      <c r="O77">
        <f>SUMIFS(data!$C:$C,data!$A:$A,"="&amp;'Покупки по дням'!$B77,data!$B:$B,"="&amp;'Покупки по дням'!O$2)</f>
        <v>10</v>
      </c>
      <c r="P77">
        <f>SUMIFS(data!$C:$C,data!$A:$A,"="&amp;'Покупки по дням'!$B77,data!$B:$B,"="&amp;'Покупки по дням'!P$2)</f>
        <v>1</v>
      </c>
      <c r="Q77">
        <f>SUMIFS(data!$C:$C,data!$A:$A,"="&amp;'Покупки по дням'!$B77,data!$B:$B,"="&amp;'Покупки по дням'!Q$2)</f>
        <v>2</v>
      </c>
      <c r="R77">
        <f>SUMIFS(data!$C:$C,data!$A:$A,"="&amp;'Покупки по дням'!$B77,data!$B:$B,"="&amp;'Покупки по дням'!R$2)</f>
        <v>1</v>
      </c>
      <c r="S77">
        <f>SUMIFS(data!$C:$C,data!$A:$A,"="&amp;'Покупки по дням'!$B77,data!$B:$B,"="&amp;'Покупки по дням'!S$2)</f>
        <v>0</v>
      </c>
      <c r="T77">
        <f>SUMIFS(data!$C:$C,data!$A:$A,"="&amp;'Покупки по дням'!$B77,data!$B:$B,"="&amp;'Покупки по дням'!T$2)</f>
        <v>2</v>
      </c>
      <c r="U77">
        <f>SUMIFS(data!$C:$C,data!$A:$A,"="&amp;'Покупки по дням'!$B77,data!$B:$B,"="&amp;'Покупки по дням'!U$2)</f>
        <v>1</v>
      </c>
      <c r="V77">
        <f>SUMIFS(data!$C:$C,data!$A:$A,"="&amp;'Покупки по дням'!$B77,data!$B:$B,"="&amp;'Покупки по дням'!V$2)</f>
        <v>3</v>
      </c>
      <c r="W77">
        <f>SUMIFS(data!$C:$C,data!$A:$A,"="&amp;'Покупки по дням'!$B77,data!$B:$B,"="&amp;'Покупки по дням'!W$2)</f>
        <v>10</v>
      </c>
      <c r="X77">
        <f>SUMIFS(data!$C:$C,data!$A:$A,"="&amp;'Покупки по дням'!$B77,data!$B:$B,"="&amp;'Покупки по дням'!X$2)</f>
        <v>10</v>
      </c>
      <c r="Y77">
        <f>SUMIFS(data!$C:$C,data!$A:$A,"="&amp;'Покупки по дням'!$B77,data!$B:$B,"="&amp;'Покупки по дням'!Y$2)</f>
        <v>2</v>
      </c>
      <c r="Z77">
        <f>SUMIFS(data!$C:$C,data!$A:$A,"="&amp;'Покупки по дням'!$B77,data!$B:$B,"="&amp;'Покупки по дням'!Z$2)</f>
        <v>3</v>
      </c>
      <c r="AA77">
        <f>SUMIFS(data!$C:$C,data!$A:$A,"="&amp;'Покупки по дням'!$B77,data!$B:$B,"="&amp;'Покупки по дням'!AA$2)</f>
        <v>0</v>
      </c>
      <c r="AB77">
        <f>SUMIFS(data!$C:$C,data!$A:$A,"="&amp;'Покупки по дням'!$B77,data!$B:$B,"="&amp;'Покупки по дням'!AB$2)</f>
        <v>5</v>
      </c>
      <c r="AC77">
        <f>SUMIFS(data!$C:$C,data!$A:$A,"="&amp;'Покупки по дням'!$B77,data!$B:$B,"="&amp;'Покупки по дням'!AC$2)</f>
        <v>5</v>
      </c>
      <c r="AD77">
        <f>SUMIFS(data!$C:$C,data!$A:$A,"="&amp;'Покупки по дням'!$B77,data!$B:$B,"="&amp;'Покупки по дням'!AD$2)</f>
        <v>2</v>
      </c>
      <c r="AE77">
        <f>SUMIFS(data!$C:$C,data!$A:$A,"="&amp;'Покупки по дням'!$B77,data!$B:$B,"="&amp;'Покупки по дням'!AE$2)</f>
        <v>0</v>
      </c>
      <c r="AF77">
        <f>SUMIFS(data!$C:$C,data!$A:$A,"="&amp;'Покупки по дням'!$B77,data!$B:$B,"="&amp;'Покупки по дням'!AF$2)</f>
        <v>2</v>
      </c>
      <c r="AG77">
        <f>SUMIFS(data!$C:$C,data!$A:$A,"="&amp;'Покупки по дням'!$B77,data!$B:$B,"="&amp;'Покупки по дням'!AG$2)</f>
        <v>2</v>
      </c>
      <c r="AH77">
        <f>SUMIFS(data!$C:$C,data!$A:$A,"="&amp;'Покупки по дням'!$B77,data!$B:$B,"="&amp;'Покупки по дням'!AH$2)</f>
        <v>1</v>
      </c>
      <c r="AI77">
        <f>SUMIFS(data!$C:$C,data!$A:$A,"="&amp;'Покупки по дням'!$B77,data!$B:$B,"="&amp;'Покупки по дням'!AI$2)</f>
        <v>3</v>
      </c>
      <c r="AJ77">
        <f>SUMIFS(data!$C:$C,data!$A:$A,"="&amp;'Покупки по дням'!$B77,data!$B:$B,"="&amp;'Покупки по дням'!AJ$2)</f>
        <v>4</v>
      </c>
      <c r="AK77">
        <f>SUMIFS(data!$C:$C,data!$A:$A,"="&amp;'Покупки по дням'!$B77,data!$B:$B,"="&amp;'Покупки по дням'!AK$2)</f>
        <v>2</v>
      </c>
      <c r="AL77">
        <f>SUMIFS(data!$C:$C,data!$A:$A,"="&amp;'Покупки по дням'!$B77,data!$B:$B,"="&amp;'Покупки по дням'!AL$2)</f>
        <v>2</v>
      </c>
      <c r="AM77">
        <f>SUMIFS(data!$C:$C,data!$A:$A,"="&amp;'Покупки по дням'!$B77,data!$B:$B,"="&amp;'Покупки по дням'!AM$2)</f>
        <v>17</v>
      </c>
      <c r="AN77">
        <f>SUMIFS(data!$C:$C,data!$A:$A,"="&amp;'Покупки по дням'!$B77,data!$B:$B,"="&amp;'Покупки по дням'!AN$2)</f>
        <v>11</v>
      </c>
      <c r="AO77">
        <f>SUMIFS(data!$C:$C,data!$A:$A,"="&amp;'Покупки по дням'!$B77,data!$B:$B,"="&amp;'Покупки по дням'!AO$2)</f>
        <v>0</v>
      </c>
      <c r="AP77">
        <f>SUMIFS(data!$C:$C,data!$A:$A,"="&amp;'Покупки по дням'!$B77,data!$B:$B,"="&amp;'Покупки по дням'!AP$2)</f>
        <v>2</v>
      </c>
      <c r="AQ77" s="6">
        <f t="shared" si="1"/>
        <v>1.0940187113672131</v>
      </c>
    </row>
    <row r="78" spans="2:43" x14ac:dyDescent="0.3">
      <c r="B78" s="17" t="s">
        <v>139</v>
      </c>
      <c r="C78">
        <f>SUMIFS(data!$C:$C,data!$A:$A,"="&amp;'Покупки по дням'!$B78,data!$B:$B,"="&amp;'Покупки по дням'!C$2)</f>
        <v>3</v>
      </c>
      <c r="D78">
        <f>SUMIFS(data!$C:$C,data!$A:$A,"="&amp;'Покупки по дням'!$B78,data!$B:$B,"="&amp;'Покупки по дням'!D$2)</f>
        <v>1</v>
      </c>
      <c r="E78">
        <f>SUMIFS(data!$C:$C,data!$A:$A,"="&amp;'Покупки по дням'!$B78,data!$B:$B,"="&amp;'Покупки по дням'!E$2)</f>
        <v>0</v>
      </c>
      <c r="F78">
        <f>SUMIFS(data!$C:$C,data!$A:$A,"="&amp;'Покупки по дням'!$B78,data!$B:$B,"="&amp;'Покупки по дням'!F$2)</f>
        <v>0</v>
      </c>
      <c r="G78">
        <f>SUMIFS(data!$C:$C,data!$A:$A,"="&amp;'Покупки по дням'!$B78,data!$B:$B,"="&amp;'Покупки по дням'!G$2)</f>
        <v>0</v>
      </c>
      <c r="H78">
        <f>SUMIFS(data!$C:$C,data!$A:$A,"="&amp;'Покупки по дням'!$B78,data!$B:$B,"="&amp;'Покупки по дням'!H$2)</f>
        <v>1</v>
      </c>
      <c r="I78">
        <f>SUMIFS(data!$C:$C,data!$A:$A,"="&amp;'Покупки по дням'!$B78,data!$B:$B,"="&amp;'Покупки по дням'!I$2)</f>
        <v>0</v>
      </c>
      <c r="J78">
        <f>SUMIFS(data!$C:$C,data!$A:$A,"="&amp;'Покупки по дням'!$B78,data!$B:$B,"="&amp;'Покупки по дням'!J$2)</f>
        <v>0</v>
      </c>
      <c r="K78">
        <f>SUMIFS(data!$C:$C,data!$A:$A,"="&amp;'Покупки по дням'!$B78,data!$B:$B,"="&amp;'Покупки по дням'!K$2)</f>
        <v>0</v>
      </c>
      <c r="L78">
        <f>SUMIFS(data!$C:$C,data!$A:$A,"="&amp;'Покупки по дням'!$B78,data!$B:$B,"="&amp;'Покупки по дням'!L$2)</f>
        <v>0</v>
      </c>
      <c r="M78">
        <f>SUMIFS(data!$C:$C,data!$A:$A,"="&amp;'Покупки по дням'!$B78,data!$B:$B,"="&amp;'Покупки по дням'!M$2)</f>
        <v>4</v>
      </c>
      <c r="N78">
        <f>SUMIFS(data!$C:$C,data!$A:$A,"="&amp;'Покупки по дням'!$B78,data!$B:$B,"="&amp;'Покупки по дням'!N$2)</f>
        <v>5</v>
      </c>
      <c r="O78">
        <f>SUMIFS(data!$C:$C,data!$A:$A,"="&amp;'Покупки по дням'!$B78,data!$B:$B,"="&amp;'Покупки по дням'!O$2)</f>
        <v>2</v>
      </c>
      <c r="P78">
        <f>SUMIFS(data!$C:$C,data!$A:$A,"="&amp;'Покупки по дням'!$B78,data!$B:$B,"="&amp;'Покупки по дням'!P$2)</f>
        <v>1</v>
      </c>
      <c r="Q78">
        <f>SUMIFS(data!$C:$C,data!$A:$A,"="&amp;'Покупки по дням'!$B78,data!$B:$B,"="&amp;'Покупки по дням'!Q$2)</f>
        <v>1</v>
      </c>
      <c r="R78">
        <f>SUMIFS(data!$C:$C,data!$A:$A,"="&amp;'Покупки по дням'!$B78,data!$B:$B,"="&amp;'Покупки по дням'!R$2)</f>
        <v>4</v>
      </c>
      <c r="S78">
        <f>SUMIFS(data!$C:$C,data!$A:$A,"="&amp;'Покупки по дням'!$B78,data!$B:$B,"="&amp;'Покупки по дням'!S$2)</f>
        <v>0</v>
      </c>
      <c r="T78">
        <f>SUMIFS(data!$C:$C,data!$A:$A,"="&amp;'Покупки по дням'!$B78,data!$B:$B,"="&amp;'Покупки по дням'!T$2)</f>
        <v>0</v>
      </c>
      <c r="U78">
        <f>SUMIFS(data!$C:$C,data!$A:$A,"="&amp;'Покупки по дням'!$B78,data!$B:$B,"="&amp;'Покупки по дням'!U$2)</f>
        <v>10</v>
      </c>
      <c r="V78">
        <f>SUMIFS(data!$C:$C,data!$A:$A,"="&amp;'Покупки по дням'!$B78,data!$B:$B,"="&amp;'Покупки по дням'!V$2)</f>
        <v>1</v>
      </c>
      <c r="W78">
        <f>SUMIFS(data!$C:$C,data!$A:$A,"="&amp;'Покупки по дням'!$B78,data!$B:$B,"="&amp;'Покупки по дням'!W$2)</f>
        <v>4</v>
      </c>
      <c r="X78">
        <f>SUMIFS(data!$C:$C,data!$A:$A,"="&amp;'Покупки по дням'!$B78,data!$B:$B,"="&amp;'Покупки по дням'!X$2)</f>
        <v>2</v>
      </c>
      <c r="Y78">
        <f>SUMIFS(data!$C:$C,data!$A:$A,"="&amp;'Покупки по дням'!$B78,data!$B:$B,"="&amp;'Покупки по дням'!Y$2)</f>
        <v>0</v>
      </c>
      <c r="Z78">
        <f>SUMIFS(data!$C:$C,data!$A:$A,"="&amp;'Покупки по дням'!$B78,data!$B:$B,"="&amp;'Покупки по дням'!Z$2)</f>
        <v>1</v>
      </c>
      <c r="AA78">
        <f>SUMIFS(data!$C:$C,data!$A:$A,"="&amp;'Покупки по дням'!$B78,data!$B:$B,"="&amp;'Покупки по дням'!AA$2)</f>
        <v>3</v>
      </c>
      <c r="AB78">
        <f>SUMIFS(data!$C:$C,data!$A:$A,"="&amp;'Покупки по дням'!$B78,data!$B:$B,"="&amp;'Покупки по дням'!AB$2)</f>
        <v>0</v>
      </c>
      <c r="AC78">
        <f>SUMIFS(data!$C:$C,data!$A:$A,"="&amp;'Покупки по дням'!$B78,data!$B:$B,"="&amp;'Покупки по дням'!AC$2)</f>
        <v>7</v>
      </c>
      <c r="AD78">
        <f>SUMIFS(data!$C:$C,data!$A:$A,"="&amp;'Покупки по дням'!$B78,data!$B:$B,"="&amp;'Покупки по дням'!AD$2)</f>
        <v>1</v>
      </c>
      <c r="AE78">
        <f>SUMIFS(data!$C:$C,data!$A:$A,"="&amp;'Покупки по дням'!$B78,data!$B:$B,"="&amp;'Покупки по дням'!AE$2)</f>
        <v>1</v>
      </c>
      <c r="AF78">
        <f>SUMIFS(data!$C:$C,data!$A:$A,"="&amp;'Покупки по дням'!$B78,data!$B:$B,"="&amp;'Покупки по дням'!AF$2)</f>
        <v>3</v>
      </c>
      <c r="AG78">
        <f>SUMIFS(data!$C:$C,data!$A:$A,"="&amp;'Покупки по дням'!$B78,data!$B:$B,"="&amp;'Покупки по дням'!AG$2)</f>
        <v>2</v>
      </c>
      <c r="AH78">
        <f>SUMIFS(data!$C:$C,data!$A:$A,"="&amp;'Покупки по дням'!$B78,data!$B:$B,"="&amp;'Покупки по дням'!AH$2)</f>
        <v>1</v>
      </c>
      <c r="AI78">
        <f>SUMIFS(data!$C:$C,data!$A:$A,"="&amp;'Покупки по дням'!$B78,data!$B:$B,"="&amp;'Покупки по дням'!AI$2)</f>
        <v>7</v>
      </c>
      <c r="AJ78">
        <f>SUMIFS(data!$C:$C,data!$A:$A,"="&amp;'Покупки по дням'!$B78,data!$B:$B,"="&amp;'Покупки по дням'!AJ$2)</f>
        <v>11</v>
      </c>
      <c r="AK78">
        <f>SUMIFS(data!$C:$C,data!$A:$A,"="&amp;'Покупки по дням'!$B78,data!$B:$B,"="&amp;'Покупки по дням'!AK$2)</f>
        <v>0</v>
      </c>
      <c r="AL78">
        <f>SUMIFS(data!$C:$C,data!$A:$A,"="&amp;'Покупки по дням'!$B78,data!$B:$B,"="&amp;'Покупки по дням'!AL$2)</f>
        <v>0</v>
      </c>
      <c r="AM78">
        <f>SUMIFS(data!$C:$C,data!$A:$A,"="&amp;'Покупки по дням'!$B78,data!$B:$B,"="&amp;'Покупки по дням'!AM$2)</f>
        <v>0</v>
      </c>
      <c r="AN78">
        <f>SUMIFS(data!$C:$C,data!$A:$A,"="&amp;'Покупки по дням'!$B78,data!$B:$B,"="&amp;'Покупки по дням'!AN$2)</f>
        <v>0</v>
      </c>
      <c r="AO78">
        <f>SUMIFS(data!$C:$C,data!$A:$A,"="&amp;'Покупки по дням'!$B78,data!$B:$B,"="&amp;'Покупки по дням'!AO$2)</f>
        <v>5</v>
      </c>
      <c r="AP78">
        <f>SUMIFS(data!$C:$C,data!$A:$A,"="&amp;'Покупки по дням'!$B78,data!$B:$B,"="&amp;'Покупки по дням'!AP$2)</f>
        <v>0</v>
      </c>
      <c r="AQ78" s="6">
        <f t="shared" si="1"/>
        <v>1.3718539576646767</v>
      </c>
    </row>
    <row r="79" spans="2:43" ht="28.8" x14ac:dyDescent="0.3">
      <c r="B79" s="17" t="s">
        <v>105</v>
      </c>
      <c r="C79">
        <f>SUMIFS(data!$C:$C,data!$A:$A,"="&amp;'Покупки по дням'!$B79,data!$B:$B,"="&amp;'Покупки по дням'!C$2)</f>
        <v>6</v>
      </c>
      <c r="D79">
        <f>SUMIFS(data!$C:$C,data!$A:$A,"="&amp;'Покупки по дням'!$B79,data!$B:$B,"="&amp;'Покупки по дням'!D$2)</f>
        <v>3</v>
      </c>
      <c r="E79">
        <f>SUMIFS(data!$C:$C,data!$A:$A,"="&amp;'Покупки по дням'!$B79,data!$B:$B,"="&amp;'Покупки по дням'!E$2)</f>
        <v>0</v>
      </c>
      <c r="F79">
        <f>SUMIFS(data!$C:$C,data!$A:$A,"="&amp;'Покупки по дням'!$B79,data!$B:$B,"="&amp;'Покупки по дням'!F$2)</f>
        <v>6</v>
      </c>
      <c r="G79">
        <f>SUMIFS(data!$C:$C,data!$A:$A,"="&amp;'Покупки по дням'!$B79,data!$B:$B,"="&amp;'Покупки по дням'!G$2)</f>
        <v>3</v>
      </c>
      <c r="H79">
        <f>SUMIFS(data!$C:$C,data!$A:$A,"="&amp;'Покупки по дням'!$B79,data!$B:$B,"="&amp;'Покупки по дням'!H$2)</f>
        <v>0</v>
      </c>
      <c r="I79">
        <f>SUMIFS(data!$C:$C,data!$A:$A,"="&amp;'Покупки по дням'!$B79,data!$B:$B,"="&amp;'Покупки по дням'!I$2)</f>
        <v>0</v>
      </c>
      <c r="J79">
        <f>SUMIFS(data!$C:$C,data!$A:$A,"="&amp;'Покупки по дням'!$B79,data!$B:$B,"="&amp;'Покупки по дням'!J$2)</f>
        <v>0</v>
      </c>
      <c r="K79">
        <f>SUMIFS(data!$C:$C,data!$A:$A,"="&amp;'Покупки по дням'!$B79,data!$B:$B,"="&amp;'Покупки по дням'!K$2)</f>
        <v>0</v>
      </c>
      <c r="L79">
        <f>SUMIFS(data!$C:$C,data!$A:$A,"="&amp;'Покупки по дням'!$B79,data!$B:$B,"="&amp;'Покупки по дням'!L$2)</f>
        <v>0</v>
      </c>
      <c r="M79">
        <f>SUMIFS(data!$C:$C,data!$A:$A,"="&amp;'Покупки по дням'!$B79,data!$B:$B,"="&amp;'Покупки по дням'!M$2)</f>
        <v>0</v>
      </c>
      <c r="N79">
        <f>SUMIFS(data!$C:$C,data!$A:$A,"="&amp;'Покупки по дням'!$B79,data!$B:$B,"="&amp;'Покупки по дням'!N$2)</f>
        <v>3</v>
      </c>
      <c r="O79">
        <f>SUMIFS(data!$C:$C,data!$A:$A,"="&amp;'Покупки по дням'!$B79,data!$B:$B,"="&amp;'Покупки по дням'!O$2)</f>
        <v>6</v>
      </c>
      <c r="P79">
        <f>SUMIFS(data!$C:$C,data!$A:$A,"="&amp;'Покупки по дням'!$B79,data!$B:$B,"="&amp;'Покупки по дням'!P$2)</f>
        <v>0</v>
      </c>
      <c r="Q79">
        <f>SUMIFS(data!$C:$C,data!$A:$A,"="&amp;'Покупки по дням'!$B79,data!$B:$B,"="&amp;'Покупки по дням'!Q$2)</f>
        <v>0</v>
      </c>
      <c r="R79">
        <f>SUMIFS(data!$C:$C,data!$A:$A,"="&amp;'Покупки по дням'!$B79,data!$B:$B,"="&amp;'Покупки по дням'!R$2)</f>
        <v>3</v>
      </c>
      <c r="S79">
        <f>SUMIFS(data!$C:$C,data!$A:$A,"="&amp;'Покупки по дням'!$B79,data!$B:$B,"="&amp;'Покупки по дням'!S$2)</f>
        <v>2</v>
      </c>
      <c r="T79">
        <f>SUMIFS(data!$C:$C,data!$A:$A,"="&amp;'Покупки по дням'!$B79,data!$B:$B,"="&amp;'Покупки по дням'!T$2)</f>
        <v>6</v>
      </c>
      <c r="U79">
        <f>SUMIFS(data!$C:$C,data!$A:$A,"="&amp;'Покупки по дням'!$B79,data!$B:$B,"="&amp;'Покупки по дням'!U$2)</f>
        <v>3</v>
      </c>
      <c r="V79">
        <f>SUMIFS(data!$C:$C,data!$A:$A,"="&amp;'Покупки по дням'!$B79,data!$B:$B,"="&amp;'Покупки по дням'!V$2)</f>
        <v>1</v>
      </c>
      <c r="W79">
        <f>SUMIFS(data!$C:$C,data!$A:$A,"="&amp;'Покупки по дням'!$B79,data!$B:$B,"="&amp;'Покупки по дням'!W$2)</f>
        <v>4</v>
      </c>
      <c r="X79">
        <f>SUMIFS(data!$C:$C,data!$A:$A,"="&amp;'Покупки по дням'!$B79,data!$B:$B,"="&amp;'Покупки по дням'!X$2)</f>
        <v>0</v>
      </c>
      <c r="Y79">
        <f>SUMIFS(data!$C:$C,data!$A:$A,"="&amp;'Покупки по дням'!$B79,data!$B:$B,"="&amp;'Покупки по дням'!Y$2)</f>
        <v>2</v>
      </c>
      <c r="Z79">
        <f>SUMIFS(data!$C:$C,data!$A:$A,"="&amp;'Покупки по дням'!$B79,data!$B:$B,"="&amp;'Покупки по дням'!Z$2)</f>
        <v>0</v>
      </c>
      <c r="AA79">
        <f>SUMIFS(data!$C:$C,data!$A:$A,"="&amp;'Покупки по дням'!$B79,data!$B:$B,"="&amp;'Покупки по дням'!AA$2)</f>
        <v>9</v>
      </c>
      <c r="AB79">
        <f>SUMIFS(data!$C:$C,data!$A:$A,"="&amp;'Покупки по дням'!$B79,data!$B:$B,"="&amp;'Покупки по дням'!AB$2)</f>
        <v>3</v>
      </c>
      <c r="AC79">
        <f>SUMIFS(data!$C:$C,data!$A:$A,"="&amp;'Покупки по дням'!$B79,data!$B:$B,"="&amp;'Покупки по дням'!AC$2)</f>
        <v>0</v>
      </c>
      <c r="AD79">
        <f>SUMIFS(data!$C:$C,data!$A:$A,"="&amp;'Покупки по дням'!$B79,data!$B:$B,"="&amp;'Покупки по дням'!AD$2)</f>
        <v>0</v>
      </c>
      <c r="AE79">
        <f>SUMIFS(data!$C:$C,data!$A:$A,"="&amp;'Покупки по дням'!$B79,data!$B:$B,"="&amp;'Покупки по дням'!AE$2)</f>
        <v>2</v>
      </c>
      <c r="AF79">
        <f>SUMIFS(data!$C:$C,data!$A:$A,"="&amp;'Покупки по дням'!$B79,data!$B:$B,"="&amp;'Покупки по дням'!AF$2)</f>
        <v>0</v>
      </c>
      <c r="AG79">
        <f>SUMIFS(data!$C:$C,data!$A:$A,"="&amp;'Покупки по дням'!$B79,data!$B:$B,"="&amp;'Покупки по дням'!AG$2)</f>
        <v>1</v>
      </c>
      <c r="AH79">
        <f>SUMIFS(data!$C:$C,data!$A:$A,"="&amp;'Покупки по дням'!$B79,data!$B:$B,"="&amp;'Покупки по дням'!AH$2)</f>
        <v>7</v>
      </c>
      <c r="AI79">
        <f>SUMIFS(data!$C:$C,data!$A:$A,"="&amp;'Покупки по дням'!$B79,data!$B:$B,"="&amp;'Покупки по дням'!AI$2)</f>
        <v>0</v>
      </c>
      <c r="AJ79">
        <f>SUMIFS(data!$C:$C,data!$A:$A,"="&amp;'Покупки по дням'!$B79,data!$B:$B,"="&amp;'Покупки по дням'!AJ$2)</f>
        <v>4</v>
      </c>
      <c r="AK79">
        <f>SUMIFS(data!$C:$C,data!$A:$A,"="&amp;'Покупки по дням'!$B79,data!$B:$B,"="&amp;'Покупки по дням'!AK$2)</f>
        <v>2</v>
      </c>
      <c r="AL79">
        <f>SUMIFS(data!$C:$C,data!$A:$A,"="&amp;'Покупки по дням'!$B79,data!$B:$B,"="&amp;'Покупки по дням'!AL$2)</f>
        <v>5</v>
      </c>
      <c r="AM79">
        <f>SUMIFS(data!$C:$C,data!$A:$A,"="&amp;'Покупки по дням'!$B79,data!$B:$B,"="&amp;'Покупки по дням'!AM$2)</f>
        <v>4</v>
      </c>
      <c r="AN79">
        <f>SUMIFS(data!$C:$C,data!$A:$A,"="&amp;'Покупки по дням'!$B79,data!$B:$B,"="&amp;'Покупки по дням'!AN$2)</f>
        <v>0</v>
      </c>
      <c r="AO79">
        <f>SUMIFS(data!$C:$C,data!$A:$A,"="&amp;'Покупки по дням'!$B79,data!$B:$B,"="&amp;'Покупки по дням'!AO$2)</f>
        <v>3</v>
      </c>
      <c r="AP79">
        <f>SUMIFS(data!$C:$C,data!$A:$A,"="&amp;'Покупки по дням'!$B79,data!$B:$B,"="&amp;'Покупки по дням'!AP$2)</f>
        <v>1</v>
      </c>
      <c r="AQ79" s="6">
        <f t="shared" si="1"/>
        <v>1.0937552963940478</v>
      </c>
    </row>
    <row r="80" spans="2:43" x14ac:dyDescent="0.3">
      <c r="B80" s="17" t="s">
        <v>11</v>
      </c>
      <c r="C80">
        <f>SUMIFS(data!$C:$C,data!$A:$A,"="&amp;'Покупки по дням'!$B80,data!$B:$B,"="&amp;'Покупки по дням'!C$2)</f>
        <v>1</v>
      </c>
      <c r="D80">
        <f>SUMIFS(data!$C:$C,data!$A:$A,"="&amp;'Покупки по дням'!$B80,data!$B:$B,"="&amp;'Покупки по дням'!D$2)</f>
        <v>0</v>
      </c>
      <c r="E80">
        <f>SUMIFS(data!$C:$C,data!$A:$A,"="&amp;'Покупки по дням'!$B80,data!$B:$B,"="&amp;'Покупки по дням'!E$2)</f>
        <v>0</v>
      </c>
      <c r="F80">
        <f>SUMIFS(data!$C:$C,data!$A:$A,"="&amp;'Покупки по дням'!$B80,data!$B:$B,"="&amp;'Покупки по дням'!F$2)</f>
        <v>0</v>
      </c>
      <c r="G80">
        <f>SUMIFS(data!$C:$C,data!$A:$A,"="&amp;'Покупки по дням'!$B80,data!$B:$B,"="&amp;'Покупки по дням'!G$2)</f>
        <v>0</v>
      </c>
      <c r="H80">
        <f>SUMIFS(data!$C:$C,data!$A:$A,"="&amp;'Покупки по дням'!$B80,data!$B:$B,"="&amp;'Покупки по дням'!H$2)</f>
        <v>0</v>
      </c>
      <c r="I80">
        <f>SUMIFS(data!$C:$C,data!$A:$A,"="&amp;'Покупки по дням'!$B80,data!$B:$B,"="&amp;'Покупки по дням'!I$2)</f>
        <v>2</v>
      </c>
      <c r="J80">
        <f>SUMIFS(data!$C:$C,data!$A:$A,"="&amp;'Покупки по дням'!$B80,data!$B:$B,"="&amp;'Покупки по дням'!J$2)</f>
        <v>4</v>
      </c>
      <c r="K80">
        <f>SUMIFS(data!$C:$C,data!$A:$A,"="&amp;'Покупки по дням'!$B80,data!$B:$B,"="&amp;'Покупки по дням'!K$2)</f>
        <v>0</v>
      </c>
      <c r="L80">
        <f>SUMIFS(data!$C:$C,data!$A:$A,"="&amp;'Покупки по дням'!$B80,data!$B:$B,"="&amp;'Покупки по дням'!L$2)</f>
        <v>2</v>
      </c>
      <c r="M80">
        <f>SUMIFS(data!$C:$C,data!$A:$A,"="&amp;'Покупки по дням'!$B80,data!$B:$B,"="&amp;'Покупки по дням'!M$2)</f>
        <v>0</v>
      </c>
      <c r="N80">
        <f>SUMIFS(data!$C:$C,data!$A:$A,"="&amp;'Покупки по дням'!$B80,data!$B:$B,"="&amp;'Покупки по дням'!N$2)</f>
        <v>1</v>
      </c>
      <c r="O80">
        <f>SUMIFS(data!$C:$C,data!$A:$A,"="&amp;'Покупки по дням'!$B80,data!$B:$B,"="&amp;'Покупки по дням'!O$2)</f>
        <v>4</v>
      </c>
      <c r="P80">
        <f>SUMIFS(data!$C:$C,data!$A:$A,"="&amp;'Покупки по дням'!$B80,data!$B:$B,"="&amp;'Покупки по дням'!P$2)</f>
        <v>10</v>
      </c>
      <c r="Q80">
        <f>SUMIFS(data!$C:$C,data!$A:$A,"="&amp;'Покупки по дням'!$B80,data!$B:$B,"="&amp;'Покупки по дням'!Q$2)</f>
        <v>2</v>
      </c>
      <c r="R80">
        <f>SUMIFS(data!$C:$C,data!$A:$A,"="&amp;'Покупки по дням'!$B80,data!$B:$B,"="&amp;'Покупки по дням'!R$2)</f>
        <v>3</v>
      </c>
      <c r="S80">
        <f>SUMIFS(data!$C:$C,data!$A:$A,"="&amp;'Покупки по дням'!$B80,data!$B:$B,"="&amp;'Покупки по дням'!S$2)</f>
        <v>4</v>
      </c>
      <c r="T80">
        <f>SUMIFS(data!$C:$C,data!$A:$A,"="&amp;'Покупки по дням'!$B80,data!$B:$B,"="&amp;'Покупки по дням'!T$2)</f>
        <v>0</v>
      </c>
      <c r="U80">
        <f>SUMIFS(data!$C:$C,data!$A:$A,"="&amp;'Покупки по дням'!$B80,data!$B:$B,"="&amp;'Покупки по дням'!U$2)</f>
        <v>0</v>
      </c>
      <c r="V80">
        <f>SUMIFS(data!$C:$C,data!$A:$A,"="&amp;'Покупки по дням'!$B80,data!$B:$B,"="&amp;'Покупки по дням'!V$2)</f>
        <v>0</v>
      </c>
      <c r="W80">
        <f>SUMIFS(data!$C:$C,data!$A:$A,"="&amp;'Покупки по дням'!$B80,data!$B:$B,"="&amp;'Покупки по дням'!W$2)</f>
        <v>0</v>
      </c>
      <c r="X80">
        <f>SUMIFS(data!$C:$C,data!$A:$A,"="&amp;'Покупки по дням'!$B80,data!$B:$B,"="&amp;'Покупки по дням'!X$2)</f>
        <v>0</v>
      </c>
      <c r="Y80">
        <f>SUMIFS(data!$C:$C,data!$A:$A,"="&amp;'Покупки по дням'!$B80,data!$B:$B,"="&amp;'Покупки по дням'!Y$2)</f>
        <v>6</v>
      </c>
      <c r="Z80">
        <f>SUMIFS(data!$C:$C,data!$A:$A,"="&amp;'Покупки по дням'!$B80,data!$B:$B,"="&amp;'Покупки по дням'!Z$2)</f>
        <v>3</v>
      </c>
      <c r="AA80">
        <f>SUMIFS(data!$C:$C,data!$A:$A,"="&amp;'Покупки по дням'!$B80,data!$B:$B,"="&amp;'Покупки по дням'!AA$2)</f>
        <v>3</v>
      </c>
      <c r="AB80">
        <f>SUMIFS(data!$C:$C,data!$A:$A,"="&amp;'Покупки по дням'!$B80,data!$B:$B,"="&amp;'Покупки по дням'!AB$2)</f>
        <v>2</v>
      </c>
      <c r="AC80">
        <f>SUMIFS(data!$C:$C,data!$A:$A,"="&amp;'Покупки по дням'!$B80,data!$B:$B,"="&amp;'Покупки по дням'!AC$2)</f>
        <v>5</v>
      </c>
      <c r="AD80">
        <f>SUMIFS(data!$C:$C,data!$A:$A,"="&amp;'Покупки по дням'!$B80,data!$B:$B,"="&amp;'Покупки по дням'!AD$2)</f>
        <v>3</v>
      </c>
      <c r="AE80">
        <f>SUMIFS(data!$C:$C,data!$A:$A,"="&amp;'Покупки по дням'!$B80,data!$B:$B,"="&amp;'Покупки по дням'!AE$2)</f>
        <v>4</v>
      </c>
      <c r="AF80">
        <f>SUMIFS(data!$C:$C,data!$A:$A,"="&amp;'Покупки по дням'!$B80,data!$B:$B,"="&amp;'Покупки по дням'!AF$2)</f>
        <v>2</v>
      </c>
      <c r="AG80">
        <f>SUMIFS(data!$C:$C,data!$A:$A,"="&amp;'Покупки по дням'!$B80,data!$B:$B,"="&amp;'Покупки по дням'!AG$2)</f>
        <v>0</v>
      </c>
      <c r="AH80">
        <f>SUMIFS(data!$C:$C,data!$A:$A,"="&amp;'Покупки по дням'!$B80,data!$B:$B,"="&amp;'Покупки по дням'!AH$2)</f>
        <v>0</v>
      </c>
      <c r="AI80">
        <f>SUMIFS(data!$C:$C,data!$A:$A,"="&amp;'Покупки по дням'!$B80,data!$B:$B,"="&amp;'Покупки по дням'!AI$2)</f>
        <v>1</v>
      </c>
      <c r="AJ80">
        <f>SUMIFS(data!$C:$C,data!$A:$A,"="&amp;'Покупки по дням'!$B80,data!$B:$B,"="&amp;'Покупки по дням'!AJ$2)</f>
        <v>0</v>
      </c>
      <c r="AK80">
        <f>SUMIFS(data!$C:$C,data!$A:$A,"="&amp;'Покупки по дням'!$B80,data!$B:$B,"="&amp;'Покупки по дням'!AK$2)</f>
        <v>0</v>
      </c>
      <c r="AL80">
        <f>SUMIFS(data!$C:$C,data!$A:$A,"="&amp;'Покупки по дням'!$B80,data!$B:$B,"="&amp;'Покупки по дням'!AL$2)</f>
        <v>0</v>
      </c>
      <c r="AM80">
        <f>SUMIFS(data!$C:$C,data!$A:$A,"="&amp;'Покупки по дням'!$B80,data!$B:$B,"="&amp;'Покупки по дням'!AM$2)</f>
        <v>0</v>
      </c>
      <c r="AN80">
        <f>SUMIFS(data!$C:$C,data!$A:$A,"="&amp;'Покупки по дням'!$B80,data!$B:$B,"="&amp;'Покупки по дням'!AN$2)</f>
        <v>2</v>
      </c>
      <c r="AO80">
        <f>SUMIFS(data!$C:$C,data!$A:$A,"="&amp;'Покупки по дням'!$B80,data!$B:$B,"="&amp;'Покупки по дням'!AO$2)</f>
        <v>1</v>
      </c>
      <c r="AP80">
        <f>SUMIFS(data!$C:$C,data!$A:$A,"="&amp;'Покупки по дням'!$B80,data!$B:$B,"="&amp;'Покупки по дням'!AP$2)</f>
        <v>2</v>
      </c>
      <c r="AQ80" s="6">
        <f t="shared" si="1"/>
        <v>1.2853519780106399</v>
      </c>
    </row>
    <row r="81" spans="2:43" ht="28.8" x14ac:dyDescent="0.3">
      <c r="B81" s="17" t="s">
        <v>108</v>
      </c>
      <c r="C81">
        <f>SUMIFS(data!$C:$C,data!$A:$A,"="&amp;'Покупки по дням'!$B81,data!$B:$B,"="&amp;'Покупки по дням'!C$2)</f>
        <v>0</v>
      </c>
      <c r="D81">
        <f>SUMIFS(data!$C:$C,data!$A:$A,"="&amp;'Покупки по дням'!$B81,data!$B:$B,"="&amp;'Покупки по дням'!D$2)</f>
        <v>4</v>
      </c>
      <c r="E81">
        <f>SUMIFS(data!$C:$C,data!$A:$A,"="&amp;'Покупки по дням'!$B81,data!$B:$B,"="&amp;'Покупки по дням'!E$2)</f>
        <v>0</v>
      </c>
      <c r="F81">
        <f>SUMIFS(data!$C:$C,data!$A:$A,"="&amp;'Покупки по дням'!$B81,data!$B:$B,"="&amp;'Покупки по дням'!F$2)</f>
        <v>0</v>
      </c>
      <c r="G81">
        <f>SUMIFS(data!$C:$C,data!$A:$A,"="&amp;'Покупки по дням'!$B81,data!$B:$B,"="&amp;'Покупки по дням'!G$2)</f>
        <v>0</v>
      </c>
      <c r="H81">
        <f>SUMIFS(data!$C:$C,data!$A:$A,"="&amp;'Покупки по дням'!$B81,data!$B:$B,"="&amp;'Покупки по дням'!H$2)</f>
        <v>1</v>
      </c>
      <c r="I81">
        <f>SUMIFS(data!$C:$C,data!$A:$A,"="&amp;'Покупки по дням'!$B81,data!$B:$B,"="&amp;'Покупки по дням'!I$2)</f>
        <v>0</v>
      </c>
      <c r="J81">
        <f>SUMIFS(data!$C:$C,data!$A:$A,"="&amp;'Покупки по дням'!$B81,data!$B:$B,"="&amp;'Покупки по дням'!J$2)</f>
        <v>0</v>
      </c>
      <c r="K81">
        <f>SUMIFS(data!$C:$C,data!$A:$A,"="&amp;'Покупки по дням'!$B81,data!$B:$B,"="&amp;'Покупки по дням'!K$2)</f>
        <v>0</v>
      </c>
      <c r="L81">
        <f>SUMIFS(data!$C:$C,data!$A:$A,"="&amp;'Покупки по дням'!$B81,data!$B:$B,"="&amp;'Покупки по дням'!L$2)</f>
        <v>0</v>
      </c>
      <c r="M81">
        <f>SUMIFS(data!$C:$C,data!$A:$A,"="&amp;'Покупки по дням'!$B81,data!$B:$B,"="&amp;'Покупки по дням'!M$2)</f>
        <v>0</v>
      </c>
      <c r="N81">
        <f>SUMIFS(data!$C:$C,data!$A:$A,"="&amp;'Покупки по дням'!$B81,data!$B:$B,"="&amp;'Покупки по дням'!N$2)</f>
        <v>7</v>
      </c>
      <c r="O81">
        <f>SUMIFS(data!$C:$C,data!$A:$A,"="&amp;'Покупки по дням'!$B81,data!$B:$B,"="&amp;'Покупки по дням'!O$2)</f>
        <v>1</v>
      </c>
      <c r="P81">
        <f>SUMIFS(data!$C:$C,data!$A:$A,"="&amp;'Покупки по дням'!$B81,data!$B:$B,"="&amp;'Покупки по дням'!P$2)</f>
        <v>0</v>
      </c>
      <c r="Q81">
        <f>SUMIFS(data!$C:$C,data!$A:$A,"="&amp;'Покупки по дням'!$B81,data!$B:$B,"="&amp;'Покупки по дням'!Q$2)</f>
        <v>0</v>
      </c>
      <c r="R81">
        <f>SUMIFS(data!$C:$C,data!$A:$A,"="&amp;'Покупки по дням'!$B81,data!$B:$B,"="&amp;'Покупки по дням'!R$2)</f>
        <v>0</v>
      </c>
      <c r="S81">
        <f>SUMIFS(data!$C:$C,data!$A:$A,"="&amp;'Покупки по дням'!$B81,data!$B:$B,"="&amp;'Покупки по дням'!S$2)</f>
        <v>1</v>
      </c>
      <c r="T81">
        <f>SUMIFS(data!$C:$C,data!$A:$A,"="&amp;'Покупки по дням'!$B81,data!$B:$B,"="&amp;'Покупки по дням'!T$2)</f>
        <v>0</v>
      </c>
      <c r="U81">
        <f>SUMIFS(data!$C:$C,data!$A:$A,"="&amp;'Покупки по дням'!$B81,data!$B:$B,"="&amp;'Покупки по дням'!U$2)</f>
        <v>0</v>
      </c>
      <c r="V81">
        <f>SUMIFS(data!$C:$C,data!$A:$A,"="&amp;'Покупки по дням'!$B81,data!$B:$B,"="&amp;'Покупки по дням'!V$2)</f>
        <v>0</v>
      </c>
      <c r="W81">
        <f>SUMIFS(data!$C:$C,data!$A:$A,"="&amp;'Покупки по дням'!$B81,data!$B:$B,"="&amp;'Покупки по дням'!W$2)</f>
        <v>0</v>
      </c>
      <c r="X81">
        <f>SUMIFS(data!$C:$C,data!$A:$A,"="&amp;'Покупки по дням'!$B81,data!$B:$B,"="&amp;'Покупки по дням'!X$2)</f>
        <v>8</v>
      </c>
      <c r="Y81">
        <f>SUMIFS(data!$C:$C,data!$A:$A,"="&amp;'Покупки по дням'!$B81,data!$B:$B,"="&amp;'Покупки по дням'!Y$2)</f>
        <v>0</v>
      </c>
      <c r="Z81">
        <f>SUMIFS(data!$C:$C,data!$A:$A,"="&amp;'Покупки по дням'!$B81,data!$B:$B,"="&amp;'Покупки по дням'!Z$2)</f>
        <v>3</v>
      </c>
      <c r="AA81">
        <f>SUMIFS(data!$C:$C,data!$A:$A,"="&amp;'Покупки по дням'!$B81,data!$B:$B,"="&amp;'Покупки по дням'!AA$2)</f>
        <v>0</v>
      </c>
      <c r="AB81">
        <f>SUMIFS(data!$C:$C,data!$A:$A,"="&amp;'Покупки по дням'!$B81,data!$B:$B,"="&amp;'Покупки по дням'!AB$2)</f>
        <v>0</v>
      </c>
      <c r="AC81">
        <f>SUMIFS(data!$C:$C,data!$A:$A,"="&amp;'Покупки по дням'!$B81,data!$B:$B,"="&amp;'Покупки по дням'!AC$2)</f>
        <v>0</v>
      </c>
      <c r="AD81">
        <f>SUMIFS(data!$C:$C,data!$A:$A,"="&amp;'Покупки по дням'!$B81,data!$B:$B,"="&amp;'Покупки по дням'!AD$2)</f>
        <v>0</v>
      </c>
      <c r="AE81">
        <f>SUMIFS(data!$C:$C,data!$A:$A,"="&amp;'Покупки по дням'!$B81,data!$B:$B,"="&amp;'Покупки по дням'!AE$2)</f>
        <v>6</v>
      </c>
      <c r="AF81">
        <f>SUMIFS(data!$C:$C,data!$A:$A,"="&amp;'Покупки по дням'!$B81,data!$B:$B,"="&amp;'Покупки по дням'!AF$2)</f>
        <v>0</v>
      </c>
      <c r="AG81">
        <f>SUMIFS(data!$C:$C,data!$A:$A,"="&amp;'Покупки по дням'!$B81,data!$B:$B,"="&amp;'Покупки по дням'!AG$2)</f>
        <v>0</v>
      </c>
      <c r="AH81">
        <f>SUMIFS(data!$C:$C,data!$A:$A,"="&amp;'Покупки по дням'!$B81,data!$B:$B,"="&amp;'Покупки по дням'!AH$2)</f>
        <v>0</v>
      </c>
      <c r="AI81">
        <f>SUMIFS(data!$C:$C,data!$A:$A,"="&amp;'Покупки по дням'!$B81,data!$B:$B,"="&amp;'Покупки по дням'!AI$2)</f>
        <v>0</v>
      </c>
      <c r="AJ81">
        <f>SUMIFS(data!$C:$C,data!$A:$A,"="&amp;'Покупки по дням'!$B81,data!$B:$B,"="&amp;'Покупки по дням'!AJ$2)</f>
        <v>9</v>
      </c>
      <c r="AK81">
        <f>SUMIFS(data!$C:$C,data!$A:$A,"="&amp;'Покупки по дням'!$B81,data!$B:$B,"="&amp;'Покупки по дням'!AK$2)</f>
        <v>6</v>
      </c>
      <c r="AL81">
        <f>SUMIFS(data!$C:$C,data!$A:$A,"="&amp;'Покупки по дням'!$B81,data!$B:$B,"="&amp;'Покупки по дням'!AL$2)</f>
        <v>1</v>
      </c>
      <c r="AM81">
        <f>SUMIFS(data!$C:$C,data!$A:$A,"="&amp;'Покупки по дням'!$B81,data!$B:$B,"="&amp;'Покупки по дням'!AM$2)</f>
        <v>0</v>
      </c>
      <c r="AN81">
        <f>SUMIFS(data!$C:$C,data!$A:$A,"="&amp;'Покупки по дням'!$B81,data!$B:$B,"="&amp;'Покупки по дням'!AN$2)</f>
        <v>6</v>
      </c>
      <c r="AO81">
        <f>SUMIFS(data!$C:$C,data!$A:$A,"="&amp;'Покупки по дням'!$B81,data!$B:$B,"="&amp;'Покупки по дням'!AO$2)</f>
        <v>6</v>
      </c>
      <c r="AP81">
        <f>SUMIFS(data!$C:$C,data!$A:$A,"="&amp;'Покупки по дням'!$B81,data!$B:$B,"="&amp;'Покупки по дням'!AP$2)</f>
        <v>6</v>
      </c>
      <c r="AQ81" s="6">
        <f t="shared" si="1"/>
        <v>1.6992863103365017</v>
      </c>
    </row>
    <row r="82" spans="2:43" ht="28.8" x14ac:dyDescent="0.3">
      <c r="B82" s="17" t="s">
        <v>92</v>
      </c>
      <c r="C82">
        <f>SUMIFS(data!$C:$C,data!$A:$A,"="&amp;'Покупки по дням'!$B82,data!$B:$B,"="&amp;'Покупки по дням'!C$2)</f>
        <v>6</v>
      </c>
      <c r="D82">
        <f>SUMIFS(data!$C:$C,data!$A:$A,"="&amp;'Покупки по дням'!$B82,data!$B:$B,"="&amp;'Покупки по дням'!D$2)</f>
        <v>13</v>
      </c>
      <c r="E82">
        <f>SUMIFS(data!$C:$C,data!$A:$A,"="&amp;'Покупки по дням'!$B82,data!$B:$B,"="&amp;'Покупки по дням'!E$2)</f>
        <v>6</v>
      </c>
      <c r="F82">
        <f>SUMIFS(data!$C:$C,data!$A:$A,"="&amp;'Покупки по дням'!$B82,data!$B:$B,"="&amp;'Покупки по дням'!F$2)</f>
        <v>0</v>
      </c>
      <c r="G82">
        <f>SUMIFS(data!$C:$C,data!$A:$A,"="&amp;'Покупки по дням'!$B82,data!$B:$B,"="&amp;'Покупки по дням'!G$2)</f>
        <v>75</v>
      </c>
      <c r="H82">
        <f>SUMIFS(data!$C:$C,data!$A:$A,"="&amp;'Покупки по дням'!$B82,data!$B:$B,"="&amp;'Покупки по дням'!H$2)</f>
        <v>39</v>
      </c>
      <c r="I82">
        <f>SUMIFS(data!$C:$C,data!$A:$A,"="&amp;'Покупки по дням'!$B82,data!$B:$B,"="&amp;'Покупки по дням'!I$2)</f>
        <v>4</v>
      </c>
      <c r="J82">
        <f>SUMIFS(data!$C:$C,data!$A:$A,"="&amp;'Покупки по дням'!$B82,data!$B:$B,"="&amp;'Покупки по дням'!J$2)</f>
        <v>32</v>
      </c>
      <c r="K82">
        <f>SUMIFS(data!$C:$C,data!$A:$A,"="&amp;'Покупки по дням'!$B82,data!$B:$B,"="&amp;'Покупки по дням'!K$2)</f>
        <v>0</v>
      </c>
      <c r="L82">
        <f>SUMIFS(data!$C:$C,data!$A:$A,"="&amp;'Покупки по дням'!$B82,data!$B:$B,"="&amp;'Покупки по дням'!L$2)</f>
        <v>3</v>
      </c>
      <c r="M82">
        <f>SUMIFS(data!$C:$C,data!$A:$A,"="&amp;'Покупки по дням'!$B82,data!$B:$B,"="&amp;'Покупки по дням'!M$2)</f>
        <v>5</v>
      </c>
      <c r="N82">
        <f>SUMIFS(data!$C:$C,data!$A:$A,"="&amp;'Покупки по дням'!$B82,data!$B:$B,"="&amp;'Покупки по дням'!N$2)</f>
        <v>3</v>
      </c>
      <c r="O82">
        <f>SUMIFS(data!$C:$C,data!$A:$A,"="&amp;'Покупки по дням'!$B82,data!$B:$B,"="&amp;'Покупки по дням'!O$2)</f>
        <v>31</v>
      </c>
      <c r="P82">
        <f>SUMIFS(data!$C:$C,data!$A:$A,"="&amp;'Покупки по дням'!$B82,data!$B:$B,"="&amp;'Покупки по дням'!P$2)</f>
        <v>26</v>
      </c>
      <c r="Q82">
        <f>SUMIFS(data!$C:$C,data!$A:$A,"="&amp;'Покупки по дням'!$B82,data!$B:$B,"="&amp;'Покупки по дням'!Q$2)</f>
        <v>4</v>
      </c>
      <c r="R82">
        <f>SUMIFS(data!$C:$C,data!$A:$A,"="&amp;'Покупки по дням'!$B82,data!$B:$B,"="&amp;'Покупки по дням'!R$2)</f>
        <v>12</v>
      </c>
      <c r="S82">
        <f>SUMIFS(data!$C:$C,data!$A:$A,"="&amp;'Покупки по дням'!$B82,data!$B:$B,"="&amp;'Покупки по дням'!S$2)</f>
        <v>15</v>
      </c>
      <c r="T82">
        <f>SUMIFS(data!$C:$C,data!$A:$A,"="&amp;'Покупки по дням'!$B82,data!$B:$B,"="&amp;'Покупки по дням'!T$2)</f>
        <v>13</v>
      </c>
      <c r="U82">
        <f>SUMIFS(data!$C:$C,data!$A:$A,"="&amp;'Покупки по дням'!$B82,data!$B:$B,"="&amp;'Покупки по дням'!U$2)</f>
        <v>1</v>
      </c>
      <c r="V82">
        <f>SUMIFS(data!$C:$C,data!$A:$A,"="&amp;'Покупки по дням'!$B82,data!$B:$B,"="&amp;'Покупки по дням'!V$2)</f>
        <v>6</v>
      </c>
      <c r="W82">
        <f>SUMIFS(data!$C:$C,data!$A:$A,"="&amp;'Покупки по дням'!$B82,data!$B:$B,"="&amp;'Покупки по дням'!W$2)</f>
        <v>3</v>
      </c>
      <c r="X82">
        <f>SUMIFS(data!$C:$C,data!$A:$A,"="&amp;'Покупки по дням'!$B82,data!$B:$B,"="&amp;'Покупки по дням'!X$2)</f>
        <v>1</v>
      </c>
      <c r="Y82">
        <f>SUMIFS(data!$C:$C,data!$A:$A,"="&amp;'Покупки по дням'!$B82,data!$B:$B,"="&amp;'Покупки по дням'!Y$2)</f>
        <v>22</v>
      </c>
      <c r="Z82">
        <f>SUMIFS(data!$C:$C,data!$A:$A,"="&amp;'Покупки по дням'!$B82,data!$B:$B,"="&amp;'Покупки по дням'!Z$2)</f>
        <v>0</v>
      </c>
      <c r="AA82">
        <f>SUMIFS(data!$C:$C,data!$A:$A,"="&amp;'Покупки по дням'!$B82,data!$B:$B,"="&amp;'Покупки по дням'!AA$2)</f>
        <v>2</v>
      </c>
      <c r="AB82">
        <f>SUMIFS(data!$C:$C,data!$A:$A,"="&amp;'Покупки по дням'!$B82,data!$B:$B,"="&amp;'Покупки по дням'!AB$2)</f>
        <v>51</v>
      </c>
      <c r="AC82">
        <f>SUMIFS(data!$C:$C,data!$A:$A,"="&amp;'Покупки по дням'!$B82,data!$B:$B,"="&amp;'Покупки по дням'!AC$2)</f>
        <v>15</v>
      </c>
      <c r="AD82">
        <f>SUMIFS(data!$C:$C,data!$A:$A,"="&amp;'Покупки по дням'!$B82,data!$B:$B,"="&amp;'Покупки по дням'!AD$2)</f>
        <v>19</v>
      </c>
      <c r="AE82">
        <f>SUMIFS(data!$C:$C,data!$A:$A,"="&amp;'Покупки по дням'!$B82,data!$B:$B,"="&amp;'Покупки по дням'!AE$2)</f>
        <v>52</v>
      </c>
      <c r="AF82">
        <f>SUMIFS(data!$C:$C,data!$A:$A,"="&amp;'Покупки по дням'!$B82,data!$B:$B,"="&amp;'Покупки по дням'!AF$2)</f>
        <v>0</v>
      </c>
      <c r="AG82">
        <f>SUMIFS(data!$C:$C,data!$A:$A,"="&amp;'Покупки по дням'!$B82,data!$B:$B,"="&amp;'Покупки по дням'!AG$2)</f>
        <v>8</v>
      </c>
      <c r="AH82">
        <f>SUMIFS(data!$C:$C,data!$A:$A,"="&amp;'Покупки по дням'!$B82,data!$B:$B,"="&amp;'Покупки по дням'!AH$2)</f>
        <v>61</v>
      </c>
      <c r="AI82">
        <f>SUMIFS(data!$C:$C,data!$A:$A,"="&amp;'Покупки по дням'!$B82,data!$B:$B,"="&amp;'Покупки по дням'!AI$2)</f>
        <v>7</v>
      </c>
      <c r="AJ82">
        <f>SUMIFS(data!$C:$C,data!$A:$A,"="&amp;'Покупки по дням'!$B82,data!$B:$B,"="&amp;'Покупки по дням'!AJ$2)</f>
        <v>6</v>
      </c>
      <c r="AK82">
        <f>SUMIFS(data!$C:$C,data!$A:$A,"="&amp;'Покупки по дням'!$B82,data!$B:$B,"="&amp;'Покупки по дням'!AK$2)</f>
        <v>11</v>
      </c>
      <c r="AL82">
        <f>SUMIFS(data!$C:$C,data!$A:$A,"="&amp;'Покупки по дням'!$B82,data!$B:$B,"="&amp;'Покупки по дням'!AL$2)</f>
        <v>0</v>
      </c>
      <c r="AM82">
        <f>SUMIFS(data!$C:$C,data!$A:$A,"="&amp;'Покупки по дням'!$B82,data!$B:$B,"="&amp;'Покупки по дням'!AM$2)</f>
        <v>4</v>
      </c>
      <c r="AN82">
        <f>SUMIFS(data!$C:$C,data!$A:$A,"="&amp;'Покупки по дням'!$B82,data!$B:$B,"="&amp;'Покупки по дням'!AN$2)</f>
        <v>4</v>
      </c>
      <c r="AO82">
        <f>SUMIFS(data!$C:$C,data!$A:$A,"="&amp;'Покупки по дням'!$B82,data!$B:$B,"="&amp;'Покупки по дням'!AO$2)</f>
        <v>12</v>
      </c>
      <c r="AP82">
        <f>SUMIFS(data!$C:$C,data!$A:$A,"="&amp;'Покупки по дням'!$B82,data!$B:$B,"="&amp;'Покупки по дням'!AP$2)</f>
        <v>10</v>
      </c>
      <c r="AQ82" s="6">
        <f t="shared" si="1"/>
        <v>1.2492865994756921</v>
      </c>
    </row>
    <row r="83" spans="2:43" ht="28.8" x14ac:dyDescent="0.3">
      <c r="B83" s="17" t="s">
        <v>82</v>
      </c>
      <c r="C83">
        <f>SUMIFS(data!$C:$C,data!$A:$A,"="&amp;'Покупки по дням'!$B83,data!$B:$B,"="&amp;'Покупки по дням'!C$2)</f>
        <v>0</v>
      </c>
      <c r="D83">
        <f>SUMIFS(data!$C:$C,data!$A:$A,"="&amp;'Покупки по дням'!$B83,data!$B:$B,"="&amp;'Покупки по дням'!D$2)</f>
        <v>2</v>
      </c>
      <c r="E83">
        <f>SUMIFS(data!$C:$C,data!$A:$A,"="&amp;'Покупки по дням'!$B83,data!$B:$B,"="&amp;'Покупки по дням'!E$2)</f>
        <v>0</v>
      </c>
      <c r="F83">
        <f>SUMIFS(data!$C:$C,data!$A:$A,"="&amp;'Покупки по дням'!$B83,data!$B:$B,"="&amp;'Покупки по дням'!F$2)</f>
        <v>0</v>
      </c>
      <c r="G83">
        <f>SUMIFS(data!$C:$C,data!$A:$A,"="&amp;'Покупки по дням'!$B83,data!$B:$B,"="&amp;'Покупки по дням'!G$2)</f>
        <v>0</v>
      </c>
      <c r="H83">
        <f>SUMIFS(data!$C:$C,data!$A:$A,"="&amp;'Покупки по дням'!$B83,data!$B:$B,"="&amp;'Покупки по дням'!H$2)</f>
        <v>0</v>
      </c>
      <c r="I83">
        <f>SUMIFS(data!$C:$C,data!$A:$A,"="&amp;'Покупки по дням'!$B83,data!$B:$B,"="&amp;'Покупки по дням'!I$2)</f>
        <v>2</v>
      </c>
      <c r="J83">
        <f>SUMIFS(data!$C:$C,data!$A:$A,"="&amp;'Покупки по дням'!$B83,data!$B:$B,"="&amp;'Покупки по дням'!J$2)</f>
        <v>1</v>
      </c>
      <c r="K83">
        <f>SUMIFS(data!$C:$C,data!$A:$A,"="&amp;'Покупки по дням'!$B83,data!$B:$B,"="&amp;'Покупки по дням'!K$2)</f>
        <v>0</v>
      </c>
      <c r="L83">
        <f>SUMIFS(data!$C:$C,data!$A:$A,"="&amp;'Покупки по дням'!$B83,data!$B:$B,"="&amp;'Покупки по дням'!L$2)</f>
        <v>0</v>
      </c>
      <c r="M83">
        <f>SUMIFS(data!$C:$C,data!$A:$A,"="&amp;'Покупки по дням'!$B83,data!$B:$B,"="&amp;'Покупки по дням'!M$2)</f>
        <v>0</v>
      </c>
      <c r="N83">
        <f>SUMIFS(data!$C:$C,data!$A:$A,"="&amp;'Покупки по дням'!$B83,data!$B:$B,"="&amp;'Покупки по дням'!N$2)</f>
        <v>0</v>
      </c>
      <c r="O83">
        <f>SUMIFS(data!$C:$C,data!$A:$A,"="&amp;'Покупки по дням'!$B83,data!$B:$B,"="&amp;'Покупки по дням'!O$2)</f>
        <v>0</v>
      </c>
      <c r="P83">
        <f>SUMIFS(data!$C:$C,data!$A:$A,"="&amp;'Покупки по дням'!$B83,data!$B:$B,"="&amp;'Покупки по дням'!P$2)</f>
        <v>6</v>
      </c>
      <c r="Q83">
        <f>SUMIFS(data!$C:$C,data!$A:$A,"="&amp;'Покупки по дням'!$B83,data!$B:$B,"="&amp;'Покупки по дням'!Q$2)</f>
        <v>5</v>
      </c>
      <c r="R83">
        <f>SUMIFS(data!$C:$C,data!$A:$A,"="&amp;'Покупки по дням'!$B83,data!$B:$B,"="&amp;'Покупки по дням'!R$2)</f>
        <v>1</v>
      </c>
      <c r="S83">
        <f>SUMIFS(data!$C:$C,data!$A:$A,"="&amp;'Покупки по дням'!$B83,data!$B:$B,"="&amp;'Покупки по дням'!S$2)</f>
        <v>1</v>
      </c>
      <c r="T83">
        <f>SUMIFS(data!$C:$C,data!$A:$A,"="&amp;'Покупки по дням'!$B83,data!$B:$B,"="&amp;'Покупки по дням'!T$2)</f>
        <v>5</v>
      </c>
      <c r="U83">
        <f>SUMIFS(data!$C:$C,data!$A:$A,"="&amp;'Покупки по дням'!$B83,data!$B:$B,"="&amp;'Покупки по дням'!U$2)</f>
        <v>0</v>
      </c>
      <c r="V83">
        <f>SUMIFS(data!$C:$C,data!$A:$A,"="&amp;'Покупки по дням'!$B83,data!$B:$B,"="&amp;'Покупки по дням'!V$2)</f>
        <v>1</v>
      </c>
      <c r="W83">
        <f>SUMIFS(data!$C:$C,data!$A:$A,"="&amp;'Покупки по дням'!$B83,data!$B:$B,"="&amp;'Покупки по дням'!W$2)</f>
        <v>1</v>
      </c>
      <c r="X83">
        <f>SUMIFS(data!$C:$C,data!$A:$A,"="&amp;'Покупки по дням'!$B83,data!$B:$B,"="&amp;'Покупки по дням'!X$2)</f>
        <v>0</v>
      </c>
      <c r="Y83">
        <f>SUMIFS(data!$C:$C,data!$A:$A,"="&amp;'Покупки по дням'!$B83,data!$B:$B,"="&amp;'Покупки по дням'!Y$2)</f>
        <v>0</v>
      </c>
      <c r="Z83">
        <f>SUMIFS(data!$C:$C,data!$A:$A,"="&amp;'Покупки по дням'!$B83,data!$B:$B,"="&amp;'Покупки по дням'!Z$2)</f>
        <v>0</v>
      </c>
      <c r="AA83">
        <f>SUMIFS(data!$C:$C,data!$A:$A,"="&amp;'Покупки по дням'!$B83,data!$B:$B,"="&amp;'Покупки по дням'!AA$2)</f>
        <v>0</v>
      </c>
      <c r="AB83">
        <f>SUMIFS(data!$C:$C,data!$A:$A,"="&amp;'Покупки по дням'!$B83,data!$B:$B,"="&amp;'Покупки по дням'!AB$2)</f>
        <v>2</v>
      </c>
      <c r="AC83">
        <f>SUMIFS(data!$C:$C,data!$A:$A,"="&amp;'Покупки по дням'!$B83,data!$B:$B,"="&amp;'Покупки по дням'!AC$2)</f>
        <v>1</v>
      </c>
      <c r="AD83">
        <f>SUMIFS(data!$C:$C,data!$A:$A,"="&amp;'Покупки по дням'!$B83,data!$B:$B,"="&amp;'Покупки по дням'!AD$2)</f>
        <v>0</v>
      </c>
      <c r="AE83">
        <f>SUMIFS(data!$C:$C,data!$A:$A,"="&amp;'Покупки по дням'!$B83,data!$B:$B,"="&amp;'Покупки по дням'!AE$2)</f>
        <v>0</v>
      </c>
      <c r="AF83">
        <f>SUMIFS(data!$C:$C,data!$A:$A,"="&amp;'Покупки по дням'!$B83,data!$B:$B,"="&amp;'Покупки по дням'!AF$2)</f>
        <v>2</v>
      </c>
      <c r="AG83">
        <f>SUMIFS(data!$C:$C,data!$A:$A,"="&amp;'Покупки по дням'!$B83,data!$B:$B,"="&amp;'Покупки по дням'!AG$2)</f>
        <v>0</v>
      </c>
      <c r="AH83">
        <f>SUMIFS(data!$C:$C,data!$A:$A,"="&amp;'Покупки по дням'!$B83,data!$B:$B,"="&amp;'Покупки по дням'!AH$2)</f>
        <v>2</v>
      </c>
      <c r="AI83">
        <f>SUMIFS(data!$C:$C,data!$A:$A,"="&amp;'Покупки по дням'!$B83,data!$B:$B,"="&amp;'Покупки по дням'!AI$2)</f>
        <v>0</v>
      </c>
      <c r="AJ83">
        <f>SUMIFS(data!$C:$C,data!$A:$A,"="&amp;'Покупки по дням'!$B83,data!$B:$B,"="&amp;'Покупки по дням'!AJ$2)</f>
        <v>8</v>
      </c>
      <c r="AK83">
        <f>SUMIFS(data!$C:$C,data!$A:$A,"="&amp;'Покупки по дням'!$B83,data!$B:$B,"="&amp;'Покупки по дням'!AK$2)</f>
        <v>6</v>
      </c>
      <c r="AL83">
        <f>SUMIFS(data!$C:$C,data!$A:$A,"="&amp;'Покупки по дням'!$B83,data!$B:$B,"="&amp;'Покупки по дням'!AL$2)</f>
        <v>0</v>
      </c>
      <c r="AM83">
        <f>SUMIFS(data!$C:$C,data!$A:$A,"="&amp;'Покупки по дням'!$B83,data!$B:$B,"="&amp;'Покупки по дням'!AM$2)</f>
        <v>0</v>
      </c>
      <c r="AN83">
        <f>SUMIFS(data!$C:$C,data!$A:$A,"="&amp;'Покупки по дням'!$B83,data!$B:$B,"="&amp;'Покупки по дням'!AN$2)</f>
        <v>6</v>
      </c>
      <c r="AO83">
        <f>SUMIFS(data!$C:$C,data!$A:$A,"="&amp;'Покупки по дням'!$B83,data!$B:$B,"="&amp;'Покупки по дням'!AO$2)</f>
        <v>7</v>
      </c>
      <c r="AP83">
        <f>SUMIFS(data!$C:$C,data!$A:$A,"="&amp;'Покупки по дням'!$B83,data!$B:$B,"="&amp;'Покупки по дням'!AP$2)</f>
        <v>7</v>
      </c>
      <c r="AQ83" s="6">
        <f t="shared" si="1"/>
        <v>1.4943403702450293</v>
      </c>
    </row>
    <row r="84" spans="2:43" ht="28.8" x14ac:dyDescent="0.3">
      <c r="B84" s="17" t="s">
        <v>130</v>
      </c>
      <c r="C84">
        <f>SUMIFS(data!$C:$C,data!$A:$A,"="&amp;'Покупки по дням'!$B84,data!$B:$B,"="&amp;'Покупки по дням'!C$2)</f>
        <v>0</v>
      </c>
      <c r="D84">
        <f>SUMIFS(data!$C:$C,data!$A:$A,"="&amp;'Покупки по дням'!$B84,data!$B:$B,"="&amp;'Покупки по дням'!D$2)</f>
        <v>9</v>
      </c>
      <c r="E84">
        <f>SUMIFS(data!$C:$C,data!$A:$A,"="&amp;'Покупки по дням'!$B84,data!$B:$B,"="&amp;'Покупки по дням'!E$2)</f>
        <v>0</v>
      </c>
      <c r="F84">
        <f>SUMIFS(data!$C:$C,data!$A:$A,"="&amp;'Покупки по дням'!$B84,data!$B:$B,"="&amp;'Покупки по дням'!F$2)</f>
        <v>0</v>
      </c>
      <c r="G84">
        <f>SUMIFS(data!$C:$C,data!$A:$A,"="&amp;'Покупки по дням'!$B84,data!$B:$B,"="&amp;'Покупки по дням'!G$2)</f>
        <v>0</v>
      </c>
      <c r="H84">
        <f>SUMIFS(data!$C:$C,data!$A:$A,"="&amp;'Покупки по дням'!$B84,data!$B:$B,"="&amp;'Покупки по дням'!H$2)</f>
        <v>0</v>
      </c>
      <c r="I84">
        <f>SUMIFS(data!$C:$C,data!$A:$A,"="&amp;'Покупки по дням'!$B84,data!$B:$B,"="&amp;'Покупки по дням'!I$2)</f>
        <v>0</v>
      </c>
      <c r="J84">
        <f>SUMIFS(data!$C:$C,data!$A:$A,"="&amp;'Покупки по дням'!$B84,data!$B:$B,"="&amp;'Покупки по дням'!J$2)</f>
        <v>13</v>
      </c>
      <c r="K84">
        <f>SUMIFS(data!$C:$C,data!$A:$A,"="&amp;'Покупки по дням'!$B84,data!$B:$B,"="&amp;'Покупки по дням'!K$2)</f>
        <v>0</v>
      </c>
      <c r="L84">
        <f>SUMIFS(data!$C:$C,data!$A:$A,"="&amp;'Покупки по дням'!$B84,data!$B:$B,"="&amp;'Покупки по дням'!L$2)</f>
        <v>6</v>
      </c>
      <c r="M84">
        <f>SUMIFS(data!$C:$C,data!$A:$A,"="&amp;'Покупки по дням'!$B84,data!$B:$B,"="&amp;'Покупки по дням'!M$2)</f>
        <v>3</v>
      </c>
      <c r="N84">
        <f>SUMIFS(data!$C:$C,data!$A:$A,"="&amp;'Покупки по дням'!$B84,data!$B:$B,"="&amp;'Покупки по дням'!N$2)</f>
        <v>0</v>
      </c>
      <c r="O84">
        <f>SUMIFS(data!$C:$C,data!$A:$A,"="&amp;'Покупки по дням'!$B84,data!$B:$B,"="&amp;'Покупки по дням'!O$2)</f>
        <v>1</v>
      </c>
      <c r="P84">
        <f>SUMIFS(data!$C:$C,data!$A:$A,"="&amp;'Покупки по дням'!$B84,data!$B:$B,"="&amp;'Покупки по дням'!P$2)</f>
        <v>3</v>
      </c>
      <c r="Q84">
        <f>SUMIFS(data!$C:$C,data!$A:$A,"="&amp;'Покупки по дням'!$B84,data!$B:$B,"="&amp;'Покупки по дням'!Q$2)</f>
        <v>0</v>
      </c>
      <c r="R84">
        <f>SUMIFS(data!$C:$C,data!$A:$A,"="&amp;'Покупки по дням'!$B84,data!$B:$B,"="&amp;'Покупки по дням'!R$2)</f>
        <v>0</v>
      </c>
      <c r="S84">
        <f>SUMIFS(data!$C:$C,data!$A:$A,"="&amp;'Покупки по дням'!$B84,data!$B:$B,"="&amp;'Покупки по дням'!S$2)</f>
        <v>1</v>
      </c>
      <c r="T84">
        <f>SUMIFS(data!$C:$C,data!$A:$A,"="&amp;'Покупки по дням'!$B84,data!$B:$B,"="&amp;'Покупки по дням'!T$2)</f>
        <v>0</v>
      </c>
      <c r="U84">
        <f>SUMIFS(data!$C:$C,data!$A:$A,"="&amp;'Покупки по дням'!$B84,data!$B:$B,"="&amp;'Покупки по дням'!U$2)</f>
        <v>6</v>
      </c>
      <c r="V84">
        <f>SUMIFS(data!$C:$C,data!$A:$A,"="&amp;'Покупки по дням'!$B84,data!$B:$B,"="&amp;'Покупки по дням'!V$2)</f>
        <v>0</v>
      </c>
      <c r="W84">
        <f>SUMIFS(data!$C:$C,data!$A:$A,"="&amp;'Покупки по дням'!$B84,data!$B:$B,"="&amp;'Покупки по дням'!W$2)</f>
        <v>1</v>
      </c>
      <c r="X84">
        <f>SUMIFS(data!$C:$C,data!$A:$A,"="&amp;'Покупки по дням'!$B84,data!$B:$B,"="&amp;'Покупки по дням'!X$2)</f>
        <v>1</v>
      </c>
      <c r="Y84">
        <f>SUMIFS(data!$C:$C,data!$A:$A,"="&amp;'Покупки по дням'!$B84,data!$B:$B,"="&amp;'Покупки по дням'!Y$2)</f>
        <v>0</v>
      </c>
      <c r="Z84">
        <f>SUMIFS(data!$C:$C,data!$A:$A,"="&amp;'Покупки по дням'!$B84,data!$B:$B,"="&amp;'Покупки по дням'!Z$2)</f>
        <v>0</v>
      </c>
      <c r="AA84">
        <f>SUMIFS(data!$C:$C,data!$A:$A,"="&amp;'Покупки по дням'!$B84,data!$B:$B,"="&amp;'Покупки по дням'!AA$2)</f>
        <v>8</v>
      </c>
      <c r="AB84">
        <f>SUMIFS(data!$C:$C,data!$A:$A,"="&amp;'Покупки по дням'!$B84,data!$B:$B,"="&amp;'Покупки по дням'!AB$2)</f>
        <v>2</v>
      </c>
      <c r="AC84">
        <f>SUMIFS(data!$C:$C,data!$A:$A,"="&amp;'Покупки по дням'!$B84,data!$B:$B,"="&amp;'Покупки по дням'!AC$2)</f>
        <v>0</v>
      </c>
      <c r="AD84">
        <f>SUMIFS(data!$C:$C,data!$A:$A,"="&amp;'Покупки по дням'!$B84,data!$B:$B,"="&amp;'Покупки по дням'!AD$2)</f>
        <v>0</v>
      </c>
      <c r="AE84">
        <f>SUMIFS(data!$C:$C,data!$A:$A,"="&amp;'Покупки по дням'!$B84,data!$B:$B,"="&amp;'Покупки по дням'!AE$2)</f>
        <v>0</v>
      </c>
      <c r="AF84">
        <f>SUMIFS(data!$C:$C,data!$A:$A,"="&amp;'Покупки по дням'!$B84,data!$B:$B,"="&amp;'Покупки по дням'!AF$2)</f>
        <v>0</v>
      </c>
      <c r="AG84">
        <f>SUMIFS(data!$C:$C,data!$A:$A,"="&amp;'Покупки по дням'!$B84,data!$B:$B,"="&amp;'Покупки по дням'!AG$2)</f>
        <v>0</v>
      </c>
      <c r="AH84">
        <f>SUMIFS(data!$C:$C,data!$A:$A,"="&amp;'Покупки по дням'!$B84,data!$B:$B,"="&amp;'Покупки по дням'!AH$2)</f>
        <v>0</v>
      </c>
      <c r="AI84">
        <f>SUMIFS(data!$C:$C,data!$A:$A,"="&amp;'Покупки по дням'!$B84,data!$B:$B,"="&amp;'Покупки по дням'!AI$2)</f>
        <v>0</v>
      </c>
      <c r="AJ84">
        <f>SUMIFS(data!$C:$C,data!$A:$A,"="&amp;'Покупки по дням'!$B84,data!$B:$B,"="&amp;'Покупки по дням'!AJ$2)</f>
        <v>0</v>
      </c>
      <c r="AK84">
        <f>SUMIFS(data!$C:$C,data!$A:$A,"="&amp;'Покупки по дням'!$B84,data!$B:$B,"="&amp;'Покупки по дням'!AK$2)</f>
        <v>1</v>
      </c>
      <c r="AL84">
        <f>SUMIFS(data!$C:$C,data!$A:$A,"="&amp;'Покупки по дням'!$B84,data!$B:$B,"="&amp;'Покупки по дням'!AL$2)</f>
        <v>8</v>
      </c>
      <c r="AM84">
        <f>SUMIFS(data!$C:$C,data!$A:$A,"="&amp;'Покупки по дням'!$B84,data!$B:$B,"="&amp;'Покупки по дням'!AM$2)</f>
        <v>0</v>
      </c>
      <c r="AN84">
        <f>SUMIFS(data!$C:$C,data!$A:$A,"="&amp;'Покупки по дням'!$B84,data!$B:$B,"="&amp;'Покупки по дням'!AN$2)</f>
        <v>1</v>
      </c>
      <c r="AO84">
        <f>SUMIFS(data!$C:$C,data!$A:$A,"="&amp;'Покупки по дням'!$B84,data!$B:$B,"="&amp;'Покупки по дням'!AO$2)</f>
        <v>1</v>
      </c>
      <c r="AP84">
        <f>SUMIFS(data!$C:$C,data!$A:$A,"="&amp;'Покупки по дням'!$B84,data!$B:$B,"="&amp;'Покупки по дням'!AP$2)</f>
        <v>0</v>
      </c>
      <c r="AQ84" s="6">
        <f t="shared" si="1"/>
        <v>1.9040877060718335</v>
      </c>
    </row>
    <row r="85" spans="2:43" ht="28.8" x14ac:dyDescent="0.3">
      <c r="B85" s="17" t="s">
        <v>106</v>
      </c>
      <c r="C85">
        <f>SUMIFS(data!$C:$C,data!$A:$A,"="&amp;'Покупки по дням'!$B85,data!$B:$B,"="&amp;'Покупки по дням'!C$2)</f>
        <v>2</v>
      </c>
      <c r="D85">
        <f>SUMIFS(data!$C:$C,data!$A:$A,"="&amp;'Покупки по дням'!$B85,data!$B:$B,"="&amp;'Покупки по дням'!D$2)</f>
        <v>2</v>
      </c>
      <c r="E85">
        <f>SUMIFS(data!$C:$C,data!$A:$A,"="&amp;'Покупки по дням'!$B85,data!$B:$B,"="&amp;'Покупки по дням'!E$2)</f>
        <v>1</v>
      </c>
      <c r="F85">
        <f>SUMIFS(data!$C:$C,data!$A:$A,"="&amp;'Покупки по дням'!$B85,data!$B:$B,"="&amp;'Покупки по дням'!F$2)</f>
        <v>2</v>
      </c>
      <c r="G85">
        <f>SUMIFS(data!$C:$C,data!$A:$A,"="&amp;'Покупки по дням'!$B85,data!$B:$B,"="&amp;'Покупки по дням'!G$2)</f>
        <v>3</v>
      </c>
      <c r="H85">
        <f>SUMIFS(data!$C:$C,data!$A:$A,"="&amp;'Покупки по дням'!$B85,data!$B:$B,"="&amp;'Покупки по дням'!H$2)</f>
        <v>0</v>
      </c>
      <c r="I85">
        <f>SUMIFS(data!$C:$C,data!$A:$A,"="&amp;'Покупки по дням'!$B85,data!$B:$B,"="&amp;'Покупки по дням'!I$2)</f>
        <v>2</v>
      </c>
      <c r="J85">
        <f>SUMIFS(data!$C:$C,data!$A:$A,"="&amp;'Покупки по дням'!$B85,data!$B:$B,"="&amp;'Покупки по дням'!J$2)</f>
        <v>1</v>
      </c>
      <c r="K85">
        <f>SUMIFS(data!$C:$C,data!$A:$A,"="&amp;'Покупки по дням'!$B85,data!$B:$B,"="&amp;'Покупки по дням'!K$2)</f>
        <v>0</v>
      </c>
      <c r="L85">
        <f>SUMIFS(data!$C:$C,data!$A:$A,"="&amp;'Покупки по дням'!$B85,data!$B:$B,"="&amp;'Покупки по дням'!L$2)</f>
        <v>3</v>
      </c>
      <c r="M85">
        <f>SUMIFS(data!$C:$C,data!$A:$A,"="&amp;'Покупки по дням'!$B85,data!$B:$B,"="&amp;'Покупки по дням'!M$2)</f>
        <v>3</v>
      </c>
      <c r="N85">
        <f>SUMIFS(data!$C:$C,data!$A:$A,"="&amp;'Покупки по дням'!$B85,data!$B:$B,"="&amp;'Покупки по дням'!N$2)</f>
        <v>1</v>
      </c>
      <c r="O85">
        <f>SUMIFS(data!$C:$C,data!$A:$A,"="&amp;'Покупки по дням'!$B85,data!$B:$B,"="&amp;'Покупки по дням'!O$2)</f>
        <v>0</v>
      </c>
      <c r="P85">
        <f>SUMIFS(data!$C:$C,data!$A:$A,"="&amp;'Покупки по дням'!$B85,data!$B:$B,"="&amp;'Покупки по дням'!P$2)</f>
        <v>1</v>
      </c>
      <c r="Q85">
        <f>SUMIFS(data!$C:$C,data!$A:$A,"="&amp;'Покупки по дням'!$B85,data!$B:$B,"="&amp;'Покупки по дням'!Q$2)</f>
        <v>0</v>
      </c>
      <c r="R85">
        <f>SUMIFS(data!$C:$C,data!$A:$A,"="&amp;'Покупки по дням'!$B85,data!$B:$B,"="&amp;'Покупки по дням'!R$2)</f>
        <v>3</v>
      </c>
      <c r="S85">
        <f>SUMIFS(data!$C:$C,data!$A:$A,"="&amp;'Покупки по дням'!$B85,data!$B:$B,"="&amp;'Покупки по дням'!S$2)</f>
        <v>3</v>
      </c>
      <c r="T85">
        <f>SUMIFS(data!$C:$C,data!$A:$A,"="&amp;'Покупки по дням'!$B85,data!$B:$B,"="&amp;'Покупки по дням'!T$2)</f>
        <v>5</v>
      </c>
      <c r="U85">
        <f>SUMIFS(data!$C:$C,data!$A:$A,"="&amp;'Покупки по дням'!$B85,data!$B:$B,"="&amp;'Покупки по дням'!U$2)</f>
        <v>1</v>
      </c>
      <c r="V85">
        <f>SUMIFS(data!$C:$C,data!$A:$A,"="&amp;'Покупки по дням'!$B85,data!$B:$B,"="&amp;'Покупки по дням'!V$2)</f>
        <v>1</v>
      </c>
      <c r="W85">
        <f>SUMIFS(data!$C:$C,data!$A:$A,"="&amp;'Покупки по дням'!$B85,data!$B:$B,"="&amp;'Покупки по дням'!W$2)</f>
        <v>2</v>
      </c>
      <c r="X85">
        <f>SUMIFS(data!$C:$C,data!$A:$A,"="&amp;'Покупки по дням'!$B85,data!$B:$B,"="&amp;'Покупки по дням'!X$2)</f>
        <v>1</v>
      </c>
      <c r="Y85">
        <f>SUMIFS(data!$C:$C,data!$A:$A,"="&amp;'Покупки по дням'!$B85,data!$B:$B,"="&amp;'Покупки по дням'!Y$2)</f>
        <v>0</v>
      </c>
      <c r="Z85">
        <f>SUMIFS(data!$C:$C,data!$A:$A,"="&amp;'Покупки по дням'!$B85,data!$B:$B,"="&amp;'Покупки по дням'!Z$2)</f>
        <v>2</v>
      </c>
      <c r="AA85">
        <f>SUMIFS(data!$C:$C,data!$A:$A,"="&amp;'Покупки по дням'!$B85,data!$B:$B,"="&amp;'Покупки по дням'!AA$2)</f>
        <v>1</v>
      </c>
      <c r="AB85">
        <f>SUMIFS(data!$C:$C,data!$A:$A,"="&amp;'Покупки по дням'!$B85,data!$B:$B,"="&amp;'Покупки по дням'!AB$2)</f>
        <v>2</v>
      </c>
      <c r="AC85">
        <f>SUMIFS(data!$C:$C,data!$A:$A,"="&amp;'Покупки по дням'!$B85,data!$B:$B,"="&amp;'Покупки по дням'!AC$2)</f>
        <v>0</v>
      </c>
      <c r="AD85">
        <f>SUMIFS(data!$C:$C,data!$A:$A,"="&amp;'Покупки по дням'!$B85,data!$B:$B,"="&amp;'Покупки по дням'!AD$2)</f>
        <v>3</v>
      </c>
      <c r="AE85">
        <f>SUMIFS(data!$C:$C,data!$A:$A,"="&amp;'Покупки по дням'!$B85,data!$B:$B,"="&amp;'Покупки по дням'!AE$2)</f>
        <v>1</v>
      </c>
      <c r="AF85">
        <f>SUMIFS(data!$C:$C,data!$A:$A,"="&amp;'Покупки по дням'!$B85,data!$B:$B,"="&amp;'Покупки по дням'!AF$2)</f>
        <v>2</v>
      </c>
      <c r="AG85">
        <f>SUMIFS(data!$C:$C,data!$A:$A,"="&amp;'Покупки по дням'!$B85,data!$B:$B,"="&amp;'Покупки по дням'!AG$2)</f>
        <v>0</v>
      </c>
      <c r="AH85">
        <f>SUMIFS(data!$C:$C,data!$A:$A,"="&amp;'Покупки по дням'!$B85,data!$B:$B,"="&amp;'Покупки по дням'!AH$2)</f>
        <v>4</v>
      </c>
      <c r="AI85">
        <f>SUMIFS(data!$C:$C,data!$A:$A,"="&amp;'Покупки по дням'!$B85,data!$B:$B,"="&amp;'Покупки по дням'!AI$2)</f>
        <v>1</v>
      </c>
      <c r="AJ85">
        <f>SUMIFS(data!$C:$C,data!$A:$A,"="&amp;'Покупки по дням'!$B85,data!$B:$B,"="&amp;'Покупки по дням'!AJ$2)</f>
        <v>1</v>
      </c>
      <c r="AK85">
        <f>SUMIFS(data!$C:$C,data!$A:$A,"="&amp;'Покупки по дням'!$B85,data!$B:$B,"="&amp;'Покупки по дням'!AK$2)</f>
        <v>1</v>
      </c>
      <c r="AL85">
        <f>SUMIFS(data!$C:$C,data!$A:$A,"="&amp;'Покупки по дням'!$B85,data!$B:$B,"="&amp;'Покупки по дням'!AL$2)</f>
        <v>2</v>
      </c>
      <c r="AM85">
        <f>SUMIFS(data!$C:$C,data!$A:$A,"="&amp;'Покупки по дням'!$B85,data!$B:$B,"="&amp;'Покупки по дням'!AM$2)</f>
        <v>5</v>
      </c>
      <c r="AN85">
        <f>SUMIFS(data!$C:$C,data!$A:$A,"="&amp;'Покупки по дням'!$B85,data!$B:$B,"="&amp;'Покупки по дням'!AN$2)</f>
        <v>2</v>
      </c>
      <c r="AO85">
        <f>SUMIFS(data!$C:$C,data!$A:$A,"="&amp;'Покупки по дням'!$B85,data!$B:$B,"="&amp;'Покупки по дням'!AO$2)</f>
        <v>4.8</v>
      </c>
      <c r="AP85">
        <f>SUMIFS(data!$C:$C,data!$A:$A,"="&amp;'Покупки по дням'!$B85,data!$B:$B,"="&amp;'Покупки по дням'!AP$2)</f>
        <v>4</v>
      </c>
      <c r="AQ85" s="6">
        <f t="shared" si="1"/>
        <v>0.77974539013049293</v>
      </c>
    </row>
    <row r="86" spans="2:43" x14ac:dyDescent="0.3">
      <c r="B86" s="17" t="s">
        <v>145</v>
      </c>
      <c r="C86">
        <f>SUMIFS(data!$C:$C,data!$A:$A,"="&amp;'Покупки по дням'!$B86,data!$B:$B,"="&amp;'Покупки по дням'!C$2)</f>
        <v>0</v>
      </c>
      <c r="D86">
        <f>SUMIFS(data!$C:$C,data!$A:$A,"="&amp;'Покупки по дням'!$B86,data!$B:$B,"="&amp;'Покупки по дням'!D$2)</f>
        <v>0</v>
      </c>
      <c r="E86">
        <f>SUMIFS(data!$C:$C,data!$A:$A,"="&amp;'Покупки по дням'!$B86,data!$B:$B,"="&amp;'Покупки по дням'!E$2)</f>
        <v>4</v>
      </c>
      <c r="F86">
        <f>SUMIFS(data!$C:$C,data!$A:$A,"="&amp;'Покупки по дням'!$B86,data!$B:$B,"="&amp;'Покупки по дням'!F$2)</f>
        <v>0</v>
      </c>
      <c r="G86">
        <f>SUMIFS(data!$C:$C,data!$A:$A,"="&amp;'Покупки по дням'!$B86,data!$B:$B,"="&amp;'Покупки по дням'!G$2)</f>
        <v>2</v>
      </c>
      <c r="H86">
        <f>SUMIFS(data!$C:$C,data!$A:$A,"="&amp;'Покупки по дням'!$B86,data!$B:$B,"="&amp;'Покупки по дням'!H$2)</f>
        <v>2</v>
      </c>
      <c r="I86">
        <f>SUMIFS(data!$C:$C,data!$A:$A,"="&amp;'Покупки по дням'!$B86,data!$B:$B,"="&amp;'Покупки по дням'!I$2)</f>
        <v>1</v>
      </c>
      <c r="J86">
        <f>SUMIFS(data!$C:$C,data!$A:$A,"="&amp;'Покупки по дням'!$B86,data!$B:$B,"="&amp;'Покупки по дням'!J$2)</f>
        <v>1</v>
      </c>
      <c r="K86">
        <f>SUMIFS(data!$C:$C,data!$A:$A,"="&amp;'Покупки по дням'!$B86,data!$B:$B,"="&amp;'Покупки по дням'!K$2)</f>
        <v>0</v>
      </c>
      <c r="L86">
        <f>SUMIFS(data!$C:$C,data!$A:$A,"="&amp;'Покупки по дням'!$B86,data!$B:$B,"="&amp;'Покупки по дням'!L$2)</f>
        <v>2</v>
      </c>
      <c r="M86">
        <f>SUMIFS(data!$C:$C,data!$A:$A,"="&amp;'Покупки по дням'!$B86,data!$B:$B,"="&amp;'Покупки по дням'!M$2)</f>
        <v>2</v>
      </c>
      <c r="N86">
        <f>SUMIFS(data!$C:$C,data!$A:$A,"="&amp;'Покупки по дням'!$B86,data!$B:$B,"="&amp;'Покупки по дням'!N$2)</f>
        <v>0</v>
      </c>
      <c r="O86">
        <f>SUMIFS(data!$C:$C,data!$A:$A,"="&amp;'Покупки по дням'!$B86,data!$B:$B,"="&amp;'Покупки по дням'!O$2)</f>
        <v>2</v>
      </c>
      <c r="P86">
        <f>SUMIFS(data!$C:$C,data!$A:$A,"="&amp;'Покупки по дням'!$B86,data!$B:$B,"="&amp;'Покупки по дням'!P$2)</f>
        <v>2</v>
      </c>
      <c r="Q86">
        <f>SUMIFS(data!$C:$C,data!$A:$A,"="&amp;'Покупки по дням'!$B86,data!$B:$B,"="&amp;'Покупки по дням'!Q$2)</f>
        <v>0</v>
      </c>
      <c r="R86">
        <f>SUMIFS(data!$C:$C,data!$A:$A,"="&amp;'Покупки по дням'!$B86,data!$B:$B,"="&amp;'Покупки по дням'!R$2)</f>
        <v>1</v>
      </c>
      <c r="S86">
        <f>SUMIFS(data!$C:$C,data!$A:$A,"="&amp;'Покупки по дням'!$B86,data!$B:$B,"="&amp;'Покупки по дням'!S$2)</f>
        <v>7</v>
      </c>
      <c r="T86">
        <f>SUMIFS(data!$C:$C,data!$A:$A,"="&amp;'Покупки по дням'!$B86,data!$B:$B,"="&amp;'Покупки по дням'!T$2)</f>
        <v>1</v>
      </c>
      <c r="U86">
        <f>SUMIFS(data!$C:$C,data!$A:$A,"="&amp;'Покупки по дням'!$B86,data!$B:$B,"="&amp;'Покупки по дням'!U$2)</f>
        <v>0</v>
      </c>
      <c r="V86">
        <f>SUMIFS(data!$C:$C,data!$A:$A,"="&amp;'Покупки по дням'!$B86,data!$B:$B,"="&amp;'Покупки по дням'!V$2)</f>
        <v>0</v>
      </c>
      <c r="W86">
        <f>SUMIFS(data!$C:$C,data!$A:$A,"="&amp;'Покупки по дням'!$B86,data!$B:$B,"="&amp;'Покупки по дням'!W$2)</f>
        <v>1</v>
      </c>
      <c r="X86">
        <f>SUMIFS(data!$C:$C,data!$A:$A,"="&amp;'Покупки по дням'!$B86,data!$B:$B,"="&amp;'Покупки по дням'!X$2)</f>
        <v>0</v>
      </c>
      <c r="Y86">
        <f>SUMIFS(data!$C:$C,data!$A:$A,"="&amp;'Покупки по дням'!$B86,data!$B:$B,"="&amp;'Покупки по дням'!Y$2)</f>
        <v>0</v>
      </c>
      <c r="Z86">
        <f>SUMIFS(data!$C:$C,data!$A:$A,"="&amp;'Покупки по дням'!$B86,data!$B:$B,"="&amp;'Покупки по дням'!Z$2)</f>
        <v>2</v>
      </c>
      <c r="AA86">
        <f>SUMIFS(data!$C:$C,data!$A:$A,"="&amp;'Покупки по дням'!$B86,data!$B:$B,"="&amp;'Покупки по дням'!AA$2)</f>
        <v>0</v>
      </c>
      <c r="AB86">
        <f>SUMIFS(data!$C:$C,data!$A:$A,"="&amp;'Покупки по дням'!$B86,data!$B:$B,"="&amp;'Покупки по дням'!AB$2)</f>
        <v>0</v>
      </c>
      <c r="AC86">
        <f>SUMIFS(data!$C:$C,data!$A:$A,"="&amp;'Покупки по дням'!$B86,data!$B:$B,"="&amp;'Покупки по дням'!AC$2)</f>
        <v>2</v>
      </c>
      <c r="AD86">
        <f>SUMIFS(data!$C:$C,data!$A:$A,"="&amp;'Покупки по дням'!$B86,data!$B:$B,"="&amp;'Покупки по дням'!AD$2)</f>
        <v>0</v>
      </c>
      <c r="AE86">
        <f>SUMIFS(data!$C:$C,data!$A:$A,"="&amp;'Покупки по дням'!$B86,data!$B:$B,"="&amp;'Покупки по дням'!AE$2)</f>
        <v>0</v>
      </c>
      <c r="AF86">
        <f>SUMIFS(data!$C:$C,data!$A:$A,"="&amp;'Покупки по дням'!$B86,data!$B:$B,"="&amp;'Покупки по дням'!AF$2)</f>
        <v>1</v>
      </c>
      <c r="AG86">
        <f>SUMIFS(data!$C:$C,data!$A:$A,"="&amp;'Покупки по дням'!$B86,data!$B:$B,"="&amp;'Покупки по дням'!AG$2)</f>
        <v>50</v>
      </c>
      <c r="AH86">
        <f>SUMIFS(data!$C:$C,data!$A:$A,"="&amp;'Покупки по дням'!$B86,data!$B:$B,"="&amp;'Покупки по дням'!AH$2)</f>
        <v>0</v>
      </c>
      <c r="AI86">
        <f>SUMIFS(data!$C:$C,data!$A:$A,"="&amp;'Покупки по дням'!$B86,data!$B:$B,"="&amp;'Покупки по дням'!AI$2)</f>
        <v>1</v>
      </c>
      <c r="AJ86">
        <f>SUMIFS(data!$C:$C,data!$A:$A,"="&amp;'Покупки по дням'!$B86,data!$B:$B,"="&amp;'Покупки по дням'!AJ$2)</f>
        <v>5</v>
      </c>
      <c r="AK86">
        <f>SUMIFS(data!$C:$C,data!$A:$A,"="&amp;'Покупки по дням'!$B86,data!$B:$B,"="&amp;'Покупки по дням'!AK$2)</f>
        <v>0</v>
      </c>
      <c r="AL86">
        <f>SUMIFS(data!$C:$C,data!$A:$A,"="&amp;'Покупки по дням'!$B86,data!$B:$B,"="&amp;'Покупки по дням'!AL$2)</f>
        <v>1</v>
      </c>
      <c r="AM86">
        <f>SUMIFS(data!$C:$C,data!$A:$A,"="&amp;'Покупки по дням'!$B86,data!$B:$B,"="&amp;'Покупки по дням'!AM$2)</f>
        <v>1</v>
      </c>
      <c r="AN86">
        <f>SUMIFS(data!$C:$C,data!$A:$A,"="&amp;'Покупки по дням'!$B86,data!$B:$B,"="&amp;'Покупки по дням'!AN$2)</f>
        <v>3</v>
      </c>
      <c r="AO86">
        <f>SUMIFS(data!$C:$C,data!$A:$A,"="&amp;'Покупки по дням'!$B86,data!$B:$B,"="&amp;'Покупки по дням'!AO$2)</f>
        <v>0</v>
      </c>
      <c r="AP86">
        <f>SUMIFS(data!$C:$C,data!$A:$A,"="&amp;'Покупки по дням'!$B86,data!$B:$B,"="&amp;'Покупки по дням'!AP$2)</f>
        <v>0</v>
      </c>
      <c r="AQ86" s="6">
        <f t="shared" si="1"/>
        <v>3.3514037011897857</v>
      </c>
    </row>
    <row r="87" spans="2:43" ht="28.8" x14ac:dyDescent="0.3">
      <c r="B87" s="17" t="s">
        <v>49</v>
      </c>
      <c r="C87">
        <f>SUMIFS(data!$C:$C,data!$A:$A,"="&amp;'Покупки по дням'!$B87,data!$B:$B,"="&amp;'Покупки по дням'!C$2)</f>
        <v>4</v>
      </c>
      <c r="D87">
        <f>SUMIFS(data!$C:$C,data!$A:$A,"="&amp;'Покупки по дням'!$B87,data!$B:$B,"="&amp;'Покупки по дням'!D$2)</f>
        <v>0</v>
      </c>
      <c r="E87">
        <f>SUMIFS(data!$C:$C,data!$A:$A,"="&amp;'Покупки по дням'!$B87,data!$B:$B,"="&amp;'Покупки по дням'!E$2)</f>
        <v>3</v>
      </c>
      <c r="F87">
        <f>SUMIFS(data!$C:$C,data!$A:$A,"="&amp;'Покупки по дням'!$B87,data!$B:$B,"="&amp;'Покупки по дням'!F$2)</f>
        <v>5</v>
      </c>
      <c r="G87">
        <f>SUMIFS(data!$C:$C,data!$A:$A,"="&amp;'Покупки по дням'!$B87,data!$B:$B,"="&amp;'Покупки по дням'!G$2)</f>
        <v>4</v>
      </c>
      <c r="H87">
        <f>SUMIFS(data!$C:$C,data!$A:$A,"="&amp;'Покупки по дням'!$B87,data!$B:$B,"="&amp;'Покупки по дням'!H$2)</f>
        <v>0</v>
      </c>
      <c r="I87">
        <f>SUMIFS(data!$C:$C,data!$A:$A,"="&amp;'Покупки по дням'!$B87,data!$B:$B,"="&amp;'Покупки по дням'!I$2)</f>
        <v>0</v>
      </c>
      <c r="J87">
        <f>SUMIFS(data!$C:$C,data!$A:$A,"="&amp;'Покупки по дням'!$B87,data!$B:$B,"="&amp;'Покупки по дням'!J$2)</f>
        <v>3</v>
      </c>
      <c r="K87">
        <f>SUMIFS(data!$C:$C,data!$A:$A,"="&amp;'Покупки по дням'!$B87,data!$B:$B,"="&amp;'Покупки по дням'!K$2)</f>
        <v>0</v>
      </c>
      <c r="L87">
        <f>SUMIFS(data!$C:$C,data!$A:$A,"="&amp;'Покупки по дням'!$B87,data!$B:$B,"="&amp;'Покупки по дням'!L$2)</f>
        <v>0</v>
      </c>
      <c r="M87">
        <f>SUMIFS(data!$C:$C,data!$A:$A,"="&amp;'Покупки по дням'!$B87,data!$B:$B,"="&amp;'Покупки по дням'!M$2)</f>
        <v>1</v>
      </c>
      <c r="N87">
        <f>SUMIFS(data!$C:$C,data!$A:$A,"="&amp;'Покупки по дням'!$B87,data!$B:$B,"="&amp;'Покупки по дням'!N$2)</f>
        <v>3</v>
      </c>
      <c r="O87">
        <f>SUMIFS(data!$C:$C,data!$A:$A,"="&amp;'Покупки по дням'!$B87,data!$B:$B,"="&amp;'Покупки по дням'!O$2)</f>
        <v>4</v>
      </c>
      <c r="P87">
        <f>SUMIFS(data!$C:$C,data!$A:$A,"="&amp;'Покупки по дням'!$B87,data!$B:$B,"="&amp;'Покупки по дням'!P$2)</f>
        <v>4</v>
      </c>
      <c r="Q87">
        <f>SUMIFS(data!$C:$C,data!$A:$A,"="&amp;'Покупки по дням'!$B87,data!$B:$B,"="&amp;'Покупки по дням'!Q$2)</f>
        <v>2</v>
      </c>
      <c r="R87">
        <f>SUMIFS(data!$C:$C,data!$A:$A,"="&amp;'Покупки по дням'!$B87,data!$B:$B,"="&amp;'Покупки по дням'!R$2)</f>
        <v>8</v>
      </c>
      <c r="S87">
        <f>SUMIFS(data!$C:$C,data!$A:$A,"="&amp;'Покупки по дням'!$B87,data!$B:$B,"="&amp;'Покупки по дням'!S$2)</f>
        <v>9</v>
      </c>
      <c r="T87">
        <f>SUMIFS(data!$C:$C,data!$A:$A,"="&amp;'Покупки по дням'!$B87,data!$B:$B,"="&amp;'Покупки по дням'!T$2)</f>
        <v>10</v>
      </c>
      <c r="U87">
        <f>SUMIFS(data!$C:$C,data!$A:$A,"="&amp;'Покупки по дням'!$B87,data!$B:$B,"="&amp;'Покупки по дням'!U$2)</f>
        <v>1</v>
      </c>
      <c r="V87">
        <f>SUMIFS(data!$C:$C,data!$A:$A,"="&amp;'Покупки по дням'!$B87,data!$B:$B,"="&amp;'Покупки по дням'!V$2)</f>
        <v>3</v>
      </c>
      <c r="W87">
        <f>SUMIFS(data!$C:$C,data!$A:$A,"="&amp;'Покупки по дням'!$B87,data!$B:$B,"="&amp;'Покупки по дням'!W$2)</f>
        <v>0</v>
      </c>
      <c r="X87">
        <f>SUMIFS(data!$C:$C,data!$A:$A,"="&amp;'Покупки по дням'!$B87,data!$B:$B,"="&amp;'Покупки по дням'!X$2)</f>
        <v>0</v>
      </c>
      <c r="Y87">
        <f>SUMIFS(data!$C:$C,data!$A:$A,"="&amp;'Покупки по дням'!$B87,data!$B:$B,"="&amp;'Покупки по дням'!Y$2)</f>
        <v>3</v>
      </c>
      <c r="Z87">
        <f>SUMIFS(data!$C:$C,data!$A:$A,"="&amp;'Покупки по дням'!$B87,data!$B:$B,"="&amp;'Покупки по дням'!Z$2)</f>
        <v>3</v>
      </c>
      <c r="AA87">
        <f>SUMIFS(data!$C:$C,data!$A:$A,"="&amp;'Покупки по дням'!$B87,data!$B:$B,"="&amp;'Покупки по дням'!AA$2)</f>
        <v>3</v>
      </c>
      <c r="AB87">
        <f>SUMIFS(data!$C:$C,data!$A:$A,"="&amp;'Покупки по дням'!$B87,data!$B:$B,"="&amp;'Покупки по дням'!AB$2)</f>
        <v>6</v>
      </c>
      <c r="AC87">
        <f>SUMIFS(data!$C:$C,data!$A:$A,"="&amp;'Покупки по дням'!$B87,data!$B:$B,"="&amp;'Покупки по дням'!AC$2)</f>
        <v>0</v>
      </c>
      <c r="AD87">
        <f>SUMIFS(data!$C:$C,data!$A:$A,"="&amp;'Покупки по дням'!$B87,data!$B:$B,"="&amp;'Покупки по дням'!AD$2)</f>
        <v>2</v>
      </c>
      <c r="AE87">
        <f>SUMIFS(data!$C:$C,data!$A:$A,"="&amp;'Покупки по дням'!$B87,data!$B:$B,"="&amp;'Покупки по дням'!AE$2)</f>
        <v>4</v>
      </c>
      <c r="AF87">
        <f>SUMIFS(data!$C:$C,data!$A:$A,"="&amp;'Покупки по дням'!$B87,data!$B:$B,"="&amp;'Покупки по дням'!AF$2)</f>
        <v>7</v>
      </c>
      <c r="AG87">
        <f>SUMIFS(data!$C:$C,data!$A:$A,"="&amp;'Покупки по дням'!$B87,data!$B:$B,"="&amp;'Покупки по дням'!AG$2)</f>
        <v>3</v>
      </c>
      <c r="AH87">
        <f>SUMIFS(data!$C:$C,data!$A:$A,"="&amp;'Покупки по дням'!$B87,data!$B:$B,"="&amp;'Покупки по дням'!AH$2)</f>
        <v>0</v>
      </c>
      <c r="AI87">
        <f>SUMIFS(data!$C:$C,data!$A:$A,"="&amp;'Покупки по дням'!$B87,data!$B:$B,"="&amp;'Покупки по дням'!AI$2)</f>
        <v>5</v>
      </c>
      <c r="AJ87">
        <f>SUMIFS(data!$C:$C,data!$A:$A,"="&amp;'Покупки по дням'!$B87,data!$B:$B,"="&amp;'Покупки по дням'!AJ$2)</f>
        <v>9</v>
      </c>
      <c r="AK87">
        <f>SUMIFS(data!$C:$C,data!$A:$A,"="&amp;'Покупки по дням'!$B87,data!$B:$B,"="&amp;'Покупки по дням'!AK$2)</f>
        <v>2</v>
      </c>
      <c r="AL87">
        <f>SUMIFS(data!$C:$C,data!$A:$A,"="&amp;'Покупки по дням'!$B87,data!$B:$B,"="&amp;'Покупки по дням'!AL$2)</f>
        <v>3</v>
      </c>
      <c r="AM87">
        <f>SUMIFS(data!$C:$C,data!$A:$A,"="&amp;'Покупки по дням'!$B87,data!$B:$B,"="&amp;'Покупки по дням'!AM$2)</f>
        <v>2</v>
      </c>
      <c r="AN87">
        <f>SUMIFS(data!$C:$C,data!$A:$A,"="&amp;'Покупки по дням'!$B87,data!$B:$B,"="&amp;'Покупки по дням'!AN$2)</f>
        <v>2</v>
      </c>
      <c r="AO87">
        <f>SUMIFS(data!$C:$C,data!$A:$A,"="&amp;'Покупки по дням'!$B87,data!$B:$B,"="&amp;'Покупки по дням'!AO$2)</f>
        <v>6</v>
      </c>
      <c r="AP87">
        <f>SUMIFS(data!$C:$C,data!$A:$A,"="&amp;'Покупки по дням'!$B87,data!$B:$B,"="&amp;'Покупки по дням'!AP$2)</f>
        <v>3</v>
      </c>
      <c r="AQ87" s="6">
        <f t="shared" si="1"/>
        <v>0.85258185106533002</v>
      </c>
    </row>
    <row r="88" spans="2:43" ht="28.8" x14ac:dyDescent="0.3">
      <c r="B88" s="17" t="s">
        <v>10</v>
      </c>
      <c r="C88">
        <f>SUMIFS(data!$C:$C,data!$A:$A,"="&amp;'Покупки по дням'!$B88,data!$B:$B,"="&amp;'Покупки по дням'!C$2)</f>
        <v>0</v>
      </c>
      <c r="D88">
        <f>SUMIFS(data!$C:$C,data!$A:$A,"="&amp;'Покупки по дням'!$B88,data!$B:$B,"="&amp;'Покупки по дням'!D$2)</f>
        <v>3</v>
      </c>
      <c r="E88">
        <f>SUMIFS(data!$C:$C,data!$A:$A,"="&amp;'Покупки по дням'!$B88,data!$B:$B,"="&amp;'Покупки по дням'!E$2)</f>
        <v>0</v>
      </c>
      <c r="F88">
        <f>SUMIFS(data!$C:$C,data!$A:$A,"="&amp;'Покупки по дням'!$B88,data!$B:$B,"="&amp;'Покупки по дням'!F$2)</f>
        <v>1</v>
      </c>
      <c r="G88">
        <f>SUMIFS(data!$C:$C,data!$A:$A,"="&amp;'Покупки по дням'!$B88,data!$B:$B,"="&amp;'Покупки по дням'!G$2)</f>
        <v>1</v>
      </c>
      <c r="H88">
        <f>SUMIFS(data!$C:$C,data!$A:$A,"="&amp;'Покупки по дням'!$B88,data!$B:$B,"="&amp;'Покупки по дням'!H$2)</f>
        <v>2</v>
      </c>
      <c r="I88">
        <f>SUMIFS(data!$C:$C,data!$A:$A,"="&amp;'Покупки по дням'!$B88,data!$B:$B,"="&amp;'Покупки по дням'!I$2)</f>
        <v>1</v>
      </c>
      <c r="J88">
        <f>SUMIFS(data!$C:$C,data!$A:$A,"="&amp;'Покупки по дням'!$B88,data!$B:$B,"="&amp;'Покупки по дням'!J$2)</f>
        <v>5</v>
      </c>
      <c r="K88">
        <f>SUMIFS(data!$C:$C,data!$A:$A,"="&amp;'Покупки по дням'!$B88,data!$B:$B,"="&amp;'Покупки по дням'!K$2)</f>
        <v>0</v>
      </c>
      <c r="L88">
        <f>SUMIFS(data!$C:$C,data!$A:$A,"="&amp;'Покупки по дням'!$B88,data!$B:$B,"="&amp;'Покупки по дням'!L$2)</f>
        <v>3</v>
      </c>
      <c r="M88">
        <f>SUMIFS(data!$C:$C,data!$A:$A,"="&amp;'Покупки по дням'!$B88,data!$B:$B,"="&amp;'Покупки по дням'!M$2)</f>
        <v>0</v>
      </c>
      <c r="N88">
        <f>SUMIFS(data!$C:$C,data!$A:$A,"="&amp;'Покупки по дням'!$B88,data!$B:$B,"="&amp;'Покупки по дням'!N$2)</f>
        <v>0</v>
      </c>
      <c r="O88">
        <f>SUMIFS(data!$C:$C,data!$A:$A,"="&amp;'Покупки по дням'!$B88,data!$B:$B,"="&amp;'Покупки по дням'!O$2)</f>
        <v>1</v>
      </c>
      <c r="P88">
        <f>SUMIFS(data!$C:$C,data!$A:$A,"="&amp;'Покупки по дням'!$B88,data!$B:$B,"="&amp;'Покупки по дням'!P$2)</f>
        <v>6</v>
      </c>
      <c r="Q88">
        <f>SUMIFS(data!$C:$C,data!$A:$A,"="&amp;'Покупки по дням'!$B88,data!$B:$B,"="&amp;'Покупки по дням'!Q$2)</f>
        <v>6</v>
      </c>
      <c r="R88">
        <f>SUMIFS(data!$C:$C,data!$A:$A,"="&amp;'Покупки по дням'!$B88,data!$B:$B,"="&amp;'Покупки по дням'!R$2)</f>
        <v>1</v>
      </c>
      <c r="S88">
        <f>SUMIFS(data!$C:$C,data!$A:$A,"="&amp;'Покупки по дням'!$B88,data!$B:$B,"="&amp;'Покупки по дням'!S$2)</f>
        <v>3</v>
      </c>
      <c r="T88">
        <f>SUMIFS(data!$C:$C,data!$A:$A,"="&amp;'Покупки по дням'!$B88,data!$B:$B,"="&amp;'Покупки по дням'!T$2)</f>
        <v>0</v>
      </c>
      <c r="U88">
        <f>SUMIFS(data!$C:$C,data!$A:$A,"="&amp;'Покупки по дням'!$B88,data!$B:$B,"="&amp;'Покупки по дням'!U$2)</f>
        <v>1</v>
      </c>
      <c r="V88">
        <f>SUMIFS(data!$C:$C,data!$A:$A,"="&amp;'Покупки по дням'!$B88,data!$B:$B,"="&amp;'Покупки по дням'!V$2)</f>
        <v>0</v>
      </c>
      <c r="W88">
        <f>SUMIFS(data!$C:$C,data!$A:$A,"="&amp;'Покупки по дням'!$B88,data!$B:$B,"="&amp;'Покупки по дням'!W$2)</f>
        <v>3</v>
      </c>
      <c r="X88">
        <f>SUMIFS(data!$C:$C,data!$A:$A,"="&amp;'Покупки по дням'!$B88,data!$B:$B,"="&amp;'Покупки по дням'!X$2)</f>
        <v>0</v>
      </c>
      <c r="Y88">
        <f>SUMIFS(data!$C:$C,data!$A:$A,"="&amp;'Покупки по дням'!$B88,data!$B:$B,"="&amp;'Покупки по дням'!Y$2)</f>
        <v>2</v>
      </c>
      <c r="Z88">
        <f>SUMIFS(data!$C:$C,data!$A:$A,"="&amp;'Покупки по дням'!$B88,data!$B:$B,"="&amp;'Покупки по дням'!Z$2)</f>
        <v>8</v>
      </c>
      <c r="AA88">
        <f>SUMIFS(data!$C:$C,data!$A:$A,"="&amp;'Покупки по дням'!$B88,data!$B:$B,"="&amp;'Покупки по дням'!AA$2)</f>
        <v>0</v>
      </c>
      <c r="AB88">
        <f>SUMIFS(data!$C:$C,data!$A:$A,"="&amp;'Покупки по дням'!$B88,data!$B:$B,"="&amp;'Покупки по дням'!AB$2)</f>
        <v>0</v>
      </c>
      <c r="AC88">
        <f>SUMIFS(data!$C:$C,data!$A:$A,"="&amp;'Покупки по дням'!$B88,data!$B:$B,"="&amp;'Покупки по дням'!AC$2)</f>
        <v>2</v>
      </c>
      <c r="AD88">
        <f>SUMIFS(data!$C:$C,data!$A:$A,"="&amp;'Покупки по дням'!$B88,data!$B:$B,"="&amp;'Покупки по дням'!AD$2)</f>
        <v>3</v>
      </c>
      <c r="AE88">
        <f>SUMIFS(data!$C:$C,data!$A:$A,"="&amp;'Покупки по дням'!$B88,data!$B:$B,"="&amp;'Покупки по дням'!AE$2)</f>
        <v>3</v>
      </c>
      <c r="AF88">
        <f>SUMIFS(data!$C:$C,data!$A:$A,"="&amp;'Покупки по дням'!$B88,data!$B:$B,"="&amp;'Покупки по дням'!AF$2)</f>
        <v>5</v>
      </c>
      <c r="AG88">
        <f>SUMIFS(data!$C:$C,data!$A:$A,"="&amp;'Покупки по дням'!$B88,data!$B:$B,"="&amp;'Покупки по дням'!AG$2)</f>
        <v>0</v>
      </c>
      <c r="AH88">
        <f>SUMIFS(data!$C:$C,data!$A:$A,"="&amp;'Покупки по дням'!$B88,data!$B:$B,"="&amp;'Покупки по дням'!AH$2)</f>
        <v>3</v>
      </c>
      <c r="AI88">
        <f>SUMIFS(data!$C:$C,data!$A:$A,"="&amp;'Покупки по дням'!$B88,data!$B:$B,"="&amp;'Покупки по дням'!AI$2)</f>
        <v>5</v>
      </c>
      <c r="AJ88">
        <f>SUMIFS(data!$C:$C,data!$A:$A,"="&amp;'Покупки по дням'!$B88,data!$B:$B,"="&amp;'Покупки по дням'!AJ$2)</f>
        <v>2</v>
      </c>
      <c r="AK88">
        <f>SUMIFS(data!$C:$C,data!$A:$A,"="&amp;'Покупки по дням'!$B88,data!$B:$B,"="&amp;'Покупки по дням'!AK$2)</f>
        <v>2</v>
      </c>
      <c r="AL88">
        <f>SUMIFS(data!$C:$C,data!$A:$A,"="&amp;'Покупки по дням'!$B88,data!$B:$B,"="&amp;'Покупки по дням'!AL$2)</f>
        <v>3</v>
      </c>
      <c r="AM88">
        <f>SUMIFS(data!$C:$C,data!$A:$A,"="&amp;'Покупки по дням'!$B88,data!$B:$B,"="&amp;'Покупки по дням'!AM$2)</f>
        <v>1</v>
      </c>
      <c r="AN88">
        <f>SUMIFS(data!$C:$C,data!$A:$A,"="&amp;'Покупки по дням'!$B88,data!$B:$B,"="&amp;'Покупки по дням'!AN$2)</f>
        <v>3</v>
      </c>
      <c r="AO88">
        <f>SUMIFS(data!$C:$C,data!$A:$A,"="&amp;'Покупки по дням'!$B88,data!$B:$B,"="&amp;'Покупки по дням'!AO$2)</f>
        <v>2</v>
      </c>
      <c r="AP88">
        <f>SUMIFS(data!$C:$C,data!$A:$A,"="&amp;'Покупки по дням'!$B88,data!$B:$B,"="&amp;'Покупки по дням'!AP$2)</f>
        <v>4</v>
      </c>
      <c r="AQ88" s="6">
        <f t="shared" si="1"/>
        <v>0.94831381206344201</v>
      </c>
    </row>
    <row r="89" spans="2:43" ht="28.8" x14ac:dyDescent="0.3">
      <c r="B89" s="17" t="s">
        <v>118</v>
      </c>
      <c r="C89">
        <f>SUMIFS(data!$C:$C,data!$A:$A,"="&amp;'Покупки по дням'!$B89,data!$B:$B,"="&amp;'Покупки по дням'!C$2)</f>
        <v>4</v>
      </c>
      <c r="D89">
        <f>SUMIFS(data!$C:$C,data!$A:$A,"="&amp;'Покупки по дням'!$B89,data!$B:$B,"="&amp;'Покупки по дням'!D$2)</f>
        <v>9</v>
      </c>
      <c r="E89">
        <f>SUMIFS(data!$C:$C,data!$A:$A,"="&amp;'Покупки по дням'!$B89,data!$B:$B,"="&amp;'Покупки по дням'!E$2)</f>
        <v>7</v>
      </c>
      <c r="F89">
        <f>SUMIFS(data!$C:$C,data!$A:$A,"="&amp;'Покупки по дням'!$B89,data!$B:$B,"="&amp;'Покупки по дням'!F$2)</f>
        <v>3</v>
      </c>
      <c r="G89">
        <f>SUMIFS(data!$C:$C,data!$A:$A,"="&amp;'Покупки по дням'!$B89,data!$B:$B,"="&amp;'Покупки по дням'!G$2)</f>
        <v>2</v>
      </c>
      <c r="H89">
        <f>SUMIFS(data!$C:$C,data!$A:$A,"="&amp;'Покупки по дням'!$B89,data!$B:$B,"="&amp;'Покупки по дням'!H$2)</f>
        <v>0</v>
      </c>
      <c r="I89">
        <f>SUMIFS(data!$C:$C,data!$A:$A,"="&amp;'Покупки по дням'!$B89,data!$B:$B,"="&amp;'Покупки по дням'!I$2)</f>
        <v>4</v>
      </c>
      <c r="J89">
        <f>SUMIFS(data!$C:$C,data!$A:$A,"="&amp;'Покупки по дням'!$B89,data!$B:$B,"="&amp;'Покупки по дням'!J$2)</f>
        <v>7</v>
      </c>
      <c r="K89">
        <f>SUMIFS(data!$C:$C,data!$A:$A,"="&amp;'Покупки по дням'!$B89,data!$B:$B,"="&amp;'Покупки по дням'!K$2)</f>
        <v>0</v>
      </c>
      <c r="L89">
        <f>SUMIFS(data!$C:$C,data!$A:$A,"="&amp;'Покупки по дням'!$B89,data!$B:$B,"="&amp;'Покупки по дням'!L$2)</f>
        <v>2</v>
      </c>
      <c r="M89">
        <f>SUMIFS(data!$C:$C,data!$A:$A,"="&amp;'Покупки по дням'!$B89,data!$B:$B,"="&amp;'Покупки по дням'!M$2)</f>
        <v>1</v>
      </c>
      <c r="N89">
        <f>SUMIFS(data!$C:$C,data!$A:$A,"="&amp;'Покупки по дням'!$B89,data!$B:$B,"="&amp;'Покупки по дням'!N$2)</f>
        <v>9</v>
      </c>
      <c r="O89">
        <f>SUMIFS(data!$C:$C,data!$A:$A,"="&amp;'Покупки по дням'!$B89,data!$B:$B,"="&amp;'Покупки по дням'!O$2)</f>
        <v>5</v>
      </c>
      <c r="P89">
        <f>SUMIFS(data!$C:$C,data!$A:$A,"="&amp;'Покупки по дням'!$B89,data!$B:$B,"="&amp;'Покупки по дням'!P$2)</f>
        <v>10</v>
      </c>
      <c r="Q89">
        <f>SUMIFS(data!$C:$C,data!$A:$A,"="&amp;'Покупки по дням'!$B89,data!$B:$B,"="&amp;'Покупки по дням'!Q$2)</f>
        <v>5</v>
      </c>
      <c r="R89">
        <f>SUMIFS(data!$C:$C,data!$A:$A,"="&amp;'Покупки по дням'!$B89,data!$B:$B,"="&amp;'Покупки по дням'!R$2)</f>
        <v>3</v>
      </c>
      <c r="S89">
        <f>SUMIFS(data!$C:$C,data!$A:$A,"="&amp;'Покупки по дням'!$B89,data!$B:$B,"="&amp;'Покупки по дням'!S$2)</f>
        <v>9</v>
      </c>
      <c r="T89">
        <f>SUMIFS(data!$C:$C,data!$A:$A,"="&amp;'Покупки по дням'!$B89,data!$B:$B,"="&amp;'Покупки по дням'!T$2)</f>
        <v>0</v>
      </c>
      <c r="U89">
        <f>SUMIFS(data!$C:$C,data!$A:$A,"="&amp;'Покупки по дням'!$B89,data!$B:$B,"="&amp;'Покупки по дням'!U$2)</f>
        <v>1</v>
      </c>
      <c r="V89">
        <f>SUMIFS(data!$C:$C,data!$A:$A,"="&amp;'Покупки по дням'!$B89,data!$B:$B,"="&amp;'Покупки по дням'!V$2)</f>
        <v>0</v>
      </c>
      <c r="W89">
        <f>SUMIFS(data!$C:$C,data!$A:$A,"="&amp;'Покупки по дням'!$B89,data!$B:$B,"="&amp;'Покупки по дням'!W$2)</f>
        <v>0</v>
      </c>
      <c r="X89">
        <f>SUMIFS(data!$C:$C,data!$A:$A,"="&amp;'Покупки по дням'!$B89,data!$B:$B,"="&amp;'Покупки по дням'!X$2)</f>
        <v>1</v>
      </c>
      <c r="Y89">
        <f>SUMIFS(data!$C:$C,data!$A:$A,"="&amp;'Покупки по дням'!$B89,data!$B:$B,"="&amp;'Покупки по дням'!Y$2)</f>
        <v>1</v>
      </c>
      <c r="Z89">
        <f>SUMIFS(data!$C:$C,data!$A:$A,"="&amp;'Покупки по дням'!$B89,data!$B:$B,"="&amp;'Покупки по дням'!Z$2)</f>
        <v>3</v>
      </c>
      <c r="AA89">
        <f>SUMIFS(data!$C:$C,data!$A:$A,"="&amp;'Покупки по дням'!$B89,data!$B:$B,"="&amp;'Покупки по дням'!AA$2)</f>
        <v>4</v>
      </c>
      <c r="AB89">
        <f>SUMIFS(data!$C:$C,data!$A:$A,"="&amp;'Покупки по дням'!$B89,data!$B:$B,"="&amp;'Покупки по дням'!AB$2)</f>
        <v>1</v>
      </c>
      <c r="AC89">
        <f>SUMIFS(data!$C:$C,data!$A:$A,"="&amp;'Покупки по дням'!$B89,data!$B:$B,"="&amp;'Покупки по дням'!AC$2)</f>
        <v>1</v>
      </c>
      <c r="AD89">
        <f>SUMIFS(data!$C:$C,data!$A:$A,"="&amp;'Покупки по дням'!$B89,data!$B:$B,"="&amp;'Покупки по дням'!AD$2)</f>
        <v>2</v>
      </c>
      <c r="AE89">
        <f>SUMIFS(data!$C:$C,data!$A:$A,"="&amp;'Покупки по дням'!$B89,data!$B:$B,"="&amp;'Покупки по дням'!AE$2)</f>
        <v>2</v>
      </c>
      <c r="AF89">
        <f>SUMIFS(data!$C:$C,data!$A:$A,"="&amp;'Покупки по дням'!$B89,data!$B:$B,"="&amp;'Покупки по дням'!AF$2)</f>
        <v>1</v>
      </c>
      <c r="AG89">
        <f>SUMIFS(data!$C:$C,data!$A:$A,"="&amp;'Покупки по дням'!$B89,data!$B:$B,"="&amp;'Покупки по дням'!AG$2)</f>
        <v>0</v>
      </c>
      <c r="AH89">
        <f>SUMIFS(data!$C:$C,data!$A:$A,"="&amp;'Покупки по дням'!$B89,data!$B:$B,"="&amp;'Покупки по дням'!AH$2)</f>
        <v>2</v>
      </c>
      <c r="AI89">
        <f>SUMIFS(data!$C:$C,data!$A:$A,"="&amp;'Покупки по дням'!$B89,data!$B:$B,"="&amp;'Покупки по дням'!AI$2)</f>
        <v>2</v>
      </c>
      <c r="AJ89">
        <f>SUMIFS(data!$C:$C,data!$A:$A,"="&amp;'Покупки по дням'!$B89,data!$B:$B,"="&amp;'Покупки по дням'!AJ$2)</f>
        <v>2</v>
      </c>
      <c r="AK89">
        <f>SUMIFS(data!$C:$C,data!$A:$A,"="&amp;'Покупки по дням'!$B89,data!$B:$B,"="&amp;'Покупки по дням'!AK$2)</f>
        <v>6</v>
      </c>
      <c r="AL89">
        <f>SUMIFS(data!$C:$C,data!$A:$A,"="&amp;'Покупки по дням'!$B89,data!$B:$B,"="&amp;'Покупки по дням'!AL$2)</f>
        <v>3</v>
      </c>
      <c r="AM89">
        <f>SUMIFS(data!$C:$C,data!$A:$A,"="&amp;'Покупки по дням'!$B89,data!$B:$B,"="&amp;'Покупки по дням'!AM$2)</f>
        <v>4</v>
      </c>
      <c r="AN89">
        <f>SUMIFS(data!$C:$C,data!$A:$A,"="&amp;'Покупки по дням'!$B89,data!$B:$B,"="&amp;'Покупки по дням'!AN$2)</f>
        <v>5</v>
      </c>
      <c r="AO89">
        <f>SUMIFS(data!$C:$C,data!$A:$A,"="&amp;'Покупки по дням'!$B89,data!$B:$B,"="&amp;'Покупки по дням'!AO$2)</f>
        <v>1</v>
      </c>
      <c r="AP89">
        <f>SUMIFS(data!$C:$C,data!$A:$A,"="&amp;'Покупки по дням'!$B89,data!$B:$B,"="&amp;'Покупки по дням'!AP$2)</f>
        <v>2</v>
      </c>
      <c r="AQ89" s="6">
        <f t="shared" si="1"/>
        <v>0.90593944244621516</v>
      </c>
    </row>
    <row r="90" spans="2:43" ht="28.8" x14ac:dyDescent="0.3">
      <c r="B90" s="17" t="s">
        <v>153</v>
      </c>
      <c r="C90">
        <f>SUMIFS(data!$C:$C,data!$A:$A,"="&amp;'Покупки по дням'!$B90,data!$B:$B,"="&amp;'Покупки по дням'!C$2)</f>
        <v>0</v>
      </c>
      <c r="D90">
        <f>SUMIFS(data!$C:$C,data!$A:$A,"="&amp;'Покупки по дням'!$B90,data!$B:$B,"="&amp;'Покупки по дням'!D$2)</f>
        <v>0</v>
      </c>
      <c r="E90">
        <f>SUMIFS(data!$C:$C,data!$A:$A,"="&amp;'Покупки по дням'!$B90,data!$B:$B,"="&amp;'Покупки по дням'!E$2)</f>
        <v>1</v>
      </c>
      <c r="F90">
        <f>SUMIFS(data!$C:$C,data!$A:$A,"="&amp;'Покупки по дням'!$B90,data!$B:$B,"="&amp;'Покупки по дням'!F$2)</f>
        <v>2</v>
      </c>
      <c r="G90">
        <f>SUMIFS(data!$C:$C,data!$A:$A,"="&amp;'Покупки по дням'!$B90,data!$B:$B,"="&amp;'Покупки по дням'!G$2)</f>
        <v>8</v>
      </c>
      <c r="H90">
        <f>SUMIFS(data!$C:$C,data!$A:$A,"="&amp;'Покупки по дням'!$B90,data!$B:$B,"="&amp;'Покупки по дням'!H$2)</f>
        <v>10</v>
      </c>
      <c r="I90">
        <f>SUMIFS(data!$C:$C,data!$A:$A,"="&amp;'Покупки по дням'!$B90,data!$B:$B,"="&amp;'Покупки по дням'!I$2)</f>
        <v>1</v>
      </c>
      <c r="J90">
        <f>SUMIFS(data!$C:$C,data!$A:$A,"="&amp;'Покупки по дням'!$B90,data!$B:$B,"="&amp;'Покупки по дням'!J$2)</f>
        <v>2</v>
      </c>
      <c r="K90">
        <f>SUMIFS(data!$C:$C,data!$A:$A,"="&amp;'Покупки по дням'!$B90,data!$B:$B,"="&amp;'Покупки по дням'!K$2)</f>
        <v>0</v>
      </c>
      <c r="L90">
        <f>SUMIFS(data!$C:$C,data!$A:$A,"="&amp;'Покупки по дням'!$B90,data!$B:$B,"="&amp;'Покупки по дням'!L$2)</f>
        <v>5</v>
      </c>
      <c r="M90">
        <f>SUMIFS(data!$C:$C,data!$A:$A,"="&amp;'Покупки по дням'!$B90,data!$B:$B,"="&amp;'Покупки по дням'!M$2)</f>
        <v>0</v>
      </c>
      <c r="N90">
        <f>SUMIFS(data!$C:$C,data!$A:$A,"="&amp;'Покупки по дням'!$B90,data!$B:$B,"="&amp;'Покупки по дням'!N$2)</f>
        <v>7</v>
      </c>
      <c r="O90">
        <f>SUMIFS(data!$C:$C,data!$A:$A,"="&amp;'Покупки по дням'!$B90,data!$B:$B,"="&amp;'Покупки по дням'!O$2)</f>
        <v>5</v>
      </c>
      <c r="P90">
        <f>SUMIFS(data!$C:$C,data!$A:$A,"="&amp;'Покупки по дням'!$B90,data!$B:$B,"="&amp;'Покупки по дням'!P$2)</f>
        <v>6</v>
      </c>
      <c r="Q90">
        <f>SUMIFS(data!$C:$C,data!$A:$A,"="&amp;'Покупки по дням'!$B90,data!$B:$B,"="&amp;'Покупки по дням'!Q$2)</f>
        <v>1</v>
      </c>
      <c r="R90">
        <f>SUMIFS(data!$C:$C,data!$A:$A,"="&amp;'Покупки по дням'!$B90,data!$B:$B,"="&amp;'Покупки по дням'!R$2)</f>
        <v>4</v>
      </c>
      <c r="S90">
        <f>SUMIFS(data!$C:$C,data!$A:$A,"="&amp;'Покупки по дням'!$B90,data!$B:$B,"="&amp;'Покупки по дням'!S$2)</f>
        <v>3</v>
      </c>
      <c r="T90">
        <f>SUMIFS(data!$C:$C,data!$A:$A,"="&amp;'Покупки по дням'!$B90,data!$B:$B,"="&amp;'Покупки по дням'!T$2)</f>
        <v>0</v>
      </c>
      <c r="U90">
        <f>SUMIFS(data!$C:$C,data!$A:$A,"="&amp;'Покупки по дням'!$B90,data!$B:$B,"="&amp;'Покупки по дням'!U$2)</f>
        <v>0</v>
      </c>
      <c r="V90">
        <f>SUMIFS(data!$C:$C,data!$A:$A,"="&amp;'Покупки по дням'!$B90,data!$B:$B,"="&amp;'Покупки по дням'!V$2)</f>
        <v>0</v>
      </c>
      <c r="W90">
        <f>SUMIFS(data!$C:$C,data!$A:$A,"="&amp;'Покупки по дням'!$B90,data!$B:$B,"="&amp;'Покупки по дням'!W$2)</f>
        <v>4</v>
      </c>
      <c r="X90">
        <f>SUMIFS(data!$C:$C,data!$A:$A,"="&amp;'Покупки по дням'!$B90,data!$B:$B,"="&amp;'Покупки по дням'!X$2)</f>
        <v>1</v>
      </c>
      <c r="Y90">
        <f>SUMIFS(data!$C:$C,data!$A:$A,"="&amp;'Покупки по дням'!$B90,data!$B:$B,"="&amp;'Покупки по дням'!Y$2)</f>
        <v>1</v>
      </c>
      <c r="Z90">
        <f>SUMIFS(data!$C:$C,data!$A:$A,"="&amp;'Покупки по дням'!$B90,data!$B:$B,"="&amp;'Покупки по дням'!Z$2)</f>
        <v>2</v>
      </c>
      <c r="AA90">
        <f>SUMIFS(data!$C:$C,data!$A:$A,"="&amp;'Покупки по дням'!$B90,data!$B:$B,"="&amp;'Покупки по дням'!AA$2)</f>
        <v>6</v>
      </c>
      <c r="AB90">
        <f>SUMIFS(data!$C:$C,data!$A:$A,"="&amp;'Покупки по дням'!$B90,data!$B:$B,"="&amp;'Покупки по дням'!AB$2)</f>
        <v>2</v>
      </c>
      <c r="AC90">
        <f>SUMIFS(data!$C:$C,data!$A:$A,"="&amp;'Покупки по дням'!$B90,data!$B:$B,"="&amp;'Покупки по дням'!AC$2)</f>
        <v>0</v>
      </c>
      <c r="AD90">
        <f>SUMIFS(data!$C:$C,data!$A:$A,"="&amp;'Покупки по дням'!$B90,data!$B:$B,"="&amp;'Покупки по дням'!AD$2)</f>
        <v>1</v>
      </c>
      <c r="AE90">
        <f>SUMIFS(data!$C:$C,data!$A:$A,"="&amp;'Покупки по дням'!$B90,data!$B:$B,"="&amp;'Покупки по дням'!AE$2)</f>
        <v>4</v>
      </c>
      <c r="AF90">
        <f>SUMIFS(data!$C:$C,data!$A:$A,"="&amp;'Покупки по дням'!$B90,data!$B:$B,"="&amp;'Покупки по дням'!AF$2)</f>
        <v>4</v>
      </c>
      <c r="AG90">
        <f>SUMIFS(data!$C:$C,data!$A:$A,"="&amp;'Покупки по дням'!$B90,data!$B:$B,"="&amp;'Покупки по дням'!AG$2)</f>
        <v>0</v>
      </c>
      <c r="AH90">
        <f>SUMIFS(data!$C:$C,data!$A:$A,"="&amp;'Покупки по дням'!$B90,data!$B:$B,"="&amp;'Покупки по дням'!AH$2)</f>
        <v>3</v>
      </c>
      <c r="AI90">
        <f>SUMIFS(data!$C:$C,data!$A:$A,"="&amp;'Покупки по дням'!$B90,data!$B:$B,"="&amp;'Покупки по дням'!AI$2)</f>
        <v>1</v>
      </c>
      <c r="AJ90">
        <f>SUMIFS(data!$C:$C,data!$A:$A,"="&amp;'Покупки по дням'!$B90,data!$B:$B,"="&amp;'Покупки по дням'!AJ$2)</f>
        <v>0</v>
      </c>
      <c r="AK90">
        <f>SUMIFS(data!$C:$C,data!$A:$A,"="&amp;'Покупки по дням'!$B90,data!$B:$B,"="&amp;'Покупки по дням'!AK$2)</f>
        <v>0</v>
      </c>
      <c r="AL90">
        <f>SUMIFS(data!$C:$C,data!$A:$A,"="&amp;'Покупки по дням'!$B90,data!$B:$B,"="&amp;'Покупки по дням'!AL$2)</f>
        <v>0</v>
      </c>
      <c r="AM90">
        <f>SUMIFS(data!$C:$C,data!$A:$A,"="&amp;'Покупки по дням'!$B90,data!$B:$B,"="&amp;'Покупки по дням'!AM$2)</f>
        <v>0</v>
      </c>
      <c r="AN90">
        <f>SUMIFS(data!$C:$C,data!$A:$A,"="&amp;'Покупки по дням'!$B90,data!$B:$B,"="&amp;'Покупки по дням'!AN$2)</f>
        <v>1</v>
      </c>
      <c r="AO90">
        <f>SUMIFS(data!$C:$C,data!$A:$A,"="&amp;'Покупки по дням'!$B90,data!$B:$B,"="&amp;'Покупки по дням'!AO$2)</f>
        <v>0</v>
      </c>
      <c r="AP90">
        <f>SUMIFS(data!$C:$C,data!$A:$A,"="&amp;'Покупки по дням'!$B90,data!$B:$B,"="&amp;'Покупки по дням'!AP$2)</f>
        <v>0</v>
      </c>
      <c r="AQ90" s="6">
        <f t="shared" si="1"/>
        <v>1.2159295236617491</v>
      </c>
    </row>
    <row r="91" spans="2:43" ht="28.8" x14ac:dyDescent="0.3">
      <c r="B91" s="17" t="s">
        <v>88</v>
      </c>
      <c r="C91">
        <f>SUMIFS(data!$C:$C,data!$A:$A,"="&amp;'Покупки по дням'!$B91,data!$B:$B,"="&amp;'Покупки по дням'!C$2)</f>
        <v>3.2</v>
      </c>
      <c r="D91">
        <f>SUMIFS(data!$C:$C,data!$A:$A,"="&amp;'Покупки по дням'!$B91,data!$B:$B,"="&amp;'Покупки по дням'!D$2)</f>
        <v>2</v>
      </c>
      <c r="E91">
        <f>SUMIFS(data!$C:$C,data!$A:$A,"="&amp;'Покупки по дням'!$B91,data!$B:$B,"="&amp;'Покупки по дням'!E$2)</f>
        <v>2</v>
      </c>
      <c r="F91">
        <f>SUMIFS(data!$C:$C,data!$A:$A,"="&amp;'Покупки по дням'!$B91,data!$B:$B,"="&amp;'Покупки по дням'!F$2)</f>
        <v>1</v>
      </c>
      <c r="G91">
        <f>SUMIFS(data!$C:$C,data!$A:$A,"="&amp;'Покупки по дням'!$B91,data!$B:$B,"="&amp;'Покупки по дням'!G$2)</f>
        <v>0</v>
      </c>
      <c r="H91">
        <f>SUMIFS(data!$C:$C,data!$A:$A,"="&amp;'Покупки по дням'!$B91,data!$B:$B,"="&amp;'Покупки по дням'!H$2)</f>
        <v>2.5</v>
      </c>
      <c r="I91">
        <f>SUMIFS(data!$C:$C,data!$A:$A,"="&amp;'Покупки по дням'!$B91,data!$B:$B,"="&amp;'Покупки по дням'!I$2)</f>
        <v>1.1000000000000001</v>
      </c>
      <c r="J91">
        <f>SUMIFS(data!$C:$C,data!$A:$A,"="&amp;'Покупки по дням'!$B91,data!$B:$B,"="&amp;'Покупки по дням'!J$2)</f>
        <v>1</v>
      </c>
      <c r="K91">
        <f>SUMIFS(data!$C:$C,data!$A:$A,"="&amp;'Покупки по дням'!$B91,data!$B:$B,"="&amp;'Покупки по дням'!K$2)</f>
        <v>0</v>
      </c>
      <c r="L91">
        <f>SUMIFS(data!$C:$C,data!$A:$A,"="&amp;'Покупки по дням'!$B91,data!$B:$B,"="&amp;'Покупки по дням'!L$2)</f>
        <v>2</v>
      </c>
      <c r="M91">
        <f>SUMIFS(data!$C:$C,data!$A:$A,"="&amp;'Покупки по дням'!$B91,data!$B:$B,"="&amp;'Покупки по дням'!M$2)</f>
        <v>2.1</v>
      </c>
      <c r="N91">
        <f>SUMIFS(data!$C:$C,data!$A:$A,"="&amp;'Покупки по дням'!$B91,data!$B:$B,"="&amp;'Покупки по дням'!N$2)</f>
        <v>1.5</v>
      </c>
      <c r="O91">
        <f>SUMIFS(data!$C:$C,data!$A:$A,"="&amp;'Покупки по дням'!$B91,data!$B:$B,"="&amp;'Покупки по дням'!O$2)</f>
        <v>0</v>
      </c>
      <c r="P91">
        <f>SUMIFS(data!$C:$C,data!$A:$A,"="&amp;'Покупки по дням'!$B91,data!$B:$B,"="&amp;'Покупки по дням'!P$2)</f>
        <v>0</v>
      </c>
      <c r="Q91">
        <f>SUMIFS(data!$C:$C,data!$A:$A,"="&amp;'Покупки по дням'!$B91,data!$B:$B,"="&amp;'Покупки по дням'!Q$2)</f>
        <v>3</v>
      </c>
      <c r="R91">
        <f>SUMIFS(data!$C:$C,data!$A:$A,"="&amp;'Покупки по дням'!$B91,data!$B:$B,"="&amp;'Покупки по дням'!R$2)</f>
        <v>0.2</v>
      </c>
      <c r="S91">
        <f>SUMIFS(data!$C:$C,data!$A:$A,"="&amp;'Покупки по дням'!$B91,data!$B:$B,"="&amp;'Покупки по дням'!S$2)</f>
        <v>2.5</v>
      </c>
      <c r="T91">
        <f>SUMIFS(data!$C:$C,data!$A:$A,"="&amp;'Покупки по дням'!$B91,data!$B:$B,"="&amp;'Покупки по дням'!T$2)</f>
        <v>0</v>
      </c>
      <c r="U91">
        <f>SUMIFS(data!$C:$C,data!$A:$A,"="&amp;'Покупки по дням'!$B91,data!$B:$B,"="&amp;'Покупки по дням'!U$2)</f>
        <v>1</v>
      </c>
      <c r="V91">
        <f>SUMIFS(data!$C:$C,data!$A:$A,"="&amp;'Покупки по дням'!$B91,data!$B:$B,"="&amp;'Покупки по дням'!V$2)</f>
        <v>2.7</v>
      </c>
      <c r="W91">
        <f>SUMIFS(data!$C:$C,data!$A:$A,"="&amp;'Покупки по дням'!$B91,data!$B:$B,"="&amp;'Покупки по дням'!W$2)</f>
        <v>0.4</v>
      </c>
      <c r="X91">
        <f>SUMIFS(data!$C:$C,data!$A:$A,"="&amp;'Покупки по дням'!$B91,data!$B:$B,"="&amp;'Покупки по дням'!X$2)</f>
        <v>1.7</v>
      </c>
      <c r="Y91">
        <f>SUMIFS(data!$C:$C,data!$A:$A,"="&amp;'Покупки по дням'!$B91,data!$B:$B,"="&amp;'Покупки по дням'!Y$2)</f>
        <v>0</v>
      </c>
      <c r="Z91">
        <f>SUMIFS(data!$C:$C,data!$A:$A,"="&amp;'Покупки по дням'!$B91,data!$B:$B,"="&amp;'Покупки по дням'!Z$2)</f>
        <v>0</v>
      </c>
      <c r="AA91">
        <f>SUMIFS(data!$C:$C,data!$A:$A,"="&amp;'Покупки по дням'!$B91,data!$B:$B,"="&amp;'Покупки по дням'!AA$2)</f>
        <v>0</v>
      </c>
      <c r="AB91">
        <f>SUMIFS(data!$C:$C,data!$A:$A,"="&amp;'Покупки по дням'!$B91,data!$B:$B,"="&amp;'Покупки по дням'!AB$2)</f>
        <v>1</v>
      </c>
      <c r="AC91">
        <f>SUMIFS(data!$C:$C,data!$A:$A,"="&amp;'Покупки по дням'!$B91,data!$B:$B,"="&amp;'Покупки по дням'!AC$2)</f>
        <v>4</v>
      </c>
      <c r="AD91">
        <f>SUMIFS(data!$C:$C,data!$A:$A,"="&amp;'Покупки по дням'!$B91,data!$B:$B,"="&amp;'Покупки по дням'!AD$2)</f>
        <v>1</v>
      </c>
      <c r="AE91">
        <f>SUMIFS(data!$C:$C,data!$A:$A,"="&amp;'Покупки по дням'!$B91,data!$B:$B,"="&amp;'Покупки по дням'!AE$2)</f>
        <v>1</v>
      </c>
      <c r="AF91">
        <f>SUMIFS(data!$C:$C,data!$A:$A,"="&amp;'Покупки по дням'!$B91,data!$B:$B,"="&amp;'Покупки по дням'!AF$2)</f>
        <v>0.4</v>
      </c>
      <c r="AG91">
        <f>SUMIFS(data!$C:$C,data!$A:$A,"="&amp;'Покупки по дням'!$B91,data!$B:$B,"="&amp;'Покупки по дням'!AG$2)</f>
        <v>3</v>
      </c>
      <c r="AH91">
        <f>SUMIFS(data!$C:$C,data!$A:$A,"="&amp;'Покупки по дням'!$B91,data!$B:$B,"="&amp;'Покупки по дням'!AH$2)</f>
        <v>3.7</v>
      </c>
      <c r="AI91">
        <f>SUMIFS(data!$C:$C,data!$A:$A,"="&amp;'Покупки по дням'!$B91,data!$B:$B,"="&amp;'Покупки по дням'!AI$2)</f>
        <v>1.1000000000000001</v>
      </c>
      <c r="AJ91">
        <f>SUMIFS(data!$C:$C,data!$A:$A,"="&amp;'Покупки по дням'!$B91,data!$B:$B,"="&amp;'Покупки по дням'!AJ$2)</f>
        <v>0.5</v>
      </c>
      <c r="AK91">
        <f>SUMIFS(data!$C:$C,data!$A:$A,"="&amp;'Покупки по дням'!$B91,data!$B:$B,"="&amp;'Покупки по дням'!AK$2)</f>
        <v>0</v>
      </c>
      <c r="AL91">
        <f>SUMIFS(data!$C:$C,data!$A:$A,"="&amp;'Покупки по дням'!$B91,data!$B:$B,"="&amp;'Покупки по дням'!AL$2)</f>
        <v>0</v>
      </c>
      <c r="AM91">
        <f>SUMIFS(data!$C:$C,data!$A:$A,"="&amp;'Покупки по дням'!$B91,data!$B:$B,"="&amp;'Покупки по дням'!AM$2)</f>
        <v>6</v>
      </c>
      <c r="AN91">
        <f>SUMIFS(data!$C:$C,data!$A:$A,"="&amp;'Покупки по дням'!$B91,data!$B:$B,"="&amp;'Покупки по дням'!AN$2)</f>
        <v>2</v>
      </c>
      <c r="AO91">
        <f>SUMIFS(data!$C:$C,data!$A:$A,"="&amp;'Покупки по дням'!$B91,data!$B:$B,"="&amp;'Покупки по дням'!AO$2)</f>
        <v>1</v>
      </c>
      <c r="AP91">
        <f>SUMIFS(data!$C:$C,data!$A:$A,"="&amp;'Покупки по дням'!$B91,data!$B:$B,"="&amp;'Покупки по дням'!AP$2)</f>
        <v>1</v>
      </c>
      <c r="AQ91" s="6">
        <f t="shared" si="1"/>
        <v>0.98437803617943609</v>
      </c>
    </row>
    <row r="92" spans="2:43" x14ac:dyDescent="0.3">
      <c r="B92" s="17" t="s">
        <v>149</v>
      </c>
      <c r="C92">
        <f>SUMIFS(data!$C:$C,data!$A:$A,"="&amp;'Покупки по дням'!$B92,data!$B:$B,"="&amp;'Покупки по дням'!C$2)</f>
        <v>1</v>
      </c>
      <c r="D92">
        <f>SUMIFS(data!$C:$C,data!$A:$A,"="&amp;'Покупки по дням'!$B92,data!$B:$B,"="&amp;'Покупки по дням'!D$2)</f>
        <v>2</v>
      </c>
      <c r="E92">
        <f>SUMIFS(data!$C:$C,data!$A:$A,"="&amp;'Покупки по дням'!$B92,data!$B:$B,"="&amp;'Покупки по дням'!E$2)</f>
        <v>0</v>
      </c>
      <c r="F92">
        <f>SUMIFS(data!$C:$C,data!$A:$A,"="&amp;'Покупки по дням'!$B92,data!$B:$B,"="&amp;'Покупки по дням'!F$2)</f>
        <v>0</v>
      </c>
      <c r="G92">
        <f>SUMIFS(data!$C:$C,data!$A:$A,"="&amp;'Покупки по дням'!$B92,data!$B:$B,"="&amp;'Покупки по дням'!G$2)</f>
        <v>0</v>
      </c>
      <c r="H92">
        <f>SUMIFS(data!$C:$C,data!$A:$A,"="&amp;'Покупки по дням'!$B92,data!$B:$B,"="&amp;'Покупки по дням'!H$2)</f>
        <v>2</v>
      </c>
      <c r="I92">
        <f>SUMIFS(data!$C:$C,data!$A:$A,"="&amp;'Покупки по дням'!$B92,data!$B:$B,"="&amp;'Покупки по дням'!I$2)</f>
        <v>3</v>
      </c>
      <c r="J92">
        <f>SUMIFS(data!$C:$C,data!$A:$A,"="&amp;'Покупки по дням'!$B92,data!$B:$B,"="&amp;'Покупки по дням'!J$2)</f>
        <v>0</v>
      </c>
      <c r="K92">
        <f>SUMIFS(data!$C:$C,data!$A:$A,"="&amp;'Покупки по дням'!$B92,data!$B:$B,"="&amp;'Покупки по дням'!K$2)</f>
        <v>0</v>
      </c>
      <c r="L92">
        <f>SUMIFS(data!$C:$C,data!$A:$A,"="&amp;'Покупки по дням'!$B92,data!$B:$B,"="&amp;'Покупки по дням'!L$2)</f>
        <v>2</v>
      </c>
      <c r="M92">
        <f>SUMIFS(data!$C:$C,data!$A:$A,"="&amp;'Покупки по дням'!$B92,data!$B:$B,"="&amp;'Покупки по дням'!M$2)</f>
        <v>1</v>
      </c>
      <c r="N92">
        <f>SUMIFS(data!$C:$C,data!$A:$A,"="&amp;'Покупки по дням'!$B92,data!$B:$B,"="&amp;'Покупки по дням'!N$2)</f>
        <v>1</v>
      </c>
      <c r="O92">
        <f>SUMIFS(data!$C:$C,data!$A:$A,"="&amp;'Покупки по дням'!$B92,data!$B:$B,"="&amp;'Покупки по дням'!O$2)</f>
        <v>1</v>
      </c>
      <c r="P92">
        <f>SUMIFS(data!$C:$C,data!$A:$A,"="&amp;'Покупки по дням'!$B92,data!$B:$B,"="&amp;'Покупки по дням'!P$2)</f>
        <v>2</v>
      </c>
      <c r="Q92">
        <f>SUMIFS(data!$C:$C,data!$A:$A,"="&amp;'Покупки по дням'!$B92,data!$B:$B,"="&amp;'Покупки по дням'!Q$2)</f>
        <v>0</v>
      </c>
      <c r="R92">
        <f>SUMIFS(data!$C:$C,data!$A:$A,"="&amp;'Покупки по дням'!$B92,data!$B:$B,"="&amp;'Покупки по дням'!R$2)</f>
        <v>6</v>
      </c>
      <c r="S92">
        <f>SUMIFS(data!$C:$C,data!$A:$A,"="&amp;'Покупки по дням'!$B92,data!$B:$B,"="&amp;'Покупки по дням'!S$2)</f>
        <v>3</v>
      </c>
      <c r="T92">
        <f>SUMIFS(data!$C:$C,data!$A:$A,"="&amp;'Покупки по дням'!$B92,data!$B:$B,"="&amp;'Покупки по дням'!T$2)</f>
        <v>2</v>
      </c>
      <c r="U92">
        <f>SUMIFS(data!$C:$C,data!$A:$A,"="&amp;'Покупки по дням'!$B92,data!$B:$B,"="&amp;'Покупки по дням'!U$2)</f>
        <v>1</v>
      </c>
      <c r="V92">
        <f>SUMIFS(data!$C:$C,data!$A:$A,"="&amp;'Покупки по дням'!$B92,data!$B:$B,"="&amp;'Покупки по дням'!V$2)</f>
        <v>3</v>
      </c>
      <c r="W92">
        <f>SUMIFS(data!$C:$C,data!$A:$A,"="&amp;'Покупки по дням'!$B92,data!$B:$B,"="&amp;'Покупки по дням'!W$2)</f>
        <v>1</v>
      </c>
      <c r="X92">
        <f>SUMIFS(data!$C:$C,data!$A:$A,"="&amp;'Покупки по дням'!$B92,data!$B:$B,"="&amp;'Покупки по дням'!X$2)</f>
        <v>2</v>
      </c>
      <c r="Y92">
        <f>SUMIFS(data!$C:$C,data!$A:$A,"="&amp;'Покупки по дням'!$B92,data!$B:$B,"="&amp;'Покупки по дням'!Y$2)</f>
        <v>6</v>
      </c>
      <c r="Z92">
        <f>SUMIFS(data!$C:$C,data!$A:$A,"="&amp;'Покупки по дням'!$B92,data!$B:$B,"="&amp;'Покупки по дням'!Z$2)</f>
        <v>0</v>
      </c>
      <c r="AA92">
        <f>SUMIFS(data!$C:$C,data!$A:$A,"="&amp;'Покупки по дням'!$B92,data!$B:$B,"="&amp;'Покупки по дням'!AA$2)</f>
        <v>2</v>
      </c>
      <c r="AB92">
        <f>SUMIFS(data!$C:$C,data!$A:$A,"="&amp;'Покупки по дням'!$B92,data!$B:$B,"="&amp;'Покупки по дням'!AB$2)</f>
        <v>0</v>
      </c>
      <c r="AC92">
        <f>SUMIFS(data!$C:$C,data!$A:$A,"="&amp;'Покупки по дням'!$B92,data!$B:$B,"="&amp;'Покупки по дням'!AC$2)</f>
        <v>0</v>
      </c>
      <c r="AD92">
        <f>SUMIFS(data!$C:$C,data!$A:$A,"="&amp;'Покупки по дням'!$B92,data!$B:$B,"="&amp;'Покупки по дням'!AD$2)</f>
        <v>0</v>
      </c>
      <c r="AE92">
        <f>SUMIFS(data!$C:$C,data!$A:$A,"="&amp;'Покупки по дням'!$B92,data!$B:$B,"="&amp;'Покупки по дням'!AE$2)</f>
        <v>6</v>
      </c>
      <c r="AF92">
        <f>SUMIFS(data!$C:$C,data!$A:$A,"="&amp;'Покупки по дням'!$B92,data!$B:$B,"="&amp;'Покупки по дням'!AF$2)</f>
        <v>4</v>
      </c>
      <c r="AG92">
        <f>SUMIFS(data!$C:$C,data!$A:$A,"="&amp;'Покупки по дням'!$B92,data!$B:$B,"="&amp;'Покупки по дням'!AG$2)</f>
        <v>1</v>
      </c>
      <c r="AH92">
        <f>SUMIFS(data!$C:$C,data!$A:$A,"="&amp;'Покупки по дням'!$B92,data!$B:$B,"="&amp;'Покупки по дням'!AH$2)</f>
        <v>2</v>
      </c>
      <c r="AI92">
        <f>SUMIFS(data!$C:$C,data!$A:$A,"="&amp;'Покупки по дням'!$B92,data!$B:$B,"="&amp;'Покупки по дням'!AI$2)</f>
        <v>2</v>
      </c>
      <c r="AJ92">
        <f>SUMIFS(data!$C:$C,data!$A:$A,"="&amp;'Покупки по дням'!$B92,data!$B:$B,"="&amp;'Покупки по дням'!AJ$2)</f>
        <v>0</v>
      </c>
      <c r="AK92">
        <f>SUMIFS(data!$C:$C,data!$A:$A,"="&amp;'Покупки по дням'!$B92,data!$B:$B,"="&amp;'Покупки по дням'!AK$2)</f>
        <v>2</v>
      </c>
      <c r="AL92">
        <f>SUMIFS(data!$C:$C,data!$A:$A,"="&amp;'Покупки по дням'!$B92,data!$B:$B,"="&amp;'Покупки по дням'!AL$2)</f>
        <v>0</v>
      </c>
      <c r="AM92">
        <f>SUMIFS(data!$C:$C,data!$A:$A,"="&amp;'Покупки по дням'!$B92,data!$B:$B,"="&amp;'Покупки по дням'!AM$2)</f>
        <v>0</v>
      </c>
      <c r="AN92">
        <f>SUMIFS(data!$C:$C,data!$A:$A,"="&amp;'Покупки по дням'!$B92,data!$B:$B,"="&amp;'Покупки по дням'!AN$2)</f>
        <v>2</v>
      </c>
      <c r="AO92">
        <f>SUMIFS(data!$C:$C,data!$A:$A,"="&amp;'Покупки по дням'!$B92,data!$B:$B,"="&amp;'Покупки по дням'!AO$2)</f>
        <v>0</v>
      </c>
      <c r="AP92">
        <f>SUMIFS(data!$C:$C,data!$A:$A,"="&amp;'Покупки по дням'!$B92,data!$B:$B,"="&amp;'Покупки по дням'!AP$2)</f>
        <v>0</v>
      </c>
      <c r="AQ92" s="6">
        <f t="shared" si="1"/>
        <v>1.1297580609817646</v>
      </c>
    </row>
    <row r="93" spans="2:43" x14ac:dyDescent="0.3">
      <c r="B93" s="17" t="s">
        <v>64</v>
      </c>
      <c r="C93">
        <f>SUMIFS(data!$C:$C,data!$A:$A,"="&amp;'Покупки по дням'!$B93,data!$B:$B,"="&amp;'Покупки по дням'!C$2)</f>
        <v>3</v>
      </c>
      <c r="D93">
        <f>SUMIFS(data!$C:$C,data!$A:$A,"="&amp;'Покупки по дням'!$B93,data!$B:$B,"="&amp;'Покупки по дням'!D$2)</f>
        <v>1</v>
      </c>
      <c r="E93">
        <f>SUMIFS(data!$C:$C,data!$A:$A,"="&amp;'Покупки по дням'!$B93,data!$B:$B,"="&amp;'Покупки по дням'!E$2)</f>
        <v>0</v>
      </c>
      <c r="F93">
        <f>SUMIFS(data!$C:$C,data!$A:$A,"="&amp;'Покупки по дням'!$B93,data!$B:$B,"="&amp;'Покупки по дням'!F$2)</f>
        <v>2</v>
      </c>
      <c r="G93">
        <f>SUMIFS(data!$C:$C,data!$A:$A,"="&amp;'Покупки по дням'!$B93,data!$B:$B,"="&amp;'Покупки по дням'!G$2)</f>
        <v>1</v>
      </c>
      <c r="H93">
        <f>SUMIFS(data!$C:$C,data!$A:$A,"="&amp;'Покупки по дням'!$B93,data!$B:$B,"="&amp;'Покупки по дням'!H$2)</f>
        <v>1</v>
      </c>
      <c r="I93">
        <f>SUMIFS(data!$C:$C,data!$A:$A,"="&amp;'Покупки по дням'!$B93,data!$B:$B,"="&amp;'Покупки по дням'!I$2)</f>
        <v>1</v>
      </c>
      <c r="J93">
        <f>SUMIFS(data!$C:$C,data!$A:$A,"="&amp;'Покупки по дням'!$B93,data!$B:$B,"="&amp;'Покупки по дням'!J$2)</f>
        <v>0</v>
      </c>
      <c r="K93">
        <f>SUMIFS(data!$C:$C,data!$A:$A,"="&amp;'Покупки по дням'!$B93,data!$B:$B,"="&amp;'Покупки по дням'!K$2)</f>
        <v>0</v>
      </c>
      <c r="L93">
        <f>SUMIFS(data!$C:$C,data!$A:$A,"="&amp;'Покупки по дням'!$B93,data!$B:$B,"="&amp;'Покупки по дням'!L$2)</f>
        <v>2</v>
      </c>
      <c r="M93">
        <f>SUMIFS(data!$C:$C,data!$A:$A,"="&amp;'Покупки по дням'!$B93,data!$B:$B,"="&amp;'Покупки по дням'!M$2)</f>
        <v>3</v>
      </c>
      <c r="N93">
        <f>SUMIFS(data!$C:$C,data!$A:$A,"="&amp;'Покупки по дням'!$B93,data!$B:$B,"="&amp;'Покупки по дням'!N$2)</f>
        <v>1</v>
      </c>
      <c r="O93">
        <f>SUMIFS(data!$C:$C,data!$A:$A,"="&amp;'Покупки по дням'!$B93,data!$B:$B,"="&amp;'Покупки по дням'!O$2)</f>
        <v>1</v>
      </c>
      <c r="P93">
        <f>SUMIFS(data!$C:$C,data!$A:$A,"="&amp;'Покупки по дням'!$B93,data!$B:$B,"="&amp;'Покупки по дням'!P$2)</f>
        <v>4</v>
      </c>
      <c r="Q93">
        <f>SUMIFS(data!$C:$C,data!$A:$A,"="&amp;'Покупки по дням'!$B93,data!$B:$B,"="&amp;'Покупки по дням'!Q$2)</f>
        <v>0</v>
      </c>
      <c r="R93">
        <f>SUMIFS(data!$C:$C,data!$A:$A,"="&amp;'Покупки по дням'!$B93,data!$B:$B,"="&amp;'Покупки по дням'!R$2)</f>
        <v>2</v>
      </c>
      <c r="S93">
        <f>SUMIFS(data!$C:$C,data!$A:$A,"="&amp;'Покупки по дням'!$B93,data!$B:$B,"="&amp;'Покупки по дням'!S$2)</f>
        <v>2</v>
      </c>
      <c r="T93">
        <f>SUMIFS(data!$C:$C,data!$A:$A,"="&amp;'Покупки по дням'!$B93,data!$B:$B,"="&amp;'Покупки по дням'!T$2)</f>
        <v>3</v>
      </c>
      <c r="U93">
        <f>SUMIFS(data!$C:$C,data!$A:$A,"="&amp;'Покупки по дням'!$B93,data!$B:$B,"="&amp;'Покупки по дням'!U$2)</f>
        <v>1</v>
      </c>
      <c r="V93">
        <f>SUMIFS(data!$C:$C,data!$A:$A,"="&amp;'Покупки по дням'!$B93,data!$B:$B,"="&amp;'Покупки по дням'!V$2)</f>
        <v>2</v>
      </c>
      <c r="W93">
        <f>SUMIFS(data!$C:$C,data!$A:$A,"="&amp;'Покупки по дням'!$B93,data!$B:$B,"="&amp;'Покупки по дням'!W$2)</f>
        <v>1</v>
      </c>
      <c r="X93">
        <f>SUMIFS(data!$C:$C,data!$A:$A,"="&amp;'Покупки по дням'!$B93,data!$B:$B,"="&amp;'Покупки по дням'!X$2)</f>
        <v>1</v>
      </c>
      <c r="Y93">
        <f>SUMIFS(data!$C:$C,data!$A:$A,"="&amp;'Покупки по дням'!$B93,data!$B:$B,"="&amp;'Покупки по дням'!Y$2)</f>
        <v>1</v>
      </c>
      <c r="Z93">
        <f>SUMIFS(data!$C:$C,data!$A:$A,"="&amp;'Покупки по дням'!$B93,data!$B:$B,"="&amp;'Покупки по дням'!Z$2)</f>
        <v>0</v>
      </c>
      <c r="AA93">
        <f>SUMIFS(data!$C:$C,data!$A:$A,"="&amp;'Покупки по дням'!$B93,data!$B:$B,"="&amp;'Покупки по дням'!AA$2)</f>
        <v>3</v>
      </c>
      <c r="AB93">
        <f>SUMIFS(data!$C:$C,data!$A:$A,"="&amp;'Покупки по дням'!$B93,data!$B:$B,"="&amp;'Покупки по дням'!AB$2)</f>
        <v>0</v>
      </c>
      <c r="AC93">
        <f>SUMIFS(data!$C:$C,data!$A:$A,"="&amp;'Покупки по дням'!$B93,data!$B:$B,"="&amp;'Покупки по дням'!AC$2)</f>
        <v>0</v>
      </c>
      <c r="AD93">
        <f>SUMIFS(data!$C:$C,data!$A:$A,"="&amp;'Покупки по дням'!$B93,data!$B:$B,"="&amp;'Покупки по дням'!AD$2)</f>
        <v>0</v>
      </c>
      <c r="AE93">
        <f>SUMIFS(data!$C:$C,data!$A:$A,"="&amp;'Покупки по дням'!$B93,data!$B:$B,"="&amp;'Покупки по дням'!AE$2)</f>
        <v>0</v>
      </c>
      <c r="AF93">
        <f>SUMIFS(data!$C:$C,data!$A:$A,"="&amp;'Покупки по дням'!$B93,data!$B:$B,"="&amp;'Покупки по дням'!AF$2)</f>
        <v>3</v>
      </c>
      <c r="AG93">
        <f>SUMIFS(data!$C:$C,data!$A:$A,"="&amp;'Покупки по дням'!$B93,data!$B:$B,"="&amp;'Покупки по дням'!AG$2)</f>
        <v>2</v>
      </c>
      <c r="AH93">
        <f>SUMIFS(data!$C:$C,data!$A:$A,"="&amp;'Покупки по дням'!$B93,data!$B:$B,"="&amp;'Покупки по дням'!AH$2)</f>
        <v>3</v>
      </c>
      <c r="AI93">
        <f>SUMIFS(data!$C:$C,data!$A:$A,"="&amp;'Покупки по дням'!$B93,data!$B:$B,"="&amp;'Покупки по дням'!AI$2)</f>
        <v>1</v>
      </c>
      <c r="AJ93">
        <f>SUMIFS(data!$C:$C,data!$A:$A,"="&amp;'Покупки по дням'!$B93,data!$B:$B,"="&amp;'Покупки по дням'!AJ$2)</f>
        <v>2</v>
      </c>
      <c r="AK93">
        <f>SUMIFS(data!$C:$C,data!$A:$A,"="&amp;'Покупки по дням'!$B93,data!$B:$B,"="&amp;'Покупки по дням'!AK$2)</f>
        <v>0</v>
      </c>
      <c r="AL93">
        <f>SUMIFS(data!$C:$C,data!$A:$A,"="&amp;'Покупки по дням'!$B93,data!$B:$B,"="&amp;'Покупки по дням'!AL$2)</f>
        <v>0</v>
      </c>
      <c r="AM93">
        <f>SUMIFS(data!$C:$C,data!$A:$A,"="&amp;'Покупки по дням'!$B93,data!$B:$B,"="&amp;'Покупки по дням'!AM$2)</f>
        <v>1</v>
      </c>
      <c r="AN93">
        <f>SUMIFS(data!$C:$C,data!$A:$A,"="&amp;'Покупки по дням'!$B93,data!$B:$B,"="&amp;'Покупки по дням'!AN$2)</f>
        <v>0</v>
      </c>
      <c r="AO93">
        <f>SUMIFS(data!$C:$C,data!$A:$A,"="&amp;'Покупки по дням'!$B93,data!$B:$B,"="&amp;'Покупки по дням'!AO$2)</f>
        <v>2</v>
      </c>
      <c r="AP93">
        <f>SUMIFS(data!$C:$C,data!$A:$A,"="&amp;'Покупки по дням'!$B93,data!$B:$B,"="&amp;'Покупки по дням'!AP$2)</f>
        <v>1</v>
      </c>
      <c r="AQ93" s="6">
        <f t="shared" si="1"/>
        <v>0.88783837607337535</v>
      </c>
    </row>
    <row r="94" spans="2:43" x14ac:dyDescent="0.3">
      <c r="B94" s="17" t="s">
        <v>128</v>
      </c>
      <c r="C94">
        <f>SUMIFS(data!$C:$C,data!$A:$A,"="&amp;'Покупки по дням'!$B94,data!$B:$B,"="&amp;'Покупки по дням'!C$2)</f>
        <v>0</v>
      </c>
      <c r="D94">
        <f>SUMIFS(data!$C:$C,data!$A:$A,"="&amp;'Покупки по дням'!$B94,data!$B:$B,"="&amp;'Покупки по дням'!D$2)</f>
        <v>1</v>
      </c>
      <c r="E94">
        <f>SUMIFS(data!$C:$C,data!$A:$A,"="&amp;'Покупки по дням'!$B94,data!$B:$B,"="&amp;'Покупки по дням'!E$2)</f>
        <v>0</v>
      </c>
      <c r="F94">
        <f>SUMIFS(data!$C:$C,data!$A:$A,"="&amp;'Покупки по дням'!$B94,data!$B:$B,"="&amp;'Покупки по дням'!F$2)</f>
        <v>0</v>
      </c>
      <c r="G94">
        <f>SUMIFS(data!$C:$C,data!$A:$A,"="&amp;'Покупки по дням'!$B94,data!$B:$B,"="&amp;'Покупки по дням'!G$2)</f>
        <v>1</v>
      </c>
      <c r="H94">
        <f>SUMIFS(data!$C:$C,data!$A:$A,"="&amp;'Покупки по дням'!$B94,data!$B:$B,"="&amp;'Покупки по дням'!H$2)</f>
        <v>0</v>
      </c>
      <c r="I94">
        <f>SUMIFS(data!$C:$C,data!$A:$A,"="&amp;'Покупки по дням'!$B94,data!$B:$B,"="&amp;'Покупки по дням'!I$2)</f>
        <v>0</v>
      </c>
      <c r="J94">
        <f>SUMIFS(data!$C:$C,data!$A:$A,"="&amp;'Покупки по дням'!$B94,data!$B:$B,"="&amp;'Покупки по дням'!J$2)</f>
        <v>0</v>
      </c>
      <c r="K94">
        <f>SUMIFS(data!$C:$C,data!$A:$A,"="&amp;'Покупки по дням'!$B94,data!$B:$B,"="&amp;'Покупки по дням'!K$2)</f>
        <v>0</v>
      </c>
      <c r="L94">
        <f>SUMIFS(data!$C:$C,data!$A:$A,"="&amp;'Покупки по дням'!$B94,data!$B:$B,"="&amp;'Покупки по дням'!L$2)</f>
        <v>1</v>
      </c>
      <c r="M94">
        <f>SUMIFS(data!$C:$C,data!$A:$A,"="&amp;'Покупки по дням'!$B94,data!$B:$B,"="&amp;'Покупки по дням'!M$2)</f>
        <v>5</v>
      </c>
      <c r="N94">
        <f>SUMIFS(data!$C:$C,data!$A:$A,"="&amp;'Покупки по дням'!$B94,data!$B:$B,"="&amp;'Покупки по дням'!N$2)</f>
        <v>1</v>
      </c>
      <c r="O94">
        <f>SUMIFS(data!$C:$C,data!$A:$A,"="&amp;'Покупки по дням'!$B94,data!$B:$B,"="&amp;'Покупки по дням'!O$2)</f>
        <v>1</v>
      </c>
      <c r="P94">
        <f>SUMIFS(data!$C:$C,data!$A:$A,"="&amp;'Покупки по дням'!$B94,data!$B:$B,"="&amp;'Покупки по дням'!P$2)</f>
        <v>1</v>
      </c>
      <c r="Q94">
        <f>SUMIFS(data!$C:$C,data!$A:$A,"="&amp;'Покупки по дням'!$B94,data!$B:$B,"="&amp;'Покупки по дням'!Q$2)</f>
        <v>0</v>
      </c>
      <c r="R94">
        <f>SUMIFS(data!$C:$C,data!$A:$A,"="&amp;'Покупки по дням'!$B94,data!$B:$B,"="&amp;'Покупки по дням'!R$2)</f>
        <v>1</v>
      </c>
      <c r="S94">
        <f>SUMIFS(data!$C:$C,data!$A:$A,"="&amp;'Покупки по дням'!$B94,data!$B:$B,"="&amp;'Покупки по дням'!S$2)</f>
        <v>1</v>
      </c>
      <c r="T94">
        <f>SUMIFS(data!$C:$C,data!$A:$A,"="&amp;'Покупки по дням'!$B94,data!$B:$B,"="&amp;'Покупки по дням'!T$2)</f>
        <v>0</v>
      </c>
      <c r="U94">
        <f>SUMIFS(data!$C:$C,data!$A:$A,"="&amp;'Покупки по дням'!$B94,data!$B:$B,"="&amp;'Покупки по дням'!U$2)</f>
        <v>0</v>
      </c>
      <c r="V94">
        <f>SUMIFS(data!$C:$C,data!$A:$A,"="&amp;'Покупки по дням'!$B94,data!$B:$B,"="&amp;'Покупки по дням'!V$2)</f>
        <v>0</v>
      </c>
      <c r="W94">
        <f>SUMIFS(data!$C:$C,data!$A:$A,"="&amp;'Покупки по дням'!$B94,data!$B:$B,"="&amp;'Покупки по дням'!W$2)</f>
        <v>1</v>
      </c>
      <c r="X94">
        <f>SUMIFS(data!$C:$C,data!$A:$A,"="&amp;'Покупки по дням'!$B94,data!$B:$B,"="&amp;'Покупки по дням'!X$2)</f>
        <v>0</v>
      </c>
      <c r="Y94">
        <f>SUMIFS(data!$C:$C,data!$A:$A,"="&amp;'Покупки по дням'!$B94,data!$B:$B,"="&amp;'Покупки по дням'!Y$2)</f>
        <v>3</v>
      </c>
      <c r="Z94">
        <f>SUMIFS(data!$C:$C,data!$A:$A,"="&amp;'Покупки по дням'!$B94,data!$B:$B,"="&amp;'Покупки по дням'!Z$2)</f>
        <v>4</v>
      </c>
      <c r="AA94">
        <f>SUMIFS(data!$C:$C,data!$A:$A,"="&amp;'Покупки по дням'!$B94,data!$B:$B,"="&amp;'Покупки по дням'!AA$2)</f>
        <v>1</v>
      </c>
      <c r="AB94">
        <f>SUMIFS(data!$C:$C,data!$A:$A,"="&amp;'Покупки по дням'!$B94,data!$B:$B,"="&amp;'Покупки по дням'!AB$2)</f>
        <v>1</v>
      </c>
      <c r="AC94">
        <f>SUMIFS(data!$C:$C,data!$A:$A,"="&amp;'Покупки по дням'!$B94,data!$B:$B,"="&amp;'Покупки по дням'!AC$2)</f>
        <v>2</v>
      </c>
      <c r="AD94">
        <f>SUMIFS(data!$C:$C,data!$A:$A,"="&amp;'Покупки по дням'!$B94,data!$B:$B,"="&amp;'Покупки по дням'!AD$2)</f>
        <v>4</v>
      </c>
      <c r="AE94">
        <f>SUMIFS(data!$C:$C,data!$A:$A,"="&amp;'Покупки по дням'!$B94,data!$B:$B,"="&amp;'Покупки по дням'!AE$2)</f>
        <v>2</v>
      </c>
      <c r="AF94">
        <f>SUMIFS(data!$C:$C,data!$A:$A,"="&amp;'Покупки по дням'!$B94,data!$B:$B,"="&amp;'Покупки по дням'!AF$2)</f>
        <v>2</v>
      </c>
      <c r="AG94">
        <f>SUMIFS(data!$C:$C,data!$A:$A,"="&amp;'Покупки по дням'!$B94,data!$B:$B,"="&amp;'Покупки по дням'!AG$2)</f>
        <v>2</v>
      </c>
      <c r="AH94">
        <f>SUMIFS(data!$C:$C,data!$A:$A,"="&amp;'Покупки по дням'!$B94,data!$B:$B,"="&amp;'Покупки по дням'!AH$2)</f>
        <v>3</v>
      </c>
      <c r="AI94">
        <f>SUMIFS(data!$C:$C,data!$A:$A,"="&amp;'Покупки по дням'!$B94,data!$B:$B,"="&amp;'Покупки по дням'!AI$2)</f>
        <v>3</v>
      </c>
      <c r="AJ94">
        <f>SUMIFS(data!$C:$C,data!$A:$A,"="&amp;'Покупки по дням'!$B94,data!$B:$B,"="&amp;'Покупки по дням'!AJ$2)</f>
        <v>2</v>
      </c>
      <c r="AK94">
        <f>SUMIFS(data!$C:$C,data!$A:$A,"="&amp;'Покупки по дням'!$B94,data!$B:$B,"="&amp;'Покупки по дням'!AK$2)</f>
        <v>1</v>
      </c>
      <c r="AL94">
        <f>SUMIFS(data!$C:$C,data!$A:$A,"="&amp;'Покупки по дням'!$B94,data!$B:$B,"="&amp;'Покупки по дням'!AL$2)</f>
        <v>1</v>
      </c>
      <c r="AM94">
        <f>SUMIFS(data!$C:$C,data!$A:$A,"="&amp;'Покупки по дням'!$B94,data!$B:$B,"="&amp;'Покупки по дням'!AM$2)</f>
        <v>1</v>
      </c>
      <c r="AN94">
        <f>SUMIFS(data!$C:$C,data!$A:$A,"="&amp;'Покупки по дням'!$B94,data!$B:$B,"="&amp;'Покупки по дням'!AN$2)</f>
        <v>0</v>
      </c>
      <c r="AO94">
        <f>SUMIFS(data!$C:$C,data!$A:$A,"="&amp;'Покупки по дням'!$B94,data!$B:$B,"="&amp;'Покупки по дням'!AO$2)</f>
        <v>2</v>
      </c>
      <c r="AP94">
        <f>SUMIFS(data!$C:$C,data!$A:$A,"="&amp;'Покупки по дням'!$B94,data!$B:$B,"="&amp;'Покупки по дням'!AP$2)</f>
        <v>0</v>
      </c>
      <c r="AQ94" s="6">
        <f t="shared" si="1"/>
        <v>1.0708518322922398</v>
      </c>
    </row>
    <row r="95" spans="2:43" x14ac:dyDescent="0.3">
      <c r="B95" s="17" t="s">
        <v>136</v>
      </c>
      <c r="C95">
        <f>SUMIFS(data!$C:$C,data!$A:$A,"="&amp;'Покупки по дням'!$B95,data!$B:$B,"="&amp;'Покупки по дням'!C$2)</f>
        <v>0</v>
      </c>
      <c r="D95">
        <f>SUMIFS(data!$C:$C,data!$A:$A,"="&amp;'Покупки по дням'!$B95,data!$B:$B,"="&amp;'Покупки по дням'!D$2)</f>
        <v>1</v>
      </c>
      <c r="E95">
        <f>SUMIFS(data!$C:$C,data!$A:$A,"="&amp;'Покупки по дням'!$B95,data!$B:$B,"="&amp;'Покупки по дням'!E$2)</f>
        <v>3</v>
      </c>
      <c r="F95">
        <f>SUMIFS(data!$C:$C,data!$A:$A,"="&amp;'Покупки по дням'!$B95,data!$B:$B,"="&amp;'Покупки по дням'!F$2)</f>
        <v>1</v>
      </c>
      <c r="G95">
        <f>SUMIFS(data!$C:$C,data!$A:$A,"="&amp;'Покупки по дням'!$B95,data!$B:$B,"="&amp;'Покупки по дням'!G$2)</f>
        <v>1</v>
      </c>
      <c r="H95">
        <f>SUMIFS(data!$C:$C,data!$A:$A,"="&amp;'Покупки по дням'!$B95,data!$B:$B,"="&amp;'Покупки по дням'!H$2)</f>
        <v>1</v>
      </c>
      <c r="I95">
        <f>SUMIFS(data!$C:$C,data!$A:$A,"="&amp;'Покупки по дням'!$B95,data!$B:$B,"="&amp;'Покупки по дням'!I$2)</f>
        <v>1</v>
      </c>
      <c r="J95">
        <f>SUMIFS(data!$C:$C,data!$A:$A,"="&amp;'Покупки по дням'!$B95,data!$B:$B,"="&amp;'Покупки по дням'!J$2)</f>
        <v>3</v>
      </c>
      <c r="K95">
        <f>SUMIFS(data!$C:$C,data!$A:$A,"="&amp;'Покупки по дням'!$B95,data!$B:$B,"="&amp;'Покупки по дням'!K$2)</f>
        <v>0</v>
      </c>
      <c r="L95">
        <f>SUMIFS(data!$C:$C,data!$A:$A,"="&amp;'Покупки по дням'!$B95,data!$B:$B,"="&amp;'Покупки по дням'!L$2)</f>
        <v>1</v>
      </c>
      <c r="M95">
        <f>SUMIFS(data!$C:$C,data!$A:$A,"="&amp;'Покупки по дням'!$B95,data!$B:$B,"="&amp;'Покупки по дням'!M$2)</f>
        <v>2</v>
      </c>
      <c r="N95">
        <f>SUMIFS(data!$C:$C,data!$A:$A,"="&amp;'Покупки по дням'!$B95,data!$B:$B,"="&amp;'Покупки по дням'!N$2)</f>
        <v>2</v>
      </c>
      <c r="O95">
        <f>SUMIFS(data!$C:$C,data!$A:$A,"="&amp;'Покупки по дням'!$B95,data!$B:$B,"="&amp;'Покупки по дням'!O$2)</f>
        <v>2</v>
      </c>
      <c r="P95">
        <f>SUMIFS(data!$C:$C,data!$A:$A,"="&amp;'Покупки по дням'!$B95,data!$B:$B,"="&amp;'Покупки по дням'!P$2)</f>
        <v>0</v>
      </c>
      <c r="Q95">
        <f>SUMIFS(data!$C:$C,data!$A:$A,"="&amp;'Покупки по дням'!$B95,data!$B:$B,"="&amp;'Покупки по дням'!Q$2)</f>
        <v>1</v>
      </c>
      <c r="R95">
        <f>SUMIFS(data!$C:$C,data!$A:$A,"="&amp;'Покупки по дням'!$B95,data!$B:$B,"="&amp;'Покупки по дням'!R$2)</f>
        <v>2</v>
      </c>
      <c r="S95">
        <f>SUMIFS(data!$C:$C,data!$A:$A,"="&amp;'Покупки по дням'!$B95,data!$B:$B,"="&amp;'Покупки по дням'!S$2)</f>
        <v>4</v>
      </c>
      <c r="T95">
        <f>SUMIFS(data!$C:$C,data!$A:$A,"="&amp;'Покупки по дням'!$B95,data!$B:$B,"="&amp;'Покупки по дням'!T$2)</f>
        <v>3</v>
      </c>
      <c r="U95">
        <f>SUMIFS(data!$C:$C,data!$A:$A,"="&amp;'Покупки по дням'!$B95,data!$B:$B,"="&amp;'Покупки по дням'!U$2)</f>
        <v>1</v>
      </c>
      <c r="V95">
        <f>SUMIFS(data!$C:$C,data!$A:$A,"="&amp;'Покупки по дням'!$B95,data!$B:$B,"="&amp;'Покупки по дням'!V$2)</f>
        <v>3</v>
      </c>
      <c r="W95">
        <f>SUMIFS(data!$C:$C,data!$A:$A,"="&amp;'Покупки по дням'!$B95,data!$B:$B,"="&amp;'Покупки по дням'!W$2)</f>
        <v>2</v>
      </c>
      <c r="X95">
        <f>SUMIFS(data!$C:$C,data!$A:$A,"="&amp;'Покупки по дням'!$B95,data!$B:$B,"="&amp;'Покупки по дням'!X$2)</f>
        <v>1</v>
      </c>
      <c r="Y95">
        <f>SUMIFS(data!$C:$C,data!$A:$A,"="&amp;'Покупки по дням'!$B95,data!$B:$B,"="&amp;'Покупки по дням'!Y$2)</f>
        <v>0</v>
      </c>
      <c r="Z95">
        <f>SUMIFS(data!$C:$C,data!$A:$A,"="&amp;'Покупки по дням'!$B95,data!$B:$B,"="&amp;'Покупки по дням'!Z$2)</f>
        <v>1</v>
      </c>
      <c r="AA95">
        <f>SUMIFS(data!$C:$C,data!$A:$A,"="&amp;'Покупки по дням'!$B95,data!$B:$B,"="&amp;'Покупки по дням'!AA$2)</f>
        <v>2</v>
      </c>
      <c r="AB95">
        <f>SUMIFS(data!$C:$C,data!$A:$A,"="&amp;'Покупки по дням'!$B95,data!$B:$B,"="&amp;'Покупки по дням'!AB$2)</f>
        <v>1</v>
      </c>
      <c r="AC95">
        <f>SUMIFS(data!$C:$C,data!$A:$A,"="&amp;'Покупки по дням'!$B95,data!$B:$B,"="&amp;'Покупки по дням'!AC$2)</f>
        <v>2</v>
      </c>
      <c r="AD95">
        <f>SUMIFS(data!$C:$C,data!$A:$A,"="&amp;'Покупки по дням'!$B95,data!$B:$B,"="&amp;'Покупки по дням'!AD$2)</f>
        <v>1</v>
      </c>
      <c r="AE95">
        <f>SUMIFS(data!$C:$C,data!$A:$A,"="&amp;'Покупки по дням'!$B95,data!$B:$B,"="&amp;'Покупки по дням'!AE$2)</f>
        <v>0</v>
      </c>
      <c r="AF95">
        <f>SUMIFS(data!$C:$C,data!$A:$A,"="&amp;'Покупки по дням'!$B95,data!$B:$B,"="&amp;'Покупки по дням'!AF$2)</f>
        <v>2</v>
      </c>
      <c r="AG95">
        <f>SUMIFS(data!$C:$C,data!$A:$A,"="&amp;'Покупки по дням'!$B95,data!$B:$B,"="&amp;'Покупки по дням'!AG$2)</f>
        <v>1</v>
      </c>
      <c r="AH95">
        <f>SUMIFS(data!$C:$C,data!$A:$A,"="&amp;'Покупки по дням'!$B95,data!$B:$B,"="&amp;'Покупки по дням'!AH$2)</f>
        <v>1</v>
      </c>
      <c r="AI95">
        <f>SUMIFS(data!$C:$C,data!$A:$A,"="&amp;'Покупки по дням'!$B95,data!$B:$B,"="&amp;'Покупки по дням'!AI$2)</f>
        <v>2</v>
      </c>
      <c r="AJ95">
        <f>SUMIFS(data!$C:$C,data!$A:$A,"="&amp;'Покупки по дням'!$B95,data!$B:$B,"="&amp;'Покупки по дням'!AJ$2)</f>
        <v>1</v>
      </c>
      <c r="AK95">
        <f>SUMIFS(data!$C:$C,data!$A:$A,"="&amp;'Покупки по дням'!$B95,data!$B:$B,"="&amp;'Покупки по дням'!AK$2)</f>
        <v>0</v>
      </c>
      <c r="AL95">
        <f>SUMIFS(data!$C:$C,data!$A:$A,"="&amp;'Покупки по дням'!$B95,data!$B:$B,"="&amp;'Покупки по дням'!AL$2)</f>
        <v>1</v>
      </c>
      <c r="AM95">
        <f>SUMIFS(data!$C:$C,data!$A:$A,"="&amp;'Покупки по дням'!$B95,data!$B:$B,"="&amp;'Покупки по дням'!AM$2)</f>
        <v>1</v>
      </c>
      <c r="AN95">
        <f>SUMIFS(data!$C:$C,data!$A:$A,"="&amp;'Покупки по дням'!$B95,data!$B:$B,"="&amp;'Покупки по дням'!AN$2)</f>
        <v>3</v>
      </c>
      <c r="AO95">
        <f>SUMIFS(data!$C:$C,data!$A:$A,"="&amp;'Покупки по дням'!$B95,data!$B:$B,"="&amp;'Покупки по дням'!AO$2)</f>
        <v>1</v>
      </c>
      <c r="AP95">
        <f>SUMIFS(data!$C:$C,data!$A:$A,"="&amp;'Покупки по дням'!$B95,data!$B:$B,"="&amp;'Покупки по дням'!AP$2)</f>
        <v>0</v>
      </c>
      <c r="AQ95" s="6">
        <f t="shared" si="1"/>
        <v>0.73076086588045497</v>
      </c>
    </row>
    <row r="96" spans="2:43" ht="28.8" x14ac:dyDescent="0.3">
      <c r="B96" s="17" t="s">
        <v>29</v>
      </c>
      <c r="C96">
        <f>SUMIFS(data!$C:$C,data!$A:$A,"="&amp;'Покупки по дням'!$B96,data!$B:$B,"="&amp;'Покупки по дням'!C$2)</f>
        <v>0</v>
      </c>
      <c r="D96">
        <f>SUMIFS(data!$C:$C,data!$A:$A,"="&amp;'Покупки по дням'!$B96,data!$B:$B,"="&amp;'Покупки по дням'!D$2)</f>
        <v>0</v>
      </c>
      <c r="E96">
        <f>SUMIFS(data!$C:$C,data!$A:$A,"="&amp;'Покупки по дням'!$B96,data!$B:$B,"="&amp;'Покупки по дням'!E$2)</f>
        <v>0</v>
      </c>
      <c r="F96">
        <f>SUMIFS(data!$C:$C,data!$A:$A,"="&amp;'Покупки по дням'!$B96,data!$B:$B,"="&amp;'Покупки по дням'!F$2)</f>
        <v>2</v>
      </c>
      <c r="G96">
        <f>SUMIFS(data!$C:$C,data!$A:$A,"="&amp;'Покупки по дням'!$B96,data!$B:$B,"="&amp;'Покупки по дням'!G$2)</f>
        <v>0</v>
      </c>
      <c r="H96">
        <f>SUMIFS(data!$C:$C,data!$A:$A,"="&amp;'Покупки по дням'!$B96,data!$B:$B,"="&amp;'Покупки по дням'!H$2)</f>
        <v>4</v>
      </c>
      <c r="I96">
        <f>SUMIFS(data!$C:$C,data!$A:$A,"="&amp;'Покупки по дням'!$B96,data!$B:$B,"="&amp;'Покупки по дням'!I$2)</f>
        <v>2</v>
      </c>
      <c r="J96">
        <f>SUMIFS(data!$C:$C,data!$A:$A,"="&amp;'Покупки по дням'!$B96,data!$B:$B,"="&amp;'Покупки по дням'!J$2)</f>
        <v>0</v>
      </c>
      <c r="K96">
        <f>SUMIFS(data!$C:$C,data!$A:$A,"="&amp;'Покупки по дням'!$B96,data!$B:$B,"="&amp;'Покупки по дням'!K$2)</f>
        <v>0</v>
      </c>
      <c r="L96">
        <f>SUMIFS(data!$C:$C,data!$A:$A,"="&amp;'Покупки по дням'!$B96,data!$B:$B,"="&amp;'Покупки по дням'!L$2)</f>
        <v>0</v>
      </c>
      <c r="M96">
        <f>SUMIFS(data!$C:$C,data!$A:$A,"="&amp;'Покупки по дням'!$B96,data!$B:$B,"="&amp;'Покупки по дням'!M$2)</f>
        <v>1</v>
      </c>
      <c r="N96">
        <f>SUMIFS(data!$C:$C,data!$A:$A,"="&amp;'Покупки по дням'!$B96,data!$B:$B,"="&amp;'Покупки по дням'!N$2)</f>
        <v>0</v>
      </c>
      <c r="O96">
        <f>SUMIFS(data!$C:$C,data!$A:$A,"="&amp;'Покупки по дням'!$B96,data!$B:$B,"="&amp;'Покупки по дням'!O$2)</f>
        <v>0</v>
      </c>
      <c r="P96">
        <f>SUMIFS(data!$C:$C,data!$A:$A,"="&amp;'Покупки по дням'!$B96,data!$B:$B,"="&amp;'Покупки по дням'!P$2)</f>
        <v>3</v>
      </c>
      <c r="Q96">
        <f>SUMIFS(data!$C:$C,data!$A:$A,"="&amp;'Покупки по дням'!$B96,data!$B:$B,"="&amp;'Покупки по дням'!Q$2)</f>
        <v>1</v>
      </c>
      <c r="R96">
        <f>SUMIFS(data!$C:$C,data!$A:$A,"="&amp;'Покупки по дням'!$B96,data!$B:$B,"="&amp;'Покупки по дням'!R$2)</f>
        <v>4</v>
      </c>
      <c r="S96">
        <f>SUMIFS(data!$C:$C,data!$A:$A,"="&amp;'Покупки по дням'!$B96,data!$B:$B,"="&amp;'Покупки по дням'!S$2)</f>
        <v>1</v>
      </c>
      <c r="T96">
        <f>SUMIFS(data!$C:$C,data!$A:$A,"="&amp;'Покупки по дням'!$B96,data!$B:$B,"="&amp;'Покупки по дням'!T$2)</f>
        <v>1</v>
      </c>
      <c r="U96">
        <f>SUMIFS(data!$C:$C,data!$A:$A,"="&amp;'Покупки по дням'!$B96,data!$B:$B,"="&amp;'Покупки по дням'!U$2)</f>
        <v>0</v>
      </c>
      <c r="V96">
        <f>SUMIFS(data!$C:$C,data!$A:$A,"="&amp;'Покупки по дням'!$B96,data!$B:$B,"="&amp;'Покупки по дням'!V$2)</f>
        <v>3</v>
      </c>
      <c r="W96">
        <f>SUMIFS(data!$C:$C,data!$A:$A,"="&amp;'Покупки по дням'!$B96,data!$B:$B,"="&amp;'Покупки по дням'!W$2)</f>
        <v>1</v>
      </c>
      <c r="X96">
        <f>SUMIFS(data!$C:$C,data!$A:$A,"="&amp;'Покупки по дням'!$B96,data!$B:$B,"="&amp;'Покупки по дням'!X$2)</f>
        <v>1</v>
      </c>
      <c r="Y96">
        <f>SUMIFS(data!$C:$C,data!$A:$A,"="&amp;'Покупки по дням'!$B96,data!$B:$B,"="&amp;'Покупки по дням'!Y$2)</f>
        <v>6</v>
      </c>
      <c r="Z96">
        <f>SUMIFS(data!$C:$C,data!$A:$A,"="&amp;'Покупки по дням'!$B96,data!$B:$B,"="&amp;'Покупки по дням'!Z$2)</f>
        <v>0</v>
      </c>
      <c r="AA96">
        <f>SUMIFS(data!$C:$C,data!$A:$A,"="&amp;'Покупки по дням'!$B96,data!$B:$B,"="&amp;'Покупки по дням'!AA$2)</f>
        <v>3</v>
      </c>
      <c r="AB96">
        <f>SUMIFS(data!$C:$C,data!$A:$A,"="&amp;'Покупки по дням'!$B96,data!$B:$B,"="&amp;'Покупки по дням'!AB$2)</f>
        <v>2</v>
      </c>
      <c r="AC96">
        <f>SUMIFS(data!$C:$C,data!$A:$A,"="&amp;'Покупки по дням'!$B96,data!$B:$B,"="&amp;'Покупки по дням'!AC$2)</f>
        <v>1</v>
      </c>
      <c r="AD96">
        <f>SUMIFS(data!$C:$C,data!$A:$A,"="&amp;'Покупки по дням'!$B96,data!$B:$B,"="&amp;'Покупки по дням'!AD$2)</f>
        <v>1</v>
      </c>
      <c r="AE96">
        <f>SUMIFS(data!$C:$C,data!$A:$A,"="&amp;'Покупки по дням'!$B96,data!$B:$B,"="&amp;'Покупки по дням'!AE$2)</f>
        <v>1</v>
      </c>
      <c r="AF96">
        <f>SUMIFS(data!$C:$C,data!$A:$A,"="&amp;'Покупки по дням'!$B96,data!$B:$B,"="&amp;'Покупки по дням'!AF$2)</f>
        <v>2</v>
      </c>
      <c r="AG96">
        <f>SUMIFS(data!$C:$C,data!$A:$A,"="&amp;'Покупки по дням'!$B96,data!$B:$B,"="&amp;'Покупки по дням'!AG$2)</f>
        <v>3</v>
      </c>
      <c r="AH96">
        <f>SUMIFS(data!$C:$C,data!$A:$A,"="&amp;'Покупки по дням'!$B96,data!$B:$B,"="&amp;'Покупки по дням'!AH$2)</f>
        <v>0</v>
      </c>
      <c r="AI96">
        <f>SUMIFS(data!$C:$C,data!$A:$A,"="&amp;'Покупки по дням'!$B96,data!$B:$B,"="&amp;'Покупки по дням'!AI$2)</f>
        <v>3.0000003</v>
      </c>
      <c r="AJ96">
        <f>SUMIFS(data!$C:$C,data!$A:$A,"="&amp;'Покупки по дням'!$B96,data!$B:$B,"="&amp;'Покупки по дням'!AJ$2)</f>
        <v>2</v>
      </c>
      <c r="AK96">
        <f>SUMIFS(data!$C:$C,data!$A:$A,"="&amp;'Покупки по дням'!$B96,data!$B:$B,"="&amp;'Покупки по дням'!AK$2)</f>
        <v>1</v>
      </c>
      <c r="AL96">
        <f>SUMIFS(data!$C:$C,data!$A:$A,"="&amp;'Покупки по дням'!$B96,data!$B:$B,"="&amp;'Покупки по дням'!AL$2)</f>
        <v>0</v>
      </c>
      <c r="AM96">
        <f>SUMIFS(data!$C:$C,data!$A:$A,"="&amp;'Покупки по дням'!$B96,data!$B:$B,"="&amp;'Покупки по дням'!AM$2)</f>
        <v>1</v>
      </c>
      <c r="AN96">
        <f>SUMIFS(data!$C:$C,data!$A:$A,"="&amp;'Покупки по дням'!$B96,data!$B:$B,"="&amp;'Покупки по дням'!AN$2)</f>
        <v>2</v>
      </c>
      <c r="AO96">
        <f>SUMIFS(data!$C:$C,data!$A:$A,"="&amp;'Покупки по дням'!$B96,data!$B:$B,"="&amp;'Покупки по дням'!AO$2)</f>
        <v>0</v>
      </c>
      <c r="AP96">
        <f>SUMIFS(data!$C:$C,data!$A:$A,"="&amp;'Покупки по дням'!$B96,data!$B:$B,"="&amp;'Покупки по дням'!AP$2)</f>
        <v>1</v>
      </c>
      <c r="AQ96" s="6">
        <f t="shared" si="1"/>
        <v>1.072620330757762</v>
      </c>
    </row>
    <row r="97" spans="2:43" x14ac:dyDescent="0.3">
      <c r="B97" s="17" t="s">
        <v>97</v>
      </c>
      <c r="C97">
        <f>SUMIFS(data!$C:$C,data!$A:$A,"="&amp;'Покупки по дням'!$B97,data!$B:$B,"="&amp;'Покупки по дням'!C$2)</f>
        <v>0</v>
      </c>
      <c r="D97">
        <f>SUMIFS(data!$C:$C,data!$A:$A,"="&amp;'Покупки по дням'!$B97,data!$B:$B,"="&amp;'Покупки по дням'!D$2)</f>
        <v>0</v>
      </c>
      <c r="E97">
        <f>SUMIFS(data!$C:$C,data!$A:$A,"="&amp;'Покупки по дням'!$B97,data!$B:$B,"="&amp;'Покупки по дням'!E$2)</f>
        <v>0</v>
      </c>
      <c r="F97">
        <f>SUMIFS(data!$C:$C,data!$A:$A,"="&amp;'Покупки по дням'!$B97,data!$B:$B,"="&amp;'Покупки по дням'!F$2)</f>
        <v>5</v>
      </c>
      <c r="G97">
        <f>SUMIFS(data!$C:$C,data!$A:$A,"="&amp;'Покупки по дням'!$B97,data!$B:$B,"="&amp;'Покупки по дням'!G$2)</f>
        <v>0</v>
      </c>
      <c r="H97">
        <f>SUMIFS(data!$C:$C,data!$A:$A,"="&amp;'Покупки по дням'!$B97,data!$B:$B,"="&amp;'Покупки по дням'!H$2)</f>
        <v>1</v>
      </c>
      <c r="I97">
        <f>SUMIFS(data!$C:$C,data!$A:$A,"="&amp;'Покупки по дням'!$B97,data!$B:$B,"="&amp;'Покупки по дням'!I$2)</f>
        <v>3</v>
      </c>
      <c r="J97">
        <f>SUMIFS(data!$C:$C,data!$A:$A,"="&amp;'Покупки по дням'!$B97,data!$B:$B,"="&amp;'Покупки по дням'!J$2)</f>
        <v>1</v>
      </c>
      <c r="K97">
        <f>SUMIFS(data!$C:$C,data!$A:$A,"="&amp;'Покупки по дням'!$B97,data!$B:$B,"="&amp;'Покупки по дням'!K$2)</f>
        <v>0</v>
      </c>
      <c r="L97">
        <f>SUMIFS(data!$C:$C,data!$A:$A,"="&amp;'Покупки по дням'!$B97,data!$B:$B,"="&amp;'Покупки по дням'!L$2)</f>
        <v>0</v>
      </c>
      <c r="M97">
        <f>SUMIFS(data!$C:$C,data!$A:$A,"="&amp;'Покупки по дням'!$B97,data!$B:$B,"="&amp;'Покупки по дням'!M$2)</f>
        <v>0</v>
      </c>
      <c r="N97">
        <f>SUMIFS(data!$C:$C,data!$A:$A,"="&amp;'Покупки по дням'!$B97,data!$B:$B,"="&amp;'Покупки по дням'!N$2)</f>
        <v>2</v>
      </c>
      <c r="O97">
        <f>SUMIFS(data!$C:$C,data!$A:$A,"="&amp;'Покупки по дням'!$B97,data!$B:$B,"="&amp;'Покупки по дням'!O$2)</f>
        <v>4</v>
      </c>
      <c r="P97">
        <f>SUMIFS(data!$C:$C,data!$A:$A,"="&amp;'Покупки по дням'!$B97,data!$B:$B,"="&amp;'Покупки по дням'!P$2)</f>
        <v>0</v>
      </c>
      <c r="Q97">
        <f>SUMIFS(data!$C:$C,data!$A:$A,"="&amp;'Покупки по дням'!$B97,data!$B:$B,"="&amp;'Покупки по дням'!Q$2)</f>
        <v>1</v>
      </c>
      <c r="R97">
        <f>SUMIFS(data!$C:$C,data!$A:$A,"="&amp;'Покупки по дням'!$B97,data!$B:$B,"="&amp;'Покупки по дням'!R$2)</f>
        <v>3</v>
      </c>
      <c r="S97">
        <f>SUMIFS(data!$C:$C,data!$A:$A,"="&amp;'Покупки по дням'!$B97,data!$B:$B,"="&amp;'Покупки по дням'!S$2)</f>
        <v>0</v>
      </c>
      <c r="T97">
        <f>SUMIFS(data!$C:$C,data!$A:$A,"="&amp;'Покупки по дням'!$B97,data!$B:$B,"="&amp;'Покупки по дням'!T$2)</f>
        <v>0</v>
      </c>
      <c r="U97">
        <f>SUMIFS(data!$C:$C,data!$A:$A,"="&amp;'Покупки по дням'!$B97,data!$B:$B,"="&amp;'Покупки по дням'!U$2)</f>
        <v>6</v>
      </c>
      <c r="V97">
        <f>SUMIFS(data!$C:$C,data!$A:$A,"="&amp;'Покупки по дням'!$B97,data!$B:$B,"="&amp;'Покупки по дням'!V$2)</f>
        <v>1</v>
      </c>
      <c r="W97">
        <f>SUMIFS(data!$C:$C,data!$A:$A,"="&amp;'Покупки по дням'!$B97,data!$B:$B,"="&amp;'Покупки по дням'!W$2)</f>
        <v>0</v>
      </c>
      <c r="X97">
        <f>SUMIFS(data!$C:$C,data!$A:$A,"="&amp;'Покупки по дням'!$B97,data!$B:$B,"="&amp;'Покупки по дням'!X$2)</f>
        <v>2</v>
      </c>
      <c r="Y97">
        <f>SUMIFS(data!$C:$C,data!$A:$A,"="&amp;'Покупки по дням'!$B97,data!$B:$B,"="&amp;'Покупки по дням'!Y$2)</f>
        <v>3</v>
      </c>
      <c r="Z97">
        <f>SUMIFS(data!$C:$C,data!$A:$A,"="&amp;'Покупки по дням'!$B97,data!$B:$B,"="&amp;'Покупки по дням'!Z$2)</f>
        <v>1</v>
      </c>
      <c r="AA97">
        <f>SUMIFS(data!$C:$C,data!$A:$A,"="&amp;'Покупки по дням'!$B97,data!$B:$B,"="&amp;'Покупки по дням'!AA$2)</f>
        <v>1</v>
      </c>
      <c r="AB97">
        <f>SUMIFS(data!$C:$C,data!$A:$A,"="&amp;'Покупки по дням'!$B97,data!$B:$B,"="&amp;'Покупки по дням'!AB$2)</f>
        <v>2</v>
      </c>
      <c r="AC97">
        <f>SUMIFS(data!$C:$C,data!$A:$A,"="&amp;'Покупки по дням'!$B97,data!$B:$B,"="&amp;'Покупки по дням'!AC$2)</f>
        <v>1</v>
      </c>
      <c r="AD97">
        <f>SUMIFS(data!$C:$C,data!$A:$A,"="&amp;'Покупки по дням'!$B97,data!$B:$B,"="&amp;'Покупки по дням'!AD$2)</f>
        <v>1</v>
      </c>
      <c r="AE97">
        <f>SUMIFS(data!$C:$C,data!$A:$A,"="&amp;'Покупки по дням'!$B97,data!$B:$B,"="&amp;'Покупки по дням'!AE$2)</f>
        <v>1</v>
      </c>
      <c r="AF97">
        <f>SUMIFS(data!$C:$C,data!$A:$A,"="&amp;'Покупки по дням'!$B97,data!$B:$B,"="&amp;'Покупки по дням'!AF$2)</f>
        <v>3</v>
      </c>
      <c r="AG97">
        <f>SUMIFS(data!$C:$C,data!$A:$A,"="&amp;'Покупки по дням'!$B97,data!$B:$B,"="&amp;'Покупки по дням'!AG$2)</f>
        <v>0</v>
      </c>
      <c r="AH97">
        <f>SUMIFS(data!$C:$C,data!$A:$A,"="&amp;'Покупки по дням'!$B97,data!$B:$B,"="&amp;'Покупки по дням'!AH$2)</f>
        <v>1</v>
      </c>
      <c r="AI97">
        <f>SUMIFS(data!$C:$C,data!$A:$A,"="&amp;'Покупки по дням'!$B97,data!$B:$B,"="&amp;'Покупки по дням'!AI$2)</f>
        <v>1</v>
      </c>
      <c r="AJ97">
        <f>SUMIFS(data!$C:$C,data!$A:$A,"="&amp;'Покупки по дням'!$B97,data!$B:$B,"="&amp;'Покупки по дням'!AJ$2)</f>
        <v>1</v>
      </c>
      <c r="AK97">
        <f>SUMIFS(data!$C:$C,data!$A:$A,"="&amp;'Покупки по дням'!$B97,data!$B:$B,"="&amp;'Покупки по дням'!AK$2)</f>
        <v>1</v>
      </c>
      <c r="AL97">
        <f>SUMIFS(data!$C:$C,data!$A:$A,"="&amp;'Покупки по дням'!$B97,data!$B:$B,"="&amp;'Покупки по дням'!AL$2)</f>
        <v>2</v>
      </c>
      <c r="AM97">
        <f>SUMIFS(data!$C:$C,data!$A:$A,"="&amp;'Покупки по дням'!$B97,data!$B:$B,"="&amp;'Покупки по дням'!AM$2)</f>
        <v>0</v>
      </c>
      <c r="AN97">
        <f>SUMIFS(data!$C:$C,data!$A:$A,"="&amp;'Покупки по дням'!$B97,data!$B:$B,"="&amp;'Покупки по дням'!AN$2)</f>
        <v>2</v>
      </c>
      <c r="AO97">
        <f>SUMIFS(data!$C:$C,data!$A:$A,"="&amp;'Покупки по дням'!$B97,data!$B:$B,"="&amp;'Покупки по дням'!AO$2)</f>
        <v>1</v>
      </c>
      <c r="AP97">
        <f>SUMIFS(data!$C:$C,data!$A:$A,"="&amp;'Покупки по дням'!$B97,data!$B:$B,"="&amp;'Покупки по дням'!AP$2)</f>
        <v>3</v>
      </c>
      <c r="AQ97" s="6">
        <f t="shared" si="1"/>
        <v>1.0812707127872923</v>
      </c>
    </row>
    <row r="98" spans="2:43" x14ac:dyDescent="0.3">
      <c r="B98" s="17" t="s">
        <v>54</v>
      </c>
      <c r="C98">
        <f>SUMIFS(data!$C:$C,data!$A:$A,"="&amp;'Покупки по дням'!$B98,data!$B:$B,"="&amp;'Покупки по дням'!C$2)</f>
        <v>1</v>
      </c>
      <c r="D98">
        <f>SUMIFS(data!$C:$C,data!$A:$A,"="&amp;'Покупки по дням'!$B98,data!$B:$B,"="&amp;'Покупки по дням'!D$2)</f>
        <v>1</v>
      </c>
      <c r="E98">
        <f>SUMIFS(data!$C:$C,data!$A:$A,"="&amp;'Покупки по дням'!$B98,data!$B:$B,"="&amp;'Покупки по дням'!E$2)</f>
        <v>3</v>
      </c>
      <c r="F98">
        <f>SUMIFS(data!$C:$C,data!$A:$A,"="&amp;'Покупки по дням'!$B98,data!$B:$B,"="&amp;'Покупки по дням'!F$2)</f>
        <v>1</v>
      </c>
      <c r="G98">
        <f>SUMIFS(data!$C:$C,data!$A:$A,"="&amp;'Покупки по дням'!$B98,data!$B:$B,"="&amp;'Покупки по дням'!G$2)</f>
        <v>2</v>
      </c>
      <c r="H98">
        <f>SUMIFS(data!$C:$C,data!$A:$A,"="&amp;'Покупки по дням'!$B98,data!$B:$B,"="&amp;'Покупки по дням'!H$2)</f>
        <v>1</v>
      </c>
      <c r="I98">
        <f>SUMIFS(data!$C:$C,data!$A:$A,"="&amp;'Покупки по дням'!$B98,data!$B:$B,"="&amp;'Покупки по дням'!I$2)</f>
        <v>0</v>
      </c>
      <c r="J98">
        <f>SUMIFS(data!$C:$C,data!$A:$A,"="&amp;'Покупки по дням'!$B98,data!$B:$B,"="&amp;'Покупки по дням'!J$2)</f>
        <v>1</v>
      </c>
      <c r="K98">
        <f>SUMIFS(data!$C:$C,data!$A:$A,"="&amp;'Покупки по дням'!$B98,data!$B:$B,"="&amp;'Покупки по дням'!K$2)</f>
        <v>0</v>
      </c>
      <c r="L98">
        <f>SUMIFS(data!$C:$C,data!$A:$A,"="&amp;'Покупки по дням'!$B98,data!$B:$B,"="&amp;'Покупки по дням'!L$2)</f>
        <v>1</v>
      </c>
      <c r="M98">
        <f>SUMIFS(data!$C:$C,data!$A:$A,"="&amp;'Покупки по дням'!$B98,data!$B:$B,"="&amp;'Покупки по дням'!M$2)</f>
        <v>1</v>
      </c>
      <c r="N98">
        <f>SUMIFS(data!$C:$C,data!$A:$A,"="&amp;'Покупки по дням'!$B98,data!$B:$B,"="&amp;'Покупки по дням'!N$2)</f>
        <v>0</v>
      </c>
      <c r="O98">
        <f>SUMIFS(data!$C:$C,data!$A:$A,"="&amp;'Покупки по дням'!$B98,data!$B:$B,"="&amp;'Покупки по дням'!O$2)</f>
        <v>0</v>
      </c>
      <c r="P98">
        <f>SUMIFS(data!$C:$C,data!$A:$A,"="&amp;'Покупки по дням'!$B98,data!$B:$B,"="&amp;'Покупки по дням'!P$2)</f>
        <v>5</v>
      </c>
      <c r="Q98">
        <f>SUMIFS(data!$C:$C,data!$A:$A,"="&amp;'Покупки по дням'!$B98,data!$B:$B,"="&amp;'Покупки по дням'!Q$2)</f>
        <v>1</v>
      </c>
      <c r="R98">
        <f>SUMIFS(data!$C:$C,data!$A:$A,"="&amp;'Покупки по дням'!$B98,data!$B:$B,"="&amp;'Покупки по дням'!R$2)</f>
        <v>0</v>
      </c>
      <c r="S98">
        <f>SUMIFS(data!$C:$C,data!$A:$A,"="&amp;'Покупки по дням'!$B98,data!$B:$B,"="&amp;'Покупки по дням'!S$2)</f>
        <v>1</v>
      </c>
      <c r="T98">
        <f>SUMIFS(data!$C:$C,data!$A:$A,"="&amp;'Покупки по дням'!$B98,data!$B:$B,"="&amp;'Покупки по дням'!T$2)</f>
        <v>3</v>
      </c>
      <c r="U98">
        <f>SUMIFS(data!$C:$C,data!$A:$A,"="&amp;'Покупки по дням'!$B98,data!$B:$B,"="&amp;'Покупки по дням'!U$2)</f>
        <v>2</v>
      </c>
      <c r="V98">
        <f>SUMIFS(data!$C:$C,data!$A:$A,"="&amp;'Покупки по дням'!$B98,data!$B:$B,"="&amp;'Покупки по дням'!V$2)</f>
        <v>0</v>
      </c>
      <c r="W98">
        <f>SUMIFS(data!$C:$C,data!$A:$A,"="&amp;'Покупки по дням'!$B98,data!$B:$B,"="&amp;'Покупки по дням'!W$2)</f>
        <v>1</v>
      </c>
      <c r="X98">
        <f>SUMIFS(data!$C:$C,data!$A:$A,"="&amp;'Покупки по дням'!$B98,data!$B:$B,"="&amp;'Покупки по дням'!X$2)</f>
        <v>2</v>
      </c>
      <c r="Y98">
        <f>SUMIFS(data!$C:$C,data!$A:$A,"="&amp;'Покупки по дням'!$B98,data!$B:$B,"="&amp;'Покупки по дням'!Y$2)</f>
        <v>3</v>
      </c>
      <c r="Z98">
        <f>SUMIFS(data!$C:$C,data!$A:$A,"="&amp;'Покупки по дням'!$B98,data!$B:$B,"="&amp;'Покупки по дням'!Z$2)</f>
        <v>2</v>
      </c>
      <c r="AA98">
        <f>SUMIFS(data!$C:$C,data!$A:$A,"="&amp;'Покупки по дням'!$B98,data!$B:$B,"="&amp;'Покупки по дням'!AA$2)</f>
        <v>1</v>
      </c>
      <c r="AB98">
        <f>SUMIFS(data!$C:$C,data!$A:$A,"="&amp;'Покупки по дням'!$B98,data!$B:$B,"="&amp;'Покупки по дням'!AB$2)</f>
        <v>3</v>
      </c>
      <c r="AC98">
        <f>SUMIFS(data!$C:$C,data!$A:$A,"="&amp;'Покупки по дням'!$B98,data!$B:$B,"="&amp;'Покупки по дням'!AC$2)</f>
        <v>3</v>
      </c>
      <c r="AD98">
        <f>SUMIFS(data!$C:$C,data!$A:$A,"="&amp;'Покупки по дням'!$B98,data!$B:$B,"="&amp;'Покупки по дням'!AD$2)</f>
        <v>4</v>
      </c>
      <c r="AE98">
        <f>SUMIFS(data!$C:$C,data!$A:$A,"="&amp;'Покупки по дням'!$B98,data!$B:$B,"="&amp;'Покупки по дням'!AE$2)</f>
        <v>1</v>
      </c>
      <c r="AF98">
        <f>SUMIFS(data!$C:$C,data!$A:$A,"="&amp;'Покупки по дням'!$B98,data!$B:$B,"="&amp;'Покупки по дням'!AF$2)</f>
        <v>1</v>
      </c>
      <c r="AG98">
        <f>SUMIFS(data!$C:$C,data!$A:$A,"="&amp;'Покупки по дням'!$B98,data!$B:$B,"="&amp;'Покупки по дням'!AG$2)</f>
        <v>2</v>
      </c>
      <c r="AH98">
        <f>SUMIFS(data!$C:$C,data!$A:$A,"="&amp;'Покупки по дням'!$B98,data!$B:$B,"="&amp;'Покупки по дням'!AH$2)</f>
        <v>0</v>
      </c>
      <c r="AI98">
        <f>SUMIFS(data!$C:$C,data!$A:$A,"="&amp;'Покупки по дням'!$B98,data!$B:$B,"="&amp;'Покупки по дням'!AI$2)</f>
        <v>0</v>
      </c>
      <c r="AJ98">
        <f>SUMIFS(data!$C:$C,data!$A:$A,"="&amp;'Покупки по дням'!$B98,data!$B:$B,"="&amp;'Покупки по дням'!AJ$2)</f>
        <v>3</v>
      </c>
      <c r="AK98">
        <f>SUMIFS(data!$C:$C,data!$A:$A,"="&amp;'Покупки по дням'!$B98,data!$B:$B,"="&amp;'Покупки по дням'!AK$2)</f>
        <v>1</v>
      </c>
      <c r="AL98">
        <f>SUMIFS(data!$C:$C,data!$A:$A,"="&amp;'Покупки по дням'!$B98,data!$B:$B,"="&amp;'Покупки по дням'!AL$2)</f>
        <v>2</v>
      </c>
      <c r="AM98">
        <f>SUMIFS(data!$C:$C,data!$A:$A,"="&amp;'Покупки по дням'!$B98,data!$B:$B,"="&amp;'Покупки по дням'!AM$2)</f>
        <v>1</v>
      </c>
      <c r="AN98">
        <f>SUMIFS(data!$C:$C,data!$A:$A,"="&amp;'Покупки по дням'!$B98,data!$B:$B,"="&amp;'Покупки по дням'!AN$2)</f>
        <v>0</v>
      </c>
      <c r="AO98">
        <f>SUMIFS(data!$C:$C,data!$A:$A,"="&amp;'Покупки по дням'!$B98,data!$B:$B,"="&amp;'Покупки по дням'!AO$2)</f>
        <v>5</v>
      </c>
      <c r="AP98">
        <f>SUMIFS(data!$C:$C,data!$A:$A,"="&amp;'Покупки по дням'!$B98,data!$B:$B,"="&amp;'Покупки по дням'!AP$2)</f>
        <v>1</v>
      </c>
      <c r="AQ98" s="6">
        <f t="shared" si="1"/>
        <v>0.89315216940944486</v>
      </c>
    </row>
    <row r="99" spans="2:43" ht="28.8" x14ac:dyDescent="0.3">
      <c r="B99" s="17" t="s">
        <v>84</v>
      </c>
      <c r="C99">
        <f>SUMIFS(data!$C:$C,data!$A:$A,"="&amp;'Покупки по дням'!$B99,data!$B:$B,"="&amp;'Покупки по дням'!C$2)</f>
        <v>3</v>
      </c>
      <c r="D99">
        <f>SUMIFS(data!$C:$C,data!$A:$A,"="&amp;'Покупки по дням'!$B99,data!$B:$B,"="&amp;'Покупки по дням'!D$2)</f>
        <v>0</v>
      </c>
      <c r="E99">
        <f>SUMIFS(data!$C:$C,data!$A:$A,"="&amp;'Покупки по дням'!$B99,data!$B:$B,"="&amp;'Покупки по дням'!E$2)</f>
        <v>0</v>
      </c>
      <c r="F99">
        <f>SUMIFS(data!$C:$C,data!$A:$A,"="&amp;'Покупки по дням'!$B99,data!$B:$B,"="&amp;'Покупки по дням'!F$2)</f>
        <v>4</v>
      </c>
      <c r="G99">
        <f>SUMIFS(data!$C:$C,data!$A:$A,"="&amp;'Покупки по дням'!$B99,data!$B:$B,"="&amp;'Покупки по дням'!G$2)</f>
        <v>2</v>
      </c>
      <c r="H99">
        <f>SUMIFS(data!$C:$C,data!$A:$A,"="&amp;'Покупки по дням'!$B99,data!$B:$B,"="&amp;'Покупки по дням'!H$2)</f>
        <v>1</v>
      </c>
      <c r="I99">
        <f>SUMIFS(data!$C:$C,data!$A:$A,"="&amp;'Покупки по дням'!$B99,data!$B:$B,"="&amp;'Покупки по дням'!I$2)</f>
        <v>3</v>
      </c>
      <c r="J99">
        <f>SUMIFS(data!$C:$C,data!$A:$A,"="&amp;'Покупки по дням'!$B99,data!$B:$B,"="&amp;'Покупки по дням'!J$2)</f>
        <v>1</v>
      </c>
      <c r="K99">
        <f>SUMIFS(data!$C:$C,data!$A:$A,"="&amp;'Покупки по дням'!$B99,data!$B:$B,"="&amp;'Покупки по дням'!K$2)</f>
        <v>0</v>
      </c>
      <c r="L99">
        <f>SUMIFS(data!$C:$C,data!$A:$A,"="&amp;'Покупки по дням'!$B99,data!$B:$B,"="&amp;'Покупки по дням'!L$2)</f>
        <v>1</v>
      </c>
      <c r="M99">
        <f>SUMIFS(data!$C:$C,data!$A:$A,"="&amp;'Покупки по дням'!$B99,data!$B:$B,"="&amp;'Покупки по дням'!M$2)</f>
        <v>1</v>
      </c>
      <c r="N99">
        <f>SUMIFS(data!$C:$C,data!$A:$A,"="&amp;'Покупки по дням'!$B99,data!$B:$B,"="&amp;'Покупки по дням'!N$2)</f>
        <v>0</v>
      </c>
      <c r="O99">
        <f>SUMIFS(data!$C:$C,data!$A:$A,"="&amp;'Покупки по дням'!$B99,data!$B:$B,"="&amp;'Покупки по дням'!O$2)</f>
        <v>2</v>
      </c>
      <c r="P99">
        <f>SUMIFS(data!$C:$C,data!$A:$A,"="&amp;'Покупки по дням'!$B99,data!$B:$B,"="&amp;'Покупки по дням'!P$2)</f>
        <v>0</v>
      </c>
      <c r="Q99">
        <f>SUMIFS(data!$C:$C,data!$A:$A,"="&amp;'Покупки по дням'!$B99,data!$B:$B,"="&amp;'Покупки по дням'!Q$2)</f>
        <v>4</v>
      </c>
      <c r="R99">
        <f>SUMIFS(data!$C:$C,data!$A:$A,"="&amp;'Покупки по дням'!$B99,data!$B:$B,"="&amp;'Покупки по дням'!R$2)</f>
        <v>3</v>
      </c>
      <c r="S99">
        <f>SUMIFS(data!$C:$C,data!$A:$A,"="&amp;'Покупки по дням'!$B99,data!$B:$B,"="&amp;'Покупки по дням'!S$2)</f>
        <v>2</v>
      </c>
      <c r="T99">
        <f>SUMIFS(data!$C:$C,data!$A:$A,"="&amp;'Покупки по дням'!$B99,data!$B:$B,"="&amp;'Покупки по дням'!T$2)</f>
        <v>1</v>
      </c>
      <c r="U99">
        <f>SUMIFS(data!$C:$C,data!$A:$A,"="&amp;'Покупки по дням'!$B99,data!$B:$B,"="&amp;'Покупки по дням'!U$2)</f>
        <v>3</v>
      </c>
      <c r="V99">
        <f>SUMIFS(data!$C:$C,data!$A:$A,"="&amp;'Покупки по дням'!$B99,data!$B:$B,"="&amp;'Покупки по дням'!V$2)</f>
        <v>1</v>
      </c>
      <c r="W99">
        <f>SUMIFS(data!$C:$C,data!$A:$A,"="&amp;'Покупки по дням'!$B99,data!$B:$B,"="&amp;'Покупки по дням'!W$2)</f>
        <v>0</v>
      </c>
      <c r="X99">
        <f>SUMIFS(data!$C:$C,data!$A:$A,"="&amp;'Покупки по дням'!$B99,data!$B:$B,"="&amp;'Покупки по дням'!X$2)</f>
        <v>2</v>
      </c>
      <c r="Y99">
        <f>SUMIFS(data!$C:$C,data!$A:$A,"="&amp;'Покупки по дням'!$B99,data!$B:$B,"="&amp;'Покупки по дням'!Y$2)</f>
        <v>2</v>
      </c>
      <c r="Z99">
        <f>SUMIFS(data!$C:$C,data!$A:$A,"="&amp;'Покупки по дням'!$B99,data!$B:$B,"="&amp;'Покупки по дням'!Z$2)</f>
        <v>0</v>
      </c>
      <c r="AA99">
        <f>SUMIFS(data!$C:$C,data!$A:$A,"="&amp;'Покупки по дням'!$B99,data!$B:$B,"="&amp;'Покупки по дням'!AA$2)</f>
        <v>1</v>
      </c>
      <c r="AB99">
        <f>SUMIFS(data!$C:$C,data!$A:$A,"="&amp;'Покупки по дням'!$B99,data!$B:$B,"="&amp;'Покупки по дням'!AB$2)</f>
        <v>2</v>
      </c>
      <c r="AC99">
        <f>SUMIFS(data!$C:$C,data!$A:$A,"="&amp;'Покупки по дням'!$B99,data!$B:$B,"="&amp;'Покупки по дням'!AC$2)</f>
        <v>2</v>
      </c>
      <c r="AD99">
        <f>SUMIFS(data!$C:$C,data!$A:$A,"="&amp;'Покупки по дням'!$B99,data!$B:$B,"="&amp;'Покупки по дням'!AD$2)</f>
        <v>0</v>
      </c>
      <c r="AE99">
        <f>SUMIFS(data!$C:$C,data!$A:$A,"="&amp;'Покупки по дням'!$B99,data!$B:$B,"="&amp;'Покупки по дням'!AE$2)</f>
        <v>0</v>
      </c>
      <c r="AF99">
        <f>SUMIFS(data!$C:$C,data!$A:$A,"="&amp;'Покупки по дням'!$B99,data!$B:$B,"="&amp;'Покупки по дням'!AF$2)</f>
        <v>3</v>
      </c>
      <c r="AG99">
        <f>SUMIFS(data!$C:$C,data!$A:$A,"="&amp;'Покупки по дням'!$B99,data!$B:$B,"="&amp;'Покупки по дням'!AG$2)</f>
        <v>1</v>
      </c>
      <c r="AH99">
        <f>SUMIFS(data!$C:$C,data!$A:$A,"="&amp;'Покупки по дням'!$B99,data!$B:$B,"="&amp;'Покупки по дням'!AH$2)</f>
        <v>1</v>
      </c>
      <c r="AI99">
        <f>SUMIFS(data!$C:$C,data!$A:$A,"="&amp;'Покупки по дням'!$B99,data!$B:$B,"="&amp;'Покупки по дням'!AI$2)</f>
        <v>0</v>
      </c>
      <c r="AJ99">
        <f>SUMIFS(data!$C:$C,data!$A:$A,"="&amp;'Покупки по дням'!$B99,data!$B:$B,"="&amp;'Покупки по дням'!AJ$2)</f>
        <v>2</v>
      </c>
      <c r="AK99">
        <f>SUMIFS(data!$C:$C,data!$A:$A,"="&amp;'Покупки по дням'!$B99,data!$B:$B,"="&amp;'Покупки по дням'!AK$2)</f>
        <v>0</v>
      </c>
      <c r="AL99">
        <f>SUMIFS(data!$C:$C,data!$A:$A,"="&amp;'Покупки по дням'!$B99,data!$B:$B,"="&amp;'Покупки по дням'!AL$2)</f>
        <v>0</v>
      </c>
      <c r="AM99">
        <f>SUMIFS(data!$C:$C,data!$A:$A,"="&amp;'Покупки по дням'!$B99,data!$B:$B,"="&amp;'Покупки по дням'!AM$2)</f>
        <v>4</v>
      </c>
      <c r="AN99">
        <f>SUMIFS(data!$C:$C,data!$A:$A,"="&amp;'Покупки по дням'!$B99,data!$B:$B,"="&amp;'Покупки по дням'!AN$2)</f>
        <v>3</v>
      </c>
      <c r="AO99">
        <f>SUMIFS(data!$C:$C,data!$A:$A,"="&amp;'Покупки по дням'!$B99,data!$B:$B,"="&amp;'Покупки по дням'!AO$2)</f>
        <v>0</v>
      </c>
      <c r="AP99">
        <f>SUMIFS(data!$C:$C,data!$A:$A,"="&amp;'Покупки по дням'!$B99,data!$B:$B,"="&amp;'Покупки по дням'!AP$2)</f>
        <v>3</v>
      </c>
      <c r="AQ99" s="6">
        <f t="shared" si="1"/>
        <v>0.90998572881510298</v>
      </c>
    </row>
    <row r="100" spans="2:43" x14ac:dyDescent="0.3">
      <c r="B100" s="17" t="s">
        <v>70</v>
      </c>
      <c r="C100">
        <f>SUMIFS(data!$C:$C,data!$A:$A,"="&amp;'Покупки по дням'!$B100,data!$B:$B,"="&amp;'Покупки по дням'!C$2)</f>
        <v>1</v>
      </c>
      <c r="D100">
        <f>SUMIFS(data!$C:$C,data!$A:$A,"="&amp;'Покупки по дням'!$B100,data!$B:$B,"="&amp;'Покупки по дням'!D$2)</f>
        <v>1</v>
      </c>
      <c r="E100">
        <f>SUMIFS(data!$C:$C,data!$A:$A,"="&amp;'Покупки по дням'!$B100,data!$B:$B,"="&amp;'Покупки по дням'!E$2)</f>
        <v>1</v>
      </c>
      <c r="F100">
        <f>SUMIFS(data!$C:$C,data!$A:$A,"="&amp;'Покупки по дням'!$B100,data!$B:$B,"="&amp;'Покупки по дням'!F$2)</f>
        <v>1</v>
      </c>
      <c r="G100">
        <f>SUMIFS(data!$C:$C,data!$A:$A,"="&amp;'Покупки по дням'!$B100,data!$B:$B,"="&amp;'Покупки по дням'!G$2)</f>
        <v>2</v>
      </c>
      <c r="H100">
        <f>SUMIFS(data!$C:$C,data!$A:$A,"="&amp;'Покупки по дням'!$B100,data!$B:$B,"="&amp;'Покупки по дням'!H$2)</f>
        <v>4</v>
      </c>
      <c r="I100">
        <f>SUMIFS(data!$C:$C,data!$A:$A,"="&amp;'Покупки по дням'!$B100,data!$B:$B,"="&amp;'Покупки по дням'!I$2)</f>
        <v>1</v>
      </c>
      <c r="J100">
        <f>SUMIFS(data!$C:$C,data!$A:$A,"="&amp;'Покупки по дням'!$B100,data!$B:$B,"="&amp;'Покупки по дням'!J$2)</f>
        <v>0</v>
      </c>
      <c r="K100">
        <f>SUMIFS(data!$C:$C,data!$A:$A,"="&amp;'Покупки по дням'!$B100,data!$B:$B,"="&amp;'Покупки по дням'!K$2)</f>
        <v>0</v>
      </c>
      <c r="L100">
        <f>SUMIFS(data!$C:$C,data!$A:$A,"="&amp;'Покупки по дням'!$B100,data!$B:$B,"="&amp;'Покупки по дням'!L$2)</f>
        <v>1</v>
      </c>
      <c r="M100">
        <f>SUMIFS(data!$C:$C,data!$A:$A,"="&amp;'Покупки по дням'!$B100,data!$B:$B,"="&amp;'Покупки по дням'!M$2)</f>
        <v>1</v>
      </c>
      <c r="N100">
        <f>SUMIFS(data!$C:$C,data!$A:$A,"="&amp;'Покупки по дням'!$B100,data!$B:$B,"="&amp;'Покупки по дням'!N$2)</f>
        <v>2</v>
      </c>
      <c r="O100">
        <f>SUMIFS(data!$C:$C,data!$A:$A,"="&amp;'Покупки по дням'!$B100,data!$B:$B,"="&amp;'Покупки по дням'!O$2)</f>
        <v>1</v>
      </c>
      <c r="P100">
        <f>SUMIFS(data!$C:$C,data!$A:$A,"="&amp;'Покупки по дням'!$B100,data!$B:$B,"="&amp;'Покупки по дням'!P$2)</f>
        <v>0</v>
      </c>
      <c r="Q100">
        <f>SUMIFS(data!$C:$C,data!$A:$A,"="&amp;'Покупки по дням'!$B100,data!$B:$B,"="&amp;'Покупки по дням'!Q$2)</f>
        <v>3</v>
      </c>
      <c r="R100">
        <f>SUMIFS(data!$C:$C,data!$A:$A,"="&amp;'Покупки по дням'!$B100,data!$B:$B,"="&amp;'Покупки по дням'!R$2)</f>
        <v>1</v>
      </c>
      <c r="S100">
        <f>SUMIFS(data!$C:$C,data!$A:$A,"="&amp;'Покупки по дням'!$B100,data!$B:$B,"="&amp;'Покупки по дням'!S$2)</f>
        <v>1</v>
      </c>
      <c r="T100">
        <f>SUMIFS(data!$C:$C,data!$A:$A,"="&amp;'Покупки по дням'!$B100,data!$B:$B,"="&amp;'Покупки по дням'!T$2)</f>
        <v>0</v>
      </c>
      <c r="U100">
        <f>SUMIFS(data!$C:$C,data!$A:$A,"="&amp;'Покупки по дням'!$B100,data!$B:$B,"="&amp;'Покупки по дням'!U$2)</f>
        <v>6</v>
      </c>
      <c r="V100">
        <f>SUMIFS(data!$C:$C,data!$A:$A,"="&amp;'Покупки по дням'!$B100,data!$B:$B,"="&amp;'Покупки по дням'!V$2)</f>
        <v>0</v>
      </c>
      <c r="W100">
        <f>SUMIFS(data!$C:$C,data!$A:$A,"="&amp;'Покупки по дням'!$B100,data!$B:$B,"="&amp;'Покупки по дням'!W$2)</f>
        <v>4</v>
      </c>
      <c r="X100">
        <f>SUMIFS(data!$C:$C,data!$A:$A,"="&amp;'Покупки по дням'!$B100,data!$B:$B,"="&amp;'Покупки по дням'!X$2)</f>
        <v>3</v>
      </c>
      <c r="Y100">
        <f>SUMIFS(data!$C:$C,data!$A:$A,"="&amp;'Покупки по дням'!$B100,data!$B:$B,"="&amp;'Покупки по дням'!Y$2)</f>
        <v>3</v>
      </c>
      <c r="Z100">
        <f>SUMIFS(data!$C:$C,data!$A:$A,"="&amp;'Покупки по дням'!$B100,data!$B:$B,"="&amp;'Покупки по дням'!Z$2)</f>
        <v>1</v>
      </c>
      <c r="AA100">
        <f>SUMIFS(data!$C:$C,data!$A:$A,"="&amp;'Покупки по дням'!$B100,data!$B:$B,"="&amp;'Покупки по дням'!AA$2)</f>
        <v>2</v>
      </c>
      <c r="AB100">
        <f>SUMIFS(data!$C:$C,data!$A:$A,"="&amp;'Покупки по дням'!$B100,data!$B:$B,"="&amp;'Покупки по дням'!AB$2)</f>
        <v>1</v>
      </c>
      <c r="AC100">
        <f>SUMIFS(data!$C:$C,data!$A:$A,"="&amp;'Покупки по дням'!$B100,data!$B:$B,"="&amp;'Покупки по дням'!AC$2)</f>
        <v>1</v>
      </c>
      <c r="AD100">
        <f>SUMIFS(data!$C:$C,data!$A:$A,"="&amp;'Покупки по дням'!$B100,data!$B:$B,"="&amp;'Покупки по дням'!AD$2)</f>
        <v>1</v>
      </c>
      <c r="AE100">
        <f>SUMIFS(data!$C:$C,data!$A:$A,"="&amp;'Покупки по дням'!$B100,data!$B:$B,"="&amp;'Покупки по дням'!AE$2)</f>
        <v>4</v>
      </c>
      <c r="AF100">
        <f>SUMIFS(data!$C:$C,data!$A:$A,"="&amp;'Покупки по дням'!$B100,data!$B:$B,"="&amp;'Покупки по дням'!AF$2)</f>
        <v>0</v>
      </c>
      <c r="AG100">
        <f>SUMIFS(data!$C:$C,data!$A:$A,"="&amp;'Покупки по дням'!$B100,data!$B:$B,"="&amp;'Покупки по дням'!AG$2)</f>
        <v>2</v>
      </c>
      <c r="AH100">
        <f>SUMIFS(data!$C:$C,data!$A:$A,"="&amp;'Покупки по дням'!$B100,data!$B:$B,"="&amp;'Покупки по дням'!AH$2)</f>
        <v>0</v>
      </c>
      <c r="AI100">
        <f>SUMIFS(data!$C:$C,data!$A:$A,"="&amp;'Покупки по дням'!$B100,data!$B:$B,"="&amp;'Покупки по дням'!AI$2)</f>
        <v>0</v>
      </c>
      <c r="AJ100">
        <f>SUMIFS(data!$C:$C,data!$A:$A,"="&amp;'Покупки по дням'!$B100,data!$B:$B,"="&amp;'Покупки по дням'!AJ$2)</f>
        <v>1</v>
      </c>
      <c r="AK100">
        <f>SUMIFS(data!$C:$C,data!$A:$A,"="&amp;'Покупки по дням'!$B100,data!$B:$B,"="&amp;'Покупки по дням'!AK$2)</f>
        <v>1</v>
      </c>
      <c r="AL100">
        <f>SUMIFS(data!$C:$C,data!$A:$A,"="&amp;'Покупки по дням'!$B100,data!$B:$B,"="&amp;'Покупки по дням'!AL$2)</f>
        <v>1</v>
      </c>
      <c r="AM100">
        <f>SUMIFS(data!$C:$C,data!$A:$A,"="&amp;'Покупки по дням'!$B100,data!$B:$B,"="&amp;'Покупки по дням'!AM$2)</f>
        <v>1</v>
      </c>
      <c r="AN100">
        <f>SUMIFS(data!$C:$C,data!$A:$A,"="&amp;'Покупки по дням'!$B100,data!$B:$B,"="&amp;'Покупки по дням'!AN$2)</f>
        <v>2</v>
      </c>
      <c r="AO100">
        <f>SUMIFS(data!$C:$C,data!$A:$A,"="&amp;'Покупки по дням'!$B100,data!$B:$B,"="&amp;'Покупки по дням'!AO$2)</f>
        <v>1</v>
      </c>
      <c r="AP100">
        <f>SUMIFS(data!$C:$C,data!$A:$A,"="&amp;'Покупки по дням'!$B100,data!$B:$B,"="&amp;'Покупки по дням'!AP$2)</f>
        <v>2</v>
      </c>
      <c r="AQ100" s="6">
        <f t="shared" si="1"/>
        <v>0.92329031955136487</v>
      </c>
    </row>
    <row r="101" spans="2:43" ht="28.8" x14ac:dyDescent="0.3">
      <c r="B101" s="17" t="s">
        <v>40</v>
      </c>
      <c r="C101">
        <f>SUMIFS(data!$C:$C,data!$A:$A,"="&amp;'Покупки по дням'!$B101,data!$B:$B,"="&amp;'Покупки по дням'!C$2)</f>
        <v>1</v>
      </c>
      <c r="D101">
        <f>SUMIFS(data!$C:$C,data!$A:$A,"="&amp;'Покупки по дням'!$B101,data!$B:$B,"="&amp;'Покупки по дням'!D$2)</f>
        <v>2</v>
      </c>
      <c r="E101">
        <f>SUMIFS(data!$C:$C,data!$A:$A,"="&amp;'Покупки по дням'!$B101,data!$B:$B,"="&amp;'Покупки по дням'!E$2)</f>
        <v>1</v>
      </c>
      <c r="F101">
        <f>SUMIFS(data!$C:$C,data!$A:$A,"="&amp;'Покупки по дням'!$B101,data!$B:$B,"="&amp;'Покупки по дням'!F$2)</f>
        <v>1</v>
      </c>
      <c r="G101">
        <f>SUMIFS(data!$C:$C,data!$A:$A,"="&amp;'Покупки по дням'!$B101,data!$B:$B,"="&amp;'Покупки по дням'!G$2)</f>
        <v>0</v>
      </c>
      <c r="H101">
        <f>SUMIFS(data!$C:$C,data!$A:$A,"="&amp;'Покупки по дням'!$B101,data!$B:$B,"="&amp;'Покупки по дням'!H$2)</f>
        <v>4</v>
      </c>
      <c r="I101">
        <f>SUMIFS(data!$C:$C,data!$A:$A,"="&amp;'Покупки по дням'!$B101,data!$B:$B,"="&amp;'Покупки по дням'!I$2)</f>
        <v>4</v>
      </c>
      <c r="J101">
        <f>SUMIFS(data!$C:$C,data!$A:$A,"="&amp;'Покупки по дням'!$B101,data!$B:$B,"="&amp;'Покупки по дням'!J$2)</f>
        <v>4</v>
      </c>
      <c r="K101">
        <f>SUMIFS(data!$C:$C,data!$A:$A,"="&amp;'Покупки по дням'!$B101,data!$B:$B,"="&amp;'Покупки по дням'!K$2)</f>
        <v>0</v>
      </c>
      <c r="L101">
        <f>SUMIFS(data!$C:$C,data!$A:$A,"="&amp;'Покупки по дням'!$B101,data!$B:$B,"="&amp;'Покупки по дням'!L$2)</f>
        <v>1</v>
      </c>
      <c r="M101">
        <f>SUMIFS(data!$C:$C,data!$A:$A,"="&amp;'Покупки по дням'!$B101,data!$B:$B,"="&amp;'Покупки по дням'!M$2)</f>
        <v>1</v>
      </c>
      <c r="N101">
        <f>SUMIFS(data!$C:$C,data!$A:$A,"="&amp;'Покупки по дням'!$B101,data!$B:$B,"="&amp;'Покупки по дням'!N$2)</f>
        <v>1</v>
      </c>
      <c r="O101">
        <f>SUMIFS(data!$C:$C,data!$A:$A,"="&amp;'Покупки по дням'!$B101,data!$B:$B,"="&amp;'Покупки по дням'!O$2)</f>
        <v>2</v>
      </c>
      <c r="P101">
        <f>SUMIFS(data!$C:$C,data!$A:$A,"="&amp;'Покупки по дням'!$B101,data!$B:$B,"="&amp;'Покупки по дням'!P$2)</f>
        <v>0</v>
      </c>
      <c r="Q101">
        <f>SUMIFS(data!$C:$C,data!$A:$A,"="&amp;'Покупки по дням'!$B101,data!$B:$B,"="&amp;'Покупки по дням'!Q$2)</f>
        <v>0</v>
      </c>
      <c r="R101">
        <f>SUMIFS(data!$C:$C,data!$A:$A,"="&amp;'Покупки по дням'!$B101,data!$B:$B,"="&amp;'Покупки по дням'!R$2)</f>
        <v>5</v>
      </c>
      <c r="S101">
        <f>SUMIFS(data!$C:$C,data!$A:$A,"="&amp;'Покупки по дням'!$B101,data!$B:$B,"="&amp;'Покупки по дням'!S$2)</f>
        <v>1</v>
      </c>
      <c r="T101">
        <f>SUMIFS(data!$C:$C,data!$A:$A,"="&amp;'Покупки по дням'!$B101,data!$B:$B,"="&amp;'Покупки по дням'!T$2)</f>
        <v>1</v>
      </c>
      <c r="U101">
        <f>SUMIFS(data!$C:$C,data!$A:$A,"="&amp;'Покупки по дням'!$B101,data!$B:$B,"="&amp;'Покупки по дням'!U$2)</f>
        <v>1</v>
      </c>
      <c r="V101">
        <f>SUMIFS(data!$C:$C,data!$A:$A,"="&amp;'Покупки по дням'!$B101,data!$B:$B,"="&amp;'Покупки по дням'!V$2)</f>
        <v>1</v>
      </c>
      <c r="W101">
        <f>SUMIFS(data!$C:$C,data!$A:$A,"="&amp;'Покупки по дням'!$B101,data!$B:$B,"="&amp;'Покупки по дням'!W$2)</f>
        <v>1</v>
      </c>
      <c r="X101">
        <f>SUMIFS(data!$C:$C,data!$A:$A,"="&amp;'Покупки по дням'!$B101,data!$B:$B,"="&amp;'Покупки по дням'!X$2)</f>
        <v>2</v>
      </c>
      <c r="Y101">
        <f>SUMIFS(data!$C:$C,data!$A:$A,"="&amp;'Покупки по дням'!$B101,data!$B:$B,"="&amp;'Покупки по дням'!Y$2)</f>
        <v>2</v>
      </c>
      <c r="Z101">
        <f>SUMIFS(data!$C:$C,data!$A:$A,"="&amp;'Покупки по дням'!$B101,data!$B:$B,"="&amp;'Покупки по дням'!Z$2)</f>
        <v>0</v>
      </c>
      <c r="AA101">
        <f>SUMIFS(data!$C:$C,data!$A:$A,"="&amp;'Покупки по дням'!$B101,data!$B:$B,"="&amp;'Покупки по дням'!AA$2)</f>
        <v>2</v>
      </c>
      <c r="AB101">
        <f>SUMIFS(data!$C:$C,data!$A:$A,"="&amp;'Покупки по дням'!$B101,data!$B:$B,"="&amp;'Покупки по дням'!AB$2)</f>
        <v>0</v>
      </c>
      <c r="AC101">
        <f>SUMIFS(data!$C:$C,data!$A:$A,"="&amp;'Покупки по дням'!$B101,data!$B:$B,"="&amp;'Покупки по дням'!AC$2)</f>
        <v>2</v>
      </c>
      <c r="AD101">
        <f>SUMIFS(data!$C:$C,data!$A:$A,"="&amp;'Покупки по дням'!$B101,data!$B:$B,"="&amp;'Покупки по дням'!AD$2)</f>
        <v>0</v>
      </c>
      <c r="AE101">
        <f>SUMIFS(data!$C:$C,data!$A:$A,"="&amp;'Покупки по дням'!$B101,data!$B:$B,"="&amp;'Покупки по дням'!AE$2)</f>
        <v>0</v>
      </c>
      <c r="AF101">
        <f>SUMIFS(data!$C:$C,data!$A:$A,"="&amp;'Покупки по дням'!$B101,data!$B:$B,"="&amp;'Покупки по дням'!AF$2)</f>
        <v>1</v>
      </c>
      <c r="AG101">
        <f>SUMIFS(data!$C:$C,data!$A:$A,"="&amp;'Покупки по дням'!$B101,data!$B:$B,"="&amp;'Покупки по дням'!AG$2)</f>
        <v>0</v>
      </c>
      <c r="AH101">
        <f>SUMIFS(data!$C:$C,data!$A:$A,"="&amp;'Покупки по дням'!$B101,data!$B:$B,"="&amp;'Покупки по дням'!AH$2)</f>
        <v>0</v>
      </c>
      <c r="AI101">
        <f>SUMIFS(data!$C:$C,data!$A:$A,"="&amp;'Покупки по дням'!$B101,data!$B:$B,"="&amp;'Покупки по дням'!AI$2)</f>
        <v>0</v>
      </c>
      <c r="AJ101">
        <f>SUMIFS(data!$C:$C,data!$A:$A,"="&amp;'Покупки по дням'!$B101,data!$B:$B,"="&amp;'Покупки по дням'!AJ$2)</f>
        <v>1</v>
      </c>
      <c r="AK101">
        <f>SUMIFS(data!$C:$C,data!$A:$A,"="&amp;'Покупки по дням'!$B101,data!$B:$B,"="&amp;'Покупки по дням'!AK$2)</f>
        <v>2</v>
      </c>
      <c r="AL101">
        <f>SUMIFS(data!$C:$C,data!$A:$A,"="&amp;'Покупки по дням'!$B101,data!$B:$B,"="&amp;'Покупки по дням'!AL$2)</f>
        <v>0</v>
      </c>
      <c r="AM101">
        <f>SUMIFS(data!$C:$C,data!$A:$A,"="&amp;'Покупки по дням'!$B101,data!$B:$B,"="&amp;'Покупки по дням'!AM$2)</f>
        <v>1</v>
      </c>
      <c r="AN101">
        <f>SUMIFS(data!$C:$C,data!$A:$A,"="&amp;'Покупки по дням'!$B101,data!$B:$B,"="&amp;'Покупки по дням'!AN$2)</f>
        <v>2</v>
      </c>
      <c r="AO101">
        <f>SUMIFS(data!$C:$C,data!$A:$A,"="&amp;'Покупки по дням'!$B101,data!$B:$B,"="&amp;'Покупки по дням'!AO$2)</f>
        <v>1</v>
      </c>
      <c r="AP101">
        <f>SUMIFS(data!$C:$C,data!$A:$A,"="&amp;'Покупки по дням'!$B101,data!$B:$B,"="&amp;'Покупки по дням'!AP$2)</f>
        <v>2</v>
      </c>
      <c r="AQ101" s="6">
        <f t="shared" si="1"/>
        <v>1.0046047826039697</v>
      </c>
    </row>
    <row r="102" spans="2:43" x14ac:dyDescent="0.3">
      <c r="B102" s="17" t="s">
        <v>17</v>
      </c>
      <c r="C102">
        <f>SUMIFS(data!$C:$C,data!$A:$A,"="&amp;'Покупки по дням'!$B102,data!$B:$B,"="&amp;'Покупки по дням'!C$2)</f>
        <v>0</v>
      </c>
      <c r="D102">
        <f>SUMIFS(data!$C:$C,data!$A:$A,"="&amp;'Покупки по дням'!$B102,data!$B:$B,"="&amp;'Покупки по дням'!D$2)</f>
        <v>2</v>
      </c>
      <c r="E102">
        <f>SUMIFS(data!$C:$C,data!$A:$A,"="&amp;'Покупки по дням'!$B102,data!$B:$B,"="&amp;'Покупки по дням'!E$2)</f>
        <v>0</v>
      </c>
      <c r="F102">
        <f>SUMIFS(data!$C:$C,data!$A:$A,"="&amp;'Покупки по дням'!$B102,data!$B:$B,"="&amp;'Покупки по дням'!F$2)</f>
        <v>2</v>
      </c>
      <c r="G102">
        <f>SUMIFS(data!$C:$C,data!$A:$A,"="&amp;'Покупки по дням'!$B102,data!$B:$B,"="&amp;'Покупки по дням'!G$2)</f>
        <v>1</v>
      </c>
      <c r="H102">
        <f>SUMIFS(data!$C:$C,data!$A:$A,"="&amp;'Покупки по дням'!$B102,data!$B:$B,"="&amp;'Покупки по дням'!H$2)</f>
        <v>1</v>
      </c>
      <c r="I102">
        <f>SUMIFS(data!$C:$C,data!$A:$A,"="&amp;'Покупки по дням'!$B102,data!$B:$B,"="&amp;'Покупки по дням'!I$2)</f>
        <v>2</v>
      </c>
      <c r="J102">
        <f>SUMIFS(data!$C:$C,data!$A:$A,"="&amp;'Покупки по дням'!$B102,data!$B:$B,"="&amp;'Покупки по дням'!J$2)</f>
        <v>1</v>
      </c>
      <c r="K102">
        <f>SUMIFS(data!$C:$C,data!$A:$A,"="&amp;'Покупки по дням'!$B102,data!$B:$B,"="&amp;'Покупки по дням'!K$2)</f>
        <v>0</v>
      </c>
      <c r="L102">
        <f>SUMIFS(data!$C:$C,data!$A:$A,"="&amp;'Покупки по дням'!$B102,data!$B:$B,"="&amp;'Покупки по дням'!L$2)</f>
        <v>0</v>
      </c>
      <c r="M102">
        <f>SUMIFS(data!$C:$C,data!$A:$A,"="&amp;'Покупки по дням'!$B102,data!$B:$B,"="&amp;'Покупки по дням'!M$2)</f>
        <v>5</v>
      </c>
      <c r="N102">
        <f>SUMIFS(data!$C:$C,data!$A:$A,"="&amp;'Покупки по дням'!$B102,data!$B:$B,"="&amp;'Покупки по дням'!N$2)</f>
        <v>0</v>
      </c>
      <c r="O102">
        <f>SUMIFS(data!$C:$C,data!$A:$A,"="&amp;'Покупки по дням'!$B102,data!$B:$B,"="&amp;'Покупки по дням'!O$2)</f>
        <v>0</v>
      </c>
      <c r="P102">
        <f>SUMIFS(data!$C:$C,data!$A:$A,"="&amp;'Покупки по дням'!$B102,data!$B:$B,"="&amp;'Покупки по дням'!P$2)</f>
        <v>1</v>
      </c>
      <c r="Q102">
        <f>SUMIFS(data!$C:$C,data!$A:$A,"="&amp;'Покупки по дням'!$B102,data!$B:$B,"="&amp;'Покупки по дням'!Q$2)</f>
        <v>1</v>
      </c>
      <c r="R102">
        <f>SUMIFS(data!$C:$C,data!$A:$A,"="&amp;'Покупки по дням'!$B102,data!$B:$B,"="&amp;'Покупки по дням'!R$2)</f>
        <v>2</v>
      </c>
      <c r="S102">
        <f>SUMIFS(data!$C:$C,data!$A:$A,"="&amp;'Покупки по дням'!$B102,data!$B:$B,"="&amp;'Покупки по дням'!S$2)</f>
        <v>0</v>
      </c>
      <c r="T102">
        <f>SUMIFS(data!$C:$C,data!$A:$A,"="&amp;'Покупки по дням'!$B102,data!$B:$B,"="&amp;'Покупки по дням'!T$2)</f>
        <v>0</v>
      </c>
      <c r="U102">
        <f>SUMIFS(data!$C:$C,data!$A:$A,"="&amp;'Покупки по дням'!$B102,data!$B:$B,"="&amp;'Покупки по дням'!U$2)</f>
        <v>1</v>
      </c>
      <c r="V102">
        <f>SUMIFS(data!$C:$C,data!$A:$A,"="&amp;'Покупки по дням'!$B102,data!$B:$B,"="&amp;'Покупки по дням'!V$2)</f>
        <v>0</v>
      </c>
      <c r="W102">
        <f>SUMIFS(data!$C:$C,data!$A:$A,"="&amp;'Покупки по дням'!$B102,data!$B:$B,"="&amp;'Покупки по дням'!W$2)</f>
        <v>2</v>
      </c>
      <c r="X102">
        <f>SUMIFS(data!$C:$C,data!$A:$A,"="&amp;'Покупки по дням'!$B102,data!$B:$B,"="&amp;'Покупки по дням'!X$2)</f>
        <v>1</v>
      </c>
      <c r="Y102">
        <f>SUMIFS(data!$C:$C,data!$A:$A,"="&amp;'Покупки по дням'!$B102,data!$B:$B,"="&amp;'Покупки по дням'!Y$2)</f>
        <v>0</v>
      </c>
      <c r="Z102">
        <f>SUMIFS(data!$C:$C,data!$A:$A,"="&amp;'Покупки по дням'!$B102,data!$B:$B,"="&amp;'Покупки по дням'!Z$2)</f>
        <v>1</v>
      </c>
      <c r="AA102">
        <f>SUMIFS(data!$C:$C,data!$A:$A,"="&amp;'Покупки по дням'!$B102,data!$B:$B,"="&amp;'Покупки по дням'!AA$2)</f>
        <v>2</v>
      </c>
      <c r="AB102">
        <f>SUMIFS(data!$C:$C,data!$A:$A,"="&amp;'Покупки по дням'!$B102,data!$B:$B,"="&amp;'Покупки по дням'!AB$2)</f>
        <v>2</v>
      </c>
      <c r="AC102">
        <f>SUMIFS(data!$C:$C,data!$A:$A,"="&amp;'Покупки по дням'!$B102,data!$B:$B,"="&amp;'Покупки по дням'!AC$2)</f>
        <v>2</v>
      </c>
      <c r="AD102">
        <f>SUMIFS(data!$C:$C,data!$A:$A,"="&amp;'Покупки по дням'!$B102,data!$B:$B,"="&amp;'Покупки по дням'!AD$2)</f>
        <v>4</v>
      </c>
      <c r="AE102">
        <f>SUMIFS(data!$C:$C,data!$A:$A,"="&amp;'Покупки по дням'!$B102,data!$B:$B,"="&amp;'Покупки по дням'!AE$2)</f>
        <v>1</v>
      </c>
      <c r="AF102">
        <f>SUMIFS(data!$C:$C,data!$A:$A,"="&amp;'Покупки по дням'!$B102,data!$B:$B,"="&amp;'Покупки по дням'!AF$2)</f>
        <v>3</v>
      </c>
      <c r="AG102">
        <f>SUMIFS(data!$C:$C,data!$A:$A,"="&amp;'Покупки по дням'!$B102,data!$B:$B,"="&amp;'Покупки по дням'!AG$2)</f>
        <v>0</v>
      </c>
      <c r="AH102">
        <f>SUMIFS(data!$C:$C,data!$A:$A,"="&amp;'Покупки по дням'!$B102,data!$B:$B,"="&amp;'Покупки по дням'!AH$2)</f>
        <v>1</v>
      </c>
      <c r="AI102">
        <f>SUMIFS(data!$C:$C,data!$A:$A,"="&amp;'Покупки по дням'!$B102,data!$B:$B,"="&amp;'Покупки по дням'!AI$2)</f>
        <v>1</v>
      </c>
      <c r="AJ102">
        <f>SUMIFS(data!$C:$C,data!$A:$A,"="&amp;'Покупки по дням'!$B102,data!$B:$B,"="&amp;'Покупки по дням'!AJ$2)</f>
        <v>1</v>
      </c>
      <c r="AK102">
        <f>SUMIFS(data!$C:$C,data!$A:$A,"="&amp;'Покупки по дням'!$B102,data!$B:$B,"="&amp;'Покупки по дням'!AK$2)</f>
        <v>1</v>
      </c>
      <c r="AL102">
        <f>SUMIFS(data!$C:$C,data!$A:$A,"="&amp;'Покупки по дням'!$B102,data!$B:$B,"="&amp;'Покупки по дням'!AL$2)</f>
        <v>0</v>
      </c>
      <c r="AM102">
        <f>SUMIFS(data!$C:$C,data!$A:$A,"="&amp;'Покупки по дням'!$B102,data!$B:$B,"="&amp;'Покупки по дням'!AM$2)</f>
        <v>2</v>
      </c>
      <c r="AN102">
        <f>SUMIFS(data!$C:$C,data!$A:$A,"="&amp;'Покупки по дням'!$B102,data!$B:$B,"="&amp;'Покупки по дням'!AN$2)</f>
        <v>3</v>
      </c>
      <c r="AO102">
        <f>SUMIFS(data!$C:$C,data!$A:$A,"="&amp;'Покупки по дням'!$B102,data!$B:$B,"="&amp;'Покупки по дням'!AO$2)</f>
        <v>0</v>
      </c>
      <c r="AP102">
        <f>SUMIFS(data!$C:$C,data!$A:$A,"="&amp;'Покупки по дням'!$B102,data!$B:$B,"="&amp;'Покупки по дням'!AP$2)</f>
        <v>1</v>
      </c>
      <c r="AQ102" s="6">
        <f t="shared" si="1"/>
        <v>0.99935557464721858</v>
      </c>
    </row>
    <row r="103" spans="2:43" ht="28.8" x14ac:dyDescent="0.3">
      <c r="B103" s="17" t="s">
        <v>83</v>
      </c>
      <c r="C103">
        <f>SUMIFS(data!$C:$C,data!$A:$A,"="&amp;'Покупки по дням'!$B103,data!$B:$B,"="&amp;'Покупки по дням'!C$2)</f>
        <v>0</v>
      </c>
      <c r="D103">
        <f>SUMIFS(data!$C:$C,data!$A:$A,"="&amp;'Покупки по дням'!$B103,data!$B:$B,"="&amp;'Покупки по дням'!D$2)</f>
        <v>0</v>
      </c>
      <c r="E103">
        <f>SUMIFS(data!$C:$C,data!$A:$A,"="&amp;'Покупки по дням'!$B103,data!$B:$B,"="&amp;'Покупки по дням'!E$2)</f>
        <v>2</v>
      </c>
      <c r="F103">
        <f>SUMIFS(data!$C:$C,data!$A:$A,"="&amp;'Покупки по дням'!$B103,data!$B:$B,"="&amp;'Покупки по дням'!F$2)</f>
        <v>4</v>
      </c>
      <c r="G103">
        <f>SUMIFS(data!$C:$C,data!$A:$A,"="&amp;'Покупки по дням'!$B103,data!$B:$B,"="&amp;'Покупки по дням'!G$2)</f>
        <v>1</v>
      </c>
      <c r="H103">
        <f>SUMIFS(data!$C:$C,data!$A:$A,"="&amp;'Покупки по дням'!$B103,data!$B:$B,"="&amp;'Покупки по дням'!H$2)</f>
        <v>2</v>
      </c>
      <c r="I103">
        <f>SUMIFS(data!$C:$C,data!$A:$A,"="&amp;'Покупки по дням'!$B103,data!$B:$B,"="&amp;'Покупки по дням'!I$2)</f>
        <v>4</v>
      </c>
      <c r="J103">
        <f>SUMIFS(data!$C:$C,data!$A:$A,"="&amp;'Покупки по дням'!$B103,data!$B:$B,"="&amp;'Покупки по дням'!J$2)</f>
        <v>0</v>
      </c>
      <c r="K103">
        <f>SUMIFS(data!$C:$C,data!$A:$A,"="&amp;'Покупки по дням'!$B103,data!$B:$B,"="&amp;'Покупки по дням'!K$2)</f>
        <v>0</v>
      </c>
      <c r="L103">
        <f>SUMIFS(data!$C:$C,data!$A:$A,"="&amp;'Покупки по дням'!$B103,data!$B:$B,"="&amp;'Покупки по дням'!L$2)</f>
        <v>1</v>
      </c>
      <c r="M103">
        <f>SUMIFS(data!$C:$C,data!$A:$A,"="&amp;'Покупки по дням'!$B103,data!$B:$B,"="&amp;'Покупки по дням'!M$2)</f>
        <v>0</v>
      </c>
      <c r="N103">
        <f>SUMIFS(data!$C:$C,data!$A:$A,"="&amp;'Покупки по дням'!$B103,data!$B:$B,"="&amp;'Покупки по дням'!N$2)</f>
        <v>4</v>
      </c>
      <c r="O103">
        <f>SUMIFS(data!$C:$C,data!$A:$A,"="&amp;'Покупки по дням'!$B103,data!$B:$B,"="&amp;'Покупки по дням'!O$2)</f>
        <v>5</v>
      </c>
      <c r="P103">
        <f>SUMIFS(data!$C:$C,data!$A:$A,"="&amp;'Покупки по дням'!$B103,data!$B:$B,"="&amp;'Покупки по дням'!P$2)</f>
        <v>2</v>
      </c>
      <c r="Q103">
        <f>SUMIFS(data!$C:$C,data!$A:$A,"="&amp;'Покупки по дням'!$B103,data!$B:$B,"="&amp;'Покупки по дням'!Q$2)</f>
        <v>1</v>
      </c>
      <c r="R103">
        <f>SUMIFS(data!$C:$C,data!$A:$A,"="&amp;'Покупки по дням'!$B103,data!$B:$B,"="&amp;'Покупки по дням'!R$2)</f>
        <v>2</v>
      </c>
      <c r="S103">
        <f>SUMIFS(data!$C:$C,data!$A:$A,"="&amp;'Покупки по дням'!$B103,data!$B:$B,"="&amp;'Покупки по дням'!S$2)</f>
        <v>1</v>
      </c>
      <c r="T103">
        <f>SUMIFS(data!$C:$C,data!$A:$A,"="&amp;'Покупки по дням'!$B103,data!$B:$B,"="&amp;'Покупки по дням'!T$2)</f>
        <v>2</v>
      </c>
      <c r="U103">
        <f>SUMIFS(data!$C:$C,data!$A:$A,"="&amp;'Покупки по дням'!$B103,data!$B:$B,"="&amp;'Покупки по дням'!U$2)</f>
        <v>1</v>
      </c>
      <c r="V103">
        <f>SUMIFS(data!$C:$C,data!$A:$A,"="&amp;'Покупки по дням'!$B103,data!$B:$B,"="&amp;'Покупки по дням'!V$2)</f>
        <v>2</v>
      </c>
      <c r="W103">
        <f>SUMIFS(data!$C:$C,data!$A:$A,"="&amp;'Покупки по дням'!$B103,data!$B:$B,"="&amp;'Покупки по дням'!W$2)</f>
        <v>0</v>
      </c>
      <c r="X103">
        <f>SUMIFS(data!$C:$C,data!$A:$A,"="&amp;'Покупки по дням'!$B103,data!$B:$B,"="&amp;'Покупки по дням'!X$2)</f>
        <v>2</v>
      </c>
      <c r="Y103">
        <f>SUMIFS(data!$C:$C,data!$A:$A,"="&amp;'Покупки по дням'!$B103,data!$B:$B,"="&amp;'Покупки по дням'!Y$2)</f>
        <v>4</v>
      </c>
      <c r="Z103">
        <f>SUMIFS(data!$C:$C,data!$A:$A,"="&amp;'Покупки по дням'!$B103,data!$B:$B,"="&amp;'Покупки по дням'!Z$2)</f>
        <v>0</v>
      </c>
      <c r="AA103">
        <f>SUMIFS(data!$C:$C,data!$A:$A,"="&amp;'Покупки по дням'!$B103,data!$B:$B,"="&amp;'Покупки по дням'!AA$2)</f>
        <v>0</v>
      </c>
      <c r="AB103">
        <f>SUMIFS(data!$C:$C,data!$A:$A,"="&amp;'Покупки по дням'!$B103,data!$B:$B,"="&amp;'Покупки по дням'!AB$2)</f>
        <v>2</v>
      </c>
      <c r="AC103">
        <f>SUMIFS(data!$C:$C,data!$A:$A,"="&amp;'Покупки по дням'!$B103,data!$B:$B,"="&amp;'Покупки по дням'!AC$2)</f>
        <v>1</v>
      </c>
      <c r="AD103">
        <f>SUMIFS(data!$C:$C,data!$A:$A,"="&amp;'Покупки по дням'!$B103,data!$B:$B,"="&amp;'Покупки по дням'!AD$2)</f>
        <v>1</v>
      </c>
      <c r="AE103">
        <f>SUMIFS(data!$C:$C,data!$A:$A,"="&amp;'Покупки по дням'!$B103,data!$B:$B,"="&amp;'Покупки по дням'!AE$2)</f>
        <v>0</v>
      </c>
      <c r="AF103">
        <f>SUMIFS(data!$C:$C,data!$A:$A,"="&amp;'Покупки по дням'!$B103,data!$B:$B,"="&amp;'Покупки по дням'!AF$2)</f>
        <v>1</v>
      </c>
      <c r="AG103">
        <f>SUMIFS(data!$C:$C,data!$A:$A,"="&amp;'Покупки по дням'!$B103,data!$B:$B,"="&amp;'Покупки по дням'!AG$2)</f>
        <v>0</v>
      </c>
      <c r="AH103">
        <f>SUMIFS(data!$C:$C,data!$A:$A,"="&amp;'Покупки по дням'!$B103,data!$B:$B,"="&amp;'Покупки по дням'!AH$2)</f>
        <v>0</v>
      </c>
      <c r="AI103">
        <f>SUMIFS(data!$C:$C,data!$A:$A,"="&amp;'Покупки по дням'!$B103,data!$B:$B,"="&amp;'Покупки по дням'!AI$2)</f>
        <v>0</v>
      </c>
      <c r="AJ103">
        <f>SUMIFS(data!$C:$C,data!$A:$A,"="&amp;'Покупки по дням'!$B103,data!$B:$B,"="&amp;'Покупки по дням'!AJ$2)</f>
        <v>0</v>
      </c>
      <c r="AK103">
        <f>SUMIFS(data!$C:$C,data!$A:$A,"="&amp;'Покупки по дням'!$B103,data!$B:$B,"="&amp;'Покупки по дням'!AK$2)</f>
        <v>0</v>
      </c>
      <c r="AL103">
        <f>SUMIFS(data!$C:$C,data!$A:$A,"="&amp;'Покупки по дням'!$B103,data!$B:$B,"="&amp;'Покупки по дням'!AL$2)</f>
        <v>3</v>
      </c>
      <c r="AM103">
        <f>SUMIFS(data!$C:$C,data!$A:$A,"="&amp;'Покупки по дням'!$B103,data!$B:$B,"="&amp;'Покупки по дням'!AM$2)</f>
        <v>4</v>
      </c>
      <c r="AN103">
        <f>SUMIFS(data!$C:$C,data!$A:$A,"="&amp;'Покупки по дням'!$B103,data!$B:$B,"="&amp;'Покупки по дням'!AN$2)</f>
        <v>3</v>
      </c>
      <c r="AO103">
        <f>SUMIFS(data!$C:$C,data!$A:$A,"="&amp;'Покупки по дням'!$B103,data!$B:$B,"="&amp;'Покупки по дням'!AO$2)</f>
        <v>1</v>
      </c>
      <c r="AP103">
        <f>SUMIFS(data!$C:$C,data!$A:$A,"="&amp;'Покупки по дням'!$B103,data!$B:$B,"="&amp;'Покупки по дням'!AP$2)</f>
        <v>1</v>
      </c>
      <c r="AQ103" s="6">
        <f t="shared" si="1"/>
        <v>1.0285136276282456</v>
      </c>
    </row>
    <row r="104" spans="2:43" x14ac:dyDescent="0.3">
      <c r="B104" s="17" t="s">
        <v>112</v>
      </c>
      <c r="C104">
        <f>SUMIFS(data!$C:$C,data!$A:$A,"="&amp;'Покупки по дням'!$B104,data!$B:$B,"="&amp;'Покупки по дням'!C$2)</f>
        <v>2</v>
      </c>
      <c r="D104">
        <f>SUMIFS(data!$C:$C,data!$A:$A,"="&amp;'Покупки по дням'!$B104,data!$B:$B,"="&amp;'Покупки по дням'!D$2)</f>
        <v>1</v>
      </c>
      <c r="E104">
        <f>SUMIFS(data!$C:$C,data!$A:$A,"="&amp;'Покупки по дням'!$B104,data!$B:$B,"="&amp;'Покупки по дням'!E$2)</f>
        <v>2</v>
      </c>
      <c r="F104">
        <f>SUMIFS(data!$C:$C,data!$A:$A,"="&amp;'Покупки по дням'!$B104,data!$B:$B,"="&amp;'Покупки по дням'!F$2)</f>
        <v>2</v>
      </c>
      <c r="G104">
        <f>SUMIFS(data!$C:$C,data!$A:$A,"="&amp;'Покупки по дням'!$B104,data!$B:$B,"="&amp;'Покупки по дням'!G$2)</f>
        <v>4</v>
      </c>
      <c r="H104">
        <f>SUMIFS(data!$C:$C,data!$A:$A,"="&amp;'Покупки по дням'!$B104,data!$B:$B,"="&amp;'Покупки по дням'!H$2)</f>
        <v>3</v>
      </c>
      <c r="I104">
        <f>SUMIFS(data!$C:$C,data!$A:$A,"="&amp;'Покупки по дням'!$B104,data!$B:$B,"="&amp;'Покупки по дням'!I$2)</f>
        <v>1</v>
      </c>
      <c r="J104">
        <f>SUMIFS(data!$C:$C,data!$A:$A,"="&amp;'Покупки по дням'!$B104,data!$B:$B,"="&amp;'Покупки по дням'!J$2)</f>
        <v>2</v>
      </c>
      <c r="K104">
        <f>SUMIFS(data!$C:$C,data!$A:$A,"="&amp;'Покупки по дням'!$B104,data!$B:$B,"="&amp;'Покупки по дням'!K$2)</f>
        <v>0</v>
      </c>
      <c r="L104">
        <f>SUMIFS(data!$C:$C,data!$A:$A,"="&amp;'Покупки по дням'!$B104,data!$B:$B,"="&amp;'Покупки по дням'!L$2)</f>
        <v>1</v>
      </c>
      <c r="M104">
        <f>SUMIFS(data!$C:$C,data!$A:$A,"="&amp;'Покупки по дням'!$B104,data!$B:$B,"="&amp;'Покупки по дням'!M$2)</f>
        <v>1</v>
      </c>
      <c r="N104">
        <f>SUMIFS(data!$C:$C,data!$A:$A,"="&amp;'Покупки по дням'!$B104,data!$B:$B,"="&amp;'Покупки по дням'!N$2)</f>
        <v>2</v>
      </c>
      <c r="O104">
        <f>SUMIFS(data!$C:$C,data!$A:$A,"="&amp;'Покупки по дням'!$B104,data!$B:$B,"="&amp;'Покупки по дням'!O$2)</f>
        <v>0</v>
      </c>
      <c r="P104">
        <f>SUMIFS(data!$C:$C,data!$A:$A,"="&amp;'Покупки по дням'!$B104,data!$B:$B,"="&amp;'Покупки по дням'!P$2)</f>
        <v>0</v>
      </c>
      <c r="Q104">
        <f>SUMIFS(data!$C:$C,data!$A:$A,"="&amp;'Покупки по дням'!$B104,data!$B:$B,"="&amp;'Покупки по дням'!Q$2)</f>
        <v>0</v>
      </c>
      <c r="R104">
        <f>SUMIFS(data!$C:$C,data!$A:$A,"="&amp;'Покупки по дням'!$B104,data!$B:$B,"="&amp;'Покупки по дням'!R$2)</f>
        <v>0</v>
      </c>
      <c r="S104">
        <f>SUMIFS(data!$C:$C,data!$A:$A,"="&amp;'Покупки по дням'!$B104,data!$B:$B,"="&amp;'Покупки по дням'!S$2)</f>
        <v>2</v>
      </c>
      <c r="T104">
        <f>SUMIFS(data!$C:$C,data!$A:$A,"="&amp;'Покупки по дням'!$B104,data!$B:$B,"="&amp;'Покупки по дням'!T$2)</f>
        <v>1</v>
      </c>
      <c r="U104">
        <f>SUMIFS(data!$C:$C,data!$A:$A,"="&amp;'Покупки по дням'!$B104,data!$B:$B,"="&amp;'Покупки по дням'!U$2)</f>
        <v>1</v>
      </c>
      <c r="V104">
        <f>SUMIFS(data!$C:$C,data!$A:$A,"="&amp;'Покупки по дням'!$B104,data!$B:$B,"="&amp;'Покупки по дням'!V$2)</f>
        <v>4</v>
      </c>
      <c r="W104">
        <f>SUMIFS(data!$C:$C,data!$A:$A,"="&amp;'Покупки по дням'!$B104,data!$B:$B,"="&amp;'Покупки по дням'!W$2)</f>
        <v>1</v>
      </c>
      <c r="X104">
        <f>SUMIFS(data!$C:$C,data!$A:$A,"="&amp;'Покупки по дням'!$B104,data!$B:$B,"="&amp;'Покупки по дням'!X$2)</f>
        <v>0</v>
      </c>
      <c r="Y104">
        <f>SUMIFS(data!$C:$C,data!$A:$A,"="&amp;'Покупки по дням'!$B104,data!$B:$B,"="&amp;'Покупки по дням'!Y$2)</f>
        <v>0</v>
      </c>
      <c r="Z104">
        <f>SUMIFS(data!$C:$C,data!$A:$A,"="&amp;'Покупки по дням'!$B104,data!$B:$B,"="&amp;'Покупки по дням'!Z$2)</f>
        <v>1</v>
      </c>
      <c r="AA104">
        <f>SUMIFS(data!$C:$C,data!$A:$A,"="&amp;'Покупки по дням'!$B104,data!$B:$B,"="&amp;'Покупки по дням'!AA$2)</f>
        <v>1</v>
      </c>
      <c r="AB104">
        <f>SUMIFS(data!$C:$C,data!$A:$A,"="&amp;'Покупки по дням'!$B104,data!$B:$B,"="&amp;'Покупки по дням'!AB$2)</f>
        <v>2</v>
      </c>
      <c r="AC104">
        <f>SUMIFS(data!$C:$C,data!$A:$A,"="&amp;'Покупки по дням'!$B104,data!$B:$B,"="&amp;'Покупки по дням'!AC$2)</f>
        <v>0</v>
      </c>
      <c r="AD104">
        <f>SUMIFS(data!$C:$C,data!$A:$A,"="&amp;'Покупки по дням'!$B104,data!$B:$B,"="&amp;'Покупки по дням'!AD$2)</f>
        <v>2</v>
      </c>
      <c r="AE104">
        <f>SUMIFS(data!$C:$C,data!$A:$A,"="&amp;'Покупки по дням'!$B104,data!$B:$B,"="&amp;'Покупки по дням'!AE$2)</f>
        <v>2</v>
      </c>
      <c r="AF104">
        <f>SUMIFS(data!$C:$C,data!$A:$A,"="&amp;'Покупки по дням'!$B104,data!$B:$B,"="&amp;'Покупки по дням'!AF$2)</f>
        <v>1</v>
      </c>
      <c r="AG104">
        <f>SUMIFS(data!$C:$C,data!$A:$A,"="&amp;'Покупки по дням'!$B104,data!$B:$B,"="&amp;'Покупки по дням'!AG$2)</f>
        <v>2</v>
      </c>
      <c r="AH104">
        <f>SUMIFS(data!$C:$C,data!$A:$A,"="&amp;'Покупки по дням'!$B104,data!$B:$B,"="&amp;'Покупки по дням'!AH$2)</f>
        <v>1</v>
      </c>
      <c r="AI104">
        <f>SUMIFS(data!$C:$C,data!$A:$A,"="&amp;'Покупки по дням'!$B104,data!$B:$B,"="&amp;'Покупки по дням'!AI$2)</f>
        <v>0</v>
      </c>
      <c r="AJ104">
        <f>SUMIFS(data!$C:$C,data!$A:$A,"="&amp;'Покупки по дням'!$B104,data!$B:$B,"="&amp;'Покупки по дням'!AJ$2)</f>
        <v>4</v>
      </c>
      <c r="AK104">
        <f>SUMIFS(data!$C:$C,data!$A:$A,"="&amp;'Покупки по дням'!$B104,data!$B:$B,"="&amp;'Покупки по дням'!AK$2)</f>
        <v>2</v>
      </c>
      <c r="AL104">
        <f>SUMIFS(data!$C:$C,data!$A:$A,"="&amp;'Покупки по дням'!$B104,data!$B:$B,"="&amp;'Покупки по дням'!AL$2)</f>
        <v>2</v>
      </c>
      <c r="AM104">
        <f>SUMIFS(data!$C:$C,data!$A:$A,"="&amp;'Покупки по дням'!$B104,data!$B:$B,"="&amp;'Покупки по дням'!AM$2)</f>
        <v>0</v>
      </c>
      <c r="AN104">
        <f>SUMIFS(data!$C:$C,data!$A:$A,"="&amp;'Покупки по дням'!$B104,data!$B:$B,"="&amp;'Покупки по дням'!AN$2)</f>
        <v>2</v>
      </c>
      <c r="AO104">
        <f>SUMIFS(data!$C:$C,data!$A:$A,"="&amp;'Покупки по дням'!$B104,data!$B:$B,"="&amp;'Покупки по дням'!AO$2)</f>
        <v>0</v>
      </c>
      <c r="AP104">
        <f>SUMIFS(data!$C:$C,data!$A:$A,"="&amp;'Покупки по дням'!$B104,data!$B:$B,"="&amp;'Покупки по дням'!AP$2)</f>
        <v>1</v>
      </c>
      <c r="AQ104" s="6">
        <f t="shared" si="1"/>
        <v>0.86114599129631408</v>
      </c>
    </row>
    <row r="105" spans="2:43" ht="28.8" x14ac:dyDescent="0.3">
      <c r="B105" s="17" t="s">
        <v>87</v>
      </c>
      <c r="C105">
        <f>SUMIFS(data!$C:$C,data!$A:$A,"="&amp;'Покупки по дням'!$B105,data!$B:$B,"="&amp;'Покупки по дням'!C$2)</f>
        <v>0</v>
      </c>
      <c r="D105">
        <f>SUMIFS(data!$C:$C,data!$A:$A,"="&amp;'Покупки по дням'!$B105,data!$B:$B,"="&amp;'Покупки по дням'!D$2)</f>
        <v>1</v>
      </c>
      <c r="E105">
        <f>SUMIFS(data!$C:$C,data!$A:$A,"="&amp;'Покупки по дням'!$B105,data!$B:$B,"="&amp;'Покупки по дням'!E$2)</f>
        <v>2</v>
      </c>
      <c r="F105">
        <f>SUMIFS(data!$C:$C,data!$A:$A,"="&amp;'Покупки по дням'!$B105,data!$B:$B,"="&amp;'Покупки по дням'!F$2)</f>
        <v>0</v>
      </c>
      <c r="G105">
        <f>SUMIFS(data!$C:$C,data!$A:$A,"="&amp;'Покупки по дням'!$B105,data!$B:$B,"="&amp;'Покупки по дням'!G$2)</f>
        <v>3</v>
      </c>
      <c r="H105">
        <f>SUMIFS(data!$C:$C,data!$A:$A,"="&amp;'Покупки по дням'!$B105,data!$B:$B,"="&amp;'Покупки по дням'!H$2)</f>
        <v>5</v>
      </c>
      <c r="I105">
        <f>SUMIFS(data!$C:$C,data!$A:$A,"="&amp;'Покупки по дням'!$B105,data!$B:$B,"="&amp;'Покупки по дням'!I$2)</f>
        <v>0</v>
      </c>
      <c r="J105">
        <f>SUMIFS(data!$C:$C,data!$A:$A,"="&amp;'Покупки по дням'!$B105,data!$B:$B,"="&amp;'Покупки по дням'!J$2)</f>
        <v>2</v>
      </c>
      <c r="K105">
        <f>SUMIFS(data!$C:$C,data!$A:$A,"="&amp;'Покупки по дням'!$B105,data!$B:$B,"="&amp;'Покупки по дням'!K$2)</f>
        <v>0</v>
      </c>
      <c r="L105">
        <f>SUMIFS(data!$C:$C,data!$A:$A,"="&amp;'Покупки по дням'!$B105,data!$B:$B,"="&amp;'Покупки по дням'!L$2)</f>
        <v>0</v>
      </c>
      <c r="M105">
        <f>SUMIFS(data!$C:$C,data!$A:$A,"="&amp;'Покупки по дням'!$B105,data!$B:$B,"="&amp;'Покупки по дням'!M$2)</f>
        <v>0</v>
      </c>
      <c r="N105">
        <f>SUMIFS(data!$C:$C,data!$A:$A,"="&amp;'Покупки по дням'!$B105,data!$B:$B,"="&amp;'Покупки по дням'!N$2)</f>
        <v>1</v>
      </c>
      <c r="O105">
        <f>SUMIFS(data!$C:$C,data!$A:$A,"="&amp;'Покупки по дням'!$B105,data!$B:$B,"="&amp;'Покупки по дням'!O$2)</f>
        <v>0</v>
      </c>
      <c r="P105">
        <f>SUMIFS(data!$C:$C,data!$A:$A,"="&amp;'Покупки по дням'!$B105,data!$B:$B,"="&amp;'Покупки по дням'!P$2)</f>
        <v>1</v>
      </c>
      <c r="Q105">
        <f>SUMIFS(data!$C:$C,data!$A:$A,"="&amp;'Покупки по дням'!$B105,data!$B:$B,"="&amp;'Покупки по дням'!Q$2)</f>
        <v>1</v>
      </c>
      <c r="R105">
        <f>SUMIFS(data!$C:$C,data!$A:$A,"="&amp;'Покупки по дням'!$B105,data!$B:$B,"="&amp;'Покупки по дням'!R$2)</f>
        <v>0</v>
      </c>
      <c r="S105">
        <f>SUMIFS(data!$C:$C,data!$A:$A,"="&amp;'Покупки по дням'!$B105,data!$B:$B,"="&amp;'Покупки по дням'!S$2)</f>
        <v>2</v>
      </c>
      <c r="T105">
        <f>SUMIFS(data!$C:$C,data!$A:$A,"="&amp;'Покупки по дням'!$B105,data!$B:$B,"="&amp;'Покупки по дням'!T$2)</f>
        <v>0</v>
      </c>
      <c r="U105">
        <f>SUMIFS(data!$C:$C,data!$A:$A,"="&amp;'Покупки по дням'!$B105,data!$B:$B,"="&amp;'Покупки по дням'!U$2)</f>
        <v>2</v>
      </c>
      <c r="V105">
        <f>SUMIFS(data!$C:$C,data!$A:$A,"="&amp;'Покупки по дням'!$B105,data!$B:$B,"="&amp;'Покупки по дням'!V$2)</f>
        <v>1</v>
      </c>
      <c r="W105">
        <f>SUMIFS(data!$C:$C,data!$A:$A,"="&amp;'Покупки по дням'!$B105,data!$B:$B,"="&amp;'Покупки по дням'!W$2)</f>
        <v>5</v>
      </c>
      <c r="X105">
        <f>SUMIFS(data!$C:$C,data!$A:$A,"="&amp;'Покупки по дням'!$B105,data!$B:$B,"="&amp;'Покупки по дням'!X$2)</f>
        <v>5</v>
      </c>
      <c r="Y105">
        <f>SUMIFS(data!$C:$C,data!$A:$A,"="&amp;'Покупки по дням'!$B105,data!$B:$B,"="&amp;'Покупки по дням'!Y$2)</f>
        <v>3</v>
      </c>
      <c r="Z105">
        <f>SUMIFS(data!$C:$C,data!$A:$A,"="&amp;'Покупки по дням'!$B105,data!$B:$B,"="&amp;'Покупки по дням'!Z$2)</f>
        <v>1</v>
      </c>
      <c r="AA105">
        <f>SUMIFS(data!$C:$C,data!$A:$A,"="&amp;'Покупки по дням'!$B105,data!$B:$B,"="&amp;'Покупки по дням'!AA$2)</f>
        <v>2</v>
      </c>
      <c r="AB105">
        <f>SUMIFS(data!$C:$C,data!$A:$A,"="&amp;'Покупки по дням'!$B105,data!$B:$B,"="&amp;'Покупки по дням'!AB$2)</f>
        <v>2</v>
      </c>
      <c r="AC105">
        <f>SUMIFS(data!$C:$C,data!$A:$A,"="&amp;'Покупки по дням'!$B105,data!$B:$B,"="&amp;'Покупки по дням'!AC$2)</f>
        <v>2</v>
      </c>
      <c r="AD105">
        <f>SUMIFS(data!$C:$C,data!$A:$A,"="&amp;'Покупки по дням'!$B105,data!$B:$B,"="&amp;'Покупки по дням'!AD$2)</f>
        <v>1</v>
      </c>
      <c r="AE105">
        <f>SUMIFS(data!$C:$C,data!$A:$A,"="&amp;'Покупки по дням'!$B105,data!$B:$B,"="&amp;'Покупки по дням'!AE$2)</f>
        <v>3</v>
      </c>
      <c r="AF105">
        <f>SUMIFS(data!$C:$C,data!$A:$A,"="&amp;'Покупки по дням'!$B105,data!$B:$B,"="&amp;'Покупки по дням'!AF$2)</f>
        <v>3</v>
      </c>
      <c r="AG105">
        <f>SUMIFS(data!$C:$C,data!$A:$A,"="&amp;'Покупки по дням'!$B105,data!$B:$B,"="&amp;'Покупки по дням'!AG$2)</f>
        <v>2</v>
      </c>
      <c r="AH105">
        <f>SUMIFS(data!$C:$C,data!$A:$A,"="&amp;'Покупки по дням'!$B105,data!$B:$B,"="&amp;'Покупки по дням'!AH$2)</f>
        <v>2</v>
      </c>
      <c r="AI105">
        <f>SUMIFS(data!$C:$C,data!$A:$A,"="&amp;'Покупки по дням'!$B105,data!$B:$B,"="&amp;'Покупки по дням'!AI$2)</f>
        <v>1</v>
      </c>
      <c r="AJ105">
        <f>SUMIFS(data!$C:$C,data!$A:$A,"="&amp;'Покупки по дням'!$B105,data!$B:$B,"="&amp;'Покупки по дням'!AJ$2)</f>
        <v>0</v>
      </c>
      <c r="AK105">
        <f>SUMIFS(data!$C:$C,data!$A:$A,"="&amp;'Покупки по дням'!$B105,data!$B:$B,"="&amp;'Покупки по дням'!AK$2)</f>
        <v>1</v>
      </c>
      <c r="AL105">
        <f>SUMIFS(data!$C:$C,data!$A:$A,"="&amp;'Покупки по дням'!$B105,data!$B:$B,"="&amp;'Покупки по дням'!AL$2)</f>
        <v>1</v>
      </c>
      <c r="AM105">
        <f>SUMIFS(data!$C:$C,data!$A:$A,"="&amp;'Покупки по дням'!$B105,data!$B:$B,"="&amp;'Покупки по дням'!AM$2)</f>
        <v>0</v>
      </c>
      <c r="AN105">
        <f>SUMIFS(data!$C:$C,data!$A:$A,"="&amp;'Покупки по дням'!$B105,data!$B:$B,"="&amp;'Покупки по дням'!AN$2)</f>
        <v>0</v>
      </c>
      <c r="AO105">
        <f>SUMIFS(data!$C:$C,data!$A:$A,"="&amp;'Покупки по дням'!$B105,data!$B:$B,"="&amp;'Покупки по дням'!AO$2)</f>
        <v>0</v>
      </c>
      <c r="AP105">
        <f>SUMIFS(data!$C:$C,data!$A:$A,"="&amp;'Покупки по дням'!$B105,data!$B:$B,"="&amp;'Покупки по дням'!AP$2)</f>
        <v>1</v>
      </c>
      <c r="AQ105" s="6">
        <f t="shared" si="1"/>
        <v>1.0204604905473724</v>
      </c>
    </row>
    <row r="106" spans="2:43" x14ac:dyDescent="0.3">
      <c r="B106" s="17" t="s">
        <v>42</v>
      </c>
      <c r="C106">
        <f>SUMIFS(data!$C:$C,data!$A:$A,"="&amp;'Покупки по дням'!$B106,data!$B:$B,"="&amp;'Покупки по дням'!C$2)</f>
        <v>3</v>
      </c>
      <c r="D106">
        <f>SUMIFS(data!$C:$C,data!$A:$A,"="&amp;'Покупки по дням'!$B106,data!$B:$B,"="&amp;'Покупки по дням'!D$2)</f>
        <v>1</v>
      </c>
      <c r="E106">
        <f>SUMIFS(data!$C:$C,data!$A:$A,"="&amp;'Покупки по дням'!$B106,data!$B:$B,"="&amp;'Покупки по дням'!E$2)</f>
        <v>0</v>
      </c>
      <c r="F106">
        <f>SUMIFS(data!$C:$C,data!$A:$A,"="&amp;'Покупки по дням'!$B106,data!$B:$B,"="&amp;'Покупки по дням'!F$2)</f>
        <v>1</v>
      </c>
      <c r="G106">
        <f>SUMIFS(data!$C:$C,data!$A:$A,"="&amp;'Покупки по дням'!$B106,data!$B:$B,"="&amp;'Покупки по дням'!G$2)</f>
        <v>1</v>
      </c>
      <c r="H106">
        <f>SUMIFS(data!$C:$C,data!$A:$A,"="&amp;'Покупки по дням'!$B106,data!$B:$B,"="&amp;'Покупки по дням'!H$2)</f>
        <v>1</v>
      </c>
      <c r="I106">
        <f>SUMIFS(data!$C:$C,data!$A:$A,"="&amp;'Покупки по дням'!$B106,data!$B:$B,"="&amp;'Покупки по дням'!I$2)</f>
        <v>3</v>
      </c>
      <c r="J106">
        <f>SUMIFS(data!$C:$C,data!$A:$A,"="&amp;'Покупки по дням'!$B106,data!$B:$B,"="&amp;'Покупки по дням'!J$2)</f>
        <v>0</v>
      </c>
      <c r="K106">
        <f>SUMIFS(data!$C:$C,data!$A:$A,"="&amp;'Покупки по дням'!$B106,data!$B:$B,"="&amp;'Покупки по дням'!K$2)</f>
        <v>0</v>
      </c>
      <c r="L106">
        <f>SUMIFS(data!$C:$C,data!$A:$A,"="&amp;'Покупки по дням'!$B106,data!$B:$B,"="&amp;'Покупки по дням'!L$2)</f>
        <v>1</v>
      </c>
      <c r="M106">
        <f>SUMIFS(data!$C:$C,data!$A:$A,"="&amp;'Покупки по дням'!$B106,data!$B:$B,"="&amp;'Покупки по дням'!M$2)</f>
        <v>3</v>
      </c>
      <c r="N106">
        <f>SUMIFS(data!$C:$C,data!$A:$A,"="&amp;'Покупки по дням'!$B106,data!$B:$B,"="&amp;'Покупки по дням'!N$2)</f>
        <v>0</v>
      </c>
      <c r="O106">
        <f>SUMIFS(data!$C:$C,data!$A:$A,"="&amp;'Покупки по дням'!$B106,data!$B:$B,"="&amp;'Покупки по дням'!O$2)</f>
        <v>0</v>
      </c>
      <c r="P106">
        <f>SUMIFS(data!$C:$C,data!$A:$A,"="&amp;'Покупки по дням'!$B106,data!$B:$B,"="&amp;'Покупки по дням'!P$2)</f>
        <v>1</v>
      </c>
      <c r="Q106">
        <f>SUMIFS(data!$C:$C,data!$A:$A,"="&amp;'Покупки по дням'!$B106,data!$B:$B,"="&amp;'Покупки по дням'!Q$2)</f>
        <v>1</v>
      </c>
      <c r="R106">
        <f>SUMIFS(data!$C:$C,data!$A:$A,"="&amp;'Покупки по дням'!$B106,data!$B:$B,"="&amp;'Покупки по дням'!R$2)</f>
        <v>0</v>
      </c>
      <c r="S106">
        <f>SUMIFS(data!$C:$C,data!$A:$A,"="&amp;'Покупки по дням'!$B106,data!$B:$B,"="&amp;'Покупки по дням'!S$2)</f>
        <v>1</v>
      </c>
      <c r="T106">
        <f>SUMIFS(data!$C:$C,data!$A:$A,"="&amp;'Покупки по дням'!$B106,data!$B:$B,"="&amp;'Покупки по дням'!T$2)</f>
        <v>0</v>
      </c>
      <c r="U106">
        <f>SUMIFS(data!$C:$C,data!$A:$A,"="&amp;'Покупки по дням'!$B106,data!$B:$B,"="&amp;'Покупки по дням'!U$2)</f>
        <v>4</v>
      </c>
      <c r="V106">
        <f>SUMIFS(data!$C:$C,data!$A:$A,"="&amp;'Покупки по дням'!$B106,data!$B:$B,"="&amp;'Покупки по дням'!V$2)</f>
        <v>0</v>
      </c>
      <c r="W106">
        <f>SUMIFS(data!$C:$C,data!$A:$A,"="&amp;'Покупки по дням'!$B106,data!$B:$B,"="&amp;'Покупки по дням'!W$2)</f>
        <v>0</v>
      </c>
      <c r="X106">
        <f>SUMIFS(data!$C:$C,data!$A:$A,"="&amp;'Покупки по дням'!$B106,data!$B:$B,"="&amp;'Покупки по дням'!X$2)</f>
        <v>2</v>
      </c>
      <c r="Y106">
        <f>SUMIFS(data!$C:$C,data!$A:$A,"="&amp;'Покупки по дням'!$B106,data!$B:$B,"="&amp;'Покупки по дням'!Y$2)</f>
        <v>3</v>
      </c>
      <c r="Z106">
        <f>SUMIFS(data!$C:$C,data!$A:$A,"="&amp;'Покупки по дням'!$B106,data!$B:$B,"="&amp;'Покупки по дням'!Z$2)</f>
        <v>0</v>
      </c>
      <c r="AA106">
        <f>SUMIFS(data!$C:$C,data!$A:$A,"="&amp;'Покупки по дням'!$B106,data!$B:$B,"="&amp;'Покупки по дням'!AA$2)</f>
        <v>2</v>
      </c>
      <c r="AB106">
        <f>SUMIFS(data!$C:$C,data!$A:$A,"="&amp;'Покупки по дням'!$B106,data!$B:$B,"="&amp;'Покупки по дням'!AB$2)</f>
        <v>3</v>
      </c>
      <c r="AC106">
        <f>SUMIFS(data!$C:$C,data!$A:$A,"="&amp;'Покупки по дням'!$B106,data!$B:$B,"="&amp;'Покупки по дням'!AC$2)</f>
        <v>1</v>
      </c>
      <c r="AD106">
        <f>SUMIFS(data!$C:$C,data!$A:$A,"="&amp;'Покупки по дням'!$B106,data!$B:$B,"="&amp;'Покупки по дням'!AD$2)</f>
        <v>0</v>
      </c>
      <c r="AE106">
        <f>SUMIFS(data!$C:$C,data!$A:$A,"="&amp;'Покупки по дням'!$B106,data!$B:$B,"="&amp;'Покупки по дням'!AE$2)</f>
        <v>1</v>
      </c>
      <c r="AF106">
        <f>SUMIFS(data!$C:$C,data!$A:$A,"="&amp;'Покупки по дням'!$B106,data!$B:$B,"="&amp;'Покупки по дням'!AF$2)</f>
        <v>0</v>
      </c>
      <c r="AG106">
        <f>SUMIFS(data!$C:$C,data!$A:$A,"="&amp;'Покупки по дням'!$B106,data!$B:$B,"="&amp;'Покупки по дням'!AG$2)</f>
        <v>1</v>
      </c>
      <c r="AH106">
        <f>SUMIFS(data!$C:$C,data!$A:$A,"="&amp;'Покупки по дням'!$B106,data!$B:$B,"="&amp;'Покупки по дням'!AH$2)</f>
        <v>3</v>
      </c>
      <c r="AI106">
        <f>SUMIFS(data!$C:$C,data!$A:$A,"="&amp;'Покупки по дням'!$B106,data!$B:$B,"="&amp;'Покупки по дням'!AI$2)</f>
        <v>0</v>
      </c>
      <c r="AJ106">
        <f>SUMIFS(data!$C:$C,data!$A:$A,"="&amp;'Покупки по дням'!$B106,data!$B:$B,"="&amp;'Покупки по дням'!AJ$2)</f>
        <v>3</v>
      </c>
      <c r="AK106">
        <f>SUMIFS(data!$C:$C,data!$A:$A,"="&amp;'Покупки по дням'!$B106,data!$B:$B,"="&amp;'Покупки по дням'!AK$2)</f>
        <v>4</v>
      </c>
      <c r="AL106">
        <f>SUMIFS(data!$C:$C,data!$A:$A,"="&amp;'Покупки по дням'!$B106,data!$B:$B,"="&amp;'Покупки по дням'!AL$2)</f>
        <v>1</v>
      </c>
      <c r="AM106">
        <f>SUMIFS(data!$C:$C,data!$A:$A,"="&amp;'Покупки по дням'!$B106,data!$B:$B,"="&amp;'Покупки по дням'!AM$2)</f>
        <v>0</v>
      </c>
      <c r="AN106">
        <f>SUMIFS(data!$C:$C,data!$A:$A,"="&amp;'Покупки по дням'!$B106,data!$B:$B,"="&amp;'Покупки по дням'!AN$2)</f>
        <v>4</v>
      </c>
      <c r="AO106">
        <f>SUMIFS(data!$C:$C,data!$A:$A,"="&amp;'Покупки по дням'!$B106,data!$B:$B,"="&amp;'Покупки по дням'!AO$2)</f>
        <v>2</v>
      </c>
      <c r="AP106">
        <f>SUMIFS(data!$C:$C,data!$A:$A,"="&amp;'Покупки по дням'!$B106,data!$B:$B,"="&amp;'Покупки по дням'!AP$2)</f>
        <v>1</v>
      </c>
      <c r="AQ106" s="6">
        <f t="shared" si="1"/>
        <v>1.0187142824453181</v>
      </c>
    </row>
    <row r="107" spans="2:43" x14ac:dyDescent="0.3">
      <c r="B107" s="17" t="s">
        <v>150</v>
      </c>
      <c r="C107">
        <f>SUMIFS(data!$C:$C,data!$A:$A,"="&amp;'Покупки по дням'!$B107,data!$B:$B,"="&amp;'Покупки по дням'!C$2)</f>
        <v>0</v>
      </c>
      <c r="D107">
        <f>SUMIFS(data!$C:$C,data!$A:$A,"="&amp;'Покупки по дням'!$B107,data!$B:$B,"="&amp;'Покупки по дням'!D$2)</f>
        <v>0</v>
      </c>
      <c r="E107">
        <f>SUMIFS(data!$C:$C,data!$A:$A,"="&amp;'Покупки по дням'!$B107,data!$B:$B,"="&amp;'Покупки по дням'!E$2)</f>
        <v>0</v>
      </c>
      <c r="F107">
        <f>SUMIFS(data!$C:$C,data!$A:$A,"="&amp;'Покупки по дням'!$B107,data!$B:$B,"="&amp;'Покупки по дням'!F$2)</f>
        <v>0</v>
      </c>
      <c r="G107">
        <f>SUMIFS(data!$C:$C,data!$A:$A,"="&amp;'Покупки по дням'!$B107,data!$B:$B,"="&amp;'Покупки по дням'!G$2)</f>
        <v>1</v>
      </c>
      <c r="H107">
        <f>SUMIFS(data!$C:$C,data!$A:$A,"="&amp;'Покупки по дням'!$B107,data!$B:$B,"="&amp;'Покупки по дням'!H$2)</f>
        <v>6</v>
      </c>
      <c r="I107">
        <f>SUMIFS(data!$C:$C,data!$A:$A,"="&amp;'Покупки по дням'!$B107,data!$B:$B,"="&amp;'Покупки по дням'!I$2)</f>
        <v>1</v>
      </c>
      <c r="J107">
        <f>SUMIFS(data!$C:$C,data!$A:$A,"="&amp;'Покупки по дням'!$B107,data!$B:$B,"="&amp;'Покупки по дням'!J$2)</f>
        <v>2</v>
      </c>
      <c r="K107">
        <f>SUMIFS(data!$C:$C,data!$A:$A,"="&amp;'Покупки по дням'!$B107,data!$B:$B,"="&amp;'Покупки по дням'!K$2)</f>
        <v>0</v>
      </c>
      <c r="L107">
        <f>SUMIFS(data!$C:$C,data!$A:$A,"="&amp;'Покупки по дням'!$B107,data!$B:$B,"="&amp;'Покупки по дням'!L$2)</f>
        <v>1</v>
      </c>
      <c r="M107">
        <f>SUMIFS(data!$C:$C,data!$A:$A,"="&amp;'Покупки по дням'!$B107,data!$B:$B,"="&amp;'Покупки по дням'!M$2)</f>
        <v>0</v>
      </c>
      <c r="N107">
        <f>SUMIFS(data!$C:$C,data!$A:$A,"="&amp;'Покупки по дням'!$B107,data!$B:$B,"="&amp;'Покупки по дням'!N$2)</f>
        <v>0</v>
      </c>
      <c r="O107">
        <f>SUMIFS(data!$C:$C,data!$A:$A,"="&amp;'Покупки по дням'!$B107,data!$B:$B,"="&amp;'Покупки по дням'!O$2)</f>
        <v>5</v>
      </c>
      <c r="P107">
        <f>SUMIFS(data!$C:$C,data!$A:$A,"="&amp;'Покупки по дням'!$B107,data!$B:$B,"="&amp;'Покупки по дням'!P$2)</f>
        <v>4</v>
      </c>
      <c r="Q107">
        <f>SUMIFS(data!$C:$C,data!$A:$A,"="&amp;'Покупки по дням'!$B107,data!$B:$B,"="&amp;'Покупки по дням'!Q$2)</f>
        <v>2</v>
      </c>
      <c r="R107">
        <f>SUMIFS(data!$C:$C,data!$A:$A,"="&amp;'Покупки по дням'!$B107,data!$B:$B,"="&amp;'Покупки по дням'!R$2)</f>
        <v>1</v>
      </c>
      <c r="S107">
        <f>SUMIFS(data!$C:$C,data!$A:$A,"="&amp;'Покупки по дням'!$B107,data!$B:$B,"="&amp;'Покупки по дням'!S$2)</f>
        <v>0</v>
      </c>
      <c r="T107">
        <f>SUMIFS(data!$C:$C,data!$A:$A,"="&amp;'Покупки по дням'!$B107,data!$B:$B,"="&amp;'Покупки по дням'!T$2)</f>
        <v>3</v>
      </c>
      <c r="U107">
        <f>SUMIFS(data!$C:$C,data!$A:$A,"="&amp;'Покупки по дням'!$B107,data!$B:$B,"="&amp;'Покупки по дням'!U$2)</f>
        <v>1</v>
      </c>
      <c r="V107">
        <f>SUMIFS(data!$C:$C,data!$A:$A,"="&amp;'Покупки по дням'!$B107,data!$B:$B,"="&amp;'Покупки по дням'!V$2)</f>
        <v>2</v>
      </c>
      <c r="W107">
        <f>SUMIFS(data!$C:$C,data!$A:$A,"="&amp;'Покупки по дням'!$B107,data!$B:$B,"="&amp;'Покупки по дням'!W$2)</f>
        <v>2</v>
      </c>
      <c r="X107">
        <f>SUMIFS(data!$C:$C,data!$A:$A,"="&amp;'Покупки по дням'!$B107,data!$B:$B,"="&amp;'Покупки по дням'!X$2)</f>
        <v>2</v>
      </c>
      <c r="Y107">
        <f>SUMIFS(data!$C:$C,data!$A:$A,"="&amp;'Покупки по дням'!$B107,data!$B:$B,"="&amp;'Покупки по дням'!Y$2)</f>
        <v>0</v>
      </c>
      <c r="Z107">
        <f>SUMIFS(data!$C:$C,data!$A:$A,"="&amp;'Покупки по дням'!$B107,data!$B:$B,"="&amp;'Покупки по дням'!Z$2)</f>
        <v>2</v>
      </c>
      <c r="AA107">
        <f>SUMIFS(data!$C:$C,data!$A:$A,"="&amp;'Покупки по дням'!$B107,data!$B:$B,"="&amp;'Покупки по дням'!AA$2)</f>
        <v>0</v>
      </c>
      <c r="AB107">
        <f>SUMIFS(data!$C:$C,data!$A:$A,"="&amp;'Покупки по дням'!$B107,data!$B:$B,"="&amp;'Покупки по дням'!AB$2)</f>
        <v>2</v>
      </c>
      <c r="AC107">
        <f>SUMIFS(data!$C:$C,data!$A:$A,"="&amp;'Покупки по дням'!$B107,data!$B:$B,"="&amp;'Покупки по дням'!AC$2)</f>
        <v>0</v>
      </c>
      <c r="AD107">
        <f>SUMIFS(data!$C:$C,data!$A:$A,"="&amp;'Покупки по дням'!$B107,data!$B:$B,"="&amp;'Покупки по дням'!AD$2)</f>
        <v>1</v>
      </c>
      <c r="AE107">
        <f>SUMIFS(data!$C:$C,data!$A:$A,"="&amp;'Покупки по дням'!$B107,data!$B:$B,"="&amp;'Покупки по дням'!AE$2)</f>
        <v>1</v>
      </c>
      <c r="AF107">
        <f>SUMIFS(data!$C:$C,data!$A:$A,"="&amp;'Покупки по дням'!$B107,data!$B:$B,"="&amp;'Покупки по дням'!AF$2)</f>
        <v>0</v>
      </c>
      <c r="AG107">
        <f>SUMIFS(data!$C:$C,data!$A:$A,"="&amp;'Покупки по дням'!$B107,data!$B:$B,"="&amp;'Покупки по дням'!AG$2)</f>
        <v>1</v>
      </c>
      <c r="AH107">
        <f>SUMIFS(data!$C:$C,data!$A:$A,"="&amp;'Покупки по дням'!$B107,data!$B:$B,"="&amp;'Покупки по дням'!AH$2)</f>
        <v>7</v>
      </c>
      <c r="AI107">
        <f>SUMIFS(data!$C:$C,data!$A:$A,"="&amp;'Покупки по дням'!$B107,data!$B:$B,"="&amp;'Покупки по дням'!AI$2)</f>
        <v>1</v>
      </c>
      <c r="AJ107">
        <f>SUMIFS(data!$C:$C,data!$A:$A,"="&amp;'Покупки по дням'!$B107,data!$B:$B,"="&amp;'Покупки по дням'!AJ$2)</f>
        <v>1</v>
      </c>
      <c r="AK107">
        <f>SUMIFS(data!$C:$C,data!$A:$A,"="&amp;'Покупки по дням'!$B107,data!$B:$B,"="&amp;'Покупки по дням'!AK$2)</f>
        <v>2</v>
      </c>
      <c r="AL107">
        <f>SUMIFS(data!$C:$C,data!$A:$A,"="&amp;'Покупки по дням'!$B107,data!$B:$B,"="&amp;'Покупки по дням'!AL$2)</f>
        <v>4</v>
      </c>
      <c r="AM107">
        <f>SUMIFS(data!$C:$C,data!$A:$A,"="&amp;'Покупки по дням'!$B107,data!$B:$B,"="&amp;'Покупки по дням'!AM$2)</f>
        <v>2</v>
      </c>
      <c r="AN107">
        <f>SUMIFS(data!$C:$C,data!$A:$A,"="&amp;'Покупки по дням'!$B107,data!$B:$B,"="&amp;'Покупки по дням'!AN$2)</f>
        <v>2</v>
      </c>
      <c r="AO107">
        <f>SUMIFS(data!$C:$C,data!$A:$A,"="&amp;'Покупки по дням'!$B107,data!$B:$B,"="&amp;'Покупки по дням'!AO$2)</f>
        <v>0</v>
      </c>
      <c r="AP107">
        <f>SUMIFS(data!$C:$C,data!$A:$A,"="&amp;'Покупки по дням'!$B107,data!$B:$B,"="&amp;'Покупки по дням'!AP$2)</f>
        <v>0</v>
      </c>
      <c r="AQ107" s="6">
        <f t="shared" si="1"/>
        <v>1.1589921024102887</v>
      </c>
    </row>
    <row r="108" spans="2:43" ht="28.8" x14ac:dyDescent="0.3">
      <c r="B108" s="17" t="s">
        <v>27</v>
      </c>
      <c r="C108">
        <f>SUMIFS(data!$C:$C,data!$A:$A,"="&amp;'Покупки по дням'!$B108,data!$B:$B,"="&amp;'Покупки по дням'!C$2)</f>
        <v>0</v>
      </c>
      <c r="D108">
        <f>SUMIFS(data!$C:$C,data!$A:$A,"="&amp;'Покупки по дням'!$B108,data!$B:$B,"="&amp;'Покупки по дням'!D$2)</f>
        <v>1</v>
      </c>
      <c r="E108">
        <f>SUMIFS(data!$C:$C,data!$A:$A,"="&amp;'Покупки по дням'!$B108,data!$B:$B,"="&amp;'Покупки по дням'!E$2)</f>
        <v>0</v>
      </c>
      <c r="F108">
        <f>SUMIFS(data!$C:$C,data!$A:$A,"="&amp;'Покупки по дням'!$B108,data!$B:$B,"="&amp;'Покупки по дням'!F$2)</f>
        <v>3</v>
      </c>
      <c r="G108">
        <f>SUMIFS(data!$C:$C,data!$A:$A,"="&amp;'Покупки по дням'!$B108,data!$B:$B,"="&amp;'Покупки по дням'!G$2)</f>
        <v>0</v>
      </c>
      <c r="H108">
        <f>SUMIFS(data!$C:$C,data!$A:$A,"="&amp;'Покупки по дням'!$B108,data!$B:$B,"="&amp;'Покупки по дням'!H$2)</f>
        <v>2</v>
      </c>
      <c r="I108">
        <f>SUMIFS(data!$C:$C,data!$A:$A,"="&amp;'Покупки по дням'!$B108,data!$B:$B,"="&amp;'Покупки по дням'!I$2)</f>
        <v>0</v>
      </c>
      <c r="J108">
        <f>SUMIFS(data!$C:$C,data!$A:$A,"="&amp;'Покупки по дням'!$B108,data!$B:$B,"="&amp;'Покупки по дням'!J$2)</f>
        <v>2</v>
      </c>
      <c r="K108">
        <f>SUMIFS(data!$C:$C,data!$A:$A,"="&amp;'Покупки по дням'!$B108,data!$B:$B,"="&amp;'Покупки по дням'!K$2)</f>
        <v>0</v>
      </c>
      <c r="L108">
        <f>SUMIFS(data!$C:$C,data!$A:$A,"="&amp;'Покупки по дням'!$B108,data!$B:$B,"="&amp;'Покупки по дням'!L$2)</f>
        <v>0</v>
      </c>
      <c r="M108">
        <f>SUMIFS(data!$C:$C,data!$A:$A,"="&amp;'Покупки по дням'!$B108,data!$B:$B,"="&amp;'Покупки по дням'!M$2)</f>
        <v>0</v>
      </c>
      <c r="N108">
        <f>SUMIFS(data!$C:$C,data!$A:$A,"="&amp;'Покупки по дням'!$B108,data!$B:$B,"="&amp;'Покупки по дням'!N$2)</f>
        <v>0</v>
      </c>
      <c r="O108">
        <f>SUMIFS(data!$C:$C,data!$A:$A,"="&amp;'Покупки по дням'!$B108,data!$B:$B,"="&amp;'Покупки по дням'!O$2)</f>
        <v>1</v>
      </c>
      <c r="P108">
        <f>SUMIFS(data!$C:$C,data!$A:$A,"="&amp;'Покупки по дням'!$B108,data!$B:$B,"="&amp;'Покупки по дням'!P$2)</f>
        <v>1</v>
      </c>
      <c r="Q108">
        <f>SUMIFS(data!$C:$C,data!$A:$A,"="&amp;'Покупки по дням'!$B108,data!$B:$B,"="&amp;'Покупки по дням'!Q$2)</f>
        <v>0</v>
      </c>
      <c r="R108">
        <f>SUMIFS(data!$C:$C,data!$A:$A,"="&amp;'Покупки по дням'!$B108,data!$B:$B,"="&amp;'Покупки по дням'!R$2)</f>
        <v>0</v>
      </c>
      <c r="S108">
        <f>SUMIFS(data!$C:$C,data!$A:$A,"="&amp;'Покупки по дням'!$B108,data!$B:$B,"="&amp;'Покупки по дням'!S$2)</f>
        <v>4</v>
      </c>
      <c r="T108">
        <f>SUMIFS(data!$C:$C,data!$A:$A,"="&amp;'Покупки по дням'!$B108,data!$B:$B,"="&amp;'Покупки по дням'!T$2)</f>
        <v>0</v>
      </c>
      <c r="U108">
        <f>SUMIFS(data!$C:$C,data!$A:$A,"="&amp;'Покупки по дням'!$B108,data!$B:$B,"="&amp;'Покупки по дням'!U$2)</f>
        <v>0</v>
      </c>
      <c r="V108">
        <f>SUMIFS(data!$C:$C,data!$A:$A,"="&amp;'Покупки по дням'!$B108,data!$B:$B,"="&amp;'Покупки по дням'!V$2)</f>
        <v>3</v>
      </c>
      <c r="W108">
        <f>SUMIFS(data!$C:$C,data!$A:$A,"="&amp;'Покупки по дням'!$B108,data!$B:$B,"="&amp;'Покупки по дням'!W$2)</f>
        <v>4</v>
      </c>
      <c r="X108">
        <f>SUMIFS(data!$C:$C,data!$A:$A,"="&amp;'Покупки по дням'!$B108,data!$B:$B,"="&amp;'Покупки по дням'!X$2)</f>
        <v>2</v>
      </c>
      <c r="Y108">
        <f>SUMIFS(data!$C:$C,data!$A:$A,"="&amp;'Покупки по дням'!$B108,data!$B:$B,"="&amp;'Покупки по дням'!Y$2)</f>
        <v>2</v>
      </c>
      <c r="Z108">
        <f>SUMIFS(data!$C:$C,data!$A:$A,"="&amp;'Покупки по дням'!$B108,data!$B:$B,"="&amp;'Покупки по дням'!Z$2)</f>
        <v>0</v>
      </c>
      <c r="AA108">
        <f>SUMIFS(data!$C:$C,data!$A:$A,"="&amp;'Покупки по дням'!$B108,data!$B:$B,"="&amp;'Покупки по дням'!AA$2)</f>
        <v>0</v>
      </c>
      <c r="AB108">
        <f>SUMIFS(data!$C:$C,data!$A:$A,"="&amp;'Покупки по дням'!$B108,data!$B:$B,"="&amp;'Покупки по дням'!AB$2)</f>
        <v>0</v>
      </c>
      <c r="AC108">
        <f>SUMIFS(data!$C:$C,data!$A:$A,"="&amp;'Покупки по дням'!$B108,data!$B:$B,"="&amp;'Покупки по дням'!AC$2)</f>
        <v>1</v>
      </c>
      <c r="AD108">
        <f>SUMIFS(data!$C:$C,data!$A:$A,"="&amp;'Покупки по дням'!$B108,data!$B:$B,"="&amp;'Покупки по дням'!AD$2)</f>
        <v>0</v>
      </c>
      <c r="AE108">
        <f>SUMIFS(data!$C:$C,data!$A:$A,"="&amp;'Покупки по дням'!$B108,data!$B:$B,"="&amp;'Покупки по дням'!AE$2)</f>
        <v>2</v>
      </c>
      <c r="AF108">
        <f>SUMIFS(data!$C:$C,data!$A:$A,"="&amp;'Покупки по дням'!$B108,data!$B:$B,"="&amp;'Покупки по дням'!AF$2)</f>
        <v>5</v>
      </c>
      <c r="AG108">
        <f>SUMIFS(data!$C:$C,data!$A:$A,"="&amp;'Покупки по дням'!$B108,data!$B:$B,"="&amp;'Покупки по дням'!AG$2)</f>
        <v>1</v>
      </c>
      <c r="AH108">
        <f>SUMIFS(data!$C:$C,data!$A:$A,"="&amp;'Покупки по дням'!$B108,data!$B:$B,"="&amp;'Покупки по дням'!AH$2)</f>
        <v>2</v>
      </c>
      <c r="AI108">
        <f>SUMIFS(data!$C:$C,data!$A:$A,"="&amp;'Покупки по дням'!$B108,data!$B:$B,"="&amp;'Покупки по дням'!AI$2)</f>
        <v>2</v>
      </c>
      <c r="AJ108">
        <f>SUMIFS(data!$C:$C,data!$A:$A,"="&amp;'Покупки по дням'!$B108,data!$B:$B,"="&amp;'Покупки по дням'!AJ$2)</f>
        <v>2</v>
      </c>
      <c r="AK108">
        <f>SUMIFS(data!$C:$C,data!$A:$A,"="&amp;'Покупки по дням'!$B108,data!$B:$B,"="&amp;'Покупки по дням'!AK$2)</f>
        <v>3</v>
      </c>
      <c r="AL108">
        <f>SUMIFS(data!$C:$C,data!$A:$A,"="&amp;'Покупки по дням'!$B108,data!$B:$B,"="&amp;'Покупки по дням'!AL$2)</f>
        <v>0</v>
      </c>
      <c r="AM108">
        <f>SUMIFS(data!$C:$C,data!$A:$A,"="&amp;'Покупки по дням'!$B108,data!$B:$B,"="&amp;'Покупки по дням'!AM$2)</f>
        <v>0</v>
      </c>
      <c r="AN108">
        <f>SUMIFS(data!$C:$C,data!$A:$A,"="&amp;'Покупки по дням'!$B108,data!$B:$B,"="&amp;'Покупки по дням'!AN$2)</f>
        <v>7</v>
      </c>
      <c r="AO108">
        <f>SUMIFS(data!$C:$C,data!$A:$A,"="&amp;'Покупки по дням'!$B108,data!$B:$B,"="&amp;'Покупки по дням'!AO$2)</f>
        <v>5</v>
      </c>
      <c r="AP108">
        <f>SUMIFS(data!$C:$C,data!$A:$A,"="&amp;'Покупки по дням'!$B108,data!$B:$B,"="&amp;'Покупки по дням'!AP$2)</f>
        <v>3</v>
      </c>
      <c r="AQ108" s="6">
        <f t="shared" si="1"/>
        <v>1.2092310376557296</v>
      </c>
    </row>
    <row r="109" spans="2:43" ht="28.8" x14ac:dyDescent="0.3">
      <c r="B109" s="17" t="s">
        <v>89</v>
      </c>
      <c r="C109">
        <f>SUMIFS(data!$C:$C,data!$A:$A,"="&amp;'Покупки по дням'!$B109,data!$B:$B,"="&amp;'Покупки по дням'!C$2)</f>
        <v>1</v>
      </c>
      <c r="D109">
        <f>SUMIFS(data!$C:$C,data!$A:$A,"="&amp;'Покупки по дням'!$B109,data!$B:$B,"="&amp;'Покупки по дням'!D$2)</f>
        <v>3</v>
      </c>
      <c r="E109">
        <f>SUMIFS(data!$C:$C,data!$A:$A,"="&amp;'Покупки по дням'!$B109,data!$B:$B,"="&amp;'Покупки по дням'!E$2)</f>
        <v>1</v>
      </c>
      <c r="F109">
        <f>SUMIFS(data!$C:$C,data!$A:$A,"="&amp;'Покупки по дням'!$B109,data!$B:$B,"="&amp;'Покупки по дням'!F$2)</f>
        <v>4</v>
      </c>
      <c r="G109">
        <f>SUMIFS(data!$C:$C,data!$A:$A,"="&amp;'Покупки по дням'!$B109,data!$B:$B,"="&amp;'Покупки по дням'!G$2)</f>
        <v>3</v>
      </c>
      <c r="H109">
        <f>SUMIFS(data!$C:$C,data!$A:$A,"="&amp;'Покупки по дням'!$B109,data!$B:$B,"="&amp;'Покупки по дням'!H$2)</f>
        <v>0</v>
      </c>
      <c r="I109">
        <f>SUMIFS(data!$C:$C,data!$A:$A,"="&amp;'Покупки по дням'!$B109,data!$B:$B,"="&amp;'Покупки по дням'!I$2)</f>
        <v>0</v>
      </c>
      <c r="J109">
        <f>SUMIFS(data!$C:$C,data!$A:$A,"="&amp;'Покупки по дням'!$B109,data!$B:$B,"="&amp;'Покупки по дням'!J$2)</f>
        <v>5</v>
      </c>
      <c r="K109">
        <f>SUMIFS(data!$C:$C,data!$A:$A,"="&amp;'Покупки по дням'!$B109,data!$B:$B,"="&amp;'Покупки по дням'!K$2)</f>
        <v>0</v>
      </c>
      <c r="L109">
        <f>SUMIFS(data!$C:$C,data!$A:$A,"="&amp;'Покупки по дням'!$B109,data!$B:$B,"="&amp;'Покупки по дням'!L$2)</f>
        <v>0</v>
      </c>
      <c r="M109">
        <f>SUMIFS(data!$C:$C,data!$A:$A,"="&amp;'Покупки по дням'!$B109,data!$B:$B,"="&amp;'Покупки по дням'!M$2)</f>
        <v>3</v>
      </c>
      <c r="N109">
        <f>SUMIFS(data!$C:$C,data!$A:$A,"="&amp;'Покупки по дням'!$B109,data!$B:$B,"="&amp;'Покупки по дням'!N$2)</f>
        <v>2</v>
      </c>
      <c r="O109">
        <f>SUMIFS(data!$C:$C,data!$A:$A,"="&amp;'Покупки по дням'!$B109,data!$B:$B,"="&amp;'Покупки по дням'!O$2)</f>
        <v>0</v>
      </c>
      <c r="P109">
        <f>SUMIFS(data!$C:$C,data!$A:$A,"="&amp;'Покупки по дням'!$B109,data!$B:$B,"="&amp;'Покупки по дням'!P$2)</f>
        <v>0</v>
      </c>
      <c r="Q109">
        <f>SUMIFS(data!$C:$C,data!$A:$A,"="&amp;'Покупки по дням'!$B109,data!$B:$B,"="&amp;'Покупки по дням'!Q$2)</f>
        <v>1</v>
      </c>
      <c r="R109">
        <f>SUMIFS(data!$C:$C,data!$A:$A,"="&amp;'Покупки по дням'!$B109,data!$B:$B,"="&amp;'Покупки по дням'!R$2)</f>
        <v>2</v>
      </c>
      <c r="S109">
        <f>SUMIFS(data!$C:$C,data!$A:$A,"="&amp;'Покупки по дням'!$B109,data!$B:$B,"="&amp;'Покупки по дням'!S$2)</f>
        <v>0</v>
      </c>
      <c r="T109">
        <f>SUMIFS(data!$C:$C,data!$A:$A,"="&amp;'Покупки по дням'!$B109,data!$B:$B,"="&amp;'Покупки по дням'!T$2)</f>
        <v>1</v>
      </c>
      <c r="U109">
        <f>SUMIFS(data!$C:$C,data!$A:$A,"="&amp;'Покупки по дням'!$B109,data!$B:$B,"="&amp;'Покупки по дням'!U$2)</f>
        <v>0</v>
      </c>
      <c r="V109">
        <f>SUMIFS(data!$C:$C,data!$A:$A,"="&amp;'Покупки по дням'!$B109,data!$B:$B,"="&amp;'Покупки по дням'!V$2)</f>
        <v>2</v>
      </c>
      <c r="W109">
        <f>SUMIFS(data!$C:$C,data!$A:$A,"="&amp;'Покупки по дням'!$B109,data!$B:$B,"="&amp;'Покупки по дням'!W$2)</f>
        <v>0</v>
      </c>
      <c r="X109">
        <f>SUMIFS(data!$C:$C,data!$A:$A,"="&amp;'Покупки по дням'!$B109,data!$B:$B,"="&amp;'Покупки по дням'!X$2)</f>
        <v>0</v>
      </c>
      <c r="Y109">
        <f>SUMIFS(data!$C:$C,data!$A:$A,"="&amp;'Покупки по дням'!$B109,data!$B:$B,"="&amp;'Покупки по дням'!Y$2)</f>
        <v>0</v>
      </c>
      <c r="Z109">
        <f>SUMIFS(data!$C:$C,data!$A:$A,"="&amp;'Покупки по дням'!$B109,data!$B:$B,"="&amp;'Покупки по дням'!Z$2)</f>
        <v>0</v>
      </c>
      <c r="AA109">
        <f>SUMIFS(data!$C:$C,data!$A:$A,"="&amp;'Покупки по дням'!$B109,data!$B:$B,"="&amp;'Покупки по дням'!AA$2)</f>
        <v>1</v>
      </c>
      <c r="AB109">
        <f>SUMIFS(data!$C:$C,data!$A:$A,"="&amp;'Покупки по дням'!$B109,data!$B:$B,"="&amp;'Покупки по дням'!AB$2)</f>
        <v>1</v>
      </c>
      <c r="AC109">
        <f>SUMIFS(data!$C:$C,data!$A:$A,"="&amp;'Покупки по дням'!$B109,data!$B:$B,"="&amp;'Покупки по дням'!AC$2)</f>
        <v>0</v>
      </c>
      <c r="AD109">
        <f>SUMIFS(data!$C:$C,data!$A:$A,"="&amp;'Покупки по дням'!$B109,data!$B:$B,"="&amp;'Покупки по дням'!AD$2)</f>
        <v>1</v>
      </c>
      <c r="AE109">
        <f>SUMIFS(data!$C:$C,data!$A:$A,"="&amp;'Покупки по дням'!$B109,data!$B:$B,"="&amp;'Покупки по дням'!AE$2)</f>
        <v>0</v>
      </c>
      <c r="AF109">
        <f>SUMIFS(data!$C:$C,data!$A:$A,"="&amp;'Покупки по дням'!$B109,data!$B:$B,"="&amp;'Покупки по дням'!AF$2)</f>
        <v>1</v>
      </c>
      <c r="AG109">
        <f>SUMIFS(data!$C:$C,data!$A:$A,"="&amp;'Покупки по дням'!$B109,data!$B:$B,"="&amp;'Покупки по дням'!AG$2)</f>
        <v>1</v>
      </c>
      <c r="AH109">
        <f>SUMIFS(data!$C:$C,data!$A:$A,"="&amp;'Покупки по дням'!$B109,data!$B:$B,"="&amp;'Покупки по дням'!AH$2)</f>
        <v>1</v>
      </c>
      <c r="AI109">
        <f>SUMIFS(data!$C:$C,data!$A:$A,"="&amp;'Покупки по дням'!$B109,data!$B:$B,"="&amp;'Покупки по дням'!AI$2)</f>
        <v>0</v>
      </c>
      <c r="AJ109">
        <f>SUMIFS(data!$C:$C,data!$A:$A,"="&amp;'Покупки по дням'!$B109,data!$B:$B,"="&amp;'Покупки по дням'!AJ$2)</f>
        <v>1</v>
      </c>
      <c r="AK109">
        <f>SUMIFS(data!$C:$C,data!$A:$A,"="&amp;'Покупки по дням'!$B109,data!$B:$B,"="&amp;'Покупки по дням'!AK$2)</f>
        <v>2</v>
      </c>
      <c r="AL109">
        <f>SUMIFS(data!$C:$C,data!$A:$A,"="&amp;'Покупки по дням'!$B109,data!$B:$B,"="&amp;'Покупки по дням'!AL$2)</f>
        <v>2</v>
      </c>
      <c r="AM109">
        <f>SUMIFS(data!$C:$C,data!$A:$A,"="&amp;'Покупки по дням'!$B109,data!$B:$B,"="&amp;'Покупки по дням'!AM$2)</f>
        <v>1</v>
      </c>
      <c r="AN109">
        <f>SUMIFS(data!$C:$C,data!$A:$A,"="&amp;'Покупки по дням'!$B109,data!$B:$B,"="&amp;'Покупки по дням'!AN$2)</f>
        <v>1</v>
      </c>
      <c r="AO109">
        <f>SUMIFS(data!$C:$C,data!$A:$A,"="&amp;'Покупки по дням'!$B109,data!$B:$B,"="&amp;'Покупки по дням'!AO$2)</f>
        <v>2</v>
      </c>
      <c r="AP109">
        <f>SUMIFS(data!$C:$C,data!$A:$A,"="&amp;'Покупки по дням'!$B109,data!$B:$B,"="&amp;'Покупки по дням'!AP$2)</f>
        <v>1</v>
      </c>
      <c r="AQ109" s="6">
        <f t="shared" si="1"/>
        <v>1.1048065822730908</v>
      </c>
    </row>
    <row r="110" spans="2:43" ht="28.8" x14ac:dyDescent="0.3">
      <c r="B110" s="17" t="s">
        <v>96</v>
      </c>
      <c r="C110">
        <f>SUMIFS(data!$C:$C,data!$A:$A,"="&amp;'Покупки по дням'!$B110,data!$B:$B,"="&amp;'Покупки по дням'!C$2)</f>
        <v>1</v>
      </c>
      <c r="D110">
        <f>SUMIFS(data!$C:$C,data!$A:$A,"="&amp;'Покупки по дням'!$B110,data!$B:$B,"="&amp;'Покупки по дням'!D$2)</f>
        <v>3</v>
      </c>
      <c r="E110">
        <f>SUMIFS(data!$C:$C,data!$A:$A,"="&amp;'Покупки по дням'!$B110,data!$B:$B,"="&amp;'Покупки по дням'!E$2)</f>
        <v>0</v>
      </c>
      <c r="F110">
        <f>SUMIFS(data!$C:$C,data!$A:$A,"="&amp;'Покупки по дням'!$B110,data!$B:$B,"="&amp;'Покупки по дням'!F$2)</f>
        <v>0</v>
      </c>
      <c r="G110">
        <f>SUMIFS(data!$C:$C,data!$A:$A,"="&amp;'Покупки по дням'!$B110,data!$B:$B,"="&amp;'Покупки по дням'!G$2)</f>
        <v>3</v>
      </c>
      <c r="H110">
        <f>SUMIFS(data!$C:$C,data!$A:$A,"="&amp;'Покупки по дням'!$B110,data!$B:$B,"="&amp;'Покупки по дням'!H$2)</f>
        <v>1</v>
      </c>
      <c r="I110">
        <f>SUMIFS(data!$C:$C,data!$A:$A,"="&amp;'Покупки по дням'!$B110,data!$B:$B,"="&amp;'Покупки по дням'!I$2)</f>
        <v>0</v>
      </c>
      <c r="J110">
        <f>SUMIFS(data!$C:$C,data!$A:$A,"="&amp;'Покупки по дням'!$B110,data!$B:$B,"="&amp;'Покупки по дням'!J$2)</f>
        <v>0</v>
      </c>
      <c r="K110">
        <f>SUMIFS(data!$C:$C,data!$A:$A,"="&amp;'Покупки по дням'!$B110,data!$B:$B,"="&amp;'Покупки по дням'!K$2)</f>
        <v>0</v>
      </c>
      <c r="L110">
        <f>SUMIFS(data!$C:$C,data!$A:$A,"="&amp;'Покупки по дням'!$B110,data!$B:$B,"="&amp;'Покупки по дням'!L$2)</f>
        <v>2</v>
      </c>
      <c r="M110">
        <f>SUMIFS(data!$C:$C,data!$A:$A,"="&amp;'Покупки по дням'!$B110,data!$B:$B,"="&amp;'Покупки по дням'!M$2)</f>
        <v>1</v>
      </c>
      <c r="N110">
        <f>SUMIFS(data!$C:$C,data!$A:$A,"="&amp;'Покупки по дням'!$B110,data!$B:$B,"="&amp;'Покупки по дням'!N$2)</f>
        <v>0</v>
      </c>
      <c r="O110">
        <f>SUMIFS(data!$C:$C,data!$A:$A,"="&amp;'Покупки по дням'!$B110,data!$B:$B,"="&amp;'Покупки по дням'!O$2)</f>
        <v>1</v>
      </c>
      <c r="P110">
        <f>SUMIFS(data!$C:$C,data!$A:$A,"="&amp;'Покупки по дням'!$B110,data!$B:$B,"="&amp;'Покупки по дням'!P$2)</f>
        <v>1</v>
      </c>
      <c r="Q110">
        <f>SUMIFS(data!$C:$C,data!$A:$A,"="&amp;'Покупки по дням'!$B110,data!$B:$B,"="&amp;'Покупки по дням'!Q$2)</f>
        <v>1</v>
      </c>
      <c r="R110">
        <f>SUMIFS(data!$C:$C,data!$A:$A,"="&amp;'Покупки по дням'!$B110,data!$B:$B,"="&amp;'Покупки по дням'!R$2)</f>
        <v>1</v>
      </c>
      <c r="S110">
        <f>SUMIFS(data!$C:$C,data!$A:$A,"="&amp;'Покупки по дням'!$B110,data!$B:$B,"="&amp;'Покупки по дням'!S$2)</f>
        <v>4</v>
      </c>
      <c r="T110">
        <f>SUMIFS(data!$C:$C,data!$A:$A,"="&amp;'Покупки по дням'!$B110,data!$B:$B,"="&amp;'Покупки по дням'!T$2)</f>
        <v>1</v>
      </c>
      <c r="U110">
        <f>SUMIFS(data!$C:$C,data!$A:$A,"="&amp;'Покупки по дням'!$B110,data!$B:$B,"="&amp;'Покупки по дням'!U$2)</f>
        <v>0</v>
      </c>
      <c r="V110">
        <f>SUMIFS(data!$C:$C,data!$A:$A,"="&amp;'Покупки по дням'!$B110,data!$B:$B,"="&amp;'Покупки по дням'!V$2)</f>
        <v>0</v>
      </c>
      <c r="W110">
        <f>SUMIFS(data!$C:$C,data!$A:$A,"="&amp;'Покупки по дням'!$B110,data!$B:$B,"="&amp;'Покупки по дням'!W$2)</f>
        <v>3</v>
      </c>
      <c r="X110">
        <f>SUMIFS(data!$C:$C,data!$A:$A,"="&amp;'Покупки по дням'!$B110,data!$B:$B,"="&amp;'Покупки по дням'!X$2)</f>
        <v>3</v>
      </c>
      <c r="Y110">
        <f>SUMIFS(data!$C:$C,data!$A:$A,"="&amp;'Покупки по дням'!$B110,data!$B:$B,"="&amp;'Покупки по дням'!Y$2)</f>
        <v>2</v>
      </c>
      <c r="Z110">
        <f>SUMIFS(data!$C:$C,data!$A:$A,"="&amp;'Покупки по дням'!$B110,data!$B:$B,"="&amp;'Покупки по дням'!Z$2)</f>
        <v>1</v>
      </c>
      <c r="AA110">
        <f>SUMIFS(data!$C:$C,data!$A:$A,"="&amp;'Покупки по дням'!$B110,data!$B:$B,"="&amp;'Покупки по дням'!AA$2)</f>
        <v>2</v>
      </c>
      <c r="AB110">
        <f>SUMIFS(data!$C:$C,data!$A:$A,"="&amp;'Покупки по дням'!$B110,data!$B:$B,"="&amp;'Покупки по дням'!AB$2)</f>
        <v>0</v>
      </c>
      <c r="AC110">
        <f>SUMIFS(data!$C:$C,data!$A:$A,"="&amp;'Покупки по дням'!$B110,data!$B:$B,"="&amp;'Покупки по дням'!AC$2)</f>
        <v>1</v>
      </c>
      <c r="AD110">
        <f>SUMIFS(data!$C:$C,data!$A:$A,"="&amp;'Покупки по дням'!$B110,data!$B:$B,"="&amp;'Покупки по дням'!AD$2)</f>
        <v>1</v>
      </c>
      <c r="AE110">
        <f>SUMIFS(data!$C:$C,data!$A:$A,"="&amp;'Покупки по дням'!$B110,data!$B:$B,"="&amp;'Покупки по дням'!AE$2)</f>
        <v>1</v>
      </c>
      <c r="AF110">
        <f>SUMIFS(data!$C:$C,data!$A:$A,"="&amp;'Покупки по дням'!$B110,data!$B:$B,"="&amp;'Покупки по дням'!AF$2)</f>
        <v>1</v>
      </c>
      <c r="AG110">
        <f>SUMIFS(data!$C:$C,data!$A:$A,"="&amp;'Покупки по дням'!$B110,data!$B:$B,"="&amp;'Покупки по дням'!AG$2)</f>
        <v>2</v>
      </c>
      <c r="AH110">
        <f>SUMIFS(data!$C:$C,data!$A:$A,"="&amp;'Покупки по дням'!$B110,data!$B:$B,"="&amp;'Покупки по дням'!AH$2)</f>
        <v>1</v>
      </c>
      <c r="AI110">
        <f>SUMIFS(data!$C:$C,data!$A:$A,"="&amp;'Покупки по дням'!$B110,data!$B:$B,"="&amp;'Покупки по дням'!AI$2)</f>
        <v>1</v>
      </c>
      <c r="AJ110">
        <f>SUMIFS(data!$C:$C,data!$A:$A,"="&amp;'Покупки по дням'!$B110,data!$B:$B,"="&amp;'Покупки по дням'!AJ$2)</f>
        <v>1</v>
      </c>
      <c r="AK110">
        <f>SUMIFS(data!$C:$C,data!$A:$A,"="&amp;'Покупки по дням'!$B110,data!$B:$B,"="&amp;'Покупки по дням'!AK$2)</f>
        <v>1</v>
      </c>
      <c r="AL110">
        <f>SUMIFS(data!$C:$C,data!$A:$A,"="&amp;'Покупки по дням'!$B110,data!$B:$B,"="&amp;'Покупки по дням'!AL$2)</f>
        <v>0</v>
      </c>
      <c r="AM110">
        <f>SUMIFS(data!$C:$C,data!$A:$A,"="&amp;'Покупки по дням'!$B110,data!$B:$B,"="&amp;'Покупки по дням'!AM$2)</f>
        <v>4</v>
      </c>
      <c r="AN110">
        <f>SUMIFS(data!$C:$C,data!$A:$A,"="&amp;'Покупки по дням'!$B110,data!$B:$B,"="&amp;'Покупки по дням'!AN$2)</f>
        <v>3</v>
      </c>
      <c r="AO110">
        <f>SUMIFS(data!$C:$C,data!$A:$A,"="&amp;'Покупки по дням'!$B110,data!$B:$B,"="&amp;'Покупки по дням'!AO$2)</f>
        <v>2</v>
      </c>
      <c r="AP110">
        <f>SUMIFS(data!$C:$C,data!$A:$A,"="&amp;'Покупки по дням'!$B110,data!$B:$B,"="&amp;'Покупки по дням'!AP$2)</f>
        <v>1</v>
      </c>
      <c r="AQ110" s="6">
        <f t="shared" si="1"/>
        <v>0.88783837607337535</v>
      </c>
    </row>
    <row r="111" spans="2:43" x14ac:dyDescent="0.3">
      <c r="B111" s="17" t="s">
        <v>147</v>
      </c>
      <c r="C111">
        <f>SUMIFS(data!$C:$C,data!$A:$A,"="&amp;'Покупки по дням'!$B111,data!$B:$B,"="&amp;'Покупки по дням'!C$2)</f>
        <v>1</v>
      </c>
      <c r="D111">
        <f>SUMIFS(data!$C:$C,data!$A:$A,"="&amp;'Покупки по дням'!$B111,data!$B:$B,"="&amp;'Покупки по дням'!D$2)</f>
        <v>1</v>
      </c>
      <c r="E111">
        <f>SUMIFS(data!$C:$C,data!$A:$A,"="&amp;'Покупки по дням'!$B111,data!$B:$B,"="&amp;'Покупки по дням'!E$2)</f>
        <v>0</v>
      </c>
      <c r="F111">
        <f>SUMIFS(data!$C:$C,data!$A:$A,"="&amp;'Покупки по дням'!$B111,data!$B:$B,"="&amp;'Покупки по дням'!F$2)</f>
        <v>2</v>
      </c>
      <c r="G111">
        <f>SUMIFS(data!$C:$C,data!$A:$A,"="&amp;'Покупки по дням'!$B111,data!$B:$B,"="&amp;'Покупки по дням'!G$2)</f>
        <v>0</v>
      </c>
      <c r="H111">
        <f>SUMIFS(data!$C:$C,data!$A:$A,"="&amp;'Покупки по дням'!$B111,data!$B:$B,"="&amp;'Покупки по дням'!H$2)</f>
        <v>1</v>
      </c>
      <c r="I111">
        <f>SUMIFS(data!$C:$C,data!$A:$A,"="&amp;'Покупки по дням'!$B111,data!$B:$B,"="&amp;'Покупки по дням'!I$2)</f>
        <v>2</v>
      </c>
      <c r="J111">
        <f>SUMIFS(data!$C:$C,data!$A:$A,"="&amp;'Покупки по дням'!$B111,data!$B:$B,"="&amp;'Покупки по дням'!J$2)</f>
        <v>2</v>
      </c>
      <c r="K111">
        <f>SUMIFS(data!$C:$C,data!$A:$A,"="&amp;'Покупки по дням'!$B111,data!$B:$B,"="&amp;'Покупки по дням'!K$2)</f>
        <v>0</v>
      </c>
      <c r="L111">
        <f>SUMIFS(data!$C:$C,data!$A:$A,"="&amp;'Покупки по дням'!$B111,data!$B:$B,"="&amp;'Покупки по дням'!L$2)</f>
        <v>0</v>
      </c>
      <c r="M111">
        <f>SUMIFS(data!$C:$C,data!$A:$A,"="&amp;'Покупки по дням'!$B111,data!$B:$B,"="&amp;'Покупки по дням'!M$2)</f>
        <v>0</v>
      </c>
      <c r="N111">
        <f>SUMIFS(data!$C:$C,data!$A:$A,"="&amp;'Покупки по дням'!$B111,data!$B:$B,"="&amp;'Покупки по дням'!N$2)</f>
        <v>0</v>
      </c>
      <c r="O111">
        <f>SUMIFS(data!$C:$C,data!$A:$A,"="&amp;'Покупки по дням'!$B111,data!$B:$B,"="&amp;'Покупки по дням'!O$2)</f>
        <v>0</v>
      </c>
      <c r="P111">
        <f>SUMIFS(data!$C:$C,data!$A:$A,"="&amp;'Покупки по дням'!$B111,data!$B:$B,"="&amp;'Покупки по дням'!P$2)</f>
        <v>0</v>
      </c>
      <c r="Q111">
        <f>SUMIFS(data!$C:$C,data!$A:$A,"="&amp;'Покупки по дням'!$B111,data!$B:$B,"="&amp;'Покупки по дням'!Q$2)</f>
        <v>1</v>
      </c>
      <c r="R111">
        <f>SUMIFS(data!$C:$C,data!$A:$A,"="&amp;'Покупки по дням'!$B111,data!$B:$B,"="&amp;'Покупки по дням'!R$2)</f>
        <v>0</v>
      </c>
      <c r="S111">
        <f>SUMIFS(data!$C:$C,data!$A:$A,"="&amp;'Покупки по дням'!$B111,data!$B:$B,"="&amp;'Покупки по дням'!S$2)</f>
        <v>2</v>
      </c>
      <c r="T111">
        <f>SUMIFS(data!$C:$C,data!$A:$A,"="&amp;'Покупки по дням'!$B111,data!$B:$B,"="&amp;'Покупки по дням'!T$2)</f>
        <v>4</v>
      </c>
      <c r="U111">
        <f>SUMIFS(data!$C:$C,data!$A:$A,"="&amp;'Покупки по дням'!$B111,data!$B:$B,"="&amp;'Покупки по дням'!U$2)</f>
        <v>2</v>
      </c>
      <c r="V111">
        <f>SUMIFS(data!$C:$C,data!$A:$A,"="&amp;'Покупки по дням'!$B111,data!$B:$B,"="&amp;'Покупки по дням'!V$2)</f>
        <v>1</v>
      </c>
      <c r="W111">
        <f>SUMIFS(data!$C:$C,data!$A:$A,"="&amp;'Покупки по дням'!$B111,data!$B:$B,"="&amp;'Покупки по дням'!W$2)</f>
        <v>2</v>
      </c>
      <c r="X111">
        <f>SUMIFS(data!$C:$C,data!$A:$A,"="&amp;'Покупки по дням'!$B111,data!$B:$B,"="&amp;'Покупки по дням'!X$2)</f>
        <v>2</v>
      </c>
      <c r="Y111">
        <f>SUMIFS(data!$C:$C,data!$A:$A,"="&amp;'Покупки по дням'!$B111,data!$B:$B,"="&amp;'Покупки по дням'!Y$2)</f>
        <v>3</v>
      </c>
      <c r="Z111">
        <f>SUMIFS(data!$C:$C,data!$A:$A,"="&amp;'Покупки по дням'!$B111,data!$B:$B,"="&amp;'Покупки по дням'!Z$2)</f>
        <v>0</v>
      </c>
      <c r="AA111">
        <f>SUMIFS(data!$C:$C,data!$A:$A,"="&amp;'Покупки по дням'!$B111,data!$B:$B,"="&amp;'Покупки по дням'!AA$2)</f>
        <v>1</v>
      </c>
      <c r="AB111">
        <f>SUMIFS(data!$C:$C,data!$A:$A,"="&amp;'Покупки по дням'!$B111,data!$B:$B,"="&amp;'Покупки по дням'!AB$2)</f>
        <v>0</v>
      </c>
      <c r="AC111">
        <f>SUMIFS(data!$C:$C,data!$A:$A,"="&amp;'Покупки по дням'!$B111,data!$B:$B,"="&amp;'Покупки по дням'!AC$2)</f>
        <v>0</v>
      </c>
      <c r="AD111">
        <f>SUMIFS(data!$C:$C,data!$A:$A,"="&amp;'Покупки по дням'!$B111,data!$B:$B,"="&amp;'Покупки по дням'!AD$2)</f>
        <v>2</v>
      </c>
      <c r="AE111">
        <f>SUMIFS(data!$C:$C,data!$A:$A,"="&amp;'Покупки по дням'!$B111,data!$B:$B,"="&amp;'Покупки по дням'!AE$2)</f>
        <v>1</v>
      </c>
      <c r="AF111">
        <f>SUMIFS(data!$C:$C,data!$A:$A,"="&amp;'Покупки по дням'!$B111,data!$B:$B,"="&amp;'Покупки по дням'!AF$2)</f>
        <v>1</v>
      </c>
      <c r="AG111">
        <f>SUMIFS(data!$C:$C,data!$A:$A,"="&amp;'Покупки по дням'!$B111,data!$B:$B,"="&amp;'Покупки по дням'!AG$2)</f>
        <v>2</v>
      </c>
      <c r="AH111">
        <f>SUMIFS(data!$C:$C,data!$A:$A,"="&amp;'Покупки по дням'!$B111,data!$B:$B,"="&amp;'Покупки по дням'!AH$2)</f>
        <v>0</v>
      </c>
      <c r="AI111">
        <f>SUMIFS(data!$C:$C,data!$A:$A,"="&amp;'Покупки по дням'!$B111,data!$B:$B,"="&amp;'Покупки по дням'!AI$2)</f>
        <v>2</v>
      </c>
      <c r="AJ111">
        <f>SUMIFS(data!$C:$C,data!$A:$A,"="&amp;'Покупки по дням'!$B111,data!$B:$B,"="&amp;'Покупки по дням'!AJ$2)</f>
        <v>2</v>
      </c>
      <c r="AK111">
        <f>SUMIFS(data!$C:$C,data!$A:$A,"="&amp;'Покупки по дням'!$B111,data!$B:$B,"="&amp;'Покупки по дням'!AK$2)</f>
        <v>5</v>
      </c>
      <c r="AL111">
        <f>SUMIFS(data!$C:$C,data!$A:$A,"="&amp;'Покупки по дням'!$B111,data!$B:$B,"="&amp;'Покупки по дням'!AL$2)</f>
        <v>0</v>
      </c>
      <c r="AM111">
        <f>SUMIFS(data!$C:$C,data!$A:$A,"="&amp;'Покупки по дням'!$B111,data!$B:$B,"="&amp;'Покупки по дням'!AM$2)</f>
        <v>3</v>
      </c>
      <c r="AN111">
        <f>SUMIFS(data!$C:$C,data!$A:$A,"="&amp;'Покупки по дням'!$B111,data!$B:$B,"="&amp;'Покупки по дням'!AN$2)</f>
        <v>3</v>
      </c>
      <c r="AO111">
        <f>SUMIFS(data!$C:$C,data!$A:$A,"="&amp;'Покупки по дням'!$B111,data!$B:$B,"="&amp;'Покупки по дням'!AO$2)</f>
        <v>0</v>
      </c>
      <c r="AP111">
        <f>SUMIFS(data!$C:$C,data!$A:$A,"="&amp;'Покупки по дням'!$B111,data!$B:$B,"="&amp;'Покупки по дням'!AP$2)</f>
        <v>0</v>
      </c>
      <c r="AQ111" s="6">
        <f t="shared" si="1"/>
        <v>1.0540925533894598</v>
      </c>
    </row>
    <row r="112" spans="2:43" x14ac:dyDescent="0.3">
      <c r="B112" s="17" t="s">
        <v>152</v>
      </c>
      <c r="C112">
        <f>SUMIFS(data!$C:$C,data!$A:$A,"="&amp;'Покупки по дням'!$B112,data!$B:$B,"="&amp;'Покупки по дням'!C$2)</f>
        <v>0</v>
      </c>
      <c r="D112">
        <f>SUMIFS(data!$C:$C,data!$A:$A,"="&amp;'Покупки по дням'!$B112,data!$B:$B,"="&amp;'Покупки по дням'!D$2)</f>
        <v>2</v>
      </c>
      <c r="E112">
        <f>SUMIFS(data!$C:$C,data!$A:$A,"="&amp;'Покупки по дням'!$B112,data!$B:$B,"="&amp;'Покупки по дням'!E$2)</f>
        <v>2</v>
      </c>
      <c r="F112">
        <f>SUMIFS(data!$C:$C,data!$A:$A,"="&amp;'Покупки по дням'!$B112,data!$B:$B,"="&amp;'Покупки по дням'!F$2)</f>
        <v>1</v>
      </c>
      <c r="G112">
        <f>SUMIFS(data!$C:$C,data!$A:$A,"="&amp;'Покупки по дням'!$B112,data!$B:$B,"="&amp;'Покупки по дням'!G$2)</f>
        <v>3</v>
      </c>
      <c r="H112">
        <f>SUMIFS(data!$C:$C,data!$A:$A,"="&amp;'Покупки по дням'!$B112,data!$B:$B,"="&amp;'Покупки по дням'!H$2)</f>
        <v>3</v>
      </c>
      <c r="I112">
        <f>SUMIFS(data!$C:$C,data!$A:$A,"="&amp;'Покупки по дням'!$B112,data!$B:$B,"="&amp;'Покупки по дням'!I$2)</f>
        <v>2</v>
      </c>
      <c r="J112">
        <f>SUMIFS(data!$C:$C,data!$A:$A,"="&amp;'Покупки по дням'!$B112,data!$B:$B,"="&amp;'Покупки по дням'!J$2)</f>
        <v>2</v>
      </c>
      <c r="K112">
        <f>SUMIFS(data!$C:$C,data!$A:$A,"="&amp;'Покупки по дням'!$B112,data!$B:$B,"="&amp;'Покупки по дням'!K$2)</f>
        <v>0</v>
      </c>
      <c r="L112">
        <f>SUMIFS(data!$C:$C,data!$A:$A,"="&amp;'Покупки по дням'!$B112,data!$B:$B,"="&amp;'Покупки по дням'!L$2)</f>
        <v>1</v>
      </c>
      <c r="M112">
        <f>SUMIFS(data!$C:$C,data!$A:$A,"="&amp;'Покупки по дням'!$B112,data!$B:$B,"="&amp;'Покупки по дням'!M$2)</f>
        <v>2</v>
      </c>
      <c r="N112">
        <f>SUMIFS(data!$C:$C,data!$A:$A,"="&amp;'Покупки по дням'!$B112,data!$B:$B,"="&amp;'Покупки по дням'!N$2)</f>
        <v>2</v>
      </c>
      <c r="O112">
        <f>SUMIFS(data!$C:$C,data!$A:$A,"="&amp;'Покупки по дням'!$B112,data!$B:$B,"="&amp;'Покупки по дням'!O$2)</f>
        <v>1</v>
      </c>
      <c r="P112">
        <f>SUMIFS(data!$C:$C,data!$A:$A,"="&amp;'Покупки по дням'!$B112,data!$B:$B,"="&amp;'Покупки по дням'!P$2)</f>
        <v>1</v>
      </c>
      <c r="Q112">
        <f>SUMIFS(data!$C:$C,data!$A:$A,"="&amp;'Покупки по дням'!$B112,data!$B:$B,"="&amp;'Покупки по дням'!Q$2)</f>
        <v>2</v>
      </c>
      <c r="R112">
        <f>SUMIFS(data!$C:$C,data!$A:$A,"="&amp;'Покупки по дням'!$B112,data!$B:$B,"="&amp;'Покупки по дням'!R$2)</f>
        <v>1</v>
      </c>
      <c r="S112">
        <f>SUMIFS(data!$C:$C,data!$A:$A,"="&amp;'Покупки по дням'!$B112,data!$B:$B,"="&amp;'Покупки по дням'!S$2)</f>
        <v>0</v>
      </c>
      <c r="T112">
        <f>SUMIFS(data!$C:$C,data!$A:$A,"="&amp;'Покупки по дням'!$B112,data!$B:$B,"="&amp;'Покупки по дням'!T$2)</f>
        <v>1</v>
      </c>
      <c r="U112">
        <f>SUMIFS(data!$C:$C,data!$A:$A,"="&amp;'Покупки по дням'!$B112,data!$B:$B,"="&amp;'Покупки по дням'!U$2)</f>
        <v>0</v>
      </c>
      <c r="V112">
        <f>SUMIFS(data!$C:$C,data!$A:$A,"="&amp;'Покупки по дням'!$B112,data!$B:$B,"="&amp;'Покупки по дням'!V$2)</f>
        <v>0</v>
      </c>
      <c r="W112">
        <f>SUMIFS(data!$C:$C,data!$A:$A,"="&amp;'Покупки по дням'!$B112,data!$B:$B,"="&amp;'Покупки по дням'!W$2)</f>
        <v>2</v>
      </c>
      <c r="X112">
        <f>SUMIFS(data!$C:$C,data!$A:$A,"="&amp;'Покупки по дням'!$B112,data!$B:$B,"="&amp;'Покупки по дням'!X$2)</f>
        <v>0</v>
      </c>
      <c r="Y112">
        <f>SUMIFS(data!$C:$C,data!$A:$A,"="&amp;'Покупки по дням'!$B112,data!$B:$B,"="&amp;'Покупки по дням'!Y$2)</f>
        <v>1</v>
      </c>
      <c r="Z112">
        <f>SUMIFS(data!$C:$C,data!$A:$A,"="&amp;'Покупки по дням'!$B112,data!$B:$B,"="&amp;'Покупки по дням'!Z$2)</f>
        <v>2</v>
      </c>
      <c r="AA112">
        <f>SUMIFS(data!$C:$C,data!$A:$A,"="&amp;'Покупки по дням'!$B112,data!$B:$B,"="&amp;'Покупки по дням'!AA$2)</f>
        <v>0</v>
      </c>
      <c r="AB112">
        <f>SUMIFS(data!$C:$C,data!$A:$A,"="&amp;'Покупки по дням'!$B112,data!$B:$B,"="&amp;'Покупки по дням'!AB$2)</f>
        <v>4</v>
      </c>
      <c r="AC112">
        <f>SUMIFS(data!$C:$C,data!$A:$A,"="&amp;'Покупки по дням'!$B112,data!$B:$B,"="&amp;'Покупки по дням'!AC$2)</f>
        <v>2</v>
      </c>
      <c r="AD112">
        <f>SUMIFS(data!$C:$C,data!$A:$A,"="&amp;'Покупки по дням'!$B112,data!$B:$B,"="&amp;'Покупки по дням'!AD$2)</f>
        <v>1</v>
      </c>
      <c r="AE112">
        <f>SUMIFS(data!$C:$C,data!$A:$A,"="&amp;'Покупки по дням'!$B112,data!$B:$B,"="&amp;'Покупки по дням'!AE$2)</f>
        <v>2</v>
      </c>
      <c r="AF112">
        <f>SUMIFS(data!$C:$C,data!$A:$A,"="&amp;'Покупки по дням'!$B112,data!$B:$B,"="&amp;'Покупки по дням'!AF$2)</f>
        <v>0</v>
      </c>
      <c r="AG112">
        <f>SUMIFS(data!$C:$C,data!$A:$A,"="&amp;'Покупки по дням'!$B112,data!$B:$B,"="&amp;'Покупки по дням'!AG$2)</f>
        <v>1</v>
      </c>
      <c r="AH112">
        <f>SUMIFS(data!$C:$C,data!$A:$A,"="&amp;'Покупки по дням'!$B112,data!$B:$B,"="&amp;'Покупки по дням'!AH$2)</f>
        <v>1</v>
      </c>
      <c r="AI112">
        <f>SUMIFS(data!$C:$C,data!$A:$A,"="&amp;'Покупки по дням'!$B112,data!$B:$B,"="&amp;'Покупки по дням'!AI$2)</f>
        <v>1</v>
      </c>
      <c r="AJ112">
        <f>SUMIFS(data!$C:$C,data!$A:$A,"="&amp;'Покупки по дням'!$B112,data!$B:$B,"="&amp;'Покупки по дням'!AJ$2)</f>
        <v>1</v>
      </c>
      <c r="AK112">
        <f>SUMIFS(data!$C:$C,data!$A:$A,"="&amp;'Покупки по дням'!$B112,data!$B:$B,"="&amp;'Покупки по дням'!AK$2)</f>
        <v>2</v>
      </c>
      <c r="AL112">
        <f>SUMIFS(data!$C:$C,data!$A:$A,"="&amp;'Покупки по дням'!$B112,data!$B:$B,"="&amp;'Покупки по дням'!AL$2)</f>
        <v>1</v>
      </c>
      <c r="AM112">
        <f>SUMIFS(data!$C:$C,data!$A:$A,"="&amp;'Покупки по дням'!$B112,data!$B:$B,"="&amp;'Покупки по дням'!AM$2)</f>
        <v>1</v>
      </c>
      <c r="AN112">
        <f>SUMIFS(data!$C:$C,data!$A:$A,"="&amp;'Покупки по дням'!$B112,data!$B:$B,"="&amp;'Покупки по дням'!AN$2)</f>
        <v>1</v>
      </c>
      <c r="AO112">
        <f>SUMIFS(data!$C:$C,data!$A:$A,"="&amp;'Покупки по дням'!$B112,data!$B:$B,"="&amp;'Покупки по дням'!AO$2)</f>
        <v>0</v>
      </c>
      <c r="AP112">
        <f>SUMIFS(data!$C:$C,data!$A:$A,"="&amp;'Покупки по дням'!$B112,data!$B:$B,"="&amp;'Покупки по дням'!AP$2)</f>
        <v>0</v>
      </c>
      <c r="AQ112" s="6">
        <f t="shared" si="1"/>
        <v>0.79485095271745776</v>
      </c>
    </row>
    <row r="113" spans="2:43" ht="28.8" x14ac:dyDescent="0.3">
      <c r="B113" s="17" t="s">
        <v>123</v>
      </c>
      <c r="C113">
        <f>SUMIFS(data!$C:$C,data!$A:$A,"="&amp;'Покупки по дням'!$B113,data!$B:$B,"="&amp;'Покупки по дням'!C$2)</f>
        <v>1</v>
      </c>
      <c r="D113">
        <f>SUMIFS(data!$C:$C,data!$A:$A,"="&amp;'Покупки по дням'!$B113,data!$B:$B,"="&amp;'Покупки по дням'!D$2)</f>
        <v>1</v>
      </c>
      <c r="E113">
        <f>SUMIFS(data!$C:$C,data!$A:$A,"="&amp;'Покупки по дням'!$B113,data!$B:$B,"="&amp;'Покупки по дням'!E$2)</f>
        <v>2</v>
      </c>
      <c r="F113">
        <f>SUMIFS(data!$C:$C,data!$A:$A,"="&amp;'Покупки по дням'!$B113,data!$B:$B,"="&amp;'Покупки по дням'!F$2)</f>
        <v>0</v>
      </c>
      <c r="G113">
        <f>SUMIFS(data!$C:$C,data!$A:$A,"="&amp;'Покупки по дням'!$B113,data!$B:$B,"="&amp;'Покупки по дням'!G$2)</f>
        <v>3</v>
      </c>
      <c r="H113">
        <f>SUMIFS(data!$C:$C,data!$A:$A,"="&amp;'Покупки по дням'!$B113,data!$B:$B,"="&amp;'Покупки по дням'!H$2)</f>
        <v>4</v>
      </c>
      <c r="I113">
        <f>SUMIFS(data!$C:$C,data!$A:$A,"="&amp;'Покупки по дням'!$B113,data!$B:$B,"="&amp;'Покупки по дням'!I$2)</f>
        <v>0</v>
      </c>
      <c r="J113">
        <f>SUMIFS(data!$C:$C,data!$A:$A,"="&amp;'Покупки по дням'!$B113,data!$B:$B,"="&amp;'Покупки по дням'!J$2)</f>
        <v>1</v>
      </c>
      <c r="K113">
        <f>SUMIFS(data!$C:$C,data!$A:$A,"="&amp;'Покупки по дням'!$B113,data!$B:$B,"="&amp;'Покупки по дням'!K$2)</f>
        <v>0</v>
      </c>
      <c r="L113">
        <f>SUMIFS(data!$C:$C,data!$A:$A,"="&amp;'Покупки по дням'!$B113,data!$B:$B,"="&amp;'Покупки по дням'!L$2)</f>
        <v>1</v>
      </c>
      <c r="M113">
        <f>SUMIFS(data!$C:$C,data!$A:$A,"="&amp;'Покупки по дням'!$B113,data!$B:$B,"="&amp;'Покупки по дням'!M$2)</f>
        <v>1</v>
      </c>
      <c r="N113">
        <f>SUMIFS(data!$C:$C,data!$A:$A,"="&amp;'Покупки по дням'!$B113,data!$B:$B,"="&amp;'Покупки по дням'!N$2)</f>
        <v>4</v>
      </c>
      <c r="O113">
        <f>SUMIFS(data!$C:$C,data!$A:$A,"="&amp;'Покупки по дням'!$B113,data!$B:$B,"="&amp;'Покупки по дням'!O$2)</f>
        <v>0</v>
      </c>
      <c r="P113">
        <f>SUMIFS(data!$C:$C,data!$A:$A,"="&amp;'Покупки по дням'!$B113,data!$B:$B,"="&amp;'Покупки по дням'!P$2)</f>
        <v>0</v>
      </c>
      <c r="Q113">
        <f>SUMIFS(data!$C:$C,data!$A:$A,"="&amp;'Покупки по дням'!$B113,data!$B:$B,"="&amp;'Покупки по дням'!Q$2)</f>
        <v>1</v>
      </c>
      <c r="R113">
        <f>SUMIFS(data!$C:$C,data!$A:$A,"="&amp;'Покупки по дням'!$B113,data!$B:$B,"="&amp;'Покупки по дням'!R$2)</f>
        <v>1</v>
      </c>
      <c r="S113">
        <f>SUMIFS(data!$C:$C,data!$A:$A,"="&amp;'Покупки по дням'!$B113,data!$B:$B,"="&amp;'Покупки по дням'!S$2)</f>
        <v>0</v>
      </c>
      <c r="T113">
        <f>SUMIFS(data!$C:$C,data!$A:$A,"="&amp;'Покупки по дням'!$B113,data!$B:$B,"="&amp;'Покупки по дням'!T$2)</f>
        <v>5</v>
      </c>
      <c r="U113">
        <f>SUMIFS(data!$C:$C,data!$A:$A,"="&amp;'Покупки по дням'!$B113,data!$B:$B,"="&amp;'Покупки по дням'!U$2)</f>
        <v>0</v>
      </c>
      <c r="V113">
        <f>SUMIFS(data!$C:$C,data!$A:$A,"="&amp;'Покупки по дням'!$B113,data!$B:$B,"="&amp;'Покупки по дням'!V$2)</f>
        <v>1</v>
      </c>
      <c r="W113">
        <f>SUMIFS(data!$C:$C,data!$A:$A,"="&amp;'Покупки по дням'!$B113,data!$B:$B,"="&amp;'Покупки по дням'!W$2)</f>
        <v>1</v>
      </c>
      <c r="X113">
        <f>SUMIFS(data!$C:$C,data!$A:$A,"="&amp;'Покупки по дням'!$B113,data!$B:$B,"="&amp;'Покупки по дням'!X$2)</f>
        <v>0</v>
      </c>
      <c r="Y113">
        <f>SUMIFS(data!$C:$C,data!$A:$A,"="&amp;'Покупки по дням'!$B113,data!$B:$B,"="&amp;'Покупки по дням'!Y$2)</f>
        <v>2</v>
      </c>
      <c r="Z113">
        <f>SUMIFS(data!$C:$C,data!$A:$A,"="&amp;'Покупки по дням'!$B113,data!$B:$B,"="&amp;'Покупки по дням'!Z$2)</f>
        <v>0</v>
      </c>
      <c r="AA113">
        <f>SUMIFS(data!$C:$C,data!$A:$A,"="&amp;'Покупки по дням'!$B113,data!$B:$B,"="&amp;'Покупки по дням'!AA$2)</f>
        <v>0</v>
      </c>
      <c r="AB113">
        <f>SUMIFS(data!$C:$C,data!$A:$A,"="&amp;'Покупки по дням'!$B113,data!$B:$B,"="&amp;'Покупки по дням'!AB$2)</f>
        <v>4</v>
      </c>
      <c r="AC113">
        <f>SUMIFS(data!$C:$C,data!$A:$A,"="&amp;'Покупки по дням'!$B113,data!$B:$B,"="&amp;'Покупки по дням'!AC$2)</f>
        <v>0</v>
      </c>
      <c r="AD113">
        <f>SUMIFS(data!$C:$C,data!$A:$A,"="&amp;'Покупки по дням'!$B113,data!$B:$B,"="&amp;'Покупки по дням'!AD$2)</f>
        <v>0</v>
      </c>
      <c r="AE113">
        <f>SUMIFS(data!$C:$C,data!$A:$A,"="&amp;'Покупки по дням'!$B113,data!$B:$B,"="&amp;'Покупки по дням'!AE$2)</f>
        <v>5</v>
      </c>
      <c r="AF113">
        <f>SUMIFS(data!$C:$C,data!$A:$A,"="&amp;'Покупки по дням'!$B113,data!$B:$B,"="&amp;'Покупки по дням'!AF$2)</f>
        <v>0</v>
      </c>
      <c r="AG113">
        <f>SUMIFS(data!$C:$C,data!$A:$A,"="&amp;'Покупки по дням'!$B113,data!$B:$B,"="&amp;'Покупки по дням'!AG$2)</f>
        <v>3</v>
      </c>
      <c r="AH113">
        <f>SUMIFS(data!$C:$C,data!$A:$A,"="&amp;'Покупки по дням'!$B113,data!$B:$B,"="&amp;'Покупки по дням'!AH$2)</f>
        <v>0</v>
      </c>
      <c r="AI113">
        <f>SUMIFS(data!$C:$C,data!$A:$A,"="&amp;'Покупки по дням'!$B113,data!$B:$B,"="&amp;'Покупки по дням'!AI$2)</f>
        <v>0</v>
      </c>
      <c r="AJ113">
        <f>SUMIFS(data!$C:$C,data!$A:$A,"="&amp;'Покупки по дням'!$B113,data!$B:$B,"="&amp;'Покупки по дням'!AJ$2)</f>
        <v>1</v>
      </c>
      <c r="AK113">
        <f>SUMIFS(data!$C:$C,data!$A:$A,"="&amp;'Покупки по дням'!$B113,data!$B:$B,"="&amp;'Покупки по дням'!AK$2)</f>
        <v>0</v>
      </c>
      <c r="AL113">
        <f>SUMIFS(data!$C:$C,data!$A:$A,"="&amp;'Покупки по дням'!$B113,data!$B:$B,"="&amp;'Покупки по дням'!AL$2)</f>
        <v>3</v>
      </c>
      <c r="AM113">
        <f>SUMIFS(data!$C:$C,data!$A:$A,"="&amp;'Покупки по дням'!$B113,data!$B:$B,"="&amp;'Покупки по дням'!AM$2)</f>
        <v>2</v>
      </c>
      <c r="AN113">
        <f>SUMIFS(data!$C:$C,data!$A:$A,"="&amp;'Покупки по дням'!$B113,data!$B:$B,"="&amp;'Покупки по дням'!AN$2)</f>
        <v>2</v>
      </c>
      <c r="AO113">
        <f>SUMIFS(data!$C:$C,data!$A:$A,"="&amp;'Покупки по дням'!$B113,data!$B:$B,"="&amp;'Покупки по дням'!AO$2)</f>
        <v>2</v>
      </c>
      <c r="AP113">
        <f>SUMIFS(data!$C:$C,data!$A:$A,"="&amp;'Покупки по дням'!$B113,data!$B:$B,"="&amp;'Покупки по дням'!AP$2)</f>
        <v>0</v>
      </c>
      <c r="AQ113" s="6">
        <f t="shared" si="1"/>
        <v>1.1912925871399387</v>
      </c>
    </row>
    <row r="114" spans="2:43" x14ac:dyDescent="0.3">
      <c r="B114" s="17" t="s">
        <v>114</v>
      </c>
      <c r="C114">
        <f>SUMIFS(data!$C:$C,data!$A:$A,"="&amp;'Покупки по дням'!$B114,data!$B:$B,"="&amp;'Покупки по дням'!C$2)</f>
        <v>0</v>
      </c>
      <c r="D114">
        <f>SUMIFS(data!$C:$C,data!$A:$A,"="&amp;'Покупки по дням'!$B114,data!$B:$B,"="&amp;'Покупки по дням'!D$2)</f>
        <v>1</v>
      </c>
      <c r="E114">
        <f>SUMIFS(data!$C:$C,data!$A:$A,"="&amp;'Покупки по дням'!$B114,data!$B:$B,"="&amp;'Покупки по дням'!E$2)</f>
        <v>1</v>
      </c>
      <c r="F114">
        <f>SUMIFS(data!$C:$C,data!$A:$A,"="&amp;'Покупки по дням'!$B114,data!$B:$B,"="&amp;'Покупки по дням'!F$2)</f>
        <v>1</v>
      </c>
      <c r="G114">
        <f>SUMIFS(data!$C:$C,data!$A:$A,"="&amp;'Покупки по дням'!$B114,data!$B:$B,"="&amp;'Покупки по дням'!G$2)</f>
        <v>2</v>
      </c>
      <c r="H114">
        <f>SUMIFS(data!$C:$C,data!$A:$A,"="&amp;'Покупки по дням'!$B114,data!$B:$B,"="&amp;'Покупки по дням'!H$2)</f>
        <v>0</v>
      </c>
      <c r="I114">
        <f>SUMIFS(data!$C:$C,data!$A:$A,"="&amp;'Покупки по дням'!$B114,data!$B:$B,"="&amp;'Покупки по дням'!I$2)</f>
        <v>2</v>
      </c>
      <c r="J114">
        <f>SUMIFS(data!$C:$C,data!$A:$A,"="&amp;'Покупки по дням'!$B114,data!$B:$B,"="&amp;'Покупки по дням'!J$2)</f>
        <v>0</v>
      </c>
      <c r="K114">
        <f>SUMIFS(data!$C:$C,data!$A:$A,"="&amp;'Покупки по дням'!$B114,data!$B:$B,"="&amp;'Покупки по дням'!K$2)</f>
        <v>0</v>
      </c>
      <c r="L114">
        <f>SUMIFS(data!$C:$C,data!$A:$A,"="&amp;'Покупки по дням'!$B114,data!$B:$B,"="&amp;'Покупки по дням'!L$2)</f>
        <v>0</v>
      </c>
      <c r="M114">
        <f>SUMIFS(data!$C:$C,data!$A:$A,"="&amp;'Покупки по дням'!$B114,data!$B:$B,"="&amp;'Покупки по дням'!M$2)</f>
        <v>2</v>
      </c>
      <c r="N114">
        <f>SUMIFS(data!$C:$C,data!$A:$A,"="&amp;'Покупки по дням'!$B114,data!$B:$B,"="&amp;'Покупки по дням'!N$2)</f>
        <v>1</v>
      </c>
      <c r="O114">
        <f>SUMIFS(data!$C:$C,data!$A:$A,"="&amp;'Покупки по дням'!$B114,data!$B:$B,"="&amp;'Покупки по дням'!O$2)</f>
        <v>4</v>
      </c>
      <c r="P114">
        <f>SUMIFS(data!$C:$C,data!$A:$A,"="&amp;'Покупки по дням'!$B114,data!$B:$B,"="&amp;'Покупки по дням'!P$2)</f>
        <v>0</v>
      </c>
      <c r="Q114">
        <f>SUMIFS(data!$C:$C,data!$A:$A,"="&amp;'Покупки по дням'!$B114,data!$B:$B,"="&amp;'Покупки по дням'!Q$2)</f>
        <v>2</v>
      </c>
      <c r="R114">
        <f>SUMIFS(data!$C:$C,data!$A:$A,"="&amp;'Покупки по дням'!$B114,data!$B:$B,"="&amp;'Покупки по дням'!R$2)</f>
        <v>1</v>
      </c>
      <c r="S114">
        <f>SUMIFS(data!$C:$C,data!$A:$A,"="&amp;'Покупки по дням'!$B114,data!$B:$B,"="&amp;'Покупки по дням'!S$2)</f>
        <v>2</v>
      </c>
      <c r="T114">
        <f>SUMIFS(data!$C:$C,data!$A:$A,"="&amp;'Покупки по дням'!$B114,data!$B:$B,"="&amp;'Покупки по дням'!T$2)</f>
        <v>4</v>
      </c>
      <c r="U114">
        <f>SUMIFS(data!$C:$C,data!$A:$A,"="&amp;'Покупки по дням'!$B114,data!$B:$B,"="&amp;'Покупки по дням'!U$2)</f>
        <v>2</v>
      </c>
      <c r="V114">
        <f>SUMIFS(data!$C:$C,data!$A:$A,"="&amp;'Покупки по дням'!$B114,data!$B:$B,"="&amp;'Покупки по дням'!V$2)</f>
        <v>0</v>
      </c>
      <c r="W114">
        <f>SUMIFS(data!$C:$C,data!$A:$A,"="&amp;'Покупки по дням'!$B114,data!$B:$B,"="&amp;'Покупки по дням'!W$2)</f>
        <v>1</v>
      </c>
      <c r="X114">
        <f>SUMIFS(data!$C:$C,data!$A:$A,"="&amp;'Покупки по дням'!$B114,data!$B:$B,"="&amp;'Покупки по дням'!X$2)</f>
        <v>1</v>
      </c>
      <c r="Y114">
        <f>SUMIFS(data!$C:$C,data!$A:$A,"="&amp;'Покупки по дням'!$B114,data!$B:$B,"="&amp;'Покупки по дням'!Y$2)</f>
        <v>2</v>
      </c>
      <c r="Z114">
        <f>SUMIFS(data!$C:$C,data!$A:$A,"="&amp;'Покупки по дням'!$B114,data!$B:$B,"="&amp;'Покупки по дням'!Z$2)</f>
        <v>5</v>
      </c>
      <c r="AA114">
        <f>SUMIFS(data!$C:$C,data!$A:$A,"="&amp;'Покупки по дням'!$B114,data!$B:$B,"="&amp;'Покупки по дням'!AA$2)</f>
        <v>2</v>
      </c>
      <c r="AB114">
        <f>SUMIFS(data!$C:$C,data!$A:$A,"="&amp;'Покупки по дням'!$B114,data!$B:$B,"="&amp;'Покупки по дням'!AB$2)</f>
        <v>1</v>
      </c>
      <c r="AC114">
        <f>SUMIFS(data!$C:$C,data!$A:$A,"="&amp;'Покупки по дням'!$B114,data!$B:$B,"="&amp;'Покупки по дням'!AC$2)</f>
        <v>1</v>
      </c>
      <c r="AD114">
        <f>SUMIFS(data!$C:$C,data!$A:$A,"="&amp;'Покупки по дням'!$B114,data!$B:$B,"="&amp;'Покупки по дням'!AD$2)</f>
        <v>0</v>
      </c>
      <c r="AE114">
        <f>SUMIFS(data!$C:$C,data!$A:$A,"="&amp;'Покупки по дням'!$B114,data!$B:$B,"="&amp;'Покупки по дням'!AE$2)</f>
        <v>1</v>
      </c>
      <c r="AF114">
        <f>SUMIFS(data!$C:$C,data!$A:$A,"="&amp;'Покупки по дням'!$B114,data!$B:$B,"="&amp;'Покупки по дням'!AF$2)</f>
        <v>0</v>
      </c>
      <c r="AG114">
        <f>SUMIFS(data!$C:$C,data!$A:$A,"="&amp;'Покупки по дням'!$B114,data!$B:$B,"="&amp;'Покупки по дням'!AG$2)</f>
        <v>4</v>
      </c>
      <c r="AH114">
        <f>SUMIFS(data!$C:$C,data!$A:$A,"="&amp;'Покупки по дням'!$B114,data!$B:$B,"="&amp;'Покупки по дням'!AH$2)</f>
        <v>0</v>
      </c>
      <c r="AI114">
        <f>SUMIFS(data!$C:$C,data!$A:$A,"="&amp;'Покупки по дням'!$B114,data!$B:$B,"="&amp;'Покупки по дням'!AI$2)</f>
        <v>0</v>
      </c>
      <c r="AJ114">
        <f>SUMIFS(data!$C:$C,data!$A:$A,"="&amp;'Покупки по дням'!$B114,data!$B:$B,"="&amp;'Покупки по дням'!AJ$2)</f>
        <v>1</v>
      </c>
      <c r="AK114">
        <f>SUMIFS(data!$C:$C,data!$A:$A,"="&amp;'Покупки по дням'!$B114,data!$B:$B,"="&amp;'Покупки по дням'!AK$2)</f>
        <v>1</v>
      </c>
      <c r="AL114">
        <f>SUMIFS(data!$C:$C,data!$A:$A,"="&amp;'Покупки по дням'!$B114,data!$B:$B,"="&amp;'Покупки по дням'!AL$2)</f>
        <v>2</v>
      </c>
      <c r="AM114">
        <f>SUMIFS(data!$C:$C,data!$A:$A,"="&amp;'Покупки по дням'!$B114,data!$B:$B,"="&amp;'Покупки по дням'!AM$2)</f>
        <v>1</v>
      </c>
      <c r="AN114">
        <f>SUMIFS(data!$C:$C,data!$A:$A,"="&amp;'Покупки по дням'!$B114,data!$B:$B,"="&amp;'Покупки по дням'!AN$2)</f>
        <v>1</v>
      </c>
      <c r="AO114">
        <f>SUMIFS(data!$C:$C,data!$A:$A,"="&amp;'Покупки по дням'!$B114,data!$B:$B,"="&amp;'Покупки по дням'!AO$2)</f>
        <v>3</v>
      </c>
      <c r="AP114">
        <f>SUMIFS(data!$C:$C,data!$A:$A,"="&amp;'Покупки по дням'!$B114,data!$B:$B,"="&amp;'Покупки по дням'!AP$2)</f>
        <v>1</v>
      </c>
      <c r="AQ114" s="6">
        <f t="shared" si="1"/>
        <v>0.95751410211228749</v>
      </c>
    </row>
    <row r="115" spans="2:43" x14ac:dyDescent="0.3">
      <c r="B115" s="17" t="s">
        <v>13</v>
      </c>
      <c r="C115">
        <f>SUMIFS(data!$C:$C,data!$A:$A,"="&amp;'Покупки по дням'!$B115,data!$B:$B,"="&amp;'Покупки по дням'!C$2)</f>
        <v>2</v>
      </c>
      <c r="D115">
        <f>SUMIFS(data!$C:$C,data!$A:$A,"="&amp;'Покупки по дням'!$B115,data!$B:$B,"="&amp;'Покупки по дням'!D$2)</f>
        <v>1</v>
      </c>
      <c r="E115">
        <f>SUMIFS(data!$C:$C,data!$A:$A,"="&amp;'Покупки по дням'!$B115,data!$B:$B,"="&amp;'Покупки по дням'!E$2)</f>
        <v>0</v>
      </c>
      <c r="F115">
        <f>SUMIFS(data!$C:$C,data!$A:$A,"="&amp;'Покупки по дням'!$B115,data!$B:$B,"="&amp;'Покупки по дням'!F$2)</f>
        <v>0</v>
      </c>
      <c r="G115">
        <f>SUMIFS(data!$C:$C,data!$A:$A,"="&amp;'Покупки по дням'!$B115,data!$B:$B,"="&amp;'Покупки по дням'!G$2)</f>
        <v>2</v>
      </c>
      <c r="H115">
        <f>SUMIFS(data!$C:$C,data!$A:$A,"="&amp;'Покупки по дням'!$B115,data!$B:$B,"="&amp;'Покупки по дням'!H$2)</f>
        <v>3</v>
      </c>
      <c r="I115">
        <f>SUMIFS(data!$C:$C,data!$A:$A,"="&amp;'Покупки по дням'!$B115,data!$B:$B,"="&amp;'Покупки по дням'!I$2)</f>
        <v>1</v>
      </c>
      <c r="J115">
        <f>SUMIFS(data!$C:$C,data!$A:$A,"="&amp;'Покупки по дням'!$B115,data!$B:$B,"="&amp;'Покупки по дням'!J$2)</f>
        <v>3</v>
      </c>
      <c r="K115">
        <f>SUMIFS(data!$C:$C,data!$A:$A,"="&amp;'Покупки по дням'!$B115,data!$B:$B,"="&amp;'Покупки по дням'!K$2)</f>
        <v>0</v>
      </c>
      <c r="L115">
        <f>SUMIFS(data!$C:$C,data!$A:$A,"="&amp;'Покупки по дням'!$B115,data!$B:$B,"="&amp;'Покупки по дням'!L$2)</f>
        <v>0</v>
      </c>
      <c r="M115">
        <f>SUMIFS(data!$C:$C,data!$A:$A,"="&amp;'Покупки по дням'!$B115,data!$B:$B,"="&amp;'Покупки по дням'!M$2)</f>
        <v>0</v>
      </c>
      <c r="N115">
        <f>SUMIFS(data!$C:$C,data!$A:$A,"="&amp;'Покупки по дням'!$B115,data!$B:$B,"="&amp;'Покупки по дням'!N$2)</f>
        <v>2</v>
      </c>
      <c r="O115">
        <f>SUMIFS(data!$C:$C,data!$A:$A,"="&amp;'Покупки по дням'!$B115,data!$B:$B,"="&amp;'Покупки по дням'!O$2)</f>
        <v>3</v>
      </c>
      <c r="P115">
        <f>SUMIFS(data!$C:$C,data!$A:$A,"="&amp;'Покупки по дням'!$B115,data!$B:$B,"="&amp;'Покупки по дням'!P$2)</f>
        <v>4</v>
      </c>
      <c r="Q115">
        <f>SUMIFS(data!$C:$C,data!$A:$A,"="&amp;'Покупки по дням'!$B115,data!$B:$B,"="&amp;'Покупки по дням'!Q$2)</f>
        <v>0</v>
      </c>
      <c r="R115">
        <f>SUMIFS(data!$C:$C,data!$A:$A,"="&amp;'Покупки по дням'!$B115,data!$B:$B,"="&amp;'Покупки по дням'!R$2)</f>
        <v>0</v>
      </c>
      <c r="S115">
        <f>SUMIFS(data!$C:$C,data!$A:$A,"="&amp;'Покупки по дням'!$B115,data!$B:$B,"="&amp;'Покупки по дням'!S$2)</f>
        <v>3</v>
      </c>
      <c r="T115">
        <f>SUMIFS(data!$C:$C,data!$A:$A,"="&amp;'Покупки по дням'!$B115,data!$B:$B,"="&amp;'Покупки по дням'!T$2)</f>
        <v>0</v>
      </c>
      <c r="U115">
        <f>SUMIFS(data!$C:$C,data!$A:$A,"="&amp;'Покупки по дням'!$B115,data!$B:$B,"="&amp;'Покупки по дням'!U$2)</f>
        <v>3</v>
      </c>
      <c r="V115">
        <f>SUMIFS(data!$C:$C,data!$A:$A,"="&amp;'Покупки по дням'!$B115,data!$B:$B,"="&amp;'Покупки по дням'!V$2)</f>
        <v>0</v>
      </c>
      <c r="W115">
        <f>SUMIFS(data!$C:$C,data!$A:$A,"="&amp;'Покупки по дням'!$B115,data!$B:$B,"="&amp;'Покупки по дням'!W$2)</f>
        <v>3</v>
      </c>
      <c r="X115">
        <f>SUMIFS(data!$C:$C,data!$A:$A,"="&amp;'Покупки по дням'!$B115,data!$B:$B,"="&amp;'Покупки по дням'!X$2)</f>
        <v>0</v>
      </c>
      <c r="Y115">
        <f>SUMIFS(data!$C:$C,data!$A:$A,"="&amp;'Покупки по дням'!$B115,data!$B:$B,"="&amp;'Покупки по дням'!Y$2)</f>
        <v>1</v>
      </c>
      <c r="Z115">
        <f>SUMIFS(data!$C:$C,data!$A:$A,"="&amp;'Покупки по дням'!$B115,data!$B:$B,"="&amp;'Покупки по дням'!Z$2)</f>
        <v>0</v>
      </c>
      <c r="AA115">
        <f>SUMIFS(data!$C:$C,data!$A:$A,"="&amp;'Покупки по дням'!$B115,data!$B:$B,"="&amp;'Покупки по дням'!AA$2)</f>
        <v>2</v>
      </c>
      <c r="AB115">
        <f>SUMIFS(data!$C:$C,data!$A:$A,"="&amp;'Покупки по дням'!$B115,data!$B:$B,"="&amp;'Покупки по дням'!AB$2)</f>
        <v>3</v>
      </c>
      <c r="AC115">
        <f>SUMIFS(data!$C:$C,data!$A:$A,"="&amp;'Покупки по дням'!$B115,data!$B:$B,"="&amp;'Покупки по дням'!AC$2)</f>
        <v>3</v>
      </c>
      <c r="AD115">
        <f>SUMIFS(data!$C:$C,data!$A:$A,"="&amp;'Покупки по дням'!$B115,data!$B:$B,"="&amp;'Покупки по дням'!AD$2)</f>
        <v>1</v>
      </c>
      <c r="AE115">
        <f>SUMIFS(data!$C:$C,data!$A:$A,"="&amp;'Покупки по дням'!$B115,data!$B:$B,"="&amp;'Покупки по дням'!AE$2)</f>
        <v>1</v>
      </c>
      <c r="AF115">
        <f>SUMIFS(data!$C:$C,data!$A:$A,"="&amp;'Покупки по дням'!$B115,data!$B:$B,"="&amp;'Покупки по дням'!AF$2)</f>
        <v>1</v>
      </c>
      <c r="AG115">
        <f>SUMIFS(data!$C:$C,data!$A:$A,"="&amp;'Покупки по дням'!$B115,data!$B:$B,"="&amp;'Покупки по дням'!AG$2)</f>
        <v>0</v>
      </c>
      <c r="AH115">
        <f>SUMIFS(data!$C:$C,data!$A:$A,"="&amp;'Покупки по дням'!$B115,data!$B:$B,"="&amp;'Покупки по дням'!AH$2)</f>
        <v>3</v>
      </c>
      <c r="AI115">
        <f>SUMIFS(data!$C:$C,data!$A:$A,"="&amp;'Покупки по дням'!$B115,data!$B:$B,"="&amp;'Покупки по дням'!AI$2)</f>
        <v>1</v>
      </c>
      <c r="AJ115">
        <f>SUMIFS(data!$C:$C,data!$A:$A,"="&amp;'Покупки по дням'!$B115,data!$B:$B,"="&amp;'Покупки по дням'!AJ$2)</f>
        <v>4</v>
      </c>
      <c r="AK115">
        <f>SUMIFS(data!$C:$C,data!$A:$A,"="&amp;'Покупки по дням'!$B115,data!$B:$B,"="&amp;'Покупки по дням'!AK$2)</f>
        <v>4</v>
      </c>
      <c r="AL115">
        <f>SUMIFS(data!$C:$C,data!$A:$A,"="&amp;'Покупки по дням'!$B115,data!$B:$B,"="&amp;'Покупки по дням'!AL$2)</f>
        <v>0</v>
      </c>
      <c r="AM115">
        <f>SUMIFS(data!$C:$C,data!$A:$A,"="&amp;'Покупки по дням'!$B115,data!$B:$B,"="&amp;'Покупки по дням'!AM$2)</f>
        <v>1</v>
      </c>
      <c r="AN115">
        <f>SUMIFS(data!$C:$C,data!$A:$A,"="&amp;'Покупки по дням'!$B115,data!$B:$B,"="&amp;'Покупки по дням'!AN$2)</f>
        <v>2</v>
      </c>
      <c r="AO115">
        <f>SUMIFS(data!$C:$C,data!$A:$A,"="&amp;'Покупки по дням'!$B115,data!$B:$B,"="&amp;'Покупки по дням'!AO$2)</f>
        <v>0</v>
      </c>
      <c r="AP115">
        <f>SUMIFS(data!$C:$C,data!$A:$A,"="&amp;'Покупки по дням'!$B115,data!$B:$B,"="&amp;'Покупки по дням'!AP$2)</f>
        <v>3</v>
      </c>
      <c r="AQ115" s="6">
        <f t="shared" si="1"/>
        <v>0.93064325393615033</v>
      </c>
    </row>
    <row r="116" spans="2:43" x14ac:dyDescent="0.3">
      <c r="B116" s="17" t="s">
        <v>43</v>
      </c>
      <c r="C116">
        <f>SUMIFS(data!$C:$C,data!$A:$A,"="&amp;'Покупки по дням'!$B116,data!$B:$B,"="&amp;'Покупки по дням'!C$2)</f>
        <v>0</v>
      </c>
      <c r="D116">
        <f>SUMIFS(data!$C:$C,data!$A:$A,"="&amp;'Покупки по дням'!$B116,data!$B:$B,"="&amp;'Покупки по дням'!D$2)</f>
        <v>0</v>
      </c>
      <c r="E116">
        <f>SUMIFS(data!$C:$C,data!$A:$A,"="&amp;'Покупки по дням'!$B116,data!$B:$B,"="&amp;'Покупки по дням'!E$2)</f>
        <v>2</v>
      </c>
      <c r="F116">
        <f>SUMIFS(data!$C:$C,data!$A:$A,"="&amp;'Покупки по дням'!$B116,data!$B:$B,"="&amp;'Покупки по дням'!F$2)</f>
        <v>5</v>
      </c>
      <c r="G116">
        <f>SUMIFS(data!$C:$C,data!$A:$A,"="&amp;'Покупки по дням'!$B116,data!$B:$B,"="&amp;'Покупки по дням'!G$2)</f>
        <v>1</v>
      </c>
      <c r="H116">
        <f>SUMIFS(data!$C:$C,data!$A:$A,"="&amp;'Покупки по дням'!$B116,data!$B:$B,"="&amp;'Покупки по дням'!H$2)</f>
        <v>2</v>
      </c>
      <c r="I116">
        <f>SUMIFS(data!$C:$C,data!$A:$A,"="&amp;'Покупки по дням'!$B116,data!$B:$B,"="&amp;'Покупки по дням'!I$2)</f>
        <v>4</v>
      </c>
      <c r="J116">
        <f>SUMIFS(data!$C:$C,data!$A:$A,"="&amp;'Покупки по дням'!$B116,data!$B:$B,"="&amp;'Покупки по дням'!J$2)</f>
        <v>2</v>
      </c>
      <c r="K116">
        <f>SUMIFS(data!$C:$C,data!$A:$A,"="&amp;'Покупки по дням'!$B116,data!$B:$B,"="&amp;'Покупки по дням'!K$2)</f>
        <v>0</v>
      </c>
      <c r="L116">
        <f>SUMIFS(data!$C:$C,data!$A:$A,"="&amp;'Покупки по дням'!$B116,data!$B:$B,"="&amp;'Покупки по дням'!L$2)</f>
        <v>0</v>
      </c>
      <c r="M116">
        <f>SUMIFS(data!$C:$C,data!$A:$A,"="&amp;'Покупки по дням'!$B116,data!$B:$B,"="&amp;'Покупки по дням'!M$2)</f>
        <v>1</v>
      </c>
      <c r="N116">
        <f>SUMIFS(data!$C:$C,data!$A:$A,"="&amp;'Покупки по дням'!$B116,data!$B:$B,"="&amp;'Покупки по дням'!N$2)</f>
        <v>1</v>
      </c>
      <c r="O116">
        <f>SUMIFS(data!$C:$C,data!$A:$A,"="&amp;'Покупки по дням'!$B116,data!$B:$B,"="&amp;'Покупки по дням'!O$2)</f>
        <v>1</v>
      </c>
      <c r="P116">
        <f>SUMIFS(data!$C:$C,data!$A:$A,"="&amp;'Покупки по дням'!$B116,data!$B:$B,"="&amp;'Покупки по дням'!P$2)</f>
        <v>1</v>
      </c>
      <c r="Q116">
        <f>SUMIFS(data!$C:$C,data!$A:$A,"="&amp;'Покупки по дням'!$B116,data!$B:$B,"="&amp;'Покупки по дням'!Q$2)</f>
        <v>1</v>
      </c>
      <c r="R116">
        <f>SUMIFS(data!$C:$C,data!$A:$A,"="&amp;'Покупки по дням'!$B116,data!$B:$B,"="&amp;'Покупки по дням'!R$2)</f>
        <v>3</v>
      </c>
      <c r="S116">
        <f>SUMIFS(data!$C:$C,data!$A:$A,"="&amp;'Покупки по дням'!$B116,data!$B:$B,"="&amp;'Покупки по дням'!S$2)</f>
        <v>0</v>
      </c>
      <c r="T116">
        <f>SUMIFS(data!$C:$C,data!$A:$A,"="&amp;'Покупки по дням'!$B116,data!$B:$B,"="&amp;'Покупки по дням'!T$2)</f>
        <v>1</v>
      </c>
      <c r="U116">
        <f>SUMIFS(data!$C:$C,data!$A:$A,"="&amp;'Покупки по дням'!$B116,data!$B:$B,"="&amp;'Покупки по дням'!U$2)</f>
        <v>2</v>
      </c>
      <c r="V116">
        <f>SUMIFS(data!$C:$C,data!$A:$A,"="&amp;'Покупки по дням'!$B116,data!$B:$B,"="&amp;'Покупки по дням'!V$2)</f>
        <v>4</v>
      </c>
      <c r="W116">
        <f>SUMIFS(data!$C:$C,data!$A:$A,"="&amp;'Покупки по дням'!$B116,data!$B:$B,"="&amp;'Покупки по дням'!W$2)</f>
        <v>3</v>
      </c>
      <c r="X116">
        <f>SUMIFS(data!$C:$C,data!$A:$A,"="&amp;'Покупки по дням'!$B116,data!$B:$B,"="&amp;'Покупки по дням'!X$2)</f>
        <v>0</v>
      </c>
      <c r="Y116">
        <f>SUMIFS(data!$C:$C,data!$A:$A,"="&amp;'Покупки по дням'!$B116,data!$B:$B,"="&amp;'Покупки по дням'!Y$2)</f>
        <v>2</v>
      </c>
      <c r="Z116">
        <f>SUMIFS(data!$C:$C,data!$A:$A,"="&amp;'Покупки по дням'!$B116,data!$B:$B,"="&amp;'Покупки по дням'!Z$2)</f>
        <v>2</v>
      </c>
      <c r="AA116">
        <f>SUMIFS(data!$C:$C,data!$A:$A,"="&amp;'Покупки по дням'!$B116,data!$B:$B,"="&amp;'Покупки по дням'!AA$2)</f>
        <v>1</v>
      </c>
      <c r="AB116">
        <f>SUMIFS(data!$C:$C,data!$A:$A,"="&amp;'Покупки по дням'!$B116,data!$B:$B,"="&amp;'Покупки по дням'!AB$2)</f>
        <v>1</v>
      </c>
      <c r="AC116">
        <f>SUMIFS(data!$C:$C,data!$A:$A,"="&amp;'Покупки по дням'!$B116,data!$B:$B,"="&amp;'Покупки по дням'!AC$2)</f>
        <v>1</v>
      </c>
      <c r="AD116">
        <f>SUMIFS(data!$C:$C,data!$A:$A,"="&amp;'Покупки по дням'!$B116,data!$B:$B,"="&amp;'Покупки по дням'!AD$2)</f>
        <v>0</v>
      </c>
      <c r="AE116">
        <f>SUMIFS(data!$C:$C,data!$A:$A,"="&amp;'Покупки по дням'!$B116,data!$B:$B,"="&amp;'Покупки по дням'!AE$2)</f>
        <v>0</v>
      </c>
      <c r="AF116">
        <f>SUMIFS(data!$C:$C,data!$A:$A,"="&amp;'Покупки по дням'!$B116,data!$B:$B,"="&amp;'Покупки по дням'!AF$2)</f>
        <v>0</v>
      </c>
      <c r="AG116">
        <f>SUMIFS(data!$C:$C,data!$A:$A,"="&amp;'Покупки по дням'!$B116,data!$B:$B,"="&amp;'Покупки по дням'!AG$2)</f>
        <v>1</v>
      </c>
      <c r="AH116">
        <f>SUMIFS(data!$C:$C,data!$A:$A,"="&amp;'Покупки по дням'!$B116,data!$B:$B,"="&amp;'Покупки по дням'!AH$2)</f>
        <v>0</v>
      </c>
      <c r="AI116">
        <f>SUMIFS(data!$C:$C,data!$A:$A,"="&amp;'Покупки по дням'!$B116,data!$B:$B,"="&amp;'Покупки по дням'!AI$2)</f>
        <v>1.0000003</v>
      </c>
      <c r="AJ116">
        <f>SUMIFS(data!$C:$C,data!$A:$A,"="&amp;'Покупки по дням'!$B116,data!$B:$B,"="&amp;'Покупки по дням'!AJ$2)</f>
        <v>0</v>
      </c>
      <c r="AK116">
        <f>SUMIFS(data!$C:$C,data!$A:$A,"="&amp;'Покупки по дням'!$B116,data!$B:$B,"="&amp;'Покупки по дням'!AK$2)</f>
        <v>0</v>
      </c>
      <c r="AL116">
        <f>SUMIFS(data!$C:$C,data!$A:$A,"="&amp;'Покупки по дням'!$B116,data!$B:$B,"="&amp;'Покупки по дням'!AL$2)</f>
        <v>0</v>
      </c>
      <c r="AM116">
        <f>SUMIFS(data!$C:$C,data!$A:$A,"="&amp;'Покупки по дням'!$B116,data!$B:$B,"="&amp;'Покупки по дням'!AM$2)</f>
        <v>2</v>
      </c>
      <c r="AN116">
        <f>SUMIFS(data!$C:$C,data!$A:$A,"="&amp;'Покупки по дням'!$B116,data!$B:$B,"="&amp;'Покупки по дням'!AN$2)</f>
        <v>3</v>
      </c>
      <c r="AO116">
        <f>SUMIFS(data!$C:$C,data!$A:$A,"="&amp;'Покупки по дням'!$B116,data!$B:$B,"="&amp;'Покупки по дням'!AO$2)</f>
        <v>0</v>
      </c>
      <c r="AP116">
        <f>SUMIFS(data!$C:$C,data!$A:$A,"="&amp;'Покупки по дням'!$B116,data!$B:$B,"="&amp;'Покупки по дням'!AP$2)</f>
        <v>2</v>
      </c>
      <c r="AQ116" s="6">
        <f t="shared" si="1"/>
        <v>1.0367602324123917</v>
      </c>
    </row>
    <row r="117" spans="2:43" ht="28.8" x14ac:dyDescent="0.3">
      <c r="B117" s="17" t="s">
        <v>154</v>
      </c>
      <c r="C117">
        <f>SUMIFS(data!$C:$C,data!$A:$A,"="&amp;'Покупки по дням'!$B117,data!$B:$B,"="&amp;'Покупки по дням'!C$2)</f>
        <v>0</v>
      </c>
      <c r="D117">
        <f>SUMIFS(data!$C:$C,data!$A:$A,"="&amp;'Покупки по дням'!$B117,data!$B:$B,"="&amp;'Покупки по дням'!D$2)</f>
        <v>0</v>
      </c>
      <c r="E117">
        <f>SUMIFS(data!$C:$C,data!$A:$A,"="&amp;'Покупки по дням'!$B117,data!$B:$B,"="&amp;'Покупки по дням'!E$2)</f>
        <v>0</v>
      </c>
      <c r="F117">
        <f>SUMIFS(data!$C:$C,data!$A:$A,"="&amp;'Покупки по дням'!$B117,data!$B:$B,"="&amp;'Покупки по дням'!F$2)</f>
        <v>0</v>
      </c>
      <c r="G117">
        <f>SUMIFS(data!$C:$C,data!$A:$A,"="&amp;'Покупки по дням'!$B117,data!$B:$B,"="&amp;'Покупки по дням'!G$2)</f>
        <v>1</v>
      </c>
      <c r="H117">
        <f>SUMIFS(data!$C:$C,data!$A:$A,"="&amp;'Покупки по дням'!$B117,data!$B:$B,"="&amp;'Покупки по дням'!H$2)</f>
        <v>2</v>
      </c>
      <c r="I117">
        <f>SUMIFS(data!$C:$C,data!$A:$A,"="&amp;'Покупки по дням'!$B117,data!$B:$B,"="&amp;'Покупки по дням'!I$2)</f>
        <v>1</v>
      </c>
      <c r="J117">
        <f>SUMIFS(data!$C:$C,data!$A:$A,"="&amp;'Покупки по дням'!$B117,data!$B:$B,"="&amp;'Покупки по дням'!J$2)</f>
        <v>2</v>
      </c>
      <c r="K117">
        <f>SUMIFS(data!$C:$C,data!$A:$A,"="&amp;'Покупки по дням'!$B117,data!$B:$B,"="&amp;'Покупки по дням'!K$2)</f>
        <v>0</v>
      </c>
      <c r="L117">
        <f>SUMIFS(data!$C:$C,data!$A:$A,"="&amp;'Покупки по дням'!$B117,data!$B:$B,"="&amp;'Покупки по дням'!L$2)</f>
        <v>0</v>
      </c>
      <c r="M117">
        <f>SUMIFS(data!$C:$C,data!$A:$A,"="&amp;'Покупки по дням'!$B117,data!$B:$B,"="&amp;'Покупки по дням'!M$2)</f>
        <v>3</v>
      </c>
      <c r="N117">
        <f>SUMIFS(data!$C:$C,data!$A:$A,"="&amp;'Покупки по дням'!$B117,data!$B:$B,"="&amp;'Покупки по дням'!N$2)</f>
        <v>0</v>
      </c>
      <c r="O117">
        <f>SUMIFS(data!$C:$C,data!$A:$A,"="&amp;'Покупки по дням'!$B117,data!$B:$B,"="&amp;'Покупки по дням'!O$2)</f>
        <v>0</v>
      </c>
      <c r="P117">
        <f>SUMIFS(data!$C:$C,data!$A:$A,"="&amp;'Покупки по дням'!$B117,data!$B:$B,"="&amp;'Покупки по дням'!P$2)</f>
        <v>1</v>
      </c>
      <c r="Q117">
        <f>SUMIFS(data!$C:$C,data!$A:$A,"="&amp;'Покупки по дням'!$B117,data!$B:$B,"="&amp;'Покупки по дням'!Q$2)</f>
        <v>2</v>
      </c>
      <c r="R117">
        <f>SUMIFS(data!$C:$C,data!$A:$A,"="&amp;'Покупки по дням'!$B117,data!$B:$B,"="&amp;'Покупки по дням'!R$2)</f>
        <v>4</v>
      </c>
      <c r="S117">
        <f>SUMIFS(data!$C:$C,data!$A:$A,"="&amp;'Покупки по дням'!$B117,data!$B:$B,"="&amp;'Покупки по дням'!S$2)</f>
        <v>0</v>
      </c>
      <c r="T117">
        <f>SUMIFS(data!$C:$C,data!$A:$A,"="&amp;'Покупки по дням'!$B117,data!$B:$B,"="&amp;'Покупки по дням'!T$2)</f>
        <v>4</v>
      </c>
      <c r="U117">
        <f>SUMIFS(data!$C:$C,data!$A:$A,"="&amp;'Покупки по дням'!$B117,data!$B:$B,"="&amp;'Покупки по дням'!U$2)</f>
        <v>1</v>
      </c>
      <c r="V117">
        <f>SUMIFS(data!$C:$C,data!$A:$A,"="&amp;'Покупки по дням'!$B117,data!$B:$B,"="&amp;'Покупки по дням'!V$2)</f>
        <v>5</v>
      </c>
      <c r="W117">
        <f>SUMIFS(data!$C:$C,data!$A:$A,"="&amp;'Покупки по дням'!$B117,data!$B:$B,"="&amp;'Покупки по дням'!W$2)</f>
        <v>0</v>
      </c>
      <c r="X117">
        <f>SUMIFS(data!$C:$C,data!$A:$A,"="&amp;'Покупки по дням'!$B117,data!$B:$B,"="&amp;'Покупки по дням'!X$2)</f>
        <v>0</v>
      </c>
      <c r="Y117">
        <f>SUMIFS(data!$C:$C,data!$A:$A,"="&amp;'Покупки по дням'!$B117,data!$B:$B,"="&amp;'Покупки по дням'!Y$2)</f>
        <v>4</v>
      </c>
      <c r="Z117">
        <f>SUMIFS(data!$C:$C,data!$A:$A,"="&amp;'Покупки по дням'!$B117,data!$B:$B,"="&amp;'Покупки по дням'!Z$2)</f>
        <v>0</v>
      </c>
      <c r="AA117">
        <f>SUMIFS(data!$C:$C,data!$A:$A,"="&amp;'Покупки по дням'!$B117,data!$B:$B,"="&amp;'Покупки по дням'!AA$2)</f>
        <v>1</v>
      </c>
      <c r="AB117">
        <f>SUMIFS(data!$C:$C,data!$A:$A,"="&amp;'Покупки по дням'!$B117,data!$B:$B,"="&amp;'Покупки по дням'!AB$2)</f>
        <v>0</v>
      </c>
      <c r="AC117">
        <f>SUMIFS(data!$C:$C,data!$A:$A,"="&amp;'Покупки по дням'!$B117,data!$B:$B,"="&amp;'Покупки по дням'!AC$2)</f>
        <v>4</v>
      </c>
      <c r="AD117">
        <f>SUMIFS(data!$C:$C,data!$A:$A,"="&amp;'Покупки по дням'!$B117,data!$B:$B,"="&amp;'Покупки по дням'!AD$2)</f>
        <v>1</v>
      </c>
      <c r="AE117">
        <f>SUMIFS(data!$C:$C,data!$A:$A,"="&amp;'Покупки по дням'!$B117,data!$B:$B,"="&amp;'Покупки по дням'!AE$2)</f>
        <v>0</v>
      </c>
      <c r="AF117">
        <f>SUMIFS(data!$C:$C,data!$A:$A,"="&amp;'Покупки по дням'!$B117,data!$B:$B,"="&amp;'Покупки по дням'!AF$2)</f>
        <v>5</v>
      </c>
      <c r="AG117">
        <f>SUMIFS(data!$C:$C,data!$A:$A,"="&amp;'Покупки по дням'!$B117,data!$B:$B,"="&amp;'Покупки по дням'!AG$2)</f>
        <v>2</v>
      </c>
      <c r="AH117">
        <f>SUMIFS(data!$C:$C,data!$A:$A,"="&amp;'Покупки по дням'!$B117,data!$B:$B,"="&amp;'Покупки по дням'!AH$2)</f>
        <v>0</v>
      </c>
      <c r="AI117">
        <f>SUMIFS(data!$C:$C,data!$A:$A,"="&amp;'Покупки по дням'!$B117,data!$B:$B,"="&amp;'Покупки по дням'!AI$2)</f>
        <v>2</v>
      </c>
      <c r="AJ117">
        <f>SUMIFS(data!$C:$C,data!$A:$A,"="&amp;'Покупки по дням'!$B117,data!$B:$B,"="&amp;'Покупки по дням'!AJ$2)</f>
        <v>0</v>
      </c>
      <c r="AK117">
        <f>SUMIFS(data!$C:$C,data!$A:$A,"="&amp;'Покупки по дням'!$B117,data!$B:$B,"="&amp;'Покупки по дням'!AK$2)</f>
        <v>0</v>
      </c>
      <c r="AL117">
        <f>SUMIFS(data!$C:$C,data!$A:$A,"="&amp;'Покупки по дням'!$B117,data!$B:$B,"="&amp;'Покупки по дням'!AL$2)</f>
        <v>0</v>
      </c>
      <c r="AM117">
        <f>SUMIFS(data!$C:$C,data!$A:$A,"="&amp;'Покупки по дням'!$B117,data!$B:$B,"="&amp;'Покупки по дням'!AM$2)</f>
        <v>1</v>
      </c>
      <c r="AN117">
        <f>SUMIFS(data!$C:$C,data!$A:$A,"="&amp;'Покупки по дням'!$B117,data!$B:$B,"="&amp;'Покупки по дням'!AN$2)</f>
        <v>2</v>
      </c>
      <c r="AO117">
        <f>SUMIFS(data!$C:$C,data!$A:$A,"="&amp;'Покупки по дням'!$B117,data!$B:$B,"="&amp;'Покупки по дням'!AO$2)</f>
        <v>0</v>
      </c>
      <c r="AP117">
        <f>SUMIFS(data!$C:$C,data!$A:$A,"="&amp;'Покупки по дням'!$B117,data!$B:$B,"="&amp;'Покупки по дням'!AP$2)</f>
        <v>0</v>
      </c>
      <c r="AQ117" s="6">
        <f t="shared" si="1"/>
        <v>1.3101619046988875</v>
      </c>
    </row>
    <row r="118" spans="2:43" x14ac:dyDescent="0.3">
      <c r="B118" s="17" t="s">
        <v>109</v>
      </c>
      <c r="C118">
        <f>SUMIFS(data!$C:$C,data!$A:$A,"="&amp;'Покупки по дням'!$B118,data!$B:$B,"="&amp;'Покупки по дням'!C$2)</f>
        <v>0</v>
      </c>
      <c r="D118">
        <f>SUMIFS(data!$C:$C,data!$A:$A,"="&amp;'Покупки по дням'!$B118,data!$B:$B,"="&amp;'Покупки по дням'!D$2)</f>
        <v>0</v>
      </c>
      <c r="E118">
        <f>SUMIFS(data!$C:$C,data!$A:$A,"="&amp;'Покупки по дням'!$B118,data!$B:$B,"="&amp;'Покупки по дням'!E$2)</f>
        <v>0</v>
      </c>
      <c r="F118">
        <f>SUMIFS(data!$C:$C,data!$A:$A,"="&amp;'Покупки по дням'!$B118,data!$B:$B,"="&amp;'Покупки по дням'!F$2)</f>
        <v>0</v>
      </c>
      <c r="G118">
        <f>SUMIFS(data!$C:$C,data!$A:$A,"="&amp;'Покупки по дням'!$B118,data!$B:$B,"="&amp;'Покупки по дням'!G$2)</f>
        <v>0</v>
      </c>
      <c r="H118">
        <f>SUMIFS(data!$C:$C,data!$A:$A,"="&amp;'Покупки по дням'!$B118,data!$B:$B,"="&amp;'Покупки по дням'!H$2)</f>
        <v>0</v>
      </c>
      <c r="I118">
        <f>SUMIFS(data!$C:$C,data!$A:$A,"="&amp;'Покупки по дням'!$B118,data!$B:$B,"="&amp;'Покупки по дням'!I$2)</f>
        <v>1</v>
      </c>
      <c r="J118">
        <f>SUMIFS(data!$C:$C,data!$A:$A,"="&amp;'Покупки по дням'!$B118,data!$B:$B,"="&amp;'Покупки по дням'!J$2)</f>
        <v>3</v>
      </c>
      <c r="K118">
        <f>SUMIFS(data!$C:$C,data!$A:$A,"="&amp;'Покупки по дням'!$B118,data!$B:$B,"="&amp;'Покупки по дням'!K$2)</f>
        <v>0</v>
      </c>
      <c r="L118">
        <f>SUMIFS(data!$C:$C,data!$A:$A,"="&amp;'Покупки по дням'!$B118,data!$B:$B,"="&amp;'Покупки по дням'!L$2)</f>
        <v>0</v>
      </c>
      <c r="M118">
        <f>SUMIFS(data!$C:$C,data!$A:$A,"="&amp;'Покупки по дням'!$B118,data!$B:$B,"="&amp;'Покупки по дням'!M$2)</f>
        <v>0</v>
      </c>
      <c r="N118">
        <f>SUMIFS(data!$C:$C,data!$A:$A,"="&amp;'Покупки по дням'!$B118,data!$B:$B,"="&amp;'Покупки по дням'!N$2)</f>
        <v>0</v>
      </c>
      <c r="O118">
        <f>SUMIFS(data!$C:$C,data!$A:$A,"="&amp;'Покупки по дням'!$B118,data!$B:$B,"="&amp;'Покупки по дням'!O$2)</f>
        <v>5</v>
      </c>
      <c r="P118">
        <f>SUMIFS(data!$C:$C,data!$A:$A,"="&amp;'Покупки по дням'!$B118,data!$B:$B,"="&amp;'Покупки по дням'!P$2)</f>
        <v>5</v>
      </c>
      <c r="Q118">
        <f>SUMIFS(data!$C:$C,data!$A:$A,"="&amp;'Покупки по дням'!$B118,data!$B:$B,"="&amp;'Покупки по дням'!Q$2)</f>
        <v>0</v>
      </c>
      <c r="R118">
        <f>SUMIFS(data!$C:$C,data!$A:$A,"="&amp;'Покупки по дням'!$B118,data!$B:$B,"="&amp;'Покупки по дням'!R$2)</f>
        <v>4</v>
      </c>
      <c r="S118">
        <f>SUMIFS(data!$C:$C,data!$A:$A,"="&amp;'Покупки по дням'!$B118,data!$B:$B,"="&amp;'Покупки по дням'!S$2)</f>
        <v>0</v>
      </c>
      <c r="T118">
        <f>SUMIFS(data!$C:$C,data!$A:$A,"="&amp;'Покупки по дням'!$B118,data!$B:$B,"="&amp;'Покупки по дням'!T$2)</f>
        <v>0</v>
      </c>
      <c r="U118">
        <f>SUMIFS(data!$C:$C,data!$A:$A,"="&amp;'Покупки по дням'!$B118,data!$B:$B,"="&amp;'Покупки по дням'!U$2)</f>
        <v>0</v>
      </c>
      <c r="V118">
        <f>SUMIFS(data!$C:$C,data!$A:$A,"="&amp;'Покупки по дням'!$B118,data!$B:$B,"="&amp;'Покупки по дням'!V$2)</f>
        <v>2</v>
      </c>
      <c r="W118">
        <f>SUMIFS(data!$C:$C,data!$A:$A,"="&amp;'Покупки по дням'!$B118,data!$B:$B,"="&amp;'Покупки по дням'!W$2)</f>
        <v>0</v>
      </c>
      <c r="X118">
        <f>SUMIFS(data!$C:$C,data!$A:$A,"="&amp;'Покупки по дням'!$B118,data!$B:$B,"="&amp;'Покупки по дням'!X$2)</f>
        <v>1</v>
      </c>
      <c r="Y118">
        <f>SUMIFS(data!$C:$C,data!$A:$A,"="&amp;'Покупки по дням'!$B118,data!$B:$B,"="&amp;'Покупки по дням'!Y$2)</f>
        <v>0</v>
      </c>
      <c r="Z118">
        <f>SUMIFS(data!$C:$C,data!$A:$A,"="&amp;'Покупки по дням'!$B118,data!$B:$B,"="&amp;'Покупки по дням'!Z$2)</f>
        <v>0</v>
      </c>
      <c r="AA118">
        <f>SUMIFS(data!$C:$C,data!$A:$A,"="&amp;'Покупки по дням'!$B118,data!$B:$B,"="&amp;'Покупки по дням'!AA$2)</f>
        <v>0</v>
      </c>
      <c r="AB118">
        <f>SUMIFS(data!$C:$C,data!$A:$A,"="&amp;'Покупки по дням'!$B118,data!$B:$B,"="&amp;'Покупки по дням'!AB$2)</f>
        <v>0</v>
      </c>
      <c r="AC118">
        <f>SUMIFS(data!$C:$C,data!$A:$A,"="&amp;'Покупки по дням'!$B118,data!$B:$B,"="&amp;'Покупки по дням'!AC$2)</f>
        <v>8</v>
      </c>
      <c r="AD118">
        <f>SUMIFS(data!$C:$C,data!$A:$A,"="&amp;'Покупки по дням'!$B118,data!$B:$B,"="&amp;'Покупки по дням'!AD$2)</f>
        <v>0</v>
      </c>
      <c r="AE118">
        <f>SUMIFS(data!$C:$C,data!$A:$A,"="&amp;'Покупки по дням'!$B118,data!$B:$B,"="&amp;'Покупки по дням'!AE$2)</f>
        <v>0</v>
      </c>
      <c r="AF118">
        <f>SUMIFS(data!$C:$C,data!$A:$A,"="&amp;'Покупки по дням'!$B118,data!$B:$B,"="&amp;'Покупки по дням'!AF$2)</f>
        <v>6</v>
      </c>
      <c r="AG118">
        <f>SUMIFS(data!$C:$C,data!$A:$A,"="&amp;'Покупки по дням'!$B118,data!$B:$B,"="&amp;'Покупки по дням'!AG$2)</f>
        <v>3</v>
      </c>
      <c r="AH118">
        <f>SUMIFS(data!$C:$C,data!$A:$A,"="&amp;'Покупки по дням'!$B118,data!$B:$B,"="&amp;'Покупки по дням'!AH$2)</f>
        <v>0</v>
      </c>
      <c r="AI118">
        <f>SUMIFS(data!$C:$C,data!$A:$A,"="&amp;'Покупки по дням'!$B118,data!$B:$B,"="&amp;'Покупки по дням'!AI$2)</f>
        <v>0</v>
      </c>
      <c r="AJ118">
        <f>SUMIFS(data!$C:$C,data!$A:$A,"="&amp;'Покупки по дням'!$B118,data!$B:$B,"="&amp;'Покупки по дням'!AJ$2)</f>
        <v>0</v>
      </c>
      <c r="AK118">
        <f>SUMIFS(data!$C:$C,data!$A:$A,"="&amp;'Покупки по дням'!$B118,data!$B:$B,"="&amp;'Покупки по дням'!AK$2)</f>
        <v>0</v>
      </c>
      <c r="AL118">
        <f>SUMIFS(data!$C:$C,data!$A:$A,"="&amp;'Покупки по дням'!$B118,data!$B:$B,"="&amp;'Покупки по дням'!AL$2)</f>
        <v>2</v>
      </c>
      <c r="AM118">
        <f>SUMIFS(data!$C:$C,data!$A:$A,"="&amp;'Покупки по дням'!$B118,data!$B:$B,"="&amp;'Покупки по дням'!AM$2)</f>
        <v>4</v>
      </c>
      <c r="AN118">
        <f>SUMIFS(data!$C:$C,data!$A:$A,"="&amp;'Покупки по дням'!$B118,data!$B:$B,"="&amp;'Покупки по дням'!AN$2)</f>
        <v>0</v>
      </c>
      <c r="AO118">
        <f>SUMIFS(data!$C:$C,data!$A:$A,"="&amp;'Покупки по дням'!$B118,data!$B:$B,"="&amp;'Покупки по дням'!AO$2)</f>
        <v>0</v>
      </c>
      <c r="AP118">
        <f>SUMIFS(data!$C:$C,data!$A:$A,"="&amp;'Покупки по дням'!$B118,data!$B:$B,"="&amp;'Покупки по дням'!AP$2)</f>
        <v>1</v>
      </c>
      <c r="AQ118" s="6">
        <f t="shared" si="1"/>
        <v>1.8025341803560044</v>
      </c>
    </row>
    <row r="119" spans="2:43" x14ac:dyDescent="0.3">
      <c r="B119" s="17" t="s">
        <v>53</v>
      </c>
      <c r="C119">
        <f>SUMIFS(data!$C:$C,data!$A:$A,"="&amp;'Покупки по дням'!$B119,data!$B:$B,"="&amp;'Покупки по дням'!C$2)</f>
        <v>0</v>
      </c>
      <c r="D119">
        <f>SUMIFS(data!$C:$C,data!$A:$A,"="&amp;'Покупки по дням'!$B119,data!$B:$B,"="&amp;'Покупки по дням'!D$2)</f>
        <v>6</v>
      </c>
      <c r="E119">
        <f>SUMIFS(data!$C:$C,data!$A:$A,"="&amp;'Покупки по дням'!$B119,data!$B:$B,"="&amp;'Покупки по дням'!E$2)</f>
        <v>5</v>
      </c>
      <c r="F119">
        <f>SUMIFS(data!$C:$C,data!$A:$A,"="&amp;'Покупки по дням'!$B119,data!$B:$B,"="&amp;'Покупки по дням'!F$2)</f>
        <v>3</v>
      </c>
      <c r="G119">
        <f>SUMIFS(data!$C:$C,data!$A:$A,"="&amp;'Покупки по дням'!$B119,data!$B:$B,"="&amp;'Покупки по дням'!G$2)</f>
        <v>4</v>
      </c>
      <c r="H119">
        <f>SUMIFS(data!$C:$C,data!$A:$A,"="&amp;'Покупки по дням'!$B119,data!$B:$B,"="&amp;'Покупки по дням'!H$2)</f>
        <v>4</v>
      </c>
      <c r="I119">
        <f>SUMIFS(data!$C:$C,data!$A:$A,"="&amp;'Покупки по дням'!$B119,data!$B:$B,"="&amp;'Покупки по дням'!I$2)</f>
        <v>4</v>
      </c>
      <c r="J119">
        <f>SUMIFS(data!$C:$C,data!$A:$A,"="&amp;'Покупки по дням'!$B119,data!$B:$B,"="&amp;'Покупки по дням'!J$2)</f>
        <v>2</v>
      </c>
      <c r="K119">
        <f>SUMIFS(data!$C:$C,data!$A:$A,"="&amp;'Покупки по дням'!$B119,data!$B:$B,"="&amp;'Покупки по дням'!K$2)</f>
        <v>0</v>
      </c>
      <c r="L119">
        <f>SUMIFS(data!$C:$C,data!$A:$A,"="&amp;'Покупки по дням'!$B119,data!$B:$B,"="&amp;'Покупки по дням'!L$2)</f>
        <v>0</v>
      </c>
      <c r="M119">
        <f>SUMIFS(data!$C:$C,data!$A:$A,"="&amp;'Покупки по дням'!$B119,data!$B:$B,"="&amp;'Покупки по дням'!M$2)</f>
        <v>0</v>
      </c>
      <c r="N119">
        <f>SUMIFS(data!$C:$C,data!$A:$A,"="&amp;'Покупки по дням'!$B119,data!$B:$B,"="&amp;'Покупки по дням'!N$2)</f>
        <v>1</v>
      </c>
      <c r="O119">
        <f>SUMIFS(data!$C:$C,data!$A:$A,"="&amp;'Покупки по дням'!$B119,data!$B:$B,"="&amp;'Покупки по дням'!O$2)</f>
        <v>0</v>
      </c>
      <c r="P119">
        <f>SUMIFS(data!$C:$C,data!$A:$A,"="&amp;'Покупки по дням'!$B119,data!$B:$B,"="&amp;'Покупки по дням'!P$2)</f>
        <v>1</v>
      </c>
      <c r="Q119">
        <f>SUMIFS(data!$C:$C,data!$A:$A,"="&amp;'Покупки по дням'!$B119,data!$B:$B,"="&amp;'Покупки по дням'!Q$2)</f>
        <v>0</v>
      </c>
      <c r="R119">
        <f>SUMIFS(data!$C:$C,data!$A:$A,"="&amp;'Покупки по дням'!$B119,data!$B:$B,"="&amp;'Покупки по дням'!R$2)</f>
        <v>0</v>
      </c>
      <c r="S119">
        <f>SUMIFS(data!$C:$C,data!$A:$A,"="&amp;'Покупки по дням'!$B119,data!$B:$B,"="&amp;'Покупки по дням'!S$2)</f>
        <v>0</v>
      </c>
      <c r="T119">
        <f>SUMIFS(data!$C:$C,data!$A:$A,"="&amp;'Покупки по дням'!$B119,data!$B:$B,"="&amp;'Покупки по дням'!T$2)</f>
        <v>2</v>
      </c>
      <c r="U119">
        <f>SUMIFS(data!$C:$C,data!$A:$A,"="&amp;'Покупки по дням'!$B119,data!$B:$B,"="&amp;'Покупки по дням'!U$2)</f>
        <v>0</v>
      </c>
      <c r="V119">
        <f>SUMIFS(data!$C:$C,data!$A:$A,"="&amp;'Покупки по дням'!$B119,data!$B:$B,"="&amp;'Покупки по дням'!V$2)</f>
        <v>0</v>
      </c>
      <c r="W119">
        <f>SUMIFS(data!$C:$C,data!$A:$A,"="&amp;'Покупки по дням'!$B119,data!$B:$B,"="&amp;'Покупки по дням'!W$2)</f>
        <v>1</v>
      </c>
      <c r="X119">
        <f>SUMIFS(data!$C:$C,data!$A:$A,"="&amp;'Покупки по дням'!$B119,data!$B:$B,"="&amp;'Покупки по дням'!X$2)</f>
        <v>2</v>
      </c>
      <c r="Y119">
        <f>SUMIFS(data!$C:$C,data!$A:$A,"="&amp;'Покупки по дням'!$B119,data!$B:$B,"="&amp;'Покупки по дням'!Y$2)</f>
        <v>2</v>
      </c>
      <c r="Z119">
        <f>SUMIFS(data!$C:$C,data!$A:$A,"="&amp;'Покупки по дням'!$B119,data!$B:$B,"="&amp;'Покупки по дням'!Z$2)</f>
        <v>2</v>
      </c>
      <c r="AA119">
        <f>SUMIFS(data!$C:$C,data!$A:$A,"="&amp;'Покупки по дням'!$B119,data!$B:$B,"="&amp;'Покупки по дням'!AA$2)</f>
        <v>1</v>
      </c>
      <c r="AB119">
        <f>SUMIFS(data!$C:$C,data!$A:$A,"="&amp;'Покупки по дням'!$B119,data!$B:$B,"="&amp;'Покупки по дням'!AB$2)</f>
        <v>0</v>
      </c>
      <c r="AC119">
        <f>SUMIFS(data!$C:$C,data!$A:$A,"="&amp;'Покупки по дням'!$B119,data!$B:$B,"="&amp;'Покупки по дням'!AC$2)</f>
        <v>0</v>
      </c>
      <c r="AD119">
        <f>SUMIFS(data!$C:$C,data!$A:$A,"="&amp;'Покупки по дням'!$B119,data!$B:$B,"="&amp;'Покупки по дням'!AD$2)</f>
        <v>0</v>
      </c>
      <c r="AE119">
        <f>SUMIFS(data!$C:$C,data!$A:$A,"="&amp;'Покупки по дням'!$B119,data!$B:$B,"="&amp;'Покупки по дням'!AE$2)</f>
        <v>1</v>
      </c>
      <c r="AF119">
        <f>SUMIFS(data!$C:$C,data!$A:$A,"="&amp;'Покупки по дням'!$B119,data!$B:$B,"="&amp;'Покупки по дням'!AF$2)</f>
        <v>1</v>
      </c>
      <c r="AG119">
        <f>SUMIFS(data!$C:$C,data!$A:$A,"="&amp;'Покупки по дням'!$B119,data!$B:$B,"="&amp;'Покупки по дням'!AG$2)</f>
        <v>0</v>
      </c>
      <c r="AH119">
        <f>SUMIFS(data!$C:$C,data!$A:$A,"="&amp;'Покупки по дням'!$B119,data!$B:$B,"="&amp;'Покупки по дням'!AH$2)</f>
        <v>0</v>
      </c>
      <c r="AI119">
        <f>SUMIFS(data!$C:$C,data!$A:$A,"="&amp;'Покупки по дням'!$B119,data!$B:$B,"="&amp;'Покупки по дням'!AI$2)</f>
        <v>1</v>
      </c>
      <c r="AJ119">
        <f>SUMIFS(data!$C:$C,data!$A:$A,"="&amp;'Покупки по дням'!$B119,data!$B:$B,"="&amp;'Покупки по дням'!AJ$2)</f>
        <v>3</v>
      </c>
      <c r="AK119">
        <f>SUMIFS(data!$C:$C,data!$A:$A,"="&amp;'Покупки по дням'!$B119,data!$B:$B,"="&amp;'Покупки по дням'!AK$2)</f>
        <v>0</v>
      </c>
      <c r="AL119">
        <f>SUMIFS(data!$C:$C,data!$A:$A,"="&amp;'Покупки по дням'!$B119,data!$B:$B,"="&amp;'Покупки по дням'!AL$2)</f>
        <v>1</v>
      </c>
      <c r="AM119">
        <f>SUMIFS(data!$C:$C,data!$A:$A,"="&amp;'Покупки по дням'!$B119,data!$B:$B,"="&amp;'Покупки по дням'!AM$2)</f>
        <v>2</v>
      </c>
      <c r="AN119">
        <f>SUMIFS(data!$C:$C,data!$A:$A,"="&amp;'Покупки по дням'!$B119,data!$B:$B,"="&amp;'Покупки по дням'!AN$2)</f>
        <v>1</v>
      </c>
      <c r="AO119">
        <f>SUMIFS(data!$C:$C,data!$A:$A,"="&amp;'Покупки по дням'!$B119,data!$B:$B,"="&amp;'Покупки по дням'!AO$2)</f>
        <v>2</v>
      </c>
      <c r="AP119">
        <f>SUMIFS(data!$C:$C,data!$A:$A,"="&amp;'Покупки по дням'!$B119,data!$B:$B,"="&amp;'Покупки по дням'!AP$2)</f>
        <v>2</v>
      </c>
      <c r="AQ119" s="6">
        <f t="shared" si="1"/>
        <v>1.1567091911068086</v>
      </c>
    </row>
    <row r="120" spans="2:43" x14ac:dyDescent="0.3">
      <c r="B120" s="17" t="s">
        <v>15</v>
      </c>
      <c r="C120">
        <f>SUMIFS(data!$C:$C,data!$A:$A,"="&amp;'Покупки по дням'!$B120,data!$B:$B,"="&amp;'Покупки по дням'!C$2)</f>
        <v>1</v>
      </c>
      <c r="D120">
        <f>SUMIFS(data!$C:$C,data!$A:$A,"="&amp;'Покупки по дням'!$B120,data!$B:$B,"="&amp;'Покупки по дням'!D$2)</f>
        <v>2</v>
      </c>
      <c r="E120">
        <f>SUMIFS(data!$C:$C,data!$A:$A,"="&amp;'Покупки по дням'!$B120,data!$B:$B,"="&amp;'Покупки по дням'!E$2)</f>
        <v>1</v>
      </c>
      <c r="F120">
        <f>SUMIFS(data!$C:$C,data!$A:$A,"="&amp;'Покупки по дням'!$B120,data!$B:$B,"="&amp;'Покупки по дням'!F$2)</f>
        <v>2</v>
      </c>
      <c r="G120">
        <f>SUMIFS(data!$C:$C,data!$A:$A,"="&amp;'Покупки по дням'!$B120,data!$B:$B,"="&amp;'Покупки по дням'!G$2)</f>
        <v>1</v>
      </c>
      <c r="H120">
        <f>SUMIFS(data!$C:$C,data!$A:$A,"="&amp;'Покупки по дням'!$B120,data!$B:$B,"="&amp;'Покупки по дням'!H$2)</f>
        <v>2</v>
      </c>
      <c r="I120">
        <f>SUMIFS(data!$C:$C,data!$A:$A,"="&amp;'Покупки по дням'!$B120,data!$B:$B,"="&amp;'Покупки по дням'!I$2)</f>
        <v>2</v>
      </c>
      <c r="J120">
        <f>SUMIFS(data!$C:$C,data!$A:$A,"="&amp;'Покупки по дням'!$B120,data!$B:$B,"="&amp;'Покупки по дням'!J$2)</f>
        <v>1</v>
      </c>
      <c r="K120">
        <f>SUMIFS(data!$C:$C,data!$A:$A,"="&amp;'Покупки по дням'!$B120,data!$B:$B,"="&amp;'Покупки по дням'!K$2)</f>
        <v>0</v>
      </c>
      <c r="L120">
        <f>SUMIFS(data!$C:$C,data!$A:$A,"="&amp;'Покупки по дням'!$B120,data!$B:$B,"="&amp;'Покупки по дням'!L$2)</f>
        <v>1</v>
      </c>
      <c r="M120">
        <f>SUMIFS(data!$C:$C,data!$A:$A,"="&amp;'Покупки по дням'!$B120,data!$B:$B,"="&amp;'Покупки по дням'!M$2)</f>
        <v>2</v>
      </c>
      <c r="N120">
        <f>SUMIFS(data!$C:$C,data!$A:$A,"="&amp;'Покупки по дням'!$B120,data!$B:$B,"="&amp;'Покупки по дням'!N$2)</f>
        <v>0</v>
      </c>
      <c r="O120">
        <f>SUMIFS(data!$C:$C,data!$A:$A,"="&amp;'Покупки по дням'!$B120,data!$B:$B,"="&amp;'Покупки по дням'!O$2)</f>
        <v>2</v>
      </c>
      <c r="P120">
        <f>SUMIFS(data!$C:$C,data!$A:$A,"="&amp;'Покупки по дням'!$B120,data!$B:$B,"="&amp;'Покупки по дням'!P$2)</f>
        <v>2</v>
      </c>
      <c r="Q120">
        <f>SUMIFS(data!$C:$C,data!$A:$A,"="&amp;'Покупки по дням'!$B120,data!$B:$B,"="&amp;'Покупки по дням'!Q$2)</f>
        <v>0</v>
      </c>
      <c r="R120">
        <f>SUMIFS(data!$C:$C,data!$A:$A,"="&amp;'Покупки по дням'!$B120,data!$B:$B,"="&amp;'Покупки по дням'!R$2)</f>
        <v>0</v>
      </c>
      <c r="S120">
        <f>SUMIFS(data!$C:$C,data!$A:$A,"="&amp;'Покупки по дням'!$B120,data!$B:$B,"="&amp;'Покупки по дням'!S$2)</f>
        <v>0</v>
      </c>
      <c r="T120">
        <f>SUMIFS(data!$C:$C,data!$A:$A,"="&amp;'Покупки по дням'!$B120,data!$B:$B,"="&amp;'Покупки по дням'!T$2)</f>
        <v>2</v>
      </c>
      <c r="U120">
        <f>SUMIFS(data!$C:$C,data!$A:$A,"="&amp;'Покупки по дням'!$B120,data!$B:$B,"="&amp;'Покупки по дням'!U$2)</f>
        <v>1</v>
      </c>
      <c r="V120">
        <f>SUMIFS(data!$C:$C,data!$A:$A,"="&amp;'Покупки по дням'!$B120,data!$B:$B,"="&amp;'Покупки по дням'!V$2)</f>
        <v>0</v>
      </c>
      <c r="W120">
        <f>SUMIFS(data!$C:$C,data!$A:$A,"="&amp;'Покупки по дням'!$B120,data!$B:$B,"="&amp;'Покупки по дням'!W$2)</f>
        <v>6</v>
      </c>
      <c r="X120">
        <f>SUMIFS(data!$C:$C,data!$A:$A,"="&amp;'Покупки по дням'!$B120,data!$B:$B,"="&amp;'Покупки по дням'!X$2)</f>
        <v>3</v>
      </c>
      <c r="Y120">
        <f>SUMIFS(data!$C:$C,data!$A:$A,"="&amp;'Покупки по дням'!$B120,data!$B:$B,"="&amp;'Покупки по дням'!Y$2)</f>
        <v>2</v>
      </c>
      <c r="Z120">
        <f>SUMIFS(data!$C:$C,data!$A:$A,"="&amp;'Покупки по дням'!$B120,data!$B:$B,"="&amp;'Покупки по дням'!Z$2)</f>
        <v>1</v>
      </c>
      <c r="AA120">
        <f>SUMIFS(data!$C:$C,data!$A:$A,"="&amp;'Покупки по дням'!$B120,data!$B:$B,"="&amp;'Покупки по дням'!AA$2)</f>
        <v>3</v>
      </c>
      <c r="AB120">
        <f>SUMIFS(data!$C:$C,data!$A:$A,"="&amp;'Покупки по дням'!$B120,data!$B:$B,"="&amp;'Покупки по дням'!AB$2)</f>
        <v>1</v>
      </c>
      <c r="AC120">
        <f>SUMIFS(data!$C:$C,data!$A:$A,"="&amp;'Покупки по дням'!$B120,data!$B:$B,"="&amp;'Покупки по дням'!AC$2)</f>
        <v>1</v>
      </c>
      <c r="AD120">
        <f>SUMIFS(data!$C:$C,data!$A:$A,"="&amp;'Покупки по дням'!$B120,data!$B:$B,"="&amp;'Покупки по дням'!AD$2)</f>
        <v>0</v>
      </c>
      <c r="AE120">
        <f>SUMIFS(data!$C:$C,data!$A:$A,"="&amp;'Покупки по дням'!$B120,data!$B:$B,"="&amp;'Покупки по дням'!AE$2)</f>
        <v>0</v>
      </c>
      <c r="AF120">
        <f>SUMIFS(data!$C:$C,data!$A:$A,"="&amp;'Покупки по дням'!$B120,data!$B:$B,"="&amp;'Покупки по дням'!AF$2)</f>
        <v>0</v>
      </c>
      <c r="AG120">
        <f>SUMIFS(data!$C:$C,data!$A:$A,"="&amp;'Покупки по дням'!$B120,data!$B:$B,"="&amp;'Покупки по дням'!AG$2)</f>
        <v>1</v>
      </c>
      <c r="AH120">
        <f>SUMIFS(data!$C:$C,data!$A:$A,"="&amp;'Покупки по дням'!$B120,data!$B:$B,"="&amp;'Покупки по дням'!AH$2)</f>
        <v>1</v>
      </c>
      <c r="AI120">
        <f>SUMIFS(data!$C:$C,data!$A:$A,"="&amp;'Покупки по дням'!$B120,data!$B:$B,"="&amp;'Покупки по дням'!AI$2)</f>
        <v>2</v>
      </c>
      <c r="AJ120">
        <f>SUMIFS(data!$C:$C,data!$A:$A,"="&amp;'Покупки по дням'!$B120,data!$B:$B,"="&amp;'Покупки по дням'!AJ$2)</f>
        <v>0</v>
      </c>
      <c r="AK120">
        <f>SUMIFS(data!$C:$C,data!$A:$A,"="&amp;'Покупки по дням'!$B120,data!$B:$B,"="&amp;'Покупки по дням'!AK$2)</f>
        <v>1</v>
      </c>
      <c r="AL120">
        <f>SUMIFS(data!$C:$C,data!$A:$A,"="&amp;'Покупки по дням'!$B120,data!$B:$B,"="&amp;'Покупки по дням'!AL$2)</f>
        <v>0</v>
      </c>
      <c r="AM120">
        <f>SUMIFS(data!$C:$C,data!$A:$A,"="&amp;'Покупки по дням'!$B120,data!$B:$B,"="&amp;'Покупки по дням'!AM$2)</f>
        <v>1</v>
      </c>
      <c r="AN120">
        <f>SUMIFS(data!$C:$C,data!$A:$A,"="&amp;'Покупки по дням'!$B120,data!$B:$B,"="&amp;'Покупки по дням'!AN$2)</f>
        <v>0</v>
      </c>
      <c r="AO120">
        <f>SUMIFS(data!$C:$C,data!$A:$A,"="&amp;'Покупки по дням'!$B120,data!$B:$B,"="&amp;'Покупки по дням'!AO$2)</f>
        <v>0</v>
      </c>
      <c r="AP120">
        <f>SUMIFS(data!$C:$C,data!$A:$A,"="&amp;'Покупки по дням'!$B120,data!$B:$B,"="&amp;'Покупки по дням'!AP$2)</f>
        <v>2</v>
      </c>
      <c r="AQ120" s="6">
        <f t="shared" si="1"/>
        <v>1.0177699390346935</v>
      </c>
    </row>
    <row r="121" spans="2:43" ht="28.8" x14ac:dyDescent="0.3">
      <c r="B121" s="17" t="s">
        <v>101</v>
      </c>
      <c r="C121">
        <f>SUMIFS(data!$C:$C,data!$A:$A,"="&amp;'Покупки по дням'!$B121,data!$B:$B,"="&amp;'Покупки по дням'!C$2)</f>
        <v>2</v>
      </c>
      <c r="D121">
        <f>SUMIFS(data!$C:$C,data!$A:$A,"="&amp;'Покупки по дням'!$B121,data!$B:$B,"="&amp;'Покупки по дням'!D$2)</f>
        <v>1</v>
      </c>
      <c r="E121">
        <f>SUMIFS(data!$C:$C,data!$A:$A,"="&amp;'Покупки по дням'!$B121,data!$B:$B,"="&amp;'Покупки по дням'!E$2)</f>
        <v>1</v>
      </c>
      <c r="F121">
        <f>SUMIFS(data!$C:$C,data!$A:$A,"="&amp;'Покупки по дням'!$B121,data!$B:$B,"="&amp;'Покупки по дням'!F$2)</f>
        <v>1</v>
      </c>
      <c r="G121">
        <f>SUMIFS(data!$C:$C,data!$A:$A,"="&amp;'Покупки по дням'!$B121,data!$B:$B,"="&amp;'Покупки по дням'!G$2)</f>
        <v>0</v>
      </c>
      <c r="H121">
        <f>SUMIFS(data!$C:$C,data!$A:$A,"="&amp;'Покупки по дням'!$B121,data!$B:$B,"="&amp;'Покупки по дням'!H$2)</f>
        <v>3</v>
      </c>
      <c r="I121">
        <f>SUMIFS(data!$C:$C,data!$A:$A,"="&amp;'Покупки по дням'!$B121,data!$B:$B,"="&amp;'Покупки по дням'!I$2)</f>
        <v>0</v>
      </c>
      <c r="J121">
        <f>SUMIFS(data!$C:$C,data!$A:$A,"="&amp;'Покупки по дням'!$B121,data!$B:$B,"="&amp;'Покупки по дням'!J$2)</f>
        <v>2</v>
      </c>
      <c r="K121">
        <f>SUMIFS(data!$C:$C,data!$A:$A,"="&amp;'Покупки по дням'!$B121,data!$B:$B,"="&amp;'Покупки по дням'!K$2)</f>
        <v>0</v>
      </c>
      <c r="L121">
        <f>SUMIFS(data!$C:$C,data!$A:$A,"="&amp;'Покупки по дням'!$B121,data!$B:$B,"="&amp;'Покупки по дням'!L$2)</f>
        <v>2</v>
      </c>
      <c r="M121">
        <f>SUMIFS(data!$C:$C,data!$A:$A,"="&amp;'Покупки по дням'!$B121,data!$B:$B,"="&amp;'Покупки по дням'!M$2)</f>
        <v>2</v>
      </c>
      <c r="N121">
        <f>SUMIFS(data!$C:$C,data!$A:$A,"="&amp;'Покупки по дням'!$B121,data!$B:$B,"="&amp;'Покупки по дням'!N$2)</f>
        <v>4</v>
      </c>
      <c r="O121">
        <f>SUMIFS(data!$C:$C,data!$A:$A,"="&amp;'Покупки по дням'!$B121,data!$B:$B,"="&amp;'Покупки по дням'!O$2)</f>
        <v>3</v>
      </c>
      <c r="P121">
        <f>SUMIFS(data!$C:$C,data!$A:$A,"="&amp;'Покупки по дням'!$B121,data!$B:$B,"="&amp;'Покупки по дням'!P$2)</f>
        <v>2</v>
      </c>
      <c r="Q121">
        <f>SUMIFS(data!$C:$C,data!$A:$A,"="&amp;'Покупки по дням'!$B121,data!$B:$B,"="&amp;'Покупки по дням'!Q$2)</f>
        <v>1</v>
      </c>
      <c r="R121">
        <f>SUMIFS(data!$C:$C,data!$A:$A,"="&amp;'Покупки по дням'!$B121,data!$B:$B,"="&amp;'Покупки по дням'!R$2)</f>
        <v>0</v>
      </c>
      <c r="S121">
        <f>SUMIFS(data!$C:$C,data!$A:$A,"="&amp;'Покупки по дням'!$B121,data!$B:$B,"="&amp;'Покупки по дням'!S$2)</f>
        <v>1</v>
      </c>
      <c r="T121">
        <f>SUMIFS(data!$C:$C,data!$A:$A,"="&amp;'Покупки по дням'!$B121,data!$B:$B,"="&amp;'Покупки по дням'!T$2)</f>
        <v>1</v>
      </c>
      <c r="U121">
        <f>SUMIFS(data!$C:$C,data!$A:$A,"="&amp;'Покупки по дням'!$B121,data!$B:$B,"="&amp;'Покупки по дням'!U$2)</f>
        <v>0</v>
      </c>
      <c r="V121">
        <f>SUMIFS(data!$C:$C,data!$A:$A,"="&amp;'Покупки по дням'!$B121,data!$B:$B,"="&amp;'Покупки по дням'!V$2)</f>
        <v>1</v>
      </c>
      <c r="W121">
        <f>SUMIFS(data!$C:$C,data!$A:$A,"="&amp;'Покупки по дням'!$B121,data!$B:$B,"="&amp;'Покупки по дням'!W$2)</f>
        <v>0</v>
      </c>
      <c r="X121">
        <f>SUMIFS(data!$C:$C,data!$A:$A,"="&amp;'Покупки по дням'!$B121,data!$B:$B,"="&amp;'Покупки по дням'!X$2)</f>
        <v>0</v>
      </c>
      <c r="Y121">
        <f>SUMIFS(data!$C:$C,data!$A:$A,"="&amp;'Покупки по дням'!$B121,data!$B:$B,"="&amp;'Покупки по дням'!Y$2)</f>
        <v>3</v>
      </c>
      <c r="Z121">
        <f>SUMIFS(data!$C:$C,data!$A:$A,"="&amp;'Покупки по дням'!$B121,data!$B:$B,"="&amp;'Покупки по дням'!Z$2)</f>
        <v>1</v>
      </c>
      <c r="AA121">
        <f>SUMIFS(data!$C:$C,data!$A:$A,"="&amp;'Покупки по дням'!$B121,data!$B:$B,"="&amp;'Покупки по дням'!AA$2)</f>
        <v>1</v>
      </c>
      <c r="AB121">
        <f>SUMIFS(data!$C:$C,data!$A:$A,"="&amp;'Покупки по дням'!$B121,data!$B:$B,"="&amp;'Покупки по дням'!AB$2)</f>
        <v>0</v>
      </c>
      <c r="AC121">
        <f>SUMIFS(data!$C:$C,data!$A:$A,"="&amp;'Покупки по дням'!$B121,data!$B:$B,"="&amp;'Покупки по дням'!AC$2)</f>
        <v>1</v>
      </c>
      <c r="AD121">
        <f>SUMIFS(data!$C:$C,data!$A:$A,"="&amp;'Покупки по дням'!$B121,data!$B:$B,"="&amp;'Покупки по дням'!AD$2)</f>
        <v>3</v>
      </c>
      <c r="AE121">
        <f>SUMIFS(data!$C:$C,data!$A:$A,"="&amp;'Покупки по дням'!$B121,data!$B:$B,"="&amp;'Покупки по дням'!AE$2)</f>
        <v>2</v>
      </c>
      <c r="AF121">
        <f>SUMIFS(data!$C:$C,data!$A:$A,"="&amp;'Покупки по дням'!$B121,data!$B:$B,"="&amp;'Покупки по дням'!AF$2)</f>
        <v>0</v>
      </c>
      <c r="AG121">
        <f>SUMIFS(data!$C:$C,data!$A:$A,"="&amp;'Покупки по дням'!$B121,data!$B:$B,"="&amp;'Покупки по дням'!AG$2)</f>
        <v>0</v>
      </c>
      <c r="AH121">
        <f>SUMIFS(data!$C:$C,data!$A:$A,"="&amp;'Покупки по дням'!$B121,data!$B:$B,"="&amp;'Покупки по дням'!AH$2)</f>
        <v>0</v>
      </c>
      <c r="AI121">
        <f>SUMIFS(data!$C:$C,data!$A:$A,"="&amp;'Покупки по дням'!$B121,data!$B:$B,"="&amp;'Покупки по дням'!AI$2)</f>
        <v>1</v>
      </c>
      <c r="AJ121">
        <f>SUMIFS(data!$C:$C,data!$A:$A,"="&amp;'Покупки по дням'!$B121,data!$B:$B,"="&amp;'Покупки по дням'!AJ$2)</f>
        <v>1</v>
      </c>
      <c r="AK121">
        <f>SUMIFS(data!$C:$C,data!$A:$A,"="&amp;'Покупки по дням'!$B121,data!$B:$B,"="&amp;'Покупки по дням'!AK$2)</f>
        <v>0</v>
      </c>
      <c r="AL121">
        <f>SUMIFS(data!$C:$C,data!$A:$A,"="&amp;'Покупки по дням'!$B121,data!$B:$B,"="&amp;'Покупки по дням'!AL$2)</f>
        <v>0</v>
      </c>
      <c r="AM121">
        <f>SUMIFS(data!$C:$C,data!$A:$A,"="&amp;'Покупки по дням'!$B121,data!$B:$B,"="&amp;'Покупки по дням'!AM$2)</f>
        <v>1</v>
      </c>
      <c r="AN121">
        <f>SUMIFS(data!$C:$C,data!$A:$A,"="&amp;'Покупки по дням'!$B121,data!$B:$B,"="&amp;'Покупки по дням'!AN$2)</f>
        <v>2</v>
      </c>
      <c r="AO121">
        <f>SUMIFS(data!$C:$C,data!$A:$A,"="&amp;'Покупки по дням'!$B121,data!$B:$B,"="&amp;'Покупки по дням'!AO$2)</f>
        <v>0</v>
      </c>
      <c r="AP121">
        <f>SUMIFS(data!$C:$C,data!$A:$A,"="&amp;'Покупки по дням'!$B121,data!$B:$B,"="&amp;'Покупки по дням'!AP$2)</f>
        <v>2</v>
      </c>
      <c r="AQ121" s="6">
        <f t="shared" si="1"/>
        <v>0.96929759538890692</v>
      </c>
    </row>
    <row r="122" spans="2:43" x14ac:dyDescent="0.3">
      <c r="B122" s="17" t="s">
        <v>80</v>
      </c>
      <c r="C122">
        <f>SUMIFS(data!$C:$C,data!$A:$A,"="&amp;'Покупки по дням'!$B122,data!$B:$B,"="&amp;'Покупки по дням'!C$2)</f>
        <v>3</v>
      </c>
      <c r="D122">
        <f>SUMIFS(data!$C:$C,data!$A:$A,"="&amp;'Покупки по дням'!$B122,data!$B:$B,"="&amp;'Покупки по дням'!D$2)</f>
        <v>0</v>
      </c>
      <c r="E122">
        <f>SUMIFS(data!$C:$C,data!$A:$A,"="&amp;'Покупки по дням'!$B122,data!$B:$B,"="&amp;'Покупки по дням'!E$2)</f>
        <v>0</v>
      </c>
      <c r="F122">
        <f>SUMIFS(data!$C:$C,data!$A:$A,"="&amp;'Покупки по дням'!$B122,data!$B:$B,"="&amp;'Покупки по дням'!F$2)</f>
        <v>0</v>
      </c>
      <c r="G122">
        <f>SUMIFS(data!$C:$C,data!$A:$A,"="&amp;'Покупки по дням'!$B122,data!$B:$B,"="&amp;'Покупки по дням'!G$2)</f>
        <v>5</v>
      </c>
      <c r="H122">
        <f>SUMIFS(data!$C:$C,data!$A:$A,"="&amp;'Покупки по дням'!$B122,data!$B:$B,"="&amp;'Покупки по дням'!H$2)</f>
        <v>0</v>
      </c>
      <c r="I122">
        <f>SUMIFS(data!$C:$C,data!$A:$A,"="&amp;'Покупки по дням'!$B122,data!$B:$B,"="&amp;'Покупки по дням'!I$2)</f>
        <v>3</v>
      </c>
      <c r="J122">
        <f>SUMIFS(data!$C:$C,data!$A:$A,"="&amp;'Покупки по дням'!$B122,data!$B:$B,"="&amp;'Покупки по дням'!J$2)</f>
        <v>6</v>
      </c>
      <c r="K122">
        <f>SUMIFS(data!$C:$C,data!$A:$A,"="&amp;'Покупки по дням'!$B122,data!$B:$B,"="&amp;'Покупки по дням'!K$2)</f>
        <v>0</v>
      </c>
      <c r="L122">
        <f>SUMIFS(data!$C:$C,data!$A:$A,"="&amp;'Покупки по дням'!$B122,data!$B:$B,"="&amp;'Покупки по дням'!L$2)</f>
        <v>4</v>
      </c>
      <c r="M122">
        <f>SUMIFS(data!$C:$C,data!$A:$A,"="&amp;'Покупки по дням'!$B122,data!$B:$B,"="&amp;'Покупки по дням'!M$2)</f>
        <v>0</v>
      </c>
      <c r="N122">
        <f>SUMIFS(data!$C:$C,data!$A:$A,"="&amp;'Покупки по дням'!$B122,data!$B:$B,"="&amp;'Покупки по дням'!N$2)</f>
        <v>3</v>
      </c>
      <c r="O122">
        <f>SUMIFS(data!$C:$C,data!$A:$A,"="&amp;'Покупки по дням'!$B122,data!$B:$B,"="&amp;'Покупки по дням'!O$2)</f>
        <v>0</v>
      </c>
      <c r="P122">
        <f>SUMIFS(data!$C:$C,data!$A:$A,"="&amp;'Покупки по дням'!$B122,data!$B:$B,"="&amp;'Покупки по дням'!P$2)</f>
        <v>0</v>
      </c>
      <c r="Q122">
        <f>SUMIFS(data!$C:$C,data!$A:$A,"="&amp;'Покупки по дням'!$B122,data!$B:$B,"="&amp;'Покупки по дням'!Q$2)</f>
        <v>5</v>
      </c>
      <c r="R122">
        <f>SUMIFS(data!$C:$C,data!$A:$A,"="&amp;'Покупки по дням'!$B122,data!$B:$B,"="&amp;'Покупки по дням'!R$2)</f>
        <v>0</v>
      </c>
      <c r="S122">
        <f>SUMIFS(data!$C:$C,data!$A:$A,"="&amp;'Покупки по дням'!$B122,data!$B:$B,"="&amp;'Покупки по дням'!S$2)</f>
        <v>0</v>
      </c>
      <c r="T122">
        <f>SUMIFS(data!$C:$C,data!$A:$A,"="&amp;'Покупки по дням'!$B122,data!$B:$B,"="&amp;'Покупки по дням'!T$2)</f>
        <v>3</v>
      </c>
      <c r="U122">
        <f>SUMIFS(data!$C:$C,data!$A:$A,"="&amp;'Покупки по дням'!$B122,data!$B:$B,"="&amp;'Покупки по дням'!U$2)</f>
        <v>0</v>
      </c>
      <c r="V122">
        <f>SUMIFS(data!$C:$C,data!$A:$A,"="&amp;'Покупки по дням'!$B122,data!$B:$B,"="&amp;'Покупки по дням'!V$2)</f>
        <v>4</v>
      </c>
      <c r="W122">
        <f>SUMIFS(data!$C:$C,data!$A:$A,"="&amp;'Покупки по дням'!$B122,data!$B:$B,"="&amp;'Покупки по дням'!W$2)</f>
        <v>5</v>
      </c>
      <c r="X122">
        <f>SUMIFS(data!$C:$C,data!$A:$A,"="&amp;'Покупки по дням'!$B122,data!$B:$B,"="&amp;'Покупки по дням'!X$2)</f>
        <v>1</v>
      </c>
      <c r="Y122">
        <f>SUMIFS(data!$C:$C,data!$A:$A,"="&amp;'Покупки по дням'!$B122,data!$B:$B,"="&amp;'Покупки по дням'!Y$2)</f>
        <v>4</v>
      </c>
      <c r="Z122">
        <f>SUMIFS(data!$C:$C,data!$A:$A,"="&amp;'Покупки по дням'!$B122,data!$B:$B,"="&amp;'Покупки по дням'!Z$2)</f>
        <v>0</v>
      </c>
      <c r="AA122">
        <f>SUMIFS(data!$C:$C,data!$A:$A,"="&amp;'Покупки по дням'!$B122,data!$B:$B,"="&amp;'Покупки по дням'!AA$2)</f>
        <v>0</v>
      </c>
      <c r="AB122">
        <f>SUMIFS(data!$C:$C,data!$A:$A,"="&amp;'Покупки по дням'!$B122,data!$B:$B,"="&amp;'Покупки по дням'!AB$2)</f>
        <v>0</v>
      </c>
      <c r="AC122">
        <f>SUMIFS(data!$C:$C,data!$A:$A,"="&amp;'Покупки по дням'!$B122,data!$B:$B,"="&amp;'Покупки по дням'!AC$2)</f>
        <v>0</v>
      </c>
      <c r="AD122">
        <f>SUMIFS(data!$C:$C,data!$A:$A,"="&amp;'Покупки по дням'!$B122,data!$B:$B,"="&amp;'Покупки по дням'!AD$2)</f>
        <v>0</v>
      </c>
      <c r="AE122">
        <f>SUMIFS(data!$C:$C,data!$A:$A,"="&amp;'Покупки по дням'!$B122,data!$B:$B,"="&amp;'Покупки по дням'!AE$2)</f>
        <v>0</v>
      </c>
      <c r="AF122">
        <f>SUMIFS(data!$C:$C,data!$A:$A,"="&amp;'Покупки по дням'!$B122,data!$B:$B,"="&amp;'Покупки по дням'!AF$2)</f>
        <v>0</v>
      </c>
      <c r="AG122">
        <f>SUMIFS(data!$C:$C,data!$A:$A,"="&amp;'Покупки по дням'!$B122,data!$B:$B,"="&amp;'Покупки по дням'!AG$2)</f>
        <v>0</v>
      </c>
      <c r="AH122">
        <f>SUMIFS(data!$C:$C,data!$A:$A,"="&amp;'Покупки по дням'!$B122,data!$B:$B,"="&amp;'Покупки по дням'!AH$2)</f>
        <v>0</v>
      </c>
      <c r="AI122">
        <f>SUMIFS(data!$C:$C,data!$A:$A,"="&amp;'Покупки по дням'!$B122,data!$B:$B,"="&amp;'Покупки по дням'!AI$2)</f>
        <v>0</v>
      </c>
      <c r="AJ122">
        <f>SUMIFS(data!$C:$C,data!$A:$A,"="&amp;'Покупки по дням'!$B122,data!$B:$B,"="&amp;'Покупки по дням'!AJ$2)</f>
        <v>0</v>
      </c>
      <c r="AK122">
        <f>SUMIFS(data!$C:$C,data!$A:$A,"="&amp;'Покупки по дням'!$B122,data!$B:$B,"="&amp;'Покупки по дням'!AK$2)</f>
        <v>2</v>
      </c>
      <c r="AL122">
        <f>SUMIFS(data!$C:$C,data!$A:$A,"="&amp;'Покупки по дням'!$B122,data!$B:$B,"="&amp;'Покупки по дням'!AL$2)</f>
        <v>0</v>
      </c>
      <c r="AM122">
        <f>SUMIFS(data!$C:$C,data!$A:$A,"="&amp;'Покупки по дням'!$B122,data!$B:$B,"="&amp;'Покупки по дням'!AM$2)</f>
        <v>0</v>
      </c>
      <c r="AN122">
        <f>SUMIFS(data!$C:$C,data!$A:$A,"="&amp;'Покупки по дням'!$B122,data!$B:$B,"="&amp;'Покупки по дням'!AN$2)</f>
        <v>0</v>
      </c>
      <c r="AO122">
        <f>SUMIFS(data!$C:$C,data!$A:$A,"="&amp;'Покупки по дням'!$B122,data!$B:$B,"="&amp;'Покупки по дням'!AO$2)</f>
        <v>0</v>
      </c>
      <c r="AP122">
        <f>SUMIFS(data!$C:$C,data!$A:$A,"="&amp;'Покупки по дням'!$B122,data!$B:$B,"="&amp;'Покупки по дням'!AP$2)</f>
        <v>2</v>
      </c>
      <c r="AQ122" s="6">
        <f t="shared" si="1"/>
        <v>1.5238278387177739</v>
      </c>
    </row>
    <row r="123" spans="2:43" ht="28.8" x14ac:dyDescent="0.3">
      <c r="B123" s="17" t="s">
        <v>61</v>
      </c>
      <c r="C123">
        <f>SUMIFS(data!$C:$C,data!$A:$A,"="&amp;'Покупки по дням'!$B123,data!$B:$B,"="&amp;'Покупки по дням'!C$2)</f>
        <v>0</v>
      </c>
      <c r="D123">
        <f>SUMIFS(data!$C:$C,data!$A:$A,"="&amp;'Покупки по дням'!$B123,data!$B:$B,"="&amp;'Покупки по дням'!D$2)</f>
        <v>1</v>
      </c>
      <c r="E123">
        <f>SUMIFS(data!$C:$C,data!$A:$A,"="&amp;'Покупки по дням'!$B123,data!$B:$B,"="&amp;'Покупки по дням'!E$2)</f>
        <v>1</v>
      </c>
      <c r="F123">
        <f>SUMIFS(data!$C:$C,data!$A:$A,"="&amp;'Покупки по дням'!$B123,data!$B:$B,"="&amp;'Покупки по дням'!F$2)</f>
        <v>1</v>
      </c>
      <c r="G123">
        <f>SUMIFS(data!$C:$C,data!$A:$A,"="&amp;'Покупки по дням'!$B123,data!$B:$B,"="&amp;'Покупки по дням'!G$2)</f>
        <v>1</v>
      </c>
      <c r="H123">
        <f>SUMIFS(data!$C:$C,data!$A:$A,"="&amp;'Покупки по дням'!$B123,data!$B:$B,"="&amp;'Покупки по дням'!H$2)</f>
        <v>2</v>
      </c>
      <c r="I123">
        <f>SUMIFS(data!$C:$C,data!$A:$A,"="&amp;'Покупки по дням'!$B123,data!$B:$B,"="&amp;'Покупки по дням'!I$2)</f>
        <v>1</v>
      </c>
      <c r="J123">
        <f>SUMIFS(data!$C:$C,data!$A:$A,"="&amp;'Покупки по дням'!$B123,data!$B:$B,"="&amp;'Покупки по дням'!J$2)</f>
        <v>4</v>
      </c>
      <c r="K123">
        <f>SUMIFS(data!$C:$C,data!$A:$A,"="&amp;'Покупки по дням'!$B123,data!$B:$B,"="&amp;'Покупки по дням'!K$2)</f>
        <v>0</v>
      </c>
      <c r="L123">
        <f>SUMIFS(data!$C:$C,data!$A:$A,"="&amp;'Покупки по дням'!$B123,data!$B:$B,"="&amp;'Покупки по дням'!L$2)</f>
        <v>1</v>
      </c>
      <c r="M123">
        <f>SUMIFS(data!$C:$C,data!$A:$A,"="&amp;'Покупки по дням'!$B123,data!$B:$B,"="&amp;'Покупки по дням'!M$2)</f>
        <v>2</v>
      </c>
      <c r="N123">
        <f>SUMIFS(data!$C:$C,data!$A:$A,"="&amp;'Покупки по дням'!$B123,data!$B:$B,"="&amp;'Покупки по дням'!N$2)</f>
        <v>0</v>
      </c>
      <c r="O123">
        <f>SUMIFS(data!$C:$C,data!$A:$A,"="&amp;'Покупки по дням'!$B123,data!$B:$B,"="&amp;'Покупки по дням'!O$2)</f>
        <v>1</v>
      </c>
      <c r="P123">
        <f>SUMIFS(data!$C:$C,data!$A:$A,"="&amp;'Покупки по дням'!$B123,data!$B:$B,"="&amp;'Покупки по дням'!P$2)</f>
        <v>0</v>
      </c>
      <c r="Q123">
        <f>SUMIFS(data!$C:$C,data!$A:$A,"="&amp;'Покупки по дням'!$B123,data!$B:$B,"="&amp;'Покупки по дням'!Q$2)</f>
        <v>2</v>
      </c>
      <c r="R123">
        <f>SUMIFS(data!$C:$C,data!$A:$A,"="&amp;'Покупки по дням'!$B123,data!$B:$B,"="&amp;'Покупки по дням'!R$2)</f>
        <v>3</v>
      </c>
      <c r="S123">
        <f>SUMIFS(data!$C:$C,data!$A:$A,"="&amp;'Покупки по дням'!$B123,data!$B:$B,"="&amp;'Покупки по дням'!S$2)</f>
        <v>3</v>
      </c>
      <c r="T123">
        <f>SUMIFS(data!$C:$C,data!$A:$A,"="&amp;'Покупки по дням'!$B123,data!$B:$B,"="&amp;'Покупки по дням'!T$2)</f>
        <v>2</v>
      </c>
      <c r="U123">
        <f>SUMIFS(data!$C:$C,data!$A:$A,"="&amp;'Покупки по дням'!$B123,data!$B:$B,"="&amp;'Покупки по дням'!U$2)</f>
        <v>1</v>
      </c>
      <c r="V123">
        <f>SUMIFS(data!$C:$C,data!$A:$A,"="&amp;'Покупки по дням'!$B123,data!$B:$B,"="&amp;'Покупки по дням'!V$2)</f>
        <v>0</v>
      </c>
      <c r="W123">
        <f>SUMIFS(data!$C:$C,data!$A:$A,"="&amp;'Покупки по дням'!$B123,data!$B:$B,"="&amp;'Покупки по дням'!W$2)</f>
        <v>0</v>
      </c>
      <c r="X123">
        <f>SUMIFS(data!$C:$C,data!$A:$A,"="&amp;'Покупки по дням'!$B123,data!$B:$B,"="&amp;'Покупки по дням'!X$2)</f>
        <v>0</v>
      </c>
      <c r="Y123">
        <f>SUMIFS(data!$C:$C,data!$A:$A,"="&amp;'Покупки по дням'!$B123,data!$B:$B,"="&amp;'Покупки по дням'!Y$2)</f>
        <v>0</v>
      </c>
      <c r="Z123">
        <f>SUMIFS(data!$C:$C,data!$A:$A,"="&amp;'Покупки по дням'!$B123,data!$B:$B,"="&amp;'Покупки по дням'!Z$2)</f>
        <v>0</v>
      </c>
      <c r="AA123">
        <f>SUMIFS(data!$C:$C,data!$A:$A,"="&amp;'Покупки по дням'!$B123,data!$B:$B,"="&amp;'Покупки по дням'!AA$2)</f>
        <v>1</v>
      </c>
      <c r="AB123">
        <f>SUMIFS(data!$C:$C,data!$A:$A,"="&amp;'Покупки по дням'!$B123,data!$B:$B,"="&amp;'Покупки по дням'!AB$2)</f>
        <v>1</v>
      </c>
      <c r="AC123">
        <f>SUMIFS(data!$C:$C,data!$A:$A,"="&amp;'Покупки по дням'!$B123,data!$B:$B,"="&amp;'Покупки по дням'!AC$2)</f>
        <v>3</v>
      </c>
      <c r="AD123">
        <f>SUMIFS(data!$C:$C,data!$A:$A,"="&amp;'Покупки по дням'!$B123,data!$B:$B,"="&amp;'Покупки по дням'!AD$2)</f>
        <v>1</v>
      </c>
      <c r="AE123">
        <f>SUMIFS(data!$C:$C,data!$A:$A,"="&amp;'Покупки по дням'!$B123,data!$B:$B,"="&amp;'Покупки по дням'!AE$2)</f>
        <v>2</v>
      </c>
      <c r="AF123">
        <f>SUMIFS(data!$C:$C,data!$A:$A,"="&amp;'Покупки по дням'!$B123,data!$B:$B,"="&amp;'Покупки по дням'!AF$2)</f>
        <v>5</v>
      </c>
      <c r="AG123">
        <f>SUMIFS(data!$C:$C,data!$A:$A,"="&amp;'Покупки по дням'!$B123,data!$B:$B,"="&amp;'Покупки по дням'!AG$2)</f>
        <v>1</v>
      </c>
      <c r="AH123">
        <f>SUMIFS(data!$C:$C,data!$A:$A,"="&amp;'Покупки по дням'!$B123,data!$B:$B,"="&amp;'Покупки по дням'!AH$2)</f>
        <v>1</v>
      </c>
      <c r="AI123">
        <f>SUMIFS(data!$C:$C,data!$A:$A,"="&amp;'Покупки по дням'!$B123,data!$B:$B,"="&amp;'Покупки по дням'!AI$2)</f>
        <v>3</v>
      </c>
      <c r="AJ123">
        <f>SUMIFS(data!$C:$C,data!$A:$A,"="&amp;'Покупки по дням'!$B123,data!$B:$B,"="&amp;'Покупки по дням'!AJ$2)</f>
        <v>0</v>
      </c>
      <c r="AK123">
        <f>SUMIFS(data!$C:$C,data!$A:$A,"="&amp;'Покупки по дням'!$B123,data!$B:$B,"="&amp;'Покупки по дням'!AK$2)</f>
        <v>1</v>
      </c>
      <c r="AL123">
        <f>SUMIFS(data!$C:$C,data!$A:$A,"="&amp;'Покупки по дням'!$B123,data!$B:$B,"="&amp;'Покупки по дням'!AL$2)</f>
        <v>1</v>
      </c>
      <c r="AM123">
        <f>SUMIFS(data!$C:$C,data!$A:$A,"="&amp;'Покупки по дням'!$B123,data!$B:$B,"="&amp;'Покупки по дням'!AM$2)</f>
        <v>1</v>
      </c>
      <c r="AN123">
        <f>SUMIFS(data!$C:$C,data!$A:$A,"="&amp;'Покупки по дням'!$B123,data!$B:$B,"="&amp;'Покупки по дням'!AN$2)</f>
        <v>2</v>
      </c>
      <c r="AO123">
        <f>SUMIFS(data!$C:$C,data!$A:$A,"="&amp;'Покупки по дням'!$B123,data!$B:$B,"="&amp;'Покупки по дням'!AO$2)</f>
        <v>1</v>
      </c>
      <c r="AP123">
        <f>SUMIFS(data!$C:$C,data!$A:$A,"="&amp;'Покупки по дням'!$B123,data!$B:$B,"="&amp;'Покупки по дням'!AP$2)</f>
        <v>2</v>
      </c>
      <c r="AQ123" s="6">
        <f t="shared" si="1"/>
        <v>0.90849762022783631</v>
      </c>
    </row>
    <row r="124" spans="2:43" ht="28.8" x14ac:dyDescent="0.3">
      <c r="B124" s="17" t="s">
        <v>16</v>
      </c>
      <c r="C124">
        <f>SUMIFS(data!$C:$C,data!$A:$A,"="&amp;'Покупки по дням'!$B124,data!$B:$B,"="&amp;'Покупки по дням'!C$2)</f>
        <v>1</v>
      </c>
      <c r="D124">
        <f>SUMIFS(data!$C:$C,data!$A:$A,"="&amp;'Покупки по дням'!$B124,data!$B:$B,"="&amp;'Покупки по дням'!D$2)</f>
        <v>0</v>
      </c>
      <c r="E124">
        <f>SUMIFS(data!$C:$C,data!$A:$A,"="&amp;'Покупки по дням'!$B124,data!$B:$B,"="&amp;'Покупки по дням'!E$2)</f>
        <v>5</v>
      </c>
      <c r="F124">
        <f>SUMIFS(data!$C:$C,data!$A:$A,"="&amp;'Покупки по дням'!$B124,data!$B:$B,"="&amp;'Покупки по дням'!F$2)</f>
        <v>0</v>
      </c>
      <c r="G124">
        <f>SUMIFS(data!$C:$C,data!$A:$A,"="&amp;'Покупки по дням'!$B124,data!$B:$B,"="&amp;'Покупки по дням'!G$2)</f>
        <v>2</v>
      </c>
      <c r="H124">
        <f>SUMIFS(data!$C:$C,data!$A:$A,"="&amp;'Покупки по дням'!$B124,data!$B:$B,"="&amp;'Покупки по дням'!H$2)</f>
        <v>1</v>
      </c>
      <c r="I124">
        <f>SUMIFS(data!$C:$C,data!$A:$A,"="&amp;'Покупки по дням'!$B124,data!$B:$B,"="&amp;'Покупки по дням'!I$2)</f>
        <v>1</v>
      </c>
      <c r="J124">
        <f>SUMIFS(data!$C:$C,data!$A:$A,"="&amp;'Покупки по дням'!$B124,data!$B:$B,"="&amp;'Покупки по дням'!J$2)</f>
        <v>0</v>
      </c>
      <c r="K124">
        <f>SUMIFS(data!$C:$C,data!$A:$A,"="&amp;'Покупки по дням'!$B124,data!$B:$B,"="&amp;'Покупки по дням'!K$2)</f>
        <v>0</v>
      </c>
      <c r="L124">
        <f>SUMIFS(data!$C:$C,data!$A:$A,"="&amp;'Покупки по дням'!$B124,data!$B:$B,"="&amp;'Покупки по дням'!L$2)</f>
        <v>0</v>
      </c>
      <c r="M124">
        <f>SUMIFS(data!$C:$C,data!$A:$A,"="&amp;'Покупки по дням'!$B124,data!$B:$B,"="&amp;'Покупки по дням'!M$2)</f>
        <v>2</v>
      </c>
      <c r="N124">
        <f>SUMIFS(data!$C:$C,data!$A:$A,"="&amp;'Покупки по дням'!$B124,data!$B:$B,"="&amp;'Покупки по дням'!N$2)</f>
        <v>0</v>
      </c>
      <c r="O124">
        <f>SUMIFS(data!$C:$C,data!$A:$A,"="&amp;'Покупки по дням'!$B124,data!$B:$B,"="&amp;'Покупки по дням'!O$2)</f>
        <v>2</v>
      </c>
      <c r="P124">
        <f>SUMIFS(data!$C:$C,data!$A:$A,"="&amp;'Покупки по дням'!$B124,data!$B:$B,"="&amp;'Покупки по дням'!P$2)</f>
        <v>0</v>
      </c>
      <c r="Q124">
        <f>SUMIFS(data!$C:$C,data!$A:$A,"="&amp;'Покупки по дням'!$B124,data!$B:$B,"="&amp;'Покупки по дням'!Q$2)</f>
        <v>1</v>
      </c>
      <c r="R124">
        <f>SUMIFS(data!$C:$C,data!$A:$A,"="&amp;'Покупки по дням'!$B124,data!$B:$B,"="&amp;'Покупки по дням'!R$2)</f>
        <v>0</v>
      </c>
      <c r="S124">
        <f>SUMIFS(data!$C:$C,data!$A:$A,"="&amp;'Покупки по дням'!$B124,data!$B:$B,"="&amp;'Покупки по дням'!S$2)</f>
        <v>2</v>
      </c>
      <c r="T124">
        <f>SUMIFS(data!$C:$C,data!$A:$A,"="&amp;'Покупки по дням'!$B124,data!$B:$B,"="&amp;'Покупки по дням'!T$2)</f>
        <v>1</v>
      </c>
      <c r="U124">
        <f>SUMIFS(data!$C:$C,data!$A:$A,"="&amp;'Покупки по дням'!$B124,data!$B:$B,"="&amp;'Покупки по дням'!U$2)</f>
        <v>1</v>
      </c>
      <c r="V124">
        <f>SUMIFS(data!$C:$C,data!$A:$A,"="&amp;'Покупки по дням'!$B124,data!$B:$B,"="&amp;'Покупки по дням'!V$2)</f>
        <v>1</v>
      </c>
      <c r="W124">
        <f>SUMIFS(data!$C:$C,data!$A:$A,"="&amp;'Покупки по дням'!$B124,data!$B:$B,"="&amp;'Покупки по дням'!W$2)</f>
        <v>1</v>
      </c>
      <c r="X124">
        <f>SUMIFS(data!$C:$C,data!$A:$A,"="&amp;'Покупки по дням'!$B124,data!$B:$B,"="&amp;'Покупки по дням'!X$2)</f>
        <v>1</v>
      </c>
      <c r="Y124">
        <f>SUMIFS(data!$C:$C,data!$A:$A,"="&amp;'Покупки по дням'!$B124,data!$B:$B,"="&amp;'Покупки по дням'!Y$2)</f>
        <v>0</v>
      </c>
      <c r="Z124">
        <f>SUMIFS(data!$C:$C,data!$A:$A,"="&amp;'Покупки по дням'!$B124,data!$B:$B,"="&amp;'Покупки по дням'!Z$2)</f>
        <v>1</v>
      </c>
      <c r="AA124">
        <f>SUMIFS(data!$C:$C,data!$A:$A,"="&amp;'Покупки по дням'!$B124,data!$B:$B,"="&amp;'Покупки по дням'!AA$2)</f>
        <v>0</v>
      </c>
      <c r="AB124">
        <f>SUMIFS(data!$C:$C,data!$A:$A,"="&amp;'Покупки по дням'!$B124,data!$B:$B,"="&amp;'Покупки по дням'!AB$2)</f>
        <v>2</v>
      </c>
      <c r="AC124">
        <f>SUMIFS(data!$C:$C,data!$A:$A,"="&amp;'Покупки по дням'!$B124,data!$B:$B,"="&amp;'Покупки по дням'!AC$2)</f>
        <v>3</v>
      </c>
      <c r="AD124">
        <f>SUMIFS(data!$C:$C,data!$A:$A,"="&amp;'Покупки по дням'!$B124,data!$B:$B,"="&amp;'Покупки по дням'!AD$2)</f>
        <v>2</v>
      </c>
      <c r="AE124">
        <f>SUMIFS(data!$C:$C,data!$A:$A,"="&amp;'Покупки по дням'!$B124,data!$B:$B,"="&amp;'Покупки по дням'!AE$2)</f>
        <v>1</v>
      </c>
      <c r="AF124">
        <f>SUMIFS(data!$C:$C,data!$A:$A,"="&amp;'Покупки по дням'!$B124,data!$B:$B,"="&amp;'Покупки по дням'!AF$2)</f>
        <v>2</v>
      </c>
      <c r="AG124">
        <f>SUMIFS(data!$C:$C,data!$A:$A,"="&amp;'Покупки по дням'!$B124,data!$B:$B,"="&amp;'Покупки по дням'!AG$2)</f>
        <v>0</v>
      </c>
      <c r="AH124">
        <f>SUMIFS(data!$C:$C,data!$A:$A,"="&amp;'Покупки по дням'!$B124,data!$B:$B,"="&amp;'Покупки по дням'!AH$2)</f>
        <v>6</v>
      </c>
      <c r="AI124">
        <f>SUMIFS(data!$C:$C,data!$A:$A,"="&amp;'Покупки по дням'!$B124,data!$B:$B,"="&amp;'Покупки по дням'!AI$2)</f>
        <v>0</v>
      </c>
      <c r="AJ124">
        <f>SUMIFS(data!$C:$C,data!$A:$A,"="&amp;'Покупки по дням'!$B124,data!$B:$B,"="&amp;'Покупки по дням'!AJ$2)</f>
        <v>2</v>
      </c>
      <c r="AK124">
        <f>SUMIFS(data!$C:$C,data!$A:$A,"="&amp;'Покупки по дням'!$B124,data!$B:$B,"="&amp;'Покупки по дням'!AK$2)</f>
        <v>0</v>
      </c>
      <c r="AL124">
        <f>SUMIFS(data!$C:$C,data!$A:$A,"="&amp;'Покупки по дням'!$B124,data!$B:$B,"="&amp;'Покупки по дням'!AL$2)</f>
        <v>0</v>
      </c>
      <c r="AM124">
        <f>SUMIFS(data!$C:$C,data!$A:$A,"="&amp;'Покупки по дням'!$B124,data!$B:$B,"="&amp;'Покупки по дням'!AM$2)</f>
        <v>0</v>
      </c>
      <c r="AN124">
        <f>SUMIFS(data!$C:$C,data!$A:$A,"="&amp;'Покупки по дням'!$B124,data!$B:$B,"="&amp;'Покупки по дням'!AN$2)</f>
        <v>2</v>
      </c>
      <c r="AO124">
        <f>SUMIFS(data!$C:$C,data!$A:$A,"="&amp;'Покупки по дням'!$B124,data!$B:$B,"="&amp;'Покупки по дням'!AO$2)</f>
        <v>2</v>
      </c>
      <c r="AP124">
        <f>SUMIFS(data!$C:$C,data!$A:$A,"="&amp;'Покупки по дням'!$B124,data!$B:$B,"="&amp;'Покупки по дням'!AP$2)</f>
        <v>3</v>
      </c>
      <c r="AQ124" s="6">
        <f t="shared" si="1"/>
        <v>1.135417891867919</v>
      </c>
    </row>
    <row r="125" spans="2:43" x14ac:dyDescent="0.3">
      <c r="B125" s="17" t="s">
        <v>143</v>
      </c>
      <c r="C125">
        <f>SUMIFS(data!$C:$C,data!$A:$A,"="&amp;'Покупки по дням'!$B125,data!$B:$B,"="&amp;'Покупки по дням'!C$2)</f>
        <v>2</v>
      </c>
      <c r="D125">
        <f>SUMIFS(data!$C:$C,data!$A:$A,"="&amp;'Покупки по дням'!$B125,data!$B:$B,"="&amp;'Покупки по дням'!D$2)</f>
        <v>4</v>
      </c>
      <c r="E125">
        <f>SUMIFS(data!$C:$C,data!$A:$A,"="&amp;'Покупки по дням'!$B125,data!$B:$B,"="&amp;'Покупки по дням'!E$2)</f>
        <v>1</v>
      </c>
      <c r="F125">
        <f>SUMIFS(data!$C:$C,data!$A:$A,"="&amp;'Покупки по дням'!$B125,data!$B:$B,"="&amp;'Покупки по дням'!F$2)</f>
        <v>3</v>
      </c>
      <c r="G125">
        <f>SUMIFS(data!$C:$C,data!$A:$A,"="&amp;'Покупки по дням'!$B125,data!$B:$B,"="&amp;'Покупки по дням'!G$2)</f>
        <v>0</v>
      </c>
      <c r="H125">
        <f>SUMIFS(data!$C:$C,data!$A:$A,"="&amp;'Покупки по дням'!$B125,data!$B:$B,"="&amp;'Покупки по дням'!H$2)</f>
        <v>2</v>
      </c>
      <c r="I125">
        <f>SUMIFS(data!$C:$C,data!$A:$A,"="&amp;'Покупки по дням'!$B125,data!$B:$B,"="&amp;'Покупки по дням'!I$2)</f>
        <v>2</v>
      </c>
      <c r="J125">
        <f>SUMIFS(data!$C:$C,data!$A:$A,"="&amp;'Покупки по дням'!$B125,data!$B:$B,"="&amp;'Покупки по дням'!J$2)</f>
        <v>0</v>
      </c>
      <c r="K125">
        <f>SUMIFS(data!$C:$C,data!$A:$A,"="&amp;'Покупки по дням'!$B125,data!$B:$B,"="&amp;'Покупки по дням'!K$2)</f>
        <v>0</v>
      </c>
      <c r="L125">
        <f>SUMIFS(data!$C:$C,data!$A:$A,"="&amp;'Покупки по дням'!$B125,data!$B:$B,"="&amp;'Покупки по дням'!L$2)</f>
        <v>3</v>
      </c>
      <c r="M125">
        <f>SUMIFS(data!$C:$C,data!$A:$A,"="&amp;'Покупки по дням'!$B125,data!$B:$B,"="&amp;'Покупки по дням'!M$2)</f>
        <v>1</v>
      </c>
      <c r="N125">
        <f>SUMIFS(data!$C:$C,data!$A:$A,"="&amp;'Покупки по дням'!$B125,data!$B:$B,"="&amp;'Покупки по дням'!N$2)</f>
        <v>1</v>
      </c>
      <c r="O125">
        <f>SUMIFS(data!$C:$C,data!$A:$A,"="&amp;'Покупки по дням'!$B125,data!$B:$B,"="&amp;'Покупки по дням'!O$2)</f>
        <v>0</v>
      </c>
      <c r="P125">
        <f>SUMIFS(data!$C:$C,data!$A:$A,"="&amp;'Покупки по дням'!$B125,data!$B:$B,"="&amp;'Покупки по дням'!P$2)</f>
        <v>1</v>
      </c>
      <c r="Q125">
        <f>SUMIFS(data!$C:$C,data!$A:$A,"="&amp;'Покупки по дням'!$B125,data!$B:$B,"="&amp;'Покупки по дням'!Q$2)</f>
        <v>2</v>
      </c>
      <c r="R125">
        <f>SUMIFS(data!$C:$C,data!$A:$A,"="&amp;'Покупки по дням'!$B125,data!$B:$B,"="&amp;'Покупки по дням'!R$2)</f>
        <v>2</v>
      </c>
      <c r="S125">
        <f>SUMIFS(data!$C:$C,data!$A:$A,"="&amp;'Покупки по дням'!$B125,data!$B:$B,"="&amp;'Покупки по дням'!S$2)</f>
        <v>1</v>
      </c>
      <c r="T125">
        <f>SUMIFS(data!$C:$C,data!$A:$A,"="&amp;'Покупки по дням'!$B125,data!$B:$B,"="&amp;'Покупки по дням'!T$2)</f>
        <v>1</v>
      </c>
      <c r="U125">
        <f>SUMIFS(data!$C:$C,data!$A:$A,"="&amp;'Покупки по дням'!$B125,data!$B:$B,"="&amp;'Покупки по дням'!U$2)</f>
        <v>1</v>
      </c>
      <c r="V125">
        <f>SUMIFS(data!$C:$C,data!$A:$A,"="&amp;'Покупки по дням'!$B125,data!$B:$B,"="&amp;'Покупки по дням'!V$2)</f>
        <v>1</v>
      </c>
      <c r="W125">
        <f>SUMIFS(data!$C:$C,data!$A:$A,"="&amp;'Покупки по дням'!$B125,data!$B:$B,"="&amp;'Покупки по дням'!W$2)</f>
        <v>1</v>
      </c>
      <c r="X125">
        <f>SUMIFS(data!$C:$C,data!$A:$A,"="&amp;'Покупки по дням'!$B125,data!$B:$B,"="&amp;'Покупки по дням'!X$2)</f>
        <v>2</v>
      </c>
      <c r="Y125">
        <f>SUMIFS(data!$C:$C,data!$A:$A,"="&amp;'Покупки по дням'!$B125,data!$B:$B,"="&amp;'Покупки по дням'!Y$2)</f>
        <v>3</v>
      </c>
      <c r="Z125">
        <f>SUMIFS(data!$C:$C,data!$A:$A,"="&amp;'Покупки по дням'!$B125,data!$B:$B,"="&amp;'Покупки по дням'!Z$2)</f>
        <v>0</v>
      </c>
      <c r="AA125">
        <f>SUMIFS(data!$C:$C,data!$A:$A,"="&amp;'Покупки по дням'!$B125,data!$B:$B,"="&amp;'Покупки по дням'!AA$2)</f>
        <v>1</v>
      </c>
      <c r="AB125">
        <f>SUMIFS(data!$C:$C,data!$A:$A,"="&amp;'Покупки по дням'!$B125,data!$B:$B,"="&amp;'Покупки по дням'!AB$2)</f>
        <v>2</v>
      </c>
      <c r="AC125">
        <f>SUMIFS(data!$C:$C,data!$A:$A,"="&amp;'Покупки по дням'!$B125,data!$B:$B,"="&amp;'Покупки по дням'!AC$2)</f>
        <v>2</v>
      </c>
      <c r="AD125">
        <f>SUMIFS(data!$C:$C,data!$A:$A,"="&amp;'Покупки по дням'!$B125,data!$B:$B,"="&amp;'Покупки по дням'!AD$2)</f>
        <v>1</v>
      </c>
      <c r="AE125">
        <f>SUMIFS(data!$C:$C,data!$A:$A,"="&amp;'Покупки по дням'!$B125,data!$B:$B,"="&amp;'Покупки по дням'!AE$2)</f>
        <v>1</v>
      </c>
      <c r="AF125">
        <f>SUMIFS(data!$C:$C,data!$A:$A,"="&amp;'Покупки по дням'!$B125,data!$B:$B,"="&amp;'Покупки по дням'!AF$2)</f>
        <v>4</v>
      </c>
      <c r="AG125">
        <f>SUMIFS(data!$C:$C,data!$A:$A,"="&amp;'Покупки по дням'!$B125,data!$B:$B,"="&amp;'Покупки по дням'!AG$2)</f>
        <v>1</v>
      </c>
      <c r="AH125">
        <f>SUMIFS(data!$C:$C,data!$A:$A,"="&amp;'Покупки по дням'!$B125,data!$B:$B,"="&amp;'Покупки по дням'!AH$2)</f>
        <v>0</v>
      </c>
      <c r="AI125">
        <f>SUMIFS(data!$C:$C,data!$A:$A,"="&amp;'Покупки по дням'!$B125,data!$B:$B,"="&amp;'Покупки по дням'!AI$2)</f>
        <v>1</v>
      </c>
      <c r="AJ125">
        <f>SUMIFS(data!$C:$C,data!$A:$A,"="&amp;'Покупки по дням'!$B125,data!$B:$B,"="&amp;'Покупки по дням'!AJ$2)</f>
        <v>0</v>
      </c>
      <c r="AK125">
        <f>SUMIFS(data!$C:$C,data!$A:$A,"="&amp;'Покупки по дням'!$B125,data!$B:$B,"="&amp;'Покупки по дням'!AK$2)</f>
        <v>0</v>
      </c>
      <c r="AL125">
        <f>SUMIFS(data!$C:$C,data!$A:$A,"="&amp;'Покупки по дням'!$B125,data!$B:$B,"="&amp;'Покупки по дням'!AL$2)</f>
        <v>0</v>
      </c>
      <c r="AM125">
        <f>SUMIFS(data!$C:$C,data!$A:$A,"="&amp;'Покупки по дням'!$B125,data!$B:$B,"="&amp;'Покупки по дням'!AM$2)</f>
        <v>0</v>
      </c>
      <c r="AN125">
        <f>SUMIFS(data!$C:$C,data!$A:$A,"="&amp;'Покупки по дням'!$B125,data!$B:$B,"="&amp;'Покупки по дням'!AN$2)</f>
        <v>0</v>
      </c>
      <c r="AO125">
        <f>SUMIFS(data!$C:$C,data!$A:$A,"="&amp;'Покупки по дням'!$B125,data!$B:$B,"="&amp;'Покупки по дням'!AO$2)</f>
        <v>2</v>
      </c>
      <c r="AP125">
        <f>SUMIFS(data!$C:$C,data!$A:$A,"="&amp;'Покупки по дням'!$B125,data!$B:$B,"="&amp;'Покупки по дням'!AP$2)</f>
        <v>0</v>
      </c>
      <c r="AQ125" s="6">
        <f t="shared" si="1"/>
        <v>0.91478456899768945</v>
      </c>
    </row>
    <row r="126" spans="2:43" ht="28.8" x14ac:dyDescent="0.3">
      <c r="B126" s="17" t="s">
        <v>144</v>
      </c>
      <c r="C126">
        <f>SUMIFS(data!$C:$C,data!$A:$A,"="&amp;'Покупки по дням'!$B126,data!$B:$B,"="&amp;'Покупки по дням'!C$2)</f>
        <v>0</v>
      </c>
      <c r="D126">
        <f>SUMIFS(data!$C:$C,data!$A:$A,"="&amp;'Покупки по дням'!$B126,data!$B:$B,"="&amp;'Покупки по дням'!D$2)</f>
        <v>1</v>
      </c>
      <c r="E126">
        <f>SUMIFS(data!$C:$C,data!$A:$A,"="&amp;'Покупки по дням'!$B126,data!$B:$B,"="&amp;'Покупки по дням'!E$2)</f>
        <v>2</v>
      </c>
      <c r="F126">
        <f>SUMIFS(data!$C:$C,data!$A:$A,"="&amp;'Покупки по дням'!$B126,data!$B:$B,"="&amp;'Покупки по дням'!F$2)</f>
        <v>2</v>
      </c>
      <c r="G126">
        <f>SUMIFS(data!$C:$C,data!$A:$A,"="&amp;'Покупки по дням'!$B126,data!$B:$B,"="&amp;'Покупки по дням'!G$2)</f>
        <v>1</v>
      </c>
      <c r="H126">
        <f>SUMIFS(data!$C:$C,data!$A:$A,"="&amp;'Покупки по дням'!$B126,data!$B:$B,"="&amp;'Покупки по дням'!H$2)</f>
        <v>0</v>
      </c>
      <c r="I126">
        <f>SUMIFS(data!$C:$C,data!$A:$A,"="&amp;'Покупки по дням'!$B126,data!$B:$B,"="&amp;'Покупки по дням'!I$2)</f>
        <v>0</v>
      </c>
      <c r="J126">
        <f>SUMIFS(data!$C:$C,data!$A:$A,"="&amp;'Покупки по дням'!$B126,data!$B:$B,"="&amp;'Покупки по дням'!J$2)</f>
        <v>1</v>
      </c>
      <c r="K126">
        <f>SUMIFS(data!$C:$C,data!$A:$A,"="&amp;'Покупки по дням'!$B126,data!$B:$B,"="&amp;'Покупки по дням'!K$2)</f>
        <v>0</v>
      </c>
      <c r="L126">
        <f>SUMIFS(data!$C:$C,data!$A:$A,"="&amp;'Покупки по дням'!$B126,data!$B:$B,"="&amp;'Покупки по дням'!L$2)</f>
        <v>0</v>
      </c>
      <c r="M126">
        <f>SUMIFS(data!$C:$C,data!$A:$A,"="&amp;'Покупки по дням'!$B126,data!$B:$B,"="&amp;'Покупки по дням'!M$2)</f>
        <v>1</v>
      </c>
      <c r="N126">
        <f>SUMIFS(data!$C:$C,data!$A:$A,"="&amp;'Покупки по дням'!$B126,data!$B:$B,"="&amp;'Покупки по дням'!N$2)</f>
        <v>1</v>
      </c>
      <c r="O126">
        <f>SUMIFS(data!$C:$C,data!$A:$A,"="&amp;'Покупки по дням'!$B126,data!$B:$B,"="&amp;'Покупки по дням'!O$2)</f>
        <v>0</v>
      </c>
      <c r="P126">
        <f>SUMIFS(data!$C:$C,data!$A:$A,"="&amp;'Покупки по дням'!$B126,data!$B:$B,"="&amp;'Покупки по дням'!P$2)</f>
        <v>4</v>
      </c>
      <c r="Q126">
        <f>SUMIFS(data!$C:$C,data!$A:$A,"="&amp;'Покупки по дням'!$B126,data!$B:$B,"="&amp;'Покупки по дням'!Q$2)</f>
        <v>2</v>
      </c>
      <c r="R126">
        <f>SUMIFS(data!$C:$C,data!$A:$A,"="&amp;'Покупки по дням'!$B126,data!$B:$B,"="&amp;'Покупки по дням'!R$2)</f>
        <v>3</v>
      </c>
      <c r="S126">
        <f>SUMIFS(data!$C:$C,data!$A:$A,"="&amp;'Покупки по дням'!$B126,data!$B:$B,"="&amp;'Покупки по дням'!S$2)</f>
        <v>1</v>
      </c>
      <c r="T126">
        <f>SUMIFS(data!$C:$C,data!$A:$A,"="&amp;'Покупки по дням'!$B126,data!$B:$B,"="&amp;'Покупки по дням'!T$2)</f>
        <v>1</v>
      </c>
      <c r="U126">
        <f>SUMIFS(data!$C:$C,data!$A:$A,"="&amp;'Покупки по дням'!$B126,data!$B:$B,"="&amp;'Покупки по дням'!U$2)</f>
        <v>3</v>
      </c>
      <c r="V126">
        <f>SUMIFS(data!$C:$C,data!$A:$A,"="&amp;'Покупки по дням'!$B126,data!$B:$B,"="&amp;'Покупки по дням'!V$2)</f>
        <v>0</v>
      </c>
      <c r="W126">
        <f>SUMIFS(data!$C:$C,data!$A:$A,"="&amp;'Покупки по дням'!$B126,data!$B:$B,"="&amp;'Покупки по дням'!W$2)</f>
        <v>2</v>
      </c>
      <c r="X126">
        <f>SUMIFS(data!$C:$C,data!$A:$A,"="&amp;'Покупки по дням'!$B126,data!$B:$B,"="&amp;'Покупки по дням'!X$2)</f>
        <v>1</v>
      </c>
      <c r="Y126">
        <f>SUMIFS(data!$C:$C,data!$A:$A,"="&amp;'Покупки по дням'!$B126,data!$B:$B,"="&amp;'Покупки по дням'!Y$2)</f>
        <v>0</v>
      </c>
      <c r="Z126">
        <f>SUMIFS(data!$C:$C,data!$A:$A,"="&amp;'Покупки по дням'!$B126,data!$B:$B,"="&amp;'Покупки по дням'!Z$2)</f>
        <v>1</v>
      </c>
      <c r="AA126">
        <f>SUMIFS(data!$C:$C,data!$A:$A,"="&amp;'Покупки по дням'!$B126,data!$B:$B,"="&amp;'Покупки по дням'!AA$2)</f>
        <v>0</v>
      </c>
      <c r="AB126">
        <f>SUMIFS(data!$C:$C,data!$A:$A,"="&amp;'Покупки по дням'!$B126,data!$B:$B,"="&amp;'Покупки по дням'!AB$2)</f>
        <v>5</v>
      </c>
      <c r="AC126">
        <f>SUMIFS(data!$C:$C,data!$A:$A,"="&amp;'Покупки по дням'!$B126,data!$B:$B,"="&amp;'Покупки по дням'!AC$2)</f>
        <v>1</v>
      </c>
      <c r="AD126">
        <f>SUMIFS(data!$C:$C,data!$A:$A,"="&amp;'Покупки по дням'!$B126,data!$B:$B,"="&amp;'Покупки по дням'!AD$2)</f>
        <v>6</v>
      </c>
      <c r="AE126">
        <f>SUMIFS(data!$C:$C,data!$A:$A,"="&amp;'Покупки по дням'!$B126,data!$B:$B,"="&amp;'Покупки по дням'!AE$2)</f>
        <v>1</v>
      </c>
      <c r="AF126">
        <f>SUMIFS(data!$C:$C,data!$A:$A,"="&amp;'Покупки по дням'!$B126,data!$B:$B,"="&amp;'Покупки по дням'!AF$2)</f>
        <v>0</v>
      </c>
      <c r="AG126">
        <f>SUMIFS(data!$C:$C,data!$A:$A,"="&amp;'Покупки по дням'!$B126,data!$B:$B,"="&amp;'Покупки по дням'!AG$2)</f>
        <v>2</v>
      </c>
      <c r="AH126">
        <f>SUMIFS(data!$C:$C,data!$A:$A,"="&amp;'Покупки по дням'!$B126,data!$B:$B,"="&amp;'Покупки по дням'!AH$2)</f>
        <v>3</v>
      </c>
      <c r="AI126">
        <f>SUMIFS(data!$C:$C,data!$A:$A,"="&amp;'Покупки по дням'!$B126,data!$B:$B,"="&amp;'Покупки по дням'!AI$2)</f>
        <v>1</v>
      </c>
      <c r="AJ126">
        <f>SUMIFS(data!$C:$C,data!$A:$A,"="&amp;'Покупки по дням'!$B126,data!$B:$B,"="&amp;'Покупки по дням'!AJ$2)</f>
        <v>2</v>
      </c>
      <c r="AK126">
        <f>SUMIFS(data!$C:$C,data!$A:$A,"="&amp;'Покупки по дням'!$B126,data!$B:$B,"="&amp;'Покупки по дням'!AK$2)</f>
        <v>0</v>
      </c>
      <c r="AL126">
        <f>SUMIFS(data!$C:$C,data!$A:$A,"="&amp;'Покупки по дням'!$B126,data!$B:$B,"="&amp;'Покупки по дням'!AL$2)</f>
        <v>0</v>
      </c>
      <c r="AM126">
        <f>SUMIFS(data!$C:$C,data!$A:$A,"="&amp;'Покупки по дням'!$B126,data!$B:$B,"="&amp;'Покупки по дням'!AM$2)</f>
        <v>0</v>
      </c>
      <c r="AN126">
        <f>SUMIFS(data!$C:$C,data!$A:$A,"="&amp;'Покупки по дням'!$B126,data!$B:$B,"="&amp;'Покупки по дням'!AN$2)</f>
        <v>0</v>
      </c>
      <c r="AO126">
        <f>SUMIFS(data!$C:$C,data!$A:$A,"="&amp;'Покупки по дням'!$B126,data!$B:$B,"="&amp;'Покупки по дням'!AO$2)</f>
        <v>2</v>
      </c>
      <c r="AP126">
        <f>SUMIFS(data!$C:$C,data!$A:$A,"="&amp;'Покупки по дням'!$B126,data!$B:$B,"="&amp;'Покупки по дням'!AP$2)</f>
        <v>0</v>
      </c>
      <c r="AQ126" s="6">
        <f t="shared" si="1"/>
        <v>1.1564756363347641</v>
      </c>
    </row>
    <row r="127" spans="2:43" ht="28.8" x14ac:dyDescent="0.3">
      <c r="B127" s="17" t="s">
        <v>60</v>
      </c>
      <c r="C127">
        <f>SUMIFS(data!$C:$C,data!$A:$A,"="&amp;'Покупки по дням'!$B127,data!$B:$B,"="&amp;'Покупки по дням'!C$2)</f>
        <v>0</v>
      </c>
      <c r="D127">
        <f>SUMIFS(data!$C:$C,data!$A:$A,"="&amp;'Покупки по дням'!$B127,data!$B:$B,"="&amp;'Покупки по дням'!D$2)</f>
        <v>0</v>
      </c>
      <c r="E127">
        <f>SUMIFS(data!$C:$C,data!$A:$A,"="&amp;'Покупки по дням'!$B127,data!$B:$B,"="&amp;'Покупки по дням'!E$2)</f>
        <v>0</v>
      </c>
      <c r="F127">
        <f>SUMIFS(data!$C:$C,data!$A:$A,"="&amp;'Покупки по дням'!$B127,data!$B:$B,"="&amp;'Покупки по дням'!F$2)</f>
        <v>1</v>
      </c>
      <c r="G127">
        <f>SUMIFS(data!$C:$C,data!$A:$A,"="&amp;'Покупки по дням'!$B127,data!$B:$B,"="&amp;'Покупки по дням'!G$2)</f>
        <v>2</v>
      </c>
      <c r="H127">
        <f>SUMIFS(data!$C:$C,data!$A:$A,"="&amp;'Покупки по дням'!$B127,data!$B:$B,"="&amp;'Покупки по дням'!H$2)</f>
        <v>1</v>
      </c>
      <c r="I127">
        <f>SUMIFS(data!$C:$C,data!$A:$A,"="&amp;'Покупки по дням'!$B127,data!$B:$B,"="&amp;'Покупки по дням'!I$2)</f>
        <v>3</v>
      </c>
      <c r="J127">
        <f>SUMIFS(data!$C:$C,data!$A:$A,"="&amp;'Покупки по дням'!$B127,data!$B:$B,"="&amp;'Покупки по дням'!J$2)</f>
        <v>1</v>
      </c>
      <c r="K127">
        <f>SUMIFS(data!$C:$C,data!$A:$A,"="&amp;'Покупки по дням'!$B127,data!$B:$B,"="&amp;'Покупки по дням'!K$2)</f>
        <v>0</v>
      </c>
      <c r="L127">
        <f>SUMIFS(data!$C:$C,data!$A:$A,"="&amp;'Покупки по дням'!$B127,data!$B:$B,"="&amp;'Покупки по дням'!L$2)</f>
        <v>3</v>
      </c>
      <c r="M127">
        <f>SUMIFS(data!$C:$C,data!$A:$A,"="&amp;'Покупки по дням'!$B127,data!$B:$B,"="&amp;'Покупки по дням'!M$2)</f>
        <v>0</v>
      </c>
      <c r="N127">
        <f>SUMIFS(data!$C:$C,data!$A:$A,"="&amp;'Покупки по дням'!$B127,data!$B:$B,"="&amp;'Покупки по дням'!N$2)</f>
        <v>1</v>
      </c>
      <c r="O127">
        <f>SUMIFS(data!$C:$C,data!$A:$A,"="&amp;'Покупки по дням'!$B127,data!$B:$B,"="&amp;'Покупки по дням'!O$2)</f>
        <v>0</v>
      </c>
      <c r="P127">
        <f>SUMIFS(data!$C:$C,data!$A:$A,"="&amp;'Покупки по дням'!$B127,data!$B:$B,"="&amp;'Покупки по дням'!P$2)</f>
        <v>0</v>
      </c>
      <c r="Q127">
        <f>SUMIFS(data!$C:$C,data!$A:$A,"="&amp;'Покупки по дням'!$B127,data!$B:$B,"="&amp;'Покупки по дням'!Q$2)</f>
        <v>1</v>
      </c>
      <c r="R127">
        <f>SUMIFS(data!$C:$C,data!$A:$A,"="&amp;'Покупки по дням'!$B127,data!$B:$B,"="&amp;'Покупки по дням'!R$2)</f>
        <v>2</v>
      </c>
      <c r="S127">
        <f>SUMIFS(data!$C:$C,data!$A:$A,"="&amp;'Покупки по дням'!$B127,data!$B:$B,"="&amp;'Покупки по дням'!S$2)</f>
        <v>0</v>
      </c>
      <c r="T127">
        <f>SUMIFS(data!$C:$C,data!$A:$A,"="&amp;'Покупки по дням'!$B127,data!$B:$B,"="&amp;'Покупки по дням'!T$2)</f>
        <v>1</v>
      </c>
      <c r="U127">
        <f>SUMIFS(data!$C:$C,data!$A:$A,"="&amp;'Покупки по дням'!$B127,data!$B:$B,"="&amp;'Покупки по дням'!U$2)</f>
        <v>3</v>
      </c>
      <c r="V127">
        <f>SUMIFS(data!$C:$C,data!$A:$A,"="&amp;'Покупки по дням'!$B127,data!$B:$B,"="&amp;'Покупки по дням'!V$2)</f>
        <v>2</v>
      </c>
      <c r="W127">
        <f>SUMIFS(data!$C:$C,data!$A:$A,"="&amp;'Покупки по дням'!$B127,data!$B:$B,"="&amp;'Покупки по дням'!W$2)</f>
        <v>0</v>
      </c>
      <c r="X127">
        <f>SUMIFS(data!$C:$C,data!$A:$A,"="&amp;'Покупки по дням'!$B127,data!$B:$B,"="&amp;'Покупки по дням'!X$2)</f>
        <v>2</v>
      </c>
      <c r="Y127">
        <f>SUMIFS(data!$C:$C,data!$A:$A,"="&amp;'Покупки по дням'!$B127,data!$B:$B,"="&amp;'Покупки по дням'!Y$2)</f>
        <v>3</v>
      </c>
      <c r="Z127">
        <f>SUMIFS(data!$C:$C,data!$A:$A,"="&amp;'Покупки по дням'!$B127,data!$B:$B,"="&amp;'Покупки по дням'!Z$2)</f>
        <v>0</v>
      </c>
      <c r="AA127">
        <f>SUMIFS(data!$C:$C,data!$A:$A,"="&amp;'Покупки по дням'!$B127,data!$B:$B,"="&amp;'Покупки по дням'!AA$2)</f>
        <v>0</v>
      </c>
      <c r="AB127">
        <f>SUMIFS(data!$C:$C,data!$A:$A,"="&amp;'Покупки по дням'!$B127,data!$B:$B,"="&amp;'Покупки по дням'!AB$2)</f>
        <v>3</v>
      </c>
      <c r="AC127">
        <f>SUMIFS(data!$C:$C,data!$A:$A,"="&amp;'Покупки по дням'!$B127,data!$B:$B,"="&amp;'Покупки по дням'!AC$2)</f>
        <v>0</v>
      </c>
      <c r="AD127">
        <f>SUMIFS(data!$C:$C,data!$A:$A,"="&amp;'Покупки по дням'!$B127,data!$B:$B,"="&amp;'Покупки по дням'!AD$2)</f>
        <v>2</v>
      </c>
      <c r="AE127">
        <f>SUMIFS(data!$C:$C,data!$A:$A,"="&amp;'Покупки по дням'!$B127,data!$B:$B,"="&amp;'Покупки по дням'!AE$2)</f>
        <v>2</v>
      </c>
      <c r="AF127">
        <f>SUMIFS(data!$C:$C,data!$A:$A,"="&amp;'Покупки по дням'!$B127,data!$B:$B,"="&amp;'Покупки по дням'!AF$2)</f>
        <v>1</v>
      </c>
      <c r="AG127">
        <f>SUMIFS(data!$C:$C,data!$A:$A,"="&amp;'Покупки по дням'!$B127,data!$B:$B,"="&amp;'Покупки по дням'!AG$2)</f>
        <v>0</v>
      </c>
      <c r="AH127">
        <f>SUMIFS(data!$C:$C,data!$A:$A,"="&amp;'Покупки по дням'!$B127,data!$B:$B,"="&amp;'Покупки по дням'!AH$2)</f>
        <v>1</v>
      </c>
      <c r="AI127">
        <f>SUMIFS(data!$C:$C,data!$A:$A,"="&amp;'Покупки по дням'!$B127,data!$B:$B,"="&amp;'Покупки по дням'!AI$2)</f>
        <v>2</v>
      </c>
      <c r="AJ127">
        <f>SUMIFS(data!$C:$C,data!$A:$A,"="&amp;'Покупки по дням'!$B127,data!$B:$B,"="&amp;'Покупки по дням'!AJ$2)</f>
        <v>0</v>
      </c>
      <c r="AK127">
        <f>SUMIFS(data!$C:$C,data!$A:$A,"="&amp;'Покупки по дням'!$B127,data!$B:$B,"="&amp;'Покупки по дням'!AK$2)</f>
        <v>3</v>
      </c>
      <c r="AL127">
        <f>SUMIFS(data!$C:$C,data!$A:$A,"="&amp;'Покупки по дням'!$B127,data!$B:$B,"="&amp;'Покупки по дням'!AL$2)</f>
        <v>5</v>
      </c>
      <c r="AM127">
        <f>SUMIFS(data!$C:$C,data!$A:$A,"="&amp;'Покупки по дням'!$B127,data!$B:$B,"="&amp;'Покупки по дням'!AM$2)</f>
        <v>2</v>
      </c>
      <c r="AN127">
        <f>SUMIFS(data!$C:$C,data!$A:$A,"="&amp;'Покупки по дням'!$B127,data!$B:$B,"="&amp;'Покупки по дням'!AN$2)</f>
        <v>0</v>
      </c>
      <c r="AO127">
        <f>SUMIFS(data!$C:$C,data!$A:$A,"="&amp;'Покупки по дням'!$B127,data!$B:$B,"="&amp;'Покупки по дням'!AO$2)</f>
        <v>1</v>
      </c>
      <c r="AP127">
        <f>SUMIFS(data!$C:$C,data!$A:$A,"="&amp;'Покупки по дням'!$B127,data!$B:$B,"="&amp;'Покупки по дням'!AP$2)</f>
        <v>3</v>
      </c>
      <c r="AQ127" s="6">
        <f t="shared" si="1"/>
        <v>1.0045294162839107</v>
      </c>
    </row>
    <row r="128" spans="2:43" ht="28.8" x14ac:dyDescent="0.3">
      <c r="B128" s="17" t="s">
        <v>126</v>
      </c>
      <c r="C128">
        <f>SUMIFS(data!$C:$C,data!$A:$A,"="&amp;'Покупки по дням'!$B128,data!$B:$B,"="&amp;'Покупки по дням'!C$2)</f>
        <v>0</v>
      </c>
      <c r="D128">
        <f>SUMIFS(data!$C:$C,data!$A:$A,"="&amp;'Покупки по дням'!$B128,data!$B:$B,"="&amp;'Покупки по дням'!D$2)</f>
        <v>0</v>
      </c>
      <c r="E128">
        <f>SUMIFS(data!$C:$C,data!$A:$A,"="&amp;'Покупки по дням'!$B128,data!$B:$B,"="&amp;'Покупки по дням'!E$2)</f>
        <v>0</v>
      </c>
      <c r="F128">
        <f>SUMIFS(data!$C:$C,data!$A:$A,"="&amp;'Покупки по дням'!$B128,data!$B:$B,"="&amp;'Покупки по дням'!F$2)</f>
        <v>0</v>
      </c>
      <c r="G128">
        <f>SUMIFS(data!$C:$C,data!$A:$A,"="&amp;'Покупки по дням'!$B128,data!$B:$B,"="&amp;'Покупки по дням'!G$2)</f>
        <v>0</v>
      </c>
      <c r="H128">
        <f>SUMIFS(data!$C:$C,data!$A:$A,"="&amp;'Покупки по дням'!$B128,data!$B:$B,"="&amp;'Покупки по дням'!H$2)</f>
        <v>0</v>
      </c>
      <c r="I128">
        <f>SUMIFS(data!$C:$C,data!$A:$A,"="&amp;'Покупки по дням'!$B128,data!$B:$B,"="&amp;'Покупки по дням'!I$2)</f>
        <v>0</v>
      </c>
      <c r="J128">
        <f>SUMIFS(data!$C:$C,data!$A:$A,"="&amp;'Покупки по дням'!$B128,data!$B:$B,"="&amp;'Покупки по дням'!J$2)</f>
        <v>0</v>
      </c>
      <c r="K128">
        <f>SUMIFS(data!$C:$C,data!$A:$A,"="&amp;'Покупки по дням'!$B128,data!$B:$B,"="&amp;'Покупки по дням'!K$2)</f>
        <v>0</v>
      </c>
      <c r="L128">
        <f>SUMIFS(data!$C:$C,data!$A:$A,"="&amp;'Покупки по дням'!$B128,data!$B:$B,"="&amp;'Покупки по дням'!L$2)</f>
        <v>0</v>
      </c>
      <c r="M128">
        <f>SUMIFS(data!$C:$C,data!$A:$A,"="&amp;'Покупки по дням'!$B128,data!$B:$B,"="&amp;'Покупки по дням'!M$2)</f>
        <v>3</v>
      </c>
      <c r="N128">
        <f>SUMIFS(data!$C:$C,data!$A:$A,"="&amp;'Покупки по дням'!$B128,data!$B:$B,"="&amp;'Покупки по дням'!N$2)</f>
        <v>0</v>
      </c>
      <c r="O128">
        <f>SUMIFS(data!$C:$C,data!$A:$A,"="&amp;'Покупки по дням'!$B128,data!$B:$B,"="&amp;'Покупки по дням'!O$2)</f>
        <v>0</v>
      </c>
      <c r="P128">
        <f>SUMIFS(data!$C:$C,data!$A:$A,"="&amp;'Покупки по дням'!$B128,data!$B:$B,"="&amp;'Покупки по дням'!P$2)</f>
        <v>0</v>
      </c>
      <c r="Q128">
        <f>SUMIFS(data!$C:$C,data!$A:$A,"="&amp;'Покупки по дням'!$B128,data!$B:$B,"="&amp;'Покупки по дням'!Q$2)</f>
        <v>0</v>
      </c>
      <c r="R128">
        <f>SUMIFS(data!$C:$C,data!$A:$A,"="&amp;'Покупки по дням'!$B128,data!$B:$B,"="&amp;'Покупки по дням'!R$2)</f>
        <v>0</v>
      </c>
      <c r="S128">
        <f>SUMIFS(data!$C:$C,data!$A:$A,"="&amp;'Покупки по дням'!$B128,data!$B:$B,"="&amp;'Покупки по дням'!S$2)</f>
        <v>0</v>
      </c>
      <c r="T128">
        <f>SUMIFS(data!$C:$C,data!$A:$A,"="&amp;'Покупки по дням'!$B128,data!$B:$B,"="&amp;'Покупки по дням'!T$2)</f>
        <v>0</v>
      </c>
      <c r="U128">
        <f>SUMIFS(data!$C:$C,data!$A:$A,"="&amp;'Покупки по дням'!$B128,data!$B:$B,"="&amp;'Покупки по дням'!U$2)</f>
        <v>0</v>
      </c>
      <c r="V128">
        <f>SUMIFS(data!$C:$C,data!$A:$A,"="&amp;'Покупки по дням'!$B128,data!$B:$B,"="&amp;'Покупки по дням'!V$2)</f>
        <v>0</v>
      </c>
      <c r="W128">
        <f>SUMIFS(data!$C:$C,data!$A:$A,"="&amp;'Покупки по дням'!$B128,data!$B:$B,"="&amp;'Покупки по дням'!W$2)</f>
        <v>0</v>
      </c>
      <c r="X128">
        <f>SUMIFS(data!$C:$C,data!$A:$A,"="&amp;'Покупки по дням'!$B128,data!$B:$B,"="&amp;'Покупки по дням'!X$2)</f>
        <v>0</v>
      </c>
      <c r="Y128">
        <f>SUMIFS(data!$C:$C,data!$A:$A,"="&amp;'Покупки по дням'!$B128,data!$B:$B,"="&amp;'Покупки по дням'!Y$2)</f>
        <v>0</v>
      </c>
      <c r="Z128">
        <f>SUMIFS(data!$C:$C,data!$A:$A,"="&amp;'Покупки по дням'!$B128,data!$B:$B,"="&amp;'Покупки по дням'!Z$2)</f>
        <v>0</v>
      </c>
      <c r="AA128">
        <f>SUMIFS(data!$C:$C,data!$A:$A,"="&amp;'Покупки по дням'!$B128,data!$B:$B,"="&amp;'Покупки по дням'!AA$2)</f>
        <v>0</v>
      </c>
      <c r="AB128">
        <f>SUMIFS(data!$C:$C,data!$A:$A,"="&amp;'Покупки по дням'!$B128,data!$B:$B,"="&amp;'Покупки по дням'!AB$2)</f>
        <v>14</v>
      </c>
      <c r="AC128">
        <f>SUMIFS(data!$C:$C,data!$A:$A,"="&amp;'Покупки по дням'!$B128,data!$B:$B,"="&amp;'Покупки по дням'!AC$2)</f>
        <v>0</v>
      </c>
      <c r="AD128">
        <f>SUMIFS(data!$C:$C,data!$A:$A,"="&amp;'Покупки по дням'!$B128,data!$B:$B,"="&amp;'Покупки по дням'!AD$2)</f>
        <v>0</v>
      </c>
      <c r="AE128">
        <f>SUMIFS(data!$C:$C,data!$A:$A,"="&amp;'Покупки по дням'!$B128,data!$B:$B,"="&amp;'Покупки по дням'!AE$2)</f>
        <v>0</v>
      </c>
      <c r="AF128">
        <f>SUMIFS(data!$C:$C,data!$A:$A,"="&amp;'Покупки по дням'!$B128,data!$B:$B,"="&amp;'Покупки по дням'!AF$2)</f>
        <v>0</v>
      </c>
      <c r="AG128">
        <f>SUMIFS(data!$C:$C,data!$A:$A,"="&amp;'Покупки по дням'!$B128,data!$B:$B,"="&amp;'Покупки по дням'!AG$2)</f>
        <v>0</v>
      </c>
      <c r="AH128">
        <f>SUMIFS(data!$C:$C,data!$A:$A,"="&amp;'Покупки по дням'!$B128,data!$B:$B,"="&amp;'Покупки по дням'!AH$2)</f>
        <v>10</v>
      </c>
      <c r="AI128">
        <f>SUMIFS(data!$C:$C,data!$A:$A,"="&amp;'Покупки по дням'!$B128,data!$B:$B,"="&amp;'Покупки по дням'!AI$2)</f>
        <v>10</v>
      </c>
      <c r="AJ128">
        <f>SUMIFS(data!$C:$C,data!$A:$A,"="&amp;'Покупки по дням'!$B128,data!$B:$B,"="&amp;'Покупки по дням'!AJ$2)</f>
        <v>0</v>
      </c>
      <c r="AK128">
        <f>SUMIFS(data!$C:$C,data!$A:$A,"="&amp;'Покупки по дням'!$B128,data!$B:$B,"="&amp;'Покупки по дням'!AK$2)</f>
        <v>10</v>
      </c>
      <c r="AL128">
        <f>SUMIFS(data!$C:$C,data!$A:$A,"="&amp;'Покупки по дням'!$B128,data!$B:$B,"="&amp;'Покупки по дням'!AL$2)</f>
        <v>0</v>
      </c>
      <c r="AM128">
        <f>SUMIFS(data!$C:$C,data!$A:$A,"="&amp;'Покупки по дням'!$B128,data!$B:$B,"="&amp;'Покупки по дням'!AM$2)</f>
        <v>0</v>
      </c>
      <c r="AN128">
        <f>SUMIFS(data!$C:$C,data!$A:$A,"="&amp;'Покупки по дням'!$B128,data!$B:$B,"="&amp;'Покупки по дням'!AN$2)</f>
        <v>0</v>
      </c>
      <c r="AO128">
        <f>SUMIFS(data!$C:$C,data!$A:$A,"="&amp;'Покупки по дням'!$B128,data!$B:$B,"="&amp;'Покупки по дням'!AO$2)</f>
        <v>10</v>
      </c>
      <c r="AP128">
        <f>SUMIFS(data!$C:$C,data!$A:$A,"="&amp;'Покупки по дням'!$B128,data!$B:$B,"="&amp;'Покупки по дням'!AP$2)</f>
        <v>0</v>
      </c>
      <c r="AQ128" s="6">
        <f t="shared" si="1"/>
        <v>2.5717290752536739</v>
      </c>
    </row>
    <row r="129" spans="2:43" ht="28.8" x14ac:dyDescent="0.3">
      <c r="B129" s="17" t="s">
        <v>151</v>
      </c>
      <c r="C129">
        <f>SUMIFS(data!$C:$C,data!$A:$A,"="&amp;'Покупки по дням'!$B129,data!$B:$B,"="&amp;'Покупки по дням'!C$2)</f>
        <v>2</v>
      </c>
      <c r="D129">
        <f>SUMIFS(data!$C:$C,data!$A:$A,"="&amp;'Покупки по дням'!$B129,data!$B:$B,"="&amp;'Покупки по дням'!D$2)</f>
        <v>0</v>
      </c>
      <c r="E129">
        <f>SUMIFS(data!$C:$C,data!$A:$A,"="&amp;'Покупки по дням'!$B129,data!$B:$B,"="&amp;'Покупки по дням'!E$2)</f>
        <v>1</v>
      </c>
      <c r="F129">
        <f>SUMIFS(data!$C:$C,data!$A:$A,"="&amp;'Покупки по дням'!$B129,data!$B:$B,"="&amp;'Покупки по дням'!F$2)</f>
        <v>0</v>
      </c>
      <c r="G129">
        <f>SUMIFS(data!$C:$C,data!$A:$A,"="&amp;'Покупки по дням'!$B129,data!$B:$B,"="&amp;'Покупки по дням'!G$2)</f>
        <v>0</v>
      </c>
      <c r="H129">
        <f>SUMIFS(data!$C:$C,data!$A:$A,"="&amp;'Покупки по дням'!$B129,data!$B:$B,"="&amp;'Покупки по дням'!H$2)</f>
        <v>2</v>
      </c>
      <c r="I129">
        <f>SUMIFS(data!$C:$C,data!$A:$A,"="&amp;'Покупки по дням'!$B129,data!$B:$B,"="&amp;'Покупки по дням'!I$2)</f>
        <v>2</v>
      </c>
      <c r="J129">
        <f>SUMIFS(data!$C:$C,data!$A:$A,"="&amp;'Покупки по дням'!$B129,data!$B:$B,"="&amp;'Покупки по дням'!J$2)</f>
        <v>1</v>
      </c>
      <c r="K129">
        <f>SUMIFS(data!$C:$C,data!$A:$A,"="&amp;'Покупки по дням'!$B129,data!$B:$B,"="&amp;'Покупки по дням'!K$2)</f>
        <v>0</v>
      </c>
      <c r="L129">
        <f>SUMIFS(data!$C:$C,data!$A:$A,"="&amp;'Покупки по дням'!$B129,data!$B:$B,"="&amp;'Покупки по дням'!L$2)</f>
        <v>0</v>
      </c>
      <c r="M129">
        <f>SUMIFS(data!$C:$C,data!$A:$A,"="&amp;'Покупки по дням'!$B129,data!$B:$B,"="&amp;'Покупки по дням'!M$2)</f>
        <v>1</v>
      </c>
      <c r="N129">
        <f>SUMIFS(data!$C:$C,data!$A:$A,"="&amp;'Покупки по дням'!$B129,data!$B:$B,"="&amp;'Покупки по дням'!N$2)</f>
        <v>2</v>
      </c>
      <c r="O129">
        <f>SUMIFS(data!$C:$C,data!$A:$A,"="&amp;'Покупки по дням'!$B129,data!$B:$B,"="&amp;'Покупки по дням'!O$2)</f>
        <v>3</v>
      </c>
      <c r="P129">
        <f>SUMIFS(data!$C:$C,data!$A:$A,"="&amp;'Покупки по дням'!$B129,data!$B:$B,"="&amp;'Покупки по дням'!P$2)</f>
        <v>1</v>
      </c>
      <c r="Q129">
        <f>SUMIFS(data!$C:$C,data!$A:$A,"="&amp;'Покупки по дням'!$B129,data!$B:$B,"="&amp;'Покупки по дням'!Q$2)</f>
        <v>1</v>
      </c>
      <c r="R129">
        <f>SUMIFS(data!$C:$C,data!$A:$A,"="&amp;'Покупки по дням'!$B129,data!$B:$B,"="&amp;'Покупки по дням'!R$2)</f>
        <v>0</v>
      </c>
      <c r="S129">
        <f>SUMIFS(data!$C:$C,data!$A:$A,"="&amp;'Покупки по дням'!$B129,data!$B:$B,"="&amp;'Покупки по дням'!S$2)</f>
        <v>1</v>
      </c>
      <c r="T129">
        <f>SUMIFS(data!$C:$C,data!$A:$A,"="&amp;'Покупки по дням'!$B129,data!$B:$B,"="&amp;'Покупки по дням'!T$2)</f>
        <v>1</v>
      </c>
      <c r="U129">
        <f>SUMIFS(data!$C:$C,data!$A:$A,"="&amp;'Покупки по дням'!$B129,data!$B:$B,"="&amp;'Покупки по дням'!U$2)</f>
        <v>1</v>
      </c>
      <c r="V129">
        <f>SUMIFS(data!$C:$C,data!$A:$A,"="&amp;'Покупки по дням'!$B129,data!$B:$B,"="&amp;'Покупки по дням'!V$2)</f>
        <v>5</v>
      </c>
      <c r="W129">
        <f>SUMIFS(data!$C:$C,data!$A:$A,"="&amp;'Покупки по дням'!$B129,data!$B:$B,"="&amp;'Покупки по дням'!W$2)</f>
        <v>1</v>
      </c>
      <c r="X129">
        <f>SUMIFS(data!$C:$C,data!$A:$A,"="&amp;'Покупки по дням'!$B129,data!$B:$B,"="&amp;'Покупки по дням'!X$2)</f>
        <v>1</v>
      </c>
      <c r="Y129">
        <f>SUMIFS(data!$C:$C,data!$A:$A,"="&amp;'Покупки по дням'!$B129,data!$B:$B,"="&amp;'Покупки по дням'!Y$2)</f>
        <v>0</v>
      </c>
      <c r="Z129">
        <f>SUMIFS(data!$C:$C,data!$A:$A,"="&amp;'Покупки по дням'!$B129,data!$B:$B,"="&amp;'Покупки по дням'!Z$2)</f>
        <v>2</v>
      </c>
      <c r="AA129">
        <f>SUMIFS(data!$C:$C,data!$A:$A,"="&amp;'Покупки по дням'!$B129,data!$B:$B,"="&amp;'Покупки по дням'!AA$2)</f>
        <v>0</v>
      </c>
      <c r="AB129">
        <f>SUMIFS(data!$C:$C,data!$A:$A,"="&amp;'Покупки по дням'!$B129,data!$B:$B,"="&amp;'Покупки по дням'!AB$2)</f>
        <v>0</v>
      </c>
      <c r="AC129">
        <f>SUMIFS(data!$C:$C,data!$A:$A,"="&amp;'Покупки по дням'!$B129,data!$B:$B,"="&amp;'Покупки по дням'!AC$2)</f>
        <v>2</v>
      </c>
      <c r="AD129">
        <f>SUMIFS(data!$C:$C,data!$A:$A,"="&amp;'Покупки по дням'!$B129,data!$B:$B,"="&amp;'Покупки по дням'!AD$2)</f>
        <v>1</v>
      </c>
      <c r="AE129">
        <f>SUMIFS(data!$C:$C,data!$A:$A,"="&amp;'Покупки по дням'!$B129,data!$B:$B,"="&amp;'Покупки по дням'!AE$2)</f>
        <v>0</v>
      </c>
      <c r="AF129">
        <f>SUMIFS(data!$C:$C,data!$A:$A,"="&amp;'Покупки по дням'!$B129,data!$B:$B,"="&amp;'Покупки по дням'!AF$2)</f>
        <v>7</v>
      </c>
      <c r="AG129">
        <f>SUMIFS(data!$C:$C,data!$A:$A,"="&amp;'Покупки по дням'!$B129,data!$B:$B,"="&amp;'Покупки по дням'!AG$2)</f>
        <v>3</v>
      </c>
      <c r="AH129">
        <f>SUMIFS(data!$C:$C,data!$A:$A,"="&amp;'Покупки по дням'!$B129,data!$B:$B,"="&amp;'Покупки по дням'!AH$2)</f>
        <v>0</v>
      </c>
      <c r="AI129">
        <f>SUMIFS(data!$C:$C,data!$A:$A,"="&amp;'Покупки по дням'!$B129,data!$B:$B,"="&amp;'Покупки по дням'!AI$2)</f>
        <v>2</v>
      </c>
      <c r="AJ129">
        <f>SUMIFS(data!$C:$C,data!$A:$A,"="&amp;'Покупки по дням'!$B129,data!$B:$B,"="&amp;'Покупки по дням'!AJ$2)</f>
        <v>3</v>
      </c>
      <c r="AK129">
        <f>SUMIFS(data!$C:$C,data!$A:$A,"="&amp;'Покупки по дням'!$B129,data!$B:$B,"="&amp;'Покупки по дням'!AK$2)</f>
        <v>2</v>
      </c>
      <c r="AL129">
        <f>SUMIFS(data!$C:$C,data!$A:$A,"="&amp;'Покупки по дням'!$B129,data!$B:$B,"="&amp;'Покупки по дням'!AL$2)</f>
        <v>0</v>
      </c>
      <c r="AM129">
        <f>SUMIFS(data!$C:$C,data!$A:$A,"="&amp;'Покупки по дням'!$B129,data!$B:$B,"="&amp;'Покупки по дням'!AM$2)</f>
        <v>2</v>
      </c>
      <c r="AN129">
        <f>SUMIFS(data!$C:$C,data!$A:$A,"="&amp;'Покупки по дням'!$B129,data!$B:$B,"="&amp;'Покупки по дням'!AN$2)</f>
        <v>1</v>
      </c>
      <c r="AO129">
        <f>SUMIFS(data!$C:$C,data!$A:$A,"="&amp;'Покупки по дням'!$B129,data!$B:$B,"="&amp;'Покупки по дням'!AO$2)</f>
        <v>0</v>
      </c>
      <c r="AP129">
        <f>SUMIFS(data!$C:$C,data!$A:$A,"="&amp;'Покупки по дням'!$B129,data!$B:$B,"="&amp;'Покупки по дням'!AP$2)</f>
        <v>0</v>
      </c>
      <c r="AQ129" s="6">
        <f t="shared" si="1"/>
        <v>1.1508865588113688</v>
      </c>
    </row>
    <row r="130" spans="2:43" ht="28.8" x14ac:dyDescent="0.3">
      <c r="B130" s="17" t="s">
        <v>76</v>
      </c>
      <c r="C130">
        <f>SUMIFS(data!$C:$C,data!$A:$A,"="&amp;'Покупки по дням'!$B130,data!$B:$B,"="&amp;'Покупки по дням'!C$2)</f>
        <v>1</v>
      </c>
      <c r="D130">
        <f>SUMIFS(data!$C:$C,data!$A:$A,"="&amp;'Покупки по дням'!$B130,data!$B:$B,"="&amp;'Покупки по дням'!D$2)</f>
        <v>0</v>
      </c>
      <c r="E130">
        <f>SUMIFS(data!$C:$C,data!$A:$A,"="&amp;'Покупки по дням'!$B130,data!$B:$B,"="&amp;'Покупки по дням'!E$2)</f>
        <v>0</v>
      </c>
      <c r="F130">
        <f>SUMIFS(data!$C:$C,data!$A:$A,"="&amp;'Покупки по дням'!$B130,data!$B:$B,"="&amp;'Покупки по дням'!F$2)</f>
        <v>0</v>
      </c>
      <c r="G130">
        <f>SUMIFS(data!$C:$C,data!$A:$A,"="&amp;'Покупки по дням'!$B130,data!$B:$B,"="&amp;'Покупки по дням'!G$2)</f>
        <v>0</v>
      </c>
      <c r="H130">
        <f>SUMIFS(data!$C:$C,data!$A:$A,"="&amp;'Покупки по дням'!$B130,data!$B:$B,"="&amp;'Покупки по дням'!H$2)</f>
        <v>2</v>
      </c>
      <c r="I130">
        <f>SUMIFS(data!$C:$C,data!$A:$A,"="&amp;'Покупки по дням'!$B130,data!$B:$B,"="&amp;'Покупки по дням'!I$2)</f>
        <v>0</v>
      </c>
      <c r="J130">
        <f>SUMIFS(data!$C:$C,data!$A:$A,"="&amp;'Покупки по дням'!$B130,data!$B:$B,"="&amp;'Покупки по дням'!J$2)</f>
        <v>5</v>
      </c>
      <c r="K130">
        <f>SUMIFS(data!$C:$C,data!$A:$A,"="&amp;'Покупки по дням'!$B130,data!$B:$B,"="&amp;'Покупки по дням'!K$2)</f>
        <v>0</v>
      </c>
      <c r="L130">
        <f>SUMIFS(data!$C:$C,data!$A:$A,"="&amp;'Покупки по дням'!$B130,data!$B:$B,"="&amp;'Покупки по дням'!L$2)</f>
        <v>0</v>
      </c>
      <c r="M130">
        <f>SUMIFS(data!$C:$C,data!$A:$A,"="&amp;'Покупки по дням'!$B130,data!$B:$B,"="&amp;'Покупки по дням'!M$2)</f>
        <v>1</v>
      </c>
      <c r="N130">
        <f>SUMIFS(data!$C:$C,data!$A:$A,"="&amp;'Покупки по дням'!$B130,data!$B:$B,"="&amp;'Покупки по дням'!N$2)</f>
        <v>6</v>
      </c>
      <c r="O130">
        <f>SUMIFS(data!$C:$C,data!$A:$A,"="&amp;'Покупки по дням'!$B130,data!$B:$B,"="&amp;'Покупки по дням'!O$2)</f>
        <v>4</v>
      </c>
      <c r="P130">
        <f>SUMIFS(data!$C:$C,data!$A:$A,"="&amp;'Покупки по дням'!$B130,data!$B:$B,"="&amp;'Покупки по дням'!P$2)</f>
        <v>2</v>
      </c>
      <c r="Q130">
        <f>SUMIFS(data!$C:$C,data!$A:$A,"="&amp;'Покупки по дням'!$B130,data!$B:$B,"="&amp;'Покупки по дням'!Q$2)</f>
        <v>0</v>
      </c>
      <c r="R130">
        <f>SUMIFS(data!$C:$C,data!$A:$A,"="&amp;'Покупки по дням'!$B130,data!$B:$B,"="&amp;'Покупки по дням'!R$2)</f>
        <v>2</v>
      </c>
      <c r="S130">
        <f>SUMIFS(data!$C:$C,data!$A:$A,"="&amp;'Покупки по дням'!$B130,data!$B:$B,"="&amp;'Покупки по дням'!S$2)</f>
        <v>1</v>
      </c>
      <c r="T130">
        <f>SUMIFS(data!$C:$C,data!$A:$A,"="&amp;'Покупки по дням'!$B130,data!$B:$B,"="&amp;'Покупки по дням'!T$2)</f>
        <v>1</v>
      </c>
      <c r="U130">
        <f>SUMIFS(data!$C:$C,data!$A:$A,"="&amp;'Покупки по дням'!$B130,data!$B:$B,"="&amp;'Покупки по дням'!U$2)</f>
        <v>2</v>
      </c>
      <c r="V130">
        <f>SUMIFS(data!$C:$C,data!$A:$A,"="&amp;'Покупки по дням'!$B130,data!$B:$B,"="&amp;'Покупки по дням'!V$2)</f>
        <v>0</v>
      </c>
      <c r="W130">
        <f>SUMIFS(data!$C:$C,data!$A:$A,"="&amp;'Покупки по дням'!$B130,data!$B:$B,"="&amp;'Покупки по дням'!W$2)</f>
        <v>0</v>
      </c>
      <c r="X130">
        <f>SUMIFS(data!$C:$C,data!$A:$A,"="&amp;'Покупки по дням'!$B130,data!$B:$B,"="&amp;'Покупки по дням'!X$2)</f>
        <v>0</v>
      </c>
      <c r="Y130">
        <f>SUMIFS(data!$C:$C,data!$A:$A,"="&amp;'Покупки по дням'!$B130,data!$B:$B,"="&amp;'Покупки по дням'!Y$2)</f>
        <v>3</v>
      </c>
      <c r="Z130">
        <f>SUMIFS(data!$C:$C,data!$A:$A,"="&amp;'Покупки по дням'!$B130,data!$B:$B,"="&amp;'Покупки по дням'!Z$2)</f>
        <v>2</v>
      </c>
      <c r="AA130">
        <f>SUMIFS(data!$C:$C,data!$A:$A,"="&amp;'Покупки по дням'!$B130,data!$B:$B,"="&amp;'Покупки по дням'!AA$2)</f>
        <v>5</v>
      </c>
      <c r="AB130">
        <f>SUMIFS(data!$C:$C,data!$A:$A,"="&amp;'Покупки по дням'!$B130,data!$B:$B,"="&amp;'Покупки по дням'!AB$2)</f>
        <v>0</v>
      </c>
      <c r="AC130">
        <f>SUMIFS(data!$C:$C,data!$A:$A,"="&amp;'Покупки по дням'!$B130,data!$B:$B,"="&amp;'Покупки по дням'!AC$2)</f>
        <v>3</v>
      </c>
      <c r="AD130">
        <f>SUMIFS(data!$C:$C,data!$A:$A,"="&amp;'Покупки по дням'!$B130,data!$B:$B,"="&amp;'Покупки по дням'!AD$2)</f>
        <v>1</v>
      </c>
      <c r="AE130">
        <f>SUMIFS(data!$C:$C,data!$A:$A,"="&amp;'Покупки по дням'!$B130,data!$B:$B,"="&amp;'Покупки по дням'!AE$2)</f>
        <v>0</v>
      </c>
      <c r="AF130">
        <f>SUMIFS(data!$C:$C,data!$A:$A,"="&amp;'Покупки по дням'!$B130,data!$B:$B,"="&amp;'Покупки по дням'!AF$2)</f>
        <v>0</v>
      </c>
      <c r="AG130">
        <f>SUMIFS(data!$C:$C,data!$A:$A,"="&amp;'Покупки по дням'!$B130,data!$B:$B,"="&amp;'Покупки по дням'!AG$2)</f>
        <v>0</v>
      </c>
      <c r="AH130">
        <f>SUMIFS(data!$C:$C,data!$A:$A,"="&amp;'Покупки по дням'!$B130,data!$B:$B,"="&amp;'Покупки по дням'!AH$2)</f>
        <v>0</v>
      </c>
      <c r="AI130">
        <f>SUMIFS(data!$C:$C,data!$A:$A,"="&amp;'Покупки по дням'!$B130,data!$B:$B,"="&amp;'Покупки по дням'!AI$2)</f>
        <v>0</v>
      </c>
      <c r="AJ130">
        <f>SUMIFS(data!$C:$C,data!$A:$A,"="&amp;'Покупки по дням'!$B130,data!$B:$B,"="&amp;'Покупки по дням'!AJ$2)</f>
        <v>1</v>
      </c>
      <c r="AK130">
        <f>SUMIFS(data!$C:$C,data!$A:$A,"="&amp;'Покупки по дням'!$B130,data!$B:$B,"="&amp;'Покупки по дням'!AK$2)</f>
        <v>1</v>
      </c>
      <c r="AL130">
        <f>SUMIFS(data!$C:$C,data!$A:$A,"="&amp;'Покупки по дням'!$B130,data!$B:$B,"="&amp;'Покупки по дням'!AL$2)</f>
        <v>0</v>
      </c>
      <c r="AM130">
        <f>SUMIFS(data!$C:$C,data!$A:$A,"="&amp;'Покупки по дням'!$B130,data!$B:$B,"="&amp;'Покупки по дням'!AM$2)</f>
        <v>2</v>
      </c>
      <c r="AN130">
        <f>SUMIFS(data!$C:$C,data!$A:$A,"="&amp;'Покупки по дням'!$B130,data!$B:$B,"="&amp;'Покупки по дням'!AN$2)</f>
        <v>1</v>
      </c>
      <c r="AO130">
        <f>SUMIFS(data!$C:$C,data!$A:$A,"="&amp;'Покупки по дням'!$B130,data!$B:$B,"="&amp;'Покупки по дням'!AO$2)</f>
        <v>3</v>
      </c>
      <c r="AP130">
        <f>SUMIFS(data!$C:$C,data!$A:$A,"="&amp;'Покупки по дням'!$B130,data!$B:$B,"="&amp;'Покупки по дням'!AP$2)</f>
        <v>1</v>
      </c>
      <c r="AQ130" s="6">
        <f t="shared" si="1"/>
        <v>1.2778186541213556</v>
      </c>
    </row>
    <row r="131" spans="2:43" ht="28.8" x14ac:dyDescent="0.3">
      <c r="B131" s="17" t="s">
        <v>46</v>
      </c>
      <c r="C131">
        <f>SUMIFS(data!$C:$C,data!$A:$A,"="&amp;'Покупки по дням'!$B131,data!$B:$B,"="&amp;'Покупки по дням'!C$2)</f>
        <v>0</v>
      </c>
      <c r="D131">
        <f>SUMIFS(data!$C:$C,data!$A:$A,"="&amp;'Покупки по дням'!$B131,data!$B:$B,"="&amp;'Покупки по дням'!D$2)</f>
        <v>0</v>
      </c>
      <c r="E131">
        <f>SUMIFS(data!$C:$C,data!$A:$A,"="&amp;'Покупки по дням'!$B131,data!$B:$B,"="&amp;'Покупки по дням'!E$2)</f>
        <v>1</v>
      </c>
      <c r="F131">
        <f>SUMIFS(data!$C:$C,data!$A:$A,"="&amp;'Покупки по дням'!$B131,data!$B:$B,"="&amp;'Покупки по дням'!F$2)</f>
        <v>0</v>
      </c>
      <c r="G131">
        <f>SUMIFS(data!$C:$C,data!$A:$A,"="&amp;'Покупки по дням'!$B131,data!$B:$B,"="&amp;'Покупки по дням'!G$2)</f>
        <v>2</v>
      </c>
      <c r="H131">
        <f>SUMIFS(data!$C:$C,data!$A:$A,"="&amp;'Покупки по дням'!$B131,data!$B:$B,"="&amp;'Покупки по дням'!H$2)</f>
        <v>1</v>
      </c>
      <c r="I131">
        <f>SUMIFS(data!$C:$C,data!$A:$A,"="&amp;'Покупки по дням'!$B131,data!$B:$B,"="&amp;'Покупки по дням'!I$2)</f>
        <v>2</v>
      </c>
      <c r="J131">
        <f>SUMIFS(data!$C:$C,data!$A:$A,"="&amp;'Покупки по дням'!$B131,data!$B:$B,"="&amp;'Покупки по дням'!J$2)</f>
        <v>0</v>
      </c>
      <c r="K131">
        <f>SUMIFS(data!$C:$C,data!$A:$A,"="&amp;'Покупки по дням'!$B131,data!$B:$B,"="&amp;'Покупки по дням'!K$2)</f>
        <v>0</v>
      </c>
      <c r="L131">
        <f>SUMIFS(data!$C:$C,data!$A:$A,"="&amp;'Покупки по дням'!$B131,data!$B:$B,"="&amp;'Покупки по дням'!L$2)</f>
        <v>2</v>
      </c>
      <c r="M131">
        <f>SUMIFS(data!$C:$C,data!$A:$A,"="&amp;'Покупки по дням'!$B131,data!$B:$B,"="&amp;'Покупки по дням'!M$2)</f>
        <v>0</v>
      </c>
      <c r="N131">
        <f>SUMIFS(data!$C:$C,data!$A:$A,"="&amp;'Покупки по дням'!$B131,data!$B:$B,"="&amp;'Покупки по дням'!N$2)</f>
        <v>0</v>
      </c>
      <c r="O131">
        <f>SUMIFS(data!$C:$C,data!$A:$A,"="&amp;'Покупки по дням'!$B131,data!$B:$B,"="&amp;'Покупки по дням'!O$2)</f>
        <v>0</v>
      </c>
      <c r="P131">
        <f>SUMIFS(data!$C:$C,data!$A:$A,"="&amp;'Покупки по дням'!$B131,data!$B:$B,"="&amp;'Покупки по дням'!P$2)</f>
        <v>3</v>
      </c>
      <c r="Q131">
        <f>SUMIFS(data!$C:$C,data!$A:$A,"="&amp;'Покупки по дням'!$B131,data!$B:$B,"="&amp;'Покупки по дням'!Q$2)</f>
        <v>1</v>
      </c>
      <c r="R131">
        <f>SUMIFS(data!$C:$C,data!$A:$A,"="&amp;'Покупки по дням'!$B131,data!$B:$B,"="&amp;'Покупки по дням'!R$2)</f>
        <v>0</v>
      </c>
      <c r="S131">
        <f>SUMIFS(data!$C:$C,data!$A:$A,"="&amp;'Покупки по дням'!$B131,data!$B:$B,"="&amp;'Покупки по дням'!S$2)</f>
        <v>1</v>
      </c>
      <c r="T131">
        <f>SUMIFS(data!$C:$C,data!$A:$A,"="&amp;'Покупки по дням'!$B131,data!$B:$B,"="&amp;'Покупки по дням'!T$2)</f>
        <v>3</v>
      </c>
      <c r="U131">
        <f>SUMIFS(data!$C:$C,data!$A:$A,"="&amp;'Покупки по дням'!$B131,data!$B:$B,"="&amp;'Покупки по дням'!U$2)</f>
        <v>3</v>
      </c>
      <c r="V131">
        <f>SUMIFS(data!$C:$C,data!$A:$A,"="&amp;'Покупки по дням'!$B131,data!$B:$B,"="&amp;'Покупки по дням'!V$2)</f>
        <v>1</v>
      </c>
      <c r="W131">
        <f>SUMIFS(data!$C:$C,data!$A:$A,"="&amp;'Покупки по дням'!$B131,data!$B:$B,"="&amp;'Покупки по дням'!W$2)</f>
        <v>0</v>
      </c>
      <c r="X131">
        <f>SUMIFS(data!$C:$C,data!$A:$A,"="&amp;'Покупки по дням'!$B131,data!$B:$B,"="&amp;'Покупки по дням'!X$2)</f>
        <v>0</v>
      </c>
      <c r="Y131">
        <f>SUMIFS(data!$C:$C,data!$A:$A,"="&amp;'Покупки по дням'!$B131,data!$B:$B,"="&amp;'Покупки по дням'!Y$2)</f>
        <v>2</v>
      </c>
      <c r="Z131">
        <f>SUMIFS(data!$C:$C,data!$A:$A,"="&amp;'Покупки по дням'!$B131,data!$B:$B,"="&amp;'Покупки по дням'!Z$2)</f>
        <v>0</v>
      </c>
      <c r="AA131">
        <f>SUMIFS(data!$C:$C,data!$A:$A,"="&amp;'Покупки по дням'!$B131,data!$B:$B,"="&amp;'Покупки по дням'!AA$2)</f>
        <v>2</v>
      </c>
      <c r="AB131">
        <f>SUMIFS(data!$C:$C,data!$A:$A,"="&amp;'Покупки по дням'!$B131,data!$B:$B,"="&amp;'Покупки по дням'!AB$2)</f>
        <v>0</v>
      </c>
      <c r="AC131">
        <f>SUMIFS(data!$C:$C,data!$A:$A,"="&amp;'Покупки по дням'!$B131,data!$B:$B,"="&amp;'Покупки по дням'!AC$2)</f>
        <v>0</v>
      </c>
      <c r="AD131">
        <f>SUMIFS(data!$C:$C,data!$A:$A,"="&amp;'Покупки по дням'!$B131,data!$B:$B,"="&amp;'Покупки по дням'!AD$2)</f>
        <v>0</v>
      </c>
      <c r="AE131">
        <f>SUMIFS(data!$C:$C,data!$A:$A,"="&amp;'Покупки по дням'!$B131,data!$B:$B,"="&amp;'Покупки по дням'!AE$2)</f>
        <v>1</v>
      </c>
      <c r="AF131">
        <f>SUMIFS(data!$C:$C,data!$A:$A,"="&amp;'Покупки по дням'!$B131,data!$B:$B,"="&amp;'Покупки по дням'!AF$2)</f>
        <v>3</v>
      </c>
      <c r="AG131">
        <f>SUMIFS(data!$C:$C,data!$A:$A,"="&amp;'Покупки по дням'!$B131,data!$B:$B,"="&amp;'Покупки по дням'!AG$2)</f>
        <v>3</v>
      </c>
      <c r="AH131">
        <f>SUMIFS(data!$C:$C,data!$A:$A,"="&amp;'Покупки по дням'!$B131,data!$B:$B,"="&amp;'Покупки по дням'!AH$2)</f>
        <v>1</v>
      </c>
      <c r="AI131">
        <f>SUMIFS(data!$C:$C,data!$A:$A,"="&amp;'Покупки по дням'!$B131,data!$B:$B,"="&amp;'Покупки по дням'!AI$2)</f>
        <v>5</v>
      </c>
      <c r="AJ131">
        <f>SUMIFS(data!$C:$C,data!$A:$A,"="&amp;'Покупки по дням'!$B131,data!$B:$B,"="&amp;'Покупки по дням'!AJ$2)</f>
        <v>3</v>
      </c>
      <c r="AK131">
        <f>SUMIFS(data!$C:$C,data!$A:$A,"="&amp;'Покупки по дням'!$B131,data!$B:$B,"="&amp;'Покупки по дням'!AK$2)</f>
        <v>0</v>
      </c>
      <c r="AL131">
        <f>SUMIFS(data!$C:$C,data!$A:$A,"="&amp;'Покупки по дням'!$B131,data!$B:$B,"="&amp;'Покупки по дням'!AL$2)</f>
        <v>6</v>
      </c>
      <c r="AM131">
        <f>SUMIFS(data!$C:$C,data!$A:$A,"="&amp;'Покупки по дням'!$B131,data!$B:$B,"="&amp;'Покупки по дням'!AM$2)</f>
        <v>2</v>
      </c>
      <c r="AN131">
        <f>SUMIFS(data!$C:$C,data!$A:$A,"="&amp;'Покупки по дням'!$B131,data!$B:$B,"="&amp;'Покупки по дням'!AN$2)</f>
        <v>2</v>
      </c>
      <c r="AO131">
        <f>SUMIFS(data!$C:$C,data!$A:$A,"="&amp;'Покупки по дням'!$B131,data!$B:$B,"="&amp;'Покупки по дням'!AO$2)</f>
        <v>0</v>
      </c>
      <c r="AP131">
        <f>SUMIFS(data!$C:$C,data!$A:$A,"="&amp;'Покупки по дням'!$B131,data!$B:$B,"="&amp;'Покупки по дням'!AP$2)</f>
        <v>1</v>
      </c>
      <c r="AQ131" s="6">
        <f t="shared" si="1"/>
        <v>1.1645110233741767</v>
      </c>
    </row>
    <row r="132" spans="2:43" ht="28.8" x14ac:dyDescent="0.3">
      <c r="B132" s="17" t="s">
        <v>117</v>
      </c>
      <c r="C132">
        <f>SUMIFS(data!$C:$C,data!$A:$A,"="&amp;'Покупки по дням'!$B132,data!$B:$B,"="&amp;'Покупки по дням'!C$2)</f>
        <v>0</v>
      </c>
      <c r="D132">
        <f>SUMIFS(data!$C:$C,data!$A:$A,"="&amp;'Покупки по дням'!$B132,data!$B:$B,"="&amp;'Покупки по дням'!D$2)</f>
        <v>0</v>
      </c>
      <c r="E132">
        <f>SUMIFS(data!$C:$C,data!$A:$A,"="&amp;'Покупки по дням'!$B132,data!$B:$B,"="&amp;'Покупки по дням'!E$2)</f>
        <v>0</v>
      </c>
      <c r="F132">
        <f>SUMIFS(data!$C:$C,data!$A:$A,"="&amp;'Покупки по дням'!$B132,data!$B:$B,"="&amp;'Покупки по дням'!F$2)</f>
        <v>0</v>
      </c>
      <c r="G132">
        <f>SUMIFS(data!$C:$C,data!$A:$A,"="&amp;'Покупки по дням'!$B132,data!$B:$B,"="&amp;'Покупки по дням'!G$2)</f>
        <v>1</v>
      </c>
      <c r="H132">
        <f>SUMIFS(data!$C:$C,data!$A:$A,"="&amp;'Покупки по дням'!$B132,data!$B:$B,"="&amp;'Покупки по дням'!H$2)</f>
        <v>0</v>
      </c>
      <c r="I132">
        <f>SUMIFS(data!$C:$C,data!$A:$A,"="&amp;'Покупки по дням'!$B132,data!$B:$B,"="&amp;'Покупки по дням'!I$2)</f>
        <v>9</v>
      </c>
      <c r="J132">
        <f>SUMIFS(data!$C:$C,data!$A:$A,"="&amp;'Покупки по дням'!$B132,data!$B:$B,"="&amp;'Покупки по дням'!J$2)</f>
        <v>0</v>
      </c>
      <c r="K132">
        <f>SUMIFS(data!$C:$C,data!$A:$A,"="&amp;'Покупки по дням'!$B132,data!$B:$B,"="&amp;'Покупки по дням'!K$2)</f>
        <v>0</v>
      </c>
      <c r="L132">
        <f>SUMIFS(data!$C:$C,data!$A:$A,"="&amp;'Покупки по дням'!$B132,data!$B:$B,"="&amp;'Покупки по дням'!L$2)</f>
        <v>0</v>
      </c>
      <c r="M132">
        <f>SUMIFS(data!$C:$C,data!$A:$A,"="&amp;'Покупки по дням'!$B132,data!$B:$B,"="&amp;'Покупки по дням'!M$2)</f>
        <v>0</v>
      </c>
      <c r="N132">
        <f>SUMIFS(data!$C:$C,data!$A:$A,"="&amp;'Покупки по дням'!$B132,data!$B:$B,"="&amp;'Покупки по дням'!N$2)</f>
        <v>0</v>
      </c>
      <c r="O132">
        <f>SUMIFS(data!$C:$C,data!$A:$A,"="&amp;'Покупки по дням'!$B132,data!$B:$B,"="&amp;'Покупки по дням'!O$2)</f>
        <v>0</v>
      </c>
      <c r="P132">
        <f>SUMIFS(data!$C:$C,data!$A:$A,"="&amp;'Покупки по дням'!$B132,data!$B:$B,"="&amp;'Покупки по дням'!P$2)</f>
        <v>2</v>
      </c>
      <c r="Q132">
        <f>SUMIFS(data!$C:$C,data!$A:$A,"="&amp;'Покупки по дням'!$B132,data!$B:$B,"="&amp;'Покупки по дням'!Q$2)</f>
        <v>0</v>
      </c>
      <c r="R132">
        <f>SUMIFS(data!$C:$C,data!$A:$A,"="&amp;'Покупки по дням'!$B132,data!$B:$B,"="&amp;'Покупки по дням'!R$2)</f>
        <v>6</v>
      </c>
      <c r="S132">
        <f>SUMIFS(data!$C:$C,data!$A:$A,"="&amp;'Покупки по дням'!$B132,data!$B:$B,"="&amp;'Покупки по дням'!S$2)</f>
        <v>0</v>
      </c>
      <c r="T132">
        <f>SUMIFS(data!$C:$C,data!$A:$A,"="&amp;'Покупки по дням'!$B132,data!$B:$B,"="&amp;'Покупки по дням'!T$2)</f>
        <v>0</v>
      </c>
      <c r="U132">
        <f>SUMIFS(data!$C:$C,data!$A:$A,"="&amp;'Покупки по дням'!$B132,data!$B:$B,"="&amp;'Покупки по дням'!U$2)</f>
        <v>0</v>
      </c>
      <c r="V132">
        <f>SUMIFS(data!$C:$C,data!$A:$A,"="&amp;'Покупки по дням'!$B132,data!$B:$B,"="&amp;'Покупки по дням'!V$2)</f>
        <v>9</v>
      </c>
      <c r="W132">
        <f>SUMIFS(data!$C:$C,data!$A:$A,"="&amp;'Покупки по дням'!$B132,data!$B:$B,"="&amp;'Покупки по дням'!W$2)</f>
        <v>0</v>
      </c>
      <c r="X132">
        <f>SUMIFS(data!$C:$C,data!$A:$A,"="&amp;'Покупки по дням'!$B132,data!$B:$B,"="&amp;'Покупки по дням'!X$2)</f>
        <v>2</v>
      </c>
      <c r="Y132">
        <f>SUMIFS(data!$C:$C,data!$A:$A,"="&amp;'Покупки по дням'!$B132,data!$B:$B,"="&amp;'Покупки по дням'!Y$2)</f>
        <v>5</v>
      </c>
      <c r="Z132">
        <f>SUMIFS(data!$C:$C,data!$A:$A,"="&amp;'Покупки по дням'!$B132,data!$B:$B,"="&amp;'Покупки по дням'!Z$2)</f>
        <v>0</v>
      </c>
      <c r="AA132">
        <f>SUMIFS(data!$C:$C,data!$A:$A,"="&amp;'Покупки по дням'!$B132,data!$B:$B,"="&amp;'Покупки по дням'!AA$2)</f>
        <v>5</v>
      </c>
      <c r="AB132">
        <f>SUMIFS(data!$C:$C,data!$A:$A,"="&amp;'Покупки по дням'!$B132,data!$B:$B,"="&amp;'Покупки по дням'!AB$2)</f>
        <v>0</v>
      </c>
      <c r="AC132">
        <f>SUMIFS(data!$C:$C,data!$A:$A,"="&amp;'Покупки по дням'!$B132,data!$B:$B,"="&amp;'Покупки по дням'!AC$2)</f>
        <v>2</v>
      </c>
      <c r="AD132">
        <f>SUMIFS(data!$C:$C,data!$A:$A,"="&amp;'Покупки по дням'!$B132,data!$B:$B,"="&amp;'Покупки по дням'!AD$2)</f>
        <v>2</v>
      </c>
      <c r="AE132">
        <f>SUMIFS(data!$C:$C,data!$A:$A,"="&amp;'Покупки по дням'!$B132,data!$B:$B,"="&amp;'Покупки по дням'!AE$2)</f>
        <v>3</v>
      </c>
      <c r="AF132">
        <f>SUMIFS(data!$C:$C,data!$A:$A,"="&amp;'Покупки по дням'!$B132,data!$B:$B,"="&amp;'Покупки по дням'!AF$2)</f>
        <v>2</v>
      </c>
      <c r="AG132">
        <f>SUMIFS(data!$C:$C,data!$A:$A,"="&amp;'Покупки по дням'!$B132,data!$B:$B,"="&amp;'Покупки по дням'!AG$2)</f>
        <v>0</v>
      </c>
      <c r="AH132">
        <f>SUMIFS(data!$C:$C,data!$A:$A,"="&amp;'Покупки по дням'!$B132,data!$B:$B,"="&amp;'Покупки по дням'!AH$2)</f>
        <v>0</v>
      </c>
      <c r="AI132">
        <f>SUMIFS(data!$C:$C,data!$A:$A,"="&amp;'Покупки по дням'!$B132,data!$B:$B,"="&amp;'Покупки по дням'!AI$2)</f>
        <v>5</v>
      </c>
      <c r="AJ132">
        <f>SUMIFS(data!$C:$C,data!$A:$A,"="&amp;'Покупки по дням'!$B132,data!$B:$B,"="&amp;'Покупки по дням'!AJ$2)</f>
        <v>3</v>
      </c>
      <c r="AK132">
        <f>SUMIFS(data!$C:$C,data!$A:$A,"="&amp;'Покупки по дням'!$B132,data!$B:$B,"="&amp;'Покупки по дням'!AK$2)</f>
        <v>2</v>
      </c>
      <c r="AL132">
        <f>SUMIFS(data!$C:$C,data!$A:$A,"="&amp;'Покупки по дням'!$B132,data!$B:$B,"="&amp;'Покупки по дням'!AL$2)</f>
        <v>0</v>
      </c>
      <c r="AM132">
        <f>SUMIFS(data!$C:$C,data!$A:$A,"="&amp;'Покупки по дням'!$B132,data!$B:$B,"="&amp;'Покупки по дням'!AM$2)</f>
        <v>2</v>
      </c>
      <c r="AN132">
        <f>SUMIFS(data!$C:$C,data!$A:$A,"="&amp;'Покупки по дням'!$B132,data!$B:$B,"="&amp;'Покупки по дням'!AN$2)</f>
        <v>0</v>
      </c>
      <c r="AO132">
        <f>SUMIFS(data!$C:$C,data!$A:$A,"="&amp;'Покупки по дням'!$B132,data!$B:$B,"="&amp;'Покупки по дням'!AO$2)</f>
        <v>0</v>
      </c>
      <c r="AP132">
        <f>SUMIFS(data!$C:$C,data!$A:$A,"="&amp;'Покупки по дням'!$B132,data!$B:$B,"="&amp;'Покупки по дням'!AP$2)</f>
        <v>1</v>
      </c>
      <c r="AQ132" s="6">
        <f t="shared" ref="AQ132:AQ158" si="2">_xlfn.STDEV.S(C132:AP132)/AVERAGE(C132:AP132)</f>
        <v>1.5854095320317265</v>
      </c>
    </row>
    <row r="133" spans="2:43" ht="28.8" x14ac:dyDescent="0.3">
      <c r="B133" s="17" t="s">
        <v>69</v>
      </c>
      <c r="C133">
        <f>SUMIFS(data!$C:$C,data!$A:$A,"="&amp;'Покупки по дням'!$B133,data!$B:$B,"="&amp;'Покупки по дням'!C$2)</f>
        <v>0</v>
      </c>
      <c r="D133">
        <f>SUMIFS(data!$C:$C,data!$A:$A,"="&amp;'Покупки по дням'!$B133,data!$B:$B,"="&amp;'Покупки по дням'!D$2)</f>
        <v>0</v>
      </c>
      <c r="E133">
        <f>SUMIFS(data!$C:$C,data!$A:$A,"="&amp;'Покупки по дням'!$B133,data!$B:$B,"="&amp;'Покупки по дням'!E$2)</f>
        <v>0</v>
      </c>
      <c r="F133">
        <f>SUMIFS(data!$C:$C,data!$A:$A,"="&amp;'Покупки по дням'!$B133,data!$B:$B,"="&amp;'Покупки по дням'!F$2)</f>
        <v>0</v>
      </c>
      <c r="G133">
        <f>SUMIFS(data!$C:$C,data!$A:$A,"="&amp;'Покупки по дням'!$B133,data!$B:$B,"="&amp;'Покупки по дням'!G$2)</f>
        <v>0</v>
      </c>
      <c r="H133">
        <f>SUMIFS(data!$C:$C,data!$A:$A,"="&amp;'Покупки по дням'!$B133,data!$B:$B,"="&amp;'Покупки по дням'!H$2)</f>
        <v>0</v>
      </c>
      <c r="I133">
        <f>SUMIFS(data!$C:$C,data!$A:$A,"="&amp;'Покупки по дням'!$B133,data!$B:$B,"="&amp;'Покупки по дням'!I$2)</f>
        <v>0</v>
      </c>
      <c r="J133">
        <f>SUMIFS(data!$C:$C,data!$A:$A,"="&amp;'Покупки по дням'!$B133,data!$B:$B,"="&amp;'Покупки по дням'!J$2)</f>
        <v>0</v>
      </c>
      <c r="K133">
        <f>SUMIFS(data!$C:$C,data!$A:$A,"="&amp;'Покупки по дням'!$B133,data!$B:$B,"="&amp;'Покупки по дням'!K$2)</f>
        <v>0</v>
      </c>
      <c r="L133">
        <f>SUMIFS(data!$C:$C,data!$A:$A,"="&amp;'Покупки по дням'!$B133,data!$B:$B,"="&amp;'Покупки по дням'!L$2)</f>
        <v>0</v>
      </c>
      <c r="M133">
        <f>SUMIFS(data!$C:$C,data!$A:$A,"="&amp;'Покупки по дням'!$B133,data!$B:$B,"="&amp;'Покупки по дням'!M$2)</f>
        <v>0</v>
      </c>
      <c r="N133">
        <f>SUMIFS(data!$C:$C,data!$A:$A,"="&amp;'Покупки по дням'!$B133,data!$B:$B,"="&amp;'Покупки по дням'!N$2)</f>
        <v>0</v>
      </c>
      <c r="O133">
        <f>SUMIFS(data!$C:$C,data!$A:$A,"="&amp;'Покупки по дням'!$B133,data!$B:$B,"="&amp;'Покупки по дням'!O$2)</f>
        <v>0</v>
      </c>
      <c r="P133">
        <f>SUMIFS(data!$C:$C,data!$A:$A,"="&amp;'Покупки по дням'!$B133,data!$B:$B,"="&amp;'Покупки по дням'!P$2)</f>
        <v>0</v>
      </c>
      <c r="Q133">
        <f>SUMIFS(data!$C:$C,data!$A:$A,"="&amp;'Покупки по дням'!$B133,data!$B:$B,"="&amp;'Покупки по дням'!Q$2)</f>
        <v>0</v>
      </c>
      <c r="R133">
        <f>SUMIFS(data!$C:$C,data!$A:$A,"="&amp;'Покупки по дням'!$B133,data!$B:$B,"="&amp;'Покупки по дням'!R$2)</f>
        <v>1</v>
      </c>
      <c r="S133">
        <f>SUMIFS(data!$C:$C,data!$A:$A,"="&amp;'Покупки по дням'!$B133,data!$B:$B,"="&amp;'Покупки по дням'!S$2)</f>
        <v>0</v>
      </c>
      <c r="T133">
        <f>SUMIFS(data!$C:$C,data!$A:$A,"="&amp;'Покупки по дням'!$B133,data!$B:$B,"="&amp;'Покупки по дням'!T$2)</f>
        <v>0</v>
      </c>
      <c r="U133">
        <f>SUMIFS(data!$C:$C,data!$A:$A,"="&amp;'Покупки по дням'!$B133,data!$B:$B,"="&amp;'Покупки по дням'!U$2)</f>
        <v>0</v>
      </c>
      <c r="V133">
        <f>SUMIFS(data!$C:$C,data!$A:$A,"="&amp;'Покупки по дням'!$B133,data!$B:$B,"="&amp;'Покупки по дням'!V$2)</f>
        <v>4</v>
      </c>
      <c r="W133">
        <f>SUMIFS(data!$C:$C,data!$A:$A,"="&amp;'Покупки по дням'!$B133,data!$B:$B,"="&amp;'Покупки по дням'!W$2)</f>
        <v>3</v>
      </c>
      <c r="X133">
        <f>SUMIFS(data!$C:$C,data!$A:$A,"="&amp;'Покупки по дням'!$B133,data!$B:$B,"="&amp;'Покупки по дням'!X$2)</f>
        <v>5</v>
      </c>
      <c r="Y133">
        <f>SUMIFS(data!$C:$C,data!$A:$A,"="&amp;'Покупки по дням'!$B133,data!$B:$B,"="&amp;'Покупки по дням'!Y$2)</f>
        <v>1</v>
      </c>
      <c r="Z133">
        <f>SUMIFS(data!$C:$C,data!$A:$A,"="&amp;'Покупки по дням'!$B133,data!$B:$B,"="&amp;'Покупки по дням'!Z$2)</f>
        <v>2</v>
      </c>
      <c r="AA133">
        <f>SUMIFS(data!$C:$C,data!$A:$A,"="&amp;'Покупки по дням'!$B133,data!$B:$B,"="&amp;'Покупки по дням'!AA$2)</f>
        <v>2</v>
      </c>
      <c r="AB133">
        <f>SUMIFS(data!$C:$C,data!$A:$A,"="&amp;'Покупки по дням'!$B133,data!$B:$B,"="&amp;'Покупки по дням'!AB$2)</f>
        <v>1</v>
      </c>
      <c r="AC133">
        <f>SUMIFS(data!$C:$C,data!$A:$A,"="&amp;'Покупки по дням'!$B133,data!$B:$B,"="&amp;'Покупки по дням'!AC$2)</f>
        <v>1</v>
      </c>
      <c r="AD133">
        <f>SUMIFS(data!$C:$C,data!$A:$A,"="&amp;'Покупки по дням'!$B133,data!$B:$B,"="&amp;'Покупки по дням'!AD$2)</f>
        <v>9</v>
      </c>
      <c r="AE133">
        <f>SUMIFS(data!$C:$C,data!$A:$A,"="&amp;'Покупки по дням'!$B133,data!$B:$B,"="&amp;'Покупки по дням'!AE$2)</f>
        <v>0</v>
      </c>
      <c r="AF133">
        <f>SUMIFS(data!$C:$C,data!$A:$A,"="&amp;'Покупки по дням'!$B133,data!$B:$B,"="&amp;'Покупки по дням'!AF$2)</f>
        <v>3</v>
      </c>
      <c r="AG133">
        <f>SUMIFS(data!$C:$C,data!$A:$A,"="&amp;'Покупки по дням'!$B133,data!$B:$B,"="&amp;'Покупки по дням'!AG$2)</f>
        <v>0</v>
      </c>
      <c r="AH133">
        <f>SUMIFS(data!$C:$C,data!$A:$A,"="&amp;'Покупки по дням'!$B133,data!$B:$B,"="&amp;'Покупки по дням'!AH$2)</f>
        <v>1</v>
      </c>
      <c r="AI133">
        <f>SUMIFS(data!$C:$C,data!$A:$A,"="&amp;'Покупки по дням'!$B133,data!$B:$B,"="&amp;'Покупки по дням'!AI$2)</f>
        <v>0</v>
      </c>
      <c r="AJ133">
        <f>SUMIFS(data!$C:$C,data!$A:$A,"="&amp;'Покупки по дням'!$B133,data!$B:$B,"="&amp;'Покупки по дням'!AJ$2)</f>
        <v>3</v>
      </c>
      <c r="AK133">
        <f>SUMIFS(data!$C:$C,data!$A:$A,"="&amp;'Покупки по дням'!$B133,data!$B:$B,"="&amp;'Покупки по дням'!AK$2)</f>
        <v>0</v>
      </c>
      <c r="AL133">
        <f>SUMIFS(data!$C:$C,data!$A:$A,"="&amp;'Покупки по дням'!$B133,data!$B:$B,"="&amp;'Покупки по дням'!AL$2)</f>
        <v>2</v>
      </c>
      <c r="AM133">
        <f>SUMIFS(data!$C:$C,data!$A:$A,"="&amp;'Покупки по дням'!$B133,data!$B:$B,"="&amp;'Покупки по дням'!AM$2)</f>
        <v>1</v>
      </c>
      <c r="AN133">
        <f>SUMIFS(data!$C:$C,data!$A:$A,"="&amp;'Покупки по дням'!$B133,data!$B:$B,"="&amp;'Покупки по дням'!AN$2)</f>
        <v>0</v>
      </c>
      <c r="AO133">
        <f>SUMIFS(data!$C:$C,data!$A:$A,"="&amp;'Покупки по дням'!$B133,data!$B:$B,"="&amp;'Покупки по дням'!AO$2)</f>
        <v>3</v>
      </c>
      <c r="AP133">
        <f>SUMIFS(data!$C:$C,data!$A:$A,"="&amp;'Покупки по дням'!$B133,data!$B:$B,"="&amp;'Покупки по дням'!AP$2)</f>
        <v>2</v>
      </c>
      <c r="AQ133" s="6">
        <f t="shared" si="2"/>
        <v>1.6699480306554635</v>
      </c>
    </row>
    <row r="134" spans="2:43" ht="28.8" x14ac:dyDescent="0.3">
      <c r="B134" s="17" t="s">
        <v>33</v>
      </c>
      <c r="C134">
        <f>SUMIFS(data!$C:$C,data!$A:$A,"="&amp;'Покупки по дням'!$B134,data!$B:$B,"="&amp;'Покупки по дням'!C$2)</f>
        <v>4</v>
      </c>
      <c r="D134">
        <f>SUMIFS(data!$C:$C,data!$A:$A,"="&amp;'Покупки по дням'!$B134,data!$B:$B,"="&amp;'Покупки по дням'!D$2)</f>
        <v>0</v>
      </c>
      <c r="E134">
        <f>SUMIFS(data!$C:$C,data!$A:$A,"="&amp;'Покупки по дням'!$B134,data!$B:$B,"="&amp;'Покупки по дням'!E$2)</f>
        <v>0</v>
      </c>
      <c r="F134">
        <f>SUMIFS(data!$C:$C,data!$A:$A,"="&amp;'Покупки по дням'!$B134,data!$B:$B,"="&amp;'Покупки по дням'!F$2)</f>
        <v>0</v>
      </c>
      <c r="G134">
        <f>SUMIFS(data!$C:$C,data!$A:$A,"="&amp;'Покупки по дням'!$B134,data!$B:$B,"="&amp;'Покупки по дням'!G$2)</f>
        <v>0</v>
      </c>
      <c r="H134">
        <f>SUMIFS(data!$C:$C,data!$A:$A,"="&amp;'Покупки по дням'!$B134,data!$B:$B,"="&amp;'Покупки по дням'!H$2)</f>
        <v>0</v>
      </c>
      <c r="I134">
        <f>SUMIFS(data!$C:$C,data!$A:$A,"="&amp;'Покупки по дням'!$B134,data!$B:$B,"="&amp;'Покупки по дням'!I$2)</f>
        <v>0</v>
      </c>
      <c r="J134">
        <f>SUMIFS(data!$C:$C,data!$A:$A,"="&amp;'Покупки по дням'!$B134,data!$B:$B,"="&amp;'Покупки по дням'!J$2)</f>
        <v>0</v>
      </c>
      <c r="K134">
        <f>SUMIFS(data!$C:$C,data!$A:$A,"="&amp;'Покупки по дням'!$B134,data!$B:$B,"="&amp;'Покупки по дням'!K$2)</f>
        <v>0</v>
      </c>
      <c r="L134">
        <f>SUMIFS(data!$C:$C,data!$A:$A,"="&amp;'Покупки по дням'!$B134,data!$B:$B,"="&amp;'Покупки по дням'!L$2)</f>
        <v>3</v>
      </c>
      <c r="M134">
        <f>SUMIFS(data!$C:$C,data!$A:$A,"="&amp;'Покупки по дням'!$B134,data!$B:$B,"="&amp;'Покупки по дням'!M$2)</f>
        <v>0</v>
      </c>
      <c r="N134">
        <f>SUMIFS(data!$C:$C,data!$A:$A,"="&amp;'Покупки по дням'!$B134,data!$B:$B,"="&amp;'Покупки по дням'!N$2)</f>
        <v>4</v>
      </c>
      <c r="O134">
        <f>SUMIFS(data!$C:$C,data!$A:$A,"="&amp;'Покупки по дням'!$B134,data!$B:$B,"="&amp;'Покупки по дням'!O$2)</f>
        <v>5</v>
      </c>
      <c r="P134">
        <f>SUMIFS(data!$C:$C,data!$A:$A,"="&amp;'Покупки по дням'!$B134,data!$B:$B,"="&amp;'Покупки по дням'!P$2)</f>
        <v>0</v>
      </c>
      <c r="Q134">
        <f>SUMIFS(data!$C:$C,data!$A:$A,"="&amp;'Покупки по дням'!$B134,data!$B:$B,"="&amp;'Покупки по дням'!Q$2)</f>
        <v>2</v>
      </c>
      <c r="R134">
        <f>SUMIFS(data!$C:$C,data!$A:$A,"="&amp;'Покупки по дням'!$B134,data!$B:$B,"="&amp;'Покупки по дням'!R$2)</f>
        <v>0</v>
      </c>
      <c r="S134">
        <f>SUMIFS(data!$C:$C,data!$A:$A,"="&amp;'Покупки по дням'!$B134,data!$B:$B,"="&amp;'Покупки по дням'!S$2)</f>
        <v>0</v>
      </c>
      <c r="T134">
        <f>SUMIFS(data!$C:$C,data!$A:$A,"="&amp;'Покупки по дням'!$B134,data!$B:$B,"="&amp;'Покупки по дням'!T$2)</f>
        <v>6</v>
      </c>
      <c r="U134">
        <f>SUMIFS(data!$C:$C,data!$A:$A,"="&amp;'Покупки по дням'!$B134,data!$B:$B,"="&amp;'Покупки по дням'!U$2)</f>
        <v>0</v>
      </c>
      <c r="V134">
        <f>SUMIFS(data!$C:$C,data!$A:$A,"="&amp;'Покупки по дням'!$B134,data!$B:$B,"="&amp;'Покупки по дням'!V$2)</f>
        <v>0</v>
      </c>
      <c r="W134">
        <f>SUMIFS(data!$C:$C,data!$A:$A,"="&amp;'Покупки по дням'!$B134,data!$B:$B,"="&amp;'Покупки по дням'!W$2)</f>
        <v>1</v>
      </c>
      <c r="X134">
        <f>SUMIFS(data!$C:$C,data!$A:$A,"="&amp;'Покупки по дням'!$B134,data!$B:$B,"="&amp;'Покупки по дням'!X$2)</f>
        <v>0</v>
      </c>
      <c r="Y134">
        <f>SUMIFS(data!$C:$C,data!$A:$A,"="&amp;'Покупки по дням'!$B134,data!$B:$B,"="&amp;'Покупки по дням'!Y$2)</f>
        <v>5</v>
      </c>
      <c r="Z134">
        <f>SUMIFS(data!$C:$C,data!$A:$A,"="&amp;'Покупки по дням'!$B134,data!$B:$B,"="&amp;'Покупки по дням'!Z$2)</f>
        <v>3</v>
      </c>
      <c r="AA134">
        <f>SUMIFS(data!$C:$C,data!$A:$A,"="&amp;'Покупки по дням'!$B134,data!$B:$B,"="&amp;'Покупки по дням'!AA$2)</f>
        <v>0</v>
      </c>
      <c r="AB134">
        <f>SUMIFS(data!$C:$C,data!$A:$A,"="&amp;'Покупки по дням'!$B134,data!$B:$B,"="&amp;'Покупки по дням'!AB$2)</f>
        <v>5</v>
      </c>
      <c r="AC134">
        <f>SUMIFS(data!$C:$C,data!$A:$A,"="&amp;'Покупки по дням'!$B134,data!$B:$B,"="&amp;'Покупки по дням'!AC$2)</f>
        <v>0</v>
      </c>
      <c r="AD134">
        <f>SUMIFS(data!$C:$C,data!$A:$A,"="&amp;'Покупки по дням'!$B134,data!$B:$B,"="&amp;'Покупки по дням'!AD$2)</f>
        <v>5</v>
      </c>
      <c r="AE134">
        <f>SUMIFS(data!$C:$C,data!$A:$A,"="&amp;'Покупки по дням'!$B134,data!$B:$B,"="&amp;'Покупки по дням'!AE$2)</f>
        <v>0</v>
      </c>
      <c r="AF134">
        <f>SUMIFS(data!$C:$C,data!$A:$A,"="&amp;'Покупки по дням'!$B134,data!$B:$B,"="&amp;'Покупки по дням'!AF$2)</f>
        <v>0</v>
      </c>
      <c r="AG134">
        <f>SUMIFS(data!$C:$C,data!$A:$A,"="&amp;'Покупки по дням'!$B134,data!$B:$B,"="&amp;'Покупки по дням'!AG$2)</f>
        <v>0</v>
      </c>
      <c r="AH134">
        <f>SUMIFS(data!$C:$C,data!$A:$A,"="&amp;'Покупки по дням'!$B134,data!$B:$B,"="&amp;'Покупки по дням'!AH$2)</f>
        <v>0</v>
      </c>
      <c r="AI134">
        <f>SUMIFS(data!$C:$C,data!$A:$A,"="&amp;'Покупки по дням'!$B134,data!$B:$B,"="&amp;'Покупки по дням'!AI$2)</f>
        <v>5</v>
      </c>
      <c r="AJ134">
        <f>SUMIFS(data!$C:$C,data!$A:$A,"="&amp;'Покупки по дням'!$B134,data!$B:$B,"="&amp;'Покупки по дням'!AJ$2)</f>
        <v>5</v>
      </c>
      <c r="AK134">
        <f>SUMIFS(data!$C:$C,data!$A:$A,"="&amp;'Покупки по дням'!$B134,data!$B:$B,"="&amp;'Покупки по дням'!AK$2)</f>
        <v>0</v>
      </c>
      <c r="AL134">
        <f>SUMIFS(data!$C:$C,data!$A:$A,"="&amp;'Покупки по дням'!$B134,data!$B:$B,"="&amp;'Покупки по дням'!AL$2)</f>
        <v>0</v>
      </c>
      <c r="AM134">
        <f>SUMIFS(data!$C:$C,data!$A:$A,"="&amp;'Покупки по дням'!$B134,data!$B:$B,"="&amp;'Покупки по дням'!AM$2)</f>
        <v>0</v>
      </c>
      <c r="AN134">
        <f>SUMIFS(data!$C:$C,data!$A:$A,"="&amp;'Покупки по дням'!$B134,data!$B:$B,"="&amp;'Покупки по дням'!AN$2)</f>
        <v>0</v>
      </c>
      <c r="AO134">
        <f>SUMIFS(data!$C:$C,data!$A:$A,"="&amp;'Покупки по дням'!$B134,data!$B:$B,"="&amp;'Покупки по дням'!AO$2)</f>
        <v>0</v>
      </c>
      <c r="AP134">
        <f>SUMIFS(data!$C:$C,data!$A:$A,"="&amp;'Покупки по дням'!$B134,data!$B:$B,"="&amp;'Покупки по дням'!AP$2)</f>
        <v>6</v>
      </c>
      <c r="AQ134" s="6">
        <f t="shared" si="2"/>
        <v>1.4963180083991969</v>
      </c>
    </row>
    <row r="135" spans="2:43" ht="28.8" x14ac:dyDescent="0.3">
      <c r="B135" s="17" t="s">
        <v>142</v>
      </c>
      <c r="C135">
        <f>SUMIFS(data!$C:$C,data!$A:$A,"="&amp;'Покупки по дням'!$B135,data!$B:$B,"="&amp;'Покупки по дням'!C$2)</f>
        <v>0</v>
      </c>
      <c r="D135">
        <f>SUMIFS(data!$C:$C,data!$A:$A,"="&amp;'Покупки по дням'!$B135,data!$B:$B,"="&amp;'Покупки по дням'!D$2)</f>
        <v>0</v>
      </c>
      <c r="E135">
        <f>SUMIFS(data!$C:$C,data!$A:$A,"="&amp;'Покупки по дням'!$B135,data!$B:$B,"="&amp;'Покупки по дням'!E$2)</f>
        <v>0</v>
      </c>
      <c r="F135">
        <f>SUMIFS(data!$C:$C,data!$A:$A,"="&amp;'Покупки по дням'!$B135,data!$B:$B,"="&amp;'Покупки по дням'!F$2)</f>
        <v>2</v>
      </c>
      <c r="G135">
        <f>SUMIFS(data!$C:$C,data!$A:$A,"="&amp;'Покупки по дням'!$B135,data!$B:$B,"="&amp;'Покупки по дням'!G$2)</f>
        <v>3</v>
      </c>
      <c r="H135">
        <f>SUMIFS(data!$C:$C,data!$A:$A,"="&amp;'Покупки по дням'!$B135,data!$B:$B,"="&amp;'Покупки по дням'!H$2)</f>
        <v>2</v>
      </c>
      <c r="I135">
        <f>SUMIFS(data!$C:$C,data!$A:$A,"="&amp;'Покупки по дням'!$B135,data!$B:$B,"="&amp;'Покупки по дням'!I$2)</f>
        <v>0</v>
      </c>
      <c r="J135">
        <f>SUMIFS(data!$C:$C,data!$A:$A,"="&amp;'Покупки по дням'!$B135,data!$B:$B,"="&amp;'Покупки по дням'!J$2)</f>
        <v>0</v>
      </c>
      <c r="K135">
        <f>SUMIFS(data!$C:$C,data!$A:$A,"="&amp;'Покупки по дням'!$B135,data!$B:$B,"="&amp;'Покупки по дням'!K$2)</f>
        <v>0</v>
      </c>
      <c r="L135">
        <f>SUMIFS(data!$C:$C,data!$A:$A,"="&amp;'Покупки по дням'!$B135,data!$B:$B,"="&amp;'Покупки по дням'!L$2)</f>
        <v>0</v>
      </c>
      <c r="M135">
        <f>SUMIFS(data!$C:$C,data!$A:$A,"="&amp;'Покупки по дням'!$B135,data!$B:$B,"="&amp;'Покупки по дням'!M$2)</f>
        <v>1</v>
      </c>
      <c r="N135">
        <f>SUMIFS(data!$C:$C,data!$A:$A,"="&amp;'Покупки по дням'!$B135,data!$B:$B,"="&amp;'Покупки по дням'!N$2)</f>
        <v>3</v>
      </c>
      <c r="O135">
        <f>SUMIFS(data!$C:$C,data!$A:$A,"="&amp;'Покупки по дням'!$B135,data!$B:$B,"="&amp;'Покупки по дням'!O$2)</f>
        <v>11</v>
      </c>
      <c r="P135">
        <f>SUMIFS(data!$C:$C,data!$A:$A,"="&amp;'Покупки по дням'!$B135,data!$B:$B,"="&amp;'Покупки по дням'!P$2)</f>
        <v>1</v>
      </c>
      <c r="Q135">
        <f>SUMIFS(data!$C:$C,data!$A:$A,"="&amp;'Покупки по дням'!$B135,data!$B:$B,"="&amp;'Покупки по дням'!Q$2)</f>
        <v>0</v>
      </c>
      <c r="R135">
        <f>SUMIFS(data!$C:$C,data!$A:$A,"="&amp;'Покупки по дням'!$B135,data!$B:$B,"="&amp;'Покупки по дням'!R$2)</f>
        <v>5</v>
      </c>
      <c r="S135">
        <f>SUMIFS(data!$C:$C,data!$A:$A,"="&amp;'Покупки по дням'!$B135,data!$B:$B,"="&amp;'Покупки по дням'!S$2)</f>
        <v>0</v>
      </c>
      <c r="T135">
        <f>SUMIFS(data!$C:$C,data!$A:$A,"="&amp;'Покупки по дням'!$B135,data!$B:$B,"="&amp;'Покупки по дням'!T$2)</f>
        <v>0</v>
      </c>
      <c r="U135">
        <f>SUMIFS(data!$C:$C,data!$A:$A,"="&amp;'Покупки по дням'!$B135,data!$B:$B,"="&amp;'Покупки по дням'!U$2)</f>
        <v>0</v>
      </c>
      <c r="V135">
        <f>SUMIFS(data!$C:$C,data!$A:$A,"="&amp;'Покупки по дням'!$B135,data!$B:$B,"="&amp;'Покупки по дням'!V$2)</f>
        <v>0</v>
      </c>
      <c r="W135">
        <f>SUMIFS(data!$C:$C,data!$A:$A,"="&amp;'Покупки по дням'!$B135,data!$B:$B,"="&amp;'Покупки по дням'!W$2)</f>
        <v>0</v>
      </c>
      <c r="X135">
        <f>SUMIFS(data!$C:$C,data!$A:$A,"="&amp;'Покупки по дням'!$B135,data!$B:$B,"="&amp;'Покупки по дням'!X$2)</f>
        <v>1</v>
      </c>
      <c r="Y135">
        <f>SUMIFS(data!$C:$C,data!$A:$A,"="&amp;'Покупки по дням'!$B135,data!$B:$B,"="&amp;'Покупки по дням'!Y$2)</f>
        <v>0</v>
      </c>
      <c r="Z135">
        <f>SUMIFS(data!$C:$C,data!$A:$A,"="&amp;'Покупки по дням'!$B135,data!$B:$B,"="&amp;'Покупки по дням'!Z$2)</f>
        <v>7</v>
      </c>
      <c r="AA135">
        <f>SUMIFS(data!$C:$C,data!$A:$A,"="&amp;'Покупки по дням'!$B135,data!$B:$B,"="&amp;'Покупки по дням'!AA$2)</f>
        <v>0</v>
      </c>
      <c r="AB135">
        <f>SUMIFS(data!$C:$C,data!$A:$A,"="&amp;'Покупки по дням'!$B135,data!$B:$B,"="&amp;'Покупки по дням'!AB$2)</f>
        <v>1</v>
      </c>
      <c r="AC135">
        <f>SUMIFS(data!$C:$C,data!$A:$A,"="&amp;'Покупки по дням'!$B135,data!$B:$B,"="&amp;'Покупки по дням'!AC$2)</f>
        <v>1</v>
      </c>
      <c r="AD135">
        <f>SUMIFS(data!$C:$C,data!$A:$A,"="&amp;'Покупки по дням'!$B135,data!$B:$B,"="&amp;'Покупки по дням'!AD$2)</f>
        <v>1</v>
      </c>
      <c r="AE135">
        <f>SUMIFS(data!$C:$C,data!$A:$A,"="&amp;'Покупки по дням'!$B135,data!$B:$B,"="&amp;'Покупки по дням'!AE$2)</f>
        <v>4</v>
      </c>
      <c r="AF135">
        <f>SUMIFS(data!$C:$C,data!$A:$A,"="&amp;'Покупки по дням'!$B135,data!$B:$B,"="&amp;'Покупки по дням'!AF$2)</f>
        <v>5</v>
      </c>
      <c r="AG135">
        <f>SUMIFS(data!$C:$C,data!$A:$A,"="&amp;'Покупки по дням'!$B135,data!$B:$B,"="&amp;'Покупки по дням'!AG$2)</f>
        <v>0</v>
      </c>
      <c r="AH135">
        <f>SUMIFS(data!$C:$C,data!$A:$A,"="&amp;'Покупки по дням'!$B135,data!$B:$B,"="&amp;'Покупки по дням'!AH$2)</f>
        <v>3</v>
      </c>
      <c r="AI135">
        <f>SUMIFS(data!$C:$C,data!$A:$A,"="&amp;'Покупки по дням'!$B135,data!$B:$B,"="&amp;'Покупки по дням'!AI$2)</f>
        <v>0</v>
      </c>
      <c r="AJ135">
        <f>SUMIFS(data!$C:$C,data!$A:$A,"="&amp;'Покупки по дням'!$B135,data!$B:$B,"="&amp;'Покупки по дням'!AJ$2)</f>
        <v>2</v>
      </c>
      <c r="AK135">
        <f>SUMIFS(data!$C:$C,data!$A:$A,"="&amp;'Покупки по дням'!$B135,data!$B:$B,"="&amp;'Покупки по дням'!AK$2)</f>
        <v>2</v>
      </c>
      <c r="AL135">
        <f>SUMIFS(data!$C:$C,data!$A:$A,"="&amp;'Покупки по дням'!$B135,data!$B:$B,"="&amp;'Покупки по дням'!AL$2)</f>
        <v>0</v>
      </c>
      <c r="AM135">
        <f>SUMIFS(data!$C:$C,data!$A:$A,"="&amp;'Покупки по дням'!$B135,data!$B:$B,"="&amp;'Покупки по дням'!AM$2)</f>
        <v>3</v>
      </c>
      <c r="AN135">
        <f>SUMIFS(data!$C:$C,data!$A:$A,"="&amp;'Покупки по дням'!$B135,data!$B:$B,"="&amp;'Покупки по дням'!AN$2)</f>
        <v>0</v>
      </c>
      <c r="AO135">
        <f>SUMIFS(data!$C:$C,data!$A:$A,"="&amp;'Покупки по дням'!$B135,data!$B:$B,"="&amp;'Покупки по дням'!AO$2)</f>
        <v>1</v>
      </c>
      <c r="AP135">
        <f>SUMIFS(data!$C:$C,data!$A:$A,"="&amp;'Покупки по дням'!$B135,data!$B:$B,"="&amp;'Покупки по дням'!AP$2)</f>
        <v>0</v>
      </c>
      <c r="AQ135" s="6">
        <f t="shared" si="2"/>
        <v>1.5656015501461662</v>
      </c>
    </row>
    <row r="136" spans="2:43" ht="28.8" x14ac:dyDescent="0.3">
      <c r="B136" s="17" t="s">
        <v>75</v>
      </c>
      <c r="C136">
        <f>SUMIFS(data!$C:$C,data!$A:$A,"="&amp;'Покупки по дням'!$B136,data!$B:$B,"="&amp;'Покупки по дням'!C$2)</f>
        <v>0.16</v>
      </c>
      <c r="D136">
        <f>SUMIFS(data!$C:$C,data!$A:$A,"="&amp;'Покупки по дням'!$B136,data!$B:$B,"="&amp;'Покупки по дням'!D$2)</f>
        <v>0.1</v>
      </c>
      <c r="E136">
        <f>SUMIFS(data!$C:$C,data!$A:$A,"="&amp;'Покупки по дням'!$B136,data!$B:$B,"="&amp;'Покупки по дням'!E$2)</f>
        <v>0.2</v>
      </c>
      <c r="F136">
        <f>SUMIFS(data!$C:$C,data!$A:$A,"="&amp;'Покупки по дням'!$B136,data!$B:$B,"="&amp;'Покупки по дням'!F$2)</f>
        <v>0</v>
      </c>
      <c r="G136">
        <f>SUMIFS(data!$C:$C,data!$A:$A,"="&amp;'Покупки по дням'!$B136,data!$B:$B,"="&amp;'Покупки по дням'!G$2)</f>
        <v>0</v>
      </c>
      <c r="H136">
        <f>SUMIFS(data!$C:$C,data!$A:$A,"="&amp;'Покупки по дням'!$B136,data!$B:$B,"="&amp;'Покупки по дням'!H$2)</f>
        <v>0</v>
      </c>
      <c r="I136">
        <f>SUMIFS(data!$C:$C,data!$A:$A,"="&amp;'Покупки по дням'!$B136,data!$B:$B,"="&amp;'Покупки по дням'!I$2)</f>
        <v>0</v>
      </c>
      <c r="J136">
        <f>SUMIFS(data!$C:$C,data!$A:$A,"="&amp;'Покупки по дням'!$B136,data!$B:$B,"="&amp;'Покупки по дням'!J$2)</f>
        <v>0.64</v>
      </c>
      <c r="K136">
        <f>SUMIFS(data!$C:$C,data!$A:$A,"="&amp;'Покупки по дням'!$B136,data!$B:$B,"="&amp;'Покупки по дням'!K$2)</f>
        <v>0</v>
      </c>
      <c r="L136">
        <f>SUMIFS(data!$C:$C,data!$A:$A,"="&amp;'Покупки по дням'!$B136,data!$B:$B,"="&amp;'Покупки по дням'!L$2)</f>
        <v>1.06</v>
      </c>
      <c r="M136">
        <f>SUMIFS(data!$C:$C,data!$A:$A,"="&amp;'Покупки по дням'!$B136,data!$B:$B,"="&amp;'Покупки по дням'!M$2)</f>
        <v>0.2</v>
      </c>
      <c r="N136">
        <f>SUMIFS(data!$C:$C,data!$A:$A,"="&amp;'Покупки по дням'!$B136,data!$B:$B,"="&amp;'Покупки по дням'!N$2)</f>
        <v>0.24</v>
      </c>
      <c r="O136">
        <f>SUMIFS(data!$C:$C,data!$A:$A,"="&amp;'Покупки по дням'!$B136,data!$B:$B,"="&amp;'Покупки по дням'!O$2)</f>
        <v>0</v>
      </c>
      <c r="P136">
        <f>SUMIFS(data!$C:$C,data!$A:$A,"="&amp;'Покупки по дням'!$B136,data!$B:$B,"="&amp;'Покупки по дням'!P$2)</f>
        <v>0</v>
      </c>
      <c r="Q136">
        <f>SUMIFS(data!$C:$C,data!$A:$A,"="&amp;'Покупки по дням'!$B136,data!$B:$B,"="&amp;'Покупки по дням'!Q$2)</f>
        <v>0.2</v>
      </c>
      <c r="R136">
        <f>SUMIFS(data!$C:$C,data!$A:$A,"="&amp;'Покупки по дням'!$B136,data!$B:$B,"="&amp;'Покупки по дням'!R$2)</f>
        <v>0</v>
      </c>
      <c r="S136">
        <f>SUMIFS(data!$C:$C,data!$A:$A,"="&amp;'Покупки по дням'!$B136,data!$B:$B,"="&amp;'Покупки по дням'!S$2)</f>
        <v>0.1</v>
      </c>
      <c r="T136">
        <f>SUMIFS(data!$C:$C,data!$A:$A,"="&amp;'Покупки по дням'!$B136,data!$B:$B,"="&amp;'Покупки по дням'!T$2)</f>
        <v>0.74</v>
      </c>
      <c r="U136">
        <f>SUMIFS(data!$C:$C,data!$A:$A,"="&amp;'Покупки по дням'!$B136,data!$B:$B,"="&amp;'Покупки по дням'!U$2)</f>
        <v>0.16</v>
      </c>
      <c r="V136">
        <f>SUMIFS(data!$C:$C,data!$A:$A,"="&amp;'Покупки по дням'!$B136,data!$B:$B,"="&amp;'Покупки по дням'!V$2)</f>
        <v>0.3</v>
      </c>
      <c r="W136">
        <f>SUMIFS(data!$C:$C,data!$A:$A,"="&amp;'Покупки по дням'!$B136,data!$B:$B,"="&amp;'Покупки по дням'!W$2)</f>
        <v>0.14000000000000001</v>
      </c>
      <c r="X136">
        <f>SUMIFS(data!$C:$C,data!$A:$A,"="&amp;'Покупки по дням'!$B136,data!$B:$B,"="&amp;'Покупки по дням'!X$2)</f>
        <v>0.26</v>
      </c>
      <c r="Y136">
        <f>SUMIFS(data!$C:$C,data!$A:$A,"="&amp;'Покупки по дням'!$B136,data!$B:$B,"="&amp;'Покупки по дням'!Y$2)</f>
        <v>0.52</v>
      </c>
      <c r="Z136">
        <f>SUMIFS(data!$C:$C,data!$A:$A,"="&amp;'Покупки по дням'!$B136,data!$B:$B,"="&amp;'Покупки по дням'!Z$2)</f>
        <v>0</v>
      </c>
      <c r="AA136">
        <f>SUMIFS(data!$C:$C,data!$A:$A,"="&amp;'Покупки по дням'!$B136,data!$B:$B,"="&amp;'Покупки по дням'!AA$2)</f>
        <v>0.1</v>
      </c>
      <c r="AB136">
        <f>SUMIFS(data!$C:$C,data!$A:$A,"="&amp;'Покупки по дням'!$B136,data!$B:$B,"="&amp;'Покупки по дням'!AB$2)</f>
        <v>0.1</v>
      </c>
      <c r="AC136">
        <f>SUMIFS(data!$C:$C,data!$A:$A,"="&amp;'Покупки по дням'!$B136,data!$B:$B,"="&amp;'Покупки по дням'!AC$2)</f>
        <v>0.08</v>
      </c>
      <c r="AD136">
        <f>SUMIFS(data!$C:$C,data!$A:$A,"="&amp;'Покупки по дням'!$B136,data!$B:$B,"="&amp;'Покупки по дням'!AD$2)</f>
        <v>0.1</v>
      </c>
      <c r="AE136">
        <f>SUMIFS(data!$C:$C,data!$A:$A,"="&amp;'Покупки по дням'!$B136,data!$B:$B,"="&amp;'Покупки по дням'!AE$2)</f>
        <v>0.2</v>
      </c>
      <c r="AF136">
        <f>SUMIFS(data!$C:$C,data!$A:$A,"="&amp;'Покупки по дням'!$B136,data!$B:$B,"="&amp;'Покупки по дням'!AF$2)</f>
        <v>0</v>
      </c>
      <c r="AG136">
        <f>SUMIFS(data!$C:$C,data!$A:$A,"="&amp;'Покупки по дням'!$B136,data!$B:$B,"="&amp;'Покупки по дням'!AG$2)</f>
        <v>0</v>
      </c>
      <c r="AH136">
        <f>SUMIFS(data!$C:$C,data!$A:$A,"="&amp;'Покупки по дням'!$B136,data!$B:$B,"="&amp;'Покупки по дням'!AH$2)</f>
        <v>1.02</v>
      </c>
      <c r="AI136">
        <f>SUMIFS(data!$C:$C,data!$A:$A,"="&amp;'Покупки по дням'!$B136,data!$B:$B,"="&amp;'Покупки по дням'!AI$2)</f>
        <v>0.7</v>
      </c>
      <c r="AJ136">
        <f>SUMIFS(data!$C:$C,data!$A:$A,"="&amp;'Покупки по дням'!$B136,data!$B:$B,"="&amp;'Покупки по дням'!AJ$2)</f>
        <v>0.2</v>
      </c>
      <c r="AK136">
        <f>SUMIFS(data!$C:$C,data!$A:$A,"="&amp;'Покупки по дням'!$B136,data!$B:$B,"="&amp;'Покупки по дням'!AK$2)</f>
        <v>0.44000000000000006</v>
      </c>
      <c r="AL136">
        <f>SUMIFS(data!$C:$C,data!$A:$A,"="&amp;'Покупки по дням'!$B136,data!$B:$B,"="&amp;'Покупки по дням'!AL$2)</f>
        <v>0.1</v>
      </c>
      <c r="AM136">
        <f>SUMIFS(data!$C:$C,data!$A:$A,"="&amp;'Покупки по дням'!$B136,data!$B:$B,"="&amp;'Покупки по дням'!AM$2)</f>
        <v>1.04</v>
      </c>
      <c r="AN136">
        <f>SUMIFS(data!$C:$C,data!$A:$A,"="&amp;'Покупки по дням'!$B136,data!$B:$B,"="&amp;'Покупки по дням'!AN$2)</f>
        <v>0.2</v>
      </c>
      <c r="AO136">
        <f>SUMIFS(data!$C:$C,data!$A:$A,"="&amp;'Покупки по дням'!$B136,data!$B:$B,"="&amp;'Покупки по дням'!AO$2)</f>
        <v>1.28</v>
      </c>
      <c r="AP136">
        <f>SUMIFS(data!$C:$C,data!$A:$A,"="&amp;'Покупки по дням'!$B136,data!$B:$B,"="&amp;'Покупки по дням'!AP$2)</f>
        <v>0.62</v>
      </c>
      <c r="AQ136" s="6">
        <f t="shared" si="2"/>
        <v>1.2313496145955991</v>
      </c>
    </row>
    <row r="137" spans="2:43" ht="43.2" x14ac:dyDescent="0.3">
      <c r="B137" s="17" t="s">
        <v>155</v>
      </c>
      <c r="C137">
        <f>SUMIFS(data!$C:$C,data!$A:$A,"="&amp;'Покупки по дням'!$B137,data!$B:$B,"="&amp;'Покупки по дням'!C$2)</f>
        <v>0</v>
      </c>
      <c r="D137">
        <f>SUMIFS(data!$C:$C,data!$A:$A,"="&amp;'Покупки по дням'!$B137,data!$B:$B,"="&amp;'Покупки по дням'!D$2)</f>
        <v>0.64</v>
      </c>
      <c r="E137">
        <f>SUMIFS(data!$C:$C,data!$A:$A,"="&amp;'Покупки по дням'!$B137,data!$B:$B,"="&amp;'Покупки по дням'!E$2)</f>
        <v>0.56000000000000005</v>
      </c>
      <c r="F137">
        <f>SUMIFS(data!$C:$C,data!$A:$A,"="&amp;'Покупки по дням'!$B137,data!$B:$B,"="&amp;'Покупки по дням'!F$2)</f>
        <v>0.4</v>
      </c>
      <c r="G137">
        <f>SUMIFS(data!$C:$C,data!$A:$A,"="&amp;'Покупки по дням'!$B137,data!$B:$B,"="&amp;'Покупки по дням'!G$2)</f>
        <v>0.24</v>
      </c>
      <c r="H137">
        <f>SUMIFS(data!$C:$C,data!$A:$A,"="&amp;'Покупки по дням'!$B137,data!$B:$B,"="&amp;'Покупки по дням'!H$2)</f>
        <v>0.24</v>
      </c>
      <c r="I137">
        <f>SUMIFS(data!$C:$C,data!$A:$A,"="&amp;'Покупки по дням'!$B137,data!$B:$B,"="&amp;'Покупки по дням'!I$2)</f>
        <v>0</v>
      </c>
      <c r="J137">
        <f>SUMIFS(data!$C:$C,data!$A:$A,"="&amp;'Покупки по дням'!$B137,data!$B:$B,"="&amp;'Покупки по дням'!J$2)</f>
        <v>0</v>
      </c>
      <c r="K137">
        <f>SUMIFS(data!$C:$C,data!$A:$A,"="&amp;'Покупки по дням'!$B137,data!$B:$B,"="&amp;'Покупки по дням'!K$2)</f>
        <v>0</v>
      </c>
      <c r="L137">
        <f>SUMIFS(data!$C:$C,data!$A:$A,"="&amp;'Покупки по дням'!$B137,data!$B:$B,"="&amp;'Покупки по дням'!L$2)</f>
        <v>0.4</v>
      </c>
      <c r="M137">
        <f>SUMIFS(data!$C:$C,data!$A:$A,"="&amp;'Покупки по дням'!$B137,data!$B:$B,"="&amp;'Покупки по дням'!M$2)</f>
        <v>0</v>
      </c>
      <c r="N137">
        <f>SUMIFS(data!$C:$C,data!$A:$A,"="&amp;'Покупки по дням'!$B137,data!$B:$B,"="&amp;'Покупки по дням'!N$2)</f>
        <v>0.56000000000000005</v>
      </c>
      <c r="O137">
        <f>SUMIFS(data!$C:$C,data!$A:$A,"="&amp;'Покупки по дням'!$B137,data!$B:$B,"="&amp;'Покупки по дням'!O$2)</f>
        <v>0.64</v>
      </c>
      <c r="P137">
        <f>SUMIFS(data!$C:$C,data!$A:$A,"="&amp;'Покупки по дням'!$B137,data!$B:$B,"="&amp;'Покупки по дням'!P$2)</f>
        <v>0</v>
      </c>
      <c r="Q137">
        <f>SUMIFS(data!$C:$C,data!$A:$A,"="&amp;'Покупки по дням'!$B137,data!$B:$B,"="&amp;'Покупки по дням'!Q$2)</f>
        <v>0.84000000000000008</v>
      </c>
      <c r="R137">
        <f>SUMIFS(data!$C:$C,data!$A:$A,"="&amp;'Покупки по дням'!$B137,data!$B:$B,"="&amp;'Покупки по дням'!R$2)</f>
        <v>0.4</v>
      </c>
      <c r="S137">
        <f>SUMIFS(data!$C:$C,data!$A:$A,"="&amp;'Покупки по дням'!$B137,data!$B:$B,"="&amp;'Покупки по дням'!S$2)</f>
        <v>0.24</v>
      </c>
      <c r="T137">
        <f>SUMIFS(data!$C:$C,data!$A:$A,"="&amp;'Покупки по дням'!$B137,data!$B:$B,"="&amp;'Покупки по дням'!T$2)</f>
        <v>0.48</v>
      </c>
      <c r="U137">
        <f>SUMIFS(data!$C:$C,data!$A:$A,"="&amp;'Покупки по дням'!$B137,data!$B:$B,"="&amp;'Покупки по дням'!U$2)</f>
        <v>0.48</v>
      </c>
      <c r="V137">
        <f>SUMIFS(data!$C:$C,data!$A:$A,"="&amp;'Покупки по дням'!$B137,data!$B:$B,"="&amp;'Покупки по дням'!V$2)</f>
        <v>0</v>
      </c>
      <c r="W137">
        <f>SUMIFS(data!$C:$C,data!$A:$A,"="&amp;'Покупки по дням'!$B137,data!$B:$B,"="&amp;'Покупки по дням'!W$2)</f>
        <v>0.64</v>
      </c>
      <c r="X137">
        <f>SUMIFS(data!$C:$C,data!$A:$A,"="&amp;'Покупки по дням'!$B137,data!$B:$B,"="&amp;'Покупки по дням'!X$2)</f>
        <v>0.28000000000000003</v>
      </c>
      <c r="Y137">
        <f>SUMIFS(data!$C:$C,data!$A:$A,"="&amp;'Покупки по дням'!$B137,data!$B:$B,"="&amp;'Покупки по дням'!Y$2)</f>
        <v>0.48</v>
      </c>
      <c r="Z137">
        <f>SUMIFS(data!$C:$C,data!$A:$A,"="&amp;'Покупки по дням'!$B137,data!$B:$B,"="&amp;'Покупки по дням'!Z$2)</f>
        <v>0</v>
      </c>
      <c r="AA137">
        <f>SUMIFS(data!$C:$C,data!$A:$A,"="&amp;'Покупки по дням'!$B137,data!$B:$B,"="&amp;'Покупки по дням'!AA$2)</f>
        <v>0</v>
      </c>
      <c r="AB137">
        <f>SUMIFS(data!$C:$C,data!$A:$A,"="&amp;'Покупки по дням'!$B137,data!$B:$B,"="&amp;'Покупки по дням'!AB$2)</f>
        <v>0.84</v>
      </c>
      <c r="AC137">
        <f>SUMIFS(data!$C:$C,data!$A:$A,"="&amp;'Покупки по дням'!$B137,data!$B:$B,"="&amp;'Покупки по дням'!AC$2)</f>
        <v>0</v>
      </c>
      <c r="AD137">
        <f>SUMIFS(data!$C:$C,data!$A:$A,"="&amp;'Покупки по дням'!$B137,data!$B:$B,"="&amp;'Покупки по дням'!AD$2)</f>
        <v>0.44</v>
      </c>
      <c r="AE137">
        <f>SUMIFS(data!$C:$C,data!$A:$A,"="&amp;'Покупки по дням'!$B137,data!$B:$B,"="&amp;'Покупки по дням'!AE$2)</f>
        <v>0</v>
      </c>
      <c r="AF137">
        <f>SUMIFS(data!$C:$C,data!$A:$A,"="&amp;'Покупки по дням'!$B137,data!$B:$B,"="&amp;'Покупки по дням'!AF$2)</f>
        <v>0</v>
      </c>
      <c r="AG137">
        <f>SUMIFS(data!$C:$C,data!$A:$A,"="&amp;'Покупки по дням'!$B137,data!$B:$B,"="&amp;'Покупки по дням'!AG$2)</f>
        <v>0</v>
      </c>
      <c r="AH137">
        <f>SUMIFS(data!$C:$C,data!$A:$A,"="&amp;'Покупки по дням'!$B137,data!$B:$B,"="&amp;'Покупки по дням'!AH$2)</f>
        <v>0.4</v>
      </c>
      <c r="AI137">
        <f>SUMIFS(data!$C:$C,data!$A:$A,"="&amp;'Покупки по дням'!$B137,data!$B:$B,"="&amp;'Покупки по дням'!AI$2)</f>
        <v>0.16</v>
      </c>
      <c r="AJ137">
        <f>SUMIFS(data!$C:$C,data!$A:$A,"="&amp;'Покупки по дням'!$B137,data!$B:$B,"="&amp;'Покупки по дням'!AJ$2)</f>
        <v>0.6</v>
      </c>
      <c r="AK137">
        <f>SUMIFS(data!$C:$C,data!$A:$A,"="&amp;'Покупки по дням'!$B137,data!$B:$B,"="&amp;'Покупки по дням'!AK$2)</f>
        <v>0.08</v>
      </c>
      <c r="AL137">
        <f>SUMIFS(data!$C:$C,data!$A:$A,"="&amp;'Покупки по дням'!$B137,data!$B:$B,"="&amp;'Покупки по дням'!AL$2)</f>
        <v>0.4</v>
      </c>
      <c r="AM137">
        <f>SUMIFS(data!$C:$C,data!$A:$A,"="&amp;'Покупки по дням'!$B137,data!$B:$B,"="&amp;'Покупки по дням'!AM$2)</f>
        <v>0.56000000000000005</v>
      </c>
      <c r="AN137">
        <f>SUMIFS(data!$C:$C,data!$A:$A,"="&amp;'Покупки по дням'!$B137,data!$B:$B,"="&amp;'Покупки по дням'!AN$2)</f>
        <v>0</v>
      </c>
      <c r="AO137">
        <f>SUMIFS(data!$C:$C,data!$A:$A,"="&amp;'Покупки по дням'!$B137,data!$B:$B,"="&amp;'Покупки по дням'!AO$2)</f>
        <v>0</v>
      </c>
      <c r="AP137">
        <f>SUMIFS(data!$C:$C,data!$A:$A,"="&amp;'Покупки по дням'!$B137,data!$B:$B,"="&amp;'Покупки по дням'!AP$2)</f>
        <v>0</v>
      </c>
      <c r="AQ137" s="6">
        <f t="shared" si="2"/>
        <v>0.98882075016066173</v>
      </c>
    </row>
    <row r="138" spans="2:43" ht="28.8" x14ac:dyDescent="0.3">
      <c r="B138" s="17" t="s">
        <v>110</v>
      </c>
      <c r="C138">
        <f>SUMIFS(data!$C:$C,data!$A:$A,"="&amp;'Покупки по дням'!$B138,data!$B:$B,"="&amp;'Покупки по дням'!C$2)</f>
        <v>0</v>
      </c>
      <c r="D138">
        <f>SUMIFS(data!$C:$C,data!$A:$A,"="&amp;'Покупки по дням'!$B138,data!$B:$B,"="&amp;'Покупки по дням'!D$2)</f>
        <v>0</v>
      </c>
      <c r="E138">
        <f>SUMIFS(data!$C:$C,data!$A:$A,"="&amp;'Покупки по дням'!$B138,data!$B:$B,"="&amp;'Покупки по дням'!E$2)</f>
        <v>0</v>
      </c>
      <c r="F138">
        <f>SUMIFS(data!$C:$C,data!$A:$A,"="&amp;'Покупки по дням'!$B138,data!$B:$B,"="&amp;'Покупки по дням'!F$2)</f>
        <v>0</v>
      </c>
      <c r="G138">
        <f>SUMIFS(data!$C:$C,data!$A:$A,"="&amp;'Покупки по дням'!$B138,data!$B:$B,"="&amp;'Покупки по дням'!G$2)</f>
        <v>0</v>
      </c>
      <c r="H138">
        <f>SUMIFS(data!$C:$C,data!$A:$A,"="&amp;'Покупки по дням'!$B138,data!$B:$B,"="&amp;'Покупки по дням'!H$2)</f>
        <v>1</v>
      </c>
      <c r="I138">
        <f>SUMIFS(data!$C:$C,data!$A:$A,"="&amp;'Покупки по дням'!$B138,data!$B:$B,"="&amp;'Покупки по дням'!I$2)</f>
        <v>1</v>
      </c>
      <c r="J138">
        <f>SUMIFS(data!$C:$C,data!$A:$A,"="&amp;'Покупки по дням'!$B138,data!$B:$B,"="&amp;'Покупки по дням'!J$2)</f>
        <v>3</v>
      </c>
      <c r="K138">
        <f>SUMIFS(data!$C:$C,data!$A:$A,"="&amp;'Покупки по дням'!$B138,data!$B:$B,"="&amp;'Покупки по дням'!K$2)</f>
        <v>0</v>
      </c>
      <c r="L138">
        <f>SUMIFS(data!$C:$C,data!$A:$A,"="&amp;'Покупки по дням'!$B138,data!$B:$B,"="&amp;'Покупки по дням'!L$2)</f>
        <v>2</v>
      </c>
      <c r="M138">
        <f>SUMIFS(data!$C:$C,data!$A:$A,"="&amp;'Покупки по дням'!$B138,data!$B:$B,"="&amp;'Покупки по дням'!M$2)</f>
        <v>1</v>
      </c>
      <c r="N138">
        <f>SUMIFS(data!$C:$C,data!$A:$A,"="&amp;'Покупки по дням'!$B138,data!$B:$B,"="&amp;'Покупки по дням'!N$2)</f>
        <v>1</v>
      </c>
      <c r="O138">
        <f>SUMIFS(data!$C:$C,data!$A:$A,"="&amp;'Покупки по дням'!$B138,data!$B:$B,"="&amp;'Покупки по дням'!O$2)</f>
        <v>1</v>
      </c>
      <c r="P138">
        <f>SUMIFS(data!$C:$C,data!$A:$A,"="&amp;'Покупки по дням'!$B138,data!$B:$B,"="&amp;'Покупки по дням'!P$2)</f>
        <v>1</v>
      </c>
      <c r="Q138">
        <f>SUMIFS(data!$C:$C,data!$A:$A,"="&amp;'Покупки по дням'!$B138,data!$B:$B,"="&amp;'Покупки по дням'!Q$2)</f>
        <v>2</v>
      </c>
      <c r="R138">
        <f>SUMIFS(data!$C:$C,data!$A:$A,"="&amp;'Покупки по дням'!$B138,data!$B:$B,"="&amp;'Покупки по дням'!R$2)</f>
        <v>3</v>
      </c>
      <c r="S138">
        <f>SUMIFS(data!$C:$C,data!$A:$A,"="&amp;'Покупки по дням'!$B138,data!$B:$B,"="&amp;'Покупки по дням'!S$2)</f>
        <v>2</v>
      </c>
      <c r="T138">
        <f>SUMIFS(data!$C:$C,data!$A:$A,"="&amp;'Покупки по дням'!$B138,data!$B:$B,"="&amp;'Покупки по дням'!T$2)</f>
        <v>1</v>
      </c>
      <c r="U138">
        <f>SUMIFS(data!$C:$C,data!$A:$A,"="&amp;'Покупки по дням'!$B138,data!$B:$B,"="&amp;'Покупки по дням'!U$2)</f>
        <v>3</v>
      </c>
      <c r="V138">
        <f>SUMIFS(data!$C:$C,data!$A:$A,"="&amp;'Покупки по дням'!$B138,data!$B:$B,"="&amp;'Покупки по дням'!V$2)</f>
        <v>0</v>
      </c>
      <c r="W138">
        <f>SUMIFS(data!$C:$C,data!$A:$A,"="&amp;'Покупки по дням'!$B138,data!$B:$B,"="&amp;'Покупки по дням'!W$2)</f>
        <v>3</v>
      </c>
      <c r="X138">
        <f>SUMIFS(data!$C:$C,data!$A:$A,"="&amp;'Покупки по дням'!$B138,data!$B:$B,"="&amp;'Покупки по дням'!X$2)</f>
        <v>2</v>
      </c>
      <c r="Y138">
        <f>SUMIFS(data!$C:$C,data!$A:$A,"="&amp;'Покупки по дням'!$B138,data!$B:$B,"="&amp;'Покупки по дням'!Y$2)</f>
        <v>1</v>
      </c>
      <c r="Z138">
        <f>SUMIFS(data!$C:$C,data!$A:$A,"="&amp;'Покупки по дням'!$B138,data!$B:$B,"="&amp;'Покупки по дням'!Z$2)</f>
        <v>0</v>
      </c>
      <c r="AA138">
        <f>SUMIFS(data!$C:$C,data!$A:$A,"="&amp;'Покупки по дням'!$B138,data!$B:$B,"="&amp;'Покупки по дням'!AA$2)</f>
        <v>2</v>
      </c>
      <c r="AB138">
        <f>SUMIFS(data!$C:$C,data!$A:$A,"="&amp;'Покупки по дням'!$B138,data!$B:$B,"="&amp;'Покупки по дням'!AB$2)</f>
        <v>0</v>
      </c>
      <c r="AC138">
        <f>SUMIFS(data!$C:$C,data!$A:$A,"="&amp;'Покупки по дням'!$B138,data!$B:$B,"="&amp;'Покупки по дням'!AC$2)</f>
        <v>2</v>
      </c>
      <c r="AD138">
        <f>SUMIFS(data!$C:$C,data!$A:$A,"="&amp;'Покупки по дням'!$B138,data!$B:$B,"="&amp;'Покупки по дням'!AD$2)</f>
        <v>1</v>
      </c>
      <c r="AE138">
        <f>SUMIFS(data!$C:$C,data!$A:$A,"="&amp;'Покупки по дням'!$B138,data!$B:$B,"="&amp;'Покупки по дням'!AE$2)</f>
        <v>1</v>
      </c>
      <c r="AF138">
        <f>SUMIFS(data!$C:$C,data!$A:$A,"="&amp;'Покупки по дням'!$B138,data!$B:$B,"="&amp;'Покупки по дням'!AF$2)</f>
        <v>0</v>
      </c>
      <c r="AG138">
        <f>SUMIFS(data!$C:$C,data!$A:$A,"="&amp;'Покупки по дням'!$B138,data!$B:$B,"="&amp;'Покупки по дням'!AG$2)</f>
        <v>1</v>
      </c>
      <c r="AH138">
        <f>SUMIFS(data!$C:$C,data!$A:$A,"="&amp;'Покупки по дням'!$B138,data!$B:$B,"="&amp;'Покупки по дням'!AH$2)</f>
        <v>0</v>
      </c>
      <c r="AI138">
        <f>SUMIFS(data!$C:$C,data!$A:$A,"="&amp;'Покупки по дням'!$B138,data!$B:$B,"="&amp;'Покупки по дням'!AI$2)</f>
        <v>0</v>
      </c>
      <c r="AJ138">
        <f>SUMIFS(data!$C:$C,data!$A:$A,"="&amp;'Покупки по дням'!$B138,data!$B:$B,"="&amp;'Покупки по дням'!AJ$2)</f>
        <v>0</v>
      </c>
      <c r="AK138">
        <f>SUMIFS(data!$C:$C,data!$A:$A,"="&amp;'Покупки по дням'!$B138,data!$B:$B,"="&amp;'Покупки по дням'!AK$2)</f>
        <v>3</v>
      </c>
      <c r="AL138">
        <f>SUMIFS(data!$C:$C,data!$A:$A,"="&amp;'Покупки по дням'!$B138,data!$B:$B,"="&amp;'Покупки по дням'!AL$2)</f>
        <v>0</v>
      </c>
      <c r="AM138">
        <f>SUMIFS(data!$C:$C,data!$A:$A,"="&amp;'Покупки по дням'!$B138,data!$B:$B,"="&amp;'Покупки по дням'!AM$2)</f>
        <v>0</v>
      </c>
      <c r="AN138">
        <f>SUMIFS(data!$C:$C,data!$A:$A,"="&amp;'Покупки по дням'!$B138,data!$B:$B,"="&amp;'Покупки по дням'!AN$2)</f>
        <v>0</v>
      </c>
      <c r="AO138">
        <f>SUMIFS(data!$C:$C,data!$A:$A,"="&amp;'Покупки по дням'!$B138,data!$B:$B,"="&amp;'Покупки по дням'!AO$2)</f>
        <v>2</v>
      </c>
      <c r="AP138">
        <f>SUMIFS(data!$C:$C,data!$A:$A,"="&amp;'Покупки по дням'!$B138,data!$B:$B,"="&amp;'Покупки по дням'!AP$2)</f>
        <v>2</v>
      </c>
      <c r="AQ138" s="6">
        <f t="shared" si="2"/>
        <v>1.0104402963155041</v>
      </c>
    </row>
    <row r="139" spans="2:43" ht="28.8" x14ac:dyDescent="0.3">
      <c r="B139" s="17" t="s">
        <v>14</v>
      </c>
      <c r="C139">
        <f>SUMIFS(data!$C:$C,data!$A:$A,"="&amp;'Покупки по дням'!$B139,data!$B:$B,"="&amp;'Покупки по дням'!C$2)</f>
        <v>0</v>
      </c>
      <c r="D139">
        <f>SUMIFS(data!$C:$C,data!$A:$A,"="&amp;'Покупки по дням'!$B139,data!$B:$B,"="&amp;'Покупки по дням'!D$2)</f>
        <v>0.5</v>
      </c>
      <c r="E139">
        <f>SUMIFS(data!$C:$C,data!$A:$A,"="&amp;'Покупки по дням'!$B139,data!$B:$B,"="&amp;'Покупки по дням'!E$2)</f>
        <v>0.30000000000000004</v>
      </c>
      <c r="F139">
        <f>SUMIFS(data!$C:$C,data!$A:$A,"="&amp;'Покупки по дням'!$B139,data!$B:$B,"="&amp;'Покупки по дням'!F$2)</f>
        <v>0</v>
      </c>
      <c r="G139">
        <f>SUMIFS(data!$C:$C,data!$A:$A,"="&amp;'Покупки по дням'!$B139,data!$B:$B,"="&amp;'Покупки по дням'!G$2)</f>
        <v>0.2</v>
      </c>
      <c r="H139">
        <f>SUMIFS(data!$C:$C,data!$A:$A,"="&amp;'Покупки по дням'!$B139,data!$B:$B,"="&amp;'Покупки по дням'!H$2)</f>
        <v>2.2999999999999998</v>
      </c>
      <c r="I139">
        <f>SUMIFS(data!$C:$C,data!$A:$A,"="&amp;'Покупки по дням'!$B139,data!$B:$B,"="&amp;'Покупки по дням'!I$2)</f>
        <v>0.5</v>
      </c>
      <c r="J139">
        <f>SUMIFS(data!$C:$C,data!$A:$A,"="&amp;'Покупки по дням'!$B139,data!$B:$B,"="&amp;'Покупки по дням'!J$2)</f>
        <v>1.3</v>
      </c>
      <c r="K139">
        <f>SUMIFS(data!$C:$C,data!$A:$A,"="&amp;'Покупки по дням'!$B139,data!$B:$B,"="&amp;'Покупки по дням'!K$2)</f>
        <v>0</v>
      </c>
      <c r="L139">
        <f>SUMIFS(data!$C:$C,data!$A:$A,"="&amp;'Покупки по дням'!$B139,data!$B:$B,"="&amp;'Покупки по дням'!L$2)</f>
        <v>0.1</v>
      </c>
      <c r="M139">
        <f>SUMIFS(data!$C:$C,data!$A:$A,"="&amp;'Покупки по дням'!$B139,data!$B:$B,"="&amp;'Покупки по дням'!M$2)</f>
        <v>2</v>
      </c>
      <c r="N139">
        <f>SUMIFS(data!$C:$C,data!$A:$A,"="&amp;'Покупки по дням'!$B139,data!$B:$B,"="&amp;'Покупки по дням'!N$2)</f>
        <v>0.4</v>
      </c>
      <c r="O139">
        <f>SUMIFS(data!$C:$C,data!$A:$A,"="&amp;'Покупки по дням'!$B139,data!$B:$B,"="&amp;'Покупки по дням'!O$2)</f>
        <v>1.5</v>
      </c>
      <c r="P139">
        <f>SUMIFS(data!$C:$C,data!$A:$A,"="&amp;'Покупки по дням'!$B139,data!$B:$B,"="&amp;'Покупки по дням'!P$2)</f>
        <v>0.2</v>
      </c>
      <c r="Q139">
        <f>SUMIFS(data!$C:$C,data!$A:$A,"="&amp;'Покупки по дням'!$B139,data!$B:$B,"="&amp;'Покупки по дням'!Q$2)</f>
        <v>0.7</v>
      </c>
      <c r="R139">
        <f>SUMIFS(data!$C:$C,data!$A:$A,"="&amp;'Покупки по дням'!$B139,data!$B:$B,"="&amp;'Покупки по дням'!R$2)</f>
        <v>1.2</v>
      </c>
      <c r="S139">
        <f>SUMIFS(data!$C:$C,data!$A:$A,"="&amp;'Покупки по дням'!$B139,data!$B:$B,"="&amp;'Покупки по дням'!S$2)</f>
        <v>0.3</v>
      </c>
      <c r="T139">
        <f>SUMIFS(data!$C:$C,data!$A:$A,"="&amp;'Покупки по дням'!$B139,data!$B:$B,"="&amp;'Покупки по дням'!T$2)</f>
        <v>0.2</v>
      </c>
      <c r="U139">
        <f>SUMIFS(data!$C:$C,data!$A:$A,"="&amp;'Покупки по дням'!$B139,data!$B:$B,"="&amp;'Покупки по дням'!U$2)</f>
        <v>1.5</v>
      </c>
      <c r="V139">
        <f>SUMIFS(data!$C:$C,data!$A:$A,"="&amp;'Покупки по дням'!$B139,data!$B:$B,"="&amp;'Покупки по дням'!V$2)</f>
        <v>1.3</v>
      </c>
      <c r="W139">
        <f>SUMIFS(data!$C:$C,data!$A:$A,"="&amp;'Покупки по дням'!$B139,data!$B:$B,"="&amp;'Покупки по дням'!W$2)</f>
        <v>0</v>
      </c>
      <c r="X139">
        <f>SUMIFS(data!$C:$C,data!$A:$A,"="&amp;'Покупки по дням'!$B139,data!$B:$B,"="&amp;'Покупки по дням'!X$2)</f>
        <v>0</v>
      </c>
      <c r="Y139">
        <f>SUMIFS(data!$C:$C,data!$A:$A,"="&amp;'Покупки по дням'!$B139,data!$B:$B,"="&amp;'Покупки по дням'!Y$2)</f>
        <v>0.1</v>
      </c>
      <c r="Z139">
        <f>SUMIFS(data!$C:$C,data!$A:$A,"="&amp;'Покупки по дням'!$B139,data!$B:$B,"="&amp;'Покупки по дням'!Z$2)</f>
        <v>0</v>
      </c>
      <c r="AA139">
        <f>SUMIFS(data!$C:$C,data!$A:$A,"="&amp;'Покупки по дням'!$B139,data!$B:$B,"="&amp;'Покупки по дням'!AA$2)</f>
        <v>0.3</v>
      </c>
      <c r="AB139">
        <f>SUMIFS(data!$C:$C,data!$A:$A,"="&amp;'Покупки по дням'!$B139,data!$B:$B,"="&amp;'Покупки по дням'!AB$2)</f>
        <v>0.30000000000000004</v>
      </c>
      <c r="AC139">
        <f>SUMIFS(data!$C:$C,data!$A:$A,"="&amp;'Покупки по дням'!$B139,data!$B:$B,"="&amp;'Покупки по дням'!AC$2)</f>
        <v>0</v>
      </c>
      <c r="AD139">
        <f>SUMIFS(data!$C:$C,data!$A:$A,"="&amp;'Покупки по дням'!$B139,data!$B:$B,"="&amp;'Покупки по дням'!AD$2)</f>
        <v>0.5</v>
      </c>
      <c r="AE139">
        <f>SUMIFS(data!$C:$C,data!$A:$A,"="&amp;'Покупки по дням'!$B139,data!$B:$B,"="&amp;'Покупки по дням'!AE$2)</f>
        <v>0.7</v>
      </c>
      <c r="AF139">
        <f>SUMIFS(data!$C:$C,data!$A:$A,"="&amp;'Покупки по дням'!$B139,data!$B:$B,"="&amp;'Покупки по дням'!AF$2)</f>
        <v>0</v>
      </c>
      <c r="AG139">
        <f>SUMIFS(data!$C:$C,data!$A:$A,"="&amp;'Покупки по дням'!$B139,data!$B:$B,"="&amp;'Покупки по дням'!AG$2)</f>
        <v>0.4</v>
      </c>
      <c r="AH139">
        <f>SUMIFS(data!$C:$C,data!$A:$A,"="&amp;'Покупки по дням'!$B139,data!$B:$B,"="&amp;'Покупки по дням'!AH$2)</f>
        <v>0</v>
      </c>
      <c r="AI139">
        <f>SUMIFS(data!$C:$C,data!$A:$A,"="&amp;'Покупки по дням'!$B139,data!$B:$B,"="&amp;'Покупки по дням'!AI$2)</f>
        <v>0.5</v>
      </c>
      <c r="AJ139">
        <f>SUMIFS(data!$C:$C,data!$A:$A,"="&amp;'Покупки по дням'!$B139,data!$B:$B,"="&amp;'Покупки по дням'!AJ$2)</f>
        <v>0.7</v>
      </c>
      <c r="AK139">
        <f>SUMIFS(data!$C:$C,data!$A:$A,"="&amp;'Покупки по дням'!$B139,data!$B:$B,"="&amp;'Покупки по дням'!AK$2)</f>
        <v>0.2</v>
      </c>
      <c r="AL139">
        <f>SUMIFS(data!$C:$C,data!$A:$A,"="&amp;'Покупки по дням'!$B139,data!$B:$B,"="&amp;'Покупки по дням'!AL$2)</f>
        <v>0</v>
      </c>
      <c r="AM139">
        <f>SUMIFS(data!$C:$C,data!$A:$A,"="&amp;'Покупки по дням'!$B139,data!$B:$B,"="&amp;'Покупки по дням'!AM$2)</f>
        <v>0.1</v>
      </c>
      <c r="AN139">
        <f>SUMIFS(data!$C:$C,data!$A:$A,"="&amp;'Покупки по дням'!$B139,data!$B:$B,"="&amp;'Покупки по дням'!AN$2)</f>
        <v>1</v>
      </c>
      <c r="AO139">
        <f>SUMIFS(data!$C:$C,data!$A:$A,"="&amp;'Покупки по дням'!$B139,data!$B:$B,"="&amp;'Покупки по дням'!AO$2)</f>
        <v>0.2</v>
      </c>
      <c r="AP139">
        <f>SUMIFS(data!$C:$C,data!$A:$A,"="&amp;'Покупки по дням'!$B139,data!$B:$B,"="&amp;'Покупки по дням'!AP$2)</f>
        <v>2</v>
      </c>
      <c r="AQ139" s="6">
        <f t="shared" si="2"/>
        <v>1.1703747900212709</v>
      </c>
    </row>
    <row r="140" spans="2:43" ht="28.8" x14ac:dyDescent="0.3">
      <c r="B140" s="17" t="s">
        <v>26</v>
      </c>
      <c r="C140">
        <f>SUMIFS(data!$C:$C,data!$A:$A,"="&amp;'Покупки по дням'!$B140,data!$B:$B,"="&amp;'Покупки по дням'!C$2)</f>
        <v>0.5</v>
      </c>
      <c r="D140">
        <f>SUMIFS(data!$C:$C,data!$A:$A,"="&amp;'Покупки по дням'!$B140,data!$B:$B,"="&amp;'Покупки по дням'!D$2)</f>
        <v>0.4</v>
      </c>
      <c r="E140">
        <f>SUMIFS(data!$C:$C,data!$A:$A,"="&amp;'Покупки по дням'!$B140,data!$B:$B,"="&amp;'Покупки по дням'!E$2)</f>
        <v>0.90000000000000013</v>
      </c>
      <c r="F140">
        <f>SUMIFS(data!$C:$C,data!$A:$A,"="&amp;'Покупки по дням'!$B140,data!$B:$B,"="&amp;'Покупки по дням'!F$2)</f>
        <v>1.3333329999999999</v>
      </c>
      <c r="G140">
        <f>SUMIFS(data!$C:$C,data!$A:$A,"="&amp;'Покупки по дням'!$B140,data!$B:$B,"="&amp;'Покупки по дням'!G$2)</f>
        <v>1.9</v>
      </c>
      <c r="H140">
        <f>SUMIFS(data!$C:$C,data!$A:$A,"="&amp;'Покупки по дням'!$B140,data!$B:$B,"="&amp;'Покупки по дням'!H$2)</f>
        <v>1.7999999999999998</v>
      </c>
      <c r="I140">
        <f>SUMIFS(data!$C:$C,data!$A:$A,"="&amp;'Покупки по дням'!$B140,data!$B:$B,"="&amp;'Покупки по дням'!I$2)</f>
        <v>0.2</v>
      </c>
      <c r="J140">
        <f>SUMIFS(data!$C:$C,data!$A:$A,"="&amp;'Покупки по дням'!$B140,data!$B:$B,"="&amp;'Покупки по дням'!J$2)</f>
        <v>2.7000000000000011</v>
      </c>
      <c r="K140">
        <f>SUMIFS(data!$C:$C,data!$A:$A,"="&amp;'Покупки по дням'!$B140,data!$B:$B,"="&amp;'Покупки по дням'!K$2)</f>
        <v>0</v>
      </c>
      <c r="L140">
        <f>SUMIFS(data!$C:$C,data!$A:$A,"="&amp;'Покупки по дням'!$B140,data!$B:$B,"="&amp;'Покупки по дням'!L$2)</f>
        <v>2.5</v>
      </c>
      <c r="M140">
        <f>SUMIFS(data!$C:$C,data!$A:$A,"="&amp;'Покупки по дням'!$B140,data!$B:$B,"="&amp;'Покупки по дням'!M$2)</f>
        <v>0.30000000000000004</v>
      </c>
      <c r="N140">
        <f>SUMIFS(data!$C:$C,data!$A:$A,"="&amp;'Покупки по дням'!$B140,data!$B:$B,"="&amp;'Покупки по дням'!N$2)</f>
        <v>0.66666670000000006</v>
      </c>
      <c r="O140">
        <f>SUMIFS(data!$C:$C,data!$A:$A,"="&amp;'Покупки по дням'!$B140,data!$B:$B,"="&amp;'Покупки по дням'!O$2)</f>
        <v>0.6</v>
      </c>
      <c r="P140">
        <f>SUMIFS(data!$C:$C,data!$A:$A,"="&amp;'Покупки по дням'!$B140,data!$B:$B,"="&amp;'Покупки по дням'!P$2)</f>
        <v>1</v>
      </c>
      <c r="Q140">
        <f>SUMIFS(data!$C:$C,data!$A:$A,"="&amp;'Покупки по дням'!$B140,data!$B:$B,"="&amp;'Покупки по дням'!Q$2)</f>
        <v>1.8000000000000003</v>
      </c>
      <c r="R140">
        <f>SUMIFS(data!$C:$C,data!$A:$A,"="&amp;'Покупки по дням'!$B140,data!$B:$B,"="&amp;'Покупки по дням'!R$2)</f>
        <v>0.90000000000000013</v>
      </c>
      <c r="S140">
        <f>SUMIFS(data!$C:$C,data!$A:$A,"="&amp;'Покупки по дням'!$B140,data!$B:$B,"="&amp;'Покупки по дням'!S$2)</f>
        <v>1</v>
      </c>
      <c r="T140">
        <f>SUMIFS(data!$C:$C,data!$A:$A,"="&amp;'Покупки по дням'!$B140,data!$B:$B,"="&amp;'Покупки по дням'!T$2)</f>
        <v>3.3333300000000003E-2</v>
      </c>
      <c r="U140">
        <f>SUMIFS(data!$C:$C,data!$A:$A,"="&amp;'Покупки по дням'!$B140,data!$B:$B,"="&amp;'Покупки по дням'!U$2)</f>
        <v>0.56666670000000008</v>
      </c>
      <c r="V140">
        <f>SUMIFS(data!$C:$C,data!$A:$A,"="&amp;'Покупки по дням'!$B140,data!$B:$B,"="&amp;'Покупки по дням'!V$2)</f>
        <v>0.89999999999999991</v>
      </c>
      <c r="W140">
        <f>SUMIFS(data!$C:$C,data!$A:$A,"="&amp;'Покупки по дням'!$B140,data!$B:$B,"="&amp;'Покупки по дням'!W$2)</f>
        <v>1.233333</v>
      </c>
      <c r="X140">
        <f>SUMIFS(data!$C:$C,data!$A:$A,"="&amp;'Покупки по дням'!$B140,data!$B:$B,"="&amp;'Покупки по дням'!X$2)</f>
        <v>0.30000000000000004</v>
      </c>
      <c r="Y140">
        <f>SUMIFS(data!$C:$C,data!$A:$A,"="&amp;'Покупки по дням'!$B140,data!$B:$B,"="&amp;'Покупки по дням'!Y$2)</f>
        <v>1.4000000000000004</v>
      </c>
      <c r="Z140">
        <f>SUMIFS(data!$C:$C,data!$A:$A,"="&amp;'Покупки по дням'!$B140,data!$B:$B,"="&amp;'Покупки по дням'!Z$2)</f>
        <v>1.3000000000000003</v>
      </c>
      <c r="AA140">
        <f>SUMIFS(data!$C:$C,data!$A:$A,"="&amp;'Покупки по дням'!$B140,data!$B:$B,"="&amp;'Покупки по дням'!AA$2)</f>
        <v>0.9</v>
      </c>
      <c r="AB140">
        <f>SUMIFS(data!$C:$C,data!$A:$A,"="&amp;'Покупки по дням'!$B140,data!$B:$B,"="&amp;'Покупки по дням'!AB$2)</f>
        <v>1.1000000000000001</v>
      </c>
      <c r="AC140">
        <f>SUMIFS(data!$C:$C,data!$A:$A,"="&amp;'Покупки по дням'!$B140,data!$B:$B,"="&amp;'Покупки по дням'!AC$2)</f>
        <v>1.6000003</v>
      </c>
      <c r="AD140">
        <f>SUMIFS(data!$C:$C,data!$A:$A,"="&amp;'Покупки по дням'!$B140,data!$B:$B,"="&amp;'Покупки по дням'!AD$2)</f>
        <v>2.3000000000000003</v>
      </c>
      <c r="AE140">
        <f>SUMIFS(data!$C:$C,data!$A:$A,"="&amp;'Покупки по дням'!$B140,data!$B:$B,"="&amp;'Покупки по дням'!AE$2)</f>
        <v>0.30000000000000004</v>
      </c>
      <c r="AF140">
        <f>SUMIFS(data!$C:$C,data!$A:$A,"="&amp;'Покупки по дням'!$B140,data!$B:$B,"="&amp;'Покупки по дням'!AF$2)</f>
        <v>0.6</v>
      </c>
      <c r="AG140">
        <f>SUMIFS(data!$C:$C,data!$A:$A,"="&amp;'Покупки по дням'!$B140,data!$B:$B,"="&amp;'Покупки по дням'!AG$2)</f>
        <v>0.7</v>
      </c>
      <c r="AH140">
        <f>SUMIFS(data!$C:$C,data!$A:$A,"="&amp;'Покупки по дням'!$B140,data!$B:$B,"="&amp;'Покупки по дням'!AH$2)</f>
        <v>0.7</v>
      </c>
      <c r="AI140">
        <f>SUMIFS(data!$C:$C,data!$A:$A,"="&amp;'Покупки по дням'!$B140,data!$B:$B,"="&amp;'Покупки по дням'!AI$2)</f>
        <v>0.4</v>
      </c>
      <c r="AJ140">
        <f>SUMIFS(data!$C:$C,data!$A:$A,"="&amp;'Покупки по дням'!$B140,data!$B:$B,"="&amp;'Покупки по дням'!AJ$2)</f>
        <v>2.2666667000000005</v>
      </c>
      <c r="AK140">
        <f>SUMIFS(data!$C:$C,data!$A:$A,"="&amp;'Покупки по дням'!$B140,data!$B:$B,"="&amp;'Покупки по дням'!AK$2)</f>
        <v>0.8</v>
      </c>
      <c r="AL140">
        <f>SUMIFS(data!$C:$C,data!$A:$A,"="&amp;'Покупки по дням'!$B140,data!$B:$B,"="&amp;'Покупки по дням'!AL$2)</f>
        <v>1</v>
      </c>
      <c r="AM140">
        <f>SUMIFS(data!$C:$C,data!$A:$A,"="&amp;'Покупки по дням'!$B140,data!$B:$B,"="&amp;'Покупки по дням'!AM$2)</f>
        <v>1</v>
      </c>
      <c r="AN140">
        <f>SUMIFS(data!$C:$C,data!$A:$A,"="&amp;'Покупки по дням'!$B140,data!$B:$B,"="&amp;'Покупки по дням'!AN$2)</f>
        <v>1.5</v>
      </c>
      <c r="AO140">
        <f>SUMIFS(data!$C:$C,data!$A:$A,"="&amp;'Покупки по дням'!$B140,data!$B:$B,"="&amp;'Покупки по дням'!AO$2)</f>
        <v>0.6</v>
      </c>
      <c r="AP140">
        <f>SUMIFS(data!$C:$C,data!$A:$A,"="&amp;'Покупки по дням'!$B140,data!$B:$B,"="&amp;'Покупки по дням'!AP$2)</f>
        <v>1.5666670000000003</v>
      </c>
      <c r="AQ140" s="6">
        <f t="shared" si="2"/>
        <v>0.65145171895580889</v>
      </c>
    </row>
    <row r="141" spans="2:43" ht="28.8" x14ac:dyDescent="0.3">
      <c r="B141" s="17" t="s">
        <v>125</v>
      </c>
      <c r="C141">
        <f>SUMIFS(data!$C:$C,data!$A:$A,"="&amp;'Покупки по дням'!$B141,data!$B:$B,"="&amp;'Покупки по дням'!C$2)</f>
        <v>0</v>
      </c>
      <c r="D141">
        <f>SUMIFS(data!$C:$C,data!$A:$A,"="&amp;'Покупки по дням'!$B141,data!$B:$B,"="&amp;'Покупки по дням'!D$2)</f>
        <v>0</v>
      </c>
      <c r="E141">
        <f>SUMIFS(data!$C:$C,data!$A:$A,"="&amp;'Покупки по дням'!$B141,data!$B:$B,"="&amp;'Покупки по дням'!E$2)</f>
        <v>0</v>
      </c>
      <c r="F141">
        <f>SUMIFS(data!$C:$C,data!$A:$A,"="&amp;'Покупки по дням'!$B141,data!$B:$B,"="&amp;'Покупки по дням'!F$2)</f>
        <v>0</v>
      </c>
      <c r="G141">
        <f>SUMIFS(data!$C:$C,data!$A:$A,"="&amp;'Покупки по дням'!$B141,data!$B:$B,"="&amp;'Покупки по дням'!G$2)</f>
        <v>1</v>
      </c>
      <c r="H141">
        <f>SUMIFS(data!$C:$C,data!$A:$A,"="&amp;'Покупки по дням'!$B141,data!$B:$B,"="&amp;'Покупки по дням'!H$2)</f>
        <v>2</v>
      </c>
      <c r="I141">
        <f>SUMIFS(data!$C:$C,data!$A:$A,"="&amp;'Покупки по дням'!$B141,data!$B:$B,"="&amp;'Покупки по дням'!I$2)</f>
        <v>1</v>
      </c>
      <c r="J141">
        <f>SUMIFS(data!$C:$C,data!$A:$A,"="&amp;'Покупки по дням'!$B141,data!$B:$B,"="&amp;'Покупки по дням'!J$2)</f>
        <v>1</v>
      </c>
      <c r="K141">
        <f>SUMIFS(data!$C:$C,data!$A:$A,"="&amp;'Покупки по дням'!$B141,data!$B:$B,"="&amp;'Покупки по дням'!K$2)</f>
        <v>0</v>
      </c>
      <c r="L141">
        <f>SUMIFS(data!$C:$C,data!$A:$A,"="&amp;'Покупки по дням'!$B141,data!$B:$B,"="&amp;'Покупки по дням'!L$2)</f>
        <v>0</v>
      </c>
      <c r="M141">
        <f>SUMIFS(data!$C:$C,data!$A:$A,"="&amp;'Покупки по дням'!$B141,data!$B:$B,"="&amp;'Покупки по дням'!M$2)</f>
        <v>0</v>
      </c>
      <c r="N141">
        <f>SUMIFS(data!$C:$C,data!$A:$A,"="&amp;'Покупки по дням'!$B141,data!$B:$B,"="&amp;'Покупки по дням'!N$2)</f>
        <v>1</v>
      </c>
      <c r="O141">
        <f>SUMIFS(data!$C:$C,data!$A:$A,"="&amp;'Покупки по дням'!$B141,data!$B:$B,"="&amp;'Покупки по дням'!O$2)</f>
        <v>0</v>
      </c>
      <c r="P141">
        <f>SUMIFS(data!$C:$C,data!$A:$A,"="&amp;'Покупки по дням'!$B141,data!$B:$B,"="&amp;'Покупки по дням'!P$2)</f>
        <v>0</v>
      </c>
      <c r="Q141">
        <f>SUMIFS(data!$C:$C,data!$A:$A,"="&amp;'Покупки по дням'!$B141,data!$B:$B,"="&amp;'Покупки по дням'!Q$2)</f>
        <v>0</v>
      </c>
      <c r="R141">
        <f>SUMIFS(data!$C:$C,data!$A:$A,"="&amp;'Покупки по дням'!$B141,data!$B:$B,"="&amp;'Покупки по дням'!R$2)</f>
        <v>2</v>
      </c>
      <c r="S141">
        <f>SUMIFS(data!$C:$C,data!$A:$A,"="&amp;'Покупки по дням'!$B141,data!$B:$B,"="&amp;'Покупки по дням'!S$2)</f>
        <v>2</v>
      </c>
      <c r="T141">
        <f>SUMIFS(data!$C:$C,data!$A:$A,"="&amp;'Покупки по дням'!$B141,data!$B:$B,"="&amp;'Покупки по дням'!T$2)</f>
        <v>2</v>
      </c>
      <c r="U141">
        <f>SUMIFS(data!$C:$C,data!$A:$A,"="&amp;'Покупки по дням'!$B141,data!$B:$B,"="&amp;'Покупки по дням'!U$2)</f>
        <v>0</v>
      </c>
      <c r="V141">
        <f>SUMIFS(data!$C:$C,data!$A:$A,"="&amp;'Покупки по дням'!$B141,data!$B:$B,"="&amp;'Покупки по дням'!V$2)</f>
        <v>1</v>
      </c>
      <c r="W141">
        <f>SUMIFS(data!$C:$C,data!$A:$A,"="&amp;'Покупки по дням'!$B141,data!$B:$B,"="&amp;'Покупки по дням'!W$2)</f>
        <v>3</v>
      </c>
      <c r="X141">
        <f>SUMIFS(data!$C:$C,data!$A:$A,"="&amp;'Покупки по дням'!$B141,data!$B:$B,"="&amp;'Покупки по дням'!X$2)</f>
        <v>3</v>
      </c>
      <c r="Y141">
        <f>SUMIFS(data!$C:$C,data!$A:$A,"="&amp;'Покупки по дням'!$B141,data!$B:$B,"="&amp;'Покупки по дням'!Y$2)</f>
        <v>0</v>
      </c>
      <c r="Z141">
        <f>SUMIFS(data!$C:$C,data!$A:$A,"="&amp;'Покупки по дням'!$B141,data!$B:$B,"="&amp;'Покупки по дням'!Z$2)</f>
        <v>5</v>
      </c>
      <c r="AA141">
        <f>SUMIFS(data!$C:$C,data!$A:$A,"="&amp;'Покупки по дням'!$B141,data!$B:$B,"="&amp;'Покупки по дням'!AA$2)</f>
        <v>0</v>
      </c>
      <c r="AB141">
        <f>SUMIFS(data!$C:$C,data!$A:$A,"="&amp;'Покупки по дням'!$B141,data!$B:$B,"="&amp;'Покупки по дням'!AB$2)</f>
        <v>0</v>
      </c>
      <c r="AC141">
        <f>SUMIFS(data!$C:$C,data!$A:$A,"="&amp;'Покупки по дням'!$B141,data!$B:$B,"="&amp;'Покупки по дням'!AC$2)</f>
        <v>0</v>
      </c>
      <c r="AD141">
        <f>SUMIFS(data!$C:$C,data!$A:$A,"="&amp;'Покупки по дням'!$B141,data!$B:$B,"="&amp;'Покупки по дням'!AD$2)</f>
        <v>4</v>
      </c>
      <c r="AE141">
        <f>SUMIFS(data!$C:$C,data!$A:$A,"="&amp;'Покупки по дням'!$B141,data!$B:$B,"="&amp;'Покупки по дням'!AE$2)</f>
        <v>2</v>
      </c>
      <c r="AF141">
        <f>SUMIFS(data!$C:$C,data!$A:$A,"="&amp;'Покупки по дням'!$B141,data!$B:$B,"="&amp;'Покупки по дням'!AF$2)</f>
        <v>1</v>
      </c>
      <c r="AG141">
        <f>SUMIFS(data!$C:$C,data!$A:$A,"="&amp;'Покупки по дням'!$B141,data!$B:$B,"="&amp;'Покупки по дням'!AG$2)</f>
        <v>1</v>
      </c>
      <c r="AH141">
        <f>SUMIFS(data!$C:$C,data!$A:$A,"="&amp;'Покупки по дням'!$B141,data!$B:$B,"="&amp;'Покупки по дням'!AH$2)</f>
        <v>1</v>
      </c>
      <c r="AI141">
        <f>SUMIFS(data!$C:$C,data!$A:$A,"="&amp;'Покупки по дням'!$B141,data!$B:$B,"="&amp;'Покупки по дням'!AI$2)</f>
        <v>1</v>
      </c>
      <c r="AJ141">
        <f>SUMIFS(data!$C:$C,data!$A:$A,"="&amp;'Покупки по дням'!$B141,data!$B:$B,"="&amp;'Покупки по дням'!AJ$2)</f>
        <v>1</v>
      </c>
      <c r="AK141">
        <f>SUMIFS(data!$C:$C,data!$A:$A,"="&amp;'Покупки по дням'!$B141,data!$B:$B,"="&amp;'Покупки по дням'!AK$2)</f>
        <v>0</v>
      </c>
      <c r="AL141">
        <f>SUMIFS(data!$C:$C,data!$A:$A,"="&amp;'Покупки по дням'!$B141,data!$B:$B,"="&amp;'Покупки по дням'!AL$2)</f>
        <v>2</v>
      </c>
      <c r="AM141">
        <f>SUMIFS(data!$C:$C,data!$A:$A,"="&amp;'Покупки по дням'!$B141,data!$B:$B,"="&amp;'Покупки по дням'!AM$2)</f>
        <v>2</v>
      </c>
      <c r="AN141">
        <f>SUMIFS(data!$C:$C,data!$A:$A,"="&amp;'Покупки по дням'!$B141,data!$B:$B,"="&amp;'Покупки по дням'!AN$2)</f>
        <v>2</v>
      </c>
      <c r="AO141">
        <f>SUMIFS(data!$C:$C,data!$A:$A,"="&amp;'Покупки по дням'!$B141,data!$B:$B,"="&amp;'Покупки по дням'!AO$2)</f>
        <v>1</v>
      </c>
      <c r="AP141">
        <f>SUMIFS(data!$C:$C,data!$A:$A,"="&amp;'Покупки по дням'!$B141,data!$B:$B,"="&amp;'Покупки по дням'!AP$2)</f>
        <v>0</v>
      </c>
      <c r="AQ141" s="6">
        <f t="shared" si="2"/>
        <v>1.1604266103543515</v>
      </c>
    </row>
    <row r="142" spans="2:43" ht="28.8" x14ac:dyDescent="0.3">
      <c r="B142" s="17" t="s">
        <v>6</v>
      </c>
      <c r="C142">
        <f>SUMIFS(data!$C:$C,data!$A:$A,"="&amp;'Покупки по дням'!$B142,data!$B:$B,"="&amp;'Покупки по дням'!C$2)</f>
        <v>0</v>
      </c>
      <c r="D142">
        <f>SUMIFS(data!$C:$C,data!$A:$A,"="&amp;'Покупки по дням'!$B142,data!$B:$B,"="&amp;'Покупки по дням'!D$2)</f>
        <v>0</v>
      </c>
      <c r="E142">
        <f>SUMIFS(data!$C:$C,data!$A:$A,"="&amp;'Покупки по дням'!$B142,data!$B:$B,"="&amp;'Покупки по дням'!E$2)</f>
        <v>0</v>
      </c>
      <c r="F142">
        <f>SUMIFS(data!$C:$C,data!$A:$A,"="&amp;'Покупки по дням'!$B142,data!$B:$B,"="&amp;'Покупки по дням'!F$2)</f>
        <v>0</v>
      </c>
      <c r="G142">
        <f>SUMIFS(data!$C:$C,data!$A:$A,"="&amp;'Покупки по дням'!$B142,data!$B:$B,"="&amp;'Покупки по дням'!G$2)</f>
        <v>1.1000000000000001</v>
      </c>
      <c r="H142">
        <f>SUMIFS(data!$C:$C,data!$A:$A,"="&amp;'Покупки по дням'!$B142,data!$B:$B,"="&amp;'Покупки по дням'!H$2)</f>
        <v>2</v>
      </c>
      <c r="I142">
        <f>SUMIFS(data!$C:$C,data!$A:$A,"="&amp;'Покупки по дням'!$B142,data!$B:$B,"="&amp;'Покупки по дням'!I$2)</f>
        <v>2</v>
      </c>
      <c r="J142">
        <f>SUMIFS(data!$C:$C,data!$A:$A,"="&amp;'Покупки по дням'!$B142,data!$B:$B,"="&amp;'Покупки по дням'!J$2)</f>
        <v>1.6</v>
      </c>
      <c r="K142">
        <f>SUMIFS(data!$C:$C,data!$A:$A,"="&amp;'Покупки по дням'!$B142,data!$B:$B,"="&amp;'Покупки по дням'!K$2)</f>
        <v>0</v>
      </c>
      <c r="L142">
        <f>SUMIFS(data!$C:$C,data!$A:$A,"="&amp;'Покупки по дням'!$B142,data!$B:$B,"="&amp;'Покупки по дням'!L$2)</f>
        <v>0.1</v>
      </c>
      <c r="M142">
        <f>SUMIFS(data!$C:$C,data!$A:$A,"="&amp;'Покупки по дням'!$B142,data!$B:$B,"="&amp;'Покупки по дням'!M$2)</f>
        <v>1.5</v>
      </c>
      <c r="N142">
        <f>SUMIFS(data!$C:$C,data!$A:$A,"="&amp;'Покупки по дням'!$B142,data!$B:$B,"="&amp;'Покупки по дням'!N$2)</f>
        <v>0</v>
      </c>
      <c r="O142">
        <f>SUMIFS(data!$C:$C,data!$A:$A,"="&amp;'Покупки по дням'!$B142,data!$B:$B,"="&amp;'Покупки по дням'!O$2)</f>
        <v>0.5</v>
      </c>
      <c r="P142">
        <f>SUMIFS(data!$C:$C,data!$A:$A,"="&amp;'Покупки по дням'!$B142,data!$B:$B,"="&amp;'Покупки по дням'!P$2)</f>
        <v>0</v>
      </c>
      <c r="Q142">
        <f>SUMIFS(data!$C:$C,data!$A:$A,"="&amp;'Покупки по дням'!$B142,data!$B:$B,"="&amp;'Покупки по дням'!Q$2)</f>
        <v>1.6</v>
      </c>
      <c r="R142">
        <f>SUMIFS(data!$C:$C,data!$A:$A,"="&amp;'Покупки по дням'!$B142,data!$B:$B,"="&amp;'Покупки по дням'!R$2)</f>
        <v>0</v>
      </c>
      <c r="S142">
        <f>SUMIFS(data!$C:$C,data!$A:$A,"="&amp;'Покупки по дням'!$B142,data!$B:$B,"="&amp;'Покупки по дням'!S$2)</f>
        <v>0.2</v>
      </c>
      <c r="T142">
        <f>SUMIFS(data!$C:$C,data!$A:$A,"="&amp;'Покупки по дням'!$B142,data!$B:$B,"="&amp;'Покупки по дням'!T$2)</f>
        <v>1.4</v>
      </c>
      <c r="U142">
        <f>SUMIFS(data!$C:$C,data!$A:$A,"="&amp;'Покупки по дням'!$B142,data!$B:$B,"="&amp;'Покупки по дням'!U$2)</f>
        <v>0</v>
      </c>
      <c r="V142">
        <f>SUMIFS(data!$C:$C,data!$A:$A,"="&amp;'Покупки по дням'!$B142,data!$B:$B,"="&amp;'Покупки по дням'!V$2)</f>
        <v>0.4</v>
      </c>
      <c r="W142">
        <f>SUMIFS(data!$C:$C,data!$A:$A,"="&amp;'Покупки по дням'!$B142,data!$B:$B,"="&amp;'Покупки по дням'!W$2)</f>
        <v>0.4</v>
      </c>
      <c r="X142">
        <f>SUMIFS(data!$C:$C,data!$A:$A,"="&amp;'Покупки по дням'!$B142,data!$B:$B,"="&amp;'Покупки по дням'!X$2)</f>
        <v>1.2</v>
      </c>
      <c r="Y142">
        <f>SUMIFS(data!$C:$C,data!$A:$A,"="&amp;'Покупки по дням'!$B142,data!$B:$B,"="&amp;'Покупки по дням'!Y$2)</f>
        <v>1</v>
      </c>
      <c r="Z142">
        <f>SUMIFS(data!$C:$C,data!$A:$A,"="&amp;'Покупки по дням'!$B142,data!$B:$B,"="&amp;'Покупки по дням'!Z$2)</f>
        <v>1.4</v>
      </c>
      <c r="AA142">
        <f>SUMIFS(data!$C:$C,data!$A:$A,"="&amp;'Покупки по дням'!$B142,data!$B:$B,"="&amp;'Покупки по дням'!AA$2)</f>
        <v>0.2</v>
      </c>
      <c r="AB142">
        <f>SUMIFS(data!$C:$C,data!$A:$A,"="&amp;'Покупки по дням'!$B142,data!$B:$B,"="&amp;'Покупки по дням'!AB$2)</f>
        <v>1.7999999999999998</v>
      </c>
      <c r="AC142">
        <f>SUMIFS(data!$C:$C,data!$A:$A,"="&amp;'Покупки по дням'!$B142,data!$B:$B,"="&amp;'Покупки по дням'!AC$2)</f>
        <v>1</v>
      </c>
      <c r="AD142">
        <f>SUMIFS(data!$C:$C,data!$A:$A,"="&amp;'Покупки по дням'!$B142,data!$B:$B,"="&amp;'Покупки по дням'!AD$2)</f>
        <v>0.60000000000000009</v>
      </c>
      <c r="AE142">
        <f>SUMIFS(data!$C:$C,data!$A:$A,"="&amp;'Покупки по дням'!$B142,data!$B:$B,"="&amp;'Покупки по дням'!AE$2)</f>
        <v>0.2</v>
      </c>
      <c r="AF142">
        <f>SUMIFS(data!$C:$C,data!$A:$A,"="&amp;'Покупки по дням'!$B142,data!$B:$B,"="&amp;'Покупки по дням'!AF$2)</f>
        <v>0.60000000000000009</v>
      </c>
      <c r="AG142">
        <f>SUMIFS(data!$C:$C,data!$A:$A,"="&amp;'Покупки по дням'!$B142,data!$B:$B,"="&amp;'Покупки по дням'!AG$2)</f>
        <v>1.4</v>
      </c>
      <c r="AH142">
        <f>SUMIFS(data!$C:$C,data!$A:$A,"="&amp;'Покупки по дням'!$B142,data!$B:$B,"="&amp;'Покупки по дням'!AH$2)</f>
        <v>2</v>
      </c>
      <c r="AI142">
        <f>SUMIFS(data!$C:$C,data!$A:$A,"="&amp;'Покупки по дням'!$B142,data!$B:$B,"="&amp;'Покупки по дням'!AI$2)</f>
        <v>2</v>
      </c>
      <c r="AJ142">
        <f>SUMIFS(data!$C:$C,data!$A:$A,"="&amp;'Покупки по дням'!$B142,data!$B:$B,"="&amp;'Покупки по дням'!AJ$2)</f>
        <v>0.7</v>
      </c>
      <c r="AK142">
        <f>SUMIFS(data!$C:$C,data!$A:$A,"="&amp;'Покупки по дням'!$B142,data!$B:$B,"="&amp;'Покупки по дням'!AK$2)</f>
        <v>1</v>
      </c>
      <c r="AL142">
        <f>SUMIFS(data!$C:$C,data!$A:$A,"="&amp;'Покупки по дням'!$B142,data!$B:$B,"="&amp;'Покупки по дням'!AL$2)</f>
        <v>0.4</v>
      </c>
      <c r="AM142">
        <f>SUMIFS(data!$C:$C,data!$A:$A,"="&amp;'Покупки по дням'!$B142,data!$B:$B,"="&amp;'Покупки по дням'!AM$2)</f>
        <v>1</v>
      </c>
      <c r="AN142">
        <f>SUMIFS(data!$C:$C,data!$A:$A,"="&amp;'Покупки по дням'!$B142,data!$B:$B,"="&amp;'Покупки по дням'!AN$2)</f>
        <v>1</v>
      </c>
      <c r="AO142">
        <f>SUMIFS(data!$C:$C,data!$A:$A,"="&amp;'Покупки по дням'!$B142,data!$B:$B,"="&amp;'Покупки по дням'!AO$2)</f>
        <v>0</v>
      </c>
      <c r="AP142">
        <f>SUMIFS(data!$C:$C,data!$A:$A,"="&amp;'Покупки по дням'!$B142,data!$B:$B,"="&amp;'Покупки по дням'!AP$2)</f>
        <v>2.2000000000000002</v>
      </c>
      <c r="AQ142" s="6">
        <f t="shared" si="2"/>
        <v>0.89544439500315043</v>
      </c>
    </row>
    <row r="143" spans="2:43" x14ac:dyDescent="0.3">
      <c r="B143" s="17" t="s">
        <v>129</v>
      </c>
      <c r="C143">
        <f>SUMIFS(data!$C:$C,data!$A:$A,"="&amp;'Покупки по дням'!$B143,data!$B:$B,"="&amp;'Покупки по дням'!C$2)</f>
        <v>0.08</v>
      </c>
      <c r="D143">
        <f>SUMIFS(data!$C:$C,data!$A:$A,"="&amp;'Покупки по дням'!$B143,data!$B:$B,"="&amp;'Покупки по дням'!D$2)</f>
        <v>0.4</v>
      </c>
      <c r="E143">
        <f>SUMIFS(data!$C:$C,data!$A:$A,"="&amp;'Покупки по дням'!$B143,data!$B:$B,"="&amp;'Покупки по дням'!E$2)</f>
        <v>0.12</v>
      </c>
      <c r="F143">
        <f>SUMIFS(data!$C:$C,data!$A:$A,"="&amp;'Покупки по дням'!$B143,data!$B:$B,"="&amp;'Покупки по дням'!F$2)</f>
        <v>0.32</v>
      </c>
      <c r="G143">
        <f>SUMIFS(data!$C:$C,data!$A:$A,"="&amp;'Покупки по дням'!$B143,data!$B:$B,"="&amp;'Покупки по дням'!G$2)</f>
        <v>0.12</v>
      </c>
      <c r="H143">
        <f>SUMIFS(data!$C:$C,data!$A:$A,"="&amp;'Покупки по дням'!$B143,data!$B:$B,"="&amp;'Покупки по дням'!H$2)</f>
        <v>1.1600000000000001</v>
      </c>
      <c r="I143">
        <f>SUMIFS(data!$C:$C,data!$A:$A,"="&amp;'Покупки по дням'!$B143,data!$B:$B,"="&amp;'Покупки по дням'!I$2)</f>
        <v>0.08</v>
      </c>
      <c r="J143">
        <f>SUMIFS(data!$C:$C,data!$A:$A,"="&amp;'Покупки по дням'!$B143,data!$B:$B,"="&amp;'Покупки по дням'!J$2)</f>
        <v>0.04</v>
      </c>
      <c r="K143">
        <f>SUMIFS(data!$C:$C,data!$A:$A,"="&amp;'Покупки по дням'!$B143,data!$B:$B,"="&amp;'Покупки по дням'!K$2)</f>
        <v>0</v>
      </c>
      <c r="L143">
        <f>SUMIFS(data!$C:$C,data!$A:$A,"="&amp;'Покупки по дням'!$B143,data!$B:$B,"="&amp;'Покупки по дням'!L$2)</f>
        <v>0.2</v>
      </c>
      <c r="M143">
        <f>SUMIFS(data!$C:$C,data!$A:$A,"="&amp;'Покупки по дням'!$B143,data!$B:$B,"="&amp;'Покупки по дням'!M$2)</f>
        <v>0</v>
      </c>
      <c r="N143">
        <f>SUMIFS(data!$C:$C,data!$A:$A,"="&amp;'Покупки по дням'!$B143,data!$B:$B,"="&amp;'Покупки по дням'!N$2)</f>
        <v>0</v>
      </c>
      <c r="O143">
        <f>SUMIFS(data!$C:$C,data!$A:$A,"="&amp;'Покупки по дням'!$B143,data!$B:$B,"="&amp;'Покупки по дням'!O$2)</f>
        <v>0.08</v>
      </c>
      <c r="P143">
        <f>SUMIFS(data!$C:$C,data!$A:$A,"="&amp;'Покупки по дням'!$B143,data!$B:$B,"="&amp;'Покупки по дням'!P$2)</f>
        <v>0.04</v>
      </c>
      <c r="Q143">
        <f>SUMIFS(data!$C:$C,data!$A:$A,"="&amp;'Покупки по дням'!$B143,data!$B:$B,"="&amp;'Покупки по дням'!Q$2)</f>
        <v>0</v>
      </c>
      <c r="R143">
        <f>SUMIFS(data!$C:$C,data!$A:$A,"="&amp;'Покупки по дням'!$B143,data!$B:$B,"="&amp;'Покупки по дням'!R$2)</f>
        <v>0.67999999999999994</v>
      </c>
      <c r="S143">
        <f>SUMIFS(data!$C:$C,data!$A:$A,"="&amp;'Покупки по дням'!$B143,data!$B:$B,"="&amp;'Покупки по дням'!S$2)</f>
        <v>0.08</v>
      </c>
      <c r="T143">
        <f>SUMIFS(data!$C:$C,data!$A:$A,"="&amp;'Покупки по дням'!$B143,data!$B:$B,"="&amp;'Покупки по дням'!T$2)</f>
        <v>0</v>
      </c>
      <c r="U143">
        <f>SUMIFS(data!$C:$C,data!$A:$A,"="&amp;'Покупки по дням'!$B143,data!$B:$B,"="&amp;'Покупки по дням'!U$2)</f>
        <v>0.64</v>
      </c>
      <c r="V143">
        <f>SUMIFS(data!$C:$C,data!$A:$A,"="&amp;'Покупки по дням'!$B143,data!$B:$B,"="&amp;'Покупки по дням'!V$2)</f>
        <v>0.24</v>
      </c>
      <c r="W143">
        <f>SUMIFS(data!$C:$C,data!$A:$A,"="&amp;'Покупки по дням'!$B143,data!$B:$B,"="&amp;'Покупки по дням'!W$2)</f>
        <v>0.16</v>
      </c>
      <c r="X143">
        <f>SUMIFS(data!$C:$C,data!$A:$A,"="&amp;'Покупки по дням'!$B143,data!$B:$B,"="&amp;'Покупки по дням'!X$2)</f>
        <v>0.84</v>
      </c>
      <c r="Y143">
        <f>SUMIFS(data!$C:$C,data!$A:$A,"="&amp;'Покупки по дням'!$B143,data!$B:$B,"="&amp;'Покупки по дням'!Y$2)</f>
        <v>0</v>
      </c>
      <c r="Z143">
        <f>SUMIFS(data!$C:$C,data!$A:$A,"="&amp;'Покупки по дням'!$B143,data!$B:$B,"="&amp;'Покупки по дням'!Z$2)</f>
        <v>0.56000000000000005</v>
      </c>
      <c r="AA143">
        <f>SUMIFS(data!$C:$C,data!$A:$A,"="&amp;'Покупки по дням'!$B143,data!$B:$B,"="&amp;'Покупки по дням'!AA$2)</f>
        <v>0.08</v>
      </c>
      <c r="AB143">
        <f>SUMIFS(data!$C:$C,data!$A:$A,"="&amp;'Покупки по дням'!$B143,data!$B:$B,"="&amp;'Покупки по дням'!AB$2)</f>
        <v>0.2</v>
      </c>
      <c r="AC143">
        <f>SUMIFS(data!$C:$C,data!$A:$A,"="&amp;'Покупки по дням'!$B143,data!$B:$B,"="&amp;'Покупки по дням'!AC$2)</f>
        <v>0.36</v>
      </c>
      <c r="AD143">
        <f>SUMIFS(data!$C:$C,data!$A:$A,"="&amp;'Покупки по дням'!$B143,data!$B:$B,"="&amp;'Покупки по дням'!AD$2)</f>
        <v>0.2</v>
      </c>
      <c r="AE143">
        <f>SUMIFS(data!$C:$C,data!$A:$A,"="&amp;'Покупки по дням'!$B143,data!$B:$B,"="&amp;'Покупки по дням'!AE$2)</f>
        <v>0.36</v>
      </c>
      <c r="AF143">
        <f>SUMIFS(data!$C:$C,data!$A:$A,"="&amp;'Покупки по дням'!$B143,data!$B:$B,"="&amp;'Покупки по дням'!AF$2)</f>
        <v>0.2</v>
      </c>
      <c r="AG143">
        <f>SUMIFS(data!$C:$C,data!$A:$A,"="&amp;'Покупки по дням'!$B143,data!$B:$B,"="&amp;'Покупки по дням'!AG$2)</f>
        <v>0.04</v>
      </c>
      <c r="AH143">
        <f>SUMIFS(data!$C:$C,data!$A:$A,"="&amp;'Покупки по дням'!$B143,data!$B:$B,"="&amp;'Покупки по дням'!AH$2)</f>
        <v>0.16</v>
      </c>
      <c r="AI143">
        <f>SUMIFS(data!$C:$C,data!$A:$A,"="&amp;'Покупки по дням'!$B143,data!$B:$B,"="&amp;'Покупки по дням'!AI$2)</f>
        <v>0</v>
      </c>
      <c r="AJ143">
        <f>SUMIFS(data!$C:$C,data!$A:$A,"="&amp;'Покупки по дням'!$B143,data!$B:$B,"="&amp;'Покупки по дням'!AJ$2)</f>
        <v>0.24</v>
      </c>
      <c r="AK143">
        <f>SUMIFS(data!$C:$C,data!$A:$A,"="&amp;'Покупки по дням'!$B143,data!$B:$B,"="&amp;'Покупки по дням'!AK$2)</f>
        <v>0.08</v>
      </c>
      <c r="AL143">
        <f>SUMIFS(data!$C:$C,data!$A:$A,"="&amp;'Покупки по дням'!$B143,data!$B:$B,"="&amp;'Покупки по дням'!AL$2)</f>
        <v>0</v>
      </c>
      <c r="AM143">
        <f>SUMIFS(data!$C:$C,data!$A:$A,"="&amp;'Покупки по дням'!$B143,data!$B:$B,"="&amp;'Покупки по дням'!AM$2)</f>
        <v>0.68</v>
      </c>
      <c r="AN143">
        <f>SUMIFS(data!$C:$C,data!$A:$A,"="&amp;'Покупки по дням'!$B143,data!$B:$B,"="&amp;'Покупки по дням'!AN$2)</f>
        <v>0.04</v>
      </c>
      <c r="AO143">
        <f>SUMIFS(data!$C:$C,data!$A:$A,"="&amp;'Покупки по дням'!$B143,data!$B:$B,"="&amp;'Покупки по дням'!AO$2)</f>
        <v>0.24</v>
      </c>
      <c r="AP143">
        <f>SUMIFS(data!$C:$C,data!$A:$A,"="&amp;'Покупки по дням'!$B143,data!$B:$B,"="&amp;'Покупки по дням'!AP$2)</f>
        <v>0</v>
      </c>
      <c r="AQ143" s="6">
        <f t="shared" si="2"/>
        <v>1.2241469244445695</v>
      </c>
    </row>
    <row r="144" spans="2:43" ht="28.8" x14ac:dyDescent="0.3">
      <c r="B144" s="17" t="s">
        <v>119</v>
      </c>
      <c r="C144">
        <f>SUMIFS(data!$C:$C,data!$A:$A,"="&amp;'Покупки по дням'!$B144,data!$B:$B,"="&amp;'Покупки по дням'!C$2)</f>
        <v>0</v>
      </c>
      <c r="D144">
        <f>SUMIFS(data!$C:$C,data!$A:$A,"="&amp;'Покупки по дням'!$B144,data!$B:$B,"="&amp;'Покупки по дням'!D$2)</f>
        <v>7.1428599999999995E-2</v>
      </c>
      <c r="E144">
        <f>SUMIFS(data!$C:$C,data!$A:$A,"="&amp;'Покупки по дням'!$B144,data!$B:$B,"="&amp;'Покупки по дням'!E$2)</f>
        <v>0</v>
      </c>
      <c r="F144">
        <f>SUMIFS(data!$C:$C,data!$A:$A,"="&amp;'Покупки по дням'!$B144,data!$B:$B,"="&amp;'Покупки по дням'!F$2)</f>
        <v>3.5714299999999997E-2</v>
      </c>
      <c r="G144">
        <f>SUMIFS(data!$C:$C,data!$A:$A,"="&amp;'Покупки по дням'!$B144,data!$B:$B,"="&amp;'Покупки по дням'!G$2)</f>
        <v>7.1428599999999995E-2</v>
      </c>
      <c r="H144">
        <f>SUMIFS(data!$C:$C,data!$A:$A,"="&amp;'Покупки по дням'!$B144,data!$B:$B,"="&amp;'Покупки по дням'!H$2)</f>
        <v>7.1428599999999995E-2</v>
      </c>
      <c r="I144">
        <f>SUMIFS(data!$C:$C,data!$A:$A,"="&amp;'Покупки по дням'!$B144,data!$B:$B,"="&amp;'Покупки по дням'!I$2)</f>
        <v>0.21428530000000001</v>
      </c>
      <c r="J144">
        <f>SUMIFS(data!$C:$C,data!$A:$A,"="&amp;'Покупки по дням'!$B144,data!$B:$B,"="&amp;'Покупки по дням'!J$2)</f>
        <v>3.5714000000000003E-2</v>
      </c>
      <c r="K144">
        <f>SUMIFS(data!$C:$C,data!$A:$A,"="&amp;'Покупки по дням'!$B144,data!$B:$B,"="&amp;'Покупки по дням'!K$2)</f>
        <v>0</v>
      </c>
      <c r="L144">
        <f>SUMIFS(data!$C:$C,data!$A:$A,"="&amp;'Покупки по дням'!$B144,data!$B:$B,"="&amp;'Покупки по дням'!L$2)</f>
        <v>0</v>
      </c>
      <c r="M144">
        <f>SUMIFS(data!$C:$C,data!$A:$A,"="&amp;'Покупки по дням'!$B144,data!$B:$B,"="&amp;'Покупки по дням'!M$2)</f>
        <v>7.1428599999999995E-2</v>
      </c>
      <c r="N144">
        <f>SUMIFS(data!$C:$C,data!$A:$A,"="&amp;'Покупки по дням'!$B144,data!$B:$B,"="&amp;'Покупки по дням'!N$2)</f>
        <v>0</v>
      </c>
      <c r="O144">
        <f>SUMIFS(data!$C:$C,data!$A:$A,"="&amp;'Покупки по дням'!$B144,data!$B:$B,"="&amp;'Покупки по дням'!O$2)</f>
        <v>3.5714299999999997E-2</v>
      </c>
      <c r="P144">
        <f>SUMIFS(data!$C:$C,data!$A:$A,"="&amp;'Покупки по дням'!$B144,data!$B:$B,"="&amp;'Покупки по дням'!P$2)</f>
        <v>0</v>
      </c>
      <c r="Q144">
        <f>SUMIFS(data!$C:$C,data!$A:$A,"="&amp;'Покупки по дням'!$B144,data!$B:$B,"="&amp;'Покупки по дням'!Q$2)</f>
        <v>0</v>
      </c>
      <c r="R144">
        <f>SUMIFS(data!$C:$C,data!$A:$A,"="&amp;'Покупки по дням'!$B144,data!$B:$B,"="&amp;'Покупки по дням'!R$2)</f>
        <v>0</v>
      </c>
      <c r="S144">
        <f>SUMIFS(data!$C:$C,data!$A:$A,"="&amp;'Покупки по дням'!$B144,data!$B:$B,"="&amp;'Покупки по дням'!S$2)</f>
        <v>7.1428599999999995E-2</v>
      </c>
      <c r="T144">
        <f>SUMIFS(data!$C:$C,data!$A:$A,"="&amp;'Покупки по дням'!$B144,data!$B:$B,"="&amp;'Покупки по дням'!T$2)</f>
        <v>3.5714299999999997E-2</v>
      </c>
      <c r="U144">
        <f>SUMIFS(data!$C:$C,data!$A:$A,"="&amp;'Покупки по дням'!$B144,data!$B:$B,"="&amp;'Покупки по дням'!U$2)</f>
        <v>3.5714299999999997E-2</v>
      </c>
      <c r="V144">
        <f>SUMIFS(data!$C:$C,data!$A:$A,"="&amp;'Покупки по дням'!$B144,data!$B:$B,"="&amp;'Покупки по дням'!V$2)</f>
        <v>0.14285729999999999</v>
      </c>
      <c r="W144">
        <f>SUMIFS(data!$C:$C,data!$A:$A,"="&amp;'Покупки по дням'!$B144,data!$B:$B,"="&amp;'Покупки по дням'!W$2)</f>
        <v>0.14285729999999999</v>
      </c>
      <c r="X144">
        <f>SUMIFS(data!$C:$C,data!$A:$A,"="&amp;'Покупки по дням'!$B144,data!$B:$B,"="&amp;'Покупки по дням'!X$2)</f>
        <v>0</v>
      </c>
      <c r="Y144">
        <f>SUMIFS(data!$C:$C,data!$A:$A,"="&amp;'Покупки по дням'!$B144,data!$B:$B,"="&amp;'Покупки по дням'!Y$2)</f>
        <v>0</v>
      </c>
      <c r="Z144">
        <f>SUMIFS(data!$C:$C,data!$A:$A,"="&amp;'Покупки по дням'!$B144,data!$B:$B,"="&amp;'Покупки по дням'!Z$2)</f>
        <v>0.21428530000000001</v>
      </c>
      <c r="AA144">
        <f>SUMIFS(data!$C:$C,data!$A:$A,"="&amp;'Покупки по дням'!$B144,data!$B:$B,"="&amp;'Покупки по дням'!AA$2)</f>
        <v>7.1428599999999995E-2</v>
      </c>
      <c r="AB144">
        <f>SUMIFS(data!$C:$C,data!$A:$A,"="&amp;'Покупки по дням'!$B144,data!$B:$B,"="&amp;'Покупки по дням'!AB$2)</f>
        <v>0.107143</v>
      </c>
      <c r="AC144">
        <f>SUMIFS(data!$C:$C,data!$A:$A,"="&amp;'Покупки по дням'!$B144,data!$B:$B,"="&amp;'Покупки по дням'!AC$2)</f>
        <v>0</v>
      </c>
      <c r="AD144">
        <f>SUMIFS(data!$C:$C,data!$A:$A,"="&amp;'Покупки по дням'!$B144,data!$B:$B,"="&amp;'Покупки по дням'!AD$2)</f>
        <v>0.10714289999999999</v>
      </c>
      <c r="AE144">
        <f>SUMIFS(data!$C:$C,data!$A:$A,"="&amp;'Покупки по дням'!$B144,data!$B:$B,"="&amp;'Покупки по дням'!AE$2)</f>
        <v>0</v>
      </c>
      <c r="AF144">
        <f>SUMIFS(data!$C:$C,data!$A:$A,"="&amp;'Покупки по дням'!$B144,data!$B:$B,"="&amp;'Покупки по дням'!AF$2)</f>
        <v>0.14285729999999999</v>
      </c>
      <c r="AG144">
        <f>SUMIFS(data!$C:$C,data!$A:$A,"="&amp;'Покупки по дням'!$B144,data!$B:$B,"="&amp;'Покупки по дням'!AG$2)</f>
        <v>0.17857130000000002</v>
      </c>
      <c r="AH144">
        <f>SUMIFS(data!$C:$C,data!$A:$A,"="&amp;'Покупки по дням'!$B144,data!$B:$B,"="&amp;'Покупки по дням'!AH$2)</f>
        <v>3.5714299999999997E-2</v>
      </c>
      <c r="AI144">
        <f>SUMIFS(data!$C:$C,data!$A:$A,"="&amp;'Покупки по дням'!$B144,data!$B:$B,"="&amp;'Покупки по дням'!AI$2)</f>
        <v>3.5714299999999997E-2</v>
      </c>
      <c r="AJ144">
        <f>SUMIFS(data!$C:$C,data!$A:$A,"="&amp;'Покупки по дням'!$B144,data!$B:$B,"="&amp;'Покупки по дням'!AJ$2)</f>
        <v>0.17857149999999999</v>
      </c>
      <c r="AK144">
        <f>SUMIFS(data!$C:$C,data!$A:$A,"="&amp;'Покупки по дням'!$B144,data!$B:$B,"="&amp;'Покупки по дням'!AK$2)</f>
        <v>0</v>
      </c>
      <c r="AL144">
        <f>SUMIFS(data!$C:$C,data!$A:$A,"="&amp;'Покупки по дням'!$B144,data!$B:$B,"="&amp;'Покупки по дням'!AL$2)</f>
        <v>0</v>
      </c>
      <c r="AM144">
        <f>SUMIFS(data!$C:$C,data!$A:$A,"="&amp;'Покупки по дням'!$B144,data!$B:$B,"="&amp;'Покупки по дням'!AM$2)</f>
        <v>0.35714299999999999</v>
      </c>
      <c r="AN144">
        <f>SUMIFS(data!$C:$C,data!$A:$A,"="&amp;'Покупки по дням'!$B144,data!$B:$B,"="&amp;'Покупки по дням'!AN$2)</f>
        <v>3.5714299999999997E-2</v>
      </c>
      <c r="AO144">
        <f>SUMIFS(data!$C:$C,data!$A:$A,"="&amp;'Покупки по дням'!$B144,data!$B:$B,"="&amp;'Покупки по дням'!AO$2)</f>
        <v>0</v>
      </c>
      <c r="AP144">
        <f>SUMIFS(data!$C:$C,data!$A:$A,"="&amp;'Покупки по дням'!$B144,data!$B:$B,"="&amp;'Покупки по дням'!AP$2)</f>
        <v>7.1428400000000003E-2</v>
      </c>
      <c r="AQ144" s="6">
        <f t="shared" si="2"/>
        <v>1.2403472833657585</v>
      </c>
    </row>
    <row r="145" spans="2:43" ht="28.8" x14ac:dyDescent="0.3">
      <c r="B145" s="17" t="s">
        <v>44</v>
      </c>
      <c r="C145">
        <f>SUMIFS(data!$C:$C,data!$A:$A,"="&amp;'Покупки по дням'!$B145,data!$B:$B,"="&amp;'Покупки по дням'!C$2)</f>
        <v>1</v>
      </c>
      <c r="D145">
        <f>SUMIFS(data!$C:$C,data!$A:$A,"="&amp;'Покупки по дням'!$B145,data!$B:$B,"="&amp;'Покупки по дням'!D$2)</f>
        <v>0</v>
      </c>
      <c r="E145">
        <f>SUMIFS(data!$C:$C,data!$A:$A,"="&amp;'Покупки по дням'!$B145,data!$B:$B,"="&amp;'Покупки по дням'!E$2)</f>
        <v>1</v>
      </c>
      <c r="F145">
        <f>SUMIFS(data!$C:$C,data!$A:$A,"="&amp;'Покупки по дням'!$B145,data!$B:$B,"="&amp;'Покупки по дням'!F$2)</f>
        <v>0</v>
      </c>
      <c r="G145">
        <f>SUMIFS(data!$C:$C,data!$A:$A,"="&amp;'Покупки по дням'!$B145,data!$B:$B,"="&amp;'Покупки по дням'!G$2)</f>
        <v>2</v>
      </c>
      <c r="H145">
        <f>SUMIFS(data!$C:$C,data!$A:$A,"="&amp;'Покупки по дням'!$B145,data!$B:$B,"="&amp;'Покупки по дням'!H$2)</f>
        <v>1</v>
      </c>
      <c r="I145">
        <f>SUMIFS(data!$C:$C,data!$A:$A,"="&amp;'Покупки по дням'!$B145,data!$B:$B,"="&amp;'Покупки по дням'!I$2)</f>
        <v>1</v>
      </c>
      <c r="J145">
        <f>SUMIFS(data!$C:$C,data!$A:$A,"="&amp;'Покупки по дням'!$B145,data!$B:$B,"="&amp;'Покупки по дням'!J$2)</f>
        <v>1</v>
      </c>
      <c r="K145">
        <f>SUMIFS(data!$C:$C,data!$A:$A,"="&amp;'Покупки по дням'!$B145,data!$B:$B,"="&amp;'Покупки по дням'!K$2)</f>
        <v>0</v>
      </c>
      <c r="L145">
        <f>SUMIFS(data!$C:$C,data!$A:$A,"="&amp;'Покупки по дням'!$B145,data!$B:$B,"="&amp;'Покупки по дням'!L$2)</f>
        <v>1</v>
      </c>
      <c r="M145">
        <f>SUMIFS(data!$C:$C,data!$A:$A,"="&amp;'Покупки по дням'!$B145,data!$B:$B,"="&amp;'Покупки по дням'!M$2)</f>
        <v>0</v>
      </c>
      <c r="N145">
        <f>SUMIFS(data!$C:$C,data!$A:$A,"="&amp;'Покупки по дням'!$B145,data!$B:$B,"="&amp;'Покупки по дням'!N$2)</f>
        <v>2</v>
      </c>
      <c r="O145">
        <f>SUMIFS(data!$C:$C,data!$A:$A,"="&amp;'Покупки по дням'!$B145,data!$B:$B,"="&amp;'Покупки по дням'!O$2)</f>
        <v>3</v>
      </c>
      <c r="P145">
        <f>SUMIFS(data!$C:$C,data!$A:$A,"="&amp;'Покупки по дням'!$B145,data!$B:$B,"="&amp;'Покупки по дням'!P$2)</f>
        <v>2</v>
      </c>
      <c r="Q145">
        <f>SUMIFS(data!$C:$C,data!$A:$A,"="&amp;'Покупки по дням'!$B145,data!$B:$B,"="&amp;'Покупки по дням'!Q$2)</f>
        <v>0</v>
      </c>
      <c r="R145">
        <f>SUMIFS(data!$C:$C,data!$A:$A,"="&amp;'Покупки по дням'!$B145,data!$B:$B,"="&amp;'Покупки по дням'!R$2)</f>
        <v>1</v>
      </c>
      <c r="S145">
        <f>SUMIFS(data!$C:$C,data!$A:$A,"="&amp;'Покупки по дням'!$B145,data!$B:$B,"="&amp;'Покупки по дням'!S$2)</f>
        <v>0</v>
      </c>
      <c r="T145">
        <f>SUMIFS(data!$C:$C,data!$A:$A,"="&amp;'Покупки по дням'!$B145,data!$B:$B,"="&amp;'Покупки по дням'!T$2)</f>
        <v>1</v>
      </c>
      <c r="U145">
        <f>SUMIFS(data!$C:$C,data!$A:$A,"="&amp;'Покупки по дням'!$B145,data!$B:$B,"="&amp;'Покупки по дням'!U$2)</f>
        <v>0</v>
      </c>
      <c r="V145">
        <f>SUMIFS(data!$C:$C,data!$A:$A,"="&amp;'Покупки по дням'!$B145,data!$B:$B,"="&amp;'Покупки по дням'!V$2)</f>
        <v>2</v>
      </c>
      <c r="W145">
        <f>SUMIFS(data!$C:$C,data!$A:$A,"="&amp;'Покупки по дням'!$B145,data!$B:$B,"="&amp;'Покупки по дням'!W$2)</f>
        <v>0</v>
      </c>
      <c r="X145">
        <f>SUMIFS(data!$C:$C,data!$A:$A,"="&amp;'Покупки по дням'!$B145,data!$B:$B,"="&amp;'Покупки по дням'!X$2)</f>
        <v>1</v>
      </c>
      <c r="Y145">
        <f>SUMIFS(data!$C:$C,data!$A:$A,"="&amp;'Покупки по дням'!$B145,data!$B:$B,"="&amp;'Покупки по дням'!Y$2)</f>
        <v>0</v>
      </c>
      <c r="Z145">
        <f>SUMIFS(data!$C:$C,data!$A:$A,"="&amp;'Покупки по дням'!$B145,data!$B:$B,"="&amp;'Покупки по дням'!Z$2)</f>
        <v>1</v>
      </c>
      <c r="AA145">
        <f>SUMIFS(data!$C:$C,data!$A:$A,"="&amp;'Покупки по дням'!$B145,data!$B:$B,"="&amp;'Покупки по дням'!AA$2)</f>
        <v>1</v>
      </c>
      <c r="AB145">
        <f>SUMIFS(data!$C:$C,data!$A:$A,"="&amp;'Покупки по дням'!$B145,data!$B:$B,"="&amp;'Покупки по дням'!AB$2)</f>
        <v>0</v>
      </c>
      <c r="AC145">
        <f>SUMIFS(data!$C:$C,data!$A:$A,"="&amp;'Покупки по дням'!$B145,data!$B:$B,"="&amp;'Покупки по дням'!AC$2)</f>
        <v>2</v>
      </c>
      <c r="AD145">
        <f>SUMIFS(data!$C:$C,data!$A:$A,"="&amp;'Покупки по дням'!$B145,data!$B:$B,"="&amp;'Покупки по дням'!AD$2)</f>
        <v>3</v>
      </c>
      <c r="AE145">
        <f>SUMIFS(data!$C:$C,data!$A:$A,"="&amp;'Покупки по дням'!$B145,data!$B:$B,"="&amp;'Покупки по дням'!AE$2)</f>
        <v>0</v>
      </c>
      <c r="AF145">
        <f>SUMIFS(data!$C:$C,data!$A:$A,"="&amp;'Покупки по дням'!$B145,data!$B:$B,"="&amp;'Покупки по дням'!AF$2)</f>
        <v>0</v>
      </c>
      <c r="AG145">
        <f>SUMIFS(data!$C:$C,data!$A:$A,"="&amp;'Покупки по дням'!$B145,data!$B:$B,"="&amp;'Покупки по дням'!AG$2)</f>
        <v>2</v>
      </c>
      <c r="AH145">
        <f>SUMIFS(data!$C:$C,data!$A:$A,"="&amp;'Покупки по дням'!$B145,data!$B:$B,"="&amp;'Покупки по дням'!AH$2)</f>
        <v>0</v>
      </c>
      <c r="AI145">
        <f>SUMIFS(data!$C:$C,data!$A:$A,"="&amp;'Покупки по дням'!$B145,data!$B:$B,"="&amp;'Покупки по дням'!AI$2)</f>
        <v>0</v>
      </c>
      <c r="AJ145">
        <f>SUMIFS(data!$C:$C,data!$A:$A,"="&amp;'Покупки по дням'!$B145,data!$B:$B,"="&amp;'Покупки по дням'!AJ$2)</f>
        <v>0</v>
      </c>
      <c r="AK145">
        <f>SUMIFS(data!$C:$C,data!$A:$A,"="&amp;'Покупки по дням'!$B145,data!$B:$B,"="&amp;'Покупки по дням'!AK$2)</f>
        <v>2</v>
      </c>
      <c r="AL145">
        <f>SUMIFS(data!$C:$C,data!$A:$A,"="&amp;'Покупки по дням'!$B145,data!$B:$B,"="&amp;'Покупки по дням'!AL$2)</f>
        <v>4</v>
      </c>
      <c r="AM145">
        <f>SUMIFS(data!$C:$C,data!$A:$A,"="&amp;'Покупки по дням'!$B145,data!$B:$B,"="&amp;'Покупки по дням'!AM$2)</f>
        <v>1</v>
      </c>
      <c r="AN145">
        <f>SUMIFS(data!$C:$C,data!$A:$A,"="&amp;'Покупки по дням'!$B145,data!$B:$B,"="&amp;'Покупки по дням'!AN$2)</f>
        <v>2</v>
      </c>
      <c r="AO145">
        <f>SUMIFS(data!$C:$C,data!$A:$A,"="&amp;'Покупки по дням'!$B145,data!$B:$B,"="&amp;'Покупки по дням'!AO$2)</f>
        <v>3</v>
      </c>
      <c r="AP145">
        <f>SUMIFS(data!$C:$C,data!$A:$A,"="&amp;'Покупки по дням'!$B145,data!$B:$B,"="&amp;'Покупки по дням'!AP$2)</f>
        <v>1</v>
      </c>
      <c r="AQ145" s="6">
        <f t="shared" si="2"/>
        <v>1.0104402963155041</v>
      </c>
    </row>
    <row r="146" spans="2:43" ht="28.8" x14ac:dyDescent="0.3">
      <c r="B146" s="17" t="s">
        <v>113</v>
      </c>
      <c r="C146">
        <f>SUMIFS(data!$C:$C,data!$A:$A,"="&amp;'Покупки по дням'!$B146,data!$B:$B,"="&amp;'Покупки по дням'!C$2)</f>
        <v>3</v>
      </c>
      <c r="D146">
        <f>SUMIFS(data!$C:$C,data!$A:$A,"="&amp;'Покупки по дням'!$B146,data!$B:$B,"="&amp;'Покупки по дням'!D$2)</f>
        <v>2</v>
      </c>
      <c r="E146">
        <f>SUMIFS(data!$C:$C,data!$A:$A,"="&amp;'Покупки по дням'!$B146,data!$B:$B,"="&amp;'Покупки по дням'!E$2)</f>
        <v>1</v>
      </c>
      <c r="F146">
        <f>SUMIFS(data!$C:$C,data!$A:$A,"="&amp;'Покупки по дням'!$B146,data!$B:$B,"="&amp;'Покупки по дням'!F$2)</f>
        <v>1</v>
      </c>
      <c r="G146">
        <f>SUMIFS(data!$C:$C,data!$A:$A,"="&amp;'Покупки по дням'!$B146,data!$B:$B,"="&amp;'Покупки по дням'!G$2)</f>
        <v>1</v>
      </c>
      <c r="H146">
        <f>SUMIFS(data!$C:$C,data!$A:$A,"="&amp;'Покупки по дням'!$B146,data!$B:$B,"="&amp;'Покупки по дням'!H$2)</f>
        <v>0</v>
      </c>
      <c r="I146">
        <f>SUMIFS(data!$C:$C,data!$A:$A,"="&amp;'Покупки по дням'!$B146,data!$B:$B,"="&amp;'Покупки по дням'!I$2)</f>
        <v>1</v>
      </c>
      <c r="J146">
        <f>SUMIFS(data!$C:$C,data!$A:$A,"="&amp;'Покупки по дням'!$B146,data!$B:$B,"="&amp;'Покупки по дням'!J$2)</f>
        <v>3</v>
      </c>
      <c r="K146">
        <f>SUMIFS(data!$C:$C,data!$A:$A,"="&amp;'Покупки по дням'!$B146,data!$B:$B,"="&amp;'Покупки по дням'!K$2)</f>
        <v>0</v>
      </c>
      <c r="L146">
        <f>SUMIFS(data!$C:$C,data!$A:$A,"="&amp;'Покупки по дням'!$B146,data!$B:$B,"="&amp;'Покупки по дням'!L$2)</f>
        <v>0</v>
      </c>
      <c r="M146">
        <f>SUMIFS(data!$C:$C,data!$A:$A,"="&amp;'Покупки по дням'!$B146,data!$B:$B,"="&amp;'Покупки по дням'!M$2)</f>
        <v>1</v>
      </c>
      <c r="N146">
        <f>SUMIFS(data!$C:$C,data!$A:$A,"="&amp;'Покупки по дням'!$B146,data!$B:$B,"="&amp;'Покупки по дням'!N$2)</f>
        <v>2</v>
      </c>
      <c r="O146">
        <f>SUMIFS(data!$C:$C,data!$A:$A,"="&amp;'Покупки по дням'!$B146,data!$B:$B,"="&amp;'Покупки по дням'!O$2)</f>
        <v>3</v>
      </c>
      <c r="P146">
        <f>SUMIFS(data!$C:$C,data!$A:$A,"="&amp;'Покупки по дням'!$B146,data!$B:$B,"="&amp;'Покупки по дням'!P$2)</f>
        <v>1</v>
      </c>
      <c r="Q146">
        <f>SUMIFS(data!$C:$C,data!$A:$A,"="&amp;'Покупки по дням'!$B146,data!$B:$B,"="&amp;'Покупки по дням'!Q$2)</f>
        <v>0</v>
      </c>
      <c r="R146">
        <f>SUMIFS(data!$C:$C,data!$A:$A,"="&amp;'Покупки по дням'!$B146,data!$B:$B,"="&amp;'Покупки по дням'!R$2)</f>
        <v>0</v>
      </c>
      <c r="S146">
        <f>SUMIFS(data!$C:$C,data!$A:$A,"="&amp;'Покупки по дням'!$B146,data!$B:$B,"="&amp;'Покупки по дням'!S$2)</f>
        <v>2</v>
      </c>
      <c r="T146">
        <f>SUMIFS(data!$C:$C,data!$A:$A,"="&amp;'Покупки по дням'!$B146,data!$B:$B,"="&amp;'Покупки по дням'!T$2)</f>
        <v>0</v>
      </c>
      <c r="U146">
        <f>SUMIFS(data!$C:$C,data!$A:$A,"="&amp;'Покупки по дням'!$B146,data!$B:$B,"="&amp;'Покупки по дням'!U$2)</f>
        <v>1</v>
      </c>
      <c r="V146">
        <f>SUMIFS(data!$C:$C,data!$A:$A,"="&amp;'Покупки по дням'!$B146,data!$B:$B,"="&amp;'Покупки по дням'!V$2)</f>
        <v>1</v>
      </c>
      <c r="W146">
        <f>SUMIFS(data!$C:$C,data!$A:$A,"="&amp;'Покупки по дням'!$B146,data!$B:$B,"="&amp;'Покупки по дням'!W$2)</f>
        <v>0</v>
      </c>
      <c r="X146">
        <f>SUMIFS(data!$C:$C,data!$A:$A,"="&amp;'Покупки по дням'!$B146,data!$B:$B,"="&amp;'Покупки по дням'!X$2)</f>
        <v>2</v>
      </c>
      <c r="Y146">
        <f>SUMIFS(data!$C:$C,data!$A:$A,"="&amp;'Покупки по дням'!$B146,data!$B:$B,"="&amp;'Покупки по дням'!Y$2)</f>
        <v>0</v>
      </c>
      <c r="Z146">
        <f>SUMIFS(data!$C:$C,data!$A:$A,"="&amp;'Покупки по дням'!$B146,data!$B:$B,"="&amp;'Покупки по дням'!Z$2)</f>
        <v>2</v>
      </c>
      <c r="AA146">
        <f>SUMIFS(data!$C:$C,data!$A:$A,"="&amp;'Покупки по дням'!$B146,data!$B:$B,"="&amp;'Покупки по дням'!AA$2)</f>
        <v>4</v>
      </c>
      <c r="AB146">
        <f>SUMIFS(data!$C:$C,data!$A:$A,"="&amp;'Покупки по дням'!$B146,data!$B:$B,"="&amp;'Покупки по дням'!AB$2)</f>
        <v>1</v>
      </c>
      <c r="AC146">
        <f>SUMIFS(data!$C:$C,data!$A:$A,"="&amp;'Покупки по дням'!$B146,data!$B:$B,"="&amp;'Покупки по дням'!AC$2)</f>
        <v>0</v>
      </c>
      <c r="AD146">
        <f>SUMIFS(data!$C:$C,data!$A:$A,"="&amp;'Покупки по дням'!$B146,data!$B:$B,"="&amp;'Покупки по дням'!AD$2)</f>
        <v>1</v>
      </c>
      <c r="AE146">
        <f>SUMIFS(data!$C:$C,data!$A:$A,"="&amp;'Покупки по дням'!$B146,data!$B:$B,"="&amp;'Покупки по дням'!AE$2)</f>
        <v>0</v>
      </c>
      <c r="AF146">
        <f>SUMIFS(data!$C:$C,data!$A:$A,"="&amp;'Покупки по дням'!$B146,data!$B:$B,"="&amp;'Покупки по дням'!AF$2)</f>
        <v>0</v>
      </c>
      <c r="AG146">
        <f>SUMIFS(data!$C:$C,data!$A:$A,"="&amp;'Покупки по дням'!$B146,data!$B:$B,"="&amp;'Покупки по дням'!AG$2)</f>
        <v>0</v>
      </c>
      <c r="AH146">
        <f>SUMIFS(data!$C:$C,data!$A:$A,"="&amp;'Покупки по дням'!$B146,data!$B:$B,"="&amp;'Покупки по дням'!AH$2)</f>
        <v>2</v>
      </c>
      <c r="AI146">
        <f>SUMIFS(data!$C:$C,data!$A:$A,"="&amp;'Покупки по дням'!$B146,data!$B:$B,"="&amp;'Покупки по дням'!AI$2)</f>
        <v>0</v>
      </c>
      <c r="AJ146">
        <f>SUMIFS(data!$C:$C,data!$A:$A,"="&amp;'Покупки по дням'!$B146,data!$B:$B,"="&amp;'Покупки по дням'!AJ$2)</f>
        <v>0</v>
      </c>
      <c r="AK146">
        <f>SUMIFS(data!$C:$C,data!$A:$A,"="&amp;'Покупки по дням'!$B146,data!$B:$B,"="&amp;'Покупки по дням'!AK$2)</f>
        <v>3</v>
      </c>
      <c r="AL146">
        <f>SUMIFS(data!$C:$C,data!$A:$A,"="&amp;'Покупки по дням'!$B146,data!$B:$B,"="&amp;'Покупки по дням'!AL$2)</f>
        <v>0</v>
      </c>
      <c r="AM146">
        <f>SUMIFS(data!$C:$C,data!$A:$A,"="&amp;'Покупки по дням'!$B146,data!$B:$B,"="&amp;'Покупки по дням'!AM$2)</f>
        <v>0</v>
      </c>
      <c r="AN146">
        <f>SUMIFS(data!$C:$C,data!$A:$A,"="&amp;'Покупки по дням'!$B146,data!$B:$B,"="&amp;'Покупки по дням'!AN$2)</f>
        <v>2</v>
      </c>
      <c r="AO146">
        <f>SUMIFS(data!$C:$C,data!$A:$A,"="&amp;'Покупки по дням'!$B146,data!$B:$B,"="&amp;'Покупки по дням'!AO$2)</f>
        <v>0</v>
      </c>
      <c r="AP146">
        <f>SUMIFS(data!$C:$C,data!$A:$A,"="&amp;'Покупки по дням'!$B146,data!$B:$B,"="&amp;'Покупки по дням'!AP$2)</f>
        <v>1</v>
      </c>
      <c r="AQ146" s="6">
        <f t="shared" si="2"/>
        <v>1.0932791190460194</v>
      </c>
    </row>
    <row r="147" spans="2:43" x14ac:dyDescent="0.3">
      <c r="B147" s="17" t="s">
        <v>74</v>
      </c>
      <c r="C147">
        <f>SUMIFS(data!$C:$C,data!$A:$A,"="&amp;'Покупки по дням'!$B147,data!$B:$B,"="&amp;'Покупки по дням'!C$2)</f>
        <v>0</v>
      </c>
      <c r="D147">
        <f>SUMIFS(data!$C:$C,data!$A:$A,"="&amp;'Покупки по дням'!$B147,data!$B:$B,"="&amp;'Покупки по дням'!D$2)</f>
        <v>2</v>
      </c>
      <c r="E147">
        <f>SUMIFS(data!$C:$C,data!$A:$A,"="&amp;'Покупки по дням'!$B147,data!$B:$B,"="&amp;'Покупки по дням'!E$2)</f>
        <v>0</v>
      </c>
      <c r="F147">
        <f>SUMIFS(data!$C:$C,data!$A:$A,"="&amp;'Покупки по дням'!$B147,data!$B:$B,"="&amp;'Покупки по дням'!F$2)</f>
        <v>0</v>
      </c>
      <c r="G147">
        <f>SUMIFS(data!$C:$C,data!$A:$A,"="&amp;'Покупки по дням'!$B147,data!$B:$B,"="&amp;'Покупки по дням'!G$2)</f>
        <v>2</v>
      </c>
      <c r="H147">
        <f>SUMIFS(data!$C:$C,data!$A:$A,"="&amp;'Покупки по дням'!$B147,data!$B:$B,"="&amp;'Покупки по дням'!H$2)</f>
        <v>1</v>
      </c>
      <c r="I147">
        <f>SUMIFS(data!$C:$C,data!$A:$A,"="&amp;'Покупки по дням'!$B147,data!$B:$B,"="&amp;'Покупки по дням'!I$2)</f>
        <v>1</v>
      </c>
      <c r="J147">
        <f>SUMIFS(data!$C:$C,data!$A:$A,"="&amp;'Покупки по дням'!$B147,data!$B:$B,"="&amp;'Покупки по дням'!J$2)</f>
        <v>0</v>
      </c>
      <c r="K147">
        <f>SUMIFS(data!$C:$C,data!$A:$A,"="&amp;'Покупки по дням'!$B147,data!$B:$B,"="&amp;'Покупки по дням'!K$2)</f>
        <v>0</v>
      </c>
      <c r="L147">
        <f>SUMIFS(data!$C:$C,data!$A:$A,"="&amp;'Покупки по дням'!$B147,data!$B:$B,"="&amp;'Покупки по дням'!L$2)</f>
        <v>3</v>
      </c>
      <c r="M147">
        <f>SUMIFS(data!$C:$C,data!$A:$A,"="&amp;'Покупки по дням'!$B147,data!$B:$B,"="&amp;'Покупки по дням'!M$2)</f>
        <v>1</v>
      </c>
      <c r="N147">
        <f>SUMIFS(data!$C:$C,data!$A:$A,"="&amp;'Покупки по дням'!$B147,data!$B:$B,"="&amp;'Покупки по дням'!N$2)</f>
        <v>2</v>
      </c>
      <c r="O147">
        <f>SUMIFS(data!$C:$C,data!$A:$A,"="&amp;'Покупки по дням'!$B147,data!$B:$B,"="&amp;'Покупки по дням'!O$2)</f>
        <v>0</v>
      </c>
      <c r="P147">
        <f>SUMIFS(data!$C:$C,data!$A:$A,"="&amp;'Покупки по дням'!$B147,data!$B:$B,"="&amp;'Покупки по дням'!P$2)</f>
        <v>0</v>
      </c>
      <c r="Q147">
        <f>SUMIFS(data!$C:$C,data!$A:$A,"="&amp;'Покупки по дням'!$B147,data!$B:$B,"="&amp;'Покупки по дням'!Q$2)</f>
        <v>0</v>
      </c>
      <c r="R147">
        <f>SUMIFS(data!$C:$C,data!$A:$A,"="&amp;'Покупки по дням'!$B147,data!$B:$B,"="&amp;'Покупки по дням'!R$2)</f>
        <v>0</v>
      </c>
      <c r="S147">
        <f>SUMIFS(data!$C:$C,data!$A:$A,"="&amp;'Покупки по дням'!$B147,data!$B:$B,"="&amp;'Покупки по дням'!S$2)</f>
        <v>1</v>
      </c>
      <c r="T147">
        <f>SUMIFS(data!$C:$C,data!$A:$A,"="&amp;'Покупки по дням'!$B147,data!$B:$B,"="&amp;'Покупки по дням'!T$2)</f>
        <v>2</v>
      </c>
      <c r="U147">
        <f>SUMIFS(data!$C:$C,data!$A:$A,"="&amp;'Покупки по дням'!$B147,data!$B:$B,"="&amp;'Покупки по дням'!U$2)</f>
        <v>0</v>
      </c>
      <c r="V147">
        <f>SUMIFS(data!$C:$C,data!$A:$A,"="&amp;'Покупки по дням'!$B147,data!$B:$B,"="&amp;'Покупки по дням'!V$2)</f>
        <v>1</v>
      </c>
      <c r="W147">
        <f>SUMIFS(data!$C:$C,data!$A:$A,"="&amp;'Покупки по дням'!$B147,data!$B:$B,"="&amp;'Покупки по дням'!W$2)</f>
        <v>0</v>
      </c>
      <c r="X147">
        <f>SUMIFS(data!$C:$C,data!$A:$A,"="&amp;'Покупки по дням'!$B147,data!$B:$B,"="&amp;'Покупки по дням'!X$2)</f>
        <v>0</v>
      </c>
      <c r="Y147">
        <f>SUMIFS(data!$C:$C,data!$A:$A,"="&amp;'Покупки по дням'!$B147,data!$B:$B,"="&amp;'Покупки по дням'!Y$2)</f>
        <v>3</v>
      </c>
      <c r="Z147">
        <f>SUMIFS(data!$C:$C,data!$A:$A,"="&amp;'Покупки по дням'!$B147,data!$B:$B,"="&amp;'Покупки по дням'!Z$2)</f>
        <v>3</v>
      </c>
      <c r="AA147">
        <f>SUMIFS(data!$C:$C,data!$A:$A,"="&amp;'Покупки по дням'!$B147,data!$B:$B,"="&amp;'Покупки по дням'!AA$2)</f>
        <v>0</v>
      </c>
      <c r="AB147">
        <f>SUMIFS(data!$C:$C,data!$A:$A,"="&amp;'Покупки по дням'!$B147,data!$B:$B,"="&amp;'Покупки по дням'!AB$2)</f>
        <v>1</v>
      </c>
      <c r="AC147">
        <f>SUMIFS(data!$C:$C,data!$A:$A,"="&amp;'Покупки по дням'!$B147,data!$B:$B,"="&amp;'Покупки по дням'!AC$2)</f>
        <v>2</v>
      </c>
      <c r="AD147">
        <f>SUMIFS(data!$C:$C,data!$A:$A,"="&amp;'Покупки по дням'!$B147,data!$B:$B,"="&amp;'Покупки по дням'!AD$2)</f>
        <v>1</v>
      </c>
      <c r="AE147">
        <f>SUMIFS(data!$C:$C,data!$A:$A,"="&amp;'Покупки по дням'!$B147,data!$B:$B,"="&amp;'Покупки по дням'!AE$2)</f>
        <v>1</v>
      </c>
      <c r="AF147">
        <f>SUMIFS(data!$C:$C,data!$A:$A,"="&amp;'Покупки по дням'!$B147,data!$B:$B,"="&amp;'Покупки по дням'!AF$2)</f>
        <v>0</v>
      </c>
      <c r="AG147">
        <f>SUMIFS(data!$C:$C,data!$A:$A,"="&amp;'Покупки по дням'!$B147,data!$B:$B,"="&amp;'Покупки по дням'!AG$2)</f>
        <v>0</v>
      </c>
      <c r="AH147">
        <f>SUMIFS(data!$C:$C,data!$A:$A,"="&amp;'Покупки по дням'!$B147,data!$B:$B,"="&amp;'Покупки по дням'!AH$2)</f>
        <v>1</v>
      </c>
      <c r="AI147">
        <f>SUMIFS(data!$C:$C,data!$A:$A,"="&amp;'Покупки по дням'!$B147,data!$B:$B,"="&amp;'Покупки по дням'!AI$2)</f>
        <v>0</v>
      </c>
      <c r="AJ147">
        <f>SUMIFS(data!$C:$C,data!$A:$A,"="&amp;'Покупки по дням'!$B147,data!$B:$B,"="&amp;'Покупки по дням'!AJ$2)</f>
        <v>3</v>
      </c>
      <c r="AK147">
        <f>SUMIFS(data!$C:$C,data!$A:$A,"="&amp;'Покупки по дням'!$B147,data!$B:$B,"="&amp;'Покупки по дням'!AK$2)</f>
        <v>0</v>
      </c>
      <c r="AL147">
        <f>SUMIFS(data!$C:$C,data!$A:$A,"="&amp;'Покупки по дням'!$B147,data!$B:$B,"="&amp;'Покупки по дням'!AL$2)</f>
        <v>0</v>
      </c>
      <c r="AM147">
        <f>SUMIFS(data!$C:$C,data!$A:$A,"="&amp;'Покупки по дням'!$B147,data!$B:$B,"="&amp;'Покупки по дням'!AM$2)</f>
        <v>3</v>
      </c>
      <c r="AN147">
        <f>SUMIFS(data!$C:$C,data!$A:$A,"="&amp;'Покупки по дням'!$B147,data!$B:$B,"="&amp;'Покупки по дням'!AN$2)</f>
        <v>0</v>
      </c>
      <c r="AO147">
        <f>SUMIFS(data!$C:$C,data!$A:$A,"="&amp;'Покупки по дням'!$B147,data!$B:$B,"="&amp;'Покупки по дням'!AO$2)</f>
        <v>4</v>
      </c>
      <c r="AP147">
        <f>SUMIFS(data!$C:$C,data!$A:$A,"="&amp;'Покупки по дням'!$B147,data!$B:$B,"="&amp;'Покупки по дням'!AP$2)</f>
        <v>4</v>
      </c>
      <c r="AQ147" s="6">
        <f t="shared" si="2"/>
        <v>1.19984106550648</v>
      </c>
    </row>
    <row r="148" spans="2:43" ht="28.8" x14ac:dyDescent="0.3">
      <c r="B148" s="17" t="s">
        <v>140</v>
      </c>
      <c r="C148">
        <f>SUMIFS(data!$C:$C,data!$A:$A,"="&amp;'Покупки по дням'!$B148,data!$B:$B,"="&amp;'Покупки по дням'!C$2)</f>
        <v>0</v>
      </c>
      <c r="D148">
        <f>SUMIFS(data!$C:$C,data!$A:$A,"="&amp;'Покупки по дням'!$B148,data!$B:$B,"="&amp;'Покупки по дням'!D$2)</f>
        <v>0</v>
      </c>
      <c r="E148">
        <f>SUMIFS(data!$C:$C,data!$A:$A,"="&amp;'Покупки по дням'!$B148,data!$B:$B,"="&amp;'Покупки по дням'!E$2)</f>
        <v>0</v>
      </c>
      <c r="F148">
        <f>SUMIFS(data!$C:$C,data!$A:$A,"="&amp;'Покупки по дням'!$B148,data!$B:$B,"="&amp;'Покупки по дням'!F$2)</f>
        <v>1</v>
      </c>
      <c r="G148">
        <f>SUMIFS(data!$C:$C,data!$A:$A,"="&amp;'Покупки по дням'!$B148,data!$B:$B,"="&amp;'Покупки по дням'!G$2)</f>
        <v>1</v>
      </c>
      <c r="H148">
        <f>SUMIFS(data!$C:$C,data!$A:$A,"="&amp;'Покупки по дням'!$B148,data!$B:$B,"="&amp;'Покупки по дням'!H$2)</f>
        <v>3</v>
      </c>
      <c r="I148">
        <f>SUMIFS(data!$C:$C,data!$A:$A,"="&amp;'Покупки по дням'!$B148,data!$B:$B,"="&amp;'Покупки по дням'!I$2)</f>
        <v>6</v>
      </c>
      <c r="J148">
        <f>SUMIFS(data!$C:$C,data!$A:$A,"="&amp;'Покупки по дням'!$B148,data!$B:$B,"="&amp;'Покупки по дням'!J$2)</f>
        <v>1</v>
      </c>
      <c r="K148">
        <f>SUMIFS(data!$C:$C,data!$A:$A,"="&amp;'Покупки по дням'!$B148,data!$B:$B,"="&amp;'Покупки по дням'!K$2)</f>
        <v>0</v>
      </c>
      <c r="L148">
        <f>SUMIFS(data!$C:$C,data!$A:$A,"="&amp;'Покупки по дням'!$B148,data!$B:$B,"="&amp;'Покупки по дням'!L$2)</f>
        <v>1</v>
      </c>
      <c r="M148">
        <f>SUMIFS(data!$C:$C,data!$A:$A,"="&amp;'Покупки по дням'!$B148,data!$B:$B,"="&amp;'Покупки по дням'!M$2)</f>
        <v>0</v>
      </c>
      <c r="N148">
        <f>SUMIFS(data!$C:$C,data!$A:$A,"="&amp;'Покупки по дням'!$B148,data!$B:$B,"="&amp;'Покупки по дням'!N$2)</f>
        <v>1</v>
      </c>
      <c r="O148">
        <f>SUMIFS(data!$C:$C,data!$A:$A,"="&amp;'Покупки по дням'!$B148,data!$B:$B,"="&amp;'Покупки по дням'!O$2)</f>
        <v>1</v>
      </c>
      <c r="P148">
        <f>SUMIFS(data!$C:$C,data!$A:$A,"="&amp;'Покупки по дням'!$B148,data!$B:$B,"="&amp;'Покупки по дням'!P$2)</f>
        <v>2</v>
      </c>
      <c r="Q148">
        <f>SUMIFS(data!$C:$C,data!$A:$A,"="&amp;'Покупки по дням'!$B148,data!$B:$B,"="&amp;'Покупки по дням'!Q$2)</f>
        <v>0</v>
      </c>
      <c r="R148">
        <f>SUMIFS(data!$C:$C,data!$A:$A,"="&amp;'Покупки по дням'!$B148,data!$B:$B,"="&amp;'Покупки по дням'!R$2)</f>
        <v>0</v>
      </c>
      <c r="S148">
        <f>SUMIFS(data!$C:$C,data!$A:$A,"="&amp;'Покупки по дням'!$B148,data!$B:$B,"="&amp;'Покупки по дням'!S$2)</f>
        <v>0</v>
      </c>
      <c r="T148">
        <f>SUMIFS(data!$C:$C,data!$A:$A,"="&amp;'Покупки по дням'!$B148,data!$B:$B,"="&amp;'Покупки по дням'!T$2)</f>
        <v>0</v>
      </c>
      <c r="U148">
        <f>SUMIFS(data!$C:$C,data!$A:$A,"="&amp;'Покупки по дням'!$B148,data!$B:$B,"="&amp;'Покупки по дням'!U$2)</f>
        <v>1</v>
      </c>
      <c r="V148">
        <f>SUMIFS(data!$C:$C,data!$A:$A,"="&amp;'Покупки по дням'!$B148,data!$B:$B,"="&amp;'Покупки по дням'!V$2)</f>
        <v>0</v>
      </c>
      <c r="W148">
        <f>SUMIFS(data!$C:$C,data!$A:$A,"="&amp;'Покупки по дням'!$B148,data!$B:$B,"="&amp;'Покупки по дням'!W$2)</f>
        <v>1</v>
      </c>
      <c r="X148">
        <f>SUMIFS(data!$C:$C,data!$A:$A,"="&amp;'Покупки по дням'!$B148,data!$B:$B,"="&amp;'Покупки по дням'!X$2)</f>
        <v>3</v>
      </c>
      <c r="Y148">
        <f>SUMIFS(data!$C:$C,data!$A:$A,"="&amp;'Покупки по дням'!$B148,data!$B:$B,"="&amp;'Покупки по дням'!Y$2)</f>
        <v>2</v>
      </c>
      <c r="Z148">
        <f>SUMIFS(data!$C:$C,data!$A:$A,"="&amp;'Покупки по дням'!$B148,data!$B:$B,"="&amp;'Покупки по дням'!Z$2)</f>
        <v>2</v>
      </c>
      <c r="AA148">
        <f>SUMIFS(data!$C:$C,data!$A:$A,"="&amp;'Покупки по дням'!$B148,data!$B:$B,"="&amp;'Покупки по дням'!AA$2)</f>
        <v>0</v>
      </c>
      <c r="AB148">
        <f>SUMIFS(data!$C:$C,data!$A:$A,"="&amp;'Покупки по дням'!$B148,data!$B:$B,"="&amp;'Покупки по дням'!AB$2)</f>
        <v>0</v>
      </c>
      <c r="AC148">
        <f>SUMIFS(data!$C:$C,data!$A:$A,"="&amp;'Покупки по дням'!$B148,data!$B:$B,"="&amp;'Покупки по дням'!AC$2)</f>
        <v>1</v>
      </c>
      <c r="AD148">
        <f>SUMIFS(data!$C:$C,data!$A:$A,"="&amp;'Покупки по дням'!$B148,data!$B:$B,"="&amp;'Покупки по дням'!AD$2)</f>
        <v>1</v>
      </c>
      <c r="AE148">
        <f>SUMIFS(data!$C:$C,data!$A:$A,"="&amp;'Покупки по дням'!$B148,data!$B:$B,"="&amp;'Покупки по дням'!AE$2)</f>
        <v>1</v>
      </c>
      <c r="AF148">
        <f>SUMIFS(data!$C:$C,data!$A:$A,"="&amp;'Покупки по дням'!$B148,data!$B:$B,"="&amp;'Покупки по дням'!AF$2)</f>
        <v>1</v>
      </c>
      <c r="AG148">
        <f>SUMIFS(data!$C:$C,data!$A:$A,"="&amp;'Покупки по дням'!$B148,data!$B:$B,"="&amp;'Покупки по дням'!AG$2)</f>
        <v>2</v>
      </c>
      <c r="AH148">
        <f>SUMIFS(data!$C:$C,data!$A:$A,"="&amp;'Покупки по дням'!$B148,data!$B:$B,"="&amp;'Покупки по дням'!AH$2)</f>
        <v>0</v>
      </c>
      <c r="AI148">
        <f>SUMIFS(data!$C:$C,data!$A:$A,"="&amp;'Покупки по дням'!$B148,data!$B:$B,"="&amp;'Покупки по дням'!AI$2)</f>
        <v>3</v>
      </c>
      <c r="AJ148">
        <f>SUMIFS(data!$C:$C,data!$A:$A,"="&amp;'Покупки по дням'!$B148,data!$B:$B,"="&amp;'Покупки по дням'!AJ$2)</f>
        <v>1</v>
      </c>
      <c r="AK148">
        <f>SUMIFS(data!$C:$C,data!$A:$A,"="&amp;'Покупки по дням'!$B148,data!$B:$B,"="&amp;'Покупки по дням'!AK$2)</f>
        <v>1</v>
      </c>
      <c r="AL148">
        <f>SUMIFS(data!$C:$C,data!$A:$A,"="&amp;'Покупки по дням'!$B148,data!$B:$B,"="&amp;'Покупки по дням'!AL$2)</f>
        <v>1</v>
      </c>
      <c r="AM148">
        <f>SUMIFS(data!$C:$C,data!$A:$A,"="&amp;'Покупки по дням'!$B148,data!$B:$B,"="&amp;'Покупки по дням'!AM$2)</f>
        <v>2</v>
      </c>
      <c r="AN148">
        <f>SUMIFS(data!$C:$C,data!$A:$A,"="&amp;'Покупки по дням'!$B148,data!$B:$B,"="&amp;'Покупки по дням'!AN$2)</f>
        <v>0</v>
      </c>
      <c r="AO148">
        <f>SUMIFS(data!$C:$C,data!$A:$A,"="&amp;'Покупки по дням'!$B148,data!$B:$B,"="&amp;'Покупки по дням'!AO$2)</f>
        <v>1</v>
      </c>
      <c r="AP148">
        <f>SUMIFS(data!$C:$C,data!$A:$A,"="&amp;'Покупки по дням'!$B148,data!$B:$B,"="&amp;'Покупки по дням'!AP$2)</f>
        <v>0</v>
      </c>
      <c r="AQ148" s="6">
        <f t="shared" si="2"/>
        <v>1.1791960018793499</v>
      </c>
    </row>
    <row r="149" spans="2:43" x14ac:dyDescent="0.3">
      <c r="B149" s="17" t="s">
        <v>116</v>
      </c>
      <c r="C149">
        <f>SUMIFS(data!$C:$C,data!$A:$A,"="&amp;'Покупки по дням'!$B149,data!$B:$B,"="&amp;'Покупки по дням'!C$2)</f>
        <v>3</v>
      </c>
      <c r="D149">
        <f>SUMIFS(data!$C:$C,data!$A:$A,"="&amp;'Покупки по дням'!$B149,data!$B:$B,"="&amp;'Покупки по дням'!D$2)</f>
        <v>2</v>
      </c>
      <c r="E149">
        <f>SUMIFS(data!$C:$C,data!$A:$A,"="&amp;'Покупки по дням'!$B149,data!$B:$B,"="&amp;'Покупки по дням'!E$2)</f>
        <v>0</v>
      </c>
      <c r="F149">
        <f>SUMIFS(data!$C:$C,data!$A:$A,"="&amp;'Покупки по дням'!$B149,data!$B:$B,"="&amp;'Покупки по дням'!F$2)</f>
        <v>0</v>
      </c>
      <c r="G149">
        <f>SUMIFS(data!$C:$C,data!$A:$A,"="&amp;'Покупки по дням'!$B149,data!$B:$B,"="&amp;'Покупки по дням'!G$2)</f>
        <v>1</v>
      </c>
      <c r="H149">
        <f>SUMIFS(data!$C:$C,data!$A:$A,"="&amp;'Покупки по дням'!$B149,data!$B:$B,"="&amp;'Покупки по дням'!H$2)</f>
        <v>0</v>
      </c>
      <c r="I149">
        <f>SUMIFS(data!$C:$C,data!$A:$A,"="&amp;'Покупки по дням'!$B149,data!$B:$B,"="&amp;'Покупки по дням'!I$2)</f>
        <v>2</v>
      </c>
      <c r="J149">
        <f>SUMIFS(data!$C:$C,data!$A:$A,"="&amp;'Покупки по дням'!$B149,data!$B:$B,"="&amp;'Покупки по дням'!J$2)</f>
        <v>1</v>
      </c>
      <c r="K149">
        <f>SUMIFS(data!$C:$C,data!$A:$A,"="&amp;'Покупки по дням'!$B149,data!$B:$B,"="&amp;'Покупки по дням'!K$2)</f>
        <v>0</v>
      </c>
      <c r="L149">
        <f>SUMIFS(data!$C:$C,data!$A:$A,"="&amp;'Покупки по дням'!$B149,data!$B:$B,"="&amp;'Покупки по дням'!L$2)</f>
        <v>1</v>
      </c>
      <c r="M149">
        <f>SUMIFS(data!$C:$C,data!$A:$A,"="&amp;'Покупки по дням'!$B149,data!$B:$B,"="&amp;'Покупки по дням'!M$2)</f>
        <v>2</v>
      </c>
      <c r="N149">
        <f>SUMIFS(data!$C:$C,data!$A:$A,"="&amp;'Покупки по дням'!$B149,data!$B:$B,"="&amp;'Покупки по дням'!N$2)</f>
        <v>2</v>
      </c>
      <c r="O149">
        <f>SUMIFS(data!$C:$C,data!$A:$A,"="&amp;'Покупки по дням'!$B149,data!$B:$B,"="&amp;'Покупки по дням'!O$2)</f>
        <v>2</v>
      </c>
      <c r="P149">
        <f>SUMIFS(data!$C:$C,data!$A:$A,"="&amp;'Покупки по дням'!$B149,data!$B:$B,"="&amp;'Покупки по дням'!P$2)</f>
        <v>1</v>
      </c>
      <c r="Q149">
        <f>SUMIFS(data!$C:$C,data!$A:$A,"="&amp;'Покупки по дням'!$B149,data!$B:$B,"="&amp;'Покупки по дням'!Q$2)</f>
        <v>3</v>
      </c>
      <c r="R149">
        <f>SUMIFS(data!$C:$C,data!$A:$A,"="&amp;'Покупки по дням'!$B149,data!$B:$B,"="&amp;'Покупки по дням'!R$2)</f>
        <v>0</v>
      </c>
      <c r="S149">
        <f>SUMIFS(data!$C:$C,data!$A:$A,"="&amp;'Покупки по дням'!$B149,data!$B:$B,"="&amp;'Покупки по дням'!S$2)</f>
        <v>2</v>
      </c>
      <c r="T149">
        <f>SUMIFS(data!$C:$C,data!$A:$A,"="&amp;'Покупки по дням'!$B149,data!$B:$B,"="&amp;'Покупки по дням'!T$2)</f>
        <v>2</v>
      </c>
      <c r="U149">
        <f>SUMIFS(data!$C:$C,data!$A:$A,"="&amp;'Покупки по дням'!$B149,data!$B:$B,"="&amp;'Покупки по дням'!U$2)</f>
        <v>0</v>
      </c>
      <c r="V149">
        <f>SUMIFS(data!$C:$C,data!$A:$A,"="&amp;'Покупки по дням'!$B149,data!$B:$B,"="&amp;'Покупки по дням'!V$2)</f>
        <v>3</v>
      </c>
      <c r="W149">
        <f>SUMIFS(data!$C:$C,data!$A:$A,"="&amp;'Покупки по дням'!$B149,data!$B:$B,"="&amp;'Покупки по дням'!W$2)</f>
        <v>1</v>
      </c>
      <c r="X149">
        <f>SUMIFS(data!$C:$C,data!$A:$A,"="&amp;'Покупки по дням'!$B149,data!$B:$B,"="&amp;'Покупки по дням'!X$2)</f>
        <v>0</v>
      </c>
      <c r="Y149">
        <f>SUMIFS(data!$C:$C,data!$A:$A,"="&amp;'Покупки по дням'!$B149,data!$B:$B,"="&amp;'Покупки по дням'!Y$2)</f>
        <v>0</v>
      </c>
      <c r="Z149">
        <f>SUMIFS(data!$C:$C,data!$A:$A,"="&amp;'Покупки по дням'!$B149,data!$B:$B,"="&amp;'Покупки по дням'!Z$2)</f>
        <v>0</v>
      </c>
      <c r="AA149">
        <f>SUMIFS(data!$C:$C,data!$A:$A,"="&amp;'Покупки по дням'!$B149,data!$B:$B,"="&amp;'Покупки по дням'!AA$2)</f>
        <v>0</v>
      </c>
      <c r="AB149">
        <f>SUMIFS(data!$C:$C,data!$A:$A,"="&amp;'Покупки по дням'!$B149,data!$B:$B,"="&amp;'Покупки по дням'!AB$2)</f>
        <v>2</v>
      </c>
      <c r="AC149">
        <f>SUMIFS(data!$C:$C,data!$A:$A,"="&amp;'Покупки по дням'!$B149,data!$B:$B,"="&amp;'Покупки по дням'!AC$2)</f>
        <v>1</v>
      </c>
      <c r="AD149">
        <f>SUMIFS(data!$C:$C,data!$A:$A,"="&amp;'Покупки по дням'!$B149,data!$B:$B,"="&amp;'Покупки по дням'!AD$2)</f>
        <v>0</v>
      </c>
      <c r="AE149">
        <f>SUMIFS(data!$C:$C,data!$A:$A,"="&amp;'Покупки по дням'!$B149,data!$B:$B,"="&amp;'Покупки по дням'!AE$2)</f>
        <v>3</v>
      </c>
      <c r="AF149">
        <f>SUMIFS(data!$C:$C,data!$A:$A,"="&amp;'Покупки по дням'!$B149,data!$B:$B,"="&amp;'Покупки по дням'!AF$2)</f>
        <v>2</v>
      </c>
      <c r="AG149">
        <f>SUMIFS(data!$C:$C,data!$A:$A,"="&amp;'Покупки по дням'!$B149,data!$B:$B,"="&amp;'Покупки по дням'!AG$2)</f>
        <v>1</v>
      </c>
      <c r="AH149">
        <f>SUMIFS(data!$C:$C,data!$A:$A,"="&amp;'Покупки по дням'!$B149,data!$B:$B,"="&amp;'Покупки по дням'!AH$2)</f>
        <v>0</v>
      </c>
      <c r="AI149">
        <f>SUMIFS(data!$C:$C,data!$A:$A,"="&amp;'Покупки по дням'!$B149,data!$B:$B,"="&amp;'Покупки по дням'!AI$2)</f>
        <v>0</v>
      </c>
      <c r="AJ149">
        <f>SUMIFS(data!$C:$C,data!$A:$A,"="&amp;'Покупки по дням'!$B149,data!$B:$B,"="&amp;'Покупки по дням'!AJ$2)</f>
        <v>4</v>
      </c>
      <c r="AK149">
        <f>SUMIFS(data!$C:$C,data!$A:$A,"="&amp;'Покупки по дням'!$B149,data!$B:$B,"="&amp;'Покупки по дням'!AK$2)</f>
        <v>0</v>
      </c>
      <c r="AL149">
        <f>SUMIFS(data!$C:$C,data!$A:$A,"="&amp;'Покупки по дням'!$B149,data!$B:$B,"="&amp;'Покупки по дням'!AL$2)</f>
        <v>0</v>
      </c>
      <c r="AM149">
        <f>SUMIFS(data!$C:$C,data!$A:$A,"="&amp;'Покупки по дням'!$B149,data!$B:$B,"="&amp;'Покупки по дням'!AM$2)</f>
        <v>0</v>
      </c>
      <c r="AN149">
        <f>SUMIFS(data!$C:$C,data!$A:$A,"="&amp;'Покупки по дням'!$B149,data!$B:$B,"="&amp;'Покупки по дням'!AN$2)</f>
        <v>0</v>
      </c>
      <c r="AO149">
        <f>SUMIFS(data!$C:$C,data!$A:$A,"="&amp;'Покупки по дням'!$B149,data!$B:$B,"="&amp;'Покупки по дням'!AO$2)</f>
        <v>0</v>
      </c>
      <c r="AP149">
        <f>SUMIFS(data!$C:$C,data!$A:$A,"="&amp;'Покупки по дням'!$B149,data!$B:$B,"="&amp;'Покупки по дням'!AP$2)</f>
        <v>1</v>
      </c>
      <c r="AQ149" s="6">
        <f t="shared" si="2"/>
        <v>1.0986568715175069</v>
      </c>
    </row>
    <row r="150" spans="2:43" x14ac:dyDescent="0.3">
      <c r="B150" s="17" t="s">
        <v>79</v>
      </c>
      <c r="C150">
        <f>SUMIFS(data!$C:$C,data!$A:$A,"="&amp;'Покупки по дням'!$B150,data!$B:$B,"="&amp;'Покупки по дням'!C$2)</f>
        <v>0</v>
      </c>
      <c r="D150">
        <f>SUMIFS(data!$C:$C,data!$A:$A,"="&amp;'Покупки по дням'!$B150,data!$B:$B,"="&amp;'Покупки по дням'!D$2)</f>
        <v>2</v>
      </c>
      <c r="E150">
        <f>SUMIFS(data!$C:$C,data!$A:$A,"="&amp;'Покупки по дням'!$B150,data!$B:$B,"="&amp;'Покупки по дням'!E$2)</f>
        <v>0</v>
      </c>
      <c r="F150">
        <f>SUMIFS(data!$C:$C,data!$A:$A,"="&amp;'Покупки по дням'!$B150,data!$B:$B,"="&amp;'Покупки по дням'!F$2)</f>
        <v>3</v>
      </c>
      <c r="G150">
        <f>SUMIFS(data!$C:$C,data!$A:$A,"="&amp;'Покупки по дням'!$B150,data!$B:$B,"="&amp;'Покупки по дням'!G$2)</f>
        <v>1</v>
      </c>
      <c r="H150">
        <f>SUMIFS(data!$C:$C,data!$A:$A,"="&amp;'Покупки по дням'!$B150,data!$B:$B,"="&amp;'Покупки по дням'!H$2)</f>
        <v>1</v>
      </c>
      <c r="I150">
        <f>SUMIFS(data!$C:$C,data!$A:$A,"="&amp;'Покупки по дням'!$B150,data!$B:$B,"="&amp;'Покупки по дням'!I$2)</f>
        <v>0</v>
      </c>
      <c r="J150">
        <f>SUMIFS(data!$C:$C,data!$A:$A,"="&amp;'Покупки по дням'!$B150,data!$B:$B,"="&amp;'Покупки по дням'!J$2)</f>
        <v>0</v>
      </c>
      <c r="K150">
        <f>SUMIFS(data!$C:$C,data!$A:$A,"="&amp;'Покупки по дням'!$B150,data!$B:$B,"="&amp;'Покупки по дням'!K$2)</f>
        <v>0</v>
      </c>
      <c r="L150">
        <f>SUMIFS(data!$C:$C,data!$A:$A,"="&amp;'Покупки по дням'!$B150,data!$B:$B,"="&amp;'Покупки по дням'!L$2)</f>
        <v>0</v>
      </c>
      <c r="M150">
        <f>SUMIFS(data!$C:$C,data!$A:$A,"="&amp;'Покупки по дням'!$B150,data!$B:$B,"="&amp;'Покупки по дням'!M$2)</f>
        <v>0</v>
      </c>
      <c r="N150">
        <f>SUMIFS(data!$C:$C,data!$A:$A,"="&amp;'Покупки по дням'!$B150,data!$B:$B,"="&amp;'Покупки по дням'!N$2)</f>
        <v>1</v>
      </c>
      <c r="O150">
        <f>SUMIFS(data!$C:$C,data!$A:$A,"="&amp;'Покупки по дням'!$B150,data!$B:$B,"="&amp;'Покупки по дням'!O$2)</f>
        <v>2</v>
      </c>
      <c r="P150">
        <f>SUMIFS(data!$C:$C,data!$A:$A,"="&amp;'Покупки по дням'!$B150,data!$B:$B,"="&amp;'Покупки по дням'!P$2)</f>
        <v>3</v>
      </c>
      <c r="Q150">
        <f>SUMIFS(data!$C:$C,data!$A:$A,"="&amp;'Покупки по дням'!$B150,data!$B:$B,"="&amp;'Покупки по дням'!Q$2)</f>
        <v>1</v>
      </c>
      <c r="R150">
        <f>SUMIFS(data!$C:$C,data!$A:$A,"="&amp;'Покупки по дням'!$B150,data!$B:$B,"="&amp;'Покупки по дням'!R$2)</f>
        <v>0</v>
      </c>
      <c r="S150">
        <f>SUMIFS(data!$C:$C,data!$A:$A,"="&amp;'Покупки по дням'!$B150,data!$B:$B,"="&amp;'Покупки по дням'!S$2)</f>
        <v>2</v>
      </c>
      <c r="T150">
        <f>SUMIFS(data!$C:$C,data!$A:$A,"="&amp;'Покупки по дням'!$B150,data!$B:$B,"="&amp;'Покупки по дням'!T$2)</f>
        <v>2</v>
      </c>
      <c r="U150">
        <f>SUMIFS(data!$C:$C,data!$A:$A,"="&amp;'Покупки по дням'!$B150,data!$B:$B,"="&amp;'Покупки по дням'!U$2)</f>
        <v>1</v>
      </c>
      <c r="V150">
        <f>SUMIFS(data!$C:$C,data!$A:$A,"="&amp;'Покупки по дням'!$B150,data!$B:$B,"="&amp;'Покупки по дням'!V$2)</f>
        <v>0</v>
      </c>
      <c r="W150">
        <f>SUMIFS(data!$C:$C,data!$A:$A,"="&amp;'Покупки по дням'!$B150,data!$B:$B,"="&amp;'Покупки по дням'!W$2)</f>
        <v>0</v>
      </c>
      <c r="X150">
        <f>SUMIFS(data!$C:$C,data!$A:$A,"="&amp;'Покупки по дням'!$B150,data!$B:$B,"="&amp;'Покупки по дням'!X$2)</f>
        <v>0</v>
      </c>
      <c r="Y150">
        <f>SUMIFS(data!$C:$C,data!$A:$A,"="&amp;'Покупки по дням'!$B150,data!$B:$B,"="&amp;'Покупки по дням'!Y$2)</f>
        <v>2</v>
      </c>
      <c r="Z150">
        <f>SUMIFS(data!$C:$C,data!$A:$A,"="&amp;'Покупки по дням'!$B150,data!$B:$B,"="&amp;'Покупки по дням'!Z$2)</f>
        <v>1</v>
      </c>
      <c r="AA150">
        <f>SUMIFS(data!$C:$C,data!$A:$A,"="&amp;'Покупки по дням'!$B150,data!$B:$B,"="&amp;'Покупки по дням'!AA$2)</f>
        <v>5</v>
      </c>
      <c r="AB150">
        <f>SUMIFS(data!$C:$C,data!$A:$A,"="&amp;'Покупки по дням'!$B150,data!$B:$B,"="&amp;'Покупки по дням'!AB$2)</f>
        <v>0</v>
      </c>
      <c r="AC150">
        <f>SUMIFS(data!$C:$C,data!$A:$A,"="&amp;'Покупки по дням'!$B150,data!$B:$B,"="&amp;'Покупки по дням'!AC$2)</f>
        <v>0</v>
      </c>
      <c r="AD150">
        <f>SUMIFS(data!$C:$C,data!$A:$A,"="&amp;'Покупки по дням'!$B150,data!$B:$B,"="&amp;'Покупки по дням'!AD$2)</f>
        <v>3</v>
      </c>
      <c r="AE150">
        <f>SUMIFS(data!$C:$C,data!$A:$A,"="&amp;'Покупки по дням'!$B150,data!$B:$B,"="&amp;'Покупки по дням'!AE$2)</f>
        <v>0</v>
      </c>
      <c r="AF150">
        <f>SUMIFS(data!$C:$C,data!$A:$A,"="&amp;'Покупки по дням'!$B150,data!$B:$B,"="&amp;'Покупки по дням'!AF$2)</f>
        <v>1</v>
      </c>
      <c r="AG150">
        <f>SUMIFS(data!$C:$C,data!$A:$A,"="&amp;'Покупки по дням'!$B150,data!$B:$B,"="&amp;'Покупки по дням'!AG$2)</f>
        <v>0</v>
      </c>
      <c r="AH150">
        <f>SUMIFS(data!$C:$C,data!$A:$A,"="&amp;'Покупки по дням'!$B150,data!$B:$B,"="&amp;'Покупки по дням'!AH$2)</f>
        <v>1</v>
      </c>
      <c r="AI150">
        <f>SUMIFS(data!$C:$C,data!$A:$A,"="&amp;'Покупки по дням'!$B150,data!$B:$B,"="&amp;'Покупки по дням'!AI$2)</f>
        <v>1</v>
      </c>
      <c r="AJ150">
        <f>SUMIFS(data!$C:$C,data!$A:$A,"="&amp;'Покупки по дням'!$B150,data!$B:$B,"="&amp;'Покупки по дням'!AJ$2)</f>
        <v>1</v>
      </c>
      <c r="AK150">
        <f>SUMIFS(data!$C:$C,data!$A:$A,"="&amp;'Покупки по дням'!$B150,data!$B:$B,"="&amp;'Покупки по дням'!AK$2)</f>
        <v>3</v>
      </c>
      <c r="AL150">
        <f>SUMIFS(data!$C:$C,data!$A:$A,"="&amp;'Покупки по дням'!$B150,data!$B:$B,"="&amp;'Покупки по дням'!AL$2)</f>
        <v>1</v>
      </c>
      <c r="AM150">
        <f>SUMIFS(data!$C:$C,data!$A:$A,"="&amp;'Покупки по дням'!$B150,data!$B:$B,"="&amp;'Покупки по дням'!AM$2)</f>
        <v>0</v>
      </c>
      <c r="AN150">
        <f>SUMIFS(data!$C:$C,data!$A:$A,"="&amp;'Покупки по дням'!$B150,data!$B:$B,"="&amp;'Покупки по дням'!AN$2)</f>
        <v>1</v>
      </c>
      <c r="AO150">
        <f>SUMIFS(data!$C:$C,data!$A:$A,"="&amp;'Покупки по дням'!$B150,data!$B:$B,"="&amp;'Покупки по дням'!AO$2)</f>
        <v>1</v>
      </c>
      <c r="AP150">
        <f>SUMIFS(data!$C:$C,data!$A:$A,"="&amp;'Покупки по дням'!$B150,data!$B:$B,"="&amp;'Покупки по дням'!AP$2)</f>
        <v>2</v>
      </c>
      <c r="AQ150" s="6">
        <f t="shared" si="2"/>
        <v>1.1196254970128421</v>
      </c>
    </row>
    <row r="151" spans="2:43" ht="43.2" x14ac:dyDescent="0.3">
      <c r="B151" s="17" t="s">
        <v>111</v>
      </c>
      <c r="C151">
        <f>SUMIFS(data!$C:$C,data!$A:$A,"="&amp;'Покупки по дням'!$B151,data!$B:$B,"="&amp;'Покупки по дням'!C$2)</f>
        <v>2</v>
      </c>
      <c r="D151">
        <f>SUMIFS(data!$C:$C,data!$A:$A,"="&amp;'Покупки по дням'!$B151,data!$B:$B,"="&amp;'Покупки по дням'!D$2)</f>
        <v>2</v>
      </c>
      <c r="E151">
        <f>SUMIFS(data!$C:$C,data!$A:$A,"="&amp;'Покупки по дням'!$B151,data!$B:$B,"="&amp;'Покупки по дням'!E$2)</f>
        <v>2</v>
      </c>
      <c r="F151">
        <f>SUMIFS(data!$C:$C,data!$A:$A,"="&amp;'Покупки по дням'!$B151,data!$B:$B,"="&amp;'Покупки по дням'!F$2)</f>
        <v>2</v>
      </c>
      <c r="G151">
        <f>SUMIFS(data!$C:$C,data!$A:$A,"="&amp;'Покупки по дням'!$B151,data!$B:$B,"="&amp;'Покупки по дням'!G$2)</f>
        <v>3</v>
      </c>
      <c r="H151">
        <f>SUMIFS(data!$C:$C,data!$A:$A,"="&amp;'Покупки по дням'!$B151,data!$B:$B,"="&amp;'Покупки по дням'!H$2)</f>
        <v>1</v>
      </c>
      <c r="I151">
        <f>SUMIFS(data!$C:$C,data!$A:$A,"="&amp;'Покупки по дням'!$B151,data!$B:$B,"="&amp;'Покупки по дням'!I$2)</f>
        <v>0</v>
      </c>
      <c r="J151">
        <f>SUMIFS(data!$C:$C,data!$A:$A,"="&amp;'Покупки по дням'!$B151,data!$B:$B,"="&amp;'Покупки по дням'!J$2)</f>
        <v>1</v>
      </c>
      <c r="K151">
        <f>SUMIFS(data!$C:$C,data!$A:$A,"="&amp;'Покупки по дням'!$B151,data!$B:$B,"="&amp;'Покупки по дням'!K$2)</f>
        <v>0</v>
      </c>
      <c r="L151">
        <f>SUMIFS(data!$C:$C,data!$A:$A,"="&amp;'Покупки по дням'!$B151,data!$B:$B,"="&amp;'Покупки по дням'!L$2)</f>
        <v>0</v>
      </c>
      <c r="M151">
        <f>SUMIFS(data!$C:$C,data!$A:$A,"="&amp;'Покупки по дням'!$B151,data!$B:$B,"="&amp;'Покупки по дням'!M$2)</f>
        <v>3</v>
      </c>
      <c r="N151">
        <f>SUMIFS(data!$C:$C,data!$A:$A,"="&amp;'Покупки по дням'!$B151,data!$B:$B,"="&amp;'Покупки по дням'!N$2)</f>
        <v>3</v>
      </c>
      <c r="O151">
        <f>SUMIFS(data!$C:$C,data!$A:$A,"="&amp;'Покупки по дням'!$B151,data!$B:$B,"="&amp;'Покупки по дням'!O$2)</f>
        <v>0</v>
      </c>
      <c r="P151">
        <f>SUMIFS(data!$C:$C,data!$A:$A,"="&amp;'Покупки по дням'!$B151,data!$B:$B,"="&amp;'Покупки по дням'!P$2)</f>
        <v>0</v>
      </c>
      <c r="Q151">
        <f>SUMIFS(data!$C:$C,data!$A:$A,"="&amp;'Покупки по дням'!$B151,data!$B:$B,"="&amp;'Покупки по дням'!Q$2)</f>
        <v>0</v>
      </c>
      <c r="R151">
        <f>SUMIFS(data!$C:$C,data!$A:$A,"="&amp;'Покупки по дням'!$B151,data!$B:$B,"="&amp;'Покупки по дням'!R$2)</f>
        <v>0</v>
      </c>
      <c r="S151">
        <f>SUMIFS(data!$C:$C,data!$A:$A,"="&amp;'Покупки по дням'!$B151,data!$B:$B,"="&amp;'Покупки по дням'!S$2)</f>
        <v>2</v>
      </c>
      <c r="T151">
        <f>SUMIFS(data!$C:$C,data!$A:$A,"="&amp;'Покупки по дням'!$B151,data!$B:$B,"="&amp;'Покупки по дням'!T$2)</f>
        <v>3</v>
      </c>
      <c r="U151">
        <f>SUMIFS(data!$C:$C,data!$A:$A,"="&amp;'Покупки по дням'!$B151,data!$B:$B,"="&amp;'Покупки по дням'!U$2)</f>
        <v>1</v>
      </c>
      <c r="V151">
        <f>SUMIFS(data!$C:$C,data!$A:$A,"="&amp;'Покупки по дням'!$B151,data!$B:$B,"="&amp;'Покупки по дням'!V$2)</f>
        <v>0</v>
      </c>
      <c r="W151">
        <f>SUMIFS(data!$C:$C,data!$A:$A,"="&amp;'Покупки по дням'!$B151,data!$B:$B,"="&amp;'Покупки по дням'!W$2)</f>
        <v>1</v>
      </c>
      <c r="X151">
        <f>SUMIFS(data!$C:$C,data!$A:$A,"="&amp;'Покупки по дням'!$B151,data!$B:$B,"="&amp;'Покупки по дням'!X$2)</f>
        <v>1</v>
      </c>
      <c r="Y151">
        <f>SUMIFS(data!$C:$C,data!$A:$A,"="&amp;'Покупки по дням'!$B151,data!$B:$B,"="&amp;'Покупки по дням'!Y$2)</f>
        <v>3</v>
      </c>
      <c r="Z151">
        <f>SUMIFS(data!$C:$C,data!$A:$A,"="&amp;'Покупки по дням'!$B151,data!$B:$B,"="&amp;'Покупки по дням'!Z$2)</f>
        <v>0</v>
      </c>
      <c r="AA151">
        <f>SUMIFS(data!$C:$C,data!$A:$A,"="&amp;'Покупки по дням'!$B151,data!$B:$B,"="&amp;'Покупки по дням'!AA$2)</f>
        <v>1</v>
      </c>
      <c r="AB151">
        <f>SUMIFS(data!$C:$C,data!$A:$A,"="&amp;'Покупки по дням'!$B151,data!$B:$B,"="&amp;'Покупки по дням'!AB$2)</f>
        <v>0</v>
      </c>
      <c r="AC151">
        <f>SUMIFS(data!$C:$C,data!$A:$A,"="&amp;'Покупки по дням'!$B151,data!$B:$B,"="&amp;'Покупки по дням'!AC$2)</f>
        <v>1</v>
      </c>
      <c r="AD151">
        <f>SUMIFS(data!$C:$C,data!$A:$A,"="&amp;'Покупки по дням'!$B151,data!$B:$B,"="&amp;'Покупки по дням'!AD$2)</f>
        <v>1</v>
      </c>
      <c r="AE151">
        <f>SUMIFS(data!$C:$C,data!$A:$A,"="&amp;'Покупки по дням'!$B151,data!$B:$B,"="&amp;'Покупки по дням'!AE$2)</f>
        <v>1</v>
      </c>
      <c r="AF151">
        <f>SUMIFS(data!$C:$C,data!$A:$A,"="&amp;'Покупки по дням'!$B151,data!$B:$B,"="&amp;'Покупки по дням'!AF$2)</f>
        <v>0</v>
      </c>
      <c r="AG151">
        <f>SUMIFS(data!$C:$C,data!$A:$A,"="&amp;'Покупки по дням'!$B151,data!$B:$B,"="&amp;'Покупки по дням'!AG$2)</f>
        <v>3</v>
      </c>
      <c r="AH151">
        <f>SUMIFS(data!$C:$C,data!$A:$A,"="&amp;'Покупки по дням'!$B151,data!$B:$B,"="&amp;'Покупки по дням'!AH$2)</f>
        <v>1</v>
      </c>
      <c r="AI151">
        <f>SUMIFS(data!$C:$C,data!$A:$A,"="&amp;'Покупки по дням'!$B151,data!$B:$B,"="&amp;'Покупки по дням'!AI$2)</f>
        <v>0</v>
      </c>
      <c r="AJ151">
        <f>SUMIFS(data!$C:$C,data!$A:$A,"="&amp;'Покупки по дням'!$B151,data!$B:$B,"="&amp;'Покупки по дням'!AJ$2)</f>
        <v>1</v>
      </c>
      <c r="AK151">
        <f>SUMIFS(data!$C:$C,data!$A:$A,"="&amp;'Покупки по дням'!$B151,data!$B:$B,"="&amp;'Покупки по дням'!AK$2)</f>
        <v>0</v>
      </c>
      <c r="AL151">
        <f>SUMIFS(data!$C:$C,data!$A:$A,"="&amp;'Покупки по дням'!$B151,data!$B:$B,"="&amp;'Покупки по дням'!AL$2)</f>
        <v>2</v>
      </c>
      <c r="AM151">
        <f>SUMIFS(data!$C:$C,data!$A:$A,"="&amp;'Покупки по дням'!$B151,data!$B:$B,"="&amp;'Покупки по дням'!AM$2)</f>
        <v>0</v>
      </c>
      <c r="AN151">
        <f>SUMIFS(data!$C:$C,data!$A:$A,"="&amp;'Покупки по дням'!$B151,data!$B:$B,"="&amp;'Покупки по дням'!AN$2)</f>
        <v>0</v>
      </c>
      <c r="AO151">
        <f>SUMIFS(data!$C:$C,data!$A:$A,"="&amp;'Покупки по дням'!$B151,data!$B:$B,"="&amp;'Покупки по дням'!AO$2)</f>
        <v>1</v>
      </c>
      <c r="AP151">
        <f>SUMIFS(data!$C:$C,data!$A:$A,"="&amp;'Покупки по дням'!$B151,data!$B:$B,"="&amp;'Покупки по дням'!AP$2)</f>
        <v>1</v>
      </c>
      <c r="AQ151" s="6">
        <f t="shared" si="2"/>
        <v>0.99672885123231725</v>
      </c>
    </row>
    <row r="152" spans="2:43" x14ac:dyDescent="0.3">
      <c r="B152" s="17" t="s">
        <v>148</v>
      </c>
      <c r="C152">
        <f>SUMIFS(data!$C:$C,data!$A:$A,"="&amp;'Покупки по дням'!$B152,data!$B:$B,"="&amp;'Покупки по дням'!C$2)</f>
        <v>2</v>
      </c>
      <c r="D152">
        <f>SUMIFS(data!$C:$C,data!$A:$A,"="&amp;'Покупки по дням'!$B152,data!$B:$B,"="&amp;'Покупки по дням'!D$2)</f>
        <v>2</v>
      </c>
      <c r="E152">
        <f>SUMIFS(data!$C:$C,data!$A:$A,"="&amp;'Покупки по дням'!$B152,data!$B:$B,"="&amp;'Покупки по дням'!E$2)</f>
        <v>1</v>
      </c>
      <c r="F152">
        <f>SUMIFS(data!$C:$C,data!$A:$A,"="&amp;'Покупки по дням'!$B152,data!$B:$B,"="&amp;'Покупки по дням'!F$2)</f>
        <v>1</v>
      </c>
      <c r="G152">
        <f>SUMIFS(data!$C:$C,data!$A:$A,"="&amp;'Покупки по дням'!$B152,data!$B:$B,"="&amp;'Покупки по дням'!G$2)</f>
        <v>0</v>
      </c>
      <c r="H152">
        <f>SUMIFS(data!$C:$C,data!$A:$A,"="&amp;'Покупки по дням'!$B152,data!$B:$B,"="&amp;'Покупки по дням'!H$2)</f>
        <v>0</v>
      </c>
      <c r="I152">
        <f>SUMIFS(data!$C:$C,data!$A:$A,"="&amp;'Покупки по дням'!$B152,data!$B:$B,"="&amp;'Покупки по дням'!I$2)</f>
        <v>0</v>
      </c>
      <c r="J152">
        <f>SUMIFS(data!$C:$C,data!$A:$A,"="&amp;'Покупки по дням'!$B152,data!$B:$B,"="&amp;'Покупки по дням'!J$2)</f>
        <v>1</v>
      </c>
      <c r="K152">
        <f>SUMIFS(data!$C:$C,data!$A:$A,"="&amp;'Покупки по дням'!$B152,data!$B:$B,"="&amp;'Покупки по дням'!K$2)</f>
        <v>0</v>
      </c>
      <c r="L152">
        <f>SUMIFS(data!$C:$C,data!$A:$A,"="&amp;'Покупки по дням'!$B152,data!$B:$B,"="&amp;'Покупки по дням'!L$2)</f>
        <v>2</v>
      </c>
      <c r="M152">
        <f>SUMIFS(data!$C:$C,data!$A:$A,"="&amp;'Покупки по дням'!$B152,data!$B:$B,"="&amp;'Покупки по дням'!M$2)</f>
        <v>2</v>
      </c>
      <c r="N152">
        <f>SUMIFS(data!$C:$C,data!$A:$A,"="&amp;'Покупки по дням'!$B152,data!$B:$B,"="&amp;'Покупки по дням'!N$2)</f>
        <v>2</v>
      </c>
      <c r="O152">
        <f>SUMIFS(data!$C:$C,data!$A:$A,"="&amp;'Покупки по дням'!$B152,data!$B:$B,"="&amp;'Покупки по дням'!O$2)</f>
        <v>0</v>
      </c>
      <c r="P152">
        <f>SUMIFS(data!$C:$C,data!$A:$A,"="&amp;'Покупки по дням'!$B152,data!$B:$B,"="&amp;'Покупки по дням'!P$2)</f>
        <v>0</v>
      </c>
      <c r="Q152">
        <f>SUMIFS(data!$C:$C,data!$A:$A,"="&amp;'Покупки по дням'!$B152,data!$B:$B,"="&amp;'Покупки по дням'!Q$2)</f>
        <v>0</v>
      </c>
      <c r="R152">
        <f>SUMIFS(data!$C:$C,data!$A:$A,"="&amp;'Покупки по дням'!$B152,data!$B:$B,"="&amp;'Покупки по дням'!R$2)</f>
        <v>1</v>
      </c>
      <c r="S152">
        <f>SUMIFS(data!$C:$C,data!$A:$A,"="&amp;'Покупки по дням'!$B152,data!$B:$B,"="&amp;'Покупки по дням'!S$2)</f>
        <v>1</v>
      </c>
      <c r="T152">
        <f>SUMIFS(data!$C:$C,data!$A:$A,"="&amp;'Покупки по дням'!$B152,data!$B:$B,"="&amp;'Покупки по дням'!T$2)</f>
        <v>0</v>
      </c>
      <c r="U152">
        <f>SUMIFS(data!$C:$C,data!$A:$A,"="&amp;'Покупки по дням'!$B152,data!$B:$B,"="&amp;'Покупки по дням'!U$2)</f>
        <v>0</v>
      </c>
      <c r="V152">
        <f>SUMIFS(data!$C:$C,data!$A:$A,"="&amp;'Покупки по дням'!$B152,data!$B:$B,"="&amp;'Покупки по дням'!V$2)</f>
        <v>4</v>
      </c>
      <c r="W152">
        <f>SUMIFS(data!$C:$C,data!$A:$A,"="&amp;'Покупки по дням'!$B152,data!$B:$B,"="&amp;'Покупки по дням'!W$2)</f>
        <v>2</v>
      </c>
      <c r="X152">
        <f>SUMIFS(data!$C:$C,data!$A:$A,"="&amp;'Покупки по дням'!$B152,data!$B:$B,"="&amp;'Покупки по дням'!X$2)</f>
        <v>0</v>
      </c>
      <c r="Y152">
        <f>SUMIFS(data!$C:$C,data!$A:$A,"="&amp;'Покупки по дням'!$B152,data!$B:$B,"="&amp;'Покупки по дням'!Y$2)</f>
        <v>0</v>
      </c>
      <c r="Z152">
        <f>SUMIFS(data!$C:$C,data!$A:$A,"="&amp;'Покупки по дням'!$B152,data!$B:$B,"="&amp;'Покупки по дням'!Z$2)</f>
        <v>1</v>
      </c>
      <c r="AA152">
        <f>SUMIFS(data!$C:$C,data!$A:$A,"="&amp;'Покупки по дням'!$B152,data!$B:$B,"="&amp;'Покупки по дням'!AA$2)</f>
        <v>2</v>
      </c>
      <c r="AB152">
        <f>SUMIFS(data!$C:$C,data!$A:$A,"="&amp;'Покупки по дням'!$B152,data!$B:$B,"="&amp;'Покупки по дням'!AB$2)</f>
        <v>2</v>
      </c>
      <c r="AC152">
        <f>SUMIFS(data!$C:$C,data!$A:$A,"="&amp;'Покупки по дням'!$B152,data!$B:$B,"="&amp;'Покупки по дням'!AC$2)</f>
        <v>1</v>
      </c>
      <c r="AD152">
        <f>SUMIFS(data!$C:$C,data!$A:$A,"="&amp;'Покупки по дням'!$B152,data!$B:$B,"="&amp;'Покупки по дням'!AD$2)</f>
        <v>1</v>
      </c>
      <c r="AE152">
        <f>SUMIFS(data!$C:$C,data!$A:$A,"="&amp;'Покупки по дням'!$B152,data!$B:$B,"="&amp;'Покупки по дням'!AE$2)</f>
        <v>1</v>
      </c>
      <c r="AF152">
        <f>SUMIFS(data!$C:$C,data!$A:$A,"="&amp;'Покупки по дням'!$B152,data!$B:$B,"="&amp;'Покупки по дням'!AF$2)</f>
        <v>3</v>
      </c>
      <c r="AG152">
        <f>SUMIFS(data!$C:$C,data!$A:$A,"="&amp;'Покупки по дням'!$B152,data!$B:$B,"="&amp;'Покупки по дням'!AG$2)</f>
        <v>1</v>
      </c>
      <c r="AH152">
        <f>SUMIFS(data!$C:$C,data!$A:$A,"="&amp;'Покупки по дням'!$B152,data!$B:$B,"="&amp;'Покупки по дням'!AH$2)</f>
        <v>0</v>
      </c>
      <c r="AI152">
        <f>SUMIFS(data!$C:$C,data!$A:$A,"="&amp;'Покупки по дням'!$B152,data!$B:$B,"="&amp;'Покупки по дням'!AI$2)</f>
        <v>0</v>
      </c>
      <c r="AJ152">
        <f>SUMIFS(data!$C:$C,data!$A:$A,"="&amp;'Покупки по дням'!$B152,data!$B:$B,"="&amp;'Покупки по дням'!AJ$2)</f>
        <v>4</v>
      </c>
      <c r="AK152">
        <f>SUMIFS(data!$C:$C,data!$A:$A,"="&amp;'Покупки по дням'!$B152,data!$B:$B,"="&amp;'Покупки по дням'!AK$2)</f>
        <v>1</v>
      </c>
      <c r="AL152">
        <f>SUMIFS(data!$C:$C,data!$A:$A,"="&amp;'Покупки по дням'!$B152,data!$B:$B,"="&amp;'Покупки по дням'!AL$2)</f>
        <v>0</v>
      </c>
      <c r="AM152">
        <f>SUMIFS(data!$C:$C,data!$A:$A,"="&amp;'Покупки по дням'!$B152,data!$B:$B,"="&amp;'Покупки по дням'!AM$2)</f>
        <v>2</v>
      </c>
      <c r="AN152">
        <f>SUMIFS(data!$C:$C,data!$A:$A,"="&amp;'Покупки по дням'!$B152,data!$B:$B,"="&amp;'Покупки по дням'!AN$2)</f>
        <v>2</v>
      </c>
      <c r="AO152">
        <f>SUMIFS(data!$C:$C,data!$A:$A,"="&amp;'Покупки по дням'!$B152,data!$B:$B,"="&amp;'Покупки по дням'!AO$2)</f>
        <v>0</v>
      </c>
      <c r="AP152">
        <f>SUMIFS(data!$C:$C,data!$A:$A,"="&amp;'Покупки по дням'!$B152,data!$B:$B,"="&amp;'Покупки по дням'!AP$2)</f>
        <v>0</v>
      </c>
      <c r="AQ152" s="6">
        <f t="shared" si="2"/>
        <v>1.0554706328815593</v>
      </c>
    </row>
    <row r="153" spans="2:43" ht="28.8" x14ac:dyDescent="0.3">
      <c r="B153" s="17" t="s">
        <v>68</v>
      </c>
      <c r="C153">
        <f>SUMIFS(data!$C:$C,data!$A:$A,"="&amp;'Покупки по дням'!$B153,data!$B:$B,"="&amp;'Покупки по дням'!C$2)</f>
        <v>0</v>
      </c>
      <c r="D153">
        <f>SUMIFS(data!$C:$C,data!$A:$A,"="&amp;'Покупки по дням'!$B153,data!$B:$B,"="&amp;'Покупки по дням'!D$2)</f>
        <v>0</v>
      </c>
      <c r="E153">
        <f>SUMIFS(data!$C:$C,data!$A:$A,"="&amp;'Покупки по дням'!$B153,data!$B:$B,"="&amp;'Покупки по дням'!E$2)</f>
        <v>1</v>
      </c>
      <c r="F153">
        <f>SUMIFS(data!$C:$C,data!$A:$A,"="&amp;'Покупки по дням'!$B153,data!$B:$B,"="&amp;'Покупки по дням'!F$2)</f>
        <v>1</v>
      </c>
      <c r="G153">
        <f>SUMIFS(data!$C:$C,data!$A:$A,"="&amp;'Покупки по дням'!$B153,data!$B:$B,"="&amp;'Покупки по дням'!G$2)</f>
        <v>1</v>
      </c>
      <c r="H153">
        <f>SUMIFS(data!$C:$C,data!$A:$A,"="&amp;'Покупки по дням'!$B153,data!$B:$B,"="&amp;'Покупки по дням'!H$2)</f>
        <v>3</v>
      </c>
      <c r="I153">
        <f>SUMIFS(data!$C:$C,data!$A:$A,"="&amp;'Покупки по дням'!$B153,data!$B:$B,"="&amp;'Покупки по дням'!I$2)</f>
        <v>0</v>
      </c>
      <c r="J153">
        <f>SUMIFS(data!$C:$C,data!$A:$A,"="&amp;'Покупки по дням'!$B153,data!$B:$B,"="&amp;'Покупки по дням'!J$2)</f>
        <v>0</v>
      </c>
      <c r="K153">
        <f>SUMIFS(data!$C:$C,data!$A:$A,"="&amp;'Покупки по дням'!$B153,data!$B:$B,"="&amp;'Покупки по дням'!K$2)</f>
        <v>0</v>
      </c>
      <c r="L153">
        <f>SUMIFS(data!$C:$C,data!$A:$A,"="&amp;'Покупки по дням'!$B153,data!$B:$B,"="&amp;'Покупки по дням'!L$2)</f>
        <v>0</v>
      </c>
      <c r="M153">
        <f>SUMIFS(data!$C:$C,data!$A:$A,"="&amp;'Покупки по дням'!$B153,data!$B:$B,"="&amp;'Покупки по дням'!M$2)</f>
        <v>0</v>
      </c>
      <c r="N153">
        <f>SUMIFS(data!$C:$C,data!$A:$A,"="&amp;'Покупки по дням'!$B153,data!$B:$B,"="&amp;'Покупки по дням'!N$2)</f>
        <v>0</v>
      </c>
      <c r="O153">
        <f>SUMIFS(data!$C:$C,data!$A:$A,"="&amp;'Покупки по дням'!$B153,data!$B:$B,"="&amp;'Покупки по дням'!O$2)</f>
        <v>0</v>
      </c>
      <c r="P153">
        <f>SUMIFS(data!$C:$C,data!$A:$A,"="&amp;'Покупки по дням'!$B153,data!$B:$B,"="&amp;'Покупки по дням'!P$2)</f>
        <v>0</v>
      </c>
      <c r="Q153">
        <f>SUMIFS(data!$C:$C,data!$A:$A,"="&amp;'Покупки по дням'!$B153,data!$B:$B,"="&amp;'Покупки по дням'!Q$2)</f>
        <v>2</v>
      </c>
      <c r="R153">
        <f>SUMIFS(data!$C:$C,data!$A:$A,"="&amp;'Покупки по дням'!$B153,data!$B:$B,"="&amp;'Покупки по дням'!R$2)</f>
        <v>6</v>
      </c>
      <c r="S153">
        <f>SUMIFS(data!$C:$C,data!$A:$A,"="&amp;'Покупки по дням'!$B153,data!$B:$B,"="&amp;'Покупки по дням'!S$2)</f>
        <v>3</v>
      </c>
      <c r="T153">
        <f>SUMIFS(data!$C:$C,data!$A:$A,"="&amp;'Покупки по дням'!$B153,data!$B:$B,"="&amp;'Покупки по дням'!T$2)</f>
        <v>1</v>
      </c>
      <c r="U153">
        <f>SUMIFS(data!$C:$C,data!$A:$A,"="&amp;'Покупки по дням'!$B153,data!$B:$B,"="&amp;'Покупки по дням'!U$2)</f>
        <v>5</v>
      </c>
      <c r="V153">
        <f>SUMIFS(data!$C:$C,data!$A:$A,"="&amp;'Покупки по дням'!$B153,data!$B:$B,"="&amp;'Покупки по дням'!V$2)</f>
        <v>3</v>
      </c>
      <c r="W153">
        <f>SUMIFS(data!$C:$C,data!$A:$A,"="&amp;'Покупки по дням'!$B153,data!$B:$B,"="&amp;'Покупки по дням'!W$2)</f>
        <v>0</v>
      </c>
      <c r="X153">
        <f>SUMIFS(data!$C:$C,data!$A:$A,"="&amp;'Покупки по дням'!$B153,data!$B:$B,"="&amp;'Покупки по дням'!X$2)</f>
        <v>0</v>
      </c>
      <c r="Y153">
        <f>SUMIFS(data!$C:$C,data!$A:$A,"="&amp;'Покупки по дням'!$B153,data!$B:$B,"="&amp;'Покупки по дням'!Y$2)</f>
        <v>0</v>
      </c>
      <c r="Z153">
        <f>SUMIFS(data!$C:$C,data!$A:$A,"="&amp;'Покупки по дням'!$B153,data!$B:$B,"="&amp;'Покупки по дням'!Z$2)</f>
        <v>0</v>
      </c>
      <c r="AA153">
        <f>SUMIFS(data!$C:$C,data!$A:$A,"="&amp;'Покупки по дням'!$B153,data!$B:$B,"="&amp;'Покупки по дням'!AA$2)</f>
        <v>0</v>
      </c>
      <c r="AB153">
        <f>SUMIFS(data!$C:$C,data!$A:$A,"="&amp;'Покупки по дням'!$B153,data!$B:$B,"="&amp;'Покупки по дням'!AB$2)</f>
        <v>3</v>
      </c>
      <c r="AC153">
        <f>SUMIFS(data!$C:$C,data!$A:$A,"="&amp;'Покупки по дням'!$B153,data!$B:$B,"="&amp;'Покупки по дням'!AC$2)</f>
        <v>0</v>
      </c>
      <c r="AD153">
        <f>SUMIFS(data!$C:$C,data!$A:$A,"="&amp;'Покупки по дням'!$B153,data!$B:$B,"="&amp;'Покупки по дням'!AD$2)</f>
        <v>0</v>
      </c>
      <c r="AE153">
        <f>SUMIFS(data!$C:$C,data!$A:$A,"="&amp;'Покупки по дням'!$B153,data!$B:$B,"="&amp;'Покупки по дням'!AE$2)</f>
        <v>3</v>
      </c>
      <c r="AF153">
        <f>SUMIFS(data!$C:$C,data!$A:$A,"="&amp;'Покупки по дням'!$B153,data!$B:$B,"="&amp;'Покупки по дням'!AF$2)</f>
        <v>2</v>
      </c>
      <c r="AG153">
        <f>SUMIFS(data!$C:$C,data!$A:$A,"="&amp;'Покупки по дням'!$B153,data!$B:$B,"="&amp;'Покупки по дням'!AG$2)</f>
        <v>0</v>
      </c>
      <c r="AH153">
        <f>SUMIFS(data!$C:$C,data!$A:$A,"="&amp;'Покупки по дням'!$B153,data!$B:$B,"="&amp;'Покупки по дням'!AH$2)</f>
        <v>0</v>
      </c>
      <c r="AI153">
        <f>SUMIFS(data!$C:$C,data!$A:$A,"="&amp;'Покупки по дням'!$B153,data!$B:$B,"="&amp;'Покупки по дням'!AI$2)</f>
        <v>1</v>
      </c>
      <c r="AJ153">
        <f>SUMIFS(data!$C:$C,data!$A:$A,"="&amp;'Покупки по дням'!$B153,data!$B:$B,"="&amp;'Покупки по дням'!AJ$2)</f>
        <v>0</v>
      </c>
      <c r="AK153">
        <f>SUMIFS(data!$C:$C,data!$A:$A,"="&amp;'Покупки по дням'!$B153,data!$B:$B,"="&amp;'Покупки по дням'!AK$2)</f>
        <v>0</v>
      </c>
      <c r="AL153">
        <f>SUMIFS(data!$C:$C,data!$A:$A,"="&amp;'Покупки по дням'!$B153,data!$B:$B,"="&amp;'Покупки по дням'!AL$2)</f>
        <v>0</v>
      </c>
      <c r="AM153">
        <f>SUMIFS(data!$C:$C,data!$A:$A,"="&amp;'Покупки по дням'!$B153,data!$B:$B,"="&amp;'Покупки по дням'!AM$2)</f>
        <v>0</v>
      </c>
      <c r="AN153">
        <f>SUMIFS(data!$C:$C,data!$A:$A,"="&amp;'Покупки по дням'!$B153,data!$B:$B,"="&amp;'Покупки по дням'!AN$2)</f>
        <v>3</v>
      </c>
      <c r="AO153">
        <f>SUMIFS(data!$C:$C,data!$A:$A,"="&amp;'Покупки по дням'!$B153,data!$B:$B,"="&amp;'Покупки по дням'!AO$2)</f>
        <v>2</v>
      </c>
      <c r="AP153">
        <f>SUMIFS(data!$C:$C,data!$A:$A,"="&amp;'Покупки по дням'!$B153,data!$B:$B,"="&amp;'Покупки по дням'!AP$2)</f>
        <v>1</v>
      </c>
      <c r="AQ153" s="6">
        <f t="shared" si="2"/>
        <v>1.4900637974092279</v>
      </c>
    </row>
    <row r="154" spans="2:43" ht="28.8" x14ac:dyDescent="0.3">
      <c r="B154" s="17" t="s">
        <v>67</v>
      </c>
      <c r="C154">
        <f>SUMIFS(data!$C:$C,data!$A:$A,"="&amp;'Покупки по дням'!$B154,data!$B:$B,"="&amp;'Покупки по дням'!C$2)</f>
        <v>1</v>
      </c>
      <c r="D154">
        <f>SUMIFS(data!$C:$C,data!$A:$A,"="&amp;'Покупки по дням'!$B154,data!$B:$B,"="&amp;'Покупки по дням'!D$2)</f>
        <v>0</v>
      </c>
      <c r="E154">
        <f>SUMIFS(data!$C:$C,data!$A:$A,"="&amp;'Покупки по дням'!$B154,data!$B:$B,"="&amp;'Покупки по дням'!E$2)</f>
        <v>2</v>
      </c>
      <c r="F154">
        <f>SUMIFS(data!$C:$C,data!$A:$A,"="&amp;'Покупки по дням'!$B154,data!$B:$B,"="&amp;'Покупки по дням'!F$2)</f>
        <v>1</v>
      </c>
      <c r="G154">
        <f>SUMIFS(data!$C:$C,data!$A:$A,"="&amp;'Покупки по дням'!$B154,data!$B:$B,"="&amp;'Покупки по дням'!G$2)</f>
        <v>0</v>
      </c>
      <c r="H154">
        <f>SUMIFS(data!$C:$C,data!$A:$A,"="&amp;'Покупки по дням'!$B154,data!$B:$B,"="&amp;'Покупки по дням'!H$2)</f>
        <v>3</v>
      </c>
      <c r="I154">
        <f>SUMIFS(data!$C:$C,data!$A:$A,"="&amp;'Покупки по дням'!$B154,data!$B:$B,"="&amp;'Покупки по дням'!I$2)</f>
        <v>0</v>
      </c>
      <c r="J154">
        <f>SUMIFS(data!$C:$C,data!$A:$A,"="&amp;'Покупки по дням'!$B154,data!$B:$B,"="&amp;'Покупки по дням'!J$2)</f>
        <v>0</v>
      </c>
      <c r="K154">
        <f>SUMIFS(data!$C:$C,data!$A:$A,"="&amp;'Покупки по дням'!$B154,data!$B:$B,"="&amp;'Покупки по дням'!K$2)</f>
        <v>0</v>
      </c>
      <c r="L154">
        <f>SUMIFS(data!$C:$C,data!$A:$A,"="&amp;'Покупки по дням'!$B154,data!$B:$B,"="&amp;'Покупки по дням'!L$2)</f>
        <v>0</v>
      </c>
      <c r="M154">
        <f>SUMIFS(data!$C:$C,data!$A:$A,"="&amp;'Покупки по дням'!$B154,data!$B:$B,"="&amp;'Покупки по дням'!M$2)</f>
        <v>0</v>
      </c>
      <c r="N154">
        <f>SUMIFS(data!$C:$C,data!$A:$A,"="&amp;'Покупки по дням'!$B154,data!$B:$B,"="&amp;'Покупки по дням'!N$2)</f>
        <v>1</v>
      </c>
      <c r="O154">
        <f>SUMIFS(data!$C:$C,data!$A:$A,"="&amp;'Покупки по дням'!$B154,data!$B:$B,"="&amp;'Покупки по дням'!O$2)</f>
        <v>2</v>
      </c>
      <c r="P154">
        <f>SUMIFS(data!$C:$C,data!$A:$A,"="&amp;'Покупки по дням'!$B154,data!$B:$B,"="&amp;'Покупки по дням'!P$2)</f>
        <v>1</v>
      </c>
      <c r="Q154">
        <f>SUMIFS(data!$C:$C,data!$A:$A,"="&amp;'Покупки по дням'!$B154,data!$B:$B,"="&amp;'Покупки по дням'!Q$2)</f>
        <v>1</v>
      </c>
      <c r="R154">
        <f>SUMIFS(data!$C:$C,data!$A:$A,"="&amp;'Покупки по дням'!$B154,data!$B:$B,"="&amp;'Покупки по дням'!R$2)</f>
        <v>2</v>
      </c>
      <c r="S154">
        <f>SUMIFS(data!$C:$C,data!$A:$A,"="&amp;'Покупки по дням'!$B154,data!$B:$B,"="&amp;'Покупки по дням'!S$2)</f>
        <v>0</v>
      </c>
      <c r="T154">
        <f>SUMIFS(data!$C:$C,data!$A:$A,"="&amp;'Покупки по дням'!$B154,data!$B:$B,"="&amp;'Покупки по дням'!T$2)</f>
        <v>0</v>
      </c>
      <c r="U154">
        <f>SUMIFS(data!$C:$C,data!$A:$A,"="&amp;'Покупки по дням'!$B154,data!$B:$B,"="&amp;'Покупки по дням'!U$2)</f>
        <v>3</v>
      </c>
      <c r="V154">
        <f>SUMIFS(data!$C:$C,data!$A:$A,"="&amp;'Покупки по дням'!$B154,data!$B:$B,"="&amp;'Покупки по дням'!V$2)</f>
        <v>3</v>
      </c>
      <c r="W154">
        <f>SUMIFS(data!$C:$C,data!$A:$A,"="&amp;'Покупки по дням'!$B154,data!$B:$B,"="&amp;'Покупки по дням'!W$2)</f>
        <v>2</v>
      </c>
      <c r="X154">
        <f>SUMIFS(data!$C:$C,data!$A:$A,"="&amp;'Покупки по дням'!$B154,data!$B:$B,"="&amp;'Покупки по дням'!X$2)</f>
        <v>0</v>
      </c>
      <c r="Y154">
        <f>SUMIFS(data!$C:$C,data!$A:$A,"="&amp;'Покупки по дням'!$B154,data!$B:$B,"="&amp;'Покупки по дням'!Y$2)</f>
        <v>3</v>
      </c>
      <c r="Z154">
        <f>SUMIFS(data!$C:$C,data!$A:$A,"="&amp;'Покупки по дням'!$B154,data!$B:$B,"="&amp;'Покупки по дням'!Z$2)</f>
        <v>1</v>
      </c>
      <c r="AA154">
        <f>SUMIFS(data!$C:$C,data!$A:$A,"="&amp;'Покупки по дням'!$B154,data!$B:$B,"="&amp;'Покупки по дням'!AA$2)</f>
        <v>3</v>
      </c>
      <c r="AB154">
        <f>SUMIFS(data!$C:$C,data!$A:$A,"="&amp;'Покупки по дням'!$B154,data!$B:$B,"="&amp;'Покупки по дням'!AB$2)</f>
        <v>0</v>
      </c>
      <c r="AC154">
        <f>SUMIFS(data!$C:$C,data!$A:$A,"="&amp;'Покупки по дням'!$B154,data!$B:$B,"="&amp;'Покупки по дням'!AC$2)</f>
        <v>1</v>
      </c>
      <c r="AD154">
        <f>SUMIFS(data!$C:$C,data!$A:$A,"="&amp;'Покупки по дням'!$B154,data!$B:$B,"="&amp;'Покупки по дням'!AD$2)</f>
        <v>1</v>
      </c>
      <c r="AE154">
        <f>SUMIFS(data!$C:$C,data!$A:$A,"="&amp;'Покупки по дням'!$B154,data!$B:$B,"="&amp;'Покупки по дням'!AE$2)</f>
        <v>1</v>
      </c>
      <c r="AF154">
        <f>SUMIFS(data!$C:$C,data!$A:$A,"="&amp;'Покупки по дням'!$B154,data!$B:$B,"="&amp;'Покупки по дням'!AF$2)</f>
        <v>1</v>
      </c>
      <c r="AG154">
        <f>SUMIFS(data!$C:$C,data!$A:$A,"="&amp;'Покупки по дням'!$B154,data!$B:$B,"="&amp;'Покупки по дням'!AG$2)</f>
        <v>0</v>
      </c>
      <c r="AH154">
        <f>SUMIFS(data!$C:$C,data!$A:$A,"="&amp;'Покупки по дням'!$B154,data!$B:$B,"="&amp;'Покупки по дням'!AH$2)</f>
        <v>0</v>
      </c>
      <c r="AI154">
        <f>SUMIFS(data!$C:$C,data!$A:$A,"="&amp;'Покупки по дням'!$B154,data!$B:$B,"="&amp;'Покупки по дням'!AI$2)</f>
        <v>1</v>
      </c>
      <c r="AJ154">
        <f>SUMIFS(data!$C:$C,data!$A:$A,"="&amp;'Покупки по дням'!$B154,data!$B:$B,"="&amp;'Покупки по дням'!AJ$2)</f>
        <v>0</v>
      </c>
      <c r="AK154">
        <f>SUMIFS(data!$C:$C,data!$A:$A,"="&amp;'Покупки по дням'!$B154,data!$B:$B,"="&amp;'Покупки по дням'!AK$2)</f>
        <v>1</v>
      </c>
      <c r="AL154">
        <f>SUMIFS(data!$C:$C,data!$A:$A,"="&amp;'Покупки по дням'!$B154,data!$B:$B,"="&amp;'Покупки по дням'!AL$2)</f>
        <v>0</v>
      </c>
      <c r="AM154">
        <f>SUMIFS(data!$C:$C,data!$A:$A,"="&amp;'Покупки по дням'!$B154,data!$B:$B,"="&amp;'Покупки по дням'!AM$2)</f>
        <v>0</v>
      </c>
      <c r="AN154">
        <f>SUMIFS(data!$C:$C,data!$A:$A,"="&amp;'Покупки по дням'!$B154,data!$B:$B,"="&amp;'Покупки по дням'!AN$2)</f>
        <v>1</v>
      </c>
      <c r="AO154">
        <f>SUMIFS(data!$C:$C,data!$A:$A,"="&amp;'Покупки по дням'!$B154,data!$B:$B,"="&amp;'Покупки по дням'!AO$2)</f>
        <v>2</v>
      </c>
      <c r="AP154">
        <f>SUMIFS(data!$C:$C,data!$A:$A,"="&amp;'Покупки по дням'!$B154,data!$B:$B,"="&amp;'Покупки по дням'!AP$2)</f>
        <v>3</v>
      </c>
      <c r="AQ154" s="6">
        <f t="shared" si="2"/>
        <v>1.0476818423495458</v>
      </c>
    </row>
    <row r="155" spans="2:43" ht="28.8" x14ac:dyDescent="0.3">
      <c r="B155" s="17" t="s">
        <v>71</v>
      </c>
      <c r="C155">
        <f>SUMIFS(data!$C:$C,data!$A:$A,"="&amp;'Покупки по дням'!$B155,data!$B:$B,"="&amp;'Покупки по дням'!C$2)</f>
        <v>0</v>
      </c>
      <c r="D155">
        <f>SUMIFS(data!$C:$C,data!$A:$A,"="&amp;'Покупки по дням'!$B155,data!$B:$B,"="&amp;'Покупки по дням'!D$2)</f>
        <v>0</v>
      </c>
      <c r="E155">
        <f>SUMIFS(data!$C:$C,data!$A:$A,"="&amp;'Покупки по дням'!$B155,data!$B:$B,"="&amp;'Покупки по дням'!E$2)</f>
        <v>0</v>
      </c>
      <c r="F155">
        <f>SUMIFS(data!$C:$C,data!$A:$A,"="&amp;'Покупки по дням'!$B155,data!$B:$B,"="&amp;'Покупки по дням'!F$2)</f>
        <v>0</v>
      </c>
      <c r="G155">
        <f>SUMIFS(data!$C:$C,data!$A:$A,"="&amp;'Покупки по дням'!$B155,data!$B:$B,"="&amp;'Покупки по дням'!G$2)</f>
        <v>3</v>
      </c>
      <c r="H155">
        <f>SUMIFS(data!$C:$C,data!$A:$A,"="&amp;'Покупки по дням'!$B155,data!$B:$B,"="&amp;'Покупки по дням'!H$2)</f>
        <v>0</v>
      </c>
      <c r="I155">
        <f>SUMIFS(data!$C:$C,data!$A:$A,"="&amp;'Покупки по дням'!$B155,data!$B:$B,"="&amp;'Покупки по дням'!I$2)</f>
        <v>0</v>
      </c>
      <c r="J155">
        <f>SUMIFS(data!$C:$C,data!$A:$A,"="&amp;'Покупки по дням'!$B155,data!$B:$B,"="&amp;'Покупки по дням'!J$2)</f>
        <v>0</v>
      </c>
      <c r="K155">
        <f>SUMIFS(data!$C:$C,data!$A:$A,"="&amp;'Покупки по дням'!$B155,data!$B:$B,"="&amp;'Покупки по дням'!K$2)</f>
        <v>0</v>
      </c>
      <c r="L155">
        <f>SUMIFS(data!$C:$C,data!$A:$A,"="&amp;'Покупки по дням'!$B155,data!$B:$B,"="&amp;'Покупки по дням'!L$2)</f>
        <v>3</v>
      </c>
      <c r="M155">
        <f>SUMIFS(data!$C:$C,data!$A:$A,"="&amp;'Покупки по дням'!$B155,data!$B:$B,"="&amp;'Покупки по дням'!M$2)</f>
        <v>0</v>
      </c>
      <c r="N155">
        <f>SUMIFS(data!$C:$C,data!$A:$A,"="&amp;'Покупки по дням'!$B155,data!$B:$B,"="&amp;'Покупки по дням'!N$2)</f>
        <v>5</v>
      </c>
      <c r="O155">
        <f>SUMIFS(data!$C:$C,data!$A:$A,"="&amp;'Покупки по дням'!$B155,data!$B:$B,"="&amp;'Покупки по дням'!O$2)</f>
        <v>4</v>
      </c>
      <c r="P155">
        <f>SUMIFS(data!$C:$C,data!$A:$A,"="&amp;'Покупки по дням'!$B155,data!$B:$B,"="&amp;'Покупки по дням'!P$2)</f>
        <v>4</v>
      </c>
      <c r="Q155">
        <f>SUMIFS(data!$C:$C,data!$A:$A,"="&amp;'Покупки по дням'!$B155,data!$B:$B,"="&amp;'Покупки по дням'!Q$2)</f>
        <v>1</v>
      </c>
      <c r="R155">
        <f>SUMIFS(data!$C:$C,data!$A:$A,"="&amp;'Покупки по дням'!$B155,data!$B:$B,"="&amp;'Покупки по дням'!R$2)</f>
        <v>0</v>
      </c>
      <c r="S155">
        <f>SUMIFS(data!$C:$C,data!$A:$A,"="&amp;'Покупки по дням'!$B155,data!$B:$B,"="&amp;'Покупки по дням'!S$2)</f>
        <v>0</v>
      </c>
      <c r="T155">
        <f>SUMIFS(data!$C:$C,data!$A:$A,"="&amp;'Покупки по дням'!$B155,data!$B:$B,"="&amp;'Покупки по дням'!T$2)</f>
        <v>0</v>
      </c>
      <c r="U155">
        <f>SUMIFS(data!$C:$C,data!$A:$A,"="&amp;'Покупки по дням'!$B155,data!$B:$B,"="&amp;'Покупки по дням'!U$2)</f>
        <v>2</v>
      </c>
      <c r="V155">
        <f>SUMIFS(data!$C:$C,data!$A:$A,"="&amp;'Покупки по дням'!$B155,data!$B:$B,"="&amp;'Покупки по дням'!V$2)</f>
        <v>0</v>
      </c>
      <c r="W155">
        <f>SUMIFS(data!$C:$C,data!$A:$A,"="&amp;'Покупки по дням'!$B155,data!$B:$B,"="&amp;'Покупки по дням'!W$2)</f>
        <v>0</v>
      </c>
      <c r="X155">
        <f>SUMIFS(data!$C:$C,data!$A:$A,"="&amp;'Покупки по дням'!$B155,data!$B:$B,"="&amp;'Покупки по дням'!X$2)</f>
        <v>0</v>
      </c>
      <c r="Y155">
        <f>SUMIFS(data!$C:$C,data!$A:$A,"="&amp;'Покупки по дням'!$B155,data!$B:$B,"="&amp;'Покупки по дням'!Y$2)</f>
        <v>1</v>
      </c>
      <c r="Z155">
        <f>SUMIFS(data!$C:$C,data!$A:$A,"="&amp;'Покупки по дням'!$B155,data!$B:$B,"="&amp;'Покупки по дням'!Z$2)</f>
        <v>0</v>
      </c>
      <c r="AA155">
        <f>SUMIFS(data!$C:$C,data!$A:$A,"="&amp;'Покупки по дням'!$B155,data!$B:$B,"="&amp;'Покупки по дням'!AA$2)</f>
        <v>2</v>
      </c>
      <c r="AB155">
        <f>SUMIFS(data!$C:$C,data!$A:$A,"="&amp;'Покупки по дням'!$B155,data!$B:$B,"="&amp;'Покупки по дням'!AB$2)</f>
        <v>1</v>
      </c>
      <c r="AC155">
        <f>SUMIFS(data!$C:$C,data!$A:$A,"="&amp;'Покупки по дням'!$B155,data!$B:$B,"="&amp;'Покупки по дням'!AC$2)</f>
        <v>2</v>
      </c>
      <c r="AD155">
        <f>SUMIFS(data!$C:$C,data!$A:$A,"="&amp;'Покупки по дням'!$B155,data!$B:$B,"="&amp;'Покупки по дням'!AD$2)</f>
        <v>2</v>
      </c>
      <c r="AE155">
        <f>SUMIFS(data!$C:$C,data!$A:$A,"="&amp;'Покупки по дням'!$B155,data!$B:$B,"="&amp;'Покупки по дням'!AE$2)</f>
        <v>0</v>
      </c>
      <c r="AF155">
        <f>SUMIFS(data!$C:$C,data!$A:$A,"="&amp;'Покупки по дням'!$B155,data!$B:$B,"="&amp;'Покупки по дням'!AF$2)</f>
        <v>0</v>
      </c>
      <c r="AG155">
        <f>SUMIFS(data!$C:$C,data!$A:$A,"="&amp;'Покупки по дням'!$B155,data!$B:$B,"="&amp;'Покупки по дням'!AG$2)</f>
        <v>0</v>
      </c>
      <c r="AH155">
        <f>SUMIFS(data!$C:$C,data!$A:$A,"="&amp;'Покупки по дням'!$B155,data!$B:$B,"="&amp;'Покупки по дням'!AH$2)</f>
        <v>1</v>
      </c>
      <c r="AI155">
        <f>SUMIFS(data!$C:$C,data!$A:$A,"="&amp;'Покупки по дням'!$B155,data!$B:$B,"="&amp;'Покупки по дням'!AI$2)</f>
        <v>0</v>
      </c>
      <c r="AJ155">
        <f>SUMIFS(data!$C:$C,data!$A:$A,"="&amp;'Покупки по дням'!$B155,data!$B:$B,"="&amp;'Покупки по дням'!AJ$2)</f>
        <v>3</v>
      </c>
      <c r="AK155">
        <f>SUMIFS(data!$C:$C,data!$A:$A,"="&amp;'Покупки по дням'!$B155,data!$B:$B,"="&amp;'Покупки по дням'!AK$2)</f>
        <v>0</v>
      </c>
      <c r="AL155">
        <f>SUMIFS(data!$C:$C,data!$A:$A,"="&amp;'Покупки по дням'!$B155,data!$B:$B,"="&amp;'Покупки по дням'!AL$2)</f>
        <v>0</v>
      </c>
      <c r="AM155">
        <f>SUMIFS(data!$C:$C,data!$A:$A,"="&amp;'Покупки по дням'!$B155,data!$B:$B,"="&amp;'Покупки по дням'!AM$2)</f>
        <v>4</v>
      </c>
      <c r="AN155">
        <f>SUMIFS(data!$C:$C,data!$A:$A,"="&amp;'Покупки по дням'!$B155,data!$B:$B,"="&amp;'Покупки по дням'!AN$2)</f>
        <v>1</v>
      </c>
      <c r="AO155">
        <f>SUMIFS(data!$C:$C,data!$A:$A,"="&amp;'Покупки по дням'!$B155,data!$B:$B,"="&amp;'Покупки по дням'!AO$2)</f>
        <v>1</v>
      </c>
      <c r="AP155">
        <f>SUMIFS(data!$C:$C,data!$A:$A,"="&amp;'Покупки по дням'!$B155,data!$B:$B,"="&amp;'Покупки по дням'!AP$2)</f>
        <v>1</v>
      </c>
      <c r="AQ155" s="6">
        <f t="shared" si="2"/>
        <v>1.4057863091404947</v>
      </c>
    </row>
    <row r="156" spans="2:43" ht="28.8" x14ac:dyDescent="0.3">
      <c r="B156" s="17" t="s">
        <v>159</v>
      </c>
      <c r="C156">
        <f>SUMIFS(data!$C:$C,data!$A:$A,"="&amp;'Покупки по дням'!$B156,data!$B:$B,"="&amp;'Покупки по дням'!C$2)</f>
        <v>0</v>
      </c>
      <c r="D156">
        <f>SUMIFS(data!$C:$C,data!$A:$A,"="&amp;'Покупки по дням'!$B156,data!$B:$B,"="&amp;'Покупки по дням'!D$2)</f>
        <v>1</v>
      </c>
      <c r="E156">
        <f>SUMIFS(data!$C:$C,data!$A:$A,"="&amp;'Покупки по дням'!$B156,data!$B:$B,"="&amp;'Покупки по дням'!E$2)</f>
        <v>0</v>
      </c>
      <c r="F156">
        <f>SUMIFS(data!$C:$C,data!$A:$A,"="&amp;'Покупки по дням'!$B156,data!$B:$B,"="&amp;'Покупки по дням'!F$2)</f>
        <v>0</v>
      </c>
      <c r="G156">
        <f>SUMIFS(data!$C:$C,data!$A:$A,"="&amp;'Покупки по дням'!$B156,data!$B:$B,"="&amp;'Покупки по дням'!G$2)</f>
        <v>7</v>
      </c>
      <c r="H156">
        <f>SUMIFS(data!$C:$C,data!$A:$A,"="&amp;'Покупки по дням'!$B156,data!$B:$B,"="&amp;'Покупки по дням'!H$2)</f>
        <v>0</v>
      </c>
      <c r="I156">
        <f>SUMIFS(data!$C:$C,data!$A:$A,"="&amp;'Покупки по дням'!$B156,data!$B:$B,"="&amp;'Покупки по дням'!I$2)</f>
        <v>0</v>
      </c>
      <c r="J156">
        <f>SUMIFS(data!$C:$C,data!$A:$A,"="&amp;'Покупки по дням'!$B156,data!$B:$B,"="&amp;'Покупки по дням'!J$2)</f>
        <v>5</v>
      </c>
      <c r="K156">
        <f>SUMIFS(data!$C:$C,data!$A:$A,"="&amp;'Покупки по дням'!$B156,data!$B:$B,"="&amp;'Покупки по дням'!K$2)</f>
        <v>0</v>
      </c>
      <c r="L156">
        <f>SUMIFS(data!$C:$C,data!$A:$A,"="&amp;'Покупки по дням'!$B156,data!$B:$B,"="&amp;'Покупки по дням'!L$2)</f>
        <v>0</v>
      </c>
      <c r="M156">
        <f>SUMIFS(data!$C:$C,data!$A:$A,"="&amp;'Покупки по дням'!$B156,data!$B:$B,"="&amp;'Покупки по дням'!M$2)</f>
        <v>1</v>
      </c>
      <c r="N156">
        <f>SUMIFS(data!$C:$C,data!$A:$A,"="&amp;'Покупки по дням'!$B156,data!$B:$B,"="&amp;'Покупки по дням'!N$2)</f>
        <v>3</v>
      </c>
      <c r="O156">
        <f>SUMIFS(data!$C:$C,data!$A:$A,"="&amp;'Покупки по дням'!$B156,data!$B:$B,"="&amp;'Покупки по дням'!O$2)</f>
        <v>0</v>
      </c>
      <c r="P156">
        <f>SUMIFS(data!$C:$C,data!$A:$A,"="&amp;'Покупки по дням'!$B156,data!$B:$B,"="&amp;'Покупки по дням'!P$2)</f>
        <v>5</v>
      </c>
      <c r="Q156">
        <f>SUMIFS(data!$C:$C,data!$A:$A,"="&amp;'Покупки по дням'!$B156,data!$B:$B,"="&amp;'Покупки по дням'!Q$2)</f>
        <v>0</v>
      </c>
      <c r="R156">
        <f>SUMIFS(data!$C:$C,data!$A:$A,"="&amp;'Покупки по дням'!$B156,data!$B:$B,"="&amp;'Покупки по дням'!R$2)</f>
        <v>4</v>
      </c>
      <c r="S156">
        <f>SUMIFS(data!$C:$C,data!$A:$A,"="&amp;'Покупки по дням'!$B156,data!$B:$B,"="&amp;'Покупки по дням'!S$2)</f>
        <v>1</v>
      </c>
      <c r="T156">
        <f>SUMIFS(data!$C:$C,data!$A:$A,"="&amp;'Покупки по дням'!$B156,data!$B:$B,"="&amp;'Покупки по дням'!T$2)</f>
        <v>4</v>
      </c>
      <c r="U156">
        <f>SUMIFS(data!$C:$C,data!$A:$A,"="&amp;'Покупки по дням'!$B156,data!$B:$B,"="&amp;'Покупки по дням'!U$2)</f>
        <v>0</v>
      </c>
      <c r="V156">
        <f>SUMIFS(data!$C:$C,data!$A:$A,"="&amp;'Покупки по дням'!$B156,data!$B:$B,"="&amp;'Покупки по дням'!V$2)</f>
        <v>2</v>
      </c>
      <c r="W156">
        <f>SUMIFS(data!$C:$C,data!$A:$A,"="&amp;'Покупки по дням'!$B156,data!$B:$B,"="&amp;'Покупки по дням'!W$2)</f>
        <v>0</v>
      </c>
      <c r="X156">
        <f>SUMIFS(data!$C:$C,data!$A:$A,"="&amp;'Покупки по дням'!$B156,data!$B:$B,"="&amp;'Покупки по дням'!X$2)</f>
        <v>4</v>
      </c>
      <c r="Y156">
        <f>SUMIFS(data!$C:$C,data!$A:$A,"="&amp;'Покупки по дням'!$B156,data!$B:$B,"="&amp;'Покупки по дням'!Y$2)</f>
        <v>0</v>
      </c>
      <c r="Z156">
        <f>SUMIFS(data!$C:$C,data!$A:$A,"="&amp;'Покупки по дням'!$B156,data!$B:$B,"="&amp;'Покупки по дням'!Z$2)</f>
        <v>1</v>
      </c>
      <c r="AA156">
        <f>SUMIFS(data!$C:$C,data!$A:$A,"="&amp;'Покупки по дням'!$B156,data!$B:$B,"="&amp;'Покупки по дням'!AA$2)</f>
        <v>2</v>
      </c>
      <c r="AB156">
        <f>SUMIFS(data!$C:$C,data!$A:$A,"="&amp;'Покупки по дням'!$B156,data!$B:$B,"="&amp;'Покупки по дням'!AB$2)</f>
        <v>0</v>
      </c>
      <c r="AC156">
        <f>SUMIFS(data!$C:$C,data!$A:$A,"="&amp;'Покупки по дням'!$B156,data!$B:$B,"="&amp;'Покупки по дням'!AC$2)</f>
        <v>0</v>
      </c>
      <c r="AD156">
        <f>SUMIFS(data!$C:$C,data!$A:$A,"="&amp;'Покупки по дням'!$B156,data!$B:$B,"="&amp;'Покупки по дням'!AD$2)</f>
        <v>1</v>
      </c>
      <c r="AE156">
        <f>SUMIFS(data!$C:$C,data!$A:$A,"="&amp;'Покупки по дням'!$B156,data!$B:$B,"="&amp;'Покупки по дням'!AE$2)</f>
        <v>0</v>
      </c>
      <c r="AF156">
        <f>SUMIFS(data!$C:$C,data!$A:$A,"="&amp;'Покупки по дням'!$B156,data!$B:$B,"="&amp;'Покупки по дням'!AF$2)</f>
        <v>0</v>
      </c>
      <c r="AG156">
        <f>SUMIFS(data!$C:$C,data!$A:$A,"="&amp;'Покупки по дням'!$B156,data!$B:$B,"="&amp;'Покупки по дням'!AG$2)</f>
        <v>1</v>
      </c>
      <c r="AH156">
        <f>SUMIFS(data!$C:$C,data!$A:$A,"="&amp;'Покупки по дням'!$B156,data!$B:$B,"="&amp;'Покупки по дням'!AH$2)</f>
        <v>0</v>
      </c>
      <c r="AI156">
        <f>SUMIFS(data!$C:$C,data!$A:$A,"="&amp;'Покупки по дням'!$B156,data!$B:$B,"="&amp;'Покупки по дням'!AI$2)</f>
        <v>0</v>
      </c>
      <c r="AJ156">
        <f>SUMIFS(data!$C:$C,data!$A:$A,"="&amp;'Покупки по дням'!$B156,data!$B:$B,"="&amp;'Покупки по дням'!AJ$2)</f>
        <v>1</v>
      </c>
      <c r="AK156">
        <f>SUMIFS(data!$C:$C,data!$A:$A,"="&amp;'Покупки по дням'!$B156,data!$B:$B,"="&amp;'Покупки по дням'!AK$2)</f>
        <v>0</v>
      </c>
      <c r="AL156">
        <f>SUMIFS(data!$C:$C,data!$A:$A,"="&amp;'Покупки по дням'!$B156,data!$B:$B,"="&amp;'Покупки по дням'!AL$2)</f>
        <v>0</v>
      </c>
      <c r="AM156">
        <f>SUMIFS(data!$C:$C,data!$A:$A,"="&amp;'Покупки по дням'!$B156,data!$B:$B,"="&amp;'Покупки по дням'!AM$2)</f>
        <v>0</v>
      </c>
      <c r="AN156">
        <f>SUMIFS(data!$C:$C,data!$A:$A,"="&amp;'Покупки по дням'!$B156,data!$B:$B,"="&amp;'Покупки по дням'!AN$2)</f>
        <v>0</v>
      </c>
      <c r="AO156">
        <f>SUMIFS(data!$C:$C,data!$A:$A,"="&amp;'Покупки по дням'!$B156,data!$B:$B,"="&amp;'Покупки по дням'!AO$2)</f>
        <v>0</v>
      </c>
      <c r="AP156">
        <f>SUMIFS(data!$C:$C,data!$A:$A,"="&amp;'Покупки по дням'!$B156,data!$B:$B,"="&amp;'Покупки по дням'!AP$2)</f>
        <v>0</v>
      </c>
      <c r="AQ156" s="6">
        <f t="shared" si="2"/>
        <v>1.6638839078254779</v>
      </c>
    </row>
    <row r="157" spans="2:43" ht="28.8" x14ac:dyDescent="0.3">
      <c r="B157" s="17" t="s">
        <v>81</v>
      </c>
      <c r="C157">
        <f>SUMIFS(data!$C:$C,data!$A:$A,"="&amp;'Покупки по дням'!$B157,data!$B:$B,"="&amp;'Покупки по дням'!C$2)</f>
        <v>1</v>
      </c>
      <c r="D157">
        <f>SUMIFS(data!$C:$C,data!$A:$A,"="&amp;'Покупки по дням'!$B157,data!$B:$B,"="&amp;'Покупки по дням'!D$2)</f>
        <v>1</v>
      </c>
      <c r="E157">
        <f>SUMIFS(data!$C:$C,data!$A:$A,"="&amp;'Покупки по дням'!$B157,data!$B:$B,"="&amp;'Покупки по дням'!E$2)</f>
        <v>3</v>
      </c>
      <c r="F157">
        <f>SUMIFS(data!$C:$C,data!$A:$A,"="&amp;'Покупки по дням'!$B157,data!$B:$B,"="&amp;'Покупки по дням'!F$2)</f>
        <v>0</v>
      </c>
      <c r="G157">
        <f>SUMIFS(data!$C:$C,data!$A:$A,"="&amp;'Покупки по дням'!$B157,data!$B:$B,"="&amp;'Покупки по дням'!G$2)</f>
        <v>0</v>
      </c>
      <c r="H157">
        <f>SUMIFS(data!$C:$C,data!$A:$A,"="&amp;'Покупки по дням'!$B157,data!$B:$B,"="&amp;'Покупки по дням'!H$2)</f>
        <v>1</v>
      </c>
      <c r="I157">
        <f>SUMIFS(data!$C:$C,data!$A:$A,"="&amp;'Покупки по дням'!$B157,data!$B:$B,"="&amp;'Покупки по дням'!I$2)</f>
        <v>0</v>
      </c>
      <c r="J157">
        <f>SUMIFS(data!$C:$C,data!$A:$A,"="&amp;'Покупки по дням'!$B157,data!$B:$B,"="&amp;'Покупки по дням'!J$2)</f>
        <v>2</v>
      </c>
      <c r="K157">
        <f>SUMIFS(data!$C:$C,data!$A:$A,"="&amp;'Покупки по дням'!$B157,data!$B:$B,"="&amp;'Покупки по дням'!K$2)</f>
        <v>0</v>
      </c>
      <c r="L157">
        <f>SUMIFS(data!$C:$C,data!$A:$A,"="&amp;'Покупки по дням'!$B157,data!$B:$B,"="&amp;'Покупки по дням'!L$2)</f>
        <v>0</v>
      </c>
      <c r="M157">
        <f>SUMIFS(data!$C:$C,data!$A:$A,"="&amp;'Покупки по дням'!$B157,data!$B:$B,"="&amp;'Покупки по дням'!M$2)</f>
        <v>0</v>
      </c>
      <c r="N157">
        <f>SUMIFS(data!$C:$C,data!$A:$A,"="&amp;'Покупки по дням'!$B157,data!$B:$B,"="&amp;'Покупки по дням'!N$2)</f>
        <v>2</v>
      </c>
      <c r="O157">
        <f>SUMIFS(data!$C:$C,data!$A:$A,"="&amp;'Покупки по дням'!$B157,data!$B:$B,"="&amp;'Покупки по дням'!O$2)</f>
        <v>2</v>
      </c>
      <c r="P157">
        <f>SUMIFS(data!$C:$C,data!$A:$A,"="&amp;'Покупки по дням'!$B157,data!$B:$B,"="&amp;'Покупки по дням'!P$2)</f>
        <v>4</v>
      </c>
      <c r="Q157">
        <f>SUMIFS(data!$C:$C,data!$A:$A,"="&amp;'Покупки по дням'!$B157,data!$B:$B,"="&amp;'Покупки по дням'!Q$2)</f>
        <v>1</v>
      </c>
      <c r="R157">
        <f>SUMIFS(data!$C:$C,data!$A:$A,"="&amp;'Покупки по дням'!$B157,data!$B:$B,"="&amp;'Покупки по дням'!R$2)</f>
        <v>0</v>
      </c>
      <c r="S157">
        <f>SUMIFS(data!$C:$C,data!$A:$A,"="&amp;'Покупки по дням'!$B157,data!$B:$B,"="&amp;'Покупки по дням'!S$2)</f>
        <v>2</v>
      </c>
      <c r="T157">
        <f>SUMIFS(data!$C:$C,data!$A:$A,"="&amp;'Покупки по дням'!$B157,data!$B:$B,"="&amp;'Покупки по дням'!T$2)</f>
        <v>0</v>
      </c>
      <c r="U157">
        <f>SUMIFS(data!$C:$C,data!$A:$A,"="&amp;'Покупки по дням'!$B157,data!$B:$B,"="&amp;'Покупки по дням'!U$2)</f>
        <v>1</v>
      </c>
      <c r="V157">
        <f>SUMIFS(data!$C:$C,data!$A:$A,"="&amp;'Покупки по дням'!$B157,data!$B:$B,"="&amp;'Покупки по дням'!V$2)</f>
        <v>2</v>
      </c>
      <c r="W157">
        <f>SUMIFS(data!$C:$C,data!$A:$A,"="&amp;'Покупки по дням'!$B157,data!$B:$B,"="&amp;'Покупки по дням'!W$2)</f>
        <v>1</v>
      </c>
      <c r="X157">
        <f>SUMIFS(data!$C:$C,data!$A:$A,"="&amp;'Покупки по дням'!$B157,data!$B:$B,"="&amp;'Покупки по дням'!X$2)</f>
        <v>0</v>
      </c>
      <c r="Y157">
        <f>SUMIFS(data!$C:$C,data!$A:$A,"="&amp;'Покупки по дням'!$B157,data!$B:$B,"="&amp;'Покупки по дням'!Y$2)</f>
        <v>0</v>
      </c>
      <c r="Z157">
        <f>SUMIFS(data!$C:$C,data!$A:$A,"="&amp;'Покупки по дням'!$B157,data!$B:$B,"="&amp;'Покупки по дням'!Z$2)</f>
        <v>0</v>
      </c>
      <c r="AA157">
        <f>SUMIFS(data!$C:$C,data!$A:$A,"="&amp;'Покупки по дням'!$B157,data!$B:$B,"="&amp;'Покупки по дням'!AA$2)</f>
        <v>1</v>
      </c>
      <c r="AB157">
        <f>SUMIFS(data!$C:$C,data!$A:$A,"="&amp;'Покупки по дням'!$B157,data!$B:$B,"="&amp;'Покупки по дням'!AB$2)</f>
        <v>2</v>
      </c>
      <c r="AC157">
        <f>SUMIFS(data!$C:$C,data!$A:$A,"="&amp;'Покупки по дням'!$B157,data!$B:$B,"="&amp;'Покупки по дням'!AC$2)</f>
        <v>1</v>
      </c>
      <c r="AD157">
        <f>SUMIFS(data!$C:$C,data!$A:$A,"="&amp;'Покупки по дням'!$B157,data!$B:$B,"="&amp;'Покупки по дням'!AD$2)</f>
        <v>0</v>
      </c>
      <c r="AE157">
        <f>SUMIFS(data!$C:$C,data!$A:$A,"="&amp;'Покупки по дням'!$B157,data!$B:$B,"="&amp;'Покупки по дням'!AE$2)</f>
        <v>0</v>
      </c>
      <c r="AF157">
        <f>SUMIFS(data!$C:$C,data!$A:$A,"="&amp;'Покупки по дням'!$B157,data!$B:$B,"="&amp;'Покупки по дням'!AF$2)</f>
        <v>1</v>
      </c>
      <c r="AG157">
        <f>SUMIFS(data!$C:$C,data!$A:$A,"="&amp;'Покупки по дням'!$B157,data!$B:$B,"="&amp;'Покупки по дням'!AG$2)</f>
        <v>2</v>
      </c>
      <c r="AH157">
        <f>SUMIFS(data!$C:$C,data!$A:$A,"="&amp;'Покупки по дням'!$B157,data!$B:$B,"="&amp;'Покупки по дням'!AH$2)</f>
        <v>0</v>
      </c>
      <c r="AI157">
        <f>SUMIFS(data!$C:$C,data!$A:$A,"="&amp;'Покупки по дням'!$B157,data!$B:$B,"="&amp;'Покупки по дням'!AI$2)</f>
        <v>1</v>
      </c>
      <c r="AJ157">
        <f>SUMIFS(data!$C:$C,data!$A:$A,"="&amp;'Покупки по дням'!$B157,data!$B:$B,"="&amp;'Покупки по дням'!AJ$2)</f>
        <v>0</v>
      </c>
      <c r="AK157">
        <f>SUMIFS(data!$C:$C,data!$A:$A,"="&amp;'Покупки по дням'!$B157,data!$B:$B,"="&amp;'Покупки по дням'!AK$2)</f>
        <v>3</v>
      </c>
      <c r="AL157">
        <f>SUMIFS(data!$C:$C,data!$A:$A,"="&amp;'Покупки по дням'!$B157,data!$B:$B,"="&amp;'Покупки по дням'!AL$2)</f>
        <v>0</v>
      </c>
      <c r="AM157">
        <f>SUMIFS(data!$C:$C,data!$A:$A,"="&amp;'Покупки по дням'!$B157,data!$B:$B,"="&amp;'Покупки по дням'!AM$2)</f>
        <v>3</v>
      </c>
      <c r="AN157">
        <f>SUMIFS(data!$C:$C,data!$A:$A,"="&amp;'Покупки по дням'!$B157,data!$B:$B,"="&amp;'Покупки по дням'!AN$2)</f>
        <v>4</v>
      </c>
      <c r="AO157">
        <f>SUMIFS(data!$C:$C,data!$A:$A,"="&amp;'Покупки по дням'!$B157,data!$B:$B,"="&amp;'Покупки по дням'!AO$2)</f>
        <v>0</v>
      </c>
      <c r="AP157">
        <f>SUMIFS(data!$C:$C,data!$A:$A,"="&amp;'Покупки по дням'!$B157,data!$B:$B,"="&amp;'Покупки по дням'!AP$2)</f>
        <v>1</v>
      </c>
      <c r="AQ157" s="6">
        <f t="shared" si="2"/>
        <v>1.1196254970128421</v>
      </c>
    </row>
    <row r="158" spans="2:43" x14ac:dyDescent="0.3">
      <c r="B158" s="17" t="s">
        <v>107</v>
      </c>
      <c r="C158">
        <f>SUMIFS(data!$C:$C,data!$A:$A,"="&amp;'Покупки по дням'!$B158,data!$B:$B,"="&amp;'Покупки по дням'!C$2)</f>
        <v>0</v>
      </c>
      <c r="D158">
        <f>SUMIFS(data!$C:$C,data!$A:$A,"="&amp;'Покупки по дням'!$B158,data!$B:$B,"="&amp;'Покупки по дням'!D$2)</f>
        <v>2</v>
      </c>
      <c r="E158">
        <f>SUMIFS(data!$C:$C,data!$A:$A,"="&amp;'Покупки по дням'!$B158,data!$B:$B,"="&amp;'Покупки по дням'!E$2)</f>
        <v>0</v>
      </c>
      <c r="F158">
        <f>SUMIFS(data!$C:$C,data!$A:$A,"="&amp;'Покупки по дням'!$B158,data!$B:$B,"="&amp;'Покупки по дням'!F$2)</f>
        <v>2</v>
      </c>
      <c r="G158">
        <f>SUMIFS(data!$C:$C,data!$A:$A,"="&amp;'Покупки по дням'!$B158,data!$B:$B,"="&amp;'Покупки по дням'!G$2)</f>
        <v>0</v>
      </c>
      <c r="H158">
        <f>SUMIFS(data!$C:$C,data!$A:$A,"="&amp;'Покупки по дням'!$B158,data!$B:$B,"="&amp;'Покупки по дням'!H$2)</f>
        <v>0</v>
      </c>
      <c r="I158">
        <f>SUMIFS(data!$C:$C,data!$A:$A,"="&amp;'Покупки по дням'!$B158,data!$B:$B,"="&amp;'Покупки по дням'!I$2)</f>
        <v>1</v>
      </c>
      <c r="J158">
        <f>SUMIFS(data!$C:$C,data!$A:$A,"="&amp;'Покупки по дням'!$B158,data!$B:$B,"="&amp;'Покупки по дням'!J$2)</f>
        <v>1</v>
      </c>
      <c r="K158">
        <f>SUMIFS(data!$C:$C,data!$A:$A,"="&amp;'Покупки по дням'!$B158,data!$B:$B,"="&amp;'Покупки по дням'!K$2)</f>
        <v>0</v>
      </c>
      <c r="L158">
        <f>SUMIFS(data!$C:$C,data!$A:$A,"="&amp;'Покупки по дням'!$B158,data!$B:$B,"="&amp;'Покупки по дням'!L$2)</f>
        <v>0</v>
      </c>
      <c r="M158">
        <f>SUMIFS(data!$C:$C,data!$A:$A,"="&amp;'Покупки по дням'!$B158,data!$B:$B,"="&amp;'Покупки по дням'!M$2)</f>
        <v>0</v>
      </c>
      <c r="N158">
        <f>SUMIFS(data!$C:$C,data!$A:$A,"="&amp;'Покупки по дням'!$B158,data!$B:$B,"="&amp;'Покупки по дням'!N$2)</f>
        <v>0</v>
      </c>
      <c r="O158">
        <f>SUMIFS(data!$C:$C,data!$A:$A,"="&amp;'Покупки по дням'!$B158,data!$B:$B,"="&amp;'Покупки по дням'!O$2)</f>
        <v>0</v>
      </c>
      <c r="P158">
        <f>SUMIFS(data!$C:$C,data!$A:$A,"="&amp;'Покупки по дням'!$B158,data!$B:$B,"="&amp;'Покупки по дням'!P$2)</f>
        <v>0</v>
      </c>
      <c r="Q158">
        <f>SUMIFS(data!$C:$C,data!$A:$A,"="&amp;'Покупки по дням'!$B158,data!$B:$B,"="&amp;'Покупки по дням'!Q$2)</f>
        <v>3</v>
      </c>
      <c r="R158">
        <f>SUMIFS(data!$C:$C,data!$A:$A,"="&amp;'Покупки по дням'!$B158,data!$B:$B,"="&amp;'Покупки по дням'!R$2)</f>
        <v>1</v>
      </c>
      <c r="S158">
        <f>SUMIFS(data!$C:$C,data!$A:$A,"="&amp;'Покупки по дням'!$B158,data!$B:$B,"="&amp;'Покупки по дням'!S$2)</f>
        <v>0</v>
      </c>
      <c r="T158">
        <f>SUMIFS(data!$C:$C,data!$A:$A,"="&amp;'Покупки по дням'!$B158,data!$B:$B,"="&amp;'Покупки по дням'!T$2)</f>
        <v>2</v>
      </c>
      <c r="U158">
        <f>SUMIFS(data!$C:$C,data!$A:$A,"="&amp;'Покупки по дням'!$B158,data!$B:$B,"="&amp;'Покупки по дням'!U$2)</f>
        <v>0</v>
      </c>
      <c r="V158">
        <f>SUMIFS(data!$C:$C,data!$A:$A,"="&amp;'Покупки по дням'!$B158,data!$B:$B,"="&amp;'Покупки по дням'!V$2)</f>
        <v>6</v>
      </c>
      <c r="W158">
        <f>SUMIFS(data!$C:$C,data!$A:$A,"="&amp;'Покупки по дням'!$B158,data!$B:$B,"="&amp;'Покупки по дням'!W$2)</f>
        <v>0</v>
      </c>
      <c r="X158">
        <f>SUMIFS(data!$C:$C,data!$A:$A,"="&amp;'Покупки по дням'!$B158,data!$B:$B,"="&amp;'Покупки по дням'!X$2)</f>
        <v>1</v>
      </c>
      <c r="Y158">
        <f>SUMIFS(data!$C:$C,data!$A:$A,"="&amp;'Покупки по дням'!$B158,data!$B:$B,"="&amp;'Покупки по дням'!Y$2)</f>
        <v>1</v>
      </c>
      <c r="Z158">
        <f>SUMIFS(data!$C:$C,data!$A:$A,"="&amp;'Покупки по дням'!$B158,data!$B:$B,"="&amp;'Покупки по дням'!Z$2)</f>
        <v>1</v>
      </c>
      <c r="AA158">
        <f>SUMIFS(data!$C:$C,data!$A:$A,"="&amp;'Покупки по дням'!$B158,data!$B:$B,"="&amp;'Покупки по дням'!AA$2)</f>
        <v>2</v>
      </c>
      <c r="AB158">
        <f>SUMIFS(data!$C:$C,data!$A:$A,"="&amp;'Покупки по дням'!$B158,data!$B:$B,"="&amp;'Покупки по дням'!AB$2)</f>
        <v>0</v>
      </c>
      <c r="AC158">
        <f>SUMIFS(data!$C:$C,data!$A:$A,"="&amp;'Покупки по дням'!$B158,data!$B:$B,"="&amp;'Покупки по дням'!AC$2)</f>
        <v>0</v>
      </c>
      <c r="AD158">
        <f>SUMIFS(data!$C:$C,data!$A:$A,"="&amp;'Покупки по дням'!$B158,data!$B:$B,"="&amp;'Покупки по дням'!AD$2)</f>
        <v>1</v>
      </c>
      <c r="AE158">
        <f>SUMIFS(data!$C:$C,data!$A:$A,"="&amp;'Покупки по дням'!$B158,data!$B:$B,"="&amp;'Покупки по дням'!AE$2)</f>
        <v>1</v>
      </c>
      <c r="AF158">
        <f>SUMIFS(data!$C:$C,data!$A:$A,"="&amp;'Покупки по дням'!$B158,data!$B:$B,"="&amp;'Покупки по дням'!AF$2)</f>
        <v>3</v>
      </c>
      <c r="AG158">
        <f>SUMIFS(data!$C:$C,data!$A:$A,"="&amp;'Покупки по дням'!$B158,data!$B:$B,"="&amp;'Покупки по дням'!AG$2)</f>
        <v>2</v>
      </c>
      <c r="AH158">
        <f>SUMIFS(data!$C:$C,data!$A:$A,"="&amp;'Покупки по дням'!$B158,data!$B:$B,"="&amp;'Покупки по дням'!AH$2)</f>
        <v>1</v>
      </c>
      <c r="AI158">
        <f>SUMIFS(data!$C:$C,data!$A:$A,"="&amp;'Покупки по дням'!$B158,data!$B:$B,"="&amp;'Покупки по дням'!AI$2)</f>
        <v>1</v>
      </c>
      <c r="AJ158">
        <f>SUMIFS(data!$C:$C,data!$A:$A,"="&amp;'Покупки по дням'!$B158,data!$B:$B,"="&amp;'Покупки по дням'!AJ$2)</f>
        <v>3</v>
      </c>
      <c r="AK158">
        <f>SUMIFS(data!$C:$C,data!$A:$A,"="&amp;'Покупки по дням'!$B158,data!$B:$B,"="&amp;'Покупки по дням'!AK$2)</f>
        <v>2</v>
      </c>
      <c r="AL158">
        <f>SUMIFS(data!$C:$C,data!$A:$A,"="&amp;'Покупки по дням'!$B158,data!$B:$B,"="&amp;'Покупки по дням'!AL$2)</f>
        <v>0</v>
      </c>
      <c r="AM158">
        <f>SUMIFS(data!$C:$C,data!$A:$A,"="&amp;'Покупки по дням'!$B158,data!$B:$B,"="&amp;'Покупки по дням'!AM$2)</f>
        <v>0</v>
      </c>
      <c r="AN158">
        <f>SUMIFS(data!$C:$C,data!$A:$A,"="&amp;'Покупки по дням'!$B158,data!$B:$B,"="&amp;'Покупки по дням'!AN$2)</f>
        <v>1</v>
      </c>
      <c r="AO158">
        <f>SUMIFS(data!$C:$C,data!$A:$A,"="&amp;'Покупки по дням'!$B158,data!$B:$B,"="&amp;'Покупки по дням'!AO$2)</f>
        <v>2</v>
      </c>
      <c r="AP158">
        <f>SUMIFS(data!$C:$C,data!$A:$A,"="&amp;'Покупки по дням'!$B158,data!$B:$B,"="&amp;'Покупки по дням'!AP$2)</f>
        <v>2</v>
      </c>
      <c r="AQ158" s="6">
        <f t="shared" si="2"/>
        <v>1.19984106550648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60"/>
  <sheetViews>
    <sheetView topLeftCell="B1" workbookViewId="0">
      <selection activeCell="F24" sqref="F24"/>
    </sheetView>
  </sheetViews>
  <sheetFormatPr defaultRowHeight="14.4" x14ac:dyDescent="0.3"/>
  <cols>
    <col min="1" max="1" width="102.33203125" bestFit="1" customWidth="1"/>
    <col min="2" max="2" width="21.88671875" bestFit="1" customWidth="1"/>
    <col min="3" max="3" width="22.88671875" bestFit="1" customWidth="1"/>
    <col min="4" max="4" width="22.6640625" bestFit="1" customWidth="1"/>
  </cols>
  <sheetData>
    <row r="3" spans="1:4" x14ac:dyDescent="0.3">
      <c r="A3" s="2" t="s">
        <v>161</v>
      </c>
      <c r="B3" t="s">
        <v>163</v>
      </c>
      <c r="C3" t="s">
        <v>164</v>
      </c>
      <c r="D3" t="s">
        <v>165</v>
      </c>
    </row>
    <row r="4" spans="1:4" x14ac:dyDescent="0.3">
      <c r="A4" s="3" t="s">
        <v>109</v>
      </c>
      <c r="B4" s="4">
        <v>45</v>
      </c>
      <c r="C4" s="4">
        <v>3933.6999999999994</v>
      </c>
      <c r="D4" s="4">
        <v>4598</v>
      </c>
    </row>
    <row r="5" spans="1:4" x14ac:dyDescent="0.3">
      <c r="A5" s="3" t="s">
        <v>111</v>
      </c>
      <c r="B5" s="4">
        <v>43</v>
      </c>
      <c r="C5" s="4">
        <v>7053.6900000000005</v>
      </c>
      <c r="D5" s="4">
        <v>8342.02</v>
      </c>
    </row>
    <row r="6" spans="1:4" x14ac:dyDescent="0.3">
      <c r="A6" s="3" t="s">
        <v>143</v>
      </c>
      <c r="B6" s="4">
        <v>49</v>
      </c>
      <c r="C6" s="4">
        <v>2350.610000000001</v>
      </c>
      <c r="D6" s="4">
        <v>3578</v>
      </c>
    </row>
    <row r="7" spans="1:4" x14ac:dyDescent="0.3">
      <c r="A7" s="3" t="s">
        <v>85</v>
      </c>
      <c r="B7" s="4">
        <v>165</v>
      </c>
      <c r="C7" s="4">
        <v>2645.2</v>
      </c>
      <c r="D7" s="4">
        <v>4177</v>
      </c>
    </row>
    <row r="8" spans="1:4" x14ac:dyDescent="0.3">
      <c r="A8" s="3" t="s">
        <v>100</v>
      </c>
      <c r="B8" s="4">
        <v>115</v>
      </c>
      <c r="C8" s="4">
        <v>4234.5999999999958</v>
      </c>
      <c r="D8" s="4">
        <v>6551</v>
      </c>
    </row>
    <row r="9" spans="1:4" x14ac:dyDescent="0.3">
      <c r="A9" s="3" t="s">
        <v>91</v>
      </c>
      <c r="B9" s="4">
        <v>97.95</v>
      </c>
      <c r="C9" s="4">
        <v>3180.7400000000025</v>
      </c>
      <c r="D9" s="4">
        <v>5289</v>
      </c>
    </row>
    <row r="10" spans="1:4" x14ac:dyDescent="0.3">
      <c r="A10" s="3" t="s">
        <v>124</v>
      </c>
      <c r="B10" s="4">
        <v>88</v>
      </c>
      <c r="C10" s="4">
        <v>3272.9099999999985</v>
      </c>
      <c r="D10" s="4">
        <v>5311</v>
      </c>
    </row>
    <row r="11" spans="1:4" x14ac:dyDescent="0.3">
      <c r="A11" s="3" t="s">
        <v>101</v>
      </c>
      <c r="B11" s="4">
        <v>45</v>
      </c>
      <c r="C11" s="4">
        <v>1449.0199999999998</v>
      </c>
      <c r="D11" s="4">
        <v>2273</v>
      </c>
    </row>
    <row r="12" spans="1:4" x14ac:dyDescent="0.3">
      <c r="A12" s="3" t="s">
        <v>157</v>
      </c>
      <c r="B12" s="4">
        <v>142</v>
      </c>
      <c r="C12" s="4">
        <v>1188</v>
      </c>
      <c r="D12" s="4">
        <v>1997</v>
      </c>
    </row>
    <row r="13" spans="1:4" x14ac:dyDescent="0.3">
      <c r="A13" s="3" t="s">
        <v>46</v>
      </c>
      <c r="B13" s="4">
        <v>51</v>
      </c>
      <c r="C13" s="4">
        <v>997.37999999999965</v>
      </c>
      <c r="D13" s="4">
        <v>1209</v>
      </c>
    </row>
    <row r="14" spans="1:4" x14ac:dyDescent="0.3">
      <c r="A14" s="3" t="s">
        <v>73</v>
      </c>
      <c r="B14" s="4">
        <v>70</v>
      </c>
      <c r="C14" s="4">
        <v>431.66999999999996</v>
      </c>
      <c r="D14" s="4">
        <v>722</v>
      </c>
    </row>
    <row r="15" spans="1:4" x14ac:dyDescent="0.3">
      <c r="A15" s="3" t="s">
        <v>16</v>
      </c>
      <c r="B15" s="4">
        <v>48</v>
      </c>
      <c r="C15" s="4">
        <v>2062.0299999999993</v>
      </c>
      <c r="D15" s="4">
        <v>3207</v>
      </c>
    </row>
    <row r="16" spans="1:4" x14ac:dyDescent="0.3">
      <c r="A16" s="3" t="s">
        <v>67</v>
      </c>
      <c r="B16" s="4">
        <v>41</v>
      </c>
      <c r="C16" s="4">
        <v>2274.1299999999997</v>
      </c>
      <c r="D16" s="4">
        <v>3296</v>
      </c>
    </row>
    <row r="17" spans="1:4" x14ac:dyDescent="0.3">
      <c r="A17" s="3" t="s">
        <v>17</v>
      </c>
      <c r="B17" s="4">
        <v>47</v>
      </c>
      <c r="C17" s="4">
        <v>18371.259999999995</v>
      </c>
      <c r="D17" s="4">
        <v>21998</v>
      </c>
    </row>
    <row r="18" spans="1:4" x14ac:dyDescent="0.3">
      <c r="A18" s="3" t="s">
        <v>49</v>
      </c>
      <c r="B18" s="4">
        <v>127</v>
      </c>
      <c r="C18" s="4">
        <v>1966.2799999999988</v>
      </c>
      <c r="D18" s="4">
        <v>2403</v>
      </c>
    </row>
    <row r="19" spans="1:4" x14ac:dyDescent="0.3">
      <c r="A19" s="3" t="s">
        <v>159</v>
      </c>
      <c r="B19" s="4">
        <v>43</v>
      </c>
      <c r="C19" s="4">
        <v>2292.4900000000011</v>
      </c>
      <c r="D19" s="4">
        <v>2830.84</v>
      </c>
    </row>
    <row r="20" spans="1:4" x14ac:dyDescent="0.3">
      <c r="A20" s="3" t="s">
        <v>60</v>
      </c>
      <c r="B20" s="4">
        <v>51</v>
      </c>
      <c r="C20" s="4">
        <v>2995.49</v>
      </c>
      <c r="D20" s="4">
        <v>3715</v>
      </c>
    </row>
    <row r="21" spans="1:4" x14ac:dyDescent="0.3">
      <c r="A21" s="3" t="s">
        <v>154</v>
      </c>
      <c r="B21" s="4">
        <v>48</v>
      </c>
      <c r="C21" s="4">
        <v>6061.1799999999985</v>
      </c>
      <c r="D21" s="4">
        <v>7153.48</v>
      </c>
    </row>
    <row r="22" spans="1:4" x14ac:dyDescent="0.3">
      <c r="A22" s="3" t="s">
        <v>30</v>
      </c>
      <c r="B22" s="4">
        <v>82</v>
      </c>
      <c r="C22" s="4">
        <v>12809.300000000016</v>
      </c>
      <c r="D22" s="4">
        <v>15284</v>
      </c>
    </row>
    <row r="23" spans="1:4" x14ac:dyDescent="0.3">
      <c r="A23" s="3" t="s">
        <v>79</v>
      </c>
      <c r="B23" s="4">
        <v>42</v>
      </c>
      <c r="C23" s="4">
        <v>6263.09</v>
      </c>
      <c r="D23" s="4">
        <v>7441</v>
      </c>
    </row>
    <row r="24" spans="1:4" x14ac:dyDescent="0.3">
      <c r="A24" s="3" t="s">
        <v>150</v>
      </c>
      <c r="B24" s="4">
        <v>59</v>
      </c>
      <c r="C24" s="4">
        <v>4092</v>
      </c>
      <c r="D24" s="4">
        <v>6403</v>
      </c>
    </row>
    <row r="25" spans="1:4" x14ac:dyDescent="0.3">
      <c r="A25" s="3" t="s">
        <v>39</v>
      </c>
      <c r="B25" s="4">
        <v>271</v>
      </c>
      <c r="C25" s="4">
        <v>977.14000000000044</v>
      </c>
      <c r="D25" s="4">
        <v>1618</v>
      </c>
    </row>
    <row r="26" spans="1:4" x14ac:dyDescent="0.3">
      <c r="A26" s="3" t="s">
        <v>108</v>
      </c>
      <c r="B26" s="4">
        <v>65</v>
      </c>
      <c r="C26" s="4">
        <v>1636.5499999999979</v>
      </c>
      <c r="D26" s="4">
        <v>2541</v>
      </c>
    </row>
    <row r="27" spans="1:4" x14ac:dyDescent="0.3">
      <c r="A27" s="3" t="s">
        <v>38</v>
      </c>
      <c r="B27" s="4">
        <v>100</v>
      </c>
      <c r="C27" s="4">
        <v>2673.3099999999972</v>
      </c>
      <c r="D27" s="4">
        <v>4190</v>
      </c>
    </row>
    <row r="28" spans="1:4" x14ac:dyDescent="0.3">
      <c r="A28" s="3" t="s">
        <v>113</v>
      </c>
      <c r="B28" s="4">
        <v>41</v>
      </c>
      <c r="C28" s="4">
        <v>5721.5300000000007</v>
      </c>
      <c r="D28" s="4">
        <v>7884</v>
      </c>
    </row>
    <row r="29" spans="1:4" x14ac:dyDescent="0.3">
      <c r="A29" s="3" t="s">
        <v>18</v>
      </c>
      <c r="B29" s="4">
        <v>154</v>
      </c>
      <c r="C29" s="4">
        <v>6918.05</v>
      </c>
      <c r="D29" s="4">
        <v>10742</v>
      </c>
    </row>
    <row r="30" spans="1:4" x14ac:dyDescent="0.3">
      <c r="A30" s="3" t="s">
        <v>82</v>
      </c>
      <c r="B30" s="4">
        <v>66</v>
      </c>
      <c r="C30" s="4">
        <v>2441.079999999999</v>
      </c>
      <c r="D30" s="4">
        <v>3089</v>
      </c>
    </row>
    <row r="31" spans="1:4" x14ac:dyDescent="0.3">
      <c r="A31" s="3" t="s">
        <v>37</v>
      </c>
      <c r="B31" s="4">
        <v>87</v>
      </c>
      <c r="C31" s="4">
        <v>3510.9000000000019</v>
      </c>
      <c r="D31" s="4">
        <v>4460</v>
      </c>
    </row>
    <row r="32" spans="1:4" x14ac:dyDescent="0.3">
      <c r="A32" s="3" t="s">
        <v>66</v>
      </c>
      <c r="B32" s="4">
        <v>276</v>
      </c>
      <c r="C32" s="4">
        <v>8445.2700000000023</v>
      </c>
      <c r="D32" s="4">
        <v>9877</v>
      </c>
    </row>
    <row r="33" spans="1:4" x14ac:dyDescent="0.3">
      <c r="A33" s="3" t="s">
        <v>84</v>
      </c>
      <c r="B33" s="4">
        <v>58</v>
      </c>
      <c r="C33" s="4">
        <v>9325.1699999999946</v>
      </c>
      <c r="D33" s="4">
        <v>11467</v>
      </c>
    </row>
    <row r="34" spans="1:4" x14ac:dyDescent="0.3">
      <c r="A34" s="3" t="s">
        <v>63</v>
      </c>
      <c r="B34" s="4">
        <v>90</v>
      </c>
      <c r="C34" s="4">
        <v>6510.8900000000012</v>
      </c>
      <c r="D34" s="4">
        <v>7947</v>
      </c>
    </row>
    <row r="35" spans="1:4" x14ac:dyDescent="0.3">
      <c r="A35" s="3" t="s">
        <v>55</v>
      </c>
      <c r="B35" s="4">
        <v>102</v>
      </c>
      <c r="C35" s="4">
        <v>8022.7300000000041</v>
      </c>
      <c r="D35" s="4">
        <v>9768.32</v>
      </c>
    </row>
    <row r="36" spans="1:4" x14ac:dyDescent="0.3">
      <c r="A36" s="3" t="s">
        <v>54</v>
      </c>
      <c r="B36" s="4">
        <v>60</v>
      </c>
      <c r="C36" s="4">
        <v>40916.01999999999</v>
      </c>
      <c r="D36" s="4">
        <v>52823</v>
      </c>
    </row>
    <row r="37" spans="1:4" x14ac:dyDescent="0.3">
      <c r="A37" s="3" t="s">
        <v>97</v>
      </c>
      <c r="B37" s="4">
        <v>54</v>
      </c>
      <c r="C37" s="4">
        <v>23052.029999999988</v>
      </c>
      <c r="D37" s="4">
        <v>30216</v>
      </c>
    </row>
    <row r="38" spans="1:4" x14ac:dyDescent="0.3">
      <c r="A38" s="3" t="s">
        <v>76</v>
      </c>
      <c r="B38" s="4">
        <v>50</v>
      </c>
      <c r="C38" s="4">
        <v>1571.1099999999992</v>
      </c>
      <c r="D38" s="4">
        <v>1929.52</v>
      </c>
    </row>
    <row r="39" spans="1:4" x14ac:dyDescent="0.3">
      <c r="A39" s="3" t="s">
        <v>59</v>
      </c>
      <c r="B39" s="4">
        <v>136</v>
      </c>
      <c r="C39" s="4">
        <v>1001.6000000000006</v>
      </c>
      <c r="D39" s="4">
        <v>1643</v>
      </c>
    </row>
    <row r="40" spans="1:4" x14ac:dyDescent="0.3">
      <c r="A40" s="3" t="s">
        <v>141</v>
      </c>
      <c r="B40" s="4">
        <v>130</v>
      </c>
      <c r="C40" s="4">
        <v>984.05999999999983</v>
      </c>
      <c r="D40" s="4">
        <v>1642</v>
      </c>
    </row>
    <row r="41" spans="1:4" x14ac:dyDescent="0.3">
      <c r="A41" s="3" t="s">
        <v>89</v>
      </c>
      <c r="B41" s="4">
        <v>44</v>
      </c>
      <c r="C41" s="4">
        <v>3502.2899999999995</v>
      </c>
      <c r="D41" s="4">
        <v>5058</v>
      </c>
    </row>
    <row r="42" spans="1:4" x14ac:dyDescent="0.3">
      <c r="A42" s="3" t="s">
        <v>12</v>
      </c>
      <c r="B42" s="4">
        <v>111</v>
      </c>
      <c r="C42" s="4">
        <v>6436.0000000000045</v>
      </c>
      <c r="D42" s="4">
        <v>7947.2</v>
      </c>
    </row>
    <row r="43" spans="1:4" x14ac:dyDescent="0.3">
      <c r="A43" s="3" t="s">
        <v>131</v>
      </c>
      <c r="B43" s="4">
        <v>68</v>
      </c>
      <c r="C43" s="4">
        <v>24475.96</v>
      </c>
      <c r="D43" s="4">
        <v>28869</v>
      </c>
    </row>
    <row r="44" spans="1:4" x14ac:dyDescent="0.3">
      <c r="A44" s="3" t="s">
        <v>106</v>
      </c>
      <c r="B44" s="4">
        <v>72.8</v>
      </c>
      <c r="C44" s="4">
        <v>3103.4199999999996</v>
      </c>
      <c r="D44" s="4">
        <v>3820</v>
      </c>
    </row>
    <row r="45" spans="1:4" x14ac:dyDescent="0.3">
      <c r="A45" s="3" t="s">
        <v>105</v>
      </c>
      <c r="B45" s="4">
        <v>89</v>
      </c>
      <c r="C45" s="4">
        <v>1384.0499999999997</v>
      </c>
      <c r="D45" s="4">
        <v>2268</v>
      </c>
    </row>
    <row r="46" spans="1:4" x14ac:dyDescent="0.3">
      <c r="A46" s="3" t="s">
        <v>83</v>
      </c>
      <c r="B46" s="4">
        <v>57</v>
      </c>
      <c r="C46" s="4">
        <v>11768.990000000005</v>
      </c>
      <c r="D46" s="4">
        <v>13892</v>
      </c>
    </row>
    <row r="47" spans="1:4" x14ac:dyDescent="0.3">
      <c r="A47" s="3" t="s">
        <v>15</v>
      </c>
      <c r="B47" s="4">
        <v>47</v>
      </c>
      <c r="C47" s="4">
        <v>1973.0700000000002</v>
      </c>
      <c r="D47" s="4">
        <v>3160</v>
      </c>
    </row>
    <row r="48" spans="1:4" x14ac:dyDescent="0.3">
      <c r="A48" s="3" t="s">
        <v>123</v>
      </c>
      <c r="B48" s="4">
        <v>51</v>
      </c>
      <c r="C48" s="4">
        <v>3222.72</v>
      </c>
      <c r="D48" s="4">
        <v>4019</v>
      </c>
    </row>
    <row r="49" spans="1:4" x14ac:dyDescent="0.3">
      <c r="A49" s="3" t="s">
        <v>140</v>
      </c>
      <c r="B49" s="4">
        <v>41</v>
      </c>
      <c r="C49" s="4">
        <v>6464.7799999999988</v>
      </c>
      <c r="D49" s="4">
        <v>7753.33</v>
      </c>
    </row>
    <row r="50" spans="1:4" x14ac:dyDescent="0.3">
      <c r="A50" s="3" t="s">
        <v>120</v>
      </c>
      <c r="B50" s="4">
        <v>69</v>
      </c>
      <c r="C50" s="4">
        <v>9379.31</v>
      </c>
      <c r="D50" s="4">
        <v>12954.92</v>
      </c>
    </row>
    <row r="51" spans="1:4" x14ac:dyDescent="0.3">
      <c r="A51" s="3" t="s">
        <v>127</v>
      </c>
      <c r="B51" s="4">
        <v>72</v>
      </c>
      <c r="C51" s="4">
        <v>8670.44</v>
      </c>
      <c r="D51" s="4">
        <v>12055</v>
      </c>
    </row>
    <row r="52" spans="1:4" x14ac:dyDescent="0.3">
      <c r="A52" s="3" t="s">
        <v>78</v>
      </c>
      <c r="B52" s="4">
        <v>66</v>
      </c>
      <c r="C52" s="4">
        <v>4648.8200000000015</v>
      </c>
      <c r="D52" s="4">
        <v>5886</v>
      </c>
    </row>
    <row r="53" spans="1:4" x14ac:dyDescent="0.3">
      <c r="A53" s="3" t="s">
        <v>103</v>
      </c>
      <c r="B53" s="4">
        <v>86</v>
      </c>
      <c r="C53" s="4">
        <v>3540.8600000000015</v>
      </c>
      <c r="D53" s="4">
        <v>5540</v>
      </c>
    </row>
    <row r="54" spans="1:4" x14ac:dyDescent="0.3">
      <c r="A54" s="3" t="s">
        <v>68</v>
      </c>
      <c r="B54" s="4">
        <v>41</v>
      </c>
      <c r="C54" s="4">
        <v>2380.3700000000008</v>
      </c>
      <c r="D54" s="4">
        <v>3606</v>
      </c>
    </row>
    <row r="55" spans="1:4" x14ac:dyDescent="0.3">
      <c r="A55" s="3" t="s">
        <v>71</v>
      </c>
      <c r="B55" s="4">
        <v>41</v>
      </c>
      <c r="C55" s="4">
        <v>2011.6399999999994</v>
      </c>
      <c r="D55" s="4">
        <v>2910</v>
      </c>
    </row>
    <row r="56" spans="1:4" x14ac:dyDescent="0.3">
      <c r="A56" s="3" t="s">
        <v>42</v>
      </c>
      <c r="B56" s="4">
        <v>52</v>
      </c>
      <c r="C56" s="4">
        <v>30049.479999999992</v>
      </c>
      <c r="D56" s="4">
        <v>34409</v>
      </c>
    </row>
    <row r="57" spans="1:4" x14ac:dyDescent="0.3">
      <c r="A57" s="3" t="s">
        <v>57</v>
      </c>
      <c r="B57" s="4">
        <v>131</v>
      </c>
      <c r="C57" s="4">
        <v>31086.720000000001</v>
      </c>
      <c r="D57" s="4">
        <v>36183.32</v>
      </c>
    </row>
    <row r="58" spans="1:4" x14ac:dyDescent="0.3">
      <c r="A58" s="3" t="s">
        <v>56</v>
      </c>
      <c r="B58" s="4">
        <v>194</v>
      </c>
      <c r="C58" s="4">
        <v>8596.1000000000113</v>
      </c>
      <c r="D58" s="4">
        <v>13278</v>
      </c>
    </row>
    <row r="59" spans="1:4" x14ac:dyDescent="0.3">
      <c r="A59" s="3" t="s">
        <v>139</v>
      </c>
      <c r="B59" s="4">
        <v>81</v>
      </c>
      <c r="C59" s="4">
        <v>1302.6699999999994</v>
      </c>
      <c r="D59" s="4">
        <v>2135</v>
      </c>
    </row>
    <row r="60" spans="1:4" x14ac:dyDescent="0.3">
      <c r="A60" s="3" t="s">
        <v>86</v>
      </c>
      <c r="B60" s="4">
        <v>83</v>
      </c>
      <c r="C60" s="4">
        <v>2318.0400000000013</v>
      </c>
      <c r="D60" s="4">
        <v>3805</v>
      </c>
    </row>
    <row r="61" spans="1:4" x14ac:dyDescent="0.3">
      <c r="A61" s="3" t="s">
        <v>72</v>
      </c>
      <c r="B61" s="4">
        <v>80</v>
      </c>
      <c r="C61" s="4">
        <v>44568.989999999947</v>
      </c>
      <c r="D61" s="4">
        <v>58872</v>
      </c>
    </row>
    <row r="62" spans="1:4" x14ac:dyDescent="0.3">
      <c r="A62" s="3" t="s">
        <v>112</v>
      </c>
      <c r="B62" s="4">
        <v>53</v>
      </c>
      <c r="C62" s="4">
        <v>14785.509999999997</v>
      </c>
      <c r="D62" s="4">
        <v>17327.46</v>
      </c>
    </row>
    <row r="63" spans="1:4" x14ac:dyDescent="0.3">
      <c r="A63" s="3" t="s">
        <v>5</v>
      </c>
      <c r="B63" s="4">
        <v>164</v>
      </c>
      <c r="C63" s="4">
        <v>22707.250000000007</v>
      </c>
      <c r="D63" s="4">
        <v>26881</v>
      </c>
    </row>
    <row r="64" spans="1:4" x14ac:dyDescent="0.3">
      <c r="A64" s="3" t="s">
        <v>41</v>
      </c>
      <c r="B64" s="4">
        <v>147</v>
      </c>
      <c r="C64" s="4">
        <v>932.43000000000029</v>
      </c>
      <c r="D64" s="4">
        <v>1545.01</v>
      </c>
    </row>
    <row r="65" spans="1:4" x14ac:dyDescent="0.3">
      <c r="A65" s="3" t="s">
        <v>121</v>
      </c>
      <c r="B65" s="4">
        <v>92</v>
      </c>
      <c r="C65" s="4">
        <v>482.55000000000018</v>
      </c>
      <c r="D65" s="4">
        <v>797</v>
      </c>
    </row>
    <row r="66" spans="1:4" x14ac:dyDescent="0.3">
      <c r="A66" s="3" t="s">
        <v>20</v>
      </c>
      <c r="B66" s="4">
        <v>351</v>
      </c>
      <c r="C66" s="4">
        <v>7230.2399999999852</v>
      </c>
      <c r="D66" s="4">
        <v>9242.35</v>
      </c>
    </row>
    <row r="67" spans="1:4" x14ac:dyDescent="0.3">
      <c r="A67" s="3" t="s">
        <v>130</v>
      </c>
      <c r="B67" s="4">
        <v>65</v>
      </c>
      <c r="C67" s="4">
        <v>1557.3700000000008</v>
      </c>
      <c r="D67" s="4">
        <v>1923</v>
      </c>
    </row>
    <row r="68" spans="1:4" x14ac:dyDescent="0.3">
      <c r="A68" s="3" t="s">
        <v>104</v>
      </c>
      <c r="B68" s="4">
        <v>78</v>
      </c>
      <c r="C68" s="4">
        <v>3533.5099999999984</v>
      </c>
      <c r="D68" s="4">
        <v>4461</v>
      </c>
    </row>
    <row r="69" spans="1:4" x14ac:dyDescent="0.3">
      <c r="A69" s="3" t="s">
        <v>28</v>
      </c>
      <c r="B69" s="4">
        <v>118.00000009999999</v>
      </c>
      <c r="C69" s="4">
        <v>17345.100000000002</v>
      </c>
      <c r="D69" s="4">
        <v>24172</v>
      </c>
    </row>
    <row r="70" spans="1:4" x14ac:dyDescent="0.3">
      <c r="A70" s="3" t="s">
        <v>51</v>
      </c>
      <c r="B70" s="4">
        <v>862</v>
      </c>
      <c r="C70" s="4">
        <v>184.92</v>
      </c>
      <c r="D70" s="4">
        <v>341.33999999999986</v>
      </c>
    </row>
    <row r="71" spans="1:4" x14ac:dyDescent="0.3">
      <c r="A71" s="3" t="s">
        <v>133</v>
      </c>
      <c r="B71" s="4">
        <v>227</v>
      </c>
      <c r="C71" s="4">
        <v>254.27999999999992</v>
      </c>
      <c r="D71" s="4">
        <v>428</v>
      </c>
    </row>
    <row r="72" spans="1:4" x14ac:dyDescent="0.3">
      <c r="A72" s="3" t="s">
        <v>44</v>
      </c>
      <c r="B72" s="4">
        <v>42</v>
      </c>
      <c r="C72" s="4">
        <v>2732.8100000000004</v>
      </c>
      <c r="D72" s="4">
        <v>4274</v>
      </c>
    </row>
    <row r="73" spans="1:4" x14ac:dyDescent="0.3">
      <c r="A73" s="3" t="s">
        <v>128</v>
      </c>
      <c r="B73" s="4">
        <v>48</v>
      </c>
      <c r="C73" s="4">
        <v>13435.909999999994</v>
      </c>
      <c r="D73" s="4">
        <v>18104.169999999998</v>
      </c>
    </row>
    <row r="74" spans="1:4" x14ac:dyDescent="0.3">
      <c r="A74" s="3" t="s">
        <v>50</v>
      </c>
      <c r="B74" s="4">
        <v>116</v>
      </c>
      <c r="C74" s="4">
        <v>5120.6699999999983</v>
      </c>
      <c r="D74" s="4">
        <v>6392.99</v>
      </c>
    </row>
    <row r="75" spans="1:4" x14ac:dyDescent="0.3">
      <c r="A75" s="3" t="s">
        <v>114</v>
      </c>
      <c r="B75" s="4">
        <v>53</v>
      </c>
      <c r="C75" s="4">
        <v>3966.8200000000033</v>
      </c>
      <c r="D75" s="4">
        <v>4905</v>
      </c>
    </row>
    <row r="76" spans="1:4" x14ac:dyDescent="0.3">
      <c r="A76" s="3" t="s">
        <v>8</v>
      </c>
      <c r="B76" s="4">
        <v>151</v>
      </c>
      <c r="C76" s="4">
        <v>5975.1799999999967</v>
      </c>
      <c r="D76" s="4">
        <v>9692</v>
      </c>
    </row>
    <row r="77" spans="1:4" x14ac:dyDescent="0.3">
      <c r="A77" s="3" t="s">
        <v>27</v>
      </c>
      <c r="B77" s="4">
        <v>58</v>
      </c>
      <c r="C77" s="4">
        <v>5817.6699999999992</v>
      </c>
      <c r="D77" s="4">
        <v>8925</v>
      </c>
    </row>
    <row r="78" spans="1:4" x14ac:dyDescent="0.3">
      <c r="A78" s="3" t="s">
        <v>99</v>
      </c>
      <c r="B78" s="4">
        <v>79</v>
      </c>
      <c r="C78" s="4">
        <v>5128.1100000000006</v>
      </c>
      <c r="D78" s="4">
        <v>6164</v>
      </c>
    </row>
    <row r="79" spans="1:4" x14ac:dyDescent="0.3">
      <c r="A79" s="3" t="s">
        <v>134</v>
      </c>
      <c r="B79" s="4">
        <v>158</v>
      </c>
      <c r="C79" s="4">
        <v>4440.0699999999915</v>
      </c>
      <c r="D79" s="4">
        <v>6877</v>
      </c>
    </row>
    <row r="80" spans="1:4" x14ac:dyDescent="0.3">
      <c r="A80" s="3" t="s">
        <v>33</v>
      </c>
      <c r="B80" s="4">
        <v>59</v>
      </c>
      <c r="C80" s="4">
        <v>1253.6500000000001</v>
      </c>
      <c r="D80" s="4">
        <v>1493</v>
      </c>
    </row>
    <row r="81" spans="1:4" x14ac:dyDescent="0.3">
      <c r="A81" s="3" t="s">
        <v>136</v>
      </c>
      <c r="B81" s="4">
        <v>55</v>
      </c>
      <c r="C81" s="4">
        <v>16558.79</v>
      </c>
      <c r="D81" s="4">
        <v>22303</v>
      </c>
    </row>
    <row r="82" spans="1:4" x14ac:dyDescent="0.3">
      <c r="A82" s="3" t="s">
        <v>13</v>
      </c>
      <c r="B82" s="4">
        <v>60</v>
      </c>
      <c r="C82" s="4">
        <v>7254.2800000000025</v>
      </c>
      <c r="D82" s="4">
        <v>8736.869999999999</v>
      </c>
    </row>
    <row r="83" spans="1:4" x14ac:dyDescent="0.3">
      <c r="A83" s="3" t="s">
        <v>146</v>
      </c>
      <c r="B83" s="4">
        <v>73</v>
      </c>
      <c r="C83" s="4">
        <v>29788.920000000031</v>
      </c>
      <c r="D83" s="4">
        <v>33553</v>
      </c>
    </row>
    <row r="84" spans="1:4" x14ac:dyDescent="0.3">
      <c r="A84" s="3" t="s">
        <v>80</v>
      </c>
      <c r="B84" s="4">
        <v>50</v>
      </c>
      <c r="C84" s="4">
        <v>1239.5800000000011</v>
      </c>
      <c r="D84" s="4">
        <v>1936</v>
      </c>
    </row>
    <row r="85" spans="1:4" x14ac:dyDescent="0.3">
      <c r="A85" s="3" t="s">
        <v>96</v>
      </c>
      <c r="B85" s="4">
        <v>51</v>
      </c>
      <c r="C85" s="4">
        <v>3690.04</v>
      </c>
      <c r="D85" s="4">
        <v>5305</v>
      </c>
    </row>
    <row r="86" spans="1:4" x14ac:dyDescent="0.3">
      <c r="A86" s="3" t="s">
        <v>34</v>
      </c>
      <c r="B86" s="4">
        <v>83</v>
      </c>
      <c r="C86" s="4">
        <v>16796.87999999999</v>
      </c>
      <c r="D86" s="4">
        <v>19440</v>
      </c>
    </row>
    <row r="87" spans="1:4" x14ac:dyDescent="0.3">
      <c r="A87" s="3" t="s">
        <v>156</v>
      </c>
      <c r="B87" s="4">
        <v>65</v>
      </c>
      <c r="C87" s="4">
        <v>16324.060000000001</v>
      </c>
      <c r="D87" s="4">
        <v>22398</v>
      </c>
    </row>
    <row r="88" spans="1:4" x14ac:dyDescent="0.3">
      <c r="A88" s="3" t="s">
        <v>119</v>
      </c>
      <c r="B88" s="4">
        <v>2.5714282999999991</v>
      </c>
      <c r="C88" s="4">
        <v>26399.569999999992</v>
      </c>
      <c r="D88" s="4">
        <v>29098</v>
      </c>
    </row>
    <row r="89" spans="1:4" x14ac:dyDescent="0.3">
      <c r="A89" s="3" t="s">
        <v>31</v>
      </c>
      <c r="B89" s="4">
        <v>296</v>
      </c>
      <c r="C89" s="4">
        <v>3955.4400000000028</v>
      </c>
      <c r="D89" s="4">
        <v>5393</v>
      </c>
    </row>
    <row r="90" spans="1:4" x14ac:dyDescent="0.3">
      <c r="A90" s="3" t="s">
        <v>92</v>
      </c>
      <c r="B90" s="4">
        <v>582</v>
      </c>
      <c r="C90" s="4">
        <v>688.14999999999975</v>
      </c>
      <c r="D90" s="4">
        <v>956</v>
      </c>
    </row>
    <row r="91" spans="1:4" x14ac:dyDescent="0.3">
      <c r="A91" s="3" t="s">
        <v>26</v>
      </c>
      <c r="B91" s="4">
        <v>41.566666700000063</v>
      </c>
      <c r="C91" s="4">
        <v>192046.05999999976</v>
      </c>
      <c r="D91" s="4">
        <v>248085</v>
      </c>
    </row>
    <row r="92" spans="1:4" x14ac:dyDescent="0.3">
      <c r="A92" s="3" t="s">
        <v>132</v>
      </c>
      <c r="B92" s="4">
        <v>69</v>
      </c>
      <c r="C92" s="4">
        <v>4075.73</v>
      </c>
      <c r="D92" s="4">
        <v>5944</v>
      </c>
    </row>
    <row r="93" spans="1:4" x14ac:dyDescent="0.3">
      <c r="A93" s="3" t="s">
        <v>70</v>
      </c>
      <c r="B93" s="4">
        <v>58</v>
      </c>
      <c r="C93" s="4">
        <v>9816.2800000000007</v>
      </c>
      <c r="D93" s="4">
        <v>11850.66</v>
      </c>
    </row>
    <row r="94" spans="1:4" x14ac:dyDescent="0.3">
      <c r="A94" s="3" t="s">
        <v>87</v>
      </c>
      <c r="B94" s="4">
        <v>56</v>
      </c>
      <c r="C94" s="4">
        <v>18814.899999999994</v>
      </c>
      <c r="D94" s="4">
        <v>21859</v>
      </c>
    </row>
    <row r="95" spans="1:4" x14ac:dyDescent="0.3">
      <c r="A95" s="3" t="s">
        <v>25</v>
      </c>
      <c r="B95" s="4">
        <v>225</v>
      </c>
      <c r="C95" s="4">
        <v>33284.620000000112</v>
      </c>
      <c r="D95" s="4">
        <v>39989.769999999997</v>
      </c>
    </row>
    <row r="96" spans="1:4" x14ac:dyDescent="0.3">
      <c r="A96" s="3" t="s">
        <v>62</v>
      </c>
      <c r="B96" s="4">
        <v>169</v>
      </c>
      <c r="C96" s="4">
        <v>4278.149999999996</v>
      </c>
      <c r="D96" s="4">
        <v>5141.16</v>
      </c>
    </row>
    <row r="97" spans="1:4" x14ac:dyDescent="0.3">
      <c r="A97" s="3" t="s">
        <v>115</v>
      </c>
      <c r="B97" s="4">
        <v>101</v>
      </c>
      <c r="C97" s="4">
        <v>7221.9000000000042</v>
      </c>
      <c r="D97" s="4">
        <v>8960.64</v>
      </c>
    </row>
    <row r="98" spans="1:4" x14ac:dyDescent="0.3">
      <c r="A98" s="3" t="s">
        <v>40</v>
      </c>
      <c r="B98" s="4">
        <v>50</v>
      </c>
      <c r="C98" s="4">
        <v>8780.7000000000044</v>
      </c>
      <c r="D98" s="4">
        <v>10529</v>
      </c>
    </row>
    <row r="99" spans="1:4" x14ac:dyDescent="0.3">
      <c r="A99" s="3" t="s">
        <v>77</v>
      </c>
      <c r="B99" s="4">
        <v>65</v>
      </c>
      <c r="C99" s="4">
        <v>3921.660000000003</v>
      </c>
      <c r="D99" s="4">
        <v>4893</v>
      </c>
    </row>
    <row r="100" spans="1:4" x14ac:dyDescent="0.3">
      <c r="A100" s="3" t="s">
        <v>81</v>
      </c>
      <c r="B100" s="4">
        <v>42</v>
      </c>
      <c r="C100" s="4">
        <v>1733.2300000000009</v>
      </c>
      <c r="D100" s="4">
        <v>2131</v>
      </c>
    </row>
    <row r="101" spans="1:4" x14ac:dyDescent="0.3">
      <c r="A101" s="3" t="s">
        <v>122</v>
      </c>
      <c r="B101" s="4">
        <v>178.00000009999999</v>
      </c>
      <c r="C101" s="4">
        <v>3815.9000000000019</v>
      </c>
      <c r="D101" s="4">
        <v>4681.21</v>
      </c>
    </row>
    <row r="102" spans="1:4" x14ac:dyDescent="0.3">
      <c r="A102" s="3" t="s">
        <v>151</v>
      </c>
      <c r="B102" s="4">
        <v>51</v>
      </c>
      <c r="C102" s="4">
        <v>1232.8700000000001</v>
      </c>
      <c r="D102" s="4">
        <v>1517</v>
      </c>
    </row>
    <row r="103" spans="1:4" x14ac:dyDescent="0.3">
      <c r="A103" s="3" t="s">
        <v>152</v>
      </c>
      <c r="B103" s="4">
        <v>49</v>
      </c>
      <c r="C103" s="4">
        <v>5524.0600000000013</v>
      </c>
      <c r="D103" s="4">
        <v>6901</v>
      </c>
    </row>
    <row r="104" spans="1:4" x14ac:dyDescent="0.3">
      <c r="A104" s="3" t="s">
        <v>65</v>
      </c>
      <c r="B104" s="4">
        <v>261</v>
      </c>
      <c r="C104" s="4">
        <v>47685.419999999918</v>
      </c>
      <c r="D104" s="4">
        <v>56782</v>
      </c>
    </row>
    <row r="105" spans="1:4" x14ac:dyDescent="0.3">
      <c r="A105" s="3" t="s">
        <v>118</v>
      </c>
      <c r="B105" s="4">
        <v>124</v>
      </c>
      <c r="C105" s="4">
        <v>1215.6699999999998</v>
      </c>
      <c r="D105" s="4">
        <v>1456</v>
      </c>
    </row>
    <row r="106" spans="1:4" x14ac:dyDescent="0.3">
      <c r="A106" s="3" t="s">
        <v>153</v>
      </c>
      <c r="B106" s="4">
        <v>85</v>
      </c>
      <c r="C106" s="4">
        <v>876.30000000000064</v>
      </c>
      <c r="D106" s="4">
        <v>1029</v>
      </c>
    </row>
    <row r="107" spans="1:4" x14ac:dyDescent="0.3">
      <c r="A107" s="3" t="s">
        <v>69</v>
      </c>
      <c r="B107" s="4">
        <v>44</v>
      </c>
      <c r="C107" s="4">
        <v>879.56000000000029</v>
      </c>
      <c r="D107" s="4">
        <v>1056</v>
      </c>
    </row>
    <row r="108" spans="1:4" x14ac:dyDescent="0.3">
      <c r="A108" s="3" t="s">
        <v>137</v>
      </c>
      <c r="B108" s="4">
        <v>71</v>
      </c>
      <c r="C108" s="4">
        <v>386.37000000000006</v>
      </c>
      <c r="D108" s="4">
        <v>652</v>
      </c>
    </row>
    <row r="109" spans="1:4" x14ac:dyDescent="0.3">
      <c r="A109" s="3" t="s">
        <v>29</v>
      </c>
      <c r="B109" s="4">
        <v>53.000000299999996</v>
      </c>
      <c r="C109" s="4">
        <v>26337.069999999996</v>
      </c>
      <c r="D109" s="4">
        <v>34956</v>
      </c>
    </row>
    <row r="110" spans="1:4" x14ac:dyDescent="0.3">
      <c r="A110" s="3" t="s">
        <v>36</v>
      </c>
      <c r="B110" s="4">
        <v>217</v>
      </c>
      <c r="C110" s="4">
        <v>5074.170000000001</v>
      </c>
      <c r="D110" s="4">
        <v>6439</v>
      </c>
    </row>
    <row r="111" spans="1:4" x14ac:dyDescent="0.3">
      <c r="A111" s="3" t="s">
        <v>64</v>
      </c>
      <c r="B111" s="4">
        <v>51</v>
      </c>
      <c r="C111" s="4">
        <v>10283.199999999997</v>
      </c>
      <c r="D111" s="4">
        <v>14134</v>
      </c>
    </row>
    <row r="112" spans="1:4" x14ac:dyDescent="0.3">
      <c r="A112" s="3" t="s">
        <v>9</v>
      </c>
      <c r="B112" s="4">
        <v>105</v>
      </c>
      <c r="C112" s="4">
        <v>8491.7299999999905</v>
      </c>
      <c r="D112" s="4">
        <v>10396</v>
      </c>
    </row>
    <row r="113" spans="1:4" x14ac:dyDescent="0.3">
      <c r="A113" s="3" t="s">
        <v>160</v>
      </c>
      <c r="B113" s="4">
        <v>140</v>
      </c>
      <c r="C113" s="4">
        <v>11362.24</v>
      </c>
      <c r="D113" s="4">
        <v>13839</v>
      </c>
    </row>
    <row r="114" spans="1:4" x14ac:dyDescent="0.3">
      <c r="A114" s="3" t="s">
        <v>102</v>
      </c>
      <c r="B114" s="4">
        <v>124</v>
      </c>
      <c r="C114" s="4">
        <v>3278.0899999999988</v>
      </c>
      <c r="D114" s="4">
        <v>4057</v>
      </c>
    </row>
    <row r="115" spans="1:4" x14ac:dyDescent="0.3">
      <c r="A115" s="3" t="s">
        <v>19</v>
      </c>
      <c r="B115" s="4">
        <v>180</v>
      </c>
      <c r="C115" s="4">
        <v>14766.000000000025</v>
      </c>
      <c r="D115" s="4">
        <v>18583</v>
      </c>
    </row>
    <row r="116" spans="1:4" x14ac:dyDescent="0.3">
      <c r="A116" s="3" t="s">
        <v>93</v>
      </c>
      <c r="B116" s="4">
        <v>142</v>
      </c>
      <c r="C116" s="4">
        <v>10064.98000000001</v>
      </c>
      <c r="D116" s="4">
        <v>14512</v>
      </c>
    </row>
    <row r="117" spans="1:4" x14ac:dyDescent="0.3">
      <c r="A117" s="3" t="s">
        <v>129</v>
      </c>
      <c r="B117" s="4">
        <v>8.7199999999999989</v>
      </c>
      <c r="C117" s="4">
        <v>34129.459999999985</v>
      </c>
      <c r="D117" s="4">
        <v>40223</v>
      </c>
    </row>
    <row r="118" spans="1:4" x14ac:dyDescent="0.3">
      <c r="A118" s="3" t="s">
        <v>24</v>
      </c>
      <c r="B118" s="4">
        <v>319</v>
      </c>
      <c r="C118" s="4">
        <v>31551.8999999999</v>
      </c>
      <c r="D118" s="4">
        <v>37411.68</v>
      </c>
    </row>
    <row r="119" spans="1:4" x14ac:dyDescent="0.3">
      <c r="A119" s="3" t="s">
        <v>135</v>
      </c>
      <c r="B119" s="4">
        <v>70</v>
      </c>
      <c r="C119" s="4">
        <v>5157.3899999999994</v>
      </c>
      <c r="D119" s="4">
        <v>6389</v>
      </c>
    </row>
    <row r="120" spans="1:4" x14ac:dyDescent="0.3">
      <c r="A120" s="3" t="s">
        <v>147</v>
      </c>
      <c r="B120" s="4">
        <v>48</v>
      </c>
      <c r="C120" s="4">
        <v>6547.6599999999971</v>
      </c>
      <c r="D120" s="4">
        <v>9080</v>
      </c>
    </row>
    <row r="121" spans="1:4" x14ac:dyDescent="0.3">
      <c r="A121" s="3" t="s">
        <v>21</v>
      </c>
      <c r="B121" s="4">
        <v>81</v>
      </c>
      <c r="C121" s="4">
        <v>14922.949999999993</v>
      </c>
      <c r="D121" s="4">
        <v>20729</v>
      </c>
    </row>
    <row r="122" spans="1:4" x14ac:dyDescent="0.3">
      <c r="A122" s="3" t="s">
        <v>53</v>
      </c>
      <c r="B122" s="4">
        <v>54</v>
      </c>
      <c r="C122" s="4">
        <v>1173.6000000000001</v>
      </c>
      <c r="D122" s="4">
        <v>1915</v>
      </c>
    </row>
    <row r="123" spans="1:4" x14ac:dyDescent="0.3">
      <c r="A123" s="3" t="s">
        <v>11</v>
      </c>
      <c r="B123" s="4">
        <v>67</v>
      </c>
      <c r="C123" s="4">
        <v>1498.2000000000016</v>
      </c>
      <c r="D123" s="4">
        <v>2419</v>
      </c>
    </row>
    <row r="124" spans="1:4" x14ac:dyDescent="0.3">
      <c r="A124" s="3" t="s">
        <v>22</v>
      </c>
      <c r="B124" s="4">
        <v>88</v>
      </c>
      <c r="C124" s="4">
        <v>2484.6000000000004</v>
      </c>
      <c r="D124" s="4">
        <v>4026</v>
      </c>
    </row>
    <row r="125" spans="1:4" x14ac:dyDescent="0.3">
      <c r="A125" s="3" t="s">
        <v>138</v>
      </c>
      <c r="B125" s="4">
        <v>108</v>
      </c>
      <c r="C125" s="4">
        <v>3423.6000000000004</v>
      </c>
      <c r="D125" s="4">
        <v>5580</v>
      </c>
    </row>
    <row r="126" spans="1:4" x14ac:dyDescent="0.3">
      <c r="A126" s="3" t="s">
        <v>61</v>
      </c>
      <c r="B126" s="4">
        <v>52</v>
      </c>
      <c r="C126" s="4">
        <v>1716.1</v>
      </c>
      <c r="D126" s="4">
        <v>2676</v>
      </c>
    </row>
    <row r="127" spans="1:4" x14ac:dyDescent="0.3">
      <c r="A127" s="3" t="s">
        <v>98</v>
      </c>
      <c r="B127" s="4">
        <v>118</v>
      </c>
      <c r="C127" s="4">
        <v>13213.869999999997</v>
      </c>
      <c r="D127" s="4">
        <v>15939</v>
      </c>
    </row>
    <row r="128" spans="1:4" x14ac:dyDescent="0.3">
      <c r="A128" s="3" t="s">
        <v>32</v>
      </c>
      <c r="B128" s="4">
        <v>78.100000000000009</v>
      </c>
      <c r="C128" s="4">
        <v>10120.009999999998</v>
      </c>
      <c r="D128" s="4">
        <v>15669.55</v>
      </c>
    </row>
    <row r="129" spans="1:4" x14ac:dyDescent="0.3">
      <c r="A129" s="3" t="s">
        <v>88</v>
      </c>
      <c r="B129" s="4">
        <v>55.600000000000009</v>
      </c>
      <c r="C129" s="4">
        <v>8332.3900000000031</v>
      </c>
      <c r="D129" s="4">
        <v>12840</v>
      </c>
    </row>
    <row r="130" spans="1:4" x14ac:dyDescent="0.3">
      <c r="A130" s="3" t="s">
        <v>95</v>
      </c>
      <c r="B130" s="4">
        <v>115.59999999999998</v>
      </c>
      <c r="C130" s="4">
        <v>17169.069999999982</v>
      </c>
      <c r="D130" s="4">
        <v>26582</v>
      </c>
    </row>
    <row r="131" spans="1:4" x14ac:dyDescent="0.3">
      <c r="A131" s="3" t="s">
        <v>125</v>
      </c>
      <c r="B131" s="4">
        <v>42</v>
      </c>
      <c r="C131" s="4">
        <v>14453.060000000005</v>
      </c>
      <c r="D131" s="4">
        <v>18581.22</v>
      </c>
    </row>
    <row r="132" spans="1:4" x14ac:dyDescent="0.3">
      <c r="A132" s="3" t="s">
        <v>23</v>
      </c>
      <c r="B132" s="4">
        <v>191</v>
      </c>
      <c r="C132" s="4">
        <v>21445.23999999998</v>
      </c>
      <c r="D132" s="4">
        <v>24020.639999999999</v>
      </c>
    </row>
    <row r="133" spans="1:4" x14ac:dyDescent="0.3">
      <c r="A133" s="3" t="s">
        <v>6</v>
      </c>
      <c r="B133" s="4">
        <v>32.499999999999986</v>
      </c>
      <c r="C133" s="4">
        <v>31966.949999999993</v>
      </c>
      <c r="D133" s="4">
        <v>40189</v>
      </c>
    </row>
    <row r="134" spans="1:4" x14ac:dyDescent="0.3">
      <c r="A134" s="3" t="s">
        <v>110</v>
      </c>
      <c r="B134" s="4">
        <v>42</v>
      </c>
      <c r="C134" s="4">
        <v>9177.2699999999968</v>
      </c>
      <c r="D134" s="4">
        <v>12621</v>
      </c>
    </row>
    <row r="135" spans="1:4" x14ac:dyDescent="0.3">
      <c r="A135" s="3" t="s">
        <v>7</v>
      </c>
      <c r="B135" s="4">
        <v>236</v>
      </c>
      <c r="C135" s="4">
        <v>20956.410000000047</v>
      </c>
      <c r="D135" s="4">
        <v>25401</v>
      </c>
    </row>
    <row r="136" spans="1:4" x14ac:dyDescent="0.3">
      <c r="A136" s="3" t="s">
        <v>116</v>
      </c>
      <c r="B136" s="4">
        <v>42</v>
      </c>
      <c r="C136" s="4">
        <v>4424.6799999999994</v>
      </c>
      <c r="D136" s="4">
        <v>5267</v>
      </c>
    </row>
    <row r="137" spans="1:4" x14ac:dyDescent="0.3">
      <c r="A137" s="3" t="s">
        <v>107</v>
      </c>
      <c r="B137" s="4">
        <v>42</v>
      </c>
      <c r="C137" s="4">
        <v>3019.1699999999992</v>
      </c>
      <c r="D137" s="4">
        <v>3706</v>
      </c>
    </row>
    <row r="138" spans="1:4" x14ac:dyDescent="0.3">
      <c r="A138" s="3" t="s">
        <v>58</v>
      </c>
      <c r="B138" s="4">
        <v>93</v>
      </c>
      <c r="C138" s="4">
        <v>7303.5599999999949</v>
      </c>
      <c r="D138" s="4">
        <v>8800</v>
      </c>
    </row>
    <row r="139" spans="1:4" x14ac:dyDescent="0.3">
      <c r="A139" s="3" t="s">
        <v>48</v>
      </c>
      <c r="B139" s="4">
        <v>179</v>
      </c>
      <c r="C139" s="4">
        <v>7147.6800000000039</v>
      </c>
      <c r="D139" s="4">
        <v>11109</v>
      </c>
    </row>
    <row r="140" spans="1:4" x14ac:dyDescent="0.3">
      <c r="A140" s="3" t="s">
        <v>149</v>
      </c>
      <c r="B140" s="4">
        <v>60</v>
      </c>
      <c r="C140" s="4">
        <v>12972.089999999997</v>
      </c>
      <c r="D140" s="4">
        <v>17835</v>
      </c>
    </row>
    <row r="141" spans="1:4" x14ac:dyDescent="0.3">
      <c r="A141" s="3" t="s">
        <v>45</v>
      </c>
      <c r="B141" s="4">
        <v>273</v>
      </c>
      <c r="C141" s="4">
        <v>4185.1800000000039</v>
      </c>
      <c r="D141" s="4">
        <v>6797</v>
      </c>
    </row>
    <row r="142" spans="1:4" x14ac:dyDescent="0.3">
      <c r="A142" s="3" t="s">
        <v>145</v>
      </c>
      <c r="B142" s="4">
        <v>94</v>
      </c>
      <c r="C142" s="4">
        <v>2378.1999999999998</v>
      </c>
      <c r="D142" s="4">
        <v>2914</v>
      </c>
    </row>
    <row r="143" spans="1:4" x14ac:dyDescent="0.3">
      <c r="A143" s="3" t="s">
        <v>14</v>
      </c>
      <c r="B143" s="4">
        <v>21.5</v>
      </c>
      <c r="C143" s="4">
        <v>27076.330000000016</v>
      </c>
      <c r="D143" s="4">
        <v>35829</v>
      </c>
    </row>
    <row r="144" spans="1:4" x14ac:dyDescent="0.3">
      <c r="A144" s="3" t="s">
        <v>144</v>
      </c>
      <c r="B144" s="4">
        <v>50</v>
      </c>
      <c r="C144" s="4">
        <v>2674.0499999999993</v>
      </c>
      <c r="D144" s="4">
        <v>3822.4</v>
      </c>
    </row>
    <row r="145" spans="1:4" x14ac:dyDescent="0.3">
      <c r="A145" s="3" t="s">
        <v>155</v>
      </c>
      <c r="B145" s="4">
        <v>11</v>
      </c>
      <c r="C145" s="4">
        <v>22126.650000000005</v>
      </c>
      <c r="D145" s="4">
        <v>31906</v>
      </c>
    </row>
    <row r="146" spans="1:4" x14ac:dyDescent="0.3">
      <c r="A146" s="3" t="s">
        <v>75</v>
      </c>
      <c r="B146" s="4">
        <v>11.199999999999994</v>
      </c>
      <c r="C146" s="4">
        <v>30763.369999999974</v>
      </c>
      <c r="D146" s="4">
        <v>44925</v>
      </c>
    </row>
    <row r="147" spans="1:4" x14ac:dyDescent="0.3">
      <c r="A147" s="3" t="s">
        <v>142</v>
      </c>
      <c r="B147" s="4">
        <v>59</v>
      </c>
      <c r="C147" s="4">
        <v>758.38000000000056</v>
      </c>
      <c r="D147" s="4">
        <v>884.99</v>
      </c>
    </row>
    <row r="148" spans="1:4" x14ac:dyDescent="0.3">
      <c r="A148" s="3" t="s">
        <v>10</v>
      </c>
      <c r="B148" s="4">
        <v>85</v>
      </c>
      <c r="C148" s="4">
        <v>932.30000000000075</v>
      </c>
      <c r="D148" s="4">
        <v>1134</v>
      </c>
    </row>
    <row r="149" spans="1:4" x14ac:dyDescent="0.3">
      <c r="A149" s="3" t="s">
        <v>117</v>
      </c>
      <c r="B149" s="4">
        <v>61</v>
      </c>
      <c r="C149" s="4">
        <v>1411.5400000000011</v>
      </c>
      <c r="D149" s="4">
        <v>1708</v>
      </c>
    </row>
    <row r="150" spans="1:4" x14ac:dyDescent="0.3">
      <c r="A150" s="3" t="s">
        <v>43</v>
      </c>
      <c r="B150" s="4">
        <v>50.000000299999996</v>
      </c>
      <c r="C150" s="4">
        <v>6998.9299999999985</v>
      </c>
      <c r="D150" s="4">
        <v>8396</v>
      </c>
    </row>
    <row r="151" spans="1:4" x14ac:dyDescent="0.3">
      <c r="A151" s="3" t="s">
        <v>52</v>
      </c>
      <c r="B151" s="4">
        <v>72</v>
      </c>
      <c r="C151" s="4">
        <v>14937.049999999996</v>
      </c>
      <c r="D151" s="4">
        <v>17955.86</v>
      </c>
    </row>
    <row r="152" spans="1:4" x14ac:dyDescent="0.3">
      <c r="A152" s="3" t="s">
        <v>126</v>
      </c>
      <c r="B152" s="4">
        <v>57</v>
      </c>
      <c r="C152" s="4">
        <v>1676.5299999999991</v>
      </c>
      <c r="D152" s="4">
        <v>2074</v>
      </c>
    </row>
    <row r="153" spans="1:4" x14ac:dyDescent="0.3">
      <c r="A153" s="3" t="s">
        <v>94</v>
      </c>
      <c r="B153" s="4">
        <v>95</v>
      </c>
      <c r="C153" s="4">
        <v>3089.19</v>
      </c>
      <c r="D153" s="4">
        <v>4248</v>
      </c>
    </row>
    <row r="154" spans="1:4" x14ac:dyDescent="0.3">
      <c r="A154" s="3" t="s">
        <v>158</v>
      </c>
      <c r="B154" s="4">
        <v>187</v>
      </c>
      <c r="C154" s="4">
        <v>5156.4799999999959</v>
      </c>
      <c r="D154" s="4">
        <v>6567.3600000000006</v>
      </c>
    </row>
    <row r="155" spans="1:4" x14ac:dyDescent="0.3">
      <c r="A155" s="3" t="s">
        <v>74</v>
      </c>
      <c r="B155" s="4">
        <v>42</v>
      </c>
      <c r="C155" s="4">
        <v>3722.5000000000014</v>
      </c>
      <c r="D155" s="4">
        <v>4640</v>
      </c>
    </row>
    <row r="156" spans="1:4" x14ac:dyDescent="0.3">
      <c r="A156" s="3" t="s">
        <v>35</v>
      </c>
      <c r="B156" s="4">
        <v>121</v>
      </c>
      <c r="C156" s="4">
        <v>4097.9699999999966</v>
      </c>
      <c r="D156" s="4">
        <v>6351</v>
      </c>
    </row>
    <row r="157" spans="1:4" x14ac:dyDescent="0.3">
      <c r="A157" s="3" t="s">
        <v>47</v>
      </c>
      <c r="B157" s="4">
        <v>173</v>
      </c>
      <c r="C157" s="4">
        <v>7460.0800000000036</v>
      </c>
      <c r="D157" s="4">
        <v>11585</v>
      </c>
    </row>
    <row r="158" spans="1:4" x14ac:dyDescent="0.3">
      <c r="A158" s="3" t="s">
        <v>148</v>
      </c>
      <c r="B158" s="4">
        <v>42</v>
      </c>
      <c r="C158" s="4">
        <v>1571.6999999999994</v>
      </c>
      <c r="D158" s="4">
        <v>2426</v>
      </c>
    </row>
    <row r="159" spans="1:4" x14ac:dyDescent="0.3">
      <c r="A159" s="3" t="s">
        <v>90</v>
      </c>
      <c r="B159" s="4">
        <v>87</v>
      </c>
      <c r="C159" s="4">
        <v>34177.890000000029</v>
      </c>
      <c r="D159" s="4">
        <v>41664</v>
      </c>
    </row>
    <row r="160" spans="1:4" x14ac:dyDescent="0.3">
      <c r="A160" s="3" t="s">
        <v>162</v>
      </c>
      <c r="B160" s="4">
        <v>15620.108095800002</v>
      </c>
      <c r="C160" s="4">
        <v>1558844.78</v>
      </c>
      <c r="D160" s="4">
        <v>2006310.2799999998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57"/>
  <sheetViews>
    <sheetView topLeftCell="A88" zoomScale="89" zoomScaleNormal="130" workbookViewId="0">
      <selection activeCell="A2" sqref="A2:A157"/>
    </sheetView>
  </sheetViews>
  <sheetFormatPr defaultRowHeight="14.4" x14ac:dyDescent="0.3"/>
  <cols>
    <col min="1" max="1" width="49.6640625" customWidth="1"/>
    <col min="5" max="5" width="0" style="11" hidden="1" customWidth="1"/>
    <col min="6" max="6" width="14.6640625" hidden="1" customWidth="1"/>
    <col min="7" max="7" width="9.109375" style="6"/>
    <col min="9" max="9" width="0" style="10" hidden="1" customWidth="1"/>
    <col min="10" max="10" width="16" hidden="1" customWidth="1"/>
    <col min="12" max="12" width="0" hidden="1" customWidth="1"/>
    <col min="13" max="13" width="13.5546875" hidden="1" customWidth="1"/>
    <col min="14" max="14" width="15.5546875" hidden="1" customWidth="1"/>
    <col min="15" max="15" width="12.6640625" customWidth="1"/>
    <col min="17" max="17" width="9.109375" style="6"/>
  </cols>
  <sheetData>
    <row r="1" spans="1:19" x14ac:dyDescent="0.3">
      <c r="A1" s="5" t="s">
        <v>166</v>
      </c>
      <c r="B1" s="5" t="s">
        <v>167</v>
      </c>
      <c r="C1" s="5" t="s">
        <v>168</v>
      </c>
      <c r="D1" s="5" t="s">
        <v>169</v>
      </c>
      <c r="E1" s="9" t="s">
        <v>170</v>
      </c>
      <c r="F1" s="5" t="s">
        <v>171</v>
      </c>
      <c r="G1" s="12" t="s">
        <v>179</v>
      </c>
      <c r="H1" s="5" t="s">
        <v>172</v>
      </c>
      <c r="I1" s="13" t="s">
        <v>176</v>
      </c>
      <c r="J1" s="5" t="s">
        <v>177</v>
      </c>
      <c r="K1" s="5" t="s">
        <v>178</v>
      </c>
      <c r="M1" s="5" t="s">
        <v>180</v>
      </c>
      <c r="N1" s="5" t="s">
        <v>181</v>
      </c>
      <c r="O1" s="5" t="s">
        <v>182</v>
      </c>
      <c r="P1" s="5" t="s">
        <v>183</v>
      </c>
      <c r="Q1" s="12" t="s">
        <v>213</v>
      </c>
      <c r="R1" s="5" t="s">
        <v>214</v>
      </c>
      <c r="S1" s="5" t="s">
        <v>215</v>
      </c>
    </row>
    <row r="2" spans="1:19" x14ac:dyDescent="0.3">
      <c r="A2" t="s">
        <v>8</v>
      </c>
      <c r="B2">
        <v>151</v>
      </c>
      <c r="C2">
        <v>5975.1799999999967</v>
      </c>
      <c r="D2">
        <v>9692</v>
      </c>
      <c r="E2" s="10">
        <v>9.6670265707445059E-3</v>
      </c>
      <c r="F2" s="7">
        <v>0.42502906890158609</v>
      </c>
      <c r="G2" s="6">
        <v>0.38349360297152324</v>
      </c>
      <c r="H2" t="s">
        <v>173</v>
      </c>
      <c r="I2" s="10">
        <v>4.8307582813162881E-3</v>
      </c>
      <c r="J2" s="11">
        <v>0.79458725098094007</v>
      </c>
      <c r="K2" t="s">
        <v>173</v>
      </c>
      <c r="M2" s="8">
        <v>9.7256526740278192E-3</v>
      </c>
      <c r="N2" s="8">
        <v>0.19150032952203597</v>
      </c>
      <c r="O2" t="s">
        <v>173</v>
      </c>
      <c r="P2" t="str">
        <f t="shared" ref="P2:P33" si="0">H2&amp;K2&amp;O2</f>
        <v>AAA</v>
      </c>
      <c r="Q2" s="6">
        <f>VLOOKUP(A2,xyz!A:AQ,2,FALSE)</f>
        <v>0.67615894039735092</v>
      </c>
      <c r="R2" t="str">
        <f>IF(Q2&lt;0.1,"X",IF(Q2&lt;0.25,"Y","Z"))</f>
        <v>Z</v>
      </c>
      <c r="S2" t="str">
        <f>P2&amp;R2</f>
        <v>AAAZ</v>
      </c>
    </row>
    <row r="3" spans="1:19" x14ac:dyDescent="0.3">
      <c r="A3" t="s">
        <v>48</v>
      </c>
      <c r="B3">
        <v>179</v>
      </c>
      <c r="C3">
        <v>7147.6800000000039</v>
      </c>
      <c r="D3">
        <v>11109</v>
      </c>
      <c r="E3" s="10">
        <v>1.1459587789160706E-2</v>
      </c>
      <c r="F3" s="7">
        <v>0.34103477180368208</v>
      </c>
      <c r="G3" s="6">
        <v>0.35658655144477414</v>
      </c>
      <c r="H3" t="s">
        <v>173</v>
      </c>
      <c r="I3" s="10">
        <v>5.5370298954955264E-3</v>
      </c>
      <c r="J3" s="11">
        <v>0.76418102687486611</v>
      </c>
      <c r="K3" t="s">
        <v>173</v>
      </c>
      <c r="M3" s="8">
        <v>9.0432719625801669E-3</v>
      </c>
      <c r="N3" s="8">
        <v>0.31183028378572952</v>
      </c>
      <c r="O3" t="s">
        <v>173</v>
      </c>
      <c r="P3" t="str">
        <f t="shared" si="0"/>
        <v>AAA</v>
      </c>
      <c r="Q3" s="6">
        <f>VLOOKUP(A3,xyz!A:AQ,2,FALSE)</f>
        <v>0.49134078212290494</v>
      </c>
      <c r="R3" t="str">
        <f t="shared" ref="R3:R66" si="1">IF(Q3&lt;0.1,"X",IF(Q3&lt;0.25,"Y","Z"))</f>
        <v>Z</v>
      </c>
      <c r="S3" t="str">
        <f t="shared" ref="S3:S66" si="2">P3&amp;R3</f>
        <v>AAAZ</v>
      </c>
    </row>
    <row r="4" spans="1:19" x14ac:dyDescent="0.3">
      <c r="A4" t="s">
        <v>47</v>
      </c>
      <c r="B4">
        <v>173</v>
      </c>
      <c r="C4">
        <v>7460.0800000000036</v>
      </c>
      <c r="D4">
        <v>11585</v>
      </c>
      <c r="E4" s="10">
        <v>1.1075467528071521E-2</v>
      </c>
      <c r="F4" s="7">
        <v>0.36350580708380148</v>
      </c>
      <c r="G4" s="6">
        <v>0.3560569702201119</v>
      </c>
      <c r="H4" t="s">
        <v>173</v>
      </c>
      <c r="I4" s="10">
        <v>5.7742813339918689E-3</v>
      </c>
      <c r="J4" s="11">
        <v>0.75292853007761096</v>
      </c>
      <c r="K4" t="s">
        <v>173</v>
      </c>
      <c r="M4" s="8">
        <v>9.0298414307177256E-3</v>
      </c>
      <c r="N4" s="8">
        <v>0.32086012521644725</v>
      </c>
      <c r="O4" t="s">
        <v>173</v>
      </c>
      <c r="P4" t="str">
        <f t="shared" si="0"/>
        <v>AAA</v>
      </c>
      <c r="Q4" s="6">
        <f>VLOOKUP(A4,xyz!A:AQ,2,FALSE)</f>
        <v>0.52196531791907497</v>
      </c>
      <c r="R4" t="str">
        <f t="shared" si="1"/>
        <v>Z</v>
      </c>
      <c r="S4" t="str">
        <f t="shared" si="2"/>
        <v>AAAZ</v>
      </c>
    </row>
    <row r="5" spans="1:19" x14ac:dyDescent="0.3">
      <c r="A5" t="s">
        <v>18</v>
      </c>
      <c r="B5">
        <v>154</v>
      </c>
      <c r="C5">
        <v>6918.05</v>
      </c>
      <c r="D5">
        <v>10742</v>
      </c>
      <c r="E5" s="10">
        <v>9.8590867012890993E-3</v>
      </c>
      <c r="F5" s="7">
        <v>0.41536204233084156</v>
      </c>
      <c r="G5" s="6">
        <v>0.35598119530813627</v>
      </c>
      <c r="H5" t="s">
        <v>173</v>
      </c>
      <c r="I5" s="10">
        <v>5.3541070427052789E-3</v>
      </c>
      <c r="J5" s="11">
        <v>0.76953513391757133</v>
      </c>
      <c r="K5" t="s">
        <v>173</v>
      </c>
      <c r="M5" s="8">
        <v>9.0279197285835326E-3</v>
      </c>
      <c r="N5" s="8">
        <v>0.32988804494503077</v>
      </c>
      <c r="O5" t="s">
        <v>173</v>
      </c>
      <c r="P5" t="str">
        <f t="shared" si="0"/>
        <v>AAA</v>
      </c>
      <c r="Q5" s="6">
        <f>VLOOKUP(A5,xyz!A:AQ,2,FALSE)</f>
        <v>0.48051948051948051</v>
      </c>
      <c r="R5" t="str">
        <f t="shared" si="1"/>
        <v>Z</v>
      </c>
      <c r="S5" t="str">
        <f t="shared" si="2"/>
        <v>AAAZ</v>
      </c>
    </row>
    <row r="6" spans="1:19" x14ac:dyDescent="0.3">
      <c r="A6" t="s">
        <v>32</v>
      </c>
      <c r="B6">
        <v>78.100000000000009</v>
      </c>
      <c r="C6">
        <v>10120.009999999998</v>
      </c>
      <c r="D6">
        <v>15669.55</v>
      </c>
      <c r="E6" s="10">
        <v>4.9999653985109008E-3</v>
      </c>
      <c r="F6" s="7">
        <v>0.71809042110380639</v>
      </c>
      <c r="G6" s="6">
        <v>0.35416077679320729</v>
      </c>
      <c r="H6" t="s">
        <v>173</v>
      </c>
      <c r="I6" s="10">
        <v>7.8101329371646341E-3</v>
      </c>
      <c r="J6" s="11">
        <v>0.67375554193940534</v>
      </c>
      <c r="K6" t="s">
        <v>173</v>
      </c>
      <c r="M6" s="8">
        <v>8.9817527050389864E-3</v>
      </c>
      <c r="N6" s="8">
        <v>0.36588027524259464</v>
      </c>
      <c r="O6" t="s">
        <v>173</v>
      </c>
      <c r="P6" t="str">
        <f t="shared" si="0"/>
        <v>AAA</v>
      </c>
      <c r="Q6" s="6">
        <f>VLOOKUP(A6,xyz!A:AQ,2,FALSE)</f>
        <v>0.54795134443021754</v>
      </c>
      <c r="R6" t="str">
        <f t="shared" si="1"/>
        <v>Z</v>
      </c>
      <c r="S6" t="str">
        <f t="shared" si="2"/>
        <v>AAAZ</v>
      </c>
    </row>
    <row r="7" spans="1:19" x14ac:dyDescent="0.3">
      <c r="A7" t="s">
        <v>95</v>
      </c>
      <c r="B7">
        <v>115.59999999999998</v>
      </c>
      <c r="C7">
        <v>17169.069999999982</v>
      </c>
      <c r="D7">
        <v>26582</v>
      </c>
      <c r="E7" s="10">
        <v>7.4007170303183097E-3</v>
      </c>
      <c r="F7" s="7">
        <v>0.54869018496129984</v>
      </c>
      <c r="G7" s="6">
        <v>0.35410917161989386</v>
      </c>
      <c r="H7" t="s">
        <v>173</v>
      </c>
      <c r="I7" s="10">
        <v>1.3249196928802059E-2</v>
      </c>
      <c r="J7" s="11">
        <v>0.50313592073106461</v>
      </c>
      <c r="K7" t="s">
        <v>173</v>
      </c>
      <c r="M7" s="8">
        <v>8.9804439635425438E-3</v>
      </c>
      <c r="N7" s="8">
        <v>0.37486071920613717</v>
      </c>
      <c r="O7" t="s">
        <v>173</v>
      </c>
      <c r="P7" t="str">
        <f t="shared" si="0"/>
        <v>AAA</v>
      </c>
      <c r="Q7" s="6">
        <f>VLOOKUP(A7,xyz!A:AQ,2,FALSE)</f>
        <v>0.44602076124567475</v>
      </c>
      <c r="R7" t="str">
        <f t="shared" si="1"/>
        <v>Z</v>
      </c>
      <c r="S7" t="str">
        <f t="shared" si="2"/>
        <v>AAAZ</v>
      </c>
    </row>
    <row r="8" spans="1:19" x14ac:dyDescent="0.3">
      <c r="A8" t="s">
        <v>56</v>
      </c>
      <c r="B8">
        <v>194</v>
      </c>
      <c r="C8">
        <v>8596.1000000000113</v>
      </c>
      <c r="D8">
        <v>13278</v>
      </c>
      <c r="E8" s="10">
        <v>1.2419888441883671E-2</v>
      </c>
      <c r="F8" s="7">
        <v>0.29385199973322707</v>
      </c>
      <c r="G8" s="6">
        <v>0.35260581412863296</v>
      </c>
      <c r="H8" t="s">
        <v>173</v>
      </c>
      <c r="I8" s="10">
        <v>6.6181189083076419E-3</v>
      </c>
      <c r="J8" s="11">
        <v>0.71609146617142394</v>
      </c>
      <c r="K8" t="s">
        <v>173</v>
      </c>
      <c r="M8" s="8">
        <v>8.9423178183041137E-3</v>
      </c>
      <c r="N8" s="8">
        <v>0.39277043798272099</v>
      </c>
      <c r="O8" t="s">
        <v>173</v>
      </c>
      <c r="P8" t="str">
        <f t="shared" si="0"/>
        <v>AAA</v>
      </c>
      <c r="Q8" s="6">
        <f>VLOOKUP(A8,xyz!A:AQ,2,FALSE)</f>
        <v>0.51391752577319572</v>
      </c>
      <c r="R8" t="str">
        <f t="shared" si="1"/>
        <v>Z</v>
      </c>
      <c r="S8" t="str">
        <f t="shared" si="2"/>
        <v>AAAZ</v>
      </c>
    </row>
    <row r="9" spans="1:19" x14ac:dyDescent="0.3">
      <c r="A9" t="s">
        <v>93</v>
      </c>
      <c r="B9">
        <v>142</v>
      </c>
      <c r="C9">
        <v>10064.98000000001</v>
      </c>
      <c r="D9">
        <v>14512</v>
      </c>
      <c r="E9" s="10">
        <v>9.0908461791107276E-3</v>
      </c>
      <c r="F9" s="7">
        <v>0.45262170765649257</v>
      </c>
      <c r="G9" s="6">
        <v>0.30643743109150973</v>
      </c>
      <c r="H9" t="s">
        <v>173</v>
      </c>
      <c r="I9" s="10">
        <v>7.2331783097876563E-3</v>
      </c>
      <c r="J9" s="11">
        <v>0.68860668450544948</v>
      </c>
      <c r="K9" t="s">
        <v>173</v>
      </c>
      <c r="M9" s="8">
        <v>7.7714569370239614E-3</v>
      </c>
      <c r="N9" s="8">
        <v>0.49175546819742932</v>
      </c>
      <c r="O9" t="s">
        <v>173</v>
      </c>
      <c r="P9" t="str">
        <f t="shared" si="0"/>
        <v>AAA</v>
      </c>
      <c r="Q9" s="6">
        <f>VLOOKUP(A9,xyz!A:AQ,2,FALSE)</f>
        <v>0.44577464788732385</v>
      </c>
      <c r="R9" t="str">
        <f t="shared" si="1"/>
        <v>Z</v>
      </c>
      <c r="S9" t="str">
        <f t="shared" si="2"/>
        <v>AAAZ</v>
      </c>
    </row>
    <row r="10" spans="1:19" x14ac:dyDescent="0.3">
      <c r="A10" t="s">
        <v>28</v>
      </c>
      <c r="B10">
        <v>118.00000009999999</v>
      </c>
      <c r="C10">
        <v>17345.100000000002</v>
      </c>
      <c r="D10">
        <v>24172</v>
      </c>
      <c r="E10" s="10">
        <v>7.5543651411559892E-3</v>
      </c>
      <c r="F10" s="7">
        <v>0.52630877774850338</v>
      </c>
      <c r="G10" s="6">
        <v>0.28243008439516787</v>
      </c>
      <c r="H10" t="s">
        <v>173</v>
      </c>
      <c r="I10" s="10">
        <v>1.2047986914566374E-2</v>
      </c>
      <c r="J10" s="11">
        <v>0.52784446182471834</v>
      </c>
      <c r="K10" t="s">
        <v>173</v>
      </c>
      <c r="M10" s="8">
        <v>7.1626146674674393E-3</v>
      </c>
      <c r="N10" s="8">
        <v>0.51425744734327605</v>
      </c>
      <c r="O10" t="s">
        <v>173</v>
      </c>
      <c r="P10" t="str">
        <f t="shared" si="0"/>
        <v>AAA</v>
      </c>
      <c r="Q10" s="6">
        <f>VLOOKUP(A10,xyz!A:AQ,2,FALSE)</f>
        <v>0.52542372921574254</v>
      </c>
      <c r="R10" t="str">
        <f t="shared" si="1"/>
        <v>Z</v>
      </c>
      <c r="S10" t="str">
        <f t="shared" si="2"/>
        <v>AAAZ</v>
      </c>
    </row>
    <row r="11" spans="1:19" x14ac:dyDescent="0.3">
      <c r="A11" t="s">
        <v>127</v>
      </c>
      <c r="B11">
        <v>72</v>
      </c>
      <c r="C11">
        <v>8670.44</v>
      </c>
      <c r="D11">
        <v>12055</v>
      </c>
      <c r="E11" s="10">
        <v>4.609443133070228E-3</v>
      </c>
      <c r="F11" s="7">
        <v>0.73702754997550335</v>
      </c>
      <c r="G11" s="6">
        <v>0.28075985068436327</v>
      </c>
      <c r="H11" t="s">
        <v>173</v>
      </c>
      <c r="I11" s="10">
        <v>6.0085422081374174E-3</v>
      </c>
      <c r="J11" s="11">
        <v>0.74124755518872198</v>
      </c>
      <c r="K11" t="s">
        <v>173</v>
      </c>
      <c r="M11" s="8">
        <v>7.1202564303811623E-3</v>
      </c>
      <c r="N11" s="8">
        <v>0.52137770377365722</v>
      </c>
      <c r="O11" t="s">
        <v>173</v>
      </c>
      <c r="P11" t="str">
        <f t="shared" si="0"/>
        <v>AAA</v>
      </c>
      <c r="Q11" s="6">
        <f>VLOOKUP(A11,xyz!A:AQ,2,FALSE)</f>
        <v>0.62222222222222257</v>
      </c>
      <c r="R11" t="str">
        <f t="shared" si="1"/>
        <v>Z</v>
      </c>
      <c r="S11" t="str">
        <f t="shared" si="2"/>
        <v>AAAZ</v>
      </c>
    </row>
    <row r="12" spans="1:19" x14ac:dyDescent="0.3">
      <c r="A12" t="s">
        <v>21</v>
      </c>
      <c r="B12">
        <v>81</v>
      </c>
      <c r="C12">
        <v>14922.949999999993</v>
      </c>
      <c r="D12">
        <v>20729</v>
      </c>
      <c r="E12" s="10">
        <v>5.1856235247040071E-3</v>
      </c>
      <c r="F12" s="7">
        <v>0.70291126878643206</v>
      </c>
      <c r="G12" s="6">
        <v>0.28009310627623168</v>
      </c>
      <c r="H12" t="s">
        <v>173</v>
      </c>
      <c r="I12" s="10">
        <v>1.0331901404602283E-2</v>
      </c>
      <c r="J12" s="11">
        <v>0.59428864113680369</v>
      </c>
      <c r="K12" t="s">
        <v>173</v>
      </c>
      <c r="M12" s="8">
        <v>7.1033473490155485E-3</v>
      </c>
      <c r="N12" s="8">
        <v>0.53558654697626484</v>
      </c>
      <c r="O12" t="s">
        <v>173</v>
      </c>
      <c r="P12" t="str">
        <f t="shared" si="0"/>
        <v>AAA</v>
      </c>
      <c r="Q12" s="6">
        <f>VLOOKUP(A12,xyz!A:AQ,2,FALSE)</f>
        <v>0.53456790123456799</v>
      </c>
      <c r="R12" t="str">
        <f t="shared" si="1"/>
        <v>Z</v>
      </c>
      <c r="S12" t="str">
        <f t="shared" si="2"/>
        <v>AAAZ</v>
      </c>
    </row>
    <row r="13" spans="1:19" x14ac:dyDescent="0.3">
      <c r="A13" t="s">
        <v>120</v>
      </c>
      <c r="B13">
        <v>69</v>
      </c>
      <c r="C13">
        <v>9379.31</v>
      </c>
      <c r="D13">
        <v>12954.92</v>
      </c>
      <c r="E13" s="10">
        <v>4.4173830025256355E-3</v>
      </c>
      <c r="F13" s="7">
        <v>0.75956260529273556</v>
      </c>
      <c r="G13" s="6">
        <v>0.27600402009429625</v>
      </c>
      <c r="H13" t="s">
        <v>173</v>
      </c>
      <c r="I13" s="10">
        <v>6.4570869865652088E-3</v>
      </c>
      <c r="J13" s="11">
        <v>0.72254855315798916</v>
      </c>
      <c r="K13" t="s">
        <v>173</v>
      </c>
      <c r="M13" s="8">
        <v>6.9996454054850237E-3</v>
      </c>
      <c r="N13" s="8">
        <v>0.54965908066477798</v>
      </c>
      <c r="O13" t="s">
        <v>173</v>
      </c>
      <c r="P13" t="str">
        <f t="shared" si="0"/>
        <v>AAA</v>
      </c>
      <c r="Q13" s="6">
        <f>VLOOKUP(A13,xyz!A:AQ,2,FALSE)</f>
        <v>0.75217391304347825</v>
      </c>
      <c r="R13" t="str">
        <f t="shared" si="1"/>
        <v>Z</v>
      </c>
      <c r="S13" t="str">
        <f t="shared" si="2"/>
        <v>AAAZ</v>
      </c>
    </row>
    <row r="14" spans="1:19" x14ac:dyDescent="0.3">
      <c r="A14" t="s">
        <v>156</v>
      </c>
      <c r="B14">
        <v>65</v>
      </c>
      <c r="C14">
        <v>16324.060000000001</v>
      </c>
      <c r="D14">
        <v>22398</v>
      </c>
      <c r="E14" s="10">
        <v>4.161302828466178E-3</v>
      </c>
      <c r="F14" s="7">
        <v>0.79355724839912845</v>
      </c>
      <c r="G14" s="6">
        <v>0.27118224841503702</v>
      </c>
      <c r="H14" t="s">
        <v>173</v>
      </c>
      <c r="I14" s="10">
        <v>1.1163776721514879E-2</v>
      </c>
      <c r="J14" s="11">
        <v>0.55098078349077695</v>
      </c>
      <c r="K14" t="s">
        <v>173</v>
      </c>
      <c r="M14" s="8">
        <v>6.8773620707368779E-3</v>
      </c>
      <c r="N14" s="8">
        <v>0.59115484203218926</v>
      </c>
      <c r="O14" t="s">
        <v>173</v>
      </c>
      <c r="P14" t="str">
        <f t="shared" si="0"/>
        <v>AAA</v>
      </c>
      <c r="Q14" s="6">
        <f>VLOOKUP(A14,xyz!A:AQ,2,FALSE)</f>
        <v>0.81153846153846154</v>
      </c>
      <c r="R14" t="str">
        <f t="shared" si="1"/>
        <v>Z</v>
      </c>
      <c r="S14" t="str">
        <f t="shared" si="2"/>
        <v>AAAZ</v>
      </c>
    </row>
    <row r="15" spans="1:19" x14ac:dyDescent="0.3">
      <c r="A15" t="s">
        <v>72</v>
      </c>
      <c r="B15">
        <v>80</v>
      </c>
      <c r="C15">
        <v>44568.989999999947</v>
      </c>
      <c r="D15">
        <v>58872</v>
      </c>
      <c r="E15" s="10">
        <v>5.121603481189143E-3</v>
      </c>
      <c r="F15" s="7">
        <v>0.70803287226762124</v>
      </c>
      <c r="G15" s="6">
        <v>0.24295097839380442</v>
      </c>
      <c r="H15" t="s">
        <v>173</v>
      </c>
      <c r="I15" s="10">
        <v>2.9343417409993033E-2</v>
      </c>
      <c r="J15" s="11">
        <v>0.15299577690445768</v>
      </c>
      <c r="K15" t="s">
        <v>173</v>
      </c>
      <c r="M15" s="8">
        <v>6.161398298080178E-3</v>
      </c>
      <c r="N15" s="8">
        <v>0.62959591114475455</v>
      </c>
      <c r="O15" t="s">
        <v>174</v>
      </c>
      <c r="P15" t="str">
        <f t="shared" si="0"/>
        <v>AAB</v>
      </c>
      <c r="Q15" s="6">
        <f>VLOOKUP(A15,xyz!A:AQ,2,FALSE)</f>
        <v>0.625</v>
      </c>
      <c r="R15" t="str">
        <f t="shared" si="1"/>
        <v>Z</v>
      </c>
      <c r="S15" t="str">
        <f t="shared" si="2"/>
        <v>AABZ</v>
      </c>
    </row>
    <row r="16" spans="1:19" x14ac:dyDescent="0.3">
      <c r="A16" t="s">
        <v>20</v>
      </c>
      <c r="B16">
        <v>351</v>
      </c>
      <c r="C16">
        <v>7230.2399999999852</v>
      </c>
      <c r="D16">
        <v>9242.35</v>
      </c>
      <c r="E16" s="10">
        <v>2.2471035273717362E-2</v>
      </c>
      <c r="F16" s="7">
        <v>0.11491597810918139</v>
      </c>
      <c r="G16" s="6">
        <v>0.21770545369954775</v>
      </c>
      <c r="H16" t="s">
        <v>173</v>
      </c>
      <c r="I16" s="10">
        <v>4.6066404045938501E-3</v>
      </c>
      <c r="J16" s="11">
        <v>0.79919389138553387</v>
      </c>
      <c r="K16" t="s">
        <v>173</v>
      </c>
      <c r="M16" s="8">
        <v>5.5211550114974686E-3</v>
      </c>
      <c r="N16" s="8">
        <v>0.65820945227977634</v>
      </c>
      <c r="O16" t="s">
        <v>174</v>
      </c>
      <c r="P16" t="str">
        <f t="shared" si="0"/>
        <v>AAB</v>
      </c>
      <c r="Q16" s="6">
        <f>VLOOKUP(A16,xyz!A:AQ,2,FALSE)</f>
        <v>0.41880341880341859</v>
      </c>
      <c r="R16" t="str">
        <f t="shared" si="1"/>
        <v>Z</v>
      </c>
      <c r="S16" t="str">
        <f t="shared" si="2"/>
        <v>AABZ</v>
      </c>
    </row>
    <row r="17" spans="1:19" x14ac:dyDescent="0.3">
      <c r="A17" t="s">
        <v>19</v>
      </c>
      <c r="B17">
        <v>180</v>
      </c>
      <c r="C17">
        <v>14766.000000000025</v>
      </c>
      <c r="D17">
        <v>18583</v>
      </c>
      <c r="E17" s="10">
        <v>1.1523607832675571E-2</v>
      </c>
      <c r="F17" s="7">
        <v>0.32957518401452135</v>
      </c>
      <c r="G17" s="6">
        <v>0.20540278749394472</v>
      </c>
      <c r="H17" t="s">
        <v>173</v>
      </c>
      <c r="I17" s="10">
        <v>9.2622762218015457E-3</v>
      </c>
      <c r="J17" s="11">
        <v>0.6132403458551785</v>
      </c>
      <c r="K17" t="s">
        <v>173</v>
      </c>
      <c r="M17" s="8">
        <v>5.2091512191184876E-3</v>
      </c>
      <c r="N17" s="8">
        <v>0.69556196934785175</v>
      </c>
      <c r="O17" t="s">
        <v>174</v>
      </c>
      <c r="P17" t="str">
        <f t="shared" si="0"/>
        <v>AAB</v>
      </c>
      <c r="Q17" s="6">
        <f>VLOOKUP(A17,xyz!A:AQ,2,FALSE)</f>
        <v>0.44444444444444442</v>
      </c>
      <c r="R17" t="str">
        <f t="shared" si="1"/>
        <v>Z</v>
      </c>
      <c r="S17" t="str">
        <f t="shared" si="2"/>
        <v>AABZ</v>
      </c>
    </row>
    <row r="18" spans="1:19" x14ac:dyDescent="0.3">
      <c r="A18" t="s">
        <v>9</v>
      </c>
      <c r="B18">
        <v>105</v>
      </c>
      <c r="C18">
        <v>8491.7299999999905</v>
      </c>
      <c r="D18">
        <v>10396</v>
      </c>
      <c r="E18" s="10">
        <v>6.7221045690607495E-3</v>
      </c>
      <c r="F18" s="7">
        <v>0.57679498406432528</v>
      </c>
      <c r="G18" s="6">
        <v>0.18317333589842338</v>
      </c>
      <c r="H18" t="s">
        <v>173</v>
      </c>
      <c r="I18" s="10">
        <v>5.1816511651428115E-3</v>
      </c>
      <c r="J18" s="11">
        <v>0.7799647270909662</v>
      </c>
      <c r="K18" t="s">
        <v>173</v>
      </c>
      <c r="M18" s="8">
        <v>4.6453975510600196E-3</v>
      </c>
      <c r="N18" s="8">
        <v>0.81208579237732947</v>
      </c>
      <c r="O18" t="s">
        <v>174</v>
      </c>
      <c r="P18" t="str">
        <f t="shared" si="0"/>
        <v>AAB</v>
      </c>
      <c r="Q18" s="6">
        <f>VLOOKUP(A18,xyz!A:AQ,2,FALSE)</f>
        <v>1.1000000000000001</v>
      </c>
      <c r="R18" t="str">
        <f t="shared" si="1"/>
        <v>Z</v>
      </c>
      <c r="S18" t="str">
        <f t="shared" si="2"/>
        <v>AABZ</v>
      </c>
    </row>
    <row r="19" spans="1:19" x14ac:dyDescent="0.3">
      <c r="A19" t="s">
        <v>90</v>
      </c>
      <c r="B19">
        <v>87</v>
      </c>
      <c r="C19">
        <v>34177.890000000029</v>
      </c>
      <c r="D19">
        <v>41664</v>
      </c>
      <c r="E19" s="10">
        <v>5.5697437857931929E-3</v>
      </c>
      <c r="F19" s="7">
        <v>0.66027391980553252</v>
      </c>
      <c r="G19" s="6">
        <v>0.17967813940092098</v>
      </c>
      <c r="H19" t="s">
        <v>173</v>
      </c>
      <c r="I19" s="10">
        <v>2.0766478851915168E-2</v>
      </c>
      <c r="J19" s="11">
        <v>0.25078424061107835</v>
      </c>
      <c r="K19" t="s">
        <v>173</v>
      </c>
      <c r="M19" s="8">
        <v>4.5567570446766285E-3</v>
      </c>
      <c r="N19" s="8">
        <v>0.8258345338107661</v>
      </c>
      <c r="O19" t="s">
        <v>174</v>
      </c>
      <c r="P19" t="str">
        <f t="shared" si="0"/>
        <v>AAB</v>
      </c>
      <c r="Q19" s="6">
        <f>VLOOKUP(A19,xyz!A:AQ,2,FALSE)</f>
        <v>0.48448275862068957</v>
      </c>
      <c r="R19" t="str">
        <f t="shared" si="1"/>
        <v>Z</v>
      </c>
      <c r="S19" t="str">
        <f t="shared" si="2"/>
        <v>AABZ</v>
      </c>
    </row>
    <row r="20" spans="1:19" x14ac:dyDescent="0.3">
      <c r="A20" t="s">
        <v>160</v>
      </c>
      <c r="B20">
        <v>140</v>
      </c>
      <c r="C20">
        <v>11362.24</v>
      </c>
      <c r="D20">
        <v>13839</v>
      </c>
      <c r="E20" s="10">
        <v>8.9628060920809993E-3</v>
      </c>
      <c r="F20" s="7">
        <v>0.46158451374857357</v>
      </c>
      <c r="G20" s="6">
        <v>0.17896957872678662</v>
      </c>
      <c r="H20" t="s">
        <v>173</v>
      </c>
      <c r="I20" s="10">
        <v>6.8977366751069033E-3</v>
      </c>
      <c r="J20" s="11">
        <v>0.70947334726311628</v>
      </c>
      <c r="K20" t="s">
        <v>173</v>
      </c>
      <c r="M20" s="8">
        <v>4.5387874750105143E-3</v>
      </c>
      <c r="N20" s="8">
        <v>0.83037332128577657</v>
      </c>
      <c r="O20" t="s">
        <v>174</v>
      </c>
      <c r="P20" t="str">
        <f t="shared" si="0"/>
        <v>AAB</v>
      </c>
      <c r="Q20" s="6">
        <f>VLOOKUP(A20,xyz!A:AQ,2,FALSE)</f>
        <v>1.1785714285714286</v>
      </c>
      <c r="R20" t="str">
        <f t="shared" si="1"/>
        <v>Z</v>
      </c>
      <c r="S20" t="str">
        <f t="shared" si="2"/>
        <v>AABZ</v>
      </c>
    </row>
    <row r="21" spans="1:19" x14ac:dyDescent="0.3">
      <c r="A21" t="s">
        <v>55</v>
      </c>
      <c r="B21">
        <v>102</v>
      </c>
      <c r="C21">
        <v>8022.7300000000041</v>
      </c>
      <c r="D21">
        <v>9768.32</v>
      </c>
      <c r="E21" s="10">
        <v>6.530044438516157E-3</v>
      </c>
      <c r="F21" s="7">
        <v>0.5833250285028414</v>
      </c>
      <c r="G21" s="6">
        <v>0.1786991007665592</v>
      </c>
      <c r="H21" t="s">
        <v>173</v>
      </c>
      <c r="I21" s="10">
        <v>4.8687982598583906E-3</v>
      </c>
      <c r="J21" s="11">
        <v>0.78975649269962378</v>
      </c>
      <c r="K21" t="s">
        <v>173</v>
      </c>
      <c r="M21" s="8">
        <v>4.5319279741563457E-3</v>
      </c>
      <c r="N21" s="8">
        <v>0.83490524925993292</v>
      </c>
      <c r="O21" t="s">
        <v>174</v>
      </c>
      <c r="P21" t="str">
        <f t="shared" si="0"/>
        <v>AAB</v>
      </c>
      <c r="Q21" s="6">
        <f>VLOOKUP(A21,xyz!A:AQ,2,FALSE)</f>
        <v>0.6921568627450978</v>
      </c>
      <c r="R21" t="str">
        <f t="shared" si="1"/>
        <v>Z</v>
      </c>
      <c r="S21" t="str">
        <f t="shared" si="2"/>
        <v>AABZ</v>
      </c>
    </row>
    <row r="22" spans="1:19" x14ac:dyDescent="0.3">
      <c r="A22" t="s">
        <v>7</v>
      </c>
      <c r="B22">
        <v>236</v>
      </c>
      <c r="C22">
        <v>20956.410000000047</v>
      </c>
      <c r="D22">
        <v>25401</v>
      </c>
      <c r="E22" s="10">
        <v>1.5108730269507971E-2</v>
      </c>
      <c r="F22" s="7">
        <v>0.23860270217989921</v>
      </c>
      <c r="G22" s="6">
        <v>0.17497696941065127</v>
      </c>
      <c r="H22" t="s">
        <v>173</v>
      </c>
      <c r="I22" s="10">
        <v>1.2660554179087393E-2</v>
      </c>
      <c r="J22" s="11">
        <v>0.51579647491015201</v>
      </c>
      <c r="K22" t="s">
        <v>173</v>
      </c>
      <c r="M22" s="8">
        <v>4.4375322489234609E-3</v>
      </c>
      <c r="N22" s="8">
        <v>0.84829264077512423</v>
      </c>
      <c r="O22" t="s">
        <v>174</v>
      </c>
      <c r="P22" t="str">
        <f t="shared" si="0"/>
        <v>AAB</v>
      </c>
      <c r="Q22" s="6">
        <f>VLOOKUP(A22,xyz!A:AQ,2,FALSE)</f>
        <v>0.62627118644067781</v>
      </c>
      <c r="R22" t="str">
        <f t="shared" si="1"/>
        <v>Z</v>
      </c>
      <c r="S22" t="str">
        <f t="shared" si="2"/>
        <v>AABZ</v>
      </c>
    </row>
    <row r="23" spans="1:19" x14ac:dyDescent="0.3">
      <c r="A23" t="s">
        <v>98</v>
      </c>
      <c r="B23">
        <v>118</v>
      </c>
      <c r="C23">
        <v>13213.869999999997</v>
      </c>
      <c r="D23">
        <v>15939</v>
      </c>
      <c r="E23" s="10">
        <v>7.5543651347539853E-3</v>
      </c>
      <c r="F23" s="7">
        <v>0.53386314288325731</v>
      </c>
      <c r="G23" s="6">
        <v>0.17097245749419679</v>
      </c>
      <c r="H23" t="s">
        <v>173</v>
      </c>
      <c r="I23" s="10">
        <v>7.9444341978848858E-3</v>
      </c>
      <c r="J23" s="11">
        <v>0.66594540900224075</v>
      </c>
      <c r="K23" t="s">
        <v>173</v>
      </c>
      <c r="M23" s="8">
        <v>4.3359751649808282E-3</v>
      </c>
      <c r="N23" s="8">
        <v>0.86138411924848413</v>
      </c>
      <c r="O23" t="s">
        <v>174</v>
      </c>
      <c r="P23" t="str">
        <f t="shared" si="0"/>
        <v>AAB</v>
      </c>
      <c r="Q23" s="6">
        <f>VLOOKUP(A23,xyz!A:AQ,2,FALSE)</f>
        <v>0.66016949152542359</v>
      </c>
      <c r="R23" t="str">
        <f t="shared" si="1"/>
        <v>Z</v>
      </c>
      <c r="S23" t="str">
        <f t="shared" si="2"/>
        <v>AABZ</v>
      </c>
    </row>
    <row r="24" spans="1:19" x14ac:dyDescent="0.3">
      <c r="A24" t="s">
        <v>52</v>
      </c>
      <c r="B24">
        <v>72</v>
      </c>
      <c r="C24">
        <v>14937.049999999996</v>
      </c>
      <c r="D24">
        <v>17955.86</v>
      </c>
      <c r="E24" s="10">
        <v>4.609443133070228E-3</v>
      </c>
      <c r="F24" s="7">
        <v>0.74163699310857356</v>
      </c>
      <c r="G24" s="6">
        <v>0.16812394393807953</v>
      </c>
      <c r="H24" t="s">
        <v>173</v>
      </c>
      <c r="I24" s="10">
        <v>8.9496924673086956E-3</v>
      </c>
      <c r="J24" s="11">
        <v>0.64047504157731772</v>
      </c>
      <c r="K24" t="s">
        <v>173</v>
      </c>
      <c r="M24" s="8">
        <v>4.2637349678317938E-3</v>
      </c>
      <c r="N24" s="8">
        <v>0.87426397505568854</v>
      </c>
      <c r="O24" t="s">
        <v>174</v>
      </c>
      <c r="P24" t="str">
        <f t="shared" si="0"/>
        <v>AAB</v>
      </c>
      <c r="Q24" s="6">
        <f>VLOOKUP(A24,xyz!A:AQ,2,FALSE)</f>
        <v>0.56666666666666665</v>
      </c>
      <c r="R24" t="str">
        <f t="shared" si="1"/>
        <v>Z</v>
      </c>
      <c r="S24" t="str">
        <f t="shared" si="2"/>
        <v>AABZ</v>
      </c>
    </row>
    <row r="25" spans="1:19" x14ac:dyDescent="0.3">
      <c r="A25" t="s">
        <v>25</v>
      </c>
      <c r="B25">
        <v>225</v>
      </c>
      <c r="C25">
        <v>33284.620000000112</v>
      </c>
      <c r="D25">
        <v>39989.769999999997</v>
      </c>
      <c r="E25" s="10">
        <v>1.4404509790844464E-2</v>
      </c>
      <c r="F25" s="7">
        <v>0.26753976184861783</v>
      </c>
      <c r="G25" s="6">
        <v>0.16767163201988622</v>
      </c>
      <c r="H25" t="s">
        <v>173</v>
      </c>
      <c r="I25" s="10">
        <v>1.993199675974346E-2</v>
      </c>
      <c r="J25" s="11">
        <v>0.31079578080016612</v>
      </c>
      <c r="K25" t="s">
        <v>173</v>
      </c>
      <c r="M25" s="8">
        <v>4.2522640369411996E-3</v>
      </c>
      <c r="N25" s="8">
        <v>0.88703533598680018</v>
      </c>
      <c r="O25" t="s">
        <v>174</v>
      </c>
      <c r="P25" t="str">
        <f t="shared" si="0"/>
        <v>AAB</v>
      </c>
      <c r="Q25" s="6">
        <f>VLOOKUP(A25,xyz!A:AQ,2,FALSE)</f>
        <v>0.38333333333333336</v>
      </c>
      <c r="R25" t="str">
        <f t="shared" si="1"/>
        <v>Z</v>
      </c>
      <c r="S25" t="str">
        <f t="shared" si="2"/>
        <v>AABZ</v>
      </c>
    </row>
    <row r="26" spans="1:19" x14ac:dyDescent="0.3">
      <c r="A26" t="s">
        <v>30</v>
      </c>
      <c r="B26">
        <v>82</v>
      </c>
      <c r="C26">
        <v>12809.300000000016</v>
      </c>
      <c r="D26">
        <v>15284</v>
      </c>
      <c r="E26" s="10">
        <v>5.2496435682188713E-3</v>
      </c>
      <c r="F26" s="7">
        <v>0.69254002173702411</v>
      </c>
      <c r="G26" s="6">
        <v>0.16191442030881867</v>
      </c>
      <c r="H26" t="s">
        <v>173</v>
      </c>
      <c r="I26" s="10">
        <v>7.6179642562565148E-3</v>
      </c>
      <c r="J26" s="11">
        <v>0.68137350619566184</v>
      </c>
      <c r="K26" t="s">
        <v>173</v>
      </c>
      <c r="M26" s="8">
        <v>4.1062573212128899E-3</v>
      </c>
      <c r="N26" s="8">
        <v>0.916391896277719</v>
      </c>
      <c r="O26" t="s">
        <v>175</v>
      </c>
      <c r="P26" t="str">
        <f t="shared" si="0"/>
        <v>AAC</v>
      </c>
      <c r="Q26" s="6">
        <f>VLOOKUP(A26,xyz!A:AQ,2,FALSE)</f>
        <v>0.56707317073170727</v>
      </c>
      <c r="R26" t="str">
        <f t="shared" si="1"/>
        <v>Z</v>
      </c>
      <c r="S26" t="str">
        <f t="shared" si="2"/>
        <v>AACZ</v>
      </c>
    </row>
    <row r="27" spans="1:19" x14ac:dyDescent="0.3">
      <c r="A27" t="s">
        <v>65</v>
      </c>
      <c r="B27">
        <v>261</v>
      </c>
      <c r="C27">
        <v>47685.419999999918</v>
      </c>
      <c r="D27">
        <v>56782</v>
      </c>
      <c r="E27" s="10">
        <v>1.6709231357379579E-2</v>
      </c>
      <c r="F27" s="7">
        <v>0.22349397191039125</v>
      </c>
      <c r="G27" s="6">
        <v>0.16020182452185697</v>
      </c>
      <c r="H27" t="s">
        <v>173</v>
      </c>
      <c r="I27" s="10">
        <v>2.8301704161133041E-2</v>
      </c>
      <c r="J27" s="11">
        <v>0.18129748106559071</v>
      </c>
      <c r="K27" t="s">
        <v>173</v>
      </c>
      <c r="M27" s="8">
        <v>4.0628247537178083E-3</v>
      </c>
      <c r="N27" s="8">
        <v>0.92452041097952442</v>
      </c>
      <c r="O27" t="s">
        <v>175</v>
      </c>
      <c r="P27" t="str">
        <f t="shared" si="0"/>
        <v>AAC</v>
      </c>
      <c r="Q27" s="6">
        <f>VLOOKUP(A27,xyz!A:AQ,2,FALSE)</f>
        <v>0.52203065134099658</v>
      </c>
      <c r="R27" t="str">
        <f t="shared" si="1"/>
        <v>Z</v>
      </c>
      <c r="S27" t="str">
        <f t="shared" si="2"/>
        <v>AACZ</v>
      </c>
    </row>
    <row r="28" spans="1:19" x14ac:dyDescent="0.3">
      <c r="A28" t="s">
        <v>24</v>
      </c>
      <c r="B28">
        <v>319</v>
      </c>
      <c r="C28">
        <v>31551.8999999999</v>
      </c>
      <c r="D28">
        <v>37411.68</v>
      </c>
      <c r="E28" s="10">
        <v>2.0422393881241705E-2</v>
      </c>
      <c r="F28" s="7">
        <v>0.13533837199042309</v>
      </c>
      <c r="G28" s="6">
        <v>0.15662969425591422</v>
      </c>
      <c r="H28" t="s">
        <v>173</v>
      </c>
      <c r="I28" s="10">
        <v>1.8647006085220279E-2</v>
      </c>
      <c r="J28" s="11">
        <v>0.32944278688538642</v>
      </c>
      <c r="K28" t="s">
        <v>173</v>
      </c>
      <c r="M28" s="8">
        <v>3.9722331558300029E-3</v>
      </c>
      <c r="N28" s="8">
        <v>0.93656301667777342</v>
      </c>
      <c r="O28" t="s">
        <v>175</v>
      </c>
      <c r="P28" t="str">
        <f t="shared" si="0"/>
        <v>AAC</v>
      </c>
      <c r="Q28" s="6">
        <f>VLOOKUP(A28,xyz!A:AQ,2,FALSE)</f>
        <v>0.3918495297805642</v>
      </c>
      <c r="R28" t="str">
        <f t="shared" si="1"/>
        <v>Z</v>
      </c>
      <c r="S28" t="str">
        <f t="shared" si="2"/>
        <v>AACZ</v>
      </c>
    </row>
    <row r="29" spans="1:19" x14ac:dyDescent="0.3">
      <c r="A29" t="s">
        <v>5</v>
      </c>
      <c r="B29">
        <v>164</v>
      </c>
      <c r="C29">
        <v>22707.250000000007</v>
      </c>
      <c r="D29">
        <v>26881</v>
      </c>
      <c r="E29" s="10">
        <v>1.0499287136437743E-2</v>
      </c>
      <c r="F29" s="7">
        <v>0.39538778875420388</v>
      </c>
      <c r="G29" s="6">
        <v>0.15526766117331917</v>
      </c>
      <c r="H29" t="s">
        <v>173</v>
      </c>
      <c r="I29" s="10">
        <v>1.3398226718949972E-2</v>
      </c>
      <c r="J29" s="11">
        <v>0.48988672380226256</v>
      </c>
      <c r="K29" t="s">
        <v>173</v>
      </c>
      <c r="M29" s="8">
        <v>3.9376910915316357E-3</v>
      </c>
      <c r="N29" s="8">
        <v>0.94050070776930506</v>
      </c>
      <c r="O29" t="s">
        <v>175</v>
      </c>
      <c r="P29" t="str">
        <f t="shared" si="0"/>
        <v>AAC</v>
      </c>
      <c r="Q29" s="6">
        <f>VLOOKUP(A29,xyz!A:AQ,2,FALSE)</f>
        <v>0.46951219512195114</v>
      </c>
      <c r="R29" t="str">
        <f t="shared" si="1"/>
        <v>Z</v>
      </c>
      <c r="S29" t="str">
        <f t="shared" si="2"/>
        <v>AACZ</v>
      </c>
    </row>
    <row r="30" spans="1:19" x14ac:dyDescent="0.3">
      <c r="A30" t="s">
        <v>131</v>
      </c>
      <c r="B30">
        <v>68</v>
      </c>
      <c r="C30">
        <v>24475.96</v>
      </c>
      <c r="D30">
        <v>28869</v>
      </c>
      <c r="E30" s="10">
        <v>4.3533629590107713E-3</v>
      </c>
      <c r="F30" s="7">
        <v>0.76833335125427193</v>
      </c>
      <c r="G30" s="6">
        <v>0.15217153347881815</v>
      </c>
      <c r="H30" t="s">
        <v>173</v>
      </c>
      <c r="I30" s="10">
        <v>1.4389100373846463E-2</v>
      </c>
      <c r="J30" s="11">
        <v>0.47648849708331259</v>
      </c>
      <c r="K30" t="s">
        <v>173</v>
      </c>
      <c r="M30" s="8">
        <v>3.8591712352476406E-3</v>
      </c>
      <c r="N30" s="8">
        <v>0.95602466922236884</v>
      </c>
      <c r="O30" t="s">
        <v>175</v>
      </c>
      <c r="P30" t="str">
        <f t="shared" si="0"/>
        <v>AAC</v>
      </c>
      <c r="Q30" s="6">
        <f>VLOOKUP(A30,xyz!A:AQ,2,FALSE)</f>
        <v>0.67647058823529405</v>
      </c>
      <c r="R30" t="str">
        <f t="shared" si="1"/>
        <v>Z</v>
      </c>
      <c r="S30" t="str">
        <f t="shared" si="2"/>
        <v>AACZ</v>
      </c>
    </row>
    <row r="31" spans="1:19" x14ac:dyDescent="0.3">
      <c r="A31" t="s">
        <v>66</v>
      </c>
      <c r="B31">
        <v>276</v>
      </c>
      <c r="C31">
        <v>8445.2700000000023</v>
      </c>
      <c r="D31">
        <v>9877</v>
      </c>
      <c r="E31" s="10">
        <v>1.7669532010102542E-2</v>
      </c>
      <c r="F31" s="7">
        <v>0.17195783688092547</v>
      </c>
      <c r="G31" s="6">
        <v>0.144955958286929</v>
      </c>
      <c r="H31" t="s">
        <v>173</v>
      </c>
      <c r="I31" s="10">
        <v>4.9229673487991097E-3</v>
      </c>
      <c r="J31" s="11">
        <v>0.78488769443976536</v>
      </c>
      <c r="K31" t="s">
        <v>173</v>
      </c>
      <c r="M31" s="8">
        <v>3.6761794522925115E-3</v>
      </c>
      <c r="N31" s="8">
        <v>0.97102669564448718</v>
      </c>
      <c r="O31" t="s">
        <v>175</v>
      </c>
      <c r="P31" t="str">
        <f t="shared" si="0"/>
        <v>AAC</v>
      </c>
      <c r="Q31" s="6">
        <f>VLOOKUP(A31,xyz!A:AQ,2,FALSE)</f>
        <v>0.58550724637681173</v>
      </c>
      <c r="R31" t="str">
        <f t="shared" si="1"/>
        <v>Z</v>
      </c>
      <c r="S31" t="str">
        <f t="shared" si="2"/>
        <v>AACZ</v>
      </c>
    </row>
    <row r="32" spans="1:19" x14ac:dyDescent="0.3">
      <c r="A32" t="s">
        <v>57</v>
      </c>
      <c r="B32">
        <v>131</v>
      </c>
      <c r="C32">
        <v>31086.720000000001</v>
      </c>
      <c r="D32">
        <v>36183.32</v>
      </c>
      <c r="E32" s="10">
        <v>8.386625700447221E-3</v>
      </c>
      <c r="F32" s="7">
        <v>0.47867786536704232</v>
      </c>
      <c r="G32" s="6">
        <v>0.14085495747764434</v>
      </c>
      <c r="H32" t="s">
        <v>173</v>
      </c>
      <c r="I32" s="10">
        <v>1.8034757814230008E-2</v>
      </c>
      <c r="J32" s="11">
        <v>0.34747754469961645</v>
      </c>
      <c r="K32" t="s">
        <v>173</v>
      </c>
      <c r="M32" s="8">
        <v>3.5721753458929288E-3</v>
      </c>
      <c r="N32" s="8">
        <v>0.98189106694046091</v>
      </c>
      <c r="O32" t="s">
        <v>175</v>
      </c>
      <c r="P32" t="str">
        <f t="shared" si="0"/>
        <v>AAC</v>
      </c>
      <c r="Q32" s="6">
        <f>VLOOKUP(A32,xyz!A:AQ,2,FALSE)</f>
        <v>0.55458015267175564</v>
      </c>
      <c r="R32" t="str">
        <f t="shared" si="1"/>
        <v>Z</v>
      </c>
      <c r="S32" t="str">
        <f t="shared" si="2"/>
        <v>AACZ</v>
      </c>
    </row>
    <row r="33" spans="1:19" x14ac:dyDescent="0.3">
      <c r="A33" t="s">
        <v>34</v>
      </c>
      <c r="B33">
        <v>83</v>
      </c>
      <c r="C33">
        <v>16796.87999999999</v>
      </c>
      <c r="D33">
        <v>19440</v>
      </c>
      <c r="E33" s="10">
        <v>5.3136636117337354E-3</v>
      </c>
      <c r="F33" s="7">
        <v>0.68729037816880523</v>
      </c>
      <c r="G33" s="6">
        <v>0.13596296296296348</v>
      </c>
      <c r="H33" t="s">
        <v>173</v>
      </c>
      <c r="I33" s="10">
        <v>9.6894284965733223E-3</v>
      </c>
      <c r="J33" s="11">
        <v>0.60397806963337697</v>
      </c>
      <c r="K33" t="s">
        <v>173</v>
      </c>
      <c r="M33" s="8">
        <v>3.4481111133623844E-3</v>
      </c>
      <c r="N33" s="8">
        <v>0.9888709223865646</v>
      </c>
      <c r="O33" t="s">
        <v>175</v>
      </c>
      <c r="P33" t="str">
        <f t="shared" si="0"/>
        <v>AAC</v>
      </c>
      <c r="Q33" s="6">
        <f>VLOOKUP(A33,xyz!A:AQ,2,FALSE)</f>
        <v>0.6180722891566266</v>
      </c>
      <c r="R33" t="str">
        <f t="shared" si="1"/>
        <v>Z</v>
      </c>
      <c r="S33" t="str">
        <f t="shared" si="2"/>
        <v>AACZ</v>
      </c>
    </row>
    <row r="34" spans="1:19" x14ac:dyDescent="0.3">
      <c r="A34" t="s">
        <v>146</v>
      </c>
      <c r="B34">
        <v>73</v>
      </c>
      <c r="C34">
        <v>29788.920000000031</v>
      </c>
      <c r="D34">
        <v>33553</v>
      </c>
      <c r="E34" s="10">
        <v>4.673463176585093E-3</v>
      </c>
      <c r="F34" s="7">
        <v>0.72775744767455097</v>
      </c>
      <c r="G34" s="6">
        <v>0.11218311328346106</v>
      </c>
      <c r="H34" t="s">
        <v>173</v>
      </c>
      <c r="I34" s="10">
        <v>1.6723734277033161E-2</v>
      </c>
      <c r="J34" s="11">
        <v>0.41663285002955774</v>
      </c>
      <c r="K34" t="s">
        <v>173</v>
      </c>
      <c r="M34" s="8">
        <v>2.8450383193668978E-3</v>
      </c>
      <c r="N34" s="8">
        <v>0.99492908299690486</v>
      </c>
      <c r="O34" t="s">
        <v>175</v>
      </c>
      <c r="P34" t="str">
        <f t="shared" ref="P34:P65" si="3">H34&amp;K34&amp;O34</f>
        <v>AAC</v>
      </c>
      <c r="Q34" s="6">
        <f>VLOOKUP(A34,xyz!A:AQ,2,FALSE)</f>
        <v>0.60821917808219172</v>
      </c>
      <c r="R34" t="str">
        <f t="shared" si="1"/>
        <v>Z</v>
      </c>
      <c r="S34" t="str">
        <f t="shared" si="2"/>
        <v>AACZ</v>
      </c>
    </row>
    <row r="35" spans="1:19" x14ac:dyDescent="0.3">
      <c r="A35" t="s">
        <v>23</v>
      </c>
      <c r="B35">
        <v>191</v>
      </c>
      <c r="C35">
        <v>21445.23999999998</v>
      </c>
      <c r="D35">
        <v>24020.639999999999</v>
      </c>
      <c r="E35" s="10">
        <v>1.2227828311339077E-2</v>
      </c>
      <c r="F35" s="7">
        <v>0.30607982804456613</v>
      </c>
      <c r="G35" s="6">
        <v>0.10721612746371537</v>
      </c>
      <c r="H35" t="s">
        <v>173</v>
      </c>
      <c r="I35" s="10">
        <v>1.1972544944543672E-2</v>
      </c>
      <c r="J35" s="11">
        <v>0.53981700676926203</v>
      </c>
      <c r="K35" t="s">
        <v>173</v>
      </c>
      <c r="M35" s="8">
        <v>2.7190722574942697E-3</v>
      </c>
      <c r="N35" s="8">
        <v>0.99764815525439909</v>
      </c>
      <c r="O35" t="s">
        <v>175</v>
      </c>
      <c r="P35" t="str">
        <f t="shared" si="3"/>
        <v>AAC</v>
      </c>
      <c r="Q35" s="6">
        <f>VLOOKUP(A35,xyz!A:AQ,2,FALSE)</f>
        <v>0.39502617801047135</v>
      </c>
      <c r="R35" t="str">
        <f t="shared" si="1"/>
        <v>Z</v>
      </c>
      <c r="S35" t="str">
        <f t="shared" si="2"/>
        <v>AACZ</v>
      </c>
    </row>
    <row r="36" spans="1:19" x14ac:dyDescent="0.3">
      <c r="A36" t="s">
        <v>91</v>
      </c>
      <c r="B36">
        <v>97.95</v>
      </c>
      <c r="C36">
        <v>3180.7400000000025</v>
      </c>
      <c r="D36">
        <v>5289</v>
      </c>
      <c r="E36" s="10">
        <v>6.2707632622809569E-3</v>
      </c>
      <c r="F36" s="7">
        <v>0.60246382051161007</v>
      </c>
      <c r="G36" s="6">
        <v>0.39861221402911656</v>
      </c>
      <c r="H36" t="s">
        <v>173</v>
      </c>
      <c r="I36" s="10">
        <v>2.6361824752251183E-3</v>
      </c>
      <c r="J36" s="11">
        <v>0.91056594197384089</v>
      </c>
      <c r="K36" t="s">
        <v>174</v>
      </c>
      <c r="M36" s="8">
        <v>1.0109070699571227E-2</v>
      </c>
      <c r="N36" s="8">
        <v>7.2990068958613166E-2</v>
      </c>
      <c r="O36" t="s">
        <v>173</v>
      </c>
      <c r="P36" t="str">
        <f t="shared" si="3"/>
        <v>ABA</v>
      </c>
      <c r="Q36" s="6">
        <f>VLOOKUP(A36,xyz!A:AQ,2,FALSE)</f>
        <v>0.47618683001531364</v>
      </c>
      <c r="R36" t="str">
        <f t="shared" si="1"/>
        <v>Z</v>
      </c>
      <c r="S36" t="str">
        <f t="shared" si="2"/>
        <v>ABAZ</v>
      </c>
    </row>
    <row r="37" spans="1:19" x14ac:dyDescent="0.3">
      <c r="A37" t="s">
        <v>138</v>
      </c>
      <c r="B37">
        <v>108</v>
      </c>
      <c r="C37">
        <v>3423.6000000000004</v>
      </c>
      <c r="D37">
        <v>5580</v>
      </c>
      <c r="E37" s="10">
        <v>6.9141646996053428E-3</v>
      </c>
      <c r="F37" s="7">
        <v>0.57007287949526453</v>
      </c>
      <c r="G37" s="6">
        <v>0.38645161290322572</v>
      </c>
      <c r="H37" t="s">
        <v>173</v>
      </c>
      <c r="I37" s="10">
        <v>2.7812248462386387E-3</v>
      </c>
      <c r="J37" s="11">
        <v>0.89718914763273827</v>
      </c>
      <c r="K37" t="s">
        <v>174</v>
      </c>
      <c r="M37" s="8">
        <v>9.8006697720423568E-3</v>
      </c>
      <c r="N37" s="8">
        <v>0.16229744477241068</v>
      </c>
      <c r="O37" t="s">
        <v>173</v>
      </c>
      <c r="P37" t="str">
        <f t="shared" si="3"/>
        <v>ABA</v>
      </c>
      <c r="Q37" s="6">
        <f>VLOOKUP(A37,xyz!A:AQ,2,FALSE)</f>
        <v>0.78148148148148155</v>
      </c>
      <c r="R37" t="str">
        <f t="shared" si="1"/>
        <v>Z</v>
      </c>
      <c r="S37" t="str">
        <f t="shared" si="2"/>
        <v>ABAZ</v>
      </c>
    </row>
    <row r="38" spans="1:19" x14ac:dyDescent="0.3">
      <c r="A38" t="s">
        <v>45</v>
      </c>
      <c r="B38">
        <v>273</v>
      </c>
      <c r="C38">
        <v>4185.1800000000039</v>
      </c>
      <c r="D38">
        <v>6797</v>
      </c>
      <c r="E38" s="10">
        <v>1.7477471879557949E-2</v>
      </c>
      <c r="F38" s="7">
        <v>0.18943530876048342</v>
      </c>
      <c r="G38" s="6">
        <v>0.38426070325143385</v>
      </c>
      <c r="H38" t="s">
        <v>173</v>
      </c>
      <c r="I38" s="10">
        <v>3.3878109820580692E-3</v>
      </c>
      <c r="J38" s="11">
        <v>0.86296345947048647</v>
      </c>
      <c r="K38" t="s">
        <v>174</v>
      </c>
      <c r="M38" s="8">
        <v>9.7451068470068517E-3</v>
      </c>
      <c r="N38" s="8">
        <v>0.17204255161941753</v>
      </c>
      <c r="O38" t="s">
        <v>173</v>
      </c>
      <c r="P38" t="str">
        <f t="shared" si="3"/>
        <v>ABA</v>
      </c>
      <c r="Q38" s="6">
        <f>VLOOKUP(A38,xyz!A:AQ,2,FALSE)</f>
        <v>0.61391941391941396</v>
      </c>
      <c r="R38" t="str">
        <f t="shared" si="1"/>
        <v>Z</v>
      </c>
      <c r="S38" t="str">
        <f t="shared" si="2"/>
        <v>ABAZ</v>
      </c>
    </row>
    <row r="39" spans="1:19" x14ac:dyDescent="0.3">
      <c r="A39" t="s">
        <v>124</v>
      </c>
      <c r="B39">
        <v>88</v>
      </c>
      <c r="C39">
        <v>3272.9099999999985</v>
      </c>
      <c r="D39">
        <v>5311</v>
      </c>
      <c r="E39" s="10">
        <v>5.6337638293080571E-3</v>
      </c>
      <c r="F39" s="7">
        <v>0.64350066840463804</v>
      </c>
      <c r="G39" s="6">
        <v>0.38374882319713832</v>
      </c>
      <c r="H39" t="s">
        <v>173</v>
      </c>
      <c r="I39" s="10">
        <v>2.647147877844697E-3</v>
      </c>
      <c r="J39" s="11">
        <v>0.90528560218512188</v>
      </c>
      <c r="K39" t="s">
        <v>174</v>
      </c>
      <c r="M39" s="8">
        <v>9.7321252285906233E-3</v>
      </c>
      <c r="N39" s="8">
        <v>0.18177467684800816</v>
      </c>
      <c r="O39" t="s">
        <v>173</v>
      </c>
      <c r="P39" t="str">
        <f t="shared" si="3"/>
        <v>ABA</v>
      </c>
      <c r="Q39" s="6">
        <f>VLOOKUP(A39,xyz!A:AQ,2,FALSE)</f>
        <v>0.64090909090909098</v>
      </c>
      <c r="R39" t="str">
        <f t="shared" si="1"/>
        <v>Z</v>
      </c>
      <c r="S39" t="str">
        <f t="shared" si="2"/>
        <v>ABAZ</v>
      </c>
    </row>
    <row r="40" spans="1:19" x14ac:dyDescent="0.3">
      <c r="A40" t="s">
        <v>22</v>
      </c>
      <c r="B40">
        <v>88</v>
      </c>
      <c r="C40">
        <v>2484.6000000000004</v>
      </c>
      <c r="D40">
        <v>4026</v>
      </c>
      <c r="E40" s="10">
        <v>5.6337638293080571E-3</v>
      </c>
      <c r="F40" s="7">
        <v>0.64913443223394607</v>
      </c>
      <c r="G40" s="6">
        <v>0.38286140089418769</v>
      </c>
      <c r="H40" t="s">
        <v>173</v>
      </c>
      <c r="I40" s="10">
        <v>2.0066686793829315E-3</v>
      </c>
      <c r="J40" s="11">
        <v>0.94698920647508233</v>
      </c>
      <c r="K40" t="s">
        <v>174</v>
      </c>
      <c r="M40" s="8">
        <v>9.7096196091309827E-3</v>
      </c>
      <c r="N40" s="8">
        <v>0.20120994913116694</v>
      </c>
      <c r="O40" t="s">
        <v>173</v>
      </c>
      <c r="P40" t="str">
        <f t="shared" si="3"/>
        <v>ABA</v>
      </c>
      <c r="Q40" s="6">
        <f>VLOOKUP(A40,xyz!A:AQ,2,FALSE)</f>
        <v>0.88181818181818172</v>
      </c>
      <c r="R40" t="str">
        <f t="shared" si="1"/>
        <v>Z</v>
      </c>
      <c r="S40" t="str">
        <f t="shared" si="2"/>
        <v>ABAZ</v>
      </c>
    </row>
    <row r="41" spans="1:19" x14ac:dyDescent="0.3">
      <c r="A41" t="s">
        <v>85</v>
      </c>
      <c r="B41">
        <v>165</v>
      </c>
      <c r="C41">
        <v>2645.2</v>
      </c>
      <c r="D41">
        <v>4177</v>
      </c>
      <c r="E41" s="10">
        <v>1.0563307179952606E-2</v>
      </c>
      <c r="F41" s="7">
        <v>0.38488850161776617</v>
      </c>
      <c r="G41" s="6">
        <v>0.36672252813023704</v>
      </c>
      <c r="H41" t="s">
        <v>173</v>
      </c>
      <c r="I41" s="10">
        <v>2.0819312155445865E-3</v>
      </c>
      <c r="J41" s="11">
        <v>0.94296041786717066</v>
      </c>
      <c r="K41" t="s">
        <v>174</v>
      </c>
      <c r="M41" s="8">
        <v>9.3003270685611018E-3</v>
      </c>
      <c r="N41" s="8">
        <v>0.22968963193829789</v>
      </c>
      <c r="O41" t="s">
        <v>173</v>
      </c>
      <c r="P41" t="str">
        <f t="shared" si="3"/>
        <v>ABA</v>
      </c>
      <c r="Q41" s="6">
        <f>VLOOKUP(A41,xyz!A:AQ,2,FALSE)</f>
        <v>0.61515151515151523</v>
      </c>
      <c r="R41" t="str">
        <f t="shared" si="1"/>
        <v>Z</v>
      </c>
      <c r="S41" t="str">
        <f t="shared" si="2"/>
        <v>ABAZ</v>
      </c>
    </row>
    <row r="42" spans="1:19" x14ac:dyDescent="0.3">
      <c r="A42" t="s">
        <v>38</v>
      </c>
      <c r="B42">
        <v>100</v>
      </c>
      <c r="C42">
        <v>2673.3099999999972</v>
      </c>
      <c r="D42">
        <v>4190</v>
      </c>
      <c r="E42" s="10">
        <v>6.4020043514864278E-3</v>
      </c>
      <c r="F42" s="7">
        <v>0.59619305724932914</v>
      </c>
      <c r="G42" s="6">
        <v>0.36197852028639682</v>
      </c>
      <c r="H42" t="s">
        <v>173</v>
      </c>
      <c r="I42" s="10">
        <v>2.0884107716379742E-3</v>
      </c>
      <c r="J42" s="11">
        <v>0.9408784866516261</v>
      </c>
      <c r="K42" t="s">
        <v>174</v>
      </c>
      <c r="M42" s="8">
        <v>9.1800158763676847E-3</v>
      </c>
      <c r="N42" s="8">
        <v>0.24806308401687793</v>
      </c>
      <c r="O42" t="s">
        <v>173</v>
      </c>
      <c r="P42" t="str">
        <f t="shared" si="3"/>
        <v>ABA</v>
      </c>
      <c r="Q42" s="6">
        <f>VLOOKUP(A42,xyz!A:AQ,2,FALSE)</f>
        <v>1.19</v>
      </c>
      <c r="R42" t="str">
        <f t="shared" si="1"/>
        <v>Z</v>
      </c>
      <c r="S42" t="str">
        <f t="shared" si="2"/>
        <v>ABAZ</v>
      </c>
    </row>
    <row r="43" spans="1:19" x14ac:dyDescent="0.3">
      <c r="A43" t="s">
        <v>103</v>
      </c>
      <c r="B43">
        <v>86</v>
      </c>
      <c r="C43">
        <v>3540.8600000000015</v>
      </c>
      <c r="D43">
        <v>5540</v>
      </c>
      <c r="E43" s="10">
        <v>5.5057237422783279E-3</v>
      </c>
      <c r="F43" s="7">
        <v>0.66577964354781083</v>
      </c>
      <c r="G43" s="6">
        <v>0.36085559566786979</v>
      </c>
      <c r="H43" t="s">
        <v>173</v>
      </c>
      <c r="I43" s="10">
        <v>2.7612877505666768E-3</v>
      </c>
      <c r="J43" s="11">
        <v>0.89995043538330499</v>
      </c>
      <c r="K43" t="s">
        <v>174</v>
      </c>
      <c r="M43" s="8">
        <v>9.1515377616500308E-3</v>
      </c>
      <c r="N43" s="8">
        <v>0.26636790868909921</v>
      </c>
      <c r="O43" t="s">
        <v>173</v>
      </c>
      <c r="P43" t="str">
        <f t="shared" si="3"/>
        <v>ABA</v>
      </c>
      <c r="Q43" s="6">
        <f>VLOOKUP(A43,xyz!A:AQ,2,FALSE)</f>
        <v>0.87441860465116272</v>
      </c>
      <c r="R43" t="str">
        <f t="shared" si="1"/>
        <v>Z</v>
      </c>
      <c r="S43" t="str">
        <f t="shared" si="2"/>
        <v>ABAZ</v>
      </c>
    </row>
    <row r="44" spans="1:19" x14ac:dyDescent="0.3">
      <c r="A44" t="s">
        <v>35</v>
      </c>
      <c r="B44">
        <v>121</v>
      </c>
      <c r="C44">
        <v>4097.9699999999966</v>
      </c>
      <c r="D44">
        <v>6351</v>
      </c>
      <c r="E44" s="10">
        <v>7.7464252652985786E-3</v>
      </c>
      <c r="F44" s="7">
        <v>0.51875441260734734</v>
      </c>
      <c r="G44" s="6">
        <v>0.35475200755786546</v>
      </c>
      <c r="H44" t="s">
        <v>173</v>
      </c>
      <c r="I44" s="10">
        <v>3.1655123653156979E-3</v>
      </c>
      <c r="J44" s="11">
        <v>0.88543922029846778</v>
      </c>
      <c r="K44" t="s">
        <v>174</v>
      </c>
      <c r="M44" s="8">
        <v>8.9967467102132857E-3</v>
      </c>
      <c r="N44" s="8">
        <v>0.34791173111800588</v>
      </c>
      <c r="O44" t="s">
        <v>173</v>
      </c>
      <c r="P44" t="str">
        <f t="shared" si="3"/>
        <v>ABA</v>
      </c>
      <c r="Q44" s="6">
        <f>VLOOKUP(A44,xyz!A:AQ,2,FALSE)</f>
        <v>0.58801652892561984</v>
      </c>
      <c r="R44" t="str">
        <f t="shared" si="1"/>
        <v>Z</v>
      </c>
      <c r="S44" t="str">
        <f t="shared" si="2"/>
        <v>ABAZ</v>
      </c>
    </row>
    <row r="45" spans="1:19" x14ac:dyDescent="0.3">
      <c r="A45" t="s">
        <v>134</v>
      </c>
      <c r="B45">
        <v>158</v>
      </c>
      <c r="C45">
        <v>4440.0699999999915</v>
      </c>
      <c r="D45">
        <v>6877</v>
      </c>
      <c r="E45" s="10">
        <v>1.0115166875348556E-2</v>
      </c>
      <c r="F45" s="7">
        <v>0.40550295562955246</v>
      </c>
      <c r="G45" s="6">
        <v>0.35435945906645461</v>
      </c>
      <c r="H45" t="s">
        <v>173</v>
      </c>
      <c r="I45" s="10">
        <v>3.4276851734019922E-3</v>
      </c>
      <c r="J45" s="11">
        <v>0.85957564848842838</v>
      </c>
      <c r="K45" t="s">
        <v>174</v>
      </c>
      <c r="M45" s="8">
        <v>8.9867914195497813E-3</v>
      </c>
      <c r="N45" s="8">
        <v>0.35689852253755566</v>
      </c>
      <c r="O45" t="s">
        <v>173</v>
      </c>
      <c r="P45" t="str">
        <f t="shared" si="3"/>
        <v>ABA</v>
      </c>
      <c r="Q45" s="6">
        <f>VLOOKUP(A45,xyz!A:AQ,2,FALSE)</f>
        <v>0.65569620253164573</v>
      </c>
      <c r="R45" t="str">
        <f t="shared" si="1"/>
        <v>Z</v>
      </c>
      <c r="S45" t="str">
        <f t="shared" si="2"/>
        <v>ABAZ</v>
      </c>
    </row>
    <row r="46" spans="1:19" x14ac:dyDescent="0.3">
      <c r="A46" t="s">
        <v>100</v>
      </c>
      <c r="B46">
        <v>115</v>
      </c>
      <c r="C46">
        <v>4234.5999999999958</v>
      </c>
      <c r="D46">
        <v>6551</v>
      </c>
      <c r="E46" s="10">
        <v>7.3623050042093928E-3</v>
      </c>
      <c r="F46" s="7">
        <v>0.55605248996550927</v>
      </c>
      <c r="G46" s="6">
        <v>0.35359487101205989</v>
      </c>
      <c r="H46" t="s">
        <v>173</v>
      </c>
      <c r="I46" s="10">
        <v>3.2651978436755058E-3</v>
      </c>
      <c r="J46" s="11">
        <v>0.86950200942996736</v>
      </c>
      <c r="K46" t="s">
        <v>174</v>
      </c>
      <c r="M46" s="8">
        <v>8.967400958279673E-3</v>
      </c>
      <c r="N46" s="8">
        <v>0.38382812016441686</v>
      </c>
      <c r="O46" t="s">
        <v>173</v>
      </c>
      <c r="P46" t="str">
        <f t="shared" si="3"/>
        <v>ABA</v>
      </c>
      <c r="Q46" s="6">
        <f>VLOOKUP(A46,xyz!A:AQ,2,FALSE)</f>
        <v>0.56521739130434778</v>
      </c>
      <c r="R46" t="str">
        <f t="shared" si="1"/>
        <v>Z</v>
      </c>
      <c r="S46" t="str">
        <f t="shared" si="2"/>
        <v>ABAZ</v>
      </c>
    </row>
    <row r="47" spans="1:19" x14ac:dyDescent="0.3">
      <c r="A47" t="s">
        <v>132</v>
      </c>
      <c r="B47">
        <v>69</v>
      </c>
      <c r="C47">
        <v>4075.73</v>
      </c>
      <c r="D47">
        <v>5944</v>
      </c>
      <c r="E47" s="10">
        <v>4.4173830025256355E-3</v>
      </c>
      <c r="F47" s="7">
        <v>0.76397998829526115</v>
      </c>
      <c r="G47" s="6">
        <v>0.31431191117092866</v>
      </c>
      <c r="H47" t="s">
        <v>173</v>
      </c>
      <c r="I47" s="10">
        <v>2.9626524168534889E-3</v>
      </c>
      <c r="J47" s="11">
        <v>0.89147417915837046</v>
      </c>
      <c r="K47" t="s">
        <v>174</v>
      </c>
      <c r="M47" s="8">
        <v>7.9711589858914265E-3</v>
      </c>
      <c r="N47" s="8">
        <v>0.45271869056502151</v>
      </c>
      <c r="O47" t="s">
        <v>173</v>
      </c>
      <c r="P47" t="str">
        <f t="shared" si="3"/>
        <v>ABA</v>
      </c>
      <c r="Q47" s="6">
        <f>VLOOKUP(A47,xyz!A:AQ,2,FALSE)</f>
        <v>0.71811594202898543</v>
      </c>
      <c r="R47" t="str">
        <f t="shared" si="1"/>
        <v>Z</v>
      </c>
      <c r="S47" t="str">
        <f t="shared" si="2"/>
        <v>ABAZ</v>
      </c>
    </row>
    <row r="48" spans="1:19" x14ac:dyDescent="0.3">
      <c r="A48" t="s">
        <v>94</v>
      </c>
      <c r="B48">
        <v>95</v>
      </c>
      <c r="C48">
        <v>3089.19</v>
      </c>
      <c r="D48">
        <v>4248</v>
      </c>
      <c r="E48" s="10">
        <v>6.0819041339121071E-3</v>
      </c>
      <c r="F48" s="7">
        <v>0.60854572464552215</v>
      </c>
      <c r="G48" s="6">
        <v>0.27278954802259886</v>
      </c>
      <c r="H48" t="s">
        <v>173</v>
      </c>
      <c r="I48" s="10">
        <v>2.1173195603623185E-3</v>
      </c>
      <c r="J48" s="11">
        <v>0.93879007587998808</v>
      </c>
      <c r="K48" t="s">
        <v>174</v>
      </c>
      <c r="M48" s="8">
        <v>6.9181242571335266E-3</v>
      </c>
      <c r="N48" s="8">
        <v>0.57045311605234705</v>
      </c>
      <c r="O48" t="s">
        <v>173</v>
      </c>
      <c r="P48" t="str">
        <f t="shared" si="3"/>
        <v>ABA</v>
      </c>
      <c r="Q48" s="6">
        <f>VLOOKUP(A48,xyz!A:AQ,2,FALSE)</f>
        <v>1.3026315789473684</v>
      </c>
      <c r="R48" t="str">
        <f t="shared" si="1"/>
        <v>Z</v>
      </c>
      <c r="S48" t="str">
        <f t="shared" si="2"/>
        <v>ABAZ</v>
      </c>
    </row>
    <row r="49" spans="1:19" x14ac:dyDescent="0.3">
      <c r="A49" t="s">
        <v>31</v>
      </c>
      <c r="B49">
        <v>296</v>
      </c>
      <c r="C49">
        <v>3955.4400000000028</v>
      </c>
      <c r="D49">
        <v>5393</v>
      </c>
      <c r="E49" s="10">
        <v>1.8949932880399829E-2</v>
      </c>
      <c r="F49" s="7">
        <v>0.15428830487082293</v>
      </c>
      <c r="G49" s="6">
        <v>0.26656035601705863</v>
      </c>
      <c r="H49" t="s">
        <v>173</v>
      </c>
      <c r="I49" s="10">
        <v>2.6880189239722181E-3</v>
      </c>
      <c r="J49" s="11">
        <v>0.90263845430727718</v>
      </c>
      <c r="K49" t="s">
        <v>174</v>
      </c>
      <c r="M49" s="8">
        <v>6.7601478074188915E-3</v>
      </c>
      <c r="N49" s="8">
        <v>0.59791498983960811</v>
      </c>
      <c r="O49" t="s">
        <v>173</v>
      </c>
      <c r="P49" t="str">
        <f t="shared" si="3"/>
        <v>ABA</v>
      </c>
      <c r="Q49" s="6">
        <f>VLOOKUP(A49,xyz!A:AQ,2,FALSE)</f>
        <v>0.72972972972972971</v>
      </c>
      <c r="R49" t="str">
        <f t="shared" si="1"/>
        <v>Z</v>
      </c>
      <c r="S49" t="str">
        <f t="shared" si="2"/>
        <v>ABAZ</v>
      </c>
    </row>
    <row r="50" spans="1:19" x14ac:dyDescent="0.3">
      <c r="A50" t="s">
        <v>158</v>
      </c>
      <c r="B50">
        <v>187</v>
      </c>
      <c r="C50">
        <v>5156.4799999999959</v>
      </c>
      <c r="D50">
        <v>6567.3600000000006</v>
      </c>
      <c r="E50" s="10">
        <v>1.1971748137279621E-2</v>
      </c>
      <c r="F50" s="7">
        <v>0.31805157618184576</v>
      </c>
      <c r="G50" s="6">
        <v>0.21483213955074862</v>
      </c>
      <c r="H50" t="s">
        <v>173</v>
      </c>
      <c r="I50" s="10">
        <v>3.2733521158053382E-3</v>
      </c>
      <c r="J50" s="11">
        <v>0.86623681158629184</v>
      </c>
      <c r="K50" t="s">
        <v>174</v>
      </c>
      <c r="M50" s="8">
        <v>5.448285854833426E-3</v>
      </c>
      <c r="N50" s="8">
        <v>0.66365773813460982</v>
      </c>
      <c r="O50" t="s">
        <v>174</v>
      </c>
      <c r="P50" t="str">
        <f t="shared" si="3"/>
        <v>ABB</v>
      </c>
      <c r="Q50" s="6">
        <f>VLOOKUP(A50,xyz!A:AQ,2,FALSE)</f>
        <v>1.1144385026737971</v>
      </c>
      <c r="R50" t="str">
        <f t="shared" si="1"/>
        <v>Z</v>
      </c>
      <c r="S50" t="str">
        <f t="shared" si="2"/>
        <v>ABBZ</v>
      </c>
    </row>
    <row r="51" spans="1:19" x14ac:dyDescent="0.3">
      <c r="A51" t="s">
        <v>37</v>
      </c>
      <c r="B51">
        <v>87</v>
      </c>
      <c r="C51">
        <v>3510.9000000000019</v>
      </c>
      <c r="D51">
        <v>4460</v>
      </c>
      <c r="E51" s="10">
        <v>5.5697437857931929E-3</v>
      </c>
      <c r="F51" s="7">
        <v>0.65470417601973929</v>
      </c>
      <c r="G51" s="6">
        <v>0.21280269058295923</v>
      </c>
      <c r="H51" t="s">
        <v>173</v>
      </c>
      <c r="I51" s="10">
        <v>2.2229861674237148E-3</v>
      </c>
      <c r="J51" s="11">
        <v>0.93454247764707665</v>
      </c>
      <c r="K51" t="s">
        <v>174</v>
      </c>
      <c r="M51" s="8">
        <v>5.3968176800648117E-3</v>
      </c>
      <c r="N51" s="8">
        <v>0.66905455581467466</v>
      </c>
      <c r="O51" t="s">
        <v>174</v>
      </c>
      <c r="P51" t="str">
        <f t="shared" si="3"/>
        <v>ABB</v>
      </c>
      <c r="Q51" s="6">
        <f>VLOOKUP(A51,xyz!A:AQ,2,FALSE)</f>
        <v>1.0471264367816091</v>
      </c>
      <c r="R51" t="str">
        <f t="shared" si="1"/>
        <v>Z</v>
      </c>
      <c r="S51" t="str">
        <f t="shared" si="2"/>
        <v>ABBZ</v>
      </c>
    </row>
    <row r="52" spans="1:19" x14ac:dyDescent="0.3">
      <c r="A52" t="s">
        <v>36</v>
      </c>
      <c r="B52">
        <v>217</v>
      </c>
      <c r="C52">
        <v>5074.170000000001</v>
      </c>
      <c r="D52">
        <v>6439</v>
      </c>
      <c r="E52" s="10">
        <v>1.3892349442725549E-2</v>
      </c>
      <c r="F52" s="7">
        <v>0.28143211129134338</v>
      </c>
      <c r="G52" s="6">
        <v>0.21196303773877917</v>
      </c>
      <c r="H52" t="s">
        <v>173</v>
      </c>
      <c r="I52" s="10">
        <v>3.209373975794013E-3</v>
      </c>
      <c r="J52" s="11">
        <v>0.87271138340576138</v>
      </c>
      <c r="K52" t="s">
        <v>174</v>
      </c>
      <c r="M52" s="8">
        <v>5.3755235258312632E-3</v>
      </c>
      <c r="N52" s="8">
        <v>0.67443007934050592</v>
      </c>
      <c r="O52" t="s">
        <v>174</v>
      </c>
      <c r="P52" t="str">
        <f t="shared" si="3"/>
        <v>ABB</v>
      </c>
      <c r="Q52" s="6">
        <f>VLOOKUP(A52,xyz!A:AQ,2,FALSE)</f>
        <v>0.75368663594470031</v>
      </c>
      <c r="R52" t="str">
        <f t="shared" si="1"/>
        <v>Z</v>
      </c>
      <c r="S52" t="str">
        <f t="shared" si="2"/>
        <v>ABBZ</v>
      </c>
    </row>
    <row r="53" spans="1:19" x14ac:dyDescent="0.3">
      <c r="A53" t="s">
        <v>78</v>
      </c>
      <c r="B53">
        <v>66</v>
      </c>
      <c r="C53">
        <v>4648.8200000000015</v>
      </c>
      <c r="D53">
        <v>5886</v>
      </c>
      <c r="E53" s="10">
        <v>4.225322871981043E-3</v>
      </c>
      <c r="F53" s="7">
        <v>0.78107333991372996</v>
      </c>
      <c r="G53" s="6">
        <v>0.21019028202514414</v>
      </c>
      <c r="H53" t="s">
        <v>173</v>
      </c>
      <c r="I53" s="10">
        <v>2.9337436281291446E-3</v>
      </c>
      <c r="J53" s="11">
        <v>0.89440792278649961</v>
      </c>
      <c r="K53" t="s">
        <v>174</v>
      </c>
      <c r="M53" s="8">
        <v>5.3305652626083099E-3</v>
      </c>
      <c r="N53" s="8">
        <v>0.67976064460311425</v>
      </c>
      <c r="O53" t="s">
        <v>174</v>
      </c>
      <c r="P53" t="str">
        <f t="shared" si="3"/>
        <v>ABB</v>
      </c>
      <c r="Q53" s="6">
        <f>VLOOKUP(A53,xyz!A:AQ,2,FALSE)</f>
        <v>0.65606060606060612</v>
      </c>
      <c r="R53" t="str">
        <f t="shared" si="1"/>
        <v>Z</v>
      </c>
      <c r="S53" t="str">
        <f t="shared" si="2"/>
        <v>ABBZ</v>
      </c>
    </row>
    <row r="54" spans="1:19" x14ac:dyDescent="0.3">
      <c r="A54" t="s">
        <v>104</v>
      </c>
      <c r="B54">
        <v>78</v>
      </c>
      <c r="C54">
        <v>3533.5099999999984</v>
      </c>
      <c r="D54">
        <v>4461</v>
      </c>
      <c r="E54" s="10">
        <v>4.9935633941594138E-3</v>
      </c>
      <c r="F54" s="7">
        <v>0.72308398449796585</v>
      </c>
      <c r="G54" s="6">
        <v>0.20791078233579952</v>
      </c>
      <c r="H54" t="s">
        <v>173</v>
      </c>
      <c r="I54" s="10">
        <v>2.2234845948155136E-3</v>
      </c>
      <c r="J54" s="11">
        <v>0.93231949147965298</v>
      </c>
      <c r="K54" t="s">
        <v>174</v>
      </c>
      <c r="M54" s="8">
        <v>5.2727556353359449E-3</v>
      </c>
      <c r="N54" s="8">
        <v>0.69035281812873328</v>
      </c>
      <c r="O54" t="s">
        <v>174</v>
      </c>
      <c r="P54" t="str">
        <f t="shared" si="3"/>
        <v>ABB</v>
      </c>
      <c r="Q54" s="6">
        <f>VLOOKUP(A54,xyz!A:AQ,2,FALSE)</f>
        <v>0.71794871794871784</v>
      </c>
      <c r="R54" t="str">
        <f t="shared" si="1"/>
        <v>Z</v>
      </c>
      <c r="S54" t="str">
        <f t="shared" si="2"/>
        <v>ABBZ</v>
      </c>
    </row>
    <row r="55" spans="1:19" x14ac:dyDescent="0.3">
      <c r="A55" t="s">
        <v>50</v>
      </c>
      <c r="B55">
        <v>116</v>
      </c>
      <c r="C55">
        <v>5120.6699999999983</v>
      </c>
      <c r="D55">
        <v>6392.99</v>
      </c>
      <c r="E55" s="10">
        <v>7.426325047724257E-3</v>
      </c>
      <c r="F55" s="7">
        <v>0.54128946793098154</v>
      </c>
      <c r="G55" s="6">
        <v>0.19901798688876435</v>
      </c>
      <c r="H55" t="s">
        <v>173</v>
      </c>
      <c r="I55" s="10">
        <v>3.1864413314973395E-3</v>
      </c>
      <c r="J55" s="11">
        <v>0.87908925532694804</v>
      </c>
      <c r="K55" t="s">
        <v>174</v>
      </c>
      <c r="M55" s="8">
        <v>5.0472284318861848E-3</v>
      </c>
      <c r="N55" s="8">
        <v>0.71085775158953124</v>
      </c>
      <c r="O55" t="s">
        <v>174</v>
      </c>
      <c r="P55" t="str">
        <f t="shared" si="3"/>
        <v>ABB</v>
      </c>
      <c r="Q55" s="6">
        <f>VLOOKUP(A55,xyz!A:AQ,2,FALSE)</f>
        <v>0.7206896551724139</v>
      </c>
      <c r="R55" t="str">
        <f t="shared" si="1"/>
        <v>Z</v>
      </c>
      <c r="S55" t="str">
        <f t="shared" si="2"/>
        <v>ABBZ</v>
      </c>
    </row>
    <row r="56" spans="1:19" x14ac:dyDescent="0.3">
      <c r="A56" t="s">
        <v>77</v>
      </c>
      <c r="B56">
        <v>65</v>
      </c>
      <c r="C56">
        <v>3921.660000000003</v>
      </c>
      <c r="D56">
        <v>4893</v>
      </c>
      <c r="E56" s="10">
        <v>4.161302828466178E-3</v>
      </c>
      <c r="F56" s="8">
        <v>0.79771855122759461</v>
      </c>
      <c r="G56" s="6">
        <v>0.19851624770079643</v>
      </c>
      <c r="H56" t="s">
        <v>173</v>
      </c>
      <c r="I56" s="10">
        <v>2.4388052280726988E-3</v>
      </c>
      <c r="J56" s="11">
        <v>0.92315829134863447</v>
      </c>
      <c r="K56" t="s">
        <v>174</v>
      </c>
      <c r="M56" s="8">
        <v>5.0345039925805126E-3</v>
      </c>
      <c r="N56" s="8">
        <v>0.71589225558211178</v>
      </c>
      <c r="O56" t="s">
        <v>174</v>
      </c>
      <c r="P56" t="str">
        <f t="shared" si="3"/>
        <v>ABB</v>
      </c>
      <c r="Q56" s="6">
        <f>VLOOKUP(A56,xyz!A:AQ,2,FALSE)</f>
        <v>0.68076923076923079</v>
      </c>
      <c r="R56" t="str">
        <f t="shared" si="1"/>
        <v>Z</v>
      </c>
      <c r="S56" t="str">
        <f t="shared" si="2"/>
        <v>ABBZ</v>
      </c>
    </row>
    <row r="57" spans="1:19" x14ac:dyDescent="0.3">
      <c r="A57" t="s">
        <v>115</v>
      </c>
      <c r="B57">
        <v>101</v>
      </c>
      <c r="C57">
        <v>7221.9000000000042</v>
      </c>
      <c r="D57">
        <v>8960.64</v>
      </c>
      <c r="E57" s="10">
        <v>6.4660243950012929E-3</v>
      </c>
      <c r="F57" s="7">
        <v>0.58979105289784273</v>
      </c>
      <c r="G57" s="6">
        <v>0.19404194343261144</v>
      </c>
      <c r="H57" t="s">
        <v>173</v>
      </c>
      <c r="I57" s="10">
        <v>4.4662284240501423E-3</v>
      </c>
      <c r="J57" s="11">
        <v>0.80818584052711928</v>
      </c>
      <c r="K57" t="s">
        <v>174</v>
      </c>
      <c r="M57" s="8">
        <v>4.9210326623337899E-3</v>
      </c>
      <c r="N57" s="8">
        <v>0.73085271203398394</v>
      </c>
      <c r="O57" t="s">
        <v>174</v>
      </c>
      <c r="P57" t="str">
        <f t="shared" si="3"/>
        <v>ABB</v>
      </c>
      <c r="Q57" s="6">
        <f>VLOOKUP(A57,xyz!A:AQ,2,FALSE)</f>
        <v>0.61534653465346545</v>
      </c>
      <c r="R57" t="str">
        <f t="shared" si="1"/>
        <v>Z</v>
      </c>
      <c r="S57" t="str">
        <f t="shared" si="2"/>
        <v>ABBZ</v>
      </c>
    </row>
    <row r="58" spans="1:19" x14ac:dyDescent="0.3">
      <c r="A58" t="s">
        <v>135</v>
      </c>
      <c r="B58">
        <v>70</v>
      </c>
      <c r="C58">
        <v>5157.3899999999994</v>
      </c>
      <c r="D58">
        <v>6389</v>
      </c>
      <c r="E58" s="10">
        <v>4.4814030460404997E-3</v>
      </c>
      <c r="F58" s="7">
        <v>0.75514522229020997</v>
      </c>
      <c r="G58" s="6">
        <v>0.19277038660197224</v>
      </c>
      <c r="H58" t="s">
        <v>173</v>
      </c>
      <c r="I58" s="10">
        <v>3.1844526062040613E-3</v>
      </c>
      <c r="J58" s="11">
        <v>0.88227370793315207</v>
      </c>
      <c r="K58" t="s">
        <v>174</v>
      </c>
      <c r="M58" s="8">
        <v>4.8887851359232836E-3</v>
      </c>
      <c r="N58" s="8">
        <v>0.7406532742487566</v>
      </c>
      <c r="O58" t="s">
        <v>174</v>
      </c>
      <c r="P58" t="str">
        <f t="shared" si="3"/>
        <v>ABB</v>
      </c>
      <c r="Q58" s="6">
        <f>VLOOKUP(A58,xyz!A:AQ,2,FALSE)</f>
        <v>0.83571428571428563</v>
      </c>
      <c r="R58" t="str">
        <f t="shared" si="1"/>
        <v>Z</v>
      </c>
      <c r="S58" t="str">
        <f t="shared" si="2"/>
        <v>ABBZ</v>
      </c>
    </row>
    <row r="59" spans="1:19" x14ac:dyDescent="0.3">
      <c r="A59" t="s">
        <v>102</v>
      </c>
      <c r="B59">
        <v>124</v>
      </c>
      <c r="C59">
        <v>3278.0899999999988</v>
      </c>
      <c r="D59">
        <v>4057</v>
      </c>
      <c r="E59" s="10">
        <v>7.9384853958431711E-3</v>
      </c>
      <c r="F59" s="7">
        <v>0.51100798734204878</v>
      </c>
      <c r="G59" s="6">
        <v>0.19199161942321943</v>
      </c>
      <c r="H59" t="s">
        <v>173</v>
      </c>
      <c r="I59" s="10">
        <v>2.022119928528702E-3</v>
      </c>
      <c r="J59" s="11">
        <v>0.94498253779569941</v>
      </c>
      <c r="K59" t="s">
        <v>174</v>
      </c>
      <c r="M59" s="8">
        <v>4.8690350826347938E-3</v>
      </c>
      <c r="N59" s="8">
        <v>0.74552230933139141</v>
      </c>
      <c r="O59" t="s">
        <v>174</v>
      </c>
      <c r="P59" t="str">
        <f t="shared" si="3"/>
        <v>ABB</v>
      </c>
      <c r="Q59" s="6">
        <f>VLOOKUP(A59,xyz!A:AQ,2,FALSE)</f>
        <v>0.84838709677419366</v>
      </c>
      <c r="R59" t="str">
        <f t="shared" si="1"/>
        <v>Z</v>
      </c>
      <c r="S59" t="str">
        <f t="shared" si="2"/>
        <v>ABBZ</v>
      </c>
    </row>
    <row r="60" spans="1:19" x14ac:dyDescent="0.3">
      <c r="A60" t="s">
        <v>12</v>
      </c>
      <c r="B60">
        <v>111</v>
      </c>
      <c r="C60">
        <v>6436.0000000000045</v>
      </c>
      <c r="D60">
        <v>7947.2</v>
      </c>
      <c r="E60" s="10">
        <v>7.1062248301499353E-3</v>
      </c>
      <c r="F60" s="7">
        <v>0.56315871479565915</v>
      </c>
      <c r="G60" s="6">
        <v>0.19015502315280794</v>
      </c>
      <c r="H60" t="s">
        <v>173</v>
      </c>
      <c r="I60" s="10">
        <v>3.9611021681053241E-3</v>
      </c>
      <c r="J60" s="11">
        <v>0.8336789511939301</v>
      </c>
      <c r="K60" t="s">
        <v>174</v>
      </c>
      <c r="M60" s="8">
        <v>4.822457780458091E-3</v>
      </c>
      <c r="N60" s="8">
        <v>0.76487864787632875</v>
      </c>
      <c r="O60" t="s">
        <v>174</v>
      </c>
      <c r="P60" t="str">
        <f t="shared" si="3"/>
        <v>ABB</v>
      </c>
      <c r="Q60" s="6">
        <f>VLOOKUP(A60,xyz!A:AQ,2,FALSE)</f>
        <v>0.78963963963963957</v>
      </c>
      <c r="R60" t="str">
        <f t="shared" si="1"/>
        <v>Z</v>
      </c>
      <c r="S60" t="str">
        <f t="shared" si="2"/>
        <v>ABBZ</v>
      </c>
    </row>
    <row r="61" spans="1:19" x14ac:dyDescent="0.3">
      <c r="A61" t="s">
        <v>122</v>
      </c>
      <c r="B61">
        <v>178.00000009999999</v>
      </c>
      <c r="C61">
        <v>3815.9000000000019</v>
      </c>
      <c r="D61">
        <v>4681.21</v>
      </c>
      <c r="E61" s="10">
        <v>1.1395567752047846E-2</v>
      </c>
      <c r="F61" s="7">
        <v>0.35243033955572994</v>
      </c>
      <c r="G61" s="6">
        <v>0.18484750737522951</v>
      </c>
      <c r="H61" t="s">
        <v>173</v>
      </c>
      <c r="I61" s="10">
        <v>2.3332432907635803E-3</v>
      </c>
      <c r="J61" s="11">
        <v>0.92549153463939804</v>
      </c>
      <c r="K61" t="s">
        <v>174</v>
      </c>
      <c r="M61" s="8">
        <v>4.6878556525094704E-3</v>
      </c>
      <c r="N61" s="8">
        <v>0.80277730486795218</v>
      </c>
      <c r="O61" t="s">
        <v>174</v>
      </c>
      <c r="P61" t="str">
        <f t="shared" si="3"/>
        <v>ABB</v>
      </c>
      <c r="Q61" s="6">
        <f>VLOOKUP(A61,xyz!A:AQ,2,FALSE)</f>
        <v>0.42191011265623057</v>
      </c>
      <c r="R61" t="str">
        <f t="shared" si="1"/>
        <v>Z</v>
      </c>
      <c r="S61" t="str">
        <f t="shared" si="2"/>
        <v>ABBZ</v>
      </c>
    </row>
    <row r="62" spans="1:19" x14ac:dyDescent="0.3">
      <c r="A62" t="s">
        <v>63</v>
      </c>
      <c r="B62">
        <v>90</v>
      </c>
      <c r="C62">
        <v>6510.8900000000012</v>
      </c>
      <c r="D62">
        <v>7947</v>
      </c>
      <c r="E62" s="10">
        <v>5.7618039163377854E-3</v>
      </c>
      <c r="F62" s="7">
        <v>0.63216912070250708</v>
      </c>
      <c r="G62" s="6">
        <v>0.18071096011073345</v>
      </c>
      <c r="H62" t="s">
        <v>173</v>
      </c>
      <c r="I62" s="10">
        <v>3.9610024826269644E-3</v>
      </c>
      <c r="J62" s="11">
        <v>0.83763995367655708</v>
      </c>
      <c r="K62" t="s">
        <v>174</v>
      </c>
      <c r="M62" s="8">
        <v>4.5829500643785109E-3</v>
      </c>
      <c r="N62" s="8">
        <v>0.82127777676608948</v>
      </c>
      <c r="O62" t="s">
        <v>174</v>
      </c>
      <c r="P62" t="str">
        <f t="shared" si="3"/>
        <v>ABB</v>
      </c>
      <c r="Q62" s="6">
        <f>VLOOKUP(A62,xyz!A:AQ,2,FALSE)</f>
        <v>0.85555555555555562</v>
      </c>
      <c r="R62" t="str">
        <f t="shared" si="1"/>
        <v>Z</v>
      </c>
      <c r="S62" t="str">
        <f t="shared" si="2"/>
        <v>ABBZ</v>
      </c>
    </row>
    <row r="63" spans="1:19" x14ac:dyDescent="0.3">
      <c r="A63" t="s">
        <v>58</v>
      </c>
      <c r="B63">
        <v>93</v>
      </c>
      <c r="C63">
        <v>7303.5599999999949</v>
      </c>
      <c r="D63">
        <v>8800</v>
      </c>
      <c r="E63" s="10">
        <v>5.9538640468823779E-3</v>
      </c>
      <c r="F63" s="7">
        <v>0.62051747278280178</v>
      </c>
      <c r="G63" s="6">
        <v>0.17005000000000056</v>
      </c>
      <c r="H63" t="s">
        <v>173</v>
      </c>
      <c r="I63" s="10">
        <v>4.3861610478315447E-3</v>
      </c>
      <c r="J63" s="11">
        <v>0.81702046604675727</v>
      </c>
      <c r="K63" t="s">
        <v>174</v>
      </c>
      <c r="M63" s="8">
        <v>4.3125810297838119E-3</v>
      </c>
      <c r="N63" s="8">
        <v>0.86569670027826795</v>
      </c>
      <c r="O63" t="s">
        <v>174</v>
      </c>
      <c r="P63" t="str">
        <f t="shared" si="3"/>
        <v>ABB</v>
      </c>
      <c r="Q63" s="6">
        <f>VLOOKUP(A63,xyz!A:AQ,2,FALSE)</f>
        <v>0.83440860215053769</v>
      </c>
      <c r="R63" t="str">
        <f t="shared" si="1"/>
        <v>Z</v>
      </c>
      <c r="S63" t="str">
        <f t="shared" si="2"/>
        <v>ABBZ</v>
      </c>
    </row>
    <row r="64" spans="1:19" x14ac:dyDescent="0.3">
      <c r="A64" t="s">
        <v>99</v>
      </c>
      <c r="B64">
        <v>79</v>
      </c>
      <c r="C64">
        <v>5128.1100000000006</v>
      </c>
      <c r="D64">
        <v>6164</v>
      </c>
      <c r="E64" s="10">
        <v>5.0575834376742779E-3</v>
      </c>
      <c r="F64" s="7">
        <v>0.7130904557052955</v>
      </c>
      <c r="G64" s="6">
        <v>0.16805483452303691</v>
      </c>
      <c r="H64" t="s">
        <v>173</v>
      </c>
      <c r="I64" s="10">
        <v>3.0723064430492773E-3</v>
      </c>
      <c r="J64" s="11">
        <v>0.88851152674151701</v>
      </c>
      <c r="K64" t="s">
        <v>174</v>
      </c>
      <c r="M64" s="8">
        <v>4.2619823071302814E-3</v>
      </c>
      <c r="N64" s="8">
        <v>0.8785259573628188</v>
      </c>
      <c r="O64" t="s">
        <v>174</v>
      </c>
      <c r="P64" t="str">
        <f t="shared" si="3"/>
        <v>ABB</v>
      </c>
      <c r="Q64" s="6">
        <f>VLOOKUP(A64,xyz!A:AQ,2,FALSE)</f>
        <v>0.67341772151898727</v>
      </c>
      <c r="R64" t="str">
        <f t="shared" si="1"/>
        <v>Z</v>
      </c>
      <c r="S64" t="str">
        <f t="shared" si="2"/>
        <v>ABBZ</v>
      </c>
    </row>
    <row r="65" spans="1:19" x14ac:dyDescent="0.3">
      <c r="A65" t="s">
        <v>62</v>
      </c>
      <c r="B65">
        <v>169</v>
      </c>
      <c r="C65">
        <v>4278.149999999996</v>
      </c>
      <c r="D65">
        <v>5141.16</v>
      </c>
      <c r="E65" s="10">
        <v>1.0819387354012064E-2</v>
      </c>
      <c r="F65" s="7">
        <v>0.37432519443781354</v>
      </c>
      <c r="G65" s="6">
        <v>0.16786289475527</v>
      </c>
      <c r="H65" t="s">
        <v>173</v>
      </c>
      <c r="I65" s="10">
        <v>2.5624949696215482E-3</v>
      </c>
      <c r="J65" s="11">
        <v>0.91575365401606801</v>
      </c>
      <c r="K65" t="s">
        <v>174</v>
      </c>
      <c r="M65" s="8">
        <v>4.2571145870401155E-3</v>
      </c>
      <c r="N65" s="8">
        <v>0.88278307194985894</v>
      </c>
      <c r="O65" t="s">
        <v>174</v>
      </c>
      <c r="P65" t="str">
        <f t="shared" si="3"/>
        <v>ABB</v>
      </c>
      <c r="Q65" s="6">
        <f>VLOOKUP(A65,xyz!A:AQ,2,FALSE)</f>
        <v>0.53343195266272181</v>
      </c>
      <c r="R65" t="str">
        <f t="shared" si="1"/>
        <v>Z</v>
      </c>
      <c r="S65" t="str">
        <f t="shared" si="2"/>
        <v>ABBZ</v>
      </c>
    </row>
    <row r="66" spans="1:19" x14ac:dyDescent="0.3">
      <c r="A66" t="s">
        <v>51</v>
      </c>
      <c r="B66">
        <v>862</v>
      </c>
      <c r="C66">
        <v>184.92</v>
      </c>
      <c r="D66">
        <v>341.33999999999986</v>
      </c>
      <c r="E66" s="10">
        <v>5.5185277509813009E-2</v>
      </c>
      <c r="F66" s="7">
        <v>5.5185277509813009E-2</v>
      </c>
      <c r="G66" s="6">
        <v>0.45825276850061503</v>
      </c>
      <c r="H66" t="s">
        <v>173</v>
      </c>
      <c r="I66" s="10">
        <v>1.7013320591668395E-4</v>
      </c>
      <c r="J66" s="11">
        <v>0.99999999999999956</v>
      </c>
      <c r="K66" t="s">
        <v>175</v>
      </c>
      <c r="M66" s="8">
        <v>1.1621594803185292E-2</v>
      </c>
      <c r="N66" s="8">
        <v>1.1621594803185292E-2</v>
      </c>
      <c r="O66" t="s">
        <v>173</v>
      </c>
      <c r="P66" t="str">
        <f t="shared" ref="P66:P97" si="4">H66&amp;K66&amp;O66</f>
        <v>ACA</v>
      </c>
      <c r="Q66" s="6">
        <f>VLOOKUP(A66,xyz!A:AQ,2,FALSE)</f>
        <v>0.88468677494199521</v>
      </c>
      <c r="R66" t="str">
        <f t="shared" si="1"/>
        <v>Z</v>
      </c>
      <c r="S66" t="str">
        <f t="shared" si="2"/>
        <v>ACAZ</v>
      </c>
    </row>
    <row r="67" spans="1:19" x14ac:dyDescent="0.3">
      <c r="A67" t="s">
        <v>137</v>
      </c>
      <c r="B67">
        <v>71</v>
      </c>
      <c r="C67">
        <v>386.37000000000006</v>
      </c>
      <c r="D67">
        <v>652</v>
      </c>
      <c r="E67" s="10">
        <v>4.5454230895553638E-3</v>
      </c>
      <c r="F67" s="7">
        <v>0.74618241619812897</v>
      </c>
      <c r="G67" s="6">
        <v>0.40740797546012258</v>
      </c>
      <c r="H67" t="s">
        <v>173</v>
      </c>
      <c r="I67" s="10">
        <v>3.2497465945297352E-4</v>
      </c>
      <c r="J67" s="11">
        <v>0.9996165398703929</v>
      </c>
      <c r="K67" t="s">
        <v>175</v>
      </c>
      <c r="M67" s="8">
        <v>1.0332137055877376E-2</v>
      </c>
      <c r="N67" s="8">
        <v>2.1953731859062665E-2</v>
      </c>
      <c r="O67" t="s">
        <v>173</v>
      </c>
      <c r="P67" t="str">
        <f t="shared" si="4"/>
        <v>ACA</v>
      </c>
      <c r="Q67" s="6">
        <f>VLOOKUP(A67,xyz!A:AQ,2,FALSE)</f>
        <v>0.95281690140845055</v>
      </c>
      <c r="R67" t="str">
        <f t="shared" ref="R67:R130" si="5">IF(Q67&lt;0.1,"X",IF(Q67&lt;0.25,"Y","Z"))</f>
        <v>Z</v>
      </c>
      <c r="S67" t="str">
        <f t="shared" ref="S67:S130" si="6">P67&amp;R67</f>
        <v>ACAZ</v>
      </c>
    </row>
    <row r="68" spans="1:19" x14ac:dyDescent="0.3">
      <c r="A68" t="s">
        <v>133</v>
      </c>
      <c r="B68">
        <v>227</v>
      </c>
      <c r="C68">
        <v>254.27999999999992</v>
      </c>
      <c r="D68">
        <v>428</v>
      </c>
      <c r="E68" s="10">
        <v>1.4532549877874192E-2</v>
      </c>
      <c r="F68" s="7">
        <v>0.25313525205777337</v>
      </c>
      <c r="G68" s="6">
        <v>0.40588785046728992</v>
      </c>
      <c r="H68" t="s">
        <v>173</v>
      </c>
      <c r="I68" s="10">
        <v>2.1332692368998876E-4</v>
      </c>
      <c r="J68" s="11">
        <v>0.99982986679408292</v>
      </c>
      <c r="K68" t="s">
        <v>175</v>
      </c>
      <c r="M68" s="8">
        <v>1.0293585675653969E-2</v>
      </c>
      <c r="N68" s="8">
        <v>3.2247317534716637E-2</v>
      </c>
      <c r="O68" t="s">
        <v>173</v>
      </c>
      <c r="P68" t="str">
        <f t="shared" si="4"/>
        <v>ACA</v>
      </c>
      <c r="Q68" s="6">
        <f>VLOOKUP(A68,xyz!A:AQ,2,FALSE)</f>
        <v>1.0828193832599122</v>
      </c>
      <c r="R68" t="str">
        <f t="shared" si="5"/>
        <v>Z</v>
      </c>
      <c r="S68" t="str">
        <f t="shared" si="6"/>
        <v>ACAZ</v>
      </c>
    </row>
    <row r="69" spans="1:19" x14ac:dyDescent="0.3">
      <c r="A69" t="s">
        <v>157</v>
      </c>
      <c r="B69">
        <v>142</v>
      </c>
      <c r="C69">
        <v>1188</v>
      </c>
      <c r="D69">
        <v>1997</v>
      </c>
      <c r="E69" s="10">
        <v>9.0908461791107276E-3</v>
      </c>
      <c r="F69" s="7">
        <v>0.44353086147738185</v>
      </c>
      <c r="G69" s="6">
        <v>0.40510766149223837</v>
      </c>
      <c r="H69" t="s">
        <v>173</v>
      </c>
      <c r="I69" s="10">
        <v>9.9535950142268128E-4</v>
      </c>
      <c r="J69" s="11">
        <v>0.98527901676304996</v>
      </c>
      <c r="K69" t="s">
        <v>175</v>
      </c>
      <c r="M69" s="8">
        <v>1.0273799564666296E-2</v>
      </c>
      <c r="N69" s="8">
        <v>4.252111709938293E-2</v>
      </c>
      <c r="O69" t="s">
        <v>173</v>
      </c>
      <c r="P69" t="str">
        <f t="shared" si="4"/>
        <v>ACA</v>
      </c>
      <c r="Q69" s="6">
        <f>VLOOKUP(A69,xyz!A:AQ,2,FALSE)</f>
        <v>0.8401408450704223</v>
      </c>
      <c r="R69" t="str">
        <f t="shared" si="5"/>
        <v>Z</v>
      </c>
      <c r="S69" t="str">
        <f t="shared" si="6"/>
        <v>ACAZ</v>
      </c>
    </row>
    <row r="70" spans="1:19" x14ac:dyDescent="0.3">
      <c r="A70" t="s">
        <v>73</v>
      </c>
      <c r="B70">
        <v>70</v>
      </c>
      <c r="C70">
        <v>431.66999999999996</v>
      </c>
      <c r="D70">
        <v>722</v>
      </c>
      <c r="E70" s="10">
        <v>4.4814030460404997E-3</v>
      </c>
      <c r="F70" s="7">
        <v>0.75066381924416947</v>
      </c>
      <c r="G70" s="6">
        <v>0.40211911357340724</v>
      </c>
      <c r="H70" t="s">
        <v>173</v>
      </c>
      <c r="I70" s="10">
        <v>3.5986457687890629E-4</v>
      </c>
      <c r="J70" s="11">
        <v>0.99929156521093987</v>
      </c>
      <c r="K70" t="s">
        <v>175</v>
      </c>
      <c r="M70" s="8">
        <v>1.0198008003000015E-2</v>
      </c>
      <c r="N70" s="8">
        <v>5.2719125102382941E-2</v>
      </c>
      <c r="O70" t="s">
        <v>173</v>
      </c>
      <c r="P70" t="str">
        <f t="shared" si="4"/>
        <v>ACA</v>
      </c>
      <c r="Q70" s="6">
        <f>VLOOKUP(A70,xyz!A:AQ,2,FALSE)</f>
        <v>0.85</v>
      </c>
      <c r="R70" t="str">
        <f t="shared" si="5"/>
        <v>Z</v>
      </c>
      <c r="S70" t="str">
        <f t="shared" si="6"/>
        <v>ACAZ</v>
      </c>
    </row>
    <row r="71" spans="1:19" x14ac:dyDescent="0.3">
      <c r="A71" t="s">
        <v>141</v>
      </c>
      <c r="B71">
        <v>130</v>
      </c>
      <c r="C71">
        <v>984.05999999999983</v>
      </c>
      <c r="D71">
        <v>1642</v>
      </c>
      <c r="E71" s="10">
        <v>8.322605656932356E-3</v>
      </c>
      <c r="F71" s="7">
        <v>0.4870004710239747</v>
      </c>
      <c r="G71" s="6">
        <v>0.40069427527405616</v>
      </c>
      <c r="H71" t="s">
        <v>173</v>
      </c>
      <c r="I71" s="10">
        <v>8.1841777733402234E-4</v>
      </c>
      <c r="J71" s="11">
        <v>0.99160731011157421</v>
      </c>
      <c r="K71" t="s">
        <v>175</v>
      </c>
      <c r="M71" s="8">
        <v>1.0161873156658993E-2</v>
      </c>
      <c r="N71" s="8">
        <v>6.2880998259041934E-2</v>
      </c>
      <c r="O71" t="s">
        <v>173</v>
      </c>
      <c r="P71" t="str">
        <f t="shared" si="4"/>
        <v>ACA</v>
      </c>
      <c r="Q71" s="6">
        <f>VLOOKUP(A71,xyz!A:AQ,2,FALSE)</f>
        <v>0.73076923076923073</v>
      </c>
      <c r="R71" t="str">
        <f t="shared" si="5"/>
        <v>Z</v>
      </c>
      <c r="S71" t="str">
        <f t="shared" si="6"/>
        <v>ACAZ</v>
      </c>
    </row>
    <row r="72" spans="1:19" x14ac:dyDescent="0.3">
      <c r="A72" t="s">
        <v>41</v>
      </c>
      <c r="B72">
        <v>147</v>
      </c>
      <c r="C72">
        <v>932.43000000000029</v>
      </c>
      <c r="D72">
        <v>1545.01</v>
      </c>
      <c r="E72" s="10">
        <v>9.4109463966850493E-3</v>
      </c>
      <c r="F72" s="7">
        <v>0.43444001529827114</v>
      </c>
      <c r="G72" s="6">
        <v>0.39648934311104761</v>
      </c>
      <c r="H72" t="s">
        <v>173</v>
      </c>
      <c r="I72" s="10">
        <v>7.7007530460343346E-4</v>
      </c>
      <c r="J72" s="11">
        <v>0.99318384093610845</v>
      </c>
      <c r="K72" t="s">
        <v>175</v>
      </c>
      <c r="M72" s="8">
        <v>1.0055233282047301E-2</v>
      </c>
      <c r="N72" s="8">
        <v>8.3045302240660465E-2</v>
      </c>
      <c r="O72" t="s">
        <v>173</v>
      </c>
      <c r="P72" t="str">
        <f t="shared" si="4"/>
        <v>ACA</v>
      </c>
      <c r="Q72" s="6">
        <f>VLOOKUP(A72,xyz!A:AQ,2,FALSE)</f>
        <v>0.75544217687074822</v>
      </c>
      <c r="R72" t="str">
        <f t="shared" si="5"/>
        <v>Z</v>
      </c>
      <c r="S72" t="str">
        <f t="shared" si="6"/>
        <v>ACAZ</v>
      </c>
    </row>
    <row r="73" spans="1:19" x14ac:dyDescent="0.3">
      <c r="A73" t="s">
        <v>39</v>
      </c>
      <c r="B73">
        <v>271</v>
      </c>
      <c r="C73">
        <v>977.14000000000044</v>
      </c>
      <c r="D73">
        <v>1618</v>
      </c>
      <c r="E73" s="10">
        <v>1.7349431792528222E-2</v>
      </c>
      <c r="F73" s="7">
        <v>0.20678474055301166</v>
      </c>
      <c r="G73" s="6">
        <v>0.39608158220024697</v>
      </c>
      <c r="H73" t="s">
        <v>173</v>
      </c>
      <c r="I73" s="10">
        <v>8.0645551993084542E-4</v>
      </c>
      <c r="J73" s="11">
        <v>0.99241376563150507</v>
      </c>
      <c r="K73" t="s">
        <v>175</v>
      </c>
      <c r="M73" s="8">
        <v>1.0044892194316596E-2</v>
      </c>
      <c r="N73" s="8">
        <v>9.3090194434977055E-2</v>
      </c>
      <c r="O73" t="s">
        <v>173</v>
      </c>
      <c r="P73" t="str">
        <f t="shared" si="4"/>
        <v>ACA</v>
      </c>
      <c r="Q73" s="6">
        <f>VLOOKUP(A73,xyz!A:AQ,2,FALSE)</f>
        <v>0.77527675276752761</v>
      </c>
      <c r="R73" t="str">
        <f t="shared" si="5"/>
        <v>Z</v>
      </c>
      <c r="S73" t="str">
        <f t="shared" si="6"/>
        <v>ACAZ</v>
      </c>
    </row>
    <row r="74" spans="1:19" x14ac:dyDescent="0.3">
      <c r="A74" t="s">
        <v>121</v>
      </c>
      <c r="B74">
        <v>92</v>
      </c>
      <c r="C74">
        <v>482.55000000000018</v>
      </c>
      <c r="D74">
        <v>797</v>
      </c>
      <c r="E74" s="10">
        <v>5.8898440033675137E-3</v>
      </c>
      <c r="F74" s="7">
        <v>0.62640731678616934</v>
      </c>
      <c r="G74" s="6">
        <v>0.39454203262233351</v>
      </c>
      <c r="H74" t="s">
        <v>173</v>
      </c>
      <c r="I74" s="10">
        <v>3.972466312638342E-4</v>
      </c>
      <c r="J74" s="11">
        <v>0.998931700634061</v>
      </c>
      <c r="K74" t="s">
        <v>175</v>
      </c>
      <c r="M74" s="8">
        <v>1.0005848193704299E-2</v>
      </c>
      <c r="N74" s="8">
        <v>0.10309604262868136</v>
      </c>
      <c r="O74" t="s">
        <v>173</v>
      </c>
      <c r="P74" t="str">
        <f t="shared" si="4"/>
        <v>ACA</v>
      </c>
      <c r="Q74" s="6">
        <f>VLOOKUP(A74,xyz!A:AQ,2,FALSE)</f>
        <v>0.94565217391304346</v>
      </c>
      <c r="R74" t="str">
        <f t="shared" si="5"/>
        <v>Z</v>
      </c>
      <c r="S74" t="str">
        <f t="shared" si="6"/>
        <v>ACAZ</v>
      </c>
    </row>
    <row r="75" spans="1:19" x14ac:dyDescent="0.3">
      <c r="A75" t="s">
        <v>86</v>
      </c>
      <c r="B75">
        <v>83</v>
      </c>
      <c r="C75">
        <v>2318.0400000000013</v>
      </c>
      <c r="D75">
        <v>3805</v>
      </c>
      <c r="E75" s="10">
        <v>5.3136636117337354E-3</v>
      </c>
      <c r="F75" s="7">
        <v>0.68197671455707154</v>
      </c>
      <c r="G75" s="6">
        <v>0.39079106438896155</v>
      </c>
      <c r="H75" t="s">
        <v>173</v>
      </c>
      <c r="I75" s="10">
        <v>1.896516225795344E-3</v>
      </c>
      <c r="J75" s="11">
        <v>0.95469808388760291</v>
      </c>
      <c r="K75" t="s">
        <v>175</v>
      </c>
      <c r="M75" s="8">
        <v>9.9107211460914696E-3</v>
      </c>
      <c r="N75" s="8">
        <v>0.11300676377477283</v>
      </c>
      <c r="O75" t="s">
        <v>173</v>
      </c>
      <c r="P75" t="str">
        <f t="shared" si="4"/>
        <v>ACA</v>
      </c>
      <c r="Q75" s="6">
        <f>VLOOKUP(A75,xyz!A:AQ,2,FALSE)</f>
        <v>0.81987951807228932</v>
      </c>
      <c r="R75" t="str">
        <f t="shared" si="5"/>
        <v>Z</v>
      </c>
      <c r="S75" t="str">
        <f t="shared" si="6"/>
        <v>ACAZ</v>
      </c>
    </row>
    <row r="76" spans="1:19" x14ac:dyDescent="0.3">
      <c r="A76" t="s">
        <v>59</v>
      </c>
      <c r="B76">
        <v>136</v>
      </c>
      <c r="C76">
        <v>1001.6000000000006</v>
      </c>
      <c r="D76">
        <v>1643</v>
      </c>
      <c r="E76" s="10">
        <v>8.7067259180215427E-3</v>
      </c>
      <c r="F76" s="7">
        <v>0.47029123966659508</v>
      </c>
      <c r="G76" s="6">
        <v>0.39038344491783289</v>
      </c>
      <c r="H76" t="s">
        <v>173</v>
      </c>
      <c r="I76" s="10">
        <v>8.1891620472582141E-4</v>
      </c>
      <c r="J76" s="11">
        <v>0.99078889233424017</v>
      </c>
      <c r="K76" t="s">
        <v>175</v>
      </c>
      <c r="M76" s="8">
        <v>9.9003836453648592E-3</v>
      </c>
      <c r="N76" s="8">
        <v>0.12290714742013768</v>
      </c>
      <c r="O76" t="s">
        <v>173</v>
      </c>
      <c r="P76" t="str">
        <f t="shared" si="4"/>
        <v>ACA</v>
      </c>
      <c r="Q76" s="6">
        <f>VLOOKUP(A76,xyz!A:AQ,2,FALSE)</f>
        <v>0.79117647058823548</v>
      </c>
      <c r="R76" t="str">
        <f t="shared" si="5"/>
        <v>Z</v>
      </c>
      <c r="S76" t="str">
        <f t="shared" si="6"/>
        <v>ACAZ</v>
      </c>
    </row>
    <row r="77" spans="1:19" x14ac:dyDescent="0.3">
      <c r="A77" t="s">
        <v>139</v>
      </c>
      <c r="B77">
        <v>81</v>
      </c>
      <c r="C77">
        <v>1302.6699999999994</v>
      </c>
      <c r="D77">
        <v>2135</v>
      </c>
      <c r="E77" s="10">
        <v>5.1856235247040071E-3</v>
      </c>
      <c r="F77" s="7">
        <v>0.69772564526172809</v>
      </c>
      <c r="G77" s="6">
        <v>0.38985011709601902</v>
      </c>
      <c r="H77" t="s">
        <v>173</v>
      </c>
      <c r="I77" s="10">
        <v>1.0641424814909486E-3</v>
      </c>
      <c r="J77" s="11">
        <v>0.98218777007911229</v>
      </c>
      <c r="K77" t="s">
        <v>175</v>
      </c>
      <c r="M77" s="8">
        <v>9.8868580973083438E-3</v>
      </c>
      <c r="N77" s="8">
        <v>0.13279400551744602</v>
      </c>
      <c r="O77" t="s">
        <v>173</v>
      </c>
      <c r="P77" t="str">
        <f t="shared" si="4"/>
        <v>ACA</v>
      </c>
      <c r="Q77" s="6">
        <f>VLOOKUP(A77,xyz!A:AQ,2,FALSE)</f>
        <v>1.0296296296296299</v>
      </c>
      <c r="R77" t="str">
        <f t="shared" si="5"/>
        <v>Z</v>
      </c>
      <c r="S77" t="str">
        <f t="shared" si="6"/>
        <v>ACAZ</v>
      </c>
    </row>
    <row r="78" spans="1:19" x14ac:dyDescent="0.3">
      <c r="A78" t="s">
        <v>105</v>
      </c>
      <c r="B78">
        <v>89</v>
      </c>
      <c r="C78">
        <v>1384.0499999999997</v>
      </c>
      <c r="D78">
        <v>2268</v>
      </c>
      <c r="E78" s="10">
        <v>5.6977838728229212E-3</v>
      </c>
      <c r="F78" s="7">
        <v>0.63786690457533002</v>
      </c>
      <c r="G78" s="6">
        <v>0.38974867724867734</v>
      </c>
      <c r="H78" t="s">
        <v>173</v>
      </c>
      <c r="I78" s="10">
        <v>1.1304333246002207E-3</v>
      </c>
      <c r="J78" s="11">
        <v>0.98112362759762128</v>
      </c>
      <c r="K78" t="s">
        <v>175</v>
      </c>
      <c r="M78" s="8">
        <v>9.8842855153541548E-3</v>
      </c>
      <c r="N78" s="8">
        <v>0.14267829103280016</v>
      </c>
      <c r="O78" t="s">
        <v>173</v>
      </c>
      <c r="P78" t="str">
        <f t="shared" si="4"/>
        <v>ACA</v>
      </c>
      <c r="Q78" s="6">
        <f>VLOOKUP(A78,xyz!A:AQ,2,FALSE)</f>
        <v>0.90280898876404492</v>
      </c>
      <c r="R78" t="str">
        <f t="shared" si="5"/>
        <v>Z</v>
      </c>
      <c r="S78" t="str">
        <f t="shared" si="6"/>
        <v>ACAZ</v>
      </c>
    </row>
    <row r="79" spans="1:19" x14ac:dyDescent="0.3">
      <c r="A79" t="s">
        <v>11</v>
      </c>
      <c r="B79">
        <v>67</v>
      </c>
      <c r="C79">
        <v>1498.2000000000016</v>
      </c>
      <c r="D79">
        <v>2419</v>
      </c>
      <c r="E79" s="10">
        <v>4.2893429154959072E-3</v>
      </c>
      <c r="F79" s="7">
        <v>0.77262269416976781</v>
      </c>
      <c r="G79" s="6">
        <v>0.38065316246382735</v>
      </c>
      <c r="H79" t="s">
        <v>173</v>
      </c>
      <c r="I79" s="10">
        <v>1.2056958607618757E-3</v>
      </c>
      <c r="J79" s="11">
        <v>0.97766254778896888</v>
      </c>
      <c r="K79" t="s">
        <v>175</v>
      </c>
      <c r="M79" s="8">
        <v>9.65361721475279E-3</v>
      </c>
      <c r="N79" s="8">
        <v>0.21086356634591974</v>
      </c>
      <c r="O79" t="s">
        <v>173</v>
      </c>
      <c r="P79" t="str">
        <f t="shared" si="4"/>
        <v>ACA</v>
      </c>
      <c r="Q79" s="6">
        <f>VLOOKUP(A79,xyz!A:AQ,2,FALSE)</f>
        <v>0.98059701492537288</v>
      </c>
      <c r="R79" t="str">
        <f t="shared" si="5"/>
        <v>Z</v>
      </c>
      <c r="S79" t="str">
        <f t="shared" si="6"/>
        <v>ACAZ</v>
      </c>
    </row>
    <row r="80" spans="1:19" x14ac:dyDescent="0.3">
      <c r="A80" t="s">
        <v>108</v>
      </c>
      <c r="B80">
        <v>65</v>
      </c>
      <c r="C80">
        <v>1636.5499999999979</v>
      </c>
      <c r="D80">
        <v>2541</v>
      </c>
      <c r="E80" s="10">
        <v>4.161302828466178E-3</v>
      </c>
      <c r="F80" s="7">
        <v>0.78523464274219612</v>
      </c>
      <c r="G80" s="6">
        <v>0.3559425423061795</v>
      </c>
      <c r="H80" t="s">
        <v>173</v>
      </c>
      <c r="I80" s="10">
        <v>1.2665040025613586E-3</v>
      </c>
      <c r="J80" s="11">
        <v>0.97524766707570254</v>
      </c>
      <c r="K80" t="s">
        <v>175</v>
      </c>
      <c r="M80" s="8">
        <v>9.0269394627618162E-3</v>
      </c>
      <c r="N80" s="8">
        <v>0.33891498440779261</v>
      </c>
      <c r="O80" t="s">
        <v>173</v>
      </c>
      <c r="P80" t="str">
        <f t="shared" si="4"/>
        <v>ACA</v>
      </c>
      <c r="Q80" s="6">
        <f>VLOOKUP(A80,xyz!A:AQ,2,FALSE)</f>
        <v>1.3769230769230769</v>
      </c>
      <c r="R80" t="str">
        <f t="shared" si="5"/>
        <v>Z</v>
      </c>
      <c r="S80" t="str">
        <f t="shared" si="6"/>
        <v>ACAZ</v>
      </c>
    </row>
    <row r="81" spans="1:19" x14ac:dyDescent="0.3">
      <c r="A81" t="s">
        <v>92</v>
      </c>
      <c r="B81">
        <v>582</v>
      </c>
      <c r="C81">
        <v>688.14999999999975</v>
      </c>
      <c r="D81">
        <v>956</v>
      </c>
      <c r="E81" s="10">
        <v>3.725966532565101E-2</v>
      </c>
      <c r="F81" s="7">
        <v>9.244494283546402E-2</v>
      </c>
      <c r="G81" s="6">
        <v>0.2801778242677827</v>
      </c>
      <c r="H81" t="s">
        <v>173</v>
      </c>
      <c r="I81" s="10">
        <v>4.7649658655988148E-4</v>
      </c>
      <c r="J81" s="11">
        <v>0.9980933507453289</v>
      </c>
      <c r="K81" t="s">
        <v>175</v>
      </c>
      <c r="M81" s="8">
        <v>7.1054958535921101E-3</v>
      </c>
      <c r="N81" s="8">
        <v>0.52848319962724932</v>
      </c>
      <c r="O81" t="s">
        <v>173</v>
      </c>
      <c r="P81" t="str">
        <f t="shared" si="4"/>
        <v>ACA</v>
      </c>
      <c r="Q81" s="6">
        <f>VLOOKUP(A81,xyz!A:AQ,2,FALSE)</f>
        <v>0.90515463917525751</v>
      </c>
      <c r="R81" t="str">
        <f t="shared" si="5"/>
        <v>Z</v>
      </c>
      <c r="S81" t="str">
        <f t="shared" si="6"/>
        <v>ACAZ</v>
      </c>
    </row>
    <row r="82" spans="1:19" x14ac:dyDescent="0.3">
      <c r="A82" t="s">
        <v>82</v>
      </c>
      <c r="B82">
        <v>66</v>
      </c>
      <c r="C82">
        <v>2441.079999999999</v>
      </c>
      <c r="D82">
        <v>3089</v>
      </c>
      <c r="E82" s="10">
        <v>4.225322871981043E-3</v>
      </c>
      <c r="F82" s="7">
        <v>0.77684801704174888</v>
      </c>
      <c r="G82" s="6">
        <v>0.2097507283910654</v>
      </c>
      <c r="H82" t="s">
        <v>173</v>
      </c>
      <c r="I82" s="10">
        <v>1.5396422132672319E-3</v>
      </c>
      <c r="J82" s="11">
        <v>0.96833356204504906</v>
      </c>
      <c r="K82" t="s">
        <v>175</v>
      </c>
      <c r="M82" s="8">
        <v>5.3194178902831084E-3</v>
      </c>
      <c r="N82" s="8">
        <v>0.68508006249339737</v>
      </c>
      <c r="O82" t="s">
        <v>174</v>
      </c>
      <c r="P82" t="str">
        <f t="shared" si="4"/>
        <v>ACB</v>
      </c>
      <c r="Q82" s="6">
        <f>VLOOKUP(A82,xyz!A:AQ,2,FALSE)</f>
        <v>1.1681818181818178</v>
      </c>
      <c r="R82" t="str">
        <f t="shared" si="5"/>
        <v>Z</v>
      </c>
      <c r="S82" t="str">
        <f t="shared" si="6"/>
        <v>ACBZ</v>
      </c>
    </row>
    <row r="83" spans="1:19" x14ac:dyDescent="0.3">
      <c r="A83" t="s">
        <v>130</v>
      </c>
      <c r="B83">
        <v>65</v>
      </c>
      <c r="C83">
        <v>1557.3700000000008</v>
      </c>
      <c r="D83">
        <v>1923</v>
      </c>
      <c r="E83" s="10">
        <v>4.161302828466178E-3</v>
      </c>
      <c r="F83" s="7">
        <v>0.78939594557066228</v>
      </c>
      <c r="G83" s="6">
        <v>0.19013520540821591</v>
      </c>
      <c r="H83" t="s">
        <v>173</v>
      </c>
      <c r="I83" s="10">
        <v>9.5847587442955229E-4</v>
      </c>
      <c r="J83" s="11">
        <v>0.98816417368902643</v>
      </c>
      <c r="K83" t="s">
        <v>175</v>
      </c>
      <c r="M83" s="8">
        <v>4.8219551892826678E-3</v>
      </c>
      <c r="N83" s="8">
        <v>0.76970060306561139</v>
      </c>
      <c r="O83" t="s">
        <v>174</v>
      </c>
      <c r="P83" t="str">
        <f t="shared" si="4"/>
        <v>ACB</v>
      </c>
      <c r="Q83" s="6">
        <f>VLOOKUP(A83,xyz!A:AQ,2,FALSE)</f>
        <v>1.3346153846153848</v>
      </c>
      <c r="R83" t="str">
        <f t="shared" si="5"/>
        <v>Z</v>
      </c>
      <c r="S83" t="str">
        <f t="shared" si="6"/>
        <v>ACBZ</v>
      </c>
    </row>
    <row r="84" spans="1:19" x14ac:dyDescent="0.3">
      <c r="A84" t="s">
        <v>106</v>
      </c>
      <c r="B84">
        <v>72.8</v>
      </c>
      <c r="C84">
        <v>3103.4199999999996</v>
      </c>
      <c r="D84">
        <v>3820</v>
      </c>
      <c r="E84" s="10">
        <v>4.6606591678821198E-3</v>
      </c>
      <c r="F84" s="7">
        <v>0.73241810684243314</v>
      </c>
      <c r="G84" s="6">
        <v>0.18758638743455508</v>
      </c>
      <c r="H84" t="s">
        <v>173</v>
      </c>
      <c r="I84" s="10">
        <v>1.9039926366723296E-3</v>
      </c>
      <c r="J84" s="11">
        <v>0.95280156766180757</v>
      </c>
      <c r="K84" t="s">
        <v>175</v>
      </c>
      <c r="M84" s="8">
        <v>4.7573154713080627E-3</v>
      </c>
      <c r="N84" s="8">
        <v>0.77445791853691948</v>
      </c>
      <c r="O84" t="s">
        <v>174</v>
      </c>
      <c r="P84" t="str">
        <f t="shared" si="4"/>
        <v>ACB</v>
      </c>
      <c r="Q84" s="6">
        <f>VLOOKUP(A84,xyz!A:AQ,2,FALSE)</f>
        <v>0.62032967032967035</v>
      </c>
      <c r="R84" t="str">
        <f t="shared" si="5"/>
        <v>Z</v>
      </c>
      <c r="S84" t="str">
        <f t="shared" si="6"/>
        <v>ACBZ</v>
      </c>
    </row>
    <row r="85" spans="1:19" x14ac:dyDescent="0.3">
      <c r="A85" t="s">
        <v>145</v>
      </c>
      <c r="B85">
        <v>94</v>
      </c>
      <c r="C85">
        <v>2378.1999999999998</v>
      </c>
      <c r="D85">
        <v>2914</v>
      </c>
      <c r="E85" s="10">
        <v>6.0178840903972429E-3</v>
      </c>
      <c r="F85" s="7">
        <v>0.61456360873591942</v>
      </c>
      <c r="G85" s="6">
        <v>0.18387096774193554</v>
      </c>
      <c r="H85" t="s">
        <v>173</v>
      </c>
      <c r="I85" s="10">
        <v>1.4524174197024001E-3</v>
      </c>
      <c r="J85" s="11">
        <v>0.96978597946475142</v>
      </c>
      <c r="K85" t="s">
        <v>175</v>
      </c>
      <c r="M85" s="8">
        <v>4.6630899583173175E-3</v>
      </c>
      <c r="N85" s="8">
        <v>0.8074403948262695</v>
      </c>
      <c r="O85" t="s">
        <v>174</v>
      </c>
      <c r="P85" t="str">
        <f t="shared" si="4"/>
        <v>ACB</v>
      </c>
      <c r="Q85" s="6">
        <f>VLOOKUP(A85,xyz!A:AQ,2,FALSE)</f>
        <v>1.2180851063829785</v>
      </c>
      <c r="R85" t="str">
        <f t="shared" si="5"/>
        <v>Z</v>
      </c>
      <c r="S85" t="str">
        <f t="shared" si="6"/>
        <v>ACBZ</v>
      </c>
    </row>
    <row r="86" spans="1:19" x14ac:dyDescent="0.3">
      <c r="A86" t="s">
        <v>49</v>
      </c>
      <c r="B86">
        <v>127</v>
      </c>
      <c r="C86">
        <v>1966.2799999999988</v>
      </c>
      <c r="D86">
        <v>2403</v>
      </c>
      <c r="E86" s="10">
        <v>8.1305455263877644E-3</v>
      </c>
      <c r="F86" s="7">
        <v>0.49513101655036246</v>
      </c>
      <c r="G86" s="6">
        <v>0.18173949230129055</v>
      </c>
      <c r="H86" t="s">
        <v>173</v>
      </c>
      <c r="I86" s="10">
        <v>1.1977210224930911E-3</v>
      </c>
      <c r="J86" s="11">
        <v>0.97886026881146193</v>
      </c>
      <c r="K86" t="s">
        <v>175</v>
      </c>
      <c r="M86" s="8">
        <v>4.6090343243815595E-3</v>
      </c>
      <c r="N86" s="8">
        <v>0.81669482670171101</v>
      </c>
      <c r="O86" t="s">
        <v>174</v>
      </c>
      <c r="P86" t="str">
        <f t="shared" si="4"/>
        <v>ACB</v>
      </c>
      <c r="Q86" s="6">
        <f>VLOOKUP(A86,xyz!A:AQ,2,FALSE)</f>
        <v>0.63858267716535422</v>
      </c>
      <c r="R86" t="str">
        <f t="shared" si="5"/>
        <v>Z</v>
      </c>
      <c r="S86" t="str">
        <f t="shared" si="6"/>
        <v>ACBZ</v>
      </c>
    </row>
    <row r="87" spans="1:19" x14ac:dyDescent="0.3">
      <c r="A87" t="s">
        <v>10</v>
      </c>
      <c r="B87">
        <v>85</v>
      </c>
      <c r="C87">
        <v>932.30000000000075</v>
      </c>
      <c r="D87">
        <v>1134</v>
      </c>
      <c r="E87" s="10">
        <v>5.4417036987634637E-3</v>
      </c>
      <c r="F87" s="7">
        <v>0.67666305094533785</v>
      </c>
      <c r="G87" s="6">
        <v>0.17786596119929388</v>
      </c>
      <c r="H87" t="s">
        <v>173</v>
      </c>
      <c r="I87" s="10">
        <v>5.6521666230011037E-4</v>
      </c>
      <c r="J87" s="11">
        <v>0.99657763304686808</v>
      </c>
      <c r="K87" t="s">
        <v>175</v>
      </c>
      <c r="M87" s="8">
        <v>4.5107990009546359E-3</v>
      </c>
      <c r="N87" s="8">
        <v>0.83941604826088756</v>
      </c>
      <c r="O87" t="s">
        <v>174</v>
      </c>
      <c r="P87" t="str">
        <f t="shared" si="4"/>
        <v>ACB</v>
      </c>
      <c r="Q87" s="6">
        <f>VLOOKUP(A87,xyz!A:AQ,2,FALSE)</f>
        <v>0.75294117647058822</v>
      </c>
      <c r="R87" t="str">
        <f t="shared" si="5"/>
        <v>Z</v>
      </c>
      <c r="S87" t="str">
        <f t="shared" si="6"/>
        <v>ACBZ</v>
      </c>
    </row>
    <row r="88" spans="1:19" x14ac:dyDescent="0.3">
      <c r="A88" t="s">
        <v>118</v>
      </c>
      <c r="B88">
        <v>124</v>
      </c>
      <c r="C88">
        <v>1215.6699999999998</v>
      </c>
      <c r="D88">
        <v>1456</v>
      </c>
      <c r="E88" s="10">
        <v>7.9384853958431711E-3</v>
      </c>
      <c r="F88" s="7">
        <v>0.50306950194620559</v>
      </c>
      <c r="G88" s="6">
        <v>0.16506181318681329</v>
      </c>
      <c r="H88" t="s">
        <v>173</v>
      </c>
      <c r="I88" s="10">
        <v>7.2571028245940099E-4</v>
      </c>
      <c r="J88" s="11">
        <v>0.99540981766788295</v>
      </c>
      <c r="K88" t="s">
        <v>175</v>
      </c>
      <c r="M88" s="8">
        <v>4.1860772966255113E-3</v>
      </c>
      <c r="N88" s="8">
        <v>0.90810450716989832</v>
      </c>
      <c r="O88" t="s">
        <v>175</v>
      </c>
      <c r="P88" t="str">
        <f t="shared" si="4"/>
        <v>ACC</v>
      </c>
      <c r="Q88" s="6">
        <f>VLOOKUP(A88,xyz!A:AQ,2,FALSE)</f>
        <v>0.71935483870967709</v>
      </c>
      <c r="R88" t="str">
        <f t="shared" si="5"/>
        <v>Z</v>
      </c>
      <c r="S88" t="str">
        <f t="shared" si="6"/>
        <v>ACCZ</v>
      </c>
    </row>
    <row r="89" spans="1:19" x14ac:dyDescent="0.3">
      <c r="A89" t="s">
        <v>153</v>
      </c>
      <c r="B89">
        <v>85</v>
      </c>
      <c r="C89">
        <v>876.30000000000064</v>
      </c>
      <c r="D89">
        <v>1029</v>
      </c>
      <c r="E89" s="10">
        <v>5.4417036987634637E-3</v>
      </c>
      <c r="F89" s="7">
        <v>0.67122134724657434</v>
      </c>
      <c r="G89" s="6">
        <v>0.14839650145772532</v>
      </c>
      <c r="H89" t="s">
        <v>173</v>
      </c>
      <c r="I89" s="10">
        <v>5.128817861612113E-4</v>
      </c>
      <c r="J89" s="11">
        <v>0.997616854158769</v>
      </c>
      <c r="K89" t="s">
        <v>175</v>
      </c>
      <c r="M89" s="8">
        <v>3.7634339139833574E-3</v>
      </c>
      <c r="N89" s="8">
        <v>0.96363008967858432</v>
      </c>
      <c r="O89" t="s">
        <v>175</v>
      </c>
      <c r="P89" t="str">
        <f t="shared" si="4"/>
        <v>ACC</v>
      </c>
      <c r="Q89" s="6">
        <f>VLOOKUP(A89,xyz!A:AQ,2,FALSE)</f>
        <v>0.97352941176470598</v>
      </c>
      <c r="R89" t="str">
        <f t="shared" si="5"/>
        <v>Z</v>
      </c>
      <c r="S89" t="str">
        <f t="shared" si="6"/>
        <v>ACCZ</v>
      </c>
    </row>
    <row r="90" spans="1:19" x14ac:dyDescent="0.3">
      <c r="A90" t="s">
        <v>88</v>
      </c>
      <c r="B90">
        <v>55.600000000000009</v>
      </c>
      <c r="C90">
        <v>8332.3900000000031</v>
      </c>
      <c r="D90">
        <v>12840</v>
      </c>
      <c r="E90" s="10">
        <v>3.5595144194264547E-3</v>
      </c>
      <c r="F90" s="7">
        <v>0.85006133880534773</v>
      </c>
      <c r="G90" s="6">
        <v>0.3510599688473518</v>
      </c>
      <c r="H90" t="s">
        <v>174</v>
      </c>
      <c r="I90" s="10">
        <v>6.3998077106996627E-3</v>
      </c>
      <c r="J90" s="11">
        <v>0.72894836086868886</v>
      </c>
      <c r="K90" t="s">
        <v>173</v>
      </c>
      <c r="M90" s="8">
        <v>8.9031141544697479E-3</v>
      </c>
      <c r="N90" s="8">
        <v>0.41060414399246514</v>
      </c>
      <c r="O90" t="s">
        <v>173</v>
      </c>
      <c r="P90" t="str">
        <f t="shared" si="4"/>
        <v>BAA</v>
      </c>
      <c r="Q90" s="6">
        <f>VLOOKUP(A90,xyz!A:AQ,2,FALSE)</f>
        <v>0.77913669064748203</v>
      </c>
      <c r="R90" t="str">
        <f t="shared" si="5"/>
        <v>Z</v>
      </c>
      <c r="S90" t="str">
        <f t="shared" si="6"/>
        <v>BAAZ</v>
      </c>
    </row>
    <row r="91" spans="1:19" x14ac:dyDescent="0.3">
      <c r="A91" t="s">
        <v>149</v>
      </c>
      <c r="B91">
        <v>60</v>
      </c>
      <c r="C91">
        <v>12972.089999999997</v>
      </c>
      <c r="D91">
        <v>17835</v>
      </c>
      <c r="E91" s="10">
        <v>3.8412026108918568E-3</v>
      </c>
      <c r="F91" s="7">
        <v>0.81314738171467682</v>
      </c>
      <c r="G91" s="6">
        <v>0.27266105971404564</v>
      </c>
      <c r="H91" t="s">
        <v>174</v>
      </c>
      <c r="I91" s="10">
        <v>8.8894525327358632E-3</v>
      </c>
      <c r="J91" s="11">
        <v>0.64936449411005359</v>
      </c>
      <c r="K91" t="s">
        <v>173</v>
      </c>
      <c r="M91" s="8">
        <v>6.9148657082242909E-3</v>
      </c>
      <c r="N91" s="8">
        <v>0.57736798176057136</v>
      </c>
      <c r="O91" t="s">
        <v>173</v>
      </c>
      <c r="P91" t="str">
        <f t="shared" si="4"/>
        <v>BAA</v>
      </c>
      <c r="Q91" s="6">
        <f>VLOOKUP(A91,xyz!A:AQ,2,FALSE)</f>
        <v>0.8666666666666667</v>
      </c>
      <c r="R91" t="str">
        <f t="shared" si="5"/>
        <v>Z</v>
      </c>
      <c r="S91" t="str">
        <f t="shared" si="6"/>
        <v>BAAZ</v>
      </c>
    </row>
    <row r="92" spans="1:19" x14ac:dyDescent="0.3">
      <c r="A92" t="s">
        <v>64</v>
      </c>
      <c r="B92">
        <v>51</v>
      </c>
      <c r="C92">
        <v>10283.199999999997</v>
      </c>
      <c r="D92">
        <v>14134</v>
      </c>
      <c r="E92" s="10">
        <v>3.2650222192580785E-3</v>
      </c>
      <c r="F92" s="7">
        <v>0.89692401067743432</v>
      </c>
      <c r="G92" s="6">
        <v>0.27244941276354911</v>
      </c>
      <c r="H92" t="s">
        <v>174</v>
      </c>
      <c r="I92" s="10">
        <v>7.0447727556876196E-3</v>
      </c>
      <c r="J92" s="11">
        <v>0.69565145726113709</v>
      </c>
      <c r="K92" t="s">
        <v>173</v>
      </c>
      <c r="M92" s="8">
        <v>6.909498200881021E-3</v>
      </c>
      <c r="N92" s="8">
        <v>0.58427747996145241</v>
      </c>
      <c r="O92" t="s">
        <v>173</v>
      </c>
      <c r="P92" t="str">
        <f t="shared" si="4"/>
        <v>BAA</v>
      </c>
      <c r="Q92" s="6">
        <f>VLOOKUP(A92,xyz!A:AQ,2,FALSE)</f>
        <v>0.74019607843137236</v>
      </c>
      <c r="R92" t="str">
        <f t="shared" si="5"/>
        <v>Z</v>
      </c>
      <c r="S92" t="str">
        <f t="shared" si="6"/>
        <v>BAAZ</v>
      </c>
    </row>
    <row r="93" spans="1:19" x14ac:dyDescent="0.3">
      <c r="A93" t="s">
        <v>128</v>
      </c>
      <c r="B93">
        <v>48</v>
      </c>
      <c r="C93">
        <v>13435.909999999994</v>
      </c>
      <c r="D93">
        <v>18104.169999999998</v>
      </c>
      <c r="E93" s="10">
        <v>3.0729620887134856E-3</v>
      </c>
      <c r="F93" s="7">
        <v>0.92842187210595362</v>
      </c>
      <c r="G93" s="6">
        <v>0.25785551063650003</v>
      </c>
      <c r="H93" t="s">
        <v>174</v>
      </c>
      <c r="I93" s="10">
        <v>9.0236142337864096E-3</v>
      </c>
      <c r="J93" s="11">
        <v>0.63152534911000902</v>
      </c>
      <c r="K93" t="s">
        <v>173</v>
      </c>
      <c r="M93" s="8">
        <v>6.5393871425826781E-3</v>
      </c>
      <c r="N93" s="8">
        <v>0.60445437698219084</v>
      </c>
      <c r="O93" t="s">
        <v>174</v>
      </c>
      <c r="P93" t="str">
        <f t="shared" si="4"/>
        <v>BAB</v>
      </c>
      <c r="Q93" s="6">
        <f>VLOOKUP(A93,xyz!A:AQ,2,FALSE)</f>
        <v>0.81666666666666676</v>
      </c>
      <c r="R93" t="str">
        <f t="shared" si="5"/>
        <v>Z</v>
      </c>
      <c r="S93" t="str">
        <f t="shared" si="6"/>
        <v>BABZ</v>
      </c>
    </row>
    <row r="94" spans="1:19" x14ac:dyDescent="0.3">
      <c r="A94" t="s">
        <v>136</v>
      </c>
      <c r="B94">
        <v>55</v>
      </c>
      <c r="C94">
        <v>16558.79</v>
      </c>
      <c r="D94">
        <v>22303</v>
      </c>
      <c r="E94" s="10">
        <v>3.5211023933175356E-3</v>
      </c>
      <c r="F94" s="7">
        <v>0.85358244119866522</v>
      </c>
      <c r="G94" s="6">
        <v>0.25755324395821189</v>
      </c>
      <c r="H94" t="s">
        <v>174</v>
      </c>
      <c r="I94" s="10">
        <v>1.1116426119293971E-2</v>
      </c>
      <c r="J94" s="11">
        <v>0.56209720961007092</v>
      </c>
      <c r="K94" t="s">
        <v>173</v>
      </c>
      <c r="M94" s="8">
        <v>6.5317214587089865E-3</v>
      </c>
      <c r="N94" s="8">
        <v>0.61098609844089979</v>
      </c>
      <c r="O94" t="s">
        <v>174</v>
      </c>
      <c r="P94" t="str">
        <f t="shared" si="4"/>
        <v>BAB</v>
      </c>
      <c r="Q94" s="6">
        <f>VLOOKUP(A94,xyz!A:AQ,2,FALSE)</f>
        <v>0.59545454545454546</v>
      </c>
      <c r="R94" t="str">
        <f t="shared" si="5"/>
        <v>Z</v>
      </c>
      <c r="S94" t="str">
        <f t="shared" si="6"/>
        <v>BABZ</v>
      </c>
    </row>
    <row r="95" spans="1:19" x14ac:dyDescent="0.3">
      <c r="A95" t="s">
        <v>29</v>
      </c>
      <c r="B95">
        <v>53.000000299999996</v>
      </c>
      <c r="C95">
        <v>26337.069999999996</v>
      </c>
      <c r="D95">
        <v>34956</v>
      </c>
      <c r="E95" s="10">
        <v>3.3930623254938199E-3</v>
      </c>
      <c r="F95" s="7">
        <v>0.86388966822376445</v>
      </c>
      <c r="G95" s="6">
        <v>0.2465651104245338</v>
      </c>
      <c r="H95" t="s">
        <v>174</v>
      </c>
      <c r="I95" s="10">
        <v>1.7423027907727213E-2</v>
      </c>
      <c r="J95" s="11">
        <v>0.38275872762811142</v>
      </c>
      <c r="K95" t="s">
        <v>173</v>
      </c>
      <c r="M95" s="8">
        <v>6.2530550886409405E-3</v>
      </c>
      <c r="N95" s="8">
        <v>0.61723915352954073</v>
      </c>
      <c r="O95" t="s">
        <v>174</v>
      </c>
      <c r="P95" t="str">
        <f t="shared" si="4"/>
        <v>BAB</v>
      </c>
      <c r="Q95" s="6">
        <f>VLOOKUP(A95,xyz!A:AQ,2,FALSE)</f>
        <v>0.84716981388394463</v>
      </c>
      <c r="R95" t="str">
        <f t="shared" si="5"/>
        <v>Z</v>
      </c>
      <c r="S95" t="str">
        <f t="shared" si="6"/>
        <v>BABZ</v>
      </c>
    </row>
    <row r="96" spans="1:19" x14ac:dyDescent="0.3">
      <c r="A96" t="s">
        <v>97</v>
      </c>
      <c r="B96">
        <v>54</v>
      </c>
      <c r="C96">
        <v>23052.029999999988</v>
      </c>
      <c r="D96">
        <v>30216</v>
      </c>
      <c r="E96" s="10">
        <v>3.4570823498026714E-3</v>
      </c>
      <c r="F96" s="7">
        <v>0.85703952354846791</v>
      </c>
      <c r="G96" s="6">
        <v>0.23709193804606871</v>
      </c>
      <c r="H96" t="s">
        <v>174</v>
      </c>
      <c r="I96" s="10">
        <v>1.5060482070599767E-2</v>
      </c>
      <c r="J96" s="11">
        <v>0.44759615646289769</v>
      </c>
      <c r="K96" t="s">
        <v>173</v>
      </c>
      <c r="M96" s="8">
        <v>6.0128091404419376E-3</v>
      </c>
      <c r="N96" s="8">
        <v>0.63560872028519644</v>
      </c>
      <c r="O96" t="s">
        <v>174</v>
      </c>
      <c r="P96" t="str">
        <f t="shared" si="4"/>
        <v>BAB</v>
      </c>
      <c r="Q96" s="6">
        <f>VLOOKUP(A96,xyz!A:AQ,2,FALSE)</f>
        <v>0.8314814814814816</v>
      </c>
      <c r="R96" t="str">
        <f t="shared" si="5"/>
        <v>Z</v>
      </c>
      <c r="S96" t="str">
        <f t="shared" si="6"/>
        <v>BABZ</v>
      </c>
    </row>
    <row r="97" spans="1:19" x14ac:dyDescent="0.3">
      <c r="A97" t="s">
        <v>54</v>
      </c>
      <c r="B97">
        <v>60</v>
      </c>
      <c r="C97">
        <v>40916.01999999999</v>
      </c>
      <c r="D97">
        <v>52823</v>
      </c>
      <c r="E97" s="10">
        <v>3.8412026108918568E-3</v>
      </c>
      <c r="F97" s="7">
        <v>0.80546497649289317</v>
      </c>
      <c r="G97" s="6">
        <v>0.22541279366942452</v>
      </c>
      <c r="H97" t="s">
        <v>174</v>
      </c>
      <c r="I97" s="10">
        <v>2.6328430117000645E-2</v>
      </c>
      <c r="J97" s="11">
        <v>0.20762591118259136</v>
      </c>
      <c r="K97" t="s">
        <v>173</v>
      </c>
      <c r="M97" s="8">
        <v>5.716618276091324E-3</v>
      </c>
      <c r="N97" s="8">
        <v>0.64705395885947448</v>
      </c>
      <c r="O97" t="s">
        <v>174</v>
      </c>
      <c r="P97" t="str">
        <f t="shared" si="4"/>
        <v>BAB</v>
      </c>
      <c r="Q97" s="6">
        <f>VLOOKUP(A97,xyz!A:AQ,2,FALSE)</f>
        <v>0.71666666666666667</v>
      </c>
      <c r="R97" t="str">
        <f t="shared" si="5"/>
        <v>Z</v>
      </c>
      <c r="S97" t="str">
        <f t="shared" si="6"/>
        <v>BABZ</v>
      </c>
    </row>
    <row r="98" spans="1:19" x14ac:dyDescent="0.3">
      <c r="A98" t="s">
        <v>84</v>
      </c>
      <c r="B98">
        <v>58</v>
      </c>
      <c r="C98">
        <v>9325.1699999999946</v>
      </c>
      <c r="D98">
        <v>11467</v>
      </c>
      <c r="E98" s="10">
        <v>3.7131625238621285E-3</v>
      </c>
      <c r="F98" s="7">
        <v>0.82819209194067001</v>
      </c>
      <c r="G98" s="6">
        <v>0.18678207028865487</v>
      </c>
      <c r="H98" t="s">
        <v>174</v>
      </c>
      <c r="I98" s="10">
        <v>5.7154669017595826E-3</v>
      </c>
      <c r="J98" s="11">
        <v>0.75864399697937057</v>
      </c>
      <c r="K98" t="s">
        <v>173</v>
      </c>
      <c r="M98" s="8">
        <v>4.7369174538700208E-3</v>
      </c>
      <c r="N98" s="8">
        <v>0.78394481994406273</v>
      </c>
      <c r="O98" t="s">
        <v>174</v>
      </c>
      <c r="P98" t="str">
        <f t="shared" ref="P98:P129" si="7">H98&amp;K98&amp;O98</f>
        <v>BAB</v>
      </c>
      <c r="Q98" s="6">
        <f>VLOOKUP(A98,xyz!A:AQ,2,FALSE)</f>
        <v>0.78965517241379313</v>
      </c>
      <c r="R98" t="str">
        <f t="shared" si="5"/>
        <v>Z</v>
      </c>
      <c r="S98" t="str">
        <f t="shared" si="6"/>
        <v>BABZ</v>
      </c>
    </row>
    <row r="99" spans="1:19" x14ac:dyDescent="0.3">
      <c r="A99" t="s">
        <v>70</v>
      </c>
      <c r="B99">
        <v>58</v>
      </c>
      <c r="C99">
        <v>9816.2800000000007</v>
      </c>
      <c r="D99">
        <v>11850.66</v>
      </c>
      <c r="E99" s="10">
        <v>3.7131625238621285E-3</v>
      </c>
      <c r="F99" s="7">
        <v>0.83561841698839423</v>
      </c>
      <c r="G99" s="6">
        <v>0.1716680758708797</v>
      </c>
      <c r="H99" t="s">
        <v>174</v>
      </c>
      <c r="I99" s="10">
        <v>5.9066935548972013E-3</v>
      </c>
      <c r="J99" s="11">
        <v>0.74715424874361913</v>
      </c>
      <c r="K99" t="s">
        <v>173</v>
      </c>
      <c r="M99" s="8">
        <v>4.3536165093810151E-3</v>
      </c>
      <c r="N99" s="8">
        <v>0.85704814408350327</v>
      </c>
      <c r="O99" t="s">
        <v>174</v>
      </c>
      <c r="P99" t="str">
        <f t="shared" si="7"/>
        <v>BAB</v>
      </c>
      <c r="Q99" s="6">
        <f>VLOOKUP(A99,xyz!A:AQ,2,FALSE)</f>
        <v>0.69482758620689677</v>
      </c>
      <c r="R99" t="str">
        <f t="shared" si="5"/>
        <v>Z</v>
      </c>
      <c r="S99" t="str">
        <f t="shared" si="6"/>
        <v>BABZ</v>
      </c>
    </row>
    <row r="100" spans="1:19" x14ac:dyDescent="0.3">
      <c r="A100" t="s">
        <v>40</v>
      </c>
      <c r="B100">
        <v>50</v>
      </c>
      <c r="C100">
        <v>8780.7000000000044</v>
      </c>
      <c r="D100">
        <v>10529</v>
      </c>
      <c r="E100" s="10">
        <v>3.2010021757432139E-3</v>
      </c>
      <c r="F100" s="7">
        <v>0.90972801939961334</v>
      </c>
      <c r="G100" s="6">
        <v>0.16604615822965102</v>
      </c>
      <c r="H100" t="s">
        <v>174</v>
      </c>
      <c r="I100" s="10">
        <v>5.2479420082520833E-3</v>
      </c>
      <c r="J100" s="11">
        <v>0.77478307592582341</v>
      </c>
      <c r="K100" t="s">
        <v>173</v>
      </c>
      <c r="M100" s="8">
        <v>4.2110409411918372E-3</v>
      </c>
      <c r="N100" s="8">
        <v>0.90391842987327287</v>
      </c>
      <c r="O100" t="s">
        <v>175</v>
      </c>
      <c r="P100" t="str">
        <f t="shared" si="7"/>
        <v>BAC</v>
      </c>
      <c r="Q100" s="6">
        <f>VLOOKUP(A100,xyz!A:AQ,2,FALSE)</f>
        <v>0.75</v>
      </c>
      <c r="R100" t="str">
        <f t="shared" si="5"/>
        <v>Z</v>
      </c>
      <c r="S100" t="str">
        <f t="shared" si="6"/>
        <v>BACZ</v>
      </c>
    </row>
    <row r="101" spans="1:19" x14ac:dyDescent="0.3">
      <c r="A101" t="s">
        <v>17</v>
      </c>
      <c r="B101">
        <v>47</v>
      </c>
      <c r="C101">
        <v>18371.259999999995</v>
      </c>
      <c r="D101">
        <v>21998</v>
      </c>
      <c r="E101" s="10">
        <v>3.0089420451986214E-3</v>
      </c>
      <c r="F101" s="7">
        <v>0.93450377623986569</v>
      </c>
      <c r="G101" s="6">
        <v>0.16486680607327964</v>
      </c>
      <c r="H101" t="s">
        <v>174</v>
      </c>
      <c r="I101" s="10">
        <v>1.0964405764795264E-2</v>
      </c>
      <c r="J101" s="11">
        <v>0.57306161537486622</v>
      </c>
      <c r="K101" t="s">
        <v>173</v>
      </c>
      <c r="M101" s="8">
        <v>4.1811317866078798E-3</v>
      </c>
      <c r="N101" s="8">
        <v>0.91228563895650616</v>
      </c>
      <c r="O101" t="s">
        <v>175</v>
      </c>
      <c r="P101" t="str">
        <f t="shared" si="7"/>
        <v>BAC</v>
      </c>
      <c r="Q101" s="6">
        <f>VLOOKUP(A101,xyz!A:AQ,2,FALSE)</f>
        <v>0.75425531914893618</v>
      </c>
      <c r="R101" t="str">
        <f t="shared" si="5"/>
        <v>Z</v>
      </c>
      <c r="S101" t="str">
        <f t="shared" si="6"/>
        <v>BACZ</v>
      </c>
    </row>
    <row r="102" spans="1:19" x14ac:dyDescent="0.3">
      <c r="A102" t="s">
        <v>83</v>
      </c>
      <c r="B102">
        <v>57</v>
      </c>
      <c r="C102">
        <v>11768.990000000005</v>
      </c>
      <c r="D102">
        <v>13892</v>
      </c>
      <c r="E102" s="10">
        <v>3.6491424803472643E-3</v>
      </c>
      <c r="F102" s="7">
        <v>0.83926755946874154</v>
      </c>
      <c r="G102" s="6">
        <v>0.15282248776274077</v>
      </c>
      <c r="H102" t="s">
        <v>174</v>
      </c>
      <c r="I102" s="10">
        <v>6.9241533268722521E-3</v>
      </c>
      <c r="J102" s="11">
        <v>0.70257561058800932</v>
      </c>
      <c r="K102" t="s">
        <v>173</v>
      </c>
      <c r="M102" s="8">
        <v>3.8756798685678473E-3</v>
      </c>
      <c r="N102" s="8">
        <v>0.94829305352148141</v>
      </c>
      <c r="O102" t="s">
        <v>175</v>
      </c>
      <c r="P102" t="str">
        <f t="shared" si="7"/>
        <v>BAC</v>
      </c>
      <c r="Q102" s="6">
        <f>VLOOKUP(A102,xyz!A:AQ,2,FALSE)</f>
        <v>0.8491228070175435</v>
      </c>
      <c r="R102" t="str">
        <f t="shared" si="5"/>
        <v>Z</v>
      </c>
      <c r="S102" t="str">
        <f t="shared" si="6"/>
        <v>BACZ</v>
      </c>
    </row>
    <row r="103" spans="1:19" x14ac:dyDescent="0.3">
      <c r="A103" t="s">
        <v>112</v>
      </c>
      <c r="B103">
        <v>53</v>
      </c>
      <c r="C103">
        <v>14785.509999999997</v>
      </c>
      <c r="D103">
        <v>17327.46</v>
      </c>
      <c r="E103" s="10">
        <v>3.3930623062878068E-3</v>
      </c>
      <c r="F103" s="7">
        <v>0.86728273053005223</v>
      </c>
      <c r="G103" s="6">
        <v>0.14670067049642607</v>
      </c>
      <c r="H103" t="s">
        <v>174</v>
      </c>
      <c r="I103" s="10">
        <v>8.6364806943021784E-3</v>
      </c>
      <c r="J103" s="11">
        <v>0.65800097480435582</v>
      </c>
      <c r="K103" t="s">
        <v>173</v>
      </c>
      <c r="M103" s="8">
        <v>3.7204265136104135E-3</v>
      </c>
      <c r="N103" s="8">
        <v>0.9673505161921947</v>
      </c>
      <c r="O103" t="s">
        <v>175</v>
      </c>
      <c r="P103" t="str">
        <f t="shared" si="7"/>
        <v>BAC</v>
      </c>
      <c r="Q103" s="6">
        <f>VLOOKUP(A103,xyz!A:AQ,2,FALSE)</f>
        <v>0.69716981132075462</v>
      </c>
      <c r="R103" t="str">
        <f t="shared" si="5"/>
        <v>Z</v>
      </c>
      <c r="S103" t="str">
        <f t="shared" si="6"/>
        <v>BACZ</v>
      </c>
    </row>
    <row r="104" spans="1:19" x14ac:dyDescent="0.3">
      <c r="A104" t="s">
        <v>87</v>
      </c>
      <c r="B104">
        <v>56</v>
      </c>
      <c r="C104">
        <v>18814.899999999994</v>
      </c>
      <c r="D104">
        <v>21859</v>
      </c>
      <c r="E104" s="10">
        <v>3.5851224368323997E-3</v>
      </c>
      <c r="F104" s="7">
        <v>0.84650182438592125</v>
      </c>
      <c r="G104" s="6">
        <v>0.1392607164097171</v>
      </c>
      <c r="H104" t="s">
        <v>174</v>
      </c>
      <c r="I104" s="10">
        <v>1.0895124357335197E-2</v>
      </c>
      <c r="J104" s="11">
        <v>0.58395673973220141</v>
      </c>
      <c r="K104" t="s">
        <v>173</v>
      </c>
      <c r="M104" s="8">
        <v>3.5317443327412363E-3</v>
      </c>
      <c r="N104" s="8">
        <v>0.98542281127320219</v>
      </c>
      <c r="O104" t="s">
        <v>175</v>
      </c>
      <c r="P104" t="str">
        <f t="shared" si="7"/>
        <v>BAC</v>
      </c>
      <c r="Q104" s="6">
        <f>VLOOKUP(A104,xyz!A:AQ,2,FALSE)</f>
        <v>0.80714285714285716</v>
      </c>
      <c r="R104" t="str">
        <f t="shared" si="5"/>
        <v>Z</v>
      </c>
      <c r="S104" t="str">
        <f t="shared" si="6"/>
        <v>BACZ</v>
      </c>
    </row>
    <row r="105" spans="1:19" x14ac:dyDescent="0.3">
      <c r="A105" t="s">
        <v>42</v>
      </c>
      <c r="B105">
        <v>52</v>
      </c>
      <c r="C105">
        <v>30049.479999999992</v>
      </c>
      <c r="D105">
        <v>34409</v>
      </c>
      <c r="E105" s="10">
        <v>3.3290422627729427E-3</v>
      </c>
      <c r="F105" s="7">
        <v>0.87400483509911298</v>
      </c>
      <c r="G105" s="6">
        <v>0.12669708506495417</v>
      </c>
      <c r="H105" t="s">
        <v>174</v>
      </c>
      <c r="I105" s="10">
        <v>1.7150388124413139E-2</v>
      </c>
      <c r="J105" s="11">
        <v>0.39990911575252458</v>
      </c>
      <c r="K105" t="s">
        <v>173</v>
      </c>
      <c r="M105" s="8">
        <v>3.2131222909733931E-3</v>
      </c>
      <c r="N105" s="8">
        <v>0.99208404467753797</v>
      </c>
      <c r="O105" t="s">
        <v>175</v>
      </c>
      <c r="P105" t="str">
        <f t="shared" si="7"/>
        <v>BAC</v>
      </c>
      <c r="Q105" s="6">
        <f>VLOOKUP(A105,xyz!A:AQ,2,FALSE)</f>
        <v>0.85000000000000009</v>
      </c>
      <c r="R105" t="str">
        <f t="shared" si="5"/>
        <v>Z</v>
      </c>
      <c r="S105" t="str">
        <f t="shared" si="6"/>
        <v>BACZ</v>
      </c>
    </row>
    <row r="106" spans="1:19" x14ac:dyDescent="0.3">
      <c r="A106" t="s">
        <v>150</v>
      </c>
      <c r="B106">
        <v>59</v>
      </c>
      <c r="C106">
        <v>4092</v>
      </c>
      <c r="D106">
        <v>6403</v>
      </c>
      <c r="E106" s="10">
        <v>3.7771825673769926E-3</v>
      </c>
      <c r="F106" s="7">
        <v>0.81692456428205384</v>
      </c>
      <c r="G106" s="6">
        <v>0.36092456660940186</v>
      </c>
      <c r="H106" t="s">
        <v>174</v>
      </c>
      <c r="I106" s="10">
        <v>3.1914305896892478E-3</v>
      </c>
      <c r="J106" s="11">
        <v>0.87590281399545067</v>
      </c>
      <c r="K106" t="s">
        <v>174</v>
      </c>
      <c r="M106" s="8">
        <v>9.1532869105712747E-3</v>
      </c>
      <c r="N106" s="8">
        <v>0.2572163709274492</v>
      </c>
      <c r="O106" t="s">
        <v>173</v>
      </c>
      <c r="P106" t="str">
        <f t="shared" si="7"/>
        <v>BBA</v>
      </c>
      <c r="Q106" s="6">
        <f>VLOOKUP(A106,xyz!A:AQ,2,FALSE)</f>
        <v>0.86101694915254234</v>
      </c>
      <c r="R106" t="str">
        <f t="shared" si="5"/>
        <v>Z</v>
      </c>
      <c r="S106" t="str">
        <f t="shared" si="6"/>
        <v>BBAZ</v>
      </c>
    </row>
    <row r="107" spans="1:19" x14ac:dyDescent="0.3">
      <c r="A107" t="s">
        <v>27</v>
      </c>
      <c r="B107">
        <v>58</v>
      </c>
      <c r="C107">
        <v>5817.6699999999992</v>
      </c>
      <c r="D107">
        <v>8925</v>
      </c>
      <c r="E107" s="10">
        <v>3.7131625238621285E-3</v>
      </c>
      <c r="F107" s="7">
        <v>0.83190525446453212</v>
      </c>
      <c r="G107" s="6">
        <v>0.34816022408963593</v>
      </c>
      <c r="H107" t="s">
        <v>174</v>
      </c>
      <c r="I107" s="10">
        <v>4.4484644718064247E-3</v>
      </c>
      <c r="J107" s="11">
        <v>0.81263430499892575</v>
      </c>
      <c r="K107" t="s">
        <v>174</v>
      </c>
      <c r="M107" s="8">
        <v>8.82957469999553E-3</v>
      </c>
      <c r="N107" s="8">
        <v>0.41943371869246066</v>
      </c>
      <c r="O107" t="s">
        <v>173</v>
      </c>
      <c r="P107" t="str">
        <f t="shared" si="7"/>
        <v>BBA</v>
      </c>
      <c r="Q107" s="6">
        <f>VLOOKUP(A107,xyz!A:AQ,2,FALSE)</f>
        <v>0.97758620689655162</v>
      </c>
      <c r="R107" t="str">
        <f t="shared" si="5"/>
        <v>Z</v>
      </c>
      <c r="S107" t="str">
        <f t="shared" si="6"/>
        <v>BBAZ</v>
      </c>
    </row>
    <row r="108" spans="1:19" x14ac:dyDescent="0.3">
      <c r="A108" t="s">
        <v>89</v>
      </c>
      <c r="B108">
        <v>44</v>
      </c>
      <c r="C108">
        <v>3502.2899999999995</v>
      </c>
      <c r="D108">
        <v>5058</v>
      </c>
      <c r="E108" s="10">
        <v>2.8168819146540285E-3</v>
      </c>
      <c r="F108" s="7">
        <v>0.94609140411605619</v>
      </c>
      <c r="G108" s="6">
        <v>0.30757413997627531</v>
      </c>
      <c r="H108" t="s">
        <v>174</v>
      </c>
      <c r="I108" s="10">
        <v>2.5210457477195403E-3</v>
      </c>
      <c r="J108" s="11">
        <v>0.91827469976378751</v>
      </c>
      <c r="K108" t="s">
        <v>174</v>
      </c>
      <c r="M108" s="8">
        <v>7.8002846298956272E-3</v>
      </c>
      <c r="N108" s="8">
        <v>0.4762108395625122</v>
      </c>
      <c r="O108" t="s">
        <v>173</v>
      </c>
      <c r="P108" t="str">
        <f t="shared" si="7"/>
        <v>BBA</v>
      </c>
      <c r="Q108" s="6">
        <f>VLOOKUP(A108,xyz!A:AQ,2,FALSE)</f>
        <v>0.81363636363636394</v>
      </c>
      <c r="R108" t="str">
        <f t="shared" si="5"/>
        <v>Z</v>
      </c>
      <c r="S108" t="str">
        <f t="shared" si="6"/>
        <v>BBAZ</v>
      </c>
    </row>
    <row r="109" spans="1:19" x14ac:dyDescent="0.3">
      <c r="A109" t="s">
        <v>96</v>
      </c>
      <c r="B109">
        <v>51</v>
      </c>
      <c r="C109">
        <v>3690.04</v>
      </c>
      <c r="D109">
        <v>5305</v>
      </c>
      <c r="E109" s="10">
        <v>3.2650222192580785E-3</v>
      </c>
      <c r="F109" s="7">
        <v>0.8903939662389182</v>
      </c>
      <c r="G109" s="6">
        <v>0.30442224316682376</v>
      </c>
      <c r="H109" t="s">
        <v>174</v>
      </c>
      <c r="I109" s="10">
        <v>2.644157313493903E-3</v>
      </c>
      <c r="J109" s="11">
        <v>0.90792975949861576</v>
      </c>
      <c r="K109" t="s">
        <v>174</v>
      </c>
      <c r="M109" s="8">
        <v>7.7203504317875597E-3</v>
      </c>
      <c r="N109" s="8">
        <v>0.49947581862921686</v>
      </c>
      <c r="O109" t="s">
        <v>173</v>
      </c>
      <c r="P109" t="str">
        <f t="shared" si="7"/>
        <v>BBA</v>
      </c>
      <c r="Q109" s="6">
        <f>VLOOKUP(A109,xyz!A:AQ,2,FALSE)</f>
        <v>0.69411764705882339</v>
      </c>
      <c r="R109" t="str">
        <f t="shared" si="5"/>
        <v>Z</v>
      </c>
      <c r="S109" t="str">
        <f t="shared" si="6"/>
        <v>BBAZ</v>
      </c>
    </row>
    <row r="110" spans="1:19" x14ac:dyDescent="0.3">
      <c r="A110" t="s">
        <v>147</v>
      </c>
      <c r="B110">
        <v>48</v>
      </c>
      <c r="C110">
        <v>6547.6599999999971</v>
      </c>
      <c r="D110">
        <v>9080</v>
      </c>
      <c r="E110" s="10">
        <v>3.0729620887134856E-3</v>
      </c>
      <c r="F110" s="7">
        <v>0.93149483419466705</v>
      </c>
      <c r="G110" s="6">
        <v>0.27889207048458181</v>
      </c>
      <c r="H110" t="s">
        <v>174</v>
      </c>
      <c r="I110" s="10">
        <v>4.5257207175352756E-3</v>
      </c>
      <c r="J110" s="11">
        <v>0.80371961210306919</v>
      </c>
      <c r="K110" t="s">
        <v>174</v>
      </c>
      <c r="M110" s="8">
        <v>7.0728882830281298E-3</v>
      </c>
      <c r="N110" s="8">
        <v>0.54265943525929294</v>
      </c>
      <c r="O110" t="s">
        <v>173</v>
      </c>
      <c r="P110" t="str">
        <f t="shared" si="7"/>
        <v>BBA</v>
      </c>
      <c r="Q110" s="6">
        <f>VLOOKUP(A110,xyz!A:AQ,2,FALSE)</f>
        <v>0.8666666666666667</v>
      </c>
      <c r="R110" t="str">
        <f t="shared" si="5"/>
        <v>Z</v>
      </c>
      <c r="S110" t="str">
        <f t="shared" si="6"/>
        <v>BBAZ</v>
      </c>
    </row>
    <row r="111" spans="1:19" x14ac:dyDescent="0.3">
      <c r="A111" t="s">
        <v>152</v>
      </c>
      <c r="B111">
        <v>49</v>
      </c>
      <c r="C111">
        <v>5524.0600000000013</v>
      </c>
      <c r="D111">
        <v>6901</v>
      </c>
      <c r="E111" s="10">
        <v>3.1369821322283498E-3</v>
      </c>
      <c r="F111" s="7">
        <v>0.9192029858398133</v>
      </c>
      <c r="G111" s="6">
        <v>0.19952760469497155</v>
      </c>
      <c r="H111" t="s">
        <v>174</v>
      </c>
      <c r="I111" s="10">
        <v>3.4396474308051694E-3</v>
      </c>
      <c r="J111" s="11">
        <v>0.85614796331502641</v>
      </c>
      <c r="K111" t="s">
        <v>174</v>
      </c>
      <c r="M111" s="8">
        <v>5.0601526781872096E-3</v>
      </c>
      <c r="N111" s="8">
        <v>0.70581052315764503</v>
      </c>
      <c r="O111" t="s">
        <v>174</v>
      </c>
      <c r="P111" t="str">
        <f t="shared" si="7"/>
        <v>BBB</v>
      </c>
      <c r="Q111" s="6">
        <f>VLOOKUP(A111,xyz!A:AQ,2,FALSE)</f>
        <v>0.63775510204081642</v>
      </c>
      <c r="R111" t="str">
        <f t="shared" si="5"/>
        <v>Z</v>
      </c>
      <c r="S111" t="str">
        <f t="shared" si="6"/>
        <v>BBBZ</v>
      </c>
    </row>
    <row r="112" spans="1:19" x14ac:dyDescent="0.3">
      <c r="A112" t="s">
        <v>123</v>
      </c>
      <c r="B112">
        <v>51</v>
      </c>
      <c r="C112">
        <v>3222.72</v>
      </c>
      <c r="D112">
        <v>4019</v>
      </c>
      <c r="E112" s="10">
        <v>3.2650222192580785E-3</v>
      </c>
      <c r="F112" s="7">
        <v>0.88712894401966014</v>
      </c>
      <c r="G112" s="6">
        <v>0.19812888778303064</v>
      </c>
      <c r="H112" t="s">
        <v>174</v>
      </c>
      <c r="I112" s="10">
        <v>2.0031796876403382E-3</v>
      </c>
      <c r="J112" s="11">
        <v>0.94899238616272263</v>
      </c>
      <c r="K112" t="s">
        <v>174</v>
      </c>
      <c r="M112" s="8">
        <v>5.0246802875934188E-3</v>
      </c>
      <c r="N112" s="8">
        <v>0.72091693586970518</v>
      </c>
      <c r="O112" t="s">
        <v>174</v>
      </c>
      <c r="P112" t="str">
        <f t="shared" si="7"/>
        <v>BBB</v>
      </c>
      <c r="Q112" s="6">
        <f>VLOOKUP(A112,xyz!A:AQ,2,FALSE)</f>
        <v>0.957843137254902</v>
      </c>
      <c r="R112" t="str">
        <f t="shared" si="5"/>
        <v>Z</v>
      </c>
      <c r="S112" t="str">
        <f t="shared" si="6"/>
        <v>BBBZ</v>
      </c>
    </row>
    <row r="113" spans="1:19" x14ac:dyDescent="0.3">
      <c r="A113" t="s">
        <v>114</v>
      </c>
      <c r="B113">
        <v>53</v>
      </c>
      <c r="C113">
        <v>3966.8200000000033</v>
      </c>
      <c r="D113">
        <v>4905</v>
      </c>
      <c r="E113" s="10">
        <v>3.3930623062878068E-3</v>
      </c>
      <c r="F113" s="7">
        <v>0.87067579283634</v>
      </c>
      <c r="G113" s="6">
        <v>0.19127013251783825</v>
      </c>
      <c r="H113" t="s">
        <v>174</v>
      </c>
      <c r="I113" s="10">
        <v>2.4447863567742872E-3</v>
      </c>
      <c r="J113" s="11">
        <v>0.92071948612056176</v>
      </c>
      <c r="K113" t="s">
        <v>174</v>
      </c>
      <c r="M113" s="8">
        <v>4.8507376951523809E-3</v>
      </c>
      <c r="N113" s="8">
        <v>0.75523327045594579</v>
      </c>
      <c r="O113" t="s">
        <v>174</v>
      </c>
      <c r="P113" t="str">
        <f t="shared" si="7"/>
        <v>BBB</v>
      </c>
      <c r="Q113" s="6">
        <f>VLOOKUP(A113,xyz!A:AQ,2,FALSE)</f>
        <v>0.73396226415094368</v>
      </c>
      <c r="R113" t="str">
        <f t="shared" si="5"/>
        <v>Z</v>
      </c>
      <c r="S113" t="str">
        <f t="shared" si="6"/>
        <v>BBBZ</v>
      </c>
    </row>
    <row r="114" spans="1:19" x14ac:dyDescent="0.3">
      <c r="A114" t="s">
        <v>13</v>
      </c>
      <c r="B114">
        <v>60</v>
      </c>
      <c r="C114">
        <v>7254.2800000000025</v>
      </c>
      <c r="D114">
        <v>8736.869999999999</v>
      </c>
      <c r="E114" s="10">
        <v>3.8412026108918568E-3</v>
      </c>
      <c r="F114" s="7">
        <v>0.809306179103785</v>
      </c>
      <c r="G114" s="6">
        <v>0.16969349435209596</v>
      </c>
      <c r="H114" t="s">
        <v>174</v>
      </c>
      <c r="I114" s="10">
        <v>4.3546953265872707E-3</v>
      </c>
      <c r="J114" s="11">
        <v>0.82137516137334454</v>
      </c>
      <c r="K114" t="s">
        <v>174</v>
      </c>
      <c r="M114" s="8">
        <v>4.3035398095887861E-3</v>
      </c>
      <c r="N114" s="8">
        <v>0.8700002400878567</v>
      </c>
      <c r="O114" t="s">
        <v>174</v>
      </c>
      <c r="P114" t="str">
        <f t="shared" si="7"/>
        <v>BBB</v>
      </c>
      <c r="Q114" s="6">
        <f>VLOOKUP(A114,xyz!A:AQ,2,FALSE)</f>
        <v>0.83333333333333337</v>
      </c>
      <c r="R114" t="str">
        <f t="shared" si="5"/>
        <v>Z</v>
      </c>
      <c r="S114" t="str">
        <f t="shared" si="6"/>
        <v>BBBZ</v>
      </c>
    </row>
    <row r="115" spans="1:19" x14ac:dyDescent="0.3">
      <c r="A115" t="s">
        <v>43</v>
      </c>
      <c r="B115">
        <v>50.000000299999996</v>
      </c>
      <c r="C115">
        <v>6998.9299999999985</v>
      </c>
      <c r="D115">
        <v>8396</v>
      </c>
      <c r="E115" s="10">
        <v>3.201002194949227E-3</v>
      </c>
      <c r="F115" s="7">
        <v>0.90012501287238356</v>
      </c>
      <c r="G115" s="6">
        <v>0.16639709385421647</v>
      </c>
      <c r="H115" t="s">
        <v>174</v>
      </c>
      <c r="I115" s="10">
        <v>4.1847963815447326E-3</v>
      </c>
      <c r="J115" s="11">
        <v>0.82555995775488933</v>
      </c>
      <c r="K115" t="s">
        <v>174</v>
      </c>
      <c r="M115" s="8">
        <v>4.2199409018926675E-3</v>
      </c>
      <c r="N115" s="8">
        <v>0.89549262127990947</v>
      </c>
      <c r="O115" t="s">
        <v>174</v>
      </c>
      <c r="P115" t="str">
        <f t="shared" si="7"/>
        <v>BBB</v>
      </c>
      <c r="Q115" s="6">
        <f>VLOOKUP(A115,xyz!A:AQ,2,FALSE)</f>
        <v>0.8199999908800002</v>
      </c>
      <c r="R115" t="str">
        <f t="shared" si="5"/>
        <v>Z</v>
      </c>
      <c r="S115" t="str">
        <f t="shared" si="6"/>
        <v>BBBZ</v>
      </c>
    </row>
    <row r="116" spans="1:19" x14ac:dyDescent="0.3">
      <c r="A116" t="s">
        <v>154</v>
      </c>
      <c r="B116">
        <v>48</v>
      </c>
      <c r="C116">
        <v>6061.1799999999985</v>
      </c>
      <c r="D116">
        <v>7153.48</v>
      </c>
      <c r="E116" s="10">
        <v>3.0729620887134856E-3</v>
      </c>
      <c r="F116" s="7">
        <v>0.92534891001724018</v>
      </c>
      <c r="G116" s="6">
        <v>0.15269491212668534</v>
      </c>
      <c r="H116" t="s">
        <v>174</v>
      </c>
      <c r="I116" s="10">
        <v>3.5654903786865905E-3</v>
      </c>
      <c r="J116" s="11">
        <v>0.85270831588422125</v>
      </c>
      <c r="K116" t="s">
        <v>174</v>
      </c>
      <c r="M116" s="8">
        <v>3.8724444656397954E-3</v>
      </c>
      <c r="N116" s="8">
        <v>0.95216549798712125</v>
      </c>
      <c r="O116" t="s">
        <v>175</v>
      </c>
      <c r="P116" t="str">
        <f t="shared" si="7"/>
        <v>BBC</v>
      </c>
      <c r="Q116" s="6">
        <f>VLOOKUP(A116,xyz!A:AQ,2,FALSE)</f>
        <v>1.0583333333333336</v>
      </c>
      <c r="R116" t="str">
        <f t="shared" si="5"/>
        <v>Z</v>
      </c>
      <c r="S116" t="str">
        <f t="shared" si="6"/>
        <v>BBCZ</v>
      </c>
    </row>
    <row r="117" spans="1:19" x14ac:dyDescent="0.3">
      <c r="A117" t="s">
        <v>109</v>
      </c>
      <c r="B117">
        <v>45</v>
      </c>
      <c r="C117">
        <v>3933.6999999999994</v>
      </c>
      <c r="D117">
        <v>4598</v>
      </c>
      <c r="E117" s="10">
        <v>2.8809019581688927E-3</v>
      </c>
      <c r="F117" s="7">
        <v>0.94039362024323325</v>
      </c>
      <c r="G117" s="6">
        <v>0.14447585906916063</v>
      </c>
      <c r="H117" t="s">
        <v>174</v>
      </c>
      <c r="I117" s="10">
        <v>2.2917691474919821E-3</v>
      </c>
      <c r="J117" s="11">
        <v>0.93009600688483751</v>
      </c>
      <c r="K117" t="s">
        <v>174</v>
      </c>
      <c r="M117" s="8">
        <v>3.6640038170148758E-3</v>
      </c>
      <c r="N117" s="8">
        <v>0.97469069946150211</v>
      </c>
      <c r="O117" t="s">
        <v>175</v>
      </c>
      <c r="P117" t="str">
        <f t="shared" si="7"/>
        <v>BBC</v>
      </c>
      <c r="Q117" s="6">
        <f>VLOOKUP(A117,xyz!A:AQ,2,FALSE)</f>
        <v>1.3666666666666667</v>
      </c>
      <c r="R117" t="str">
        <f t="shared" si="5"/>
        <v>Z</v>
      </c>
      <c r="S117" t="str">
        <f t="shared" si="6"/>
        <v>BBCZ</v>
      </c>
    </row>
    <row r="118" spans="1:19" x14ac:dyDescent="0.3">
      <c r="A118" t="s">
        <v>53</v>
      </c>
      <c r="B118">
        <v>54</v>
      </c>
      <c r="C118">
        <v>1173.6000000000001</v>
      </c>
      <c r="D118">
        <v>1915</v>
      </c>
      <c r="E118" s="10">
        <v>3.4570823498026714E-3</v>
      </c>
      <c r="F118" s="7">
        <v>0.86049660589827059</v>
      </c>
      <c r="G118" s="6">
        <v>0.38715404699738898</v>
      </c>
      <c r="H118" t="s">
        <v>174</v>
      </c>
      <c r="I118" s="10">
        <v>9.5448845529516005E-4</v>
      </c>
      <c r="J118" s="11">
        <v>0.98911866214432154</v>
      </c>
      <c r="K118" t="s">
        <v>175</v>
      </c>
      <c r="M118" s="8">
        <v>9.8184839675681552E-3</v>
      </c>
      <c r="N118" s="8">
        <v>0.15249677500036832</v>
      </c>
      <c r="O118" t="s">
        <v>173</v>
      </c>
      <c r="P118" t="str">
        <f t="shared" si="7"/>
        <v>BCA</v>
      </c>
      <c r="Q118" s="6">
        <f>VLOOKUP(A118,xyz!A:AQ,2,FALSE)</f>
        <v>0.91666666666666696</v>
      </c>
      <c r="R118" t="str">
        <f t="shared" si="5"/>
        <v>Z</v>
      </c>
      <c r="S118" t="str">
        <f t="shared" si="6"/>
        <v>BCAZ</v>
      </c>
    </row>
    <row r="119" spans="1:19" x14ac:dyDescent="0.3">
      <c r="A119" t="s">
        <v>15</v>
      </c>
      <c r="B119">
        <v>47</v>
      </c>
      <c r="C119">
        <v>1973.0700000000002</v>
      </c>
      <c r="D119">
        <v>3160</v>
      </c>
      <c r="E119" s="10">
        <v>3.0089420451986214E-3</v>
      </c>
      <c r="F119" s="7">
        <v>0.93751271828506433</v>
      </c>
      <c r="G119" s="6">
        <v>0.37561075949367084</v>
      </c>
      <c r="H119" t="s">
        <v>174</v>
      </c>
      <c r="I119" s="10">
        <v>1.5750305580849637E-3</v>
      </c>
      <c r="J119" s="11">
        <v>0.96679391983178187</v>
      </c>
      <c r="K119" t="s">
        <v>175</v>
      </c>
      <c r="M119" s="8">
        <v>9.5257385238170511E-3</v>
      </c>
      <c r="N119" s="8">
        <v>0.22038930486973679</v>
      </c>
      <c r="O119" t="s">
        <v>173</v>
      </c>
      <c r="P119" t="str">
        <f t="shared" si="7"/>
        <v>BCA</v>
      </c>
      <c r="Q119" s="6">
        <f>VLOOKUP(A119,xyz!A:AQ,2,FALSE)</f>
        <v>0.74680851063829801</v>
      </c>
      <c r="R119" t="str">
        <f t="shared" si="5"/>
        <v>Z</v>
      </c>
      <c r="S119" t="str">
        <f t="shared" si="6"/>
        <v>BCAZ</v>
      </c>
    </row>
    <row r="120" spans="1:19" x14ac:dyDescent="0.3">
      <c r="A120" t="s">
        <v>101</v>
      </c>
      <c r="B120">
        <v>45</v>
      </c>
      <c r="C120">
        <v>1449.0199999999998</v>
      </c>
      <c r="D120">
        <v>2273</v>
      </c>
      <c r="E120" s="10">
        <v>2.8809019581688927E-3</v>
      </c>
      <c r="F120" s="7">
        <v>0.94327452220140218</v>
      </c>
      <c r="G120" s="6">
        <v>0.36250769907611097</v>
      </c>
      <c r="H120" t="s">
        <v>174</v>
      </c>
      <c r="I120" s="10">
        <v>1.1329254615592161E-3</v>
      </c>
      <c r="J120" s="11">
        <v>0.97999319427302112</v>
      </c>
      <c r="K120" t="s">
        <v>175</v>
      </c>
      <c r="M120" s="8">
        <v>9.1934362022123486E-3</v>
      </c>
      <c r="N120" s="8">
        <v>0.23888306814051025</v>
      </c>
      <c r="O120" t="s">
        <v>173</v>
      </c>
      <c r="P120" t="str">
        <f t="shared" si="7"/>
        <v>BCA</v>
      </c>
      <c r="Q120" s="6">
        <f>VLOOKUP(A120,xyz!A:AQ,2,FALSE)</f>
        <v>0.77222222222222225</v>
      </c>
      <c r="R120" t="str">
        <f t="shared" si="5"/>
        <v>Z</v>
      </c>
      <c r="S120" t="str">
        <f t="shared" si="6"/>
        <v>BCAZ</v>
      </c>
    </row>
    <row r="121" spans="1:19" x14ac:dyDescent="0.3">
      <c r="A121" t="s">
        <v>80</v>
      </c>
      <c r="B121">
        <v>50</v>
      </c>
      <c r="C121">
        <v>1239.5800000000011</v>
      </c>
      <c r="D121">
        <v>1936</v>
      </c>
      <c r="E121" s="10">
        <v>3.2010021757432139E-3</v>
      </c>
      <c r="F121" s="7">
        <v>0.90652701722387008</v>
      </c>
      <c r="G121" s="6">
        <v>0.35972107438016476</v>
      </c>
      <c r="H121" t="s">
        <v>174</v>
      </c>
      <c r="I121" s="10">
        <v>9.6495543052293987E-4</v>
      </c>
      <c r="J121" s="11">
        <v>0.98624397219357285</v>
      </c>
      <c r="K121" t="s">
        <v>175</v>
      </c>
      <c r="M121" s="8">
        <v>9.1227655476938847E-3</v>
      </c>
      <c r="N121" s="8">
        <v>0.2846356444770311</v>
      </c>
      <c r="O121" t="s">
        <v>173</v>
      </c>
      <c r="P121" t="str">
        <f t="shared" si="7"/>
        <v>BCA</v>
      </c>
      <c r="Q121" s="6">
        <f>VLOOKUP(A121,xyz!A:AQ,2,FALSE)</f>
        <v>1.31</v>
      </c>
      <c r="R121" t="str">
        <f t="shared" si="5"/>
        <v>Z</v>
      </c>
      <c r="S121" t="str">
        <f t="shared" si="6"/>
        <v>BCAZ</v>
      </c>
    </row>
    <row r="122" spans="1:19" x14ac:dyDescent="0.3">
      <c r="A122" t="s">
        <v>61</v>
      </c>
      <c r="B122">
        <v>52</v>
      </c>
      <c r="C122">
        <v>1716.1</v>
      </c>
      <c r="D122">
        <v>2676</v>
      </c>
      <c r="E122" s="10">
        <v>3.3290422627729427E-3</v>
      </c>
      <c r="F122" s="7">
        <v>0.87733387736188595</v>
      </c>
      <c r="G122" s="6">
        <v>0.35870702541106131</v>
      </c>
      <c r="H122" t="s">
        <v>174</v>
      </c>
      <c r="I122" s="10">
        <v>1.3337917004542289E-3</v>
      </c>
      <c r="J122" s="11">
        <v>0.9739811630731412</v>
      </c>
      <c r="K122" t="s">
        <v>175</v>
      </c>
      <c r="M122" s="8">
        <v>9.0970485918136883E-3</v>
      </c>
      <c r="N122" s="8">
        <v>0.29373269306884481</v>
      </c>
      <c r="O122" t="s">
        <v>173</v>
      </c>
      <c r="P122" t="str">
        <f t="shared" si="7"/>
        <v>BCA</v>
      </c>
      <c r="Q122" s="6">
        <f>VLOOKUP(A122,xyz!A:AQ,2,FALSE)</f>
        <v>0.69615384615384601</v>
      </c>
      <c r="R122" t="str">
        <f t="shared" si="5"/>
        <v>Z</v>
      </c>
      <c r="S122" t="str">
        <f t="shared" si="6"/>
        <v>BCAZ</v>
      </c>
    </row>
    <row r="123" spans="1:19" x14ac:dyDescent="0.3">
      <c r="A123" t="s">
        <v>16</v>
      </c>
      <c r="B123">
        <v>48</v>
      </c>
      <c r="C123">
        <v>2062.0299999999993</v>
      </c>
      <c r="D123">
        <v>3207</v>
      </c>
      <c r="E123" s="10">
        <v>3.0729620887134856E-3</v>
      </c>
      <c r="F123" s="7">
        <v>0.92227594792852674</v>
      </c>
      <c r="G123" s="6">
        <v>0.3570221390707829</v>
      </c>
      <c r="H123" t="s">
        <v>174</v>
      </c>
      <c r="I123" s="10">
        <v>1.5984566454995187E-3</v>
      </c>
      <c r="J123" s="11">
        <v>0.96521888927369692</v>
      </c>
      <c r="K123" t="s">
        <v>175</v>
      </c>
      <c r="M123" s="8">
        <v>9.0543187543045654E-3</v>
      </c>
      <c r="N123" s="8">
        <v>0.30278701182314938</v>
      </c>
      <c r="O123" t="s">
        <v>173</v>
      </c>
      <c r="P123" t="str">
        <f t="shared" si="7"/>
        <v>BCA</v>
      </c>
      <c r="Q123" s="6">
        <f>VLOOKUP(A123,xyz!A:AQ,2,FALSE)</f>
        <v>0.84166666666666656</v>
      </c>
      <c r="R123" t="str">
        <f t="shared" si="5"/>
        <v>Z</v>
      </c>
      <c r="S123" t="str">
        <f t="shared" si="6"/>
        <v>BCAZ</v>
      </c>
    </row>
    <row r="124" spans="1:19" x14ac:dyDescent="0.3">
      <c r="A124" t="s">
        <v>143</v>
      </c>
      <c r="B124">
        <v>49</v>
      </c>
      <c r="C124">
        <v>2350.610000000001</v>
      </c>
      <c r="D124">
        <v>3578</v>
      </c>
      <c r="E124" s="10">
        <v>3.1369821322283498E-3</v>
      </c>
      <c r="F124" s="7">
        <v>0.91606600370758495</v>
      </c>
      <c r="G124" s="6">
        <v>0.3430380100614866</v>
      </c>
      <c r="H124" t="s">
        <v>174</v>
      </c>
      <c r="I124" s="10">
        <v>1.7833732078569621E-3</v>
      </c>
      <c r="J124" s="11">
        <v>0.96197761594482778</v>
      </c>
      <c r="K124" t="s">
        <v>175</v>
      </c>
      <c r="M124" s="8">
        <v>8.6996719475798331E-3</v>
      </c>
      <c r="N124" s="8">
        <v>0.42813339064004047</v>
      </c>
      <c r="O124" t="s">
        <v>173</v>
      </c>
      <c r="P124" t="str">
        <f t="shared" si="7"/>
        <v>BCA</v>
      </c>
      <c r="Q124" s="6">
        <f>VLOOKUP(A124,xyz!A:AQ,2,FALSE)</f>
        <v>0.72857142857142887</v>
      </c>
      <c r="R124" t="str">
        <f t="shared" si="5"/>
        <v>Z</v>
      </c>
      <c r="S124" t="str">
        <f t="shared" si="6"/>
        <v>BCAZ</v>
      </c>
    </row>
    <row r="125" spans="1:19" x14ac:dyDescent="0.3">
      <c r="A125" t="s">
        <v>144</v>
      </c>
      <c r="B125">
        <v>50</v>
      </c>
      <c r="C125">
        <v>2674.0499999999993</v>
      </c>
      <c r="D125">
        <v>3822.4</v>
      </c>
      <c r="E125" s="10">
        <v>3.2010021757432139E-3</v>
      </c>
      <c r="F125" s="7">
        <v>0.9129290215753566</v>
      </c>
      <c r="G125" s="6">
        <v>0.30042643365424887</v>
      </c>
      <c r="H125" t="s">
        <v>174</v>
      </c>
      <c r="I125" s="10">
        <v>1.9051888624126473E-3</v>
      </c>
      <c r="J125" s="11">
        <v>0.95089757502513528</v>
      </c>
      <c r="K125" t="s">
        <v>175</v>
      </c>
      <c r="M125" s="8">
        <v>7.6190140465916762E-3</v>
      </c>
      <c r="N125" s="8">
        <v>0.50709483267580857</v>
      </c>
      <c r="O125" t="s">
        <v>173</v>
      </c>
      <c r="P125" t="str">
        <f t="shared" si="7"/>
        <v>BCA</v>
      </c>
      <c r="Q125" s="6">
        <f>VLOOKUP(A125,xyz!A:AQ,2,FALSE)</f>
        <v>0.86999999999999988</v>
      </c>
      <c r="R125" t="str">
        <f t="shared" si="5"/>
        <v>Z</v>
      </c>
      <c r="S125" t="str">
        <f t="shared" si="6"/>
        <v>BCAZ</v>
      </c>
    </row>
    <row r="126" spans="1:19" x14ac:dyDescent="0.3">
      <c r="A126" t="s">
        <v>60</v>
      </c>
      <c r="B126">
        <v>51</v>
      </c>
      <c r="C126">
        <v>2995.49</v>
      </c>
      <c r="D126">
        <v>3715</v>
      </c>
      <c r="E126" s="10">
        <v>3.2650222192580785E-3</v>
      </c>
      <c r="F126" s="7">
        <v>0.88386392180040207</v>
      </c>
      <c r="G126" s="6">
        <v>0.19367698519515483</v>
      </c>
      <c r="H126" t="s">
        <v>174</v>
      </c>
      <c r="I126" s="10">
        <v>1.8516577605334305E-3</v>
      </c>
      <c r="J126" s="11">
        <v>0.95654974164813633</v>
      </c>
      <c r="K126" t="s">
        <v>175</v>
      </c>
      <c r="M126" s="8">
        <v>4.9117770788494105E-3</v>
      </c>
      <c r="N126" s="8">
        <v>0.73576448911283332</v>
      </c>
      <c r="O126" t="s">
        <v>174</v>
      </c>
      <c r="P126" t="str">
        <f t="shared" si="7"/>
        <v>BCB</v>
      </c>
      <c r="Q126" s="6">
        <f>VLOOKUP(A126,xyz!A:AQ,2,FALSE)</f>
        <v>0.84705882352941186</v>
      </c>
      <c r="R126" t="str">
        <f t="shared" si="5"/>
        <v>Z</v>
      </c>
      <c r="S126" t="str">
        <f t="shared" si="6"/>
        <v>BCBZ</v>
      </c>
    </row>
    <row r="127" spans="1:19" x14ac:dyDescent="0.3">
      <c r="A127" t="s">
        <v>126</v>
      </c>
      <c r="B127">
        <v>57</v>
      </c>
      <c r="C127">
        <v>1676.5299999999991</v>
      </c>
      <c r="D127">
        <v>2074</v>
      </c>
      <c r="E127" s="10">
        <v>3.6491424803472643E-3</v>
      </c>
      <c r="F127" s="7">
        <v>0.84291670194908885</v>
      </c>
      <c r="G127" s="6">
        <v>0.19164416586306698</v>
      </c>
      <c r="H127" t="s">
        <v>174</v>
      </c>
      <c r="I127" s="10">
        <v>1.0337384105912073E-3</v>
      </c>
      <c r="J127" s="11">
        <v>0.98428365726162725</v>
      </c>
      <c r="K127" t="s">
        <v>175</v>
      </c>
      <c r="M127" s="8">
        <v>4.8602234294019544E-3</v>
      </c>
      <c r="N127" s="8">
        <v>0.75038253276079336</v>
      </c>
      <c r="O127" t="s">
        <v>174</v>
      </c>
      <c r="P127" t="str">
        <f t="shared" si="7"/>
        <v>BCB</v>
      </c>
      <c r="Q127" s="6">
        <f>VLOOKUP(A127,xyz!A:AQ,2,FALSE)</f>
        <v>1.7</v>
      </c>
      <c r="R127" t="str">
        <f t="shared" si="5"/>
        <v>Z</v>
      </c>
      <c r="S127" t="str">
        <f t="shared" si="6"/>
        <v>BCBZ</v>
      </c>
    </row>
    <row r="128" spans="1:19" x14ac:dyDescent="0.3">
      <c r="A128" t="s">
        <v>151</v>
      </c>
      <c r="B128">
        <v>51</v>
      </c>
      <c r="C128">
        <v>1232.8700000000001</v>
      </c>
      <c r="D128">
        <v>1517</v>
      </c>
      <c r="E128" s="10">
        <v>3.2650222192580785E-3</v>
      </c>
      <c r="F128" s="7">
        <v>0.89365898845817626</v>
      </c>
      <c r="G128" s="6">
        <v>0.18729729729729722</v>
      </c>
      <c r="H128" t="s">
        <v>174</v>
      </c>
      <c r="I128" s="10">
        <v>7.5611435335914241E-4</v>
      </c>
      <c r="J128" s="11">
        <v>0.99393995528946755</v>
      </c>
      <c r="K128" t="s">
        <v>175</v>
      </c>
      <c r="M128" s="8">
        <v>4.7499839532731559E-3</v>
      </c>
      <c r="N128" s="8">
        <v>0.77920790249019267</v>
      </c>
      <c r="O128" t="s">
        <v>174</v>
      </c>
      <c r="P128" t="str">
        <f t="shared" si="7"/>
        <v>BCB</v>
      </c>
      <c r="Q128" s="6">
        <f>VLOOKUP(A128,xyz!A:AQ,2,FALSE)</f>
        <v>0.82941176470588229</v>
      </c>
      <c r="R128" t="str">
        <f t="shared" si="5"/>
        <v>Z</v>
      </c>
      <c r="S128" t="str">
        <f t="shared" si="6"/>
        <v>BCBZ</v>
      </c>
    </row>
    <row r="129" spans="1:19" x14ac:dyDescent="0.3">
      <c r="A129" t="s">
        <v>76</v>
      </c>
      <c r="B129">
        <v>50</v>
      </c>
      <c r="C129">
        <v>1571.1099999999992</v>
      </c>
      <c r="D129">
        <v>1929.52</v>
      </c>
      <c r="E129" s="10">
        <v>3.2010021757432139E-3</v>
      </c>
      <c r="F129" s="7">
        <v>0.90332601504812682</v>
      </c>
      <c r="G129" s="6">
        <v>0.18575086031759233</v>
      </c>
      <c r="H129" t="s">
        <v>174</v>
      </c>
      <c r="I129" s="10">
        <v>9.6172562102408207E-4</v>
      </c>
      <c r="J129" s="11">
        <v>0.98720569781459688</v>
      </c>
      <c r="K129" t="s">
        <v>175</v>
      </c>
      <c r="M129" s="8">
        <v>4.7107652835734716E-3</v>
      </c>
      <c r="N129" s="8">
        <v>0.7933893776218105</v>
      </c>
      <c r="O129" t="s">
        <v>174</v>
      </c>
      <c r="P129" t="str">
        <f t="shared" si="7"/>
        <v>BCB</v>
      </c>
      <c r="Q129" s="6">
        <f>VLOOKUP(A129,xyz!A:AQ,2,FALSE)</f>
        <v>0.99</v>
      </c>
      <c r="R129" t="str">
        <f t="shared" si="5"/>
        <v>Z</v>
      </c>
      <c r="S129" t="str">
        <f t="shared" si="6"/>
        <v>BCBZ</v>
      </c>
    </row>
    <row r="130" spans="1:19" x14ac:dyDescent="0.3">
      <c r="A130" t="s">
        <v>46</v>
      </c>
      <c r="B130">
        <v>51</v>
      </c>
      <c r="C130">
        <v>997.37999999999965</v>
      </c>
      <c r="D130">
        <v>1209</v>
      </c>
      <c r="E130" s="10">
        <v>3.2650222192580785E-3</v>
      </c>
      <c r="F130" s="7">
        <v>0.88059889958114401</v>
      </c>
      <c r="G130" s="6">
        <v>0.17503722084367274</v>
      </c>
      <c r="H130" t="s">
        <v>174</v>
      </c>
      <c r="I130" s="10">
        <v>6.0259871668503833E-4</v>
      </c>
      <c r="J130" s="11">
        <v>0.99601241638456794</v>
      </c>
      <c r="K130" t="s">
        <v>175</v>
      </c>
      <c r="M130" s="8">
        <v>4.4390602653131446E-3</v>
      </c>
      <c r="N130" s="8">
        <v>0.84385510852620071</v>
      </c>
      <c r="O130" t="s">
        <v>174</v>
      </c>
      <c r="P130" t="str">
        <f t="shared" ref="P130:P157" si="8">H130&amp;K130&amp;O130</f>
        <v>BCB</v>
      </c>
      <c r="Q130" s="6">
        <f>VLOOKUP(A130,xyz!A:AQ,2,FALSE)</f>
        <v>0.93627450980392157</v>
      </c>
      <c r="R130" t="str">
        <f t="shared" si="5"/>
        <v>Z</v>
      </c>
      <c r="S130" t="str">
        <f t="shared" si="6"/>
        <v>BCBZ</v>
      </c>
    </row>
    <row r="131" spans="1:19" x14ac:dyDescent="0.3">
      <c r="A131" t="s">
        <v>117</v>
      </c>
      <c r="B131">
        <v>61</v>
      </c>
      <c r="C131">
        <v>1411.5400000000011</v>
      </c>
      <c r="D131">
        <v>1708</v>
      </c>
      <c r="E131" s="10">
        <v>3.9052226544067214E-3</v>
      </c>
      <c r="F131" s="8">
        <v>0.80162377388200134</v>
      </c>
      <c r="G131" s="6">
        <v>0.17357142857142793</v>
      </c>
      <c r="H131" t="s">
        <v>174</v>
      </c>
      <c r="I131" s="10">
        <v>8.5131398519275889E-4</v>
      </c>
      <c r="J131" s="11">
        <v>0.98996997612951432</v>
      </c>
      <c r="K131" t="s">
        <v>175</v>
      </c>
      <c r="M131" s="8">
        <v>4.4018867989980221E-3</v>
      </c>
      <c r="N131" s="8">
        <v>0.85269452757412223</v>
      </c>
      <c r="O131" t="s">
        <v>174</v>
      </c>
      <c r="P131" t="str">
        <f t="shared" si="8"/>
        <v>BCB</v>
      </c>
      <c r="Q131" s="6">
        <f>VLOOKUP(A131,xyz!A:AQ,2,FALSE)</f>
        <v>1.1844262295081966</v>
      </c>
      <c r="R131" t="str">
        <f t="shared" ref="R131:R157" si="9">IF(Q131&lt;0.1,"X",IF(Q131&lt;0.25,"Y","Z"))</f>
        <v>Z</v>
      </c>
      <c r="S131" t="str">
        <f t="shared" ref="S131:S157" si="10">P131&amp;R131</f>
        <v>BCBZ</v>
      </c>
    </row>
    <row r="132" spans="1:19" x14ac:dyDescent="0.3">
      <c r="A132" t="s">
        <v>69</v>
      </c>
      <c r="B132">
        <v>44</v>
      </c>
      <c r="C132">
        <v>879.56000000000029</v>
      </c>
      <c r="D132">
        <v>1056</v>
      </c>
      <c r="E132" s="10">
        <v>2.8168819146540285E-3</v>
      </c>
      <c r="F132" s="8">
        <v>0.9489082860307102</v>
      </c>
      <c r="G132" s="6">
        <v>0.16708333333333306</v>
      </c>
      <c r="H132" t="s">
        <v>174</v>
      </c>
      <c r="I132" s="10">
        <v>5.2633932573978531E-4</v>
      </c>
      <c r="J132" s="11">
        <v>0.99710397237260784</v>
      </c>
      <c r="K132" t="s">
        <v>175</v>
      </c>
      <c r="M132" s="8">
        <v>4.2373443912165545E-3</v>
      </c>
      <c r="N132" s="8">
        <v>0.89127268037801677</v>
      </c>
      <c r="O132" t="s">
        <v>174</v>
      </c>
      <c r="P132" t="str">
        <f t="shared" si="8"/>
        <v>BCB</v>
      </c>
      <c r="Q132" s="6">
        <f>VLOOKUP(A132,xyz!A:AQ,2,FALSE)</f>
        <v>1.1772727272727272</v>
      </c>
      <c r="R132" t="str">
        <f t="shared" si="9"/>
        <v>Z</v>
      </c>
      <c r="S132" t="str">
        <f t="shared" si="10"/>
        <v>BCBZ</v>
      </c>
    </row>
    <row r="133" spans="1:19" x14ac:dyDescent="0.3">
      <c r="A133" t="s">
        <v>33</v>
      </c>
      <c r="B133">
        <v>59</v>
      </c>
      <c r="C133">
        <v>1253.6500000000001</v>
      </c>
      <c r="D133">
        <v>1493</v>
      </c>
      <c r="E133" s="10">
        <v>3.7771825673769926E-3</v>
      </c>
      <c r="F133" s="7">
        <v>0.82070174684943087</v>
      </c>
      <c r="G133" s="6">
        <v>0.16031480241125246</v>
      </c>
      <c r="H133" t="s">
        <v>174</v>
      </c>
      <c r="I133" s="10">
        <v>7.4415209595596549E-4</v>
      </c>
      <c r="J133" s="11">
        <v>0.99468410738542357</v>
      </c>
      <c r="K133" t="s">
        <v>175</v>
      </c>
      <c r="M133" s="8">
        <v>4.0656899480876517E-3</v>
      </c>
      <c r="N133" s="8">
        <v>0.92045758622580665</v>
      </c>
      <c r="O133" t="s">
        <v>175</v>
      </c>
      <c r="P133" t="str">
        <f t="shared" si="8"/>
        <v>BCC</v>
      </c>
      <c r="Q133" s="6">
        <f>VLOOKUP(A133,xyz!A:AQ,2,FALSE)</f>
        <v>1.316101694915254</v>
      </c>
      <c r="R133" t="str">
        <f t="shared" si="9"/>
        <v>Z</v>
      </c>
      <c r="S133" t="str">
        <f t="shared" si="10"/>
        <v>BCCZ</v>
      </c>
    </row>
    <row r="134" spans="1:19" x14ac:dyDescent="0.3">
      <c r="A134" t="s">
        <v>142</v>
      </c>
      <c r="B134">
        <v>59</v>
      </c>
      <c r="C134">
        <v>758.38000000000056</v>
      </c>
      <c r="D134">
        <v>884.99</v>
      </c>
      <c r="E134" s="10">
        <v>3.7771825673769926E-3</v>
      </c>
      <c r="F134" s="7">
        <v>0.82447892941680789</v>
      </c>
      <c r="G134" s="6">
        <v>0.14306376343235455</v>
      </c>
      <c r="H134" t="s">
        <v>174</v>
      </c>
      <c r="I134" s="10">
        <v>4.4110325746823167E-4</v>
      </c>
      <c r="J134" s="11">
        <v>0.99853445400279717</v>
      </c>
      <c r="K134" t="s">
        <v>175</v>
      </c>
      <c r="M134" s="8">
        <v>3.6281921330658588E-3</v>
      </c>
      <c r="N134" s="8">
        <v>0.97831889159456797</v>
      </c>
      <c r="O134" t="s">
        <v>175</v>
      </c>
      <c r="P134" t="str">
        <f t="shared" si="8"/>
        <v>BCC</v>
      </c>
      <c r="Q134" s="6">
        <f>VLOOKUP(A134,xyz!A:AQ,2,FALSE)</f>
        <v>1.1127118644067797</v>
      </c>
      <c r="R134" t="str">
        <f t="shared" si="9"/>
        <v>Z</v>
      </c>
      <c r="S134" t="str">
        <f t="shared" si="10"/>
        <v>BCCZ</v>
      </c>
    </row>
    <row r="135" spans="1:19" x14ac:dyDescent="0.3">
      <c r="A135" t="s">
        <v>75</v>
      </c>
      <c r="B135">
        <v>11.199999999999994</v>
      </c>
      <c r="C135">
        <v>30763.369999999974</v>
      </c>
      <c r="D135">
        <v>44925</v>
      </c>
      <c r="E135" s="10">
        <v>7.1702448736647956E-4</v>
      </c>
      <c r="F135" s="7">
        <v>0.99857290179022529</v>
      </c>
      <c r="G135" s="6">
        <v>0.3152282693377858</v>
      </c>
      <c r="H135" t="s">
        <v>175</v>
      </c>
      <c r="I135" s="10">
        <v>2.2391850576571833E-2</v>
      </c>
      <c r="J135" s="11">
        <v>0.23001776175916319</v>
      </c>
      <c r="K135" t="s">
        <v>173</v>
      </c>
      <c r="M135" s="8">
        <v>7.9943984380929888E-3</v>
      </c>
      <c r="N135" s="8">
        <v>0.44474753157913011</v>
      </c>
      <c r="O135" t="s">
        <v>173</v>
      </c>
      <c r="P135" t="str">
        <f t="shared" si="8"/>
        <v>CAA</v>
      </c>
      <c r="Q135" s="6">
        <f>VLOOKUP(A135,xyz!A:AQ,2,FALSE)</f>
        <v>0.94285714285714284</v>
      </c>
      <c r="R135" t="str">
        <f t="shared" si="9"/>
        <v>Z</v>
      </c>
      <c r="S135" t="str">
        <f t="shared" si="10"/>
        <v>CAAZ</v>
      </c>
    </row>
    <row r="136" spans="1:19" x14ac:dyDescent="0.3">
      <c r="A136" t="s">
        <v>155</v>
      </c>
      <c r="B136">
        <v>11</v>
      </c>
      <c r="C136">
        <v>22126.650000000005</v>
      </c>
      <c r="D136">
        <v>31906</v>
      </c>
      <c r="E136" s="10">
        <v>7.0422047866350714E-4</v>
      </c>
      <c r="F136" s="7">
        <v>0.99927712226888876</v>
      </c>
      <c r="G136" s="6">
        <v>0.30650504607283879</v>
      </c>
      <c r="H136" t="s">
        <v>175</v>
      </c>
      <c r="I136" s="10">
        <v>1.5902824362740143E-2</v>
      </c>
      <c r="J136" s="11">
        <v>0.4325356743922979</v>
      </c>
      <c r="K136" t="s">
        <v>173</v>
      </c>
      <c r="M136" s="8">
        <v>7.7731716978931701E-3</v>
      </c>
      <c r="N136" s="8">
        <v>0.48398401126040536</v>
      </c>
      <c r="O136" t="s">
        <v>173</v>
      </c>
      <c r="P136" t="str">
        <f t="shared" si="8"/>
        <v>CAA</v>
      </c>
      <c r="Q136" s="6">
        <f>VLOOKUP(A136,xyz!A:AQ,2,FALSE)</f>
        <v>0.87545454545454571</v>
      </c>
      <c r="R136" t="str">
        <f t="shared" si="9"/>
        <v>Z</v>
      </c>
      <c r="S136" t="str">
        <f t="shared" si="10"/>
        <v>CAAZ</v>
      </c>
    </row>
    <row r="137" spans="1:19" x14ac:dyDescent="0.3">
      <c r="A137" t="s">
        <v>110</v>
      </c>
      <c r="B137">
        <v>42</v>
      </c>
      <c r="C137">
        <v>9177.2699999999968</v>
      </c>
      <c r="D137">
        <v>12621</v>
      </c>
      <c r="E137" s="10">
        <v>2.6888418276242998E-3</v>
      </c>
      <c r="F137" s="7">
        <v>0.96785821891111012</v>
      </c>
      <c r="G137" s="6">
        <v>0.27285714285714313</v>
      </c>
      <c r="H137" t="s">
        <v>175</v>
      </c>
      <c r="I137" s="10">
        <v>6.2906521118956732E-3</v>
      </c>
      <c r="J137" s="11">
        <v>0.73523901298058458</v>
      </c>
      <c r="K137" t="s">
        <v>173</v>
      </c>
      <c r="M137" s="8">
        <v>6.9198385070668817E-3</v>
      </c>
      <c r="N137" s="8">
        <v>0.56353499179521349</v>
      </c>
      <c r="O137" t="s">
        <v>173</v>
      </c>
      <c r="P137" t="str">
        <f t="shared" si="8"/>
        <v>CAA</v>
      </c>
      <c r="Q137" s="6">
        <f>VLOOKUP(A137,xyz!A:AQ,2,FALSE)</f>
        <v>0.82619047619047636</v>
      </c>
      <c r="R137" t="str">
        <f t="shared" si="9"/>
        <v>Z</v>
      </c>
      <c r="S137" t="str">
        <f t="shared" si="10"/>
        <v>CAAZ</v>
      </c>
    </row>
    <row r="138" spans="1:19" x14ac:dyDescent="0.3">
      <c r="A138" t="s">
        <v>14</v>
      </c>
      <c r="B138">
        <v>21.5</v>
      </c>
      <c r="C138">
        <v>27076.330000000016</v>
      </c>
      <c r="D138">
        <v>35829</v>
      </c>
      <c r="E138" s="10">
        <v>1.376430935569582E-3</v>
      </c>
      <c r="F138" s="7">
        <v>0.99785587730285885</v>
      </c>
      <c r="G138" s="6">
        <v>0.24429010019816305</v>
      </c>
      <c r="H138" t="s">
        <v>175</v>
      </c>
      <c r="I138" s="10">
        <v>1.7858155020767773E-2</v>
      </c>
      <c r="J138" s="11">
        <v>0.36533569972038421</v>
      </c>
      <c r="K138" t="s">
        <v>173</v>
      </c>
      <c r="M138" s="8">
        <v>6.1953593171336736E-3</v>
      </c>
      <c r="N138" s="8">
        <v>0.62343451284667439</v>
      </c>
      <c r="O138" t="s">
        <v>174</v>
      </c>
      <c r="P138" t="str">
        <f t="shared" si="8"/>
        <v>CAB</v>
      </c>
      <c r="Q138" s="6">
        <f>VLOOKUP(A138,xyz!A:AQ,2,FALSE)</f>
        <v>0.90697674418604646</v>
      </c>
      <c r="R138" t="str">
        <f t="shared" si="9"/>
        <v>Z</v>
      </c>
      <c r="S138" t="str">
        <f t="shared" si="10"/>
        <v>CABZ</v>
      </c>
    </row>
    <row r="139" spans="1:19" x14ac:dyDescent="0.3">
      <c r="A139" t="s">
        <v>26</v>
      </c>
      <c r="B139">
        <v>41.566666700000063</v>
      </c>
      <c r="C139">
        <v>192046.05999999976</v>
      </c>
      <c r="D139">
        <v>248085</v>
      </c>
      <c r="E139" s="10">
        <v>2.661099810901864E-3</v>
      </c>
      <c r="F139" s="7">
        <v>0.98127468603250922</v>
      </c>
      <c r="G139" s="6">
        <v>0.2258860471209474</v>
      </c>
      <c r="H139" t="s">
        <v>175</v>
      </c>
      <c r="I139" s="10">
        <v>0.12365235949446464</v>
      </c>
      <c r="J139" s="11">
        <v>0.12365235949446464</v>
      </c>
      <c r="K139" t="s">
        <v>173</v>
      </c>
      <c r="M139" s="8">
        <v>5.7286202981866917E-3</v>
      </c>
      <c r="N139" s="8">
        <v>0.6413373405833831</v>
      </c>
      <c r="O139" t="s">
        <v>174</v>
      </c>
      <c r="P139" t="str">
        <f t="shared" si="8"/>
        <v>CAB</v>
      </c>
      <c r="Q139" s="6">
        <f>VLOOKUP(A139,xyz!A:AQ,2,FALSE)</f>
        <v>0.51543704790261669</v>
      </c>
      <c r="R139" t="str">
        <f t="shared" si="9"/>
        <v>Z</v>
      </c>
      <c r="S139" t="str">
        <f t="shared" si="10"/>
        <v>CABZ</v>
      </c>
    </row>
    <row r="140" spans="1:19" x14ac:dyDescent="0.3">
      <c r="A140" t="s">
        <v>125</v>
      </c>
      <c r="B140">
        <v>42</v>
      </c>
      <c r="C140">
        <v>14453.060000000005</v>
      </c>
      <c r="D140">
        <v>18581.22</v>
      </c>
      <c r="E140" s="10">
        <v>2.6888418276242998E-3</v>
      </c>
      <c r="F140" s="7">
        <v>0.96516937708348582</v>
      </c>
      <c r="G140" s="6">
        <v>0.22216840444276512</v>
      </c>
      <c r="H140" t="s">
        <v>175</v>
      </c>
      <c r="I140" s="10">
        <v>9.2613890210441439E-3</v>
      </c>
      <c r="J140" s="11">
        <v>0.62250173487622262</v>
      </c>
      <c r="K140" t="s">
        <v>173</v>
      </c>
      <c r="M140" s="8">
        <v>5.6343384088044885E-3</v>
      </c>
      <c r="N140" s="8">
        <v>0.65268829726827893</v>
      </c>
      <c r="O140" t="s">
        <v>174</v>
      </c>
      <c r="P140" t="str">
        <f t="shared" si="8"/>
        <v>CAB</v>
      </c>
      <c r="Q140" s="6">
        <f>VLOOKUP(A140,xyz!A:AQ,2,FALSE)</f>
        <v>0.8761904761904763</v>
      </c>
      <c r="R140" t="str">
        <f t="shared" si="9"/>
        <v>Z</v>
      </c>
      <c r="S140" t="str">
        <f t="shared" si="10"/>
        <v>CABZ</v>
      </c>
    </row>
    <row r="141" spans="1:19" x14ac:dyDescent="0.3">
      <c r="A141" t="s">
        <v>6</v>
      </c>
      <c r="B141">
        <v>32.499999999999986</v>
      </c>
      <c r="C141">
        <v>31966.949999999993</v>
      </c>
      <c r="D141">
        <v>40189</v>
      </c>
      <c r="E141" s="10">
        <v>2.0806514142330881E-3</v>
      </c>
      <c r="F141" s="7">
        <v>0.99647944636728925</v>
      </c>
      <c r="G141" s="6">
        <v>0.20458458782253866</v>
      </c>
      <c r="H141" t="s">
        <v>175</v>
      </c>
      <c r="I141" s="10">
        <v>2.0031298449011584E-2</v>
      </c>
      <c r="J141" s="11">
        <v>0.29086378404042268</v>
      </c>
      <c r="K141" t="s">
        <v>173</v>
      </c>
      <c r="M141" s="8">
        <v>5.1884011316061024E-3</v>
      </c>
      <c r="N141" s="8">
        <v>0.70075037047945787</v>
      </c>
      <c r="O141" t="s">
        <v>174</v>
      </c>
      <c r="P141" t="str">
        <f t="shared" si="8"/>
        <v>CAB</v>
      </c>
      <c r="Q141" s="6">
        <f>VLOOKUP(A141,xyz!A:AQ,2,FALSE)</f>
        <v>0.78538461538461535</v>
      </c>
      <c r="R141" t="str">
        <f t="shared" si="9"/>
        <v>Z</v>
      </c>
      <c r="S141" t="str">
        <f t="shared" si="10"/>
        <v>CABZ</v>
      </c>
    </row>
    <row r="142" spans="1:19" x14ac:dyDescent="0.3">
      <c r="A142" t="s">
        <v>129</v>
      </c>
      <c r="B142">
        <v>8.7199999999999989</v>
      </c>
      <c r="C142">
        <v>34129.459999999985</v>
      </c>
      <c r="D142">
        <v>40223</v>
      </c>
      <c r="E142" s="10">
        <v>5.582547794496165E-4</v>
      </c>
      <c r="F142" s="7">
        <v>0.99983537704833836</v>
      </c>
      <c r="G142" s="6">
        <v>0.15149392138826084</v>
      </c>
      <c r="H142" t="s">
        <v>175</v>
      </c>
      <c r="I142" s="10">
        <v>2.0048244980332752E-2</v>
      </c>
      <c r="J142" s="11">
        <v>0.2708324855914111</v>
      </c>
      <c r="K142" t="s">
        <v>173</v>
      </c>
      <c r="M142" s="8">
        <v>3.8419865422321181E-3</v>
      </c>
      <c r="N142" s="8">
        <v>0.95986665576460095</v>
      </c>
      <c r="O142" t="s">
        <v>175</v>
      </c>
      <c r="P142" t="str">
        <f t="shared" si="8"/>
        <v>CAC</v>
      </c>
      <c r="Q142" s="6">
        <f>VLOOKUP(A142,xyz!A:AQ,2,FALSE)</f>
        <v>0.8912844036697245</v>
      </c>
      <c r="R142" t="str">
        <f t="shared" si="9"/>
        <v>Z</v>
      </c>
      <c r="S142" t="str">
        <f t="shared" si="10"/>
        <v>CACZ</v>
      </c>
    </row>
    <row r="143" spans="1:19" x14ac:dyDescent="0.3">
      <c r="A143" t="s">
        <v>119</v>
      </c>
      <c r="B143">
        <v>2.5714282999999991</v>
      </c>
      <c r="C143">
        <v>26399.569999999992</v>
      </c>
      <c r="D143">
        <v>29098</v>
      </c>
      <c r="E143" s="10">
        <v>1.6462295166135344E-4</v>
      </c>
      <c r="F143" s="7">
        <v>0.99999999999999967</v>
      </c>
      <c r="G143" s="6">
        <v>9.2735926867826224E-2</v>
      </c>
      <c r="H143" t="s">
        <v>175</v>
      </c>
      <c r="I143" s="10">
        <v>1.4503240246568442E-2</v>
      </c>
      <c r="J143" s="11">
        <v>0.46209939670946615</v>
      </c>
      <c r="K143" t="s">
        <v>173</v>
      </c>
      <c r="M143" s="8">
        <v>2.351844745601911E-3</v>
      </c>
      <c r="N143" s="8">
        <v>1.0000000000000011</v>
      </c>
      <c r="O143" t="s">
        <v>175</v>
      </c>
      <c r="P143" t="str">
        <f t="shared" si="8"/>
        <v>CAC</v>
      </c>
      <c r="Q143" s="6">
        <f>VLOOKUP(A143,xyz!A:AQ,2,FALSE)</f>
        <v>0.92777789876544503</v>
      </c>
      <c r="R143" t="str">
        <f t="shared" si="9"/>
        <v>Z</v>
      </c>
      <c r="S143" t="str">
        <f t="shared" si="10"/>
        <v>CACZ</v>
      </c>
    </row>
    <row r="144" spans="1:19" x14ac:dyDescent="0.3">
      <c r="A144" t="s">
        <v>44</v>
      </c>
      <c r="B144">
        <v>42</v>
      </c>
      <c r="C144">
        <v>2732.8100000000004</v>
      </c>
      <c r="D144">
        <v>4274</v>
      </c>
      <c r="E144" s="10">
        <v>2.6888418276242998E-3</v>
      </c>
      <c r="F144" s="7">
        <v>0.95979169342823722</v>
      </c>
      <c r="G144" s="6">
        <v>0.36059663079082815</v>
      </c>
      <c r="H144" t="s">
        <v>175</v>
      </c>
      <c r="I144" s="10">
        <v>2.1302786725490934E-3</v>
      </c>
      <c r="J144" s="11">
        <v>0.93667275631962577</v>
      </c>
      <c r="K144" t="s">
        <v>174</v>
      </c>
      <c r="M144" s="8">
        <v>9.1449702402380349E-3</v>
      </c>
      <c r="N144" s="8">
        <v>0.27551287892933723</v>
      </c>
      <c r="O144" t="s">
        <v>173</v>
      </c>
      <c r="P144" t="str">
        <f t="shared" si="8"/>
        <v>CBA</v>
      </c>
      <c r="Q144" s="6">
        <f>VLOOKUP(A144,xyz!A:AQ,2,FALSE)</f>
        <v>0.78095238095238095</v>
      </c>
      <c r="R144" t="str">
        <f t="shared" si="9"/>
        <v>Z</v>
      </c>
      <c r="S144" t="str">
        <f t="shared" si="10"/>
        <v>CBAZ</v>
      </c>
    </row>
    <row r="145" spans="1:19" x14ac:dyDescent="0.3">
      <c r="A145" t="s">
        <v>113</v>
      </c>
      <c r="B145">
        <v>41</v>
      </c>
      <c r="C145">
        <v>5721.5300000000007</v>
      </c>
      <c r="D145">
        <v>7884</v>
      </c>
      <c r="E145" s="10">
        <v>2.6248217841094356E-3</v>
      </c>
      <c r="F145" s="7">
        <v>0.986524329600728</v>
      </c>
      <c r="G145" s="6">
        <v>0.27428589548452553</v>
      </c>
      <c r="H145" t="s">
        <v>175</v>
      </c>
      <c r="I145" s="10">
        <v>3.9296015569436245E-3</v>
      </c>
      <c r="J145" s="11">
        <v>0.84156955523350074</v>
      </c>
      <c r="K145" t="s">
        <v>174</v>
      </c>
      <c r="M145" s="8">
        <v>6.9560726233685762E-3</v>
      </c>
      <c r="N145" s="8">
        <v>0.55661515328814659</v>
      </c>
      <c r="O145" t="s">
        <v>173</v>
      </c>
      <c r="P145" t="str">
        <f t="shared" si="8"/>
        <v>CBA</v>
      </c>
      <c r="Q145" s="6">
        <f>VLOOKUP(A145,xyz!A:AQ,2,FALSE)</f>
        <v>0.86341463414634134</v>
      </c>
      <c r="R145" t="str">
        <f t="shared" si="9"/>
        <v>Z</v>
      </c>
      <c r="S145" t="str">
        <f t="shared" si="10"/>
        <v>CBAZ</v>
      </c>
    </row>
    <row r="146" spans="1:19" x14ac:dyDescent="0.3">
      <c r="A146" t="s">
        <v>74</v>
      </c>
      <c r="B146">
        <v>42</v>
      </c>
      <c r="C146">
        <v>3722.5000000000014</v>
      </c>
      <c r="D146">
        <v>4640</v>
      </c>
      <c r="E146" s="10">
        <v>2.6888418276242998E-3</v>
      </c>
      <c r="F146" s="7">
        <v>0.97592474439398302</v>
      </c>
      <c r="G146" s="6">
        <v>0.19773706896551696</v>
      </c>
      <c r="H146" t="s">
        <v>175</v>
      </c>
      <c r="I146" s="10">
        <v>2.3127030979475417E-3</v>
      </c>
      <c r="J146" s="11">
        <v>0.92780423773734555</v>
      </c>
      <c r="K146" t="s">
        <v>174</v>
      </c>
      <c r="M146" s="8">
        <v>5.0147435019449521E-3</v>
      </c>
      <c r="N146" s="8">
        <v>0.72593167937165015</v>
      </c>
      <c r="O146" t="s">
        <v>174</v>
      </c>
      <c r="P146" t="str">
        <f t="shared" si="8"/>
        <v>CBB</v>
      </c>
      <c r="Q146" s="6">
        <f>VLOOKUP(A146,xyz!A:AQ,2,FALSE)</f>
        <v>0.97142857142857164</v>
      </c>
      <c r="R146" t="str">
        <f t="shared" si="9"/>
        <v>Z</v>
      </c>
      <c r="S146" t="str">
        <f t="shared" si="10"/>
        <v>CBBZ</v>
      </c>
    </row>
    <row r="147" spans="1:19" x14ac:dyDescent="0.3">
      <c r="A147" t="s">
        <v>140</v>
      </c>
      <c r="B147">
        <v>41</v>
      </c>
      <c r="C147">
        <v>6464.7799999999988</v>
      </c>
      <c r="D147">
        <v>7753.33</v>
      </c>
      <c r="E147" s="10">
        <v>2.6248217841094356E-3</v>
      </c>
      <c r="F147" s="7">
        <v>0.98914915138483739</v>
      </c>
      <c r="G147" s="6">
        <v>0.16619310670382934</v>
      </c>
      <c r="H147" t="s">
        <v>175</v>
      </c>
      <c r="I147" s="10">
        <v>3.8644720496572443E-3</v>
      </c>
      <c r="J147" s="11">
        <v>0.84543402728315797</v>
      </c>
      <c r="K147" t="s">
        <v>174</v>
      </c>
      <c r="M147" s="8">
        <v>4.2147676521715315E-3</v>
      </c>
      <c r="N147" s="8">
        <v>0.89970738893208102</v>
      </c>
      <c r="O147" t="s">
        <v>174</v>
      </c>
      <c r="P147" t="str">
        <f t="shared" si="8"/>
        <v>CBB</v>
      </c>
      <c r="Q147" s="6">
        <f>VLOOKUP(A147,xyz!A:AQ,2,FALSE)</f>
        <v>0.7695121951219509</v>
      </c>
      <c r="R147" t="str">
        <f t="shared" si="9"/>
        <v>Z</v>
      </c>
      <c r="S147" t="str">
        <f t="shared" si="10"/>
        <v>CBBZ</v>
      </c>
    </row>
    <row r="148" spans="1:19" x14ac:dyDescent="0.3">
      <c r="A148" t="s">
        <v>116</v>
      </c>
      <c r="B148">
        <v>42</v>
      </c>
      <c r="C148">
        <v>4424.6799999999994</v>
      </c>
      <c r="D148">
        <v>5267</v>
      </c>
      <c r="E148" s="10">
        <v>2.6888418276242998E-3</v>
      </c>
      <c r="F148" s="7">
        <v>0.97054706073873442</v>
      </c>
      <c r="G148" s="6">
        <v>0.15992405543952926</v>
      </c>
      <c r="H148" t="s">
        <v>175</v>
      </c>
      <c r="I148" s="10">
        <v>2.6252170726055392E-3</v>
      </c>
      <c r="J148" s="11">
        <v>0.91319115904644643</v>
      </c>
      <c r="K148" t="s">
        <v>174</v>
      </c>
      <c r="M148" s="8">
        <v>4.0557803451608723E-3</v>
      </c>
      <c r="N148" s="8">
        <v>0.92857619132468527</v>
      </c>
      <c r="O148" t="s">
        <v>175</v>
      </c>
      <c r="P148" t="str">
        <f t="shared" si="8"/>
        <v>CBC</v>
      </c>
      <c r="Q148" s="6">
        <f>VLOOKUP(A148,xyz!A:AQ,2,FALSE)</f>
        <v>0.91904761904761867</v>
      </c>
      <c r="R148" t="str">
        <f t="shared" si="9"/>
        <v>Z</v>
      </c>
      <c r="S148" t="str">
        <f t="shared" si="10"/>
        <v>CBCZ</v>
      </c>
    </row>
    <row r="149" spans="1:19" x14ac:dyDescent="0.3">
      <c r="A149" t="s">
        <v>79</v>
      </c>
      <c r="B149">
        <v>42</v>
      </c>
      <c r="C149">
        <v>6263.09</v>
      </c>
      <c r="D149">
        <v>7441</v>
      </c>
      <c r="E149" s="10">
        <v>2.6888418276242998E-3</v>
      </c>
      <c r="F149" s="7">
        <v>0.95710285160061292</v>
      </c>
      <c r="G149" s="6">
        <v>0.1582999596828383</v>
      </c>
      <c r="H149" t="s">
        <v>175</v>
      </c>
      <c r="I149" s="10">
        <v>3.7087982223766506E-3</v>
      </c>
      <c r="J149" s="11">
        <v>0.84914282550553466</v>
      </c>
      <c r="K149" t="s">
        <v>174</v>
      </c>
      <c r="M149" s="8">
        <v>4.0145921972581508E-3</v>
      </c>
      <c r="N149" s="8">
        <v>0.93259078352194347</v>
      </c>
      <c r="O149" t="s">
        <v>175</v>
      </c>
      <c r="P149" t="str">
        <f t="shared" si="8"/>
        <v>CBC</v>
      </c>
      <c r="Q149" s="6">
        <f>VLOOKUP(A149,xyz!A:AQ,2,FALSE)</f>
        <v>0.83095238095238089</v>
      </c>
      <c r="R149" t="str">
        <f t="shared" si="9"/>
        <v>Z</v>
      </c>
      <c r="S149" t="str">
        <f t="shared" si="10"/>
        <v>CBCZ</v>
      </c>
    </row>
    <row r="150" spans="1:19" x14ac:dyDescent="0.3">
      <c r="A150" t="s">
        <v>111</v>
      </c>
      <c r="B150">
        <v>43</v>
      </c>
      <c r="C150">
        <v>7053.6900000000005</v>
      </c>
      <c r="D150">
        <v>8342.02</v>
      </c>
      <c r="E150" s="10">
        <v>2.752861871139164E-3</v>
      </c>
      <c r="F150" s="8">
        <v>0.95166114790184941</v>
      </c>
      <c r="G150" s="6">
        <v>0.15443861318961113</v>
      </c>
      <c r="H150" t="s">
        <v>175</v>
      </c>
      <c r="I150" s="10">
        <v>4.1578912709354212E-3</v>
      </c>
      <c r="J150" s="11">
        <v>0.82971784902582479</v>
      </c>
      <c r="K150" t="s">
        <v>174</v>
      </c>
      <c r="M150" s="8">
        <v>3.916665883608555E-3</v>
      </c>
      <c r="N150" s="8">
        <v>0.94441737365291356</v>
      </c>
      <c r="O150" t="s">
        <v>175</v>
      </c>
      <c r="P150" t="str">
        <f t="shared" si="8"/>
        <v>CBC</v>
      </c>
      <c r="Q150" s="6">
        <f>VLOOKUP(A150,xyz!A:AQ,2,FALSE)</f>
        <v>0.79534883720930249</v>
      </c>
      <c r="R150" t="str">
        <f t="shared" si="9"/>
        <v>Z</v>
      </c>
      <c r="S150" t="str">
        <f t="shared" si="10"/>
        <v>CBCZ</v>
      </c>
    </row>
    <row r="151" spans="1:19" x14ac:dyDescent="0.3">
      <c r="A151" t="s">
        <v>148</v>
      </c>
      <c r="B151">
        <v>42</v>
      </c>
      <c r="C151">
        <v>1571.6999999999994</v>
      </c>
      <c r="D151">
        <v>2426</v>
      </c>
      <c r="E151" s="10">
        <v>2.6888418276242998E-3</v>
      </c>
      <c r="F151" s="7">
        <v>0.97861358622160732</v>
      </c>
      <c r="G151" s="6">
        <v>0.35214344600164904</v>
      </c>
      <c r="H151" t="s">
        <v>175</v>
      </c>
      <c r="I151" s="10">
        <v>1.209184852504469E-3</v>
      </c>
      <c r="J151" s="11">
        <v>0.97645685192820697</v>
      </c>
      <c r="K151" t="s">
        <v>175</v>
      </c>
      <c r="M151" s="8">
        <v>8.930591855274372E-3</v>
      </c>
      <c r="N151" s="8">
        <v>0.40170102983799538</v>
      </c>
      <c r="O151" t="s">
        <v>173</v>
      </c>
      <c r="P151" t="str">
        <f t="shared" si="8"/>
        <v>CCA</v>
      </c>
      <c r="Q151" s="6">
        <f>VLOOKUP(A151,xyz!A:AQ,2,FALSE)</f>
        <v>0.82619047619047625</v>
      </c>
      <c r="R151" t="str">
        <f t="shared" si="9"/>
        <v>Z</v>
      </c>
      <c r="S151" t="str">
        <f t="shared" si="10"/>
        <v>CCAZ</v>
      </c>
    </row>
    <row r="152" spans="1:19" x14ac:dyDescent="0.3">
      <c r="A152" t="s">
        <v>68</v>
      </c>
      <c r="B152">
        <v>41</v>
      </c>
      <c r="C152">
        <v>2380.3700000000008</v>
      </c>
      <c r="D152">
        <v>3606</v>
      </c>
      <c r="E152" s="10">
        <v>2.6248217841094356E-3</v>
      </c>
      <c r="F152" s="7">
        <v>0.99177397316894678</v>
      </c>
      <c r="G152" s="6">
        <v>0.33988630061009406</v>
      </c>
      <c r="H152" t="s">
        <v>175</v>
      </c>
      <c r="I152" s="10">
        <v>1.7973291748273352E-3</v>
      </c>
      <c r="J152" s="11">
        <v>0.96019424273697085</v>
      </c>
      <c r="K152" t="s">
        <v>175</v>
      </c>
      <c r="M152" s="8">
        <v>8.6197425009966779E-3</v>
      </c>
      <c r="N152" s="8">
        <v>0.43675313314103714</v>
      </c>
      <c r="O152" t="s">
        <v>173</v>
      </c>
      <c r="P152" t="str">
        <f t="shared" si="8"/>
        <v>CCA</v>
      </c>
      <c r="Q152" s="6">
        <f>VLOOKUP(A152,xyz!A:AQ,2,FALSE)</f>
        <v>1.1573170731707316</v>
      </c>
      <c r="R152" t="str">
        <f t="shared" si="9"/>
        <v>Z</v>
      </c>
      <c r="S152" t="str">
        <f t="shared" si="10"/>
        <v>CCAZ</v>
      </c>
    </row>
    <row r="153" spans="1:19" x14ac:dyDescent="0.3">
      <c r="A153" t="s">
        <v>67</v>
      </c>
      <c r="B153">
        <v>41</v>
      </c>
      <c r="C153">
        <v>2274.1299999999997</v>
      </c>
      <c r="D153">
        <v>3296</v>
      </c>
      <c r="E153" s="10">
        <v>2.6248217841094356E-3</v>
      </c>
      <c r="F153" s="7">
        <v>0.98389950781661861</v>
      </c>
      <c r="G153" s="6">
        <v>0.31003337378640788</v>
      </c>
      <c r="H153" t="s">
        <v>175</v>
      </c>
      <c r="I153" s="10">
        <v>1.6428166833696331E-3</v>
      </c>
      <c r="J153" s="11">
        <v>0.96362043262819741</v>
      </c>
      <c r="K153" t="s">
        <v>175</v>
      </c>
      <c r="M153" s="8">
        <v>7.8626524339378539E-3</v>
      </c>
      <c r="N153" s="8">
        <v>0.46058134299895936</v>
      </c>
      <c r="O153" t="s">
        <v>173</v>
      </c>
      <c r="P153" t="str">
        <f t="shared" si="8"/>
        <v>CCA</v>
      </c>
      <c r="Q153" s="6">
        <f>VLOOKUP(A153,xyz!A:AQ,2,FALSE)</f>
        <v>0.8158536585365852</v>
      </c>
      <c r="R153" t="str">
        <f t="shared" si="9"/>
        <v>Z</v>
      </c>
      <c r="S153" t="str">
        <f t="shared" si="10"/>
        <v>CCAZ</v>
      </c>
    </row>
    <row r="154" spans="1:19" x14ac:dyDescent="0.3">
      <c r="A154" t="s">
        <v>71</v>
      </c>
      <c r="B154">
        <v>41</v>
      </c>
      <c r="C154">
        <v>2011.6399999999994</v>
      </c>
      <c r="D154">
        <v>2910</v>
      </c>
      <c r="E154" s="10">
        <v>2.6248217841094356E-3</v>
      </c>
      <c r="F154" s="7">
        <v>0.99439879495305616</v>
      </c>
      <c r="G154" s="6">
        <v>0.30871477663230262</v>
      </c>
      <c r="H154" t="s">
        <v>175</v>
      </c>
      <c r="I154" s="10">
        <v>1.4504237101352041E-3</v>
      </c>
      <c r="J154" s="11">
        <v>0.97123640317488658</v>
      </c>
      <c r="K154" t="s">
        <v>175</v>
      </c>
      <c r="M154" s="8">
        <v>7.8292119336572236E-3</v>
      </c>
      <c r="N154" s="8">
        <v>0.46841055493261657</v>
      </c>
      <c r="O154" t="s">
        <v>173</v>
      </c>
      <c r="P154" t="str">
        <f t="shared" si="8"/>
        <v>CCA</v>
      </c>
      <c r="Q154" s="6">
        <f>VLOOKUP(A154,xyz!A:AQ,2,FALSE)</f>
        <v>1.1085365853658533</v>
      </c>
      <c r="R154" t="str">
        <f t="shared" si="9"/>
        <v>Z</v>
      </c>
      <c r="S154" t="str">
        <f t="shared" si="10"/>
        <v>CCAZ</v>
      </c>
    </row>
    <row r="155" spans="1:19" x14ac:dyDescent="0.3">
      <c r="A155" t="s">
        <v>159</v>
      </c>
      <c r="B155">
        <v>43</v>
      </c>
      <c r="C155">
        <v>2292.4900000000011</v>
      </c>
      <c r="D155">
        <v>2830.84</v>
      </c>
      <c r="E155" s="10">
        <v>2.752861871139164E-3</v>
      </c>
      <c r="F155" s="7">
        <v>0.95441400977298863</v>
      </c>
      <c r="G155" s="6">
        <v>0.19017323479956444</v>
      </c>
      <c r="H155" t="s">
        <v>175</v>
      </c>
      <c r="I155" s="10">
        <v>1.410968197800392E-3</v>
      </c>
      <c r="J155" s="11">
        <v>0.97264737137268698</v>
      </c>
      <c r="K155" t="s">
        <v>175</v>
      </c>
      <c r="M155" s="8">
        <v>4.8229196399248555E-3</v>
      </c>
      <c r="N155" s="8">
        <v>0.76005619009587067</v>
      </c>
      <c r="O155" t="s">
        <v>174</v>
      </c>
      <c r="P155" t="str">
        <f t="shared" si="8"/>
        <v>CCB</v>
      </c>
      <c r="Q155" s="6">
        <f>VLOOKUP(A155,xyz!A:AQ,2,FALSE)</f>
        <v>1.2244186046511638</v>
      </c>
      <c r="R155" t="str">
        <f t="shared" si="9"/>
        <v>Z</v>
      </c>
      <c r="S155" t="str">
        <f t="shared" si="10"/>
        <v>CCBZ</v>
      </c>
    </row>
    <row r="156" spans="1:19" x14ac:dyDescent="0.3">
      <c r="A156" t="s">
        <v>81</v>
      </c>
      <c r="B156">
        <v>42</v>
      </c>
      <c r="C156">
        <v>1733.2300000000009</v>
      </c>
      <c r="D156">
        <v>2131</v>
      </c>
      <c r="E156" s="10">
        <v>2.6888418276242998E-3</v>
      </c>
      <c r="F156" s="7">
        <v>0.96248053525586152</v>
      </c>
      <c r="G156" s="6">
        <v>0.1866588456123881</v>
      </c>
      <c r="H156" t="s">
        <v>175</v>
      </c>
      <c r="I156" s="10">
        <v>1.0621487719237525E-3</v>
      </c>
      <c r="J156" s="11">
        <v>0.98324991885103608</v>
      </c>
      <c r="K156" t="s">
        <v>175</v>
      </c>
      <c r="M156" s="8">
        <v>4.7337923941742294E-3</v>
      </c>
      <c r="N156" s="8">
        <v>0.788678612338237</v>
      </c>
      <c r="O156" t="s">
        <v>174</v>
      </c>
      <c r="P156" t="str">
        <f t="shared" si="8"/>
        <v>CCB</v>
      </c>
      <c r="Q156" s="6">
        <f>VLOOKUP(A156,xyz!A:AQ,2,FALSE)</f>
        <v>0.8761904761904763</v>
      </c>
      <c r="R156" t="str">
        <f t="shared" si="9"/>
        <v>Z</v>
      </c>
      <c r="S156" t="str">
        <f t="shared" si="10"/>
        <v>CCBZ</v>
      </c>
    </row>
    <row r="157" spans="1:19" x14ac:dyDescent="0.3">
      <c r="A157" t="s">
        <v>107</v>
      </c>
      <c r="B157">
        <v>42</v>
      </c>
      <c r="C157">
        <v>3019.1699999999992</v>
      </c>
      <c r="D157">
        <v>3706</v>
      </c>
      <c r="E157" s="10">
        <v>2.6888418276242998E-3</v>
      </c>
      <c r="F157" s="7">
        <v>0.97323590256635872</v>
      </c>
      <c r="G157" s="6">
        <v>0.18532919589854313</v>
      </c>
      <c r="H157" t="s">
        <v>175</v>
      </c>
      <c r="I157" s="10">
        <v>1.8471719140072391E-3</v>
      </c>
      <c r="J157" s="11">
        <v>0.95839691356214352</v>
      </c>
      <c r="K157" t="s">
        <v>175</v>
      </c>
      <c r="M157" s="8">
        <v>4.7000715936321219E-3</v>
      </c>
      <c r="N157" s="8">
        <v>0.79808944921544267</v>
      </c>
      <c r="O157" t="s">
        <v>174</v>
      </c>
      <c r="P157" t="str">
        <f t="shared" si="8"/>
        <v>CCB</v>
      </c>
      <c r="Q157" s="6">
        <f>VLOOKUP(A157,xyz!A:AQ,2,FALSE)</f>
        <v>0.8761904761904763</v>
      </c>
      <c r="R157" t="str">
        <f t="shared" si="9"/>
        <v>Z</v>
      </c>
      <c r="S157" t="str">
        <f t="shared" si="10"/>
        <v>CCBZ</v>
      </c>
    </row>
  </sheetData>
  <sortState xmlns:xlrd2="http://schemas.microsoft.com/office/spreadsheetml/2017/richdata2" ref="A2:P157">
    <sortCondition ref="P2:P15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30"/>
  <sheetViews>
    <sheetView zoomScale="124" zoomScaleNormal="124" workbookViewId="0">
      <selection activeCell="A4" sqref="A4:B4"/>
      <pivotSelection pane="bottomRight" showHeader="1" extendable="1" axis="axisRow" max="27" activeRow="3" previousRow="3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defaultRowHeight="14.4" x14ac:dyDescent="0.3"/>
  <cols>
    <col min="1" max="1" width="17.33203125" bestFit="1" customWidth="1"/>
    <col min="2" max="2" width="25.88671875" bestFit="1" customWidth="1"/>
  </cols>
  <sheetData>
    <row r="3" spans="1:2" x14ac:dyDescent="0.3">
      <c r="A3" s="2" t="s">
        <v>161</v>
      </c>
      <c r="B3" t="s">
        <v>211</v>
      </c>
    </row>
    <row r="4" spans="1:2" x14ac:dyDescent="0.3">
      <c r="A4" s="3" t="s">
        <v>216</v>
      </c>
      <c r="B4" s="4">
        <v>13</v>
      </c>
    </row>
    <row r="5" spans="1:2" x14ac:dyDescent="0.3">
      <c r="A5" s="3" t="s">
        <v>217</v>
      </c>
      <c r="B5" s="4">
        <v>11</v>
      </c>
    </row>
    <row r="6" spans="1:2" x14ac:dyDescent="0.3">
      <c r="A6" s="3" t="s">
        <v>218</v>
      </c>
      <c r="B6" s="4">
        <v>10</v>
      </c>
    </row>
    <row r="7" spans="1:2" x14ac:dyDescent="0.3">
      <c r="A7" s="3" t="s">
        <v>219</v>
      </c>
      <c r="B7" s="4">
        <v>14</v>
      </c>
    </row>
    <row r="8" spans="1:2" x14ac:dyDescent="0.3">
      <c r="A8" s="3" t="s">
        <v>220</v>
      </c>
      <c r="B8" s="4">
        <v>16</v>
      </c>
    </row>
    <row r="9" spans="1:2" x14ac:dyDescent="0.3">
      <c r="A9" s="3" t="s">
        <v>221</v>
      </c>
      <c r="B9" s="4">
        <v>16</v>
      </c>
    </row>
    <row r="10" spans="1:2" x14ac:dyDescent="0.3">
      <c r="A10" s="3" t="s">
        <v>222</v>
      </c>
      <c r="B10" s="4">
        <v>6</v>
      </c>
    </row>
    <row r="11" spans="1:2" x14ac:dyDescent="0.3">
      <c r="A11" s="3" t="s">
        <v>223</v>
      </c>
      <c r="B11" s="4">
        <v>2</v>
      </c>
    </row>
    <row r="12" spans="1:2" x14ac:dyDescent="0.3">
      <c r="A12" s="3" t="s">
        <v>224</v>
      </c>
      <c r="B12" s="4">
        <v>3</v>
      </c>
    </row>
    <row r="13" spans="1:2" x14ac:dyDescent="0.3">
      <c r="A13" s="3" t="s">
        <v>225</v>
      </c>
      <c r="B13" s="4">
        <v>7</v>
      </c>
    </row>
    <row r="14" spans="1:2" x14ac:dyDescent="0.3">
      <c r="A14" s="3" t="s">
        <v>226</v>
      </c>
      <c r="B14" s="4">
        <v>6</v>
      </c>
    </row>
    <row r="15" spans="1:2" x14ac:dyDescent="0.3">
      <c r="A15" s="3" t="s">
        <v>227</v>
      </c>
      <c r="B15" s="4">
        <v>5</v>
      </c>
    </row>
    <row r="16" spans="1:2" x14ac:dyDescent="0.3">
      <c r="A16" s="3" t="s">
        <v>228</v>
      </c>
      <c r="B16" s="4">
        <v>5</v>
      </c>
    </row>
    <row r="17" spans="1:2" x14ac:dyDescent="0.3">
      <c r="A17" s="3" t="s">
        <v>229</v>
      </c>
      <c r="B17" s="4">
        <v>2</v>
      </c>
    </row>
    <row r="18" spans="1:2" x14ac:dyDescent="0.3">
      <c r="A18" s="3" t="s">
        <v>230</v>
      </c>
      <c r="B18" s="4">
        <v>8</v>
      </c>
    </row>
    <row r="19" spans="1:2" x14ac:dyDescent="0.3">
      <c r="A19" s="3" t="s">
        <v>231</v>
      </c>
      <c r="B19" s="4">
        <v>7</v>
      </c>
    </row>
    <row r="20" spans="1:2" x14ac:dyDescent="0.3">
      <c r="A20" s="3" t="s">
        <v>232</v>
      </c>
      <c r="B20" s="4">
        <v>2</v>
      </c>
    </row>
    <row r="21" spans="1:2" x14ac:dyDescent="0.3">
      <c r="A21" s="3" t="s">
        <v>233</v>
      </c>
      <c r="B21" s="4">
        <v>3</v>
      </c>
    </row>
    <row r="22" spans="1:2" x14ac:dyDescent="0.3">
      <c r="A22" s="3" t="s">
        <v>234</v>
      </c>
      <c r="B22" s="4">
        <v>4</v>
      </c>
    </row>
    <row r="23" spans="1:2" x14ac:dyDescent="0.3">
      <c r="A23" s="3" t="s">
        <v>235</v>
      </c>
      <c r="B23" s="4">
        <v>2</v>
      </c>
    </row>
    <row r="24" spans="1:2" x14ac:dyDescent="0.3">
      <c r="A24" s="3" t="s">
        <v>236</v>
      </c>
      <c r="B24" s="4">
        <v>2</v>
      </c>
    </row>
    <row r="25" spans="1:2" x14ac:dyDescent="0.3">
      <c r="A25" s="3" t="s">
        <v>237</v>
      </c>
      <c r="B25" s="4">
        <v>2</v>
      </c>
    </row>
    <row r="26" spans="1:2" x14ac:dyDescent="0.3">
      <c r="A26" s="3" t="s">
        <v>238</v>
      </c>
      <c r="B26" s="4">
        <v>3</v>
      </c>
    </row>
    <row r="27" spans="1:2" x14ac:dyDescent="0.3">
      <c r="A27" s="3" t="s">
        <v>239</v>
      </c>
      <c r="B27" s="4">
        <v>4</v>
      </c>
    </row>
    <row r="28" spans="1:2" x14ac:dyDescent="0.3">
      <c r="A28" s="3" t="s">
        <v>240</v>
      </c>
      <c r="B28" s="4">
        <v>3</v>
      </c>
    </row>
    <row r="29" spans="1:2" x14ac:dyDescent="0.3">
      <c r="A29" s="3" t="s">
        <v>210</v>
      </c>
      <c r="B29" s="4"/>
    </row>
    <row r="30" spans="1:2" x14ac:dyDescent="0.3">
      <c r="A30" s="3" t="s">
        <v>162</v>
      </c>
      <c r="B30" s="4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7"/>
  <sheetViews>
    <sheetView workbookViewId="0">
      <selection activeCell="H26" sqref="H26"/>
    </sheetView>
  </sheetViews>
  <sheetFormatPr defaultRowHeight="14.4" x14ac:dyDescent="0.3"/>
  <sheetData>
    <row r="1" spans="1:1" x14ac:dyDescent="0.3">
      <c r="A1" t="s">
        <v>209</v>
      </c>
    </row>
    <row r="2" spans="1:1" x14ac:dyDescent="0.3">
      <c r="A2" t="s">
        <v>216</v>
      </c>
    </row>
    <row r="3" spans="1:1" x14ac:dyDescent="0.3">
      <c r="A3" t="s">
        <v>216</v>
      </c>
    </row>
    <row r="4" spans="1:1" x14ac:dyDescent="0.3">
      <c r="A4" t="s">
        <v>216</v>
      </c>
    </row>
    <row r="5" spans="1:1" x14ac:dyDescent="0.3">
      <c r="A5" t="s">
        <v>216</v>
      </c>
    </row>
    <row r="6" spans="1:1" x14ac:dyDescent="0.3">
      <c r="A6" t="s">
        <v>216</v>
      </c>
    </row>
    <row r="7" spans="1:1" x14ac:dyDescent="0.3">
      <c r="A7" t="s">
        <v>216</v>
      </c>
    </row>
    <row r="8" spans="1:1" x14ac:dyDescent="0.3">
      <c r="A8" t="s">
        <v>216</v>
      </c>
    </row>
    <row r="9" spans="1:1" x14ac:dyDescent="0.3">
      <c r="A9" t="s">
        <v>216</v>
      </c>
    </row>
    <row r="10" spans="1:1" x14ac:dyDescent="0.3">
      <c r="A10" t="s">
        <v>216</v>
      </c>
    </row>
    <row r="11" spans="1:1" x14ac:dyDescent="0.3">
      <c r="A11" t="s">
        <v>216</v>
      </c>
    </row>
    <row r="12" spans="1:1" x14ac:dyDescent="0.3">
      <c r="A12" t="s">
        <v>216</v>
      </c>
    </row>
    <row r="13" spans="1:1" x14ac:dyDescent="0.3">
      <c r="A13" t="s">
        <v>216</v>
      </c>
    </row>
    <row r="14" spans="1:1" x14ac:dyDescent="0.3">
      <c r="A14" t="s">
        <v>216</v>
      </c>
    </row>
    <row r="15" spans="1:1" x14ac:dyDescent="0.3">
      <c r="A15" t="s">
        <v>217</v>
      </c>
    </row>
    <row r="16" spans="1:1" x14ac:dyDescent="0.3">
      <c r="A16" t="s">
        <v>217</v>
      </c>
    </row>
    <row r="17" spans="1:1" x14ac:dyDescent="0.3">
      <c r="A17" t="s">
        <v>217</v>
      </c>
    </row>
    <row r="18" spans="1:1" x14ac:dyDescent="0.3">
      <c r="A18" t="s">
        <v>217</v>
      </c>
    </row>
    <row r="19" spans="1:1" x14ac:dyDescent="0.3">
      <c r="A19" t="s">
        <v>217</v>
      </c>
    </row>
    <row r="20" spans="1:1" x14ac:dyDescent="0.3">
      <c r="A20" t="s">
        <v>217</v>
      </c>
    </row>
    <row r="21" spans="1:1" x14ac:dyDescent="0.3">
      <c r="A21" t="s">
        <v>217</v>
      </c>
    </row>
    <row r="22" spans="1:1" x14ac:dyDescent="0.3">
      <c r="A22" t="s">
        <v>217</v>
      </c>
    </row>
    <row r="23" spans="1:1" x14ac:dyDescent="0.3">
      <c r="A23" t="s">
        <v>217</v>
      </c>
    </row>
    <row r="24" spans="1:1" x14ac:dyDescent="0.3">
      <c r="A24" t="s">
        <v>217</v>
      </c>
    </row>
    <row r="25" spans="1:1" x14ac:dyDescent="0.3">
      <c r="A25" t="s">
        <v>217</v>
      </c>
    </row>
    <row r="26" spans="1:1" x14ac:dyDescent="0.3">
      <c r="A26" t="s">
        <v>218</v>
      </c>
    </row>
    <row r="27" spans="1:1" x14ac:dyDescent="0.3">
      <c r="A27" t="s">
        <v>218</v>
      </c>
    </row>
    <row r="28" spans="1:1" x14ac:dyDescent="0.3">
      <c r="A28" t="s">
        <v>218</v>
      </c>
    </row>
    <row r="29" spans="1:1" x14ac:dyDescent="0.3">
      <c r="A29" t="s">
        <v>218</v>
      </c>
    </row>
    <row r="30" spans="1:1" x14ac:dyDescent="0.3">
      <c r="A30" t="s">
        <v>218</v>
      </c>
    </row>
    <row r="31" spans="1:1" x14ac:dyDescent="0.3">
      <c r="A31" t="s">
        <v>218</v>
      </c>
    </row>
    <row r="32" spans="1:1" x14ac:dyDescent="0.3">
      <c r="A32" t="s">
        <v>218</v>
      </c>
    </row>
    <row r="33" spans="1:1" x14ac:dyDescent="0.3">
      <c r="A33" t="s">
        <v>218</v>
      </c>
    </row>
    <row r="34" spans="1:1" x14ac:dyDescent="0.3">
      <c r="A34" t="s">
        <v>218</v>
      </c>
    </row>
    <row r="35" spans="1:1" x14ac:dyDescent="0.3">
      <c r="A35" t="s">
        <v>218</v>
      </c>
    </row>
    <row r="36" spans="1:1" x14ac:dyDescent="0.3">
      <c r="A36" t="s">
        <v>219</v>
      </c>
    </row>
    <row r="37" spans="1:1" x14ac:dyDescent="0.3">
      <c r="A37" t="s">
        <v>219</v>
      </c>
    </row>
    <row r="38" spans="1:1" x14ac:dyDescent="0.3">
      <c r="A38" t="s">
        <v>219</v>
      </c>
    </row>
    <row r="39" spans="1:1" x14ac:dyDescent="0.3">
      <c r="A39" t="s">
        <v>219</v>
      </c>
    </row>
    <row r="40" spans="1:1" x14ac:dyDescent="0.3">
      <c r="A40" t="s">
        <v>219</v>
      </c>
    </row>
    <row r="41" spans="1:1" x14ac:dyDescent="0.3">
      <c r="A41" t="s">
        <v>219</v>
      </c>
    </row>
    <row r="42" spans="1:1" x14ac:dyDescent="0.3">
      <c r="A42" t="s">
        <v>219</v>
      </c>
    </row>
    <row r="43" spans="1:1" x14ac:dyDescent="0.3">
      <c r="A43" t="s">
        <v>219</v>
      </c>
    </row>
    <row r="44" spans="1:1" x14ac:dyDescent="0.3">
      <c r="A44" t="s">
        <v>219</v>
      </c>
    </row>
    <row r="45" spans="1:1" x14ac:dyDescent="0.3">
      <c r="A45" t="s">
        <v>219</v>
      </c>
    </row>
    <row r="46" spans="1:1" x14ac:dyDescent="0.3">
      <c r="A46" t="s">
        <v>219</v>
      </c>
    </row>
    <row r="47" spans="1:1" x14ac:dyDescent="0.3">
      <c r="A47" t="s">
        <v>219</v>
      </c>
    </row>
    <row r="48" spans="1:1" x14ac:dyDescent="0.3">
      <c r="A48" t="s">
        <v>219</v>
      </c>
    </row>
    <row r="49" spans="1:1" x14ac:dyDescent="0.3">
      <c r="A49" t="s">
        <v>219</v>
      </c>
    </row>
    <row r="50" spans="1:1" x14ac:dyDescent="0.3">
      <c r="A50" t="s">
        <v>220</v>
      </c>
    </row>
    <row r="51" spans="1:1" x14ac:dyDescent="0.3">
      <c r="A51" t="s">
        <v>220</v>
      </c>
    </row>
    <row r="52" spans="1:1" x14ac:dyDescent="0.3">
      <c r="A52" t="s">
        <v>220</v>
      </c>
    </row>
    <row r="53" spans="1:1" x14ac:dyDescent="0.3">
      <c r="A53" t="s">
        <v>220</v>
      </c>
    </row>
    <row r="54" spans="1:1" x14ac:dyDescent="0.3">
      <c r="A54" t="s">
        <v>220</v>
      </c>
    </row>
    <row r="55" spans="1:1" x14ac:dyDescent="0.3">
      <c r="A55" t="s">
        <v>220</v>
      </c>
    </row>
    <row r="56" spans="1:1" x14ac:dyDescent="0.3">
      <c r="A56" t="s">
        <v>220</v>
      </c>
    </row>
    <row r="57" spans="1:1" x14ac:dyDescent="0.3">
      <c r="A57" t="s">
        <v>220</v>
      </c>
    </row>
    <row r="58" spans="1:1" x14ac:dyDescent="0.3">
      <c r="A58" t="s">
        <v>220</v>
      </c>
    </row>
    <row r="59" spans="1:1" x14ac:dyDescent="0.3">
      <c r="A59" t="s">
        <v>220</v>
      </c>
    </row>
    <row r="60" spans="1:1" x14ac:dyDescent="0.3">
      <c r="A60" t="s">
        <v>220</v>
      </c>
    </row>
    <row r="61" spans="1:1" x14ac:dyDescent="0.3">
      <c r="A61" t="s">
        <v>220</v>
      </c>
    </row>
    <row r="62" spans="1:1" x14ac:dyDescent="0.3">
      <c r="A62" t="s">
        <v>220</v>
      </c>
    </row>
    <row r="63" spans="1:1" x14ac:dyDescent="0.3">
      <c r="A63" t="s">
        <v>220</v>
      </c>
    </row>
    <row r="64" spans="1:1" x14ac:dyDescent="0.3">
      <c r="A64" t="s">
        <v>220</v>
      </c>
    </row>
    <row r="65" spans="1:1" x14ac:dyDescent="0.3">
      <c r="A65" t="s">
        <v>220</v>
      </c>
    </row>
    <row r="66" spans="1:1" x14ac:dyDescent="0.3">
      <c r="A66" t="s">
        <v>221</v>
      </c>
    </row>
    <row r="67" spans="1:1" x14ac:dyDescent="0.3">
      <c r="A67" t="s">
        <v>221</v>
      </c>
    </row>
    <row r="68" spans="1:1" x14ac:dyDescent="0.3">
      <c r="A68" t="s">
        <v>221</v>
      </c>
    </row>
    <row r="69" spans="1:1" x14ac:dyDescent="0.3">
      <c r="A69" t="s">
        <v>221</v>
      </c>
    </row>
    <row r="70" spans="1:1" x14ac:dyDescent="0.3">
      <c r="A70" t="s">
        <v>221</v>
      </c>
    </row>
    <row r="71" spans="1:1" x14ac:dyDescent="0.3">
      <c r="A71" t="s">
        <v>221</v>
      </c>
    </row>
    <row r="72" spans="1:1" x14ac:dyDescent="0.3">
      <c r="A72" t="s">
        <v>221</v>
      </c>
    </row>
    <row r="73" spans="1:1" x14ac:dyDescent="0.3">
      <c r="A73" t="s">
        <v>221</v>
      </c>
    </row>
    <row r="74" spans="1:1" x14ac:dyDescent="0.3">
      <c r="A74" t="s">
        <v>221</v>
      </c>
    </row>
    <row r="75" spans="1:1" x14ac:dyDescent="0.3">
      <c r="A75" t="s">
        <v>221</v>
      </c>
    </row>
    <row r="76" spans="1:1" x14ac:dyDescent="0.3">
      <c r="A76" t="s">
        <v>221</v>
      </c>
    </row>
    <row r="77" spans="1:1" x14ac:dyDescent="0.3">
      <c r="A77" t="s">
        <v>221</v>
      </c>
    </row>
    <row r="78" spans="1:1" x14ac:dyDescent="0.3">
      <c r="A78" t="s">
        <v>221</v>
      </c>
    </row>
    <row r="79" spans="1:1" x14ac:dyDescent="0.3">
      <c r="A79" t="s">
        <v>221</v>
      </c>
    </row>
    <row r="80" spans="1:1" x14ac:dyDescent="0.3">
      <c r="A80" t="s">
        <v>221</v>
      </c>
    </row>
    <row r="81" spans="1:1" x14ac:dyDescent="0.3">
      <c r="A81" t="s">
        <v>221</v>
      </c>
    </row>
    <row r="82" spans="1:1" x14ac:dyDescent="0.3">
      <c r="A82" t="s">
        <v>222</v>
      </c>
    </row>
    <row r="83" spans="1:1" x14ac:dyDescent="0.3">
      <c r="A83" t="s">
        <v>222</v>
      </c>
    </row>
    <row r="84" spans="1:1" x14ac:dyDescent="0.3">
      <c r="A84" t="s">
        <v>222</v>
      </c>
    </row>
    <row r="85" spans="1:1" x14ac:dyDescent="0.3">
      <c r="A85" t="s">
        <v>222</v>
      </c>
    </row>
    <row r="86" spans="1:1" x14ac:dyDescent="0.3">
      <c r="A86" t="s">
        <v>222</v>
      </c>
    </row>
    <row r="87" spans="1:1" x14ac:dyDescent="0.3">
      <c r="A87" t="s">
        <v>222</v>
      </c>
    </row>
    <row r="88" spans="1:1" x14ac:dyDescent="0.3">
      <c r="A88" t="s">
        <v>223</v>
      </c>
    </row>
    <row r="89" spans="1:1" x14ac:dyDescent="0.3">
      <c r="A89" t="s">
        <v>223</v>
      </c>
    </row>
    <row r="90" spans="1:1" x14ac:dyDescent="0.3">
      <c r="A90" t="s">
        <v>224</v>
      </c>
    </row>
    <row r="91" spans="1:1" x14ac:dyDescent="0.3">
      <c r="A91" t="s">
        <v>224</v>
      </c>
    </row>
    <row r="92" spans="1:1" x14ac:dyDescent="0.3">
      <c r="A92" t="s">
        <v>224</v>
      </c>
    </row>
    <row r="93" spans="1:1" x14ac:dyDescent="0.3">
      <c r="A93" t="s">
        <v>225</v>
      </c>
    </row>
    <row r="94" spans="1:1" x14ac:dyDescent="0.3">
      <c r="A94" t="s">
        <v>225</v>
      </c>
    </row>
    <row r="95" spans="1:1" x14ac:dyDescent="0.3">
      <c r="A95" t="s">
        <v>225</v>
      </c>
    </row>
    <row r="96" spans="1:1" x14ac:dyDescent="0.3">
      <c r="A96" t="s">
        <v>225</v>
      </c>
    </row>
    <row r="97" spans="1:1" x14ac:dyDescent="0.3">
      <c r="A97" t="s">
        <v>225</v>
      </c>
    </row>
    <row r="98" spans="1:1" x14ac:dyDescent="0.3">
      <c r="A98" t="s">
        <v>225</v>
      </c>
    </row>
    <row r="99" spans="1:1" x14ac:dyDescent="0.3">
      <c r="A99" t="s">
        <v>225</v>
      </c>
    </row>
    <row r="100" spans="1:1" x14ac:dyDescent="0.3">
      <c r="A100" t="s">
        <v>226</v>
      </c>
    </row>
    <row r="101" spans="1:1" x14ac:dyDescent="0.3">
      <c r="A101" t="s">
        <v>226</v>
      </c>
    </row>
    <row r="102" spans="1:1" x14ac:dyDescent="0.3">
      <c r="A102" t="s">
        <v>226</v>
      </c>
    </row>
    <row r="103" spans="1:1" x14ac:dyDescent="0.3">
      <c r="A103" t="s">
        <v>226</v>
      </c>
    </row>
    <row r="104" spans="1:1" x14ac:dyDescent="0.3">
      <c r="A104" t="s">
        <v>226</v>
      </c>
    </row>
    <row r="105" spans="1:1" x14ac:dyDescent="0.3">
      <c r="A105" t="s">
        <v>226</v>
      </c>
    </row>
    <row r="106" spans="1:1" x14ac:dyDescent="0.3">
      <c r="A106" t="s">
        <v>227</v>
      </c>
    </row>
    <row r="107" spans="1:1" x14ac:dyDescent="0.3">
      <c r="A107" t="s">
        <v>227</v>
      </c>
    </row>
    <row r="108" spans="1:1" x14ac:dyDescent="0.3">
      <c r="A108" t="s">
        <v>227</v>
      </c>
    </row>
    <row r="109" spans="1:1" x14ac:dyDescent="0.3">
      <c r="A109" t="s">
        <v>227</v>
      </c>
    </row>
    <row r="110" spans="1:1" x14ac:dyDescent="0.3">
      <c r="A110" t="s">
        <v>227</v>
      </c>
    </row>
    <row r="111" spans="1:1" x14ac:dyDescent="0.3">
      <c r="A111" t="s">
        <v>228</v>
      </c>
    </row>
    <row r="112" spans="1:1" x14ac:dyDescent="0.3">
      <c r="A112" t="s">
        <v>228</v>
      </c>
    </row>
    <row r="113" spans="1:1" x14ac:dyDescent="0.3">
      <c r="A113" t="s">
        <v>228</v>
      </c>
    </row>
    <row r="114" spans="1:1" x14ac:dyDescent="0.3">
      <c r="A114" t="s">
        <v>228</v>
      </c>
    </row>
    <row r="115" spans="1:1" x14ac:dyDescent="0.3">
      <c r="A115" t="s">
        <v>228</v>
      </c>
    </row>
    <row r="116" spans="1:1" x14ac:dyDescent="0.3">
      <c r="A116" t="s">
        <v>229</v>
      </c>
    </row>
    <row r="117" spans="1:1" x14ac:dyDescent="0.3">
      <c r="A117" t="s">
        <v>229</v>
      </c>
    </row>
    <row r="118" spans="1:1" x14ac:dyDescent="0.3">
      <c r="A118" t="s">
        <v>230</v>
      </c>
    </row>
    <row r="119" spans="1:1" x14ac:dyDescent="0.3">
      <c r="A119" t="s">
        <v>230</v>
      </c>
    </row>
    <row r="120" spans="1:1" x14ac:dyDescent="0.3">
      <c r="A120" t="s">
        <v>230</v>
      </c>
    </row>
    <row r="121" spans="1:1" x14ac:dyDescent="0.3">
      <c r="A121" t="s">
        <v>230</v>
      </c>
    </row>
    <row r="122" spans="1:1" x14ac:dyDescent="0.3">
      <c r="A122" t="s">
        <v>230</v>
      </c>
    </row>
    <row r="123" spans="1:1" x14ac:dyDescent="0.3">
      <c r="A123" t="s">
        <v>230</v>
      </c>
    </row>
    <row r="124" spans="1:1" x14ac:dyDescent="0.3">
      <c r="A124" t="s">
        <v>230</v>
      </c>
    </row>
    <row r="125" spans="1:1" x14ac:dyDescent="0.3">
      <c r="A125" t="s">
        <v>230</v>
      </c>
    </row>
    <row r="126" spans="1:1" x14ac:dyDescent="0.3">
      <c r="A126" t="s">
        <v>231</v>
      </c>
    </row>
    <row r="127" spans="1:1" x14ac:dyDescent="0.3">
      <c r="A127" t="s">
        <v>231</v>
      </c>
    </row>
    <row r="128" spans="1:1" x14ac:dyDescent="0.3">
      <c r="A128" t="s">
        <v>231</v>
      </c>
    </row>
    <row r="129" spans="1:1" x14ac:dyDescent="0.3">
      <c r="A129" t="s">
        <v>231</v>
      </c>
    </row>
    <row r="130" spans="1:1" x14ac:dyDescent="0.3">
      <c r="A130" t="s">
        <v>231</v>
      </c>
    </row>
    <row r="131" spans="1:1" x14ac:dyDescent="0.3">
      <c r="A131" t="s">
        <v>231</v>
      </c>
    </row>
    <row r="132" spans="1:1" x14ac:dyDescent="0.3">
      <c r="A132" t="s">
        <v>231</v>
      </c>
    </row>
    <row r="133" spans="1:1" x14ac:dyDescent="0.3">
      <c r="A133" t="s">
        <v>232</v>
      </c>
    </row>
    <row r="134" spans="1:1" x14ac:dyDescent="0.3">
      <c r="A134" t="s">
        <v>232</v>
      </c>
    </row>
    <row r="135" spans="1:1" x14ac:dyDescent="0.3">
      <c r="A135" t="s">
        <v>233</v>
      </c>
    </row>
    <row r="136" spans="1:1" x14ac:dyDescent="0.3">
      <c r="A136" t="s">
        <v>233</v>
      </c>
    </row>
    <row r="137" spans="1:1" x14ac:dyDescent="0.3">
      <c r="A137" t="s">
        <v>233</v>
      </c>
    </row>
    <row r="138" spans="1:1" x14ac:dyDescent="0.3">
      <c r="A138" t="s">
        <v>234</v>
      </c>
    </row>
    <row r="139" spans="1:1" x14ac:dyDescent="0.3">
      <c r="A139" t="s">
        <v>234</v>
      </c>
    </row>
    <row r="140" spans="1:1" x14ac:dyDescent="0.3">
      <c r="A140" t="s">
        <v>234</v>
      </c>
    </row>
    <row r="141" spans="1:1" x14ac:dyDescent="0.3">
      <c r="A141" t="s">
        <v>234</v>
      </c>
    </row>
    <row r="142" spans="1:1" x14ac:dyDescent="0.3">
      <c r="A142" t="s">
        <v>235</v>
      </c>
    </row>
    <row r="143" spans="1:1" x14ac:dyDescent="0.3">
      <c r="A143" t="s">
        <v>235</v>
      </c>
    </row>
    <row r="144" spans="1:1" x14ac:dyDescent="0.3">
      <c r="A144" t="s">
        <v>236</v>
      </c>
    </row>
    <row r="145" spans="1:1" x14ac:dyDescent="0.3">
      <c r="A145" t="s">
        <v>236</v>
      </c>
    </row>
    <row r="146" spans="1:1" x14ac:dyDescent="0.3">
      <c r="A146" t="s">
        <v>237</v>
      </c>
    </row>
    <row r="147" spans="1:1" x14ac:dyDescent="0.3">
      <c r="A147" t="s">
        <v>237</v>
      </c>
    </row>
    <row r="148" spans="1:1" x14ac:dyDescent="0.3">
      <c r="A148" t="s">
        <v>238</v>
      </c>
    </row>
    <row r="149" spans="1:1" x14ac:dyDescent="0.3">
      <c r="A149" t="s">
        <v>238</v>
      </c>
    </row>
    <row r="150" spans="1:1" x14ac:dyDescent="0.3">
      <c r="A150" t="s">
        <v>238</v>
      </c>
    </row>
    <row r="151" spans="1:1" x14ac:dyDescent="0.3">
      <c r="A151" t="s">
        <v>239</v>
      </c>
    </row>
    <row r="152" spans="1:1" x14ac:dyDescent="0.3">
      <c r="A152" t="s">
        <v>239</v>
      </c>
    </row>
    <row r="153" spans="1:1" x14ac:dyDescent="0.3">
      <c r="A153" t="s">
        <v>239</v>
      </c>
    </row>
    <row r="154" spans="1:1" x14ac:dyDescent="0.3">
      <c r="A154" t="s">
        <v>239</v>
      </c>
    </row>
    <row r="155" spans="1:1" x14ac:dyDescent="0.3">
      <c r="A155" t="s">
        <v>240</v>
      </c>
    </row>
    <row r="156" spans="1:1" x14ac:dyDescent="0.3">
      <c r="A156" t="s">
        <v>240</v>
      </c>
    </row>
    <row r="157" spans="1:1" x14ac:dyDescent="0.3">
      <c r="A157" t="s">
        <v>240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zoomScale="142" zoomScaleNormal="142" workbookViewId="0">
      <selection activeCell="D12" sqref="D12"/>
    </sheetView>
  </sheetViews>
  <sheetFormatPr defaultRowHeight="14.4" x14ac:dyDescent="0.3"/>
  <cols>
    <col min="1" max="1" width="17.33203125" bestFit="1" customWidth="1"/>
    <col min="2" max="2" width="25.88671875" bestFit="1" customWidth="1"/>
  </cols>
  <sheetData>
    <row r="1" spans="1:3" x14ac:dyDescent="0.3">
      <c r="C1" t="s">
        <v>212</v>
      </c>
    </row>
    <row r="3" spans="1:3" x14ac:dyDescent="0.3">
      <c r="A3" s="2" t="s">
        <v>161</v>
      </c>
      <c r="B3" t="s">
        <v>211</v>
      </c>
    </row>
    <row r="4" spans="1:3" x14ac:dyDescent="0.3">
      <c r="A4" s="3" t="s">
        <v>184</v>
      </c>
      <c r="B4" s="4">
        <v>13</v>
      </c>
    </row>
    <row r="5" spans="1:3" x14ac:dyDescent="0.3">
      <c r="A5" s="3" t="s">
        <v>185</v>
      </c>
      <c r="B5" s="4">
        <v>11</v>
      </c>
    </row>
    <row r="6" spans="1:3" x14ac:dyDescent="0.3">
      <c r="A6" s="3" t="s">
        <v>186</v>
      </c>
      <c r="B6" s="4">
        <v>10</v>
      </c>
    </row>
    <row r="7" spans="1:3" x14ac:dyDescent="0.3">
      <c r="A7" s="3" t="s">
        <v>187</v>
      </c>
      <c r="B7" s="4">
        <v>14</v>
      </c>
    </row>
    <row r="8" spans="1:3" x14ac:dyDescent="0.3">
      <c r="A8" s="3" t="s">
        <v>188</v>
      </c>
      <c r="B8" s="4">
        <v>16</v>
      </c>
    </row>
    <row r="9" spans="1:3" x14ac:dyDescent="0.3">
      <c r="A9" s="3" t="s">
        <v>183</v>
      </c>
      <c r="B9" s="4">
        <v>1</v>
      </c>
    </row>
    <row r="10" spans="1:3" x14ac:dyDescent="0.3">
      <c r="A10" s="3" t="s">
        <v>189</v>
      </c>
      <c r="B10" s="4">
        <v>16</v>
      </c>
    </row>
    <row r="11" spans="1:3" x14ac:dyDescent="0.3">
      <c r="A11" s="3" t="s">
        <v>190</v>
      </c>
      <c r="B11" s="4">
        <v>6</v>
      </c>
    </row>
    <row r="12" spans="1:3" x14ac:dyDescent="0.3">
      <c r="A12" s="3" t="s">
        <v>191</v>
      </c>
      <c r="B12" s="4">
        <v>2</v>
      </c>
    </row>
    <row r="13" spans="1:3" x14ac:dyDescent="0.3">
      <c r="A13" s="3" t="s">
        <v>192</v>
      </c>
      <c r="B13" s="4">
        <v>3</v>
      </c>
    </row>
    <row r="14" spans="1:3" x14ac:dyDescent="0.3">
      <c r="A14" s="3" t="s">
        <v>193</v>
      </c>
      <c r="B14" s="4">
        <v>7</v>
      </c>
    </row>
    <row r="15" spans="1:3" x14ac:dyDescent="0.3">
      <c r="A15" s="3" t="s">
        <v>194</v>
      </c>
      <c r="B15" s="4">
        <v>6</v>
      </c>
    </row>
    <row r="16" spans="1:3" x14ac:dyDescent="0.3">
      <c r="A16" s="3" t="s">
        <v>195</v>
      </c>
      <c r="B16" s="4">
        <v>5</v>
      </c>
    </row>
    <row r="17" spans="1:2" x14ac:dyDescent="0.3">
      <c r="A17" s="3" t="s">
        <v>196</v>
      </c>
      <c r="B17" s="4">
        <v>5</v>
      </c>
    </row>
    <row r="18" spans="1:2" x14ac:dyDescent="0.3">
      <c r="A18" s="3" t="s">
        <v>197</v>
      </c>
      <c r="B18" s="4">
        <v>2</v>
      </c>
    </row>
    <row r="19" spans="1:2" x14ac:dyDescent="0.3">
      <c r="A19" s="3" t="s">
        <v>198</v>
      </c>
      <c r="B19" s="4">
        <v>8</v>
      </c>
    </row>
    <row r="20" spans="1:2" x14ac:dyDescent="0.3">
      <c r="A20" s="3" t="s">
        <v>199</v>
      </c>
      <c r="B20" s="4">
        <v>7</v>
      </c>
    </row>
    <row r="21" spans="1:2" x14ac:dyDescent="0.3">
      <c r="A21" s="3" t="s">
        <v>200</v>
      </c>
      <c r="B21" s="4">
        <v>2</v>
      </c>
    </row>
    <row r="22" spans="1:2" x14ac:dyDescent="0.3">
      <c r="A22" s="3" t="s">
        <v>201</v>
      </c>
      <c r="B22" s="4">
        <v>3</v>
      </c>
    </row>
    <row r="23" spans="1:2" x14ac:dyDescent="0.3">
      <c r="A23" s="3" t="s">
        <v>202</v>
      </c>
      <c r="B23" s="4">
        <v>4</v>
      </c>
    </row>
    <row r="24" spans="1:2" x14ac:dyDescent="0.3">
      <c r="A24" s="3" t="s">
        <v>203</v>
      </c>
      <c r="B24" s="4">
        <v>2</v>
      </c>
    </row>
    <row r="25" spans="1:2" x14ac:dyDescent="0.3">
      <c r="A25" s="3" t="s">
        <v>204</v>
      </c>
      <c r="B25" s="4">
        <v>2</v>
      </c>
    </row>
    <row r="26" spans="1:2" x14ac:dyDescent="0.3">
      <c r="A26" s="3" t="s">
        <v>205</v>
      </c>
      <c r="B26" s="4">
        <v>2</v>
      </c>
    </row>
    <row r="27" spans="1:2" x14ac:dyDescent="0.3">
      <c r="A27" s="3" t="s">
        <v>206</v>
      </c>
      <c r="B27" s="4">
        <v>3</v>
      </c>
    </row>
    <row r="28" spans="1:2" x14ac:dyDescent="0.3">
      <c r="A28" s="3" t="s">
        <v>207</v>
      </c>
      <c r="B28" s="4">
        <v>4</v>
      </c>
    </row>
    <row r="29" spans="1:2" x14ac:dyDescent="0.3">
      <c r="A29" s="3" t="s">
        <v>208</v>
      </c>
      <c r="B29" s="4">
        <v>3</v>
      </c>
    </row>
    <row r="30" spans="1:2" x14ac:dyDescent="0.3">
      <c r="A30" s="3" t="s">
        <v>210</v>
      </c>
      <c r="B30" s="4"/>
    </row>
    <row r="31" spans="1:2" x14ac:dyDescent="0.3">
      <c r="A31" s="3" t="s">
        <v>162</v>
      </c>
      <c r="B31" s="4">
        <v>157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Q158"/>
  <sheetViews>
    <sheetView topLeftCell="AO7" zoomScale="79" zoomScaleNormal="124" workbookViewId="0">
      <selection activeCell="C50" sqref="C50"/>
    </sheetView>
  </sheetViews>
  <sheetFormatPr defaultRowHeight="14.4" x14ac:dyDescent="0.3"/>
  <cols>
    <col min="1" max="1" width="29.6640625" customWidth="1"/>
    <col min="2" max="2" width="13" style="6" customWidth="1"/>
    <col min="3" max="42" width="13.109375" customWidth="1"/>
    <col min="43" max="43" width="9.109375" style="6"/>
  </cols>
  <sheetData>
    <row r="2" spans="1:43" s="5" customFormat="1" x14ac:dyDescent="0.3">
      <c r="A2" s="5" t="s">
        <v>166</v>
      </c>
      <c r="B2" s="12" t="s">
        <v>213</v>
      </c>
      <c r="C2" s="14">
        <v>44682</v>
      </c>
      <c r="D2" s="14">
        <f>C2+1</f>
        <v>44683</v>
      </c>
      <c r="E2" s="14">
        <f t="shared" ref="E2:AP2" si="0">D2+1</f>
        <v>44684</v>
      </c>
      <c r="F2" s="14">
        <f t="shared" si="0"/>
        <v>44685</v>
      </c>
      <c r="G2" s="14">
        <f t="shared" si="0"/>
        <v>44686</v>
      </c>
      <c r="H2" s="14">
        <f t="shared" si="0"/>
        <v>44687</v>
      </c>
      <c r="I2" s="14">
        <f t="shared" si="0"/>
        <v>44688</v>
      </c>
      <c r="J2" s="14">
        <f t="shared" si="0"/>
        <v>44689</v>
      </c>
      <c r="K2" s="14">
        <f t="shared" si="0"/>
        <v>44690</v>
      </c>
      <c r="L2" s="14">
        <f t="shared" si="0"/>
        <v>44691</v>
      </c>
      <c r="M2" s="14">
        <f t="shared" si="0"/>
        <v>44692</v>
      </c>
      <c r="N2" s="14">
        <f t="shared" si="0"/>
        <v>44693</v>
      </c>
      <c r="O2" s="14">
        <f t="shared" si="0"/>
        <v>44694</v>
      </c>
      <c r="P2" s="14">
        <f t="shared" si="0"/>
        <v>44695</v>
      </c>
      <c r="Q2" s="14">
        <f t="shared" si="0"/>
        <v>44696</v>
      </c>
      <c r="R2" s="14">
        <f t="shared" si="0"/>
        <v>44697</v>
      </c>
      <c r="S2" s="14">
        <f t="shared" si="0"/>
        <v>44698</v>
      </c>
      <c r="T2" s="14">
        <f t="shared" si="0"/>
        <v>44699</v>
      </c>
      <c r="U2" s="14">
        <f t="shared" si="0"/>
        <v>44700</v>
      </c>
      <c r="V2" s="14">
        <f t="shared" si="0"/>
        <v>44701</v>
      </c>
      <c r="W2" s="14">
        <f t="shared" si="0"/>
        <v>44702</v>
      </c>
      <c r="X2" s="14">
        <f t="shared" si="0"/>
        <v>44703</v>
      </c>
      <c r="Y2" s="14">
        <f t="shared" si="0"/>
        <v>44704</v>
      </c>
      <c r="Z2" s="14">
        <f t="shared" si="0"/>
        <v>44705</v>
      </c>
      <c r="AA2" s="14">
        <f t="shared" si="0"/>
        <v>44706</v>
      </c>
      <c r="AB2" s="14">
        <f t="shared" si="0"/>
        <v>44707</v>
      </c>
      <c r="AC2" s="14">
        <f t="shared" si="0"/>
        <v>44708</v>
      </c>
      <c r="AD2" s="14">
        <f t="shared" si="0"/>
        <v>44709</v>
      </c>
      <c r="AE2" s="14">
        <f t="shared" si="0"/>
        <v>44710</v>
      </c>
      <c r="AF2" s="14">
        <f t="shared" si="0"/>
        <v>44711</v>
      </c>
      <c r="AG2" s="14">
        <f t="shared" si="0"/>
        <v>44712</v>
      </c>
      <c r="AH2" s="14">
        <f t="shared" si="0"/>
        <v>44713</v>
      </c>
      <c r="AI2" s="14">
        <f t="shared" si="0"/>
        <v>44714</v>
      </c>
      <c r="AJ2" s="14">
        <f t="shared" si="0"/>
        <v>44715</v>
      </c>
      <c r="AK2" s="14">
        <f t="shared" si="0"/>
        <v>44716</v>
      </c>
      <c r="AL2" s="14">
        <f t="shared" si="0"/>
        <v>44717</v>
      </c>
      <c r="AM2" s="14">
        <f t="shared" si="0"/>
        <v>44718</v>
      </c>
      <c r="AN2" s="14">
        <f t="shared" si="0"/>
        <v>44719</v>
      </c>
      <c r="AO2" s="14">
        <f t="shared" si="0"/>
        <v>44720</v>
      </c>
      <c r="AP2" s="14">
        <f t="shared" si="0"/>
        <v>44721</v>
      </c>
      <c r="AQ2" s="12" t="s">
        <v>213</v>
      </c>
    </row>
    <row r="3" spans="1:43" x14ac:dyDescent="0.3">
      <c r="A3" t="s">
        <v>8</v>
      </c>
      <c r="B3" s="6">
        <f>AVEDEV(C3:AP3)/AVERAGE(C3:AP3)</f>
        <v>0.67615894039735092</v>
      </c>
      <c r="C3">
        <f>SUMIFS(data!$C:$C,data!$A:$A,"="&amp;xyz!$A3,data!$B:$B,"="&amp;xyz!C$2)</f>
        <v>0</v>
      </c>
      <c r="D3">
        <f>SUMIFS(data!$C:$C,data!$A:$A,"="&amp;xyz!$A3,data!$B:$B,"="&amp;xyz!D$2)</f>
        <v>2</v>
      </c>
      <c r="E3">
        <f>SUMIFS(data!$C:$C,data!$A:$A,"="&amp;xyz!$A3,data!$B:$B,"="&amp;xyz!E$2)</f>
        <v>3</v>
      </c>
      <c r="F3">
        <f>SUMIFS(data!$C:$C,data!$A:$A,"="&amp;xyz!$A3,data!$B:$B,"="&amp;xyz!F$2)</f>
        <v>0</v>
      </c>
      <c r="G3">
        <f>SUMIFS(data!$C:$C,data!$A:$A,"="&amp;xyz!$A3,data!$B:$B,"="&amp;xyz!G$2)</f>
        <v>2</v>
      </c>
      <c r="H3">
        <f>SUMIFS(data!$C:$C,data!$A:$A,"="&amp;xyz!$A3,data!$B:$B,"="&amp;xyz!H$2)</f>
        <v>7</v>
      </c>
      <c r="I3">
        <f>SUMIFS(data!$C:$C,data!$A:$A,"="&amp;xyz!$A3,data!$B:$B,"="&amp;xyz!I$2)</f>
        <v>6</v>
      </c>
      <c r="J3">
        <f>SUMIFS(data!$C:$C,data!$A:$A,"="&amp;xyz!$A3,data!$B:$B,"="&amp;xyz!J$2)</f>
        <v>3</v>
      </c>
      <c r="K3">
        <f>SUMIFS(data!$C:$C,data!$A:$A,"="&amp;xyz!$A3,data!$B:$B,"="&amp;xyz!K$2)</f>
        <v>0</v>
      </c>
      <c r="L3">
        <f>SUMIFS(data!$C:$C,data!$A:$A,"="&amp;xyz!$A3,data!$B:$B,"="&amp;xyz!L$2)</f>
        <v>3</v>
      </c>
      <c r="M3">
        <f>SUMIFS(data!$C:$C,data!$A:$A,"="&amp;xyz!$A3,data!$B:$B,"="&amp;xyz!M$2)</f>
        <v>2</v>
      </c>
      <c r="N3">
        <f>SUMIFS(data!$C:$C,data!$A:$A,"="&amp;xyz!$A3,data!$B:$B,"="&amp;xyz!N$2)</f>
        <v>0</v>
      </c>
      <c r="O3">
        <f>SUMIFS(data!$C:$C,data!$A:$A,"="&amp;xyz!$A3,data!$B:$B,"="&amp;xyz!O$2)</f>
        <v>4</v>
      </c>
      <c r="P3">
        <f>SUMIFS(data!$C:$C,data!$A:$A,"="&amp;xyz!$A3,data!$B:$B,"="&amp;xyz!P$2)</f>
        <v>2</v>
      </c>
      <c r="Q3">
        <f>SUMIFS(data!$C:$C,data!$A:$A,"="&amp;xyz!$A3,data!$B:$B,"="&amp;xyz!Q$2)</f>
        <v>4</v>
      </c>
      <c r="R3">
        <f>SUMIFS(data!$C:$C,data!$A:$A,"="&amp;xyz!$A3,data!$B:$B,"="&amp;xyz!R$2)</f>
        <v>4</v>
      </c>
      <c r="S3">
        <f>SUMIFS(data!$C:$C,data!$A:$A,"="&amp;xyz!$A3,data!$B:$B,"="&amp;xyz!S$2)</f>
        <v>1</v>
      </c>
      <c r="T3">
        <f>SUMIFS(data!$C:$C,data!$A:$A,"="&amp;xyz!$A3,data!$B:$B,"="&amp;xyz!T$2)</f>
        <v>11</v>
      </c>
      <c r="U3">
        <f>SUMIFS(data!$C:$C,data!$A:$A,"="&amp;xyz!$A3,data!$B:$B,"="&amp;xyz!U$2)</f>
        <v>5</v>
      </c>
      <c r="V3">
        <f>SUMIFS(data!$C:$C,data!$A:$A,"="&amp;xyz!$A3,data!$B:$B,"="&amp;xyz!V$2)</f>
        <v>8</v>
      </c>
      <c r="W3">
        <f>SUMIFS(data!$C:$C,data!$A:$A,"="&amp;xyz!$A3,data!$B:$B,"="&amp;xyz!W$2)</f>
        <v>4</v>
      </c>
      <c r="X3">
        <f>SUMIFS(data!$C:$C,data!$A:$A,"="&amp;xyz!$A3,data!$B:$B,"="&amp;xyz!X$2)</f>
        <v>2</v>
      </c>
      <c r="Y3">
        <f>SUMIFS(data!$C:$C,data!$A:$A,"="&amp;xyz!$A3,data!$B:$B,"="&amp;xyz!Y$2)</f>
        <v>1</v>
      </c>
      <c r="Z3">
        <f>SUMIFS(data!$C:$C,data!$A:$A,"="&amp;xyz!$A3,data!$B:$B,"="&amp;xyz!Z$2)</f>
        <v>4</v>
      </c>
      <c r="AA3">
        <f>SUMIFS(data!$C:$C,data!$A:$A,"="&amp;xyz!$A3,data!$B:$B,"="&amp;xyz!AA$2)</f>
        <v>11</v>
      </c>
      <c r="AB3">
        <f>SUMIFS(data!$C:$C,data!$A:$A,"="&amp;xyz!$A3,data!$B:$B,"="&amp;xyz!AB$2)</f>
        <v>1</v>
      </c>
      <c r="AC3">
        <f>SUMIFS(data!$C:$C,data!$A:$A,"="&amp;xyz!$A3,data!$B:$B,"="&amp;xyz!AC$2)</f>
        <v>1</v>
      </c>
      <c r="AD3">
        <f>SUMIFS(data!$C:$C,data!$A:$A,"="&amp;xyz!$A3,data!$B:$B,"="&amp;xyz!AD$2)</f>
        <v>5</v>
      </c>
      <c r="AE3">
        <f>SUMIFS(data!$C:$C,data!$A:$A,"="&amp;xyz!$A3,data!$B:$B,"="&amp;xyz!AE$2)</f>
        <v>1</v>
      </c>
      <c r="AF3">
        <f>SUMIFS(data!$C:$C,data!$A:$A,"="&amp;xyz!$A3,data!$B:$B,"="&amp;xyz!AF$2)</f>
        <v>6</v>
      </c>
      <c r="AG3">
        <f>SUMIFS(data!$C:$C,data!$A:$A,"="&amp;xyz!$A3,data!$B:$B,"="&amp;xyz!AG$2)</f>
        <v>0</v>
      </c>
      <c r="AH3">
        <f>SUMIFS(data!$C:$C,data!$A:$A,"="&amp;xyz!$A3,data!$B:$B,"="&amp;xyz!AH$2)</f>
        <v>1</v>
      </c>
      <c r="AI3">
        <f>SUMIFS(data!$C:$C,data!$A:$A,"="&amp;xyz!$A3,data!$B:$B,"="&amp;xyz!AI$2)</f>
        <v>9</v>
      </c>
      <c r="AJ3">
        <f>SUMIFS(data!$C:$C,data!$A:$A,"="&amp;xyz!$A3,data!$B:$B,"="&amp;xyz!AJ$2)</f>
        <v>7</v>
      </c>
      <c r="AK3">
        <f>SUMIFS(data!$C:$C,data!$A:$A,"="&amp;xyz!$A3,data!$B:$B,"="&amp;xyz!AK$2)</f>
        <v>3</v>
      </c>
      <c r="AL3">
        <f>SUMIFS(data!$C:$C,data!$A:$A,"="&amp;xyz!$A3,data!$B:$B,"="&amp;xyz!AL$2)</f>
        <v>2</v>
      </c>
      <c r="AM3">
        <f>SUMIFS(data!$C:$C,data!$A:$A,"="&amp;xyz!$A3,data!$B:$B,"="&amp;xyz!AM$2)</f>
        <v>8</v>
      </c>
      <c r="AN3">
        <f>SUMIFS(data!$C:$C,data!$A:$A,"="&amp;xyz!$A3,data!$B:$B,"="&amp;xyz!AN$2)</f>
        <v>5</v>
      </c>
      <c r="AO3">
        <f>SUMIFS(data!$C:$C,data!$A:$A,"="&amp;xyz!$A3,data!$B:$B,"="&amp;xyz!AO$2)</f>
        <v>2</v>
      </c>
      <c r="AP3">
        <f>SUMIFS(data!$C:$C,data!$A:$A,"="&amp;xyz!$A3,data!$B:$B,"="&amp;xyz!AP$2)</f>
        <v>11</v>
      </c>
      <c r="AQ3" s="6">
        <f>_xlfn.STDEV.S(C3:AP3)/AVERAGE(C3:AP3)</f>
        <v>0.84514712651704427</v>
      </c>
    </row>
    <row r="4" spans="1:43" x14ac:dyDescent="0.3">
      <c r="A4" t="s">
        <v>48</v>
      </c>
      <c r="B4" s="6">
        <f t="shared" ref="B4:B67" si="1">AVEDEV(C4:AP4)/AVERAGE(C4:AP4)</f>
        <v>0.49134078212290494</v>
      </c>
      <c r="C4">
        <f>SUMIFS(data!$C:$C,data!$A:$A,"="&amp;xyz!$A4,data!$B:$B,"="&amp;xyz!C$2)</f>
        <v>4</v>
      </c>
      <c r="D4">
        <f>SUMIFS(data!$C:$C,data!$A:$A,"="&amp;xyz!$A4,data!$B:$B,"="&amp;xyz!D$2)</f>
        <v>0</v>
      </c>
      <c r="E4">
        <f>SUMIFS(data!$C:$C,data!$A:$A,"="&amp;xyz!$A4,data!$B:$B,"="&amp;xyz!E$2)</f>
        <v>3</v>
      </c>
      <c r="F4">
        <f>SUMIFS(data!$C:$C,data!$A:$A,"="&amp;xyz!$A4,data!$B:$B,"="&amp;xyz!F$2)</f>
        <v>7</v>
      </c>
      <c r="G4">
        <f>SUMIFS(data!$C:$C,data!$A:$A,"="&amp;xyz!$A4,data!$B:$B,"="&amp;xyz!G$2)</f>
        <v>6</v>
      </c>
      <c r="H4">
        <f>SUMIFS(data!$C:$C,data!$A:$A,"="&amp;xyz!$A4,data!$B:$B,"="&amp;xyz!H$2)</f>
        <v>6</v>
      </c>
      <c r="I4">
        <f>SUMIFS(data!$C:$C,data!$A:$A,"="&amp;xyz!$A4,data!$B:$B,"="&amp;xyz!I$2)</f>
        <v>7</v>
      </c>
      <c r="J4">
        <f>SUMIFS(data!$C:$C,data!$A:$A,"="&amp;xyz!$A4,data!$B:$B,"="&amp;xyz!J$2)</f>
        <v>5</v>
      </c>
      <c r="K4">
        <f>SUMIFS(data!$C:$C,data!$A:$A,"="&amp;xyz!$A4,data!$B:$B,"="&amp;xyz!K$2)</f>
        <v>0</v>
      </c>
      <c r="L4">
        <f>SUMIFS(data!$C:$C,data!$A:$A,"="&amp;xyz!$A4,data!$B:$B,"="&amp;xyz!L$2)</f>
        <v>10</v>
      </c>
      <c r="M4">
        <f>SUMIFS(data!$C:$C,data!$A:$A,"="&amp;xyz!$A4,data!$B:$B,"="&amp;xyz!M$2)</f>
        <v>2</v>
      </c>
      <c r="N4">
        <f>SUMIFS(data!$C:$C,data!$A:$A,"="&amp;xyz!$A4,data!$B:$B,"="&amp;xyz!N$2)</f>
        <v>9</v>
      </c>
      <c r="O4">
        <f>SUMIFS(data!$C:$C,data!$A:$A,"="&amp;xyz!$A4,data!$B:$B,"="&amp;xyz!O$2)</f>
        <v>2</v>
      </c>
      <c r="P4">
        <f>SUMIFS(data!$C:$C,data!$A:$A,"="&amp;xyz!$A4,data!$B:$B,"="&amp;xyz!P$2)</f>
        <v>6</v>
      </c>
      <c r="Q4">
        <f>SUMIFS(data!$C:$C,data!$A:$A,"="&amp;xyz!$A4,data!$B:$B,"="&amp;xyz!Q$2)</f>
        <v>5</v>
      </c>
      <c r="R4">
        <f>SUMIFS(data!$C:$C,data!$A:$A,"="&amp;xyz!$A4,data!$B:$B,"="&amp;xyz!R$2)</f>
        <v>5</v>
      </c>
      <c r="S4">
        <f>SUMIFS(data!$C:$C,data!$A:$A,"="&amp;xyz!$A4,data!$B:$B,"="&amp;xyz!S$2)</f>
        <v>7</v>
      </c>
      <c r="T4">
        <f>SUMIFS(data!$C:$C,data!$A:$A,"="&amp;xyz!$A4,data!$B:$B,"="&amp;xyz!T$2)</f>
        <v>4</v>
      </c>
      <c r="U4">
        <f>SUMIFS(data!$C:$C,data!$A:$A,"="&amp;xyz!$A4,data!$B:$B,"="&amp;xyz!U$2)</f>
        <v>1</v>
      </c>
      <c r="V4">
        <f>SUMIFS(data!$C:$C,data!$A:$A,"="&amp;xyz!$A4,data!$B:$B,"="&amp;xyz!V$2)</f>
        <v>13</v>
      </c>
      <c r="W4">
        <f>SUMIFS(data!$C:$C,data!$A:$A,"="&amp;xyz!$A4,data!$B:$B,"="&amp;xyz!W$2)</f>
        <v>5</v>
      </c>
      <c r="X4">
        <f>SUMIFS(data!$C:$C,data!$A:$A,"="&amp;xyz!$A4,data!$B:$B,"="&amp;xyz!X$2)</f>
        <v>1</v>
      </c>
      <c r="Y4">
        <f>SUMIFS(data!$C:$C,data!$A:$A,"="&amp;xyz!$A4,data!$B:$B,"="&amp;xyz!Y$2)</f>
        <v>3</v>
      </c>
      <c r="Z4">
        <f>SUMIFS(data!$C:$C,data!$A:$A,"="&amp;xyz!$A4,data!$B:$B,"="&amp;xyz!Z$2)</f>
        <v>3</v>
      </c>
      <c r="AA4">
        <f>SUMIFS(data!$C:$C,data!$A:$A,"="&amp;xyz!$A4,data!$B:$B,"="&amp;xyz!AA$2)</f>
        <v>3</v>
      </c>
      <c r="AB4">
        <f>SUMIFS(data!$C:$C,data!$A:$A,"="&amp;xyz!$A4,data!$B:$B,"="&amp;xyz!AB$2)</f>
        <v>2</v>
      </c>
      <c r="AC4">
        <f>SUMIFS(data!$C:$C,data!$A:$A,"="&amp;xyz!$A4,data!$B:$B,"="&amp;xyz!AC$2)</f>
        <v>6</v>
      </c>
      <c r="AD4">
        <f>SUMIFS(data!$C:$C,data!$A:$A,"="&amp;xyz!$A4,data!$B:$B,"="&amp;xyz!AD$2)</f>
        <v>6</v>
      </c>
      <c r="AE4">
        <f>SUMIFS(data!$C:$C,data!$A:$A,"="&amp;xyz!$A4,data!$B:$B,"="&amp;xyz!AE$2)</f>
        <v>0</v>
      </c>
      <c r="AF4">
        <f>SUMIFS(data!$C:$C,data!$A:$A,"="&amp;xyz!$A4,data!$B:$B,"="&amp;xyz!AF$2)</f>
        <v>4</v>
      </c>
      <c r="AG4">
        <f>SUMIFS(data!$C:$C,data!$A:$A,"="&amp;xyz!$A4,data!$B:$B,"="&amp;xyz!AG$2)</f>
        <v>4</v>
      </c>
      <c r="AH4">
        <f>SUMIFS(data!$C:$C,data!$A:$A,"="&amp;xyz!$A4,data!$B:$B,"="&amp;xyz!AH$2)</f>
        <v>2</v>
      </c>
      <c r="AI4">
        <f>SUMIFS(data!$C:$C,data!$A:$A,"="&amp;xyz!$A4,data!$B:$B,"="&amp;xyz!AI$2)</f>
        <v>4</v>
      </c>
      <c r="AJ4">
        <f>SUMIFS(data!$C:$C,data!$A:$A,"="&amp;xyz!$A4,data!$B:$B,"="&amp;xyz!AJ$2)</f>
        <v>3</v>
      </c>
      <c r="AK4">
        <f>SUMIFS(data!$C:$C,data!$A:$A,"="&amp;xyz!$A4,data!$B:$B,"="&amp;xyz!AK$2)</f>
        <v>9</v>
      </c>
      <c r="AL4">
        <f>SUMIFS(data!$C:$C,data!$A:$A,"="&amp;xyz!$A4,data!$B:$B,"="&amp;xyz!AL$2)</f>
        <v>5</v>
      </c>
      <c r="AM4">
        <f>SUMIFS(data!$C:$C,data!$A:$A,"="&amp;xyz!$A4,data!$B:$B,"="&amp;xyz!AM$2)</f>
        <v>3</v>
      </c>
      <c r="AN4">
        <f>SUMIFS(data!$C:$C,data!$A:$A,"="&amp;xyz!$A4,data!$B:$B,"="&amp;xyz!AN$2)</f>
        <v>5</v>
      </c>
      <c r="AO4">
        <f>SUMIFS(data!$C:$C,data!$A:$A,"="&amp;xyz!$A4,data!$B:$B,"="&amp;xyz!AO$2)</f>
        <v>7</v>
      </c>
      <c r="AP4">
        <f>SUMIFS(data!$C:$C,data!$A:$A,"="&amp;xyz!$A4,data!$B:$B,"="&amp;xyz!AP$2)</f>
        <v>2</v>
      </c>
      <c r="AQ4" s="6">
        <f t="shared" ref="AQ4:AQ67" si="2">_xlfn.STDEV.S(C4:AP4)/AVERAGE(C4:AP4)</f>
        <v>0.63202543107970466</v>
      </c>
    </row>
    <row r="5" spans="1:43" x14ac:dyDescent="0.3">
      <c r="A5" t="s">
        <v>47</v>
      </c>
      <c r="B5" s="6">
        <f t="shared" si="1"/>
        <v>0.52196531791907497</v>
      </c>
      <c r="C5">
        <f>SUMIFS(data!$C:$C,data!$A:$A,"="&amp;xyz!$A5,data!$B:$B,"="&amp;xyz!C$2)</f>
        <v>7</v>
      </c>
      <c r="D5">
        <f>SUMIFS(data!$C:$C,data!$A:$A,"="&amp;xyz!$A5,data!$B:$B,"="&amp;xyz!D$2)</f>
        <v>7</v>
      </c>
      <c r="E5">
        <f>SUMIFS(data!$C:$C,data!$A:$A,"="&amp;xyz!$A5,data!$B:$B,"="&amp;xyz!E$2)</f>
        <v>6</v>
      </c>
      <c r="F5">
        <f>SUMIFS(data!$C:$C,data!$A:$A,"="&amp;xyz!$A5,data!$B:$B,"="&amp;xyz!F$2)</f>
        <v>5</v>
      </c>
      <c r="G5">
        <f>SUMIFS(data!$C:$C,data!$A:$A,"="&amp;xyz!$A5,data!$B:$B,"="&amp;xyz!G$2)</f>
        <v>4</v>
      </c>
      <c r="H5">
        <f>SUMIFS(data!$C:$C,data!$A:$A,"="&amp;xyz!$A5,data!$B:$B,"="&amp;xyz!H$2)</f>
        <v>5</v>
      </c>
      <c r="I5">
        <f>SUMIFS(data!$C:$C,data!$A:$A,"="&amp;xyz!$A5,data!$B:$B,"="&amp;xyz!I$2)</f>
        <v>3</v>
      </c>
      <c r="J5">
        <f>SUMIFS(data!$C:$C,data!$A:$A,"="&amp;xyz!$A5,data!$B:$B,"="&amp;xyz!J$2)</f>
        <v>3</v>
      </c>
      <c r="K5">
        <f>SUMIFS(data!$C:$C,data!$A:$A,"="&amp;xyz!$A5,data!$B:$B,"="&amp;xyz!K$2)</f>
        <v>0</v>
      </c>
      <c r="L5">
        <f>SUMIFS(data!$C:$C,data!$A:$A,"="&amp;xyz!$A5,data!$B:$B,"="&amp;xyz!L$2)</f>
        <v>4</v>
      </c>
      <c r="M5">
        <f>SUMIFS(data!$C:$C,data!$A:$A,"="&amp;xyz!$A5,data!$B:$B,"="&amp;xyz!M$2)</f>
        <v>1</v>
      </c>
      <c r="N5">
        <f>SUMIFS(data!$C:$C,data!$A:$A,"="&amp;xyz!$A5,data!$B:$B,"="&amp;xyz!N$2)</f>
        <v>1</v>
      </c>
      <c r="O5">
        <f>SUMIFS(data!$C:$C,data!$A:$A,"="&amp;xyz!$A5,data!$B:$B,"="&amp;xyz!O$2)</f>
        <v>4</v>
      </c>
      <c r="P5">
        <f>SUMIFS(data!$C:$C,data!$A:$A,"="&amp;xyz!$A5,data!$B:$B,"="&amp;xyz!P$2)</f>
        <v>1</v>
      </c>
      <c r="Q5">
        <f>SUMIFS(data!$C:$C,data!$A:$A,"="&amp;xyz!$A5,data!$B:$B,"="&amp;xyz!Q$2)</f>
        <v>1</v>
      </c>
      <c r="R5">
        <f>SUMIFS(data!$C:$C,data!$A:$A,"="&amp;xyz!$A5,data!$B:$B,"="&amp;xyz!R$2)</f>
        <v>2</v>
      </c>
      <c r="S5">
        <f>SUMIFS(data!$C:$C,data!$A:$A,"="&amp;xyz!$A5,data!$B:$B,"="&amp;xyz!S$2)</f>
        <v>7</v>
      </c>
      <c r="T5">
        <f>SUMIFS(data!$C:$C,data!$A:$A,"="&amp;xyz!$A5,data!$B:$B,"="&amp;xyz!T$2)</f>
        <v>6</v>
      </c>
      <c r="U5">
        <f>SUMIFS(data!$C:$C,data!$A:$A,"="&amp;xyz!$A5,data!$B:$B,"="&amp;xyz!U$2)</f>
        <v>7</v>
      </c>
      <c r="V5">
        <f>SUMIFS(data!$C:$C,data!$A:$A,"="&amp;xyz!$A5,data!$B:$B,"="&amp;xyz!V$2)</f>
        <v>4</v>
      </c>
      <c r="W5">
        <f>SUMIFS(data!$C:$C,data!$A:$A,"="&amp;xyz!$A5,data!$B:$B,"="&amp;xyz!W$2)</f>
        <v>6</v>
      </c>
      <c r="X5">
        <f>SUMIFS(data!$C:$C,data!$A:$A,"="&amp;xyz!$A5,data!$B:$B,"="&amp;xyz!X$2)</f>
        <v>6</v>
      </c>
      <c r="Y5">
        <f>SUMIFS(data!$C:$C,data!$A:$A,"="&amp;xyz!$A5,data!$B:$B,"="&amp;xyz!Y$2)</f>
        <v>8</v>
      </c>
      <c r="Z5">
        <f>SUMIFS(data!$C:$C,data!$A:$A,"="&amp;xyz!$A5,data!$B:$B,"="&amp;xyz!Z$2)</f>
        <v>2</v>
      </c>
      <c r="AA5">
        <f>SUMIFS(data!$C:$C,data!$A:$A,"="&amp;xyz!$A5,data!$B:$B,"="&amp;xyz!AA$2)</f>
        <v>6</v>
      </c>
      <c r="AB5">
        <f>SUMIFS(data!$C:$C,data!$A:$A,"="&amp;xyz!$A5,data!$B:$B,"="&amp;xyz!AB$2)</f>
        <v>5</v>
      </c>
      <c r="AC5">
        <f>SUMIFS(data!$C:$C,data!$A:$A,"="&amp;xyz!$A5,data!$B:$B,"="&amp;xyz!AC$2)</f>
        <v>3</v>
      </c>
      <c r="AD5">
        <f>SUMIFS(data!$C:$C,data!$A:$A,"="&amp;xyz!$A5,data!$B:$B,"="&amp;xyz!AD$2)</f>
        <v>10</v>
      </c>
      <c r="AE5">
        <f>SUMIFS(data!$C:$C,data!$A:$A,"="&amp;xyz!$A5,data!$B:$B,"="&amp;xyz!AE$2)</f>
        <v>8</v>
      </c>
      <c r="AF5">
        <f>SUMIFS(data!$C:$C,data!$A:$A,"="&amp;xyz!$A5,data!$B:$B,"="&amp;xyz!AF$2)</f>
        <v>2</v>
      </c>
      <c r="AG5">
        <f>SUMIFS(data!$C:$C,data!$A:$A,"="&amp;xyz!$A5,data!$B:$B,"="&amp;xyz!AG$2)</f>
        <v>2</v>
      </c>
      <c r="AH5">
        <f>SUMIFS(data!$C:$C,data!$A:$A,"="&amp;xyz!$A5,data!$B:$B,"="&amp;xyz!AH$2)</f>
        <v>9</v>
      </c>
      <c r="AI5">
        <f>SUMIFS(data!$C:$C,data!$A:$A,"="&amp;xyz!$A5,data!$B:$B,"="&amp;xyz!AI$2)</f>
        <v>6</v>
      </c>
      <c r="AJ5">
        <f>SUMIFS(data!$C:$C,data!$A:$A,"="&amp;xyz!$A5,data!$B:$B,"="&amp;xyz!AJ$2)</f>
        <v>1</v>
      </c>
      <c r="AK5">
        <f>SUMIFS(data!$C:$C,data!$A:$A,"="&amp;xyz!$A5,data!$B:$B,"="&amp;xyz!AK$2)</f>
        <v>9</v>
      </c>
      <c r="AL5">
        <f>SUMIFS(data!$C:$C,data!$A:$A,"="&amp;xyz!$A5,data!$B:$B,"="&amp;xyz!AL$2)</f>
        <v>1</v>
      </c>
      <c r="AM5">
        <f>SUMIFS(data!$C:$C,data!$A:$A,"="&amp;xyz!$A5,data!$B:$B,"="&amp;xyz!AM$2)</f>
        <v>4</v>
      </c>
      <c r="AN5">
        <f>SUMIFS(data!$C:$C,data!$A:$A,"="&amp;xyz!$A5,data!$B:$B,"="&amp;xyz!AN$2)</f>
        <v>4</v>
      </c>
      <c r="AO5">
        <f>SUMIFS(data!$C:$C,data!$A:$A,"="&amp;xyz!$A5,data!$B:$B,"="&amp;xyz!AO$2)</f>
        <v>2</v>
      </c>
      <c r="AP5">
        <f>SUMIFS(data!$C:$C,data!$A:$A,"="&amp;xyz!$A5,data!$B:$B,"="&amp;xyz!AP$2)</f>
        <v>1</v>
      </c>
      <c r="AQ5" s="6">
        <f t="shared" si="2"/>
        <v>0.61817081439201105</v>
      </c>
    </row>
    <row r="6" spans="1:43" x14ac:dyDescent="0.3">
      <c r="A6" t="s">
        <v>18</v>
      </c>
      <c r="B6" s="6">
        <f t="shared" si="1"/>
        <v>0.48051948051948051</v>
      </c>
      <c r="C6">
        <f>SUMIFS(data!$C:$C,data!$A:$A,"="&amp;xyz!$A6,data!$B:$B,"="&amp;xyz!C$2)</f>
        <v>1</v>
      </c>
      <c r="D6">
        <f>SUMIFS(data!$C:$C,data!$A:$A,"="&amp;xyz!$A6,data!$B:$B,"="&amp;xyz!D$2)</f>
        <v>4</v>
      </c>
      <c r="E6">
        <f>SUMIFS(data!$C:$C,data!$A:$A,"="&amp;xyz!$A6,data!$B:$B,"="&amp;xyz!E$2)</f>
        <v>4</v>
      </c>
      <c r="F6">
        <f>SUMIFS(data!$C:$C,data!$A:$A,"="&amp;xyz!$A6,data!$B:$B,"="&amp;xyz!F$2)</f>
        <v>1</v>
      </c>
      <c r="G6">
        <f>SUMIFS(data!$C:$C,data!$A:$A,"="&amp;xyz!$A6,data!$B:$B,"="&amp;xyz!G$2)</f>
        <v>4</v>
      </c>
      <c r="H6">
        <f>SUMIFS(data!$C:$C,data!$A:$A,"="&amp;xyz!$A6,data!$B:$B,"="&amp;xyz!H$2)</f>
        <v>6</v>
      </c>
      <c r="I6">
        <f>SUMIFS(data!$C:$C,data!$A:$A,"="&amp;xyz!$A6,data!$B:$B,"="&amp;xyz!I$2)</f>
        <v>6</v>
      </c>
      <c r="J6">
        <f>SUMIFS(data!$C:$C,data!$A:$A,"="&amp;xyz!$A6,data!$B:$B,"="&amp;xyz!J$2)</f>
        <v>0</v>
      </c>
      <c r="K6">
        <f>SUMIFS(data!$C:$C,data!$A:$A,"="&amp;xyz!$A6,data!$B:$B,"="&amp;xyz!K$2)</f>
        <v>0</v>
      </c>
      <c r="L6">
        <f>SUMIFS(data!$C:$C,data!$A:$A,"="&amp;xyz!$A6,data!$B:$B,"="&amp;xyz!L$2)</f>
        <v>7</v>
      </c>
      <c r="M6">
        <f>SUMIFS(data!$C:$C,data!$A:$A,"="&amp;xyz!$A6,data!$B:$B,"="&amp;xyz!M$2)</f>
        <v>8</v>
      </c>
      <c r="N6">
        <f>SUMIFS(data!$C:$C,data!$A:$A,"="&amp;xyz!$A6,data!$B:$B,"="&amp;xyz!N$2)</f>
        <v>3</v>
      </c>
      <c r="O6">
        <f>SUMIFS(data!$C:$C,data!$A:$A,"="&amp;xyz!$A6,data!$B:$B,"="&amp;xyz!O$2)</f>
        <v>5</v>
      </c>
      <c r="P6">
        <f>SUMIFS(data!$C:$C,data!$A:$A,"="&amp;xyz!$A6,data!$B:$B,"="&amp;xyz!P$2)</f>
        <v>3</v>
      </c>
      <c r="Q6">
        <f>SUMIFS(data!$C:$C,data!$A:$A,"="&amp;xyz!$A6,data!$B:$B,"="&amp;xyz!Q$2)</f>
        <v>5</v>
      </c>
      <c r="R6">
        <f>SUMIFS(data!$C:$C,data!$A:$A,"="&amp;xyz!$A6,data!$B:$B,"="&amp;xyz!R$2)</f>
        <v>2</v>
      </c>
      <c r="S6">
        <f>SUMIFS(data!$C:$C,data!$A:$A,"="&amp;xyz!$A6,data!$B:$B,"="&amp;xyz!S$2)</f>
        <v>2</v>
      </c>
      <c r="T6">
        <f>SUMIFS(data!$C:$C,data!$A:$A,"="&amp;xyz!$A6,data!$B:$B,"="&amp;xyz!T$2)</f>
        <v>6</v>
      </c>
      <c r="U6">
        <f>SUMIFS(data!$C:$C,data!$A:$A,"="&amp;xyz!$A6,data!$B:$B,"="&amp;xyz!U$2)</f>
        <v>5</v>
      </c>
      <c r="V6">
        <f>SUMIFS(data!$C:$C,data!$A:$A,"="&amp;xyz!$A6,data!$B:$B,"="&amp;xyz!V$2)</f>
        <v>6</v>
      </c>
      <c r="W6">
        <f>SUMIFS(data!$C:$C,data!$A:$A,"="&amp;xyz!$A6,data!$B:$B,"="&amp;xyz!W$2)</f>
        <v>4</v>
      </c>
      <c r="X6">
        <f>SUMIFS(data!$C:$C,data!$A:$A,"="&amp;xyz!$A6,data!$B:$B,"="&amp;xyz!X$2)</f>
        <v>3</v>
      </c>
      <c r="Y6">
        <f>SUMIFS(data!$C:$C,data!$A:$A,"="&amp;xyz!$A6,data!$B:$B,"="&amp;xyz!Y$2)</f>
        <v>6</v>
      </c>
      <c r="Z6">
        <f>SUMIFS(data!$C:$C,data!$A:$A,"="&amp;xyz!$A6,data!$B:$B,"="&amp;xyz!Z$2)</f>
        <v>4</v>
      </c>
      <c r="AA6">
        <f>SUMIFS(data!$C:$C,data!$A:$A,"="&amp;xyz!$A6,data!$B:$B,"="&amp;xyz!AA$2)</f>
        <v>12</v>
      </c>
      <c r="AB6">
        <f>SUMIFS(data!$C:$C,data!$A:$A,"="&amp;xyz!$A6,data!$B:$B,"="&amp;xyz!AB$2)</f>
        <v>5</v>
      </c>
      <c r="AC6">
        <f>SUMIFS(data!$C:$C,data!$A:$A,"="&amp;xyz!$A6,data!$B:$B,"="&amp;xyz!AC$2)</f>
        <v>3</v>
      </c>
      <c r="AD6">
        <f>SUMIFS(data!$C:$C,data!$A:$A,"="&amp;xyz!$A6,data!$B:$B,"="&amp;xyz!AD$2)</f>
        <v>3</v>
      </c>
      <c r="AE6">
        <f>SUMIFS(data!$C:$C,data!$A:$A,"="&amp;xyz!$A6,data!$B:$B,"="&amp;xyz!AE$2)</f>
        <v>5</v>
      </c>
      <c r="AF6">
        <f>SUMIFS(data!$C:$C,data!$A:$A,"="&amp;xyz!$A6,data!$B:$B,"="&amp;xyz!AF$2)</f>
        <v>1</v>
      </c>
      <c r="AG6">
        <f>SUMIFS(data!$C:$C,data!$A:$A,"="&amp;xyz!$A6,data!$B:$B,"="&amp;xyz!AG$2)</f>
        <v>2</v>
      </c>
      <c r="AH6">
        <f>SUMIFS(data!$C:$C,data!$A:$A,"="&amp;xyz!$A6,data!$B:$B,"="&amp;xyz!AH$2)</f>
        <v>2</v>
      </c>
      <c r="AI6">
        <f>SUMIFS(data!$C:$C,data!$A:$A,"="&amp;xyz!$A6,data!$B:$B,"="&amp;xyz!AI$2)</f>
        <v>2</v>
      </c>
      <c r="AJ6">
        <f>SUMIFS(data!$C:$C,data!$A:$A,"="&amp;xyz!$A6,data!$B:$B,"="&amp;xyz!AJ$2)</f>
        <v>3</v>
      </c>
      <c r="AK6">
        <f>SUMIFS(data!$C:$C,data!$A:$A,"="&amp;xyz!$A6,data!$B:$B,"="&amp;xyz!AK$2)</f>
        <v>2</v>
      </c>
      <c r="AL6">
        <f>SUMIFS(data!$C:$C,data!$A:$A,"="&amp;xyz!$A6,data!$B:$B,"="&amp;xyz!AL$2)</f>
        <v>3</v>
      </c>
      <c r="AM6">
        <f>SUMIFS(data!$C:$C,data!$A:$A,"="&amp;xyz!$A6,data!$B:$B,"="&amp;xyz!AM$2)</f>
        <v>1</v>
      </c>
      <c r="AN6">
        <f>SUMIFS(data!$C:$C,data!$A:$A,"="&amp;xyz!$A6,data!$B:$B,"="&amp;xyz!AN$2)</f>
        <v>6</v>
      </c>
      <c r="AO6">
        <f>SUMIFS(data!$C:$C,data!$A:$A,"="&amp;xyz!$A6,data!$B:$B,"="&amp;xyz!AO$2)</f>
        <v>6</v>
      </c>
      <c r="AP6">
        <f>SUMIFS(data!$C:$C,data!$A:$A,"="&amp;xyz!$A6,data!$B:$B,"="&amp;xyz!AP$2)</f>
        <v>3</v>
      </c>
      <c r="AQ6" s="6">
        <f t="shared" si="2"/>
        <v>0.61844536394814531</v>
      </c>
    </row>
    <row r="7" spans="1:43" x14ac:dyDescent="0.3">
      <c r="A7" t="s">
        <v>32</v>
      </c>
      <c r="B7" s="6">
        <f t="shared" si="1"/>
        <v>0.54795134443021754</v>
      </c>
      <c r="C7">
        <f>SUMIFS(data!$C:$C,data!$A:$A,"="&amp;xyz!$A7,data!$B:$B,"="&amp;xyz!C$2)</f>
        <v>1</v>
      </c>
      <c r="D7">
        <f>SUMIFS(data!$C:$C,data!$A:$A,"="&amp;xyz!$A7,data!$B:$B,"="&amp;xyz!D$2)</f>
        <v>2</v>
      </c>
      <c r="E7">
        <f>SUMIFS(data!$C:$C,data!$A:$A,"="&amp;xyz!$A7,data!$B:$B,"="&amp;xyz!E$2)</f>
        <v>0</v>
      </c>
      <c r="F7">
        <f>SUMIFS(data!$C:$C,data!$A:$A,"="&amp;xyz!$A7,data!$B:$B,"="&amp;xyz!F$2)</f>
        <v>1</v>
      </c>
      <c r="G7">
        <f>SUMIFS(data!$C:$C,data!$A:$A,"="&amp;xyz!$A7,data!$B:$B,"="&amp;xyz!G$2)</f>
        <v>1</v>
      </c>
      <c r="H7">
        <f>SUMIFS(data!$C:$C,data!$A:$A,"="&amp;xyz!$A7,data!$B:$B,"="&amp;xyz!H$2)</f>
        <v>3</v>
      </c>
      <c r="I7">
        <f>SUMIFS(data!$C:$C,data!$A:$A,"="&amp;xyz!$A7,data!$B:$B,"="&amp;xyz!I$2)</f>
        <v>2</v>
      </c>
      <c r="J7">
        <f>SUMIFS(data!$C:$C,data!$A:$A,"="&amp;xyz!$A7,data!$B:$B,"="&amp;xyz!J$2)</f>
        <v>0</v>
      </c>
      <c r="K7">
        <f>SUMIFS(data!$C:$C,data!$A:$A,"="&amp;xyz!$A7,data!$B:$B,"="&amp;xyz!K$2)</f>
        <v>0</v>
      </c>
      <c r="L7">
        <f>SUMIFS(data!$C:$C,data!$A:$A,"="&amp;xyz!$A7,data!$B:$B,"="&amp;xyz!L$2)</f>
        <v>1</v>
      </c>
      <c r="M7">
        <f>SUMIFS(data!$C:$C,data!$A:$A,"="&amp;xyz!$A7,data!$B:$B,"="&amp;xyz!M$2)</f>
        <v>2.1</v>
      </c>
      <c r="N7">
        <f>SUMIFS(data!$C:$C,data!$A:$A,"="&amp;xyz!$A7,data!$B:$B,"="&amp;xyz!N$2)</f>
        <v>6.5</v>
      </c>
      <c r="O7">
        <f>SUMIFS(data!$C:$C,data!$A:$A,"="&amp;xyz!$A7,data!$B:$B,"="&amp;xyz!O$2)</f>
        <v>3</v>
      </c>
      <c r="P7">
        <f>SUMIFS(data!$C:$C,data!$A:$A,"="&amp;xyz!$A7,data!$B:$B,"="&amp;xyz!P$2)</f>
        <v>2.2000000000000002</v>
      </c>
      <c r="Q7">
        <f>SUMIFS(data!$C:$C,data!$A:$A,"="&amp;xyz!$A7,data!$B:$B,"="&amp;xyz!Q$2)</f>
        <v>2</v>
      </c>
      <c r="R7">
        <f>SUMIFS(data!$C:$C,data!$A:$A,"="&amp;xyz!$A7,data!$B:$B,"="&amp;xyz!R$2)</f>
        <v>3.1</v>
      </c>
      <c r="S7">
        <f>SUMIFS(data!$C:$C,data!$A:$A,"="&amp;xyz!$A7,data!$B:$B,"="&amp;xyz!S$2)</f>
        <v>4.0999999999999996</v>
      </c>
      <c r="T7">
        <f>SUMIFS(data!$C:$C,data!$A:$A,"="&amp;xyz!$A7,data!$B:$B,"="&amp;xyz!T$2)</f>
        <v>2</v>
      </c>
      <c r="U7">
        <f>SUMIFS(data!$C:$C,data!$A:$A,"="&amp;xyz!$A7,data!$B:$B,"="&amp;xyz!U$2)</f>
        <v>2</v>
      </c>
      <c r="V7">
        <f>SUMIFS(data!$C:$C,data!$A:$A,"="&amp;xyz!$A7,data!$B:$B,"="&amp;xyz!V$2)</f>
        <v>0</v>
      </c>
      <c r="W7">
        <f>SUMIFS(data!$C:$C,data!$A:$A,"="&amp;xyz!$A7,data!$B:$B,"="&amp;xyz!W$2)</f>
        <v>4</v>
      </c>
      <c r="X7">
        <f>SUMIFS(data!$C:$C,data!$A:$A,"="&amp;xyz!$A7,data!$B:$B,"="&amp;xyz!X$2)</f>
        <v>2.5</v>
      </c>
      <c r="Y7">
        <f>SUMIFS(data!$C:$C,data!$A:$A,"="&amp;xyz!$A7,data!$B:$B,"="&amp;xyz!Y$2)</f>
        <v>4.5999999999999996</v>
      </c>
      <c r="Z7">
        <f>SUMIFS(data!$C:$C,data!$A:$A,"="&amp;xyz!$A7,data!$B:$B,"="&amp;xyz!Z$2)</f>
        <v>0.6</v>
      </c>
      <c r="AA7">
        <f>SUMIFS(data!$C:$C,data!$A:$A,"="&amp;xyz!$A7,data!$B:$B,"="&amp;xyz!AA$2)</f>
        <v>1</v>
      </c>
      <c r="AB7">
        <f>SUMIFS(data!$C:$C,data!$A:$A,"="&amp;xyz!$A7,data!$B:$B,"="&amp;xyz!AB$2)</f>
        <v>1.3</v>
      </c>
      <c r="AC7">
        <f>SUMIFS(data!$C:$C,data!$A:$A,"="&amp;xyz!$A7,data!$B:$B,"="&amp;xyz!AC$2)</f>
        <v>3.5</v>
      </c>
      <c r="AD7">
        <f>SUMIFS(data!$C:$C,data!$A:$A,"="&amp;xyz!$A7,data!$B:$B,"="&amp;xyz!AD$2)</f>
        <v>2</v>
      </c>
      <c r="AE7">
        <f>SUMIFS(data!$C:$C,data!$A:$A,"="&amp;xyz!$A7,data!$B:$B,"="&amp;xyz!AE$2)</f>
        <v>1.1000000000000001</v>
      </c>
      <c r="AF7">
        <f>SUMIFS(data!$C:$C,data!$A:$A,"="&amp;xyz!$A7,data!$B:$B,"="&amp;xyz!AF$2)</f>
        <v>1.2</v>
      </c>
      <c r="AG7">
        <f>SUMIFS(data!$C:$C,data!$A:$A,"="&amp;xyz!$A7,data!$B:$B,"="&amp;xyz!AG$2)</f>
        <v>3</v>
      </c>
      <c r="AH7">
        <f>SUMIFS(data!$C:$C,data!$A:$A,"="&amp;xyz!$A7,data!$B:$B,"="&amp;xyz!AH$2)</f>
        <v>1</v>
      </c>
      <c r="AI7">
        <f>SUMIFS(data!$C:$C,data!$A:$A,"="&amp;xyz!$A7,data!$B:$B,"="&amp;xyz!AI$2)</f>
        <v>1.5</v>
      </c>
      <c r="AJ7">
        <f>SUMIFS(data!$C:$C,data!$A:$A,"="&amp;xyz!$A7,data!$B:$B,"="&amp;xyz!AJ$2)</f>
        <v>3</v>
      </c>
      <c r="AK7">
        <f>SUMIFS(data!$C:$C,data!$A:$A,"="&amp;xyz!$A7,data!$B:$B,"="&amp;xyz!AK$2)</f>
        <v>1</v>
      </c>
      <c r="AL7">
        <f>SUMIFS(data!$C:$C,data!$A:$A,"="&amp;xyz!$A7,data!$B:$B,"="&amp;xyz!AL$2)</f>
        <v>1</v>
      </c>
      <c r="AM7">
        <f>SUMIFS(data!$C:$C,data!$A:$A,"="&amp;xyz!$A7,data!$B:$B,"="&amp;xyz!AM$2)</f>
        <v>2</v>
      </c>
      <c r="AN7">
        <f>SUMIFS(data!$C:$C,data!$A:$A,"="&amp;xyz!$A7,data!$B:$B,"="&amp;xyz!AN$2)</f>
        <v>0.5</v>
      </c>
      <c r="AO7">
        <f>SUMIFS(data!$C:$C,data!$A:$A,"="&amp;xyz!$A7,data!$B:$B,"="&amp;xyz!AO$2)</f>
        <v>3.8</v>
      </c>
      <c r="AP7">
        <f>SUMIFS(data!$C:$C,data!$A:$A,"="&amp;xyz!$A7,data!$B:$B,"="&amp;xyz!AP$2)</f>
        <v>1.5</v>
      </c>
      <c r="AQ7" s="6">
        <f t="shared" si="2"/>
        <v>0.7195565023841316</v>
      </c>
    </row>
    <row r="8" spans="1:43" x14ac:dyDescent="0.3">
      <c r="A8" t="s">
        <v>95</v>
      </c>
      <c r="B8" s="6">
        <f t="shared" si="1"/>
        <v>0.44602076124567475</v>
      </c>
      <c r="C8">
        <f>SUMIFS(data!$C:$C,data!$A:$A,"="&amp;xyz!$A8,data!$B:$B,"="&amp;xyz!C$2)</f>
        <v>2.1</v>
      </c>
      <c r="D8">
        <f>SUMIFS(data!$C:$C,data!$A:$A,"="&amp;xyz!$A8,data!$B:$B,"="&amp;xyz!D$2)</f>
        <v>2.2999999999999998</v>
      </c>
      <c r="E8">
        <f>SUMIFS(data!$C:$C,data!$A:$A,"="&amp;xyz!$A8,data!$B:$B,"="&amp;xyz!E$2)</f>
        <v>5.2</v>
      </c>
      <c r="F8">
        <f>SUMIFS(data!$C:$C,data!$A:$A,"="&amp;xyz!$A8,data!$B:$B,"="&amp;xyz!F$2)</f>
        <v>5.3</v>
      </c>
      <c r="G8">
        <f>SUMIFS(data!$C:$C,data!$A:$A,"="&amp;xyz!$A8,data!$B:$B,"="&amp;xyz!G$2)</f>
        <v>3</v>
      </c>
      <c r="H8">
        <f>SUMIFS(data!$C:$C,data!$A:$A,"="&amp;xyz!$A8,data!$B:$B,"="&amp;xyz!H$2)</f>
        <v>1</v>
      </c>
      <c r="I8">
        <f>SUMIFS(data!$C:$C,data!$A:$A,"="&amp;xyz!$A8,data!$B:$B,"="&amp;xyz!I$2)</f>
        <v>4.2</v>
      </c>
      <c r="J8">
        <f>SUMIFS(data!$C:$C,data!$A:$A,"="&amp;xyz!$A8,data!$B:$B,"="&amp;xyz!J$2)</f>
        <v>1.1000000000000001</v>
      </c>
      <c r="K8">
        <f>SUMIFS(data!$C:$C,data!$A:$A,"="&amp;xyz!$A8,data!$B:$B,"="&amp;xyz!K$2)</f>
        <v>0</v>
      </c>
      <c r="L8">
        <f>SUMIFS(data!$C:$C,data!$A:$A,"="&amp;xyz!$A8,data!$B:$B,"="&amp;xyz!L$2)</f>
        <v>3</v>
      </c>
      <c r="M8">
        <f>SUMIFS(data!$C:$C,data!$A:$A,"="&amp;xyz!$A8,data!$B:$B,"="&amp;xyz!M$2)</f>
        <v>2.6</v>
      </c>
      <c r="N8">
        <f>SUMIFS(data!$C:$C,data!$A:$A,"="&amp;xyz!$A8,data!$B:$B,"="&amp;xyz!N$2)</f>
        <v>4.5</v>
      </c>
      <c r="O8">
        <f>SUMIFS(data!$C:$C,data!$A:$A,"="&amp;xyz!$A8,data!$B:$B,"="&amp;xyz!O$2)</f>
        <v>3</v>
      </c>
      <c r="P8">
        <f>SUMIFS(data!$C:$C,data!$A:$A,"="&amp;xyz!$A8,data!$B:$B,"="&amp;xyz!P$2)</f>
        <v>2</v>
      </c>
      <c r="Q8">
        <f>SUMIFS(data!$C:$C,data!$A:$A,"="&amp;xyz!$A8,data!$B:$B,"="&amp;xyz!Q$2)</f>
        <v>2.1</v>
      </c>
      <c r="R8">
        <f>SUMIFS(data!$C:$C,data!$A:$A,"="&amp;xyz!$A8,data!$B:$B,"="&amp;xyz!R$2)</f>
        <v>2</v>
      </c>
      <c r="S8">
        <f>SUMIFS(data!$C:$C,data!$A:$A,"="&amp;xyz!$A8,data!$B:$B,"="&amp;xyz!S$2)</f>
        <v>5</v>
      </c>
      <c r="T8">
        <f>SUMIFS(data!$C:$C,data!$A:$A,"="&amp;xyz!$A8,data!$B:$B,"="&amp;xyz!T$2)</f>
        <v>1.9</v>
      </c>
      <c r="U8">
        <f>SUMIFS(data!$C:$C,data!$A:$A,"="&amp;xyz!$A8,data!$B:$B,"="&amp;xyz!U$2)</f>
        <v>5</v>
      </c>
      <c r="V8">
        <f>SUMIFS(data!$C:$C,data!$A:$A,"="&amp;xyz!$A8,data!$B:$B,"="&amp;xyz!V$2)</f>
        <v>1</v>
      </c>
      <c r="W8">
        <f>SUMIFS(data!$C:$C,data!$A:$A,"="&amp;xyz!$A8,data!$B:$B,"="&amp;xyz!W$2)</f>
        <v>3.5</v>
      </c>
      <c r="X8">
        <f>SUMIFS(data!$C:$C,data!$A:$A,"="&amp;xyz!$A8,data!$B:$B,"="&amp;xyz!X$2)</f>
        <v>1.5</v>
      </c>
      <c r="Y8">
        <f>SUMIFS(data!$C:$C,data!$A:$A,"="&amp;xyz!$A8,data!$B:$B,"="&amp;xyz!Y$2)</f>
        <v>4</v>
      </c>
      <c r="Z8">
        <f>SUMIFS(data!$C:$C,data!$A:$A,"="&amp;xyz!$A8,data!$B:$B,"="&amp;xyz!Z$2)</f>
        <v>2</v>
      </c>
      <c r="AA8">
        <f>SUMIFS(data!$C:$C,data!$A:$A,"="&amp;xyz!$A8,data!$B:$B,"="&amp;xyz!AA$2)</f>
        <v>1.4000000000000001</v>
      </c>
      <c r="AB8">
        <f>SUMIFS(data!$C:$C,data!$A:$A,"="&amp;xyz!$A8,data!$B:$B,"="&amp;xyz!AB$2)</f>
        <v>2</v>
      </c>
      <c r="AC8">
        <f>SUMIFS(data!$C:$C,data!$A:$A,"="&amp;xyz!$A8,data!$B:$B,"="&amp;xyz!AC$2)</f>
        <v>2</v>
      </c>
      <c r="AD8">
        <f>SUMIFS(data!$C:$C,data!$A:$A,"="&amp;xyz!$A8,data!$B:$B,"="&amp;xyz!AD$2)</f>
        <v>1.5</v>
      </c>
      <c r="AE8">
        <f>SUMIFS(data!$C:$C,data!$A:$A,"="&amp;xyz!$A8,data!$B:$B,"="&amp;xyz!AE$2)</f>
        <v>2.2000000000000002</v>
      </c>
      <c r="AF8">
        <f>SUMIFS(data!$C:$C,data!$A:$A,"="&amp;xyz!$A8,data!$B:$B,"="&amp;xyz!AF$2)</f>
        <v>2.2999999999999998</v>
      </c>
      <c r="AG8">
        <f>SUMIFS(data!$C:$C,data!$A:$A,"="&amp;xyz!$A8,data!$B:$B,"="&amp;xyz!AG$2)</f>
        <v>3.6</v>
      </c>
      <c r="AH8">
        <f>SUMIFS(data!$C:$C,data!$A:$A,"="&amp;xyz!$A8,data!$B:$B,"="&amp;xyz!AH$2)</f>
        <v>5.3</v>
      </c>
      <c r="AI8">
        <f>SUMIFS(data!$C:$C,data!$A:$A,"="&amp;xyz!$A8,data!$B:$B,"="&amp;xyz!AI$2)</f>
        <v>5</v>
      </c>
      <c r="AJ8">
        <f>SUMIFS(data!$C:$C,data!$A:$A,"="&amp;xyz!$A8,data!$B:$B,"="&amp;xyz!AJ$2)</f>
        <v>5.5</v>
      </c>
      <c r="AK8">
        <f>SUMIFS(data!$C:$C,data!$A:$A,"="&amp;xyz!$A8,data!$B:$B,"="&amp;xyz!AK$2)</f>
        <v>0.60000000000000009</v>
      </c>
      <c r="AL8">
        <f>SUMIFS(data!$C:$C,data!$A:$A,"="&amp;xyz!$A8,data!$B:$B,"="&amp;xyz!AL$2)</f>
        <v>3.7</v>
      </c>
      <c r="AM8">
        <f>SUMIFS(data!$C:$C,data!$A:$A,"="&amp;xyz!$A8,data!$B:$B,"="&amp;xyz!AM$2)</f>
        <v>3.5</v>
      </c>
      <c r="AN8">
        <f>SUMIFS(data!$C:$C,data!$A:$A,"="&amp;xyz!$A8,data!$B:$B,"="&amp;xyz!AN$2)</f>
        <v>2.6</v>
      </c>
      <c r="AO8">
        <f>SUMIFS(data!$C:$C,data!$A:$A,"="&amp;xyz!$A8,data!$B:$B,"="&amp;xyz!AO$2)</f>
        <v>5.5</v>
      </c>
      <c r="AP8">
        <f>SUMIFS(data!$C:$C,data!$A:$A,"="&amp;xyz!$A8,data!$B:$B,"="&amp;xyz!AP$2)</f>
        <v>1.6</v>
      </c>
      <c r="AQ8" s="6">
        <f t="shared" si="2"/>
        <v>0.52749727336081687</v>
      </c>
    </row>
    <row r="9" spans="1:43" x14ac:dyDescent="0.3">
      <c r="A9" t="s">
        <v>56</v>
      </c>
      <c r="B9" s="6">
        <f t="shared" si="1"/>
        <v>0.51391752577319572</v>
      </c>
      <c r="C9">
        <f>SUMIFS(data!$C:$C,data!$A:$A,"="&amp;xyz!$A9,data!$B:$B,"="&amp;xyz!C$2)</f>
        <v>3</v>
      </c>
      <c r="D9">
        <f>SUMIFS(data!$C:$C,data!$A:$A,"="&amp;xyz!$A9,data!$B:$B,"="&amp;xyz!D$2)</f>
        <v>1</v>
      </c>
      <c r="E9">
        <f>SUMIFS(data!$C:$C,data!$A:$A,"="&amp;xyz!$A9,data!$B:$B,"="&amp;xyz!E$2)</f>
        <v>1</v>
      </c>
      <c r="F9">
        <f>SUMIFS(data!$C:$C,data!$A:$A,"="&amp;xyz!$A9,data!$B:$B,"="&amp;xyz!F$2)</f>
        <v>12</v>
      </c>
      <c r="G9">
        <f>SUMIFS(data!$C:$C,data!$A:$A,"="&amp;xyz!$A9,data!$B:$B,"="&amp;xyz!G$2)</f>
        <v>8</v>
      </c>
      <c r="H9">
        <f>SUMIFS(data!$C:$C,data!$A:$A,"="&amp;xyz!$A9,data!$B:$B,"="&amp;xyz!H$2)</f>
        <v>5</v>
      </c>
      <c r="I9">
        <f>SUMIFS(data!$C:$C,data!$A:$A,"="&amp;xyz!$A9,data!$B:$B,"="&amp;xyz!I$2)</f>
        <v>5</v>
      </c>
      <c r="J9">
        <f>SUMIFS(data!$C:$C,data!$A:$A,"="&amp;xyz!$A9,data!$B:$B,"="&amp;xyz!J$2)</f>
        <v>4</v>
      </c>
      <c r="K9">
        <f>SUMIFS(data!$C:$C,data!$A:$A,"="&amp;xyz!$A9,data!$B:$B,"="&amp;xyz!K$2)</f>
        <v>0</v>
      </c>
      <c r="L9">
        <f>SUMIFS(data!$C:$C,data!$A:$A,"="&amp;xyz!$A9,data!$B:$B,"="&amp;xyz!L$2)</f>
        <v>4</v>
      </c>
      <c r="M9">
        <f>SUMIFS(data!$C:$C,data!$A:$A,"="&amp;xyz!$A9,data!$B:$B,"="&amp;xyz!M$2)</f>
        <v>10</v>
      </c>
      <c r="N9">
        <f>SUMIFS(data!$C:$C,data!$A:$A,"="&amp;xyz!$A9,data!$B:$B,"="&amp;xyz!N$2)</f>
        <v>7</v>
      </c>
      <c r="O9">
        <f>SUMIFS(data!$C:$C,data!$A:$A,"="&amp;xyz!$A9,data!$B:$B,"="&amp;xyz!O$2)</f>
        <v>15</v>
      </c>
      <c r="P9">
        <f>SUMIFS(data!$C:$C,data!$A:$A,"="&amp;xyz!$A9,data!$B:$B,"="&amp;xyz!P$2)</f>
        <v>6</v>
      </c>
      <c r="Q9">
        <f>SUMIFS(data!$C:$C,data!$A:$A,"="&amp;xyz!$A9,data!$B:$B,"="&amp;xyz!Q$2)</f>
        <v>0</v>
      </c>
      <c r="R9">
        <f>SUMIFS(data!$C:$C,data!$A:$A,"="&amp;xyz!$A9,data!$B:$B,"="&amp;xyz!R$2)</f>
        <v>8</v>
      </c>
      <c r="S9">
        <f>SUMIFS(data!$C:$C,data!$A:$A,"="&amp;xyz!$A9,data!$B:$B,"="&amp;xyz!S$2)</f>
        <v>6</v>
      </c>
      <c r="T9">
        <f>SUMIFS(data!$C:$C,data!$A:$A,"="&amp;xyz!$A9,data!$B:$B,"="&amp;xyz!T$2)</f>
        <v>4</v>
      </c>
      <c r="U9">
        <f>SUMIFS(data!$C:$C,data!$A:$A,"="&amp;xyz!$A9,data!$B:$B,"="&amp;xyz!U$2)</f>
        <v>10</v>
      </c>
      <c r="V9">
        <f>SUMIFS(data!$C:$C,data!$A:$A,"="&amp;xyz!$A9,data!$B:$B,"="&amp;xyz!V$2)</f>
        <v>3</v>
      </c>
      <c r="W9">
        <f>SUMIFS(data!$C:$C,data!$A:$A,"="&amp;xyz!$A9,data!$B:$B,"="&amp;xyz!W$2)</f>
        <v>5</v>
      </c>
      <c r="X9">
        <f>SUMIFS(data!$C:$C,data!$A:$A,"="&amp;xyz!$A9,data!$B:$B,"="&amp;xyz!X$2)</f>
        <v>10</v>
      </c>
      <c r="Y9">
        <f>SUMIFS(data!$C:$C,data!$A:$A,"="&amp;xyz!$A9,data!$B:$B,"="&amp;xyz!Y$2)</f>
        <v>5</v>
      </c>
      <c r="Z9">
        <f>SUMIFS(data!$C:$C,data!$A:$A,"="&amp;xyz!$A9,data!$B:$B,"="&amp;xyz!Z$2)</f>
        <v>6</v>
      </c>
      <c r="AA9">
        <f>SUMIFS(data!$C:$C,data!$A:$A,"="&amp;xyz!$A9,data!$B:$B,"="&amp;xyz!AA$2)</f>
        <v>1</v>
      </c>
      <c r="AB9">
        <f>SUMIFS(data!$C:$C,data!$A:$A,"="&amp;xyz!$A9,data!$B:$B,"="&amp;xyz!AB$2)</f>
        <v>4</v>
      </c>
      <c r="AC9">
        <f>SUMIFS(data!$C:$C,data!$A:$A,"="&amp;xyz!$A9,data!$B:$B,"="&amp;xyz!AC$2)</f>
        <v>3</v>
      </c>
      <c r="AD9">
        <f>SUMIFS(data!$C:$C,data!$A:$A,"="&amp;xyz!$A9,data!$B:$B,"="&amp;xyz!AD$2)</f>
        <v>8</v>
      </c>
      <c r="AE9">
        <f>SUMIFS(data!$C:$C,data!$A:$A,"="&amp;xyz!$A9,data!$B:$B,"="&amp;xyz!AE$2)</f>
        <v>4</v>
      </c>
      <c r="AF9">
        <f>SUMIFS(data!$C:$C,data!$A:$A,"="&amp;xyz!$A9,data!$B:$B,"="&amp;xyz!AF$2)</f>
        <v>0</v>
      </c>
      <c r="AG9">
        <f>SUMIFS(data!$C:$C,data!$A:$A,"="&amp;xyz!$A9,data!$B:$B,"="&amp;xyz!AG$2)</f>
        <v>6</v>
      </c>
      <c r="AH9">
        <f>SUMIFS(data!$C:$C,data!$A:$A,"="&amp;xyz!$A9,data!$B:$B,"="&amp;xyz!AH$2)</f>
        <v>3</v>
      </c>
      <c r="AI9">
        <f>SUMIFS(data!$C:$C,data!$A:$A,"="&amp;xyz!$A9,data!$B:$B,"="&amp;xyz!AI$2)</f>
        <v>4</v>
      </c>
      <c r="AJ9">
        <f>SUMIFS(data!$C:$C,data!$A:$A,"="&amp;xyz!$A9,data!$B:$B,"="&amp;xyz!AJ$2)</f>
        <v>2</v>
      </c>
      <c r="AK9">
        <f>SUMIFS(data!$C:$C,data!$A:$A,"="&amp;xyz!$A9,data!$B:$B,"="&amp;xyz!AK$2)</f>
        <v>4</v>
      </c>
      <c r="AL9">
        <f>SUMIFS(data!$C:$C,data!$A:$A,"="&amp;xyz!$A9,data!$B:$B,"="&amp;xyz!AL$2)</f>
        <v>3</v>
      </c>
      <c r="AM9">
        <f>SUMIFS(data!$C:$C,data!$A:$A,"="&amp;xyz!$A9,data!$B:$B,"="&amp;xyz!AM$2)</f>
        <v>5</v>
      </c>
      <c r="AN9">
        <f>SUMIFS(data!$C:$C,data!$A:$A,"="&amp;xyz!$A9,data!$B:$B,"="&amp;xyz!AN$2)</f>
        <v>2</v>
      </c>
      <c r="AO9">
        <f>SUMIFS(data!$C:$C,data!$A:$A,"="&amp;xyz!$A9,data!$B:$B,"="&amp;xyz!AO$2)</f>
        <v>5</v>
      </c>
      <c r="AP9">
        <f>SUMIFS(data!$C:$C,data!$A:$A,"="&amp;xyz!$A9,data!$B:$B,"="&amp;xyz!AP$2)</f>
        <v>2</v>
      </c>
      <c r="AQ9" s="6">
        <f t="shared" si="2"/>
        <v>0.68868480281801669</v>
      </c>
    </row>
    <row r="10" spans="1:43" x14ac:dyDescent="0.3">
      <c r="A10" t="s">
        <v>93</v>
      </c>
      <c r="B10" s="6">
        <f t="shared" si="1"/>
        <v>0.44577464788732385</v>
      </c>
      <c r="C10">
        <f>SUMIFS(data!$C:$C,data!$A:$A,"="&amp;xyz!$A10,data!$B:$B,"="&amp;xyz!C$2)</f>
        <v>7</v>
      </c>
      <c r="D10">
        <f>SUMIFS(data!$C:$C,data!$A:$A,"="&amp;xyz!$A10,data!$B:$B,"="&amp;xyz!D$2)</f>
        <v>4</v>
      </c>
      <c r="E10">
        <f>SUMIFS(data!$C:$C,data!$A:$A,"="&amp;xyz!$A10,data!$B:$B,"="&amp;xyz!E$2)</f>
        <v>3</v>
      </c>
      <c r="F10">
        <f>SUMIFS(data!$C:$C,data!$A:$A,"="&amp;xyz!$A10,data!$B:$B,"="&amp;xyz!F$2)</f>
        <v>5</v>
      </c>
      <c r="G10">
        <f>SUMIFS(data!$C:$C,data!$A:$A,"="&amp;xyz!$A10,data!$B:$B,"="&amp;xyz!G$2)</f>
        <v>5</v>
      </c>
      <c r="H10">
        <f>SUMIFS(data!$C:$C,data!$A:$A,"="&amp;xyz!$A10,data!$B:$B,"="&amp;xyz!H$2)</f>
        <v>4</v>
      </c>
      <c r="I10">
        <f>SUMIFS(data!$C:$C,data!$A:$A,"="&amp;xyz!$A10,data!$B:$B,"="&amp;xyz!I$2)</f>
        <v>3</v>
      </c>
      <c r="J10">
        <f>SUMIFS(data!$C:$C,data!$A:$A,"="&amp;xyz!$A10,data!$B:$B,"="&amp;xyz!J$2)</f>
        <v>3</v>
      </c>
      <c r="K10">
        <f>SUMIFS(data!$C:$C,data!$A:$A,"="&amp;xyz!$A10,data!$B:$B,"="&amp;xyz!K$2)</f>
        <v>0</v>
      </c>
      <c r="L10">
        <f>SUMIFS(data!$C:$C,data!$A:$A,"="&amp;xyz!$A10,data!$B:$B,"="&amp;xyz!L$2)</f>
        <v>1</v>
      </c>
      <c r="M10">
        <f>SUMIFS(data!$C:$C,data!$A:$A,"="&amp;xyz!$A10,data!$B:$B,"="&amp;xyz!M$2)</f>
        <v>3</v>
      </c>
      <c r="N10">
        <f>SUMIFS(data!$C:$C,data!$A:$A,"="&amp;xyz!$A10,data!$B:$B,"="&amp;xyz!N$2)</f>
        <v>9</v>
      </c>
      <c r="O10">
        <f>SUMIFS(data!$C:$C,data!$A:$A,"="&amp;xyz!$A10,data!$B:$B,"="&amp;xyz!O$2)</f>
        <v>2</v>
      </c>
      <c r="P10">
        <f>SUMIFS(data!$C:$C,data!$A:$A,"="&amp;xyz!$A10,data!$B:$B,"="&amp;xyz!P$2)</f>
        <v>6</v>
      </c>
      <c r="Q10">
        <f>SUMIFS(data!$C:$C,data!$A:$A,"="&amp;xyz!$A10,data!$B:$B,"="&amp;xyz!Q$2)</f>
        <v>2</v>
      </c>
      <c r="R10">
        <f>SUMIFS(data!$C:$C,data!$A:$A,"="&amp;xyz!$A10,data!$B:$B,"="&amp;xyz!R$2)</f>
        <v>4</v>
      </c>
      <c r="S10">
        <f>SUMIFS(data!$C:$C,data!$A:$A,"="&amp;xyz!$A10,data!$B:$B,"="&amp;xyz!S$2)</f>
        <v>3</v>
      </c>
      <c r="T10">
        <f>SUMIFS(data!$C:$C,data!$A:$A,"="&amp;xyz!$A10,data!$B:$B,"="&amp;xyz!T$2)</f>
        <v>6</v>
      </c>
      <c r="U10">
        <f>SUMIFS(data!$C:$C,data!$A:$A,"="&amp;xyz!$A10,data!$B:$B,"="&amp;xyz!U$2)</f>
        <v>4</v>
      </c>
      <c r="V10">
        <f>SUMIFS(data!$C:$C,data!$A:$A,"="&amp;xyz!$A10,data!$B:$B,"="&amp;xyz!V$2)</f>
        <v>4</v>
      </c>
      <c r="W10">
        <f>SUMIFS(data!$C:$C,data!$A:$A,"="&amp;xyz!$A10,data!$B:$B,"="&amp;xyz!W$2)</f>
        <v>1</v>
      </c>
      <c r="X10">
        <f>SUMIFS(data!$C:$C,data!$A:$A,"="&amp;xyz!$A10,data!$B:$B,"="&amp;xyz!X$2)</f>
        <v>3</v>
      </c>
      <c r="Y10">
        <f>SUMIFS(data!$C:$C,data!$A:$A,"="&amp;xyz!$A10,data!$B:$B,"="&amp;xyz!Y$2)</f>
        <v>5</v>
      </c>
      <c r="Z10">
        <f>SUMIFS(data!$C:$C,data!$A:$A,"="&amp;xyz!$A10,data!$B:$B,"="&amp;xyz!Z$2)</f>
        <v>10</v>
      </c>
      <c r="AA10">
        <f>SUMIFS(data!$C:$C,data!$A:$A,"="&amp;xyz!$A10,data!$B:$B,"="&amp;xyz!AA$2)</f>
        <v>3</v>
      </c>
      <c r="AB10">
        <f>SUMIFS(data!$C:$C,data!$A:$A,"="&amp;xyz!$A10,data!$B:$B,"="&amp;xyz!AB$2)</f>
        <v>3</v>
      </c>
      <c r="AC10">
        <f>SUMIFS(data!$C:$C,data!$A:$A,"="&amp;xyz!$A10,data!$B:$B,"="&amp;xyz!AC$2)</f>
        <v>4</v>
      </c>
      <c r="AD10">
        <f>SUMIFS(data!$C:$C,data!$A:$A,"="&amp;xyz!$A10,data!$B:$B,"="&amp;xyz!AD$2)</f>
        <v>4</v>
      </c>
      <c r="AE10">
        <f>SUMIFS(data!$C:$C,data!$A:$A,"="&amp;xyz!$A10,data!$B:$B,"="&amp;xyz!AE$2)</f>
        <v>4</v>
      </c>
      <c r="AF10">
        <f>SUMIFS(data!$C:$C,data!$A:$A,"="&amp;xyz!$A10,data!$B:$B,"="&amp;xyz!AF$2)</f>
        <v>3</v>
      </c>
      <c r="AG10">
        <f>SUMIFS(data!$C:$C,data!$A:$A,"="&amp;xyz!$A10,data!$B:$B,"="&amp;xyz!AG$2)</f>
        <v>7</v>
      </c>
      <c r="AH10">
        <f>SUMIFS(data!$C:$C,data!$A:$A,"="&amp;xyz!$A10,data!$B:$B,"="&amp;xyz!AH$2)</f>
        <v>3</v>
      </c>
      <c r="AI10">
        <f>SUMIFS(data!$C:$C,data!$A:$A,"="&amp;xyz!$A10,data!$B:$B,"="&amp;xyz!AI$2)</f>
        <v>3</v>
      </c>
      <c r="AJ10">
        <f>SUMIFS(data!$C:$C,data!$A:$A,"="&amp;xyz!$A10,data!$B:$B,"="&amp;xyz!AJ$2)</f>
        <v>3</v>
      </c>
      <c r="AK10">
        <f>SUMIFS(data!$C:$C,data!$A:$A,"="&amp;xyz!$A10,data!$B:$B,"="&amp;xyz!AK$2)</f>
        <v>1</v>
      </c>
      <c r="AL10">
        <f>SUMIFS(data!$C:$C,data!$A:$A,"="&amp;xyz!$A10,data!$B:$B,"="&amp;xyz!AL$2)</f>
        <v>1</v>
      </c>
      <c r="AM10">
        <f>SUMIFS(data!$C:$C,data!$A:$A,"="&amp;xyz!$A10,data!$B:$B,"="&amp;xyz!AM$2)</f>
        <v>2</v>
      </c>
      <c r="AN10">
        <f>SUMIFS(data!$C:$C,data!$A:$A,"="&amp;xyz!$A10,data!$B:$B,"="&amp;xyz!AN$2)</f>
        <v>0</v>
      </c>
      <c r="AO10">
        <f>SUMIFS(data!$C:$C,data!$A:$A,"="&amp;xyz!$A10,data!$B:$B,"="&amp;xyz!AO$2)</f>
        <v>3</v>
      </c>
      <c r="AP10">
        <f>SUMIFS(data!$C:$C,data!$A:$A,"="&amp;xyz!$A10,data!$B:$B,"="&amp;xyz!AP$2)</f>
        <v>1</v>
      </c>
      <c r="AQ10" s="6">
        <f t="shared" si="2"/>
        <v>0.61168834844117792</v>
      </c>
    </row>
    <row r="11" spans="1:43" x14ac:dyDescent="0.3">
      <c r="A11" t="s">
        <v>28</v>
      </c>
      <c r="B11" s="6">
        <f t="shared" si="1"/>
        <v>0.52542372921574254</v>
      </c>
      <c r="C11">
        <f>SUMIFS(data!$C:$C,data!$A:$A,"="&amp;xyz!$A11,data!$B:$B,"="&amp;xyz!C$2)</f>
        <v>2</v>
      </c>
      <c r="D11">
        <f>SUMIFS(data!$C:$C,data!$A:$A,"="&amp;xyz!$A11,data!$B:$B,"="&amp;xyz!D$2)</f>
        <v>5</v>
      </c>
      <c r="E11">
        <f>SUMIFS(data!$C:$C,data!$A:$A,"="&amp;xyz!$A11,data!$B:$B,"="&amp;xyz!E$2)</f>
        <v>2</v>
      </c>
      <c r="F11">
        <f>SUMIFS(data!$C:$C,data!$A:$A,"="&amp;xyz!$A11,data!$B:$B,"="&amp;xyz!F$2)</f>
        <v>3</v>
      </c>
      <c r="G11">
        <f>SUMIFS(data!$C:$C,data!$A:$A,"="&amp;xyz!$A11,data!$B:$B,"="&amp;xyz!G$2)</f>
        <v>4</v>
      </c>
      <c r="H11">
        <f>SUMIFS(data!$C:$C,data!$A:$A,"="&amp;xyz!$A11,data!$B:$B,"="&amp;xyz!H$2)</f>
        <v>2</v>
      </c>
      <c r="I11">
        <f>SUMIFS(data!$C:$C,data!$A:$A,"="&amp;xyz!$A11,data!$B:$B,"="&amp;xyz!I$2)</f>
        <v>7</v>
      </c>
      <c r="J11">
        <f>SUMIFS(data!$C:$C,data!$A:$A,"="&amp;xyz!$A11,data!$B:$B,"="&amp;xyz!J$2)</f>
        <v>2</v>
      </c>
      <c r="K11">
        <f>SUMIFS(data!$C:$C,data!$A:$A,"="&amp;xyz!$A11,data!$B:$B,"="&amp;xyz!K$2)</f>
        <v>0</v>
      </c>
      <c r="L11">
        <f>SUMIFS(data!$C:$C,data!$A:$A,"="&amp;xyz!$A11,data!$B:$B,"="&amp;xyz!L$2)</f>
        <v>5</v>
      </c>
      <c r="M11">
        <f>SUMIFS(data!$C:$C,data!$A:$A,"="&amp;xyz!$A11,data!$B:$B,"="&amp;xyz!M$2)</f>
        <v>3</v>
      </c>
      <c r="N11">
        <f>SUMIFS(data!$C:$C,data!$A:$A,"="&amp;xyz!$A11,data!$B:$B,"="&amp;xyz!N$2)</f>
        <v>3</v>
      </c>
      <c r="O11">
        <f>SUMIFS(data!$C:$C,data!$A:$A,"="&amp;xyz!$A11,data!$B:$B,"="&amp;xyz!O$2)</f>
        <v>0</v>
      </c>
      <c r="P11">
        <f>SUMIFS(data!$C:$C,data!$A:$A,"="&amp;xyz!$A11,data!$B:$B,"="&amp;xyz!P$2)</f>
        <v>3</v>
      </c>
      <c r="Q11">
        <f>SUMIFS(data!$C:$C,data!$A:$A,"="&amp;xyz!$A11,data!$B:$B,"="&amp;xyz!Q$2)</f>
        <v>2</v>
      </c>
      <c r="R11">
        <f>SUMIFS(data!$C:$C,data!$A:$A,"="&amp;xyz!$A11,data!$B:$B,"="&amp;xyz!R$2)</f>
        <v>0</v>
      </c>
      <c r="S11">
        <f>SUMIFS(data!$C:$C,data!$A:$A,"="&amp;xyz!$A11,data!$B:$B,"="&amp;xyz!S$2)</f>
        <v>3</v>
      </c>
      <c r="T11">
        <f>SUMIFS(data!$C:$C,data!$A:$A,"="&amp;xyz!$A11,data!$B:$B,"="&amp;xyz!T$2)</f>
        <v>2</v>
      </c>
      <c r="U11">
        <f>SUMIFS(data!$C:$C,data!$A:$A,"="&amp;xyz!$A11,data!$B:$B,"="&amp;xyz!U$2)</f>
        <v>4</v>
      </c>
      <c r="V11">
        <f>SUMIFS(data!$C:$C,data!$A:$A,"="&amp;xyz!$A11,data!$B:$B,"="&amp;xyz!V$2)</f>
        <v>5</v>
      </c>
      <c r="W11">
        <f>SUMIFS(data!$C:$C,data!$A:$A,"="&amp;xyz!$A11,data!$B:$B,"="&amp;xyz!W$2)</f>
        <v>4</v>
      </c>
      <c r="X11">
        <f>SUMIFS(data!$C:$C,data!$A:$A,"="&amp;xyz!$A11,data!$B:$B,"="&amp;xyz!X$2)</f>
        <v>2</v>
      </c>
      <c r="Y11">
        <f>SUMIFS(data!$C:$C,data!$A:$A,"="&amp;xyz!$A11,data!$B:$B,"="&amp;xyz!Y$2)</f>
        <v>5</v>
      </c>
      <c r="Z11">
        <f>SUMIFS(data!$C:$C,data!$A:$A,"="&amp;xyz!$A11,data!$B:$B,"="&amp;xyz!Z$2)</f>
        <v>2</v>
      </c>
      <c r="AA11">
        <f>SUMIFS(data!$C:$C,data!$A:$A,"="&amp;xyz!$A11,data!$B:$B,"="&amp;xyz!AA$2)</f>
        <v>2</v>
      </c>
      <c r="AB11">
        <f>SUMIFS(data!$C:$C,data!$A:$A,"="&amp;xyz!$A11,data!$B:$B,"="&amp;xyz!AB$2)</f>
        <v>1</v>
      </c>
      <c r="AC11">
        <f>SUMIFS(data!$C:$C,data!$A:$A,"="&amp;xyz!$A11,data!$B:$B,"="&amp;xyz!AC$2)</f>
        <v>4</v>
      </c>
      <c r="AD11">
        <f>SUMIFS(data!$C:$C,data!$A:$A,"="&amp;xyz!$A11,data!$B:$B,"="&amp;xyz!AD$2)</f>
        <v>1</v>
      </c>
      <c r="AE11">
        <f>SUMIFS(data!$C:$C,data!$A:$A,"="&amp;xyz!$A11,data!$B:$B,"="&amp;xyz!AE$2)</f>
        <v>2</v>
      </c>
      <c r="AF11">
        <f>SUMIFS(data!$C:$C,data!$A:$A,"="&amp;xyz!$A11,data!$B:$B,"="&amp;xyz!AF$2)</f>
        <v>1</v>
      </c>
      <c r="AG11">
        <f>SUMIFS(data!$C:$C,data!$A:$A,"="&amp;xyz!$A11,data!$B:$B,"="&amp;xyz!AG$2)</f>
        <v>5</v>
      </c>
      <c r="AH11">
        <f>SUMIFS(data!$C:$C,data!$A:$A,"="&amp;xyz!$A11,data!$B:$B,"="&amp;xyz!AH$2)</f>
        <v>0</v>
      </c>
      <c r="AI11">
        <f>SUMIFS(data!$C:$C,data!$A:$A,"="&amp;xyz!$A11,data!$B:$B,"="&amp;xyz!AI$2)</f>
        <v>2</v>
      </c>
      <c r="AJ11">
        <f>SUMIFS(data!$C:$C,data!$A:$A,"="&amp;xyz!$A11,data!$B:$B,"="&amp;xyz!AJ$2)</f>
        <v>5</v>
      </c>
      <c r="AK11">
        <f>SUMIFS(data!$C:$C,data!$A:$A,"="&amp;xyz!$A11,data!$B:$B,"="&amp;xyz!AK$2)</f>
        <v>4</v>
      </c>
      <c r="AL11">
        <f>SUMIFS(data!$C:$C,data!$A:$A,"="&amp;xyz!$A11,data!$B:$B,"="&amp;xyz!AL$2)</f>
        <v>1</v>
      </c>
      <c r="AM11">
        <f>SUMIFS(data!$C:$C,data!$A:$A,"="&amp;xyz!$A11,data!$B:$B,"="&amp;xyz!AM$2)</f>
        <v>3</v>
      </c>
      <c r="AN11">
        <f>SUMIFS(data!$C:$C,data!$A:$A,"="&amp;xyz!$A11,data!$B:$B,"="&amp;xyz!AN$2)</f>
        <v>10.000000099999999</v>
      </c>
      <c r="AO11">
        <f>SUMIFS(data!$C:$C,data!$A:$A,"="&amp;xyz!$A11,data!$B:$B,"="&amp;xyz!AO$2)</f>
        <v>5</v>
      </c>
      <c r="AP11">
        <f>SUMIFS(data!$C:$C,data!$A:$A,"="&amp;xyz!$A11,data!$B:$B,"="&amp;xyz!AP$2)</f>
        <v>2</v>
      </c>
      <c r="AQ11" s="6">
        <f t="shared" si="2"/>
        <v>0.69066763684902399</v>
      </c>
    </row>
    <row r="12" spans="1:43" x14ac:dyDescent="0.3">
      <c r="A12" t="s">
        <v>127</v>
      </c>
      <c r="B12" s="6">
        <f t="shared" si="1"/>
        <v>0.62222222222222257</v>
      </c>
      <c r="C12">
        <f>SUMIFS(data!$C:$C,data!$A:$A,"="&amp;xyz!$A12,data!$B:$B,"="&amp;xyz!C$2)</f>
        <v>2</v>
      </c>
      <c r="D12">
        <f>SUMIFS(data!$C:$C,data!$A:$A,"="&amp;xyz!$A12,data!$B:$B,"="&amp;xyz!D$2)</f>
        <v>2</v>
      </c>
      <c r="E12">
        <f>SUMIFS(data!$C:$C,data!$A:$A,"="&amp;xyz!$A12,data!$B:$B,"="&amp;xyz!E$2)</f>
        <v>1</v>
      </c>
      <c r="F12">
        <f>SUMIFS(data!$C:$C,data!$A:$A,"="&amp;xyz!$A12,data!$B:$B,"="&amp;xyz!F$2)</f>
        <v>2</v>
      </c>
      <c r="G12">
        <f>SUMIFS(data!$C:$C,data!$A:$A,"="&amp;xyz!$A12,data!$B:$B,"="&amp;xyz!G$2)</f>
        <v>1</v>
      </c>
      <c r="H12">
        <f>SUMIFS(data!$C:$C,data!$A:$A,"="&amp;xyz!$A12,data!$B:$B,"="&amp;xyz!H$2)</f>
        <v>4</v>
      </c>
      <c r="I12">
        <f>SUMIFS(data!$C:$C,data!$A:$A,"="&amp;xyz!$A12,data!$B:$B,"="&amp;xyz!I$2)</f>
        <v>2</v>
      </c>
      <c r="J12">
        <f>SUMIFS(data!$C:$C,data!$A:$A,"="&amp;xyz!$A12,data!$B:$B,"="&amp;xyz!J$2)</f>
        <v>2</v>
      </c>
      <c r="K12">
        <f>SUMIFS(data!$C:$C,data!$A:$A,"="&amp;xyz!$A12,data!$B:$B,"="&amp;xyz!K$2)</f>
        <v>0</v>
      </c>
      <c r="L12">
        <f>SUMIFS(data!$C:$C,data!$A:$A,"="&amp;xyz!$A12,data!$B:$B,"="&amp;xyz!L$2)</f>
        <v>1</v>
      </c>
      <c r="M12">
        <f>SUMIFS(data!$C:$C,data!$A:$A,"="&amp;xyz!$A12,data!$B:$B,"="&amp;xyz!M$2)</f>
        <v>1</v>
      </c>
      <c r="N12">
        <f>SUMIFS(data!$C:$C,data!$A:$A,"="&amp;xyz!$A12,data!$B:$B,"="&amp;xyz!N$2)</f>
        <v>0</v>
      </c>
      <c r="O12">
        <f>SUMIFS(data!$C:$C,data!$A:$A,"="&amp;xyz!$A12,data!$B:$B,"="&amp;xyz!O$2)</f>
        <v>1</v>
      </c>
      <c r="P12">
        <f>SUMIFS(data!$C:$C,data!$A:$A,"="&amp;xyz!$A12,data!$B:$B,"="&amp;xyz!P$2)</f>
        <v>1</v>
      </c>
      <c r="Q12">
        <f>SUMIFS(data!$C:$C,data!$A:$A,"="&amp;xyz!$A12,data!$B:$B,"="&amp;xyz!Q$2)</f>
        <v>1</v>
      </c>
      <c r="R12">
        <f>SUMIFS(data!$C:$C,data!$A:$A,"="&amp;xyz!$A12,data!$B:$B,"="&amp;xyz!R$2)</f>
        <v>4</v>
      </c>
      <c r="S12">
        <f>SUMIFS(data!$C:$C,data!$A:$A,"="&amp;xyz!$A12,data!$B:$B,"="&amp;xyz!S$2)</f>
        <v>0</v>
      </c>
      <c r="T12">
        <f>SUMIFS(data!$C:$C,data!$A:$A,"="&amp;xyz!$A12,data!$B:$B,"="&amp;xyz!T$2)</f>
        <v>3</v>
      </c>
      <c r="U12">
        <f>SUMIFS(data!$C:$C,data!$A:$A,"="&amp;xyz!$A12,data!$B:$B,"="&amp;xyz!U$2)</f>
        <v>3</v>
      </c>
      <c r="V12">
        <f>SUMIFS(data!$C:$C,data!$A:$A,"="&amp;xyz!$A12,data!$B:$B,"="&amp;xyz!V$2)</f>
        <v>3</v>
      </c>
      <c r="W12">
        <f>SUMIFS(data!$C:$C,data!$A:$A,"="&amp;xyz!$A12,data!$B:$B,"="&amp;xyz!W$2)</f>
        <v>1</v>
      </c>
      <c r="X12">
        <f>SUMIFS(data!$C:$C,data!$A:$A,"="&amp;xyz!$A12,data!$B:$B,"="&amp;xyz!X$2)</f>
        <v>1</v>
      </c>
      <c r="Y12">
        <f>SUMIFS(data!$C:$C,data!$A:$A,"="&amp;xyz!$A12,data!$B:$B,"="&amp;xyz!Y$2)</f>
        <v>3</v>
      </c>
      <c r="Z12">
        <f>SUMIFS(data!$C:$C,data!$A:$A,"="&amp;xyz!$A12,data!$B:$B,"="&amp;xyz!Z$2)</f>
        <v>4</v>
      </c>
      <c r="AA12">
        <f>SUMIFS(data!$C:$C,data!$A:$A,"="&amp;xyz!$A12,data!$B:$B,"="&amp;xyz!AA$2)</f>
        <v>0</v>
      </c>
      <c r="AB12">
        <f>SUMIFS(data!$C:$C,data!$A:$A,"="&amp;xyz!$A12,data!$B:$B,"="&amp;xyz!AB$2)</f>
        <v>0</v>
      </c>
      <c r="AC12">
        <f>SUMIFS(data!$C:$C,data!$A:$A,"="&amp;xyz!$A12,data!$B:$B,"="&amp;xyz!AC$2)</f>
        <v>2</v>
      </c>
      <c r="AD12">
        <f>SUMIFS(data!$C:$C,data!$A:$A,"="&amp;xyz!$A12,data!$B:$B,"="&amp;xyz!AD$2)</f>
        <v>4</v>
      </c>
      <c r="AE12">
        <f>SUMIFS(data!$C:$C,data!$A:$A,"="&amp;xyz!$A12,data!$B:$B,"="&amp;xyz!AE$2)</f>
        <v>0</v>
      </c>
      <c r="AF12">
        <f>SUMIFS(data!$C:$C,data!$A:$A,"="&amp;xyz!$A12,data!$B:$B,"="&amp;xyz!AF$2)</f>
        <v>2</v>
      </c>
      <c r="AG12">
        <f>SUMIFS(data!$C:$C,data!$A:$A,"="&amp;xyz!$A12,data!$B:$B,"="&amp;xyz!AG$2)</f>
        <v>3</v>
      </c>
      <c r="AH12">
        <f>SUMIFS(data!$C:$C,data!$A:$A,"="&amp;xyz!$A12,data!$B:$B,"="&amp;xyz!AH$2)</f>
        <v>4</v>
      </c>
      <c r="AI12">
        <f>SUMIFS(data!$C:$C,data!$A:$A,"="&amp;xyz!$A12,data!$B:$B,"="&amp;xyz!AI$2)</f>
        <v>1</v>
      </c>
      <c r="AJ12">
        <f>SUMIFS(data!$C:$C,data!$A:$A,"="&amp;xyz!$A12,data!$B:$B,"="&amp;xyz!AJ$2)</f>
        <v>2</v>
      </c>
      <c r="AK12">
        <f>SUMIFS(data!$C:$C,data!$A:$A,"="&amp;xyz!$A12,data!$B:$B,"="&amp;xyz!AK$2)</f>
        <v>2</v>
      </c>
      <c r="AL12">
        <f>SUMIFS(data!$C:$C,data!$A:$A,"="&amp;xyz!$A12,data!$B:$B,"="&amp;xyz!AL$2)</f>
        <v>4</v>
      </c>
      <c r="AM12">
        <f>SUMIFS(data!$C:$C,data!$A:$A,"="&amp;xyz!$A12,data!$B:$B,"="&amp;xyz!AM$2)</f>
        <v>0</v>
      </c>
      <c r="AN12">
        <f>SUMIFS(data!$C:$C,data!$A:$A,"="&amp;xyz!$A12,data!$B:$B,"="&amp;xyz!AN$2)</f>
        <v>2</v>
      </c>
      <c r="AO12">
        <f>SUMIFS(data!$C:$C,data!$A:$A,"="&amp;xyz!$A12,data!$B:$B,"="&amp;xyz!AO$2)</f>
        <v>3</v>
      </c>
      <c r="AP12">
        <f>SUMIFS(data!$C:$C,data!$A:$A,"="&amp;xyz!$A12,data!$B:$B,"="&amp;xyz!AP$2)</f>
        <v>0</v>
      </c>
      <c r="AQ12" s="6">
        <f t="shared" si="2"/>
        <v>0.74641699800856143</v>
      </c>
    </row>
    <row r="13" spans="1:43" x14ac:dyDescent="0.3">
      <c r="A13" t="s">
        <v>21</v>
      </c>
      <c r="B13" s="6">
        <f t="shared" si="1"/>
        <v>0.53456790123456799</v>
      </c>
      <c r="C13">
        <f>SUMIFS(data!$C:$C,data!$A:$A,"="&amp;xyz!$A13,data!$B:$B,"="&amp;xyz!C$2)</f>
        <v>5</v>
      </c>
      <c r="D13">
        <f>SUMIFS(data!$C:$C,data!$A:$A,"="&amp;xyz!$A13,data!$B:$B,"="&amp;xyz!D$2)</f>
        <v>1</v>
      </c>
      <c r="E13">
        <f>SUMIFS(data!$C:$C,data!$A:$A,"="&amp;xyz!$A13,data!$B:$B,"="&amp;xyz!E$2)</f>
        <v>2</v>
      </c>
      <c r="F13">
        <f>SUMIFS(data!$C:$C,data!$A:$A,"="&amp;xyz!$A13,data!$B:$B,"="&amp;xyz!F$2)</f>
        <v>1</v>
      </c>
      <c r="G13">
        <f>SUMIFS(data!$C:$C,data!$A:$A,"="&amp;xyz!$A13,data!$B:$B,"="&amp;xyz!G$2)</f>
        <v>2</v>
      </c>
      <c r="H13">
        <f>SUMIFS(data!$C:$C,data!$A:$A,"="&amp;xyz!$A13,data!$B:$B,"="&amp;xyz!H$2)</f>
        <v>2</v>
      </c>
      <c r="I13">
        <f>SUMIFS(data!$C:$C,data!$A:$A,"="&amp;xyz!$A13,data!$B:$B,"="&amp;xyz!I$2)</f>
        <v>1</v>
      </c>
      <c r="J13">
        <f>SUMIFS(data!$C:$C,data!$A:$A,"="&amp;xyz!$A13,data!$B:$B,"="&amp;xyz!J$2)</f>
        <v>2</v>
      </c>
      <c r="K13">
        <f>SUMIFS(data!$C:$C,data!$A:$A,"="&amp;xyz!$A13,data!$B:$B,"="&amp;xyz!K$2)</f>
        <v>0</v>
      </c>
      <c r="L13">
        <f>SUMIFS(data!$C:$C,data!$A:$A,"="&amp;xyz!$A13,data!$B:$B,"="&amp;xyz!L$2)</f>
        <v>2</v>
      </c>
      <c r="M13">
        <f>SUMIFS(data!$C:$C,data!$A:$A,"="&amp;xyz!$A13,data!$B:$B,"="&amp;xyz!M$2)</f>
        <v>3</v>
      </c>
      <c r="N13">
        <f>SUMIFS(data!$C:$C,data!$A:$A,"="&amp;xyz!$A13,data!$B:$B,"="&amp;xyz!N$2)</f>
        <v>2</v>
      </c>
      <c r="O13">
        <f>SUMIFS(data!$C:$C,data!$A:$A,"="&amp;xyz!$A13,data!$B:$B,"="&amp;xyz!O$2)</f>
        <v>0</v>
      </c>
      <c r="P13">
        <f>SUMIFS(data!$C:$C,data!$A:$A,"="&amp;xyz!$A13,data!$B:$B,"="&amp;xyz!P$2)</f>
        <v>1</v>
      </c>
      <c r="Q13">
        <f>SUMIFS(data!$C:$C,data!$A:$A,"="&amp;xyz!$A13,data!$B:$B,"="&amp;xyz!Q$2)</f>
        <v>2</v>
      </c>
      <c r="R13">
        <f>SUMIFS(data!$C:$C,data!$A:$A,"="&amp;xyz!$A13,data!$B:$B,"="&amp;xyz!R$2)</f>
        <v>0</v>
      </c>
      <c r="S13">
        <f>SUMIFS(data!$C:$C,data!$A:$A,"="&amp;xyz!$A13,data!$B:$B,"="&amp;xyz!S$2)</f>
        <v>4</v>
      </c>
      <c r="T13">
        <f>SUMIFS(data!$C:$C,data!$A:$A,"="&amp;xyz!$A13,data!$B:$B,"="&amp;xyz!T$2)</f>
        <v>3</v>
      </c>
      <c r="U13">
        <f>SUMIFS(data!$C:$C,data!$A:$A,"="&amp;xyz!$A13,data!$B:$B,"="&amp;xyz!U$2)</f>
        <v>1</v>
      </c>
      <c r="V13">
        <f>SUMIFS(data!$C:$C,data!$A:$A,"="&amp;xyz!$A13,data!$B:$B,"="&amp;xyz!V$2)</f>
        <v>2</v>
      </c>
      <c r="W13">
        <f>SUMIFS(data!$C:$C,data!$A:$A,"="&amp;xyz!$A13,data!$B:$B,"="&amp;xyz!W$2)</f>
        <v>2</v>
      </c>
      <c r="X13">
        <f>SUMIFS(data!$C:$C,data!$A:$A,"="&amp;xyz!$A13,data!$B:$B,"="&amp;xyz!X$2)</f>
        <v>0</v>
      </c>
      <c r="Y13">
        <f>SUMIFS(data!$C:$C,data!$A:$A,"="&amp;xyz!$A13,data!$B:$B,"="&amp;xyz!Y$2)</f>
        <v>1</v>
      </c>
      <c r="Z13">
        <f>SUMIFS(data!$C:$C,data!$A:$A,"="&amp;xyz!$A13,data!$B:$B,"="&amp;xyz!Z$2)</f>
        <v>0</v>
      </c>
      <c r="AA13">
        <f>SUMIFS(data!$C:$C,data!$A:$A,"="&amp;xyz!$A13,data!$B:$B,"="&amp;xyz!AA$2)</f>
        <v>3</v>
      </c>
      <c r="AB13">
        <f>SUMIFS(data!$C:$C,data!$A:$A,"="&amp;xyz!$A13,data!$B:$B,"="&amp;xyz!AB$2)</f>
        <v>4</v>
      </c>
      <c r="AC13">
        <f>SUMIFS(data!$C:$C,data!$A:$A,"="&amp;xyz!$A13,data!$B:$B,"="&amp;xyz!AC$2)</f>
        <v>3</v>
      </c>
      <c r="AD13">
        <f>SUMIFS(data!$C:$C,data!$A:$A,"="&amp;xyz!$A13,data!$B:$B,"="&amp;xyz!AD$2)</f>
        <v>2</v>
      </c>
      <c r="AE13">
        <f>SUMIFS(data!$C:$C,data!$A:$A,"="&amp;xyz!$A13,data!$B:$B,"="&amp;xyz!AE$2)</f>
        <v>2</v>
      </c>
      <c r="AF13">
        <f>SUMIFS(data!$C:$C,data!$A:$A,"="&amp;xyz!$A13,data!$B:$B,"="&amp;xyz!AF$2)</f>
        <v>2</v>
      </c>
      <c r="AG13">
        <f>SUMIFS(data!$C:$C,data!$A:$A,"="&amp;xyz!$A13,data!$B:$B,"="&amp;xyz!AG$2)</f>
        <v>0</v>
      </c>
      <c r="AH13">
        <f>SUMIFS(data!$C:$C,data!$A:$A,"="&amp;xyz!$A13,data!$B:$B,"="&amp;xyz!AH$2)</f>
        <v>4</v>
      </c>
      <c r="AI13">
        <f>SUMIFS(data!$C:$C,data!$A:$A,"="&amp;xyz!$A13,data!$B:$B,"="&amp;xyz!AI$2)</f>
        <v>3</v>
      </c>
      <c r="AJ13">
        <f>SUMIFS(data!$C:$C,data!$A:$A,"="&amp;xyz!$A13,data!$B:$B,"="&amp;xyz!AJ$2)</f>
        <v>0</v>
      </c>
      <c r="AK13">
        <f>SUMIFS(data!$C:$C,data!$A:$A,"="&amp;xyz!$A13,data!$B:$B,"="&amp;xyz!AK$2)</f>
        <v>1</v>
      </c>
      <c r="AL13">
        <f>SUMIFS(data!$C:$C,data!$A:$A,"="&amp;xyz!$A13,data!$B:$B,"="&amp;xyz!AL$2)</f>
        <v>5</v>
      </c>
      <c r="AM13">
        <f>SUMIFS(data!$C:$C,data!$A:$A,"="&amp;xyz!$A13,data!$B:$B,"="&amp;xyz!AM$2)</f>
        <v>4</v>
      </c>
      <c r="AN13">
        <f>SUMIFS(data!$C:$C,data!$A:$A,"="&amp;xyz!$A13,data!$B:$B,"="&amp;xyz!AN$2)</f>
        <v>3</v>
      </c>
      <c r="AO13">
        <f>SUMIFS(data!$C:$C,data!$A:$A,"="&amp;xyz!$A13,data!$B:$B,"="&amp;xyz!AO$2)</f>
        <v>3</v>
      </c>
      <c r="AP13">
        <f>SUMIFS(data!$C:$C,data!$A:$A,"="&amp;xyz!$A13,data!$B:$B,"="&amp;xyz!AP$2)</f>
        <v>3</v>
      </c>
      <c r="AQ13" s="6">
        <f t="shared" si="2"/>
        <v>0.69377319744771959</v>
      </c>
    </row>
    <row r="14" spans="1:43" x14ac:dyDescent="0.3">
      <c r="A14" t="s">
        <v>120</v>
      </c>
      <c r="B14" s="6">
        <f t="shared" si="1"/>
        <v>0.75217391304347825</v>
      </c>
      <c r="C14">
        <f>SUMIFS(data!$C:$C,data!$A:$A,"="&amp;xyz!$A14,data!$B:$B,"="&amp;xyz!C$2)</f>
        <v>0</v>
      </c>
      <c r="D14">
        <f>SUMIFS(data!$C:$C,data!$A:$A,"="&amp;xyz!$A14,data!$B:$B,"="&amp;xyz!D$2)</f>
        <v>1</v>
      </c>
      <c r="E14">
        <f>SUMIFS(data!$C:$C,data!$A:$A,"="&amp;xyz!$A14,data!$B:$B,"="&amp;xyz!E$2)</f>
        <v>2</v>
      </c>
      <c r="F14">
        <f>SUMIFS(data!$C:$C,data!$A:$A,"="&amp;xyz!$A14,data!$B:$B,"="&amp;xyz!F$2)</f>
        <v>0</v>
      </c>
      <c r="G14">
        <f>SUMIFS(data!$C:$C,data!$A:$A,"="&amp;xyz!$A14,data!$B:$B,"="&amp;xyz!G$2)</f>
        <v>0</v>
      </c>
      <c r="H14">
        <f>SUMIFS(data!$C:$C,data!$A:$A,"="&amp;xyz!$A14,data!$B:$B,"="&amp;xyz!H$2)</f>
        <v>3</v>
      </c>
      <c r="I14">
        <f>SUMIFS(data!$C:$C,data!$A:$A,"="&amp;xyz!$A14,data!$B:$B,"="&amp;xyz!I$2)</f>
        <v>3</v>
      </c>
      <c r="J14">
        <f>SUMIFS(data!$C:$C,data!$A:$A,"="&amp;xyz!$A14,data!$B:$B,"="&amp;xyz!J$2)</f>
        <v>0</v>
      </c>
      <c r="K14">
        <f>SUMIFS(data!$C:$C,data!$A:$A,"="&amp;xyz!$A14,data!$B:$B,"="&amp;xyz!K$2)</f>
        <v>0</v>
      </c>
      <c r="L14">
        <f>SUMIFS(data!$C:$C,data!$A:$A,"="&amp;xyz!$A14,data!$B:$B,"="&amp;xyz!L$2)</f>
        <v>3</v>
      </c>
      <c r="M14">
        <f>SUMIFS(data!$C:$C,data!$A:$A,"="&amp;xyz!$A14,data!$B:$B,"="&amp;xyz!M$2)</f>
        <v>6</v>
      </c>
      <c r="N14">
        <f>SUMIFS(data!$C:$C,data!$A:$A,"="&amp;xyz!$A14,data!$B:$B,"="&amp;xyz!N$2)</f>
        <v>1</v>
      </c>
      <c r="O14">
        <f>SUMIFS(data!$C:$C,data!$A:$A,"="&amp;xyz!$A14,data!$B:$B,"="&amp;xyz!O$2)</f>
        <v>3</v>
      </c>
      <c r="P14">
        <f>SUMIFS(data!$C:$C,data!$A:$A,"="&amp;xyz!$A14,data!$B:$B,"="&amp;xyz!P$2)</f>
        <v>1</v>
      </c>
      <c r="Q14">
        <f>SUMIFS(data!$C:$C,data!$A:$A,"="&amp;xyz!$A14,data!$B:$B,"="&amp;xyz!Q$2)</f>
        <v>2</v>
      </c>
      <c r="R14">
        <f>SUMIFS(data!$C:$C,data!$A:$A,"="&amp;xyz!$A14,data!$B:$B,"="&amp;xyz!R$2)</f>
        <v>1</v>
      </c>
      <c r="S14">
        <f>SUMIFS(data!$C:$C,data!$A:$A,"="&amp;xyz!$A14,data!$B:$B,"="&amp;xyz!S$2)</f>
        <v>2</v>
      </c>
      <c r="T14">
        <f>SUMIFS(data!$C:$C,data!$A:$A,"="&amp;xyz!$A14,data!$B:$B,"="&amp;xyz!T$2)</f>
        <v>2</v>
      </c>
      <c r="U14">
        <f>SUMIFS(data!$C:$C,data!$A:$A,"="&amp;xyz!$A14,data!$B:$B,"="&amp;xyz!U$2)</f>
        <v>1</v>
      </c>
      <c r="V14">
        <f>SUMIFS(data!$C:$C,data!$A:$A,"="&amp;xyz!$A14,data!$B:$B,"="&amp;xyz!V$2)</f>
        <v>0</v>
      </c>
      <c r="W14">
        <f>SUMIFS(data!$C:$C,data!$A:$A,"="&amp;xyz!$A14,data!$B:$B,"="&amp;xyz!W$2)</f>
        <v>4</v>
      </c>
      <c r="X14">
        <f>SUMIFS(data!$C:$C,data!$A:$A,"="&amp;xyz!$A14,data!$B:$B,"="&amp;xyz!X$2)</f>
        <v>0</v>
      </c>
      <c r="Y14">
        <f>SUMIFS(data!$C:$C,data!$A:$A,"="&amp;xyz!$A14,data!$B:$B,"="&amp;xyz!Y$2)</f>
        <v>1</v>
      </c>
      <c r="Z14">
        <f>SUMIFS(data!$C:$C,data!$A:$A,"="&amp;xyz!$A14,data!$B:$B,"="&amp;xyz!Z$2)</f>
        <v>1</v>
      </c>
      <c r="AA14">
        <f>SUMIFS(data!$C:$C,data!$A:$A,"="&amp;xyz!$A14,data!$B:$B,"="&amp;xyz!AA$2)</f>
        <v>6</v>
      </c>
      <c r="AB14">
        <f>SUMIFS(data!$C:$C,data!$A:$A,"="&amp;xyz!$A14,data!$B:$B,"="&amp;xyz!AB$2)</f>
        <v>8</v>
      </c>
      <c r="AC14">
        <f>SUMIFS(data!$C:$C,data!$A:$A,"="&amp;xyz!$A14,data!$B:$B,"="&amp;xyz!AC$2)</f>
        <v>2</v>
      </c>
      <c r="AD14">
        <f>SUMIFS(data!$C:$C,data!$A:$A,"="&amp;xyz!$A14,data!$B:$B,"="&amp;xyz!AD$2)</f>
        <v>2</v>
      </c>
      <c r="AE14">
        <f>SUMIFS(data!$C:$C,data!$A:$A,"="&amp;xyz!$A14,data!$B:$B,"="&amp;xyz!AE$2)</f>
        <v>1</v>
      </c>
      <c r="AF14">
        <f>SUMIFS(data!$C:$C,data!$A:$A,"="&amp;xyz!$A14,data!$B:$B,"="&amp;xyz!AF$2)</f>
        <v>0</v>
      </c>
      <c r="AG14">
        <f>SUMIFS(data!$C:$C,data!$A:$A,"="&amp;xyz!$A14,data!$B:$B,"="&amp;xyz!AG$2)</f>
        <v>3</v>
      </c>
      <c r="AH14">
        <f>SUMIFS(data!$C:$C,data!$A:$A,"="&amp;xyz!$A14,data!$B:$B,"="&amp;xyz!AH$2)</f>
        <v>1</v>
      </c>
      <c r="AI14">
        <f>SUMIFS(data!$C:$C,data!$A:$A,"="&amp;xyz!$A14,data!$B:$B,"="&amp;xyz!AI$2)</f>
        <v>0</v>
      </c>
      <c r="AJ14">
        <f>SUMIFS(data!$C:$C,data!$A:$A,"="&amp;xyz!$A14,data!$B:$B,"="&amp;xyz!AJ$2)</f>
        <v>2</v>
      </c>
      <c r="AK14">
        <f>SUMIFS(data!$C:$C,data!$A:$A,"="&amp;xyz!$A14,data!$B:$B,"="&amp;xyz!AK$2)</f>
        <v>1</v>
      </c>
      <c r="AL14">
        <f>SUMIFS(data!$C:$C,data!$A:$A,"="&amp;xyz!$A14,data!$B:$B,"="&amp;xyz!AL$2)</f>
        <v>1</v>
      </c>
      <c r="AM14">
        <f>SUMIFS(data!$C:$C,data!$A:$A,"="&amp;xyz!$A14,data!$B:$B,"="&amp;xyz!AM$2)</f>
        <v>0</v>
      </c>
      <c r="AN14">
        <f>SUMIFS(data!$C:$C,data!$A:$A,"="&amp;xyz!$A14,data!$B:$B,"="&amp;xyz!AN$2)</f>
        <v>2</v>
      </c>
      <c r="AO14">
        <f>SUMIFS(data!$C:$C,data!$A:$A,"="&amp;xyz!$A14,data!$B:$B,"="&amp;xyz!AO$2)</f>
        <v>2</v>
      </c>
      <c r="AP14">
        <f>SUMIFS(data!$C:$C,data!$A:$A,"="&amp;xyz!$A14,data!$B:$B,"="&amp;xyz!AP$2)</f>
        <v>1</v>
      </c>
      <c r="AQ14" s="6">
        <f t="shared" si="2"/>
        <v>1.0418873871466634</v>
      </c>
    </row>
    <row r="15" spans="1:43" x14ac:dyDescent="0.3">
      <c r="A15" t="s">
        <v>156</v>
      </c>
      <c r="B15" s="6">
        <f t="shared" si="1"/>
        <v>0.81153846153846154</v>
      </c>
      <c r="C15">
        <f>SUMIFS(data!$C:$C,data!$A:$A,"="&amp;xyz!$A15,data!$B:$B,"="&amp;xyz!C$2)</f>
        <v>3</v>
      </c>
      <c r="D15">
        <f>SUMIFS(data!$C:$C,data!$A:$A,"="&amp;xyz!$A15,data!$B:$B,"="&amp;xyz!D$2)</f>
        <v>3</v>
      </c>
      <c r="E15">
        <f>SUMIFS(data!$C:$C,data!$A:$A,"="&amp;xyz!$A15,data!$B:$B,"="&amp;xyz!E$2)</f>
        <v>5</v>
      </c>
      <c r="F15">
        <f>SUMIFS(data!$C:$C,data!$A:$A,"="&amp;xyz!$A15,data!$B:$B,"="&amp;xyz!F$2)</f>
        <v>2</v>
      </c>
      <c r="G15">
        <f>SUMIFS(data!$C:$C,data!$A:$A,"="&amp;xyz!$A15,data!$B:$B,"="&amp;xyz!G$2)</f>
        <v>0</v>
      </c>
      <c r="H15">
        <f>SUMIFS(data!$C:$C,data!$A:$A,"="&amp;xyz!$A15,data!$B:$B,"="&amp;xyz!H$2)</f>
        <v>1</v>
      </c>
      <c r="I15">
        <f>SUMIFS(data!$C:$C,data!$A:$A,"="&amp;xyz!$A15,data!$B:$B,"="&amp;xyz!I$2)</f>
        <v>0</v>
      </c>
      <c r="J15">
        <f>SUMIFS(data!$C:$C,data!$A:$A,"="&amp;xyz!$A15,data!$B:$B,"="&amp;xyz!J$2)</f>
        <v>0</v>
      </c>
      <c r="K15">
        <f>SUMIFS(data!$C:$C,data!$A:$A,"="&amp;xyz!$A15,data!$B:$B,"="&amp;xyz!K$2)</f>
        <v>0</v>
      </c>
      <c r="L15">
        <f>SUMIFS(data!$C:$C,data!$A:$A,"="&amp;xyz!$A15,data!$B:$B,"="&amp;xyz!L$2)</f>
        <v>0</v>
      </c>
      <c r="M15">
        <f>SUMIFS(data!$C:$C,data!$A:$A,"="&amp;xyz!$A15,data!$B:$B,"="&amp;xyz!M$2)</f>
        <v>0</v>
      </c>
      <c r="N15">
        <f>SUMIFS(data!$C:$C,data!$A:$A,"="&amp;xyz!$A15,data!$B:$B,"="&amp;xyz!N$2)</f>
        <v>2</v>
      </c>
      <c r="O15">
        <f>SUMIFS(data!$C:$C,data!$A:$A,"="&amp;xyz!$A15,data!$B:$B,"="&amp;xyz!O$2)</f>
        <v>2</v>
      </c>
      <c r="P15">
        <f>SUMIFS(data!$C:$C,data!$A:$A,"="&amp;xyz!$A15,data!$B:$B,"="&amp;xyz!P$2)</f>
        <v>3</v>
      </c>
      <c r="Q15">
        <f>SUMIFS(data!$C:$C,data!$A:$A,"="&amp;xyz!$A15,data!$B:$B,"="&amp;xyz!Q$2)</f>
        <v>1</v>
      </c>
      <c r="R15">
        <f>SUMIFS(data!$C:$C,data!$A:$A,"="&amp;xyz!$A15,data!$B:$B,"="&amp;xyz!R$2)</f>
        <v>2</v>
      </c>
      <c r="S15">
        <f>SUMIFS(data!$C:$C,data!$A:$A,"="&amp;xyz!$A15,data!$B:$B,"="&amp;xyz!S$2)</f>
        <v>4</v>
      </c>
      <c r="T15">
        <f>SUMIFS(data!$C:$C,data!$A:$A,"="&amp;xyz!$A15,data!$B:$B,"="&amp;xyz!T$2)</f>
        <v>6</v>
      </c>
      <c r="U15">
        <f>SUMIFS(data!$C:$C,data!$A:$A,"="&amp;xyz!$A15,data!$B:$B,"="&amp;xyz!U$2)</f>
        <v>0</v>
      </c>
      <c r="V15">
        <f>SUMIFS(data!$C:$C,data!$A:$A,"="&amp;xyz!$A15,data!$B:$B,"="&amp;xyz!V$2)</f>
        <v>3</v>
      </c>
      <c r="W15">
        <f>SUMIFS(data!$C:$C,data!$A:$A,"="&amp;xyz!$A15,data!$B:$B,"="&amp;xyz!W$2)</f>
        <v>1</v>
      </c>
      <c r="X15">
        <f>SUMIFS(data!$C:$C,data!$A:$A,"="&amp;xyz!$A15,data!$B:$B,"="&amp;xyz!X$2)</f>
        <v>5</v>
      </c>
      <c r="Y15">
        <f>SUMIFS(data!$C:$C,data!$A:$A,"="&amp;xyz!$A15,data!$B:$B,"="&amp;xyz!Y$2)</f>
        <v>3</v>
      </c>
      <c r="Z15">
        <f>SUMIFS(data!$C:$C,data!$A:$A,"="&amp;xyz!$A15,data!$B:$B,"="&amp;xyz!Z$2)</f>
        <v>2</v>
      </c>
      <c r="AA15">
        <f>SUMIFS(data!$C:$C,data!$A:$A,"="&amp;xyz!$A15,data!$B:$B,"="&amp;xyz!AA$2)</f>
        <v>1</v>
      </c>
      <c r="AB15">
        <f>SUMIFS(data!$C:$C,data!$A:$A,"="&amp;xyz!$A15,data!$B:$B,"="&amp;xyz!AB$2)</f>
        <v>1</v>
      </c>
      <c r="AC15">
        <f>SUMIFS(data!$C:$C,data!$A:$A,"="&amp;xyz!$A15,data!$B:$B,"="&amp;xyz!AC$2)</f>
        <v>2</v>
      </c>
      <c r="AD15">
        <f>SUMIFS(data!$C:$C,data!$A:$A,"="&amp;xyz!$A15,data!$B:$B,"="&amp;xyz!AD$2)</f>
        <v>0</v>
      </c>
      <c r="AE15">
        <f>SUMIFS(data!$C:$C,data!$A:$A,"="&amp;xyz!$A15,data!$B:$B,"="&amp;xyz!AE$2)</f>
        <v>5</v>
      </c>
      <c r="AF15">
        <f>SUMIFS(data!$C:$C,data!$A:$A,"="&amp;xyz!$A15,data!$B:$B,"="&amp;xyz!AF$2)</f>
        <v>1</v>
      </c>
      <c r="AG15">
        <f>SUMIFS(data!$C:$C,data!$A:$A,"="&amp;xyz!$A15,data!$B:$B,"="&amp;xyz!AG$2)</f>
        <v>1</v>
      </c>
      <c r="AH15">
        <f>SUMIFS(data!$C:$C,data!$A:$A,"="&amp;xyz!$A15,data!$B:$B,"="&amp;xyz!AH$2)</f>
        <v>1</v>
      </c>
      <c r="AI15">
        <f>SUMIFS(data!$C:$C,data!$A:$A,"="&amp;xyz!$A15,data!$B:$B,"="&amp;xyz!AI$2)</f>
        <v>1</v>
      </c>
      <c r="AJ15">
        <f>SUMIFS(data!$C:$C,data!$A:$A,"="&amp;xyz!$A15,data!$B:$B,"="&amp;xyz!AJ$2)</f>
        <v>0</v>
      </c>
      <c r="AK15">
        <f>SUMIFS(data!$C:$C,data!$A:$A,"="&amp;xyz!$A15,data!$B:$B,"="&amp;xyz!AK$2)</f>
        <v>1</v>
      </c>
      <c r="AL15">
        <f>SUMIFS(data!$C:$C,data!$A:$A,"="&amp;xyz!$A15,data!$B:$B,"="&amp;xyz!AL$2)</f>
        <v>1</v>
      </c>
      <c r="AM15">
        <f>SUMIFS(data!$C:$C,data!$A:$A,"="&amp;xyz!$A15,data!$B:$B,"="&amp;xyz!AM$2)</f>
        <v>2</v>
      </c>
      <c r="AN15">
        <f>SUMIFS(data!$C:$C,data!$A:$A,"="&amp;xyz!$A15,data!$B:$B,"="&amp;xyz!AN$2)</f>
        <v>0</v>
      </c>
      <c r="AO15">
        <f>SUMIFS(data!$C:$C,data!$A:$A,"="&amp;xyz!$A15,data!$B:$B,"="&amp;xyz!AO$2)</f>
        <v>0</v>
      </c>
      <c r="AP15">
        <f>SUMIFS(data!$C:$C,data!$A:$A,"="&amp;xyz!$A15,data!$B:$B,"="&amp;xyz!AP$2)</f>
        <v>0</v>
      </c>
      <c r="AQ15" s="6">
        <f t="shared" si="2"/>
        <v>1.0115401489400284</v>
      </c>
    </row>
    <row r="16" spans="1:43" x14ac:dyDescent="0.3">
      <c r="A16" t="s">
        <v>72</v>
      </c>
      <c r="B16" s="6">
        <f t="shared" si="1"/>
        <v>0.625</v>
      </c>
      <c r="C16">
        <f>SUMIFS(data!$C:$C,data!$A:$A,"="&amp;xyz!$A16,data!$B:$B,"="&amp;xyz!C$2)</f>
        <v>3</v>
      </c>
      <c r="D16">
        <f>SUMIFS(data!$C:$C,data!$A:$A,"="&amp;xyz!$A16,data!$B:$B,"="&amp;xyz!D$2)</f>
        <v>1</v>
      </c>
      <c r="E16">
        <f>SUMIFS(data!$C:$C,data!$A:$A,"="&amp;xyz!$A16,data!$B:$B,"="&amp;xyz!E$2)</f>
        <v>5</v>
      </c>
      <c r="F16">
        <f>SUMIFS(data!$C:$C,data!$A:$A,"="&amp;xyz!$A16,data!$B:$B,"="&amp;xyz!F$2)</f>
        <v>2</v>
      </c>
      <c r="G16">
        <f>SUMIFS(data!$C:$C,data!$A:$A,"="&amp;xyz!$A16,data!$B:$B,"="&amp;xyz!G$2)</f>
        <v>1</v>
      </c>
      <c r="H16">
        <f>SUMIFS(data!$C:$C,data!$A:$A,"="&amp;xyz!$A16,data!$B:$B,"="&amp;xyz!H$2)</f>
        <v>2</v>
      </c>
      <c r="I16">
        <f>SUMIFS(data!$C:$C,data!$A:$A,"="&amp;xyz!$A16,data!$B:$B,"="&amp;xyz!I$2)</f>
        <v>2</v>
      </c>
      <c r="J16">
        <f>SUMIFS(data!$C:$C,data!$A:$A,"="&amp;xyz!$A16,data!$B:$B,"="&amp;xyz!J$2)</f>
        <v>3</v>
      </c>
      <c r="K16">
        <f>SUMIFS(data!$C:$C,data!$A:$A,"="&amp;xyz!$A16,data!$B:$B,"="&amp;xyz!K$2)</f>
        <v>0</v>
      </c>
      <c r="L16">
        <f>SUMIFS(data!$C:$C,data!$A:$A,"="&amp;xyz!$A16,data!$B:$B,"="&amp;xyz!L$2)</f>
        <v>3</v>
      </c>
      <c r="M16">
        <f>SUMIFS(data!$C:$C,data!$A:$A,"="&amp;xyz!$A16,data!$B:$B,"="&amp;xyz!M$2)</f>
        <v>0</v>
      </c>
      <c r="N16">
        <f>SUMIFS(data!$C:$C,data!$A:$A,"="&amp;xyz!$A16,data!$B:$B,"="&amp;xyz!N$2)</f>
        <v>2</v>
      </c>
      <c r="O16">
        <f>SUMIFS(data!$C:$C,data!$A:$A,"="&amp;xyz!$A16,data!$B:$B,"="&amp;xyz!O$2)</f>
        <v>1</v>
      </c>
      <c r="P16">
        <f>SUMIFS(data!$C:$C,data!$A:$A,"="&amp;xyz!$A16,data!$B:$B,"="&amp;xyz!P$2)</f>
        <v>1</v>
      </c>
      <c r="Q16">
        <f>SUMIFS(data!$C:$C,data!$A:$A,"="&amp;xyz!$A16,data!$B:$B,"="&amp;xyz!Q$2)</f>
        <v>5</v>
      </c>
      <c r="R16">
        <f>SUMIFS(data!$C:$C,data!$A:$A,"="&amp;xyz!$A16,data!$B:$B,"="&amp;xyz!R$2)</f>
        <v>1</v>
      </c>
      <c r="S16">
        <f>SUMIFS(data!$C:$C,data!$A:$A,"="&amp;xyz!$A16,data!$B:$B,"="&amp;xyz!S$2)</f>
        <v>4</v>
      </c>
      <c r="T16">
        <f>SUMIFS(data!$C:$C,data!$A:$A,"="&amp;xyz!$A16,data!$B:$B,"="&amp;xyz!T$2)</f>
        <v>1</v>
      </c>
      <c r="U16">
        <f>SUMIFS(data!$C:$C,data!$A:$A,"="&amp;xyz!$A16,data!$B:$B,"="&amp;xyz!U$2)</f>
        <v>1</v>
      </c>
      <c r="V16">
        <f>SUMIFS(data!$C:$C,data!$A:$A,"="&amp;xyz!$A16,data!$B:$B,"="&amp;xyz!V$2)</f>
        <v>0</v>
      </c>
      <c r="W16">
        <f>SUMIFS(data!$C:$C,data!$A:$A,"="&amp;xyz!$A16,data!$B:$B,"="&amp;xyz!W$2)</f>
        <v>0</v>
      </c>
      <c r="X16">
        <f>SUMIFS(data!$C:$C,data!$A:$A,"="&amp;xyz!$A16,data!$B:$B,"="&amp;xyz!X$2)</f>
        <v>0</v>
      </c>
      <c r="Y16">
        <f>SUMIFS(data!$C:$C,data!$A:$A,"="&amp;xyz!$A16,data!$B:$B,"="&amp;xyz!Y$2)</f>
        <v>3</v>
      </c>
      <c r="Z16">
        <f>SUMIFS(data!$C:$C,data!$A:$A,"="&amp;xyz!$A16,data!$B:$B,"="&amp;xyz!Z$2)</f>
        <v>1</v>
      </c>
      <c r="AA16">
        <f>SUMIFS(data!$C:$C,data!$A:$A,"="&amp;xyz!$A16,data!$B:$B,"="&amp;xyz!AA$2)</f>
        <v>5</v>
      </c>
      <c r="AB16">
        <f>SUMIFS(data!$C:$C,data!$A:$A,"="&amp;xyz!$A16,data!$B:$B,"="&amp;xyz!AB$2)</f>
        <v>1</v>
      </c>
      <c r="AC16">
        <f>SUMIFS(data!$C:$C,data!$A:$A,"="&amp;xyz!$A16,data!$B:$B,"="&amp;xyz!AC$2)</f>
        <v>3</v>
      </c>
      <c r="AD16">
        <f>SUMIFS(data!$C:$C,data!$A:$A,"="&amp;xyz!$A16,data!$B:$B,"="&amp;xyz!AD$2)</f>
        <v>2</v>
      </c>
      <c r="AE16">
        <f>SUMIFS(data!$C:$C,data!$A:$A,"="&amp;xyz!$A16,data!$B:$B,"="&amp;xyz!AE$2)</f>
        <v>6</v>
      </c>
      <c r="AF16">
        <f>SUMIFS(data!$C:$C,data!$A:$A,"="&amp;xyz!$A16,data!$B:$B,"="&amp;xyz!AF$2)</f>
        <v>3</v>
      </c>
      <c r="AG16">
        <f>SUMIFS(data!$C:$C,data!$A:$A,"="&amp;xyz!$A16,data!$B:$B,"="&amp;xyz!AG$2)</f>
        <v>0</v>
      </c>
      <c r="AH16">
        <f>SUMIFS(data!$C:$C,data!$A:$A,"="&amp;xyz!$A16,data!$B:$B,"="&amp;xyz!AH$2)</f>
        <v>4</v>
      </c>
      <c r="AI16">
        <f>SUMIFS(data!$C:$C,data!$A:$A,"="&amp;xyz!$A16,data!$B:$B,"="&amp;xyz!AI$2)</f>
        <v>2</v>
      </c>
      <c r="AJ16">
        <f>SUMIFS(data!$C:$C,data!$A:$A,"="&amp;xyz!$A16,data!$B:$B,"="&amp;xyz!AJ$2)</f>
        <v>2</v>
      </c>
      <c r="AK16">
        <f>SUMIFS(data!$C:$C,data!$A:$A,"="&amp;xyz!$A16,data!$B:$B,"="&amp;xyz!AK$2)</f>
        <v>2</v>
      </c>
      <c r="AL16">
        <f>SUMIFS(data!$C:$C,data!$A:$A,"="&amp;xyz!$A16,data!$B:$B,"="&amp;xyz!AL$2)</f>
        <v>2</v>
      </c>
      <c r="AM16">
        <f>SUMIFS(data!$C:$C,data!$A:$A,"="&amp;xyz!$A16,data!$B:$B,"="&amp;xyz!AM$2)</f>
        <v>4</v>
      </c>
      <c r="AN16">
        <f>SUMIFS(data!$C:$C,data!$A:$A,"="&amp;xyz!$A16,data!$B:$B,"="&amp;xyz!AN$2)</f>
        <v>0</v>
      </c>
      <c r="AO16">
        <f>SUMIFS(data!$C:$C,data!$A:$A,"="&amp;xyz!$A16,data!$B:$B,"="&amp;xyz!AO$2)</f>
        <v>1</v>
      </c>
      <c r="AP16">
        <f>SUMIFS(data!$C:$C,data!$A:$A,"="&amp;xyz!$A16,data!$B:$B,"="&amp;xyz!AP$2)</f>
        <v>1</v>
      </c>
      <c r="AQ16" s="6">
        <f t="shared" si="2"/>
        <v>0.80064076902543568</v>
      </c>
    </row>
    <row r="17" spans="1:43" x14ac:dyDescent="0.3">
      <c r="A17" t="s">
        <v>20</v>
      </c>
      <c r="B17" s="6">
        <f t="shared" si="1"/>
        <v>0.41880341880341859</v>
      </c>
      <c r="C17">
        <f>SUMIFS(data!$C:$C,data!$A:$A,"="&amp;xyz!$A17,data!$B:$B,"="&amp;xyz!C$2)</f>
        <v>5</v>
      </c>
      <c r="D17">
        <f>SUMIFS(data!$C:$C,data!$A:$A,"="&amp;xyz!$A17,data!$B:$B,"="&amp;xyz!D$2)</f>
        <v>20</v>
      </c>
      <c r="E17">
        <f>SUMIFS(data!$C:$C,data!$A:$A,"="&amp;xyz!$A17,data!$B:$B,"="&amp;xyz!E$2)</f>
        <v>5</v>
      </c>
      <c r="F17">
        <f>SUMIFS(data!$C:$C,data!$A:$A,"="&amp;xyz!$A17,data!$B:$B,"="&amp;xyz!F$2)</f>
        <v>5</v>
      </c>
      <c r="G17">
        <f>SUMIFS(data!$C:$C,data!$A:$A,"="&amp;xyz!$A17,data!$B:$B,"="&amp;xyz!G$2)</f>
        <v>10</v>
      </c>
      <c r="H17">
        <f>SUMIFS(data!$C:$C,data!$A:$A,"="&amp;xyz!$A17,data!$B:$B,"="&amp;xyz!H$2)</f>
        <v>1</v>
      </c>
      <c r="I17">
        <f>SUMIFS(data!$C:$C,data!$A:$A,"="&amp;xyz!$A17,data!$B:$B,"="&amp;xyz!I$2)</f>
        <v>3</v>
      </c>
      <c r="J17">
        <f>SUMIFS(data!$C:$C,data!$A:$A,"="&amp;xyz!$A17,data!$B:$B,"="&amp;xyz!J$2)</f>
        <v>7</v>
      </c>
      <c r="K17">
        <f>SUMIFS(data!$C:$C,data!$A:$A,"="&amp;xyz!$A17,data!$B:$B,"="&amp;xyz!K$2)</f>
        <v>0</v>
      </c>
      <c r="L17">
        <f>SUMIFS(data!$C:$C,data!$A:$A,"="&amp;xyz!$A17,data!$B:$B,"="&amp;xyz!L$2)</f>
        <v>14</v>
      </c>
      <c r="M17">
        <f>SUMIFS(data!$C:$C,data!$A:$A,"="&amp;xyz!$A17,data!$B:$B,"="&amp;xyz!M$2)</f>
        <v>3</v>
      </c>
      <c r="N17">
        <f>SUMIFS(data!$C:$C,data!$A:$A,"="&amp;xyz!$A17,data!$B:$B,"="&amp;xyz!N$2)</f>
        <v>7</v>
      </c>
      <c r="O17">
        <f>SUMIFS(data!$C:$C,data!$A:$A,"="&amp;xyz!$A17,data!$B:$B,"="&amp;xyz!O$2)</f>
        <v>16</v>
      </c>
      <c r="P17">
        <f>SUMIFS(data!$C:$C,data!$A:$A,"="&amp;xyz!$A17,data!$B:$B,"="&amp;xyz!P$2)</f>
        <v>9</v>
      </c>
      <c r="Q17">
        <f>SUMIFS(data!$C:$C,data!$A:$A,"="&amp;xyz!$A17,data!$B:$B,"="&amp;xyz!Q$2)</f>
        <v>8</v>
      </c>
      <c r="R17">
        <f>SUMIFS(data!$C:$C,data!$A:$A,"="&amp;xyz!$A17,data!$B:$B,"="&amp;xyz!R$2)</f>
        <v>10</v>
      </c>
      <c r="S17">
        <f>SUMIFS(data!$C:$C,data!$A:$A,"="&amp;xyz!$A17,data!$B:$B,"="&amp;xyz!S$2)</f>
        <v>11</v>
      </c>
      <c r="T17">
        <f>SUMIFS(data!$C:$C,data!$A:$A,"="&amp;xyz!$A17,data!$B:$B,"="&amp;xyz!T$2)</f>
        <v>5</v>
      </c>
      <c r="U17">
        <f>SUMIFS(data!$C:$C,data!$A:$A,"="&amp;xyz!$A17,data!$B:$B,"="&amp;xyz!U$2)</f>
        <v>12</v>
      </c>
      <c r="V17">
        <f>SUMIFS(data!$C:$C,data!$A:$A,"="&amp;xyz!$A17,data!$B:$B,"="&amp;xyz!V$2)</f>
        <v>9</v>
      </c>
      <c r="W17">
        <f>SUMIFS(data!$C:$C,data!$A:$A,"="&amp;xyz!$A17,data!$B:$B,"="&amp;xyz!W$2)</f>
        <v>15</v>
      </c>
      <c r="X17">
        <f>SUMIFS(data!$C:$C,data!$A:$A,"="&amp;xyz!$A17,data!$B:$B,"="&amp;xyz!X$2)</f>
        <v>17</v>
      </c>
      <c r="Y17">
        <f>SUMIFS(data!$C:$C,data!$A:$A,"="&amp;xyz!$A17,data!$B:$B,"="&amp;xyz!Y$2)</f>
        <v>8</v>
      </c>
      <c r="Z17">
        <f>SUMIFS(data!$C:$C,data!$A:$A,"="&amp;xyz!$A17,data!$B:$B,"="&amp;xyz!Z$2)</f>
        <v>6</v>
      </c>
      <c r="AA17">
        <f>SUMIFS(data!$C:$C,data!$A:$A,"="&amp;xyz!$A17,data!$B:$B,"="&amp;xyz!AA$2)</f>
        <v>11</v>
      </c>
      <c r="AB17">
        <f>SUMIFS(data!$C:$C,data!$A:$A,"="&amp;xyz!$A17,data!$B:$B,"="&amp;xyz!AB$2)</f>
        <v>9</v>
      </c>
      <c r="AC17">
        <f>SUMIFS(data!$C:$C,data!$A:$A,"="&amp;xyz!$A17,data!$B:$B,"="&amp;xyz!AC$2)</f>
        <v>9</v>
      </c>
      <c r="AD17">
        <f>SUMIFS(data!$C:$C,data!$A:$A,"="&amp;xyz!$A17,data!$B:$B,"="&amp;xyz!AD$2)</f>
        <v>8</v>
      </c>
      <c r="AE17">
        <f>SUMIFS(data!$C:$C,data!$A:$A,"="&amp;xyz!$A17,data!$B:$B,"="&amp;xyz!AE$2)</f>
        <v>8</v>
      </c>
      <c r="AF17">
        <f>SUMIFS(data!$C:$C,data!$A:$A,"="&amp;xyz!$A17,data!$B:$B,"="&amp;xyz!AF$2)</f>
        <v>7</v>
      </c>
      <c r="AG17">
        <f>SUMIFS(data!$C:$C,data!$A:$A,"="&amp;xyz!$A17,data!$B:$B,"="&amp;xyz!AG$2)</f>
        <v>17</v>
      </c>
      <c r="AH17">
        <f>SUMIFS(data!$C:$C,data!$A:$A,"="&amp;xyz!$A17,data!$B:$B,"="&amp;xyz!AH$2)</f>
        <v>5</v>
      </c>
      <c r="AI17">
        <f>SUMIFS(data!$C:$C,data!$A:$A,"="&amp;xyz!$A17,data!$B:$B,"="&amp;xyz!AI$2)</f>
        <v>11</v>
      </c>
      <c r="AJ17">
        <f>SUMIFS(data!$C:$C,data!$A:$A,"="&amp;xyz!$A17,data!$B:$B,"="&amp;xyz!AJ$2)</f>
        <v>12</v>
      </c>
      <c r="AK17">
        <f>SUMIFS(data!$C:$C,data!$A:$A,"="&amp;xyz!$A17,data!$B:$B,"="&amp;xyz!AK$2)</f>
        <v>7</v>
      </c>
      <c r="AL17">
        <f>SUMIFS(data!$C:$C,data!$A:$A,"="&amp;xyz!$A17,data!$B:$B,"="&amp;xyz!AL$2)</f>
        <v>0</v>
      </c>
      <c r="AM17">
        <f>SUMIFS(data!$C:$C,data!$A:$A,"="&amp;xyz!$A17,data!$B:$B,"="&amp;xyz!AM$2)</f>
        <v>4</v>
      </c>
      <c r="AN17">
        <f>SUMIFS(data!$C:$C,data!$A:$A,"="&amp;xyz!$A17,data!$B:$B,"="&amp;xyz!AN$2)</f>
        <v>12</v>
      </c>
      <c r="AO17">
        <f>SUMIFS(data!$C:$C,data!$A:$A,"="&amp;xyz!$A17,data!$B:$B,"="&amp;xyz!AO$2)</f>
        <v>12</v>
      </c>
      <c r="AP17">
        <f>SUMIFS(data!$C:$C,data!$A:$A,"="&amp;xyz!$A17,data!$B:$B,"="&amp;xyz!AP$2)</f>
        <v>13</v>
      </c>
      <c r="AQ17" s="6">
        <f t="shared" si="2"/>
        <v>0.53357721914695966</v>
      </c>
    </row>
    <row r="18" spans="1:43" x14ac:dyDescent="0.3">
      <c r="A18" t="s">
        <v>19</v>
      </c>
      <c r="B18" s="6">
        <f t="shared" si="1"/>
        <v>0.44444444444444442</v>
      </c>
      <c r="C18">
        <f>SUMIFS(data!$C:$C,data!$A:$A,"="&amp;xyz!$A18,data!$B:$B,"="&amp;xyz!C$2)</f>
        <v>3</v>
      </c>
      <c r="D18">
        <f>SUMIFS(data!$C:$C,data!$A:$A,"="&amp;xyz!$A18,data!$B:$B,"="&amp;xyz!D$2)</f>
        <v>3</v>
      </c>
      <c r="E18">
        <f>SUMIFS(data!$C:$C,data!$A:$A,"="&amp;xyz!$A18,data!$B:$B,"="&amp;xyz!E$2)</f>
        <v>4</v>
      </c>
      <c r="F18">
        <f>SUMIFS(data!$C:$C,data!$A:$A,"="&amp;xyz!$A18,data!$B:$B,"="&amp;xyz!F$2)</f>
        <v>6</v>
      </c>
      <c r="G18">
        <f>SUMIFS(data!$C:$C,data!$A:$A,"="&amp;xyz!$A18,data!$B:$B,"="&amp;xyz!G$2)</f>
        <v>4</v>
      </c>
      <c r="H18">
        <f>SUMIFS(data!$C:$C,data!$A:$A,"="&amp;xyz!$A18,data!$B:$B,"="&amp;xyz!H$2)</f>
        <v>9</v>
      </c>
      <c r="I18">
        <f>SUMIFS(data!$C:$C,data!$A:$A,"="&amp;xyz!$A18,data!$B:$B,"="&amp;xyz!I$2)</f>
        <v>6</v>
      </c>
      <c r="J18">
        <f>SUMIFS(data!$C:$C,data!$A:$A,"="&amp;xyz!$A18,data!$B:$B,"="&amp;xyz!J$2)</f>
        <v>5</v>
      </c>
      <c r="K18">
        <f>SUMIFS(data!$C:$C,data!$A:$A,"="&amp;xyz!$A18,data!$B:$B,"="&amp;xyz!K$2)</f>
        <v>0</v>
      </c>
      <c r="L18">
        <f>SUMIFS(data!$C:$C,data!$A:$A,"="&amp;xyz!$A18,data!$B:$B,"="&amp;xyz!L$2)</f>
        <v>4</v>
      </c>
      <c r="M18">
        <f>SUMIFS(data!$C:$C,data!$A:$A,"="&amp;xyz!$A18,data!$B:$B,"="&amp;xyz!M$2)</f>
        <v>0</v>
      </c>
      <c r="N18">
        <f>SUMIFS(data!$C:$C,data!$A:$A,"="&amp;xyz!$A18,data!$B:$B,"="&amp;xyz!N$2)</f>
        <v>5</v>
      </c>
      <c r="O18">
        <f>SUMIFS(data!$C:$C,data!$A:$A,"="&amp;xyz!$A18,data!$B:$B,"="&amp;xyz!O$2)</f>
        <v>2</v>
      </c>
      <c r="P18">
        <f>SUMIFS(data!$C:$C,data!$A:$A,"="&amp;xyz!$A18,data!$B:$B,"="&amp;xyz!P$2)</f>
        <v>5</v>
      </c>
      <c r="Q18">
        <f>SUMIFS(data!$C:$C,data!$A:$A,"="&amp;xyz!$A18,data!$B:$B,"="&amp;xyz!Q$2)</f>
        <v>4</v>
      </c>
      <c r="R18">
        <f>SUMIFS(data!$C:$C,data!$A:$A,"="&amp;xyz!$A18,data!$B:$B,"="&amp;xyz!R$2)</f>
        <v>6</v>
      </c>
      <c r="S18">
        <f>SUMIFS(data!$C:$C,data!$A:$A,"="&amp;xyz!$A18,data!$B:$B,"="&amp;xyz!S$2)</f>
        <v>6</v>
      </c>
      <c r="T18">
        <f>SUMIFS(data!$C:$C,data!$A:$A,"="&amp;xyz!$A18,data!$B:$B,"="&amp;xyz!T$2)</f>
        <v>2</v>
      </c>
      <c r="U18">
        <f>SUMIFS(data!$C:$C,data!$A:$A,"="&amp;xyz!$A18,data!$B:$B,"="&amp;xyz!U$2)</f>
        <v>7</v>
      </c>
      <c r="V18">
        <f>SUMIFS(data!$C:$C,data!$A:$A,"="&amp;xyz!$A18,data!$B:$B,"="&amp;xyz!V$2)</f>
        <v>4</v>
      </c>
      <c r="W18">
        <f>SUMIFS(data!$C:$C,data!$A:$A,"="&amp;xyz!$A18,data!$B:$B,"="&amp;xyz!W$2)</f>
        <v>12</v>
      </c>
      <c r="X18">
        <f>SUMIFS(data!$C:$C,data!$A:$A,"="&amp;xyz!$A18,data!$B:$B,"="&amp;xyz!X$2)</f>
        <v>2</v>
      </c>
      <c r="Y18">
        <f>SUMIFS(data!$C:$C,data!$A:$A,"="&amp;xyz!$A18,data!$B:$B,"="&amp;xyz!Y$2)</f>
        <v>4</v>
      </c>
      <c r="Z18">
        <f>SUMIFS(data!$C:$C,data!$A:$A,"="&amp;xyz!$A18,data!$B:$B,"="&amp;xyz!Z$2)</f>
        <v>5</v>
      </c>
      <c r="AA18">
        <f>SUMIFS(data!$C:$C,data!$A:$A,"="&amp;xyz!$A18,data!$B:$B,"="&amp;xyz!AA$2)</f>
        <v>7</v>
      </c>
      <c r="AB18">
        <f>SUMIFS(data!$C:$C,data!$A:$A,"="&amp;xyz!$A18,data!$B:$B,"="&amp;xyz!AB$2)</f>
        <v>5</v>
      </c>
      <c r="AC18">
        <f>SUMIFS(data!$C:$C,data!$A:$A,"="&amp;xyz!$A18,data!$B:$B,"="&amp;xyz!AC$2)</f>
        <v>4</v>
      </c>
      <c r="AD18">
        <f>SUMIFS(data!$C:$C,data!$A:$A,"="&amp;xyz!$A18,data!$B:$B,"="&amp;xyz!AD$2)</f>
        <v>2</v>
      </c>
      <c r="AE18">
        <f>SUMIFS(data!$C:$C,data!$A:$A,"="&amp;xyz!$A18,data!$B:$B,"="&amp;xyz!AE$2)</f>
        <v>5</v>
      </c>
      <c r="AF18">
        <f>SUMIFS(data!$C:$C,data!$A:$A,"="&amp;xyz!$A18,data!$B:$B,"="&amp;xyz!AF$2)</f>
        <v>7</v>
      </c>
      <c r="AG18">
        <f>SUMIFS(data!$C:$C,data!$A:$A,"="&amp;xyz!$A18,data!$B:$B,"="&amp;xyz!AG$2)</f>
        <v>5</v>
      </c>
      <c r="AH18">
        <f>SUMIFS(data!$C:$C,data!$A:$A,"="&amp;xyz!$A18,data!$B:$B,"="&amp;xyz!AH$2)</f>
        <v>7</v>
      </c>
      <c r="AI18">
        <f>SUMIFS(data!$C:$C,data!$A:$A,"="&amp;xyz!$A18,data!$B:$B,"="&amp;xyz!AI$2)</f>
        <v>0</v>
      </c>
      <c r="AJ18">
        <f>SUMIFS(data!$C:$C,data!$A:$A,"="&amp;xyz!$A18,data!$B:$B,"="&amp;xyz!AJ$2)</f>
        <v>1</v>
      </c>
      <c r="AK18">
        <f>SUMIFS(data!$C:$C,data!$A:$A,"="&amp;xyz!$A18,data!$B:$B,"="&amp;xyz!AK$2)</f>
        <v>3</v>
      </c>
      <c r="AL18">
        <f>SUMIFS(data!$C:$C,data!$A:$A,"="&amp;xyz!$A18,data!$B:$B,"="&amp;xyz!AL$2)</f>
        <v>3</v>
      </c>
      <c r="AM18">
        <f>SUMIFS(data!$C:$C,data!$A:$A,"="&amp;xyz!$A18,data!$B:$B,"="&amp;xyz!AM$2)</f>
        <v>5</v>
      </c>
      <c r="AN18">
        <f>SUMIFS(data!$C:$C,data!$A:$A,"="&amp;xyz!$A18,data!$B:$B,"="&amp;xyz!AN$2)</f>
        <v>1</v>
      </c>
      <c r="AO18">
        <f>SUMIFS(data!$C:$C,data!$A:$A,"="&amp;xyz!$A18,data!$B:$B,"="&amp;xyz!AO$2)</f>
        <v>5</v>
      </c>
      <c r="AP18">
        <f>SUMIFS(data!$C:$C,data!$A:$A,"="&amp;xyz!$A18,data!$B:$B,"="&amp;xyz!AP$2)</f>
        <v>12</v>
      </c>
      <c r="AQ18" s="6">
        <f t="shared" si="2"/>
        <v>0.60597426649095931</v>
      </c>
    </row>
    <row r="19" spans="1:43" x14ac:dyDescent="0.3">
      <c r="A19" t="s">
        <v>9</v>
      </c>
      <c r="B19" s="6">
        <f t="shared" si="1"/>
        <v>1.1000000000000001</v>
      </c>
      <c r="C19">
        <f>SUMIFS(data!$C:$C,data!$A:$A,"="&amp;xyz!$A19,data!$B:$B,"="&amp;xyz!C$2)</f>
        <v>0</v>
      </c>
      <c r="D19">
        <f>SUMIFS(data!$C:$C,data!$A:$A,"="&amp;xyz!$A19,data!$B:$B,"="&amp;xyz!D$2)</f>
        <v>0</v>
      </c>
      <c r="E19">
        <f>SUMIFS(data!$C:$C,data!$A:$A,"="&amp;xyz!$A19,data!$B:$B,"="&amp;xyz!E$2)</f>
        <v>0</v>
      </c>
      <c r="F19">
        <f>SUMIFS(data!$C:$C,data!$A:$A,"="&amp;xyz!$A19,data!$B:$B,"="&amp;xyz!F$2)</f>
        <v>0</v>
      </c>
      <c r="G19">
        <f>SUMIFS(data!$C:$C,data!$A:$A,"="&amp;xyz!$A19,data!$B:$B,"="&amp;xyz!G$2)</f>
        <v>0</v>
      </c>
      <c r="H19">
        <f>SUMIFS(data!$C:$C,data!$A:$A,"="&amp;xyz!$A19,data!$B:$B,"="&amp;xyz!H$2)</f>
        <v>0</v>
      </c>
      <c r="I19">
        <f>SUMIFS(data!$C:$C,data!$A:$A,"="&amp;xyz!$A19,data!$B:$B,"="&amp;xyz!I$2)</f>
        <v>0</v>
      </c>
      <c r="J19">
        <f>SUMIFS(data!$C:$C,data!$A:$A,"="&amp;xyz!$A19,data!$B:$B,"="&amp;xyz!J$2)</f>
        <v>0</v>
      </c>
      <c r="K19">
        <f>SUMIFS(data!$C:$C,data!$A:$A,"="&amp;xyz!$A19,data!$B:$B,"="&amp;xyz!K$2)</f>
        <v>0</v>
      </c>
      <c r="L19">
        <f>SUMIFS(data!$C:$C,data!$A:$A,"="&amp;xyz!$A19,data!$B:$B,"="&amp;xyz!L$2)</f>
        <v>0</v>
      </c>
      <c r="M19">
        <f>SUMIFS(data!$C:$C,data!$A:$A,"="&amp;xyz!$A19,data!$B:$B,"="&amp;xyz!M$2)</f>
        <v>0</v>
      </c>
      <c r="N19">
        <f>SUMIFS(data!$C:$C,data!$A:$A,"="&amp;xyz!$A19,data!$B:$B,"="&amp;xyz!N$2)</f>
        <v>0</v>
      </c>
      <c r="O19">
        <f>SUMIFS(data!$C:$C,data!$A:$A,"="&amp;xyz!$A19,data!$B:$B,"="&amp;xyz!O$2)</f>
        <v>0</v>
      </c>
      <c r="P19">
        <f>SUMIFS(data!$C:$C,data!$A:$A,"="&amp;xyz!$A19,data!$B:$B,"="&amp;xyz!P$2)</f>
        <v>0</v>
      </c>
      <c r="Q19">
        <f>SUMIFS(data!$C:$C,data!$A:$A,"="&amp;xyz!$A19,data!$B:$B,"="&amp;xyz!Q$2)</f>
        <v>0</v>
      </c>
      <c r="R19">
        <f>SUMIFS(data!$C:$C,data!$A:$A,"="&amp;xyz!$A19,data!$B:$B,"="&amp;xyz!R$2)</f>
        <v>0</v>
      </c>
      <c r="S19">
        <f>SUMIFS(data!$C:$C,data!$A:$A,"="&amp;xyz!$A19,data!$B:$B,"="&amp;xyz!S$2)</f>
        <v>0</v>
      </c>
      <c r="T19">
        <f>SUMIFS(data!$C:$C,data!$A:$A,"="&amp;xyz!$A19,data!$B:$B,"="&amp;xyz!T$2)</f>
        <v>0</v>
      </c>
      <c r="U19">
        <f>SUMIFS(data!$C:$C,data!$A:$A,"="&amp;xyz!$A19,data!$B:$B,"="&amp;xyz!U$2)</f>
        <v>0</v>
      </c>
      <c r="V19">
        <f>SUMIFS(data!$C:$C,data!$A:$A,"="&amp;xyz!$A19,data!$B:$B,"="&amp;xyz!V$2)</f>
        <v>0</v>
      </c>
      <c r="W19">
        <f>SUMIFS(data!$C:$C,data!$A:$A,"="&amp;xyz!$A19,data!$B:$B,"="&amp;xyz!W$2)</f>
        <v>0</v>
      </c>
      <c r="X19">
        <f>SUMIFS(data!$C:$C,data!$A:$A,"="&amp;xyz!$A19,data!$B:$B,"="&amp;xyz!X$2)</f>
        <v>0</v>
      </c>
      <c r="Y19">
        <f>SUMIFS(data!$C:$C,data!$A:$A,"="&amp;xyz!$A19,data!$B:$B,"="&amp;xyz!Y$2)</f>
        <v>5</v>
      </c>
      <c r="Z19">
        <f>SUMIFS(data!$C:$C,data!$A:$A,"="&amp;xyz!$A19,data!$B:$B,"="&amp;xyz!Z$2)</f>
        <v>6</v>
      </c>
      <c r="AA19">
        <f>SUMIFS(data!$C:$C,data!$A:$A,"="&amp;xyz!$A19,data!$B:$B,"="&amp;xyz!AA$2)</f>
        <v>4</v>
      </c>
      <c r="AB19">
        <f>SUMIFS(data!$C:$C,data!$A:$A,"="&amp;xyz!$A19,data!$B:$B,"="&amp;xyz!AB$2)</f>
        <v>10</v>
      </c>
      <c r="AC19">
        <f>SUMIFS(data!$C:$C,data!$A:$A,"="&amp;xyz!$A19,data!$B:$B,"="&amp;xyz!AC$2)</f>
        <v>4</v>
      </c>
      <c r="AD19">
        <f>SUMIFS(data!$C:$C,data!$A:$A,"="&amp;xyz!$A19,data!$B:$B,"="&amp;xyz!AD$2)</f>
        <v>4</v>
      </c>
      <c r="AE19">
        <f>SUMIFS(data!$C:$C,data!$A:$A,"="&amp;xyz!$A19,data!$B:$B,"="&amp;xyz!AE$2)</f>
        <v>3</v>
      </c>
      <c r="AF19">
        <f>SUMIFS(data!$C:$C,data!$A:$A,"="&amp;xyz!$A19,data!$B:$B,"="&amp;xyz!AF$2)</f>
        <v>8</v>
      </c>
      <c r="AG19">
        <f>SUMIFS(data!$C:$C,data!$A:$A,"="&amp;xyz!$A19,data!$B:$B,"="&amp;xyz!AG$2)</f>
        <v>5</v>
      </c>
      <c r="AH19">
        <f>SUMIFS(data!$C:$C,data!$A:$A,"="&amp;xyz!$A19,data!$B:$B,"="&amp;xyz!AH$2)</f>
        <v>8</v>
      </c>
      <c r="AI19">
        <f>SUMIFS(data!$C:$C,data!$A:$A,"="&amp;xyz!$A19,data!$B:$B,"="&amp;xyz!AI$2)</f>
        <v>3</v>
      </c>
      <c r="AJ19">
        <f>SUMIFS(data!$C:$C,data!$A:$A,"="&amp;xyz!$A19,data!$B:$B,"="&amp;xyz!AJ$2)</f>
        <v>10</v>
      </c>
      <c r="AK19">
        <f>SUMIFS(data!$C:$C,data!$A:$A,"="&amp;xyz!$A19,data!$B:$B,"="&amp;xyz!AK$2)</f>
        <v>5</v>
      </c>
      <c r="AL19">
        <f>SUMIFS(data!$C:$C,data!$A:$A,"="&amp;xyz!$A19,data!$B:$B,"="&amp;xyz!AL$2)</f>
        <v>5</v>
      </c>
      <c r="AM19">
        <f>SUMIFS(data!$C:$C,data!$A:$A,"="&amp;xyz!$A19,data!$B:$B,"="&amp;xyz!AM$2)</f>
        <v>6</v>
      </c>
      <c r="AN19">
        <f>SUMIFS(data!$C:$C,data!$A:$A,"="&amp;xyz!$A19,data!$B:$B,"="&amp;xyz!AN$2)</f>
        <v>6</v>
      </c>
      <c r="AO19">
        <f>SUMIFS(data!$C:$C,data!$A:$A,"="&amp;xyz!$A19,data!$B:$B,"="&amp;xyz!AO$2)</f>
        <v>9</v>
      </c>
      <c r="AP19">
        <f>SUMIFS(data!$C:$C,data!$A:$A,"="&amp;xyz!$A19,data!$B:$B,"="&amp;xyz!AP$2)</f>
        <v>4</v>
      </c>
      <c r="AQ19" s="6">
        <f t="shared" si="2"/>
        <v>1.255165500076898</v>
      </c>
    </row>
    <row r="20" spans="1:43" x14ac:dyDescent="0.3">
      <c r="A20" t="s">
        <v>90</v>
      </c>
      <c r="B20" s="6">
        <f t="shared" si="1"/>
        <v>0.48448275862068957</v>
      </c>
      <c r="C20">
        <f>SUMIFS(data!$C:$C,data!$A:$A,"="&amp;xyz!$A20,data!$B:$B,"="&amp;xyz!C$2)</f>
        <v>4</v>
      </c>
      <c r="D20">
        <f>SUMIFS(data!$C:$C,data!$A:$A,"="&amp;xyz!$A20,data!$B:$B,"="&amp;xyz!D$2)</f>
        <v>10</v>
      </c>
      <c r="E20">
        <f>SUMIFS(data!$C:$C,data!$A:$A,"="&amp;xyz!$A20,data!$B:$B,"="&amp;xyz!E$2)</f>
        <v>3</v>
      </c>
      <c r="F20">
        <f>SUMIFS(data!$C:$C,data!$A:$A,"="&amp;xyz!$A20,data!$B:$B,"="&amp;xyz!F$2)</f>
        <v>2</v>
      </c>
      <c r="G20">
        <f>SUMIFS(data!$C:$C,data!$A:$A,"="&amp;xyz!$A20,data!$B:$B,"="&amp;xyz!G$2)</f>
        <v>2</v>
      </c>
      <c r="H20">
        <f>SUMIFS(data!$C:$C,data!$A:$A,"="&amp;xyz!$A20,data!$B:$B,"="&amp;xyz!H$2)</f>
        <v>7</v>
      </c>
      <c r="I20">
        <f>SUMIFS(data!$C:$C,data!$A:$A,"="&amp;xyz!$A20,data!$B:$B,"="&amp;xyz!I$2)</f>
        <v>1</v>
      </c>
      <c r="J20">
        <f>SUMIFS(data!$C:$C,data!$A:$A,"="&amp;xyz!$A20,data!$B:$B,"="&amp;xyz!J$2)</f>
        <v>1</v>
      </c>
      <c r="K20">
        <f>SUMIFS(data!$C:$C,data!$A:$A,"="&amp;xyz!$A20,data!$B:$B,"="&amp;xyz!K$2)</f>
        <v>0</v>
      </c>
      <c r="L20">
        <f>SUMIFS(data!$C:$C,data!$A:$A,"="&amp;xyz!$A20,data!$B:$B,"="&amp;xyz!L$2)</f>
        <v>2</v>
      </c>
      <c r="M20">
        <f>SUMIFS(data!$C:$C,data!$A:$A,"="&amp;xyz!$A20,data!$B:$B,"="&amp;xyz!M$2)</f>
        <v>2</v>
      </c>
      <c r="N20">
        <f>SUMIFS(data!$C:$C,data!$A:$A,"="&amp;xyz!$A20,data!$B:$B,"="&amp;xyz!N$2)</f>
        <v>1</v>
      </c>
      <c r="O20">
        <f>SUMIFS(data!$C:$C,data!$A:$A,"="&amp;xyz!$A20,data!$B:$B,"="&amp;xyz!O$2)</f>
        <v>0</v>
      </c>
      <c r="P20">
        <f>SUMIFS(data!$C:$C,data!$A:$A,"="&amp;xyz!$A20,data!$B:$B,"="&amp;xyz!P$2)</f>
        <v>1</v>
      </c>
      <c r="Q20">
        <f>SUMIFS(data!$C:$C,data!$A:$A,"="&amp;xyz!$A20,data!$B:$B,"="&amp;xyz!Q$2)</f>
        <v>2</v>
      </c>
      <c r="R20">
        <f>SUMIFS(data!$C:$C,data!$A:$A,"="&amp;xyz!$A20,data!$B:$B,"="&amp;xyz!R$2)</f>
        <v>1</v>
      </c>
      <c r="S20">
        <f>SUMIFS(data!$C:$C,data!$A:$A,"="&amp;xyz!$A20,data!$B:$B,"="&amp;xyz!S$2)</f>
        <v>3</v>
      </c>
      <c r="T20">
        <f>SUMIFS(data!$C:$C,data!$A:$A,"="&amp;xyz!$A20,data!$B:$B,"="&amp;xyz!T$2)</f>
        <v>2</v>
      </c>
      <c r="U20">
        <f>SUMIFS(data!$C:$C,data!$A:$A,"="&amp;xyz!$A20,data!$B:$B,"="&amp;xyz!U$2)</f>
        <v>1</v>
      </c>
      <c r="V20">
        <f>SUMIFS(data!$C:$C,data!$A:$A,"="&amp;xyz!$A20,data!$B:$B,"="&amp;xyz!V$2)</f>
        <v>3</v>
      </c>
      <c r="W20">
        <f>SUMIFS(data!$C:$C,data!$A:$A,"="&amp;xyz!$A20,data!$B:$B,"="&amp;xyz!W$2)</f>
        <v>2</v>
      </c>
      <c r="X20">
        <f>SUMIFS(data!$C:$C,data!$A:$A,"="&amp;xyz!$A20,data!$B:$B,"="&amp;xyz!X$2)</f>
        <v>1</v>
      </c>
      <c r="Y20">
        <f>SUMIFS(data!$C:$C,data!$A:$A,"="&amp;xyz!$A20,data!$B:$B,"="&amp;xyz!Y$2)</f>
        <v>3</v>
      </c>
      <c r="Z20">
        <f>SUMIFS(data!$C:$C,data!$A:$A,"="&amp;xyz!$A20,data!$B:$B,"="&amp;xyz!Z$2)</f>
        <v>2</v>
      </c>
      <c r="AA20">
        <f>SUMIFS(data!$C:$C,data!$A:$A,"="&amp;xyz!$A20,data!$B:$B,"="&amp;xyz!AA$2)</f>
        <v>2</v>
      </c>
      <c r="AB20">
        <f>SUMIFS(data!$C:$C,data!$A:$A,"="&amp;xyz!$A20,data!$B:$B,"="&amp;xyz!AB$2)</f>
        <v>3</v>
      </c>
      <c r="AC20">
        <f>SUMIFS(data!$C:$C,data!$A:$A,"="&amp;xyz!$A20,data!$B:$B,"="&amp;xyz!AC$2)</f>
        <v>3</v>
      </c>
      <c r="AD20">
        <f>SUMIFS(data!$C:$C,data!$A:$A,"="&amp;xyz!$A20,data!$B:$B,"="&amp;xyz!AD$2)</f>
        <v>2</v>
      </c>
      <c r="AE20">
        <f>SUMIFS(data!$C:$C,data!$A:$A,"="&amp;xyz!$A20,data!$B:$B,"="&amp;xyz!AE$2)</f>
        <v>3</v>
      </c>
      <c r="AF20">
        <f>SUMIFS(data!$C:$C,data!$A:$A,"="&amp;xyz!$A20,data!$B:$B,"="&amp;xyz!AF$2)</f>
        <v>0</v>
      </c>
      <c r="AG20">
        <f>SUMIFS(data!$C:$C,data!$A:$A,"="&amp;xyz!$A20,data!$B:$B,"="&amp;xyz!AG$2)</f>
        <v>2</v>
      </c>
      <c r="AH20">
        <f>SUMIFS(data!$C:$C,data!$A:$A,"="&amp;xyz!$A20,data!$B:$B,"="&amp;xyz!AH$2)</f>
        <v>1</v>
      </c>
      <c r="AI20">
        <f>SUMIFS(data!$C:$C,data!$A:$A,"="&amp;xyz!$A20,data!$B:$B,"="&amp;xyz!AI$2)</f>
        <v>1</v>
      </c>
      <c r="AJ20">
        <f>SUMIFS(data!$C:$C,data!$A:$A,"="&amp;xyz!$A20,data!$B:$B,"="&amp;xyz!AJ$2)</f>
        <v>3</v>
      </c>
      <c r="AK20">
        <f>SUMIFS(data!$C:$C,data!$A:$A,"="&amp;xyz!$A20,data!$B:$B,"="&amp;xyz!AK$2)</f>
        <v>2</v>
      </c>
      <c r="AL20">
        <f>SUMIFS(data!$C:$C,data!$A:$A,"="&amp;xyz!$A20,data!$B:$B,"="&amp;xyz!AL$2)</f>
        <v>2</v>
      </c>
      <c r="AM20">
        <f>SUMIFS(data!$C:$C,data!$A:$A,"="&amp;xyz!$A20,data!$B:$B,"="&amp;xyz!AM$2)</f>
        <v>2</v>
      </c>
      <c r="AN20">
        <f>SUMIFS(data!$C:$C,data!$A:$A,"="&amp;xyz!$A20,data!$B:$B,"="&amp;xyz!AN$2)</f>
        <v>2</v>
      </c>
      <c r="AO20">
        <f>SUMIFS(data!$C:$C,data!$A:$A,"="&amp;xyz!$A20,data!$B:$B,"="&amp;xyz!AO$2)</f>
        <v>2</v>
      </c>
      <c r="AP20">
        <f>SUMIFS(data!$C:$C,data!$A:$A,"="&amp;xyz!$A20,data!$B:$B,"="&amp;xyz!AP$2)</f>
        <v>1</v>
      </c>
      <c r="AQ20" s="6">
        <f t="shared" si="2"/>
        <v>0.81243290409852809</v>
      </c>
    </row>
    <row r="21" spans="1:43" x14ac:dyDescent="0.3">
      <c r="A21" t="s">
        <v>160</v>
      </c>
      <c r="B21" s="6">
        <f t="shared" si="1"/>
        <v>1.1785714285714286</v>
      </c>
      <c r="C21">
        <f>SUMIFS(data!$C:$C,data!$A:$A,"="&amp;xyz!$A21,data!$B:$B,"="&amp;xyz!C$2)</f>
        <v>0</v>
      </c>
      <c r="D21">
        <f>SUMIFS(data!$C:$C,data!$A:$A,"="&amp;xyz!$A21,data!$B:$B,"="&amp;xyz!D$2)</f>
        <v>0</v>
      </c>
      <c r="E21">
        <f>SUMIFS(data!$C:$C,data!$A:$A,"="&amp;xyz!$A21,data!$B:$B,"="&amp;xyz!E$2)</f>
        <v>0</v>
      </c>
      <c r="F21">
        <f>SUMIFS(data!$C:$C,data!$A:$A,"="&amp;xyz!$A21,data!$B:$B,"="&amp;xyz!F$2)</f>
        <v>1</v>
      </c>
      <c r="G21">
        <f>SUMIFS(data!$C:$C,data!$A:$A,"="&amp;xyz!$A21,data!$B:$B,"="&amp;xyz!G$2)</f>
        <v>3</v>
      </c>
      <c r="H21">
        <f>SUMIFS(data!$C:$C,data!$A:$A,"="&amp;xyz!$A21,data!$B:$B,"="&amp;xyz!H$2)</f>
        <v>15</v>
      </c>
      <c r="I21">
        <f>SUMIFS(data!$C:$C,data!$A:$A,"="&amp;xyz!$A21,data!$B:$B,"="&amp;xyz!I$2)</f>
        <v>15</v>
      </c>
      <c r="J21">
        <f>SUMIFS(data!$C:$C,data!$A:$A,"="&amp;xyz!$A21,data!$B:$B,"="&amp;xyz!J$2)</f>
        <v>7</v>
      </c>
      <c r="K21">
        <f>SUMIFS(data!$C:$C,data!$A:$A,"="&amp;xyz!$A21,data!$B:$B,"="&amp;xyz!K$2)</f>
        <v>0</v>
      </c>
      <c r="L21">
        <f>SUMIFS(data!$C:$C,data!$A:$A,"="&amp;xyz!$A21,data!$B:$B,"="&amp;xyz!L$2)</f>
        <v>14</v>
      </c>
      <c r="M21">
        <f>SUMIFS(data!$C:$C,data!$A:$A,"="&amp;xyz!$A21,data!$B:$B,"="&amp;xyz!M$2)</f>
        <v>8</v>
      </c>
      <c r="N21">
        <f>SUMIFS(data!$C:$C,data!$A:$A,"="&amp;xyz!$A21,data!$B:$B,"="&amp;xyz!N$2)</f>
        <v>4</v>
      </c>
      <c r="O21">
        <f>SUMIFS(data!$C:$C,data!$A:$A,"="&amp;xyz!$A21,data!$B:$B,"="&amp;xyz!O$2)</f>
        <v>8</v>
      </c>
      <c r="P21">
        <f>SUMIFS(data!$C:$C,data!$A:$A,"="&amp;xyz!$A21,data!$B:$B,"="&amp;xyz!P$2)</f>
        <v>7</v>
      </c>
      <c r="Q21">
        <f>SUMIFS(data!$C:$C,data!$A:$A,"="&amp;xyz!$A21,data!$B:$B,"="&amp;xyz!Q$2)</f>
        <v>9</v>
      </c>
      <c r="R21">
        <f>SUMIFS(data!$C:$C,data!$A:$A,"="&amp;xyz!$A21,data!$B:$B,"="&amp;xyz!R$2)</f>
        <v>9</v>
      </c>
      <c r="S21">
        <f>SUMIFS(data!$C:$C,data!$A:$A,"="&amp;xyz!$A21,data!$B:$B,"="&amp;xyz!S$2)</f>
        <v>8</v>
      </c>
      <c r="T21">
        <f>SUMIFS(data!$C:$C,data!$A:$A,"="&amp;xyz!$A21,data!$B:$B,"="&amp;xyz!T$2)</f>
        <v>8</v>
      </c>
      <c r="U21">
        <f>SUMIFS(data!$C:$C,data!$A:$A,"="&amp;xyz!$A21,data!$B:$B,"="&amp;xyz!U$2)</f>
        <v>12</v>
      </c>
      <c r="V21">
        <f>SUMIFS(data!$C:$C,data!$A:$A,"="&amp;xyz!$A21,data!$B:$B,"="&amp;xyz!V$2)</f>
        <v>1</v>
      </c>
      <c r="W21">
        <f>SUMIFS(data!$C:$C,data!$A:$A,"="&amp;xyz!$A21,data!$B:$B,"="&amp;xyz!W$2)</f>
        <v>4</v>
      </c>
      <c r="X21">
        <f>SUMIFS(data!$C:$C,data!$A:$A,"="&amp;xyz!$A21,data!$B:$B,"="&amp;xyz!X$2)</f>
        <v>7</v>
      </c>
      <c r="Y21">
        <f>SUMIFS(data!$C:$C,data!$A:$A,"="&amp;xyz!$A21,data!$B:$B,"="&amp;xyz!Y$2)</f>
        <v>0</v>
      </c>
      <c r="Z21">
        <f>SUMIFS(data!$C:$C,data!$A:$A,"="&amp;xyz!$A21,data!$B:$B,"="&amp;xyz!Z$2)</f>
        <v>0</v>
      </c>
      <c r="AA21">
        <f>SUMIFS(data!$C:$C,data!$A:$A,"="&amp;xyz!$A21,data!$B:$B,"="&amp;xyz!AA$2)</f>
        <v>0</v>
      </c>
      <c r="AB21">
        <f>SUMIFS(data!$C:$C,data!$A:$A,"="&amp;xyz!$A21,data!$B:$B,"="&amp;xyz!AB$2)</f>
        <v>0</v>
      </c>
      <c r="AC21">
        <f>SUMIFS(data!$C:$C,data!$A:$A,"="&amp;xyz!$A21,data!$B:$B,"="&amp;xyz!AC$2)</f>
        <v>0</v>
      </c>
      <c r="AD21">
        <f>SUMIFS(data!$C:$C,data!$A:$A,"="&amp;xyz!$A21,data!$B:$B,"="&amp;xyz!AD$2)</f>
        <v>0</v>
      </c>
      <c r="AE21">
        <f>SUMIFS(data!$C:$C,data!$A:$A,"="&amp;xyz!$A21,data!$B:$B,"="&amp;xyz!AE$2)</f>
        <v>0</v>
      </c>
      <c r="AF21">
        <f>SUMIFS(data!$C:$C,data!$A:$A,"="&amp;xyz!$A21,data!$B:$B,"="&amp;xyz!AF$2)</f>
        <v>0</v>
      </c>
      <c r="AG21">
        <f>SUMIFS(data!$C:$C,data!$A:$A,"="&amp;xyz!$A21,data!$B:$B,"="&amp;xyz!AG$2)</f>
        <v>0</v>
      </c>
      <c r="AH21">
        <f>SUMIFS(data!$C:$C,data!$A:$A,"="&amp;xyz!$A21,data!$B:$B,"="&amp;xyz!AH$2)</f>
        <v>0</v>
      </c>
      <c r="AI21">
        <f>SUMIFS(data!$C:$C,data!$A:$A,"="&amp;xyz!$A21,data!$B:$B,"="&amp;xyz!AI$2)</f>
        <v>0</v>
      </c>
      <c r="AJ21">
        <f>SUMIFS(data!$C:$C,data!$A:$A,"="&amp;xyz!$A21,data!$B:$B,"="&amp;xyz!AJ$2)</f>
        <v>0</v>
      </c>
      <c r="AK21">
        <f>SUMIFS(data!$C:$C,data!$A:$A,"="&amp;xyz!$A21,data!$B:$B,"="&amp;xyz!AK$2)</f>
        <v>0</v>
      </c>
      <c r="AL21">
        <f>SUMIFS(data!$C:$C,data!$A:$A,"="&amp;xyz!$A21,data!$B:$B,"="&amp;xyz!AL$2)</f>
        <v>0</v>
      </c>
      <c r="AM21">
        <f>SUMIFS(data!$C:$C,data!$A:$A,"="&amp;xyz!$A21,data!$B:$B,"="&amp;xyz!AM$2)</f>
        <v>0</v>
      </c>
      <c r="AN21">
        <f>SUMIFS(data!$C:$C,data!$A:$A,"="&amp;xyz!$A21,data!$B:$B,"="&amp;xyz!AN$2)</f>
        <v>0</v>
      </c>
      <c r="AO21">
        <f>SUMIFS(data!$C:$C,data!$A:$A,"="&amp;xyz!$A21,data!$B:$B,"="&amp;xyz!AO$2)</f>
        <v>0</v>
      </c>
      <c r="AP21">
        <f>SUMIFS(data!$C:$C,data!$A:$A,"="&amp;xyz!$A21,data!$B:$B,"="&amp;xyz!AP$2)</f>
        <v>0</v>
      </c>
      <c r="AQ21" s="6">
        <f t="shared" si="2"/>
        <v>1.3786136568529013</v>
      </c>
    </row>
    <row r="22" spans="1:43" x14ac:dyDescent="0.3">
      <c r="A22" t="s">
        <v>55</v>
      </c>
      <c r="B22" s="6">
        <f t="shared" si="1"/>
        <v>0.6921568627450978</v>
      </c>
      <c r="C22">
        <f>SUMIFS(data!$C:$C,data!$A:$A,"="&amp;xyz!$A22,data!$B:$B,"="&amp;xyz!C$2)</f>
        <v>0</v>
      </c>
      <c r="D22">
        <f>SUMIFS(data!$C:$C,data!$A:$A,"="&amp;xyz!$A22,data!$B:$B,"="&amp;xyz!D$2)</f>
        <v>0</v>
      </c>
      <c r="E22">
        <f>SUMIFS(data!$C:$C,data!$A:$A,"="&amp;xyz!$A22,data!$B:$B,"="&amp;xyz!E$2)</f>
        <v>2</v>
      </c>
      <c r="F22">
        <f>SUMIFS(data!$C:$C,data!$A:$A,"="&amp;xyz!$A22,data!$B:$B,"="&amp;xyz!F$2)</f>
        <v>0</v>
      </c>
      <c r="G22">
        <f>SUMIFS(data!$C:$C,data!$A:$A,"="&amp;xyz!$A22,data!$B:$B,"="&amp;xyz!G$2)</f>
        <v>2</v>
      </c>
      <c r="H22">
        <f>SUMIFS(data!$C:$C,data!$A:$A,"="&amp;xyz!$A22,data!$B:$B,"="&amp;xyz!H$2)</f>
        <v>8</v>
      </c>
      <c r="I22">
        <f>SUMIFS(data!$C:$C,data!$A:$A,"="&amp;xyz!$A22,data!$B:$B,"="&amp;xyz!I$2)</f>
        <v>3</v>
      </c>
      <c r="J22">
        <f>SUMIFS(data!$C:$C,data!$A:$A,"="&amp;xyz!$A22,data!$B:$B,"="&amp;xyz!J$2)</f>
        <v>4</v>
      </c>
      <c r="K22">
        <f>SUMIFS(data!$C:$C,data!$A:$A,"="&amp;xyz!$A22,data!$B:$B,"="&amp;xyz!K$2)</f>
        <v>0</v>
      </c>
      <c r="L22">
        <f>SUMIFS(data!$C:$C,data!$A:$A,"="&amp;xyz!$A22,data!$B:$B,"="&amp;xyz!L$2)</f>
        <v>1</v>
      </c>
      <c r="M22">
        <f>SUMIFS(data!$C:$C,data!$A:$A,"="&amp;xyz!$A22,data!$B:$B,"="&amp;xyz!M$2)</f>
        <v>2</v>
      </c>
      <c r="N22">
        <f>SUMIFS(data!$C:$C,data!$A:$A,"="&amp;xyz!$A22,data!$B:$B,"="&amp;xyz!N$2)</f>
        <v>5</v>
      </c>
      <c r="O22">
        <f>SUMIFS(data!$C:$C,data!$A:$A,"="&amp;xyz!$A22,data!$B:$B,"="&amp;xyz!O$2)</f>
        <v>7</v>
      </c>
      <c r="P22">
        <f>SUMIFS(data!$C:$C,data!$A:$A,"="&amp;xyz!$A22,data!$B:$B,"="&amp;xyz!P$2)</f>
        <v>3</v>
      </c>
      <c r="Q22">
        <f>SUMIFS(data!$C:$C,data!$A:$A,"="&amp;xyz!$A22,data!$B:$B,"="&amp;xyz!Q$2)</f>
        <v>3</v>
      </c>
      <c r="R22">
        <f>SUMIFS(data!$C:$C,data!$A:$A,"="&amp;xyz!$A22,data!$B:$B,"="&amp;xyz!R$2)</f>
        <v>1</v>
      </c>
      <c r="S22">
        <f>SUMIFS(data!$C:$C,data!$A:$A,"="&amp;xyz!$A22,data!$B:$B,"="&amp;xyz!S$2)</f>
        <v>1</v>
      </c>
      <c r="T22">
        <f>SUMIFS(data!$C:$C,data!$A:$A,"="&amp;xyz!$A22,data!$B:$B,"="&amp;xyz!T$2)</f>
        <v>2</v>
      </c>
      <c r="U22">
        <f>SUMIFS(data!$C:$C,data!$A:$A,"="&amp;xyz!$A22,data!$B:$B,"="&amp;xyz!U$2)</f>
        <v>1</v>
      </c>
      <c r="V22">
        <f>SUMIFS(data!$C:$C,data!$A:$A,"="&amp;xyz!$A22,data!$B:$B,"="&amp;xyz!V$2)</f>
        <v>2</v>
      </c>
      <c r="W22">
        <f>SUMIFS(data!$C:$C,data!$A:$A,"="&amp;xyz!$A22,data!$B:$B,"="&amp;xyz!W$2)</f>
        <v>3</v>
      </c>
      <c r="X22">
        <f>SUMIFS(data!$C:$C,data!$A:$A,"="&amp;xyz!$A22,data!$B:$B,"="&amp;xyz!X$2)</f>
        <v>0</v>
      </c>
      <c r="Y22">
        <f>SUMIFS(data!$C:$C,data!$A:$A,"="&amp;xyz!$A22,data!$B:$B,"="&amp;xyz!Y$2)</f>
        <v>2</v>
      </c>
      <c r="Z22">
        <f>SUMIFS(data!$C:$C,data!$A:$A,"="&amp;xyz!$A22,data!$B:$B,"="&amp;xyz!Z$2)</f>
        <v>1</v>
      </c>
      <c r="AA22">
        <f>SUMIFS(data!$C:$C,data!$A:$A,"="&amp;xyz!$A22,data!$B:$B,"="&amp;xyz!AA$2)</f>
        <v>2</v>
      </c>
      <c r="AB22">
        <f>SUMIFS(data!$C:$C,data!$A:$A,"="&amp;xyz!$A22,data!$B:$B,"="&amp;xyz!AB$2)</f>
        <v>1</v>
      </c>
      <c r="AC22">
        <f>SUMIFS(data!$C:$C,data!$A:$A,"="&amp;xyz!$A22,data!$B:$B,"="&amp;xyz!AC$2)</f>
        <v>3</v>
      </c>
      <c r="AD22">
        <f>SUMIFS(data!$C:$C,data!$A:$A,"="&amp;xyz!$A22,data!$B:$B,"="&amp;xyz!AD$2)</f>
        <v>2</v>
      </c>
      <c r="AE22">
        <f>SUMIFS(data!$C:$C,data!$A:$A,"="&amp;xyz!$A22,data!$B:$B,"="&amp;xyz!AE$2)</f>
        <v>2</v>
      </c>
      <c r="AF22">
        <f>SUMIFS(data!$C:$C,data!$A:$A,"="&amp;xyz!$A22,data!$B:$B,"="&amp;xyz!AF$2)</f>
        <v>2</v>
      </c>
      <c r="AG22">
        <f>SUMIFS(data!$C:$C,data!$A:$A,"="&amp;xyz!$A22,data!$B:$B,"="&amp;xyz!AG$2)</f>
        <v>4</v>
      </c>
      <c r="AH22">
        <f>SUMIFS(data!$C:$C,data!$A:$A,"="&amp;xyz!$A22,data!$B:$B,"="&amp;xyz!AH$2)</f>
        <v>0</v>
      </c>
      <c r="AI22">
        <f>SUMIFS(data!$C:$C,data!$A:$A,"="&amp;xyz!$A22,data!$B:$B,"="&amp;xyz!AI$2)</f>
        <v>8</v>
      </c>
      <c r="AJ22">
        <f>SUMIFS(data!$C:$C,data!$A:$A,"="&amp;xyz!$A22,data!$B:$B,"="&amp;xyz!AJ$2)</f>
        <v>1</v>
      </c>
      <c r="AK22">
        <f>SUMIFS(data!$C:$C,data!$A:$A,"="&amp;xyz!$A22,data!$B:$B,"="&amp;xyz!AK$2)</f>
        <v>1</v>
      </c>
      <c r="AL22">
        <f>SUMIFS(data!$C:$C,data!$A:$A,"="&amp;xyz!$A22,data!$B:$B,"="&amp;xyz!AL$2)</f>
        <v>1</v>
      </c>
      <c r="AM22">
        <f>SUMIFS(data!$C:$C,data!$A:$A,"="&amp;xyz!$A22,data!$B:$B,"="&amp;xyz!AM$2)</f>
        <v>9</v>
      </c>
      <c r="AN22">
        <f>SUMIFS(data!$C:$C,data!$A:$A,"="&amp;xyz!$A22,data!$B:$B,"="&amp;xyz!AN$2)</f>
        <v>6</v>
      </c>
      <c r="AO22">
        <f>SUMIFS(data!$C:$C,data!$A:$A,"="&amp;xyz!$A22,data!$B:$B,"="&amp;xyz!AO$2)</f>
        <v>2</v>
      </c>
      <c r="AP22">
        <f>SUMIFS(data!$C:$C,data!$A:$A,"="&amp;xyz!$A22,data!$B:$B,"="&amp;xyz!AP$2)</f>
        <v>5</v>
      </c>
      <c r="AQ22" s="6">
        <f t="shared" si="2"/>
        <v>0.91840218508362648</v>
      </c>
    </row>
    <row r="23" spans="1:43" x14ac:dyDescent="0.3">
      <c r="A23" t="s">
        <v>7</v>
      </c>
      <c r="B23" s="6">
        <f t="shared" si="1"/>
        <v>0.62627118644067781</v>
      </c>
      <c r="C23">
        <f>SUMIFS(data!$C:$C,data!$A:$A,"="&amp;xyz!$A23,data!$B:$B,"="&amp;xyz!C$2)</f>
        <v>5</v>
      </c>
      <c r="D23">
        <f>SUMIFS(data!$C:$C,data!$A:$A,"="&amp;xyz!$A23,data!$B:$B,"="&amp;xyz!D$2)</f>
        <v>12</v>
      </c>
      <c r="E23">
        <f>SUMIFS(data!$C:$C,data!$A:$A,"="&amp;xyz!$A23,data!$B:$B,"="&amp;xyz!E$2)</f>
        <v>0</v>
      </c>
      <c r="F23">
        <f>SUMIFS(data!$C:$C,data!$A:$A,"="&amp;xyz!$A23,data!$B:$B,"="&amp;xyz!F$2)</f>
        <v>1</v>
      </c>
      <c r="G23">
        <f>SUMIFS(data!$C:$C,data!$A:$A,"="&amp;xyz!$A23,data!$B:$B,"="&amp;xyz!G$2)</f>
        <v>3</v>
      </c>
      <c r="H23">
        <f>SUMIFS(data!$C:$C,data!$A:$A,"="&amp;xyz!$A23,data!$B:$B,"="&amp;xyz!H$2)</f>
        <v>1</v>
      </c>
      <c r="I23">
        <f>SUMIFS(data!$C:$C,data!$A:$A,"="&amp;xyz!$A23,data!$B:$B,"="&amp;xyz!I$2)</f>
        <v>11</v>
      </c>
      <c r="J23">
        <f>SUMIFS(data!$C:$C,data!$A:$A,"="&amp;xyz!$A23,data!$B:$B,"="&amp;xyz!J$2)</f>
        <v>9</v>
      </c>
      <c r="K23">
        <f>SUMIFS(data!$C:$C,data!$A:$A,"="&amp;xyz!$A23,data!$B:$B,"="&amp;xyz!K$2)</f>
        <v>0</v>
      </c>
      <c r="L23">
        <f>SUMIFS(data!$C:$C,data!$A:$A,"="&amp;xyz!$A23,data!$B:$B,"="&amp;xyz!L$2)</f>
        <v>2</v>
      </c>
      <c r="M23">
        <f>SUMIFS(data!$C:$C,data!$A:$A,"="&amp;xyz!$A23,data!$B:$B,"="&amp;xyz!M$2)</f>
        <v>7</v>
      </c>
      <c r="N23">
        <f>SUMIFS(data!$C:$C,data!$A:$A,"="&amp;xyz!$A23,data!$B:$B,"="&amp;xyz!N$2)</f>
        <v>8</v>
      </c>
      <c r="O23">
        <f>SUMIFS(data!$C:$C,data!$A:$A,"="&amp;xyz!$A23,data!$B:$B,"="&amp;xyz!O$2)</f>
        <v>0</v>
      </c>
      <c r="P23">
        <f>SUMIFS(data!$C:$C,data!$A:$A,"="&amp;xyz!$A23,data!$B:$B,"="&amp;xyz!P$2)</f>
        <v>2</v>
      </c>
      <c r="Q23">
        <f>SUMIFS(data!$C:$C,data!$A:$A,"="&amp;xyz!$A23,data!$B:$B,"="&amp;xyz!Q$2)</f>
        <v>3</v>
      </c>
      <c r="R23">
        <f>SUMIFS(data!$C:$C,data!$A:$A,"="&amp;xyz!$A23,data!$B:$B,"="&amp;xyz!R$2)</f>
        <v>1</v>
      </c>
      <c r="S23">
        <f>SUMIFS(data!$C:$C,data!$A:$A,"="&amp;xyz!$A23,data!$B:$B,"="&amp;xyz!S$2)</f>
        <v>1</v>
      </c>
      <c r="T23">
        <f>SUMIFS(data!$C:$C,data!$A:$A,"="&amp;xyz!$A23,data!$B:$B,"="&amp;xyz!T$2)</f>
        <v>5</v>
      </c>
      <c r="U23">
        <f>SUMIFS(data!$C:$C,data!$A:$A,"="&amp;xyz!$A23,data!$B:$B,"="&amp;xyz!U$2)</f>
        <v>6</v>
      </c>
      <c r="V23">
        <f>SUMIFS(data!$C:$C,data!$A:$A,"="&amp;xyz!$A23,data!$B:$B,"="&amp;xyz!V$2)</f>
        <v>12</v>
      </c>
      <c r="W23">
        <f>SUMIFS(data!$C:$C,data!$A:$A,"="&amp;xyz!$A23,data!$B:$B,"="&amp;xyz!W$2)</f>
        <v>10</v>
      </c>
      <c r="X23">
        <f>SUMIFS(data!$C:$C,data!$A:$A,"="&amp;xyz!$A23,data!$B:$B,"="&amp;xyz!X$2)</f>
        <v>13</v>
      </c>
      <c r="Y23">
        <f>SUMIFS(data!$C:$C,data!$A:$A,"="&amp;xyz!$A23,data!$B:$B,"="&amp;xyz!Y$2)</f>
        <v>10</v>
      </c>
      <c r="Z23">
        <f>SUMIFS(data!$C:$C,data!$A:$A,"="&amp;xyz!$A23,data!$B:$B,"="&amp;xyz!Z$2)</f>
        <v>18</v>
      </c>
      <c r="AA23">
        <f>SUMIFS(data!$C:$C,data!$A:$A,"="&amp;xyz!$A23,data!$B:$B,"="&amp;xyz!AA$2)</f>
        <v>13</v>
      </c>
      <c r="AB23">
        <f>SUMIFS(data!$C:$C,data!$A:$A,"="&amp;xyz!$A23,data!$B:$B,"="&amp;xyz!AB$2)</f>
        <v>6</v>
      </c>
      <c r="AC23">
        <f>SUMIFS(data!$C:$C,data!$A:$A,"="&amp;xyz!$A23,data!$B:$B,"="&amp;xyz!AC$2)</f>
        <v>7</v>
      </c>
      <c r="AD23">
        <f>SUMIFS(data!$C:$C,data!$A:$A,"="&amp;xyz!$A23,data!$B:$B,"="&amp;xyz!AD$2)</f>
        <v>8</v>
      </c>
      <c r="AE23">
        <f>SUMIFS(data!$C:$C,data!$A:$A,"="&amp;xyz!$A23,data!$B:$B,"="&amp;xyz!AE$2)</f>
        <v>10</v>
      </c>
      <c r="AF23">
        <f>SUMIFS(data!$C:$C,data!$A:$A,"="&amp;xyz!$A23,data!$B:$B,"="&amp;xyz!AF$2)</f>
        <v>8</v>
      </c>
      <c r="AG23">
        <f>SUMIFS(data!$C:$C,data!$A:$A,"="&amp;xyz!$A23,data!$B:$B,"="&amp;xyz!AG$2)</f>
        <v>10</v>
      </c>
      <c r="AH23">
        <f>SUMIFS(data!$C:$C,data!$A:$A,"="&amp;xyz!$A23,data!$B:$B,"="&amp;xyz!AH$2)</f>
        <v>5</v>
      </c>
      <c r="AI23">
        <f>SUMIFS(data!$C:$C,data!$A:$A,"="&amp;xyz!$A23,data!$B:$B,"="&amp;xyz!AI$2)</f>
        <v>3</v>
      </c>
      <c r="AJ23">
        <f>SUMIFS(data!$C:$C,data!$A:$A,"="&amp;xyz!$A23,data!$B:$B,"="&amp;xyz!AJ$2)</f>
        <v>3</v>
      </c>
      <c r="AK23">
        <f>SUMIFS(data!$C:$C,data!$A:$A,"="&amp;xyz!$A23,data!$B:$B,"="&amp;xyz!AK$2)</f>
        <v>2</v>
      </c>
      <c r="AL23">
        <f>SUMIFS(data!$C:$C,data!$A:$A,"="&amp;xyz!$A23,data!$B:$B,"="&amp;xyz!AL$2)</f>
        <v>3</v>
      </c>
      <c r="AM23">
        <f>SUMIFS(data!$C:$C,data!$A:$A,"="&amp;xyz!$A23,data!$B:$B,"="&amp;xyz!AM$2)</f>
        <v>3</v>
      </c>
      <c r="AN23">
        <f>SUMIFS(data!$C:$C,data!$A:$A,"="&amp;xyz!$A23,data!$B:$B,"="&amp;xyz!AN$2)</f>
        <v>5</v>
      </c>
      <c r="AO23">
        <f>SUMIFS(data!$C:$C,data!$A:$A,"="&amp;xyz!$A23,data!$B:$B,"="&amp;xyz!AO$2)</f>
        <v>2</v>
      </c>
      <c r="AP23">
        <f>SUMIFS(data!$C:$C,data!$A:$A,"="&amp;xyz!$A23,data!$B:$B,"="&amp;xyz!AP$2)</f>
        <v>8</v>
      </c>
      <c r="AQ23" s="6">
        <f t="shared" si="2"/>
        <v>0.7480113072276332</v>
      </c>
    </row>
    <row r="24" spans="1:43" x14ac:dyDescent="0.3">
      <c r="A24" t="s">
        <v>98</v>
      </c>
      <c r="B24" s="6">
        <f t="shared" si="1"/>
        <v>0.66016949152542359</v>
      </c>
      <c r="C24">
        <f>SUMIFS(data!$C:$C,data!$A:$A,"="&amp;xyz!$A24,data!$B:$B,"="&amp;xyz!C$2)</f>
        <v>0</v>
      </c>
      <c r="D24">
        <f>SUMIFS(data!$C:$C,data!$A:$A,"="&amp;xyz!$A24,data!$B:$B,"="&amp;xyz!D$2)</f>
        <v>1</v>
      </c>
      <c r="E24">
        <f>SUMIFS(data!$C:$C,data!$A:$A,"="&amp;xyz!$A24,data!$B:$B,"="&amp;xyz!E$2)</f>
        <v>2</v>
      </c>
      <c r="F24">
        <f>SUMIFS(data!$C:$C,data!$A:$A,"="&amp;xyz!$A24,data!$B:$B,"="&amp;xyz!F$2)</f>
        <v>4</v>
      </c>
      <c r="G24">
        <f>SUMIFS(data!$C:$C,data!$A:$A,"="&amp;xyz!$A24,data!$B:$B,"="&amp;xyz!G$2)</f>
        <v>0</v>
      </c>
      <c r="H24">
        <f>SUMIFS(data!$C:$C,data!$A:$A,"="&amp;xyz!$A24,data!$B:$B,"="&amp;xyz!H$2)</f>
        <v>6</v>
      </c>
      <c r="I24">
        <f>SUMIFS(data!$C:$C,data!$A:$A,"="&amp;xyz!$A24,data!$B:$B,"="&amp;xyz!I$2)</f>
        <v>9</v>
      </c>
      <c r="J24">
        <f>SUMIFS(data!$C:$C,data!$A:$A,"="&amp;xyz!$A24,data!$B:$B,"="&amp;xyz!J$2)</f>
        <v>2</v>
      </c>
      <c r="K24">
        <f>SUMIFS(data!$C:$C,data!$A:$A,"="&amp;xyz!$A24,data!$B:$B,"="&amp;xyz!K$2)</f>
        <v>0</v>
      </c>
      <c r="L24">
        <f>SUMIFS(data!$C:$C,data!$A:$A,"="&amp;xyz!$A24,data!$B:$B,"="&amp;xyz!L$2)</f>
        <v>1</v>
      </c>
      <c r="M24">
        <f>SUMIFS(data!$C:$C,data!$A:$A,"="&amp;xyz!$A24,data!$B:$B,"="&amp;xyz!M$2)</f>
        <v>0</v>
      </c>
      <c r="N24">
        <f>SUMIFS(data!$C:$C,data!$A:$A,"="&amp;xyz!$A24,data!$B:$B,"="&amp;xyz!N$2)</f>
        <v>6</v>
      </c>
      <c r="O24">
        <f>SUMIFS(data!$C:$C,data!$A:$A,"="&amp;xyz!$A24,data!$B:$B,"="&amp;xyz!O$2)</f>
        <v>2</v>
      </c>
      <c r="P24">
        <f>SUMIFS(data!$C:$C,data!$A:$A,"="&amp;xyz!$A24,data!$B:$B,"="&amp;xyz!P$2)</f>
        <v>4</v>
      </c>
      <c r="Q24">
        <f>SUMIFS(data!$C:$C,data!$A:$A,"="&amp;xyz!$A24,data!$B:$B,"="&amp;xyz!Q$2)</f>
        <v>1</v>
      </c>
      <c r="R24">
        <f>SUMIFS(data!$C:$C,data!$A:$A,"="&amp;xyz!$A24,data!$B:$B,"="&amp;xyz!R$2)</f>
        <v>2</v>
      </c>
      <c r="S24">
        <f>SUMIFS(data!$C:$C,data!$A:$A,"="&amp;xyz!$A24,data!$B:$B,"="&amp;xyz!S$2)</f>
        <v>1</v>
      </c>
      <c r="T24">
        <f>SUMIFS(data!$C:$C,data!$A:$A,"="&amp;xyz!$A24,data!$B:$B,"="&amp;xyz!T$2)</f>
        <v>5</v>
      </c>
      <c r="U24">
        <f>SUMIFS(data!$C:$C,data!$A:$A,"="&amp;xyz!$A24,data!$B:$B,"="&amp;xyz!U$2)</f>
        <v>0</v>
      </c>
      <c r="V24">
        <f>SUMIFS(data!$C:$C,data!$A:$A,"="&amp;xyz!$A24,data!$B:$B,"="&amp;xyz!V$2)</f>
        <v>3</v>
      </c>
      <c r="W24">
        <f>SUMIFS(data!$C:$C,data!$A:$A,"="&amp;xyz!$A24,data!$B:$B,"="&amp;xyz!W$2)</f>
        <v>1</v>
      </c>
      <c r="X24">
        <f>SUMIFS(data!$C:$C,data!$A:$A,"="&amp;xyz!$A24,data!$B:$B,"="&amp;xyz!X$2)</f>
        <v>2</v>
      </c>
      <c r="Y24">
        <f>SUMIFS(data!$C:$C,data!$A:$A,"="&amp;xyz!$A24,data!$B:$B,"="&amp;xyz!Y$2)</f>
        <v>3</v>
      </c>
      <c r="Z24">
        <f>SUMIFS(data!$C:$C,data!$A:$A,"="&amp;xyz!$A24,data!$B:$B,"="&amp;xyz!Z$2)</f>
        <v>11</v>
      </c>
      <c r="AA24">
        <f>SUMIFS(data!$C:$C,data!$A:$A,"="&amp;xyz!$A24,data!$B:$B,"="&amp;xyz!AA$2)</f>
        <v>3</v>
      </c>
      <c r="AB24">
        <f>SUMIFS(data!$C:$C,data!$A:$A,"="&amp;xyz!$A24,data!$B:$B,"="&amp;xyz!AB$2)</f>
        <v>8</v>
      </c>
      <c r="AC24">
        <f>SUMIFS(data!$C:$C,data!$A:$A,"="&amp;xyz!$A24,data!$B:$B,"="&amp;xyz!AC$2)</f>
        <v>4</v>
      </c>
      <c r="AD24">
        <f>SUMIFS(data!$C:$C,data!$A:$A,"="&amp;xyz!$A24,data!$B:$B,"="&amp;xyz!AD$2)</f>
        <v>3</v>
      </c>
      <c r="AE24">
        <f>SUMIFS(data!$C:$C,data!$A:$A,"="&amp;xyz!$A24,data!$B:$B,"="&amp;xyz!AE$2)</f>
        <v>3</v>
      </c>
      <c r="AF24">
        <f>SUMIFS(data!$C:$C,data!$A:$A,"="&amp;xyz!$A24,data!$B:$B,"="&amp;xyz!AF$2)</f>
        <v>2</v>
      </c>
      <c r="AG24">
        <f>SUMIFS(data!$C:$C,data!$A:$A,"="&amp;xyz!$A24,data!$B:$B,"="&amp;xyz!AG$2)</f>
        <v>2</v>
      </c>
      <c r="AH24">
        <f>SUMIFS(data!$C:$C,data!$A:$A,"="&amp;xyz!$A24,data!$B:$B,"="&amp;xyz!AH$2)</f>
        <v>2</v>
      </c>
      <c r="AI24">
        <f>SUMIFS(data!$C:$C,data!$A:$A,"="&amp;xyz!$A24,data!$B:$B,"="&amp;xyz!AI$2)</f>
        <v>1</v>
      </c>
      <c r="AJ24">
        <f>SUMIFS(data!$C:$C,data!$A:$A,"="&amp;xyz!$A24,data!$B:$B,"="&amp;xyz!AJ$2)</f>
        <v>5</v>
      </c>
      <c r="AK24">
        <f>SUMIFS(data!$C:$C,data!$A:$A,"="&amp;xyz!$A24,data!$B:$B,"="&amp;xyz!AK$2)</f>
        <v>7</v>
      </c>
      <c r="AL24">
        <f>SUMIFS(data!$C:$C,data!$A:$A,"="&amp;xyz!$A24,data!$B:$B,"="&amp;xyz!AL$2)</f>
        <v>0</v>
      </c>
      <c r="AM24">
        <f>SUMIFS(data!$C:$C,data!$A:$A,"="&amp;xyz!$A24,data!$B:$B,"="&amp;xyz!AM$2)</f>
        <v>3</v>
      </c>
      <c r="AN24">
        <f>SUMIFS(data!$C:$C,data!$A:$A,"="&amp;xyz!$A24,data!$B:$B,"="&amp;xyz!AN$2)</f>
        <v>5</v>
      </c>
      <c r="AO24">
        <f>SUMIFS(data!$C:$C,data!$A:$A,"="&amp;xyz!$A24,data!$B:$B,"="&amp;xyz!AO$2)</f>
        <v>3</v>
      </c>
      <c r="AP24">
        <f>SUMIFS(data!$C:$C,data!$A:$A,"="&amp;xyz!$A24,data!$B:$B,"="&amp;xyz!AP$2)</f>
        <v>1</v>
      </c>
      <c r="AQ24" s="6">
        <f t="shared" si="2"/>
        <v>0.8817904187627873</v>
      </c>
    </row>
    <row r="25" spans="1:43" x14ac:dyDescent="0.3">
      <c r="A25" t="s">
        <v>52</v>
      </c>
      <c r="B25" s="6">
        <f t="shared" si="1"/>
        <v>0.56666666666666665</v>
      </c>
      <c r="C25">
        <f>SUMIFS(data!$C:$C,data!$A:$A,"="&amp;xyz!$A25,data!$B:$B,"="&amp;xyz!C$2)</f>
        <v>1</v>
      </c>
      <c r="D25">
        <f>SUMIFS(data!$C:$C,data!$A:$A,"="&amp;xyz!$A25,data!$B:$B,"="&amp;xyz!D$2)</f>
        <v>1</v>
      </c>
      <c r="E25">
        <f>SUMIFS(data!$C:$C,data!$A:$A,"="&amp;xyz!$A25,data!$B:$B,"="&amp;xyz!E$2)</f>
        <v>0</v>
      </c>
      <c r="F25">
        <f>SUMIFS(data!$C:$C,data!$A:$A,"="&amp;xyz!$A25,data!$B:$B,"="&amp;xyz!F$2)</f>
        <v>2</v>
      </c>
      <c r="G25">
        <f>SUMIFS(data!$C:$C,data!$A:$A,"="&amp;xyz!$A25,data!$B:$B,"="&amp;xyz!G$2)</f>
        <v>2</v>
      </c>
      <c r="H25">
        <f>SUMIFS(data!$C:$C,data!$A:$A,"="&amp;xyz!$A25,data!$B:$B,"="&amp;xyz!H$2)</f>
        <v>0</v>
      </c>
      <c r="I25">
        <f>SUMIFS(data!$C:$C,data!$A:$A,"="&amp;xyz!$A25,data!$B:$B,"="&amp;xyz!I$2)</f>
        <v>2</v>
      </c>
      <c r="J25">
        <f>SUMIFS(data!$C:$C,data!$A:$A,"="&amp;xyz!$A25,data!$B:$B,"="&amp;xyz!J$2)</f>
        <v>1</v>
      </c>
      <c r="K25">
        <f>SUMIFS(data!$C:$C,data!$A:$A,"="&amp;xyz!$A25,data!$B:$B,"="&amp;xyz!K$2)</f>
        <v>0</v>
      </c>
      <c r="L25">
        <f>SUMIFS(data!$C:$C,data!$A:$A,"="&amp;xyz!$A25,data!$B:$B,"="&amp;xyz!L$2)</f>
        <v>4</v>
      </c>
      <c r="M25">
        <f>SUMIFS(data!$C:$C,data!$A:$A,"="&amp;xyz!$A25,data!$B:$B,"="&amp;xyz!M$2)</f>
        <v>2</v>
      </c>
      <c r="N25">
        <f>SUMIFS(data!$C:$C,data!$A:$A,"="&amp;xyz!$A25,data!$B:$B,"="&amp;xyz!N$2)</f>
        <v>2</v>
      </c>
      <c r="O25">
        <f>SUMIFS(data!$C:$C,data!$A:$A,"="&amp;xyz!$A25,data!$B:$B,"="&amp;xyz!O$2)</f>
        <v>3</v>
      </c>
      <c r="P25">
        <f>SUMIFS(data!$C:$C,data!$A:$A,"="&amp;xyz!$A25,data!$B:$B,"="&amp;xyz!P$2)</f>
        <v>1</v>
      </c>
      <c r="Q25">
        <f>SUMIFS(data!$C:$C,data!$A:$A,"="&amp;xyz!$A25,data!$B:$B,"="&amp;xyz!Q$2)</f>
        <v>4</v>
      </c>
      <c r="R25">
        <f>SUMIFS(data!$C:$C,data!$A:$A,"="&amp;xyz!$A25,data!$B:$B,"="&amp;xyz!R$2)</f>
        <v>1</v>
      </c>
      <c r="S25">
        <f>SUMIFS(data!$C:$C,data!$A:$A,"="&amp;xyz!$A25,data!$B:$B,"="&amp;xyz!S$2)</f>
        <v>2</v>
      </c>
      <c r="T25">
        <f>SUMIFS(data!$C:$C,data!$A:$A,"="&amp;xyz!$A25,data!$B:$B,"="&amp;xyz!T$2)</f>
        <v>4</v>
      </c>
      <c r="U25">
        <f>SUMIFS(data!$C:$C,data!$A:$A,"="&amp;xyz!$A25,data!$B:$B,"="&amp;xyz!U$2)</f>
        <v>2</v>
      </c>
      <c r="V25">
        <f>SUMIFS(data!$C:$C,data!$A:$A,"="&amp;xyz!$A25,data!$B:$B,"="&amp;xyz!V$2)</f>
        <v>1</v>
      </c>
      <c r="W25">
        <f>SUMIFS(data!$C:$C,data!$A:$A,"="&amp;xyz!$A25,data!$B:$B,"="&amp;xyz!W$2)</f>
        <v>1</v>
      </c>
      <c r="X25">
        <f>SUMIFS(data!$C:$C,data!$A:$A,"="&amp;xyz!$A25,data!$B:$B,"="&amp;xyz!X$2)</f>
        <v>4</v>
      </c>
      <c r="Y25">
        <f>SUMIFS(data!$C:$C,data!$A:$A,"="&amp;xyz!$A25,data!$B:$B,"="&amp;xyz!Y$2)</f>
        <v>2</v>
      </c>
      <c r="Z25">
        <f>SUMIFS(data!$C:$C,data!$A:$A,"="&amp;xyz!$A25,data!$B:$B,"="&amp;xyz!Z$2)</f>
        <v>0</v>
      </c>
      <c r="AA25">
        <f>SUMIFS(data!$C:$C,data!$A:$A,"="&amp;xyz!$A25,data!$B:$B,"="&amp;xyz!AA$2)</f>
        <v>3</v>
      </c>
      <c r="AB25">
        <f>SUMIFS(data!$C:$C,data!$A:$A,"="&amp;xyz!$A25,data!$B:$B,"="&amp;xyz!AB$2)</f>
        <v>0</v>
      </c>
      <c r="AC25">
        <f>SUMIFS(data!$C:$C,data!$A:$A,"="&amp;xyz!$A25,data!$B:$B,"="&amp;xyz!AC$2)</f>
        <v>2</v>
      </c>
      <c r="AD25">
        <f>SUMIFS(data!$C:$C,data!$A:$A,"="&amp;xyz!$A25,data!$B:$B,"="&amp;xyz!AD$2)</f>
        <v>2</v>
      </c>
      <c r="AE25">
        <f>SUMIFS(data!$C:$C,data!$A:$A,"="&amp;xyz!$A25,data!$B:$B,"="&amp;xyz!AE$2)</f>
        <v>3</v>
      </c>
      <c r="AF25">
        <f>SUMIFS(data!$C:$C,data!$A:$A,"="&amp;xyz!$A25,data!$B:$B,"="&amp;xyz!AF$2)</f>
        <v>1</v>
      </c>
      <c r="AG25">
        <f>SUMIFS(data!$C:$C,data!$A:$A,"="&amp;xyz!$A25,data!$B:$B,"="&amp;xyz!AG$2)</f>
        <v>1</v>
      </c>
      <c r="AH25">
        <f>SUMIFS(data!$C:$C,data!$A:$A,"="&amp;xyz!$A25,data!$B:$B,"="&amp;xyz!AH$2)</f>
        <v>1</v>
      </c>
      <c r="AI25">
        <f>SUMIFS(data!$C:$C,data!$A:$A,"="&amp;xyz!$A25,data!$B:$B,"="&amp;xyz!AI$2)</f>
        <v>1</v>
      </c>
      <c r="AJ25">
        <f>SUMIFS(data!$C:$C,data!$A:$A,"="&amp;xyz!$A25,data!$B:$B,"="&amp;xyz!AJ$2)</f>
        <v>5</v>
      </c>
      <c r="AK25">
        <f>SUMIFS(data!$C:$C,data!$A:$A,"="&amp;xyz!$A25,data!$B:$B,"="&amp;xyz!AK$2)</f>
        <v>0</v>
      </c>
      <c r="AL25">
        <f>SUMIFS(data!$C:$C,data!$A:$A,"="&amp;xyz!$A25,data!$B:$B,"="&amp;xyz!AL$2)</f>
        <v>4</v>
      </c>
      <c r="AM25">
        <f>SUMIFS(data!$C:$C,data!$A:$A,"="&amp;xyz!$A25,data!$B:$B,"="&amp;xyz!AM$2)</f>
        <v>1</v>
      </c>
      <c r="AN25">
        <f>SUMIFS(data!$C:$C,data!$A:$A,"="&amp;xyz!$A25,data!$B:$B,"="&amp;xyz!AN$2)</f>
        <v>2</v>
      </c>
      <c r="AO25">
        <f>SUMIFS(data!$C:$C,data!$A:$A,"="&amp;xyz!$A25,data!$B:$B,"="&amp;xyz!AO$2)</f>
        <v>2</v>
      </c>
      <c r="AP25">
        <f>SUMIFS(data!$C:$C,data!$A:$A,"="&amp;xyz!$A25,data!$B:$B,"="&amp;xyz!AP$2)</f>
        <v>2</v>
      </c>
      <c r="AQ25" s="6">
        <f t="shared" si="2"/>
        <v>0.72490188833039337</v>
      </c>
    </row>
    <row r="26" spans="1:43" x14ac:dyDescent="0.3">
      <c r="A26" t="s">
        <v>25</v>
      </c>
      <c r="B26" s="6">
        <f t="shared" si="1"/>
        <v>0.38333333333333336</v>
      </c>
      <c r="C26">
        <f>SUMIFS(data!$C:$C,data!$A:$A,"="&amp;xyz!$A26,data!$B:$B,"="&amp;xyz!C$2)</f>
        <v>3</v>
      </c>
      <c r="D26">
        <f>SUMIFS(data!$C:$C,data!$A:$A,"="&amp;xyz!$A26,data!$B:$B,"="&amp;xyz!D$2)</f>
        <v>4</v>
      </c>
      <c r="E26">
        <f>SUMIFS(data!$C:$C,data!$A:$A,"="&amp;xyz!$A26,data!$B:$B,"="&amp;xyz!E$2)</f>
        <v>16</v>
      </c>
      <c r="F26">
        <f>SUMIFS(data!$C:$C,data!$A:$A,"="&amp;xyz!$A26,data!$B:$B,"="&amp;xyz!F$2)</f>
        <v>7</v>
      </c>
      <c r="G26">
        <f>SUMIFS(data!$C:$C,data!$A:$A,"="&amp;xyz!$A26,data!$B:$B,"="&amp;xyz!G$2)</f>
        <v>7</v>
      </c>
      <c r="H26">
        <f>SUMIFS(data!$C:$C,data!$A:$A,"="&amp;xyz!$A26,data!$B:$B,"="&amp;xyz!H$2)</f>
        <v>8</v>
      </c>
      <c r="I26">
        <f>SUMIFS(data!$C:$C,data!$A:$A,"="&amp;xyz!$A26,data!$B:$B,"="&amp;xyz!I$2)</f>
        <v>8</v>
      </c>
      <c r="J26">
        <f>SUMIFS(data!$C:$C,data!$A:$A,"="&amp;xyz!$A26,data!$B:$B,"="&amp;xyz!J$2)</f>
        <v>10</v>
      </c>
      <c r="K26">
        <f>SUMIFS(data!$C:$C,data!$A:$A,"="&amp;xyz!$A26,data!$B:$B,"="&amp;xyz!K$2)</f>
        <v>0</v>
      </c>
      <c r="L26">
        <f>SUMIFS(data!$C:$C,data!$A:$A,"="&amp;xyz!$A26,data!$B:$B,"="&amp;xyz!L$2)</f>
        <v>3</v>
      </c>
      <c r="M26">
        <f>SUMIFS(data!$C:$C,data!$A:$A,"="&amp;xyz!$A26,data!$B:$B,"="&amp;xyz!M$2)</f>
        <v>3</v>
      </c>
      <c r="N26">
        <f>SUMIFS(data!$C:$C,data!$A:$A,"="&amp;xyz!$A26,data!$B:$B,"="&amp;xyz!N$2)</f>
        <v>5</v>
      </c>
      <c r="O26">
        <f>SUMIFS(data!$C:$C,data!$A:$A,"="&amp;xyz!$A26,data!$B:$B,"="&amp;xyz!O$2)</f>
        <v>10</v>
      </c>
      <c r="P26">
        <f>SUMIFS(data!$C:$C,data!$A:$A,"="&amp;xyz!$A26,data!$B:$B,"="&amp;xyz!P$2)</f>
        <v>4</v>
      </c>
      <c r="Q26">
        <f>SUMIFS(data!$C:$C,data!$A:$A,"="&amp;xyz!$A26,data!$B:$B,"="&amp;xyz!Q$2)</f>
        <v>6</v>
      </c>
      <c r="R26">
        <f>SUMIFS(data!$C:$C,data!$A:$A,"="&amp;xyz!$A26,data!$B:$B,"="&amp;xyz!R$2)</f>
        <v>5</v>
      </c>
      <c r="S26">
        <f>SUMIFS(data!$C:$C,data!$A:$A,"="&amp;xyz!$A26,data!$B:$B,"="&amp;xyz!S$2)</f>
        <v>5</v>
      </c>
      <c r="T26">
        <f>SUMIFS(data!$C:$C,data!$A:$A,"="&amp;xyz!$A26,data!$B:$B,"="&amp;xyz!T$2)</f>
        <v>2</v>
      </c>
      <c r="U26">
        <f>SUMIFS(data!$C:$C,data!$A:$A,"="&amp;xyz!$A26,data!$B:$B,"="&amp;xyz!U$2)</f>
        <v>3</v>
      </c>
      <c r="V26">
        <f>SUMIFS(data!$C:$C,data!$A:$A,"="&amp;xyz!$A26,data!$B:$B,"="&amp;xyz!V$2)</f>
        <v>10</v>
      </c>
      <c r="W26">
        <f>SUMIFS(data!$C:$C,data!$A:$A,"="&amp;xyz!$A26,data!$B:$B,"="&amp;xyz!W$2)</f>
        <v>8</v>
      </c>
      <c r="X26">
        <f>SUMIFS(data!$C:$C,data!$A:$A,"="&amp;xyz!$A26,data!$B:$B,"="&amp;xyz!X$2)</f>
        <v>6</v>
      </c>
      <c r="Y26">
        <f>SUMIFS(data!$C:$C,data!$A:$A,"="&amp;xyz!$A26,data!$B:$B,"="&amp;xyz!Y$2)</f>
        <v>5</v>
      </c>
      <c r="Z26">
        <f>SUMIFS(data!$C:$C,data!$A:$A,"="&amp;xyz!$A26,data!$B:$B,"="&amp;xyz!Z$2)</f>
        <v>9</v>
      </c>
      <c r="AA26">
        <f>SUMIFS(data!$C:$C,data!$A:$A,"="&amp;xyz!$A26,data!$B:$B,"="&amp;xyz!AA$2)</f>
        <v>5</v>
      </c>
      <c r="AB26">
        <f>SUMIFS(data!$C:$C,data!$A:$A,"="&amp;xyz!$A26,data!$B:$B,"="&amp;xyz!AB$2)</f>
        <v>3</v>
      </c>
      <c r="AC26">
        <f>SUMIFS(data!$C:$C,data!$A:$A,"="&amp;xyz!$A26,data!$B:$B,"="&amp;xyz!AC$2)</f>
        <v>5</v>
      </c>
      <c r="AD26">
        <f>SUMIFS(data!$C:$C,data!$A:$A,"="&amp;xyz!$A26,data!$B:$B,"="&amp;xyz!AD$2)</f>
        <v>2</v>
      </c>
      <c r="AE26">
        <f>SUMIFS(data!$C:$C,data!$A:$A,"="&amp;xyz!$A26,data!$B:$B,"="&amp;xyz!AE$2)</f>
        <v>6</v>
      </c>
      <c r="AF26">
        <f>SUMIFS(data!$C:$C,data!$A:$A,"="&amp;xyz!$A26,data!$B:$B,"="&amp;xyz!AF$2)</f>
        <v>3</v>
      </c>
      <c r="AG26">
        <f>SUMIFS(data!$C:$C,data!$A:$A,"="&amp;xyz!$A26,data!$B:$B,"="&amp;xyz!AG$2)</f>
        <v>7</v>
      </c>
      <c r="AH26">
        <f>SUMIFS(data!$C:$C,data!$A:$A,"="&amp;xyz!$A26,data!$B:$B,"="&amp;xyz!AH$2)</f>
        <v>7</v>
      </c>
      <c r="AI26">
        <f>SUMIFS(data!$C:$C,data!$A:$A,"="&amp;xyz!$A26,data!$B:$B,"="&amp;xyz!AI$2)</f>
        <v>7</v>
      </c>
      <c r="AJ26">
        <f>SUMIFS(data!$C:$C,data!$A:$A,"="&amp;xyz!$A26,data!$B:$B,"="&amp;xyz!AJ$2)</f>
        <v>2</v>
      </c>
      <c r="AK26">
        <f>SUMIFS(data!$C:$C,data!$A:$A,"="&amp;xyz!$A26,data!$B:$B,"="&amp;xyz!AK$2)</f>
        <v>4</v>
      </c>
      <c r="AL26">
        <f>SUMIFS(data!$C:$C,data!$A:$A,"="&amp;xyz!$A26,data!$B:$B,"="&amp;xyz!AL$2)</f>
        <v>5</v>
      </c>
      <c r="AM26">
        <f>SUMIFS(data!$C:$C,data!$A:$A,"="&amp;xyz!$A26,data!$B:$B,"="&amp;xyz!AM$2)</f>
        <v>6</v>
      </c>
      <c r="AN26">
        <f>SUMIFS(data!$C:$C,data!$A:$A,"="&amp;xyz!$A26,data!$B:$B,"="&amp;xyz!AN$2)</f>
        <v>4</v>
      </c>
      <c r="AO26">
        <f>SUMIFS(data!$C:$C,data!$A:$A,"="&amp;xyz!$A26,data!$B:$B,"="&amp;xyz!AO$2)</f>
        <v>6</v>
      </c>
      <c r="AP26">
        <f>SUMIFS(data!$C:$C,data!$A:$A,"="&amp;xyz!$A26,data!$B:$B,"="&amp;xyz!AP$2)</f>
        <v>6</v>
      </c>
      <c r="AQ26" s="6">
        <f t="shared" si="2"/>
        <v>0.51664292443074822</v>
      </c>
    </row>
    <row r="27" spans="1:43" x14ac:dyDescent="0.3">
      <c r="A27" t="s">
        <v>30</v>
      </c>
      <c r="B27" s="6">
        <f t="shared" si="1"/>
        <v>0.56707317073170727</v>
      </c>
      <c r="C27">
        <f>SUMIFS(data!$C:$C,data!$A:$A,"="&amp;xyz!$A27,data!$B:$B,"="&amp;xyz!C$2)</f>
        <v>1</v>
      </c>
      <c r="D27">
        <f>SUMIFS(data!$C:$C,data!$A:$A,"="&amp;xyz!$A27,data!$B:$B,"="&amp;xyz!D$2)</f>
        <v>2</v>
      </c>
      <c r="E27">
        <f>SUMIFS(data!$C:$C,data!$A:$A,"="&amp;xyz!$A27,data!$B:$B,"="&amp;xyz!E$2)</f>
        <v>1</v>
      </c>
      <c r="F27">
        <f>SUMIFS(data!$C:$C,data!$A:$A,"="&amp;xyz!$A27,data!$B:$B,"="&amp;xyz!F$2)</f>
        <v>3</v>
      </c>
      <c r="G27">
        <f>SUMIFS(data!$C:$C,data!$A:$A,"="&amp;xyz!$A27,data!$B:$B,"="&amp;xyz!G$2)</f>
        <v>5</v>
      </c>
      <c r="H27">
        <f>SUMIFS(data!$C:$C,data!$A:$A,"="&amp;xyz!$A27,data!$B:$B,"="&amp;xyz!H$2)</f>
        <v>5</v>
      </c>
      <c r="I27">
        <f>SUMIFS(data!$C:$C,data!$A:$A,"="&amp;xyz!$A27,data!$B:$B,"="&amp;xyz!I$2)</f>
        <v>1</v>
      </c>
      <c r="J27">
        <f>SUMIFS(data!$C:$C,data!$A:$A,"="&amp;xyz!$A27,data!$B:$B,"="&amp;xyz!J$2)</f>
        <v>0</v>
      </c>
      <c r="K27">
        <f>SUMIFS(data!$C:$C,data!$A:$A,"="&amp;xyz!$A27,data!$B:$B,"="&amp;xyz!K$2)</f>
        <v>0</v>
      </c>
      <c r="L27">
        <f>SUMIFS(data!$C:$C,data!$A:$A,"="&amp;xyz!$A27,data!$B:$B,"="&amp;xyz!L$2)</f>
        <v>0</v>
      </c>
      <c r="M27">
        <f>SUMIFS(data!$C:$C,data!$A:$A,"="&amp;xyz!$A27,data!$B:$B,"="&amp;xyz!M$2)</f>
        <v>1</v>
      </c>
      <c r="N27">
        <f>SUMIFS(data!$C:$C,data!$A:$A,"="&amp;xyz!$A27,data!$B:$B,"="&amp;xyz!N$2)</f>
        <v>3</v>
      </c>
      <c r="O27">
        <f>SUMIFS(data!$C:$C,data!$A:$A,"="&amp;xyz!$A27,data!$B:$B,"="&amp;xyz!O$2)</f>
        <v>3</v>
      </c>
      <c r="P27">
        <f>SUMIFS(data!$C:$C,data!$A:$A,"="&amp;xyz!$A27,data!$B:$B,"="&amp;xyz!P$2)</f>
        <v>0</v>
      </c>
      <c r="Q27">
        <f>SUMIFS(data!$C:$C,data!$A:$A,"="&amp;xyz!$A27,data!$B:$B,"="&amp;xyz!Q$2)</f>
        <v>2</v>
      </c>
      <c r="R27">
        <f>SUMIFS(data!$C:$C,data!$A:$A,"="&amp;xyz!$A27,data!$B:$B,"="&amp;xyz!R$2)</f>
        <v>4</v>
      </c>
      <c r="S27">
        <f>SUMIFS(data!$C:$C,data!$A:$A,"="&amp;xyz!$A27,data!$B:$B,"="&amp;xyz!S$2)</f>
        <v>3</v>
      </c>
      <c r="T27">
        <f>SUMIFS(data!$C:$C,data!$A:$A,"="&amp;xyz!$A27,data!$B:$B,"="&amp;xyz!T$2)</f>
        <v>2</v>
      </c>
      <c r="U27">
        <f>SUMIFS(data!$C:$C,data!$A:$A,"="&amp;xyz!$A27,data!$B:$B,"="&amp;xyz!U$2)</f>
        <v>3</v>
      </c>
      <c r="V27">
        <f>SUMIFS(data!$C:$C,data!$A:$A,"="&amp;xyz!$A27,data!$B:$B,"="&amp;xyz!V$2)</f>
        <v>3</v>
      </c>
      <c r="W27">
        <f>SUMIFS(data!$C:$C,data!$A:$A,"="&amp;xyz!$A27,data!$B:$B,"="&amp;xyz!W$2)</f>
        <v>0</v>
      </c>
      <c r="X27">
        <f>SUMIFS(data!$C:$C,data!$A:$A,"="&amp;xyz!$A27,data!$B:$B,"="&amp;xyz!X$2)</f>
        <v>2</v>
      </c>
      <c r="Y27">
        <f>SUMIFS(data!$C:$C,data!$A:$A,"="&amp;xyz!$A27,data!$B:$B,"="&amp;xyz!Y$2)</f>
        <v>5</v>
      </c>
      <c r="Z27">
        <f>SUMIFS(data!$C:$C,data!$A:$A,"="&amp;xyz!$A27,data!$B:$B,"="&amp;xyz!Z$2)</f>
        <v>2</v>
      </c>
      <c r="AA27">
        <f>SUMIFS(data!$C:$C,data!$A:$A,"="&amp;xyz!$A27,data!$B:$B,"="&amp;xyz!AA$2)</f>
        <v>2</v>
      </c>
      <c r="AB27">
        <f>SUMIFS(data!$C:$C,data!$A:$A,"="&amp;xyz!$A27,data!$B:$B,"="&amp;xyz!AB$2)</f>
        <v>2</v>
      </c>
      <c r="AC27">
        <f>SUMIFS(data!$C:$C,data!$A:$A,"="&amp;xyz!$A27,data!$B:$B,"="&amp;xyz!AC$2)</f>
        <v>3</v>
      </c>
      <c r="AD27">
        <f>SUMIFS(data!$C:$C,data!$A:$A,"="&amp;xyz!$A27,data!$B:$B,"="&amp;xyz!AD$2)</f>
        <v>1</v>
      </c>
      <c r="AE27">
        <f>SUMIFS(data!$C:$C,data!$A:$A,"="&amp;xyz!$A27,data!$B:$B,"="&amp;xyz!AE$2)</f>
        <v>0</v>
      </c>
      <c r="AF27">
        <f>SUMIFS(data!$C:$C,data!$A:$A,"="&amp;xyz!$A27,data!$B:$B,"="&amp;xyz!AF$2)</f>
        <v>2</v>
      </c>
      <c r="AG27">
        <f>SUMIFS(data!$C:$C,data!$A:$A,"="&amp;xyz!$A27,data!$B:$B,"="&amp;xyz!AG$2)</f>
        <v>2</v>
      </c>
      <c r="AH27">
        <f>SUMIFS(data!$C:$C,data!$A:$A,"="&amp;xyz!$A27,data!$B:$B,"="&amp;xyz!AH$2)</f>
        <v>2</v>
      </c>
      <c r="AI27">
        <f>SUMIFS(data!$C:$C,data!$A:$A,"="&amp;xyz!$A27,data!$B:$B,"="&amp;xyz!AI$2)</f>
        <v>3</v>
      </c>
      <c r="AJ27">
        <f>SUMIFS(data!$C:$C,data!$A:$A,"="&amp;xyz!$A27,data!$B:$B,"="&amp;xyz!AJ$2)</f>
        <v>4</v>
      </c>
      <c r="AK27">
        <f>SUMIFS(data!$C:$C,data!$A:$A,"="&amp;xyz!$A27,data!$B:$B,"="&amp;xyz!AK$2)</f>
        <v>1</v>
      </c>
      <c r="AL27">
        <f>SUMIFS(data!$C:$C,data!$A:$A,"="&amp;xyz!$A27,data!$B:$B,"="&amp;xyz!AL$2)</f>
        <v>1</v>
      </c>
      <c r="AM27">
        <f>SUMIFS(data!$C:$C,data!$A:$A,"="&amp;xyz!$A27,data!$B:$B,"="&amp;xyz!AM$2)</f>
        <v>1</v>
      </c>
      <c r="AN27">
        <f>SUMIFS(data!$C:$C,data!$A:$A,"="&amp;xyz!$A27,data!$B:$B,"="&amp;xyz!AN$2)</f>
        <v>0</v>
      </c>
      <c r="AO27">
        <f>SUMIFS(data!$C:$C,data!$A:$A,"="&amp;xyz!$A27,data!$B:$B,"="&amp;xyz!AO$2)</f>
        <v>3</v>
      </c>
      <c r="AP27">
        <f>SUMIFS(data!$C:$C,data!$A:$A,"="&amp;xyz!$A27,data!$B:$B,"="&amp;xyz!AP$2)</f>
        <v>4</v>
      </c>
      <c r="AQ27" s="6">
        <f t="shared" si="2"/>
        <v>0.71547558076452034</v>
      </c>
    </row>
    <row r="28" spans="1:43" x14ac:dyDescent="0.3">
      <c r="A28" t="s">
        <v>65</v>
      </c>
      <c r="B28" s="6">
        <f t="shared" si="1"/>
        <v>0.52203065134099658</v>
      </c>
      <c r="C28">
        <f>SUMIFS(data!$C:$C,data!$A:$A,"="&amp;xyz!$A28,data!$B:$B,"="&amp;xyz!C$2)</f>
        <v>19</v>
      </c>
      <c r="D28">
        <f>SUMIFS(data!$C:$C,data!$A:$A,"="&amp;xyz!$A28,data!$B:$B,"="&amp;xyz!D$2)</f>
        <v>24</v>
      </c>
      <c r="E28">
        <f>SUMIFS(data!$C:$C,data!$A:$A,"="&amp;xyz!$A28,data!$B:$B,"="&amp;xyz!E$2)</f>
        <v>10</v>
      </c>
      <c r="F28">
        <f>SUMIFS(data!$C:$C,data!$A:$A,"="&amp;xyz!$A28,data!$B:$B,"="&amp;xyz!F$2)</f>
        <v>10</v>
      </c>
      <c r="G28">
        <f>SUMIFS(data!$C:$C,data!$A:$A,"="&amp;xyz!$A28,data!$B:$B,"="&amp;xyz!G$2)</f>
        <v>11</v>
      </c>
      <c r="H28">
        <f>SUMIFS(data!$C:$C,data!$A:$A,"="&amp;xyz!$A28,data!$B:$B,"="&amp;xyz!H$2)</f>
        <v>9</v>
      </c>
      <c r="I28">
        <f>SUMIFS(data!$C:$C,data!$A:$A,"="&amp;xyz!$A28,data!$B:$B,"="&amp;xyz!I$2)</f>
        <v>12</v>
      </c>
      <c r="J28">
        <f>SUMIFS(data!$C:$C,data!$A:$A,"="&amp;xyz!$A28,data!$B:$B,"="&amp;xyz!J$2)</f>
        <v>9</v>
      </c>
      <c r="K28">
        <f>SUMIFS(data!$C:$C,data!$A:$A,"="&amp;xyz!$A28,data!$B:$B,"="&amp;xyz!K$2)</f>
        <v>0</v>
      </c>
      <c r="L28">
        <f>SUMIFS(data!$C:$C,data!$A:$A,"="&amp;xyz!$A28,data!$B:$B,"="&amp;xyz!L$2)</f>
        <v>8</v>
      </c>
      <c r="M28">
        <f>SUMIFS(data!$C:$C,data!$A:$A,"="&amp;xyz!$A28,data!$B:$B,"="&amp;xyz!M$2)</f>
        <v>7</v>
      </c>
      <c r="N28">
        <f>SUMIFS(data!$C:$C,data!$A:$A,"="&amp;xyz!$A28,data!$B:$B,"="&amp;xyz!N$2)</f>
        <v>9</v>
      </c>
      <c r="O28">
        <f>SUMIFS(data!$C:$C,data!$A:$A,"="&amp;xyz!$A28,data!$B:$B,"="&amp;xyz!O$2)</f>
        <v>4</v>
      </c>
      <c r="P28">
        <f>SUMIFS(data!$C:$C,data!$A:$A,"="&amp;xyz!$A28,data!$B:$B,"="&amp;xyz!P$2)</f>
        <v>4</v>
      </c>
      <c r="Q28">
        <f>SUMIFS(data!$C:$C,data!$A:$A,"="&amp;xyz!$A28,data!$B:$B,"="&amp;xyz!Q$2)</f>
        <v>4</v>
      </c>
      <c r="R28">
        <f>SUMIFS(data!$C:$C,data!$A:$A,"="&amp;xyz!$A28,data!$B:$B,"="&amp;xyz!R$2)</f>
        <v>1</v>
      </c>
      <c r="S28">
        <f>SUMIFS(data!$C:$C,data!$A:$A,"="&amp;xyz!$A28,data!$B:$B,"="&amp;xyz!S$2)</f>
        <v>3</v>
      </c>
      <c r="T28">
        <f>SUMIFS(data!$C:$C,data!$A:$A,"="&amp;xyz!$A28,data!$B:$B,"="&amp;xyz!T$2)</f>
        <v>4</v>
      </c>
      <c r="U28">
        <f>SUMIFS(data!$C:$C,data!$A:$A,"="&amp;xyz!$A28,data!$B:$B,"="&amp;xyz!U$2)</f>
        <v>6</v>
      </c>
      <c r="V28">
        <f>SUMIFS(data!$C:$C,data!$A:$A,"="&amp;xyz!$A28,data!$B:$B,"="&amp;xyz!V$2)</f>
        <v>1</v>
      </c>
      <c r="W28">
        <f>SUMIFS(data!$C:$C,data!$A:$A,"="&amp;xyz!$A28,data!$B:$B,"="&amp;xyz!W$2)</f>
        <v>12</v>
      </c>
      <c r="X28">
        <f>SUMIFS(data!$C:$C,data!$A:$A,"="&amp;xyz!$A28,data!$B:$B,"="&amp;xyz!X$2)</f>
        <v>1</v>
      </c>
      <c r="Y28">
        <f>SUMIFS(data!$C:$C,data!$A:$A,"="&amp;xyz!$A28,data!$B:$B,"="&amp;xyz!Y$2)</f>
        <v>6</v>
      </c>
      <c r="Z28">
        <f>SUMIFS(data!$C:$C,data!$A:$A,"="&amp;xyz!$A28,data!$B:$B,"="&amp;xyz!Z$2)</f>
        <v>3</v>
      </c>
      <c r="AA28">
        <f>SUMIFS(data!$C:$C,data!$A:$A,"="&amp;xyz!$A28,data!$B:$B,"="&amp;xyz!AA$2)</f>
        <v>6</v>
      </c>
      <c r="AB28">
        <f>SUMIFS(data!$C:$C,data!$A:$A,"="&amp;xyz!$A28,data!$B:$B,"="&amp;xyz!AB$2)</f>
        <v>2</v>
      </c>
      <c r="AC28">
        <f>SUMIFS(data!$C:$C,data!$A:$A,"="&amp;xyz!$A28,data!$B:$B,"="&amp;xyz!AC$2)</f>
        <v>6</v>
      </c>
      <c r="AD28">
        <f>SUMIFS(data!$C:$C,data!$A:$A,"="&amp;xyz!$A28,data!$B:$B,"="&amp;xyz!AD$2)</f>
        <v>4</v>
      </c>
      <c r="AE28">
        <f>SUMIFS(data!$C:$C,data!$A:$A,"="&amp;xyz!$A28,data!$B:$B,"="&amp;xyz!AE$2)</f>
        <v>6</v>
      </c>
      <c r="AF28">
        <f>SUMIFS(data!$C:$C,data!$A:$A,"="&amp;xyz!$A28,data!$B:$B,"="&amp;xyz!AF$2)</f>
        <v>5</v>
      </c>
      <c r="AG28">
        <f>SUMIFS(data!$C:$C,data!$A:$A,"="&amp;xyz!$A28,data!$B:$B,"="&amp;xyz!AG$2)</f>
        <v>6</v>
      </c>
      <c r="AH28">
        <f>SUMIFS(data!$C:$C,data!$A:$A,"="&amp;xyz!$A28,data!$B:$B,"="&amp;xyz!AH$2)</f>
        <v>3</v>
      </c>
      <c r="AI28">
        <f>SUMIFS(data!$C:$C,data!$A:$A,"="&amp;xyz!$A28,data!$B:$B,"="&amp;xyz!AI$2)</f>
        <v>5</v>
      </c>
      <c r="AJ28">
        <f>SUMIFS(data!$C:$C,data!$A:$A,"="&amp;xyz!$A28,data!$B:$B,"="&amp;xyz!AJ$2)</f>
        <v>10</v>
      </c>
      <c r="AK28">
        <f>SUMIFS(data!$C:$C,data!$A:$A,"="&amp;xyz!$A28,data!$B:$B,"="&amp;xyz!AK$2)</f>
        <v>9</v>
      </c>
      <c r="AL28">
        <f>SUMIFS(data!$C:$C,data!$A:$A,"="&amp;xyz!$A28,data!$B:$B,"="&amp;xyz!AL$2)</f>
        <v>1</v>
      </c>
      <c r="AM28">
        <f>SUMIFS(data!$C:$C,data!$A:$A,"="&amp;xyz!$A28,data!$B:$B,"="&amp;xyz!AM$2)</f>
        <v>6</v>
      </c>
      <c r="AN28">
        <f>SUMIFS(data!$C:$C,data!$A:$A,"="&amp;xyz!$A28,data!$B:$B,"="&amp;xyz!AN$2)</f>
        <v>7</v>
      </c>
      <c r="AO28">
        <f>SUMIFS(data!$C:$C,data!$A:$A,"="&amp;xyz!$A28,data!$B:$B,"="&amp;xyz!AO$2)</f>
        <v>5</v>
      </c>
      <c r="AP28">
        <f>SUMIFS(data!$C:$C,data!$A:$A,"="&amp;xyz!$A28,data!$B:$B,"="&amp;xyz!AP$2)</f>
        <v>3</v>
      </c>
      <c r="AQ28" s="6">
        <f t="shared" si="2"/>
        <v>0.72798486030598686</v>
      </c>
    </row>
    <row r="29" spans="1:43" x14ac:dyDescent="0.3">
      <c r="A29" t="s">
        <v>24</v>
      </c>
      <c r="B29" s="6">
        <f t="shared" si="1"/>
        <v>0.3918495297805642</v>
      </c>
      <c r="C29">
        <f>SUMIFS(data!$C:$C,data!$A:$A,"="&amp;xyz!$A29,data!$B:$B,"="&amp;xyz!C$2)</f>
        <v>5</v>
      </c>
      <c r="D29">
        <f>SUMIFS(data!$C:$C,data!$A:$A,"="&amp;xyz!$A29,data!$B:$B,"="&amp;xyz!D$2)</f>
        <v>16</v>
      </c>
      <c r="E29">
        <f>SUMIFS(data!$C:$C,data!$A:$A,"="&amp;xyz!$A29,data!$B:$B,"="&amp;xyz!E$2)</f>
        <v>20</v>
      </c>
      <c r="F29">
        <f>SUMIFS(data!$C:$C,data!$A:$A,"="&amp;xyz!$A29,data!$B:$B,"="&amp;xyz!F$2)</f>
        <v>10</v>
      </c>
      <c r="G29">
        <f>SUMIFS(data!$C:$C,data!$A:$A,"="&amp;xyz!$A29,data!$B:$B,"="&amp;xyz!G$2)</f>
        <v>14</v>
      </c>
      <c r="H29">
        <f>SUMIFS(data!$C:$C,data!$A:$A,"="&amp;xyz!$A29,data!$B:$B,"="&amp;xyz!H$2)</f>
        <v>17</v>
      </c>
      <c r="I29">
        <f>SUMIFS(data!$C:$C,data!$A:$A,"="&amp;xyz!$A29,data!$B:$B,"="&amp;xyz!I$2)</f>
        <v>5</v>
      </c>
      <c r="J29">
        <f>SUMIFS(data!$C:$C,data!$A:$A,"="&amp;xyz!$A29,data!$B:$B,"="&amp;xyz!J$2)</f>
        <v>7</v>
      </c>
      <c r="K29">
        <f>SUMIFS(data!$C:$C,data!$A:$A,"="&amp;xyz!$A29,data!$B:$B,"="&amp;xyz!K$2)</f>
        <v>0</v>
      </c>
      <c r="L29">
        <f>SUMIFS(data!$C:$C,data!$A:$A,"="&amp;xyz!$A29,data!$B:$B,"="&amp;xyz!L$2)</f>
        <v>14</v>
      </c>
      <c r="M29">
        <f>SUMIFS(data!$C:$C,data!$A:$A,"="&amp;xyz!$A29,data!$B:$B,"="&amp;xyz!M$2)</f>
        <v>8</v>
      </c>
      <c r="N29">
        <f>SUMIFS(data!$C:$C,data!$A:$A,"="&amp;xyz!$A29,data!$B:$B,"="&amp;xyz!N$2)</f>
        <v>7</v>
      </c>
      <c r="O29">
        <f>SUMIFS(data!$C:$C,data!$A:$A,"="&amp;xyz!$A29,data!$B:$B,"="&amp;xyz!O$2)</f>
        <v>3</v>
      </c>
      <c r="P29">
        <f>SUMIFS(data!$C:$C,data!$A:$A,"="&amp;xyz!$A29,data!$B:$B,"="&amp;xyz!P$2)</f>
        <v>5</v>
      </c>
      <c r="Q29">
        <f>SUMIFS(data!$C:$C,data!$A:$A,"="&amp;xyz!$A29,data!$B:$B,"="&amp;xyz!Q$2)</f>
        <v>12</v>
      </c>
      <c r="R29">
        <f>SUMIFS(data!$C:$C,data!$A:$A,"="&amp;xyz!$A29,data!$B:$B,"="&amp;xyz!R$2)</f>
        <v>3</v>
      </c>
      <c r="S29">
        <f>SUMIFS(data!$C:$C,data!$A:$A,"="&amp;xyz!$A29,data!$B:$B,"="&amp;xyz!S$2)</f>
        <v>5</v>
      </c>
      <c r="T29">
        <f>SUMIFS(data!$C:$C,data!$A:$A,"="&amp;xyz!$A29,data!$B:$B,"="&amp;xyz!T$2)</f>
        <v>8</v>
      </c>
      <c r="U29">
        <f>SUMIFS(data!$C:$C,data!$A:$A,"="&amp;xyz!$A29,data!$B:$B,"="&amp;xyz!U$2)</f>
        <v>7</v>
      </c>
      <c r="V29">
        <f>SUMIFS(data!$C:$C,data!$A:$A,"="&amp;xyz!$A29,data!$B:$B,"="&amp;xyz!V$2)</f>
        <v>8</v>
      </c>
      <c r="W29">
        <f>SUMIFS(data!$C:$C,data!$A:$A,"="&amp;xyz!$A29,data!$B:$B,"="&amp;xyz!W$2)</f>
        <v>10</v>
      </c>
      <c r="X29">
        <f>SUMIFS(data!$C:$C,data!$A:$A,"="&amp;xyz!$A29,data!$B:$B,"="&amp;xyz!X$2)</f>
        <v>7</v>
      </c>
      <c r="Y29">
        <f>SUMIFS(data!$C:$C,data!$A:$A,"="&amp;xyz!$A29,data!$B:$B,"="&amp;xyz!Y$2)</f>
        <v>4</v>
      </c>
      <c r="Z29">
        <f>SUMIFS(data!$C:$C,data!$A:$A,"="&amp;xyz!$A29,data!$B:$B,"="&amp;xyz!Z$2)</f>
        <v>6</v>
      </c>
      <c r="AA29">
        <f>SUMIFS(data!$C:$C,data!$A:$A,"="&amp;xyz!$A29,data!$B:$B,"="&amp;xyz!AA$2)</f>
        <v>7</v>
      </c>
      <c r="AB29">
        <f>SUMIFS(data!$C:$C,data!$A:$A,"="&amp;xyz!$A29,data!$B:$B,"="&amp;xyz!AB$2)</f>
        <v>3</v>
      </c>
      <c r="AC29">
        <f>SUMIFS(data!$C:$C,data!$A:$A,"="&amp;xyz!$A29,data!$B:$B,"="&amp;xyz!AC$2)</f>
        <v>9</v>
      </c>
      <c r="AD29">
        <f>SUMIFS(data!$C:$C,data!$A:$A,"="&amp;xyz!$A29,data!$B:$B,"="&amp;xyz!AD$2)</f>
        <v>8</v>
      </c>
      <c r="AE29">
        <f>SUMIFS(data!$C:$C,data!$A:$A,"="&amp;xyz!$A29,data!$B:$B,"="&amp;xyz!AE$2)</f>
        <v>8</v>
      </c>
      <c r="AF29">
        <f>SUMIFS(data!$C:$C,data!$A:$A,"="&amp;xyz!$A29,data!$B:$B,"="&amp;xyz!AF$2)</f>
        <v>3</v>
      </c>
      <c r="AG29">
        <f>SUMIFS(data!$C:$C,data!$A:$A,"="&amp;xyz!$A29,data!$B:$B,"="&amp;xyz!AG$2)</f>
        <v>3</v>
      </c>
      <c r="AH29">
        <f>SUMIFS(data!$C:$C,data!$A:$A,"="&amp;xyz!$A29,data!$B:$B,"="&amp;xyz!AH$2)</f>
        <v>11</v>
      </c>
      <c r="AI29">
        <f>SUMIFS(data!$C:$C,data!$A:$A,"="&amp;xyz!$A29,data!$B:$B,"="&amp;xyz!AI$2)</f>
        <v>9</v>
      </c>
      <c r="AJ29">
        <f>SUMIFS(data!$C:$C,data!$A:$A,"="&amp;xyz!$A29,data!$B:$B,"="&amp;xyz!AJ$2)</f>
        <v>9</v>
      </c>
      <c r="AK29">
        <f>SUMIFS(data!$C:$C,data!$A:$A,"="&amp;xyz!$A29,data!$B:$B,"="&amp;xyz!AK$2)</f>
        <v>5</v>
      </c>
      <c r="AL29">
        <f>SUMIFS(data!$C:$C,data!$A:$A,"="&amp;xyz!$A29,data!$B:$B,"="&amp;xyz!AL$2)</f>
        <v>8</v>
      </c>
      <c r="AM29">
        <f>SUMIFS(data!$C:$C,data!$A:$A,"="&amp;xyz!$A29,data!$B:$B,"="&amp;xyz!AM$2)</f>
        <v>12</v>
      </c>
      <c r="AN29">
        <f>SUMIFS(data!$C:$C,data!$A:$A,"="&amp;xyz!$A29,data!$B:$B,"="&amp;xyz!AN$2)</f>
        <v>5</v>
      </c>
      <c r="AO29">
        <f>SUMIFS(data!$C:$C,data!$A:$A,"="&amp;xyz!$A29,data!$B:$B,"="&amp;xyz!AO$2)</f>
        <v>11</v>
      </c>
      <c r="AP29">
        <f>SUMIFS(data!$C:$C,data!$A:$A,"="&amp;xyz!$A29,data!$B:$B,"="&amp;xyz!AP$2)</f>
        <v>7</v>
      </c>
      <c r="AQ29" s="6">
        <f t="shared" si="2"/>
        <v>0.52779852480567169</v>
      </c>
    </row>
    <row r="30" spans="1:43" x14ac:dyDescent="0.3">
      <c r="A30" t="s">
        <v>5</v>
      </c>
      <c r="B30" s="6">
        <f t="shared" si="1"/>
        <v>0.46951219512195114</v>
      </c>
      <c r="C30">
        <f>SUMIFS(data!$C:$C,data!$A:$A,"="&amp;xyz!$A30,data!$B:$B,"="&amp;xyz!C$2)</f>
        <v>0</v>
      </c>
      <c r="D30">
        <f>SUMIFS(data!$C:$C,data!$A:$A,"="&amp;xyz!$A30,data!$B:$B,"="&amp;xyz!D$2)</f>
        <v>6</v>
      </c>
      <c r="E30">
        <f>SUMIFS(data!$C:$C,data!$A:$A,"="&amp;xyz!$A30,data!$B:$B,"="&amp;xyz!E$2)</f>
        <v>2</v>
      </c>
      <c r="F30">
        <f>SUMIFS(data!$C:$C,data!$A:$A,"="&amp;xyz!$A30,data!$B:$B,"="&amp;xyz!F$2)</f>
        <v>8</v>
      </c>
      <c r="G30">
        <f>SUMIFS(data!$C:$C,data!$A:$A,"="&amp;xyz!$A30,data!$B:$B,"="&amp;xyz!G$2)</f>
        <v>9</v>
      </c>
      <c r="H30">
        <f>SUMIFS(data!$C:$C,data!$A:$A,"="&amp;xyz!$A30,data!$B:$B,"="&amp;xyz!H$2)</f>
        <v>4</v>
      </c>
      <c r="I30">
        <f>SUMIFS(data!$C:$C,data!$A:$A,"="&amp;xyz!$A30,data!$B:$B,"="&amp;xyz!I$2)</f>
        <v>1</v>
      </c>
      <c r="J30">
        <f>SUMIFS(data!$C:$C,data!$A:$A,"="&amp;xyz!$A30,data!$B:$B,"="&amp;xyz!J$2)</f>
        <v>1</v>
      </c>
      <c r="K30">
        <f>SUMIFS(data!$C:$C,data!$A:$A,"="&amp;xyz!$A30,data!$B:$B,"="&amp;xyz!K$2)</f>
        <v>0</v>
      </c>
      <c r="L30">
        <f>SUMIFS(data!$C:$C,data!$A:$A,"="&amp;xyz!$A30,data!$B:$B,"="&amp;xyz!L$2)</f>
        <v>8</v>
      </c>
      <c r="M30">
        <f>SUMIFS(data!$C:$C,data!$A:$A,"="&amp;xyz!$A30,data!$B:$B,"="&amp;xyz!M$2)</f>
        <v>4</v>
      </c>
      <c r="N30">
        <f>SUMIFS(data!$C:$C,data!$A:$A,"="&amp;xyz!$A30,data!$B:$B,"="&amp;xyz!N$2)</f>
        <v>4</v>
      </c>
      <c r="O30">
        <f>SUMIFS(data!$C:$C,data!$A:$A,"="&amp;xyz!$A30,data!$B:$B,"="&amp;xyz!O$2)</f>
        <v>1</v>
      </c>
      <c r="P30">
        <f>SUMIFS(data!$C:$C,data!$A:$A,"="&amp;xyz!$A30,data!$B:$B,"="&amp;xyz!P$2)</f>
        <v>6</v>
      </c>
      <c r="Q30">
        <f>SUMIFS(data!$C:$C,data!$A:$A,"="&amp;xyz!$A30,data!$B:$B,"="&amp;xyz!Q$2)</f>
        <v>7</v>
      </c>
      <c r="R30">
        <f>SUMIFS(data!$C:$C,data!$A:$A,"="&amp;xyz!$A30,data!$B:$B,"="&amp;xyz!R$2)</f>
        <v>4</v>
      </c>
      <c r="S30">
        <f>SUMIFS(data!$C:$C,data!$A:$A,"="&amp;xyz!$A30,data!$B:$B,"="&amp;xyz!S$2)</f>
        <v>2</v>
      </c>
      <c r="T30">
        <f>SUMIFS(data!$C:$C,data!$A:$A,"="&amp;xyz!$A30,data!$B:$B,"="&amp;xyz!T$2)</f>
        <v>3</v>
      </c>
      <c r="U30">
        <f>SUMIFS(data!$C:$C,data!$A:$A,"="&amp;xyz!$A30,data!$B:$B,"="&amp;xyz!U$2)</f>
        <v>5</v>
      </c>
      <c r="V30">
        <f>SUMIFS(data!$C:$C,data!$A:$A,"="&amp;xyz!$A30,data!$B:$B,"="&amp;xyz!V$2)</f>
        <v>3</v>
      </c>
      <c r="W30">
        <f>SUMIFS(data!$C:$C,data!$A:$A,"="&amp;xyz!$A30,data!$B:$B,"="&amp;xyz!W$2)</f>
        <v>1</v>
      </c>
      <c r="X30">
        <f>SUMIFS(data!$C:$C,data!$A:$A,"="&amp;xyz!$A30,data!$B:$B,"="&amp;xyz!X$2)</f>
        <v>2</v>
      </c>
      <c r="Y30">
        <f>SUMIFS(data!$C:$C,data!$A:$A,"="&amp;xyz!$A30,data!$B:$B,"="&amp;xyz!Y$2)</f>
        <v>7</v>
      </c>
      <c r="Z30">
        <f>SUMIFS(data!$C:$C,data!$A:$A,"="&amp;xyz!$A30,data!$B:$B,"="&amp;xyz!Z$2)</f>
        <v>1</v>
      </c>
      <c r="AA30">
        <f>SUMIFS(data!$C:$C,data!$A:$A,"="&amp;xyz!$A30,data!$B:$B,"="&amp;xyz!AA$2)</f>
        <v>5</v>
      </c>
      <c r="AB30">
        <f>SUMIFS(data!$C:$C,data!$A:$A,"="&amp;xyz!$A30,data!$B:$B,"="&amp;xyz!AB$2)</f>
        <v>4</v>
      </c>
      <c r="AC30">
        <f>SUMIFS(data!$C:$C,data!$A:$A,"="&amp;xyz!$A30,data!$B:$B,"="&amp;xyz!AC$2)</f>
        <v>5</v>
      </c>
      <c r="AD30">
        <f>SUMIFS(data!$C:$C,data!$A:$A,"="&amp;xyz!$A30,data!$B:$B,"="&amp;xyz!AD$2)</f>
        <v>3</v>
      </c>
      <c r="AE30">
        <f>SUMIFS(data!$C:$C,data!$A:$A,"="&amp;xyz!$A30,data!$B:$B,"="&amp;xyz!AE$2)</f>
        <v>4</v>
      </c>
      <c r="AF30">
        <f>SUMIFS(data!$C:$C,data!$A:$A,"="&amp;xyz!$A30,data!$B:$B,"="&amp;xyz!AF$2)</f>
        <v>6</v>
      </c>
      <c r="AG30">
        <f>SUMIFS(data!$C:$C,data!$A:$A,"="&amp;xyz!$A30,data!$B:$B,"="&amp;xyz!AG$2)</f>
        <v>5</v>
      </c>
      <c r="AH30">
        <f>SUMIFS(data!$C:$C,data!$A:$A,"="&amp;xyz!$A30,data!$B:$B,"="&amp;xyz!AH$2)</f>
        <v>8</v>
      </c>
      <c r="AI30">
        <f>SUMIFS(data!$C:$C,data!$A:$A,"="&amp;xyz!$A30,data!$B:$B,"="&amp;xyz!AI$2)</f>
        <v>4</v>
      </c>
      <c r="AJ30">
        <f>SUMIFS(data!$C:$C,data!$A:$A,"="&amp;xyz!$A30,data!$B:$B,"="&amp;xyz!AJ$2)</f>
        <v>4</v>
      </c>
      <c r="AK30">
        <f>SUMIFS(data!$C:$C,data!$A:$A,"="&amp;xyz!$A30,data!$B:$B,"="&amp;xyz!AK$2)</f>
        <v>4</v>
      </c>
      <c r="AL30">
        <f>SUMIFS(data!$C:$C,data!$A:$A,"="&amp;xyz!$A30,data!$B:$B,"="&amp;xyz!AL$2)</f>
        <v>3</v>
      </c>
      <c r="AM30">
        <f>SUMIFS(data!$C:$C,data!$A:$A,"="&amp;xyz!$A30,data!$B:$B,"="&amp;xyz!AM$2)</f>
        <v>4</v>
      </c>
      <c r="AN30">
        <f>SUMIFS(data!$C:$C,data!$A:$A,"="&amp;xyz!$A30,data!$B:$B,"="&amp;xyz!AN$2)</f>
        <v>1</v>
      </c>
      <c r="AO30">
        <f>SUMIFS(data!$C:$C,data!$A:$A,"="&amp;xyz!$A30,data!$B:$B,"="&amp;xyz!AO$2)</f>
        <v>10</v>
      </c>
      <c r="AP30">
        <f>SUMIFS(data!$C:$C,data!$A:$A,"="&amp;xyz!$A30,data!$B:$B,"="&amp;xyz!AP$2)</f>
        <v>5</v>
      </c>
      <c r="AQ30" s="6">
        <f t="shared" si="2"/>
        <v>0.61206566979575661</v>
      </c>
    </row>
    <row r="31" spans="1:43" x14ac:dyDescent="0.3">
      <c r="A31" t="s">
        <v>131</v>
      </c>
      <c r="B31" s="6">
        <f t="shared" si="1"/>
        <v>0.67647058823529405</v>
      </c>
      <c r="C31">
        <f>SUMIFS(data!$C:$C,data!$A:$A,"="&amp;xyz!$A31,data!$B:$B,"="&amp;xyz!C$2)</f>
        <v>2</v>
      </c>
      <c r="D31">
        <f>SUMIFS(data!$C:$C,data!$A:$A,"="&amp;xyz!$A31,data!$B:$B,"="&amp;xyz!D$2)</f>
        <v>6</v>
      </c>
      <c r="E31">
        <f>SUMIFS(data!$C:$C,data!$A:$A,"="&amp;xyz!$A31,data!$B:$B,"="&amp;xyz!E$2)</f>
        <v>3</v>
      </c>
      <c r="F31">
        <f>SUMIFS(data!$C:$C,data!$A:$A,"="&amp;xyz!$A31,data!$B:$B,"="&amp;xyz!F$2)</f>
        <v>2</v>
      </c>
      <c r="G31">
        <f>SUMIFS(data!$C:$C,data!$A:$A,"="&amp;xyz!$A31,data!$B:$B,"="&amp;xyz!G$2)</f>
        <v>2</v>
      </c>
      <c r="H31">
        <f>SUMIFS(data!$C:$C,data!$A:$A,"="&amp;xyz!$A31,data!$B:$B,"="&amp;xyz!H$2)</f>
        <v>1</v>
      </c>
      <c r="I31">
        <f>SUMIFS(data!$C:$C,data!$A:$A,"="&amp;xyz!$A31,data!$B:$B,"="&amp;xyz!I$2)</f>
        <v>2</v>
      </c>
      <c r="J31">
        <f>SUMIFS(data!$C:$C,data!$A:$A,"="&amp;xyz!$A31,data!$B:$B,"="&amp;xyz!J$2)</f>
        <v>2</v>
      </c>
      <c r="K31">
        <f>SUMIFS(data!$C:$C,data!$A:$A,"="&amp;xyz!$A31,data!$B:$B,"="&amp;xyz!K$2)</f>
        <v>0</v>
      </c>
      <c r="L31">
        <f>SUMIFS(data!$C:$C,data!$A:$A,"="&amp;xyz!$A31,data!$B:$B,"="&amp;xyz!L$2)</f>
        <v>4</v>
      </c>
      <c r="M31">
        <f>SUMIFS(data!$C:$C,data!$A:$A,"="&amp;xyz!$A31,data!$B:$B,"="&amp;xyz!M$2)</f>
        <v>1</v>
      </c>
      <c r="N31">
        <f>SUMIFS(data!$C:$C,data!$A:$A,"="&amp;xyz!$A31,data!$B:$B,"="&amp;xyz!N$2)</f>
        <v>0</v>
      </c>
      <c r="O31">
        <f>SUMIFS(data!$C:$C,data!$A:$A,"="&amp;xyz!$A31,data!$B:$B,"="&amp;xyz!O$2)</f>
        <v>0</v>
      </c>
      <c r="P31">
        <f>SUMIFS(data!$C:$C,data!$A:$A,"="&amp;xyz!$A31,data!$B:$B,"="&amp;xyz!P$2)</f>
        <v>3</v>
      </c>
      <c r="Q31">
        <f>SUMIFS(data!$C:$C,data!$A:$A,"="&amp;xyz!$A31,data!$B:$B,"="&amp;xyz!Q$2)</f>
        <v>1</v>
      </c>
      <c r="R31">
        <f>SUMIFS(data!$C:$C,data!$A:$A,"="&amp;xyz!$A31,data!$B:$B,"="&amp;xyz!R$2)</f>
        <v>1</v>
      </c>
      <c r="S31">
        <f>SUMIFS(data!$C:$C,data!$A:$A,"="&amp;xyz!$A31,data!$B:$B,"="&amp;xyz!S$2)</f>
        <v>2</v>
      </c>
      <c r="T31">
        <f>SUMIFS(data!$C:$C,data!$A:$A,"="&amp;xyz!$A31,data!$B:$B,"="&amp;xyz!T$2)</f>
        <v>1</v>
      </c>
      <c r="U31">
        <f>SUMIFS(data!$C:$C,data!$A:$A,"="&amp;xyz!$A31,data!$B:$B,"="&amp;xyz!U$2)</f>
        <v>0</v>
      </c>
      <c r="V31">
        <f>SUMIFS(data!$C:$C,data!$A:$A,"="&amp;xyz!$A31,data!$B:$B,"="&amp;xyz!V$2)</f>
        <v>0</v>
      </c>
      <c r="W31">
        <f>SUMIFS(data!$C:$C,data!$A:$A,"="&amp;xyz!$A31,data!$B:$B,"="&amp;xyz!W$2)</f>
        <v>0</v>
      </c>
      <c r="X31">
        <f>SUMIFS(data!$C:$C,data!$A:$A,"="&amp;xyz!$A31,data!$B:$B,"="&amp;xyz!X$2)</f>
        <v>3</v>
      </c>
      <c r="Y31">
        <f>SUMIFS(data!$C:$C,data!$A:$A,"="&amp;xyz!$A31,data!$B:$B,"="&amp;xyz!Y$2)</f>
        <v>2</v>
      </c>
      <c r="Z31">
        <f>SUMIFS(data!$C:$C,data!$A:$A,"="&amp;xyz!$A31,data!$B:$B,"="&amp;xyz!Z$2)</f>
        <v>1</v>
      </c>
      <c r="AA31">
        <f>SUMIFS(data!$C:$C,data!$A:$A,"="&amp;xyz!$A31,data!$B:$B,"="&amp;xyz!AA$2)</f>
        <v>2</v>
      </c>
      <c r="AB31">
        <f>SUMIFS(data!$C:$C,data!$A:$A,"="&amp;xyz!$A31,data!$B:$B,"="&amp;xyz!AB$2)</f>
        <v>0</v>
      </c>
      <c r="AC31">
        <f>SUMIFS(data!$C:$C,data!$A:$A,"="&amp;xyz!$A31,data!$B:$B,"="&amp;xyz!AC$2)</f>
        <v>4</v>
      </c>
      <c r="AD31">
        <f>SUMIFS(data!$C:$C,data!$A:$A,"="&amp;xyz!$A31,data!$B:$B,"="&amp;xyz!AD$2)</f>
        <v>1</v>
      </c>
      <c r="AE31">
        <f>SUMIFS(data!$C:$C,data!$A:$A,"="&amp;xyz!$A31,data!$B:$B,"="&amp;xyz!AE$2)</f>
        <v>1</v>
      </c>
      <c r="AF31">
        <f>SUMIFS(data!$C:$C,data!$A:$A,"="&amp;xyz!$A31,data!$B:$B,"="&amp;xyz!AF$2)</f>
        <v>2</v>
      </c>
      <c r="AG31">
        <f>SUMIFS(data!$C:$C,data!$A:$A,"="&amp;xyz!$A31,data!$B:$B,"="&amp;xyz!AG$2)</f>
        <v>1</v>
      </c>
      <c r="AH31">
        <f>SUMIFS(data!$C:$C,data!$A:$A,"="&amp;xyz!$A31,data!$B:$B,"="&amp;xyz!AH$2)</f>
        <v>2</v>
      </c>
      <c r="AI31">
        <f>SUMIFS(data!$C:$C,data!$A:$A,"="&amp;xyz!$A31,data!$B:$B,"="&amp;xyz!AI$2)</f>
        <v>0</v>
      </c>
      <c r="AJ31">
        <f>SUMIFS(data!$C:$C,data!$A:$A,"="&amp;xyz!$A31,data!$B:$B,"="&amp;xyz!AJ$2)</f>
        <v>5</v>
      </c>
      <c r="AK31">
        <f>SUMIFS(data!$C:$C,data!$A:$A,"="&amp;xyz!$A31,data!$B:$B,"="&amp;xyz!AK$2)</f>
        <v>1</v>
      </c>
      <c r="AL31">
        <f>SUMIFS(data!$C:$C,data!$A:$A,"="&amp;xyz!$A31,data!$B:$B,"="&amp;xyz!AL$2)</f>
        <v>3</v>
      </c>
      <c r="AM31">
        <f>SUMIFS(data!$C:$C,data!$A:$A,"="&amp;xyz!$A31,data!$B:$B,"="&amp;xyz!AM$2)</f>
        <v>1</v>
      </c>
      <c r="AN31">
        <f>SUMIFS(data!$C:$C,data!$A:$A,"="&amp;xyz!$A31,data!$B:$B,"="&amp;xyz!AN$2)</f>
        <v>4</v>
      </c>
      <c r="AO31">
        <f>SUMIFS(data!$C:$C,data!$A:$A,"="&amp;xyz!$A31,data!$B:$B,"="&amp;xyz!AO$2)</f>
        <v>2</v>
      </c>
      <c r="AP31">
        <f>SUMIFS(data!$C:$C,data!$A:$A,"="&amp;xyz!$A31,data!$B:$B,"="&amp;xyz!AP$2)</f>
        <v>0</v>
      </c>
      <c r="AQ31" s="6">
        <f t="shared" si="2"/>
        <v>0.86534641424373282</v>
      </c>
    </row>
    <row r="32" spans="1:43" x14ac:dyDescent="0.3">
      <c r="A32" t="s">
        <v>66</v>
      </c>
      <c r="B32" s="6">
        <f t="shared" si="1"/>
        <v>0.58550724637681173</v>
      </c>
      <c r="C32">
        <f>SUMIFS(data!$C:$C,data!$A:$A,"="&amp;xyz!$A32,data!$B:$B,"="&amp;xyz!C$2)</f>
        <v>12</v>
      </c>
      <c r="D32">
        <f>SUMIFS(data!$C:$C,data!$A:$A,"="&amp;xyz!$A32,data!$B:$B,"="&amp;xyz!D$2)</f>
        <v>6</v>
      </c>
      <c r="E32">
        <f>SUMIFS(data!$C:$C,data!$A:$A,"="&amp;xyz!$A32,data!$B:$B,"="&amp;xyz!E$2)</f>
        <v>4</v>
      </c>
      <c r="F32">
        <f>SUMIFS(data!$C:$C,data!$A:$A,"="&amp;xyz!$A32,data!$B:$B,"="&amp;xyz!F$2)</f>
        <v>2</v>
      </c>
      <c r="G32">
        <f>SUMIFS(data!$C:$C,data!$A:$A,"="&amp;xyz!$A32,data!$B:$B,"="&amp;xyz!G$2)</f>
        <v>3</v>
      </c>
      <c r="H32">
        <f>SUMIFS(data!$C:$C,data!$A:$A,"="&amp;xyz!$A32,data!$B:$B,"="&amp;xyz!H$2)</f>
        <v>2</v>
      </c>
      <c r="I32">
        <f>SUMIFS(data!$C:$C,data!$A:$A,"="&amp;xyz!$A32,data!$B:$B,"="&amp;xyz!I$2)</f>
        <v>6</v>
      </c>
      <c r="J32">
        <f>SUMIFS(data!$C:$C,data!$A:$A,"="&amp;xyz!$A32,data!$B:$B,"="&amp;xyz!J$2)</f>
        <v>2</v>
      </c>
      <c r="K32">
        <f>SUMIFS(data!$C:$C,data!$A:$A,"="&amp;xyz!$A32,data!$B:$B,"="&amp;xyz!K$2)</f>
        <v>0</v>
      </c>
      <c r="L32">
        <f>SUMIFS(data!$C:$C,data!$A:$A,"="&amp;xyz!$A32,data!$B:$B,"="&amp;xyz!L$2)</f>
        <v>9</v>
      </c>
      <c r="M32">
        <f>SUMIFS(data!$C:$C,data!$A:$A,"="&amp;xyz!$A32,data!$B:$B,"="&amp;xyz!M$2)</f>
        <v>12</v>
      </c>
      <c r="N32">
        <f>SUMIFS(data!$C:$C,data!$A:$A,"="&amp;xyz!$A32,data!$B:$B,"="&amp;xyz!N$2)</f>
        <v>8</v>
      </c>
      <c r="O32">
        <f>SUMIFS(data!$C:$C,data!$A:$A,"="&amp;xyz!$A32,data!$B:$B,"="&amp;xyz!O$2)</f>
        <v>8</v>
      </c>
      <c r="P32">
        <f>SUMIFS(data!$C:$C,data!$A:$A,"="&amp;xyz!$A32,data!$B:$B,"="&amp;xyz!P$2)</f>
        <v>8</v>
      </c>
      <c r="Q32">
        <f>SUMIFS(data!$C:$C,data!$A:$A,"="&amp;xyz!$A32,data!$B:$B,"="&amp;xyz!Q$2)</f>
        <v>8</v>
      </c>
      <c r="R32">
        <f>SUMIFS(data!$C:$C,data!$A:$A,"="&amp;xyz!$A32,data!$B:$B,"="&amp;xyz!R$2)</f>
        <v>17</v>
      </c>
      <c r="S32">
        <f>SUMIFS(data!$C:$C,data!$A:$A,"="&amp;xyz!$A32,data!$B:$B,"="&amp;xyz!S$2)</f>
        <v>11</v>
      </c>
      <c r="T32">
        <f>SUMIFS(data!$C:$C,data!$A:$A,"="&amp;xyz!$A32,data!$B:$B,"="&amp;xyz!T$2)</f>
        <v>6</v>
      </c>
      <c r="U32">
        <f>SUMIFS(data!$C:$C,data!$A:$A,"="&amp;xyz!$A32,data!$B:$B,"="&amp;xyz!U$2)</f>
        <v>8</v>
      </c>
      <c r="V32">
        <f>SUMIFS(data!$C:$C,data!$A:$A,"="&amp;xyz!$A32,data!$B:$B,"="&amp;xyz!V$2)</f>
        <v>18</v>
      </c>
      <c r="W32">
        <f>SUMIFS(data!$C:$C,data!$A:$A,"="&amp;xyz!$A32,data!$B:$B,"="&amp;xyz!W$2)</f>
        <v>7</v>
      </c>
      <c r="X32">
        <f>SUMIFS(data!$C:$C,data!$A:$A,"="&amp;xyz!$A32,data!$B:$B,"="&amp;xyz!X$2)</f>
        <v>0</v>
      </c>
      <c r="Y32">
        <f>SUMIFS(data!$C:$C,data!$A:$A,"="&amp;xyz!$A32,data!$B:$B,"="&amp;xyz!Y$2)</f>
        <v>6</v>
      </c>
      <c r="Z32">
        <f>SUMIFS(data!$C:$C,data!$A:$A,"="&amp;xyz!$A32,data!$B:$B,"="&amp;xyz!Z$2)</f>
        <v>26</v>
      </c>
      <c r="AA32">
        <f>SUMIFS(data!$C:$C,data!$A:$A,"="&amp;xyz!$A32,data!$B:$B,"="&amp;xyz!AA$2)</f>
        <v>4</v>
      </c>
      <c r="AB32">
        <f>SUMIFS(data!$C:$C,data!$A:$A,"="&amp;xyz!$A32,data!$B:$B,"="&amp;xyz!AB$2)</f>
        <v>7</v>
      </c>
      <c r="AC32">
        <f>SUMIFS(data!$C:$C,data!$A:$A,"="&amp;xyz!$A32,data!$B:$B,"="&amp;xyz!AC$2)</f>
        <v>1</v>
      </c>
      <c r="AD32">
        <f>SUMIFS(data!$C:$C,data!$A:$A,"="&amp;xyz!$A32,data!$B:$B,"="&amp;xyz!AD$2)</f>
        <v>6</v>
      </c>
      <c r="AE32">
        <f>SUMIFS(data!$C:$C,data!$A:$A,"="&amp;xyz!$A32,data!$B:$B,"="&amp;xyz!AE$2)</f>
        <v>4</v>
      </c>
      <c r="AF32">
        <f>SUMIFS(data!$C:$C,data!$A:$A,"="&amp;xyz!$A32,data!$B:$B,"="&amp;xyz!AF$2)</f>
        <v>3</v>
      </c>
      <c r="AG32">
        <f>SUMIFS(data!$C:$C,data!$A:$A,"="&amp;xyz!$A32,data!$B:$B,"="&amp;xyz!AG$2)</f>
        <v>3</v>
      </c>
      <c r="AH32">
        <f>SUMIFS(data!$C:$C,data!$A:$A,"="&amp;xyz!$A32,data!$B:$B,"="&amp;xyz!AH$2)</f>
        <v>8</v>
      </c>
      <c r="AI32">
        <f>SUMIFS(data!$C:$C,data!$A:$A,"="&amp;xyz!$A32,data!$B:$B,"="&amp;xyz!AI$2)</f>
        <v>4</v>
      </c>
      <c r="AJ32">
        <f>SUMIFS(data!$C:$C,data!$A:$A,"="&amp;xyz!$A32,data!$B:$B,"="&amp;xyz!AJ$2)</f>
        <v>14</v>
      </c>
      <c r="AK32">
        <f>SUMIFS(data!$C:$C,data!$A:$A,"="&amp;xyz!$A32,data!$B:$B,"="&amp;xyz!AK$2)</f>
        <v>3</v>
      </c>
      <c r="AL32">
        <f>SUMIFS(data!$C:$C,data!$A:$A,"="&amp;xyz!$A32,data!$B:$B,"="&amp;xyz!AL$2)</f>
        <v>0</v>
      </c>
      <c r="AM32">
        <f>SUMIFS(data!$C:$C,data!$A:$A,"="&amp;xyz!$A32,data!$B:$B,"="&amp;xyz!AM$2)</f>
        <v>7</v>
      </c>
      <c r="AN32">
        <f>SUMIFS(data!$C:$C,data!$A:$A,"="&amp;xyz!$A32,data!$B:$B,"="&amp;xyz!AN$2)</f>
        <v>1</v>
      </c>
      <c r="AO32">
        <f>SUMIFS(data!$C:$C,data!$A:$A,"="&amp;xyz!$A32,data!$B:$B,"="&amp;xyz!AO$2)</f>
        <v>5</v>
      </c>
      <c r="AP32">
        <f>SUMIFS(data!$C:$C,data!$A:$A,"="&amp;xyz!$A32,data!$B:$B,"="&amp;xyz!AP$2)</f>
        <v>17</v>
      </c>
      <c r="AQ32" s="6">
        <f t="shared" si="2"/>
        <v>0.80712257546479482</v>
      </c>
    </row>
    <row r="33" spans="1:43" x14ac:dyDescent="0.3">
      <c r="A33" t="s">
        <v>57</v>
      </c>
      <c r="B33" s="6">
        <f t="shared" si="1"/>
        <v>0.55458015267175564</v>
      </c>
      <c r="C33">
        <f>SUMIFS(data!$C:$C,data!$A:$A,"="&amp;xyz!$A33,data!$B:$B,"="&amp;xyz!C$2)</f>
        <v>1</v>
      </c>
      <c r="D33">
        <f>SUMIFS(data!$C:$C,data!$A:$A,"="&amp;xyz!$A33,data!$B:$B,"="&amp;xyz!D$2)</f>
        <v>2</v>
      </c>
      <c r="E33">
        <f>SUMIFS(data!$C:$C,data!$A:$A,"="&amp;xyz!$A33,data!$B:$B,"="&amp;xyz!E$2)</f>
        <v>3</v>
      </c>
      <c r="F33">
        <f>SUMIFS(data!$C:$C,data!$A:$A,"="&amp;xyz!$A33,data!$B:$B,"="&amp;xyz!F$2)</f>
        <v>3</v>
      </c>
      <c r="G33">
        <f>SUMIFS(data!$C:$C,data!$A:$A,"="&amp;xyz!$A33,data!$B:$B,"="&amp;xyz!G$2)</f>
        <v>4</v>
      </c>
      <c r="H33">
        <f>SUMIFS(data!$C:$C,data!$A:$A,"="&amp;xyz!$A33,data!$B:$B,"="&amp;xyz!H$2)</f>
        <v>4</v>
      </c>
      <c r="I33">
        <f>SUMIFS(data!$C:$C,data!$A:$A,"="&amp;xyz!$A33,data!$B:$B,"="&amp;xyz!I$2)</f>
        <v>1</v>
      </c>
      <c r="J33">
        <f>SUMIFS(data!$C:$C,data!$A:$A,"="&amp;xyz!$A33,data!$B:$B,"="&amp;xyz!J$2)</f>
        <v>1</v>
      </c>
      <c r="K33">
        <f>SUMIFS(data!$C:$C,data!$A:$A,"="&amp;xyz!$A33,data!$B:$B,"="&amp;xyz!K$2)</f>
        <v>0</v>
      </c>
      <c r="L33">
        <f>SUMIFS(data!$C:$C,data!$A:$A,"="&amp;xyz!$A33,data!$B:$B,"="&amp;xyz!L$2)</f>
        <v>0</v>
      </c>
      <c r="M33">
        <f>SUMIFS(data!$C:$C,data!$A:$A,"="&amp;xyz!$A33,data!$B:$B,"="&amp;xyz!M$2)</f>
        <v>7</v>
      </c>
      <c r="N33">
        <f>SUMIFS(data!$C:$C,data!$A:$A,"="&amp;xyz!$A33,data!$B:$B,"="&amp;xyz!N$2)</f>
        <v>6</v>
      </c>
      <c r="O33">
        <f>SUMIFS(data!$C:$C,data!$A:$A,"="&amp;xyz!$A33,data!$B:$B,"="&amp;xyz!O$2)</f>
        <v>2</v>
      </c>
      <c r="P33">
        <f>SUMIFS(data!$C:$C,data!$A:$A,"="&amp;xyz!$A33,data!$B:$B,"="&amp;xyz!P$2)</f>
        <v>5</v>
      </c>
      <c r="Q33">
        <f>SUMIFS(data!$C:$C,data!$A:$A,"="&amp;xyz!$A33,data!$B:$B,"="&amp;xyz!Q$2)</f>
        <v>1</v>
      </c>
      <c r="R33">
        <f>SUMIFS(data!$C:$C,data!$A:$A,"="&amp;xyz!$A33,data!$B:$B,"="&amp;xyz!R$2)</f>
        <v>0</v>
      </c>
      <c r="S33">
        <f>SUMIFS(data!$C:$C,data!$A:$A,"="&amp;xyz!$A33,data!$B:$B,"="&amp;xyz!S$2)</f>
        <v>3</v>
      </c>
      <c r="T33">
        <f>SUMIFS(data!$C:$C,data!$A:$A,"="&amp;xyz!$A33,data!$B:$B,"="&amp;xyz!T$2)</f>
        <v>3</v>
      </c>
      <c r="U33">
        <f>SUMIFS(data!$C:$C,data!$A:$A,"="&amp;xyz!$A33,data!$B:$B,"="&amp;xyz!U$2)</f>
        <v>3</v>
      </c>
      <c r="V33">
        <f>SUMIFS(data!$C:$C,data!$A:$A,"="&amp;xyz!$A33,data!$B:$B,"="&amp;xyz!V$2)</f>
        <v>3</v>
      </c>
      <c r="W33">
        <f>SUMIFS(data!$C:$C,data!$A:$A,"="&amp;xyz!$A33,data!$B:$B,"="&amp;xyz!W$2)</f>
        <v>5</v>
      </c>
      <c r="X33">
        <f>SUMIFS(data!$C:$C,data!$A:$A,"="&amp;xyz!$A33,data!$B:$B,"="&amp;xyz!X$2)</f>
        <v>8</v>
      </c>
      <c r="Y33">
        <f>SUMIFS(data!$C:$C,data!$A:$A,"="&amp;xyz!$A33,data!$B:$B,"="&amp;xyz!Y$2)</f>
        <v>3</v>
      </c>
      <c r="Z33">
        <f>SUMIFS(data!$C:$C,data!$A:$A,"="&amp;xyz!$A33,data!$B:$B,"="&amp;xyz!Z$2)</f>
        <v>6</v>
      </c>
      <c r="AA33">
        <f>SUMIFS(data!$C:$C,data!$A:$A,"="&amp;xyz!$A33,data!$B:$B,"="&amp;xyz!AA$2)</f>
        <v>4</v>
      </c>
      <c r="AB33">
        <f>SUMIFS(data!$C:$C,data!$A:$A,"="&amp;xyz!$A33,data!$B:$B,"="&amp;xyz!AB$2)</f>
        <v>0</v>
      </c>
      <c r="AC33">
        <f>SUMIFS(data!$C:$C,data!$A:$A,"="&amp;xyz!$A33,data!$B:$B,"="&amp;xyz!AC$2)</f>
        <v>5</v>
      </c>
      <c r="AD33">
        <f>SUMIFS(data!$C:$C,data!$A:$A,"="&amp;xyz!$A33,data!$B:$B,"="&amp;xyz!AD$2)</f>
        <v>3</v>
      </c>
      <c r="AE33">
        <f>SUMIFS(data!$C:$C,data!$A:$A,"="&amp;xyz!$A33,data!$B:$B,"="&amp;xyz!AE$2)</f>
        <v>7</v>
      </c>
      <c r="AF33">
        <f>SUMIFS(data!$C:$C,data!$A:$A,"="&amp;xyz!$A33,data!$B:$B,"="&amp;xyz!AF$2)</f>
        <v>7</v>
      </c>
      <c r="AG33">
        <f>SUMIFS(data!$C:$C,data!$A:$A,"="&amp;xyz!$A33,data!$B:$B,"="&amp;xyz!AG$2)</f>
        <v>1</v>
      </c>
      <c r="AH33">
        <f>SUMIFS(data!$C:$C,data!$A:$A,"="&amp;xyz!$A33,data!$B:$B,"="&amp;xyz!AH$2)</f>
        <v>5</v>
      </c>
      <c r="AI33">
        <f>SUMIFS(data!$C:$C,data!$A:$A,"="&amp;xyz!$A33,data!$B:$B,"="&amp;xyz!AI$2)</f>
        <v>2</v>
      </c>
      <c r="AJ33">
        <f>SUMIFS(data!$C:$C,data!$A:$A,"="&amp;xyz!$A33,data!$B:$B,"="&amp;xyz!AJ$2)</f>
        <v>6</v>
      </c>
      <c r="AK33">
        <f>SUMIFS(data!$C:$C,data!$A:$A,"="&amp;xyz!$A33,data!$B:$B,"="&amp;xyz!AK$2)</f>
        <v>0</v>
      </c>
      <c r="AL33">
        <f>SUMIFS(data!$C:$C,data!$A:$A,"="&amp;xyz!$A33,data!$B:$B,"="&amp;xyz!AL$2)</f>
        <v>1</v>
      </c>
      <c r="AM33">
        <f>SUMIFS(data!$C:$C,data!$A:$A,"="&amp;xyz!$A33,data!$B:$B,"="&amp;xyz!AM$2)</f>
        <v>4</v>
      </c>
      <c r="AN33">
        <f>SUMIFS(data!$C:$C,data!$A:$A,"="&amp;xyz!$A33,data!$B:$B,"="&amp;xyz!AN$2)</f>
        <v>3</v>
      </c>
      <c r="AO33">
        <f>SUMIFS(data!$C:$C,data!$A:$A,"="&amp;xyz!$A33,data!$B:$B,"="&amp;xyz!AO$2)</f>
        <v>4</v>
      </c>
      <c r="AP33">
        <f>SUMIFS(data!$C:$C,data!$A:$A,"="&amp;xyz!$A33,data!$B:$B,"="&amp;xyz!AP$2)</f>
        <v>5</v>
      </c>
      <c r="AQ33" s="6">
        <f t="shared" si="2"/>
        <v>0.68097202718559635</v>
      </c>
    </row>
    <row r="34" spans="1:43" x14ac:dyDescent="0.3">
      <c r="A34" t="s">
        <v>34</v>
      </c>
      <c r="B34" s="6">
        <f t="shared" si="1"/>
        <v>0.6180722891566266</v>
      </c>
      <c r="C34">
        <f>SUMIFS(data!$C:$C,data!$A:$A,"="&amp;xyz!$A34,data!$B:$B,"="&amp;xyz!C$2)</f>
        <v>0</v>
      </c>
      <c r="D34">
        <f>SUMIFS(data!$C:$C,data!$A:$A,"="&amp;xyz!$A34,data!$B:$B,"="&amp;xyz!D$2)</f>
        <v>1</v>
      </c>
      <c r="E34">
        <f>SUMIFS(data!$C:$C,data!$A:$A,"="&amp;xyz!$A34,data!$B:$B,"="&amp;xyz!E$2)</f>
        <v>3</v>
      </c>
      <c r="F34">
        <f>SUMIFS(data!$C:$C,data!$A:$A,"="&amp;xyz!$A34,data!$B:$B,"="&amp;xyz!F$2)</f>
        <v>3</v>
      </c>
      <c r="G34">
        <f>SUMIFS(data!$C:$C,data!$A:$A,"="&amp;xyz!$A34,data!$B:$B,"="&amp;xyz!G$2)</f>
        <v>2</v>
      </c>
      <c r="H34">
        <f>SUMIFS(data!$C:$C,data!$A:$A,"="&amp;xyz!$A34,data!$B:$B,"="&amp;xyz!H$2)</f>
        <v>1</v>
      </c>
      <c r="I34">
        <f>SUMIFS(data!$C:$C,data!$A:$A,"="&amp;xyz!$A34,data!$B:$B,"="&amp;xyz!I$2)</f>
        <v>4</v>
      </c>
      <c r="J34">
        <f>SUMIFS(data!$C:$C,data!$A:$A,"="&amp;xyz!$A34,data!$B:$B,"="&amp;xyz!J$2)</f>
        <v>1</v>
      </c>
      <c r="K34">
        <f>SUMIFS(data!$C:$C,data!$A:$A,"="&amp;xyz!$A34,data!$B:$B,"="&amp;xyz!K$2)</f>
        <v>0</v>
      </c>
      <c r="L34">
        <f>SUMIFS(data!$C:$C,data!$A:$A,"="&amp;xyz!$A34,data!$B:$B,"="&amp;xyz!L$2)</f>
        <v>1</v>
      </c>
      <c r="M34">
        <f>SUMIFS(data!$C:$C,data!$A:$A,"="&amp;xyz!$A34,data!$B:$B,"="&amp;xyz!M$2)</f>
        <v>4</v>
      </c>
      <c r="N34">
        <f>SUMIFS(data!$C:$C,data!$A:$A,"="&amp;xyz!$A34,data!$B:$B,"="&amp;xyz!N$2)</f>
        <v>2</v>
      </c>
      <c r="O34">
        <f>SUMIFS(data!$C:$C,data!$A:$A,"="&amp;xyz!$A34,data!$B:$B,"="&amp;xyz!O$2)</f>
        <v>3</v>
      </c>
      <c r="P34">
        <f>SUMIFS(data!$C:$C,data!$A:$A,"="&amp;xyz!$A34,data!$B:$B,"="&amp;xyz!P$2)</f>
        <v>3</v>
      </c>
      <c r="Q34">
        <f>SUMIFS(data!$C:$C,data!$A:$A,"="&amp;xyz!$A34,data!$B:$B,"="&amp;xyz!Q$2)</f>
        <v>2</v>
      </c>
      <c r="R34">
        <f>SUMIFS(data!$C:$C,data!$A:$A,"="&amp;xyz!$A34,data!$B:$B,"="&amp;xyz!R$2)</f>
        <v>5</v>
      </c>
      <c r="S34">
        <f>SUMIFS(data!$C:$C,data!$A:$A,"="&amp;xyz!$A34,data!$B:$B,"="&amp;xyz!S$2)</f>
        <v>1</v>
      </c>
      <c r="T34">
        <f>SUMIFS(data!$C:$C,data!$A:$A,"="&amp;xyz!$A34,data!$B:$B,"="&amp;xyz!T$2)</f>
        <v>1</v>
      </c>
      <c r="U34">
        <f>SUMIFS(data!$C:$C,data!$A:$A,"="&amp;xyz!$A34,data!$B:$B,"="&amp;xyz!U$2)</f>
        <v>4</v>
      </c>
      <c r="V34">
        <f>SUMIFS(data!$C:$C,data!$A:$A,"="&amp;xyz!$A34,data!$B:$B,"="&amp;xyz!V$2)</f>
        <v>4</v>
      </c>
      <c r="W34">
        <f>SUMIFS(data!$C:$C,data!$A:$A,"="&amp;xyz!$A34,data!$B:$B,"="&amp;xyz!W$2)</f>
        <v>3</v>
      </c>
      <c r="X34">
        <f>SUMIFS(data!$C:$C,data!$A:$A,"="&amp;xyz!$A34,data!$B:$B,"="&amp;xyz!X$2)</f>
        <v>3</v>
      </c>
      <c r="Y34">
        <f>SUMIFS(data!$C:$C,data!$A:$A,"="&amp;xyz!$A34,data!$B:$B,"="&amp;xyz!Y$2)</f>
        <v>0</v>
      </c>
      <c r="Z34">
        <f>SUMIFS(data!$C:$C,data!$A:$A,"="&amp;xyz!$A34,data!$B:$B,"="&amp;xyz!Z$2)</f>
        <v>2</v>
      </c>
      <c r="AA34">
        <f>SUMIFS(data!$C:$C,data!$A:$A,"="&amp;xyz!$A34,data!$B:$B,"="&amp;xyz!AA$2)</f>
        <v>3</v>
      </c>
      <c r="AB34">
        <f>SUMIFS(data!$C:$C,data!$A:$A,"="&amp;xyz!$A34,data!$B:$B,"="&amp;xyz!AB$2)</f>
        <v>5</v>
      </c>
      <c r="AC34">
        <f>SUMIFS(data!$C:$C,data!$A:$A,"="&amp;xyz!$A34,data!$B:$B,"="&amp;xyz!AC$2)</f>
        <v>0</v>
      </c>
      <c r="AD34">
        <f>SUMIFS(data!$C:$C,data!$A:$A,"="&amp;xyz!$A34,data!$B:$B,"="&amp;xyz!AD$2)</f>
        <v>1</v>
      </c>
      <c r="AE34">
        <f>SUMIFS(data!$C:$C,data!$A:$A,"="&amp;xyz!$A34,data!$B:$B,"="&amp;xyz!AE$2)</f>
        <v>0</v>
      </c>
      <c r="AF34">
        <f>SUMIFS(data!$C:$C,data!$A:$A,"="&amp;xyz!$A34,data!$B:$B,"="&amp;xyz!AF$2)</f>
        <v>0</v>
      </c>
      <c r="AG34">
        <f>SUMIFS(data!$C:$C,data!$A:$A,"="&amp;xyz!$A34,data!$B:$B,"="&amp;xyz!AG$2)</f>
        <v>2</v>
      </c>
      <c r="AH34">
        <f>SUMIFS(data!$C:$C,data!$A:$A,"="&amp;xyz!$A34,data!$B:$B,"="&amp;xyz!AH$2)</f>
        <v>1</v>
      </c>
      <c r="AI34">
        <f>SUMIFS(data!$C:$C,data!$A:$A,"="&amp;xyz!$A34,data!$B:$B,"="&amp;xyz!AI$2)</f>
        <v>4</v>
      </c>
      <c r="AJ34">
        <f>SUMIFS(data!$C:$C,data!$A:$A,"="&amp;xyz!$A34,data!$B:$B,"="&amp;xyz!AJ$2)</f>
        <v>3</v>
      </c>
      <c r="AK34">
        <f>SUMIFS(data!$C:$C,data!$A:$A,"="&amp;xyz!$A34,data!$B:$B,"="&amp;xyz!AK$2)</f>
        <v>3</v>
      </c>
      <c r="AL34">
        <f>SUMIFS(data!$C:$C,data!$A:$A,"="&amp;xyz!$A34,data!$B:$B,"="&amp;xyz!AL$2)</f>
        <v>1</v>
      </c>
      <c r="AM34">
        <f>SUMIFS(data!$C:$C,data!$A:$A,"="&amp;xyz!$A34,data!$B:$B,"="&amp;xyz!AM$2)</f>
        <v>3</v>
      </c>
      <c r="AN34">
        <f>SUMIFS(data!$C:$C,data!$A:$A,"="&amp;xyz!$A34,data!$B:$B,"="&amp;xyz!AN$2)</f>
        <v>0</v>
      </c>
      <c r="AO34">
        <f>SUMIFS(data!$C:$C,data!$A:$A,"="&amp;xyz!$A34,data!$B:$B,"="&amp;xyz!AO$2)</f>
        <v>3</v>
      </c>
      <c r="AP34">
        <f>SUMIFS(data!$C:$C,data!$A:$A,"="&amp;xyz!$A34,data!$B:$B,"="&amp;xyz!AP$2)</f>
        <v>1</v>
      </c>
      <c r="AQ34" s="6">
        <f t="shared" si="2"/>
        <v>0.71886428386391787</v>
      </c>
    </row>
    <row r="35" spans="1:43" x14ac:dyDescent="0.3">
      <c r="A35" t="s">
        <v>146</v>
      </c>
      <c r="B35" s="6">
        <f t="shared" si="1"/>
        <v>0.60821917808219172</v>
      </c>
      <c r="C35">
        <f>SUMIFS(data!$C:$C,data!$A:$A,"="&amp;xyz!$A35,data!$B:$B,"="&amp;xyz!C$2)</f>
        <v>2</v>
      </c>
      <c r="D35">
        <f>SUMIFS(data!$C:$C,data!$A:$A,"="&amp;xyz!$A35,data!$B:$B,"="&amp;xyz!D$2)</f>
        <v>1</v>
      </c>
      <c r="E35">
        <f>SUMIFS(data!$C:$C,data!$A:$A,"="&amp;xyz!$A35,data!$B:$B,"="&amp;xyz!E$2)</f>
        <v>3</v>
      </c>
      <c r="F35">
        <f>SUMIFS(data!$C:$C,data!$A:$A,"="&amp;xyz!$A35,data!$B:$B,"="&amp;xyz!F$2)</f>
        <v>5</v>
      </c>
      <c r="G35">
        <f>SUMIFS(data!$C:$C,data!$A:$A,"="&amp;xyz!$A35,data!$B:$B,"="&amp;xyz!G$2)</f>
        <v>1</v>
      </c>
      <c r="H35">
        <f>SUMIFS(data!$C:$C,data!$A:$A,"="&amp;xyz!$A35,data!$B:$B,"="&amp;xyz!H$2)</f>
        <v>0</v>
      </c>
      <c r="I35">
        <f>SUMIFS(data!$C:$C,data!$A:$A,"="&amp;xyz!$A35,data!$B:$B,"="&amp;xyz!I$2)</f>
        <v>5</v>
      </c>
      <c r="J35">
        <f>SUMIFS(data!$C:$C,data!$A:$A,"="&amp;xyz!$A35,data!$B:$B,"="&amp;xyz!J$2)</f>
        <v>2</v>
      </c>
      <c r="K35">
        <f>SUMIFS(data!$C:$C,data!$A:$A,"="&amp;xyz!$A35,data!$B:$B,"="&amp;xyz!K$2)</f>
        <v>0</v>
      </c>
      <c r="L35">
        <f>SUMIFS(data!$C:$C,data!$A:$A,"="&amp;xyz!$A35,data!$B:$B,"="&amp;xyz!L$2)</f>
        <v>2</v>
      </c>
      <c r="M35">
        <f>SUMIFS(data!$C:$C,data!$A:$A,"="&amp;xyz!$A35,data!$B:$B,"="&amp;xyz!M$2)</f>
        <v>3</v>
      </c>
      <c r="N35">
        <f>SUMIFS(data!$C:$C,data!$A:$A,"="&amp;xyz!$A35,data!$B:$B,"="&amp;xyz!N$2)</f>
        <v>2</v>
      </c>
      <c r="O35">
        <f>SUMIFS(data!$C:$C,data!$A:$A,"="&amp;xyz!$A35,data!$B:$B,"="&amp;xyz!O$2)</f>
        <v>2</v>
      </c>
      <c r="P35">
        <f>SUMIFS(data!$C:$C,data!$A:$A,"="&amp;xyz!$A35,data!$B:$B,"="&amp;xyz!P$2)</f>
        <v>1</v>
      </c>
      <c r="Q35">
        <f>SUMIFS(data!$C:$C,data!$A:$A,"="&amp;xyz!$A35,data!$B:$B,"="&amp;xyz!Q$2)</f>
        <v>4</v>
      </c>
      <c r="R35">
        <f>SUMIFS(data!$C:$C,data!$A:$A,"="&amp;xyz!$A35,data!$B:$B,"="&amp;xyz!R$2)</f>
        <v>3</v>
      </c>
      <c r="S35">
        <f>SUMIFS(data!$C:$C,data!$A:$A,"="&amp;xyz!$A35,data!$B:$B,"="&amp;xyz!S$2)</f>
        <v>2</v>
      </c>
      <c r="T35">
        <f>SUMIFS(data!$C:$C,data!$A:$A,"="&amp;xyz!$A35,data!$B:$B,"="&amp;xyz!T$2)</f>
        <v>2</v>
      </c>
      <c r="U35">
        <f>SUMIFS(data!$C:$C,data!$A:$A,"="&amp;xyz!$A35,data!$B:$B,"="&amp;xyz!U$2)</f>
        <v>0</v>
      </c>
      <c r="V35">
        <f>SUMIFS(data!$C:$C,data!$A:$A,"="&amp;xyz!$A35,data!$B:$B,"="&amp;xyz!V$2)</f>
        <v>0</v>
      </c>
      <c r="W35">
        <f>SUMIFS(data!$C:$C,data!$A:$A,"="&amp;xyz!$A35,data!$B:$B,"="&amp;xyz!W$2)</f>
        <v>1</v>
      </c>
      <c r="X35">
        <f>SUMIFS(data!$C:$C,data!$A:$A,"="&amp;xyz!$A35,data!$B:$B,"="&amp;xyz!X$2)</f>
        <v>0</v>
      </c>
      <c r="Y35">
        <f>SUMIFS(data!$C:$C,data!$A:$A,"="&amp;xyz!$A35,data!$B:$B,"="&amp;xyz!Y$2)</f>
        <v>7</v>
      </c>
      <c r="Z35">
        <f>SUMIFS(data!$C:$C,data!$A:$A,"="&amp;xyz!$A35,data!$B:$B,"="&amp;xyz!Z$2)</f>
        <v>0</v>
      </c>
      <c r="AA35">
        <f>SUMIFS(data!$C:$C,data!$A:$A,"="&amp;xyz!$A35,data!$B:$B,"="&amp;xyz!AA$2)</f>
        <v>1</v>
      </c>
      <c r="AB35">
        <f>SUMIFS(data!$C:$C,data!$A:$A,"="&amp;xyz!$A35,data!$B:$B,"="&amp;xyz!AB$2)</f>
        <v>2</v>
      </c>
      <c r="AC35">
        <f>SUMIFS(data!$C:$C,data!$A:$A,"="&amp;xyz!$A35,data!$B:$B,"="&amp;xyz!AC$2)</f>
        <v>2</v>
      </c>
      <c r="AD35">
        <f>SUMIFS(data!$C:$C,data!$A:$A,"="&amp;xyz!$A35,data!$B:$B,"="&amp;xyz!AD$2)</f>
        <v>2</v>
      </c>
      <c r="AE35">
        <f>SUMIFS(data!$C:$C,data!$A:$A,"="&amp;xyz!$A35,data!$B:$B,"="&amp;xyz!AE$2)</f>
        <v>3</v>
      </c>
      <c r="AF35">
        <f>SUMIFS(data!$C:$C,data!$A:$A,"="&amp;xyz!$A35,data!$B:$B,"="&amp;xyz!AF$2)</f>
        <v>2</v>
      </c>
      <c r="AG35">
        <f>SUMIFS(data!$C:$C,data!$A:$A,"="&amp;xyz!$A35,data!$B:$B,"="&amp;xyz!AG$2)</f>
        <v>2</v>
      </c>
      <c r="AH35">
        <f>SUMIFS(data!$C:$C,data!$A:$A,"="&amp;xyz!$A35,data!$B:$B,"="&amp;xyz!AH$2)</f>
        <v>3</v>
      </c>
      <c r="AI35">
        <f>SUMIFS(data!$C:$C,data!$A:$A,"="&amp;xyz!$A35,data!$B:$B,"="&amp;xyz!AI$2)</f>
        <v>0</v>
      </c>
      <c r="AJ35">
        <f>SUMIFS(data!$C:$C,data!$A:$A,"="&amp;xyz!$A35,data!$B:$B,"="&amp;xyz!AJ$2)</f>
        <v>2</v>
      </c>
      <c r="AK35">
        <f>SUMIFS(data!$C:$C,data!$A:$A,"="&amp;xyz!$A35,data!$B:$B,"="&amp;xyz!AK$2)</f>
        <v>2</v>
      </c>
      <c r="AL35">
        <f>SUMIFS(data!$C:$C,data!$A:$A,"="&amp;xyz!$A35,data!$B:$B,"="&amp;xyz!AL$2)</f>
        <v>1</v>
      </c>
      <c r="AM35">
        <f>SUMIFS(data!$C:$C,data!$A:$A,"="&amp;xyz!$A35,data!$B:$B,"="&amp;xyz!AM$2)</f>
        <v>1</v>
      </c>
      <c r="AN35">
        <f>SUMIFS(data!$C:$C,data!$A:$A,"="&amp;xyz!$A35,data!$B:$B,"="&amp;xyz!AN$2)</f>
        <v>2</v>
      </c>
      <c r="AO35">
        <f>SUMIFS(data!$C:$C,data!$A:$A,"="&amp;xyz!$A35,data!$B:$B,"="&amp;xyz!AO$2)</f>
        <v>0</v>
      </c>
      <c r="AP35">
        <f>SUMIFS(data!$C:$C,data!$A:$A,"="&amp;xyz!$A35,data!$B:$B,"="&amp;xyz!AP$2)</f>
        <v>0</v>
      </c>
      <c r="AQ35" s="6">
        <f t="shared" si="2"/>
        <v>0.84966624281805725</v>
      </c>
    </row>
    <row r="36" spans="1:43" x14ac:dyDescent="0.3">
      <c r="A36" t="s">
        <v>23</v>
      </c>
      <c r="B36" s="6">
        <f t="shared" si="1"/>
        <v>0.39502617801047135</v>
      </c>
      <c r="C36">
        <f>SUMIFS(data!$C:$C,data!$A:$A,"="&amp;xyz!$A36,data!$B:$B,"="&amp;xyz!C$2)</f>
        <v>4</v>
      </c>
      <c r="D36">
        <f>SUMIFS(data!$C:$C,data!$A:$A,"="&amp;xyz!$A36,data!$B:$B,"="&amp;xyz!D$2)</f>
        <v>4</v>
      </c>
      <c r="E36">
        <f>SUMIFS(data!$C:$C,data!$A:$A,"="&amp;xyz!$A36,data!$B:$B,"="&amp;xyz!E$2)</f>
        <v>3</v>
      </c>
      <c r="F36">
        <f>SUMIFS(data!$C:$C,data!$A:$A,"="&amp;xyz!$A36,data!$B:$B,"="&amp;xyz!F$2)</f>
        <v>2</v>
      </c>
      <c r="G36">
        <f>SUMIFS(data!$C:$C,data!$A:$A,"="&amp;xyz!$A36,data!$B:$B,"="&amp;xyz!G$2)</f>
        <v>5</v>
      </c>
      <c r="H36">
        <f>SUMIFS(data!$C:$C,data!$A:$A,"="&amp;xyz!$A36,data!$B:$B,"="&amp;xyz!H$2)</f>
        <v>7</v>
      </c>
      <c r="I36">
        <f>SUMIFS(data!$C:$C,data!$A:$A,"="&amp;xyz!$A36,data!$B:$B,"="&amp;xyz!I$2)</f>
        <v>5</v>
      </c>
      <c r="J36">
        <f>SUMIFS(data!$C:$C,data!$A:$A,"="&amp;xyz!$A36,data!$B:$B,"="&amp;xyz!J$2)</f>
        <v>6</v>
      </c>
      <c r="K36">
        <f>SUMIFS(data!$C:$C,data!$A:$A,"="&amp;xyz!$A36,data!$B:$B,"="&amp;xyz!K$2)</f>
        <v>0</v>
      </c>
      <c r="L36">
        <f>SUMIFS(data!$C:$C,data!$A:$A,"="&amp;xyz!$A36,data!$B:$B,"="&amp;xyz!L$2)</f>
        <v>4</v>
      </c>
      <c r="M36">
        <f>SUMIFS(data!$C:$C,data!$A:$A,"="&amp;xyz!$A36,data!$B:$B,"="&amp;xyz!M$2)</f>
        <v>4</v>
      </c>
      <c r="N36">
        <f>SUMIFS(data!$C:$C,data!$A:$A,"="&amp;xyz!$A36,data!$B:$B,"="&amp;xyz!N$2)</f>
        <v>5</v>
      </c>
      <c r="O36">
        <f>SUMIFS(data!$C:$C,data!$A:$A,"="&amp;xyz!$A36,data!$B:$B,"="&amp;xyz!O$2)</f>
        <v>7</v>
      </c>
      <c r="P36">
        <f>SUMIFS(data!$C:$C,data!$A:$A,"="&amp;xyz!$A36,data!$B:$B,"="&amp;xyz!P$2)</f>
        <v>3</v>
      </c>
      <c r="Q36">
        <f>SUMIFS(data!$C:$C,data!$A:$A,"="&amp;xyz!$A36,data!$B:$B,"="&amp;xyz!Q$2)</f>
        <v>6</v>
      </c>
      <c r="R36">
        <f>SUMIFS(data!$C:$C,data!$A:$A,"="&amp;xyz!$A36,data!$B:$B,"="&amp;xyz!R$2)</f>
        <v>7</v>
      </c>
      <c r="S36">
        <f>SUMIFS(data!$C:$C,data!$A:$A,"="&amp;xyz!$A36,data!$B:$B,"="&amp;xyz!S$2)</f>
        <v>8</v>
      </c>
      <c r="T36">
        <f>SUMIFS(data!$C:$C,data!$A:$A,"="&amp;xyz!$A36,data!$B:$B,"="&amp;xyz!T$2)</f>
        <v>5</v>
      </c>
      <c r="U36">
        <f>SUMIFS(data!$C:$C,data!$A:$A,"="&amp;xyz!$A36,data!$B:$B,"="&amp;xyz!U$2)</f>
        <v>8</v>
      </c>
      <c r="V36">
        <f>SUMIFS(data!$C:$C,data!$A:$A,"="&amp;xyz!$A36,data!$B:$B,"="&amp;xyz!V$2)</f>
        <v>3</v>
      </c>
      <c r="W36">
        <f>SUMIFS(data!$C:$C,data!$A:$A,"="&amp;xyz!$A36,data!$B:$B,"="&amp;xyz!W$2)</f>
        <v>7</v>
      </c>
      <c r="X36">
        <f>SUMIFS(data!$C:$C,data!$A:$A,"="&amp;xyz!$A36,data!$B:$B,"="&amp;xyz!X$2)</f>
        <v>2</v>
      </c>
      <c r="Y36">
        <f>SUMIFS(data!$C:$C,data!$A:$A,"="&amp;xyz!$A36,data!$B:$B,"="&amp;xyz!Y$2)</f>
        <v>5</v>
      </c>
      <c r="Z36">
        <f>SUMIFS(data!$C:$C,data!$A:$A,"="&amp;xyz!$A36,data!$B:$B,"="&amp;xyz!Z$2)</f>
        <v>11</v>
      </c>
      <c r="AA36">
        <f>SUMIFS(data!$C:$C,data!$A:$A,"="&amp;xyz!$A36,data!$B:$B,"="&amp;xyz!AA$2)</f>
        <v>7</v>
      </c>
      <c r="AB36">
        <f>SUMIFS(data!$C:$C,data!$A:$A,"="&amp;xyz!$A36,data!$B:$B,"="&amp;xyz!AB$2)</f>
        <v>5</v>
      </c>
      <c r="AC36">
        <f>SUMIFS(data!$C:$C,data!$A:$A,"="&amp;xyz!$A36,data!$B:$B,"="&amp;xyz!AC$2)</f>
        <v>2</v>
      </c>
      <c r="AD36">
        <f>SUMIFS(data!$C:$C,data!$A:$A,"="&amp;xyz!$A36,data!$B:$B,"="&amp;xyz!AD$2)</f>
        <v>7</v>
      </c>
      <c r="AE36">
        <f>SUMIFS(data!$C:$C,data!$A:$A,"="&amp;xyz!$A36,data!$B:$B,"="&amp;xyz!AE$2)</f>
        <v>2</v>
      </c>
      <c r="AF36">
        <f>SUMIFS(data!$C:$C,data!$A:$A,"="&amp;xyz!$A36,data!$B:$B,"="&amp;xyz!AF$2)</f>
        <v>7</v>
      </c>
      <c r="AG36">
        <f>SUMIFS(data!$C:$C,data!$A:$A,"="&amp;xyz!$A36,data!$B:$B,"="&amp;xyz!AG$2)</f>
        <v>8</v>
      </c>
      <c r="AH36">
        <f>SUMIFS(data!$C:$C,data!$A:$A,"="&amp;xyz!$A36,data!$B:$B,"="&amp;xyz!AH$2)</f>
        <v>2</v>
      </c>
      <c r="AI36">
        <f>SUMIFS(data!$C:$C,data!$A:$A,"="&amp;xyz!$A36,data!$B:$B,"="&amp;xyz!AI$2)</f>
        <v>3</v>
      </c>
      <c r="AJ36">
        <f>SUMIFS(data!$C:$C,data!$A:$A,"="&amp;xyz!$A36,data!$B:$B,"="&amp;xyz!AJ$2)</f>
        <v>4</v>
      </c>
      <c r="AK36">
        <f>SUMIFS(data!$C:$C,data!$A:$A,"="&amp;xyz!$A36,data!$B:$B,"="&amp;xyz!AK$2)</f>
        <v>4</v>
      </c>
      <c r="AL36">
        <f>SUMIFS(data!$C:$C,data!$A:$A,"="&amp;xyz!$A36,data!$B:$B,"="&amp;xyz!AL$2)</f>
        <v>1</v>
      </c>
      <c r="AM36">
        <f>SUMIFS(data!$C:$C,data!$A:$A,"="&amp;xyz!$A36,data!$B:$B,"="&amp;xyz!AM$2)</f>
        <v>4</v>
      </c>
      <c r="AN36">
        <f>SUMIFS(data!$C:$C,data!$A:$A,"="&amp;xyz!$A36,data!$B:$B,"="&amp;xyz!AN$2)</f>
        <v>6</v>
      </c>
      <c r="AO36">
        <f>SUMIFS(data!$C:$C,data!$A:$A,"="&amp;xyz!$A36,data!$B:$B,"="&amp;xyz!AO$2)</f>
        <v>2</v>
      </c>
      <c r="AP36">
        <f>SUMIFS(data!$C:$C,data!$A:$A,"="&amp;xyz!$A36,data!$B:$B,"="&amp;xyz!AP$2)</f>
        <v>6</v>
      </c>
      <c r="AQ36" s="6">
        <f t="shared" si="2"/>
        <v>0.48709067830751113</v>
      </c>
    </row>
    <row r="37" spans="1:43" x14ac:dyDescent="0.3">
      <c r="A37" t="s">
        <v>91</v>
      </c>
      <c r="B37" s="6">
        <f t="shared" si="1"/>
        <v>0.47618683001531364</v>
      </c>
      <c r="C37">
        <f>SUMIFS(data!$C:$C,data!$A:$A,"="&amp;xyz!$A37,data!$B:$B,"="&amp;xyz!C$2)</f>
        <v>3</v>
      </c>
      <c r="D37">
        <f>SUMIFS(data!$C:$C,data!$A:$A,"="&amp;xyz!$A37,data!$B:$B,"="&amp;xyz!D$2)</f>
        <v>3.95</v>
      </c>
      <c r="E37">
        <f>SUMIFS(data!$C:$C,data!$A:$A,"="&amp;xyz!$A37,data!$B:$B,"="&amp;xyz!E$2)</f>
        <v>4</v>
      </c>
      <c r="F37">
        <f>SUMIFS(data!$C:$C,data!$A:$A,"="&amp;xyz!$A37,data!$B:$B,"="&amp;xyz!F$2)</f>
        <v>0</v>
      </c>
      <c r="G37">
        <f>SUMIFS(data!$C:$C,data!$A:$A,"="&amp;xyz!$A37,data!$B:$B,"="&amp;xyz!G$2)</f>
        <v>2</v>
      </c>
      <c r="H37">
        <f>SUMIFS(data!$C:$C,data!$A:$A,"="&amp;xyz!$A37,data!$B:$B,"="&amp;xyz!H$2)</f>
        <v>1</v>
      </c>
      <c r="I37">
        <f>SUMIFS(data!$C:$C,data!$A:$A,"="&amp;xyz!$A37,data!$B:$B,"="&amp;xyz!I$2)</f>
        <v>3</v>
      </c>
      <c r="J37">
        <f>SUMIFS(data!$C:$C,data!$A:$A,"="&amp;xyz!$A37,data!$B:$B,"="&amp;xyz!J$2)</f>
        <v>2</v>
      </c>
      <c r="K37">
        <f>SUMIFS(data!$C:$C,data!$A:$A,"="&amp;xyz!$A37,data!$B:$B,"="&amp;xyz!K$2)</f>
        <v>0</v>
      </c>
      <c r="L37">
        <f>SUMIFS(data!$C:$C,data!$A:$A,"="&amp;xyz!$A37,data!$B:$B,"="&amp;xyz!L$2)</f>
        <v>3</v>
      </c>
      <c r="M37">
        <f>SUMIFS(data!$C:$C,data!$A:$A,"="&amp;xyz!$A37,data!$B:$B,"="&amp;xyz!M$2)</f>
        <v>3</v>
      </c>
      <c r="N37">
        <f>SUMIFS(data!$C:$C,data!$A:$A,"="&amp;xyz!$A37,data!$B:$B,"="&amp;xyz!N$2)</f>
        <v>4</v>
      </c>
      <c r="O37">
        <f>SUMIFS(data!$C:$C,data!$A:$A,"="&amp;xyz!$A37,data!$B:$B,"="&amp;xyz!O$2)</f>
        <v>3</v>
      </c>
      <c r="P37">
        <f>SUMIFS(data!$C:$C,data!$A:$A,"="&amp;xyz!$A37,data!$B:$B,"="&amp;xyz!P$2)</f>
        <v>6</v>
      </c>
      <c r="Q37">
        <f>SUMIFS(data!$C:$C,data!$A:$A,"="&amp;xyz!$A37,data!$B:$B,"="&amp;xyz!Q$2)</f>
        <v>2</v>
      </c>
      <c r="R37">
        <f>SUMIFS(data!$C:$C,data!$A:$A,"="&amp;xyz!$A37,data!$B:$B,"="&amp;xyz!R$2)</f>
        <v>2</v>
      </c>
      <c r="S37">
        <f>SUMIFS(data!$C:$C,data!$A:$A,"="&amp;xyz!$A37,data!$B:$B,"="&amp;xyz!S$2)</f>
        <v>2</v>
      </c>
      <c r="T37">
        <f>SUMIFS(data!$C:$C,data!$A:$A,"="&amp;xyz!$A37,data!$B:$B,"="&amp;xyz!T$2)</f>
        <v>4</v>
      </c>
      <c r="U37">
        <f>SUMIFS(data!$C:$C,data!$A:$A,"="&amp;xyz!$A37,data!$B:$B,"="&amp;xyz!U$2)</f>
        <v>2</v>
      </c>
      <c r="V37">
        <f>SUMIFS(data!$C:$C,data!$A:$A,"="&amp;xyz!$A37,data!$B:$B,"="&amp;xyz!V$2)</f>
        <v>2</v>
      </c>
      <c r="W37">
        <f>SUMIFS(data!$C:$C,data!$A:$A,"="&amp;xyz!$A37,data!$B:$B,"="&amp;xyz!W$2)</f>
        <v>4</v>
      </c>
      <c r="X37">
        <f>SUMIFS(data!$C:$C,data!$A:$A,"="&amp;xyz!$A37,data!$B:$B,"="&amp;xyz!X$2)</f>
        <v>2</v>
      </c>
      <c r="Y37">
        <f>SUMIFS(data!$C:$C,data!$A:$A,"="&amp;xyz!$A37,data!$B:$B,"="&amp;xyz!Y$2)</f>
        <v>1</v>
      </c>
      <c r="Z37">
        <f>SUMIFS(data!$C:$C,data!$A:$A,"="&amp;xyz!$A37,data!$B:$B,"="&amp;xyz!Z$2)</f>
        <v>4</v>
      </c>
      <c r="AA37">
        <f>SUMIFS(data!$C:$C,data!$A:$A,"="&amp;xyz!$A37,data!$B:$B,"="&amp;xyz!AA$2)</f>
        <v>3</v>
      </c>
      <c r="AB37">
        <f>SUMIFS(data!$C:$C,data!$A:$A,"="&amp;xyz!$A37,data!$B:$B,"="&amp;xyz!AB$2)</f>
        <v>7</v>
      </c>
      <c r="AC37">
        <f>SUMIFS(data!$C:$C,data!$A:$A,"="&amp;xyz!$A37,data!$B:$B,"="&amp;xyz!AC$2)</f>
        <v>2</v>
      </c>
      <c r="AD37">
        <f>SUMIFS(data!$C:$C,data!$A:$A,"="&amp;xyz!$A37,data!$B:$B,"="&amp;xyz!AD$2)</f>
        <v>2</v>
      </c>
      <c r="AE37">
        <f>SUMIFS(data!$C:$C,data!$A:$A,"="&amp;xyz!$A37,data!$B:$B,"="&amp;xyz!AE$2)</f>
        <v>3</v>
      </c>
      <c r="AF37">
        <f>SUMIFS(data!$C:$C,data!$A:$A,"="&amp;xyz!$A37,data!$B:$B,"="&amp;xyz!AF$2)</f>
        <v>0</v>
      </c>
      <c r="AG37">
        <f>SUMIFS(data!$C:$C,data!$A:$A,"="&amp;xyz!$A37,data!$B:$B,"="&amp;xyz!AG$2)</f>
        <v>3</v>
      </c>
      <c r="AH37">
        <f>SUMIFS(data!$C:$C,data!$A:$A,"="&amp;xyz!$A37,data!$B:$B,"="&amp;xyz!AH$2)</f>
        <v>4</v>
      </c>
      <c r="AI37">
        <f>SUMIFS(data!$C:$C,data!$A:$A,"="&amp;xyz!$A37,data!$B:$B,"="&amp;xyz!AI$2)</f>
        <v>0</v>
      </c>
      <c r="AJ37">
        <f>SUMIFS(data!$C:$C,data!$A:$A,"="&amp;xyz!$A37,data!$B:$B,"="&amp;xyz!AJ$2)</f>
        <v>2</v>
      </c>
      <c r="AK37">
        <f>SUMIFS(data!$C:$C,data!$A:$A,"="&amp;xyz!$A37,data!$B:$B,"="&amp;xyz!AK$2)</f>
        <v>2</v>
      </c>
      <c r="AL37">
        <f>SUMIFS(data!$C:$C,data!$A:$A,"="&amp;xyz!$A37,data!$B:$B,"="&amp;xyz!AL$2)</f>
        <v>1</v>
      </c>
      <c r="AM37">
        <f>SUMIFS(data!$C:$C,data!$A:$A,"="&amp;xyz!$A37,data!$B:$B,"="&amp;xyz!AM$2)</f>
        <v>1</v>
      </c>
      <c r="AN37">
        <f>SUMIFS(data!$C:$C,data!$A:$A,"="&amp;xyz!$A37,data!$B:$B,"="&amp;xyz!AN$2)</f>
        <v>2</v>
      </c>
      <c r="AO37">
        <f>SUMIFS(data!$C:$C,data!$A:$A,"="&amp;xyz!$A37,data!$B:$B,"="&amp;xyz!AO$2)</f>
        <v>2</v>
      </c>
      <c r="AP37">
        <f>SUMIFS(data!$C:$C,data!$A:$A,"="&amp;xyz!$A37,data!$B:$B,"="&amp;xyz!AP$2)</f>
        <v>1</v>
      </c>
      <c r="AQ37" s="6">
        <f t="shared" si="2"/>
        <v>0.61948996559736946</v>
      </c>
    </row>
    <row r="38" spans="1:43" x14ac:dyDescent="0.3">
      <c r="A38" t="s">
        <v>138</v>
      </c>
      <c r="B38" s="6">
        <f t="shared" si="1"/>
        <v>0.78148148148148155</v>
      </c>
      <c r="C38">
        <f>SUMIFS(data!$C:$C,data!$A:$A,"="&amp;xyz!$A38,data!$B:$B,"="&amp;xyz!C$2)</f>
        <v>2</v>
      </c>
      <c r="D38">
        <f>SUMIFS(data!$C:$C,data!$A:$A,"="&amp;xyz!$A38,data!$B:$B,"="&amp;xyz!D$2)</f>
        <v>9</v>
      </c>
      <c r="E38">
        <f>SUMIFS(data!$C:$C,data!$A:$A,"="&amp;xyz!$A38,data!$B:$B,"="&amp;xyz!E$2)</f>
        <v>2</v>
      </c>
      <c r="F38">
        <f>SUMIFS(data!$C:$C,data!$A:$A,"="&amp;xyz!$A38,data!$B:$B,"="&amp;xyz!F$2)</f>
        <v>0</v>
      </c>
      <c r="G38">
        <f>SUMIFS(data!$C:$C,data!$A:$A,"="&amp;xyz!$A38,data!$B:$B,"="&amp;xyz!G$2)</f>
        <v>2</v>
      </c>
      <c r="H38">
        <f>SUMIFS(data!$C:$C,data!$A:$A,"="&amp;xyz!$A38,data!$B:$B,"="&amp;xyz!H$2)</f>
        <v>6</v>
      </c>
      <c r="I38">
        <f>SUMIFS(data!$C:$C,data!$A:$A,"="&amp;xyz!$A38,data!$B:$B,"="&amp;xyz!I$2)</f>
        <v>15</v>
      </c>
      <c r="J38">
        <f>SUMIFS(data!$C:$C,data!$A:$A,"="&amp;xyz!$A38,data!$B:$B,"="&amp;xyz!J$2)</f>
        <v>0</v>
      </c>
      <c r="K38">
        <f>SUMIFS(data!$C:$C,data!$A:$A,"="&amp;xyz!$A38,data!$B:$B,"="&amp;xyz!K$2)</f>
        <v>0</v>
      </c>
      <c r="L38">
        <f>SUMIFS(data!$C:$C,data!$A:$A,"="&amp;xyz!$A38,data!$B:$B,"="&amp;xyz!L$2)</f>
        <v>3</v>
      </c>
      <c r="M38">
        <f>SUMIFS(data!$C:$C,data!$A:$A,"="&amp;xyz!$A38,data!$B:$B,"="&amp;xyz!M$2)</f>
        <v>5</v>
      </c>
      <c r="N38">
        <f>SUMIFS(data!$C:$C,data!$A:$A,"="&amp;xyz!$A38,data!$B:$B,"="&amp;xyz!N$2)</f>
        <v>2</v>
      </c>
      <c r="O38">
        <f>SUMIFS(data!$C:$C,data!$A:$A,"="&amp;xyz!$A38,data!$B:$B,"="&amp;xyz!O$2)</f>
        <v>1</v>
      </c>
      <c r="P38">
        <f>SUMIFS(data!$C:$C,data!$A:$A,"="&amp;xyz!$A38,data!$B:$B,"="&amp;xyz!P$2)</f>
        <v>0</v>
      </c>
      <c r="Q38">
        <f>SUMIFS(data!$C:$C,data!$A:$A,"="&amp;xyz!$A38,data!$B:$B,"="&amp;xyz!Q$2)</f>
        <v>1</v>
      </c>
      <c r="R38">
        <f>SUMIFS(data!$C:$C,data!$A:$A,"="&amp;xyz!$A38,data!$B:$B,"="&amp;xyz!R$2)</f>
        <v>2</v>
      </c>
      <c r="S38">
        <f>SUMIFS(data!$C:$C,data!$A:$A,"="&amp;xyz!$A38,data!$B:$B,"="&amp;xyz!S$2)</f>
        <v>4</v>
      </c>
      <c r="T38">
        <f>SUMIFS(data!$C:$C,data!$A:$A,"="&amp;xyz!$A38,data!$B:$B,"="&amp;xyz!T$2)</f>
        <v>4</v>
      </c>
      <c r="U38">
        <f>SUMIFS(data!$C:$C,data!$A:$A,"="&amp;xyz!$A38,data!$B:$B,"="&amp;xyz!U$2)</f>
        <v>4</v>
      </c>
      <c r="V38">
        <f>SUMIFS(data!$C:$C,data!$A:$A,"="&amp;xyz!$A38,data!$B:$B,"="&amp;xyz!V$2)</f>
        <v>1</v>
      </c>
      <c r="W38">
        <f>SUMIFS(data!$C:$C,data!$A:$A,"="&amp;xyz!$A38,data!$B:$B,"="&amp;xyz!W$2)</f>
        <v>0</v>
      </c>
      <c r="X38">
        <f>SUMIFS(data!$C:$C,data!$A:$A,"="&amp;xyz!$A38,data!$B:$B,"="&amp;xyz!X$2)</f>
        <v>1</v>
      </c>
      <c r="Y38">
        <f>SUMIFS(data!$C:$C,data!$A:$A,"="&amp;xyz!$A38,data!$B:$B,"="&amp;xyz!Y$2)</f>
        <v>3</v>
      </c>
      <c r="Z38">
        <f>SUMIFS(data!$C:$C,data!$A:$A,"="&amp;xyz!$A38,data!$B:$B,"="&amp;xyz!Z$2)</f>
        <v>0</v>
      </c>
      <c r="AA38">
        <f>SUMIFS(data!$C:$C,data!$A:$A,"="&amp;xyz!$A38,data!$B:$B,"="&amp;xyz!AA$2)</f>
        <v>1</v>
      </c>
      <c r="AB38">
        <f>SUMIFS(data!$C:$C,data!$A:$A,"="&amp;xyz!$A38,data!$B:$B,"="&amp;xyz!AB$2)</f>
        <v>1</v>
      </c>
      <c r="AC38">
        <f>SUMIFS(data!$C:$C,data!$A:$A,"="&amp;xyz!$A38,data!$B:$B,"="&amp;xyz!AC$2)</f>
        <v>7</v>
      </c>
      <c r="AD38">
        <f>SUMIFS(data!$C:$C,data!$A:$A,"="&amp;xyz!$A38,data!$B:$B,"="&amp;xyz!AD$2)</f>
        <v>2</v>
      </c>
      <c r="AE38">
        <f>SUMIFS(data!$C:$C,data!$A:$A,"="&amp;xyz!$A38,data!$B:$B,"="&amp;xyz!AE$2)</f>
        <v>2</v>
      </c>
      <c r="AF38">
        <f>SUMIFS(data!$C:$C,data!$A:$A,"="&amp;xyz!$A38,data!$B:$B,"="&amp;xyz!AF$2)</f>
        <v>2</v>
      </c>
      <c r="AG38">
        <f>SUMIFS(data!$C:$C,data!$A:$A,"="&amp;xyz!$A38,data!$B:$B,"="&amp;xyz!AG$2)</f>
        <v>3</v>
      </c>
      <c r="AH38">
        <f>SUMIFS(data!$C:$C,data!$A:$A,"="&amp;xyz!$A38,data!$B:$B,"="&amp;xyz!AH$2)</f>
        <v>6</v>
      </c>
      <c r="AI38">
        <f>SUMIFS(data!$C:$C,data!$A:$A,"="&amp;xyz!$A38,data!$B:$B,"="&amp;xyz!AI$2)</f>
        <v>0</v>
      </c>
      <c r="AJ38">
        <f>SUMIFS(data!$C:$C,data!$A:$A,"="&amp;xyz!$A38,data!$B:$B,"="&amp;xyz!AJ$2)</f>
        <v>1</v>
      </c>
      <c r="AK38">
        <f>SUMIFS(data!$C:$C,data!$A:$A,"="&amp;xyz!$A38,data!$B:$B,"="&amp;xyz!AK$2)</f>
        <v>1</v>
      </c>
      <c r="AL38">
        <f>SUMIFS(data!$C:$C,data!$A:$A,"="&amp;xyz!$A38,data!$B:$B,"="&amp;xyz!AL$2)</f>
        <v>5</v>
      </c>
      <c r="AM38">
        <f>SUMIFS(data!$C:$C,data!$A:$A,"="&amp;xyz!$A38,data!$B:$B,"="&amp;xyz!AM$2)</f>
        <v>6</v>
      </c>
      <c r="AN38">
        <f>SUMIFS(data!$C:$C,data!$A:$A,"="&amp;xyz!$A38,data!$B:$B,"="&amp;xyz!AN$2)</f>
        <v>2</v>
      </c>
      <c r="AO38">
        <f>SUMIFS(data!$C:$C,data!$A:$A,"="&amp;xyz!$A38,data!$B:$B,"="&amp;xyz!AO$2)</f>
        <v>2</v>
      </c>
      <c r="AP38">
        <f>SUMIFS(data!$C:$C,data!$A:$A,"="&amp;xyz!$A38,data!$B:$B,"="&amp;xyz!AP$2)</f>
        <v>0</v>
      </c>
      <c r="AQ38" s="6">
        <f t="shared" si="2"/>
        <v>1.1006151934015795</v>
      </c>
    </row>
    <row r="39" spans="1:43" x14ac:dyDescent="0.3">
      <c r="A39" t="s">
        <v>45</v>
      </c>
      <c r="B39" s="6">
        <f t="shared" si="1"/>
        <v>0.61391941391941396</v>
      </c>
      <c r="C39">
        <f>SUMIFS(data!$C:$C,data!$A:$A,"="&amp;xyz!$A39,data!$B:$B,"="&amp;xyz!C$2)</f>
        <v>0</v>
      </c>
      <c r="D39">
        <f>SUMIFS(data!$C:$C,data!$A:$A,"="&amp;xyz!$A39,data!$B:$B,"="&amp;xyz!D$2)</f>
        <v>6</v>
      </c>
      <c r="E39">
        <f>SUMIFS(data!$C:$C,data!$A:$A,"="&amp;xyz!$A39,data!$B:$B,"="&amp;xyz!E$2)</f>
        <v>1</v>
      </c>
      <c r="F39">
        <f>SUMIFS(data!$C:$C,data!$A:$A,"="&amp;xyz!$A39,data!$B:$B,"="&amp;xyz!F$2)</f>
        <v>3</v>
      </c>
      <c r="G39">
        <f>SUMIFS(data!$C:$C,data!$A:$A,"="&amp;xyz!$A39,data!$B:$B,"="&amp;xyz!G$2)</f>
        <v>13</v>
      </c>
      <c r="H39">
        <f>SUMIFS(data!$C:$C,data!$A:$A,"="&amp;xyz!$A39,data!$B:$B,"="&amp;xyz!H$2)</f>
        <v>5</v>
      </c>
      <c r="I39">
        <f>SUMIFS(data!$C:$C,data!$A:$A,"="&amp;xyz!$A39,data!$B:$B,"="&amp;xyz!I$2)</f>
        <v>5</v>
      </c>
      <c r="J39">
        <f>SUMIFS(data!$C:$C,data!$A:$A,"="&amp;xyz!$A39,data!$B:$B,"="&amp;xyz!J$2)</f>
        <v>9</v>
      </c>
      <c r="K39">
        <f>SUMIFS(data!$C:$C,data!$A:$A,"="&amp;xyz!$A39,data!$B:$B,"="&amp;xyz!K$2)</f>
        <v>0</v>
      </c>
      <c r="L39">
        <f>SUMIFS(data!$C:$C,data!$A:$A,"="&amp;xyz!$A39,data!$B:$B,"="&amp;xyz!L$2)</f>
        <v>4</v>
      </c>
      <c r="M39">
        <f>SUMIFS(data!$C:$C,data!$A:$A,"="&amp;xyz!$A39,data!$B:$B,"="&amp;xyz!M$2)</f>
        <v>2</v>
      </c>
      <c r="N39">
        <f>SUMIFS(data!$C:$C,data!$A:$A,"="&amp;xyz!$A39,data!$B:$B,"="&amp;xyz!N$2)</f>
        <v>6</v>
      </c>
      <c r="O39">
        <f>SUMIFS(data!$C:$C,data!$A:$A,"="&amp;xyz!$A39,data!$B:$B,"="&amp;xyz!O$2)</f>
        <v>5</v>
      </c>
      <c r="P39">
        <f>SUMIFS(data!$C:$C,data!$A:$A,"="&amp;xyz!$A39,data!$B:$B,"="&amp;xyz!P$2)</f>
        <v>13</v>
      </c>
      <c r="Q39">
        <f>SUMIFS(data!$C:$C,data!$A:$A,"="&amp;xyz!$A39,data!$B:$B,"="&amp;xyz!Q$2)</f>
        <v>11</v>
      </c>
      <c r="R39">
        <f>SUMIFS(data!$C:$C,data!$A:$A,"="&amp;xyz!$A39,data!$B:$B,"="&amp;xyz!R$2)</f>
        <v>5</v>
      </c>
      <c r="S39">
        <f>SUMIFS(data!$C:$C,data!$A:$A,"="&amp;xyz!$A39,data!$B:$B,"="&amp;xyz!S$2)</f>
        <v>17</v>
      </c>
      <c r="T39">
        <f>SUMIFS(data!$C:$C,data!$A:$A,"="&amp;xyz!$A39,data!$B:$B,"="&amp;xyz!T$2)</f>
        <v>15</v>
      </c>
      <c r="U39">
        <f>SUMIFS(data!$C:$C,data!$A:$A,"="&amp;xyz!$A39,data!$B:$B,"="&amp;xyz!U$2)</f>
        <v>1</v>
      </c>
      <c r="V39">
        <f>SUMIFS(data!$C:$C,data!$A:$A,"="&amp;xyz!$A39,data!$B:$B,"="&amp;xyz!V$2)</f>
        <v>21</v>
      </c>
      <c r="W39">
        <f>SUMIFS(data!$C:$C,data!$A:$A,"="&amp;xyz!$A39,data!$B:$B,"="&amp;xyz!W$2)</f>
        <v>17</v>
      </c>
      <c r="X39">
        <f>SUMIFS(data!$C:$C,data!$A:$A,"="&amp;xyz!$A39,data!$B:$B,"="&amp;xyz!X$2)</f>
        <v>3</v>
      </c>
      <c r="Y39">
        <f>SUMIFS(data!$C:$C,data!$A:$A,"="&amp;xyz!$A39,data!$B:$B,"="&amp;xyz!Y$2)</f>
        <v>2</v>
      </c>
      <c r="Z39">
        <f>SUMIFS(data!$C:$C,data!$A:$A,"="&amp;xyz!$A39,data!$B:$B,"="&amp;xyz!Z$2)</f>
        <v>5</v>
      </c>
      <c r="AA39">
        <f>SUMIFS(data!$C:$C,data!$A:$A,"="&amp;xyz!$A39,data!$B:$B,"="&amp;xyz!AA$2)</f>
        <v>3</v>
      </c>
      <c r="AB39">
        <f>SUMIFS(data!$C:$C,data!$A:$A,"="&amp;xyz!$A39,data!$B:$B,"="&amp;xyz!AB$2)</f>
        <v>8</v>
      </c>
      <c r="AC39">
        <f>SUMIFS(data!$C:$C,data!$A:$A,"="&amp;xyz!$A39,data!$B:$B,"="&amp;xyz!AC$2)</f>
        <v>4</v>
      </c>
      <c r="AD39">
        <f>SUMIFS(data!$C:$C,data!$A:$A,"="&amp;xyz!$A39,data!$B:$B,"="&amp;xyz!AD$2)</f>
        <v>13</v>
      </c>
      <c r="AE39">
        <f>SUMIFS(data!$C:$C,data!$A:$A,"="&amp;xyz!$A39,data!$B:$B,"="&amp;xyz!AE$2)</f>
        <v>10</v>
      </c>
      <c r="AF39">
        <f>SUMIFS(data!$C:$C,data!$A:$A,"="&amp;xyz!$A39,data!$B:$B,"="&amp;xyz!AF$2)</f>
        <v>3</v>
      </c>
      <c r="AG39">
        <f>SUMIFS(data!$C:$C,data!$A:$A,"="&amp;xyz!$A39,data!$B:$B,"="&amp;xyz!AG$2)</f>
        <v>15</v>
      </c>
      <c r="AH39">
        <f>SUMIFS(data!$C:$C,data!$A:$A,"="&amp;xyz!$A39,data!$B:$B,"="&amp;xyz!AH$2)</f>
        <v>8</v>
      </c>
      <c r="AI39">
        <f>SUMIFS(data!$C:$C,data!$A:$A,"="&amp;xyz!$A39,data!$B:$B,"="&amp;xyz!AI$2)</f>
        <v>8</v>
      </c>
      <c r="AJ39">
        <f>SUMIFS(data!$C:$C,data!$A:$A,"="&amp;xyz!$A39,data!$B:$B,"="&amp;xyz!AJ$2)</f>
        <v>4</v>
      </c>
      <c r="AK39">
        <f>SUMIFS(data!$C:$C,data!$A:$A,"="&amp;xyz!$A39,data!$B:$B,"="&amp;xyz!AK$2)</f>
        <v>2</v>
      </c>
      <c r="AL39">
        <f>SUMIFS(data!$C:$C,data!$A:$A,"="&amp;xyz!$A39,data!$B:$B,"="&amp;xyz!AL$2)</f>
        <v>4</v>
      </c>
      <c r="AM39">
        <f>SUMIFS(data!$C:$C,data!$A:$A,"="&amp;xyz!$A39,data!$B:$B,"="&amp;xyz!AM$2)</f>
        <v>7</v>
      </c>
      <c r="AN39">
        <f>SUMIFS(data!$C:$C,data!$A:$A,"="&amp;xyz!$A39,data!$B:$B,"="&amp;xyz!AN$2)</f>
        <v>1</v>
      </c>
      <c r="AO39">
        <f>SUMIFS(data!$C:$C,data!$A:$A,"="&amp;xyz!$A39,data!$B:$B,"="&amp;xyz!AO$2)</f>
        <v>6</v>
      </c>
      <c r="AP39">
        <f>SUMIFS(data!$C:$C,data!$A:$A,"="&amp;xyz!$A39,data!$B:$B,"="&amp;xyz!AP$2)</f>
        <v>8</v>
      </c>
      <c r="AQ39" s="6">
        <f t="shared" si="2"/>
        <v>0.76666372511116743</v>
      </c>
    </row>
    <row r="40" spans="1:43" x14ac:dyDescent="0.3">
      <c r="A40" t="s">
        <v>124</v>
      </c>
      <c r="B40" s="6">
        <f t="shared" si="1"/>
        <v>0.64090909090909098</v>
      </c>
      <c r="C40">
        <f>SUMIFS(data!$C:$C,data!$A:$A,"="&amp;xyz!$A40,data!$B:$B,"="&amp;xyz!C$2)</f>
        <v>1</v>
      </c>
      <c r="D40">
        <f>SUMIFS(data!$C:$C,data!$A:$A,"="&amp;xyz!$A40,data!$B:$B,"="&amp;xyz!D$2)</f>
        <v>0</v>
      </c>
      <c r="E40">
        <f>SUMIFS(data!$C:$C,data!$A:$A,"="&amp;xyz!$A40,data!$B:$B,"="&amp;xyz!E$2)</f>
        <v>3</v>
      </c>
      <c r="F40">
        <f>SUMIFS(data!$C:$C,data!$A:$A,"="&amp;xyz!$A40,data!$B:$B,"="&amp;xyz!F$2)</f>
        <v>3</v>
      </c>
      <c r="G40">
        <f>SUMIFS(data!$C:$C,data!$A:$A,"="&amp;xyz!$A40,data!$B:$B,"="&amp;xyz!G$2)</f>
        <v>6</v>
      </c>
      <c r="H40">
        <f>SUMIFS(data!$C:$C,data!$A:$A,"="&amp;xyz!$A40,data!$B:$B,"="&amp;xyz!H$2)</f>
        <v>2</v>
      </c>
      <c r="I40">
        <f>SUMIFS(data!$C:$C,data!$A:$A,"="&amp;xyz!$A40,data!$B:$B,"="&amp;xyz!I$2)</f>
        <v>2</v>
      </c>
      <c r="J40">
        <f>SUMIFS(data!$C:$C,data!$A:$A,"="&amp;xyz!$A40,data!$B:$B,"="&amp;xyz!J$2)</f>
        <v>1</v>
      </c>
      <c r="K40">
        <f>SUMIFS(data!$C:$C,data!$A:$A,"="&amp;xyz!$A40,data!$B:$B,"="&amp;xyz!K$2)</f>
        <v>0</v>
      </c>
      <c r="L40">
        <f>SUMIFS(data!$C:$C,data!$A:$A,"="&amp;xyz!$A40,data!$B:$B,"="&amp;xyz!L$2)</f>
        <v>2</v>
      </c>
      <c r="M40">
        <f>SUMIFS(data!$C:$C,data!$A:$A,"="&amp;xyz!$A40,data!$B:$B,"="&amp;xyz!M$2)</f>
        <v>0</v>
      </c>
      <c r="N40">
        <f>SUMIFS(data!$C:$C,data!$A:$A,"="&amp;xyz!$A40,data!$B:$B,"="&amp;xyz!N$2)</f>
        <v>2</v>
      </c>
      <c r="O40">
        <f>SUMIFS(data!$C:$C,data!$A:$A,"="&amp;xyz!$A40,data!$B:$B,"="&amp;xyz!O$2)</f>
        <v>4</v>
      </c>
      <c r="P40">
        <f>SUMIFS(data!$C:$C,data!$A:$A,"="&amp;xyz!$A40,data!$B:$B,"="&amp;xyz!P$2)</f>
        <v>1</v>
      </c>
      <c r="Q40">
        <f>SUMIFS(data!$C:$C,data!$A:$A,"="&amp;xyz!$A40,data!$B:$B,"="&amp;xyz!Q$2)</f>
        <v>7</v>
      </c>
      <c r="R40">
        <f>SUMIFS(data!$C:$C,data!$A:$A,"="&amp;xyz!$A40,data!$B:$B,"="&amp;xyz!R$2)</f>
        <v>4</v>
      </c>
      <c r="S40">
        <f>SUMIFS(data!$C:$C,data!$A:$A,"="&amp;xyz!$A40,data!$B:$B,"="&amp;xyz!S$2)</f>
        <v>5</v>
      </c>
      <c r="T40">
        <f>SUMIFS(data!$C:$C,data!$A:$A,"="&amp;xyz!$A40,data!$B:$B,"="&amp;xyz!T$2)</f>
        <v>3</v>
      </c>
      <c r="U40">
        <f>SUMIFS(data!$C:$C,data!$A:$A,"="&amp;xyz!$A40,data!$B:$B,"="&amp;xyz!U$2)</f>
        <v>2</v>
      </c>
      <c r="V40">
        <f>SUMIFS(data!$C:$C,data!$A:$A,"="&amp;xyz!$A40,data!$B:$B,"="&amp;xyz!V$2)</f>
        <v>2</v>
      </c>
      <c r="W40">
        <f>SUMIFS(data!$C:$C,data!$A:$A,"="&amp;xyz!$A40,data!$B:$B,"="&amp;xyz!W$2)</f>
        <v>2</v>
      </c>
      <c r="X40">
        <f>SUMIFS(data!$C:$C,data!$A:$A,"="&amp;xyz!$A40,data!$B:$B,"="&amp;xyz!X$2)</f>
        <v>0</v>
      </c>
      <c r="Y40">
        <f>SUMIFS(data!$C:$C,data!$A:$A,"="&amp;xyz!$A40,data!$B:$B,"="&amp;xyz!Y$2)</f>
        <v>1</v>
      </c>
      <c r="Z40">
        <f>SUMIFS(data!$C:$C,data!$A:$A,"="&amp;xyz!$A40,data!$B:$B,"="&amp;xyz!Z$2)</f>
        <v>3</v>
      </c>
      <c r="AA40">
        <f>SUMIFS(data!$C:$C,data!$A:$A,"="&amp;xyz!$A40,data!$B:$B,"="&amp;xyz!AA$2)</f>
        <v>4</v>
      </c>
      <c r="AB40">
        <f>SUMIFS(data!$C:$C,data!$A:$A,"="&amp;xyz!$A40,data!$B:$B,"="&amp;xyz!AB$2)</f>
        <v>3</v>
      </c>
      <c r="AC40">
        <f>SUMIFS(data!$C:$C,data!$A:$A,"="&amp;xyz!$A40,data!$B:$B,"="&amp;xyz!AC$2)</f>
        <v>2</v>
      </c>
      <c r="AD40">
        <f>SUMIFS(data!$C:$C,data!$A:$A,"="&amp;xyz!$A40,data!$B:$B,"="&amp;xyz!AD$2)</f>
        <v>0</v>
      </c>
      <c r="AE40">
        <f>SUMIFS(data!$C:$C,data!$A:$A,"="&amp;xyz!$A40,data!$B:$B,"="&amp;xyz!AE$2)</f>
        <v>2</v>
      </c>
      <c r="AF40">
        <f>SUMIFS(data!$C:$C,data!$A:$A,"="&amp;xyz!$A40,data!$B:$B,"="&amp;xyz!AF$2)</f>
        <v>0</v>
      </c>
      <c r="AG40">
        <f>SUMIFS(data!$C:$C,data!$A:$A,"="&amp;xyz!$A40,data!$B:$B,"="&amp;xyz!AG$2)</f>
        <v>2</v>
      </c>
      <c r="AH40">
        <f>SUMIFS(data!$C:$C,data!$A:$A,"="&amp;xyz!$A40,data!$B:$B,"="&amp;xyz!AH$2)</f>
        <v>4</v>
      </c>
      <c r="AI40">
        <f>SUMIFS(data!$C:$C,data!$A:$A,"="&amp;xyz!$A40,data!$B:$B,"="&amp;xyz!AI$2)</f>
        <v>1</v>
      </c>
      <c r="AJ40">
        <f>SUMIFS(data!$C:$C,data!$A:$A,"="&amp;xyz!$A40,data!$B:$B,"="&amp;xyz!AJ$2)</f>
        <v>2</v>
      </c>
      <c r="AK40">
        <f>SUMIFS(data!$C:$C,data!$A:$A,"="&amp;xyz!$A40,data!$B:$B,"="&amp;xyz!AK$2)</f>
        <v>0</v>
      </c>
      <c r="AL40">
        <f>SUMIFS(data!$C:$C,data!$A:$A,"="&amp;xyz!$A40,data!$B:$B,"="&amp;xyz!AL$2)</f>
        <v>1</v>
      </c>
      <c r="AM40">
        <f>SUMIFS(data!$C:$C,data!$A:$A,"="&amp;xyz!$A40,data!$B:$B,"="&amp;xyz!AM$2)</f>
        <v>4</v>
      </c>
      <c r="AN40">
        <f>SUMIFS(data!$C:$C,data!$A:$A,"="&amp;xyz!$A40,data!$B:$B,"="&amp;xyz!AN$2)</f>
        <v>1</v>
      </c>
      <c r="AO40">
        <f>SUMIFS(data!$C:$C,data!$A:$A,"="&amp;xyz!$A40,data!$B:$B,"="&amp;xyz!AO$2)</f>
        <v>6</v>
      </c>
      <c r="AP40">
        <f>SUMIFS(data!$C:$C,data!$A:$A,"="&amp;xyz!$A40,data!$B:$B,"="&amp;xyz!AP$2)</f>
        <v>0</v>
      </c>
      <c r="AQ40" s="6">
        <f t="shared" si="2"/>
        <v>0.82475988144856061</v>
      </c>
    </row>
    <row r="41" spans="1:43" x14ac:dyDescent="0.3">
      <c r="A41" t="s">
        <v>22</v>
      </c>
      <c r="B41" s="6">
        <f t="shared" si="1"/>
        <v>0.88181818181818172</v>
      </c>
      <c r="C41">
        <f>SUMIFS(data!$C:$C,data!$A:$A,"="&amp;xyz!$A41,data!$B:$B,"="&amp;xyz!C$2)</f>
        <v>3</v>
      </c>
      <c r="D41">
        <f>SUMIFS(data!$C:$C,data!$A:$A,"="&amp;xyz!$A41,data!$B:$B,"="&amp;xyz!D$2)</f>
        <v>1</v>
      </c>
      <c r="E41">
        <f>SUMIFS(data!$C:$C,data!$A:$A,"="&amp;xyz!$A41,data!$B:$B,"="&amp;xyz!E$2)</f>
        <v>0</v>
      </c>
      <c r="F41">
        <f>SUMIFS(data!$C:$C,data!$A:$A,"="&amp;xyz!$A41,data!$B:$B,"="&amp;xyz!F$2)</f>
        <v>0</v>
      </c>
      <c r="G41">
        <f>SUMIFS(data!$C:$C,data!$A:$A,"="&amp;xyz!$A41,data!$B:$B,"="&amp;xyz!G$2)</f>
        <v>0</v>
      </c>
      <c r="H41">
        <f>SUMIFS(data!$C:$C,data!$A:$A,"="&amp;xyz!$A41,data!$B:$B,"="&amp;xyz!H$2)</f>
        <v>4</v>
      </c>
      <c r="I41">
        <f>SUMIFS(data!$C:$C,data!$A:$A,"="&amp;xyz!$A41,data!$B:$B,"="&amp;xyz!I$2)</f>
        <v>5</v>
      </c>
      <c r="J41">
        <f>SUMIFS(data!$C:$C,data!$A:$A,"="&amp;xyz!$A41,data!$B:$B,"="&amp;xyz!J$2)</f>
        <v>4</v>
      </c>
      <c r="K41">
        <f>SUMIFS(data!$C:$C,data!$A:$A,"="&amp;xyz!$A41,data!$B:$B,"="&amp;xyz!K$2)</f>
        <v>0</v>
      </c>
      <c r="L41">
        <f>SUMIFS(data!$C:$C,data!$A:$A,"="&amp;xyz!$A41,data!$B:$B,"="&amp;xyz!L$2)</f>
        <v>0</v>
      </c>
      <c r="M41">
        <f>SUMIFS(data!$C:$C,data!$A:$A,"="&amp;xyz!$A41,data!$B:$B,"="&amp;xyz!M$2)</f>
        <v>1</v>
      </c>
      <c r="N41">
        <f>SUMIFS(data!$C:$C,data!$A:$A,"="&amp;xyz!$A41,data!$B:$B,"="&amp;xyz!N$2)</f>
        <v>3</v>
      </c>
      <c r="O41">
        <f>SUMIFS(data!$C:$C,data!$A:$A,"="&amp;xyz!$A41,data!$B:$B,"="&amp;xyz!O$2)</f>
        <v>3</v>
      </c>
      <c r="P41">
        <f>SUMIFS(data!$C:$C,data!$A:$A,"="&amp;xyz!$A41,data!$B:$B,"="&amp;xyz!P$2)</f>
        <v>4</v>
      </c>
      <c r="Q41">
        <f>SUMIFS(data!$C:$C,data!$A:$A,"="&amp;xyz!$A41,data!$B:$B,"="&amp;xyz!Q$2)</f>
        <v>2</v>
      </c>
      <c r="R41">
        <f>SUMIFS(data!$C:$C,data!$A:$A,"="&amp;xyz!$A41,data!$B:$B,"="&amp;xyz!R$2)</f>
        <v>2</v>
      </c>
      <c r="S41">
        <f>SUMIFS(data!$C:$C,data!$A:$A,"="&amp;xyz!$A41,data!$B:$B,"="&amp;xyz!S$2)</f>
        <v>2</v>
      </c>
      <c r="T41">
        <f>SUMIFS(data!$C:$C,data!$A:$A,"="&amp;xyz!$A41,data!$B:$B,"="&amp;xyz!T$2)</f>
        <v>0</v>
      </c>
      <c r="U41">
        <f>SUMIFS(data!$C:$C,data!$A:$A,"="&amp;xyz!$A41,data!$B:$B,"="&amp;xyz!U$2)</f>
        <v>0</v>
      </c>
      <c r="V41">
        <f>SUMIFS(data!$C:$C,data!$A:$A,"="&amp;xyz!$A41,data!$B:$B,"="&amp;xyz!V$2)</f>
        <v>0</v>
      </c>
      <c r="W41">
        <f>SUMIFS(data!$C:$C,data!$A:$A,"="&amp;xyz!$A41,data!$B:$B,"="&amp;xyz!W$2)</f>
        <v>0</v>
      </c>
      <c r="X41">
        <f>SUMIFS(data!$C:$C,data!$A:$A,"="&amp;xyz!$A41,data!$B:$B,"="&amp;xyz!X$2)</f>
        <v>0</v>
      </c>
      <c r="Y41">
        <f>SUMIFS(data!$C:$C,data!$A:$A,"="&amp;xyz!$A41,data!$B:$B,"="&amp;xyz!Y$2)</f>
        <v>4</v>
      </c>
      <c r="Z41">
        <f>SUMIFS(data!$C:$C,data!$A:$A,"="&amp;xyz!$A41,data!$B:$B,"="&amp;xyz!Z$2)</f>
        <v>0</v>
      </c>
      <c r="AA41">
        <f>SUMIFS(data!$C:$C,data!$A:$A,"="&amp;xyz!$A41,data!$B:$B,"="&amp;xyz!AA$2)</f>
        <v>5</v>
      </c>
      <c r="AB41">
        <f>SUMIFS(data!$C:$C,data!$A:$A,"="&amp;xyz!$A41,data!$B:$B,"="&amp;xyz!AB$2)</f>
        <v>2</v>
      </c>
      <c r="AC41">
        <f>SUMIFS(data!$C:$C,data!$A:$A,"="&amp;xyz!$A41,data!$B:$B,"="&amp;xyz!AC$2)</f>
        <v>6</v>
      </c>
      <c r="AD41">
        <f>SUMIFS(data!$C:$C,data!$A:$A,"="&amp;xyz!$A41,data!$B:$B,"="&amp;xyz!AD$2)</f>
        <v>5</v>
      </c>
      <c r="AE41">
        <f>SUMIFS(data!$C:$C,data!$A:$A,"="&amp;xyz!$A41,data!$B:$B,"="&amp;xyz!AE$2)</f>
        <v>5</v>
      </c>
      <c r="AF41">
        <f>SUMIFS(data!$C:$C,data!$A:$A,"="&amp;xyz!$A41,data!$B:$B,"="&amp;xyz!AF$2)</f>
        <v>0</v>
      </c>
      <c r="AG41">
        <f>SUMIFS(data!$C:$C,data!$A:$A,"="&amp;xyz!$A41,data!$B:$B,"="&amp;xyz!AG$2)</f>
        <v>5</v>
      </c>
      <c r="AH41">
        <f>SUMIFS(data!$C:$C,data!$A:$A,"="&amp;xyz!$A41,data!$B:$B,"="&amp;xyz!AH$2)</f>
        <v>7</v>
      </c>
      <c r="AI41">
        <f>SUMIFS(data!$C:$C,data!$A:$A,"="&amp;xyz!$A41,data!$B:$B,"="&amp;xyz!AI$2)</f>
        <v>1</v>
      </c>
      <c r="AJ41">
        <f>SUMIFS(data!$C:$C,data!$A:$A,"="&amp;xyz!$A41,data!$B:$B,"="&amp;xyz!AJ$2)</f>
        <v>0</v>
      </c>
      <c r="AK41">
        <f>SUMIFS(data!$C:$C,data!$A:$A,"="&amp;xyz!$A41,data!$B:$B,"="&amp;xyz!AK$2)</f>
        <v>1</v>
      </c>
      <c r="AL41">
        <f>SUMIFS(data!$C:$C,data!$A:$A,"="&amp;xyz!$A41,data!$B:$B,"="&amp;xyz!AL$2)</f>
        <v>0</v>
      </c>
      <c r="AM41">
        <f>SUMIFS(data!$C:$C,data!$A:$A,"="&amp;xyz!$A41,data!$B:$B,"="&amp;xyz!AM$2)</f>
        <v>1</v>
      </c>
      <c r="AN41">
        <f>SUMIFS(data!$C:$C,data!$A:$A,"="&amp;xyz!$A41,data!$B:$B,"="&amp;xyz!AN$2)</f>
        <v>6</v>
      </c>
      <c r="AO41">
        <f>SUMIFS(data!$C:$C,data!$A:$A,"="&amp;xyz!$A41,data!$B:$B,"="&amp;xyz!AO$2)</f>
        <v>1</v>
      </c>
      <c r="AP41">
        <f>SUMIFS(data!$C:$C,data!$A:$A,"="&amp;xyz!$A41,data!$B:$B,"="&amp;xyz!AP$2)</f>
        <v>5</v>
      </c>
      <c r="AQ41" s="6">
        <f t="shared" si="2"/>
        <v>1.0043347456976455</v>
      </c>
    </row>
    <row r="42" spans="1:43" x14ac:dyDescent="0.3">
      <c r="A42" t="s">
        <v>85</v>
      </c>
      <c r="B42" s="6">
        <f t="shared" si="1"/>
        <v>0.61515151515151523</v>
      </c>
      <c r="C42">
        <f>SUMIFS(data!$C:$C,data!$A:$A,"="&amp;xyz!$A42,data!$B:$B,"="&amp;xyz!C$2)</f>
        <v>0</v>
      </c>
      <c r="D42">
        <f>SUMIFS(data!$C:$C,data!$A:$A,"="&amp;xyz!$A42,data!$B:$B,"="&amp;xyz!D$2)</f>
        <v>9</v>
      </c>
      <c r="E42">
        <f>SUMIFS(data!$C:$C,data!$A:$A,"="&amp;xyz!$A42,data!$B:$B,"="&amp;xyz!E$2)</f>
        <v>3</v>
      </c>
      <c r="F42">
        <f>SUMIFS(data!$C:$C,data!$A:$A,"="&amp;xyz!$A42,data!$B:$B,"="&amp;xyz!F$2)</f>
        <v>7</v>
      </c>
      <c r="G42">
        <f>SUMIFS(data!$C:$C,data!$A:$A,"="&amp;xyz!$A42,data!$B:$B,"="&amp;xyz!G$2)</f>
        <v>0</v>
      </c>
      <c r="H42">
        <f>SUMIFS(data!$C:$C,data!$A:$A,"="&amp;xyz!$A42,data!$B:$B,"="&amp;xyz!H$2)</f>
        <v>7</v>
      </c>
      <c r="I42">
        <f>SUMIFS(data!$C:$C,data!$A:$A,"="&amp;xyz!$A42,data!$B:$B,"="&amp;xyz!I$2)</f>
        <v>8</v>
      </c>
      <c r="J42">
        <f>SUMIFS(data!$C:$C,data!$A:$A,"="&amp;xyz!$A42,data!$B:$B,"="&amp;xyz!J$2)</f>
        <v>7</v>
      </c>
      <c r="K42">
        <f>SUMIFS(data!$C:$C,data!$A:$A,"="&amp;xyz!$A42,data!$B:$B,"="&amp;xyz!K$2)</f>
        <v>0</v>
      </c>
      <c r="L42">
        <f>SUMIFS(data!$C:$C,data!$A:$A,"="&amp;xyz!$A42,data!$B:$B,"="&amp;xyz!L$2)</f>
        <v>4</v>
      </c>
      <c r="M42">
        <f>SUMIFS(data!$C:$C,data!$A:$A,"="&amp;xyz!$A42,data!$B:$B,"="&amp;xyz!M$2)</f>
        <v>7</v>
      </c>
      <c r="N42">
        <f>SUMIFS(data!$C:$C,data!$A:$A,"="&amp;xyz!$A42,data!$B:$B,"="&amp;xyz!N$2)</f>
        <v>3</v>
      </c>
      <c r="O42">
        <f>SUMIFS(data!$C:$C,data!$A:$A,"="&amp;xyz!$A42,data!$B:$B,"="&amp;xyz!O$2)</f>
        <v>0</v>
      </c>
      <c r="P42">
        <f>SUMIFS(data!$C:$C,data!$A:$A,"="&amp;xyz!$A42,data!$B:$B,"="&amp;xyz!P$2)</f>
        <v>7</v>
      </c>
      <c r="Q42">
        <f>SUMIFS(data!$C:$C,data!$A:$A,"="&amp;xyz!$A42,data!$B:$B,"="&amp;xyz!Q$2)</f>
        <v>6</v>
      </c>
      <c r="R42">
        <f>SUMIFS(data!$C:$C,data!$A:$A,"="&amp;xyz!$A42,data!$B:$B,"="&amp;xyz!R$2)</f>
        <v>3</v>
      </c>
      <c r="S42">
        <f>SUMIFS(data!$C:$C,data!$A:$A,"="&amp;xyz!$A42,data!$B:$B,"="&amp;xyz!S$2)</f>
        <v>0</v>
      </c>
      <c r="T42">
        <f>SUMIFS(data!$C:$C,data!$A:$A,"="&amp;xyz!$A42,data!$B:$B,"="&amp;xyz!T$2)</f>
        <v>2</v>
      </c>
      <c r="U42">
        <f>SUMIFS(data!$C:$C,data!$A:$A,"="&amp;xyz!$A42,data!$B:$B,"="&amp;xyz!U$2)</f>
        <v>4</v>
      </c>
      <c r="V42">
        <f>SUMIFS(data!$C:$C,data!$A:$A,"="&amp;xyz!$A42,data!$B:$B,"="&amp;xyz!V$2)</f>
        <v>5</v>
      </c>
      <c r="W42">
        <f>SUMIFS(data!$C:$C,data!$A:$A,"="&amp;xyz!$A42,data!$B:$B,"="&amp;xyz!W$2)</f>
        <v>14</v>
      </c>
      <c r="X42">
        <f>SUMIFS(data!$C:$C,data!$A:$A,"="&amp;xyz!$A42,data!$B:$B,"="&amp;xyz!X$2)</f>
        <v>0</v>
      </c>
      <c r="Y42">
        <f>SUMIFS(data!$C:$C,data!$A:$A,"="&amp;xyz!$A42,data!$B:$B,"="&amp;xyz!Y$2)</f>
        <v>7</v>
      </c>
      <c r="Z42">
        <f>SUMIFS(data!$C:$C,data!$A:$A,"="&amp;xyz!$A42,data!$B:$B,"="&amp;xyz!Z$2)</f>
        <v>2</v>
      </c>
      <c r="AA42">
        <f>SUMIFS(data!$C:$C,data!$A:$A,"="&amp;xyz!$A42,data!$B:$B,"="&amp;xyz!AA$2)</f>
        <v>4</v>
      </c>
      <c r="AB42">
        <f>SUMIFS(data!$C:$C,data!$A:$A,"="&amp;xyz!$A42,data!$B:$B,"="&amp;xyz!AB$2)</f>
        <v>3</v>
      </c>
      <c r="AC42">
        <f>SUMIFS(data!$C:$C,data!$A:$A,"="&amp;xyz!$A42,data!$B:$B,"="&amp;xyz!AC$2)</f>
        <v>1</v>
      </c>
      <c r="AD42">
        <f>SUMIFS(data!$C:$C,data!$A:$A,"="&amp;xyz!$A42,data!$B:$B,"="&amp;xyz!AD$2)</f>
        <v>0</v>
      </c>
      <c r="AE42">
        <f>SUMIFS(data!$C:$C,data!$A:$A,"="&amp;xyz!$A42,data!$B:$B,"="&amp;xyz!AE$2)</f>
        <v>2</v>
      </c>
      <c r="AF42">
        <f>SUMIFS(data!$C:$C,data!$A:$A,"="&amp;xyz!$A42,data!$B:$B,"="&amp;xyz!AF$2)</f>
        <v>4</v>
      </c>
      <c r="AG42">
        <f>SUMIFS(data!$C:$C,data!$A:$A,"="&amp;xyz!$A42,data!$B:$B,"="&amp;xyz!AG$2)</f>
        <v>1</v>
      </c>
      <c r="AH42">
        <f>SUMIFS(data!$C:$C,data!$A:$A,"="&amp;xyz!$A42,data!$B:$B,"="&amp;xyz!AH$2)</f>
        <v>1</v>
      </c>
      <c r="AI42">
        <f>SUMIFS(data!$C:$C,data!$A:$A,"="&amp;xyz!$A42,data!$B:$B,"="&amp;xyz!AI$2)</f>
        <v>6</v>
      </c>
      <c r="AJ42">
        <f>SUMIFS(data!$C:$C,data!$A:$A,"="&amp;xyz!$A42,data!$B:$B,"="&amp;xyz!AJ$2)</f>
        <v>8</v>
      </c>
      <c r="AK42">
        <f>SUMIFS(data!$C:$C,data!$A:$A,"="&amp;xyz!$A42,data!$B:$B,"="&amp;xyz!AK$2)</f>
        <v>6</v>
      </c>
      <c r="AL42">
        <f>SUMIFS(data!$C:$C,data!$A:$A,"="&amp;xyz!$A42,data!$B:$B,"="&amp;xyz!AL$2)</f>
        <v>5</v>
      </c>
      <c r="AM42">
        <f>SUMIFS(data!$C:$C,data!$A:$A,"="&amp;xyz!$A42,data!$B:$B,"="&amp;xyz!AM$2)</f>
        <v>6</v>
      </c>
      <c r="AN42">
        <f>SUMIFS(data!$C:$C,data!$A:$A,"="&amp;xyz!$A42,data!$B:$B,"="&amp;xyz!AN$2)</f>
        <v>5</v>
      </c>
      <c r="AO42">
        <f>SUMIFS(data!$C:$C,data!$A:$A,"="&amp;xyz!$A42,data!$B:$B,"="&amp;xyz!AO$2)</f>
        <v>3</v>
      </c>
      <c r="AP42">
        <f>SUMIFS(data!$C:$C,data!$A:$A,"="&amp;xyz!$A42,data!$B:$B,"="&amp;xyz!AP$2)</f>
        <v>5</v>
      </c>
      <c r="AQ42" s="6">
        <f t="shared" si="2"/>
        <v>0.76304166480774971</v>
      </c>
    </row>
    <row r="43" spans="1:43" x14ac:dyDescent="0.3">
      <c r="A43" t="s">
        <v>38</v>
      </c>
      <c r="B43" s="6">
        <f t="shared" si="1"/>
        <v>1.19</v>
      </c>
      <c r="C43">
        <f>SUMIFS(data!$C:$C,data!$A:$A,"="&amp;xyz!$A43,data!$B:$B,"="&amp;xyz!C$2)</f>
        <v>0</v>
      </c>
      <c r="D43">
        <f>SUMIFS(data!$C:$C,data!$A:$A,"="&amp;xyz!$A43,data!$B:$B,"="&amp;xyz!D$2)</f>
        <v>5</v>
      </c>
      <c r="E43">
        <f>SUMIFS(data!$C:$C,data!$A:$A,"="&amp;xyz!$A43,data!$B:$B,"="&amp;xyz!E$2)</f>
        <v>2</v>
      </c>
      <c r="F43">
        <f>SUMIFS(data!$C:$C,data!$A:$A,"="&amp;xyz!$A43,data!$B:$B,"="&amp;xyz!F$2)</f>
        <v>0</v>
      </c>
      <c r="G43">
        <f>SUMIFS(data!$C:$C,data!$A:$A,"="&amp;xyz!$A43,data!$B:$B,"="&amp;xyz!G$2)</f>
        <v>6</v>
      </c>
      <c r="H43">
        <f>SUMIFS(data!$C:$C,data!$A:$A,"="&amp;xyz!$A43,data!$B:$B,"="&amp;xyz!H$2)</f>
        <v>8</v>
      </c>
      <c r="I43">
        <f>SUMIFS(data!$C:$C,data!$A:$A,"="&amp;xyz!$A43,data!$B:$B,"="&amp;xyz!I$2)</f>
        <v>4</v>
      </c>
      <c r="J43">
        <f>SUMIFS(data!$C:$C,data!$A:$A,"="&amp;xyz!$A43,data!$B:$B,"="&amp;xyz!J$2)</f>
        <v>6</v>
      </c>
      <c r="K43">
        <f>SUMIFS(data!$C:$C,data!$A:$A,"="&amp;xyz!$A43,data!$B:$B,"="&amp;xyz!K$2)</f>
        <v>0</v>
      </c>
      <c r="L43">
        <f>SUMIFS(data!$C:$C,data!$A:$A,"="&amp;xyz!$A43,data!$B:$B,"="&amp;xyz!L$2)</f>
        <v>0</v>
      </c>
      <c r="M43">
        <f>SUMIFS(data!$C:$C,data!$A:$A,"="&amp;xyz!$A43,data!$B:$B,"="&amp;xyz!M$2)</f>
        <v>0</v>
      </c>
      <c r="N43">
        <f>SUMIFS(data!$C:$C,data!$A:$A,"="&amp;xyz!$A43,data!$B:$B,"="&amp;xyz!N$2)</f>
        <v>0</v>
      </c>
      <c r="O43">
        <f>SUMIFS(data!$C:$C,data!$A:$A,"="&amp;xyz!$A43,data!$B:$B,"="&amp;xyz!O$2)</f>
        <v>0</v>
      </c>
      <c r="P43">
        <f>SUMIFS(data!$C:$C,data!$A:$A,"="&amp;xyz!$A43,data!$B:$B,"="&amp;xyz!P$2)</f>
        <v>9</v>
      </c>
      <c r="Q43">
        <f>SUMIFS(data!$C:$C,data!$A:$A,"="&amp;xyz!$A43,data!$B:$B,"="&amp;xyz!Q$2)</f>
        <v>0</v>
      </c>
      <c r="R43">
        <f>SUMIFS(data!$C:$C,data!$A:$A,"="&amp;xyz!$A43,data!$B:$B,"="&amp;xyz!R$2)</f>
        <v>0</v>
      </c>
      <c r="S43">
        <f>SUMIFS(data!$C:$C,data!$A:$A,"="&amp;xyz!$A43,data!$B:$B,"="&amp;xyz!S$2)</f>
        <v>0</v>
      </c>
      <c r="T43">
        <f>SUMIFS(data!$C:$C,data!$A:$A,"="&amp;xyz!$A43,data!$B:$B,"="&amp;xyz!T$2)</f>
        <v>9</v>
      </c>
      <c r="U43">
        <f>SUMIFS(data!$C:$C,data!$A:$A,"="&amp;xyz!$A43,data!$B:$B,"="&amp;xyz!U$2)</f>
        <v>0</v>
      </c>
      <c r="V43">
        <f>SUMIFS(data!$C:$C,data!$A:$A,"="&amp;xyz!$A43,data!$B:$B,"="&amp;xyz!V$2)</f>
        <v>6</v>
      </c>
      <c r="W43">
        <f>SUMIFS(data!$C:$C,data!$A:$A,"="&amp;xyz!$A43,data!$B:$B,"="&amp;xyz!W$2)</f>
        <v>6</v>
      </c>
      <c r="X43">
        <f>SUMIFS(data!$C:$C,data!$A:$A,"="&amp;xyz!$A43,data!$B:$B,"="&amp;xyz!X$2)</f>
        <v>0</v>
      </c>
      <c r="Y43">
        <f>SUMIFS(data!$C:$C,data!$A:$A,"="&amp;xyz!$A43,data!$B:$B,"="&amp;xyz!Y$2)</f>
        <v>9</v>
      </c>
      <c r="Z43">
        <f>SUMIFS(data!$C:$C,data!$A:$A,"="&amp;xyz!$A43,data!$B:$B,"="&amp;xyz!Z$2)</f>
        <v>0</v>
      </c>
      <c r="AA43">
        <f>SUMIFS(data!$C:$C,data!$A:$A,"="&amp;xyz!$A43,data!$B:$B,"="&amp;xyz!AA$2)</f>
        <v>0</v>
      </c>
      <c r="AB43">
        <f>SUMIFS(data!$C:$C,data!$A:$A,"="&amp;xyz!$A43,data!$B:$B,"="&amp;xyz!AB$2)</f>
        <v>6</v>
      </c>
      <c r="AC43">
        <f>SUMIFS(data!$C:$C,data!$A:$A,"="&amp;xyz!$A43,data!$B:$B,"="&amp;xyz!AC$2)</f>
        <v>6</v>
      </c>
      <c r="AD43">
        <f>SUMIFS(data!$C:$C,data!$A:$A,"="&amp;xyz!$A43,data!$B:$B,"="&amp;xyz!AD$2)</f>
        <v>0</v>
      </c>
      <c r="AE43">
        <f>SUMIFS(data!$C:$C,data!$A:$A,"="&amp;xyz!$A43,data!$B:$B,"="&amp;xyz!AE$2)</f>
        <v>6</v>
      </c>
      <c r="AF43">
        <f>SUMIFS(data!$C:$C,data!$A:$A,"="&amp;xyz!$A43,data!$B:$B,"="&amp;xyz!AF$2)</f>
        <v>7</v>
      </c>
      <c r="AG43">
        <f>SUMIFS(data!$C:$C,data!$A:$A,"="&amp;xyz!$A43,data!$B:$B,"="&amp;xyz!AG$2)</f>
        <v>0</v>
      </c>
      <c r="AH43">
        <f>SUMIFS(data!$C:$C,data!$A:$A,"="&amp;xyz!$A43,data!$B:$B,"="&amp;xyz!AH$2)</f>
        <v>1</v>
      </c>
      <c r="AI43">
        <f>SUMIFS(data!$C:$C,data!$A:$A,"="&amp;xyz!$A43,data!$B:$B,"="&amp;xyz!AI$2)</f>
        <v>0</v>
      </c>
      <c r="AJ43">
        <f>SUMIFS(data!$C:$C,data!$A:$A,"="&amp;xyz!$A43,data!$B:$B,"="&amp;xyz!AJ$2)</f>
        <v>0</v>
      </c>
      <c r="AK43">
        <f>SUMIFS(data!$C:$C,data!$A:$A,"="&amp;xyz!$A43,data!$B:$B,"="&amp;xyz!AK$2)</f>
        <v>0</v>
      </c>
      <c r="AL43">
        <f>SUMIFS(data!$C:$C,data!$A:$A,"="&amp;xyz!$A43,data!$B:$B,"="&amp;xyz!AL$2)</f>
        <v>0</v>
      </c>
      <c r="AM43">
        <f>SUMIFS(data!$C:$C,data!$A:$A,"="&amp;xyz!$A43,data!$B:$B,"="&amp;xyz!AM$2)</f>
        <v>0</v>
      </c>
      <c r="AN43">
        <f>SUMIFS(data!$C:$C,data!$A:$A,"="&amp;xyz!$A43,data!$B:$B,"="&amp;xyz!AN$2)</f>
        <v>0</v>
      </c>
      <c r="AO43">
        <f>SUMIFS(data!$C:$C,data!$A:$A,"="&amp;xyz!$A43,data!$B:$B,"="&amp;xyz!AO$2)</f>
        <v>0</v>
      </c>
      <c r="AP43">
        <f>SUMIFS(data!$C:$C,data!$A:$A,"="&amp;xyz!$A43,data!$B:$B,"="&amp;xyz!AP$2)</f>
        <v>4</v>
      </c>
      <c r="AQ43" s="6">
        <f t="shared" si="2"/>
        <v>1.3126602466277872</v>
      </c>
    </row>
    <row r="44" spans="1:43" x14ac:dyDescent="0.3">
      <c r="A44" t="s">
        <v>103</v>
      </c>
      <c r="B44" s="6">
        <f t="shared" si="1"/>
        <v>0.87441860465116272</v>
      </c>
      <c r="C44">
        <f>SUMIFS(data!$C:$C,data!$A:$A,"="&amp;xyz!$A44,data!$B:$B,"="&amp;xyz!C$2)</f>
        <v>2</v>
      </c>
      <c r="D44">
        <f>SUMIFS(data!$C:$C,data!$A:$A,"="&amp;xyz!$A44,data!$B:$B,"="&amp;xyz!D$2)</f>
        <v>2</v>
      </c>
      <c r="E44">
        <f>SUMIFS(data!$C:$C,data!$A:$A,"="&amp;xyz!$A44,data!$B:$B,"="&amp;xyz!E$2)</f>
        <v>0</v>
      </c>
      <c r="F44">
        <f>SUMIFS(data!$C:$C,data!$A:$A,"="&amp;xyz!$A44,data!$B:$B,"="&amp;xyz!F$2)</f>
        <v>4</v>
      </c>
      <c r="G44">
        <f>SUMIFS(data!$C:$C,data!$A:$A,"="&amp;xyz!$A44,data!$B:$B,"="&amp;xyz!G$2)</f>
        <v>7</v>
      </c>
      <c r="H44">
        <f>SUMIFS(data!$C:$C,data!$A:$A,"="&amp;xyz!$A44,data!$B:$B,"="&amp;xyz!H$2)</f>
        <v>4</v>
      </c>
      <c r="I44">
        <f>SUMIFS(data!$C:$C,data!$A:$A,"="&amp;xyz!$A44,data!$B:$B,"="&amp;xyz!I$2)</f>
        <v>3</v>
      </c>
      <c r="J44">
        <f>SUMIFS(data!$C:$C,data!$A:$A,"="&amp;xyz!$A44,data!$B:$B,"="&amp;xyz!J$2)</f>
        <v>6</v>
      </c>
      <c r="K44">
        <f>SUMIFS(data!$C:$C,data!$A:$A,"="&amp;xyz!$A44,data!$B:$B,"="&amp;xyz!K$2)</f>
        <v>0</v>
      </c>
      <c r="L44">
        <f>SUMIFS(data!$C:$C,data!$A:$A,"="&amp;xyz!$A44,data!$B:$B,"="&amp;xyz!L$2)</f>
        <v>2</v>
      </c>
      <c r="M44">
        <f>SUMIFS(data!$C:$C,data!$A:$A,"="&amp;xyz!$A44,data!$B:$B,"="&amp;xyz!M$2)</f>
        <v>3</v>
      </c>
      <c r="N44">
        <f>SUMIFS(data!$C:$C,data!$A:$A,"="&amp;xyz!$A44,data!$B:$B,"="&amp;xyz!N$2)</f>
        <v>0</v>
      </c>
      <c r="O44">
        <f>SUMIFS(data!$C:$C,data!$A:$A,"="&amp;xyz!$A44,data!$B:$B,"="&amp;xyz!O$2)</f>
        <v>0</v>
      </c>
      <c r="P44">
        <f>SUMIFS(data!$C:$C,data!$A:$A,"="&amp;xyz!$A44,data!$B:$B,"="&amp;xyz!P$2)</f>
        <v>3</v>
      </c>
      <c r="Q44">
        <f>SUMIFS(data!$C:$C,data!$A:$A,"="&amp;xyz!$A44,data!$B:$B,"="&amp;xyz!Q$2)</f>
        <v>0</v>
      </c>
      <c r="R44">
        <f>SUMIFS(data!$C:$C,data!$A:$A,"="&amp;xyz!$A44,data!$B:$B,"="&amp;xyz!R$2)</f>
        <v>0</v>
      </c>
      <c r="S44">
        <f>SUMIFS(data!$C:$C,data!$A:$A,"="&amp;xyz!$A44,data!$B:$B,"="&amp;xyz!S$2)</f>
        <v>0</v>
      </c>
      <c r="T44">
        <f>SUMIFS(data!$C:$C,data!$A:$A,"="&amp;xyz!$A44,data!$B:$B,"="&amp;xyz!T$2)</f>
        <v>2</v>
      </c>
      <c r="U44">
        <f>SUMIFS(data!$C:$C,data!$A:$A,"="&amp;xyz!$A44,data!$B:$B,"="&amp;xyz!U$2)</f>
        <v>5</v>
      </c>
      <c r="V44">
        <f>SUMIFS(data!$C:$C,data!$A:$A,"="&amp;xyz!$A44,data!$B:$B,"="&amp;xyz!V$2)</f>
        <v>5</v>
      </c>
      <c r="W44">
        <f>SUMIFS(data!$C:$C,data!$A:$A,"="&amp;xyz!$A44,data!$B:$B,"="&amp;xyz!W$2)</f>
        <v>0</v>
      </c>
      <c r="X44">
        <f>SUMIFS(data!$C:$C,data!$A:$A,"="&amp;xyz!$A44,data!$B:$B,"="&amp;xyz!X$2)</f>
        <v>0</v>
      </c>
      <c r="Y44">
        <f>SUMIFS(data!$C:$C,data!$A:$A,"="&amp;xyz!$A44,data!$B:$B,"="&amp;xyz!Y$2)</f>
        <v>2</v>
      </c>
      <c r="Z44">
        <f>SUMIFS(data!$C:$C,data!$A:$A,"="&amp;xyz!$A44,data!$B:$B,"="&amp;xyz!Z$2)</f>
        <v>0</v>
      </c>
      <c r="AA44">
        <f>SUMIFS(data!$C:$C,data!$A:$A,"="&amp;xyz!$A44,data!$B:$B,"="&amp;xyz!AA$2)</f>
        <v>5</v>
      </c>
      <c r="AB44">
        <f>SUMIFS(data!$C:$C,data!$A:$A,"="&amp;xyz!$A44,data!$B:$B,"="&amp;xyz!AB$2)</f>
        <v>1</v>
      </c>
      <c r="AC44">
        <f>SUMIFS(data!$C:$C,data!$A:$A,"="&amp;xyz!$A44,data!$B:$B,"="&amp;xyz!AC$2)</f>
        <v>1</v>
      </c>
      <c r="AD44">
        <f>SUMIFS(data!$C:$C,data!$A:$A,"="&amp;xyz!$A44,data!$B:$B,"="&amp;xyz!AD$2)</f>
        <v>4</v>
      </c>
      <c r="AE44">
        <f>SUMIFS(data!$C:$C,data!$A:$A,"="&amp;xyz!$A44,data!$B:$B,"="&amp;xyz!AE$2)</f>
        <v>0</v>
      </c>
      <c r="AF44">
        <f>SUMIFS(data!$C:$C,data!$A:$A,"="&amp;xyz!$A44,data!$B:$B,"="&amp;xyz!AF$2)</f>
        <v>3</v>
      </c>
      <c r="AG44">
        <f>SUMIFS(data!$C:$C,data!$A:$A,"="&amp;xyz!$A44,data!$B:$B,"="&amp;xyz!AG$2)</f>
        <v>1</v>
      </c>
      <c r="AH44">
        <f>SUMIFS(data!$C:$C,data!$A:$A,"="&amp;xyz!$A44,data!$B:$B,"="&amp;xyz!AH$2)</f>
        <v>0</v>
      </c>
      <c r="AI44">
        <f>SUMIFS(data!$C:$C,data!$A:$A,"="&amp;xyz!$A44,data!$B:$B,"="&amp;xyz!AI$2)</f>
        <v>0</v>
      </c>
      <c r="AJ44">
        <f>SUMIFS(data!$C:$C,data!$A:$A,"="&amp;xyz!$A44,data!$B:$B,"="&amp;xyz!AJ$2)</f>
        <v>5</v>
      </c>
      <c r="AK44">
        <f>SUMIFS(data!$C:$C,data!$A:$A,"="&amp;xyz!$A44,data!$B:$B,"="&amp;xyz!AK$2)</f>
        <v>6</v>
      </c>
      <c r="AL44">
        <f>SUMIFS(data!$C:$C,data!$A:$A,"="&amp;xyz!$A44,data!$B:$B,"="&amp;xyz!AL$2)</f>
        <v>0</v>
      </c>
      <c r="AM44">
        <f>SUMIFS(data!$C:$C,data!$A:$A,"="&amp;xyz!$A44,data!$B:$B,"="&amp;xyz!AM$2)</f>
        <v>0</v>
      </c>
      <c r="AN44">
        <f>SUMIFS(data!$C:$C,data!$A:$A,"="&amp;xyz!$A44,data!$B:$B,"="&amp;xyz!AN$2)</f>
        <v>4</v>
      </c>
      <c r="AO44">
        <f>SUMIFS(data!$C:$C,data!$A:$A,"="&amp;xyz!$A44,data!$B:$B,"="&amp;xyz!AO$2)</f>
        <v>5</v>
      </c>
      <c r="AP44">
        <f>SUMIFS(data!$C:$C,data!$A:$A,"="&amp;xyz!$A44,data!$B:$B,"="&amp;xyz!AP$2)</f>
        <v>1</v>
      </c>
      <c r="AQ44" s="6">
        <f t="shared" si="2"/>
        <v>1.0132869418017421</v>
      </c>
    </row>
    <row r="45" spans="1:43" x14ac:dyDescent="0.3">
      <c r="A45" t="s">
        <v>35</v>
      </c>
      <c r="B45" s="6">
        <f t="shared" si="1"/>
        <v>0.58801652892561984</v>
      </c>
      <c r="C45">
        <f>SUMIFS(data!$C:$C,data!$A:$A,"="&amp;xyz!$A45,data!$B:$B,"="&amp;xyz!C$2)</f>
        <v>2</v>
      </c>
      <c r="D45">
        <f>SUMIFS(data!$C:$C,data!$A:$A,"="&amp;xyz!$A45,data!$B:$B,"="&amp;xyz!D$2)</f>
        <v>3</v>
      </c>
      <c r="E45">
        <f>SUMIFS(data!$C:$C,data!$A:$A,"="&amp;xyz!$A45,data!$B:$B,"="&amp;xyz!E$2)</f>
        <v>1</v>
      </c>
      <c r="F45">
        <f>SUMIFS(data!$C:$C,data!$A:$A,"="&amp;xyz!$A45,data!$B:$B,"="&amp;xyz!F$2)</f>
        <v>4</v>
      </c>
      <c r="G45">
        <f>SUMIFS(data!$C:$C,data!$A:$A,"="&amp;xyz!$A45,data!$B:$B,"="&amp;xyz!G$2)</f>
        <v>1</v>
      </c>
      <c r="H45">
        <f>SUMIFS(data!$C:$C,data!$A:$A,"="&amp;xyz!$A45,data!$B:$B,"="&amp;xyz!H$2)</f>
        <v>4</v>
      </c>
      <c r="I45">
        <f>SUMIFS(data!$C:$C,data!$A:$A,"="&amp;xyz!$A45,data!$B:$B,"="&amp;xyz!I$2)</f>
        <v>8</v>
      </c>
      <c r="J45">
        <f>SUMIFS(data!$C:$C,data!$A:$A,"="&amp;xyz!$A45,data!$B:$B,"="&amp;xyz!J$2)</f>
        <v>4</v>
      </c>
      <c r="K45">
        <f>SUMIFS(data!$C:$C,data!$A:$A,"="&amp;xyz!$A45,data!$B:$B,"="&amp;xyz!K$2)</f>
        <v>0</v>
      </c>
      <c r="L45">
        <f>SUMIFS(data!$C:$C,data!$A:$A,"="&amp;xyz!$A45,data!$B:$B,"="&amp;xyz!L$2)</f>
        <v>8</v>
      </c>
      <c r="M45">
        <f>SUMIFS(data!$C:$C,data!$A:$A,"="&amp;xyz!$A45,data!$B:$B,"="&amp;xyz!M$2)</f>
        <v>8</v>
      </c>
      <c r="N45">
        <f>SUMIFS(data!$C:$C,data!$A:$A,"="&amp;xyz!$A45,data!$B:$B,"="&amp;xyz!N$2)</f>
        <v>1</v>
      </c>
      <c r="O45">
        <f>SUMIFS(data!$C:$C,data!$A:$A,"="&amp;xyz!$A45,data!$B:$B,"="&amp;xyz!O$2)</f>
        <v>1</v>
      </c>
      <c r="P45">
        <f>SUMIFS(data!$C:$C,data!$A:$A,"="&amp;xyz!$A45,data!$B:$B,"="&amp;xyz!P$2)</f>
        <v>4</v>
      </c>
      <c r="Q45">
        <f>SUMIFS(data!$C:$C,data!$A:$A,"="&amp;xyz!$A45,data!$B:$B,"="&amp;xyz!Q$2)</f>
        <v>2</v>
      </c>
      <c r="R45">
        <f>SUMIFS(data!$C:$C,data!$A:$A,"="&amp;xyz!$A45,data!$B:$B,"="&amp;xyz!R$2)</f>
        <v>3</v>
      </c>
      <c r="S45">
        <f>SUMIFS(data!$C:$C,data!$A:$A,"="&amp;xyz!$A45,data!$B:$B,"="&amp;xyz!S$2)</f>
        <v>3</v>
      </c>
      <c r="T45">
        <f>SUMIFS(data!$C:$C,data!$A:$A,"="&amp;xyz!$A45,data!$B:$B,"="&amp;xyz!T$2)</f>
        <v>0</v>
      </c>
      <c r="U45">
        <f>SUMIFS(data!$C:$C,data!$A:$A,"="&amp;xyz!$A45,data!$B:$B,"="&amp;xyz!U$2)</f>
        <v>5</v>
      </c>
      <c r="V45">
        <f>SUMIFS(data!$C:$C,data!$A:$A,"="&amp;xyz!$A45,data!$B:$B,"="&amp;xyz!V$2)</f>
        <v>3</v>
      </c>
      <c r="W45">
        <f>SUMIFS(data!$C:$C,data!$A:$A,"="&amp;xyz!$A45,data!$B:$B,"="&amp;xyz!W$2)</f>
        <v>5</v>
      </c>
      <c r="X45">
        <f>SUMIFS(data!$C:$C,data!$A:$A,"="&amp;xyz!$A45,data!$B:$B,"="&amp;xyz!X$2)</f>
        <v>3</v>
      </c>
      <c r="Y45">
        <f>SUMIFS(data!$C:$C,data!$A:$A,"="&amp;xyz!$A45,data!$B:$B,"="&amp;xyz!Y$2)</f>
        <v>6</v>
      </c>
      <c r="Z45">
        <f>SUMIFS(data!$C:$C,data!$A:$A,"="&amp;xyz!$A45,data!$B:$B,"="&amp;xyz!Z$2)</f>
        <v>0</v>
      </c>
      <c r="AA45">
        <f>SUMIFS(data!$C:$C,data!$A:$A,"="&amp;xyz!$A45,data!$B:$B,"="&amp;xyz!AA$2)</f>
        <v>1</v>
      </c>
      <c r="AB45">
        <f>SUMIFS(data!$C:$C,data!$A:$A,"="&amp;xyz!$A45,data!$B:$B,"="&amp;xyz!AB$2)</f>
        <v>3</v>
      </c>
      <c r="AC45">
        <f>SUMIFS(data!$C:$C,data!$A:$A,"="&amp;xyz!$A45,data!$B:$B,"="&amp;xyz!AC$2)</f>
        <v>1</v>
      </c>
      <c r="AD45">
        <f>SUMIFS(data!$C:$C,data!$A:$A,"="&amp;xyz!$A45,data!$B:$B,"="&amp;xyz!AD$2)</f>
        <v>2</v>
      </c>
      <c r="AE45">
        <f>SUMIFS(data!$C:$C,data!$A:$A,"="&amp;xyz!$A45,data!$B:$B,"="&amp;xyz!AE$2)</f>
        <v>4</v>
      </c>
      <c r="AF45">
        <f>SUMIFS(data!$C:$C,data!$A:$A,"="&amp;xyz!$A45,data!$B:$B,"="&amp;xyz!AF$2)</f>
        <v>4</v>
      </c>
      <c r="AG45">
        <f>SUMIFS(data!$C:$C,data!$A:$A,"="&amp;xyz!$A45,data!$B:$B,"="&amp;xyz!AG$2)</f>
        <v>6</v>
      </c>
      <c r="AH45">
        <f>SUMIFS(data!$C:$C,data!$A:$A,"="&amp;xyz!$A45,data!$B:$B,"="&amp;xyz!AH$2)</f>
        <v>5</v>
      </c>
      <c r="AI45">
        <f>SUMIFS(data!$C:$C,data!$A:$A,"="&amp;xyz!$A45,data!$B:$B,"="&amp;xyz!AI$2)</f>
        <v>0</v>
      </c>
      <c r="AJ45">
        <f>SUMIFS(data!$C:$C,data!$A:$A,"="&amp;xyz!$A45,data!$B:$B,"="&amp;xyz!AJ$2)</f>
        <v>0</v>
      </c>
      <c r="AK45">
        <f>SUMIFS(data!$C:$C,data!$A:$A,"="&amp;xyz!$A45,data!$B:$B,"="&amp;xyz!AK$2)</f>
        <v>4</v>
      </c>
      <c r="AL45">
        <f>SUMIFS(data!$C:$C,data!$A:$A,"="&amp;xyz!$A45,data!$B:$B,"="&amp;xyz!AL$2)</f>
        <v>1</v>
      </c>
      <c r="AM45">
        <f>SUMIFS(data!$C:$C,data!$A:$A,"="&amp;xyz!$A45,data!$B:$B,"="&amp;xyz!AM$2)</f>
        <v>4</v>
      </c>
      <c r="AN45">
        <f>SUMIFS(data!$C:$C,data!$A:$A,"="&amp;xyz!$A45,data!$B:$B,"="&amp;xyz!AN$2)</f>
        <v>2</v>
      </c>
      <c r="AO45">
        <f>SUMIFS(data!$C:$C,data!$A:$A,"="&amp;xyz!$A45,data!$B:$B,"="&amp;xyz!AO$2)</f>
        <v>1</v>
      </c>
      <c r="AP45">
        <f>SUMIFS(data!$C:$C,data!$A:$A,"="&amp;xyz!$A45,data!$B:$B,"="&amp;xyz!AP$2)</f>
        <v>4</v>
      </c>
      <c r="AQ45" s="6">
        <f t="shared" si="2"/>
        <v>0.73914863974032174</v>
      </c>
    </row>
    <row r="46" spans="1:43" x14ac:dyDescent="0.3">
      <c r="A46" t="s">
        <v>134</v>
      </c>
      <c r="B46" s="6">
        <f t="shared" si="1"/>
        <v>0.65569620253164573</v>
      </c>
      <c r="C46">
        <f>SUMIFS(data!$C:$C,data!$A:$A,"="&amp;xyz!$A46,data!$B:$B,"="&amp;xyz!C$2)</f>
        <v>3</v>
      </c>
      <c r="D46">
        <f>SUMIFS(data!$C:$C,data!$A:$A,"="&amp;xyz!$A46,data!$B:$B,"="&amp;xyz!D$2)</f>
        <v>3</v>
      </c>
      <c r="E46">
        <f>SUMIFS(data!$C:$C,data!$A:$A,"="&amp;xyz!$A46,data!$B:$B,"="&amp;xyz!E$2)</f>
        <v>3</v>
      </c>
      <c r="F46">
        <f>SUMIFS(data!$C:$C,data!$A:$A,"="&amp;xyz!$A46,data!$B:$B,"="&amp;xyz!F$2)</f>
        <v>9</v>
      </c>
      <c r="G46">
        <f>SUMIFS(data!$C:$C,data!$A:$A,"="&amp;xyz!$A46,data!$B:$B,"="&amp;xyz!G$2)</f>
        <v>2</v>
      </c>
      <c r="H46">
        <f>SUMIFS(data!$C:$C,data!$A:$A,"="&amp;xyz!$A46,data!$B:$B,"="&amp;xyz!H$2)</f>
        <v>17</v>
      </c>
      <c r="I46">
        <f>SUMIFS(data!$C:$C,data!$A:$A,"="&amp;xyz!$A46,data!$B:$B,"="&amp;xyz!I$2)</f>
        <v>6</v>
      </c>
      <c r="J46">
        <f>SUMIFS(data!$C:$C,data!$A:$A,"="&amp;xyz!$A46,data!$B:$B,"="&amp;xyz!J$2)</f>
        <v>3</v>
      </c>
      <c r="K46">
        <f>SUMIFS(data!$C:$C,data!$A:$A,"="&amp;xyz!$A46,data!$B:$B,"="&amp;xyz!K$2)</f>
        <v>0</v>
      </c>
      <c r="L46">
        <f>SUMIFS(data!$C:$C,data!$A:$A,"="&amp;xyz!$A46,data!$B:$B,"="&amp;xyz!L$2)</f>
        <v>4</v>
      </c>
      <c r="M46">
        <f>SUMIFS(data!$C:$C,data!$A:$A,"="&amp;xyz!$A46,data!$B:$B,"="&amp;xyz!M$2)</f>
        <v>7</v>
      </c>
      <c r="N46">
        <f>SUMIFS(data!$C:$C,data!$A:$A,"="&amp;xyz!$A46,data!$B:$B,"="&amp;xyz!N$2)</f>
        <v>4</v>
      </c>
      <c r="O46">
        <f>SUMIFS(data!$C:$C,data!$A:$A,"="&amp;xyz!$A46,data!$B:$B,"="&amp;xyz!O$2)</f>
        <v>7</v>
      </c>
      <c r="P46">
        <f>SUMIFS(data!$C:$C,data!$A:$A,"="&amp;xyz!$A46,data!$B:$B,"="&amp;xyz!P$2)</f>
        <v>9</v>
      </c>
      <c r="Q46">
        <f>SUMIFS(data!$C:$C,data!$A:$A,"="&amp;xyz!$A46,data!$B:$B,"="&amp;xyz!Q$2)</f>
        <v>2</v>
      </c>
      <c r="R46">
        <f>SUMIFS(data!$C:$C,data!$A:$A,"="&amp;xyz!$A46,data!$B:$B,"="&amp;xyz!R$2)</f>
        <v>2</v>
      </c>
      <c r="S46">
        <f>SUMIFS(data!$C:$C,data!$A:$A,"="&amp;xyz!$A46,data!$B:$B,"="&amp;xyz!S$2)</f>
        <v>2</v>
      </c>
      <c r="T46">
        <f>SUMIFS(data!$C:$C,data!$A:$A,"="&amp;xyz!$A46,data!$B:$B,"="&amp;xyz!T$2)</f>
        <v>0</v>
      </c>
      <c r="U46">
        <f>SUMIFS(data!$C:$C,data!$A:$A,"="&amp;xyz!$A46,data!$B:$B,"="&amp;xyz!U$2)</f>
        <v>4</v>
      </c>
      <c r="V46">
        <f>SUMIFS(data!$C:$C,data!$A:$A,"="&amp;xyz!$A46,data!$B:$B,"="&amp;xyz!V$2)</f>
        <v>9</v>
      </c>
      <c r="W46">
        <f>SUMIFS(data!$C:$C,data!$A:$A,"="&amp;xyz!$A46,data!$B:$B,"="&amp;xyz!W$2)</f>
        <v>1</v>
      </c>
      <c r="X46">
        <f>SUMIFS(data!$C:$C,data!$A:$A,"="&amp;xyz!$A46,data!$B:$B,"="&amp;xyz!X$2)</f>
        <v>11</v>
      </c>
      <c r="Y46">
        <f>SUMIFS(data!$C:$C,data!$A:$A,"="&amp;xyz!$A46,data!$B:$B,"="&amp;xyz!Y$2)</f>
        <v>8</v>
      </c>
      <c r="Z46">
        <f>SUMIFS(data!$C:$C,data!$A:$A,"="&amp;xyz!$A46,data!$B:$B,"="&amp;xyz!Z$2)</f>
        <v>1</v>
      </c>
      <c r="AA46">
        <f>SUMIFS(data!$C:$C,data!$A:$A,"="&amp;xyz!$A46,data!$B:$B,"="&amp;xyz!AA$2)</f>
        <v>4</v>
      </c>
      <c r="AB46">
        <f>SUMIFS(data!$C:$C,data!$A:$A,"="&amp;xyz!$A46,data!$B:$B,"="&amp;xyz!AB$2)</f>
        <v>3</v>
      </c>
      <c r="AC46">
        <f>SUMIFS(data!$C:$C,data!$A:$A,"="&amp;xyz!$A46,data!$B:$B,"="&amp;xyz!AC$2)</f>
        <v>2</v>
      </c>
      <c r="AD46">
        <f>SUMIFS(data!$C:$C,data!$A:$A,"="&amp;xyz!$A46,data!$B:$B,"="&amp;xyz!AD$2)</f>
        <v>1</v>
      </c>
      <c r="AE46">
        <f>SUMIFS(data!$C:$C,data!$A:$A,"="&amp;xyz!$A46,data!$B:$B,"="&amp;xyz!AE$2)</f>
        <v>3</v>
      </c>
      <c r="AF46">
        <f>SUMIFS(data!$C:$C,data!$A:$A,"="&amp;xyz!$A46,data!$B:$B,"="&amp;xyz!AF$2)</f>
        <v>3</v>
      </c>
      <c r="AG46">
        <f>SUMIFS(data!$C:$C,data!$A:$A,"="&amp;xyz!$A46,data!$B:$B,"="&amp;xyz!AG$2)</f>
        <v>2</v>
      </c>
      <c r="AH46">
        <f>SUMIFS(data!$C:$C,data!$A:$A,"="&amp;xyz!$A46,data!$B:$B,"="&amp;xyz!AH$2)</f>
        <v>3</v>
      </c>
      <c r="AI46">
        <f>SUMIFS(data!$C:$C,data!$A:$A,"="&amp;xyz!$A46,data!$B:$B,"="&amp;xyz!AI$2)</f>
        <v>4</v>
      </c>
      <c r="AJ46">
        <f>SUMIFS(data!$C:$C,data!$A:$A,"="&amp;xyz!$A46,data!$B:$B,"="&amp;xyz!AJ$2)</f>
        <v>1</v>
      </c>
      <c r="AK46">
        <f>SUMIFS(data!$C:$C,data!$A:$A,"="&amp;xyz!$A46,data!$B:$B,"="&amp;xyz!AK$2)</f>
        <v>0</v>
      </c>
      <c r="AL46">
        <f>SUMIFS(data!$C:$C,data!$A:$A,"="&amp;xyz!$A46,data!$B:$B,"="&amp;xyz!AL$2)</f>
        <v>2</v>
      </c>
      <c r="AM46">
        <f>SUMIFS(data!$C:$C,data!$A:$A,"="&amp;xyz!$A46,data!$B:$B,"="&amp;xyz!AM$2)</f>
        <v>4</v>
      </c>
      <c r="AN46">
        <f>SUMIFS(data!$C:$C,data!$A:$A,"="&amp;xyz!$A46,data!$B:$B,"="&amp;xyz!AN$2)</f>
        <v>1</v>
      </c>
      <c r="AO46">
        <f>SUMIFS(data!$C:$C,data!$A:$A,"="&amp;xyz!$A46,data!$B:$B,"="&amp;xyz!AO$2)</f>
        <v>8</v>
      </c>
      <c r="AP46">
        <f>SUMIFS(data!$C:$C,data!$A:$A,"="&amp;xyz!$A46,data!$B:$B,"="&amp;xyz!AP$2)</f>
        <v>0</v>
      </c>
      <c r="AQ46" s="6">
        <f t="shared" si="2"/>
        <v>0.89910210022291293</v>
      </c>
    </row>
    <row r="47" spans="1:43" x14ac:dyDescent="0.3">
      <c r="A47" t="s">
        <v>100</v>
      </c>
      <c r="B47" s="6">
        <f t="shared" si="1"/>
        <v>0.56521739130434778</v>
      </c>
      <c r="C47">
        <f>SUMIFS(data!$C:$C,data!$A:$A,"="&amp;xyz!$A47,data!$B:$B,"="&amp;xyz!C$2)</f>
        <v>2</v>
      </c>
      <c r="D47">
        <f>SUMIFS(data!$C:$C,data!$A:$A,"="&amp;xyz!$A47,data!$B:$B,"="&amp;xyz!D$2)</f>
        <v>1</v>
      </c>
      <c r="E47">
        <f>SUMIFS(data!$C:$C,data!$A:$A,"="&amp;xyz!$A47,data!$B:$B,"="&amp;xyz!E$2)</f>
        <v>0</v>
      </c>
      <c r="F47">
        <f>SUMIFS(data!$C:$C,data!$A:$A,"="&amp;xyz!$A47,data!$B:$B,"="&amp;xyz!F$2)</f>
        <v>2</v>
      </c>
      <c r="G47">
        <f>SUMIFS(data!$C:$C,data!$A:$A,"="&amp;xyz!$A47,data!$B:$B,"="&amp;xyz!G$2)</f>
        <v>0</v>
      </c>
      <c r="H47">
        <f>SUMIFS(data!$C:$C,data!$A:$A,"="&amp;xyz!$A47,data!$B:$B,"="&amp;xyz!H$2)</f>
        <v>6</v>
      </c>
      <c r="I47">
        <f>SUMIFS(data!$C:$C,data!$A:$A,"="&amp;xyz!$A47,data!$B:$B,"="&amp;xyz!I$2)</f>
        <v>3</v>
      </c>
      <c r="J47">
        <f>SUMIFS(data!$C:$C,data!$A:$A,"="&amp;xyz!$A47,data!$B:$B,"="&amp;xyz!J$2)</f>
        <v>1</v>
      </c>
      <c r="K47">
        <f>SUMIFS(data!$C:$C,data!$A:$A,"="&amp;xyz!$A47,data!$B:$B,"="&amp;xyz!K$2)</f>
        <v>0</v>
      </c>
      <c r="L47">
        <f>SUMIFS(data!$C:$C,data!$A:$A,"="&amp;xyz!$A47,data!$B:$B,"="&amp;xyz!L$2)</f>
        <v>4</v>
      </c>
      <c r="M47">
        <f>SUMIFS(data!$C:$C,data!$A:$A,"="&amp;xyz!$A47,data!$B:$B,"="&amp;xyz!M$2)</f>
        <v>2</v>
      </c>
      <c r="N47">
        <f>SUMIFS(data!$C:$C,data!$A:$A,"="&amp;xyz!$A47,data!$B:$B,"="&amp;xyz!N$2)</f>
        <v>4</v>
      </c>
      <c r="O47">
        <f>SUMIFS(data!$C:$C,data!$A:$A,"="&amp;xyz!$A47,data!$B:$B,"="&amp;xyz!O$2)</f>
        <v>4</v>
      </c>
      <c r="P47">
        <f>SUMIFS(data!$C:$C,data!$A:$A,"="&amp;xyz!$A47,data!$B:$B,"="&amp;xyz!P$2)</f>
        <v>1</v>
      </c>
      <c r="Q47">
        <f>SUMIFS(data!$C:$C,data!$A:$A,"="&amp;xyz!$A47,data!$B:$B,"="&amp;xyz!Q$2)</f>
        <v>1</v>
      </c>
      <c r="R47">
        <f>SUMIFS(data!$C:$C,data!$A:$A,"="&amp;xyz!$A47,data!$B:$B,"="&amp;xyz!R$2)</f>
        <v>4</v>
      </c>
      <c r="S47">
        <f>SUMIFS(data!$C:$C,data!$A:$A,"="&amp;xyz!$A47,data!$B:$B,"="&amp;xyz!S$2)</f>
        <v>2</v>
      </c>
      <c r="T47">
        <f>SUMIFS(data!$C:$C,data!$A:$A,"="&amp;xyz!$A47,data!$B:$B,"="&amp;xyz!T$2)</f>
        <v>1</v>
      </c>
      <c r="U47">
        <f>SUMIFS(data!$C:$C,data!$A:$A,"="&amp;xyz!$A47,data!$B:$B,"="&amp;xyz!U$2)</f>
        <v>1</v>
      </c>
      <c r="V47">
        <f>SUMIFS(data!$C:$C,data!$A:$A,"="&amp;xyz!$A47,data!$B:$B,"="&amp;xyz!V$2)</f>
        <v>3</v>
      </c>
      <c r="W47">
        <f>SUMIFS(data!$C:$C,data!$A:$A,"="&amp;xyz!$A47,data!$B:$B,"="&amp;xyz!W$2)</f>
        <v>3</v>
      </c>
      <c r="X47">
        <f>SUMIFS(data!$C:$C,data!$A:$A,"="&amp;xyz!$A47,data!$B:$B,"="&amp;xyz!X$2)</f>
        <v>2</v>
      </c>
      <c r="Y47">
        <f>SUMIFS(data!$C:$C,data!$A:$A,"="&amp;xyz!$A47,data!$B:$B,"="&amp;xyz!Y$2)</f>
        <v>2</v>
      </c>
      <c r="Z47">
        <f>SUMIFS(data!$C:$C,data!$A:$A,"="&amp;xyz!$A47,data!$B:$B,"="&amp;xyz!Z$2)</f>
        <v>2</v>
      </c>
      <c r="AA47">
        <f>SUMIFS(data!$C:$C,data!$A:$A,"="&amp;xyz!$A47,data!$B:$B,"="&amp;xyz!AA$2)</f>
        <v>6</v>
      </c>
      <c r="AB47">
        <f>SUMIFS(data!$C:$C,data!$A:$A,"="&amp;xyz!$A47,data!$B:$B,"="&amp;xyz!AB$2)</f>
        <v>7</v>
      </c>
      <c r="AC47">
        <f>SUMIFS(data!$C:$C,data!$A:$A,"="&amp;xyz!$A47,data!$B:$B,"="&amp;xyz!AC$2)</f>
        <v>0</v>
      </c>
      <c r="AD47">
        <f>SUMIFS(data!$C:$C,data!$A:$A,"="&amp;xyz!$A47,data!$B:$B,"="&amp;xyz!AD$2)</f>
        <v>6</v>
      </c>
      <c r="AE47">
        <f>SUMIFS(data!$C:$C,data!$A:$A,"="&amp;xyz!$A47,data!$B:$B,"="&amp;xyz!AE$2)</f>
        <v>2</v>
      </c>
      <c r="AF47">
        <f>SUMIFS(data!$C:$C,data!$A:$A,"="&amp;xyz!$A47,data!$B:$B,"="&amp;xyz!AF$2)</f>
        <v>6</v>
      </c>
      <c r="AG47">
        <f>SUMIFS(data!$C:$C,data!$A:$A,"="&amp;xyz!$A47,data!$B:$B,"="&amp;xyz!AG$2)</f>
        <v>2</v>
      </c>
      <c r="AH47">
        <f>SUMIFS(data!$C:$C,data!$A:$A,"="&amp;xyz!$A47,data!$B:$B,"="&amp;xyz!AH$2)</f>
        <v>3</v>
      </c>
      <c r="AI47">
        <f>SUMIFS(data!$C:$C,data!$A:$A,"="&amp;xyz!$A47,data!$B:$B,"="&amp;xyz!AI$2)</f>
        <v>4</v>
      </c>
      <c r="AJ47">
        <f>SUMIFS(data!$C:$C,data!$A:$A,"="&amp;xyz!$A47,data!$B:$B,"="&amp;xyz!AJ$2)</f>
        <v>5</v>
      </c>
      <c r="AK47">
        <f>SUMIFS(data!$C:$C,data!$A:$A,"="&amp;xyz!$A47,data!$B:$B,"="&amp;xyz!AK$2)</f>
        <v>6</v>
      </c>
      <c r="AL47">
        <f>SUMIFS(data!$C:$C,data!$A:$A,"="&amp;xyz!$A47,data!$B:$B,"="&amp;xyz!AL$2)</f>
        <v>3</v>
      </c>
      <c r="AM47">
        <f>SUMIFS(data!$C:$C,data!$A:$A,"="&amp;xyz!$A47,data!$B:$B,"="&amp;xyz!AM$2)</f>
        <v>3</v>
      </c>
      <c r="AN47">
        <f>SUMIFS(data!$C:$C,data!$A:$A,"="&amp;xyz!$A47,data!$B:$B,"="&amp;xyz!AN$2)</f>
        <v>4</v>
      </c>
      <c r="AO47">
        <f>SUMIFS(data!$C:$C,data!$A:$A,"="&amp;xyz!$A47,data!$B:$B,"="&amp;xyz!AO$2)</f>
        <v>6</v>
      </c>
      <c r="AP47">
        <f>SUMIFS(data!$C:$C,data!$A:$A,"="&amp;xyz!$A47,data!$B:$B,"="&amp;xyz!AP$2)</f>
        <v>1</v>
      </c>
      <c r="AQ47" s="6">
        <f t="shared" si="2"/>
        <v>0.68752216950168143</v>
      </c>
    </row>
    <row r="48" spans="1:43" x14ac:dyDescent="0.3">
      <c r="A48" t="s">
        <v>132</v>
      </c>
      <c r="B48" s="6">
        <f t="shared" si="1"/>
        <v>0.71811594202898543</v>
      </c>
      <c r="C48">
        <f>SUMIFS(data!$C:$C,data!$A:$A,"="&amp;xyz!$A48,data!$B:$B,"="&amp;xyz!C$2)</f>
        <v>0</v>
      </c>
      <c r="D48">
        <f>SUMIFS(data!$C:$C,data!$A:$A,"="&amp;xyz!$A48,data!$B:$B,"="&amp;xyz!D$2)</f>
        <v>3</v>
      </c>
      <c r="E48">
        <f>SUMIFS(data!$C:$C,data!$A:$A,"="&amp;xyz!$A48,data!$B:$B,"="&amp;xyz!E$2)</f>
        <v>4</v>
      </c>
      <c r="F48">
        <f>SUMIFS(data!$C:$C,data!$A:$A,"="&amp;xyz!$A48,data!$B:$B,"="&amp;xyz!F$2)</f>
        <v>0</v>
      </c>
      <c r="G48">
        <f>SUMIFS(data!$C:$C,data!$A:$A,"="&amp;xyz!$A48,data!$B:$B,"="&amp;xyz!G$2)</f>
        <v>1</v>
      </c>
      <c r="H48">
        <f>SUMIFS(data!$C:$C,data!$A:$A,"="&amp;xyz!$A48,data!$B:$B,"="&amp;xyz!H$2)</f>
        <v>2</v>
      </c>
      <c r="I48">
        <f>SUMIFS(data!$C:$C,data!$A:$A,"="&amp;xyz!$A48,data!$B:$B,"="&amp;xyz!I$2)</f>
        <v>2</v>
      </c>
      <c r="J48">
        <f>SUMIFS(data!$C:$C,data!$A:$A,"="&amp;xyz!$A48,data!$B:$B,"="&amp;xyz!J$2)</f>
        <v>3</v>
      </c>
      <c r="K48">
        <f>SUMIFS(data!$C:$C,data!$A:$A,"="&amp;xyz!$A48,data!$B:$B,"="&amp;xyz!K$2)</f>
        <v>0</v>
      </c>
      <c r="L48">
        <f>SUMIFS(data!$C:$C,data!$A:$A,"="&amp;xyz!$A48,data!$B:$B,"="&amp;xyz!L$2)</f>
        <v>2</v>
      </c>
      <c r="M48">
        <f>SUMIFS(data!$C:$C,data!$A:$A,"="&amp;xyz!$A48,data!$B:$B,"="&amp;xyz!M$2)</f>
        <v>1</v>
      </c>
      <c r="N48">
        <f>SUMIFS(data!$C:$C,data!$A:$A,"="&amp;xyz!$A48,data!$B:$B,"="&amp;xyz!N$2)</f>
        <v>2</v>
      </c>
      <c r="O48">
        <f>SUMIFS(data!$C:$C,data!$A:$A,"="&amp;xyz!$A48,data!$B:$B,"="&amp;xyz!O$2)</f>
        <v>3</v>
      </c>
      <c r="P48">
        <f>SUMIFS(data!$C:$C,data!$A:$A,"="&amp;xyz!$A48,data!$B:$B,"="&amp;xyz!P$2)</f>
        <v>3</v>
      </c>
      <c r="Q48">
        <f>SUMIFS(data!$C:$C,data!$A:$A,"="&amp;xyz!$A48,data!$B:$B,"="&amp;xyz!Q$2)</f>
        <v>2</v>
      </c>
      <c r="R48">
        <f>SUMIFS(data!$C:$C,data!$A:$A,"="&amp;xyz!$A48,data!$B:$B,"="&amp;xyz!R$2)</f>
        <v>1</v>
      </c>
      <c r="S48">
        <f>SUMIFS(data!$C:$C,data!$A:$A,"="&amp;xyz!$A48,data!$B:$B,"="&amp;xyz!S$2)</f>
        <v>1</v>
      </c>
      <c r="T48">
        <f>SUMIFS(data!$C:$C,data!$A:$A,"="&amp;xyz!$A48,data!$B:$B,"="&amp;xyz!T$2)</f>
        <v>0</v>
      </c>
      <c r="U48">
        <f>SUMIFS(data!$C:$C,data!$A:$A,"="&amp;xyz!$A48,data!$B:$B,"="&amp;xyz!U$2)</f>
        <v>4</v>
      </c>
      <c r="V48">
        <f>SUMIFS(data!$C:$C,data!$A:$A,"="&amp;xyz!$A48,data!$B:$B,"="&amp;xyz!V$2)</f>
        <v>0</v>
      </c>
      <c r="W48">
        <f>SUMIFS(data!$C:$C,data!$A:$A,"="&amp;xyz!$A48,data!$B:$B,"="&amp;xyz!W$2)</f>
        <v>1</v>
      </c>
      <c r="X48">
        <f>SUMIFS(data!$C:$C,data!$A:$A,"="&amp;xyz!$A48,data!$B:$B,"="&amp;xyz!X$2)</f>
        <v>2</v>
      </c>
      <c r="Y48">
        <f>SUMIFS(data!$C:$C,data!$A:$A,"="&amp;xyz!$A48,data!$B:$B,"="&amp;xyz!Y$2)</f>
        <v>3</v>
      </c>
      <c r="Z48">
        <f>SUMIFS(data!$C:$C,data!$A:$A,"="&amp;xyz!$A48,data!$B:$B,"="&amp;xyz!Z$2)</f>
        <v>2</v>
      </c>
      <c r="AA48">
        <f>SUMIFS(data!$C:$C,data!$A:$A,"="&amp;xyz!$A48,data!$B:$B,"="&amp;xyz!AA$2)</f>
        <v>2</v>
      </c>
      <c r="AB48">
        <f>SUMIFS(data!$C:$C,data!$A:$A,"="&amp;xyz!$A48,data!$B:$B,"="&amp;xyz!AB$2)</f>
        <v>1</v>
      </c>
      <c r="AC48">
        <f>SUMIFS(data!$C:$C,data!$A:$A,"="&amp;xyz!$A48,data!$B:$B,"="&amp;xyz!AC$2)</f>
        <v>0</v>
      </c>
      <c r="AD48">
        <f>SUMIFS(data!$C:$C,data!$A:$A,"="&amp;xyz!$A48,data!$B:$B,"="&amp;xyz!AD$2)</f>
        <v>1</v>
      </c>
      <c r="AE48">
        <f>SUMIFS(data!$C:$C,data!$A:$A,"="&amp;xyz!$A48,data!$B:$B,"="&amp;xyz!AE$2)</f>
        <v>4</v>
      </c>
      <c r="AF48">
        <f>SUMIFS(data!$C:$C,data!$A:$A,"="&amp;xyz!$A48,data!$B:$B,"="&amp;xyz!AF$2)</f>
        <v>0</v>
      </c>
      <c r="AG48">
        <f>SUMIFS(data!$C:$C,data!$A:$A,"="&amp;xyz!$A48,data!$B:$B,"="&amp;xyz!AG$2)</f>
        <v>4</v>
      </c>
      <c r="AH48">
        <f>SUMIFS(data!$C:$C,data!$A:$A,"="&amp;xyz!$A48,data!$B:$B,"="&amp;xyz!AH$2)</f>
        <v>0</v>
      </c>
      <c r="AI48">
        <f>SUMIFS(data!$C:$C,data!$A:$A,"="&amp;xyz!$A48,data!$B:$B,"="&amp;xyz!AI$2)</f>
        <v>0</v>
      </c>
      <c r="AJ48">
        <f>SUMIFS(data!$C:$C,data!$A:$A,"="&amp;xyz!$A48,data!$B:$B,"="&amp;xyz!AJ$2)</f>
        <v>2</v>
      </c>
      <c r="AK48">
        <f>SUMIFS(data!$C:$C,data!$A:$A,"="&amp;xyz!$A48,data!$B:$B,"="&amp;xyz!AK$2)</f>
        <v>3</v>
      </c>
      <c r="AL48">
        <f>SUMIFS(data!$C:$C,data!$A:$A,"="&amp;xyz!$A48,data!$B:$B,"="&amp;xyz!AL$2)</f>
        <v>0</v>
      </c>
      <c r="AM48">
        <f>SUMIFS(data!$C:$C,data!$A:$A,"="&amp;xyz!$A48,data!$B:$B,"="&amp;xyz!AM$2)</f>
        <v>3</v>
      </c>
      <c r="AN48">
        <f>SUMIFS(data!$C:$C,data!$A:$A,"="&amp;xyz!$A48,data!$B:$B,"="&amp;xyz!AN$2)</f>
        <v>1</v>
      </c>
      <c r="AO48">
        <f>SUMIFS(data!$C:$C,data!$A:$A,"="&amp;xyz!$A48,data!$B:$B,"="&amp;xyz!AO$2)</f>
        <v>6</v>
      </c>
      <c r="AP48">
        <f>SUMIFS(data!$C:$C,data!$A:$A,"="&amp;xyz!$A48,data!$B:$B,"="&amp;xyz!AP$2)</f>
        <v>0</v>
      </c>
      <c r="AQ48" s="6">
        <f t="shared" si="2"/>
        <v>0.8706793308749966</v>
      </c>
    </row>
    <row r="49" spans="1:43" x14ac:dyDescent="0.3">
      <c r="A49" t="s">
        <v>94</v>
      </c>
      <c r="B49" s="6">
        <f t="shared" si="1"/>
        <v>1.3026315789473684</v>
      </c>
      <c r="C49">
        <f>SUMIFS(data!$C:$C,data!$A:$A,"="&amp;xyz!$A49,data!$B:$B,"="&amp;xyz!C$2)</f>
        <v>0</v>
      </c>
      <c r="D49">
        <f>SUMIFS(data!$C:$C,data!$A:$A,"="&amp;xyz!$A49,data!$B:$B,"="&amp;xyz!D$2)</f>
        <v>10</v>
      </c>
      <c r="E49">
        <f>SUMIFS(data!$C:$C,data!$A:$A,"="&amp;xyz!$A49,data!$B:$B,"="&amp;xyz!E$2)</f>
        <v>10</v>
      </c>
      <c r="F49">
        <f>SUMIFS(data!$C:$C,data!$A:$A,"="&amp;xyz!$A49,data!$B:$B,"="&amp;xyz!F$2)</f>
        <v>10</v>
      </c>
      <c r="G49">
        <f>SUMIFS(data!$C:$C,data!$A:$A,"="&amp;xyz!$A49,data!$B:$B,"="&amp;xyz!G$2)</f>
        <v>10</v>
      </c>
      <c r="H49">
        <f>SUMIFS(data!$C:$C,data!$A:$A,"="&amp;xyz!$A49,data!$B:$B,"="&amp;xyz!H$2)</f>
        <v>1</v>
      </c>
      <c r="I49">
        <f>SUMIFS(data!$C:$C,data!$A:$A,"="&amp;xyz!$A49,data!$B:$B,"="&amp;xyz!I$2)</f>
        <v>16</v>
      </c>
      <c r="J49">
        <f>SUMIFS(data!$C:$C,data!$A:$A,"="&amp;xyz!$A49,data!$B:$B,"="&amp;xyz!J$2)</f>
        <v>3</v>
      </c>
      <c r="K49">
        <f>SUMIFS(data!$C:$C,data!$A:$A,"="&amp;xyz!$A49,data!$B:$B,"="&amp;xyz!K$2)</f>
        <v>0</v>
      </c>
      <c r="L49">
        <f>SUMIFS(data!$C:$C,data!$A:$A,"="&amp;xyz!$A49,data!$B:$B,"="&amp;xyz!L$2)</f>
        <v>2</v>
      </c>
      <c r="M49">
        <f>SUMIFS(data!$C:$C,data!$A:$A,"="&amp;xyz!$A49,data!$B:$B,"="&amp;xyz!M$2)</f>
        <v>0</v>
      </c>
      <c r="N49">
        <f>SUMIFS(data!$C:$C,data!$A:$A,"="&amp;xyz!$A49,data!$B:$B,"="&amp;xyz!N$2)</f>
        <v>0</v>
      </c>
      <c r="O49">
        <f>SUMIFS(data!$C:$C,data!$A:$A,"="&amp;xyz!$A49,data!$B:$B,"="&amp;xyz!O$2)</f>
        <v>0</v>
      </c>
      <c r="P49">
        <f>SUMIFS(data!$C:$C,data!$A:$A,"="&amp;xyz!$A49,data!$B:$B,"="&amp;xyz!P$2)</f>
        <v>4</v>
      </c>
      <c r="Q49">
        <f>SUMIFS(data!$C:$C,data!$A:$A,"="&amp;xyz!$A49,data!$B:$B,"="&amp;xyz!Q$2)</f>
        <v>0</v>
      </c>
      <c r="R49">
        <f>SUMIFS(data!$C:$C,data!$A:$A,"="&amp;xyz!$A49,data!$B:$B,"="&amp;xyz!R$2)</f>
        <v>0</v>
      </c>
      <c r="S49">
        <f>SUMIFS(data!$C:$C,data!$A:$A,"="&amp;xyz!$A49,data!$B:$B,"="&amp;xyz!S$2)</f>
        <v>0</v>
      </c>
      <c r="T49">
        <f>SUMIFS(data!$C:$C,data!$A:$A,"="&amp;xyz!$A49,data!$B:$B,"="&amp;xyz!T$2)</f>
        <v>0</v>
      </c>
      <c r="U49">
        <f>SUMIFS(data!$C:$C,data!$A:$A,"="&amp;xyz!$A49,data!$B:$B,"="&amp;xyz!U$2)</f>
        <v>0</v>
      </c>
      <c r="V49">
        <f>SUMIFS(data!$C:$C,data!$A:$A,"="&amp;xyz!$A49,data!$B:$B,"="&amp;xyz!V$2)</f>
        <v>0</v>
      </c>
      <c r="W49">
        <f>SUMIFS(data!$C:$C,data!$A:$A,"="&amp;xyz!$A49,data!$B:$B,"="&amp;xyz!W$2)</f>
        <v>0</v>
      </c>
      <c r="X49">
        <f>SUMIFS(data!$C:$C,data!$A:$A,"="&amp;xyz!$A49,data!$B:$B,"="&amp;xyz!X$2)</f>
        <v>0</v>
      </c>
      <c r="Y49">
        <f>SUMIFS(data!$C:$C,data!$A:$A,"="&amp;xyz!$A49,data!$B:$B,"="&amp;xyz!Y$2)</f>
        <v>0</v>
      </c>
      <c r="Z49">
        <f>SUMIFS(data!$C:$C,data!$A:$A,"="&amp;xyz!$A49,data!$B:$B,"="&amp;xyz!Z$2)</f>
        <v>0</v>
      </c>
      <c r="AA49">
        <f>SUMIFS(data!$C:$C,data!$A:$A,"="&amp;xyz!$A49,data!$B:$B,"="&amp;xyz!AA$2)</f>
        <v>0</v>
      </c>
      <c r="AB49">
        <f>SUMIFS(data!$C:$C,data!$A:$A,"="&amp;xyz!$A49,data!$B:$B,"="&amp;xyz!AB$2)</f>
        <v>0</v>
      </c>
      <c r="AC49">
        <f>SUMIFS(data!$C:$C,data!$A:$A,"="&amp;xyz!$A49,data!$B:$B,"="&amp;xyz!AC$2)</f>
        <v>10</v>
      </c>
      <c r="AD49">
        <f>SUMIFS(data!$C:$C,data!$A:$A,"="&amp;xyz!$A49,data!$B:$B,"="&amp;xyz!AD$2)</f>
        <v>5</v>
      </c>
      <c r="AE49">
        <f>SUMIFS(data!$C:$C,data!$A:$A,"="&amp;xyz!$A49,data!$B:$B,"="&amp;xyz!AE$2)</f>
        <v>0</v>
      </c>
      <c r="AF49">
        <f>SUMIFS(data!$C:$C,data!$A:$A,"="&amp;xyz!$A49,data!$B:$B,"="&amp;xyz!AF$2)</f>
        <v>0</v>
      </c>
      <c r="AG49">
        <f>SUMIFS(data!$C:$C,data!$A:$A,"="&amp;xyz!$A49,data!$B:$B,"="&amp;xyz!AG$2)</f>
        <v>0</v>
      </c>
      <c r="AH49">
        <f>SUMIFS(data!$C:$C,data!$A:$A,"="&amp;xyz!$A49,data!$B:$B,"="&amp;xyz!AH$2)</f>
        <v>0</v>
      </c>
      <c r="AI49">
        <f>SUMIFS(data!$C:$C,data!$A:$A,"="&amp;xyz!$A49,data!$B:$B,"="&amp;xyz!AI$2)</f>
        <v>0</v>
      </c>
      <c r="AJ49">
        <f>SUMIFS(data!$C:$C,data!$A:$A,"="&amp;xyz!$A49,data!$B:$B,"="&amp;xyz!AJ$2)</f>
        <v>0</v>
      </c>
      <c r="AK49">
        <f>SUMIFS(data!$C:$C,data!$A:$A,"="&amp;xyz!$A49,data!$B:$B,"="&amp;xyz!AK$2)</f>
        <v>0</v>
      </c>
      <c r="AL49">
        <f>SUMIFS(data!$C:$C,data!$A:$A,"="&amp;xyz!$A49,data!$B:$B,"="&amp;xyz!AL$2)</f>
        <v>2</v>
      </c>
      <c r="AM49">
        <f>SUMIFS(data!$C:$C,data!$A:$A,"="&amp;xyz!$A49,data!$B:$B,"="&amp;xyz!AM$2)</f>
        <v>5</v>
      </c>
      <c r="AN49">
        <f>SUMIFS(data!$C:$C,data!$A:$A,"="&amp;xyz!$A49,data!$B:$B,"="&amp;xyz!AN$2)</f>
        <v>0</v>
      </c>
      <c r="AO49">
        <f>SUMIFS(data!$C:$C,data!$A:$A,"="&amp;xyz!$A49,data!$B:$B,"="&amp;xyz!AO$2)</f>
        <v>5</v>
      </c>
      <c r="AP49">
        <f>SUMIFS(data!$C:$C,data!$A:$A,"="&amp;xyz!$A49,data!$B:$B,"="&amp;xyz!AP$2)</f>
        <v>2</v>
      </c>
      <c r="AQ49" s="6">
        <f t="shared" si="2"/>
        <v>1.710157751219991</v>
      </c>
    </row>
    <row r="50" spans="1:43" x14ac:dyDescent="0.3">
      <c r="A50" t="s">
        <v>31</v>
      </c>
      <c r="B50" s="6">
        <f t="shared" si="1"/>
        <v>0.72972972972972971</v>
      </c>
      <c r="C50">
        <f>SUMIFS(data!$C:$C,data!$A:$A,"="&amp;xyz!$A50,data!$B:$B,"="&amp;xyz!C$2)</f>
        <v>1</v>
      </c>
      <c r="D50">
        <f>SUMIFS(data!$C:$C,data!$A:$A,"="&amp;xyz!$A50,data!$B:$B,"="&amp;xyz!D$2)</f>
        <v>3</v>
      </c>
      <c r="E50">
        <f>SUMIFS(data!$C:$C,data!$A:$A,"="&amp;xyz!$A50,data!$B:$B,"="&amp;xyz!E$2)</f>
        <v>17</v>
      </c>
      <c r="F50">
        <f>SUMIFS(data!$C:$C,data!$A:$A,"="&amp;xyz!$A50,data!$B:$B,"="&amp;xyz!F$2)</f>
        <v>10</v>
      </c>
      <c r="G50">
        <f>SUMIFS(data!$C:$C,data!$A:$A,"="&amp;xyz!$A50,data!$B:$B,"="&amp;xyz!G$2)</f>
        <v>11</v>
      </c>
      <c r="H50">
        <f>SUMIFS(data!$C:$C,data!$A:$A,"="&amp;xyz!$A50,data!$B:$B,"="&amp;xyz!H$2)</f>
        <v>11</v>
      </c>
      <c r="I50">
        <f>SUMIFS(data!$C:$C,data!$A:$A,"="&amp;xyz!$A50,data!$B:$B,"="&amp;xyz!I$2)</f>
        <v>2</v>
      </c>
      <c r="J50">
        <f>SUMIFS(data!$C:$C,data!$A:$A,"="&amp;xyz!$A50,data!$B:$B,"="&amp;xyz!J$2)</f>
        <v>7</v>
      </c>
      <c r="K50">
        <f>SUMIFS(data!$C:$C,data!$A:$A,"="&amp;xyz!$A50,data!$B:$B,"="&amp;xyz!K$2)</f>
        <v>0</v>
      </c>
      <c r="L50">
        <f>SUMIFS(data!$C:$C,data!$A:$A,"="&amp;xyz!$A50,data!$B:$B,"="&amp;xyz!L$2)</f>
        <v>0</v>
      </c>
      <c r="M50">
        <f>SUMIFS(data!$C:$C,data!$A:$A,"="&amp;xyz!$A50,data!$B:$B,"="&amp;xyz!M$2)</f>
        <v>7</v>
      </c>
      <c r="N50">
        <f>SUMIFS(data!$C:$C,data!$A:$A,"="&amp;xyz!$A50,data!$B:$B,"="&amp;xyz!N$2)</f>
        <v>13</v>
      </c>
      <c r="O50">
        <f>SUMIFS(data!$C:$C,data!$A:$A,"="&amp;xyz!$A50,data!$B:$B,"="&amp;xyz!O$2)</f>
        <v>0</v>
      </c>
      <c r="P50">
        <f>SUMIFS(data!$C:$C,data!$A:$A,"="&amp;xyz!$A50,data!$B:$B,"="&amp;xyz!P$2)</f>
        <v>0</v>
      </c>
      <c r="Q50">
        <f>SUMIFS(data!$C:$C,data!$A:$A,"="&amp;xyz!$A50,data!$B:$B,"="&amp;xyz!Q$2)</f>
        <v>1</v>
      </c>
      <c r="R50">
        <f>SUMIFS(data!$C:$C,data!$A:$A,"="&amp;xyz!$A50,data!$B:$B,"="&amp;xyz!R$2)</f>
        <v>16</v>
      </c>
      <c r="S50">
        <f>SUMIFS(data!$C:$C,data!$A:$A,"="&amp;xyz!$A50,data!$B:$B,"="&amp;xyz!S$2)</f>
        <v>11</v>
      </c>
      <c r="T50">
        <f>SUMIFS(data!$C:$C,data!$A:$A,"="&amp;xyz!$A50,data!$B:$B,"="&amp;xyz!T$2)</f>
        <v>0</v>
      </c>
      <c r="U50">
        <f>SUMIFS(data!$C:$C,data!$A:$A,"="&amp;xyz!$A50,data!$B:$B,"="&amp;xyz!U$2)</f>
        <v>5</v>
      </c>
      <c r="V50">
        <f>SUMIFS(data!$C:$C,data!$A:$A,"="&amp;xyz!$A50,data!$B:$B,"="&amp;xyz!V$2)</f>
        <v>3</v>
      </c>
      <c r="W50">
        <f>SUMIFS(data!$C:$C,data!$A:$A,"="&amp;xyz!$A50,data!$B:$B,"="&amp;xyz!W$2)</f>
        <v>18</v>
      </c>
      <c r="X50">
        <f>SUMIFS(data!$C:$C,data!$A:$A,"="&amp;xyz!$A50,data!$B:$B,"="&amp;xyz!X$2)</f>
        <v>18</v>
      </c>
      <c r="Y50">
        <f>SUMIFS(data!$C:$C,data!$A:$A,"="&amp;xyz!$A50,data!$B:$B,"="&amp;xyz!Y$2)</f>
        <v>5</v>
      </c>
      <c r="Z50">
        <f>SUMIFS(data!$C:$C,data!$A:$A,"="&amp;xyz!$A50,data!$B:$B,"="&amp;xyz!Z$2)</f>
        <v>13</v>
      </c>
      <c r="AA50">
        <f>SUMIFS(data!$C:$C,data!$A:$A,"="&amp;xyz!$A50,data!$B:$B,"="&amp;xyz!AA$2)</f>
        <v>22</v>
      </c>
      <c r="AB50">
        <f>SUMIFS(data!$C:$C,data!$A:$A,"="&amp;xyz!$A50,data!$B:$B,"="&amp;xyz!AB$2)</f>
        <v>12</v>
      </c>
      <c r="AC50">
        <f>SUMIFS(data!$C:$C,data!$A:$A,"="&amp;xyz!$A50,data!$B:$B,"="&amp;xyz!AC$2)</f>
        <v>2</v>
      </c>
      <c r="AD50">
        <f>SUMIFS(data!$C:$C,data!$A:$A,"="&amp;xyz!$A50,data!$B:$B,"="&amp;xyz!AD$2)</f>
        <v>2</v>
      </c>
      <c r="AE50">
        <f>SUMIFS(data!$C:$C,data!$A:$A,"="&amp;xyz!$A50,data!$B:$B,"="&amp;xyz!AE$2)</f>
        <v>11</v>
      </c>
      <c r="AF50">
        <f>SUMIFS(data!$C:$C,data!$A:$A,"="&amp;xyz!$A50,data!$B:$B,"="&amp;xyz!AF$2)</f>
        <v>20</v>
      </c>
      <c r="AG50">
        <f>SUMIFS(data!$C:$C,data!$A:$A,"="&amp;xyz!$A50,data!$B:$B,"="&amp;xyz!AG$2)</f>
        <v>7</v>
      </c>
      <c r="AH50">
        <f>SUMIFS(data!$C:$C,data!$A:$A,"="&amp;xyz!$A50,data!$B:$B,"="&amp;xyz!AH$2)</f>
        <v>0</v>
      </c>
      <c r="AI50">
        <f>SUMIFS(data!$C:$C,data!$A:$A,"="&amp;xyz!$A50,data!$B:$B,"="&amp;xyz!AI$2)</f>
        <v>7</v>
      </c>
      <c r="AJ50">
        <f>SUMIFS(data!$C:$C,data!$A:$A,"="&amp;xyz!$A50,data!$B:$B,"="&amp;xyz!AJ$2)</f>
        <v>6</v>
      </c>
      <c r="AK50">
        <f>SUMIFS(data!$C:$C,data!$A:$A,"="&amp;xyz!$A50,data!$B:$B,"="&amp;xyz!AK$2)</f>
        <v>0</v>
      </c>
      <c r="AL50">
        <f>SUMIFS(data!$C:$C,data!$A:$A,"="&amp;xyz!$A50,data!$B:$B,"="&amp;xyz!AL$2)</f>
        <v>3</v>
      </c>
      <c r="AM50">
        <f>SUMIFS(data!$C:$C,data!$A:$A,"="&amp;xyz!$A50,data!$B:$B,"="&amp;xyz!AM$2)</f>
        <v>16</v>
      </c>
      <c r="AN50">
        <f>SUMIFS(data!$C:$C,data!$A:$A,"="&amp;xyz!$A50,data!$B:$B,"="&amp;xyz!AN$2)</f>
        <v>6</v>
      </c>
      <c r="AO50">
        <f>SUMIFS(data!$C:$C,data!$A:$A,"="&amp;xyz!$A50,data!$B:$B,"="&amp;xyz!AO$2)</f>
        <v>4</v>
      </c>
      <c r="AP50">
        <f>SUMIFS(data!$C:$C,data!$A:$A,"="&amp;xyz!$A50,data!$B:$B,"="&amp;xyz!AP$2)</f>
        <v>6</v>
      </c>
      <c r="AQ50" s="6">
        <f t="shared" si="2"/>
        <v>0.8708429910863793</v>
      </c>
    </row>
    <row r="51" spans="1:43" x14ac:dyDescent="0.3">
      <c r="A51" t="s">
        <v>158</v>
      </c>
      <c r="B51" s="6">
        <f t="shared" si="1"/>
        <v>1.1144385026737971</v>
      </c>
      <c r="C51">
        <f>SUMIFS(data!$C:$C,data!$A:$A,"="&amp;xyz!$A51,data!$B:$B,"="&amp;xyz!C$2)</f>
        <v>7</v>
      </c>
      <c r="D51">
        <f>SUMIFS(data!$C:$C,data!$A:$A,"="&amp;xyz!$A51,data!$B:$B,"="&amp;xyz!D$2)</f>
        <v>0</v>
      </c>
      <c r="E51">
        <f>SUMIFS(data!$C:$C,data!$A:$A,"="&amp;xyz!$A51,data!$B:$B,"="&amp;xyz!E$2)</f>
        <v>0</v>
      </c>
      <c r="F51">
        <f>SUMIFS(data!$C:$C,data!$A:$A,"="&amp;xyz!$A51,data!$B:$B,"="&amp;xyz!F$2)</f>
        <v>0</v>
      </c>
      <c r="G51">
        <f>SUMIFS(data!$C:$C,data!$A:$A,"="&amp;xyz!$A51,data!$B:$B,"="&amp;xyz!G$2)</f>
        <v>0</v>
      </c>
      <c r="H51">
        <f>SUMIFS(data!$C:$C,data!$A:$A,"="&amp;xyz!$A51,data!$B:$B,"="&amp;xyz!H$2)</f>
        <v>0</v>
      </c>
      <c r="I51">
        <f>SUMIFS(data!$C:$C,data!$A:$A,"="&amp;xyz!$A51,data!$B:$B,"="&amp;xyz!I$2)</f>
        <v>7</v>
      </c>
      <c r="J51">
        <f>SUMIFS(data!$C:$C,data!$A:$A,"="&amp;xyz!$A51,data!$B:$B,"="&amp;xyz!J$2)</f>
        <v>0</v>
      </c>
      <c r="K51">
        <f>SUMIFS(data!$C:$C,data!$A:$A,"="&amp;xyz!$A51,data!$B:$B,"="&amp;xyz!K$2)</f>
        <v>0</v>
      </c>
      <c r="L51">
        <f>SUMIFS(data!$C:$C,data!$A:$A,"="&amp;xyz!$A51,data!$B:$B,"="&amp;xyz!L$2)</f>
        <v>1</v>
      </c>
      <c r="M51">
        <f>SUMIFS(data!$C:$C,data!$A:$A,"="&amp;xyz!$A51,data!$B:$B,"="&amp;xyz!M$2)</f>
        <v>0</v>
      </c>
      <c r="N51">
        <f>SUMIFS(data!$C:$C,data!$A:$A,"="&amp;xyz!$A51,data!$B:$B,"="&amp;xyz!N$2)</f>
        <v>10</v>
      </c>
      <c r="O51">
        <f>SUMIFS(data!$C:$C,data!$A:$A,"="&amp;xyz!$A51,data!$B:$B,"="&amp;xyz!O$2)</f>
        <v>0</v>
      </c>
      <c r="P51">
        <f>SUMIFS(data!$C:$C,data!$A:$A,"="&amp;xyz!$A51,data!$B:$B,"="&amp;xyz!P$2)</f>
        <v>0</v>
      </c>
      <c r="Q51">
        <f>SUMIFS(data!$C:$C,data!$A:$A,"="&amp;xyz!$A51,data!$B:$B,"="&amp;xyz!Q$2)</f>
        <v>14</v>
      </c>
      <c r="R51">
        <f>SUMIFS(data!$C:$C,data!$A:$A,"="&amp;xyz!$A51,data!$B:$B,"="&amp;xyz!R$2)</f>
        <v>20</v>
      </c>
      <c r="S51">
        <f>SUMIFS(data!$C:$C,data!$A:$A,"="&amp;xyz!$A51,data!$B:$B,"="&amp;xyz!S$2)</f>
        <v>0</v>
      </c>
      <c r="T51">
        <f>SUMIFS(data!$C:$C,data!$A:$A,"="&amp;xyz!$A51,data!$B:$B,"="&amp;xyz!T$2)</f>
        <v>4</v>
      </c>
      <c r="U51">
        <f>SUMIFS(data!$C:$C,data!$A:$A,"="&amp;xyz!$A51,data!$B:$B,"="&amp;xyz!U$2)</f>
        <v>5</v>
      </c>
      <c r="V51">
        <f>SUMIFS(data!$C:$C,data!$A:$A,"="&amp;xyz!$A51,data!$B:$B,"="&amp;xyz!V$2)</f>
        <v>20</v>
      </c>
      <c r="W51">
        <f>SUMIFS(data!$C:$C,data!$A:$A,"="&amp;xyz!$A51,data!$B:$B,"="&amp;xyz!W$2)</f>
        <v>10</v>
      </c>
      <c r="X51">
        <f>SUMIFS(data!$C:$C,data!$A:$A,"="&amp;xyz!$A51,data!$B:$B,"="&amp;xyz!X$2)</f>
        <v>0</v>
      </c>
      <c r="Y51">
        <f>SUMIFS(data!$C:$C,data!$A:$A,"="&amp;xyz!$A51,data!$B:$B,"="&amp;xyz!Y$2)</f>
        <v>12</v>
      </c>
      <c r="Z51">
        <f>SUMIFS(data!$C:$C,data!$A:$A,"="&amp;xyz!$A51,data!$B:$B,"="&amp;xyz!Z$2)</f>
        <v>0</v>
      </c>
      <c r="AA51">
        <f>SUMIFS(data!$C:$C,data!$A:$A,"="&amp;xyz!$A51,data!$B:$B,"="&amp;xyz!AA$2)</f>
        <v>3</v>
      </c>
      <c r="AB51">
        <f>SUMIFS(data!$C:$C,data!$A:$A,"="&amp;xyz!$A51,data!$B:$B,"="&amp;xyz!AB$2)</f>
        <v>10</v>
      </c>
      <c r="AC51">
        <f>SUMIFS(data!$C:$C,data!$A:$A,"="&amp;xyz!$A51,data!$B:$B,"="&amp;xyz!AC$2)</f>
        <v>0</v>
      </c>
      <c r="AD51">
        <f>SUMIFS(data!$C:$C,data!$A:$A,"="&amp;xyz!$A51,data!$B:$B,"="&amp;xyz!AD$2)</f>
        <v>0</v>
      </c>
      <c r="AE51">
        <f>SUMIFS(data!$C:$C,data!$A:$A,"="&amp;xyz!$A51,data!$B:$B,"="&amp;xyz!AE$2)</f>
        <v>13</v>
      </c>
      <c r="AF51">
        <f>SUMIFS(data!$C:$C,data!$A:$A,"="&amp;xyz!$A51,data!$B:$B,"="&amp;xyz!AF$2)</f>
        <v>10</v>
      </c>
      <c r="AG51">
        <f>SUMIFS(data!$C:$C,data!$A:$A,"="&amp;xyz!$A51,data!$B:$B,"="&amp;xyz!AG$2)</f>
        <v>16</v>
      </c>
      <c r="AH51">
        <f>SUMIFS(data!$C:$C,data!$A:$A,"="&amp;xyz!$A51,data!$B:$B,"="&amp;xyz!AH$2)</f>
        <v>15</v>
      </c>
      <c r="AI51">
        <f>SUMIFS(data!$C:$C,data!$A:$A,"="&amp;xyz!$A51,data!$B:$B,"="&amp;xyz!AI$2)</f>
        <v>5</v>
      </c>
      <c r="AJ51">
        <f>SUMIFS(data!$C:$C,data!$A:$A,"="&amp;xyz!$A51,data!$B:$B,"="&amp;xyz!AJ$2)</f>
        <v>0</v>
      </c>
      <c r="AK51">
        <f>SUMIFS(data!$C:$C,data!$A:$A,"="&amp;xyz!$A51,data!$B:$B,"="&amp;xyz!AK$2)</f>
        <v>0</v>
      </c>
      <c r="AL51">
        <f>SUMIFS(data!$C:$C,data!$A:$A,"="&amp;xyz!$A51,data!$B:$B,"="&amp;xyz!AL$2)</f>
        <v>5</v>
      </c>
      <c r="AM51">
        <f>SUMIFS(data!$C:$C,data!$A:$A,"="&amp;xyz!$A51,data!$B:$B,"="&amp;xyz!AM$2)</f>
        <v>0</v>
      </c>
      <c r="AN51">
        <f>SUMIFS(data!$C:$C,data!$A:$A,"="&amp;xyz!$A51,data!$B:$B,"="&amp;xyz!AN$2)</f>
        <v>0</v>
      </c>
      <c r="AO51">
        <f>SUMIFS(data!$C:$C,data!$A:$A,"="&amp;xyz!$A51,data!$B:$B,"="&amp;xyz!AO$2)</f>
        <v>0</v>
      </c>
      <c r="AP51">
        <f>SUMIFS(data!$C:$C,data!$A:$A,"="&amp;xyz!$A51,data!$B:$B,"="&amp;xyz!AP$2)</f>
        <v>0</v>
      </c>
      <c r="AQ51" s="6">
        <f t="shared" si="2"/>
        <v>1.3330920721956032</v>
      </c>
    </row>
    <row r="52" spans="1:43" x14ac:dyDescent="0.3">
      <c r="A52" t="s">
        <v>37</v>
      </c>
      <c r="B52" s="6">
        <f t="shared" si="1"/>
        <v>1.0471264367816091</v>
      </c>
      <c r="C52">
        <f>SUMIFS(data!$C:$C,data!$A:$A,"="&amp;xyz!$A52,data!$B:$B,"="&amp;xyz!C$2)</f>
        <v>1</v>
      </c>
      <c r="D52">
        <f>SUMIFS(data!$C:$C,data!$A:$A,"="&amp;xyz!$A52,data!$B:$B,"="&amp;xyz!D$2)</f>
        <v>3</v>
      </c>
      <c r="E52">
        <f>SUMIFS(data!$C:$C,data!$A:$A,"="&amp;xyz!$A52,data!$B:$B,"="&amp;xyz!E$2)</f>
        <v>2</v>
      </c>
      <c r="F52">
        <f>SUMIFS(data!$C:$C,data!$A:$A,"="&amp;xyz!$A52,data!$B:$B,"="&amp;xyz!F$2)</f>
        <v>1</v>
      </c>
      <c r="G52">
        <f>SUMIFS(data!$C:$C,data!$A:$A,"="&amp;xyz!$A52,data!$B:$B,"="&amp;xyz!G$2)</f>
        <v>7</v>
      </c>
      <c r="H52">
        <f>SUMIFS(data!$C:$C,data!$A:$A,"="&amp;xyz!$A52,data!$B:$B,"="&amp;xyz!H$2)</f>
        <v>5</v>
      </c>
      <c r="I52">
        <f>SUMIFS(data!$C:$C,data!$A:$A,"="&amp;xyz!$A52,data!$B:$B,"="&amp;xyz!I$2)</f>
        <v>1</v>
      </c>
      <c r="J52">
        <f>SUMIFS(data!$C:$C,data!$A:$A,"="&amp;xyz!$A52,data!$B:$B,"="&amp;xyz!J$2)</f>
        <v>1</v>
      </c>
      <c r="K52">
        <f>SUMIFS(data!$C:$C,data!$A:$A,"="&amp;xyz!$A52,data!$B:$B,"="&amp;xyz!K$2)</f>
        <v>0</v>
      </c>
      <c r="L52">
        <f>SUMIFS(data!$C:$C,data!$A:$A,"="&amp;xyz!$A52,data!$B:$B,"="&amp;xyz!L$2)</f>
        <v>0</v>
      </c>
      <c r="M52">
        <f>SUMIFS(data!$C:$C,data!$A:$A,"="&amp;xyz!$A52,data!$B:$B,"="&amp;xyz!M$2)</f>
        <v>1</v>
      </c>
      <c r="N52">
        <f>SUMIFS(data!$C:$C,data!$A:$A,"="&amp;xyz!$A52,data!$B:$B,"="&amp;xyz!N$2)</f>
        <v>0</v>
      </c>
      <c r="O52">
        <f>SUMIFS(data!$C:$C,data!$A:$A,"="&amp;xyz!$A52,data!$B:$B,"="&amp;xyz!O$2)</f>
        <v>3</v>
      </c>
      <c r="P52">
        <f>SUMIFS(data!$C:$C,data!$A:$A,"="&amp;xyz!$A52,data!$B:$B,"="&amp;xyz!P$2)</f>
        <v>1</v>
      </c>
      <c r="Q52">
        <f>SUMIFS(data!$C:$C,data!$A:$A,"="&amp;xyz!$A52,data!$B:$B,"="&amp;xyz!Q$2)</f>
        <v>0</v>
      </c>
      <c r="R52">
        <f>SUMIFS(data!$C:$C,data!$A:$A,"="&amp;xyz!$A52,data!$B:$B,"="&amp;xyz!R$2)</f>
        <v>0</v>
      </c>
      <c r="S52">
        <f>SUMIFS(data!$C:$C,data!$A:$A,"="&amp;xyz!$A52,data!$B:$B,"="&amp;xyz!S$2)</f>
        <v>0</v>
      </c>
      <c r="T52">
        <f>SUMIFS(data!$C:$C,data!$A:$A,"="&amp;xyz!$A52,data!$B:$B,"="&amp;xyz!T$2)</f>
        <v>7</v>
      </c>
      <c r="U52">
        <f>SUMIFS(data!$C:$C,data!$A:$A,"="&amp;xyz!$A52,data!$B:$B,"="&amp;xyz!U$2)</f>
        <v>0</v>
      </c>
      <c r="V52">
        <f>SUMIFS(data!$C:$C,data!$A:$A,"="&amp;xyz!$A52,data!$B:$B,"="&amp;xyz!V$2)</f>
        <v>9</v>
      </c>
      <c r="W52">
        <f>SUMIFS(data!$C:$C,data!$A:$A,"="&amp;xyz!$A52,data!$B:$B,"="&amp;xyz!W$2)</f>
        <v>11</v>
      </c>
      <c r="X52">
        <f>SUMIFS(data!$C:$C,data!$A:$A,"="&amp;xyz!$A52,data!$B:$B,"="&amp;xyz!X$2)</f>
        <v>3</v>
      </c>
      <c r="Y52">
        <f>SUMIFS(data!$C:$C,data!$A:$A,"="&amp;xyz!$A52,data!$B:$B,"="&amp;xyz!Y$2)</f>
        <v>11</v>
      </c>
      <c r="Z52">
        <f>SUMIFS(data!$C:$C,data!$A:$A,"="&amp;xyz!$A52,data!$B:$B,"="&amp;xyz!Z$2)</f>
        <v>0</v>
      </c>
      <c r="AA52">
        <f>SUMIFS(data!$C:$C,data!$A:$A,"="&amp;xyz!$A52,data!$B:$B,"="&amp;xyz!AA$2)</f>
        <v>2</v>
      </c>
      <c r="AB52">
        <f>SUMIFS(data!$C:$C,data!$A:$A,"="&amp;xyz!$A52,data!$B:$B,"="&amp;xyz!AB$2)</f>
        <v>0</v>
      </c>
      <c r="AC52">
        <f>SUMIFS(data!$C:$C,data!$A:$A,"="&amp;xyz!$A52,data!$B:$B,"="&amp;xyz!AC$2)</f>
        <v>3</v>
      </c>
      <c r="AD52">
        <f>SUMIFS(data!$C:$C,data!$A:$A,"="&amp;xyz!$A52,data!$B:$B,"="&amp;xyz!AD$2)</f>
        <v>0</v>
      </c>
      <c r="AE52">
        <f>SUMIFS(data!$C:$C,data!$A:$A,"="&amp;xyz!$A52,data!$B:$B,"="&amp;xyz!AE$2)</f>
        <v>0</v>
      </c>
      <c r="AF52">
        <f>SUMIFS(data!$C:$C,data!$A:$A,"="&amp;xyz!$A52,data!$B:$B,"="&amp;xyz!AF$2)</f>
        <v>3</v>
      </c>
      <c r="AG52">
        <f>SUMIFS(data!$C:$C,data!$A:$A,"="&amp;xyz!$A52,data!$B:$B,"="&amp;xyz!AG$2)</f>
        <v>0</v>
      </c>
      <c r="AH52">
        <f>SUMIFS(data!$C:$C,data!$A:$A,"="&amp;xyz!$A52,data!$B:$B,"="&amp;xyz!AH$2)</f>
        <v>1</v>
      </c>
      <c r="AI52">
        <f>SUMIFS(data!$C:$C,data!$A:$A,"="&amp;xyz!$A52,data!$B:$B,"="&amp;xyz!AI$2)</f>
        <v>3</v>
      </c>
      <c r="AJ52">
        <f>SUMIFS(data!$C:$C,data!$A:$A,"="&amp;xyz!$A52,data!$B:$B,"="&amp;xyz!AJ$2)</f>
        <v>4</v>
      </c>
      <c r="AK52">
        <f>SUMIFS(data!$C:$C,data!$A:$A,"="&amp;xyz!$A52,data!$B:$B,"="&amp;xyz!AK$2)</f>
        <v>0</v>
      </c>
      <c r="AL52">
        <f>SUMIFS(data!$C:$C,data!$A:$A,"="&amp;xyz!$A52,data!$B:$B,"="&amp;xyz!AL$2)</f>
        <v>0</v>
      </c>
      <c r="AM52">
        <f>SUMIFS(data!$C:$C,data!$A:$A,"="&amp;xyz!$A52,data!$B:$B,"="&amp;xyz!AM$2)</f>
        <v>0</v>
      </c>
      <c r="AN52">
        <f>SUMIFS(data!$C:$C,data!$A:$A,"="&amp;xyz!$A52,data!$B:$B,"="&amp;xyz!AN$2)</f>
        <v>0</v>
      </c>
      <c r="AO52">
        <f>SUMIFS(data!$C:$C,data!$A:$A,"="&amp;xyz!$A52,data!$B:$B,"="&amp;xyz!AO$2)</f>
        <v>0</v>
      </c>
      <c r="AP52">
        <f>SUMIFS(data!$C:$C,data!$A:$A,"="&amp;xyz!$A52,data!$B:$B,"="&amp;xyz!AP$2)</f>
        <v>4</v>
      </c>
      <c r="AQ52" s="6">
        <f t="shared" si="2"/>
        <v>1.3925584419082149</v>
      </c>
    </row>
    <row r="53" spans="1:43" x14ac:dyDescent="0.3">
      <c r="A53" t="s">
        <v>36</v>
      </c>
      <c r="B53" s="6">
        <f t="shared" si="1"/>
        <v>0.75368663594470031</v>
      </c>
      <c r="C53">
        <f>SUMIFS(data!$C:$C,data!$A:$A,"="&amp;xyz!$A53,data!$B:$B,"="&amp;xyz!C$2)</f>
        <v>2</v>
      </c>
      <c r="D53">
        <f>SUMIFS(data!$C:$C,data!$A:$A,"="&amp;xyz!$A53,data!$B:$B,"="&amp;xyz!D$2)</f>
        <v>2</v>
      </c>
      <c r="E53">
        <f>SUMIFS(data!$C:$C,data!$A:$A,"="&amp;xyz!$A53,data!$B:$B,"="&amp;xyz!E$2)</f>
        <v>2</v>
      </c>
      <c r="F53">
        <f>SUMIFS(data!$C:$C,data!$A:$A,"="&amp;xyz!$A53,data!$B:$B,"="&amp;xyz!F$2)</f>
        <v>2</v>
      </c>
      <c r="G53">
        <f>SUMIFS(data!$C:$C,data!$A:$A,"="&amp;xyz!$A53,data!$B:$B,"="&amp;xyz!G$2)</f>
        <v>3</v>
      </c>
      <c r="H53">
        <f>SUMIFS(data!$C:$C,data!$A:$A,"="&amp;xyz!$A53,data!$B:$B,"="&amp;xyz!H$2)</f>
        <v>0</v>
      </c>
      <c r="I53">
        <f>SUMIFS(data!$C:$C,data!$A:$A,"="&amp;xyz!$A53,data!$B:$B,"="&amp;xyz!I$2)</f>
        <v>0</v>
      </c>
      <c r="J53">
        <f>SUMIFS(data!$C:$C,data!$A:$A,"="&amp;xyz!$A53,data!$B:$B,"="&amp;xyz!J$2)</f>
        <v>4</v>
      </c>
      <c r="K53">
        <f>SUMIFS(data!$C:$C,data!$A:$A,"="&amp;xyz!$A53,data!$B:$B,"="&amp;xyz!K$2)</f>
        <v>0</v>
      </c>
      <c r="L53">
        <f>SUMIFS(data!$C:$C,data!$A:$A,"="&amp;xyz!$A53,data!$B:$B,"="&amp;xyz!L$2)</f>
        <v>0</v>
      </c>
      <c r="M53">
        <f>SUMIFS(data!$C:$C,data!$A:$A,"="&amp;xyz!$A53,data!$B:$B,"="&amp;xyz!M$2)</f>
        <v>0</v>
      </c>
      <c r="N53">
        <f>SUMIFS(data!$C:$C,data!$A:$A,"="&amp;xyz!$A53,data!$B:$B,"="&amp;xyz!N$2)</f>
        <v>9</v>
      </c>
      <c r="O53">
        <f>SUMIFS(data!$C:$C,data!$A:$A,"="&amp;xyz!$A53,data!$B:$B,"="&amp;xyz!O$2)</f>
        <v>3</v>
      </c>
      <c r="P53">
        <f>SUMIFS(data!$C:$C,data!$A:$A,"="&amp;xyz!$A53,data!$B:$B,"="&amp;xyz!P$2)</f>
        <v>9</v>
      </c>
      <c r="Q53">
        <f>SUMIFS(data!$C:$C,data!$A:$A,"="&amp;xyz!$A53,data!$B:$B,"="&amp;xyz!Q$2)</f>
        <v>0</v>
      </c>
      <c r="R53">
        <f>SUMIFS(data!$C:$C,data!$A:$A,"="&amp;xyz!$A53,data!$B:$B,"="&amp;xyz!R$2)</f>
        <v>6</v>
      </c>
      <c r="S53">
        <f>SUMIFS(data!$C:$C,data!$A:$A,"="&amp;xyz!$A53,data!$B:$B,"="&amp;xyz!S$2)</f>
        <v>5</v>
      </c>
      <c r="T53">
        <f>SUMIFS(data!$C:$C,data!$A:$A,"="&amp;xyz!$A53,data!$B:$B,"="&amp;xyz!T$2)</f>
        <v>5</v>
      </c>
      <c r="U53">
        <f>SUMIFS(data!$C:$C,data!$A:$A,"="&amp;xyz!$A53,data!$B:$B,"="&amp;xyz!U$2)</f>
        <v>2</v>
      </c>
      <c r="V53">
        <f>SUMIFS(data!$C:$C,data!$A:$A,"="&amp;xyz!$A53,data!$B:$B,"="&amp;xyz!V$2)</f>
        <v>3</v>
      </c>
      <c r="W53">
        <f>SUMIFS(data!$C:$C,data!$A:$A,"="&amp;xyz!$A53,data!$B:$B,"="&amp;xyz!W$2)</f>
        <v>1</v>
      </c>
      <c r="X53">
        <f>SUMIFS(data!$C:$C,data!$A:$A,"="&amp;xyz!$A53,data!$B:$B,"="&amp;xyz!X$2)</f>
        <v>15</v>
      </c>
      <c r="Y53">
        <f>SUMIFS(data!$C:$C,data!$A:$A,"="&amp;xyz!$A53,data!$B:$B,"="&amp;xyz!Y$2)</f>
        <v>10</v>
      </c>
      <c r="Z53">
        <f>SUMIFS(data!$C:$C,data!$A:$A,"="&amp;xyz!$A53,data!$B:$B,"="&amp;xyz!Z$2)</f>
        <v>9</v>
      </c>
      <c r="AA53">
        <f>SUMIFS(data!$C:$C,data!$A:$A,"="&amp;xyz!$A53,data!$B:$B,"="&amp;xyz!AA$2)</f>
        <v>4</v>
      </c>
      <c r="AB53">
        <f>SUMIFS(data!$C:$C,data!$A:$A,"="&amp;xyz!$A53,data!$B:$B,"="&amp;xyz!AB$2)</f>
        <v>10</v>
      </c>
      <c r="AC53">
        <f>SUMIFS(data!$C:$C,data!$A:$A,"="&amp;xyz!$A53,data!$B:$B,"="&amp;xyz!AC$2)</f>
        <v>12</v>
      </c>
      <c r="AD53">
        <f>SUMIFS(data!$C:$C,data!$A:$A,"="&amp;xyz!$A53,data!$B:$B,"="&amp;xyz!AD$2)</f>
        <v>0</v>
      </c>
      <c r="AE53">
        <f>SUMIFS(data!$C:$C,data!$A:$A,"="&amp;xyz!$A53,data!$B:$B,"="&amp;xyz!AE$2)</f>
        <v>10</v>
      </c>
      <c r="AF53">
        <f>SUMIFS(data!$C:$C,data!$A:$A,"="&amp;xyz!$A53,data!$B:$B,"="&amp;xyz!AF$2)</f>
        <v>16</v>
      </c>
      <c r="AG53">
        <f>SUMIFS(data!$C:$C,data!$A:$A,"="&amp;xyz!$A53,data!$B:$B,"="&amp;xyz!AG$2)</f>
        <v>14</v>
      </c>
      <c r="AH53">
        <f>SUMIFS(data!$C:$C,data!$A:$A,"="&amp;xyz!$A53,data!$B:$B,"="&amp;xyz!AH$2)</f>
        <v>8</v>
      </c>
      <c r="AI53">
        <f>SUMIFS(data!$C:$C,data!$A:$A,"="&amp;xyz!$A53,data!$B:$B,"="&amp;xyz!AI$2)</f>
        <v>2</v>
      </c>
      <c r="AJ53">
        <f>SUMIFS(data!$C:$C,data!$A:$A,"="&amp;xyz!$A53,data!$B:$B,"="&amp;xyz!AJ$2)</f>
        <v>15</v>
      </c>
      <c r="AK53">
        <f>SUMIFS(data!$C:$C,data!$A:$A,"="&amp;xyz!$A53,data!$B:$B,"="&amp;xyz!AK$2)</f>
        <v>6</v>
      </c>
      <c r="AL53">
        <f>SUMIFS(data!$C:$C,data!$A:$A,"="&amp;xyz!$A53,data!$B:$B,"="&amp;xyz!AL$2)</f>
        <v>0</v>
      </c>
      <c r="AM53">
        <f>SUMIFS(data!$C:$C,data!$A:$A,"="&amp;xyz!$A53,data!$B:$B,"="&amp;xyz!AM$2)</f>
        <v>3</v>
      </c>
      <c r="AN53">
        <f>SUMIFS(data!$C:$C,data!$A:$A,"="&amp;xyz!$A53,data!$B:$B,"="&amp;xyz!AN$2)</f>
        <v>9</v>
      </c>
      <c r="AO53">
        <f>SUMIFS(data!$C:$C,data!$A:$A,"="&amp;xyz!$A53,data!$B:$B,"="&amp;xyz!AO$2)</f>
        <v>9</v>
      </c>
      <c r="AP53">
        <f>SUMIFS(data!$C:$C,data!$A:$A,"="&amp;xyz!$A53,data!$B:$B,"="&amp;xyz!AP$2)</f>
        <v>7</v>
      </c>
      <c r="AQ53" s="6">
        <f t="shared" si="2"/>
        <v>0.88637408393317885</v>
      </c>
    </row>
    <row r="54" spans="1:43" x14ac:dyDescent="0.3">
      <c r="A54" t="s">
        <v>78</v>
      </c>
      <c r="B54" s="6">
        <f t="shared" si="1"/>
        <v>0.65606060606060612</v>
      </c>
      <c r="C54">
        <f>SUMIFS(data!$C:$C,data!$A:$A,"="&amp;xyz!$A54,data!$B:$B,"="&amp;xyz!C$2)</f>
        <v>0</v>
      </c>
      <c r="D54">
        <f>SUMIFS(data!$C:$C,data!$A:$A,"="&amp;xyz!$A54,data!$B:$B,"="&amp;xyz!D$2)</f>
        <v>0</v>
      </c>
      <c r="E54">
        <f>SUMIFS(data!$C:$C,data!$A:$A,"="&amp;xyz!$A54,data!$B:$B,"="&amp;xyz!E$2)</f>
        <v>2</v>
      </c>
      <c r="F54">
        <f>SUMIFS(data!$C:$C,data!$A:$A,"="&amp;xyz!$A54,data!$B:$B,"="&amp;xyz!F$2)</f>
        <v>4</v>
      </c>
      <c r="G54">
        <f>SUMIFS(data!$C:$C,data!$A:$A,"="&amp;xyz!$A54,data!$B:$B,"="&amp;xyz!G$2)</f>
        <v>1</v>
      </c>
      <c r="H54">
        <f>SUMIFS(data!$C:$C,data!$A:$A,"="&amp;xyz!$A54,data!$B:$B,"="&amp;xyz!H$2)</f>
        <v>0</v>
      </c>
      <c r="I54">
        <f>SUMIFS(data!$C:$C,data!$A:$A,"="&amp;xyz!$A54,data!$B:$B,"="&amp;xyz!I$2)</f>
        <v>1</v>
      </c>
      <c r="J54">
        <f>SUMIFS(data!$C:$C,data!$A:$A,"="&amp;xyz!$A54,data!$B:$B,"="&amp;xyz!J$2)</f>
        <v>1</v>
      </c>
      <c r="K54">
        <f>SUMIFS(data!$C:$C,data!$A:$A,"="&amp;xyz!$A54,data!$B:$B,"="&amp;xyz!K$2)</f>
        <v>0</v>
      </c>
      <c r="L54">
        <f>SUMIFS(data!$C:$C,data!$A:$A,"="&amp;xyz!$A54,data!$B:$B,"="&amp;xyz!L$2)</f>
        <v>2</v>
      </c>
      <c r="M54">
        <f>SUMIFS(data!$C:$C,data!$A:$A,"="&amp;xyz!$A54,data!$B:$B,"="&amp;xyz!M$2)</f>
        <v>1</v>
      </c>
      <c r="N54">
        <f>SUMIFS(data!$C:$C,data!$A:$A,"="&amp;xyz!$A54,data!$B:$B,"="&amp;xyz!N$2)</f>
        <v>2</v>
      </c>
      <c r="O54">
        <f>SUMIFS(data!$C:$C,data!$A:$A,"="&amp;xyz!$A54,data!$B:$B,"="&amp;xyz!O$2)</f>
        <v>2</v>
      </c>
      <c r="P54">
        <f>SUMIFS(data!$C:$C,data!$A:$A,"="&amp;xyz!$A54,data!$B:$B,"="&amp;xyz!P$2)</f>
        <v>1</v>
      </c>
      <c r="Q54">
        <f>SUMIFS(data!$C:$C,data!$A:$A,"="&amp;xyz!$A54,data!$B:$B,"="&amp;xyz!Q$2)</f>
        <v>3</v>
      </c>
      <c r="R54">
        <f>SUMIFS(data!$C:$C,data!$A:$A,"="&amp;xyz!$A54,data!$B:$B,"="&amp;xyz!R$2)</f>
        <v>3</v>
      </c>
      <c r="S54">
        <f>SUMIFS(data!$C:$C,data!$A:$A,"="&amp;xyz!$A54,data!$B:$B,"="&amp;xyz!S$2)</f>
        <v>3</v>
      </c>
      <c r="T54">
        <f>SUMIFS(data!$C:$C,data!$A:$A,"="&amp;xyz!$A54,data!$B:$B,"="&amp;xyz!T$2)</f>
        <v>6</v>
      </c>
      <c r="U54">
        <f>SUMIFS(data!$C:$C,data!$A:$A,"="&amp;xyz!$A54,data!$B:$B,"="&amp;xyz!U$2)</f>
        <v>2</v>
      </c>
      <c r="V54">
        <f>SUMIFS(data!$C:$C,data!$A:$A,"="&amp;xyz!$A54,data!$B:$B,"="&amp;xyz!V$2)</f>
        <v>1</v>
      </c>
      <c r="W54">
        <f>SUMIFS(data!$C:$C,data!$A:$A,"="&amp;xyz!$A54,data!$B:$B,"="&amp;xyz!W$2)</f>
        <v>0</v>
      </c>
      <c r="X54">
        <f>SUMIFS(data!$C:$C,data!$A:$A,"="&amp;xyz!$A54,data!$B:$B,"="&amp;xyz!X$2)</f>
        <v>1</v>
      </c>
      <c r="Y54">
        <f>SUMIFS(data!$C:$C,data!$A:$A,"="&amp;xyz!$A54,data!$B:$B,"="&amp;xyz!Y$2)</f>
        <v>3</v>
      </c>
      <c r="Z54">
        <f>SUMIFS(data!$C:$C,data!$A:$A,"="&amp;xyz!$A54,data!$B:$B,"="&amp;xyz!Z$2)</f>
        <v>1</v>
      </c>
      <c r="AA54">
        <f>SUMIFS(data!$C:$C,data!$A:$A,"="&amp;xyz!$A54,data!$B:$B,"="&amp;xyz!AA$2)</f>
        <v>2</v>
      </c>
      <c r="AB54">
        <f>SUMIFS(data!$C:$C,data!$A:$A,"="&amp;xyz!$A54,data!$B:$B,"="&amp;xyz!AB$2)</f>
        <v>1</v>
      </c>
      <c r="AC54">
        <f>SUMIFS(data!$C:$C,data!$A:$A,"="&amp;xyz!$A54,data!$B:$B,"="&amp;xyz!AC$2)</f>
        <v>1</v>
      </c>
      <c r="AD54">
        <f>SUMIFS(data!$C:$C,data!$A:$A,"="&amp;xyz!$A54,data!$B:$B,"="&amp;xyz!AD$2)</f>
        <v>3</v>
      </c>
      <c r="AE54">
        <f>SUMIFS(data!$C:$C,data!$A:$A,"="&amp;xyz!$A54,data!$B:$B,"="&amp;xyz!AE$2)</f>
        <v>0</v>
      </c>
      <c r="AF54">
        <f>SUMIFS(data!$C:$C,data!$A:$A,"="&amp;xyz!$A54,data!$B:$B,"="&amp;xyz!AF$2)</f>
        <v>2</v>
      </c>
      <c r="AG54">
        <f>SUMIFS(data!$C:$C,data!$A:$A,"="&amp;xyz!$A54,data!$B:$B,"="&amp;xyz!AG$2)</f>
        <v>3</v>
      </c>
      <c r="AH54">
        <f>SUMIFS(data!$C:$C,data!$A:$A,"="&amp;xyz!$A54,data!$B:$B,"="&amp;xyz!AH$2)</f>
        <v>3</v>
      </c>
      <c r="AI54">
        <f>SUMIFS(data!$C:$C,data!$A:$A,"="&amp;xyz!$A54,data!$B:$B,"="&amp;xyz!AI$2)</f>
        <v>2</v>
      </c>
      <c r="AJ54">
        <f>SUMIFS(data!$C:$C,data!$A:$A,"="&amp;xyz!$A54,data!$B:$B,"="&amp;xyz!AJ$2)</f>
        <v>4</v>
      </c>
      <c r="AK54">
        <f>SUMIFS(data!$C:$C,data!$A:$A,"="&amp;xyz!$A54,data!$B:$B,"="&amp;xyz!AK$2)</f>
        <v>1</v>
      </c>
      <c r="AL54">
        <f>SUMIFS(data!$C:$C,data!$A:$A,"="&amp;xyz!$A54,data!$B:$B,"="&amp;xyz!AL$2)</f>
        <v>0</v>
      </c>
      <c r="AM54">
        <f>SUMIFS(data!$C:$C,data!$A:$A,"="&amp;xyz!$A54,data!$B:$B,"="&amp;xyz!AM$2)</f>
        <v>0</v>
      </c>
      <c r="AN54">
        <f>SUMIFS(data!$C:$C,data!$A:$A,"="&amp;xyz!$A54,data!$B:$B,"="&amp;xyz!AN$2)</f>
        <v>1</v>
      </c>
      <c r="AO54">
        <f>SUMIFS(data!$C:$C,data!$A:$A,"="&amp;xyz!$A54,data!$B:$B,"="&amp;xyz!AO$2)</f>
        <v>2</v>
      </c>
      <c r="AP54">
        <f>SUMIFS(data!$C:$C,data!$A:$A,"="&amp;xyz!$A54,data!$B:$B,"="&amp;xyz!AP$2)</f>
        <v>1</v>
      </c>
      <c r="AQ54" s="6">
        <f t="shared" si="2"/>
        <v>0.81831130806443364</v>
      </c>
    </row>
    <row r="55" spans="1:43" x14ac:dyDescent="0.3">
      <c r="A55" t="s">
        <v>104</v>
      </c>
      <c r="B55" s="6">
        <f t="shared" si="1"/>
        <v>0.71794871794871784</v>
      </c>
      <c r="C55">
        <f>SUMIFS(data!$C:$C,data!$A:$A,"="&amp;xyz!$A55,data!$B:$B,"="&amp;xyz!C$2)</f>
        <v>0</v>
      </c>
      <c r="D55">
        <f>SUMIFS(data!$C:$C,data!$A:$A,"="&amp;xyz!$A55,data!$B:$B,"="&amp;xyz!D$2)</f>
        <v>1</v>
      </c>
      <c r="E55">
        <f>SUMIFS(data!$C:$C,data!$A:$A,"="&amp;xyz!$A55,data!$B:$B,"="&amp;xyz!E$2)</f>
        <v>5</v>
      </c>
      <c r="F55">
        <f>SUMIFS(data!$C:$C,data!$A:$A,"="&amp;xyz!$A55,data!$B:$B,"="&amp;xyz!F$2)</f>
        <v>2</v>
      </c>
      <c r="G55">
        <f>SUMIFS(data!$C:$C,data!$A:$A,"="&amp;xyz!$A55,data!$B:$B,"="&amp;xyz!G$2)</f>
        <v>0</v>
      </c>
      <c r="H55">
        <f>SUMIFS(data!$C:$C,data!$A:$A,"="&amp;xyz!$A55,data!$B:$B,"="&amp;xyz!H$2)</f>
        <v>1</v>
      </c>
      <c r="I55">
        <f>SUMIFS(data!$C:$C,data!$A:$A,"="&amp;xyz!$A55,data!$B:$B,"="&amp;xyz!I$2)</f>
        <v>0</v>
      </c>
      <c r="J55">
        <f>SUMIFS(data!$C:$C,data!$A:$A,"="&amp;xyz!$A55,data!$B:$B,"="&amp;xyz!J$2)</f>
        <v>5</v>
      </c>
      <c r="K55">
        <f>SUMIFS(data!$C:$C,data!$A:$A,"="&amp;xyz!$A55,data!$B:$B,"="&amp;xyz!K$2)</f>
        <v>0</v>
      </c>
      <c r="L55">
        <f>SUMIFS(data!$C:$C,data!$A:$A,"="&amp;xyz!$A55,data!$B:$B,"="&amp;xyz!L$2)</f>
        <v>1</v>
      </c>
      <c r="M55">
        <f>SUMIFS(data!$C:$C,data!$A:$A,"="&amp;xyz!$A55,data!$B:$B,"="&amp;xyz!M$2)</f>
        <v>3</v>
      </c>
      <c r="N55">
        <f>SUMIFS(data!$C:$C,data!$A:$A,"="&amp;xyz!$A55,data!$B:$B,"="&amp;xyz!N$2)</f>
        <v>0</v>
      </c>
      <c r="O55">
        <f>SUMIFS(data!$C:$C,data!$A:$A,"="&amp;xyz!$A55,data!$B:$B,"="&amp;xyz!O$2)</f>
        <v>3</v>
      </c>
      <c r="P55">
        <f>SUMIFS(data!$C:$C,data!$A:$A,"="&amp;xyz!$A55,data!$B:$B,"="&amp;xyz!P$2)</f>
        <v>1</v>
      </c>
      <c r="Q55">
        <f>SUMIFS(data!$C:$C,data!$A:$A,"="&amp;xyz!$A55,data!$B:$B,"="&amp;xyz!Q$2)</f>
        <v>2</v>
      </c>
      <c r="R55">
        <f>SUMIFS(data!$C:$C,data!$A:$A,"="&amp;xyz!$A55,data!$B:$B,"="&amp;xyz!R$2)</f>
        <v>2</v>
      </c>
      <c r="S55">
        <f>SUMIFS(data!$C:$C,data!$A:$A,"="&amp;xyz!$A55,data!$B:$B,"="&amp;xyz!S$2)</f>
        <v>4</v>
      </c>
      <c r="T55">
        <f>SUMIFS(data!$C:$C,data!$A:$A,"="&amp;xyz!$A55,data!$B:$B,"="&amp;xyz!T$2)</f>
        <v>1</v>
      </c>
      <c r="U55">
        <f>SUMIFS(data!$C:$C,data!$A:$A,"="&amp;xyz!$A55,data!$B:$B,"="&amp;xyz!U$2)</f>
        <v>2</v>
      </c>
      <c r="V55">
        <f>SUMIFS(data!$C:$C,data!$A:$A,"="&amp;xyz!$A55,data!$B:$B,"="&amp;xyz!V$2)</f>
        <v>2</v>
      </c>
      <c r="W55">
        <f>SUMIFS(data!$C:$C,data!$A:$A,"="&amp;xyz!$A55,data!$B:$B,"="&amp;xyz!W$2)</f>
        <v>1</v>
      </c>
      <c r="X55">
        <f>SUMIFS(data!$C:$C,data!$A:$A,"="&amp;xyz!$A55,data!$B:$B,"="&amp;xyz!X$2)</f>
        <v>1</v>
      </c>
      <c r="Y55">
        <f>SUMIFS(data!$C:$C,data!$A:$A,"="&amp;xyz!$A55,data!$B:$B,"="&amp;xyz!Y$2)</f>
        <v>1</v>
      </c>
      <c r="Z55">
        <f>SUMIFS(data!$C:$C,data!$A:$A,"="&amp;xyz!$A55,data!$B:$B,"="&amp;xyz!Z$2)</f>
        <v>2</v>
      </c>
      <c r="AA55">
        <f>SUMIFS(data!$C:$C,data!$A:$A,"="&amp;xyz!$A55,data!$B:$B,"="&amp;xyz!AA$2)</f>
        <v>1</v>
      </c>
      <c r="AB55">
        <f>SUMIFS(data!$C:$C,data!$A:$A,"="&amp;xyz!$A55,data!$B:$B,"="&amp;xyz!AB$2)</f>
        <v>1</v>
      </c>
      <c r="AC55">
        <f>SUMIFS(data!$C:$C,data!$A:$A,"="&amp;xyz!$A55,data!$B:$B,"="&amp;xyz!AC$2)</f>
        <v>1</v>
      </c>
      <c r="AD55">
        <f>SUMIFS(data!$C:$C,data!$A:$A,"="&amp;xyz!$A55,data!$B:$B,"="&amp;xyz!AD$2)</f>
        <v>6</v>
      </c>
      <c r="AE55">
        <f>SUMIFS(data!$C:$C,data!$A:$A,"="&amp;xyz!$A55,data!$B:$B,"="&amp;xyz!AE$2)</f>
        <v>0</v>
      </c>
      <c r="AF55">
        <f>SUMIFS(data!$C:$C,data!$A:$A,"="&amp;xyz!$A55,data!$B:$B,"="&amp;xyz!AF$2)</f>
        <v>3</v>
      </c>
      <c r="AG55">
        <f>SUMIFS(data!$C:$C,data!$A:$A,"="&amp;xyz!$A55,data!$B:$B,"="&amp;xyz!AG$2)</f>
        <v>2</v>
      </c>
      <c r="AH55">
        <f>SUMIFS(data!$C:$C,data!$A:$A,"="&amp;xyz!$A55,data!$B:$B,"="&amp;xyz!AH$2)</f>
        <v>3</v>
      </c>
      <c r="AI55">
        <f>SUMIFS(data!$C:$C,data!$A:$A,"="&amp;xyz!$A55,data!$B:$B,"="&amp;xyz!AI$2)</f>
        <v>0</v>
      </c>
      <c r="AJ55">
        <f>SUMIFS(data!$C:$C,data!$A:$A,"="&amp;xyz!$A55,data!$B:$B,"="&amp;xyz!AJ$2)</f>
        <v>2</v>
      </c>
      <c r="AK55">
        <f>SUMIFS(data!$C:$C,data!$A:$A,"="&amp;xyz!$A55,data!$B:$B,"="&amp;xyz!AK$2)</f>
        <v>0</v>
      </c>
      <c r="AL55">
        <f>SUMIFS(data!$C:$C,data!$A:$A,"="&amp;xyz!$A55,data!$B:$B,"="&amp;xyz!AL$2)</f>
        <v>10</v>
      </c>
      <c r="AM55">
        <f>SUMIFS(data!$C:$C,data!$A:$A,"="&amp;xyz!$A55,data!$B:$B,"="&amp;xyz!AM$2)</f>
        <v>0</v>
      </c>
      <c r="AN55">
        <f>SUMIFS(data!$C:$C,data!$A:$A,"="&amp;xyz!$A55,data!$B:$B,"="&amp;xyz!AN$2)</f>
        <v>4</v>
      </c>
      <c r="AO55">
        <f>SUMIFS(data!$C:$C,data!$A:$A,"="&amp;xyz!$A55,data!$B:$B,"="&amp;xyz!AO$2)</f>
        <v>2</v>
      </c>
      <c r="AP55">
        <f>SUMIFS(data!$C:$C,data!$A:$A,"="&amp;xyz!$A55,data!$B:$B,"="&amp;xyz!AP$2)</f>
        <v>3</v>
      </c>
      <c r="AQ55" s="6">
        <f t="shared" si="2"/>
        <v>1.0318680135055918</v>
      </c>
    </row>
    <row r="56" spans="1:43" x14ac:dyDescent="0.3">
      <c r="A56" t="s">
        <v>50</v>
      </c>
      <c r="B56" s="6">
        <f t="shared" si="1"/>
        <v>0.7206896551724139</v>
      </c>
      <c r="C56">
        <f>SUMIFS(data!$C:$C,data!$A:$A,"="&amp;xyz!$A56,data!$B:$B,"="&amp;xyz!C$2)</f>
        <v>1</v>
      </c>
      <c r="D56">
        <f>SUMIFS(data!$C:$C,data!$A:$A,"="&amp;xyz!$A56,data!$B:$B,"="&amp;xyz!D$2)</f>
        <v>0</v>
      </c>
      <c r="E56">
        <f>SUMIFS(data!$C:$C,data!$A:$A,"="&amp;xyz!$A56,data!$B:$B,"="&amp;xyz!E$2)</f>
        <v>2</v>
      </c>
      <c r="F56">
        <f>SUMIFS(data!$C:$C,data!$A:$A,"="&amp;xyz!$A56,data!$B:$B,"="&amp;xyz!F$2)</f>
        <v>6</v>
      </c>
      <c r="G56">
        <f>SUMIFS(data!$C:$C,data!$A:$A,"="&amp;xyz!$A56,data!$B:$B,"="&amp;xyz!G$2)</f>
        <v>3</v>
      </c>
      <c r="H56">
        <f>SUMIFS(data!$C:$C,data!$A:$A,"="&amp;xyz!$A56,data!$B:$B,"="&amp;xyz!H$2)</f>
        <v>1</v>
      </c>
      <c r="I56">
        <f>SUMIFS(data!$C:$C,data!$A:$A,"="&amp;xyz!$A56,data!$B:$B,"="&amp;xyz!I$2)</f>
        <v>0</v>
      </c>
      <c r="J56">
        <f>SUMIFS(data!$C:$C,data!$A:$A,"="&amp;xyz!$A56,data!$B:$B,"="&amp;xyz!J$2)</f>
        <v>1</v>
      </c>
      <c r="K56">
        <f>SUMIFS(data!$C:$C,data!$A:$A,"="&amp;xyz!$A56,data!$B:$B,"="&amp;xyz!K$2)</f>
        <v>0</v>
      </c>
      <c r="L56">
        <f>SUMIFS(data!$C:$C,data!$A:$A,"="&amp;xyz!$A56,data!$B:$B,"="&amp;xyz!L$2)</f>
        <v>2</v>
      </c>
      <c r="M56">
        <f>SUMIFS(data!$C:$C,data!$A:$A,"="&amp;xyz!$A56,data!$B:$B,"="&amp;xyz!M$2)</f>
        <v>4</v>
      </c>
      <c r="N56">
        <f>SUMIFS(data!$C:$C,data!$A:$A,"="&amp;xyz!$A56,data!$B:$B,"="&amp;xyz!N$2)</f>
        <v>0</v>
      </c>
      <c r="O56">
        <f>SUMIFS(data!$C:$C,data!$A:$A,"="&amp;xyz!$A56,data!$B:$B,"="&amp;xyz!O$2)</f>
        <v>0</v>
      </c>
      <c r="P56">
        <f>SUMIFS(data!$C:$C,data!$A:$A,"="&amp;xyz!$A56,data!$B:$B,"="&amp;xyz!P$2)</f>
        <v>1</v>
      </c>
      <c r="Q56">
        <f>SUMIFS(data!$C:$C,data!$A:$A,"="&amp;xyz!$A56,data!$B:$B,"="&amp;xyz!Q$2)</f>
        <v>1</v>
      </c>
      <c r="R56">
        <f>SUMIFS(data!$C:$C,data!$A:$A,"="&amp;xyz!$A56,data!$B:$B,"="&amp;xyz!R$2)</f>
        <v>8</v>
      </c>
      <c r="S56">
        <f>SUMIFS(data!$C:$C,data!$A:$A,"="&amp;xyz!$A56,data!$B:$B,"="&amp;xyz!S$2)</f>
        <v>3</v>
      </c>
      <c r="T56">
        <f>SUMIFS(data!$C:$C,data!$A:$A,"="&amp;xyz!$A56,data!$B:$B,"="&amp;xyz!T$2)</f>
        <v>0</v>
      </c>
      <c r="U56">
        <f>SUMIFS(data!$C:$C,data!$A:$A,"="&amp;xyz!$A56,data!$B:$B,"="&amp;xyz!U$2)</f>
        <v>3</v>
      </c>
      <c r="V56">
        <f>SUMIFS(data!$C:$C,data!$A:$A,"="&amp;xyz!$A56,data!$B:$B,"="&amp;xyz!V$2)</f>
        <v>6</v>
      </c>
      <c r="W56">
        <f>SUMIFS(data!$C:$C,data!$A:$A,"="&amp;xyz!$A56,data!$B:$B,"="&amp;xyz!W$2)</f>
        <v>5</v>
      </c>
      <c r="X56">
        <f>SUMIFS(data!$C:$C,data!$A:$A,"="&amp;xyz!$A56,data!$B:$B,"="&amp;xyz!X$2)</f>
        <v>7</v>
      </c>
      <c r="Y56">
        <f>SUMIFS(data!$C:$C,data!$A:$A,"="&amp;xyz!$A56,data!$B:$B,"="&amp;xyz!Y$2)</f>
        <v>7</v>
      </c>
      <c r="Z56">
        <f>SUMIFS(data!$C:$C,data!$A:$A,"="&amp;xyz!$A56,data!$B:$B,"="&amp;xyz!Z$2)</f>
        <v>6</v>
      </c>
      <c r="AA56">
        <f>SUMIFS(data!$C:$C,data!$A:$A,"="&amp;xyz!$A56,data!$B:$B,"="&amp;xyz!AA$2)</f>
        <v>0</v>
      </c>
      <c r="AB56">
        <f>SUMIFS(data!$C:$C,data!$A:$A,"="&amp;xyz!$A56,data!$B:$B,"="&amp;xyz!AB$2)</f>
        <v>3</v>
      </c>
      <c r="AC56">
        <f>SUMIFS(data!$C:$C,data!$A:$A,"="&amp;xyz!$A56,data!$B:$B,"="&amp;xyz!AC$2)</f>
        <v>2</v>
      </c>
      <c r="AD56">
        <f>SUMIFS(data!$C:$C,data!$A:$A,"="&amp;xyz!$A56,data!$B:$B,"="&amp;xyz!AD$2)</f>
        <v>3</v>
      </c>
      <c r="AE56">
        <f>SUMIFS(data!$C:$C,data!$A:$A,"="&amp;xyz!$A56,data!$B:$B,"="&amp;xyz!AE$2)</f>
        <v>2</v>
      </c>
      <c r="AF56">
        <f>SUMIFS(data!$C:$C,data!$A:$A,"="&amp;xyz!$A56,data!$B:$B,"="&amp;xyz!AF$2)</f>
        <v>1</v>
      </c>
      <c r="AG56">
        <f>SUMIFS(data!$C:$C,data!$A:$A,"="&amp;xyz!$A56,data!$B:$B,"="&amp;xyz!AG$2)</f>
        <v>6</v>
      </c>
      <c r="AH56">
        <f>SUMIFS(data!$C:$C,data!$A:$A,"="&amp;xyz!$A56,data!$B:$B,"="&amp;xyz!AH$2)</f>
        <v>2</v>
      </c>
      <c r="AI56">
        <f>SUMIFS(data!$C:$C,data!$A:$A,"="&amp;xyz!$A56,data!$B:$B,"="&amp;xyz!AI$2)</f>
        <v>0</v>
      </c>
      <c r="AJ56">
        <f>SUMIFS(data!$C:$C,data!$A:$A,"="&amp;xyz!$A56,data!$B:$B,"="&amp;xyz!AJ$2)</f>
        <v>7</v>
      </c>
      <c r="AK56">
        <f>SUMIFS(data!$C:$C,data!$A:$A,"="&amp;xyz!$A56,data!$B:$B,"="&amp;xyz!AK$2)</f>
        <v>9</v>
      </c>
      <c r="AL56">
        <f>SUMIFS(data!$C:$C,data!$A:$A,"="&amp;xyz!$A56,data!$B:$B,"="&amp;xyz!AL$2)</f>
        <v>4</v>
      </c>
      <c r="AM56">
        <f>SUMIFS(data!$C:$C,data!$A:$A,"="&amp;xyz!$A56,data!$B:$B,"="&amp;xyz!AM$2)</f>
        <v>2</v>
      </c>
      <c r="AN56">
        <f>SUMIFS(data!$C:$C,data!$A:$A,"="&amp;xyz!$A56,data!$B:$B,"="&amp;xyz!AN$2)</f>
        <v>4</v>
      </c>
      <c r="AO56">
        <f>SUMIFS(data!$C:$C,data!$A:$A,"="&amp;xyz!$A56,data!$B:$B,"="&amp;xyz!AO$2)</f>
        <v>2</v>
      </c>
      <c r="AP56">
        <f>SUMIFS(data!$C:$C,data!$A:$A,"="&amp;xyz!$A56,data!$B:$B,"="&amp;xyz!AP$2)</f>
        <v>2</v>
      </c>
      <c r="AQ56" s="6">
        <f t="shared" si="2"/>
        <v>0.88277519878332489</v>
      </c>
    </row>
    <row r="57" spans="1:43" x14ac:dyDescent="0.3">
      <c r="A57" t="s">
        <v>77</v>
      </c>
      <c r="B57" s="6">
        <f t="shared" si="1"/>
        <v>0.68076923076923079</v>
      </c>
      <c r="C57">
        <f>SUMIFS(data!$C:$C,data!$A:$A,"="&amp;xyz!$A57,data!$B:$B,"="&amp;xyz!C$2)</f>
        <v>0</v>
      </c>
      <c r="D57">
        <f>SUMIFS(data!$C:$C,data!$A:$A,"="&amp;xyz!$A57,data!$B:$B,"="&amp;xyz!D$2)</f>
        <v>1</v>
      </c>
      <c r="E57">
        <f>SUMIFS(data!$C:$C,data!$A:$A,"="&amp;xyz!$A57,data!$B:$B,"="&amp;xyz!E$2)</f>
        <v>1</v>
      </c>
      <c r="F57">
        <f>SUMIFS(data!$C:$C,data!$A:$A,"="&amp;xyz!$A57,data!$B:$B,"="&amp;xyz!F$2)</f>
        <v>1</v>
      </c>
      <c r="G57">
        <f>SUMIFS(data!$C:$C,data!$A:$A,"="&amp;xyz!$A57,data!$B:$B,"="&amp;xyz!G$2)</f>
        <v>1</v>
      </c>
      <c r="H57">
        <f>SUMIFS(data!$C:$C,data!$A:$A,"="&amp;xyz!$A57,data!$B:$B,"="&amp;xyz!H$2)</f>
        <v>0</v>
      </c>
      <c r="I57">
        <f>SUMIFS(data!$C:$C,data!$A:$A,"="&amp;xyz!$A57,data!$B:$B,"="&amp;xyz!I$2)</f>
        <v>0</v>
      </c>
      <c r="J57">
        <f>SUMIFS(data!$C:$C,data!$A:$A,"="&amp;xyz!$A57,data!$B:$B,"="&amp;xyz!J$2)</f>
        <v>2</v>
      </c>
      <c r="K57">
        <f>SUMIFS(data!$C:$C,data!$A:$A,"="&amp;xyz!$A57,data!$B:$B,"="&amp;xyz!K$2)</f>
        <v>0</v>
      </c>
      <c r="L57">
        <f>SUMIFS(data!$C:$C,data!$A:$A,"="&amp;xyz!$A57,data!$B:$B,"="&amp;xyz!L$2)</f>
        <v>2</v>
      </c>
      <c r="M57">
        <f>SUMIFS(data!$C:$C,data!$A:$A,"="&amp;xyz!$A57,data!$B:$B,"="&amp;xyz!M$2)</f>
        <v>1</v>
      </c>
      <c r="N57">
        <f>SUMIFS(data!$C:$C,data!$A:$A,"="&amp;xyz!$A57,data!$B:$B,"="&amp;xyz!N$2)</f>
        <v>2</v>
      </c>
      <c r="O57">
        <f>SUMIFS(data!$C:$C,data!$A:$A,"="&amp;xyz!$A57,data!$B:$B,"="&amp;xyz!O$2)</f>
        <v>0</v>
      </c>
      <c r="P57">
        <f>SUMIFS(data!$C:$C,data!$A:$A,"="&amp;xyz!$A57,data!$B:$B,"="&amp;xyz!P$2)</f>
        <v>2</v>
      </c>
      <c r="Q57">
        <f>SUMIFS(data!$C:$C,data!$A:$A,"="&amp;xyz!$A57,data!$B:$B,"="&amp;xyz!Q$2)</f>
        <v>5</v>
      </c>
      <c r="R57">
        <f>SUMIFS(data!$C:$C,data!$A:$A,"="&amp;xyz!$A57,data!$B:$B,"="&amp;xyz!R$2)</f>
        <v>2</v>
      </c>
      <c r="S57">
        <f>SUMIFS(data!$C:$C,data!$A:$A,"="&amp;xyz!$A57,data!$B:$B,"="&amp;xyz!S$2)</f>
        <v>0</v>
      </c>
      <c r="T57">
        <f>SUMIFS(data!$C:$C,data!$A:$A,"="&amp;xyz!$A57,data!$B:$B,"="&amp;xyz!T$2)</f>
        <v>4</v>
      </c>
      <c r="U57">
        <f>SUMIFS(data!$C:$C,data!$A:$A,"="&amp;xyz!$A57,data!$B:$B,"="&amp;xyz!U$2)</f>
        <v>0</v>
      </c>
      <c r="V57">
        <f>SUMIFS(data!$C:$C,data!$A:$A,"="&amp;xyz!$A57,data!$B:$B,"="&amp;xyz!V$2)</f>
        <v>4</v>
      </c>
      <c r="W57">
        <f>SUMIFS(data!$C:$C,data!$A:$A,"="&amp;xyz!$A57,data!$B:$B,"="&amp;xyz!W$2)</f>
        <v>1</v>
      </c>
      <c r="X57">
        <f>SUMIFS(data!$C:$C,data!$A:$A,"="&amp;xyz!$A57,data!$B:$B,"="&amp;xyz!X$2)</f>
        <v>3</v>
      </c>
      <c r="Y57">
        <f>SUMIFS(data!$C:$C,data!$A:$A,"="&amp;xyz!$A57,data!$B:$B,"="&amp;xyz!Y$2)</f>
        <v>4</v>
      </c>
      <c r="Z57">
        <f>SUMIFS(data!$C:$C,data!$A:$A,"="&amp;xyz!$A57,data!$B:$B,"="&amp;xyz!Z$2)</f>
        <v>2</v>
      </c>
      <c r="AA57">
        <f>SUMIFS(data!$C:$C,data!$A:$A,"="&amp;xyz!$A57,data!$B:$B,"="&amp;xyz!AA$2)</f>
        <v>1</v>
      </c>
      <c r="AB57">
        <f>SUMIFS(data!$C:$C,data!$A:$A,"="&amp;xyz!$A57,data!$B:$B,"="&amp;xyz!AB$2)</f>
        <v>0</v>
      </c>
      <c r="AC57">
        <f>SUMIFS(data!$C:$C,data!$A:$A,"="&amp;xyz!$A57,data!$B:$B,"="&amp;xyz!AC$2)</f>
        <v>3</v>
      </c>
      <c r="AD57">
        <f>SUMIFS(data!$C:$C,data!$A:$A,"="&amp;xyz!$A57,data!$B:$B,"="&amp;xyz!AD$2)</f>
        <v>2</v>
      </c>
      <c r="AE57">
        <f>SUMIFS(data!$C:$C,data!$A:$A,"="&amp;xyz!$A57,data!$B:$B,"="&amp;xyz!AE$2)</f>
        <v>0</v>
      </c>
      <c r="AF57">
        <f>SUMIFS(data!$C:$C,data!$A:$A,"="&amp;xyz!$A57,data!$B:$B,"="&amp;xyz!AF$2)</f>
        <v>1</v>
      </c>
      <c r="AG57">
        <f>SUMIFS(data!$C:$C,data!$A:$A,"="&amp;xyz!$A57,data!$B:$B,"="&amp;xyz!AG$2)</f>
        <v>1</v>
      </c>
      <c r="AH57">
        <f>SUMIFS(data!$C:$C,data!$A:$A,"="&amp;xyz!$A57,data!$B:$B,"="&amp;xyz!AH$2)</f>
        <v>2</v>
      </c>
      <c r="AI57">
        <f>SUMIFS(data!$C:$C,data!$A:$A,"="&amp;xyz!$A57,data!$B:$B,"="&amp;xyz!AI$2)</f>
        <v>1</v>
      </c>
      <c r="AJ57">
        <f>SUMIFS(data!$C:$C,data!$A:$A,"="&amp;xyz!$A57,data!$B:$B,"="&amp;xyz!AJ$2)</f>
        <v>2</v>
      </c>
      <c r="AK57">
        <f>SUMIFS(data!$C:$C,data!$A:$A,"="&amp;xyz!$A57,data!$B:$B,"="&amp;xyz!AK$2)</f>
        <v>1</v>
      </c>
      <c r="AL57">
        <f>SUMIFS(data!$C:$C,data!$A:$A,"="&amp;xyz!$A57,data!$B:$B,"="&amp;xyz!AL$2)</f>
        <v>2</v>
      </c>
      <c r="AM57">
        <f>SUMIFS(data!$C:$C,data!$A:$A,"="&amp;xyz!$A57,data!$B:$B,"="&amp;xyz!AM$2)</f>
        <v>3</v>
      </c>
      <c r="AN57">
        <f>SUMIFS(data!$C:$C,data!$A:$A,"="&amp;xyz!$A57,data!$B:$B,"="&amp;xyz!AN$2)</f>
        <v>5</v>
      </c>
      <c r="AO57">
        <f>SUMIFS(data!$C:$C,data!$A:$A,"="&amp;xyz!$A57,data!$B:$B,"="&amp;xyz!AO$2)</f>
        <v>1</v>
      </c>
      <c r="AP57">
        <f>SUMIFS(data!$C:$C,data!$A:$A,"="&amp;xyz!$A57,data!$B:$B,"="&amp;xyz!AP$2)</f>
        <v>2</v>
      </c>
      <c r="AQ57" s="6">
        <f t="shared" si="2"/>
        <v>0.85551571938119853</v>
      </c>
    </row>
    <row r="58" spans="1:43" x14ac:dyDescent="0.3">
      <c r="A58" t="s">
        <v>115</v>
      </c>
      <c r="B58" s="6">
        <f t="shared" si="1"/>
        <v>0.61534653465346545</v>
      </c>
      <c r="C58">
        <f>SUMIFS(data!$C:$C,data!$A:$A,"="&amp;xyz!$A58,data!$B:$B,"="&amp;xyz!C$2)</f>
        <v>2</v>
      </c>
      <c r="D58">
        <f>SUMIFS(data!$C:$C,data!$A:$A,"="&amp;xyz!$A58,data!$B:$B,"="&amp;xyz!D$2)</f>
        <v>1</v>
      </c>
      <c r="E58">
        <f>SUMIFS(data!$C:$C,data!$A:$A,"="&amp;xyz!$A58,data!$B:$B,"="&amp;xyz!E$2)</f>
        <v>1</v>
      </c>
      <c r="F58">
        <f>SUMIFS(data!$C:$C,data!$A:$A,"="&amp;xyz!$A58,data!$B:$B,"="&amp;xyz!F$2)</f>
        <v>3</v>
      </c>
      <c r="G58">
        <f>SUMIFS(data!$C:$C,data!$A:$A,"="&amp;xyz!$A58,data!$B:$B,"="&amp;xyz!G$2)</f>
        <v>5</v>
      </c>
      <c r="H58">
        <f>SUMIFS(data!$C:$C,data!$A:$A,"="&amp;xyz!$A58,data!$B:$B,"="&amp;xyz!H$2)</f>
        <v>2</v>
      </c>
      <c r="I58">
        <f>SUMIFS(data!$C:$C,data!$A:$A,"="&amp;xyz!$A58,data!$B:$B,"="&amp;xyz!I$2)</f>
        <v>2</v>
      </c>
      <c r="J58">
        <f>SUMIFS(data!$C:$C,data!$A:$A,"="&amp;xyz!$A58,data!$B:$B,"="&amp;xyz!J$2)</f>
        <v>3</v>
      </c>
      <c r="K58">
        <f>SUMIFS(data!$C:$C,data!$A:$A,"="&amp;xyz!$A58,data!$B:$B,"="&amp;xyz!K$2)</f>
        <v>0</v>
      </c>
      <c r="L58">
        <f>SUMIFS(data!$C:$C,data!$A:$A,"="&amp;xyz!$A58,data!$B:$B,"="&amp;xyz!L$2)</f>
        <v>2</v>
      </c>
      <c r="M58">
        <f>SUMIFS(data!$C:$C,data!$A:$A,"="&amp;xyz!$A58,data!$B:$B,"="&amp;xyz!M$2)</f>
        <v>3</v>
      </c>
      <c r="N58">
        <f>SUMIFS(data!$C:$C,data!$A:$A,"="&amp;xyz!$A58,data!$B:$B,"="&amp;xyz!N$2)</f>
        <v>0</v>
      </c>
      <c r="O58">
        <f>SUMIFS(data!$C:$C,data!$A:$A,"="&amp;xyz!$A58,data!$B:$B,"="&amp;xyz!O$2)</f>
        <v>2</v>
      </c>
      <c r="P58">
        <f>SUMIFS(data!$C:$C,data!$A:$A,"="&amp;xyz!$A58,data!$B:$B,"="&amp;xyz!P$2)</f>
        <v>1</v>
      </c>
      <c r="Q58">
        <f>SUMIFS(data!$C:$C,data!$A:$A,"="&amp;xyz!$A58,data!$B:$B,"="&amp;xyz!Q$2)</f>
        <v>4</v>
      </c>
      <c r="R58">
        <f>SUMIFS(data!$C:$C,data!$A:$A,"="&amp;xyz!$A58,data!$B:$B,"="&amp;xyz!R$2)</f>
        <v>4</v>
      </c>
      <c r="S58">
        <f>SUMIFS(data!$C:$C,data!$A:$A,"="&amp;xyz!$A58,data!$B:$B,"="&amp;xyz!S$2)</f>
        <v>1</v>
      </c>
      <c r="T58">
        <f>SUMIFS(data!$C:$C,data!$A:$A,"="&amp;xyz!$A58,data!$B:$B,"="&amp;xyz!T$2)</f>
        <v>5</v>
      </c>
      <c r="U58">
        <f>SUMIFS(data!$C:$C,data!$A:$A,"="&amp;xyz!$A58,data!$B:$B,"="&amp;xyz!U$2)</f>
        <v>4</v>
      </c>
      <c r="V58">
        <f>SUMIFS(data!$C:$C,data!$A:$A,"="&amp;xyz!$A58,data!$B:$B,"="&amp;xyz!V$2)</f>
        <v>0</v>
      </c>
      <c r="W58">
        <f>SUMIFS(data!$C:$C,data!$A:$A,"="&amp;xyz!$A58,data!$B:$B,"="&amp;xyz!W$2)</f>
        <v>2</v>
      </c>
      <c r="X58">
        <f>SUMIFS(data!$C:$C,data!$A:$A,"="&amp;xyz!$A58,data!$B:$B,"="&amp;xyz!X$2)</f>
        <v>2</v>
      </c>
      <c r="Y58">
        <f>SUMIFS(data!$C:$C,data!$A:$A,"="&amp;xyz!$A58,data!$B:$B,"="&amp;xyz!Y$2)</f>
        <v>5</v>
      </c>
      <c r="Z58">
        <f>SUMIFS(data!$C:$C,data!$A:$A,"="&amp;xyz!$A58,data!$B:$B,"="&amp;xyz!Z$2)</f>
        <v>3</v>
      </c>
      <c r="AA58">
        <f>SUMIFS(data!$C:$C,data!$A:$A,"="&amp;xyz!$A58,data!$B:$B,"="&amp;xyz!AA$2)</f>
        <v>0</v>
      </c>
      <c r="AB58">
        <f>SUMIFS(data!$C:$C,data!$A:$A,"="&amp;xyz!$A58,data!$B:$B,"="&amp;xyz!AB$2)</f>
        <v>2</v>
      </c>
      <c r="AC58">
        <f>SUMIFS(data!$C:$C,data!$A:$A,"="&amp;xyz!$A58,data!$B:$B,"="&amp;xyz!AC$2)</f>
        <v>2</v>
      </c>
      <c r="AD58">
        <f>SUMIFS(data!$C:$C,data!$A:$A,"="&amp;xyz!$A58,data!$B:$B,"="&amp;xyz!AD$2)</f>
        <v>10</v>
      </c>
      <c r="AE58">
        <f>SUMIFS(data!$C:$C,data!$A:$A,"="&amp;xyz!$A58,data!$B:$B,"="&amp;xyz!AE$2)</f>
        <v>1</v>
      </c>
      <c r="AF58">
        <f>SUMIFS(data!$C:$C,data!$A:$A,"="&amp;xyz!$A58,data!$B:$B,"="&amp;xyz!AF$2)</f>
        <v>4</v>
      </c>
      <c r="AG58">
        <f>SUMIFS(data!$C:$C,data!$A:$A,"="&amp;xyz!$A58,data!$B:$B,"="&amp;xyz!AG$2)</f>
        <v>2</v>
      </c>
      <c r="AH58">
        <f>SUMIFS(data!$C:$C,data!$A:$A,"="&amp;xyz!$A58,data!$B:$B,"="&amp;xyz!AH$2)</f>
        <v>0</v>
      </c>
      <c r="AI58">
        <f>SUMIFS(data!$C:$C,data!$A:$A,"="&amp;xyz!$A58,data!$B:$B,"="&amp;xyz!AI$2)</f>
        <v>3</v>
      </c>
      <c r="AJ58">
        <f>SUMIFS(data!$C:$C,data!$A:$A,"="&amp;xyz!$A58,data!$B:$B,"="&amp;xyz!AJ$2)</f>
        <v>6</v>
      </c>
      <c r="AK58">
        <f>SUMIFS(data!$C:$C,data!$A:$A,"="&amp;xyz!$A58,data!$B:$B,"="&amp;xyz!AK$2)</f>
        <v>3</v>
      </c>
      <c r="AL58">
        <f>SUMIFS(data!$C:$C,data!$A:$A,"="&amp;xyz!$A58,data!$B:$B,"="&amp;xyz!AL$2)</f>
        <v>0</v>
      </c>
      <c r="AM58">
        <f>SUMIFS(data!$C:$C,data!$A:$A,"="&amp;xyz!$A58,data!$B:$B,"="&amp;xyz!AM$2)</f>
        <v>1</v>
      </c>
      <c r="AN58">
        <f>SUMIFS(data!$C:$C,data!$A:$A,"="&amp;xyz!$A58,data!$B:$B,"="&amp;xyz!AN$2)</f>
        <v>5</v>
      </c>
      <c r="AO58">
        <f>SUMIFS(data!$C:$C,data!$A:$A,"="&amp;xyz!$A58,data!$B:$B,"="&amp;xyz!AO$2)</f>
        <v>1</v>
      </c>
      <c r="AP58">
        <f>SUMIFS(data!$C:$C,data!$A:$A,"="&amp;xyz!$A58,data!$B:$B,"="&amp;xyz!AP$2)</f>
        <v>4</v>
      </c>
      <c r="AQ58" s="6">
        <f t="shared" si="2"/>
        <v>0.80710550284889526</v>
      </c>
    </row>
    <row r="59" spans="1:43" x14ac:dyDescent="0.3">
      <c r="A59" t="s">
        <v>135</v>
      </c>
      <c r="B59" s="6">
        <f t="shared" si="1"/>
        <v>0.83571428571428563</v>
      </c>
      <c r="C59">
        <f>SUMIFS(data!$C:$C,data!$A:$A,"="&amp;xyz!$A59,data!$B:$B,"="&amp;xyz!C$2)</f>
        <v>0</v>
      </c>
      <c r="D59">
        <f>SUMIFS(data!$C:$C,data!$A:$A,"="&amp;xyz!$A59,data!$B:$B,"="&amp;xyz!D$2)</f>
        <v>1</v>
      </c>
      <c r="E59">
        <f>SUMIFS(data!$C:$C,data!$A:$A,"="&amp;xyz!$A59,data!$B:$B,"="&amp;xyz!E$2)</f>
        <v>2</v>
      </c>
      <c r="F59">
        <f>SUMIFS(data!$C:$C,data!$A:$A,"="&amp;xyz!$A59,data!$B:$B,"="&amp;xyz!F$2)</f>
        <v>4</v>
      </c>
      <c r="G59">
        <f>SUMIFS(data!$C:$C,data!$A:$A,"="&amp;xyz!$A59,data!$B:$B,"="&amp;xyz!G$2)</f>
        <v>5</v>
      </c>
      <c r="H59">
        <f>SUMIFS(data!$C:$C,data!$A:$A,"="&amp;xyz!$A59,data!$B:$B,"="&amp;xyz!H$2)</f>
        <v>0</v>
      </c>
      <c r="I59">
        <f>SUMIFS(data!$C:$C,data!$A:$A,"="&amp;xyz!$A59,data!$B:$B,"="&amp;xyz!I$2)</f>
        <v>2</v>
      </c>
      <c r="J59">
        <f>SUMIFS(data!$C:$C,data!$A:$A,"="&amp;xyz!$A59,data!$B:$B,"="&amp;xyz!J$2)</f>
        <v>2</v>
      </c>
      <c r="K59">
        <f>SUMIFS(data!$C:$C,data!$A:$A,"="&amp;xyz!$A59,data!$B:$B,"="&amp;xyz!K$2)</f>
        <v>0</v>
      </c>
      <c r="L59">
        <f>SUMIFS(data!$C:$C,data!$A:$A,"="&amp;xyz!$A59,data!$B:$B,"="&amp;xyz!L$2)</f>
        <v>1</v>
      </c>
      <c r="M59">
        <f>SUMIFS(data!$C:$C,data!$A:$A,"="&amp;xyz!$A59,data!$B:$B,"="&amp;xyz!M$2)</f>
        <v>0</v>
      </c>
      <c r="N59">
        <f>SUMIFS(data!$C:$C,data!$A:$A,"="&amp;xyz!$A59,data!$B:$B,"="&amp;xyz!N$2)</f>
        <v>3</v>
      </c>
      <c r="O59">
        <f>SUMIFS(data!$C:$C,data!$A:$A,"="&amp;xyz!$A59,data!$B:$B,"="&amp;xyz!O$2)</f>
        <v>0</v>
      </c>
      <c r="P59">
        <f>SUMIFS(data!$C:$C,data!$A:$A,"="&amp;xyz!$A59,data!$B:$B,"="&amp;xyz!P$2)</f>
        <v>6</v>
      </c>
      <c r="Q59">
        <f>SUMIFS(data!$C:$C,data!$A:$A,"="&amp;xyz!$A59,data!$B:$B,"="&amp;xyz!Q$2)</f>
        <v>0</v>
      </c>
      <c r="R59">
        <f>SUMIFS(data!$C:$C,data!$A:$A,"="&amp;xyz!$A59,data!$B:$B,"="&amp;xyz!R$2)</f>
        <v>0</v>
      </c>
      <c r="S59">
        <f>SUMIFS(data!$C:$C,data!$A:$A,"="&amp;xyz!$A59,data!$B:$B,"="&amp;xyz!S$2)</f>
        <v>1</v>
      </c>
      <c r="T59">
        <f>SUMIFS(data!$C:$C,data!$A:$A,"="&amp;xyz!$A59,data!$B:$B,"="&amp;xyz!T$2)</f>
        <v>1</v>
      </c>
      <c r="U59">
        <f>SUMIFS(data!$C:$C,data!$A:$A,"="&amp;xyz!$A59,data!$B:$B,"="&amp;xyz!U$2)</f>
        <v>1</v>
      </c>
      <c r="V59">
        <f>SUMIFS(data!$C:$C,data!$A:$A,"="&amp;xyz!$A59,data!$B:$B,"="&amp;xyz!V$2)</f>
        <v>1</v>
      </c>
      <c r="W59">
        <f>SUMIFS(data!$C:$C,data!$A:$A,"="&amp;xyz!$A59,data!$B:$B,"="&amp;xyz!W$2)</f>
        <v>6</v>
      </c>
      <c r="X59">
        <f>SUMIFS(data!$C:$C,data!$A:$A,"="&amp;xyz!$A59,data!$B:$B,"="&amp;xyz!X$2)</f>
        <v>2</v>
      </c>
      <c r="Y59">
        <f>SUMIFS(data!$C:$C,data!$A:$A,"="&amp;xyz!$A59,data!$B:$B,"="&amp;xyz!Y$2)</f>
        <v>3</v>
      </c>
      <c r="Z59">
        <f>SUMIFS(data!$C:$C,data!$A:$A,"="&amp;xyz!$A59,data!$B:$B,"="&amp;xyz!Z$2)</f>
        <v>7</v>
      </c>
      <c r="AA59">
        <f>SUMIFS(data!$C:$C,data!$A:$A,"="&amp;xyz!$A59,data!$B:$B,"="&amp;xyz!AA$2)</f>
        <v>0</v>
      </c>
      <c r="AB59">
        <f>SUMIFS(data!$C:$C,data!$A:$A,"="&amp;xyz!$A59,data!$B:$B,"="&amp;xyz!AB$2)</f>
        <v>0</v>
      </c>
      <c r="AC59">
        <f>SUMIFS(data!$C:$C,data!$A:$A,"="&amp;xyz!$A59,data!$B:$B,"="&amp;xyz!AC$2)</f>
        <v>1</v>
      </c>
      <c r="AD59">
        <f>SUMIFS(data!$C:$C,data!$A:$A,"="&amp;xyz!$A59,data!$B:$B,"="&amp;xyz!AD$2)</f>
        <v>0</v>
      </c>
      <c r="AE59">
        <f>SUMIFS(data!$C:$C,data!$A:$A,"="&amp;xyz!$A59,data!$B:$B,"="&amp;xyz!AE$2)</f>
        <v>0</v>
      </c>
      <c r="AF59">
        <f>SUMIFS(data!$C:$C,data!$A:$A,"="&amp;xyz!$A59,data!$B:$B,"="&amp;xyz!AF$2)</f>
        <v>2</v>
      </c>
      <c r="AG59">
        <f>SUMIFS(data!$C:$C,data!$A:$A,"="&amp;xyz!$A59,data!$B:$B,"="&amp;xyz!AG$2)</f>
        <v>2</v>
      </c>
      <c r="AH59">
        <f>SUMIFS(data!$C:$C,data!$A:$A,"="&amp;xyz!$A59,data!$B:$B,"="&amp;xyz!AH$2)</f>
        <v>3</v>
      </c>
      <c r="AI59">
        <f>SUMIFS(data!$C:$C,data!$A:$A,"="&amp;xyz!$A59,data!$B:$B,"="&amp;xyz!AI$2)</f>
        <v>1</v>
      </c>
      <c r="AJ59">
        <f>SUMIFS(data!$C:$C,data!$A:$A,"="&amp;xyz!$A59,data!$B:$B,"="&amp;xyz!AJ$2)</f>
        <v>5</v>
      </c>
      <c r="AK59">
        <f>SUMIFS(data!$C:$C,data!$A:$A,"="&amp;xyz!$A59,data!$B:$B,"="&amp;xyz!AK$2)</f>
        <v>1</v>
      </c>
      <c r="AL59">
        <f>SUMIFS(data!$C:$C,data!$A:$A,"="&amp;xyz!$A59,data!$B:$B,"="&amp;xyz!AL$2)</f>
        <v>1</v>
      </c>
      <c r="AM59">
        <f>SUMIFS(data!$C:$C,data!$A:$A,"="&amp;xyz!$A59,data!$B:$B,"="&amp;xyz!AM$2)</f>
        <v>2</v>
      </c>
      <c r="AN59">
        <f>SUMIFS(data!$C:$C,data!$A:$A,"="&amp;xyz!$A59,data!$B:$B,"="&amp;xyz!AN$2)</f>
        <v>1</v>
      </c>
      <c r="AO59">
        <f>SUMIFS(data!$C:$C,data!$A:$A,"="&amp;xyz!$A59,data!$B:$B,"="&amp;xyz!AO$2)</f>
        <v>3</v>
      </c>
      <c r="AP59">
        <f>SUMIFS(data!$C:$C,data!$A:$A,"="&amp;xyz!$A59,data!$B:$B,"="&amp;xyz!AP$2)</f>
        <v>0</v>
      </c>
      <c r="AQ59" s="6">
        <f t="shared" si="2"/>
        <v>1.0807288662104833</v>
      </c>
    </row>
    <row r="60" spans="1:43" x14ac:dyDescent="0.3">
      <c r="A60" t="s">
        <v>102</v>
      </c>
      <c r="B60" s="6">
        <f t="shared" si="1"/>
        <v>0.84838709677419366</v>
      </c>
      <c r="C60">
        <f>SUMIFS(data!$C:$C,data!$A:$A,"="&amp;xyz!$A60,data!$B:$B,"="&amp;xyz!C$2)</f>
        <v>0</v>
      </c>
      <c r="D60">
        <f>SUMIFS(data!$C:$C,data!$A:$A,"="&amp;xyz!$A60,data!$B:$B,"="&amp;xyz!D$2)</f>
        <v>0</v>
      </c>
      <c r="E60">
        <f>SUMIFS(data!$C:$C,data!$A:$A,"="&amp;xyz!$A60,data!$B:$B,"="&amp;xyz!E$2)</f>
        <v>3</v>
      </c>
      <c r="F60">
        <f>SUMIFS(data!$C:$C,data!$A:$A,"="&amp;xyz!$A60,data!$B:$B,"="&amp;xyz!F$2)</f>
        <v>0</v>
      </c>
      <c r="G60">
        <f>SUMIFS(data!$C:$C,data!$A:$A,"="&amp;xyz!$A60,data!$B:$B,"="&amp;xyz!G$2)</f>
        <v>2</v>
      </c>
      <c r="H60">
        <f>SUMIFS(data!$C:$C,data!$A:$A,"="&amp;xyz!$A60,data!$B:$B,"="&amp;xyz!H$2)</f>
        <v>3</v>
      </c>
      <c r="I60">
        <f>SUMIFS(data!$C:$C,data!$A:$A,"="&amp;xyz!$A60,data!$B:$B,"="&amp;xyz!I$2)</f>
        <v>15</v>
      </c>
      <c r="J60">
        <f>SUMIFS(data!$C:$C,data!$A:$A,"="&amp;xyz!$A60,data!$B:$B,"="&amp;xyz!J$2)</f>
        <v>1</v>
      </c>
      <c r="K60">
        <f>SUMIFS(data!$C:$C,data!$A:$A,"="&amp;xyz!$A60,data!$B:$B,"="&amp;xyz!K$2)</f>
        <v>0</v>
      </c>
      <c r="L60">
        <f>SUMIFS(data!$C:$C,data!$A:$A,"="&amp;xyz!$A60,data!$B:$B,"="&amp;xyz!L$2)</f>
        <v>1</v>
      </c>
      <c r="M60">
        <f>SUMIFS(data!$C:$C,data!$A:$A,"="&amp;xyz!$A60,data!$B:$B,"="&amp;xyz!M$2)</f>
        <v>8</v>
      </c>
      <c r="N60">
        <f>SUMIFS(data!$C:$C,data!$A:$A,"="&amp;xyz!$A60,data!$B:$B,"="&amp;xyz!N$2)</f>
        <v>1</v>
      </c>
      <c r="O60">
        <f>SUMIFS(data!$C:$C,data!$A:$A,"="&amp;xyz!$A60,data!$B:$B,"="&amp;xyz!O$2)</f>
        <v>4</v>
      </c>
      <c r="P60">
        <f>SUMIFS(data!$C:$C,data!$A:$A,"="&amp;xyz!$A60,data!$B:$B,"="&amp;xyz!P$2)</f>
        <v>1</v>
      </c>
      <c r="Q60">
        <f>SUMIFS(data!$C:$C,data!$A:$A,"="&amp;xyz!$A60,data!$B:$B,"="&amp;xyz!Q$2)</f>
        <v>3</v>
      </c>
      <c r="R60">
        <f>SUMIFS(data!$C:$C,data!$A:$A,"="&amp;xyz!$A60,data!$B:$B,"="&amp;xyz!R$2)</f>
        <v>2</v>
      </c>
      <c r="S60">
        <f>SUMIFS(data!$C:$C,data!$A:$A,"="&amp;xyz!$A60,data!$B:$B,"="&amp;xyz!S$2)</f>
        <v>0</v>
      </c>
      <c r="T60">
        <f>SUMIFS(data!$C:$C,data!$A:$A,"="&amp;xyz!$A60,data!$B:$B,"="&amp;xyz!T$2)</f>
        <v>0</v>
      </c>
      <c r="U60">
        <f>SUMIFS(data!$C:$C,data!$A:$A,"="&amp;xyz!$A60,data!$B:$B,"="&amp;xyz!U$2)</f>
        <v>13</v>
      </c>
      <c r="V60">
        <f>SUMIFS(data!$C:$C,data!$A:$A,"="&amp;xyz!$A60,data!$B:$B,"="&amp;xyz!V$2)</f>
        <v>0</v>
      </c>
      <c r="W60">
        <f>SUMIFS(data!$C:$C,data!$A:$A,"="&amp;xyz!$A60,data!$B:$B,"="&amp;xyz!W$2)</f>
        <v>0</v>
      </c>
      <c r="X60">
        <f>SUMIFS(data!$C:$C,data!$A:$A,"="&amp;xyz!$A60,data!$B:$B,"="&amp;xyz!X$2)</f>
        <v>0</v>
      </c>
      <c r="Y60">
        <f>SUMIFS(data!$C:$C,data!$A:$A,"="&amp;xyz!$A60,data!$B:$B,"="&amp;xyz!Y$2)</f>
        <v>4</v>
      </c>
      <c r="Z60">
        <f>SUMIFS(data!$C:$C,data!$A:$A,"="&amp;xyz!$A60,data!$B:$B,"="&amp;xyz!Z$2)</f>
        <v>6</v>
      </c>
      <c r="AA60">
        <f>SUMIFS(data!$C:$C,data!$A:$A,"="&amp;xyz!$A60,data!$B:$B,"="&amp;xyz!AA$2)</f>
        <v>0</v>
      </c>
      <c r="AB60">
        <f>SUMIFS(data!$C:$C,data!$A:$A,"="&amp;xyz!$A60,data!$B:$B,"="&amp;xyz!AB$2)</f>
        <v>2</v>
      </c>
      <c r="AC60">
        <f>SUMIFS(data!$C:$C,data!$A:$A,"="&amp;xyz!$A60,data!$B:$B,"="&amp;xyz!AC$2)</f>
        <v>3</v>
      </c>
      <c r="AD60">
        <f>SUMIFS(data!$C:$C,data!$A:$A,"="&amp;xyz!$A60,data!$B:$B,"="&amp;xyz!AD$2)</f>
        <v>0</v>
      </c>
      <c r="AE60">
        <f>SUMIFS(data!$C:$C,data!$A:$A,"="&amp;xyz!$A60,data!$B:$B,"="&amp;xyz!AE$2)</f>
        <v>4</v>
      </c>
      <c r="AF60">
        <f>SUMIFS(data!$C:$C,data!$A:$A,"="&amp;xyz!$A60,data!$B:$B,"="&amp;xyz!AF$2)</f>
        <v>3</v>
      </c>
      <c r="AG60">
        <f>SUMIFS(data!$C:$C,data!$A:$A,"="&amp;xyz!$A60,data!$B:$B,"="&amp;xyz!AG$2)</f>
        <v>6</v>
      </c>
      <c r="AH60">
        <f>SUMIFS(data!$C:$C,data!$A:$A,"="&amp;xyz!$A60,data!$B:$B,"="&amp;xyz!AH$2)</f>
        <v>6</v>
      </c>
      <c r="AI60">
        <f>SUMIFS(data!$C:$C,data!$A:$A,"="&amp;xyz!$A60,data!$B:$B,"="&amp;xyz!AI$2)</f>
        <v>5</v>
      </c>
      <c r="AJ60">
        <f>SUMIFS(data!$C:$C,data!$A:$A,"="&amp;xyz!$A60,data!$B:$B,"="&amp;xyz!AJ$2)</f>
        <v>0</v>
      </c>
      <c r="AK60">
        <f>SUMIFS(data!$C:$C,data!$A:$A,"="&amp;xyz!$A60,data!$B:$B,"="&amp;xyz!AK$2)</f>
        <v>0</v>
      </c>
      <c r="AL60">
        <f>SUMIFS(data!$C:$C,data!$A:$A,"="&amp;xyz!$A60,data!$B:$B,"="&amp;xyz!AL$2)</f>
        <v>4</v>
      </c>
      <c r="AM60">
        <f>SUMIFS(data!$C:$C,data!$A:$A,"="&amp;xyz!$A60,data!$B:$B,"="&amp;xyz!AM$2)</f>
        <v>3</v>
      </c>
      <c r="AN60">
        <f>SUMIFS(data!$C:$C,data!$A:$A,"="&amp;xyz!$A60,data!$B:$B,"="&amp;xyz!AN$2)</f>
        <v>6</v>
      </c>
      <c r="AO60">
        <f>SUMIFS(data!$C:$C,data!$A:$A,"="&amp;xyz!$A60,data!$B:$B,"="&amp;xyz!AO$2)</f>
        <v>11</v>
      </c>
      <c r="AP60">
        <f>SUMIFS(data!$C:$C,data!$A:$A,"="&amp;xyz!$A60,data!$B:$B,"="&amp;xyz!AP$2)</f>
        <v>4</v>
      </c>
      <c r="AQ60" s="6">
        <f t="shared" si="2"/>
        <v>1.1706269285076345</v>
      </c>
    </row>
    <row r="61" spans="1:43" x14ac:dyDescent="0.3">
      <c r="A61" t="s">
        <v>12</v>
      </c>
      <c r="B61" s="6">
        <f t="shared" si="1"/>
        <v>0.78963963963963957</v>
      </c>
      <c r="C61">
        <f>SUMIFS(data!$C:$C,data!$A:$A,"="&amp;xyz!$A61,data!$B:$B,"="&amp;xyz!C$2)</f>
        <v>1</v>
      </c>
      <c r="D61">
        <f>SUMIFS(data!$C:$C,data!$A:$A,"="&amp;xyz!$A61,data!$B:$B,"="&amp;xyz!D$2)</f>
        <v>1</v>
      </c>
      <c r="E61">
        <f>SUMIFS(data!$C:$C,data!$A:$A,"="&amp;xyz!$A61,data!$B:$B,"="&amp;xyz!E$2)</f>
        <v>0</v>
      </c>
      <c r="F61">
        <f>SUMIFS(data!$C:$C,data!$A:$A,"="&amp;xyz!$A61,data!$B:$B,"="&amp;xyz!F$2)</f>
        <v>3</v>
      </c>
      <c r="G61">
        <f>SUMIFS(data!$C:$C,data!$A:$A,"="&amp;xyz!$A61,data!$B:$B,"="&amp;xyz!G$2)</f>
        <v>1</v>
      </c>
      <c r="H61">
        <f>SUMIFS(data!$C:$C,data!$A:$A,"="&amp;xyz!$A61,data!$B:$B,"="&amp;xyz!H$2)</f>
        <v>7</v>
      </c>
      <c r="I61">
        <f>SUMIFS(data!$C:$C,data!$A:$A,"="&amp;xyz!$A61,data!$B:$B,"="&amp;xyz!I$2)</f>
        <v>2</v>
      </c>
      <c r="J61">
        <f>SUMIFS(data!$C:$C,data!$A:$A,"="&amp;xyz!$A61,data!$B:$B,"="&amp;xyz!J$2)</f>
        <v>5</v>
      </c>
      <c r="K61">
        <f>SUMIFS(data!$C:$C,data!$A:$A,"="&amp;xyz!$A61,data!$B:$B,"="&amp;xyz!K$2)</f>
        <v>0</v>
      </c>
      <c r="L61">
        <f>SUMIFS(data!$C:$C,data!$A:$A,"="&amp;xyz!$A61,data!$B:$B,"="&amp;xyz!L$2)</f>
        <v>8</v>
      </c>
      <c r="M61">
        <f>SUMIFS(data!$C:$C,data!$A:$A,"="&amp;xyz!$A61,data!$B:$B,"="&amp;xyz!M$2)</f>
        <v>1</v>
      </c>
      <c r="N61">
        <f>SUMIFS(data!$C:$C,data!$A:$A,"="&amp;xyz!$A61,data!$B:$B,"="&amp;xyz!N$2)</f>
        <v>1</v>
      </c>
      <c r="O61">
        <f>SUMIFS(data!$C:$C,data!$A:$A,"="&amp;xyz!$A61,data!$B:$B,"="&amp;xyz!O$2)</f>
        <v>5</v>
      </c>
      <c r="P61">
        <f>SUMIFS(data!$C:$C,data!$A:$A,"="&amp;xyz!$A61,data!$B:$B,"="&amp;xyz!P$2)</f>
        <v>3</v>
      </c>
      <c r="Q61">
        <f>SUMIFS(data!$C:$C,data!$A:$A,"="&amp;xyz!$A61,data!$B:$B,"="&amp;xyz!Q$2)</f>
        <v>1</v>
      </c>
      <c r="R61">
        <f>SUMIFS(data!$C:$C,data!$A:$A,"="&amp;xyz!$A61,data!$B:$B,"="&amp;xyz!R$2)</f>
        <v>0</v>
      </c>
      <c r="S61">
        <f>SUMIFS(data!$C:$C,data!$A:$A,"="&amp;xyz!$A61,data!$B:$B,"="&amp;xyz!S$2)</f>
        <v>3</v>
      </c>
      <c r="T61">
        <f>SUMIFS(data!$C:$C,data!$A:$A,"="&amp;xyz!$A61,data!$B:$B,"="&amp;xyz!T$2)</f>
        <v>1</v>
      </c>
      <c r="U61">
        <f>SUMIFS(data!$C:$C,data!$A:$A,"="&amp;xyz!$A61,data!$B:$B,"="&amp;xyz!U$2)</f>
        <v>9</v>
      </c>
      <c r="V61">
        <f>SUMIFS(data!$C:$C,data!$A:$A,"="&amp;xyz!$A61,data!$B:$B,"="&amp;xyz!V$2)</f>
        <v>10</v>
      </c>
      <c r="W61">
        <f>SUMIFS(data!$C:$C,data!$A:$A,"="&amp;xyz!$A61,data!$B:$B,"="&amp;xyz!W$2)</f>
        <v>1</v>
      </c>
      <c r="X61">
        <f>SUMIFS(data!$C:$C,data!$A:$A,"="&amp;xyz!$A61,data!$B:$B,"="&amp;xyz!X$2)</f>
        <v>1</v>
      </c>
      <c r="Y61">
        <f>SUMIFS(data!$C:$C,data!$A:$A,"="&amp;xyz!$A61,data!$B:$B,"="&amp;xyz!Y$2)</f>
        <v>7</v>
      </c>
      <c r="Z61">
        <f>SUMIFS(data!$C:$C,data!$A:$A,"="&amp;xyz!$A61,data!$B:$B,"="&amp;xyz!Z$2)</f>
        <v>1</v>
      </c>
      <c r="AA61">
        <f>SUMIFS(data!$C:$C,data!$A:$A,"="&amp;xyz!$A61,data!$B:$B,"="&amp;xyz!AA$2)</f>
        <v>3</v>
      </c>
      <c r="AB61">
        <f>SUMIFS(data!$C:$C,data!$A:$A,"="&amp;xyz!$A61,data!$B:$B,"="&amp;xyz!AB$2)</f>
        <v>2</v>
      </c>
      <c r="AC61">
        <f>SUMIFS(data!$C:$C,data!$A:$A,"="&amp;xyz!$A61,data!$B:$B,"="&amp;xyz!AC$2)</f>
        <v>0</v>
      </c>
      <c r="AD61">
        <f>SUMIFS(data!$C:$C,data!$A:$A,"="&amp;xyz!$A61,data!$B:$B,"="&amp;xyz!AD$2)</f>
        <v>2</v>
      </c>
      <c r="AE61">
        <f>SUMIFS(data!$C:$C,data!$A:$A,"="&amp;xyz!$A61,data!$B:$B,"="&amp;xyz!AE$2)</f>
        <v>2</v>
      </c>
      <c r="AF61">
        <f>SUMIFS(data!$C:$C,data!$A:$A,"="&amp;xyz!$A61,data!$B:$B,"="&amp;xyz!AF$2)</f>
        <v>3</v>
      </c>
      <c r="AG61">
        <f>SUMIFS(data!$C:$C,data!$A:$A,"="&amp;xyz!$A61,data!$B:$B,"="&amp;xyz!AG$2)</f>
        <v>1</v>
      </c>
      <c r="AH61">
        <f>SUMIFS(data!$C:$C,data!$A:$A,"="&amp;xyz!$A61,data!$B:$B,"="&amp;xyz!AH$2)</f>
        <v>6</v>
      </c>
      <c r="AI61">
        <f>SUMIFS(data!$C:$C,data!$A:$A,"="&amp;xyz!$A61,data!$B:$B,"="&amp;xyz!AI$2)</f>
        <v>5</v>
      </c>
      <c r="AJ61">
        <f>SUMIFS(data!$C:$C,data!$A:$A,"="&amp;xyz!$A61,data!$B:$B,"="&amp;xyz!AJ$2)</f>
        <v>0</v>
      </c>
      <c r="AK61">
        <f>SUMIFS(data!$C:$C,data!$A:$A,"="&amp;xyz!$A61,data!$B:$B,"="&amp;xyz!AK$2)</f>
        <v>0</v>
      </c>
      <c r="AL61">
        <f>SUMIFS(data!$C:$C,data!$A:$A,"="&amp;xyz!$A61,data!$B:$B,"="&amp;xyz!AL$2)</f>
        <v>3</v>
      </c>
      <c r="AM61">
        <f>SUMIFS(data!$C:$C,data!$A:$A,"="&amp;xyz!$A61,data!$B:$B,"="&amp;xyz!AM$2)</f>
        <v>6</v>
      </c>
      <c r="AN61">
        <f>SUMIFS(data!$C:$C,data!$A:$A,"="&amp;xyz!$A61,data!$B:$B,"="&amp;xyz!AN$2)</f>
        <v>0</v>
      </c>
      <c r="AO61">
        <f>SUMIFS(data!$C:$C,data!$A:$A,"="&amp;xyz!$A61,data!$B:$B,"="&amp;xyz!AO$2)</f>
        <v>1</v>
      </c>
      <c r="AP61">
        <f>SUMIFS(data!$C:$C,data!$A:$A,"="&amp;xyz!$A61,data!$B:$B,"="&amp;xyz!AP$2)</f>
        <v>5</v>
      </c>
      <c r="AQ61" s="6">
        <f t="shared" si="2"/>
        <v>0.98092283634252275</v>
      </c>
    </row>
    <row r="62" spans="1:43" x14ac:dyDescent="0.3">
      <c r="A62" t="s">
        <v>122</v>
      </c>
      <c r="B62" s="6">
        <f t="shared" si="1"/>
        <v>0.42191011265623057</v>
      </c>
      <c r="C62">
        <f>SUMIFS(data!$C:$C,data!$A:$A,"="&amp;xyz!$A62,data!$B:$B,"="&amp;xyz!C$2)</f>
        <v>2</v>
      </c>
      <c r="D62">
        <f>SUMIFS(data!$C:$C,data!$A:$A,"="&amp;xyz!$A62,data!$B:$B,"="&amp;xyz!D$2)</f>
        <v>9</v>
      </c>
      <c r="E62">
        <f>SUMIFS(data!$C:$C,data!$A:$A,"="&amp;xyz!$A62,data!$B:$B,"="&amp;xyz!E$2)</f>
        <v>5</v>
      </c>
      <c r="F62">
        <f>SUMIFS(data!$C:$C,data!$A:$A,"="&amp;xyz!$A62,data!$B:$B,"="&amp;xyz!F$2)</f>
        <v>4</v>
      </c>
      <c r="G62">
        <f>SUMIFS(data!$C:$C,data!$A:$A,"="&amp;xyz!$A62,data!$B:$B,"="&amp;xyz!G$2)</f>
        <v>6</v>
      </c>
      <c r="H62">
        <f>SUMIFS(data!$C:$C,data!$A:$A,"="&amp;xyz!$A62,data!$B:$B,"="&amp;xyz!H$2)</f>
        <v>6</v>
      </c>
      <c r="I62">
        <f>SUMIFS(data!$C:$C,data!$A:$A,"="&amp;xyz!$A62,data!$B:$B,"="&amp;xyz!I$2)</f>
        <v>3</v>
      </c>
      <c r="J62">
        <f>SUMIFS(data!$C:$C,data!$A:$A,"="&amp;xyz!$A62,data!$B:$B,"="&amp;xyz!J$2)</f>
        <v>3</v>
      </c>
      <c r="K62">
        <f>SUMIFS(data!$C:$C,data!$A:$A,"="&amp;xyz!$A62,data!$B:$B,"="&amp;xyz!K$2)</f>
        <v>0</v>
      </c>
      <c r="L62">
        <f>SUMIFS(data!$C:$C,data!$A:$A,"="&amp;xyz!$A62,data!$B:$B,"="&amp;xyz!L$2)</f>
        <v>1</v>
      </c>
      <c r="M62">
        <f>SUMIFS(data!$C:$C,data!$A:$A,"="&amp;xyz!$A62,data!$B:$B,"="&amp;xyz!M$2)</f>
        <v>3</v>
      </c>
      <c r="N62">
        <f>SUMIFS(data!$C:$C,data!$A:$A,"="&amp;xyz!$A62,data!$B:$B,"="&amp;xyz!N$2)</f>
        <v>5</v>
      </c>
      <c r="O62">
        <f>SUMIFS(data!$C:$C,data!$A:$A,"="&amp;xyz!$A62,data!$B:$B,"="&amp;xyz!O$2)</f>
        <v>2</v>
      </c>
      <c r="P62">
        <f>SUMIFS(data!$C:$C,data!$A:$A,"="&amp;xyz!$A62,data!$B:$B,"="&amp;xyz!P$2)</f>
        <v>2</v>
      </c>
      <c r="Q62">
        <f>SUMIFS(data!$C:$C,data!$A:$A,"="&amp;xyz!$A62,data!$B:$B,"="&amp;xyz!Q$2)</f>
        <v>2</v>
      </c>
      <c r="R62">
        <f>SUMIFS(data!$C:$C,data!$A:$A,"="&amp;xyz!$A62,data!$B:$B,"="&amp;xyz!R$2)</f>
        <v>3</v>
      </c>
      <c r="S62">
        <f>SUMIFS(data!$C:$C,data!$A:$A,"="&amp;xyz!$A62,data!$B:$B,"="&amp;xyz!S$2)</f>
        <v>4</v>
      </c>
      <c r="T62">
        <f>SUMIFS(data!$C:$C,data!$A:$A,"="&amp;xyz!$A62,data!$B:$B,"="&amp;xyz!T$2)</f>
        <v>5</v>
      </c>
      <c r="U62">
        <f>SUMIFS(data!$C:$C,data!$A:$A,"="&amp;xyz!$A62,data!$B:$B,"="&amp;xyz!U$2)</f>
        <v>6</v>
      </c>
      <c r="V62">
        <f>SUMIFS(data!$C:$C,data!$A:$A,"="&amp;xyz!$A62,data!$B:$B,"="&amp;xyz!V$2)</f>
        <v>5</v>
      </c>
      <c r="W62">
        <f>SUMIFS(data!$C:$C,data!$A:$A,"="&amp;xyz!$A62,data!$B:$B,"="&amp;xyz!W$2)</f>
        <v>3</v>
      </c>
      <c r="X62">
        <f>SUMIFS(data!$C:$C,data!$A:$A,"="&amp;xyz!$A62,data!$B:$B,"="&amp;xyz!X$2)</f>
        <v>6</v>
      </c>
      <c r="Y62">
        <f>SUMIFS(data!$C:$C,data!$A:$A,"="&amp;xyz!$A62,data!$B:$B,"="&amp;xyz!Y$2)</f>
        <v>7</v>
      </c>
      <c r="Z62">
        <f>SUMIFS(data!$C:$C,data!$A:$A,"="&amp;xyz!$A62,data!$B:$B,"="&amp;xyz!Z$2)</f>
        <v>4</v>
      </c>
      <c r="AA62">
        <f>SUMIFS(data!$C:$C,data!$A:$A,"="&amp;xyz!$A62,data!$B:$B,"="&amp;xyz!AA$2)</f>
        <v>5</v>
      </c>
      <c r="AB62">
        <f>SUMIFS(data!$C:$C,data!$A:$A,"="&amp;xyz!$A62,data!$B:$B,"="&amp;xyz!AB$2)</f>
        <v>5</v>
      </c>
      <c r="AC62">
        <f>SUMIFS(data!$C:$C,data!$A:$A,"="&amp;xyz!$A62,data!$B:$B,"="&amp;xyz!AC$2)</f>
        <v>6</v>
      </c>
      <c r="AD62">
        <f>SUMIFS(data!$C:$C,data!$A:$A,"="&amp;xyz!$A62,data!$B:$B,"="&amp;xyz!AD$2)</f>
        <v>8</v>
      </c>
      <c r="AE62">
        <f>SUMIFS(data!$C:$C,data!$A:$A,"="&amp;xyz!$A62,data!$B:$B,"="&amp;xyz!AE$2)</f>
        <v>9</v>
      </c>
      <c r="AF62">
        <f>SUMIFS(data!$C:$C,data!$A:$A,"="&amp;xyz!$A62,data!$B:$B,"="&amp;xyz!AF$2)</f>
        <v>7</v>
      </c>
      <c r="AG62">
        <f>SUMIFS(data!$C:$C,data!$A:$A,"="&amp;xyz!$A62,data!$B:$B,"="&amp;xyz!AG$2)</f>
        <v>9</v>
      </c>
      <c r="AH62">
        <f>SUMIFS(data!$C:$C,data!$A:$A,"="&amp;xyz!$A62,data!$B:$B,"="&amp;xyz!AH$2)</f>
        <v>5</v>
      </c>
      <c r="AI62">
        <f>SUMIFS(data!$C:$C,data!$A:$A,"="&amp;xyz!$A62,data!$B:$B,"="&amp;xyz!AI$2)</f>
        <v>6</v>
      </c>
      <c r="AJ62">
        <f>SUMIFS(data!$C:$C,data!$A:$A,"="&amp;xyz!$A62,data!$B:$B,"="&amp;xyz!AJ$2)</f>
        <v>6</v>
      </c>
      <c r="AK62">
        <f>SUMIFS(data!$C:$C,data!$A:$A,"="&amp;xyz!$A62,data!$B:$B,"="&amp;xyz!AK$2)</f>
        <v>1</v>
      </c>
      <c r="AL62">
        <f>SUMIFS(data!$C:$C,data!$A:$A,"="&amp;xyz!$A62,data!$B:$B,"="&amp;xyz!AL$2)</f>
        <v>3</v>
      </c>
      <c r="AM62">
        <f>SUMIFS(data!$C:$C,data!$A:$A,"="&amp;xyz!$A62,data!$B:$B,"="&amp;xyz!AM$2)</f>
        <v>4</v>
      </c>
      <c r="AN62">
        <f>SUMIFS(data!$C:$C,data!$A:$A,"="&amp;xyz!$A62,data!$B:$B,"="&amp;xyz!AN$2)</f>
        <v>5.0000001000000003</v>
      </c>
      <c r="AO62">
        <f>SUMIFS(data!$C:$C,data!$A:$A,"="&amp;xyz!$A62,data!$B:$B,"="&amp;xyz!AO$2)</f>
        <v>3</v>
      </c>
      <c r="AP62">
        <f>SUMIFS(data!$C:$C,data!$A:$A,"="&amp;xyz!$A62,data!$B:$B,"="&amp;xyz!AP$2)</f>
        <v>0</v>
      </c>
      <c r="AQ62" s="6">
        <f t="shared" si="2"/>
        <v>0.52133142547346123</v>
      </c>
    </row>
    <row r="63" spans="1:43" x14ac:dyDescent="0.3">
      <c r="A63" t="s">
        <v>63</v>
      </c>
      <c r="B63" s="6">
        <f t="shared" si="1"/>
        <v>0.85555555555555562</v>
      </c>
      <c r="C63">
        <f>SUMIFS(data!$C:$C,data!$A:$A,"="&amp;xyz!$A63,data!$B:$B,"="&amp;xyz!C$2)</f>
        <v>0</v>
      </c>
      <c r="D63">
        <f>SUMIFS(data!$C:$C,data!$A:$A,"="&amp;xyz!$A63,data!$B:$B,"="&amp;xyz!D$2)</f>
        <v>2</v>
      </c>
      <c r="E63">
        <f>SUMIFS(data!$C:$C,data!$A:$A,"="&amp;xyz!$A63,data!$B:$B,"="&amp;xyz!E$2)</f>
        <v>3</v>
      </c>
      <c r="F63">
        <f>SUMIFS(data!$C:$C,data!$A:$A,"="&amp;xyz!$A63,data!$B:$B,"="&amp;xyz!F$2)</f>
        <v>0</v>
      </c>
      <c r="G63">
        <f>SUMIFS(data!$C:$C,data!$A:$A,"="&amp;xyz!$A63,data!$B:$B,"="&amp;xyz!G$2)</f>
        <v>5</v>
      </c>
      <c r="H63">
        <f>SUMIFS(data!$C:$C,data!$A:$A,"="&amp;xyz!$A63,data!$B:$B,"="&amp;xyz!H$2)</f>
        <v>1</v>
      </c>
      <c r="I63">
        <f>SUMIFS(data!$C:$C,data!$A:$A,"="&amp;xyz!$A63,data!$B:$B,"="&amp;xyz!I$2)</f>
        <v>0</v>
      </c>
      <c r="J63">
        <f>SUMIFS(data!$C:$C,data!$A:$A,"="&amp;xyz!$A63,data!$B:$B,"="&amp;xyz!J$2)</f>
        <v>1</v>
      </c>
      <c r="K63">
        <f>SUMIFS(data!$C:$C,data!$A:$A,"="&amp;xyz!$A63,data!$B:$B,"="&amp;xyz!K$2)</f>
        <v>0</v>
      </c>
      <c r="L63">
        <f>SUMIFS(data!$C:$C,data!$A:$A,"="&amp;xyz!$A63,data!$B:$B,"="&amp;xyz!L$2)</f>
        <v>1</v>
      </c>
      <c r="M63">
        <f>SUMIFS(data!$C:$C,data!$A:$A,"="&amp;xyz!$A63,data!$B:$B,"="&amp;xyz!M$2)</f>
        <v>2</v>
      </c>
      <c r="N63">
        <f>SUMIFS(data!$C:$C,data!$A:$A,"="&amp;xyz!$A63,data!$B:$B,"="&amp;xyz!N$2)</f>
        <v>4</v>
      </c>
      <c r="O63">
        <f>SUMIFS(data!$C:$C,data!$A:$A,"="&amp;xyz!$A63,data!$B:$B,"="&amp;xyz!O$2)</f>
        <v>0</v>
      </c>
      <c r="P63">
        <f>SUMIFS(data!$C:$C,data!$A:$A,"="&amp;xyz!$A63,data!$B:$B,"="&amp;xyz!P$2)</f>
        <v>1</v>
      </c>
      <c r="Q63">
        <f>SUMIFS(data!$C:$C,data!$A:$A,"="&amp;xyz!$A63,data!$B:$B,"="&amp;xyz!Q$2)</f>
        <v>2</v>
      </c>
      <c r="R63">
        <f>SUMIFS(data!$C:$C,data!$A:$A,"="&amp;xyz!$A63,data!$B:$B,"="&amp;xyz!R$2)</f>
        <v>4</v>
      </c>
      <c r="S63">
        <f>SUMIFS(data!$C:$C,data!$A:$A,"="&amp;xyz!$A63,data!$B:$B,"="&amp;xyz!S$2)</f>
        <v>1</v>
      </c>
      <c r="T63">
        <f>SUMIFS(data!$C:$C,data!$A:$A,"="&amp;xyz!$A63,data!$B:$B,"="&amp;xyz!T$2)</f>
        <v>0</v>
      </c>
      <c r="U63">
        <f>SUMIFS(data!$C:$C,data!$A:$A,"="&amp;xyz!$A63,data!$B:$B,"="&amp;xyz!U$2)</f>
        <v>1</v>
      </c>
      <c r="V63">
        <f>SUMIFS(data!$C:$C,data!$A:$A,"="&amp;xyz!$A63,data!$B:$B,"="&amp;xyz!V$2)</f>
        <v>6</v>
      </c>
      <c r="W63">
        <f>SUMIFS(data!$C:$C,data!$A:$A,"="&amp;xyz!$A63,data!$B:$B,"="&amp;xyz!W$2)</f>
        <v>1</v>
      </c>
      <c r="X63">
        <f>SUMIFS(data!$C:$C,data!$A:$A,"="&amp;xyz!$A63,data!$B:$B,"="&amp;xyz!X$2)</f>
        <v>1</v>
      </c>
      <c r="Y63">
        <f>SUMIFS(data!$C:$C,data!$A:$A,"="&amp;xyz!$A63,data!$B:$B,"="&amp;xyz!Y$2)</f>
        <v>2</v>
      </c>
      <c r="Z63">
        <f>SUMIFS(data!$C:$C,data!$A:$A,"="&amp;xyz!$A63,data!$B:$B,"="&amp;xyz!Z$2)</f>
        <v>0</v>
      </c>
      <c r="AA63">
        <f>SUMIFS(data!$C:$C,data!$A:$A,"="&amp;xyz!$A63,data!$B:$B,"="&amp;xyz!AA$2)</f>
        <v>5</v>
      </c>
      <c r="AB63">
        <f>SUMIFS(data!$C:$C,data!$A:$A,"="&amp;xyz!$A63,data!$B:$B,"="&amp;xyz!AB$2)</f>
        <v>3</v>
      </c>
      <c r="AC63">
        <f>SUMIFS(data!$C:$C,data!$A:$A,"="&amp;xyz!$A63,data!$B:$B,"="&amp;xyz!AC$2)</f>
        <v>0</v>
      </c>
      <c r="AD63">
        <f>SUMIFS(data!$C:$C,data!$A:$A,"="&amp;xyz!$A63,data!$B:$B,"="&amp;xyz!AD$2)</f>
        <v>0</v>
      </c>
      <c r="AE63">
        <f>SUMIFS(data!$C:$C,data!$A:$A,"="&amp;xyz!$A63,data!$B:$B,"="&amp;xyz!AE$2)</f>
        <v>6</v>
      </c>
      <c r="AF63">
        <f>SUMIFS(data!$C:$C,data!$A:$A,"="&amp;xyz!$A63,data!$B:$B,"="&amp;xyz!AF$2)</f>
        <v>6</v>
      </c>
      <c r="AG63">
        <f>SUMIFS(data!$C:$C,data!$A:$A,"="&amp;xyz!$A63,data!$B:$B,"="&amp;xyz!AG$2)</f>
        <v>1</v>
      </c>
      <c r="AH63">
        <f>SUMIFS(data!$C:$C,data!$A:$A,"="&amp;xyz!$A63,data!$B:$B,"="&amp;xyz!AH$2)</f>
        <v>8</v>
      </c>
      <c r="AI63">
        <f>SUMIFS(data!$C:$C,data!$A:$A,"="&amp;xyz!$A63,data!$B:$B,"="&amp;xyz!AI$2)</f>
        <v>0</v>
      </c>
      <c r="AJ63">
        <f>SUMIFS(data!$C:$C,data!$A:$A,"="&amp;xyz!$A63,data!$B:$B,"="&amp;xyz!AJ$2)</f>
        <v>0</v>
      </c>
      <c r="AK63">
        <f>SUMIFS(data!$C:$C,data!$A:$A,"="&amp;xyz!$A63,data!$B:$B,"="&amp;xyz!AK$2)</f>
        <v>3</v>
      </c>
      <c r="AL63">
        <f>SUMIFS(data!$C:$C,data!$A:$A,"="&amp;xyz!$A63,data!$B:$B,"="&amp;xyz!AL$2)</f>
        <v>2</v>
      </c>
      <c r="AM63">
        <f>SUMIFS(data!$C:$C,data!$A:$A,"="&amp;xyz!$A63,data!$B:$B,"="&amp;xyz!AM$2)</f>
        <v>4</v>
      </c>
      <c r="AN63">
        <f>SUMIFS(data!$C:$C,data!$A:$A,"="&amp;xyz!$A63,data!$B:$B,"="&amp;xyz!AN$2)</f>
        <v>1</v>
      </c>
      <c r="AO63">
        <f>SUMIFS(data!$C:$C,data!$A:$A,"="&amp;xyz!$A63,data!$B:$B,"="&amp;xyz!AO$2)</f>
        <v>6</v>
      </c>
      <c r="AP63">
        <f>SUMIFS(data!$C:$C,data!$A:$A,"="&amp;xyz!$A63,data!$B:$B,"="&amp;xyz!AP$2)</f>
        <v>7</v>
      </c>
      <c r="AQ63" s="6">
        <f t="shared" si="2"/>
        <v>1.0300947933649143</v>
      </c>
    </row>
    <row r="64" spans="1:43" x14ac:dyDescent="0.3">
      <c r="A64" t="s">
        <v>58</v>
      </c>
      <c r="B64" s="6">
        <f t="shared" si="1"/>
        <v>0.83440860215053769</v>
      </c>
      <c r="C64">
        <f>SUMIFS(data!$C:$C,data!$A:$A,"="&amp;xyz!$A64,data!$B:$B,"="&amp;xyz!C$2)</f>
        <v>2</v>
      </c>
      <c r="D64">
        <f>SUMIFS(data!$C:$C,data!$A:$A,"="&amp;xyz!$A64,data!$B:$B,"="&amp;xyz!D$2)</f>
        <v>4</v>
      </c>
      <c r="E64">
        <f>SUMIFS(data!$C:$C,data!$A:$A,"="&amp;xyz!$A64,data!$B:$B,"="&amp;xyz!E$2)</f>
        <v>0</v>
      </c>
      <c r="F64">
        <f>SUMIFS(data!$C:$C,data!$A:$A,"="&amp;xyz!$A64,data!$B:$B,"="&amp;xyz!F$2)</f>
        <v>7</v>
      </c>
      <c r="G64">
        <f>SUMIFS(data!$C:$C,data!$A:$A,"="&amp;xyz!$A64,data!$B:$B,"="&amp;xyz!G$2)</f>
        <v>0</v>
      </c>
      <c r="H64">
        <f>SUMIFS(data!$C:$C,data!$A:$A,"="&amp;xyz!$A64,data!$B:$B,"="&amp;xyz!H$2)</f>
        <v>4</v>
      </c>
      <c r="I64">
        <f>SUMIFS(data!$C:$C,data!$A:$A,"="&amp;xyz!$A64,data!$B:$B,"="&amp;xyz!I$2)</f>
        <v>0</v>
      </c>
      <c r="J64">
        <f>SUMIFS(data!$C:$C,data!$A:$A,"="&amp;xyz!$A64,data!$B:$B,"="&amp;xyz!J$2)</f>
        <v>1</v>
      </c>
      <c r="K64">
        <f>SUMIFS(data!$C:$C,data!$A:$A,"="&amp;xyz!$A64,data!$B:$B,"="&amp;xyz!K$2)</f>
        <v>0</v>
      </c>
      <c r="L64">
        <f>SUMIFS(data!$C:$C,data!$A:$A,"="&amp;xyz!$A64,data!$B:$B,"="&amp;xyz!L$2)</f>
        <v>3</v>
      </c>
      <c r="M64">
        <f>SUMIFS(data!$C:$C,data!$A:$A,"="&amp;xyz!$A64,data!$B:$B,"="&amp;xyz!M$2)</f>
        <v>2</v>
      </c>
      <c r="N64">
        <f>SUMIFS(data!$C:$C,data!$A:$A,"="&amp;xyz!$A64,data!$B:$B,"="&amp;xyz!N$2)</f>
        <v>1</v>
      </c>
      <c r="O64">
        <f>SUMIFS(data!$C:$C,data!$A:$A,"="&amp;xyz!$A64,data!$B:$B,"="&amp;xyz!O$2)</f>
        <v>2</v>
      </c>
      <c r="P64">
        <f>SUMIFS(data!$C:$C,data!$A:$A,"="&amp;xyz!$A64,data!$B:$B,"="&amp;xyz!P$2)</f>
        <v>0</v>
      </c>
      <c r="Q64">
        <f>SUMIFS(data!$C:$C,data!$A:$A,"="&amp;xyz!$A64,data!$B:$B,"="&amp;xyz!Q$2)</f>
        <v>0</v>
      </c>
      <c r="R64">
        <f>SUMIFS(data!$C:$C,data!$A:$A,"="&amp;xyz!$A64,data!$B:$B,"="&amp;xyz!R$2)</f>
        <v>4</v>
      </c>
      <c r="S64">
        <f>SUMIFS(data!$C:$C,data!$A:$A,"="&amp;xyz!$A64,data!$B:$B,"="&amp;xyz!S$2)</f>
        <v>1</v>
      </c>
      <c r="T64">
        <f>SUMIFS(data!$C:$C,data!$A:$A,"="&amp;xyz!$A64,data!$B:$B,"="&amp;xyz!T$2)</f>
        <v>3</v>
      </c>
      <c r="U64">
        <f>SUMIFS(data!$C:$C,data!$A:$A,"="&amp;xyz!$A64,data!$B:$B,"="&amp;xyz!U$2)</f>
        <v>0</v>
      </c>
      <c r="V64">
        <f>SUMIFS(data!$C:$C,data!$A:$A,"="&amp;xyz!$A64,data!$B:$B,"="&amp;xyz!V$2)</f>
        <v>0</v>
      </c>
      <c r="W64">
        <f>SUMIFS(data!$C:$C,data!$A:$A,"="&amp;xyz!$A64,data!$B:$B,"="&amp;xyz!W$2)</f>
        <v>1</v>
      </c>
      <c r="X64">
        <f>SUMIFS(data!$C:$C,data!$A:$A,"="&amp;xyz!$A64,data!$B:$B,"="&amp;xyz!X$2)</f>
        <v>7</v>
      </c>
      <c r="Y64">
        <f>SUMIFS(data!$C:$C,data!$A:$A,"="&amp;xyz!$A64,data!$B:$B,"="&amp;xyz!Y$2)</f>
        <v>4</v>
      </c>
      <c r="Z64">
        <f>SUMIFS(data!$C:$C,data!$A:$A,"="&amp;xyz!$A64,data!$B:$B,"="&amp;xyz!Z$2)</f>
        <v>0</v>
      </c>
      <c r="AA64">
        <f>SUMIFS(data!$C:$C,data!$A:$A,"="&amp;xyz!$A64,data!$B:$B,"="&amp;xyz!AA$2)</f>
        <v>5</v>
      </c>
      <c r="AB64">
        <f>SUMIFS(data!$C:$C,data!$A:$A,"="&amp;xyz!$A64,data!$B:$B,"="&amp;xyz!AB$2)</f>
        <v>2</v>
      </c>
      <c r="AC64">
        <f>SUMIFS(data!$C:$C,data!$A:$A,"="&amp;xyz!$A64,data!$B:$B,"="&amp;xyz!AC$2)</f>
        <v>0</v>
      </c>
      <c r="AD64">
        <f>SUMIFS(data!$C:$C,data!$A:$A,"="&amp;xyz!$A64,data!$B:$B,"="&amp;xyz!AD$2)</f>
        <v>5</v>
      </c>
      <c r="AE64">
        <f>SUMIFS(data!$C:$C,data!$A:$A,"="&amp;xyz!$A64,data!$B:$B,"="&amp;xyz!AE$2)</f>
        <v>4</v>
      </c>
      <c r="AF64">
        <f>SUMIFS(data!$C:$C,data!$A:$A,"="&amp;xyz!$A64,data!$B:$B,"="&amp;xyz!AF$2)</f>
        <v>0</v>
      </c>
      <c r="AG64">
        <f>SUMIFS(data!$C:$C,data!$A:$A,"="&amp;xyz!$A64,data!$B:$B,"="&amp;xyz!AG$2)</f>
        <v>0</v>
      </c>
      <c r="AH64">
        <f>SUMIFS(data!$C:$C,data!$A:$A,"="&amp;xyz!$A64,data!$B:$B,"="&amp;xyz!AH$2)</f>
        <v>0</v>
      </c>
      <c r="AI64">
        <f>SUMIFS(data!$C:$C,data!$A:$A,"="&amp;xyz!$A64,data!$B:$B,"="&amp;xyz!AI$2)</f>
        <v>8</v>
      </c>
      <c r="AJ64">
        <f>SUMIFS(data!$C:$C,data!$A:$A,"="&amp;xyz!$A64,data!$B:$B,"="&amp;xyz!AJ$2)</f>
        <v>3</v>
      </c>
      <c r="AK64">
        <f>SUMIFS(data!$C:$C,data!$A:$A,"="&amp;xyz!$A64,data!$B:$B,"="&amp;xyz!AK$2)</f>
        <v>2</v>
      </c>
      <c r="AL64">
        <f>SUMIFS(data!$C:$C,data!$A:$A,"="&amp;xyz!$A64,data!$B:$B,"="&amp;xyz!AL$2)</f>
        <v>1</v>
      </c>
      <c r="AM64">
        <f>SUMIFS(data!$C:$C,data!$A:$A,"="&amp;xyz!$A64,data!$B:$B,"="&amp;xyz!AM$2)</f>
        <v>3</v>
      </c>
      <c r="AN64">
        <f>SUMIFS(data!$C:$C,data!$A:$A,"="&amp;xyz!$A64,data!$B:$B,"="&amp;xyz!AN$2)</f>
        <v>5</v>
      </c>
      <c r="AO64">
        <f>SUMIFS(data!$C:$C,data!$A:$A,"="&amp;xyz!$A64,data!$B:$B,"="&amp;xyz!AO$2)</f>
        <v>2</v>
      </c>
      <c r="AP64">
        <f>SUMIFS(data!$C:$C,data!$A:$A,"="&amp;xyz!$A64,data!$B:$B,"="&amp;xyz!AP$2)</f>
        <v>7</v>
      </c>
      <c r="AQ64" s="6">
        <f t="shared" si="2"/>
        <v>1.0093379512970631</v>
      </c>
    </row>
    <row r="65" spans="1:43" x14ac:dyDescent="0.3">
      <c r="A65" t="s">
        <v>99</v>
      </c>
      <c r="B65" s="6">
        <f t="shared" si="1"/>
        <v>0.67341772151898727</v>
      </c>
      <c r="C65">
        <f>SUMIFS(data!$C:$C,data!$A:$A,"="&amp;xyz!$A65,data!$B:$B,"="&amp;xyz!C$2)</f>
        <v>2</v>
      </c>
      <c r="D65">
        <f>SUMIFS(data!$C:$C,data!$A:$A,"="&amp;xyz!$A65,data!$B:$B,"="&amp;xyz!D$2)</f>
        <v>2</v>
      </c>
      <c r="E65">
        <f>SUMIFS(data!$C:$C,data!$A:$A,"="&amp;xyz!$A65,data!$B:$B,"="&amp;xyz!E$2)</f>
        <v>1</v>
      </c>
      <c r="F65">
        <f>SUMIFS(data!$C:$C,data!$A:$A,"="&amp;xyz!$A65,data!$B:$B,"="&amp;xyz!F$2)</f>
        <v>3</v>
      </c>
      <c r="G65">
        <f>SUMIFS(data!$C:$C,data!$A:$A,"="&amp;xyz!$A65,data!$B:$B,"="&amp;xyz!G$2)</f>
        <v>2</v>
      </c>
      <c r="H65">
        <f>SUMIFS(data!$C:$C,data!$A:$A,"="&amp;xyz!$A65,data!$B:$B,"="&amp;xyz!H$2)</f>
        <v>1</v>
      </c>
      <c r="I65">
        <f>SUMIFS(data!$C:$C,data!$A:$A,"="&amp;xyz!$A65,data!$B:$B,"="&amp;xyz!I$2)</f>
        <v>7</v>
      </c>
      <c r="J65">
        <f>SUMIFS(data!$C:$C,data!$A:$A,"="&amp;xyz!$A65,data!$B:$B,"="&amp;xyz!J$2)</f>
        <v>0</v>
      </c>
      <c r="K65">
        <f>SUMIFS(data!$C:$C,data!$A:$A,"="&amp;xyz!$A65,data!$B:$B,"="&amp;xyz!K$2)</f>
        <v>0</v>
      </c>
      <c r="L65">
        <f>SUMIFS(data!$C:$C,data!$A:$A,"="&amp;xyz!$A65,data!$B:$B,"="&amp;xyz!L$2)</f>
        <v>1</v>
      </c>
      <c r="M65">
        <f>SUMIFS(data!$C:$C,data!$A:$A,"="&amp;xyz!$A65,data!$B:$B,"="&amp;xyz!M$2)</f>
        <v>3</v>
      </c>
      <c r="N65">
        <f>SUMIFS(data!$C:$C,data!$A:$A,"="&amp;xyz!$A65,data!$B:$B,"="&amp;xyz!N$2)</f>
        <v>3</v>
      </c>
      <c r="O65">
        <f>SUMIFS(data!$C:$C,data!$A:$A,"="&amp;xyz!$A65,data!$B:$B,"="&amp;xyz!O$2)</f>
        <v>4</v>
      </c>
      <c r="P65">
        <f>SUMIFS(data!$C:$C,data!$A:$A,"="&amp;xyz!$A65,data!$B:$B,"="&amp;xyz!P$2)</f>
        <v>2</v>
      </c>
      <c r="Q65">
        <f>SUMIFS(data!$C:$C,data!$A:$A,"="&amp;xyz!$A65,data!$B:$B,"="&amp;xyz!Q$2)</f>
        <v>4</v>
      </c>
      <c r="R65">
        <f>SUMIFS(data!$C:$C,data!$A:$A,"="&amp;xyz!$A65,data!$B:$B,"="&amp;xyz!R$2)</f>
        <v>0</v>
      </c>
      <c r="S65">
        <f>SUMIFS(data!$C:$C,data!$A:$A,"="&amp;xyz!$A65,data!$B:$B,"="&amp;xyz!S$2)</f>
        <v>0</v>
      </c>
      <c r="T65">
        <f>SUMIFS(data!$C:$C,data!$A:$A,"="&amp;xyz!$A65,data!$B:$B,"="&amp;xyz!T$2)</f>
        <v>3</v>
      </c>
      <c r="U65">
        <f>SUMIFS(data!$C:$C,data!$A:$A,"="&amp;xyz!$A65,data!$B:$B,"="&amp;xyz!U$2)</f>
        <v>4</v>
      </c>
      <c r="V65">
        <f>SUMIFS(data!$C:$C,data!$A:$A,"="&amp;xyz!$A65,data!$B:$B,"="&amp;xyz!V$2)</f>
        <v>4</v>
      </c>
      <c r="W65">
        <f>SUMIFS(data!$C:$C,data!$A:$A,"="&amp;xyz!$A65,data!$B:$B,"="&amp;xyz!W$2)</f>
        <v>0</v>
      </c>
      <c r="X65">
        <f>SUMIFS(data!$C:$C,data!$A:$A,"="&amp;xyz!$A65,data!$B:$B,"="&amp;xyz!X$2)</f>
        <v>3</v>
      </c>
      <c r="Y65">
        <f>SUMIFS(data!$C:$C,data!$A:$A,"="&amp;xyz!$A65,data!$B:$B,"="&amp;xyz!Y$2)</f>
        <v>3</v>
      </c>
      <c r="Z65">
        <f>SUMIFS(data!$C:$C,data!$A:$A,"="&amp;xyz!$A65,data!$B:$B,"="&amp;xyz!Z$2)</f>
        <v>0</v>
      </c>
      <c r="AA65">
        <f>SUMIFS(data!$C:$C,data!$A:$A,"="&amp;xyz!$A65,data!$B:$B,"="&amp;xyz!AA$2)</f>
        <v>5</v>
      </c>
      <c r="AB65">
        <f>SUMIFS(data!$C:$C,data!$A:$A,"="&amp;xyz!$A65,data!$B:$B,"="&amp;xyz!AB$2)</f>
        <v>2</v>
      </c>
      <c r="AC65">
        <f>SUMIFS(data!$C:$C,data!$A:$A,"="&amp;xyz!$A65,data!$B:$B,"="&amp;xyz!AC$2)</f>
        <v>0</v>
      </c>
      <c r="AD65">
        <f>SUMIFS(data!$C:$C,data!$A:$A,"="&amp;xyz!$A65,data!$B:$B,"="&amp;xyz!AD$2)</f>
        <v>3</v>
      </c>
      <c r="AE65">
        <f>SUMIFS(data!$C:$C,data!$A:$A,"="&amp;xyz!$A65,data!$B:$B,"="&amp;xyz!AE$2)</f>
        <v>0</v>
      </c>
      <c r="AF65">
        <f>SUMIFS(data!$C:$C,data!$A:$A,"="&amp;xyz!$A65,data!$B:$B,"="&amp;xyz!AF$2)</f>
        <v>3</v>
      </c>
      <c r="AG65">
        <f>SUMIFS(data!$C:$C,data!$A:$A,"="&amp;xyz!$A65,data!$B:$B,"="&amp;xyz!AG$2)</f>
        <v>1</v>
      </c>
      <c r="AH65">
        <f>SUMIFS(data!$C:$C,data!$A:$A,"="&amp;xyz!$A65,data!$B:$B,"="&amp;xyz!AH$2)</f>
        <v>0</v>
      </c>
      <c r="AI65">
        <f>SUMIFS(data!$C:$C,data!$A:$A,"="&amp;xyz!$A65,data!$B:$B,"="&amp;xyz!AI$2)</f>
        <v>2</v>
      </c>
      <c r="AJ65">
        <f>SUMIFS(data!$C:$C,data!$A:$A,"="&amp;xyz!$A65,data!$B:$B,"="&amp;xyz!AJ$2)</f>
        <v>3</v>
      </c>
      <c r="AK65">
        <f>SUMIFS(data!$C:$C,data!$A:$A,"="&amp;xyz!$A65,data!$B:$B,"="&amp;xyz!AK$2)</f>
        <v>0</v>
      </c>
      <c r="AL65">
        <f>SUMIFS(data!$C:$C,data!$A:$A,"="&amp;xyz!$A65,data!$B:$B,"="&amp;xyz!AL$2)</f>
        <v>2</v>
      </c>
      <c r="AM65">
        <f>SUMIFS(data!$C:$C,data!$A:$A,"="&amp;xyz!$A65,data!$B:$B,"="&amp;xyz!AM$2)</f>
        <v>0</v>
      </c>
      <c r="AN65">
        <f>SUMIFS(data!$C:$C,data!$A:$A,"="&amp;xyz!$A65,data!$B:$B,"="&amp;xyz!AN$2)</f>
        <v>2</v>
      </c>
      <c r="AO65">
        <f>SUMIFS(data!$C:$C,data!$A:$A,"="&amp;xyz!$A65,data!$B:$B,"="&amp;xyz!AO$2)</f>
        <v>3</v>
      </c>
      <c r="AP65">
        <f>SUMIFS(data!$C:$C,data!$A:$A,"="&amp;xyz!$A65,data!$B:$B,"="&amp;xyz!AP$2)</f>
        <v>1</v>
      </c>
      <c r="AQ65" s="6">
        <f t="shared" si="2"/>
        <v>0.84637735531310254</v>
      </c>
    </row>
    <row r="66" spans="1:43" x14ac:dyDescent="0.3">
      <c r="A66" t="s">
        <v>62</v>
      </c>
      <c r="B66" s="6">
        <f t="shared" si="1"/>
        <v>0.53343195266272181</v>
      </c>
      <c r="C66">
        <f>SUMIFS(data!$C:$C,data!$A:$A,"="&amp;xyz!$A66,data!$B:$B,"="&amp;xyz!C$2)</f>
        <v>4</v>
      </c>
      <c r="D66">
        <f>SUMIFS(data!$C:$C,data!$A:$A,"="&amp;xyz!$A66,data!$B:$B,"="&amp;xyz!D$2)</f>
        <v>4</v>
      </c>
      <c r="E66">
        <f>SUMIFS(data!$C:$C,data!$A:$A,"="&amp;xyz!$A66,data!$B:$B,"="&amp;xyz!E$2)</f>
        <v>8</v>
      </c>
      <c r="F66">
        <f>SUMIFS(data!$C:$C,data!$A:$A,"="&amp;xyz!$A66,data!$B:$B,"="&amp;xyz!F$2)</f>
        <v>9</v>
      </c>
      <c r="G66">
        <f>SUMIFS(data!$C:$C,data!$A:$A,"="&amp;xyz!$A66,data!$B:$B,"="&amp;xyz!G$2)</f>
        <v>8</v>
      </c>
      <c r="H66">
        <f>SUMIFS(data!$C:$C,data!$A:$A,"="&amp;xyz!$A66,data!$B:$B,"="&amp;xyz!H$2)</f>
        <v>4</v>
      </c>
      <c r="I66">
        <f>SUMIFS(data!$C:$C,data!$A:$A,"="&amp;xyz!$A66,data!$B:$B,"="&amp;xyz!I$2)</f>
        <v>4</v>
      </c>
      <c r="J66">
        <f>SUMIFS(data!$C:$C,data!$A:$A,"="&amp;xyz!$A66,data!$B:$B,"="&amp;xyz!J$2)</f>
        <v>1</v>
      </c>
      <c r="K66">
        <f>SUMIFS(data!$C:$C,data!$A:$A,"="&amp;xyz!$A66,data!$B:$B,"="&amp;xyz!K$2)</f>
        <v>0</v>
      </c>
      <c r="L66">
        <f>SUMIFS(data!$C:$C,data!$A:$A,"="&amp;xyz!$A66,data!$B:$B,"="&amp;xyz!L$2)</f>
        <v>3</v>
      </c>
      <c r="M66">
        <f>SUMIFS(data!$C:$C,data!$A:$A,"="&amp;xyz!$A66,data!$B:$B,"="&amp;xyz!M$2)</f>
        <v>6</v>
      </c>
      <c r="N66">
        <f>SUMIFS(data!$C:$C,data!$A:$A,"="&amp;xyz!$A66,data!$B:$B,"="&amp;xyz!N$2)</f>
        <v>7</v>
      </c>
      <c r="O66">
        <f>SUMIFS(data!$C:$C,data!$A:$A,"="&amp;xyz!$A66,data!$B:$B,"="&amp;xyz!O$2)</f>
        <v>3</v>
      </c>
      <c r="P66">
        <f>SUMIFS(data!$C:$C,data!$A:$A,"="&amp;xyz!$A66,data!$B:$B,"="&amp;xyz!P$2)</f>
        <v>4</v>
      </c>
      <c r="Q66">
        <f>SUMIFS(data!$C:$C,data!$A:$A,"="&amp;xyz!$A66,data!$B:$B,"="&amp;xyz!Q$2)</f>
        <v>10</v>
      </c>
      <c r="R66">
        <f>SUMIFS(data!$C:$C,data!$A:$A,"="&amp;xyz!$A66,data!$B:$B,"="&amp;xyz!R$2)</f>
        <v>6</v>
      </c>
      <c r="S66">
        <f>SUMIFS(data!$C:$C,data!$A:$A,"="&amp;xyz!$A66,data!$B:$B,"="&amp;xyz!S$2)</f>
        <v>3</v>
      </c>
      <c r="T66">
        <f>SUMIFS(data!$C:$C,data!$A:$A,"="&amp;xyz!$A66,data!$B:$B,"="&amp;xyz!T$2)</f>
        <v>2</v>
      </c>
      <c r="U66">
        <f>SUMIFS(data!$C:$C,data!$A:$A,"="&amp;xyz!$A66,data!$B:$B,"="&amp;xyz!U$2)</f>
        <v>4</v>
      </c>
      <c r="V66">
        <f>SUMIFS(data!$C:$C,data!$A:$A,"="&amp;xyz!$A66,data!$B:$B,"="&amp;xyz!V$2)</f>
        <v>8</v>
      </c>
      <c r="W66">
        <f>SUMIFS(data!$C:$C,data!$A:$A,"="&amp;xyz!$A66,data!$B:$B,"="&amp;xyz!W$2)</f>
        <v>3</v>
      </c>
      <c r="X66">
        <f>SUMIFS(data!$C:$C,data!$A:$A,"="&amp;xyz!$A66,data!$B:$B,"="&amp;xyz!X$2)</f>
        <v>3</v>
      </c>
      <c r="Y66">
        <f>SUMIFS(data!$C:$C,data!$A:$A,"="&amp;xyz!$A66,data!$B:$B,"="&amp;xyz!Y$2)</f>
        <v>2</v>
      </c>
      <c r="Z66">
        <f>SUMIFS(data!$C:$C,data!$A:$A,"="&amp;xyz!$A66,data!$B:$B,"="&amp;xyz!Z$2)</f>
        <v>2</v>
      </c>
      <c r="AA66">
        <f>SUMIFS(data!$C:$C,data!$A:$A,"="&amp;xyz!$A66,data!$B:$B,"="&amp;xyz!AA$2)</f>
        <v>9</v>
      </c>
      <c r="AB66">
        <f>SUMIFS(data!$C:$C,data!$A:$A,"="&amp;xyz!$A66,data!$B:$B,"="&amp;xyz!AB$2)</f>
        <v>4</v>
      </c>
      <c r="AC66">
        <f>SUMIFS(data!$C:$C,data!$A:$A,"="&amp;xyz!$A66,data!$B:$B,"="&amp;xyz!AC$2)</f>
        <v>6</v>
      </c>
      <c r="AD66">
        <f>SUMIFS(data!$C:$C,data!$A:$A,"="&amp;xyz!$A66,data!$B:$B,"="&amp;xyz!AD$2)</f>
        <v>3</v>
      </c>
      <c r="AE66">
        <f>SUMIFS(data!$C:$C,data!$A:$A,"="&amp;xyz!$A66,data!$B:$B,"="&amp;xyz!AE$2)</f>
        <v>1</v>
      </c>
      <c r="AF66">
        <f>SUMIFS(data!$C:$C,data!$A:$A,"="&amp;xyz!$A66,data!$B:$B,"="&amp;xyz!AF$2)</f>
        <v>8</v>
      </c>
      <c r="AG66">
        <f>SUMIFS(data!$C:$C,data!$A:$A,"="&amp;xyz!$A66,data!$B:$B,"="&amp;xyz!AG$2)</f>
        <v>5</v>
      </c>
      <c r="AH66">
        <f>SUMIFS(data!$C:$C,data!$A:$A,"="&amp;xyz!$A66,data!$B:$B,"="&amp;xyz!AH$2)</f>
        <v>2</v>
      </c>
      <c r="AI66">
        <f>SUMIFS(data!$C:$C,data!$A:$A,"="&amp;xyz!$A66,data!$B:$B,"="&amp;xyz!AI$2)</f>
        <v>2</v>
      </c>
      <c r="AJ66">
        <f>SUMIFS(data!$C:$C,data!$A:$A,"="&amp;xyz!$A66,data!$B:$B,"="&amp;xyz!AJ$2)</f>
        <v>4</v>
      </c>
      <c r="AK66">
        <f>SUMIFS(data!$C:$C,data!$A:$A,"="&amp;xyz!$A66,data!$B:$B,"="&amp;xyz!AK$2)</f>
        <v>1</v>
      </c>
      <c r="AL66">
        <f>SUMIFS(data!$C:$C,data!$A:$A,"="&amp;xyz!$A66,data!$B:$B,"="&amp;xyz!AL$2)</f>
        <v>4</v>
      </c>
      <c r="AM66">
        <f>SUMIFS(data!$C:$C,data!$A:$A,"="&amp;xyz!$A66,data!$B:$B,"="&amp;xyz!AM$2)</f>
        <v>0</v>
      </c>
      <c r="AN66">
        <f>SUMIFS(data!$C:$C,data!$A:$A,"="&amp;xyz!$A66,data!$B:$B,"="&amp;xyz!AN$2)</f>
        <v>2</v>
      </c>
      <c r="AO66">
        <f>SUMIFS(data!$C:$C,data!$A:$A,"="&amp;xyz!$A66,data!$B:$B,"="&amp;xyz!AO$2)</f>
        <v>0</v>
      </c>
      <c r="AP66">
        <f>SUMIFS(data!$C:$C,data!$A:$A,"="&amp;xyz!$A66,data!$B:$B,"="&amp;xyz!AP$2)</f>
        <v>10</v>
      </c>
      <c r="AQ66" s="6">
        <f t="shared" si="2"/>
        <v>0.66834964459743551</v>
      </c>
    </row>
    <row r="67" spans="1:43" x14ac:dyDescent="0.3">
      <c r="A67" t="s">
        <v>51</v>
      </c>
      <c r="B67" s="6">
        <f t="shared" si="1"/>
        <v>0.88468677494199521</v>
      </c>
      <c r="C67">
        <f>SUMIFS(data!$C:$C,data!$A:$A,"="&amp;xyz!$A67,data!$B:$B,"="&amp;xyz!C$2)</f>
        <v>12</v>
      </c>
      <c r="D67">
        <f>SUMIFS(data!$C:$C,data!$A:$A,"="&amp;xyz!$A67,data!$B:$B,"="&amp;xyz!D$2)</f>
        <v>4</v>
      </c>
      <c r="E67">
        <f>SUMIFS(data!$C:$C,data!$A:$A,"="&amp;xyz!$A67,data!$B:$B,"="&amp;xyz!E$2)</f>
        <v>12</v>
      </c>
      <c r="F67">
        <f>SUMIFS(data!$C:$C,data!$A:$A,"="&amp;xyz!$A67,data!$B:$B,"="&amp;xyz!F$2)</f>
        <v>8</v>
      </c>
      <c r="G67">
        <f>SUMIFS(data!$C:$C,data!$A:$A,"="&amp;xyz!$A67,data!$B:$B,"="&amp;xyz!G$2)</f>
        <v>0</v>
      </c>
      <c r="H67">
        <f>SUMIFS(data!$C:$C,data!$A:$A,"="&amp;xyz!$A67,data!$B:$B,"="&amp;xyz!H$2)</f>
        <v>36</v>
      </c>
      <c r="I67">
        <f>SUMIFS(data!$C:$C,data!$A:$A,"="&amp;xyz!$A67,data!$B:$B,"="&amp;xyz!I$2)</f>
        <v>24</v>
      </c>
      <c r="J67">
        <f>SUMIFS(data!$C:$C,data!$A:$A,"="&amp;xyz!$A67,data!$B:$B,"="&amp;xyz!J$2)</f>
        <v>12</v>
      </c>
      <c r="K67">
        <f>SUMIFS(data!$C:$C,data!$A:$A,"="&amp;xyz!$A67,data!$B:$B,"="&amp;xyz!K$2)</f>
        <v>0</v>
      </c>
      <c r="L67">
        <f>SUMIFS(data!$C:$C,data!$A:$A,"="&amp;xyz!$A67,data!$B:$B,"="&amp;xyz!L$2)</f>
        <v>40</v>
      </c>
      <c r="M67">
        <f>SUMIFS(data!$C:$C,data!$A:$A,"="&amp;xyz!$A67,data!$B:$B,"="&amp;xyz!M$2)</f>
        <v>42</v>
      </c>
      <c r="N67">
        <f>SUMIFS(data!$C:$C,data!$A:$A,"="&amp;xyz!$A67,data!$B:$B,"="&amp;xyz!N$2)</f>
        <v>4</v>
      </c>
      <c r="O67">
        <f>SUMIFS(data!$C:$C,data!$A:$A,"="&amp;xyz!$A67,data!$B:$B,"="&amp;xyz!O$2)</f>
        <v>0</v>
      </c>
      <c r="P67">
        <f>SUMIFS(data!$C:$C,data!$A:$A,"="&amp;xyz!$A67,data!$B:$B,"="&amp;xyz!P$2)</f>
        <v>12</v>
      </c>
      <c r="Q67">
        <f>SUMIFS(data!$C:$C,data!$A:$A,"="&amp;xyz!$A67,data!$B:$B,"="&amp;xyz!Q$2)</f>
        <v>4</v>
      </c>
      <c r="R67">
        <f>SUMIFS(data!$C:$C,data!$A:$A,"="&amp;xyz!$A67,data!$B:$B,"="&amp;xyz!R$2)</f>
        <v>12</v>
      </c>
      <c r="S67">
        <f>SUMIFS(data!$C:$C,data!$A:$A,"="&amp;xyz!$A67,data!$B:$B,"="&amp;xyz!S$2)</f>
        <v>20</v>
      </c>
      <c r="T67">
        <f>SUMIFS(data!$C:$C,data!$A:$A,"="&amp;xyz!$A67,data!$B:$B,"="&amp;xyz!T$2)</f>
        <v>8</v>
      </c>
      <c r="U67">
        <f>SUMIFS(data!$C:$C,data!$A:$A,"="&amp;xyz!$A67,data!$B:$B,"="&amp;xyz!U$2)</f>
        <v>28</v>
      </c>
      <c r="V67">
        <f>SUMIFS(data!$C:$C,data!$A:$A,"="&amp;xyz!$A67,data!$B:$B,"="&amp;xyz!V$2)</f>
        <v>48</v>
      </c>
      <c r="W67">
        <f>SUMIFS(data!$C:$C,data!$A:$A,"="&amp;xyz!$A67,data!$B:$B,"="&amp;xyz!W$2)</f>
        <v>36</v>
      </c>
      <c r="X67">
        <f>SUMIFS(data!$C:$C,data!$A:$A,"="&amp;xyz!$A67,data!$B:$B,"="&amp;xyz!X$2)</f>
        <v>4</v>
      </c>
      <c r="Y67">
        <f>SUMIFS(data!$C:$C,data!$A:$A,"="&amp;xyz!$A67,data!$B:$B,"="&amp;xyz!Y$2)</f>
        <v>0</v>
      </c>
      <c r="Z67">
        <f>SUMIFS(data!$C:$C,data!$A:$A,"="&amp;xyz!$A67,data!$B:$B,"="&amp;xyz!Z$2)</f>
        <v>12</v>
      </c>
      <c r="AA67">
        <f>SUMIFS(data!$C:$C,data!$A:$A,"="&amp;xyz!$A67,data!$B:$B,"="&amp;xyz!AA$2)</f>
        <v>208</v>
      </c>
      <c r="AB67">
        <f>SUMIFS(data!$C:$C,data!$A:$A,"="&amp;xyz!$A67,data!$B:$B,"="&amp;xyz!AB$2)</f>
        <v>4</v>
      </c>
      <c r="AC67">
        <f>SUMIFS(data!$C:$C,data!$A:$A,"="&amp;xyz!$A67,data!$B:$B,"="&amp;xyz!AC$2)</f>
        <v>0</v>
      </c>
      <c r="AD67">
        <f>SUMIFS(data!$C:$C,data!$A:$A,"="&amp;xyz!$A67,data!$B:$B,"="&amp;xyz!AD$2)</f>
        <v>44</v>
      </c>
      <c r="AE67">
        <f>SUMIFS(data!$C:$C,data!$A:$A,"="&amp;xyz!$A67,data!$B:$B,"="&amp;xyz!AE$2)</f>
        <v>8</v>
      </c>
      <c r="AF67">
        <f>SUMIFS(data!$C:$C,data!$A:$A,"="&amp;xyz!$A67,data!$B:$B,"="&amp;xyz!AF$2)</f>
        <v>28</v>
      </c>
      <c r="AG67">
        <f>SUMIFS(data!$C:$C,data!$A:$A,"="&amp;xyz!$A67,data!$B:$B,"="&amp;xyz!AG$2)</f>
        <v>8</v>
      </c>
      <c r="AH67">
        <f>SUMIFS(data!$C:$C,data!$A:$A,"="&amp;xyz!$A67,data!$B:$B,"="&amp;xyz!AH$2)</f>
        <v>16</v>
      </c>
      <c r="AI67">
        <f>SUMIFS(data!$C:$C,data!$A:$A,"="&amp;xyz!$A67,data!$B:$B,"="&amp;xyz!AI$2)</f>
        <v>0</v>
      </c>
      <c r="AJ67">
        <f>SUMIFS(data!$C:$C,data!$A:$A,"="&amp;xyz!$A67,data!$B:$B,"="&amp;xyz!AJ$2)</f>
        <v>4</v>
      </c>
      <c r="AK67">
        <f>SUMIFS(data!$C:$C,data!$A:$A,"="&amp;xyz!$A67,data!$B:$B,"="&amp;xyz!AK$2)</f>
        <v>24</v>
      </c>
      <c r="AL67">
        <f>SUMIFS(data!$C:$C,data!$A:$A,"="&amp;xyz!$A67,data!$B:$B,"="&amp;xyz!AL$2)</f>
        <v>5</v>
      </c>
      <c r="AM67">
        <f>SUMIFS(data!$C:$C,data!$A:$A,"="&amp;xyz!$A67,data!$B:$B,"="&amp;xyz!AM$2)</f>
        <v>32</v>
      </c>
      <c r="AN67">
        <f>SUMIFS(data!$C:$C,data!$A:$A,"="&amp;xyz!$A67,data!$B:$B,"="&amp;xyz!AN$2)</f>
        <v>61</v>
      </c>
      <c r="AO67">
        <f>SUMIFS(data!$C:$C,data!$A:$A,"="&amp;xyz!$A67,data!$B:$B,"="&amp;xyz!AO$2)</f>
        <v>32</v>
      </c>
      <c r="AP67">
        <f>SUMIFS(data!$C:$C,data!$A:$A,"="&amp;xyz!$A67,data!$B:$B,"="&amp;xyz!AP$2)</f>
        <v>10</v>
      </c>
      <c r="AQ67" s="6">
        <f t="shared" si="2"/>
        <v>1.5827208843490639</v>
      </c>
    </row>
    <row r="68" spans="1:43" x14ac:dyDescent="0.3">
      <c r="A68" t="s">
        <v>137</v>
      </c>
      <c r="B68" s="6">
        <f t="shared" ref="B68:B131" si="3">AVEDEV(C68:AP68)/AVERAGE(C68:AP68)</f>
        <v>0.95281690140845055</v>
      </c>
      <c r="C68">
        <f>SUMIFS(data!$C:$C,data!$A:$A,"="&amp;xyz!$A68,data!$B:$B,"="&amp;xyz!C$2)</f>
        <v>0</v>
      </c>
      <c r="D68">
        <f>SUMIFS(data!$C:$C,data!$A:$A,"="&amp;xyz!$A68,data!$B:$B,"="&amp;xyz!D$2)</f>
        <v>4</v>
      </c>
      <c r="E68">
        <f>SUMIFS(data!$C:$C,data!$A:$A,"="&amp;xyz!$A68,data!$B:$B,"="&amp;xyz!E$2)</f>
        <v>4</v>
      </c>
      <c r="F68">
        <f>SUMIFS(data!$C:$C,data!$A:$A,"="&amp;xyz!$A68,data!$B:$B,"="&amp;xyz!F$2)</f>
        <v>1</v>
      </c>
      <c r="G68">
        <f>SUMIFS(data!$C:$C,data!$A:$A,"="&amp;xyz!$A68,data!$B:$B,"="&amp;xyz!G$2)</f>
        <v>2</v>
      </c>
      <c r="H68">
        <f>SUMIFS(data!$C:$C,data!$A:$A,"="&amp;xyz!$A68,data!$B:$B,"="&amp;xyz!H$2)</f>
        <v>0</v>
      </c>
      <c r="I68">
        <f>SUMIFS(data!$C:$C,data!$A:$A,"="&amp;xyz!$A68,data!$B:$B,"="&amp;xyz!I$2)</f>
        <v>1</v>
      </c>
      <c r="J68">
        <f>SUMIFS(data!$C:$C,data!$A:$A,"="&amp;xyz!$A68,data!$B:$B,"="&amp;xyz!J$2)</f>
        <v>3</v>
      </c>
      <c r="K68">
        <f>SUMIFS(data!$C:$C,data!$A:$A,"="&amp;xyz!$A68,data!$B:$B,"="&amp;xyz!K$2)</f>
        <v>0</v>
      </c>
      <c r="L68">
        <f>SUMIFS(data!$C:$C,data!$A:$A,"="&amp;xyz!$A68,data!$B:$B,"="&amp;xyz!L$2)</f>
        <v>0</v>
      </c>
      <c r="M68">
        <f>SUMIFS(data!$C:$C,data!$A:$A,"="&amp;xyz!$A68,data!$B:$B,"="&amp;xyz!M$2)</f>
        <v>2</v>
      </c>
      <c r="N68">
        <f>SUMIFS(data!$C:$C,data!$A:$A,"="&amp;xyz!$A68,data!$B:$B,"="&amp;xyz!N$2)</f>
        <v>0</v>
      </c>
      <c r="O68">
        <f>SUMIFS(data!$C:$C,data!$A:$A,"="&amp;xyz!$A68,data!$B:$B,"="&amp;xyz!O$2)</f>
        <v>2</v>
      </c>
      <c r="P68">
        <f>SUMIFS(data!$C:$C,data!$A:$A,"="&amp;xyz!$A68,data!$B:$B,"="&amp;xyz!P$2)</f>
        <v>0</v>
      </c>
      <c r="Q68">
        <f>SUMIFS(data!$C:$C,data!$A:$A,"="&amp;xyz!$A68,data!$B:$B,"="&amp;xyz!Q$2)</f>
        <v>2</v>
      </c>
      <c r="R68">
        <f>SUMIFS(data!$C:$C,data!$A:$A,"="&amp;xyz!$A68,data!$B:$B,"="&amp;xyz!R$2)</f>
        <v>15</v>
      </c>
      <c r="S68">
        <f>SUMIFS(data!$C:$C,data!$A:$A,"="&amp;xyz!$A68,data!$B:$B,"="&amp;xyz!S$2)</f>
        <v>1</v>
      </c>
      <c r="T68">
        <f>SUMIFS(data!$C:$C,data!$A:$A,"="&amp;xyz!$A68,data!$B:$B,"="&amp;xyz!T$2)</f>
        <v>1</v>
      </c>
      <c r="U68">
        <f>SUMIFS(data!$C:$C,data!$A:$A,"="&amp;xyz!$A68,data!$B:$B,"="&amp;xyz!U$2)</f>
        <v>4</v>
      </c>
      <c r="V68">
        <f>SUMIFS(data!$C:$C,data!$A:$A,"="&amp;xyz!$A68,data!$B:$B,"="&amp;xyz!V$2)</f>
        <v>0</v>
      </c>
      <c r="W68">
        <f>SUMIFS(data!$C:$C,data!$A:$A,"="&amp;xyz!$A68,data!$B:$B,"="&amp;xyz!W$2)</f>
        <v>2</v>
      </c>
      <c r="X68">
        <f>SUMIFS(data!$C:$C,data!$A:$A,"="&amp;xyz!$A68,data!$B:$B,"="&amp;xyz!X$2)</f>
        <v>3</v>
      </c>
      <c r="Y68">
        <f>SUMIFS(data!$C:$C,data!$A:$A,"="&amp;xyz!$A68,data!$B:$B,"="&amp;xyz!Y$2)</f>
        <v>0</v>
      </c>
      <c r="Z68">
        <f>SUMIFS(data!$C:$C,data!$A:$A,"="&amp;xyz!$A68,data!$B:$B,"="&amp;xyz!Z$2)</f>
        <v>0</v>
      </c>
      <c r="AA68">
        <f>SUMIFS(data!$C:$C,data!$A:$A,"="&amp;xyz!$A68,data!$B:$B,"="&amp;xyz!AA$2)</f>
        <v>3</v>
      </c>
      <c r="AB68">
        <f>SUMIFS(data!$C:$C,data!$A:$A,"="&amp;xyz!$A68,data!$B:$B,"="&amp;xyz!AB$2)</f>
        <v>0</v>
      </c>
      <c r="AC68">
        <f>SUMIFS(data!$C:$C,data!$A:$A,"="&amp;xyz!$A68,data!$B:$B,"="&amp;xyz!AC$2)</f>
        <v>3</v>
      </c>
      <c r="AD68">
        <f>SUMIFS(data!$C:$C,data!$A:$A,"="&amp;xyz!$A68,data!$B:$B,"="&amp;xyz!AD$2)</f>
        <v>0</v>
      </c>
      <c r="AE68">
        <f>SUMIFS(data!$C:$C,data!$A:$A,"="&amp;xyz!$A68,data!$B:$B,"="&amp;xyz!AE$2)</f>
        <v>0</v>
      </c>
      <c r="AF68">
        <f>SUMIFS(data!$C:$C,data!$A:$A,"="&amp;xyz!$A68,data!$B:$B,"="&amp;xyz!AF$2)</f>
        <v>0</v>
      </c>
      <c r="AG68">
        <f>SUMIFS(data!$C:$C,data!$A:$A,"="&amp;xyz!$A68,data!$B:$B,"="&amp;xyz!AG$2)</f>
        <v>1</v>
      </c>
      <c r="AH68">
        <f>SUMIFS(data!$C:$C,data!$A:$A,"="&amp;xyz!$A68,data!$B:$B,"="&amp;xyz!AH$2)</f>
        <v>0</v>
      </c>
      <c r="AI68">
        <f>SUMIFS(data!$C:$C,data!$A:$A,"="&amp;xyz!$A68,data!$B:$B,"="&amp;xyz!AI$2)</f>
        <v>5</v>
      </c>
      <c r="AJ68">
        <f>SUMIFS(data!$C:$C,data!$A:$A,"="&amp;xyz!$A68,data!$B:$B,"="&amp;xyz!AJ$2)</f>
        <v>1</v>
      </c>
      <c r="AK68">
        <f>SUMIFS(data!$C:$C,data!$A:$A,"="&amp;xyz!$A68,data!$B:$B,"="&amp;xyz!AK$2)</f>
        <v>6</v>
      </c>
      <c r="AL68">
        <f>SUMIFS(data!$C:$C,data!$A:$A,"="&amp;xyz!$A68,data!$B:$B,"="&amp;xyz!AL$2)</f>
        <v>0</v>
      </c>
      <c r="AM68">
        <f>SUMIFS(data!$C:$C,data!$A:$A,"="&amp;xyz!$A68,data!$B:$B,"="&amp;xyz!AM$2)</f>
        <v>1</v>
      </c>
      <c r="AN68">
        <f>SUMIFS(data!$C:$C,data!$A:$A,"="&amp;xyz!$A68,data!$B:$B,"="&amp;xyz!AN$2)</f>
        <v>2</v>
      </c>
      <c r="AO68">
        <f>SUMIFS(data!$C:$C,data!$A:$A,"="&amp;xyz!$A68,data!$B:$B,"="&amp;xyz!AO$2)</f>
        <v>2</v>
      </c>
      <c r="AP68">
        <f>SUMIFS(data!$C:$C,data!$A:$A,"="&amp;xyz!$A68,data!$B:$B,"="&amp;xyz!AP$2)</f>
        <v>0</v>
      </c>
      <c r="AQ68" s="6">
        <f t="shared" ref="AQ68:AQ131" si="4">_xlfn.STDEV.S(C68:AP68)/AVERAGE(C68:AP68)</f>
        <v>1.506787408038325</v>
      </c>
    </row>
    <row r="69" spans="1:43" x14ac:dyDescent="0.3">
      <c r="A69" t="s">
        <v>133</v>
      </c>
      <c r="B69" s="6">
        <f t="shared" si="3"/>
        <v>1.0828193832599122</v>
      </c>
      <c r="C69">
        <f>SUMIFS(data!$C:$C,data!$A:$A,"="&amp;xyz!$A69,data!$B:$B,"="&amp;xyz!C$2)</f>
        <v>2</v>
      </c>
      <c r="D69">
        <f>SUMIFS(data!$C:$C,data!$A:$A,"="&amp;xyz!$A69,data!$B:$B,"="&amp;xyz!D$2)</f>
        <v>0</v>
      </c>
      <c r="E69">
        <f>SUMIFS(data!$C:$C,data!$A:$A,"="&amp;xyz!$A69,data!$B:$B,"="&amp;xyz!E$2)</f>
        <v>0</v>
      </c>
      <c r="F69">
        <f>SUMIFS(data!$C:$C,data!$A:$A,"="&amp;xyz!$A69,data!$B:$B,"="&amp;xyz!F$2)</f>
        <v>11</v>
      </c>
      <c r="G69">
        <f>SUMIFS(data!$C:$C,data!$A:$A,"="&amp;xyz!$A69,data!$B:$B,"="&amp;xyz!G$2)</f>
        <v>15</v>
      </c>
      <c r="H69">
        <f>SUMIFS(data!$C:$C,data!$A:$A,"="&amp;xyz!$A69,data!$B:$B,"="&amp;xyz!H$2)</f>
        <v>3</v>
      </c>
      <c r="I69">
        <f>SUMIFS(data!$C:$C,data!$A:$A,"="&amp;xyz!$A69,data!$B:$B,"="&amp;xyz!I$2)</f>
        <v>1</v>
      </c>
      <c r="J69">
        <f>SUMIFS(data!$C:$C,data!$A:$A,"="&amp;xyz!$A69,data!$B:$B,"="&amp;xyz!J$2)</f>
        <v>2</v>
      </c>
      <c r="K69">
        <f>SUMIFS(data!$C:$C,data!$A:$A,"="&amp;xyz!$A69,data!$B:$B,"="&amp;xyz!K$2)</f>
        <v>0</v>
      </c>
      <c r="L69">
        <f>SUMIFS(data!$C:$C,data!$A:$A,"="&amp;xyz!$A69,data!$B:$B,"="&amp;xyz!L$2)</f>
        <v>7</v>
      </c>
      <c r="M69">
        <f>SUMIFS(data!$C:$C,data!$A:$A,"="&amp;xyz!$A69,data!$B:$B,"="&amp;xyz!M$2)</f>
        <v>0</v>
      </c>
      <c r="N69">
        <f>SUMIFS(data!$C:$C,data!$A:$A,"="&amp;xyz!$A69,data!$B:$B,"="&amp;xyz!N$2)</f>
        <v>0</v>
      </c>
      <c r="O69">
        <f>SUMIFS(data!$C:$C,data!$A:$A,"="&amp;xyz!$A69,data!$B:$B,"="&amp;xyz!O$2)</f>
        <v>2</v>
      </c>
      <c r="P69">
        <f>SUMIFS(data!$C:$C,data!$A:$A,"="&amp;xyz!$A69,data!$B:$B,"="&amp;xyz!P$2)</f>
        <v>2</v>
      </c>
      <c r="Q69">
        <f>SUMIFS(data!$C:$C,data!$A:$A,"="&amp;xyz!$A69,data!$B:$B,"="&amp;xyz!Q$2)</f>
        <v>0</v>
      </c>
      <c r="R69">
        <f>SUMIFS(data!$C:$C,data!$A:$A,"="&amp;xyz!$A69,data!$B:$B,"="&amp;xyz!R$2)</f>
        <v>4</v>
      </c>
      <c r="S69">
        <f>SUMIFS(data!$C:$C,data!$A:$A,"="&amp;xyz!$A69,data!$B:$B,"="&amp;xyz!S$2)</f>
        <v>21</v>
      </c>
      <c r="T69">
        <f>SUMIFS(data!$C:$C,data!$A:$A,"="&amp;xyz!$A69,data!$B:$B,"="&amp;xyz!T$2)</f>
        <v>13</v>
      </c>
      <c r="U69">
        <f>SUMIFS(data!$C:$C,data!$A:$A,"="&amp;xyz!$A69,data!$B:$B,"="&amp;xyz!U$2)</f>
        <v>0</v>
      </c>
      <c r="V69">
        <f>SUMIFS(data!$C:$C,data!$A:$A,"="&amp;xyz!$A69,data!$B:$B,"="&amp;xyz!V$2)</f>
        <v>6</v>
      </c>
      <c r="W69">
        <f>SUMIFS(data!$C:$C,data!$A:$A,"="&amp;xyz!$A69,data!$B:$B,"="&amp;xyz!W$2)</f>
        <v>1</v>
      </c>
      <c r="X69">
        <f>SUMIFS(data!$C:$C,data!$A:$A,"="&amp;xyz!$A69,data!$B:$B,"="&amp;xyz!X$2)</f>
        <v>1</v>
      </c>
      <c r="Y69">
        <f>SUMIFS(data!$C:$C,data!$A:$A,"="&amp;xyz!$A69,data!$B:$B,"="&amp;xyz!Y$2)</f>
        <v>0</v>
      </c>
      <c r="Z69">
        <f>SUMIFS(data!$C:$C,data!$A:$A,"="&amp;xyz!$A69,data!$B:$B,"="&amp;xyz!Z$2)</f>
        <v>10</v>
      </c>
      <c r="AA69">
        <f>SUMIFS(data!$C:$C,data!$A:$A,"="&amp;xyz!$A69,data!$B:$B,"="&amp;xyz!AA$2)</f>
        <v>0</v>
      </c>
      <c r="AB69">
        <f>SUMIFS(data!$C:$C,data!$A:$A,"="&amp;xyz!$A69,data!$B:$B,"="&amp;xyz!AB$2)</f>
        <v>14</v>
      </c>
      <c r="AC69">
        <f>SUMIFS(data!$C:$C,data!$A:$A,"="&amp;xyz!$A69,data!$B:$B,"="&amp;xyz!AC$2)</f>
        <v>3</v>
      </c>
      <c r="AD69">
        <f>SUMIFS(data!$C:$C,data!$A:$A,"="&amp;xyz!$A69,data!$B:$B,"="&amp;xyz!AD$2)</f>
        <v>0</v>
      </c>
      <c r="AE69">
        <f>SUMIFS(data!$C:$C,data!$A:$A,"="&amp;xyz!$A69,data!$B:$B,"="&amp;xyz!AE$2)</f>
        <v>11</v>
      </c>
      <c r="AF69">
        <f>SUMIFS(data!$C:$C,data!$A:$A,"="&amp;xyz!$A69,data!$B:$B,"="&amp;xyz!AF$2)</f>
        <v>4</v>
      </c>
      <c r="AG69">
        <f>SUMIFS(data!$C:$C,data!$A:$A,"="&amp;xyz!$A69,data!$B:$B,"="&amp;xyz!AG$2)</f>
        <v>20</v>
      </c>
      <c r="AH69">
        <f>SUMIFS(data!$C:$C,data!$A:$A,"="&amp;xyz!$A69,data!$B:$B,"="&amp;xyz!AH$2)</f>
        <v>2</v>
      </c>
      <c r="AI69">
        <f>SUMIFS(data!$C:$C,data!$A:$A,"="&amp;xyz!$A69,data!$B:$B,"="&amp;xyz!AI$2)</f>
        <v>3</v>
      </c>
      <c r="AJ69">
        <f>SUMIFS(data!$C:$C,data!$A:$A,"="&amp;xyz!$A69,data!$B:$B,"="&amp;xyz!AJ$2)</f>
        <v>9</v>
      </c>
      <c r="AK69">
        <f>SUMIFS(data!$C:$C,data!$A:$A,"="&amp;xyz!$A69,data!$B:$B,"="&amp;xyz!AK$2)</f>
        <v>1</v>
      </c>
      <c r="AL69">
        <f>SUMIFS(data!$C:$C,data!$A:$A,"="&amp;xyz!$A69,data!$B:$B,"="&amp;xyz!AL$2)</f>
        <v>0</v>
      </c>
      <c r="AM69">
        <f>SUMIFS(data!$C:$C,data!$A:$A,"="&amp;xyz!$A69,data!$B:$B,"="&amp;xyz!AM$2)</f>
        <v>5</v>
      </c>
      <c r="AN69">
        <f>SUMIFS(data!$C:$C,data!$A:$A,"="&amp;xyz!$A69,data!$B:$B,"="&amp;xyz!AN$2)</f>
        <v>0</v>
      </c>
      <c r="AO69">
        <f>SUMIFS(data!$C:$C,data!$A:$A,"="&amp;xyz!$A69,data!$B:$B,"="&amp;xyz!AO$2)</f>
        <v>54</v>
      </c>
      <c r="AP69">
        <f>SUMIFS(data!$C:$C,data!$A:$A,"="&amp;xyz!$A69,data!$B:$B,"="&amp;xyz!AP$2)</f>
        <v>0</v>
      </c>
      <c r="AQ69" s="6">
        <f t="shared" si="4"/>
        <v>1.7104768755195745</v>
      </c>
    </row>
    <row r="70" spans="1:43" x14ac:dyDescent="0.3">
      <c r="A70" t="s">
        <v>157</v>
      </c>
      <c r="B70" s="6">
        <f t="shared" si="3"/>
        <v>0.8401408450704223</v>
      </c>
      <c r="C70">
        <f>SUMIFS(data!$C:$C,data!$A:$A,"="&amp;xyz!$A70,data!$B:$B,"="&amp;xyz!C$2)</f>
        <v>7</v>
      </c>
      <c r="D70">
        <f>SUMIFS(data!$C:$C,data!$A:$A,"="&amp;xyz!$A70,data!$B:$B,"="&amp;xyz!D$2)</f>
        <v>10</v>
      </c>
      <c r="E70">
        <f>SUMIFS(data!$C:$C,data!$A:$A,"="&amp;xyz!$A70,data!$B:$B,"="&amp;xyz!E$2)</f>
        <v>14</v>
      </c>
      <c r="F70">
        <f>SUMIFS(data!$C:$C,data!$A:$A,"="&amp;xyz!$A70,data!$B:$B,"="&amp;xyz!F$2)</f>
        <v>6</v>
      </c>
      <c r="G70">
        <f>SUMIFS(data!$C:$C,data!$A:$A,"="&amp;xyz!$A70,data!$B:$B,"="&amp;xyz!G$2)</f>
        <v>4</v>
      </c>
      <c r="H70">
        <f>SUMIFS(data!$C:$C,data!$A:$A,"="&amp;xyz!$A70,data!$B:$B,"="&amp;xyz!H$2)</f>
        <v>11</v>
      </c>
      <c r="I70">
        <f>SUMIFS(data!$C:$C,data!$A:$A,"="&amp;xyz!$A70,data!$B:$B,"="&amp;xyz!I$2)</f>
        <v>10</v>
      </c>
      <c r="J70">
        <f>SUMIFS(data!$C:$C,data!$A:$A,"="&amp;xyz!$A70,data!$B:$B,"="&amp;xyz!J$2)</f>
        <v>2</v>
      </c>
      <c r="K70">
        <f>SUMIFS(data!$C:$C,data!$A:$A,"="&amp;xyz!$A70,data!$B:$B,"="&amp;xyz!K$2)</f>
        <v>0</v>
      </c>
      <c r="L70">
        <f>SUMIFS(data!$C:$C,data!$A:$A,"="&amp;xyz!$A70,data!$B:$B,"="&amp;xyz!L$2)</f>
        <v>7</v>
      </c>
      <c r="M70">
        <f>SUMIFS(data!$C:$C,data!$A:$A,"="&amp;xyz!$A70,data!$B:$B,"="&amp;xyz!M$2)</f>
        <v>9</v>
      </c>
      <c r="N70">
        <f>SUMIFS(data!$C:$C,data!$A:$A,"="&amp;xyz!$A70,data!$B:$B,"="&amp;xyz!N$2)</f>
        <v>4</v>
      </c>
      <c r="O70">
        <f>SUMIFS(data!$C:$C,data!$A:$A,"="&amp;xyz!$A70,data!$B:$B,"="&amp;xyz!O$2)</f>
        <v>6</v>
      </c>
      <c r="P70">
        <f>SUMIFS(data!$C:$C,data!$A:$A,"="&amp;xyz!$A70,data!$B:$B,"="&amp;xyz!P$2)</f>
        <v>8</v>
      </c>
      <c r="Q70">
        <f>SUMIFS(data!$C:$C,data!$A:$A,"="&amp;xyz!$A70,data!$B:$B,"="&amp;xyz!Q$2)</f>
        <v>2</v>
      </c>
      <c r="R70">
        <f>SUMIFS(data!$C:$C,data!$A:$A,"="&amp;xyz!$A70,data!$B:$B,"="&amp;xyz!R$2)</f>
        <v>4</v>
      </c>
      <c r="S70">
        <f>SUMIFS(data!$C:$C,data!$A:$A,"="&amp;xyz!$A70,data!$B:$B,"="&amp;xyz!S$2)</f>
        <v>3</v>
      </c>
      <c r="T70">
        <f>SUMIFS(data!$C:$C,data!$A:$A,"="&amp;xyz!$A70,data!$B:$B,"="&amp;xyz!T$2)</f>
        <v>5</v>
      </c>
      <c r="U70">
        <f>SUMIFS(data!$C:$C,data!$A:$A,"="&amp;xyz!$A70,data!$B:$B,"="&amp;xyz!U$2)</f>
        <v>1</v>
      </c>
      <c r="V70">
        <f>SUMIFS(data!$C:$C,data!$A:$A,"="&amp;xyz!$A70,data!$B:$B,"="&amp;xyz!V$2)</f>
        <v>5</v>
      </c>
      <c r="W70">
        <f>SUMIFS(data!$C:$C,data!$A:$A,"="&amp;xyz!$A70,data!$B:$B,"="&amp;xyz!W$2)</f>
        <v>3</v>
      </c>
      <c r="X70">
        <f>SUMIFS(data!$C:$C,data!$A:$A,"="&amp;xyz!$A70,data!$B:$B,"="&amp;xyz!X$2)</f>
        <v>3</v>
      </c>
      <c r="Y70">
        <f>SUMIFS(data!$C:$C,data!$A:$A,"="&amp;xyz!$A70,data!$B:$B,"="&amp;xyz!Y$2)</f>
        <v>0</v>
      </c>
      <c r="Z70">
        <f>SUMIFS(data!$C:$C,data!$A:$A,"="&amp;xyz!$A70,data!$B:$B,"="&amp;xyz!Z$2)</f>
        <v>1</v>
      </c>
      <c r="AA70">
        <f>SUMIFS(data!$C:$C,data!$A:$A,"="&amp;xyz!$A70,data!$B:$B,"="&amp;xyz!AA$2)</f>
        <v>2</v>
      </c>
      <c r="AB70">
        <f>SUMIFS(data!$C:$C,data!$A:$A,"="&amp;xyz!$A70,data!$B:$B,"="&amp;xyz!AB$2)</f>
        <v>1</v>
      </c>
      <c r="AC70">
        <f>SUMIFS(data!$C:$C,data!$A:$A,"="&amp;xyz!$A70,data!$B:$B,"="&amp;xyz!AC$2)</f>
        <v>0</v>
      </c>
      <c r="AD70">
        <f>SUMIFS(data!$C:$C,data!$A:$A,"="&amp;xyz!$A70,data!$B:$B,"="&amp;xyz!AD$2)</f>
        <v>6</v>
      </c>
      <c r="AE70">
        <f>SUMIFS(data!$C:$C,data!$A:$A,"="&amp;xyz!$A70,data!$B:$B,"="&amp;xyz!AE$2)</f>
        <v>4</v>
      </c>
      <c r="AF70">
        <f>SUMIFS(data!$C:$C,data!$A:$A,"="&amp;xyz!$A70,data!$B:$B,"="&amp;xyz!AF$2)</f>
        <v>1</v>
      </c>
      <c r="AG70">
        <f>SUMIFS(data!$C:$C,data!$A:$A,"="&amp;xyz!$A70,data!$B:$B,"="&amp;xyz!AG$2)</f>
        <v>0</v>
      </c>
      <c r="AH70">
        <f>SUMIFS(data!$C:$C,data!$A:$A,"="&amp;xyz!$A70,data!$B:$B,"="&amp;xyz!AH$2)</f>
        <v>0</v>
      </c>
      <c r="AI70">
        <f>SUMIFS(data!$C:$C,data!$A:$A,"="&amp;xyz!$A70,data!$B:$B,"="&amp;xyz!AI$2)</f>
        <v>1</v>
      </c>
      <c r="AJ70">
        <f>SUMIFS(data!$C:$C,data!$A:$A,"="&amp;xyz!$A70,data!$B:$B,"="&amp;xyz!AJ$2)</f>
        <v>1</v>
      </c>
      <c r="AK70">
        <f>SUMIFS(data!$C:$C,data!$A:$A,"="&amp;xyz!$A70,data!$B:$B,"="&amp;xyz!AK$2)</f>
        <v>0</v>
      </c>
      <c r="AL70">
        <f>SUMIFS(data!$C:$C,data!$A:$A,"="&amp;xyz!$A70,data!$B:$B,"="&amp;xyz!AL$2)</f>
        <v>1</v>
      </c>
      <c r="AM70">
        <f>SUMIFS(data!$C:$C,data!$A:$A,"="&amp;xyz!$A70,data!$B:$B,"="&amp;xyz!AM$2)</f>
        <v>0</v>
      </c>
      <c r="AN70">
        <f>SUMIFS(data!$C:$C,data!$A:$A,"="&amp;xyz!$A70,data!$B:$B,"="&amp;xyz!AN$2)</f>
        <v>0</v>
      </c>
      <c r="AO70">
        <f>SUMIFS(data!$C:$C,data!$A:$A,"="&amp;xyz!$A70,data!$B:$B,"="&amp;xyz!AO$2)</f>
        <v>0</v>
      </c>
      <c r="AP70">
        <f>SUMIFS(data!$C:$C,data!$A:$A,"="&amp;xyz!$A70,data!$B:$B,"="&amp;xyz!AP$2)</f>
        <v>0</v>
      </c>
      <c r="AQ70" s="6">
        <f t="shared" si="4"/>
        <v>1.0324369583026074</v>
      </c>
    </row>
    <row r="71" spans="1:43" x14ac:dyDescent="0.3">
      <c r="A71" t="s">
        <v>73</v>
      </c>
      <c r="B71" s="6">
        <f t="shared" si="3"/>
        <v>0.85</v>
      </c>
      <c r="C71">
        <f>SUMIFS(data!$C:$C,data!$A:$A,"="&amp;xyz!$A71,data!$B:$B,"="&amp;xyz!C$2)</f>
        <v>0</v>
      </c>
      <c r="D71">
        <f>SUMIFS(data!$C:$C,data!$A:$A,"="&amp;xyz!$A71,data!$B:$B,"="&amp;xyz!D$2)</f>
        <v>0</v>
      </c>
      <c r="E71">
        <f>SUMIFS(data!$C:$C,data!$A:$A,"="&amp;xyz!$A71,data!$B:$B,"="&amp;xyz!E$2)</f>
        <v>2</v>
      </c>
      <c r="F71">
        <f>SUMIFS(data!$C:$C,data!$A:$A,"="&amp;xyz!$A71,data!$B:$B,"="&amp;xyz!F$2)</f>
        <v>0</v>
      </c>
      <c r="G71">
        <f>SUMIFS(data!$C:$C,data!$A:$A,"="&amp;xyz!$A71,data!$B:$B,"="&amp;xyz!G$2)</f>
        <v>4</v>
      </c>
      <c r="H71">
        <f>SUMIFS(data!$C:$C,data!$A:$A,"="&amp;xyz!$A71,data!$B:$B,"="&amp;xyz!H$2)</f>
        <v>0</v>
      </c>
      <c r="I71">
        <f>SUMIFS(data!$C:$C,data!$A:$A,"="&amp;xyz!$A71,data!$B:$B,"="&amp;xyz!I$2)</f>
        <v>0</v>
      </c>
      <c r="J71">
        <f>SUMIFS(data!$C:$C,data!$A:$A,"="&amp;xyz!$A71,data!$B:$B,"="&amp;xyz!J$2)</f>
        <v>1</v>
      </c>
      <c r="K71">
        <f>SUMIFS(data!$C:$C,data!$A:$A,"="&amp;xyz!$A71,data!$B:$B,"="&amp;xyz!K$2)</f>
        <v>0</v>
      </c>
      <c r="L71">
        <f>SUMIFS(data!$C:$C,data!$A:$A,"="&amp;xyz!$A71,data!$B:$B,"="&amp;xyz!L$2)</f>
        <v>0</v>
      </c>
      <c r="M71">
        <f>SUMIFS(data!$C:$C,data!$A:$A,"="&amp;xyz!$A71,data!$B:$B,"="&amp;xyz!M$2)</f>
        <v>0</v>
      </c>
      <c r="N71">
        <f>SUMIFS(data!$C:$C,data!$A:$A,"="&amp;xyz!$A71,data!$B:$B,"="&amp;xyz!N$2)</f>
        <v>0</v>
      </c>
      <c r="O71">
        <f>SUMIFS(data!$C:$C,data!$A:$A,"="&amp;xyz!$A71,data!$B:$B,"="&amp;xyz!O$2)</f>
        <v>3</v>
      </c>
      <c r="P71">
        <f>SUMIFS(data!$C:$C,data!$A:$A,"="&amp;xyz!$A71,data!$B:$B,"="&amp;xyz!P$2)</f>
        <v>1</v>
      </c>
      <c r="Q71">
        <f>SUMIFS(data!$C:$C,data!$A:$A,"="&amp;xyz!$A71,data!$B:$B,"="&amp;xyz!Q$2)</f>
        <v>3</v>
      </c>
      <c r="R71">
        <f>SUMIFS(data!$C:$C,data!$A:$A,"="&amp;xyz!$A71,data!$B:$B,"="&amp;xyz!R$2)</f>
        <v>5</v>
      </c>
      <c r="S71">
        <f>SUMIFS(data!$C:$C,data!$A:$A,"="&amp;xyz!$A71,data!$B:$B,"="&amp;xyz!S$2)</f>
        <v>3</v>
      </c>
      <c r="T71">
        <f>SUMIFS(data!$C:$C,data!$A:$A,"="&amp;xyz!$A71,data!$B:$B,"="&amp;xyz!T$2)</f>
        <v>1</v>
      </c>
      <c r="U71">
        <f>SUMIFS(data!$C:$C,data!$A:$A,"="&amp;xyz!$A71,data!$B:$B,"="&amp;xyz!U$2)</f>
        <v>3</v>
      </c>
      <c r="V71">
        <f>SUMIFS(data!$C:$C,data!$A:$A,"="&amp;xyz!$A71,data!$B:$B,"="&amp;xyz!V$2)</f>
        <v>3</v>
      </c>
      <c r="W71">
        <f>SUMIFS(data!$C:$C,data!$A:$A,"="&amp;xyz!$A71,data!$B:$B,"="&amp;xyz!W$2)</f>
        <v>2</v>
      </c>
      <c r="X71">
        <f>SUMIFS(data!$C:$C,data!$A:$A,"="&amp;xyz!$A71,data!$B:$B,"="&amp;xyz!X$2)</f>
        <v>0</v>
      </c>
      <c r="Y71">
        <f>SUMIFS(data!$C:$C,data!$A:$A,"="&amp;xyz!$A71,data!$B:$B,"="&amp;xyz!Y$2)</f>
        <v>1</v>
      </c>
      <c r="Z71">
        <f>SUMIFS(data!$C:$C,data!$A:$A,"="&amp;xyz!$A71,data!$B:$B,"="&amp;xyz!Z$2)</f>
        <v>5</v>
      </c>
      <c r="AA71">
        <f>SUMIFS(data!$C:$C,data!$A:$A,"="&amp;xyz!$A71,data!$B:$B,"="&amp;xyz!AA$2)</f>
        <v>1</v>
      </c>
      <c r="AB71">
        <f>SUMIFS(data!$C:$C,data!$A:$A,"="&amp;xyz!$A71,data!$B:$B,"="&amp;xyz!AB$2)</f>
        <v>1</v>
      </c>
      <c r="AC71">
        <f>SUMIFS(data!$C:$C,data!$A:$A,"="&amp;xyz!$A71,data!$B:$B,"="&amp;xyz!AC$2)</f>
        <v>5</v>
      </c>
      <c r="AD71">
        <f>SUMIFS(data!$C:$C,data!$A:$A,"="&amp;xyz!$A71,data!$B:$B,"="&amp;xyz!AD$2)</f>
        <v>0</v>
      </c>
      <c r="AE71">
        <f>SUMIFS(data!$C:$C,data!$A:$A,"="&amp;xyz!$A71,data!$B:$B,"="&amp;xyz!AE$2)</f>
        <v>2</v>
      </c>
      <c r="AF71">
        <f>SUMIFS(data!$C:$C,data!$A:$A,"="&amp;xyz!$A71,data!$B:$B,"="&amp;xyz!AF$2)</f>
        <v>3</v>
      </c>
      <c r="AG71">
        <f>SUMIFS(data!$C:$C,data!$A:$A,"="&amp;xyz!$A71,data!$B:$B,"="&amp;xyz!AG$2)</f>
        <v>4</v>
      </c>
      <c r="AH71">
        <f>SUMIFS(data!$C:$C,data!$A:$A,"="&amp;xyz!$A71,data!$B:$B,"="&amp;xyz!AH$2)</f>
        <v>0</v>
      </c>
      <c r="AI71">
        <f>SUMIFS(data!$C:$C,data!$A:$A,"="&amp;xyz!$A71,data!$B:$B,"="&amp;xyz!AI$2)</f>
        <v>2</v>
      </c>
      <c r="AJ71">
        <f>SUMIFS(data!$C:$C,data!$A:$A,"="&amp;xyz!$A71,data!$B:$B,"="&amp;xyz!AJ$2)</f>
        <v>2</v>
      </c>
      <c r="AK71">
        <f>SUMIFS(data!$C:$C,data!$A:$A,"="&amp;xyz!$A71,data!$B:$B,"="&amp;xyz!AK$2)</f>
        <v>0</v>
      </c>
      <c r="AL71">
        <f>SUMIFS(data!$C:$C,data!$A:$A,"="&amp;xyz!$A71,data!$B:$B,"="&amp;xyz!AL$2)</f>
        <v>0</v>
      </c>
      <c r="AM71">
        <f>SUMIFS(data!$C:$C,data!$A:$A,"="&amp;xyz!$A71,data!$B:$B,"="&amp;xyz!AM$2)</f>
        <v>7</v>
      </c>
      <c r="AN71">
        <f>SUMIFS(data!$C:$C,data!$A:$A,"="&amp;xyz!$A71,data!$B:$B,"="&amp;xyz!AN$2)</f>
        <v>2</v>
      </c>
      <c r="AO71">
        <f>SUMIFS(data!$C:$C,data!$A:$A,"="&amp;xyz!$A71,data!$B:$B,"="&amp;xyz!AO$2)</f>
        <v>3</v>
      </c>
      <c r="AP71">
        <f>SUMIFS(data!$C:$C,data!$A:$A,"="&amp;xyz!$A71,data!$B:$B,"="&amp;xyz!AP$2)</f>
        <v>1</v>
      </c>
      <c r="AQ71" s="6">
        <f t="shared" si="4"/>
        <v>1.0332008152565415</v>
      </c>
    </row>
    <row r="72" spans="1:43" x14ac:dyDescent="0.3">
      <c r="A72" t="s">
        <v>141</v>
      </c>
      <c r="B72" s="6">
        <f t="shared" si="3"/>
        <v>0.73076923076923073</v>
      </c>
      <c r="C72">
        <f>SUMIFS(data!$C:$C,data!$A:$A,"="&amp;xyz!$A72,data!$B:$B,"="&amp;xyz!C$2)</f>
        <v>0</v>
      </c>
      <c r="D72">
        <f>SUMIFS(data!$C:$C,data!$A:$A,"="&amp;xyz!$A72,data!$B:$B,"="&amp;xyz!D$2)</f>
        <v>2</v>
      </c>
      <c r="E72">
        <f>SUMIFS(data!$C:$C,data!$A:$A,"="&amp;xyz!$A72,data!$B:$B,"="&amp;xyz!E$2)</f>
        <v>0</v>
      </c>
      <c r="F72">
        <f>SUMIFS(data!$C:$C,data!$A:$A,"="&amp;xyz!$A72,data!$B:$B,"="&amp;xyz!F$2)</f>
        <v>2</v>
      </c>
      <c r="G72">
        <f>SUMIFS(data!$C:$C,data!$A:$A,"="&amp;xyz!$A72,data!$B:$B,"="&amp;xyz!G$2)</f>
        <v>5</v>
      </c>
      <c r="H72">
        <f>SUMIFS(data!$C:$C,data!$A:$A,"="&amp;xyz!$A72,data!$B:$B,"="&amp;xyz!H$2)</f>
        <v>8</v>
      </c>
      <c r="I72">
        <f>SUMIFS(data!$C:$C,data!$A:$A,"="&amp;xyz!$A72,data!$B:$B,"="&amp;xyz!I$2)</f>
        <v>5</v>
      </c>
      <c r="J72">
        <f>SUMIFS(data!$C:$C,data!$A:$A,"="&amp;xyz!$A72,data!$B:$B,"="&amp;xyz!J$2)</f>
        <v>1</v>
      </c>
      <c r="K72">
        <f>SUMIFS(data!$C:$C,data!$A:$A,"="&amp;xyz!$A72,data!$B:$B,"="&amp;xyz!K$2)</f>
        <v>0</v>
      </c>
      <c r="L72">
        <f>SUMIFS(data!$C:$C,data!$A:$A,"="&amp;xyz!$A72,data!$B:$B,"="&amp;xyz!L$2)</f>
        <v>3</v>
      </c>
      <c r="M72">
        <f>SUMIFS(data!$C:$C,data!$A:$A,"="&amp;xyz!$A72,data!$B:$B,"="&amp;xyz!M$2)</f>
        <v>5</v>
      </c>
      <c r="N72">
        <f>SUMIFS(data!$C:$C,data!$A:$A,"="&amp;xyz!$A72,data!$B:$B,"="&amp;xyz!N$2)</f>
        <v>1</v>
      </c>
      <c r="O72">
        <f>SUMIFS(data!$C:$C,data!$A:$A,"="&amp;xyz!$A72,data!$B:$B,"="&amp;xyz!O$2)</f>
        <v>2</v>
      </c>
      <c r="P72">
        <f>SUMIFS(data!$C:$C,data!$A:$A,"="&amp;xyz!$A72,data!$B:$B,"="&amp;xyz!P$2)</f>
        <v>4</v>
      </c>
      <c r="Q72">
        <f>SUMIFS(data!$C:$C,data!$A:$A,"="&amp;xyz!$A72,data!$B:$B,"="&amp;xyz!Q$2)</f>
        <v>7</v>
      </c>
      <c r="R72">
        <f>SUMIFS(data!$C:$C,data!$A:$A,"="&amp;xyz!$A72,data!$B:$B,"="&amp;xyz!R$2)</f>
        <v>1</v>
      </c>
      <c r="S72">
        <f>SUMIFS(data!$C:$C,data!$A:$A,"="&amp;xyz!$A72,data!$B:$B,"="&amp;xyz!S$2)</f>
        <v>10</v>
      </c>
      <c r="T72">
        <f>SUMIFS(data!$C:$C,data!$A:$A,"="&amp;xyz!$A72,data!$B:$B,"="&amp;xyz!T$2)</f>
        <v>5</v>
      </c>
      <c r="U72">
        <f>SUMIFS(data!$C:$C,data!$A:$A,"="&amp;xyz!$A72,data!$B:$B,"="&amp;xyz!U$2)</f>
        <v>0</v>
      </c>
      <c r="V72">
        <f>SUMIFS(data!$C:$C,data!$A:$A,"="&amp;xyz!$A72,data!$B:$B,"="&amp;xyz!V$2)</f>
        <v>6</v>
      </c>
      <c r="W72">
        <f>SUMIFS(data!$C:$C,data!$A:$A,"="&amp;xyz!$A72,data!$B:$B,"="&amp;xyz!W$2)</f>
        <v>4</v>
      </c>
      <c r="X72">
        <f>SUMIFS(data!$C:$C,data!$A:$A,"="&amp;xyz!$A72,data!$B:$B,"="&amp;xyz!X$2)</f>
        <v>1</v>
      </c>
      <c r="Y72">
        <f>SUMIFS(data!$C:$C,data!$A:$A,"="&amp;xyz!$A72,data!$B:$B,"="&amp;xyz!Y$2)</f>
        <v>1</v>
      </c>
      <c r="Z72">
        <f>SUMIFS(data!$C:$C,data!$A:$A,"="&amp;xyz!$A72,data!$B:$B,"="&amp;xyz!Z$2)</f>
        <v>4</v>
      </c>
      <c r="AA72">
        <f>SUMIFS(data!$C:$C,data!$A:$A,"="&amp;xyz!$A72,data!$B:$B,"="&amp;xyz!AA$2)</f>
        <v>5</v>
      </c>
      <c r="AB72">
        <f>SUMIFS(data!$C:$C,data!$A:$A,"="&amp;xyz!$A72,data!$B:$B,"="&amp;xyz!AB$2)</f>
        <v>2</v>
      </c>
      <c r="AC72">
        <f>SUMIFS(data!$C:$C,data!$A:$A,"="&amp;xyz!$A72,data!$B:$B,"="&amp;xyz!AC$2)</f>
        <v>1</v>
      </c>
      <c r="AD72">
        <f>SUMIFS(data!$C:$C,data!$A:$A,"="&amp;xyz!$A72,data!$B:$B,"="&amp;xyz!AD$2)</f>
        <v>9</v>
      </c>
      <c r="AE72">
        <f>SUMIFS(data!$C:$C,data!$A:$A,"="&amp;xyz!$A72,data!$B:$B,"="&amp;xyz!AE$2)</f>
        <v>7</v>
      </c>
      <c r="AF72">
        <f>SUMIFS(data!$C:$C,data!$A:$A,"="&amp;xyz!$A72,data!$B:$B,"="&amp;xyz!AF$2)</f>
        <v>3</v>
      </c>
      <c r="AG72">
        <f>SUMIFS(data!$C:$C,data!$A:$A,"="&amp;xyz!$A72,data!$B:$B,"="&amp;xyz!AG$2)</f>
        <v>6</v>
      </c>
      <c r="AH72">
        <f>SUMIFS(data!$C:$C,data!$A:$A,"="&amp;xyz!$A72,data!$B:$B,"="&amp;xyz!AH$2)</f>
        <v>0</v>
      </c>
      <c r="AI72">
        <f>SUMIFS(data!$C:$C,data!$A:$A,"="&amp;xyz!$A72,data!$B:$B,"="&amp;xyz!AI$2)</f>
        <v>5</v>
      </c>
      <c r="AJ72">
        <f>SUMIFS(data!$C:$C,data!$A:$A,"="&amp;xyz!$A72,data!$B:$B,"="&amp;xyz!AJ$2)</f>
        <v>4</v>
      </c>
      <c r="AK72">
        <f>SUMIFS(data!$C:$C,data!$A:$A,"="&amp;xyz!$A72,data!$B:$B,"="&amp;xyz!AK$2)</f>
        <v>0</v>
      </c>
      <c r="AL72">
        <f>SUMIFS(data!$C:$C,data!$A:$A,"="&amp;xyz!$A72,data!$B:$B,"="&amp;xyz!AL$2)</f>
        <v>0</v>
      </c>
      <c r="AM72">
        <f>SUMIFS(data!$C:$C,data!$A:$A,"="&amp;xyz!$A72,data!$B:$B,"="&amp;xyz!AM$2)</f>
        <v>7</v>
      </c>
      <c r="AN72">
        <f>SUMIFS(data!$C:$C,data!$A:$A,"="&amp;xyz!$A72,data!$B:$B,"="&amp;xyz!AN$2)</f>
        <v>2</v>
      </c>
      <c r="AO72">
        <f>SUMIFS(data!$C:$C,data!$A:$A,"="&amp;xyz!$A72,data!$B:$B,"="&amp;xyz!AO$2)</f>
        <v>2</v>
      </c>
      <c r="AP72">
        <f>SUMIFS(data!$C:$C,data!$A:$A,"="&amp;xyz!$A72,data!$B:$B,"="&amp;xyz!AP$2)</f>
        <v>0</v>
      </c>
      <c r="AQ72" s="6">
        <f t="shared" si="4"/>
        <v>0.85834856064139287</v>
      </c>
    </row>
    <row r="73" spans="1:43" x14ac:dyDescent="0.3">
      <c r="A73" t="s">
        <v>41</v>
      </c>
      <c r="B73" s="6">
        <f t="shared" si="3"/>
        <v>0.75544217687074822</v>
      </c>
      <c r="C73">
        <f>SUMIFS(data!$C:$C,data!$A:$A,"="&amp;xyz!$A73,data!$B:$B,"="&amp;xyz!C$2)</f>
        <v>0</v>
      </c>
      <c r="D73">
        <f>SUMIFS(data!$C:$C,data!$A:$A,"="&amp;xyz!$A73,data!$B:$B,"="&amp;xyz!D$2)</f>
        <v>5</v>
      </c>
      <c r="E73">
        <f>SUMIFS(data!$C:$C,data!$A:$A,"="&amp;xyz!$A73,data!$B:$B,"="&amp;xyz!E$2)</f>
        <v>9</v>
      </c>
      <c r="F73">
        <f>SUMIFS(data!$C:$C,data!$A:$A,"="&amp;xyz!$A73,data!$B:$B,"="&amp;xyz!F$2)</f>
        <v>8</v>
      </c>
      <c r="G73">
        <f>SUMIFS(data!$C:$C,data!$A:$A,"="&amp;xyz!$A73,data!$B:$B,"="&amp;xyz!G$2)</f>
        <v>9</v>
      </c>
      <c r="H73">
        <f>SUMIFS(data!$C:$C,data!$A:$A,"="&amp;xyz!$A73,data!$B:$B,"="&amp;xyz!H$2)</f>
        <v>0</v>
      </c>
      <c r="I73">
        <f>SUMIFS(data!$C:$C,data!$A:$A,"="&amp;xyz!$A73,data!$B:$B,"="&amp;xyz!I$2)</f>
        <v>0</v>
      </c>
      <c r="J73">
        <f>SUMIFS(data!$C:$C,data!$A:$A,"="&amp;xyz!$A73,data!$B:$B,"="&amp;xyz!J$2)</f>
        <v>0</v>
      </c>
      <c r="K73">
        <f>SUMIFS(data!$C:$C,data!$A:$A,"="&amp;xyz!$A73,data!$B:$B,"="&amp;xyz!K$2)</f>
        <v>0</v>
      </c>
      <c r="L73">
        <f>SUMIFS(data!$C:$C,data!$A:$A,"="&amp;xyz!$A73,data!$B:$B,"="&amp;xyz!L$2)</f>
        <v>3</v>
      </c>
      <c r="M73">
        <f>SUMIFS(data!$C:$C,data!$A:$A,"="&amp;xyz!$A73,data!$B:$B,"="&amp;xyz!M$2)</f>
        <v>7</v>
      </c>
      <c r="N73">
        <f>SUMIFS(data!$C:$C,data!$A:$A,"="&amp;xyz!$A73,data!$B:$B,"="&amp;xyz!N$2)</f>
        <v>2</v>
      </c>
      <c r="O73">
        <f>SUMIFS(data!$C:$C,data!$A:$A,"="&amp;xyz!$A73,data!$B:$B,"="&amp;xyz!O$2)</f>
        <v>4</v>
      </c>
      <c r="P73">
        <f>SUMIFS(data!$C:$C,data!$A:$A,"="&amp;xyz!$A73,data!$B:$B,"="&amp;xyz!P$2)</f>
        <v>2</v>
      </c>
      <c r="Q73">
        <f>SUMIFS(data!$C:$C,data!$A:$A,"="&amp;xyz!$A73,data!$B:$B,"="&amp;xyz!Q$2)</f>
        <v>1</v>
      </c>
      <c r="R73">
        <f>SUMIFS(data!$C:$C,data!$A:$A,"="&amp;xyz!$A73,data!$B:$B,"="&amp;xyz!R$2)</f>
        <v>5</v>
      </c>
      <c r="S73">
        <f>SUMIFS(data!$C:$C,data!$A:$A,"="&amp;xyz!$A73,data!$B:$B,"="&amp;xyz!S$2)</f>
        <v>8</v>
      </c>
      <c r="T73">
        <f>SUMIFS(data!$C:$C,data!$A:$A,"="&amp;xyz!$A73,data!$B:$B,"="&amp;xyz!T$2)</f>
        <v>2</v>
      </c>
      <c r="U73">
        <f>SUMIFS(data!$C:$C,data!$A:$A,"="&amp;xyz!$A73,data!$B:$B,"="&amp;xyz!U$2)</f>
        <v>2</v>
      </c>
      <c r="V73">
        <f>SUMIFS(data!$C:$C,data!$A:$A,"="&amp;xyz!$A73,data!$B:$B,"="&amp;xyz!V$2)</f>
        <v>1</v>
      </c>
      <c r="W73">
        <f>SUMIFS(data!$C:$C,data!$A:$A,"="&amp;xyz!$A73,data!$B:$B,"="&amp;xyz!W$2)</f>
        <v>1</v>
      </c>
      <c r="X73">
        <f>SUMIFS(data!$C:$C,data!$A:$A,"="&amp;xyz!$A73,data!$B:$B,"="&amp;xyz!X$2)</f>
        <v>3</v>
      </c>
      <c r="Y73">
        <f>SUMIFS(data!$C:$C,data!$A:$A,"="&amp;xyz!$A73,data!$B:$B,"="&amp;xyz!Y$2)</f>
        <v>6</v>
      </c>
      <c r="Z73">
        <f>SUMIFS(data!$C:$C,data!$A:$A,"="&amp;xyz!$A73,data!$B:$B,"="&amp;xyz!Z$2)</f>
        <v>11</v>
      </c>
      <c r="AA73">
        <f>SUMIFS(data!$C:$C,data!$A:$A,"="&amp;xyz!$A73,data!$B:$B,"="&amp;xyz!AA$2)</f>
        <v>1</v>
      </c>
      <c r="AB73">
        <f>SUMIFS(data!$C:$C,data!$A:$A,"="&amp;xyz!$A73,data!$B:$B,"="&amp;xyz!AB$2)</f>
        <v>2</v>
      </c>
      <c r="AC73">
        <f>SUMIFS(data!$C:$C,data!$A:$A,"="&amp;xyz!$A73,data!$B:$B,"="&amp;xyz!AC$2)</f>
        <v>1</v>
      </c>
      <c r="AD73">
        <f>SUMIFS(data!$C:$C,data!$A:$A,"="&amp;xyz!$A73,data!$B:$B,"="&amp;xyz!AD$2)</f>
        <v>0</v>
      </c>
      <c r="AE73">
        <f>SUMIFS(data!$C:$C,data!$A:$A,"="&amp;xyz!$A73,data!$B:$B,"="&amp;xyz!AE$2)</f>
        <v>10</v>
      </c>
      <c r="AF73">
        <f>SUMIFS(data!$C:$C,data!$A:$A,"="&amp;xyz!$A73,data!$B:$B,"="&amp;xyz!AF$2)</f>
        <v>2</v>
      </c>
      <c r="AG73">
        <f>SUMIFS(data!$C:$C,data!$A:$A,"="&amp;xyz!$A73,data!$B:$B,"="&amp;xyz!AG$2)</f>
        <v>2</v>
      </c>
      <c r="AH73">
        <f>SUMIFS(data!$C:$C,data!$A:$A,"="&amp;xyz!$A73,data!$B:$B,"="&amp;xyz!AH$2)</f>
        <v>7</v>
      </c>
      <c r="AI73">
        <f>SUMIFS(data!$C:$C,data!$A:$A,"="&amp;xyz!$A73,data!$B:$B,"="&amp;xyz!AI$2)</f>
        <v>7</v>
      </c>
      <c r="AJ73">
        <f>SUMIFS(data!$C:$C,data!$A:$A,"="&amp;xyz!$A73,data!$B:$B,"="&amp;xyz!AJ$2)</f>
        <v>0</v>
      </c>
      <c r="AK73">
        <f>SUMIFS(data!$C:$C,data!$A:$A,"="&amp;xyz!$A73,data!$B:$B,"="&amp;xyz!AK$2)</f>
        <v>2</v>
      </c>
      <c r="AL73">
        <f>SUMIFS(data!$C:$C,data!$A:$A,"="&amp;xyz!$A73,data!$B:$B,"="&amp;xyz!AL$2)</f>
        <v>4</v>
      </c>
      <c r="AM73">
        <f>SUMIFS(data!$C:$C,data!$A:$A,"="&amp;xyz!$A73,data!$B:$B,"="&amp;xyz!AM$2)</f>
        <v>5</v>
      </c>
      <c r="AN73">
        <f>SUMIFS(data!$C:$C,data!$A:$A,"="&amp;xyz!$A73,data!$B:$B,"="&amp;xyz!AN$2)</f>
        <v>5</v>
      </c>
      <c r="AO73">
        <f>SUMIFS(data!$C:$C,data!$A:$A,"="&amp;xyz!$A73,data!$B:$B,"="&amp;xyz!AO$2)</f>
        <v>2</v>
      </c>
      <c r="AP73">
        <f>SUMIFS(data!$C:$C,data!$A:$A,"="&amp;xyz!$A73,data!$B:$B,"="&amp;xyz!AP$2)</f>
        <v>8</v>
      </c>
      <c r="AQ73" s="6">
        <f t="shared" si="4"/>
        <v>0.88095254931988021</v>
      </c>
    </row>
    <row r="74" spans="1:43" x14ac:dyDescent="0.3">
      <c r="A74" t="s">
        <v>39</v>
      </c>
      <c r="B74" s="6">
        <f t="shared" si="3"/>
        <v>0.77527675276752761</v>
      </c>
      <c r="C74">
        <f>SUMIFS(data!$C:$C,data!$A:$A,"="&amp;xyz!$A74,data!$B:$B,"="&amp;xyz!C$2)</f>
        <v>0</v>
      </c>
      <c r="D74">
        <f>SUMIFS(data!$C:$C,data!$A:$A,"="&amp;xyz!$A74,data!$B:$B,"="&amp;xyz!D$2)</f>
        <v>1</v>
      </c>
      <c r="E74">
        <f>SUMIFS(data!$C:$C,data!$A:$A,"="&amp;xyz!$A74,data!$B:$B,"="&amp;xyz!E$2)</f>
        <v>0</v>
      </c>
      <c r="F74">
        <f>SUMIFS(data!$C:$C,data!$A:$A,"="&amp;xyz!$A74,data!$B:$B,"="&amp;xyz!F$2)</f>
        <v>4</v>
      </c>
      <c r="G74">
        <f>SUMIFS(data!$C:$C,data!$A:$A,"="&amp;xyz!$A74,data!$B:$B,"="&amp;xyz!G$2)</f>
        <v>0</v>
      </c>
      <c r="H74">
        <f>SUMIFS(data!$C:$C,data!$A:$A,"="&amp;xyz!$A74,data!$B:$B,"="&amp;xyz!H$2)</f>
        <v>2</v>
      </c>
      <c r="I74">
        <f>SUMIFS(data!$C:$C,data!$A:$A,"="&amp;xyz!$A74,data!$B:$B,"="&amp;xyz!I$2)</f>
        <v>9</v>
      </c>
      <c r="J74">
        <f>SUMIFS(data!$C:$C,data!$A:$A,"="&amp;xyz!$A74,data!$B:$B,"="&amp;xyz!J$2)</f>
        <v>1</v>
      </c>
      <c r="K74">
        <f>SUMIFS(data!$C:$C,data!$A:$A,"="&amp;xyz!$A74,data!$B:$B,"="&amp;xyz!K$2)</f>
        <v>0</v>
      </c>
      <c r="L74">
        <f>SUMIFS(data!$C:$C,data!$A:$A,"="&amp;xyz!$A74,data!$B:$B,"="&amp;xyz!L$2)</f>
        <v>3</v>
      </c>
      <c r="M74">
        <f>SUMIFS(data!$C:$C,data!$A:$A,"="&amp;xyz!$A74,data!$B:$B,"="&amp;xyz!M$2)</f>
        <v>11</v>
      </c>
      <c r="N74">
        <f>SUMIFS(data!$C:$C,data!$A:$A,"="&amp;xyz!$A74,data!$B:$B,"="&amp;xyz!N$2)</f>
        <v>0</v>
      </c>
      <c r="O74">
        <f>SUMIFS(data!$C:$C,data!$A:$A,"="&amp;xyz!$A74,data!$B:$B,"="&amp;xyz!O$2)</f>
        <v>4</v>
      </c>
      <c r="P74">
        <f>SUMIFS(data!$C:$C,data!$A:$A,"="&amp;xyz!$A74,data!$B:$B,"="&amp;xyz!P$2)</f>
        <v>7</v>
      </c>
      <c r="Q74">
        <f>SUMIFS(data!$C:$C,data!$A:$A,"="&amp;xyz!$A74,data!$B:$B,"="&amp;xyz!Q$2)</f>
        <v>26</v>
      </c>
      <c r="R74">
        <f>SUMIFS(data!$C:$C,data!$A:$A,"="&amp;xyz!$A74,data!$B:$B,"="&amp;xyz!R$2)</f>
        <v>2</v>
      </c>
      <c r="S74">
        <f>SUMIFS(data!$C:$C,data!$A:$A,"="&amp;xyz!$A74,data!$B:$B,"="&amp;xyz!S$2)</f>
        <v>12</v>
      </c>
      <c r="T74">
        <f>SUMIFS(data!$C:$C,data!$A:$A,"="&amp;xyz!$A74,data!$B:$B,"="&amp;xyz!T$2)</f>
        <v>7</v>
      </c>
      <c r="U74">
        <f>SUMIFS(data!$C:$C,data!$A:$A,"="&amp;xyz!$A74,data!$B:$B,"="&amp;xyz!U$2)</f>
        <v>11</v>
      </c>
      <c r="V74">
        <f>SUMIFS(data!$C:$C,data!$A:$A,"="&amp;xyz!$A74,data!$B:$B,"="&amp;xyz!V$2)</f>
        <v>1</v>
      </c>
      <c r="W74">
        <f>SUMIFS(data!$C:$C,data!$A:$A,"="&amp;xyz!$A74,data!$B:$B,"="&amp;xyz!W$2)</f>
        <v>0</v>
      </c>
      <c r="X74">
        <f>SUMIFS(data!$C:$C,data!$A:$A,"="&amp;xyz!$A74,data!$B:$B,"="&amp;xyz!X$2)</f>
        <v>2</v>
      </c>
      <c r="Y74">
        <f>SUMIFS(data!$C:$C,data!$A:$A,"="&amp;xyz!$A74,data!$B:$B,"="&amp;xyz!Y$2)</f>
        <v>7</v>
      </c>
      <c r="Z74">
        <f>SUMIFS(data!$C:$C,data!$A:$A,"="&amp;xyz!$A74,data!$B:$B,"="&amp;xyz!Z$2)</f>
        <v>3</v>
      </c>
      <c r="AA74">
        <f>SUMIFS(data!$C:$C,data!$A:$A,"="&amp;xyz!$A74,data!$B:$B,"="&amp;xyz!AA$2)</f>
        <v>6</v>
      </c>
      <c r="AB74">
        <f>SUMIFS(data!$C:$C,data!$A:$A,"="&amp;xyz!$A74,data!$B:$B,"="&amp;xyz!AB$2)</f>
        <v>11</v>
      </c>
      <c r="AC74">
        <f>SUMIFS(data!$C:$C,data!$A:$A,"="&amp;xyz!$A74,data!$B:$B,"="&amp;xyz!AC$2)</f>
        <v>4</v>
      </c>
      <c r="AD74">
        <f>SUMIFS(data!$C:$C,data!$A:$A,"="&amp;xyz!$A74,data!$B:$B,"="&amp;xyz!AD$2)</f>
        <v>2</v>
      </c>
      <c r="AE74">
        <f>SUMIFS(data!$C:$C,data!$A:$A,"="&amp;xyz!$A74,data!$B:$B,"="&amp;xyz!AE$2)</f>
        <v>3</v>
      </c>
      <c r="AF74">
        <f>SUMIFS(data!$C:$C,data!$A:$A,"="&amp;xyz!$A74,data!$B:$B,"="&amp;xyz!AF$2)</f>
        <v>7</v>
      </c>
      <c r="AG74">
        <f>SUMIFS(data!$C:$C,data!$A:$A,"="&amp;xyz!$A74,data!$B:$B,"="&amp;xyz!AG$2)</f>
        <v>9</v>
      </c>
      <c r="AH74">
        <f>SUMIFS(data!$C:$C,data!$A:$A,"="&amp;xyz!$A74,data!$B:$B,"="&amp;xyz!AH$2)</f>
        <v>8</v>
      </c>
      <c r="AI74">
        <f>SUMIFS(data!$C:$C,data!$A:$A,"="&amp;xyz!$A74,data!$B:$B,"="&amp;xyz!AI$2)</f>
        <v>0</v>
      </c>
      <c r="AJ74">
        <f>SUMIFS(data!$C:$C,data!$A:$A,"="&amp;xyz!$A74,data!$B:$B,"="&amp;xyz!AJ$2)</f>
        <v>6</v>
      </c>
      <c r="AK74">
        <f>SUMIFS(data!$C:$C,data!$A:$A,"="&amp;xyz!$A74,data!$B:$B,"="&amp;xyz!AK$2)</f>
        <v>8</v>
      </c>
      <c r="AL74">
        <f>SUMIFS(data!$C:$C,data!$A:$A,"="&amp;xyz!$A74,data!$B:$B,"="&amp;xyz!AL$2)</f>
        <v>15</v>
      </c>
      <c r="AM74">
        <f>SUMIFS(data!$C:$C,data!$A:$A,"="&amp;xyz!$A74,data!$B:$B,"="&amp;xyz!AM$2)</f>
        <v>23</v>
      </c>
      <c r="AN74">
        <f>SUMIFS(data!$C:$C,data!$A:$A,"="&amp;xyz!$A74,data!$B:$B,"="&amp;xyz!AN$2)</f>
        <v>20</v>
      </c>
      <c r="AO74">
        <f>SUMIFS(data!$C:$C,data!$A:$A,"="&amp;xyz!$A74,data!$B:$B,"="&amp;xyz!AO$2)</f>
        <v>13</v>
      </c>
      <c r="AP74">
        <f>SUMIFS(data!$C:$C,data!$A:$A,"="&amp;xyz!$A74,data!$B:$B,"="&amp;xyz!AP$2)</f>
        <v>23</v>
      </c>
      <c r="AQ74" s="6">
        <f t="shared" si="4"/>
        <v>1.0168541688303643</v>
      </c>
    </row>
    <row r="75" spans="1:43" x14ac:dyDescent="0.3">
      <c r="A75" t="s">
        <v>121</v>
      </c>
      <c r="B75" s="6">
        <f t="shared" si="3"/>
        <v>0.94565217391304346</v>
      </c>
      <c r="C75">
        <f>SUMIFS(data!$C:$C,data!$A:$A,"="&amp;xyz!$A75,data!$B:$B,"="&amp;xyz!C$2)</f>
        <v>0</v>
      </c>
      <c r="D75">
        <f>SUMIFS(data!$C:$C,data!$A:$A,"="&amp;xyz!$A75,data!$B:$B,"="&amp;xyz!D$2)</f>
        <v>0</v>
      </c>
      <c r="E75">
        <f>SUMIFS(data!$C:$C,data!$A:$A,"="&amp;xyz!$A75,data!$B:$B,"="&amp;xyz!E$2)</f>
        <v>0</v>
      </c>
      <c r="F75">
        <f>SUMIFS(data!$C:$C,data!$A:$A,"="&amp;xyz!$A75,data!$B:$B,"="&amp;xyz!F$2)</f>
        <v>3</v>
      </c>
      <c r="G75">
        <f>SUMIFS(data!$C:$C,data!$A:$A,"="&amp;xyz!$A75,data!$B:$B,"="&amp;xyz!G$2)</f>
        <v>5</v>
      </c>
      <c r="H75">
        <f>SUMIFS(data!$C:$C,data!$A:$A,"="&amp;xyz!$A75,data!$B:$B,"="&amp;xyz!H$2)</f>
        <v>0</v>
      </c>
      <c r="I75">
        <f>SUMIFS(data!$C:$C,data!$A:$A,"="&amp;xyz!$A75,data!$B:$B,"="&amp;xyz!I$2)</f>
        <v>0</v>
      </c>
      <c r="J75">
        <f>SUMIFS(data!$C:$C,data!$A:$A,"="&amp;xyz!$A75,data!$B:$B,"="&amp;xyz!J$2)</f>
        <v>0</v>
      </c>
      <c r="K75">
        <f>SUMIFS(data!$C:$C,data!$A:$A,"="&amp;xyz!$A75,data!$B:$B,"="&amp;xyz!K$2)</f>
        <v>0</v>
      </c>
      <c r="L75">
        <f>SUMIFS(data!$C:$C,data!$A:$A,"="&amp;xyz!$A75,data!$B:$B,"="&amp;xyz!L$2)</f>
        <v>4</v>
      </c>
      <c r="M75">
        <f>SUMIFS(data!$C:$C,data!$A:$A,"="&amp;xyz!$A75,data!$B:$B,"="&amp;xyz!M$2)</f>
        <v>1</v>
      </c>
      <c r="N75">
        <f>SUMIFS(data!$C:$C,data!$A:$A,"="&amp;xyz!$A75,data!$B:$B,"="&amp;xyz!N$2)</f>
        <v>0</v>
      </c>
      <c r="O75">
        <f>SUMIFS(data!$C:$C,data!$A:$A,"="&amp;xyz!$A75,data!$B:$B,"="&amp;xyz!O$2)</f>
        <v>1</v>
      </c>
      <c r="P75">
        <f>SUMIFS(data!$C:$C,data!$A:$A,"="&amp;xyz!$A75,data!$B:$B,"="&amp;xyz!P$2)</f>
        <v>0</v>
      </c>
      <c r="Q75">
        <f>SUMIFS(data!$C:$C,data!$A:$A,"="&amp;xyz!$A75,data!$B:$B,"="&amp;xyz!Q$2)</f>
        <v>1</v>
      </c>
      <c r="R75">
        <f>SUMIFS(data!$C:$C,data!$A:$A,"="&amp;xyz!$A75,data!$B:$B,"="&amp;xyz!R$2)</f>
        <v>1</v>
      </c>
      <c r="S75">
        <f>SUMIFS(data!$C:$C,data!$A:$A,"="&amp;xyz!$A75,data!$B:$B,"="&amp;xyz!S$2)</f>
        <v>10</v>
      </c>
      <c r="T75">
        <f>SUMIFS(data!$C:$C,data!$A:$A,"="&amp;xyz!$A75,data!$B:$B,"="&amp;xyz!T$2)</f>
        <v>3</v>
      </c>
      <c r="U75">
        <f>SUMIFS(data!$C:$C,data!$A:$A,"="&amp;xyz!$A75,data!$B:$B,"="&amp;xyz!U$2)</f>
        <v>6</v>
      </c>
      <c r="V75">
        <f>SUMIFS(data!$C:$C,data!$A:$A,"="&amp;xyz!$A75,data!$B:$B,"="&amp;xyz!V$2)</f>
        <v>0</v>
      </c>
      <c r="W75">
        <f>SUMIFS(data!$C:$C,data!$A:$A,"="&amp;xyz!$A75,data!$B:$B,"="&amp;xyz!W$2)</f>
        <v>0</v>
      </c>
      <c r="X75">
        <f>SUMIFS(data!$C:$C,data!$A:$A,"="&amp;xyz!$A75,data!$B:$B,"="&amp;xyz!X$2)</f>
        <v>3</v>
      </c>
      <c r="Y75">
        <f>SUMIFS(data!$C:$C,data!$A:$A,"="&amp;xyz!$A75,data!$B:$B,"="&amp;xyz!Y$2)</f>
        <v>3</v>
      </c>
      <c r="Z75">
        <f>SUMIFS(data!$C:$C,data!$A:$A,"="&amp;xyz!$A75,data!$B:$B,"="&amp;xyz!Z$2)</f>
        <v>0</v>
      </c>
      <c r="AA75">
        <f>SUMIFS(data!$C:$C,data!$A:$A,"="&amp;xyz!$A75,data!$B:$B,"="&amp;xyz!AA$2)</f>
        <v>0</v>
      </c>
      <c r="AB75">
        <f>SUMIFS(data!$C:$C,data!$A:$A,"="&amp;xyz!$A75,data!$B:$B,"="&amp;xyz!AB$2)</f>
        <v>6</v>
      </c>
      <c r="AC75">
        <f>SUMIFS(data!$C:$C,data!$A:$A,"="&amp;xyz!$A75,data!$B:$B,"="&amp;xyz!AC$2)</f>
        <v>1</v>
      </c>
      <c r="AD75">
        <f>SUMIFS(data!$C:$C,data!$A:$A,"="&amp;xyz!$A75,data!$B:$B,"="&amp;xyz!AD$2)</f>
        <v>1</v>
      </c>
      <c r="AE75">
        <f>SUMIFS(data!$C:$C,data!$A:$A,"="&amp;xyz!$A75,data!$B:$B,"="&amp;xyz!AE$2)</f>
        <v>2</v>
      </c>
      <c r="AF75">
        <f>SUMIFS(data!$C:$C,data!$A:$A,"="&amp;xyz!$A75,data!$B:$B,"="&amp;xyz!AF$2)</f>
        <v>10</v>
      </c>
      <c r="AG75">
        <f>SUMIFS(data!$C:$C,data!$A:$A,"="&amp;xyz!$A75,data!$B:$B,"="&amp;xyz!AG$2)</f>
        <v>0</v>
      </c>
      <c r="AH75">
        <f>SUMIFS(data!$C:$C,data!$A:$A,"="&amp;xyz!$A75,data!$B:$B,"="&amp;xyz!AH$2)</f>
        <v>5</v>
      </c>
      <c r="AI75">
        <f>SUMIFS(data!$C:$C,data!$A:$A,"="&amp;xyz!$A75,data!$B:$B,"="&amp;xyz!AI$2)</f>
        <v>6</v>
      </c>
      <c r="AJ75">
        <f>SUMIFS(data!$C:$C,data!$A:$A,"="&amp;xyz!$A75,data!$B:$B,"="&amp;xyz!AJ$2)</f>
        <v>2</v>
      </c>
      <c r="AK75">
        <f>SUMIFS(data!$C:$C,data!$A:$A,"="&amp;xyz!$A75,data!$B:$B,"="&amp;xyz!AK$2)</f>
        <v>1</v>
      </c>
      <c r="AL75">
        <f>SUMIFS(data!$C:$C,data!$A:$A,"="&amp;xyz!$A75,data!$B:$B,"="&amp;xyz!AL$2)</f>
        <v>2</v>
      </c>
      <c r="AM75">
        <f>SUMIFS(data!$C:$C,data!$A:$A,"="&amp;xyz!$A75,data!$B:$B,"="&amp;xyz!AM$2)</f>
        <v>3</v>
      </c>
      <c r="AN75">
        <f>SUMIFS(data!$C:$C,data!$A:$A,"="&amp;xyz!$A75,data!$B:$B,"="&amp;xyz!AN$2)</f>
        <v>5</v>
      </c>
      <c r="AO75">
        <f>SUMIFS(data!$C:$C,data!$A:$A,"="&amp;xyz!$A75,data!$B:$B,"="&amp;xyz!AO$2)</f>
        <v>6</v>
      </c>
      <c r="AP75">
        <f>SUMIFS(data!$C:$C,data!$A:$A,"="&amp;xyz!$A75,data!$B:$B,"="&amp;xyz!AP$2)</f>
        <v>1</v>
      </c>
      <c r="AQ75" s="6">
        <f t="shared" si="4"/>
        <v>1.1823266763213043</v>
      </c>
    </row>
    <row r="76" spans="1:43" x14ac:dyDescent="0.3">
      <c r="A76" t="s">
        <v>86</v>
      </c>
      <c r="B76" s="6">
        <f t="shared" si="3"/>
        <v>0.81987951807228932</v>
      </c>
      <c r="C76">
        <f>SUMIFS(data!$C:$C,data!$A:$A,"="&amp;xyz!$A76,data!$B:$B,"="&amp;xyz!C$2)</f>
        <v>1</v>
      </c>
      <c r="D76">
        <f>SUMIFS(data!$C:$C,data!$A:$A,"="&amp;xyz!$A76,data!$B:$B,"="&amp;xyz!D$2)</f>
        <v>1</v>
      </c>
      <c r="E76">
        <f>SUMIFS(data!$C:$C,data!$A:$A,"="&amp;xyz!$A76,data!$B:$B,"="&amp;xyz!E$2)</f>
        <v>2</v>
      </c>
      <c r="F76">
        <f>SUMIFS(data!$C:$C,data!$A:$A,"="&amp;xyz!$A76,data!$B:$B,"="&amp;xyz!F$2)</f>
        <v>1</v>
      </c>
      <c r="G76">
        <f>SUMIFS(data!$C:$C,data!$A:$A,"="&amp;xyz!$A76,data!$B:$B,"="&amp;xyz!G$2)</f>
        <v>5</v>
      </c>
      <c r="H76">
        <f>SUMIFS(data!$C:$C,data!$A:$A,"="&amp;xyz!$A76,data!$B:$B,"="&amp;xyz!H$2)</f>
        <v>3</v>
      </c>
      <c r="I76">
        <f>SUMIFS(data!$C:$C,data!$A:$A,"="&amp;xyz!$A76,data!$B:$B,"="&amp;xyz!I$2)</f>
        <v>2</v>
      </c>
      <c r="J76">
        <f>SUMIFS(data!$C:$C,data!$A:$A,"="&amp;xyz!$A76,data!$B:$B,"="&amp;xyz!J$2)</f>
        <v>0</v>
      </c>
      <c r="K76">
        <f>SUMIFS(data!$C:$C,data!$A:$A,"="&amp;xyz!$A76,data!$B:$B,"="&amp;xyz!K$2)</f>
        <v>0</v>
      </c>
      <c r="L76">
        <f>SUMIFS(data!$C:$C,data!$A:$A,"="&amp;xyz!$A76,data!$B:$B,"="&amp;xyz!L$2)</f>
        <v>1</v>
      </c>
      <c r="M76">
        <f>SUMIFS(data!$C:$C,data!$A:$A,"="&amp;xyz!$A76,data!$B:$B,"="&amp;xyz!M$2)</f>
        <v>6</v>
      </c>
      <c r="N76">
        <f>SUMIFS(data!$C:$C,data!$A:$A,"="&amp;xyz!$A76,data!$B:$B,"="&amp;xyz!N$2)</f>
        <v>0</v>
      </c>
      <c r="O76">
        <f>SUMIFS(data!$C:$C,data!$A:$A,"="&amp;xyz!$A76,data!$B:$B,"="&amp;xyz!O$2)</f>
        <v>3</v>
      </c>
      <c r="P76">
        <f>SUMIFS(data!$C:$C,data!$A:$A,"="&amp;xyz!$A76,data!$B:$B,"="&amp;xyz!P$2)</f>
        <v>3</v>
      </c>
      <c r="Q76">
        <f>SUMIFS(data!$C:$C,data!$A:$A,"="&amp;xyz!$A76,data!$B:$B,"="&amp;xyz!Q$2)</f>
        <v>5</v>
      </c>
      <c r="R76">
        <f>SUMIFS(data!$C:$C,data!$A:$A,"="&amp;xyz!$A76,data!$B:$B,"="&amp;xyz!R$2)</f>
        <v>1</v>
      </c>
      <c r="S76">
        <f>SUMIFS(data!$C:$C,data!$A:$A,"="&amp;xyz!$A76,data!$B:$B,"="&amp;xyz!S$2)</f>
        <v>0</v>
      </c>
      <c r="T76">
        <f>SUMIFS(data!$C:$C,data!$A:$A,"="&amp;xyz!$A76,data!$B:$B,"="&amp;xyz!T$2)</f>
        <v>2</v>
      </c>
      <c r="U76">
        <f>SUMIFS(data!$C:$C,data!$A:$A,"="&amp;xyz!$A76,data!$B:$B,"="&amp;xyz!U$2)</f>
        <v>1</v>
      </c>
      <c r="V76">
        <f>SUMIFS(data!$C:$C,data!$A:$A,"="&amp;xyz!$A76,data!$B:$B,"="&amp;xyz!V$2)</f>
        <v>1</v>
      </c>
      <c r="W76">
        <f>SUMIFS(data!$C:$C,data!$A:$A,"="&amp;xyz!$A76,data!$B:$B,"="&amp;xyz!W$2)</f>
        <v>10</v>
      </c>
      <c r="X76">
        <f>SUMIFS(data!$C:$C,data!$A:$A,"="&amp;xyz!$A76,data!$B:$B,"="&amp;xyz!X$2)</f>
        <v>0</v>
      </c>
      <c r="Y76">
        <f>SUMIFS(data!$C:$C,data!$A:$A,"="&amp;xyz!$A76,data!$B:$B,"="&amp;xyz!Y$2)</f>
        <v>0</v>
      </c>
      <c r="Z76">
        <f>SUMIFS(data!$C:$C,data!$A:$A,"="&amp;xyz!$A76,data!$B:$B,"="&amp;xyz!Z$2)</f>
        <v>4</v>
      </c>
      <c r="AA76">
        <f>SUMIFS(data!$C:$C,data!$A:$A,"="&amp;xyz!$A76,data!$B:$B,"="&amp;xyz!AA$2)</f>
        <v>6</v>
      </c>
      <c r="AB76">
        <f>SUMIFS(data!$C:$C,data!$A:$A,"="&amp;xyz!$A76,data!$B:$B,"="&amp;xyz!AB$2)</f>
        <v>0</v>
      </c>
      <c r="AC76">
        <f>SUMIFS(data!$C:$C,data!$A:$A,"="&amp;xyz!$A76,data!$B:$B,"="&amp;xyz!AC$2)</f>
        <v>0</v>
      </c>
      <c r="AD76">
        <f>SUMIFS(data!$C:$C,data!$A:$A,"="&amp;xyz!$A76,data!$B:$B,"="&amp;xyz!AD$2)</f>
        <v>6</v>
      </c>
      <c r="AE76">
        <f>SUMIFS(data!$C:$C,data!$A:$A,"="&amp;xyz!$A76,data!$B:$B,"="&amp;xyz!AE$2)</f>
        <v>0</v>
      </c>
      <c r="AF76">
        <f>SUMIFS(data!$C:$C,data!$A:$A,"="&amp;xyz!$A76,data!$B:$B,"="&amp;xyz!AF$2)</f>
        <v>2</v>
      </c>
      <c r="AG76">
        <f>SUMIFS(data!$C:$C,data!$A:$A,"="&amp;xyz!$A76,data!$B:$B,"="&amp;xyz!AG$2)</f>
        <v>1</v>
      </c>
      <c r="AH76">
        <f>SUMIFS(data!$C:$C,data!$A:$A,"="&amp;xyz!$A76,data!$B:$B,"="&amp;xyz!AH$2)</f>
        <v>3</v>
      </c>
      <c r="AI76">
        <f>SUMIFS(data!$C:$C,data!$A:$A,"="&amp;xyz!$A76,data!$B:$B,"="&amp;xyz!AI$2)</f>
        <v>1</v>
      </c>
      <c r="AJ76">
        <f>SUMIFS(data!$C:$C,data!$A:$A,"="&amp;xyz!$A76,data!$B:$B,"="&amp;xyz!AJ$2)</f>
        <v>3</v>
      </c>
      <c r="AK76">
        <f>SUMIFS(data!$C:$C,data!$A:$A,"="&amp;xyz!$A76,data!$B:$B,"="&amp;xyz!AK$2)</f>
        <v>1</v>
      </c>
      <c r="AL76">
        <f>SUMIFS(data!$C:$C,data!$A:$A,"="&amp;xyz!$A76,data!$B:$B,"="&amp;xyz!AL$2)</f>
        <v>2</v>
      </c>
      <c r="AM76">
        <f>SUMIFS(data!$C:$C,data!$A:$A,"="&amp;xyz!$A76,data!$B:$B,"="&amp;xyz!AM$2)</f>
        <v>0</v>
      </c>
      <c r="AN76">
        <f>SUMIFS(data!$C:$C,data!$A:$A,"="&amp;xyz!$A76,data!$B:$B,"="&amp;xyz!AN$2)</f>
        <v>2</v>
      </c>
      <c r="AO76">
        <f>SUMIFS(data!$C:$C,data!$A:$A,"="&amp;xyz!$A76,data!$B:$B,"="&amp;xyz!AO$2)</f>
        <v>0</v>
      </c>
      <c r="AP76">
        <f>SUMIFS(data!$C:$C,data!$A:$A,"="&amp;xyz!$A76,data!$B:$B,"="&amp;xyz!AP$2)</f>
        <v>4</v>
      </c>
      <c r="AQ76" s="6">
        <f t="shared" si="4"/>
        <v>1.082516577934916</v>
      </c>
    </row>
    <row r="77" spans="1:43" x14ac:dyDescent="0.3">
      <c r="A77" t="s">
        <v>59</v>
      </c>
      <c r="B77" s="6">
        <f t="shared" si="3"/>
        <v>0.79117647058823548</v>
      </c>
      <c r="C77">
        <f>SUMIFS(data!$C:$C,data!$A:$A,"="&amp;xyz!$A77,data!$B:$B,"="&amp;xyz!C$2)</f>
        <v>3</v>
      </c>
      <c r="D77">
        <f>SUMIFS(data!$C:$C,data!$A:$A,"="&amp;xyz!$A77,data!$B:$B,"="&amp;xyz!D$2)</f>
        <v>1</v>
      </c>
      <c r="E77">
        <f>SUMIFS(data!$C:$C,data!$A:$A,"="&amp;xyz!$A77,data!$B:$B,"="&amp;xyz!E$2)</f>
        <v>0</v>
      </c>
      <c r="F77">
        <f>SUMIFS(data!$C:$C,data!$A:$A,"="&amp;xyz!$A77,data!$B:$B,"="&amp;xyz!F$2)</f>
        <v>3</v>
      </c>
      <c r="G77">
        <f>SUMIFS(data!$C:$C,data!$A:$A,"="&amp;xyz!$A77,data!$B:$B,"="&amp;xyz!G$2)</f>
        <v>5</v>
      </c>
      <c r="H77">
        <f>SUMIFS(data!$C:$C,data!$A:$A,"="&amp;xyz!$A77,data!$B:$B,"="&amp;xyz!H$2)</f>
        <v>0</v>
      </c>
      <c r="I77">
        <f>SUMIFS(data!$C:$C,data!$A:$A,"="&amp;xyz!$A77,data!$B:$B,"="&amp;xyz!I$2)</f>
        <v>5</v>
      </c>
      <c r="J77">
        <f>SUMIFS(data!$C:$C,data!$A:$A,"="&amp;xyz!$A77,data!$B:$B,"="&amp;xyz!J$2)</f>
        <v>0</v>
      </c>
      <c r="K77">
        <f>SUMIFS(data!$C:$C,data!$A:$A,"="&amp;xyz!$A77,data!$B:$B,"="&amp;xyz!K$2)</f>
        <v>0</v>
      </c>
      <c r="L77">
        <f>SUMIFS(data!$C:$C,data!$A:$A,"="&amp;xyz!$A77,data!$B:$B,"="&amp;xyz!L$2)</f>
        <v>7</v>
      </c>
      <c r="M77">
        <f>SUMIFS(data!$C:$C,data!$A:$A,"="&amp;xyz!$A77,data!$B:$B,"="&amp;xyz!M$2)</f>
        <v>4</v>
      </c>
      <c r="N77">
        <f>SUMIFS(data!$C:$C,data!$A:$A,"="&amp;xyz!$A77,data!$B:$B,"="&amp;xyz!N$2)</f>
        <v>5</v>
      </c>
      <c r="O77">
        <f>SUMIFS(data!$C:$C,data!$A:$A,"="&amp;xyz!$A77,data!$B:$B,"="&amp;xyz!O$2)</f>
        <v>10</v>
      </c>
      <c r="P77">
        <f>SUMIFS(data!$C:$C,data!$A:$A,"="&amp;xyz!$A77,data!$B:$B,"="&amp;xyz!P$2)</f>
        <v>1</v>
      </c>
      <c r="Q77">
        <f>SUMIFS(data!$C:$C,data!$A:$A,"="&amp;xyz!$A77,data!$B:$B,"="&amp;xyz!Q$2)</f>
        <v>2</v>
      </c>
      <c r="R77">
        <f>SUMIFS(data!$C:$C,data!$A:$A,"="&amp;xyz!$A77,data!$B:$B,"="&amp;xyz!R$2)</f>
        <v>1</v>
      </c>
      <c r="S77">
        <f>SUMIFS(data!$C:$C,data!$A:$A,"="&amp;xyz!$A77,data!$B:$B,"="&amp;xyz!S$2)</f>
        <v>0</v>
      </c>
      <c r="T77">
        <f>SUMIFS(data!$C:$C,data!$A:$A,"="&amp;xyz!$A77,data!$B:$B,"="&amp;xyz!T$2)</f>
        <v>2</v>
      </c>
      <c r="U77">
        <f>SUMIFS(data!$C:$C,data!$A:$A,"="&amp;xyz!$A77,data!$B:$B,"="&amp;xyz!U$2)</f>
        <v>1</v>
      </c>
      <c r="V77">
        <f>SUMIFS(data!$C:$C,data!$A:$A,"="&amp;xyz!$A77,data!$B:$B,"="&amp;xyz!V$2)</f>
        <v>3</v>
      </c>
      <c r="W77">
        <f>SUMIFS(data!$C:$C,data!$A:$A,"="&amp;xyz!$A77,data!$B:$B,"="&amp;xyz!W$2)</f>
        <v>10</v>
      </c>
      <c r="X77">
        <f>SUMIFS(data!$C:$C,data!$A:$A,"="&amp;xyz!$A77,data!$B:$B,"="&amp;xyz!X$2)</f>
        <v>10</v>
      </c>
      <c r="Y77">
        <f>SUMIFS(data!$C:$C,data!$A:$A,"="&amp;xyz!$A77,data!$B:$B,"="&amp;xyz!Y$2)</f>
        <v>2</v>
      </c>
      <c r="Z77">
        <f>SUMIFS(data!$C:$C,data!$A:$A,"="&amp;xyz!$A77,data!$B:$B,"="&amp;xyz!Z$2)</f>
        <v>3</v>
      </c>
      <c r="AA77">
        <f>SUMIFS(data!$C:$C,data!$A:$A,"="&amp;xyz!$A77,data!$B:$B,"="&amp;xyz!AA$2)</f>
        <v>0</v>
      </c>
      <c r="AB77">
        <f>SUMIFS(data!$C:$C,data!$A:$A,"="&amp;xyz!$A77,data!$B:$B,"="&amp;xyz!AB$2)</f>
        <v>5</v>
      </c>
      <c r="AC77">
        <f>SUMIFS(data!$C:$C,data!$A:$A,"="&amp;xyz!$A77,data!$B:$B,"="&amp;xyz!AC$2)</f>
        <v>5</v>
      </c>
      <c r="AD77">
        <f>SUMIFS(data!$C:$C,data!$A:$A,"="&amp;xyz!$A77,data!$B:$B,"="&amp;xyz!AD$2)</f>
        <v>2</v>
      </c>
      <c r="AE77">
        <f>SUMIFS(data!$C:$C,data!$A:$A,"="&amp;xyz!$A77,data!$B:$B,"="&amp;xyz!AE$2)</f>
        <v>0</v>
      </c>
      <c r="AF77">
        <f>SUMIFS(data!$C:$C,data!$A:$A,"="&amp;xyz!$A77,data!$B:$B,"="&amp;xyz!AF$2)</f>
        <v>2</v>
      </c>
      <c r="AG77">
        <f>SUMIFS(data!$C:$C,data!$A:$A,"="&amp;xyz!$A77,data!$B:$B,"="&amp;xyz!AG$2)</f>
        <v>2</v>
      </c>
      <c r="AH77">
        <f>SUMIFS(data!$C:$C,data!$A:$A,"="&amp;xyz!$A77,data!$B:$B,"="&amp;xyz!AH$2)</f>
        <v>1</v>
      </c>
      <c r="AI77">
        <f>SUMIFS(data!$C:$C,data!$A:$A,"="&amp;xyz!$A77,data!$B:$B,"="&amp;xyz!AI$2)</f>
        <v>3</v>
      </c>
      <c r="AJ77">
        <f>SUMIFS(data!$C:$C,data!$A:$A,"="&amp;xyz!$A77,data!$B:$B,"="&amp;xyz!AJ$2)</f>
        <v>4</v>
      </c>
      <c r="AK77">
        <f>SUMIFS(data!$C:$C,data!$A:$A,"="&amp;xyz!$A77,data!$B:$B,"="&amp;xyz!AK$2)</f>
        <v>2</v>
      </c>
      <c r="AL77">
        <f>SUMIFS(data!$C:$C,data!$A:$A,"="&amp;xyz!$A77,data!$B:$B,"="&amp;xyz!AL$2)</f>
        <v>2</v>
      </c>
      <c r="AM77">
        <f>SUMIFS(data!$C:$C,data!$A:$A,"="&amp;xyz!$A77,data!$B:$B,"="&amp;xyz!AM$2)</f>
        <v>17</v>
      </c>
      <c r="AN77">
        <f>SUMIFS(data!$C:$C,data!$A:$A,"="&amp;xyz!$A77,data!$B:$B,"="&amp;xyz!AN$2)</f>
        <v>11</v>
      </c>
      <c r="AO77">
        <f>SUMIFS(data!$C:$C,data!$A:$A,"="&amp;xyz!$A77,data!$B:$B,"="&amp;xyz!AO$2)</f>
        <v>0</v>
      </c>
      <c r="AP77">
        <f>SUMIFS(data!$C:$C,data!$A:$A,"="&amp;xyz!$A77,data!$B:$B,"="&amp;xyz!AP$2)</f>
        <v>2</v>
      </c>
      <c r="AQ77" s="6">
        <f t="shared" si="4"/>
        <v>1.0940187113672131</v>
      </c>
    </row>
    <row r="78" spans="1:43" x14ac:dyDescent="0.3">
      <c r="A78" t="s">
        <v>139</v>
      </c>
      <c r="B78" s="6">
        <f t="shared" si="3"/>
        <v>1.0296296296296299</v>
      </c>
      <c r="C78">
        <f>SUMIFS(data!$C:$C,data!$A:$A,"="&amp;xyz!$A78,data!$B:$B,"="&amp;xyz!C$2)</f>
        <v>3</v>
      </c>
      <c r="D78">
        <f>SUMIFS(data!$C:$C,data!$A:$A,"="&amp;xyz!$A78,data!$B:$B,"="&amp;xyz!D$2)</f>
        <v>1</v>
      </c>
      <c r="E78">
        <f>SUMIFS(data!$C:$C,data!$A:$A,"="&amp;xyz!$A78,data!$B:$B,"="&amp;xyz!E$2)</f>
        <v>0</v>
      </c>
      <c r="F78">
        <f>SUMIFS(data!$C:$C,data!$A:$A,"="&amp;xyz!$A78,data!$B:$B,"="&amp;xyz!F$2)</f>
        <v>0</v>
      </c>
      <c r="G78">
        <f>SUMIFS(data!$C:$C,data!$A:$A,"="&amp;xyz!$A78,data!$B:$B,"="&amp;xyz!G$2)</f>
        <v>0</v>
      </c>
      <c r="H78">
        <f>SUMIFS(data!$C:$C,data!$A:$A,"="&amp;xyz!$A78,data!$B:$B,"="&amp;xyz!H$2)</f>
        <v>1</v>
      </c>
      <c r="I78">
        <f>SUMIFS(data!$C:$C,data!$A:$A,"="&amp;xyz!$A78,data!$B:$B,"="&amp;xyz!I$2)</f>
        <v>0</v>
      </c>
      <c r="J78">
        <f>SUMIFS(data!$C:$C,data!$A:$A,"="&amp;xyz!$A78,data!$B:$B,"="&amp;xyz!J$2)</f>
        <v>0</v>
      </c>
      <c r="K78">
        <f>SUMIFS(data!$C:$C,data!$A:$A,"="&amp;xyz!$A78,data!$B:$B,"="&amp;xyz!K$2)</f>
        <v>0</v>
      </c>
      <c r="L78">
        <f>SUMIFS(data!$C:$C,data!$A:$A,"="&amp;xyz!$A78,data!$B:$B,"="&amp;xyz!L$2)</f>
        <v>0</v>
      </c>
      <c r="M78">
        <f>SUMIFS(data!$C:$C,data!$A:$A,"="&amp;xyz!$A78,data!$B:$B,"="&amp;xyz!M$2)</f>
        <v>4</v>
      </c>
      <c r="N78">
        <f>SUMIFS(data!$C:$C,data!$A:$A,"="&amp;xyz!$A78,data!$B:$B,"="&amp;xyz!N$2)</f>
        <v>5</v>
      </c>
      <c r="O78">
        <f>SUMIFS(data!$C:$C,data!$A:$A,"="&amp;xyz!$A78,data!$B:$B,"="&amp;xyz!O$2)</f>
        <v>2</v>
      </c>
      <c r="P78">
        <f>SUMIFS(data!$C:$C,data!$A:$A,"="&amp;xyz!$A78,data!$B:$B,"="&amp;xyz!P$2)</f>
        <v>1</v>
      </c>
      <c r="Q78">
        <f>SUMIFS(data!$C:$C,data!$A:$A,"="&amp;xyz!$A78,data!$B:$B,"="&amp;xyz!Q$2)</f>
        <v>1</v>
      </c>
      <c r="R78">
        <f>SUMIFS(data!$C:$C,data!$A:$A,"="&amp;xyz!$A78,data!$B:$B,"="&amp;xyz!R$2)</f>
        <v>4</v>
      </c>
      <c r="S78">
        <f>SUMIFS(data!$C:$C,data!$A:$A,"="&amp;xyz!$A78,data!$B:$B,"="&amp;xyz!S$2)</f>
        <v>0</v>
      </c>
      <c r="T78">
        <f>SUMIFS(data!$C:$C,data!$A:$A,"="&amp;xyz!$A78,data!$B:$B,"="&amp;xyz!T$2)</f>
        <v>0</v>
      </c>
      <c r="U78">
        <f>SUMIFS(data!$C:$C,data!$A:$A,"="&amp;xyz!$A78,data!$B:$B,"="&amp;xyz!U$2)</f>
        <v>10</v>
      </c>
      <c r="V78">
        <f>SUMIFS(data!$C:$C,data!$A:$A,"="&amp;xyz!$A78,data!$B:$B,"="&amp;xyz!V$2)</f>
        <v>1</v>
      </c>
      <c r="W78">
        <f>SUMIFS(data!$C:$C,data!$A:$A,"="&amp;xyz!$A78,data!$B:$B,"="&amp;xyz!W$2)</f>
        <v>4</v>
      </c>
      <c r="X78">
        <f>SUMIFS(data!$C:$C,data!$A:$A,"="&amp;xyz!$A78,data!$B:$B,"="&amp;xyz!X$2)</f>
        <v>2</v>
      </c>
      <c r="Y78">
        <f>SUMIFS(data!$C:$C,data!$A:$A,"="&amp;xyz!$A78,data!$B:$B,"="&amp;xyz!Y$2)</f>
        <v>0</v>
      </c>
      <c r="Z78">
        <f>SUMIFS(data!$C:$C,data!$A:$A,"="&amp;xyz!$A78,data!$B:$B,"="&amp;xyz!Z$2)</f>
        <v>1</v>
      </c>
      <c r="AA78">
        <f>SUMIFS(data!$C:$C,data!$A:$A,"="&amp;xyz!$A78,data!$B:$B,"="&amp;xyz!AA$2)</f>
        <v>3</v>
      </c>
      <c r="AB78">
        <f>SUMIFS(data!$C:$C,data!$A:$A,"="&amp;xyz!$A78,data!$B:$B,"="&amp;xyz!AB$2)</f>
        <v>0</v>
      </c>
      <c r="AC78">
        <f>SUMIFS(data!$C:$C,data!$A:$A,"="&amp;xyz!$A78,data!$B:$B,"="&amp;xyz!AC$2)</f>
        <v>7</v>
      </c>
      <c r="AD78">
        <f>SUMIFS(data!$C:$C,data!$A:$A,"="&amp;xyz!$A78,data!$B:$B,"="&amp;xyz!AD$2)</f>
        <v>1</v>
      </c>
      <c r="AE78">
        <f>SUMIFS(data!$C:$C,data!$A:$A,"="&amp;xyz!$A78,data!$B:$B,"="&amp;xyz!AE$2)</f>
        <v>1</v>
      </c>
      <c r="AF78">
        <f>SUMIFS(data!$C:$C,data!$A:$A,"="&amp;xyz!$A78,data!$B:$B,"="&amp;xyz!AF$2)</f>
        <v>3</v>
      </c>
      <c r="AG78">
        <f>SUMIFS(data!$C:$C,data!$A:$A,"="&amp;xyz!$A78,data!$B:$B,"="&amp;xyz!AG$2)</f>
        <v>2</v>
      </c>
      <c r="AH78">
        <f>SUMIFS(data!$C:$C,data!$A:$A,"="&amp;xyz!$A78,data!$B:$B,"="&amp;xyz!AH$2)</f>
        <v>1</v>
      </c>
      <c r="AI78">
        <f>SUMIFS(data!$C:$C,data!$A:$A,"="&amp;xyz!$A78,data!$B:$B,"="&amp;xyz!AI$2)</f>
        <v>7</v>
      </c>
      <c r="AJ78">
        <f>SUMIFS(data!$C:$C,data!$A:$A,"="&amp;xyz!$A78,data!$B:$B,"="&amp;xyz!AJ$2)</f>
        <v>11</v>
      </c>
      <c r="AK78">
        <f>SUMIFS(data!$C:$C,data!$A:$A,"="&amp;xyz!$A78,data!$B:$B,"="&amp;xyz!AK$2)</f>
        <v>0</v>
      </c>
      <c r="AL78">
        <f>SUMIFS(data!$C:$C,data!$A:$A,"="&amp;xyz!$A78,data!$B:$B,"="&amp;xyz!AL$2)</f>
        <v>0</v>
      </c>
      <c r="AM78">
        <f>SUMIFS(data!$C:$C,data!$A:$A,"="&amp;xyz!$A78,data!$B:$B,"="&amp;xyz!AM$2)</f>
        <v>0</v>
      </c>
      <c r="AN78">
        <f>SUMIFS(data!$C:$C,data!$A:$A,"="&amp;xyz!$A78,data!$B:$B,"="&amp;xyz!AN$2)</f>
        <v>0</v>
      </c>
      <c r="AO78">
        <f>SUMIFS(data!$C:$C,data!$A:$A,"="&amp;xyz!$A78,data!$B:$B,"="&amp;xyz!AO$2)</f>
        <v>5</v>
      </c>
      <c r="AP78">
        <f>SUMIFS(data!$C:$C,data!$A:$A,"="&amp;xyz!$A78,data!$B:$B,"="&amp;xyz!AP$2)</f>
        <v>0</v>
      </c>
      <c r="AQ78" s="6">
        <f t="shared" si="4"/>
        <v>1.3718539576646767</v>
      </c>
    </row>
    <row r="79" spans="1:43" x14ac:dyDescent="0.3">
      <c r="A79" t="s">
        <v>105</v>
      </c>
      <c r="B79" s="6">
        <f t="shared" si="3"/>
        <v>0.90280898876404492</v>
      </c>
      <c r="C79">
        <f>SUMIFS(data!$C:$C,data!$A:$A,"="&amp;xyz!$A79,data!$B:$B,"="&amp;xyz!C$2)</f>
        <v>6</v>
      </c>
      <c r="D79">
        <f>SUMIFS(data!$C:$C,data!$A:$A,"="&amp;xyz!$A79,data!$B:$B,"="&amp;xyz!D$2)</f>
        <v>3</v>
      </c>
      <c r="E79">
        <f>SUMIFS(data!$C:$C,data!$A:$A,"="&amp;xyz!$A79,data!$B:$B,"="&amp;xyz!E$2)</f>
        <v>0</v>
      </c>
      <c r="F79">
        <f>SUMIFS(data!$C:$C,data!$A:$A,"="&amp;xyz!$A79,data!$B:$B,"="&amp;xyz!F$2)</f>
        <v>6</v>
      </c>
      <c r="G79">
        <f>SUMIFS(data!$C:$C,data!$A:$A,"="&amp;xyz!$A79,data!$B:$B,"="&amp;xyz!G$2)</f>
        <v>3</v>
      </c>
      <c r="H79">
        <f>SUMIFS(data!$C:$C,data!$A:$A,"="&amp;xyz!$A79,data!$B:$B,"="&amp;xyz!H$2)</f>
        <v>0</v>
      </c>
      <c r="I79">
        <f>SUMIFS(data!$C:$C,data!$A:$A,"="&amp;xyz!$A79,data!$B:$B,"="&amp;xyz!I$2)</f>
        <v>0</v>
      </c>
      <c r="J79">
        <f>SUMIFS(data!$C:$C,data!$A:$A,"="&amp;xyz!$A79,data!$B:$B,"="&amp;xyz!J$2)</f>
        <v>0</v>
      </c>
      <c r="K79">
        <f>SUMIFS(data!$C:$C,data!$A:$A,"="&amp;xyz!$A79,data!$B:$B,"="&amp;xyz!K$2)</f>
        <v>0</v>
      </c>
      <c r="L79">
        <f>SUMIFS(data!$C:$C,data!$A:$A,"="&amp;xyz!$A79,data!$B:$B,"="&amp;xyz!L$2)</f>
        <v>0</v>
      </c>
      <c r="M79">
        <f>SUMIFS(data!$C:$C,data!$A:$A,"="&amp;xyz!$A79,data!$B:$B,"="&amp;xyz!M$2)</f>
        <v>0</v>
      </c>
      <c r="N79">
        <f>SUMIFS(data!$C:$C,data!$A:$A,"="&amp;xyz!$A79,data!$B:$B,"="&amp;xyz!N$2)</f>
        <v>3</v>
      </c>
      <c r="O79">
        <f>SUMIFS(data!$C:$C,data!$A:$A,"="&amp;xyz!$A79,data!$B:$B,"="&amp;xyz!O$2)</f>
        <v>6</v>
      </c>
      <c r="P79">
        <f>SUMIFS(data!$C:$C,data!$A:$A,"="&amp;xyz!$A79,data!$B:$B,"="&amp;xyz!P$2)</f>
        <v>0</v>
      </c>
      <c r="Q79">
        <f>SUMIFS(data!$C:$C,data!$A:$A,"="&amp;xyz!$A79,data!$B:$B,"="&amp;xyz!Q$2)</f>
        <v>0</v>
      </c>
      <c r="R79">
        <f>SUMIFS(data!$C:$C,data!$A:$A,"="&amp;xyz!$A79,data!$B:$B,"="&amp;xyz!R$2)</f>
        <v>3</v>
      </c>
      <c r="S79">
        <f>SUMIFS(data!$C:$C,data!$A:$A,"="&amp;xyz!$A79,data!$B:$B,"="&amp;xyz!S$2)</f>
        <v>2</v>
      </c>
      <c r="T79">
        <f>SUMIFS(data!$C:$C,data!$A:$A,"="&amp;xyz!$A79,data!$B:$B,"="&amp;xyz!T$2)</f>
        <v>6</v>
      </c>
      <c r="U79">
        <f>SUMIFS(data!$C:$C,data!$A:$A,"="&amp;xyz!$A79,data!$B:$B,"="&amp;xyz!U$2)</f>
        <v>3</v>
      </c>
      <c r="V79">
        <f>SUMIFS(data!$C:$C,data!$A:$A,"="&amp;xyz!$A79,data!$B:$B,"="&amp;xyz!V$2)</f>
        <v>1</v>
      </c>
      <c r="W79">
        <f>SUMIFS(data!$C:$C,data!$A:$A,"="&amp;xyz!$A79,data!$B:$B,"="&amp;xyz!W$2)</f>
        <v>4</v>
      </c>
      <c r="X79">
        <f>SUMIFS(data!$C:$C,data!$A:$A,"="&amp;xyz!$A79,data!$B:$B,"="&amp;xyz!X$2)</f>
        <v>0</v>
      </c>
      <c r="Y79">
        <f>SUMIFS(data!$C:$C,data!$A:$A,"="&amp;xyz!$A79,data!$B:$B,"="&amp;xyz!Y$2)</f>
        <v>2</v>
      </c>
      <c r="Z79">
        <f>SUMIFS(data!$C:$C,data!$A:$A,"="&amp;xyz!$A79,data!$B:$B,"="&amp;xyz!Z$2)</f>
        <v>0</v>
      </c>
      <c r="AA79">
        <f>SUMIFS(data!$C:$C,data!$A:$A,"="&amp;xyz!$A79,data!$B:$B,"="&amp;xyz!AA$2)</f>
        <v>9</v>
      </c>
      <c r="AB79">
        <f>SUMIFS(data!$C:$C,data!$A:$A,"="&amp;xyz!$A79,data!$B:$B,"="&amp;xyz!AB$2)</f>
        <v>3</v>
      </c>
      <c r="AC79">
        <f>SUMIFS(data!$C:$C,data!$A:$A,"="&amp;xyz!$A79,data!$B:$B,"="&amp;xyz!AC$2)</f>
        <v>0</v>
      </c>
      <c r="AD79">
        <f>SUMIFS(data!$C:$C,data!$A:$A,"="&amp;xyz!$A79,data!$B:$B,"="&amp;xyz!AD$2)</f>
        <v>0</v>
      </c>
      <c r="AE79">
        <f>SUMIFS(data!$C:$C,data!$A:$A,"="&amp;xyz!$A79,data!$B:$B,"="&amp;xyz!AE$2)</f>
        <v>2</v>
      </c>
      <c r="AF79">
        <f>SUMIFS(data!$C:$C,data!$A:$A,"="&amp;xyz!$A79,data!$B:$B,"="&amp;xyz!AF$2)</f>
        <v>0</v>
      </c>
      <c r="AG79">
        <f>SUMIFS(data!$C:$C,data!$A:$A,"="&amp;xyz!$A79,data!$B:$B,"="&amp;xyz!AG$2)</f>
        <v>1</v>
      </c>
      <c r="AH79">
        <f>SUMIFS(data!$C:$C,data!$A:$A,"="&amp;xyz!$A79,data!$B:$B,"="&amp;xyz!AH$2)</f>
        <v>7</v>
      </c>
      <c r="AI79">
        <f>SUMIFS(data!$C:$C,data!$A:$A,"="&amp;xyz!$A79,data!$B:$B,"="&amp;xyz!AI$2)</f>
        <v>0</v>
      </c>
      <c r="AJ79">
        <f>SUMIFS(data!$C:$C,data!$A:$A,"="&amp;xyz!$A79,data!$B:$B,"="&amp;xyz!AJ$2)</f>
        <v>4</v>
      </c>
      <c r="AK79">
        <f>SUMIFS(data!$C:$C,data!$A:$A,"="&amp;xyz!$A79,data!$B:$B,"="&amp;xyz!AK$2)</f>
        <v>2</v>
      </c>
      <c r="AL79">
        <f>SUMIFS(data!$C:$C,data!$A:$A,"="&amp;xyz!$A79,data!$B:$B,"="&amp;xyz!AL$2)</f>
        <v>5</v>
      </c>
      <c r="AM79">
        <f>SUMIFS(data!$C:$C,data!$A:$A,"="&amp;xyz!$A79,data!$B:$B,"="&amp;xyz!AM$2)</f>
        <v>4</v>
      </c>
      <c r="AN79">
        <f>SUMIFS(data!$C:$C,data!$A:$A,"="&amp;xyz!$A79,data!$B:$B,"="&amp;xyz!AN$2)</f>
        <v>0</v>
      </c>
      <c r="AO79">
        <f>SUMIFS(data!$C:$C,data!$A:$A,"="&amp;xyz!$A79,data!$B:$B,"="&amp;xyz!AO$2)</f>
        <v>3</v>
      </c>
      <c r="AP79">
        <f>SUMIFS(data!$C:$C,data!$A:$A,"="&amp;xyz!$A79,data!$B:$B,"="&amp;xyz!AP$2)</f>
        <v>1</v>
      </c>
      <c r="AQ79" s="6">
        <f t="shared" si="4"/>
        <v>1.0937552963940478</v>
      </c>
    </row>
    <row r="80" spans="1:43" x14ac:dyDescent="0.3">
      <c r="A80" t="s">
        <v>11</v>
      </c>
      <c r="B80" s="6">
        <f t="shared" si="3"/>
        <v>0.98059701492537288</v>
      </c>
      <c r="C80">
        <f>SUMIFS(data!$C:$C,data!$A:$A,"="&amp;xyz!$A80,data!$B:$B,"="&amp;xyz!C$2)</f>
        <v>1</v>
      </c>
      <c r="D80">
        <f>SUMIFS(data!$C:$C,data!$A:$A,"="&amp;xyz!$A80,data!$B:$B,"="&amp;xyz!D$2)</f>
        <v>0</v>
      </c>
      <c r="E80">
        <f>SUMIFS(data!$C:$C,data!$A:$A,"="&amp;xyz!$A80,data!$B:$B,"="&amp;xyz!E$2)</f>
        <v>0</v>
      </c>
      <c r="F80">
        <f>SUMIFS(data!$C:$C,data!$A:$A,"="&amp;xyz!$A80,data!$B:$B,"="&amp;xyz!F$2)</f>
        <v>0</v>
      </c>
      <c r="G80">
        <f>SUMIFS(data!$C:$C,data!$A:$A,"="&amp;xyz!$A80,data!$B:$B,"="&amp;xyz!G$2)</f>
        <v>0</v>
      </c>
      <c r="H80">
        <f>SUMIFS(data!$C:$C,data!$A:$A,"="&amp;xyz!$A80,data!$B:$B,"="&amp;xyz!H$2)</f>
        <v>0</v>
      </c>
      <c r="I80">
        <f>SUMIFS(data!$C:$C,data!$A:$A,"="&amp;xyz!$A80,data!$B:$B,"="&amp;xyz!I$2)</f>
        <v>2</v>
      </c>
      <c r="J80">
        <f>SUMIFS(data!$C:$C,data!$A:$A,"="&amp;xyz!$A80,data!$B:$B,"="&amp;xyz!J$2)</f>
        <v>4</v>
      </c>
      <c r="K80">
        <f>SUMIFS(data!$C:$C,data!$A:$A,"="&amp;xyz!$A80,data!$B:$B,"="&amp;xyz!K$2)</f>
        <v>0</v>
      </c>
      <c r="L80">
        <f>SUMIFS(data!$C:$C,data!$A:$A,"="&amp;xyz!$A80,data!$B:$B,"="&amp;xyz!L$2)</f>
        <v>2</v>
      </c>
      <c r="M80">
        <f>SUMIFS(data!$C:$C,data!$A:$A,"="&amp;xyz!$A80,data!$B:$B,"="&amp;xyz!M$2)</f>
        <v>0</v>
      </c>
      <c r="N80">
        <f>SUMIFS(data!$C:$C,data!$A:$A,"="&amp;xyz!$A80,data!$B:$B,"="&amp;xyz!N$2)</f>
        <v>1</v>
      </c>
      <c r="O80">
        <f>SUMIFS(data!$C:$C,data!$A:$A,"="&amp;xyz!$A80,data!$B:$B,"="&amp;xyz!O$2)</f>
        <v>4</v>
      </c>
      <c r="P80">
        <f>SUMIFS(data!$C:$C,data!$A:$A,"="&amp;xyz!$A80,data!$B:$B,"="&amp;xyz!P$2)</f>
        <v>10</v>
      </c>
      <c r="Q80">
        <f>SUMIFS(data!$C:$C,data!$A:$A,"="&amp;xyz!$A80,data!$B:$B,"="&amp;xyz!Q$2)</f>
        <v>2</v>
      </c>
      <c r="R80">
        <f>SUMIFS(data!$C:$C,data!$A:$A,"="&amp;xyz!$A80,data!$B:$B,"="&amp;xyz!R$2)</f>
        <v>3</v>
      </c>
      <c r="S80">
        <f>SUMIFS(data!$C:$C,data!$A:$A,"="&amp;xyz!$A80,data!$B:$B,"="&amp;xyz!S$2)</f>
        <v>4</v>
      </c>
      <c r="T80">
        <f>SUMIFS(data!$C:$C,data!$A:$A,"="&amp;xyz!$A80,data!$B:$B,"="&amp;xyz!T$2)</f>
        <v>0</v>
      </c>
      <c r="U80">
        <f>SUMIFS(data!$C:$C,data!$A:$A,"="&amp;xyz!$A80,data!$B:$B,"="&amp;xyz!U$2)</f>
        <v>0</v>
      </c>
      <c r="V80">
        <f>SUMIFS(data!$C:$C,data!$A:$A,"="&amp;xyz!$A80,data!$B:$B,"="&amp;xyz!V$2)</f>
        <v>0</v>
      </c>
      <c r="W80">
        <f>SUMIFS(data!$C:$C,data!$A:$A,"="&amp;xyz!$A80,data!$B:$B,"="&amp;xyz!W$2)</f>
        <v>0</v>
      </c>
      <c r="X80">
        <f>SUMIFS(data!$C:$C,data!$A:$A,"="&amp;xyz!$A80,data!$B:$B,"="&amp;xyz!X$2)</f>
        <v>0</v>
      </c>
      <c r="Y80">
        <f>SUMIFS(data!$C:$C,data!$A:$A,"="&amp;xyz!$A80,data!$B:$B,"="&amp;xyz!Y$2)</f>
        <v>6</v>
      </c>
      <c r="Z80">
        <f>SUMIFS(data!$C:$C,data!$A:$A,"="&amp;xyz!$A80,data!$B:$B,"="&amp;xyz!Z$2)</f>
        <v>3</v>
      </c>
      <c r="AA80">
        <f>SUMIFS(data!$C:$C,data!$A:$A,"="&amp;xyz!$A80,data!$B:$B,"="&amp;xyz!AA$2)</f>
        <v>3</v>
      </c>
      <c r="AB80">
        <f>SUMIFS(data!$C:$C,data!$A:$A,"="&amp;xyz!$A80,data!$B:$B,"="&amp;xyz!AB$2)</f>
        <v>2</v>
      </c>
      <c r="AC80">
        <f>SUMIFS(data!$C:$C,data!$A:$A,"="&amp;xyz!$A80,data!$B:$B,"="&amp;xyz!AC$2)</f>
        <v>5</v>
      </c>
      <c r="AD80">
        <f>SUMIFS(data!$C:$C,data!$A:$A,"="&amp;xyz!$A80,data!$B:$B,"="&amp;xyz!AD$2)</f>
        <v>3</v>
      </c>
      <c r="AE80">
        <f>SUMIFS(data!$C:$C,data!$A:$A,"="&amp;xyz!$A80,data!$B:$B,"="&amp;xyz!AE$2)</f>
        <v>4</v>
      </c>
      <c r="AF80">
        <f>SUMIFS(data!$C:$C,data!$A:$A,"="&amp;xyz!$A80,data!$B:$B,"="&amp;xyz!AF$2)</f>
        <v>2</v>
      </c>
      <c r="AG80">
        <f>SUMIFS(data!$C:$C,data!$A:$A,"="&amp;xyz!$A80,data!$B:$B,"="&amp;xyz!AG$2)</f>
        <v>0</v>
      </c>
      <c r="AH80">
        <f>SUMIFS(data!$C:$C,data!$A:$A,"="&amp;xyz!$A80,data!$B:$B,"="&amp;xyz!AH$2)</f>
        <v>0</v>
      </c>
      <c r="AI80">
        <f>SUMIFS(data!$C:$C,data!$A:$A,"="&amp;xyz!$A80,data!$B:$B,"="&amp;xyz!AI$2)</f>
        <v>1</v>
      </c>
      <c r="AJ80">
        <f>SUMIFS(data!$C:$C,data!$A:$A,"="&amp;xyz!$A80,data!$B:$B,"="&amp;xyz!AJ$2)</f>
        <v>0</v>
      </c>
      <c r="AK80">
        <f>SUMIFS(data!$C:$C,data!$A:$A,"="&amp;xyz!$A80,data!$B:$B,"="&amp;xyz!AK$2)</f>
        <v>0</v>
      </c>
      <c r="AL80">
        <f>SUMIFS(data!$C:$C,data!$A:$A,"="&amp;xyz!$A80,data!$B:$B,"="&amp;xyz!AL$2)</f>
        <v>0</v>
      </c>
      <c r="AM80">
        <f>SUMIFS(data!$C:$C,data!$A:$A,"="&amp;xyz!$A80,data!$B:$B,"="&amp;xyz!AM$2)</f>
        <v>0</v>
      </c>
      <c r="AN80">
        <f>SUMIFS(data!$C:$C,data!$A:$A,"="&amp;xyz!$A80,data!$B:$B,"="&amp;xyz!AN$2)</f>
        <v>2</v>
      </c>
      <c r="AO80">
        <f>SUMIFS(data!$C:$C,data!$A:$A,"="&amp;xyz!$A80,data!$B:$B,"="&amp;xyz!AO$2)</f>
        <v>1</v>
      </c>
      <c r="AP80">
        <f>SUMIFS(data!$C:$C,data!$A:$A,"="&amp;xyz!$A80,data!$B:$B,"="&amp;xyz!AP$2)</f>
        <v>2</v>
      </c>
      <c r="AQ80" s="6">
        <f t="shared" si="4"/>
        <v>1.2853519780106399</v>
      </c>
    </row>
    <row r="81" spans="1:43" x14ac:dyDescent="0.3">
      <c r="A81" t="s">
        <v>108</v>
      </c>
      <c r="B81" s="6">
        <f t="shared" si="3"/>
        <v>1.3769230769230769</v>
      </c>
      <c r="C81">
        <f>SUMIFS(data!$C:$C,data!$A:$A,"="&amp;xyz!$A81,data!$B:$B,"="&amp;xyz!C$2)</f>
        <v>0</v>
      </c>
      <c r="D81">
        <f>SUMIFS(data!$C:$C,data!$A:$A,"="&amp;xyz!$A81,data!$B:$B,"="&amp;xyz!D$2)</f>
        <v>4</v>
      </c>
      <c r="E81">
        <f>SUMIFS(data!$C:$C,data!$A:$A,"="&amp;xyz!$A81,data!$B:$B,"="&amp;xyz!E$2)</f>
        <v>0</v>
      </c>
      <c r="F81">
        <f>SUMIFS(data!$C:$C,data!$A:$A,"="&amp;xyz!$A81,data!$B:$B,"="&amp;xyz!F$2)</f>
        <v>0</v>
      </c>
      <c r="G81">
        <f>SUMIFS(data!$C:$C,data!$A:$A,"="&amp;xyz!$A81,data!$B:$B,"="&amp;xyz!G$2)</f>
        <v>0</v>
      </c>
      <c r="H81">
        <f>SUMIFS(data!$C:$C,data!$A:$A,"="&amp;xyz!$A81,data!$B:$B,"="&amp;xyz!H$2)</f>
        <v>1</v>
      </c>
      <c r="I81">
        <f>SUMIFS(data!$C:$C,data!$A:$A,"="&amp;xyz!$A81,data!$B:$B,"="&amp;xyz!I$2)</f>
        <v>0</v>
      </c>
      <c r="J81">
        <f>SUMIFS(data!$C:$C,data!$A:$A,"="&amp;xyz!$A81,data!$B:$B,"="&amp;xyz!J$2)</f>
        <v>0</v>
      </c>
      <c r="K81">
        <f>SUMIFS(data!$C:$C,data!$A:$A,"="&amp;xyz!$A81,data!$B:$B,"="&amp;xyz!K$2)</f>
        <v>0</v>
      </c>
      <c r="L81">
        <f>SUMIFS(data!$C:$C,data!$A:$A,"="&amp;xyz!$A81,data!$B:$B,"="&amp;xyz!L$2)</f>
        <v>0</v>
      </c>
      <c r="M81">
        <f>SUMIFS(data!$C:$C,data!$A:$A,"="&amp;xyz!$A81,data!$B:$B,"="&amp;xyz!M$2)</f>
        <v>0</v>
      </c>
      <c r="N81">
        <f>SUMIFS(data!$C:$C,data!$A:$A,"="&amp;xyz!$A81,data!$B:$B,"="&amp;xyz!N$2)</f>
        <v>7</v>
      </c>
      <c r="O81">
        <f>SUMIFS(data!$C:$C,data!$A:$A,"="&amp;xyz!$A81,data!$B:$B,"="&amp;xyz!O$2)</f>
        <v>1</v>
      </c>
      <c r="P81">
        <f>SUMIFS(data!$C:$C,data!$A:$A,"="&amp;xyz!$A81,data!$B:$B,"="&amp;xyz!P$2)</f>
        <v>0</v>
      </c>
      <c r="Q81">
        <f>SUMIFS(data!$C:$C,data!$A:$A,"="&amp;xyz!$A81,data!$B:$B,"="&amp;xyz!Q$2)</f>
        <v>0</v>
      </c>
      <c r="R81">
        <f>SUMIFS(data!$C:$C,data!$A:$A,"="&amp;xyz!$A81,data!$B:$B,"="&amp;xyz!R$2)</f>
        <v>0</v>
      </c>
      <c r="S81">
        <f>SUMIFS(data!$C:$C,data!$A:$A,"="&amp;xyz!$A81,data!$B:$B,"="&amp;xyz!S$2)</f>
        <v>1</v>
      </c>
      <c r="T81">
        <f>SUMIFS(data!$C:$C,data!$A:$A,"="&amp;xyz!$A81,data!$B:$B,"="&amp;xyz!T$2)</f>
        <v>0</v>
      </c>
      <c r="U81">
        <f>SUMIFS(data!$C:$C,data!$A:$A,"="&amp;xyz!$A81,data!$B:$B,"="&amp;xyz!U$2)</f>
        <v>0</v>
      </c>
      <c r="V81">
        <f>SUMIFS(data!$C:$C,data!$A:$A,"="&amp;xyz!$A81,data!$B:$B,"="&amp;xyz!V$2)</f>
        <v>0</v>
      </c>
      <c r="W81">
        <f>SUMIFS(data!$C:$C,data!$A:$A,"="&amp;xyz!$A81,data!$B:$B,"="&amp;xyz!W$2)</f>
        <v>0</v>
      </c>
      <c r="X81">
        <f>SUMIFS(data!$C:$C,data!$A:$A,"="&amp;xyz!$A81,data!$B:$B,"="&amp;xyz!X$2)</f>
        <v>8</v>
      </c>
      <c r="Y81">
        <f>SUMIFS(data!$C:$C,data!$A:$A,"="&amp;xyz!$A81,data!$B:$B,"="&amp;xyz!Y$2)</f>
        <v>0</v>
      </c>
      <c r="Z81">
        <f>SUMIFS(data!$C:$C,data!$A:$A,"="&amp;xyz!$A81,data!$B:$B,"="&amp;xyz!Z$2)</f>
        <v>3</v>
      </c>
      <c r="AA81">
        <f>SUMIFS(data!$C:$C,data!$A:$A,"="&amp;xyz!$A81,data!$B:$B,"="&amp;xyz!AA$2)</f>
        <v>0</v>
      </c>
      <c r="AB81">
        <f>SUMIFS(data!$C:$C,data!$A:$A,"="&amp;xyz!$A81,data!$B:$B,"="&amp;xyz!AB$2)</f>
        <v>0</v>
      </c>
      <c r="AC81">
        <f>SUMIFS(data!$C:$C,data!$A:$A,"="&amp;xyz!$A81,data!$B:$B,"="&amp;xyz!AC$2)</f>
        <v>0</v>
      </c>
      <c r="AD81">
        <f>SUMIFS(data!$C:$C,data!$A:$A,"="&amp;xyz!$A81,data!$B:$B,"="&amp;xyz!AD$2)</f>
        <v>0</v>
      </c>
      <c r="AE81">
        <f>SUMIFS(data!$C:$C,data!$A:$A,"="&amp;xyz!$A81,data!$B:$B,"="&amp;xyz!AE$2)</f>
        <v>6</v>
      </c>
      <c r="AF81">
        <f>SUMIFS(data!$C:$C,data!$A:$A,"="&amp;xyz!$A81,data!$B:$B,"="&amp;xyz!AF$2)</f>
        <v>0</v>
      </c>
      <c r="AG81">
        <f>SUMIFS(data!$C:$C,data!$A:$A,"="&amp;xyz!$A81,data!$B:$B,"="&amp;xyz!AG$2)</f>
        <v>0</v>
      </c>
      <c r="AH81">
        <f>SUMIFS(data!$C:$C,data!$A:$A,"="&amp;xyz!$A81,data!$B:$B,"="&amp;xyz!AH$2)</f>
        <v>0</v>
      </c>
      <c r="AI81">
        <f>SUMIFS(data!$C:$C,data!$A:$A,"="&amp;xyz!$A81,data!$B:$B,"="&amp;xyz!AI$2)</f>
        <v>0</v>
      </c>
      <c r="AJ81">
        <f>SUMIFS(data!$C:$C,data!$A:$A,"="&amp;xyz!$A81,data!$B:$B,"="&amp;xyz!AJ$2)</f>
        <v>9</v>
      </c>
      <c r="AK81">
        <f>SUMIFS(data!$C:$C,data!$A:$A,"="&amp;xyz!$A81,data!$B:$B,"="&amp;xyz!AK$2)</f>
        <v>6</v>
      </c>
      <c r="AL81">
        <f>SUMIFS(data!$C:$C,data!$A:$A,"="&amp;xyz!$A81,data!$B:$B,"="&amp;xyz!AL$2)</f>
        <v>1</v>
      </c>
      <c r="AM81">
        <f>SUMIFS(data!$C:$C,data!$A:$A,"="&amp;xyz!$A81,data!$B:$B,"="&amp;xyz!AM$2)</f>
        <v>0</v>
      </c>
      <c r="AN81">
        <f>SUMIFS(data!$C:$C,data!$A:$A,"="&amp;xyz!$A81,data!$B:$B,"="&amp;xyz!AN$2)</f>
        <v>6</v>
      </c>
      <c r="AO81">
        <f>SUMIFS(data!$C:$C,data!$A:$A,"="&amp;xyz!$A81,data!$B:$B,"="&amp;xyz!AO$2)</f>
        <v>6</v>
      </c>
      <c r="AP81">
        <f>SUMIFS(data!$C:$C,data!$A:$A,"="&amp;xyz!$A81,data!$B:$B,"="&amp;xyz!AP$2)</f>
        <v>6</v>
      </c>
      <c r="AQ81" s="6">
        <f t="shared" si="4"/>
        <v>1.6992863103365017</v>
      </c>
    </row>
    <row r="82" spans="1:43" x14ac:dyDescent="0.3">
      <c r="A82" t="s">
        <v>92</v>
      </c>
      <c r="B82" s="6">
        <f t="shared" si="3"/>
        <v>0.90515463917525751</v>
      </c>
      <c r="C82">
        <f>SUMIFS(data!$C:$C,data!$A:$A,"="&amp;xyz!$A82,data!$B:$B,"="&amp;xyz!C$2)</f>
        <v>6</v>
      </c>
      <c r="D82">
        <f>SUMIFS(data!$C:$C,data!$A:$A,"="&amp;xyz!$A82,data!$B:$B,"="&amp;xyz!D$2)</f>
        <v>13</v>
      </c>
      <c r="E82">
        <f>SUMIFS(data!$C:$C,data!$A:$A,"="&amp;xyz!$A82,data!$B:$B,"="&amp;xyz!E$2)</f>
        <v>6</v>
      </c>
      <c r="F82">
        <f>SUMIFS(data!$C:$C,data!$A:$A,"="&amp;xyz!$A82,data!$B:$B,"="&amp;xyz!F$2)</f>
        <v>0</v>
      </c>
      <c r="G82">
        <f>SUMIFS(data!$C:$C,data!$A:$A,"="&amp;xyz!$A82,data!$B:$B,"="&amp;xyz!G$2)</f>
        <v>75</v>
      </c>
      <c r="H82">
        <f>SUMIFS(data!$C:$C,data!$A:$A,"="&amp;xyz!$A82,data!$B:$B,"="&amp;xyz!H$2)</f>
        <v>39</v>
      </c>
      <c r="I82">
        <f>SUMIFS(data!$C:$C,data!$A:$A,"="&amp;xyz!$A82,data!$B:$B,"="&amp;xyz!I$2)</f>
        <v>4</v>
      </c>
      <c r="J82">
        <f>SUMIFS(data!$C:$C,data!$A:$A,"="&amp;xyz!$A82,data!$B:$B,"="&amp;xyz!J$2)</f>
        <v>32</v>
      </c>
      <c r="K82">
        <f>SUMIFS(data!$C:$C,data!$A:$A,"="&amp;xyz!$A82,data!$B:$B,"="&amp;xyz!K$2)</f>
        <v>0</v>
      </c>
      <c r="L82">
        <f>SUMIFS(data!$C:$C,data!$A:$A,"="&amp;xyz!$A82,data!$B:$B,"="&amp;xyz!L$2)</f>
        <v>3</v>
      </c>
      <c r="M82">
        <f>SUMIFS(data!$C:$C,data!$A:$A,"="&amp;xyz!$A82,data!$B:$B,"="&amp;xyz!M$2)</f>
        <v>5</v>
      </c>
      <c r="N82">
        <f>SUMIFS(data!$C:$C,data!$A:$A,"="&amp;xyz!$A82,data!$B:$B,"="&amp;xyz!N$2)</f>
        <v>3</v>
      </c>
      <c r="O82">
        <f>SUMIFS(data!$C:$C,data!$A:$A,"="&amp;xyz!$A82,data!$B:$B,"="&amp;xyz!O$2)</f>
        <v>31</v>
      </c>
      <c r="P82">
        <f>SUMIFS(data!$C:$C,data!$A:$A,"="&amp;xyz!$A82,data!$B:$B,"="&amp;xyz!P$2)</f>
        <v>26</v>
      </c>
      <c r="Q82">
        <f>SUMIFS(data!$C:$C,data!$A:$A,"="&amp;xyz!$A82,data!$B:$B,"="&amp;xyz!Q$2)</f>
        <v>4</v>
      </c>
      <c r="R82">
        <f>SUMIFS(data!$C:$C,data!$A:$A,"="&amp;xyz!$A82,data!$B:$B,"="&amp;xyz!R$2)</f>
        <v>12</v>
      </c>
      <c r="S82">
        <f>SUMIFS(data!$C:$C,data!$A:$A,"="&amp;xyz!$A82,data!$B:$B,"="&amp;xyz!S$2)</f>
        <v>15</v>
      </c>
      <c r="T82">
        <f>SUMIFS(data!$C:$C,data!$A:$A,"="&amp;xyz!$A82,data!$B:$B,"="&amp;xyz!T$2)</f>
        <v>13</v>
      </c>
      <c r="U82">
        <f>SUMIFS(data!$C:$C,data!$A:$A,"="&amp;xyz!$A82,data!$B:$B,"="&amp;xyz!U$2)</f>
        <v>1</v>
      </c>
      <c r="V82">
        <f>SUMIFS(data!$C:$C,data!$A:$A,"="&amp;xyz!$A82,data!$B:$B,"="&amp;xyz!V$2)</f>
        <v>6</v>
      </c>
      <c r="W82">
        <f>SUMIFS(data!$C:$C,data!$A:$A,"="&amp;xyz!$A82,data!$B:$B,"="&amp;xyz!W$2)</f>
        <v>3</v>
      </c>
      <c r="X82">
        <f>SUMIFS(data!$C:$C,data!$A:$A,"="&amp;xyz!$A82,data!$B:$B,"="&amp;xyz!X$2)</f>
        <v>1</v>
      </c>
      <c r="Y82">
        <f>SUMIFS(data!$C:$C,data!$A:$A,"="&amp;xyz!$A82,data!$B:$B,"="&amp;xyz!Y$2)</f>
        <v>22</v>
      </c>
      <c r="Z82">
        <f>SUMIFS(data!$C:$C,data!$A:$A,"="&amp;xyz!$A82,data!$B:$B,"="&amp;xyz!Z$2)</f>
        <v>0</v>
      </c>
      <c r="AA82">
        <f>SUMIFS(data!$C:$C,data!$A:$A,"="&amp;xyz!$A82,data!$B:$B,"="&amp;xyz!AA$2)</f>
        <v>2</v>
      </c>
      <c r="AB82">
        <f>SUMIFS(data!$C:$C,data!$A:$A,"="&amp;xyz!$A82,data!$B:$B,"="&amp;xyz!AB$2)</f>
        <v>51</v>
      </c>
      <c r="AC82">
        <f>SUMIFS(data!$C:$C,data!$A:$A,"="&amp;xyz!$A82,data!$B:$B,"="&amp;xyz!AC$2)</f>
        <v>15</v>
      </c>
      <c r="AD82">
        <f>SUMIFS(data!$C:$C,data!$A:$A,"="&amp;xyz!$A82,data!$B:$B,"="&amp;xyz!AD$2)</f>
        <v>19</v>
      </c>
      <c r="AE82">
        <f>SUMIFS(data!$C:$C,data!$A:$A,"="&amp;xyz!$A82,data!$B:$B,"="&amp;xyz!AE$2)</f>
        <v>52</v>
      </c>
      <c r="AF82">
        <f>SUMIFS(data!$C:$C,data!$A:$A,"="&amp;xyz!$A82,data!$B:$B,"="&amp;xyz!AF$2)</f>
        <v>0</v>
      </c>
      <c r="AG82">
        <f>SUMIFS(data!$C:$C,data!$A:$A,"="&amp;xyz!$A82,data!$B:$B,"="&amp;xyz!AG$2)</f>
        <v>8</v>
      </c>
      <c r="AH82">
        <f>SUMIFS(data!$C:$C,data!$A:$A,"="&amp;xyz!$A82,data!$B:$B,"="&amp;xyz!AH$2)</f>
        <v>61</v>
      </c>
      <c r="AI82">
        <f>SUMIFS(data!$C:$C,data!$A:$A,"="&amp;xyz!$A82,data!$B:$B,"="&amp;xyz!AI$2)</f>
        <v>7</v>
      </c>
      <c r="AJ82">
        <f>SUMIFS(data!$C:$C,data!$A:$A,"="&amp;xyz!$A82,data!$B:$B,"="&amp;xyz!AJ$2)</f>
        <v>6</v>
      </c>
      <c r="AK82">
        <f>SUMIFS(data!$C:$C,data!$A:$A,"="&amp;xyz!$A82,data!$B:$B,"="&amp;xyz!AK$2)</f>
        <v>11</v>
      </c>
      <c r="AL82">
        <f>SUMIFS(data!$C:$C,data!$A:$A,"="&amp;xyz!$A82,data!$B:$B,"="&amp;xyz!AL$2)</f>
        <v>0</v>
      </c>
      <c r="AM82">
        <f>SUMIFS(data!$C:$C,data!$A:$A,"="&amp;xyz!$A82,data!$B:$B,"="&amp;xyz!AM$2)</f>
        <v>4</v>
      </c>
      <c r="AN82">
        <f>SUMIFS(data!$C:$C,data!$A:$A,"="&amp;xyz!$A82,data!$B:$B,"="&amp;xyz!AN$2)</f>
        <v>4</v>
      </c>
      <c r="AO82">
        <f>SUMIFS(data!$C:$C,data!$A:$A,"="&amp;xyz!$A82,data!$B:$B,"="&amp;xyz!AO$2)</f>
        <v>12</v>
      </c>
      <c r="AP82">
        <f>SUMIFS(data!$C:$C,data!$A:$A,"="&amp;xyz!$A82,data!$B:$B,"="&amp;xyz!AP$2)</f>
        <v>10</v>
      </c>
      <c r="AQ82" s="6">
        <f t="shared" si="4"/>
        <v>1.2492865994756921</v>
      </c>
    </row>
    <row r="83" spans="1:43" x14ac:dyDescent="0.3">
      <c r="A83" t="s">
        <v>82</v>
      </c>
      <c r="B83" s="6">
        <f t="shared" si="3"/>
        <v>1.1681818181818178</v>
      </c>
      <c r="C83">
        <f>SUMIFS(data!$C:$C,data!$A:$A,"="&amp;xyz!$A83,data!$B:$B,"="&amp;xyz!C$2)</f>
        <v>0</v>
      </c>
      <c r="D83">
        <f>SUMIFS(data!$C:$C,data!$A:$A,"="&amp;xyz!$A83,data!$B:$B,"="&amp;xyz!D$2)</f>
        <v>2</v>
      </c>
      <c r="E83">
        <f>SUMIFS(data!$C:$C,data!$A:$A,"="&amp;xyz!$A83,data!$B:$B,"="&amp;xyz!E$2)</f>
        <v>0</v>
      </c>
      <c r="F83">
        <f>SUMIFS(data!$C:$C,data!$A:$A,"="&amp;xyz!$A83,data!$B:$B,"="&amp;xyz!F$2)</f>
        <v>0</v>
      </c>
      <c r="G83">
        <f>SUMIFS(data!$C:$C,data!$A:$A,"="&amp;xyz!$A83,data!$B:$B,"="&amp;xyz!G$2)</f>
        <v>0</v>
      </c>
      <c r="H83">
        <f>SUMIFS(data!$C:$C,data!$A:$A,"="&amp;xyz!$A83,data!$B:$B,"="&amp;xyz!H$2)</f>
        <v>0</v>
      </c>
      <c r="I83">
        <f>SUMIFS(data!$C:$C,data!$A:$A,"="&amp;xyz!$A83,data!$B:$B,"="&amp;xyz!I$2)</f>
        <v>2</v>
      </c>
      <c r="J83">
        <f>SUMIFS(data!$C:$C,data!$A:$A,"="&amp;xyz!$A83,data!$B:$B,"="&amp;xyz!J$2)</f>
        <v>1</v>
      </c>
      <c r="K83">
        <f>SUMIFS(data!$C:$C,data!$A:$A,"="&amp;xyz!$A83,data!$B:$B,"="&amp;xyz!K$2)</f>
        <v>0</v>
      </c>
      <c r="L83">
        <f>SUMIFS(data!$C:$C,data!$A:$A,"="&amp;xyz!$A83,data!$B:$B,"="&amp;xyz!L$2)</f>
        <v>0</v>
      </c>
      <c r="M83">
        <f>SUMIFS(data!$C:$C,data!$A:$A,"="&amp;xyz!$A83,data!$B:$B,"="&amp;xyz!M$2)</f>
        <v>0</v>
      </c>
      <c r="N83">
        <f>SUMIFS(data!$C:$C,data!$A:$A,"="&amp;xyz!$A83,data!$B:$B,"="&amp;xyz!N$2)</f>
        <v>0</v>
      </c>
      <c r="O83">
        <f>SUMIFS(data!$C:$C,data!$A:$A,"="&amp;xyz!$A83,data!$B:$B,"="&amp;xyz!O$2)</f>
        <v>0</v>
      </c>
      <c r="P83">
        <f>SUMIFS(data!$C:$C,data!$A:$A,"="&amp;xyz!$A83,data!$B:$B,"="&amp;xyz!P$2)</f>
        <v>6</v>
      </c>
      <c r="Q83">
        <f>SUMIFS(data!$C:$C,data!$A:$A,"="&amp;xyz!$A83,data!$B:$B,"="&amp;xyz!Q$2)</f>
        <v>5</v>
      </c>
      <c r="R83">
        <f>SUMIFS(data!$C:$C,data!$A:$A,"="&amp;xyz!$A83,data!$B:$B,"="&amp;xyz!R$2)</f>
        <v>1</v>
      </c>
      <c r="S83">
        <f>SUMIFS(data!$C:$C,data!$A:$A,"="&amp;xyz!$A83,data!$B:$B,"="&amp;xyz!S$2)</f>
        <v>1</v>
      </c>
      <c r="T83">
        <f>SUMIFS(data!$C:$C,data!$A:$A,"="&amp;xyz!$A83,data!$B:$B,"="&amp;xyz!T$2)</f>
        <v>5</v>
      </c>
      <c r="U83">
        <f>SUMIFS(data!$C:$C,data!$A:$A,"="&amp;xyz!$A83,data!$B:$B,"="&amp;xyz!U$2)</f>
        <v>0</v>
      </c>
      <c r="V83">
        <f>SUMIFS(data!$C:$C,data!$A:$A,"="&amp;xyz!$A83,data!$B:$B,"="&amp;xyz!V$2)</f>
        <v>1</v>
      </c>
      <c r="W83">
        <f>SUMIFS(data!$C:$C,data!$A:$A,"="&amp;xyz!$A83,data!$B:$B,"="&amp;xyz!W$2)</f>
        <v>1</v>
      </c>
      <c r="X83">
        <f>SUMIFS(data!$C:$C,data!$A:$A,"="&amp;xyz!$A83,data!$B:$B,"="&amp;xyz!X$2)</f>
        <v>0</v>
      </c>
      <c r="Y83">
        <f>SUMIFS(data!$C:$C,data!$A:$A,"="&amp;xyz!$A83,data!$B:$B,"="&amp;xyz!Y$2)</f>
        <v>0</v>
      </c>
      <c r="Z83">
        <f>SUMIFS(data!$C:$C,data!$A:$A,"="&amp;xyz!$A83,data!$B:$B,"="&amp;xyz!Z$2)</f>
        <v>0</v>
      </c>
      <c r="AA83">
        <f>SUMIFS(data!$C:$C,data!$A:$A,"="&amp;xyz!$A83,data!$B:$B,"="&amp;xyz!AA$2)</f>
        <v>0</v>
      </c>
      <c r="AB83">
        <f>SUMIFS(data!$C:$C,data!$A:$A,"="&amp;xyz!$A83,data!$B:$B,"="&amp;xyz!AB$2)</f>
        <v>2</v>
      </c>
      <c r="AC83">
        <f>SUMIFS(data!$C:$C,data!$A:$A,"="&amp;xyz!$A83,data!$B:$B,"="&amp;xyz!AC$2)</f>
        <v>1</v>
      </c>
      <c r="AD83">
        <f>SUMIFS(data!$C:$C,data!$A:$A,"="&amp;xyz!$A83,data!$B:$B,"="&amp;xyz!AD$2)</f>
        <v>0</v>
      </c>
      <c r="AE83">
        <f>SUMIFS(data!$C:$C,data!$A:$A,"="&amp;xyz!$A83,data!$B:$B,"="&amp;xyz!AE$2)</f>
        <v>0</v>
      </c>
      <c r="AF83">
        <f>SUMIFS(data!$C:$C,data!$A:$A,"="&amp;xyz!$A83,data!$B:$B,"="&amp;xyz!AF$2)</f>
        <v>2</v>
      </c>
      <c r="AG83">
        <f>SUMIFS(data!$C:$C,data!$A:$A,"="&amp;xyz!$A83,data!$B:$B,"="&amp;xyz!AG$2)</f>
        <v>0</v>
      </c>
      <c r="AH83">
        <f>SUMIFS(data!$C:$C,data!$A:$A,"="&amp;xyz!$A83,data!$B:$B,"="&amp;xyz!AH$2)</f>
        <v>2</v>
      </c>
      <c r="AI83">
        <f>SUMIFS(data!$C:$C,data!$A:$A,"="&amp;xyz!$A83,data!$B:$B,"="&amp;xyz!AI$2)</f>
        <v>0</v>
      </c>
      <c r="AJ83">
        <f>SUMIFS(data!$C:$C,data!$A:$A,"="&amp;xyz!$A83,data!$B:$B,"="&amp;xyz!AJ$2)</f>
        <v>8</v>
      </c>
      <c r="AK83">
        <f>SUMIFS(data!$C:$C,data!$A:$A,"="&amp;xyz!$A83,data!$B:$B,"="&amp;xyz!AK$2)</f>
        <v>6</v>
      </c>
      <c r="AL83">
        <f>SUMIFS(data!$C:$C,data!$A:$A,"="&amp;xyz!$A83,data!$B:$B,"="&amp;xyz!AL$2)</f>
        <v>0</v>
      </c>
      <c r="AM83">
        <f>SUMIFS(data!$C:$C,data!$A:$A,"="&amp;xyz!$A83,data!$B:$B,"="&amp;xyz!AM$2)</f>
        <v>0</v>
      </c>
      <c r="AN83">
        <f>SUMIFS(data!$C:$C,data!$A:$A,"="&amp;xyz!$A83,data!$B:$B,"="&amp;xyz!AN$2)</f>
        <v>6</v>
      </c>
      <c r="AO83">
        <f>SUMIFS(data!$C:$C,data!$A:$A,"="&amp;xyz!$A83,data!$B:$B,"="&amp;xyz!AO$2)</f>
        <v>7</v>
      </c>
      <c r="AP83">
        <f>SUMIFS(data!$C:$C,data!$A:$A,"="&amp;xyz!$A83,data!$B:$B,"="&amp;xyz!AP$2)</f>
        <v>7</v>
      </c>
      <c r="AQ83" s="6">
        <f t="shared" si="4"/>
        <v>1.4943403702450293</v>
      </c>
    </row>
    <row r="84" spans="1:43" x14ac:dyDescent="0.3">
      <c r="A84" t="s">
        <v>130</v>
      </c>
      <c r="B84" s="6">
        <f t="shared" si="3"/>
        <v>1.3346153846153848</v>
      </c>
      <c r="C84">
        <f>SUMIFS(data!$C:$C,data!$A:$A,"="&amp;xyz!$A84,data!$B:$B,"="&amp;xyz!C$2)</f>
        <v>0</v>
      </c>
      <c r="D84">
        <f>SUMIFS(data!$C:$C,data!$A:$A,"="&amp;xyz!$A84,data!$B:$B,"="&amp;xyz!D$2)</f>
        <v>9</v>
      </c>
      <c r="E84">
        <f>SUMIFS(data!$C:$C,data!$A:$A,"="&amp;xyz!$A84,data!$B:$B,"="&amp;xyz!E$2)</f>
        <v>0</v>
      </c>
      <c r="F84">
        <f>SUMIFS(data!$C:$C,data!$A:$A,"="&amp;xyz!$A84,data!$B:$B,"="&amp;xyz!F$2)</f>
        <v>0</v>
      </c>
      <c r="G84">
        <f>SUMIFS(data!$C:$C,data!$A:$A,"="&amp;xyz!$A84,data!$B:$B,"="&amp;xyz!G$2)</f>
        <v>0</v>
      </c>
      <c r="H84">
        <f>SUMIFS(data!$C:$C,data!$A:$A,"="&amp;xyz!$A84,data!$B:$B,"="&amp;xyz!H$2)</f>
        <v>0</v>
      </c>
      <c r="I84">
        <f>SUMIFS(data!$C:$C,data!$A:$A,"="&amp;xyz!$A84,data!$B:$B,"="&amp;xyz!I$2)</f>
        <v>0</v>
      </c>
      <c r="J84">
        <f>SUMIFS(data!$C:$C,data!$A:$A,"="&amp;xyz!$A84,data!$B:$B,"="&amp;xyz!J$2)</f>
        <v>13</v>
      </c>
      <c r="K84">
        <f>SUMIFS(data!$C:$C,data!$A:$A,"="&amp;xyz!$A84,data!$B:$B,"="&amp;xyz!K$2)</f>
        <v>0</v>
      </c>
      <c r="L84">
        <f>SUMIFS(data!$C:$C,data!$A:$A,"="&amp;xyz!$A84,data!$B:$B,"="&amp;xyz!L$2)</f>
        <v>6</v>
      </c>
      <c r="M84">
        <f>SUMIFS(data!$C:$C,data!$A:$A,"="&amp;xyz!$A84,data!$B:$B,"="&amp;xyz!M$2)</f>
        <v>3</v>
      </c>
      <c r="N84">
        <f>SUMIFS(data!$C:$C,data!$A:$A,"="&amp;xyz!$A84,data!$B:$B,"="&amp;xyz!N$2)</f>
        <v>0</v>
      </c>
      <c r="O84">
        <f>SUMIFS(data!$C:$C,data!$A:$A,"="&amp;xyz!$A84,data!$B:$B,"="&amp;xyz!O$2)</f>
        <v>1</v>
      </c>
      <c r="P84">
        <f>SUMIFS(data!$C:$C,data!$A:$A,"="&amp;xyz!$A84,data!$B:$B,"="&amp;xyz!P$2)</f>
        <v>3</v>
      </c>
      <c r="Q84">
        <f>SUMIFS(data!$C:$C,data!$A:$A,"="&amp;xyz!$A84,data!$B:$B,"="&amp;xyz!Q$2)</f>
        <v>0</v>
      </c>
      <c r="R84">
        <f>SUMIFS(data!$C:$C,data!$A:$A,"="&amp;xyz!$A84,data!$B:$B,"="&amp;xyz!R$2)</f>
        <v>0</v>
      </c>
      <c r="S84">
        <f>SUMIFS(data!$C:$C,data!$A:$A,"="&amp;xyz!$A84,data!$B:$B,"="&amp;xyz!S$2)</f>
        <v>1</v>
      </c>
      <c r="T84">
        <f>SUMIFS(data!$C:$C,data!$A:$A,"="&amp;xyz!$A84,data!$B:$B,"="&amp;xyz!T$2)</f>
        <v>0</v>
      </c>
      <c r="U84">
        <f>SUMIFS(data!$C:$C,data!$A:$A,"="&amp;xyz!$A84,data!$B:$B,"="&amp;xyz!U$2)</f>
        <v>6</v>
      </c>
      <c r="V84">
        <f>SUMIFS(data!$C:$C,data!$A:$A,"="&amp;xyz!$A84,data!$B:$B,"="&amp;xyz!V$2)</f>
        <v>0</v>
      </c>
      <c r="W84">
        <f>SUMIFS(data!$C:$C,data!$A:$A,"="&amp;xyz!$A84,data!$B:$B,"="&amp;xyz!W$2)</f>
        <v>1</v>
      </c>
      <c r="X84">
        <f>SUMIFS(data!$C:$C,data!$A:$A,"="&amp;xyz!$A84,data!$B:$B,"="&amp;xyz!X$2)</f>
        <v>1</v>
      </c>
      <c r="Y84">
        <f>SUMIFS(data!$C:$C,data!$A:$A,"="&amp;xyz!$A84,data!$B:$B,"="&amp;xyz!Y$2)</f>
        <v>0</v>
      </c>
      <c r="Z84">
        <f>SUMIFS(data!$C:$C,data!$A:$A,"="&amp;xyz!$A84,data!$B:$B,"="&amp;xyz!Z$2)</f>
        <v>0</v>
      </c>
      <c r="AA84">
        <f>SUMIFS(data!$C:$C,data!$A:$A,"="&amp;xyz!$A84,data!$B:$B,"="&amp;xyz!AA$2)</f>
        <v>8</v>
      </c>
      <c r="AB84">
        <f>SUMIFS(data!$C:$C,data!$A:$A,"="&amp;xyz!$A84,data!$B:$B,"="&amp;xyz!AB$2)</f>
        <v>2</v>
      </c>
      <c r="AC84">
        <f>SUMIFS(data!$C:$C,data!$A:$A,"="&amp;xyz!$A84,data!$B:$B,"="&amp;xyz!AC$2)</f>
        <v>0</v>
      </c>
      <c r="AD84">
        <f>SUMIFS(data!$C:$C,data!$A:$A,"="&amp;xyz!$A84,data!$B:$B,"="&amp;xyz!AD$2)</f>
        <v>0</v>
      </c>
      <c r="AE84">
        <f>SUMIFS(data!$C:$C,data!$A:$A,"="&amp;xyz!$A84,data!$B:$B,"="&amp;xyz!AE$2)</f>
        <v>0</v>
      </c>
      <c r="AF84">
        <f>SUMIFS(data!$C:$C,data!$A:$A,"="&amp;xyz!$A84,data!$B:$B,"="&amp;xyz!AF$2)</f>
        <v>0</v>
      </c>
      <c r="AG84">
        <f>SUMIFS(data!$C:$C,data!$A:$A,"="&amp;xyz!$A84,data!$B:$B,"="&amp;xyz!AG$2)</f>
        <v>0</v>
      </c>
      <c r="AH84">
        <f>SUMIFS(data!$C:$C,data!$A:$A,"="&amp;xyz!$A84,data!$B:$B,"="&amp;xyz!AH$2)</f>
        <v>0</v>
      </c>
      <c r="AI84">
        <f>SUMIFS(data!$C:$C,data!$A:$A,"="&amp;xyz!$A84,data!$B:$B,"="&amp;xyz!AI$2)</f>
        <v>0</v>
      </c>
      <c r="AJ84">
        <f>SUMIFS(data!$C:$C,data!$A:$A,"="&amp;xyz!$A84,data!$B:$B,"="&amp;xyz!AJ$2)</f>
        <v>0</v>
      </c>
      <c r="AK84">
        <f>SUMIFS(data!$C:$C,data!$A:$A,"="&amp;xyz!$A84,data!$B:$B,"="&amp;xyz!AK$2)</f>
        <v>1</v>
      </c>
      <c r="AL84">
        <f>SUMIFS(data!$C:$C,data!$A:$A,"="&amp;xyz!$A84,data!$B:$B,"="&amp;xyz!AL$2)</f>
        <v>8</v>
      </c>
      <c r="AM84">
        <f>SUMIFS(data!$C:$C,data!$A:$A,"="&amp;xyz!$A84,data!$B:$B,"="&amp;xyz!AM$2)</f>
        <v>0</v>
      </c>
      <c r="AN84">
        <f>SUMIFS(data!$C:$C,data!$A:$A,"="&amp;xyz!$A84,data!$B:$B,"="&amp;xyz!AN$2)</f>
        <v>1</v>
      </c>
      <c r="AO84">
        <f>SUMIFS(data!$C:$C,data!$A:$A,"="&amp;xyz!$A84,data!$B:$B,"="&amp;xyz!AO$2)</f>
        <v>1</v>
      </c>
      <c r="AP84">
        <f>SUMIFS(data!$C:$C,data!$A:$A,"="&amp;xyz!$A84,data!$B:$B,"="&amp;xyz!AP$2)</f>
        <v>0</v>
      </c>
      <c r="AQ84" s="6">
        <f t="shared" si="4"/>
        <v>1.9040877060718335</v>
      </c>
    </row>
    <row r="85" spans="1:43" x14ac:dyDescent="0.3">
      <c r="A85" t="s">
        <v>106</v>
      </c>
      <c r="B85" s="6">
        <f t="shared" si="3"/>
        <v>0.62032967032967035</v>
      </c>
      <c r="C85">
        <f>SUMIFS(data!$C:$C,data!$A:$A,"="&amp;xyz!$A85,data!$B:$B,"="&amp;xyz!C$2)</f>
        <v>2</v>
      </c>
      <c r="D85">
        <f>SUMIFS(data!$C:$C,data!$A:$A,"="&amp;xyz!$A85,data!$B:$B,"="&amp;xyz!D$2)</f>
        <v>2</v>
      </c>
      <c r="E85">
        <f>SUMIFS(data!$C:$C,data!$A:$A,"="&amp;xyz!$A85,data!$B:$B,"="&amp;xyz!E$2)</f>
        <v>1</v>
      </c>
      <c r="F85">
        <f>SUMIFS(data!$C:$C,data!$A:$A,"="&amp;xyz!$A85,data!$B:$B,"="&amp;xyz!F$2)</f>
        <v>2</v>
      </c>
      <c r="G85">
        <f>SUMIFS(data!$C:$C,data!$A:$A,"="&amp;xyz!$A85,data!$B:$B,"="&amp;xyz!G$2)</f>
        <v>3</v>
      </c>
      <c r="H85">
        <f>SUMIFS(data!$C:$C,data!$A:$A,"="&amp;xyz!$A85,data!$B:$B,"="&amp;xyz!H$2)</f>
        <v>0</v>
      </c>
      <c r="I85">
        <f>SUMIFS(data!$C:$C,data!$A:$A,"="&amp;xyz!$A85,data!$B:$B,"="&amp;xyz!I$2)</f>
        <v>2</v>
      </c>
      <c r="J85">
        <f>SUMIFS(data!$C:$C,data!$A:$A,"="&amp;xyz!$A85,data!$B:$B,"="&amp;xyz!J$2)</f>
        <v>1</v>
      </c>
      <c r="K85">
        <f>SUMIFS(data!$C:$C,data!$A:$A,"="&amp;xyz!$A85,data!$B:$B,"="&amp;xyz!K$2)</f>
        <v>0</v>
      </c>
      <c r="L85">
        <f>SUMIFS(data!$C:$C,data!$A:$A,"="&amp;xyz!$A85,data!$B:$B,"="&amp;xyz!L$2)</f>
        <v>3</v>
      </c>
      <c r="M85">
        <f>SUMIFS(data!$C:$C,data!$A:$A,"="&amp;xyz!$A85,data!$B:$B,"="&amp;xyz!M$2)</f>
        <v>3</v>
      </c>
      <c r="N85">
        <f>SUMIFS(data!$C:$C,data!$A:$A,"="&amp;xyz!$A85,data!$B:$B,"="&amp;xyz!N$2)</f>
        <v>1</v>
      </c>
      <c r="O85">
        <f>SUMIFS(data!$C:$C,data!$A:$A,"="&amp;xyz!$A85,data!$B:$B,"="&amp;xyz!O$2)</f>
        <v>0</v>
      </c>
      <c r="P85">
        <f>SUMIFS(data!$C:$C,data!$A:$A,"="&amp;xyz!$A85,data!$B:$B,"="&amp;xyz!P$2)</f>
        <v>1</v>
      </c>
      <c r="Q85">
        <f>SUMIFS(data!$C:$C,data!$A:$A,"="&amp;xyz!$A85,data!$B:$B,"="&amp;xyz!Q$2)</f>
        <v>0</v>
      </c>
      <c r="R85">
        <f>SUMIFS(data!$C:$C,data!$A:$A,"="&amp;xyz!$A85,data!$B:$B,"="&amp;xyz!R$2)</f>
        <v>3</v>
      </c>
      <c r="S85">
        <f>SUMIFS(data!$C:$C,data!$A:$A,"="&amp;xyz!$A85,data!$B:$B,"="&amp;xyz!S$2)</f>
        <v>3</v>
      </c>
      <c r="T85">
        <f>SUMIFS(data!$C:$C,data!$A:$A,"="&amp;xyz!$A85,data!$B:$B,"="&amp;xyz!T$2)</f>
        <v>5</v>
      </c>
      <c r="U85">
        <f>SUMIFS(data!$C:$C,data!$A:$A,"="&amp;xyz!$A85,data!$B:$B,"="&amp;xyz!U$2)</f>
        <v>1</v>
      </c>
      <c r="V85">
        <f>SUMIFS(data!$C:$C,data!$A:$A,"="&amp;xyz!$A85,data!$B:$B,"="&amp;xyz!V$2)</f>
        <v>1</v>
      </c>
      <c r="W85">
        <f>SUMIFS(data!$C:$C,data!$A:$A,"="&amp;xyz!$A85,data!$B:$B,"="&amp;xyz!W$2)</f>
        <v>2</v>
      </c>
      <c r="X85">
        <f>SUMIFS(data!$C:$C,data!$A:$A,"="&amp;xyz!$A85,data!$B:$B,"="&amp;xyz!X$2)</f>
        <v>1</v>
      </c>
      <c r="Y85">
        <f>SUMIFS(data!$C:$C,data!$A:$A,"="&amp;xyz!$A85,data!$B:$B,"="&amp;xyz!Y$2)</f>
        <v>0</v>
      </c>
      <c r="Z85">
        <f>SUMIFS(data!$C:$C,data!$A:$A,"="&amp;xyz!$A85,data!$B:$B,"="&amp;xyz!Z$2)</f>
        <v>2</v>
      </c>
      <c r="AA85">
        <f>SUMIFS(data!$C:$C,data!$A:$A,"="&amp;xyz!$A85,data!$B:$B,"="&amp;xyz!AA$2)</f>
        <v>1</v>
      </c>
      <c r="AB85">
        <f>SUMIFS(data!$C:$C,data!$A:$A,"="&amp;xyz!$A85,data!$B:$B,"="&amp;xyz!AB$2)</f>
        <v>2</v>
      </c>
      <c r="AC85">
        <f>SUMIFS(data!$C:$C,data!$A:$A,"="&amp;xyz!$A85,data!$B:$B,"="&amp;xyz!AC$2)</f>
        <v>0</v>
      </c>
      <c r="AD85">
        <f>SUMIFS(data!$C:$C,data!$A:$A,"="&amp;xyz!$A85,data!$B:$B,"="&amp;xyz!AD$2)</f>
        <v>3</v>
      </c>
      <c r="AE85">
        <f>SUMIFS(data!$C:$C,data!$A:$A,"="&amp;xyz!$A85,data!$B:$B,"="&amp;xyz!AE$2)</f>
        <v>1</v>
      </c>
      <c r="AF85">
        <f>SUMIFS(data!$C:$C,data!$A:$A,"="&amp;xyz!$A85,data!$B:$B,"="&amp;xyz!AF$2)</f>
        <v>2</v>
      </c>
      <c r="AG85">
        <f>SUMIFS(data!$C:$C,data!$A:$A,"="&amp;xyz!$A85,data!$B:$B,"="&amp;xyz!AG$2)</f>
        <v>0</v>
      </c>
      <c r="AH85">
        <f>SUMIFS(data!$C:$C,data!$A:$A,"="&amp;xyz!$A85,data!$B:$B,"="&amp;xyz!AH$2)</f>
        <v>4</v>
      </c>
      <c r="AI85">
        <f>SUMIFS(data!$C:$C,data!$A:$A,"="&amp;xyz!$A85,data!$B:$B,"="&amp;xyz!AI$2)</f>
        <v>1</v>
      </c>
      <c r="AJ85">
        <f>SUMIFS(data!$C:$C,data!$A:$A,"="&amp;xyz!$A85,data!$B:$B,"="&amp;xyz!AJ$2)</f>
        <v>1</v>
      </c>
      <c r="AK85">
        <f>SUMIFS(data!$C:$C,data!$A:$A,"="&amp;xyz!$A85,data!$B:$B,"="&amp;xyz!AK$2)</f>
        <v>1</v>
      </c>
      <c r="AL85">
        <f>SUMIFS(data!$C:$C,data!$A:$A,"="&amp;xyz!$A85,data!$B:$B,"="&amp;xyz!AL$2)</f>
        <v>2</v>
      </c>
      <c r="AM85">
        <f>SUMIFS(data!$C:$C,data!$A:$A,"="&amp;xyz!$A85,data!$B:$B,"="&amp;xyz!AM$2)</f>
        <v>5</v>
      </c>
      <c r="AN85">
        <f>SUMIFS(data!$C:$C,data!$A:$A,"="&amp;xyz!$A85,data!$B:$B,"="&amp;xyz!AN$2)</f>
        <v>2</v>
      </c>
      <c r="AO85">
        <f>SUMIFS(data!$C:$C,data!$A:$A,"="&amp;xyz!$A85,data!$B:$B,"="&amp;xyz!AO$2)</f>
        <v>4.8</v>
      </c>
      <c r="AP85">
        <f>SUMIFS(data!$C:$C,data!$A:$A,"="&amp;xyz!$A85,data!$B:$B,"="&amp;xyz!AP$2)</f>
        <v>4</v>
      </c>
      <c r="AQ85" s="6">
        <f t="shared" si="4"/>
        <v>0.77974539013049293</v>
      </c>
    </row>
    <row r="86" spans="1:43" x14ac:dyDescent="0.3">
      <c r="A86" t="s">
        <v>145</v>
      </c>
      <c r="B86" s="6">
        <f t="shared" si="3"/>
        <v>1.2180851063829785</v>
      </c>
      <c r="C86">
        <f>SUMIFS(data!$C:$C,data!$A:$A,"="&amp;xyz!$A86,data!$B:$B,"="&amp;xyz!C$2)</f>
        <v>0</v>
      </c>
      <c r="D86">
        <f>SUMIFS(data!$C:$C,data!$A:$A,"="&amp;xyz!$A86,data!$B:$B,"="&amp;xyz!D$2)</f>
        <v>0</v>
      </c>
      <c r="E86">
        <f>SUMIFS(data!$C:$C,data!$A:$A,"="&amp;xyz!$A86,data!$B:$B,"="&amp;xyz!E$2)</f>
        <v>4</v>
      </c>
      <c r="F86">
        <f>SUMIFS(data!$C:$C,data!$A:$A,"="&amp;xyz!$A86,data!$B:$B,"="&amp;xyz!F$2)</f>
        <v>0</v>
      </c>
      <c r="G86">
        <f>SUMIFS(data!$C:$C,data!$A:$A,"="&amp;xyz!$A86,data!$B:$B,"="&amp;xyz!G$2)</f>
        <v>2</v>
      </c>
      <c r="H86">
        <f>SUMIFS(data!$C:$C,data!$A:$A,"="&amp;xyz!$A86,data!$B:$B,"="&amp;xyz!H$2)</f>
        <v>2</v>
      </c>
      <c r="I86">
        <f>SUMIFS(data!$C:$C,data!$A:$A,"="&amp;xyz!$A86,data!$B:$B,"="&amp;xyz!I$2)</f>
        <v>1</v>
      </c>
      <c r="J86">
        <f>SUMIFS(data!$C:$C,data!$A:$A,"="&amp;xyz!$A86,data!$B:$B,"="&amp;xyz!J$2)</f>
        <v>1</v>
      </c>
      <c r="K86">
        <f>SUMIFS(data!$C:$C,data!$A:$A,"="&amp;xyz!$A86,data!$B:$B,"="&amp;xyz!K$2)</f>
        <v>0</v>
      </c>
      <c r="L86">
        <f>SUMIFS(data!$C:$C,data!$A:$A,"="&amp;xyz!$A86,data!$B:$B,"="&amp;xyz!L$2)</f>
        <v>2</v>
      </c>
      <c r="M86">
        <f>SUMIFS(data!$C:$C,data!$A:$A,"="&amp;xyz!$A86,data!$B:$B,"="&amp;xyz!M$2)</f>
        <v>2</v>
      </c>
      <c r="N86">
        <f>SUMIFS(data!$C:$C,data!$A:$A,"="&amp;xyz!$A86,data!$B:$B,"="&amp;xyz!N$2)</f>
        <v>0</v>
      </c>
      <c r="O86">
        <f>SUMIFS(data!$C:$C,data!$A:$A,"="&amp;xyz!$A86,data!$B:$B,"="&amp;xyz!O$2)</f>
        <v>2</v>
      </c>
      <c r="P86">
        <f>SUMIFS(data!$C:$C,data!$A:$A,"="&amp;xyz!$A86,data!$B:$B,"="&amp;xyz!P$2)</f>
        <v>2</v>
      </c>
      <c r="Q86">
        <f>SUMIFS(data!$C:$C,data!$A:$A,"="&amp;xyz!$A86,data!$B:$B,"="&amp;xyz!Q$2)</f>
        <v>0</v>
      </c>
      <c r="R86">
        <f>SUMIFS(data!$C:$C,data!$A:$A,"="&amp;xyz!$A86,data!$B:$B,"="&amp;xyz!R$2)</f>
        <v>1</v>
      </c>
      <c r="S86">
        <f>SUMIFS(data!$C:$C,data!$A:$A,"="&amp;xyz!$A86,data!$B:$B,"="&amp;xyz!S$2)</f>
        <v>7</v>
      </c>
      <c r="T86">
        <f>SUMIFS(data!$C:$C,data!$A:$A,"="&amp;xyz!$A86,data!$B:$B,"="&amp;xyz!T$2)</f>
        <v>1</v>
      </c>
      <c r="U86">
        <f>SUMIFS(data!$C:$C,data!$A:$A,"="&amp;xyz!$A86,data!$B:$B,"="&amp;xyz!U$2)</f>
        <v>0</v>
      </c>
      <c r="V86">
        <f>SUMIFS(data!$C:$C,data!$A:$A,"="&amp;xyz!$A86,data!$B:$B,"="&amp;xyz!V$2)</f>
        <v>0</v>
      </c>
      <c r="W86">
        <f>SUMIFS(data!$C:$C,data!$A:$A,"="&amp;xyz!$A86,data!$B:$B,"="&amp;xyz!W$2)</f>
        <v>1</v>
      </c>
      <c r="X86">
        <f>SUMIFS(data!$C:$C,data!$A:$A,"="&amp;xyz!$A86,data!$B:$B,"="&amp;xyz!X$2)</f>
        <v>0</v>
      </c>
      <c r="Y86">
        <f>SUMIFS(data!$C:$C,data!$A:$A,"="&amp;xyz!$A86,data!$B:$B,"="&amp;xyz!Y$2)</f>
        <v>0</v>
      </c>
      <c r="Z86">
        <f>SUMIFS(data!$C:$C,data!$A:$A,"="&amp;xyz!$A86,data!$B:$B,"="&amp;xyz!Z$2)</f>
        <v>2</v>
      </c>
      <c r="AA86">
        <f>SUMIFS(data!$C:$C,data!$A:$A,"="&amp;xyz!$A86,data!$B:$B,"="&amp;xyz!AA$2)</f>
        <v>0</v>
      </c>
      <c r="AB86">
        <f>SUMIFS(data!$C:$C,data!$A:$A,"="&amp;xyz!$A86,data!$B:$B,"="&amp;xyz!AB$2)</f>
        <v>0</v>
      </c>
      <c r="AC86">
        <f>SUMIFS(data!$C:$C,data!$A:$A,"="&amp;xyz!$A86,data!$B:$B,"="&amp;xyz!AC$2)</f>
        <v>2</v>
      </c>
      <c r="AD86">
        <f>SUMIFS(data!$C:$C,data!$A:$A,"="&amp;xyz!$A86,data!$B:$B,"="&amp;xyz!AD$2)</f>
        <v>0</v>
      </c>
      <c r="AE86">
        <f>SUMIFS(data!$C:$C,data!$A:$A,"="&amp;xyz!$A86,data!$B:$B,"="&amp;xyz!AE$2)</f>
        <v>0</v>
      </c>
      <c r="AF86">
        <f>SUMIFS(data!$C:$C,data!$A:$A,"="&amp;xyz!$A86,data!$B:$B,"="&amp;xyz!AF$2)</f>
        <v>1</v>
      </c>
      <c r="AG86">
        <f>SUMIFS(data!$C:$C,data!$A:$A,"="&amp;xyz!$A86,data!$B:$B,"="&amp;xyz!AG$2)</f>
        <v>50</v>
      </c>
      <c r="AH86">
        <f>SUMIFS(data!$C:$C,data!$A:$A,"="&amp;xyz!$A86,data!$B:$B,"="&amp;xyz!AH$2)</f>
        <v>0</v>
      </c>
      <c r="AI86">
        <f>SUMIFS(data!$C:$C,data!$A:$A,"="&amp;xyz!$A86,data!$B:$B,"="&amp;xyz!AI$2)</f>
        <v>1</v>
      </c>
      <c r="AJ86">
        <f>SUMIFS(data!$C:$C,data!$A:$A,"="&amp;xyz!$A86,data!$B:$B,"="&amp;xyz!AJ$2)</f>
        <v>5</v>
      </c>
      <c r="AK86">
        <f>SUMIFS(data!$C:$C,data!$A:$A,"="&amp;xyz!$A86,data!$B:$B,"="&amp;xyz!AK$2)</f>
        <v>0</v>
      </c>
      <c r="AL86">
        <f>SUMIFS(data!$C:$C,data!$A:$A,"="&amp;xyz!$A86,data!$B:$B,"="&amp;xyz!AL$2)</f>
        <v>1</v>
      </c>
      <c r="AM86">
        <f>SUMIFS(data!$C:$C,data!$A:$A,"="&amp;xyz!$A86,data!$B:$B,"="&amp;xyz!AM$2)</f>
        <v>1</v>
      </c>
      <c r="AN86">
        <f>SUMIFS(data!$C:$C,data!$A:$A,"="&amp;xyz!$A86,data!$B:$B,"="&amp;xyz!AN$2)</f>
        <v>3</v>
      </c>
      <c r="AO86">
        <f>SUMIFS(data!$C:$C,data!$A:$A,"="&amp;xyz!$A86,data!$B:$B,"="&amp;xyz!AO$2)</f>
        <v>0</v>
      </c>
      <c r="AP86">
        <f>SUMIFS(data!$C:$C,data!$A:$A,"="&amp;xyz!$A86,data!$B:$B,"="&amp;xyz!AP$2)</f>
        <v>0</v>
      </c>
      <c r="AQ86" s="6">
        <f t="shared" si="4"/>
        <v>3.3514037011897857</v>
      </c>
    </row>
    <row r="87" spans="1:43" x14ac:dyDescent="0.3">
      <c r="A87" t="s">
        <v>49</v>
      </c>
      <c r="B87" s="6">
        <f t="shared" si="3"/>
        <v>0.63858267716535422</v>
      </c>
      <c r="C87">
        <f>SUMIFS(data!$C:$C,data!$A:$A,"="&amp;xyz!$A87,data!$B:$B,"="&amp;xyz!C$2)</f>
        <v>4</v>
      </c>
      <c r="D87">
        <f>SUMIFS(data!$C:$C,data!$A:$A,"="&amp;xyz!$A87,data!$B:$B,"="&amp;xyz!D$2)</f>
        <v>0</v>
      </c>
      <c r="E87">
        <f>SUMIFS(data!$C:$C,data!$A:$A,"="&amp;xyz!$A87,data!$B:$B,"="&amp;xyz!E$2)</f>
        <v>3</v>
      </c>
      <c r="F87">
        <f>SUMIFS(data!$C:$C,data!$A:$A,"="&amp;xyz!$A87,data!$B:$B,"="&amp;xyz!F$2)</f>
        <v>5</v>
      </c>
      <c r="G87">
        <f>SUMIFS(data!$C:$C,data!$A:$A,"="&amp;xyz!$A87,data!$B:$B,"="&amp;xyz!G$2)</f>
        <v>4</v>
      </c>
      <c r="H87">
        <f>SUMIFS(data!$C:$C,data!$A:$A,"="&amp;xyz!$A87,data!$B:$B,"="&amp;xyz!H$2)</f>
        <v>0</v>
      </c>
      <c r="I87">
        <f>SUMIFS(data!$C:$C,data!$A:$A,"="&amp;xyz!$A87,data!$B:$B,"="&amp;xyz!I$2)</f>
        <v>0</v>
      </c>
      <c r="J87">
        <f>SUMIFS(data!$C:$C,data!$A:$A,"="&amp;xyz!$A87,data!$B:$B,"="&amp;xyz!J$2)</f>
        <v>3</v>
      </c>
      <c r="K87">
        <f>SUMIFS(data!$C:$C,data!$A:$A,"="&amp;xyz!$A87,data!$B:$B,"="&amp;xyz!K$2)</f>
        <v>0</v>
      </c>
      <c r="L87">
        <f>SUMIFS(data!$C:$C,data!$A:$A,"="&amp;xyz!$A87,data!$B:$B,"="&amp;xyz!L$2)</f>
        <v>0</v>
      </c>
      <c r="M87">
        <f>SUMIFS(data!$C:$C,data!$A:$A,"="&amp;xyz!$A87,data!$B:$B,"="&amp;xyz!M$2)</f>
        <v>1</v>
      </c>
      <c r="N87">
        <f>SUMIFS(data!$C:$C,data!$A:$A,"="&amp;xyz!$A87,data!$B:$B,"="&amp;xyz!N$2)</f>
        <v>3</v>
      </c>
      <c r="O87">
        <f>SUMIFS(data!$C:$C,data!$A:$A,"="&amp;xyz!$A87,data!$B:$B,"="&amp;xyz!O$2)</f>
        <v>4</v>
      </c>
      <c r="P87">
        <f>SUMIFS(data!$C:$C,data!$A:$A,"="&amp;xyz!$A87,data!$B:$B,"="&amp;xyz!P$2)</f>
        <v>4</v>
      </c>
      <c r="Q87">
        <f>SUMIFS(data!$C:$C,data!$A:$A,"="&amp;xyz!$A87,data!$B:$B,"="&amp;xyz!Q$2)</f>
        <v>2</v>
      </c>
      <c r="R87">
        <f>SUMIFS(data!$C:$C,data!$A:$A,"="&amp;xyz!$A87,data!$B:$B,"="&amp;xyz!R$2)</f>
        <v>8</v>
      </c>
      <c r="S87">
        <f>SUMIFS(data!$C:$C,data!$A:$A,"="&amp;xyz!$A87,data!$B:$B,"="&amp;xyz!S$2)</f>
        <v>9</v>
      </c>
      <c r="T87">
        <f>SUMIFS(data!$C:$C,data!$A:$A,"="&amp;xyz!$A87,data!$B:$B,"="&amp;xyz!T$2)</f>
        <v>10</v>
      </c>
      <c r="U87">
        <f>SUMIFS(data!$C:$C,data!$A:$A,"="&amp;xyz!$A87,data!$B:$B,"="&amp;xyz!U$2)</f>
        <v>1</v>
      </c>
      <c r="V87">
        <f>SUMIFS(data!$C:$C,data!$A:$A,"="&amp;xyz!$A87,data!$B:$B,"="&amp;xyz!V$2)</f>
        <v>3</v>
      </c>
      <c r="W87">
        <f>SUMIFS(data!$C:$C,data!$A:$A,"="&amp;xyz!$A87,data!$B:$B,"="&amp;xyz!W$2)</f>
        <v>0</v>
      </c>
      <c r="X87">
        <f>SUMIFS(data!$C:$C,data!$A:$A,"="&amp;xyz!$A87,data!$B:$B,"="&amp;xyz!X$2)</f>
        <v>0</v>
      </c>
      <c r="Y87">
        <f>SUMIFS(data!$C:$C,data!$A:$A,"="&amp;xyz!$A87,data!$B:$B,"="&amp;xyz!Y$2)</f>
        <v>3</v>
      </c>
      <c r="Z87">
        <f>SUMIFS(data!$C:$C,data!$A:$A,"="&amp;xyz!$A87,data!$B:$B,"="&amp;xyz!Z$2)</f>
        <v>3</v>
      </c>
      <c r="AA87">
        <f>SUMIFS(data!$C:$C,data!$A:$A,"="&amp;xyz!$A87,data!$B:$B,"="&amp;xyz!AA$2)</f>
        <v>3</v>
      </c>
      <c r="AB87">
        <f>SUMIFS(data!$C:$C,data!$A:$A,"="&amp;xyz!$A87,data!$B:$B,"="&amp;xyz!AB$2)</f>
        <v>6</v>
      </c>
      <c r="AC87">
        <f>SUMIFS(data!$C:$C,data!$A:$A,"="&amp;xyz!$A87,data!$B:$B,"="&amp;xyz!AC$2)</f>
        <v>0</v>
      </c>
      <c r="AD87">
        <f>SUMIFS(data!$C:$C,data!$A:$A,"="&amp;xyz!$A87,data!$B:$B,"="&amp;xyz!AD$2)</f>
        <v>2</v>
      </c>
      <c r="AE87">
        <f>SUMIFS(data!$C:$C,data!$A:$A,"="&amp;xyz!$A87,data!$B:$B,"="&amp;xyz!AE$2)</f>
        <v>4</v>
      </c>
      <c r="AF87">
        <f>SUMIFS(data!$C:$C,data!$A:$A,"="&amp;xyz!$A87,data!$B:$B,"="&amp;xyz!AF$2)</f>
        <v>7</v>
      </c>
      <c r="AG87">
        <f>SUMIFS(data!$C:$C,data!$A:$A,"="&amp;xyz!$A87,data!$B:$B,"="&amp;xyz!AG$2)</f>
        <v>3</v>
      </c>
      <c r="AH87">
        <f>SUMIFS(data!$C:$C,data!$A:$A,"="&amp;xyz!$A87,data!$B:$B,"="&amp;xyz!AH$2)</f>
        <v>0</v>
      </c>
      <c r="AI87">
        <f>SUMIFS(data!$C:$C,data!$A:$A,"="&amp;xyz!$A87,data!$B:$B,"="&amp;xyz!AI$2)</f>
        <v>5</v>
      </c>
      <c r="AJ87">
        <f>SUMIFS(data!$C:$C,data!$A:$A,"="&amp;xyz!$A87,data!$B:$B,"="&amp;xyz!AJ$2)</f>
        <v>9</v>
      </c>
      <c r="AK87">
        <f>SUMIFS(data!$C:$C,data!$A:$A,"="&amp;xyz!$A87,data!$B:$B,"="&amp;xyz!AK$2)</f>
        <v>2</v>
      </c>
      <c r="AL87">
        <f>SUMIFS(data!$C:$C,data!$A:$A,"="&amp;xyz!$A87,data!$B:$B,"="&amp;xyz!AL$2)</f>
        <v>3</v>
      </c>
      <c r="AM87">
        <f>SUMIFS(data!$C:$C,data!$A:$A,"="&amp;xyz!$A87,data!$B:$B,"="&amp;xyz!AM$2)</f>
        <v>2</v>
      </c>
      <c r="AN87">
        <f>SUMIFS(data!$C:$C,data!$A:$A,"="&amp;xyz!$A87,data!$B:$B,"="&amp;xyz!AN$2)</f>
        <v>2</v>
      </c>
      <c r="AO87">
        <f>SUMIFS(data!$C:$C,data!$A:$A,"="&amp;xyz!$A87,data!$B:$B,"="&amp;xyz!AO$2)</f>
        <v>6</v>
      </c>
      <c r="AP87">
        <f>SUMIFS(data!$C:$C,data!$A:$A,"="&amp;xyz!$A87,data!$B:$B,"="&amp;xyz!AP$2)</f>
        <v>3</v>
      </c>
      <c r="AQ87" s="6">
        <f t="shared" si="4"/>
        <v>0.85258185106533002</v>
      </c>
    </row>
    <row r="88" spans="1:43" x14ac:dyDescent="0.3">
      <c r="A88" t="s">
        <v>10</v>
      </c>
      <c r="B88" s="6">
        <f t="shared" si="3"/>
        <v>0.75294117647058822</v>
      </c>
      <c r="C88">
        <f>SUMIFS(data!$C:$C,data!$A:$A,"="&amp;xyz!$A88,data!$B:$B,"="&amp;xyz!C$2)</f>
        <v>0</v>
      </c>
      <c r="D88">
        <f>SUMIFS(data!$C:$C,data!$A:$A,"="&amp;xyz!$A88,data!$B:$B,"="&amp;xyz!D$2)</f>
        <v>3</v>
      </c>
      <c r="E88">
        <f>SUMIFS(data!$C:$C,data!$A:$A,"="&amp;xyz!$A88,data!$B:$B,"="&amp;xyz!E$2)</f>
        <v>0</v>
      </c>
      <c r="F88">
        <f>SUMIFS(data!$C:$C,data!$A:$A,"="&amp;xyz!$A88,data!$B:$B,"="&amp;xyz!F$2)</f>
        <v>1</v>
      </c>
      <c r="G88">
        <f>SUMIFS(data!$C:$C,data!$A:$A,"="&amp;xyz!$A88,data!$B:$B,"="&amp;xyz!G$2)</f>
        <v>1</v>
      </c>
      <c r="H88">
        <f>SUMIFS(data!$C:$C,data!$A:$A,"="&amp;xyz!$A88,data!$B:$B,"="&amp;xyz!H$2)</f>
        <v>2</v>
      </c>
      <c r="I88">
        <f>SUMIFS(data!$C:$C,data!$A:$A,"="&amp;xyz!$A88,data!$B:$B,"="&amp;xyz!I$2)</f>
        <v>1</v>
      </c>
      <c r="J88">
        <f>SUMIFS(data!$C:$C,data!$A:$A,"="&amp;xyz!$A88,data!$B:$B,"="&amp;xyz!J$2)</f>
        <v>5</v>
      </c>
      <c r="K88">
        <f>SUMIFS(data!$C:$C,data!$A:$A,"="&amp;xyz!$A88,data!$B:$B,"="&amp;xyz!K$2)</f>
        <v>0</v>
      </c>
      <c r="L88">
        <f>SUMIFS(data!$C:$C,data!$A:$A,"="&amp;xyz!$A88,data!$B:$B,"="&amp;xyz!L$2)</f>
        <v>3</v>
      </c>
      <c r="M88">
        <f>SUMIFS(data!$C:$C,data!$A:$A,"="&amp;xyz!$A88,data!$B:$B,"="&amp;xyz!M$2)</f>
        <v>0</v>
      </c>
      <c r="N88">
        <f>SUMIFS(data!$C:$C,data!$A:$A,"="&amp;xyz!$A88,data!$B:$B,"="&amp;xyz!N$2)</f>
        <v>0</v>
      </c>
      <c r="O88">
        <f>SUMIFS(data!$C:$C,data!$A:$A,"="&amp;xyz!$A88,data!$B:$B,"="&amp;xyz!O$2)</f>
        <v>1</v>
      </c>
      <c r="P88">
        <f>SUMIFS(data!$C:$C,data!$A:$A,"="&amp;xyz!$A88,data!$B:$B,"="&amp;xyz!P$2)</f>
        <v>6</v>
      </c>
      <c r="Q88">
        <f>SUMIFS(data!$C:$C,data!$A:$A,"="&amp;xyz!$A88,data!$B:$B,"="&amp;xyz!Q$2)</f>
        <v>6</v>
      </c>
      <c r="R88">
        <f>SUMIFS(data!$C:$C,data!$A:$A,"="&amp;xyz!$A88,data!$B:$B,"="&amp;xyz!R$2)</f>
        <v>1</v>
      </c>
      <c r="S88">
        <f>SUMIFS(data!$C:$C,data!$A:$A,"="&amp;xyz!$A88,data!$B:$B,"="&amp;xyz!S$2)</f>
        <v>3</v>
      </c>
      <c r="T88">
        <f>SUMIFS(data!$C:$C,data!$A:$A,"="&amp;xyz!$A88,data!$B:$B,"="&amp;xyz!T$2)</f>
        <v>0</v>
      </c>
      <c r="U88">
        <f>SUMIFS(data!$C:$C,data!$A:$A,"="&amp;xyz!$A88,data!$B:$B,"="&amp;xyz!U$2)</f>
        <v>1</v>
      </c>
      <c r="V88">
        <f>SUMIFS(data!$C:$C,data!$A:$A,"="&amp;xyz!$A88,data!$B:$B,"="&amp;xyz!V$2)</f>
        <v>0</v>
      </c>
      <c r="W88">
        <f>SUMIFS(data!$C:$C,data!$A:$A,"="&amp;xyz!$A88,data!$B:$B,"="&amp;xyz!W$2)</f>
        <v>3</v>
      </c>
      <c r="X88">
        <f>SUMIFS(data!$C:$C,data!$A:$A,"="&amp;xyz!$A88,data!$B:$B,"="&amp;xyz!X$2)</f>
        <v>0</v>
      </c>
      <c r="Y88">
        <f>SUMIFS(data!$C:$C,data!$A:$A,"="&amp;xyz!$A88,data!$B:$B,"="&amp;xyz!Y$2)</f>
        <v>2</v>
      </c>
      <c r="Z88">
        <f>SUMIFS(data!$C:$C,data!$A:$A,"="&amp;xyz!$A88,data!$B:$B,"="&amp;xyz!Z$2)</f>
        <v>8</v>
      </c>
      <c r="AA88">
        <f>SUMIFS(data!$C:$C,data!$A:$A,"="&amp;xyz!$A88,data!$B:$B,"="&amp;xyz!AA$2)</f>
        <v>0</v>
      </c>
      <c r="AB88">
        <f>SUMIFS(data!$C:$C,data!$A:$A,"="&amp;xyz!$A88,data!$B:$B,"="&amp;xyz!AB$2)</f>
        <v>0</v>
      </c>
      <c r="AC88">
        <f>SUMIFS(data!$C:$C,data!$A:$A,"="&amp;xyz!$A88,data!$B:$B,"="&amp;xyz!AC$2)</f>
        <v>2</v>
      </c>
      <c r="AD88">
        <f>SUMIFS(data!$C:$C,data!$A:$A,"="&amp;xyz!$A88,data!$B:$B,"="&amp;xyz!AD$2)</f>
        <v>3</v>
      </c>
      <c r="AE88">
        <f>SUMIFS(data!$C:$C,data!$A:$A,"="&amp;xyz!$A88,data!$B:$B,"="&amp;xyz!AE$2)</f>
        <v>3</v>
      </c>
      <c r="AF88">
        <f>SUMIFS(data!$C:$C,data!$A:$A,"="&amp;xyz!$A88,data!$B:$B,"="&amp;xyz!AF$2)</f>
        <v>5</v>
      </c>
      <c r="AG88">
        <f>SUMIFS(data!$C:$C,data!$A:$A,"="&amp;xyz!$A88,data!$B:$B,"="&amp;xyz!AG$2)</f>
        <v>0</v>
      </c>
      <c r="AH88">
        <f>SUMIFS(data!$C:$C,data!$A:$A,"="&amp;xyz!$A88,data!$B:$B,"="&amp;xyz!AH$2)</f>
        <v>3</v>
      </c>
      <c r="AI88">
        <f>SUMIFS(data!$C:$C,data!$A:$A,"="&amp;xyz!$A88,data!$B:$B,"="&amp;xyz!AI$2)</f>
        <v>5</v>
      </c>
      <c r="AJ88">
        <f>SUMIFS(data!$C:$C,data!$A:$A,"="&amp;xyz!$A88,data!$B:$B,"="&amp;xyz!AJ$2)</f>
        <v>2</v>
      </c>
      <c r="AK88">
        <f>SUMIFS(data!$C:$C,data!$A:$A,"="&amp;xyz!$A88,data!$B:$B,"="&amp;xyz!AK$2)</f>
        <v>2</v>
      </c>
      <c r="AL88">
        <f>SUMIFS(data!$C:$C,data!$A:$A,"="&amp;xyz!$A88,data!$B:$B,"="&amp;xyz!AL$2)</f>
        <v>3</v>
      </c>
      <c r="AM88">
        <f>SUMIFS(data!$C:$C,data!$A:$A,"="&amp;xyz!$A88,data!$B:$B,"="&amp;xyz!AM$2)</f>
        <v>1</v>
      </c>
      <c r="AN88">
        <f>SUMIFS(data!$C:$C,data!$A:$A,"="&amp;xyz!$A88,data!$B:$B,"="&amp;xyz!AN$2)</f>
        <v>3</v>
      </c>
      <c r="AO88">
        <f>SUMIFS(data!$C:$C,data!$A:$A,"="&amp;xyz!$A88,data!$B:$B,"="&amp;xyz!AO$2)</f>
        <v>2</v>
      </c>
      <c r="AP88">
        <f>SUMIFS(data!$C:$C,data!$A:$A,"="&amp;xyz!$A88,data!$B:$B,"="&amp;xyz!AP$2)</f>
        <v>4</v>
      </c>
      <c r="AQ88" s="6">
        <f t="shared" si="4"/>
        <v>0.94831381206344201</v>
      </c>
    </row>
    <row r="89" spans="1:43" x14ac:dyDescent="0.3">
      <c r="A89" t="s">
        <v>118</v>
      </c>
      <c r="B89" s="6">
        <f t="shared" si="3"/>
        <v>0.71935483870967709</v>
      </c>
      <c r="C89">
        <f>SUMIFS(data!$C:$C,data!$A:$A,"="&amp;xyz!$A89,data!$B:$B,"="&amp;xyz!C$2)</f>
        <v>4</v>
      </c>
      <c r="D89">
        <f>SUMIFS(data!$C:$C,data!$A:$A,"="&amp;xyz!$A89,data!$B:$B,"="&amp;xyz!D$2)</f>
        <v>9</v>
      </c>
      <c r="E89">
        <f>SUMIFS(data!$C:$C,data!$A:$A,"="&amp;xyz!$A89,data!$B:$B,"="&amp;xyz!E$2)</f>
        <v>7</v>
      </c>
      <c r="F89">
        <f>SUMIFS(data!$C:$C,data!$A:$A,"="&amp;xyz!$A89,data!$B:$B,"="&amp;xyz!F$2)</f>
        <v>3</v>
      </c>
      <c r="G89">
        <f>SUMIFS(data!$C:$C,data!$A:$A,"="&amp;xyz!$A89,data!$B:$B,"="&amp;xyz!G$2)</f>
        <v>2</v>
      </c>
      <c r="H89">
        <f>SUMIFS(data!$C:$C,data!$A:$A,"="&amp;xyz!$A89,data!$B:$B,"="&amp;xyz!H$2)</f>
        <v>0</v>
      </c>
      <c r="I89">
        <f>SUMIFS(data!$C:$C,data!$A:$A,"="&amp;xyz!$A89,data!$B:$B,"="&amp;xyz!I$2)</f>
        <v>4</v>
      </c>
      <c r="J89">
        <f>SUMIFS(data!$C:$C,data!$A:$A,"="&amp;xyz!$A89,data!$B:$B,"="&amp;xyz!J$2)</f>
        <v>7</v>
      </c>
      <c r="K89">
        <f>SUMIFS(data!$C:$C,data!$A:$A,"="&amp;xyz!$A89,data!$B:$B,"="&amp;xyz!K$2)</f>
        <v>0</v>
      </c>
      <c r="L89">
        <f>SUMIFS(data!$C:$C,data!$A:$A,"="&amp;xyz!$A89,data!$B:$B,"="&amp;xyz!L$2)</f>
        <v>2</v>
      </c>
      <c r="M89">
        <f>SUMIFS(data!$C:$C,data!$A:$A,"="&amp;xyz!$A89,data!$B:$B,"="&amp;xyz!M$2)</f>
        <v>1</v>
      </c>
      <c r="N89">
        <f>SUMIFS(data!$C:$C,data!$A:$A,"="&amp;xyz!$A89,data!$B:$B,"="&amp;xyz!N$2)</f>
        <v>9</v>
      </c>
      <c r="O89">
        <f>SUMIFS(data!$C:$C,data!$A:$A,"="&amp;xyz!$A89,data!$B:$B,"="&amp;xyz!O$2)</f>
        <v>5</v>
      </c>
      <c r="P89">
        <f>SUMIFS(data!$C:$C,data!$A:$A,"="&amp;xyz!$A89,data!$B:$B,"="&amp;xyz!P$2)</f>
        <v>10</v>
      </c>
      <c r="Q89">
        <f>SUMIFS(data!$C:$C,data!$A:$A,"="&amp;xyz!$A89,data!$B:$B,"="&amp;xyz!Q$2)</f>
        <v>5</v>
      </c>
      <c r="R89">
        <f>SUMIFS(data!$C:$C,data!$A:$A,"="&amp;xyz!$A89,data!$B:$B,"="&amp;xyz!R$2)</f>
        <v>3</v>
      </c>
      <c r="S89">
        <f>SUMIFS(data!$C:$C,data!$A:$A,"="&amp;xyz!$A89,data!$B:$B,"="&amp;xyz!S$2)</f>
        <v>9</v>
      </c>
      <c r="T89">
        <f>SUMIFS(data!$C:$C,data!$A:$A,"="&amp;xyz!$A89,data!$B:$B,"="&amp;xyz!T$2)</f>
        <v>0</v>
      </c>
      <c r="U89">
        <f>SUMIFS(data!$C:$C,data!$A:$A,"="&amp;xyz!$A89,data!$B:$B,"="&amp;xyz!U$2)</f>
        <v>1</v>
      </c>
      <c r="V89">
        <f>SUMIFS(data!$C:$C,data!$A:$A,"="&amp;xyz!$A89,data!$B:$B,"="&amp;xyz!V$2)</f>
        <v>0</v>
      </c>
      <c r="W89">
        <f>SUMIFS(data!$C:$C,data!$A:$A,"="&amp;xyz!$A89,data!$B:$B,"="&amp;xyz!W$2)</f>
        <v>0</v>
      </c>
      <c r="X89">
        <f>SUMIFS(data!$C:$C,data!$A:$A,"="&amp;xyz!$A89,data!$B:$B,"="&amp;xyz!X$2)</f>
        <v>1</v>
      </c>
      <c r="Y89">
        <f>SUMIFS(data!$C:$C,data!$A:$A,"="&amp;xyz!$A89,data!$B:$B,"="&amp;xyz!Y$2)</f>
        <v>1</v>
      </c>
      <c r="Z89">
        <f>SUMIFS(data!$C:$C,data!$A:$A,"="&amp;xyz!$A89,data!$B:$B,"="&amp;xyz!Z$2)</f>
        <v>3</v>
      </c>
      <c r="AA89">
        <f>SUMIFS(data!$C:$C,data!$A:$A,"="&amp;xyz!$A89,data!$B:$B,"="&amp;xyz!AA$2)</f>
        <v>4</v>
      </c>
      <c r="AB89">
        <f>SUMIFS(data!$C:$C,data!$A:$A,"="&amp;xyz!$A89,data!$B:$B,"="&amp;xyz!AB$2)</f>
        <v>1</v>
      </c>
      <c r="AC89">
        <f>SUMIFS(data!$C:$C,data!$A:$A,"="&amp;xyz!$A89,data!$B:$B,"="&amp;xyz!AC$2)</f>
        <v>1</v>
      </c>
      <c r="AD89">
        <f>SUMIFS(data!$C:$C,data!$A:$A,"="&amp;xyz!$A89,data!$B:$B,"="&amp;xyz!AD$2)</f>
        <v>2</v>
      </c>
      <c r="AE89">
        <f>SUMIFS(data!$C:$C,data!$A:$A,"="&amp;xyz!$A89,data!$B:$B,"="&amp;xyz!AE$2)</f>
        <v>2</v>
      </c>
      <c r="AF89">
        <f>SUMIFS(data!$C:$C,data!$A:$A,"="&amp;xyz!$A89,data!$B:$B,"="&amp;xyz!AF$2)</f>
        <v>1</v>
      </c>
      <c r="AG89">
        <f>SUMIFS(data!$C:$C,data!$A:$A,"="&amp;xyz!$A89,data!$B:$B,"="&amp;xyz!AG$2)</f>
        <v>0</v>
      </c>
      <c r="AH89">
        <f>SUMIFS(data!$C:$C,data!$A:$A,"="&amp;xyz!$A89,data!$B:$B,"="&amp;xyz!AH$2)</f>
        <v>2</v>
      </c>
      <c r="AI89">
        <f>SUMIFS(data!$C:$C,data!$A:$A,"="&amp;xyz!$A89,data!$B:$B,"="&amp;xyz!AI$2)</f>
        <v>2</v>
      </c>
      <c r="AJ89">
        <f>SUMIFS(data!$C:$C,data!$A:$A,"="&amp;xyz!$A89,data!$B:$B,"="&amp;xyz!AJ$2)</f>
        <v>2</v>
      </c>
      <c r="AK89">
        <f>SUMIFS(data!$C:$C,data!$A:$A,"="&amp;xyz!$A89,data!$B:$B,"="&amp;xyz!AK$2)</f>
        <v>6</v>
      </c>
      <c r="AL89">
        <f>SUMIFS(data!$C:$C,data!$A:$A,"="&amp;xyz!$A89,data!$B:$B,"="&amp;xyz!AL$2)</f>
        <v>3</v>
      </c>
      <c r="AM89">
        <f>SUMIFS(data!$C:$C,data!$A:$A,"="&amp;xyz!$A89,data!$B:$B,"="&amp;xyz!AM$2)</f>
        <v>4</v>
      </c>
      <c r="AN89">
        <f>SUMIFS(data!$C:$C,data!$A:$A,"="&amp;xyz!$A89,data!$B:$B,"="&amp;xyz!AN$2)</f>
        <v>5</v>
      </c>
      <c r="AO89">
        <f>SUMIFS(data!$C:$C,data!$A:$A,"="&amp;xyz!$A89,data!$B:$B,"="&amp;xyz!AO$2)</f>
        <v>1</v>
      </c>
      <c r="AP89">
        <f>SUMIFS(data!$C:$C,data!$A:$A,"="&amp;xyz!$A89,data!$B:$B,"="&amp;xyz!AP$2)</f>
        <v>2</v>
      </c>
      <c r="AQ89" s="6">
        <f t="shared" si="4"/>
        <v>0.90593944244621516</v>
      </c>
    </row>
    <row r="90" spans="1:43" x14ac:dyDescent="0.3">
      <c r="A90" t="s">
        <v>153</v>
      </c>
      <c r="B90" s="6">
        <f t="shared" si="3"/>
        <v>0.97352941176470598</v>
      </c>
      <c r="C90">
        <f>SUMIFS(data!$C:$C,data!$A:$A,"="&amp;xyz!$A90,data!$B:$B,"="&amp;xyz!C$2)</f>
        <v>0</v>
      </c>
      <c r="D90">
        <f>SUMIFS(data!$C:$C,data!$A:$A,"="&amp;xyz!$A90,data!$B:$B,"="&amp;xyz!D$2)</f>
        <v>0</v>
      </c>
      <c r="E90">
        <f>SUMIFS(data!$C:$C,data!$A:$A,"="&amp;xyz!$A90,data!$B:$B,"="&amp;xyz!E$2)</f>
        <v>1</v>
      </c>
      <c r="F90">
        <f>SUMIFS(data!$C:$C,data!$A:$A,"="&amp;xyz!$A90,data!$B:$B,"="&amp;xyz!F$2)</f>
        <v>2</v>
      </c>
      <c r="G90">
        <f>SUMIFS(data!$C:$C,data!$A:$A,"="&amp;xyz!$A90,data!$B:$B,"="&amp;xyz!G$2)</f>
        <v>8</v>
      </c>
      <c r="H90">
        <f>SUMIFS(data!$C:$C,data!$A:$A,"="&amp;xyz!$A90,data!$B:$B,"="&amp;xyz!H$2)</f>
        <v>10</v>
      </c>
      <c r="I90">
        <f>SUMIFS(data!$C:$C,data!$A:$A,"="&amp;xyz!$A90,data!$B:$B,"="&amp;xyz!I$2)</f>
        <v>1</v>
      </c>
      <c r="J90">
        <f>SUMIFS(data!$C:$C,data!$A:$A,"="&amp;xyz!$A90,data!$B:$B,"="&amp;xyz!J$2)</f>
        <v>2</v>
      </c>
      <c r="K90">
        <f>SUMIFS(data!$C:$C,data!$A:$A,"="&amp;xyz!$A90,data!$B:$B,"="&amp;xyz!K$2)</f>
        <v>0</v>
      </c>
      <c r="L90">
        <f>SUMIFS(data!$C:$C,data!$A:$A,"="&amp;xyz!$A90,data!$B:$B,"="&amp;xyz!L$2)</f>
        <v>5</v>
      </c>
      <c r="M90">
        <f>SUMIFS(data!$C:$C,data!$A:$A,"="&amp;xyz!$A90,data!$B:$B,"="&amp;xyz!M$2)</f>
        <v>0</v>
      </c>
      <c r="N90">
        <f>SUMIFS(data!$C:$C,data!$A:$A,"="&amp;xyz!$A90,data!$B:$B,"="&amp;xyz!N$2)</f>
        <v>7</v>
      </c>
      <c r="O90">
        <f>SUMIFS(data!$C:$C,data!$A:$A,"="&amp;xyz!$A90,data!$B:$B,"="&amp;xyz!O$2)</f>
        <v>5</v>
      </c>
      <c r="P90">
        <f>SUMIFS(data!$C:$C,data!$A:$A,"="&amp;xyz!$A90,data!$B:$B,"="&amp;xyz!P$2)</f>
        <v>6</v>
      </c>
      <c r="Q90">
        <f>SUMIFS(data!$C:$C,data!$A:$A,"="&amp;xyz!$A90,data!$B:$B,"="&amp;xyz!Q$2)</f>
        <v>1</v>
      </c>
      <c r="R90">
        <f>SUMIFS(data!$C:$C,data!$A:$A,"="&amp;xyz!$A90,data!$B:$B,"="&amp;xyz!R$2)</f>
        <v>4</v>
      </c>
      <c r="S90">
        <f>SUMIFS(data!$C:$C,data!$A:$A,"="&amp;xyz!$A90,data!$B:$B,"="&amp;xyz!S$2)</f>
        <v>3</v>
      </c>
      <c r="T90">
        <f>SUMIFS(data!$C:$C,data!$A:$A,"="&amp;xyz!$A90,data!$B:$B,"="&amp;xyz!T$2)</f>
        <v>0</v>
      </c>
      <c r="U90">
        <f>SUMIFS(data!$C:$C,data!$A:$A,"="&amp;xyz!$A90,data!$B:$B,"="&amp;xyz!U$2)</f>
        <v>0</v>
      </c>
      <c r="V90">
        <f>SUMIFS(data!$C:$C,data!$A:$A,"="&amp;xyz!$A90,data!$B:$B,"="&amp;xyz!V$2)</f>
        <v>0</v>
      </c>
      <c r="W90">
        <f>SUMIFS(data!$C:$C,data!$A:$A,"="&amp;xyz!$A90,data!$B:$B,"="&amp;xyz!W$2)</f>
        <v>4</v>
      </c>
      <c r="X90">
        <f>SUMIFS(data!$C:$C,data!$A:$A,"="&amp;xyz!$A90,data!$B:$B,"="&amp;xyz!X$2)</f>
        <v>1</v>
      </c>
      <c r="Y90">
        <f>SUMIFS(data!$C:$C,data!$A:$A,"="&amp;xyz!$A90,data!$B:$B,"="&amp;xyz!Y$2)</f>
        <v>1</v>
      </c>
      <c r="Z90">
        <f>SUMIFS(data!$C:$C,data!$A:$A,"="&amp;xyz!$A90,data!$B:$B,"="&amp;xyz!Z$2)</f>
        <v>2</v>
      </c>
      <c r="AA90">
        <f>SUMIFS(data!$C:$C,data!$A:$A,"="&amp;xyz!$A90,data!$B:$B,"="&amp;xyz!AA$2)</f>
        <v>6</v>
      </c>
      <c r="AB90">
        <f>SUMIFS(data!$C:$C,data!$A:$A,"="&amp;xyz!$A90,data!$B:$B,"="&amp;xyz!AB$2)</f>
        <v>2</v>
      </c>
      <c r="AC90">
        <f>SUMIFS(data!$C:$C,data!$A:$A,"="&amp;xyz!$A90,data!$B:$B,"="&amp;xyz!AC$2)</f>
        <v>0</v>
      </c>
      <c r="AD90">
        <f>SUMIFS(data!$C:$C,data!$A:$A,"="&amp;xyz!$A90,data!$B:$B,"="&amp;xyz!AD$2)</f>
        <v>1</v>
      </c>
      <c r="AE90">
        <f>SUMIFS(data!$C:$C,data!$A:$A,"="&amp;xyz!$A90,data!$B:$B,"="&amp;xyz!AE$2)</f>
        <v>4</v>
      </c>
      <c r="AF90">
        <f>SUMIFS(data!$C:$C,data!$A:$A,"="&amp;xyz!$A90,data!$B:$B,"="&amp;xyz!AF$2)</f>
        <v>4</v>
      </c>
      <c r="AG90">
        <f>SUMIFS(data!$C:$C,data!$A:$A,"="&amp;xyz!$A90,data!$B:$B,"="&amp;xyz!AG$2)</f>
        <v>0</v>
      </c>
      <c r="AH90">
        <f>SUMIFS(data!$C:$C,data!$A:$A,"="&amp;xyz!$A90,data!$B:$B,"="&amp;xyz!AH$2)</f>
        <v>3</v>
      </c>
      <c r="AI90">
        <f>SUMIFS(data!$C:$C,data!$A:$A,"="&amp;xyz!$A90,data!$B:$B,"="&amp;xyz!AI$2)</f>
        <v>1</v>
      </c>
      <c r="AJ90">
        <f>SUMIFS(data!$C:$C,data!$A:$A,"="&amp;xyz!$A90,data!$B:$B,"="&amp;xyz!AJ$2)</f>
        <v>0</v>
      </c>
      <c r="AK90">
        <f>SUMIFS(data!$C:$C,data!$A:$A,"="&amp;xyz!$A90,data!$B:$B,"="&amp;xyz!AK$2)</f>
        <v>0</v>
      </c>
      <c r="AL90">
        <f>SUMIFS(data!$C:$C,data!$A:$A,"="&amp;xyz!$A90,data!$B:$B,"="&amp;xyz!AL$2)</f>
        <v>0</v>
      </c>
      <c r="AM90">
        <f>SUMIFS(data!$C:$C,data!$A:$A,"="&amp;xyz!$A90,data!$B:$B,"="&amp;xyz!AM$2)</f>
        <v>0</v>
      </c>
      <c r="AN90">
        <f>SUMIFS(data!$C:$C,data!$A:$A,"="&amp;xyz!$A90,data!$B:$B,"="&amp;xyz!AN$2)</f>
        <v>1</v>
      </c>
      <c r="AO90">
        <f>SUMIFS(data!$C:$C,data!$A:$A,"="&amp;xyz!$A90,data!$B:$B,"="&amp;xyz!AO$2)</f>
        <v>0</v>
      </c>
      <c r="AP90">
        <f>SUMIFS(data!$C:$C,data!$A:$A,"="&amp;xyz!$A90,data!$B:$B,"="&amp;xyz!AP$2)</f>
        <v>0</v>
      </c>
      <c r="AQ90" s="6">
        <f t="shared" si="4"/>
        <v>1.2159295236617491</v>
      </c>
    </row>
    <row r="91" spans="1:43" x14ac:dyDescent="0.3">
      <c r="A91" t="s">
        <v>88</v>
      </c>
      <c r="B91" s="6">
        <f t="shared" si="3"/>
        <v>0.77913669064748203</v>
      </c>
      <c r="C91">
        <f>SUMIFS(data!$C:$C,data!$A:$A,"="&amp;xyz!$A91,data!$B:$B,"="&amp;xyz!C$2)</f>
        <v>3.2</v>
      </c>
      <c r="D91">
        <f>SUMIFS(data!$C:$C,data!$A:$A,"="&amp;xyz!$A91,data!$B:$B,"="&amp;xyz!D$2)</f>
        <v>2</v>
      </c>
      <c r="E91">
        <f>SUMIFS(data!$C:$C,data!$A:$A,"="&amp;xyz!$A91,data!$B:$B,"="&amp;xyz!E$2)</f>
        <v>2</v>
      </c>
      <c r="F91">
        <f>SUMIFS(data!$C:$C,data!$A:$A,"="&amp;xyz!$A91,data!$B:$B,"="&amp;xyz!F$2)</f>
        <v>1</v>
      </c>
      <c r="G91">
        <f>SUMIFS(data!$C:$C,data!$A:$A,"="&amp;xyz!$A91,data!$B:$B,"="&amp;xyz!G$2)</f>
        <v>0</v>
      </c>
      <c r="H91">
        <f>SUMIFS(data!$C:$C,data!$A:$A,"="&amp;xyz!$A91,data!$B:$B,"="&amp;xyz!H$2)</f>
        <v>2.5</v>
      </c>
      <c r="I91">
        <f>SUMIFS(data!$C:$C,data!$A:$A,"="&amp;xyz!$A91,data!$B:$B,"="&amp;xyz!I$2)</f>
        <v>1.1000000000000001</v>
      </c>
      <c r="J91">
        <f>SUMIFS(data!$C:$C,data!$A:$A,"="&amp;xyz!$A91,data!$B:$B,"="&amp;xyz!J$2)</f>
        <v>1</v>
      </c>
      <c r="K91">
        <f>SUMIFS(data!$C:$C,data!$A:$A,"="&amp;xyz!$A91,data!$B:$B,"="&amp;xyz!K$2)</f>
        <v>0</v>
      </c>
      <c r="L91">
        <f>SUMIFS(data!$C:$C,data!$A:$A,"="&amp;xyz!$A91,data!$B:$B,"="&amp;xyz!L$2)</f>
        <v>2</v>
      </c>
      <c r="M91">
        <f>SUMIFS(data!$C:$C,data!$A:$A,"="&amp;xyz!$A91,data!$B:$B,"="&amp;xyz!M$2)</f>
        <v>2.1</v>
      </c>
      <c r="N91">
        <f>SUMIFS(data!$C:$C,data!$A:$A,"="&amp;xyz!$A91,data!$B:$B,"="&amp;xyz!N$2)</f>
        <v>1.5</v>
      </c>
      <c r="O91">
        <f>SUMIFS(data!$C:$C,data!$A:$A,"="&amp;xyz!$A91,data!$B:$B,"="&amp;xyz!O$2)</f>
        <v>0</v>
      </c>
      <c r="P91">
        <f>SUMIFS(data!$C:$C,data!$A:$A,"="&amp;xyz!$A91,data!$B:$B,"="&amp;xyz!P$2)</f>
        <v>0</v>
      </c>
      <c r="Q91">
        <f>SUMIFS(data!$C:$C,data!$A:$A,"="&amp;xyz!$A91,data!$B:$B,"="&amp;xyz!Q$2)</f>
        <v>3</v>
      </c>
      <c r="R91">
        <f>SUMIFS(data!$C:$C,data!$A:$A,"="&amp;xyz!$A91,data!$B:$B,"="&amp;xyz!R$2)</f>
        <v>0.2</v>
      </c>
      <c r="S91">
        <f>SUMIFS(data!$C:$C,data!$A:$A,"="&amp;xyz!$A91,data!$B:$B,"="&amp;xyz!S$2)</f>
        <v>2.5</v>
      </c>
      <c r="T91">
        <f>SUMIFS(data!$C:$C,data!$A:$A,"="&amp;xyz!$A91,data!$B:$B,"="&amp;xyz!T$2)</f>
        <v>0</v>
      </c>
      <c r="U91">
        <f>SUMIFS(data!$C:$C,data!$A:$A,"="&amp;xyz!$A91,data!$B:$B,"="&amp;xyz!U$2)</f>
        <v>1</v>
      </c>
      <c r="V91">
        <f>SUMIFS(data!$C:$C,data!$A:$A,"="&amp;xyz!$A91,data!$B:$B,"="&amp;xyz!V$2)</f>
        <v>2.7</v>
      </c>
      <c r="W91">
        <f>SUMIFS(data!$C:$C,data!$A:$A,"="&amp;xyz!$A91,data!$B:$B,"="&amp;xyz!W$2)</f>
        <v>0.4</v>
      </c>
      <c r="X91">
        <f>SUMIFS(data!$C:$C,data!$A:$A,"="&amp;xyz!$A91,data!$B:$B,"="&amp;xyz!X$2)</f>
        <v>1.7</v>
      </c>
      <c r="Y91">
        <f>SUMIFS(data!$C:$C,data!$A:$A,"="&amp;xyz!$A91,data!$B:$B,"="&amp;xyz!Y$2)</f>
        <v>0</v>
      </c>
      <c r="Z91">
        <f>SUMIFS(data!$C:$C,data!$A:$A,"="&amp;xyz!$A91,data!$B:$B,"="&amp;xyz!Z$2)</f>
        <v>0</v>
      </c>
      <c r="AA91">
        <f>SUMIFS(data!$C:$C,data!$A:$A,"="&amp;xyz!$A91,data!$B:$B,"="&amp;xyz!AA$2)</f>
        <v>0</v>
      </c>
      <c r="AB91">
        <f>SUMIFS(data!$C:$C,data!$A:$A,"="&amp;xyz!$A91,data!$B:$B,"="&amp;xyz!AB$2)</f>
        <v>1</v>
      </c>
      <c r="AC91">
        <f>SUMIFS(data!$C:$C,data!$A:$A,"="&amp;xyz!$A91,data!$B:$B,"="&amp;xyz!AC$2)</f>
        <v>4</v>
      </c>
      <c r="AD91">
        <f>SUMIFS(data!$C:$C,data!$A:$A,"="&amp;xyz!$A91,data!$B:$B,"="&amp;xyz!AD$2)</f>
        <v>1</v>
      </c>
      <c r="AE91">
        <f>SUMIFS(data!$C:$C,data!$A:$A,"="&amp;xyz!$A91,data!$B:$B,"="&amp;xyz!AE$2)</f>
        <v>1</v>
      </c>
      <c r="AF91">
        <f>SUMIFS(data!$C:$C,data!$A:$A,"="&amp;xyz!$A91,data!$B:$B,"="&amp;xyz!AF$2)</f>
        <v>0.4</v>
      </c>
      <c r="AG91">
        <f>SUMIFS(data!$C:$C,data!$A:$A,"="&amp;xyz!$A91,data!$B:$B,"="&amp;xyz!AG$2)</f>
        <v>3</v>
      </c>
      <c r="AH91">
        <f>SUMIFS(data!$C:$C,data!$A:$A,"="&amp;xyz!$A91,data!$B:$B,"="&amp;xyz!AH$2)</f>
        <v>3.7</v>
      </c>
      <c r="AI91">
        <f>SUMIFS(data!$C:$C,data!$A:$A,"="&amp;xyz!$A91,data!$B:$B,"="&amp;xyz!AI$2)</f>
        <v>1.1000000000000001</v>
      </c>
      <c r="AJ91">
        <f>SUMIFS(data!$C:$C,data!$A:$A,"="&amp;xyz!$A91,data!$B:$B,"="&amp;xyz!AJ$2)</f>
        <v>0.5</v>
      </c>
      <c r="AK91">
        <f>SUMIFS(data!$C:$C,data!$A:$A,"="&amp;xyz!$A91,data!$B:$B,"="&amp;xyz!AK$2)</f>
        <v>0</v>
      </c>
      <c r="AL91">
        <f>SUMIFS(data!$C:$C,data!$A:$A,"="&amp;xyz!$A91,data!$B:$B,"="&amp;xyz!AL$2)</f>
        <v>0</v>
      </c>
      <c r="AM91">
        <f>SUMIFS(data!$C:$C,data!$A:$A,"="&amp;xyz!$A91,data!$B:$B,"="&amp;xyz!AM$2)</f>
        <v>6</v>
      </c>
      <c r="AN91">
        <f>SUMIFS(data!$C:$C,data!$A:$A,"="&amp;xyz!$A91,data!$B:$B,"="&amp;xyz!AN$2)</f>
        <v>2</v>
      </c>
      <c r="AO91">
        <f>SUMIFS(data!$C:$C,data!$A:$A,"="&amp;xyz!$A91,data!$B:$B,"="&amp;xyz!AO$2)</f>
        <v>1</v>
      </c>
      <c r="AP91">
        <f>SUMIFS(data!$C:$C,data!$A:$A,"="&amp;xyz!$A91,data!$B:$B,"="&amp;xyz!AP$2)</f>
        <v>1</v>
      </c>
      <c r="AQ91" s="6">
        <f t="shared" si="4"/>
        <v>0.98437803617943609</v>
      </c>
    </row>
    <row r="92" spans="1:43" x14ac:dyDescent="0.3">
      <c r="A92" t="s">
        <v>149</v>
      </c>
      <c r="B92" s="6">
        <f t="shared" si="3"/>
        <v>0.8666666666666667</v>
      </c>
      <c r="C92">
        <f>SUMIFS(data!$C:$C,data!$A:$A,"="&amp;xyz!$A92,data!$B:$B,"="&amp;xyz!C$2)</f>
        <v>1</v>
      </c>
      <c r="D92">
        <f>SUMIFS(data!$C:$C,data!$A:$A,"="&amp;xyz!$A92,data!$B:$B,"="&amp;xyz!D$2)</f>
        <v>2</v>
      </c>
      <c r="E92">
        <f>SUMIFS(data!$C:$C,data!$A:$A,"="&amp;xyz!$A92,data!$B:$B,"="&amp;xyz!E$2)</f>
        <v>0</v>
      </c>
      <c r="F92">
        <f>SUMIFS(data!$C:$C,data!$A:$A,"="&amp;xyz!$A92,data!$B:$B,"="&amp;xyz!F$2)</f>
        <v>0</v>
      </c>
      <c r="G92">
        <f>SUMIFS(data!$C:$C,data!$A:$A,"="&amp;xyz!$A92,data!$B:$B,"="&amp;xyz!G$2)</f>
        <v>0</v>
      </c>
      <c r="H92">
        <f>SUMIFS(data!$C:$C,data!$A:$A,"="&amp;xyz!$A92,data!$B:$B,"="&amp;xyz!H$2)</f>
        <v>2</v>
      </c>
      <c r="I92">
        <f>SUMIFS(data!$C:$C,data!$A:$A,"="&amp;xyz!$A92,data!$B:$B,"="&amp;xyz!I$2)</f>
        <v>3</v>
      </c>
      <c r="J92">
        <f>SUMIFS(data!$C:$C,data!$A:$A,"="&amp;xyz!$A92,data!$B:$B,"="&amp;xyz!J$2)</f>
        <v>0</v>
      </c>
      <c r="K92">
        <f>SUMIFS(data!$C:$C,data!$A:$A,"="&amp;xyz!$A92,data!$B:$B,"="&amp;xyz!K$2)</f>
        <v>0</v>
      </c>
      <c r="L92">
        <f>SUMIFS(data!$C:$C,data!$A:$A,"="&amp;xyz!$A92,data!$B:$B,"="&amp;xyz!L$2)</f>
        <v>2</v>
      </c>
      <c r="M92">
        <f>SUMIFS(data!$C:$C,data!$A:$A,"="&amp;xyz!$A92,data!$B:$B,"="&amp;xyz!M$2)</f>
        <v>1</v>
      </c>
      <c r="N92">
        <f>SUMIFS(data!$C:$C,data!$A:$A,"="&amp;xyz!$A92,data!$B:$B,"="&amp;xyz!N$2)</f>
        <v>1</v>
      </c>
      <c r="O92">
        <f>SUMIFS(data!$C:$C,data!$A:$A,"="&amp;xyz!$A92,data!$B:$B,"="&amp;xyz!O$2)</f>
        <v>1</v>
      </c>
      <c r="P92">
        <f>SUMIFS(data!$C:$C,data!$A:$A,"="&amp;xyz!$A92,data!$B:$B,"="&amp;xyz!P$2)</f>
        <v>2</v>
      </c>
      <c r="Q92">
        <f>SUMIFS(data!$C:$C,data!$A:$A,"="&amp;xyz!$A92,data!$B:$B,"="&amp;xyz!Q$2)</f>
        <v>0</v>
      </c>
      <c r="R92">
        <f>SUMIFS(data!$C:$C,data!$A:$A,"="&amp;xyz!$A92,data!$B:$B,"="&amp;xyz!R$2)</f>
        <v>6</v>
      </c>
      <c r="S92">
        <f>SUMIFS(data!$C:$C,data!$A:$A,"="&amp;xyz!$A92,data!$B:$B,"="&amp;xyz!S$2)</f>
        <v>3</v>
      </c>
      <c r="T92">
        <f>SUMIFS(data!$C:$C,data!$A:$A,"="&amp;xyz!$A92,data!$B:$B,"="&amp;xyz!T$2)</f>
        <v>2</v>
      </c>
      <c r="U92">
        <f>SUMIFS(data!$C:$C,data!$A:$A,"="&amp;xyz!$A92,data!$B:$B,"="&amp;xyz!U$2)</f>
        <v>1</v>
      </c>
      <c r="V92">
        <f>SUMIFS(data!$C:$C,data!$A:$A,"="&amp;xyz!$A92,data!$B:$B,"="&amp;xyz!V$2)</f>
        <v>3</v>
      </c>
      <c r="W92">
        <f>SUMIFS(data!$C:$C,data!$A:$A,"="&amp;xyz!$A92,data!$B:$B,"="&amp;xyz!W$2)</f>
        <v>1</v>
      </c>
      <c r="X92">
        <f>SUMIFS(data!$C:$C,data!$A:$A,"="&amp;xyz!$A92,data!$B:$B,"="&amp;xyz!X$2)</f>
        <v>2</v>
      </c>
      <c r="Y92">
        <f>SUMIFS(data!$C:$C,data!$A:$A,"="&amp;xyz!$A92,data!$B:$B,"="&amp;xyz!Y$2)</f>
        <v>6</v>
      </c>
      <c r="Z92">
        <f>SUMIFS(data!$C:$C,data!$A:$A,"="&amp;xyz!$A92,data!$B:$B,"="&amp;xyz!Z$2)</f>
        <v>0</v>
      </c>
      <c r="AA92">
        <f>SUMIFS(data!$C:$C,data!$A:$A,"="&amp;xyz!$A92,data!$B:$B,"="&amp;xyz!AA$2)</f>
        <v>2</v>
      </c>
      <c r="AB92">
        <f>SUMIFS(data!$C:$C,data!$A:$A,"="&amp;xyz!$A92,data!$B:$B,"="&amp;xyz!AB$2)</f>
        <v>0</v>
      </c>
      <c r="AC92">
        <f>SUMIFS(data!$C:$C,data!$A:$A,"="&amp;xyz!$A92,data!$B:$B,"="&amp;xyz!AC$2)</f>
        <v>0</v>
      </c>
      <c r="AD92">
        <f>SUMIFS(data!$C:$C,data!$A:$A,"="&amp;xyz!$A92,data!$B:$B,"="&amp;xyz!AD$2)</f>
        <v>0</v>
      </c>
      <c r="AE92">
        <f>SUMIFS(data!$C:$C,data!$A:$A,"="&amp;xyz!$A92,data!$B:$B,"="&amp;xyz!AE$2)</f>
        <v>6</v>
      </c>
      <c r="AF92">
        <f>SUMIFS(data!$C:$C,data!$A:$A,"="&amp;xyz!$A92,data!$B:$B,"="&amp;xyz!AF$2)</f>
        <v>4</v>
      </c>
      <c r="AG92">
        <f>SUMIFS(data!$C:$C,data!$A:$A,"="&amp;xyz!$A92,data!$B:$B,"="&amp;xyz!AG$2)</f>
        <v>1</v>
      </c>
      <c r="AH92">
        <f>SUMIFS(data!$C:$C,data!$A:$A,"="&amp;xyz!$A92,data!$B:$B,"="&amp;xyz!AH$2)</f>
        <v>2</v>
      </c>
      <c r="AI92">
        <f>SUMIFS(data!$C:$C,data!$A:$A,"="&amp;xyz!$A92,data!$B:$B,"="&amp;xyz!AI$2)</f>
        <v>2</v>
      </c>
      <c r="AJ92">
        <f>SUMIFS(data!$C:$C,data!$A:$A,"="&amp;xyz!$A92,data!$B:$B,"="&amp;xyz!AJ$2)</f>
        <v>0</v>
      </c>
      <c r="AK92">
        <f>SUMIFS(data!$C:$C,data!$A:$A,"="&amp;xyz!$A92,data!$B:$B,"="&amp;xyz!AK$2)</f>
        <v>2</v>
      </c>
      <c r="AL92">
        <f>SUMIFS(data!$C:$C,data!$A:$A,"="&amp;xyz!$A92,data!$B:$B,"="&amp;xyz!AL$2)</f>
        <v>0</v>
      </c>
      <c r="AM92">
        <f>SUMIFS(data!$C:$C,data!$A:$A,"="&amp;xyz!$A92,data!$B:$B,"="&amp;xyz!AM$2)</f>
        <v>0</v>
      </c>
      <c r="AN92">
        <f>SUMIFS(data!$C:$C,data!$A:$A,"="&amp;xyz!$A92,data!$B:$B,"="&amp;xyz!AN$2)</f>
        <v>2</v>
      </c>
      <c r="AO92">
        <f>SUMIFS(data!$C:$C,data!$A:$A,"="&amp;xyz!$A92,data!$B:$B,"="&amp;xyz!AO$2)</f>
        <v>0</v>
      </c>
      <c r="AP92">
        <f>SUMIFS(data!$C:$C,data!$A:$A,"="&amp;xyz!$A92,data!$B:$B,"="&amp;xyz!AP$2)</f>
        <v>0</v>
      </c>
      <c r="AQ92" s="6">
        <f t="shared" si="4"/>
        <v>1.1297580609817646</v>
      </c>
    </row>
    <row r="93" spans="1:43" x14ac:dyDescent="0.3">
      <c r="A93" t="s">
        <v>64</v>
      </c>
      <c r="B93" s="6">
        <f t="shared" si="3"/>
        <v>0.74019607843137236</v>
      </c>
      <c r="C93">
        <f>SUMIFS(data!$C:$C,data!$A:$A,"="&amp;xyz!$A93,data!$B:$B,"="&amp;xyz!C$2)</f>
        <v>3</v>
      </c>
      <c r="D93">
        <f>SUMIFS(data!$C:$C,data!$A:$A,"="&amp;xyz!$A93,data!$B:$B,"="&amp;xyz!D$2)</f>
        <v>1</v>
      </c>
      <c r="E93">
        <f>SUMIFS(data!$C:$C,data!$A:$A,"="&amp;xyz!$A93,data!$B:$B,"="&amp;xyz!E$2)</f>
        <v>0</v>
      </c>
      <c r="F93">
        <f>SUMIFS(data!$C:$C,data!$A:$A,"="&amp;xyz!$A93,data!$B:$B,"="&amp;xyz!F$2)</f>
        <v>2</v>
      </c>
      <c r="G93">
        <f>SUMIFS(data!$C:$C,data!$A:$A,"="&amp;xyz!$A93,data!$B:$B,"="&amp;xyz!G$2)</f>
        <v>1</v>
      </c>
      <c r="H93">
        <f>SUMIFS(data!$C:$C,data!$A:$A,"="&amp;xyz!$A93,data!$B:$B,"="&amp;xyz!H$2)</f>
        <v>1</v>
      </c>
      <c r="I93">
        <f>SUMIFS(data!$C:$C,data!$A:$A,"="&amp;xyz!$A93,data!$B:$B,"="&amp;xyz!I$2)</f>
        <v>1</v>
      </c>
      <c r="J93">
        <f>SUMIFS(data!$C:$C,data!$A:$A,"="&amp;xyz!$A93,data!$B:$B,"="&amp;xyz!J$2)</f>
        <v>0</v>
      </c>
      <c r="K93">
        <f>SUMIFS(data!$C:$C,data!$A:$A,"="&amp;xyz!$A93,data!$B:$B,"="&amp;xyz!K$2)</f>
        <v>0</v>
      </c>
      <c r="L93">
        <f>SUMIFS(data!$C:$C,data!$A:$A,"="&amp;xyz!$A93,data!$B:$B,"="&amp;xyz!L$2)</f>
        <v>2</v>
      </c>
      <c r="M93">
        <f>SUMIFS(data!$C:$C,data!$A:$A,"="&amp;xyz!$A93,data!$B:$B,"="&amp;xyz!M$2)</f>
        <v>3</v>
      </c>
      <c r="N93">
        <f>SUMIFS(data!$C:$C,data!$A:$A,"="&amp;xyz!$A93,data!$B:$B,"="&amp;xyz!N$2)</f>
        <v>1</v>
      </c>
      <c r="O93">
        <f>SUMIFS(data!$C:$C,data!$A:$A,"="&amp;xyz!$A93,data!$B:$B,"="&amp;xyz!O$2)</f>
        <v>1</v>
      </c>
      <c r="P93">
        <f>SUMIFS(data!$C:$C,data!$A:$A,"="&amp;xyz!$A93,data!$B:$B,"="&amp;xyz!P$2)</f>
        <v>4</v>
      </c>
      <c r="Q93">
        <f>SUMIFS(data!$C:$C,data!$A:$A,"="&amp;xyz!$A93,data!$B:$B,"="&amp;xyz!Q$2)</f>
        <v>0</v>
      </c>
      <c r="R93">
        <f>SUMIFS(data!$C:$C,data!$A:$A,"="&amp;xyz!$A93,data!$B:$B,"="&amp;xyz!R$2)</f>
        <v>2</v>
      </c>
      <c r="S93">
        <f>SUMIFS(data!$C:$C,data!$A:$A,"="&amp;xyz!$A93,data!$B:$B,"="&amp;xyz!S$2)</f>
        <v>2</v>
      </c>
      <c r="T93">
        <f>SUMIFS(data!$C:$C,data!$A:$A,"="&amp;xyz!$A93,data!$B:$B,"="&amp;xyz!T$2)</f>
        <v>3</v>
      </c>
      <c r="U93">
        <f>SUMIFS(data!$C:$C,data!$A:$A,"="&amp;xyz!$A93,data!$B:$B,"="&amp;xyz!U$2)</f>
        <v>1</v>
      </c>
      <c r="V93">
        <f>SUMIFS(data!$C:$C,data!$A:$A,"="&amp;xyz!$A93,data!$B:$B,"="&amp;xyz!V$2)</f>
        <v>2</v>
      </c>
      <c r="W93">
        <f>SUMIFS(data!$C:$C,data!$A:$A,"="&amp;xyz!$A93,data!$B:$B,"="&amp;xyz!W$2)</f>
        <v>1</v>
      </c>
      <c r="X93">
        <f>SUMIFS(data!$C:$C,data!$A:$A,"="&amp;xyz!$A93,data!$B:$B,"="&amp;xyz!X$2)</f>
        <v>1</v>
      </c>
      <c r="Y93">
        <f>SUMIFS(data!$C:$C,data!$A:$A,"="&amp;xyz!$A93,data!$B:$B,"="&amp;xyz!Y$2)</f>
        <v>1</v>
      </c>
      <c r="Z93">
        <f>SUMIFS(data!$C:$C,data!$A:$A,"="&amp;xyz!$A93,data!$B:$B,"="&amp;xyz!Z$2)</f>
        <v>0</v>
      </c>
      <c r="AA93">
        <f>SUMIFS(data!$C:$C,data!$A:$A,"="&amp;xyz!$A93,data!$B:$B,"="&amp;xyz!AA$2)</f>
        <v>3</v>
      </c>
      <c r="AB93">
        <f>SUMIFS(data!$C:$C,data!$A:$A,"="&amp;xyz!$A93,data!$B:$B,"="&amp;xyz!AB$2)</f>
        <v>0</v>
      </c>
      <c r="AC93">
        <f>SUMIFS(data!$C:$C,data!$A:$A,"="&amp;xyz!$A93,data!$B:$B,"="&amp;xyz!AC$2)</f>
        <v>0</v>
      </c>
      <c r="AD93">
        <f>SUMIFS(data!$C:$C,data!$A:$A,"="&amp;xyz!$A93,data!$B:$B,"="&amp;xyz!AD$2)</f>
        <v>0</v>
      </c>
      <c r="AE93">
        <f>SUMIFS(data!$C:$C,data!$A:$A,"="&amp;xyz!$A93,data!$B:$B,"="&amp;xyz!AE$2)</f>
        <v>0</v>
      </c>
      <c r="AF93">
        <f>SUMIFS(data!$C:$C,data!$A:$A,"="&amp;xyz!$A93,data!$B:$B,"="&amp;xyz!AF$2)</f>
        <v>3</v>
      </c>
      <c r="AG93">
        <f>SUMIFS(data!$C:$C,data!$A:$A,"="&amp;xyz!$A93,data!$B:$B,"="&amp;xyz!AG$2)</f>
        <v>2</v>
      </c>
      <c r="AH93">
        <f>SUMIFS(data!$C:$C,data!$A:$A,"="&amp;xyz!$A93,data!$B:$B,"="&amp;xyz!AH$2)</f>
        <v>3</v>
      </c>
      <c r="AI93">
        <f>SUMIFS(data!$C:$C,data!$A:$A,"="&amp;xyz!$A93,data!$B:$B,"="&amp;xyz!AI$2)</f>
        <v>1</v>
      </c>
      <c r="AJ93">
        <f>SUMIFS(data!$C:$C,data!$A:$A,"="&amp;xyz!$A93,data!$B:$B,"="&amp;xyz!AJ$2)</f>
        <v>2</v>
      </c>
      <c r="AK93">
        <f>SUMIFS(data!$C:$C,data!$A:$A,"="&amp;xyz!$A93,data!$B:$B,"="&amp;xyz!AK$2)</f>
        <v>0</v>
      </c>
      <c r="AL93">
        <f>SUMIFS(data!$C:$C,data!$A:$A,"="&amp;xyz!$A93,data!$B:$B,"="&amp;xyz!AL$2)</f>
        <v>0</v>
      </c>
      <c r="AM93">
        <f>SUMIFS(data!$C:$C,data!$A:$A,"="&amp;xyz!$A93,data!$B:$B,"="&amp;xyz!AM$2)</f>
        <v>1</v>
      </c>
      <c r="AN93">
        <f>SUMIFS(data!$C:$C,data!$A:$A,"="&amp;xyz!$A93,data!$B:$B,"="&amp;xyz!AN$2)</f>
        <v>0</v>
      </c>
      <c r="AO93">
        <f>SUMIFS(data!$C:$C,data!$A:$A,"="&amp;xyz!$A93,data!$B:$B,"="&amp;xyz!AO$2)</f>
        <v>2</v>
      </c>
      <c r="AP93">
        <f>SUMIFS(data!$C:$C,data!$A:$A,"="&amp;xyz!$A93,data!$B:$B,"="&amp;xyz!AP$2)</f>
        <v>1</v>
      </c>
      <c r="AQ93" s="6">
        <f t="shared" si="4"/>
        <v>0.88783837607337535</v>
      </c>
    </row>
    <row r="94" spans="1:43" x14ac:dyDescent="0.3">
      <c r="A94" t="s">
        <v>128</v>
      </c>
      <c r="B94" s="6">
        <f t="shared" si="3"/>
        <v>0.81666666666666676</v>
      </c>
      <c r="C94">
        <f>SUMIFS(data!$C:$C,data!$A:$A,"="&amp;xyz!$A94,data!$B:$B,"="&amp;xyz!C$2)</f>
        <v>0</v>
      </c>
      <c r="D94">
        <f>SUMIFS(data!$C:$C,data!$A:$A,"="&amp;xyz!$A94,data!$B:$B,"="&amp;xyz!D$2)</f>
        <v>1</v>
      </c>
      <c r="E94">
        <f>SUMIFS(data!$C:$C,data!$A:$A,"="&amp;xyz!$A94,data!$B:$B,"="&amp;xyz!E$2)</f>
        <v>0</v>
      </c>
      <c r="F94">
        <f>SUMIFS(data!$C:$C,data!$A:$A,"="&amp;xyz!$A94,data!$B:$B,"="&amp;xyz!F$2)</f>
        <v>0</v>
      </c>
      <c r="G94">
        <f>SUMIFS(data!$C:$C,data!$A:$A,"="&amp;xyz!$A94,data!$B:$B,"="&amp;xyz!G$2)</f>
        <v>1</v>
      </c>
      <c r="H94">
        <f>SUMIFS(data!$C:$C,data!$A:$A,"="&amp;xyz!$A94,data!$B:$B,"="&amp;xyz!H$2)</f>
        <v>0</v>
      </c>
      <c r="I94">
        <f>SUMIFS(data!$C:$C,data!$A:$A,"="&amp;xyz!$A94,data!$B:$B,"="&amp;xyz!I$2)</f>
        <v>0</v>
      </c>
      <c r="J94">
        <f>SUMIFS(data!$C:$C,data!$A:$A,"="&amp;xyz!$A94,data!$B:$B,"="&amp;xyz!J$2)</f>
        <v>0</v>
      </c>
      <c r="K94">
        <f>SUMIFS(data!$C:$C,data!$A:$A,"="&amp;xyz!$A94,data!$B:$B,"="&amp;xyz!K$2)</f>
        <v>0</v>
      </c>
      <c r="L94">
        <f>SUMIFS(data!$C:$C,data!$A:$A,"="&amp;xyz!$A94,data!$B:$B,"="&amp;xyz!L$2)</f>
        <v>1</v>
      </c>
      <c r="M94">
        <f>SUMIFS(data!$C:$C,data!$A:$A,"="&amp;xyz!$A94,data!$B:$B,"="&amp;xyz!M$2)</f>
        <v>5</v>
      </c>
      <c r="N94">
        <f>SUMIFS(data!$C:$C,data!$A:$A,"="&amp;xyz!$A94,data!$B:$B,"="&amp;xyz!N$2)</f>
        <v>1</v>
      </c>
      <c r="O94">
        <f>SUMIFS(data!$C:$C,data!$A:$A,"="&amp;xyz!$A94,data!$B:$B,"="&amp;xyz!O$2)</f>
        <v>1</v>
      </c>
      <c r="P94">
        <f>SUMIFS(data!$C:$C,data!$A:$A,"="&amp;xyz!$A94,data!$B:$B,"="&amp;xyz!P$2)</f>
        <v>1</v>
      </c>
      <c r="Q94">
        <f>SUMIFS(data!$C:$C,data!$A:$A,"="&amp;xyz!$A94,data!$B:$B,"="&amp;xyz!Q$2)</f>
        <v>0</v>
      </c>
      <c r="R94">
        <f>SUMIFS(data!$C:$C,data!$A:$A,"="&amp;xyz!$A94,data!$B:$B,"="&amp;xyz!R$2)</f>
        <v>1</v>
      </c>
      <c r="S94">
        <f>SUMIFS(data!$C:$C,data!$A:$A,"="&amp;xyz!$A94,data!$B:$B,"="&amp;xyz!S$2)</f>
        <v>1</v>
      </c>
      <c r="T94">
        <f>SUMIFS(data!$C:$C,data!$A:$A,"="&amp;xyz!$A94,data!$B:$B,"="&amp;xyz!T$2)</f>
        <v>0</v>
      </c>
      <c r="U94">
        <f>SUMIFS(data!$C:$C,data!$A:$A,"="&amp;xyz!$A94,data!$B:$B,"="&amp;xyz!U$2)</f>
        <v>0</v>
      </c>
      <c r="V94">
        <f>SUMIFS(data!$C:$C,data!$A:$A,"="&amp;xyz!$A94,data!$B:$B,"="&amp;xyz!V$2)</f>
        <v>0</v>
      </c>
      <c r="W94">
        <f>SUMIFS(data!$C:$C,data!$A:$A,"="&amp;xyz!$A94,data!$B:$B,"="&amp;xyz!W$2)</f>
        <v>1</v>
      </c>
      <c r="X94">
        <f>SUMIFS(data!$C:$C,data!$A:$A,"="&amp;xyz!$A94,data!$B:$B,"="&amp;xyz!X$2)</f>
        <v>0</v>
      </c>
      <c r="Y94">
        <f>SUMIFS(data!$C:$C,data!$A:$A,"="&amp;xyz!$A94,data!$B:$B,"="&amp;xyz!Y$2)</f>
        <v>3</v>
      </c>
      <c r="Z94">
        <f>SUMIFS(data!$C:$C,data!$A:$A,"="&amp;xyz!$A94,data!$B:$B,"="&amp;xyz!Z$2)</f>
        <v>4</v>
      </c>
      <c r="AA94">
        <f>SUMIFS(data!$C:$C,data!$A:$A,"="&amp;xyz!$A94,data!$B:$B,"="&amp;xyz!AA$2)</f>
        <v>1</v>
      </c>
      <c r="AB94">
        <f>SUMIFS(data!$C:$C,data!$A:$A,"="&amp;xyz!$A94,data!$B:$B,"="&amp;xyz!AB$2)</f>
        <v>1</v>
      </c>
      <c r="AC94">
        <f>SUMIFS(data!$C:$C,data!$A:$A,"="&amp;xyz!$A94,data!$B:$B,"="&amp;xyz!AC$2)</f>
        <v>2</v>
      </c>
      <c r="AD94">
        <f>SUMIFS(data!$C:$C,data!$A:$A,"="&amp;xyz!$A94,data!$B:$B,"="&amp;xyz!AD$2)</f>
        <v>4</v>
      </c>
      <c r="AE94">
        <f>SUMIFS(data!$C:$C,data!$A:$A,"="&amp;xyz!$A94,data!$B:$B,"="&amp;xyz!AE$2)</f>
        <v>2</v>
      </c>
      <c r="AF94">
        <f>SUMIFS(data!$C:$C,data!$A:$A,"="&amp;xyz!$A94,data!$B:$B,"="&amp;xyz!AF$2)</f>
        <v>2</v>
      </c>
      <c r="AG94">
        <f>SUMIFS(data!$C:$C,data!$A:$A,"="&amp;xyz!$A94,data!$B:$B,"="&amp;xyz!AG$2)</f>
        <v>2</v>
      </c>
      <c r="AH94">
        <f>SUMIFS(data!$C:$C,data!$A:$A,"="&amp;xyz!$A94,data!$B:$B,"="&amp;xyz!AH$2)</f>
        <v>3</v>
      </c>
      <c r="AI94">
        <f>SUMIFS(data!$C:$C,data!$A:$A,"="&amp;xyz!$A94,data!$B:$B,"="&amp;xyz!AI$2)</f>
        <v>3</v>
      </c>
      <c r="AJ94">
        <f>SUMIFS(data!$C:$C,data!$A:$A,"="&amp;xyz!$A94,data!$B:$B,"="&amp;xyz!AJ$2)</f>
        <v>2</v>
      </c>
      <c r="AK94">
        <f>SUMIFS(data!$C:$C,data!$A:$A,"="&amp;xyz!$A94,data!$B:$B,"="&amp;xyz!AK$2)</f>
        <v>1</v>
      </c>
      <c r="AL94">
        <f>SUMIFS(data!$C:$C,data!$A:$A,"="&amp;xyz!$A94,data!$B:$B,"="&amp;xyz!AL$2)</f>
        <v>1</v>
      </c>
      <c r="AM94">
        <f>SUMIFS(data!$C:$C,data!$A:$A,"="&amp;xyz!$A94,data!$B:$B,"="&amp;xyz!AM$2)</f>
        <v>1</v>
      </c>
      <c r="AN94">
        <f>SUMIFS(data!$C:$C,data!$A:$A,"="&amp;xyz!$A94,data!$B:$B,"="&amp;xyz!AN$2)</f>
        <v>0</v>
      </c>
      <c r="AO94">
        <f>SUMIFS(data!$C:$C,data!$A:$A,"="&amp;xyz!$A94,data!$B:$B,"="&amp;xyz!AO$2)</f>
        <v>2</v>
      </c>
      <c r="AP94">
        <f>SUMIFS(data!$C:$C,data!$A:$A,"="&amp;xyz!$A94,data!$B:$B,"="&amp;xyz!AP$2)</f>
        <v>0</v>
      </c>
      <c r="AQ94" s="6">
        <f t="shared" si="4"/>
        <v>1.0708518322922398</v>
      </c>
    </row>
    <row r="95" spans="1:43" x14ac:dyDescent="0.3">
      <c r="A95" t="s">
        <v>136</v>
      </c>
      <c r="B95" s="6">
        <f t="shared" si="3"/>
        <v>0.59545454545454546</v>
      </c>
      <c r="C95">
        <f>SUMIFS(data!$C:$C,data!$A:$A,"="&amp;xyz!$A95,data!$B:$B,"="&amp;xyz!C$2)</f>
        <v>0</v>
      </c>
      <c r="D95">
        <f>SUMIFS(data!$C:$C,data!$A:$A,"="&amp;xyz!$A95,data!$B:$B,"="&amp;xyz!D$2)</f>
        <v>1</v>
      </c>
      <c r="E95">
        <f>SUMIFS(data!$C:$C,data!$A:$A,"="&amp;xyz!$A95,data!$B:$B,"="&amp;xyz!E$2)</f>
        <v>3</v>
      </c>
      <c r="F95">
        <f>SUMIFS(data!$C:$C,data!$A:$A,"="&amp;xyz!$A95,data!$B:$B,"="&amp;xyz!F$2)</f>
        <v>1</v>
      </c>
      <c r="G95">
        <f>SUMIFS(data!$C:$C,data!$A:$A,"="&amp;xyz!$A95,data!$B:$B,"="&amp;xyz!G$2)</f>
        <v>1</v>
      </c>
      <c r="H95">
        <f>SUMIFS(data!$C:$C,data!$A:$A,"="&amp;xyz!$A95,data!$B:$B,"="&amp;xyz!H$2)</f>
        <v>1</v>
      </c>
      <c r="I95">
        <f>SUMIFS(data!$C:$C,data!$A:$A,"="&amp;xyz!$A95,data!$B:$B,"="&amp;xyz!I$2)</f>
        <v>1</v>
      </c>
      <c r="J95">
        <f>SUMIFS(data!$C:$C,data!$A:$A,"="&amp;xyz!$A95,data!$B:$B,"="&amp;xyz!J$2)</f>
        <v>3</v>
      </c>
      <c r="K95">
        <f>SUMIFS(data!$C:$C,data!$A:$A,"="&amp;xyz!$A95,data!$B:$B,"="&amp;xyz!K$2)</f>
        <v>0</v>
      </c>
      <c r="L95">
        <f>SUMIFS(data!$C:$C,data!$A:$A,"="&amp;xyz!$A95,data!$B:$B,"="&amp;xyz!L$2)</f>
        <v>1</v>
      </c>
      <c r="M95">
        <f>SUMIFS(data!$C:$C,data!$A:$A,"="&amp;xyz!$A95,data!$B:$B,"="&amp;xyz!M$2)</f>
        <v>2</v>
      </c>
      <c r="N95">
        <f>SUMIFS(data!$C:$C,data!$A:$A,"="&amp;xyz!$A95,data!$B:$B,"="&amp;xyz!N$2)</f>
        <v>2</v>
      </c>
      <c r="O95">
        <f>SUMIFS(data!$C:$C,data!$A:$A,"="&amp;xyz!$A95,data!$B:$B,"="&amp;xyz!O$2)</f>
        <v>2</v>
      </c>
      <c r="P95">
        <f>SUMIFS(data!$C:$C,data!$A:$A,"="&amp;xyz!$A95,data!$B:$B,"="&amp;xyz!P$2)</f>
        <v>0</v>
      </c>
      <c r="Q95">
        <f>SUMIFS(data!$C:$C,data!$A:$A,"="&amp;xyz!$A95,data!$B:$B,"="&amp;xyz!Q$2)</f>
        <v>1</v>
      </c>
      <c r="R95">
        <f>SUMIFS(data!$C:$C,data!$A:$A,"="&amp;xyz!$A95,data!$B:$B,"="&amp;xyz!R$2)</f>
        <v>2</v>
      </c>
      <c r="S95">
        <f>SUMIFS(data!$C:$C,data!$A:$A,"="&amp;xyz!$A95,data!$B:$B,"="&amp;xyz!S$2)</f>
        <v>4</v>
      </c>
      <c r="T95">
        <f>SUMIFS(data!$C:$C,data!$A:$A,"="&amp;xyz!$A95,data!$B:$B,"="&amp;xyz!T$2)</f>
        <v>3</v>
      </c>
      <c r="U95">
        <f>SUMIFS(data!$C:$C,data!$A:$A,"="&amp;xyz!$A95,data!$B:$B,"="&amp;xyz!U$2)</f>
        <v>1</v>
      </c>
      <c r="V95">
        <f>SUMIFS(data!$C:$C,data!$A:$A,"="&amp;xyz!$A95,data!$B:$B,"="&amp;xyz!V$2)</f>
        <v>3</v>
      </c>
      <c r="W95">
        <f>SUMIFS(data!$C:$C,data!$A:$A,"="&amp;xyz!$A95,data!$B:$B,"="&amp;xyz!W$2)</f>
        <v>2</v>
      </c>
      <c r="X95">
        <f>SUMIFS(data!$C:$C,data!$A:$A,"="&amp;xyz!$A95,data!$B:$B,"="&amp;xyz!X$2)</f>
        <v>1</v>
      </c>
      <c r="Y95">
        <f>SUMIFS(data!$C:$C,data!$A:$A,"="&amp;xyz!$A95,data!$B:$B,"="&amp;xyz!Y$2)</f>
        <v>0</v>
      </c>
      <c r="Z95">
        <f>SUMIFS(data!$C:$C,data!$A:$A,"="&amp;xyz!$A95,data!$B:$B,"="&amp;xyz!Z$2)</f>
        <v>1</v>
      </c>
      <c r="AA95">
        <f>SUMIFS(data!$C:$C,data!$A:$A,"="&amp;xyz!$A95,data!$B:$B,"="&amp;xyz!AA$2)</f>
        <v>2</v>
      </c>
      <c r="AB95">
        <f>SUMIFS(data!$C:$C,data!$A:$A,"="&amp;xyz!$A95,data!$B:$B,"="&amp;xyz!AB$2)</f>
        <v>1</v>
      </c>
      <c r="AC95">
        <f>SUMIFS(data!$C:$C,data!$A:$A,"="&amp;xyz!$A95,data!$B:$B,"="&amp;xyz!AC$2)</f>
        <v>2</v>
      </c>
      <c r="AD95">
        <f>SUMIFS(data!$C:$C,data!$A:$A,"="&amp;xyz!$A95,data!$B:$B,"="&amp;xyz!AD$2)</f>
        <v>1</v>
      </c>
      <c r="AE95">
        <f>SUMIFS(data!$C:$C,data!$A:$A,"="&amp;xyz!$A95,data!$B:$B,"="&amp;xyz!AE$2)</f>
        <v>0</v>
      </c>
      <c r="AF95">
        <f>SUMIFS(data!$C:$C,data!$A:$A,"="&amp;xyz!$A95,data!$B:$B,"="&amp;xyz!AF$2)</f>
        <v>2</v>
      </c>
      <c r="AG95">
        <f>SUMIFS(data!$C:$C,data!$A:$A,"="&amp;xyz!$A95,data!$B:$B,"="&amp;xyz!AG$2)</f>
        <v>1</v>
      </c>
      <c r="AH95">
        <f>SUMIFS(data!$C:$C,data!$A:$A,"="&amp;xyz!$A95,data!$B:$B,"="&amp;xyz!AH$2)</f>
        <v>1</v>
      </c>
      <c r="AI95">
        <f>SUMIFS(data!$C:$C,data!$A:$A,"="&amp;xyz!$A95,data!$B:$B,"="&amp;xyz!AI$2)</f>
        <v>2</v>
      </c>
      <c r="AJ95">
        <f>SUMIFS(data!$C:$C,data!$A:$A,"="&amp;xyz!$A95,data!$B:$B,"="&amp;xyz!AJ$2)</f>
        <v>1</v>
      </c>
      <c r="AK95">
        <f>SUMIFS(data!$C:$C,data!$A:$A,"="&amp;xyz!$A95,data!$B:$B,"="&amp;xyz!AK$2)</f>
        <v>0</v>
      </c>
      <c r="AL95">
        <f>SUMIFS(data!$C:$C,data!$A:$A,"="&amp;xyz!$A95,data!$B:$B,"="&amp;xyz!AL$2)</f>
        <v>1</v>
      </c>
      <c r="AM95">
        <f>SUMIFS(data!$C:$C,data!$A:$A,"="&amp;xyz!$A95,data!$B:$B,"="&amp;xyz!AM$2)</f>
        <v>1</v>
      </c>
      <c r="AN95">
        <f>SUMIFS(data!$C:$C,data!$A:$A,"="&amp;xyz!$A95,data!$B:$B,"="&amp;xyz!AN$2)</f>
        <v>3</v>
      </c>
      <c r="AO95">
        <f>SUMIFS(data!$C:$C,data!$A:$A,"="&amp;xyz!$A95,data!$B:$B,"="&amp;xyz!AO$2)</f>
        <v>1</v>
      </c>
      <c r="AP95">
        <f>SUMIFS(data!$C:$C,data!$A:$A,"="&amp;xyz!$A95,data!$B:$B,"="&amp;xyz!AP$2)</f>
        <v>0</v>
      </c>
      <c r="AQ95" s="6">
        <f t="shared" si="4"/>
        <v>0.73076086588045497</v>
      </c>
    </row>
    <row r="96" spans="1:43" x14ac:dyDescent="0.3">
      <c r="A96" t="s">
        <v>29</v>
      </c>
      <c r="B96" s="6">
        <f t="shared" si="3"/>
        <v>0.84716981388394463</v>
      </c>
      <c r="C96">
        <f>SUMIFS(data!$C:$C,data!$A:$A,"="&amp;xyz!$A96,data!$B:$B,"="&amp;xyz!C$2)</f>
        <v>0</v>
      </c>
      <c r="D96">
        <f>SUMIFS(data!$C:$C,data!$A:$A,"="&amp;xyz!$A96,data!$B:$B,"="&amp;xyz!D$2)</f>
        <v>0</v>
      </c>
      <c r="E96">
        <f>SUMIFS(data!$C:$C,data!$A:$A,"="&amp;xyz!$A96,data!$B:$B,"="&amp;xyz!E$2)</f>
        <v>0</v>
      </c>
      <c r="F96">
        <f>SUMIFS(data!$C:$C,data!$A:$A,"="&amp;xyz!$A96,data!$B:$B,"="&amp;xyz!F$2)</f>
        <v>2</v>
      </c>
      <c r="G96">
        <f>SUMIFS(data!$C:$C,data!$A:$A,"="&amp;xyz!$A96,data!$B:$B,"="&amp;xyz!G$2)</f>
        <v>0</v>
      </c>
      <c r="H96">
        <f>SUMIFS(data!$C:$C,data!$A:$A,"="&amp;xyz!$A96,data!$B:$B,"="&amp;xyz!H$2)</f>
        <v>4</v>
      </c>
      <c r="I96">
        <f>SUMIFS(data!$C:$C,data!$A:$A,"="&amp;xyz!$A96,data!$B:$B,"="&amp;xyz!I$2)</f>
        <v>2</v>
      </c>
      <c r="J96">
        <f>SUMIFS(data!$C:$C,data!$A:$A,"="&amp;xyz!$A96,data!$B:$B,"="&amp;xyz!J$2)</f>
        <v>0</v>
      </c>
      <c r="K96">
        <f>SUMIFS(data!$C:$C,data!$A:$A,"="&amp;xyz!$A96,data!$B:$B,"="&amp;xyz!K$2)</f>
        <v>0</v>
      </c>
      <c r="L96">
        <f>SUMIFS(data!$C:$C,data!$A:$A,"="&amp;xyz!$A96,data!$B:$B,"="&amp;xyz!L$2)</f>
        <v>0</v>
      </c>
      <c r="M96">
        <f>SUMIFS(data!$C:$C,data!$A:$A,"="&amp;xyz!$A96,data!$B:$B,"="&amp;xyz!M$2)</f>
        <v>1</v>
      </c>
      <c r="N96">
        <f>SUMIFS(data!$C:$C,data!$A:$A,"="&amp;xyz!$A96,data!$B:$B,"="&amp;xyz!N$2)</f>
        <v>0</v>
      </c>
      <c r="O96">
        <f>SUMIFS(data!$C:$C,data!$A:$A,"="&amp;xyz!$A96,data!$B:$B,"="&amp;xyz!O$2)</f>
        <v>0</v>
      </c>
      <c r="P96">
        <f>SUMIFS(data!$C:$C,data!$A:$A,"="&amp;xyz!$A96,data!$B:$B,"="&amp;xyz!P$2)</f>
        <v>3</v>
      </c>
      <c r="Q96">
        <f>SUMIFS(data!$C:$C,data!$A:$A,"="&amp;xyz!$A96,data!$B:$B,"="&amp;xyz!Q$2)</f>
        <v>1</v>
      </c>
      <c r="R96">
        <f>SUMIFS(data!$C:$C,data!$A:$A,"="&amp;xyz!$A96,data!$B:$B,"="&amp;xyz!R$2)</f>
        <v>4</v>
      </c>
      <c r="S96">
        <f>SUMIFS(data!$C:$C,data!$A:$A,"="&amp;xyz!$A96,data!$B:$B,"="&amp;xyz!S$2)</f>
        <v>1</v>
      </c>
      <c r="T96">
        <f>SUMIFS(data!$C:$C,data!$A:$A,"="&amp;xyz!$A96,data!$B:$B,"="&amp;xyz!T$2)</f>
        <v>1</v>
      </c>
      <c r="U96">
        <f>SUMIFS(data!$C:$C,data!$A:$A,"="&amp;xyz!$A96,data!$B:$B,"="&amp;xyz!U$2)</f>
        <v>0</v>
      </c>
      <c r="V96">
        <f>SUMIFS(data!$C:$C,data!$A:$A,"="&amp;xyz!$A96,data!$B:$B,"="&amp;xyz!V$2)</f>
        <v>3</v>
      </c>
      <c r="W96">
        <f>SUMIFS(data!$C:$C,data!$A:$A,"="&amp;xyz!$A96,data!$B:$B,"="&amp;xyz!W$2)</f>
        <v>1</v>
      </c>
      <c r="X96">
        <f>SUMIFS(data!$C:$C,data!$A:$A,"="&amp;xyz!$A96,data!$B:$B,"="&amp;xyz!X$2)</f>
        <v>1</v>
      </c>
      <c r="Y96">
        <f>SUMIFS(data!$C:$C,data!$A:$A,"="&amp;xyz!$A96,data!$B:$B,"="&amp;xyz!Y$2)</f>
        <v>6</v>
      </c>
      <c r="Z96">
        <f>SUMIFS(data!$C:$C,data!$A:$A,"="&amp;xyz!$A96,data!$B:$B,"="&amp;xyz!Z$2)</f>
        <v>0</v>
      </c>
      <c r="AA96">
        <f>SUMIFS(data!$C:$C,data!$A:$A,"="&amp;xyz!$A96,data!$B:$B,"="&amp;xyz!AA$2)</f>
        <v>3</v>
      </c>
      <c r="AB96">
        <f>SUMIFS(data!$C:$C,data!$A:$A,"="&amp;xyz!$A96,data!$B:$B,"="&amp;xyz!AB$2)</f>
        <v>2</v>
      </c>
      <c r="AC96">
        <f>SUMIFS(data!$C:$C,data!$A:$A,"="&amp;xyz!$A96,data!$B:$B,"="&amp;xyz!AC$2)</f>
        <v>1</v>
      </c>
      <c r="AD96">
        <f>SUMIFS(data!$C:$C,data!$A:$A,"="&amp;xyz!$A96,data!$B:$B,"="&amp;xyz!AD$2)</f>
        <v>1</v>
      </c>
      <c r="AE96">
        <f>SUMIFS(data!$C:$C,data!$A:$A,"="&amp;xyz!$A96,data!$B:$B,"="&amp;xyz!AE$2)</f>
        <v>1</v>
      </c>
      <c r="AF96">
        <f>SUMIFS(data!$C:$C,data!$A:$A,"="&amp;xyz!$A96,data!$B:$B,"="&amp;xyz!AF$2)</f>
        <v>2</v>
      </c>
      <c r="AG96">
        <f>SUMIFS(data!$C:$C,data!$A:$A,"="&amp;xyz!$A96,data!$B:$B,"="&amp;xyz!AG$2)</f>
        <v>3</v>
      </c>
      <c r="AH96">
        <f>SUMIFS(data!$C:$C,data!$A:$A,"="&amp;xyz!$A96,data!$B:$B,"="&amp;xyz!AH$2)</f>
        <v>0</v>
      </c>
      <c r="AI96">
        <f>SUMIFS(data!$C:$C,data!$A:$A,"="&amp;xyz!$A96,data!$B:$B,"="&amp;xyz!AI$2)</f>
        <v>3.0000003</v>
      </c>
      <c r="AJ96">
        <f>SUMIFS(data!$C:$C,data!$A:$A,"="&amp;xyz!$A96,data!$B:$B,"="&amp;xyz!AJ$2)</f>
        <v>2</v>
      </c>
      <c r="AK96">
        <f>SUMIFS(data!$C:$C,data!$A:$A,"="&amp;xyz!$A96,data!$B:$B,"="&amp;xyz!AK$2)</f>
        <v>1</v>
      </c>
      <c r="AL96">
        <f>SUMIFS(data!$C:$C,data!$A:$A,"="&amp;xyz!$A96,data!$B:$B,"="&amp;xyz!AL$2)</f>
        <v>0</v>
      </c>
      <c r="AM96">
        <f>SUMIFS(data!$C:$C,data!$A:$A,"="&amp;xyz!$A96,data!$B:$B,"="&amp;xyz!AM$2)</f>
        <v>1</v>
      </c>
      <c r="AN96">
        <f>SUMIFS(data!$C:$C,data!$A:$A,"="&amp;xyz!$A96,data!$B:$B,"="&amp;xyz!AN$2)</f>
        <v>2</v>
      </c>
      <c r="AO96">
        <f>SUMIFS(data!$C:$C,data!$A:$A,"="&amp;xyz!$A96,data!$B:$B,"="&amp;xyz!AO$2)</f>
        <v>0</v>
      </c>
      <c r="AP96">
        <f>SUMIFS(data!$C:$C,data!$A:$A,"="&amp;xyz!$A96,data!$B:$B,"="&amp;xyz!AP$2)</f>
        <v>1</v>
      </c>
      <c r="AQ96" s="6">
        <f t="shared" si="4"/>
        <v>1.072620330757762</v>
      </c>
    </row>
    <row r="97" spans="1:43" x14ac:dyDescent="0.3">
      <c r="A97" t="s">
        <v>97</v>
      </c>
      <c r="B97" s="6">
        <f t="shared" si="3"/>
        <v>0.8314814814814816</v>
      </c>
      <c r="C97">
        <f>SUMIFS(data!$C:$C,data!$A:$A,"="&amp;xyz!$A97,data!$B:$B,"="&amp;xyz!C$2)</f>
        <v>0</v>
      </c>
      <c r="D97">
        <f>SUMIFS(data!$C:$C,data!$A:$A,"="&amp;xyz!$A97,data!$B:$B,"="&amp;xyz!D$2)</f>
        <v>0</v>
      </c>
      <c r="E97">
        <f>SUMIFS(data!$C:$C,data!$A:$A,"="&amp;xyz!$A97,data!$B:$B,"="&amp;xyz!E$2)</f>
        <v>0</v>
      </c>
      <c r="F97">
        <f>SUMIFS(data!$C:$C,data!$A:$A,"="&amp;xyz!$A97,data!$B:$B,"="&amp;xyz!F$2)</f>
        <v>5</v>
      </c>
      <c r="G97">
        <f>SUMIFS(data!$C:$C,data!$A:$A,"="&amp;xyz!$A97,data!$B:$B,"="&amp;xyz!G$2)</f>
        <v>0</v>
      </c>
      <c r="H97">
        <f>SUMIFS(data!$C:$C,data!$A:$A,"="&amp;xyz!$A97,data!$B:$B,"="&amp;xyz!H$2)</f>
        <v>1</v>
      </c>
      <c r="I97">
        <f>SUMIFS(data!$C:$C,data!$A:$A,"="&amp;xyz!$A97,data!$B:$B,"="&amp;xyz!I$2)</f>
        <v>3</v>
      </c>
      <c r="J97">
        <f>SUMIFS(data!$C:$C,data!$A:$A,"="&amp;xyz!$A97,data!$B:$B,"="&amp;xyz!J$2)</f>
        <v>1</v>
      </c>
      <c r="K97">
        <f>SUMIFS(data!$C:$C,data!$A:$A,"="&amp;xyz!$A97,data!$B:$B,"="&amp;xyz!K$2)</f>
        <v>0</v>
      </c>
      <c r="L97">
        <f>SUMIFS(data!$C:$C,data!$A:$A,"="&amp;xyz!$A97,data!$B:$B,"="&amp;xyz!L$2)</f>
        <v>0</v>
      </c>
      <c r="M97">
        <f>SUMIFS(data!$C:$C,data!$A:$A,"="&amp;xyz!$A97,data!$B:$B,"="&amp;xyz!M$2)</f>
        <v>0</v>
      </c>
      <c r="N97">
        <f>SUMIFS(data!$C:$C,data!$A:$A,"="&amp;xyz!$A97,data!$B:$B,"="&amp;xyz!N$2)</f>
        <v>2</v>
      </c>
      <c r="O97">
        <f>SUMIFS(data!$C:$C,data!$A:$A,"="&amp;xyz!$A97,data!$B:$B,"="&amp;xyz!O$2)</f>
        <v>4</v>
      </c>
      <c r="P97">
        <f>SUMIFS(data!$C:$C,data!$A:$A,"="&amp;xyz!$A97,data!$B:$B,"="&amp;xyz!P$2)</f>
        <v>0</v>
      </c>
      <c r="Q97">
        <f>SUMIFS(data!$C:$C,data!$A:$A,"="&amp;xyz!$A97,data!$B:$B,"="&amp;xyz!Q$2)</f>
        <v>1</v>
      </c>
      <c r="R97">
        <f>SUMIFS(data!$C:$C,data!$A:$A,"="&amp;xyz!$A97,data!$B:$B,"="&amp;xyz!R$2)</f>
        <v>3</v>
      </c>
      <c r="S97">
        <f>SUMIFS(data!$C:$C,data!$A:$A,"="&amp;xyz!$A97,data!$B:$B,"="&amp;xyz!S$2)</f>
        <v>0</v>
      </c>
      <c r="T97">
        <f>SUMIFS(data!$C:$C,data!$A:$A,"="&amp;xyz!$A97,data!$B:$B,"="&amp;xyz!T$2)</f>
        <v>0</v>
      </c>
      <c r="U97">
        <f>SUMIFS(data!$C:$C,data!$A:$A,"="&amp;xyz!$A97,data!$B:$B,"="&amp;xyz!U$2)</f>
        <v>6</v>
      </c>
      <c r="V97">
        <f>SUMIFS(data!$C:$C,data!$A:$A,"="&amp;xyz!$A97,data!$B:$B,"="&amp;xyz!V$2)</f>
        <v>1</v>
      </c>
      <c r="W97">
        <f>SUMIFS(data!$C:$C,data!$A:$A,"="&amp;xyz!$A97,data!$B:$B,"="&amp;xyz!W$2)</f>
        <v>0</v>
      </c>
      <c r="X97">
        <f>SUMIFS(data!$C:$C,data!$A:$A,"="&amp;xyz!$A97,data!$B:$B,"="&amp;xyz!X$2)</f>
        <v>2</v>
      </c>
      <c r="Y97">
        <f>SUMIFS(data!$C:$C,data!$A:$A,"="&amp;xyz!$A97,data!$B:$B,"="&amp;xyz!Y$2)</f>
        <v>3</v>
      </c>
      <c r="Z97">
        <f>SUMIFS(data!$C:$C,data!$A:$A,"="&amp;xyz!$A97,data!$B:$B,"="&amp;xyz!Z$2)</f>
        <v>1</v>
      </c>
      <c r="AA97">
        <f>SUMIFS(data!$C:$C,data!$A:$A,"="&amp;xyz!$A97,data!$B:$B,"="&amp;xyz!AA$2)</f>
        <v>1</v>
      </c>
      <c r="AB97">
        <f>SUMIFS(data!$C:$C,data!$A:$A,"="&amp;xyz!$A97,data!$B:$B,"="&amp;xyz!AB$2)</f>
        <v>2</v>
      </c>
      <c r="AC97">
        <f>SUMIFS(data!$C:$C,data!$A:$A,"="&amp;xyz!$A97,data!$B:$B,"="&amp;xyz!AC$2)</f>
        <v>1</v>
      </c>
      <c r="AD97">
        <f>SUMIFS(data!$C:$C,data!$A:$A,"="&amp;xyz!$A97,data!$B:$B,"="&amp;xyz!AD$2)</f>
        <v>1</v>
      </c>
      <c r="AE97">
        <f>SUMIFS(data!$C:$C,data!$A:$A,"="&amp;xyz!$A97,data!$B:$B,"="&amp;xyz!AE$2)</f>
        <v>1</v>
      </c>
      <c r="AF97">
        <f>SUMIFS(data!$C:$C,data!$A:$A,"="&amp;xyz!$A97,data!$B:$B,"="&amp;xyz!AF$2)</f>
        <v>3</v>
      </c>
      <c r="AG97">
        <f>SUMIFS(data!$C:$C,data!$A:$A,"="&amp;xyz!$A97,data!$B:$B,"="&amp;xyz!AG$2)</f>
        <v>0</v>
      </c>
      <c r="AH97">
        <f>SUMIFS(data!$C:$C,data!$A:$A,"="&amp;xyz!$A97,data!$B:$B,"="&amp;xyz!AH$2)</f>
        <v>1</v>
      </c>
      <c r="AI97">
        <f>SUMIFS(data!$C:$C,data!$A:$A,"="&amp;xyz!$A97,data!$B:$B,"="&amp;xyz!AI$2)</f>
        <v>1</v>
      </c>
      <c r="AJ97">
        <f>SUMIFS(data!$C:$C,data!$A:$A,"="&amp;xyz!$A97,data!$B:$B,"="&amp;xyz!AJ$2)</f>
        <v>1</v>
      </c>
      <c r="AK97">
        <f>SUMIFS(data!$C:$C,data!$A:$A,"="&amp;xyz!$A97,data!$B:$B,"="&amp;xyz!AK$2)</f>
        <v>1</v>
      </c>
      <c r="AL97">
        <f>SUMIFS(data!$C:$C,data!$A:$A,"="&amp;xyz!$A97,data!$B:$B,"="&amp;xyz!AL$2)</f>
        <v>2</v>
      </c>
      <c r="AM97">
        <f>SUMIFS(data!$C:$C,data!$A:$A,"="&amp;xyz!$A97,data!$B:$B,"="&amp;xyz!AM$2)</f>
        <v>0</v>
      </c>
      <c r="AN97">
        <f>SUMIFS(data!$C:$C,data!$A:$A,"="&amp;xyz!$A97,data!$B:$B,"="&amp;xyz!AN$2)</f>
        <v>2</v>
      </c>
      <c r="AO97">
        <f>SUMIFS(data!$C:$C,data!$A:$A,"="&amp;xyz!$A97,data!$B:$B,"="&amp;xyz!AO$2)</f>
        <v>1</v>
      </c>
      <c r="AP97">
        <f>SUMIFS(data!$C:$C,data!$A:$A,"="&amp;xyz!$A97,data!$B:$B,"="&amp;xyz!AP$2)</f>
        <v>3</v>
      </c>
      <c r="AQ97" s="6">
        <f t="shared" si="4"/>
        <v>1.0812707127872923</v>
      </c>
    </row>
    <row r="98" spans="1:43" x14ac:dyDescent="0.3">
      <c r="A98" t="s">
        <v>54</v>
      </c>
      <c r="B98" s="6">
        <f t="shared" si="3"/>
        <v>0.71666666666666667</v>
      </c>
      <c r="C98">
        <f>SUMIFS(data!$C:$C,data!$A:$A,"="&amp;xyz!$A98,data!$B:$B,"="&amp;xyz!C$2)</f>
        <v>1</v>
      </c>
      <c r="D98">
        <f>SUMIFS(data!$C:$C,data!$A:$A,"="&amp;xyz!$A98,data!$B:$B,"="&amp;xyz!D$2)</f>
        <v>1</v>
      </c>
      <c r="E98">
        <f>SUMIFS(data!$C:$C,data!$A:$A,"="&amp;xyz!$A98,data!$B:$B,"="&amp;xyz!E$2)</f>
        <v>3</v>
      </c>
      <c r="F98">
        <f>SUMIFS(data!$C:$C,data!$A:$A,"="&amp;xyz!$A98,data!$B:$B,"="&amp;xyz!F$2)</f>
        <v>1</v>
      </c>
      <c r="G98">
        <f>SUMIFS(data!$C:$C,data!$A:$A,"="&amp;xyz!$A98,data!$B:$B,"="&amp;xyz!G$2)</f>
        <v>2</v>
      </c>
      <c r="H98">
        <f>SUMIFS(data!$C:$C,data!$A:$A,"="&amp;xyz!$A98,data!$B:$B,"="&amp;xyz!H$2)</f>
        <v>1</v>
      </c>
      <c r="I98">
        <f>SUMIFS(data!$C:$C,data!$A:$A,"="&amp;xyz!$A98,data!$B:$B,"="&amp;xyz!I$2)</f>
        <v>0</v>
      </c>
      <c r="J98">
        <f>SUMIFS(data!$C:$C,data!$A:$A,"="&amp;xyz!$A98,data!$B:$B,"="&amp;xyz!J$2)</f>
        <v>1</v>
      </c>
      <c r="K98">
        <f>SUMIFS(data!$C:$C,data!$A:$A,"="&amp;xyz!$A98,data!$B:$B,"="&amp;xyz!K$2)</f>
        <v>0</v>
      </c>
      <c r="L98">
        <f>SUMIFS(data!$C:$C,data!$A:$A,"="&amp;xyz!$A98,data!$B:$B,"="&amp;xyz!L$2)</f>
        <v>1</v>
      </c>
      <c r="M98">
        <f>SUMIFS(data!$C:$C,data!$A:$A,"="&amp;xyz!$A98,data!$B:$B,"="&amp;xyz!M$2)</f>
        <v>1</v>
      </c>
      <c r="N98">
        <f>SUMIFS(data!$C:$C,data!$A:$A,"="&amp;xyz!$A98,data!$B:$B,"="&amp;xyz!N$2)</f>
        <v>0</v>
      </c>
      <c r="O98">
        <f>SUMIFS(data!$C:$C,data!$A:$A,"="&amp;xyz!$A98,data!$B:$B,"="&amp;xyz!O$2)</f>
        <v>0</v>
      </c>
      <c r="P98">
        <f>SUMIFS(data!$C:$C,data!$A:$A,"="&amp;xyz!$A98,data!$B:$B,"="&amp;xyz!P$2)</f>
        <v>5</v>
      </c>
      <c r="Q98">
        <f>SUMIFS(data!$C:$C,data!$A:$A,"="&amp;xyz!$A98,data!$B:$B,"="&amp;xyz!Q$2)</f>
        <v>1</v>
      </c>
      <c r="R98">
        <f>SUMIFS(data!$C:$C,data!$A:$A,"="&amp;xyz!$A98,data!$B:$B,"="&amp;xyz!R$2)</f>
        <v>0</v>
      </c>
      <c r="S98">
        <f>SUMIFS(data!$C:$C,data!$A:$A,"="&amp;xyz!$A98,data!$B:$B,"="&amp;xyz!S$2)</f>
        <v>1</v>
      </c>
      <c r="T98">
        <f>SUMIFS(data!$C:$C,data!$A:$A,"="&amp;xyz!$A98,data!$B:$B,"="&amp;xyz!T$2)</f>
        <v>3</v>
      </c>
      <c r="U98">
        <f>SUMIFS(data!$C:$C,data!$A:$A,"="&amp;xyz!$A98,data!$B:$B,"="&amp;xyz!U$2)</f>
        <v>2</v>
      </c>
      <c r="V98">
        <f>SUMIFS(data!$C:$C,data!$A:$A,"="&amp;xyz!$A98,data!$B:$B,"="&amp;xyz!V$2)</f>
        <v>0</v>
      </c>
      <c r="W98">
        <f>SUMIFS(data!$C:$C,data!$A:$A,"="&amp;xyz!$A98,data!$B:$B,"="&amp;xyz!W$2)</f>
        <v>1</v>
      </c>
      <c r="X98">
        <f>SUMIFS(data!$C:$C,data!$A:$A,"="&amp;xyz!$A98,data!$B:$B,"="&amp;xyz!X$2)</f>
        <v>2</v>
      </c>
      <c r="Y98">
        <f>SUMIFS(data!$C:$C,data!$A:$A,"="&amp;xyz!$A98,data!$B:$B,"="&amp;xyz!Y$2)</f>
        <v>3</v>
      </c>
      <c r="Z98">
        <f>SUMIFS(data!$C:$C,data!$A:$A,"="&amp;xyz!$A98,data!$B:$B,"="&amp;xyz!Z$2)</f>
        <v>2</v>
      </c>
      <c r="AA98">
        <f>SUMIFS(data!$C:$C,data!$A:$A,"="&amp;xyz!$A98,data!$B:$B,"="&amp;xyz!AA$2)</f>
        <v>1</v>
      </c>
      <c r="AB98">
        <f>SUMIFS(data!$C:$C,data!$A:$A,"="&amp;xyz!$A98,data!$B:$B,"="&amp;xyz!AB$2)</f>
        <v>3</v>
      </c>
      <c r="AC98">
        <f>SUMIFS(data!$C:$C,data!$A:$A,"="&amp;xyz!$A98,data!$B:$B,"="&amp;xyz!AC$2)</f>
        <v>3</v>
      </c>
      <c r="AD98">
        <f>SUMIFS(data!$C:$C,data!$A:$A,"="&amp;xyz!$A98,data!$B:$B,"="&amp;xyz!AD$2)</f>
        <v>4</v>
      </c>
      <c r="AE98">
        <f>SUMIFS(data!$C:$C,data!$A:$A,"="&amp;xyz!$A98,data!$B:$B,"="&amp;xyz!AE$2)</f>
        <v>1</v>
      </c>
      <c r="AF98">
        <f>SUMIFS(data!$C:$C,data!$A:$A,"="&amp;xyz!$A98,data!$B:$B,"="&amp;xyz!AF$2)</f>
        <v>1</v>
      </c>
      <c r="AG98">
        <f>SUMIFS(data!$C:$C,data!$A:$A,"="&amp;xyz!$A98,data!$B:$B,"="&amp;xyz!AG$2)</f>
        <v>2</v>
      </c>
      <c r="AH98">
        <f>SUMIFS(data!$C:$C,data!$A:$A,"="&amp;xyz!$A98,data!$B:$B,"="&amp;xyz!AH$2)</f>
        <v>0</v>
      </c>
      <c r="AI98">
        <f>SUMIFS(data!$C:$C,data!$A:$A,"="&amp;xyz!$A98,data!$B:$B,"="&amp;xyz!AI$2)</f>
        <v>0</v>
      </c>
      <c r="AJ98">
        <f>SUMIFS(data!$C:$C,data!$A:$A,"="&amp;xyz!$A98,data!$B:$B,"="&amp;xyz!AJ$2)</f>
        <v>3</v>
      </c>
      <c r="AK98">
        <f>SUMIFS(data!$C:$C,data!$A:$A,"="&amp;xyz!$A98,data!$B:$B,"="&amp;xyz!AK$2)</f>
        <v>1</v>
      </c>
      <c r="AL98">
        <f>SUMIFS(data!$C:$C,data!$A:$A,"="&amp;xyz!$A98,data!$B:$B,"="&amp;xyz!AL$2)</f>
        <v>2</v>
      </c>
      <c r="AM98">
        <f>SUMIFS(data!$C:$C,data!$A:$A,"="&amp;xyz!$A98,data!$B:$B,"="&amp;xyz!AM$2)</f>
        <v>1</v>
      </c>
      <c r="AN98">
        <f>SUMIFS(data!$C:$C,data!$A:$A,"="&amp;xyz!$A98,data!$B:$B,"="&amp;xyz!AN$2)</f>
        <v>0</v>
      </c>
      <c r="AO98">
        <f>SUMIFS(data!$C:$C,data!$A:$A,"="&amp;xyz!$A98,data!$B:$B,"="&amp;xyz!AO$2)</f>
        <v>5</v>
      </c>
      <c r="AP98">
        <f>SUMIFS(data!$C:$C,data!$A:$A,"="&amp;xyz!$A98,data!$B:$B,"="&amp;xyz!AP$2)</f>
        <v>1</v>
      </c>
      <c r="AQ98" s="6">
        <f t="shared" si="4"/>
        <v>0.89315216940944486</v>
      </c>
    </row>
    <row r="99" spans="1:43" x14ac:dyDescent="0.3">
      <c r="A99" t="s">
        <v>84</v>
      </c>
      <c r="B99" s="6">
        <f t="shared" si="3"/>
        <v>0.78965517241379313</v>
      </c>
      <c r="C99">
        <f>SUMIFS(data!$C:$C,data!$A:$A,"="&amp;xyz!$A99,data!$B:$B,"="&amp;xyz!C$2)</f>
        <v>3</v>
      </c>
      <c r="D99">
        <f>SUMIFS(data!$C:$C,data!$A:$A,"="&amp;xyz!$A99,data!$B:$B,"="&amp;xyz!D$2)</f>
        <v>0</v>
      </c>
      <c r="E99">
        <f>SUMIFS(data!$C:$C,data!$A:$A,"="&amp;xyz!$A99,data!$B:$B,"="&amp;xyz!E$2)</f>
        <v>0</v>
      </c>
      <c r="F99">
        <f>SUMIFS(data!$C:$C,data!$A:$A,"="&amp;xyz!$A99,data!$B:$B,"="&amp;xyz!F$2)</f>
        <v>4</v>
      </c>
      <c r="G99">
        <f>SUMIFS(data!$C:$C,data!$A:$A,"="&amp;xyz!$A99,data!$B:$B,"="&amp;xyz!G$2)</f>
        <v>2</v>
      </c>
      <c r="H99">
        <f>SUMIFS(data!$C:$C,data!$A:$A,"="&amp;xyz!$A99,data!$B:$B,"="&amp;xyz!H$2)</f>
        <v>1</v>
      </c>
      <c r="I99">
        <f>SUMIFS(data!$C:$C,data!$A:$A,"="&amp;xyz!$A99,data!$B:$B,"="&amp;xyz!I$2)</f>
        <v>3</v>
      </c>
      <c r="J99">
        <f>SUMIFS(data!$C:$C,data!$A:$A,"="&amp;xyz!$A99,data!$B:$B,"="&amp;xyz!J$2)</f>
        <v>1</v>
      </c>
      <c r="K99">
        <f>SUMIFS(data!$C:$C,data!$A:$A,"="&amp;xyz!$A99,data!$B:$B,"="&amp;xyz!K$2)</f>
        <v>0</v>
      </c>
      <c r="L99">
        <f>SUMIFS(data!$C:$C,data!$A:$A,"="&amp;xyz!$A99,data!$B:$B,"="&amp;xyz!L$2)</f>
        <v>1</v>
      </c>
      <c r="M99">
        <f>SUMIFS(data!$C:$C,data!$A:$A,"="&amp;xyz!$A99,data!$B:$B,"="&amp;xyz!M$2)</f>
        <v>1</v>
      </c>
      <c r="N99">
        <f>SUMIFS(data!$C:$C,data!$A:$A,"="&amp;xyz!$A99,data!$B:$B,"="&amp;xyz!N$2)</f>
        <v>0</v>
      </c>
      <c r="O99">
        <f>SUMIFS(data!$C:$C,data!$A:$A,"="&amp;xyz!$A99,data!$B:$B,"="&amp;xyz!O$2)</f>
        <v>2</v>
      </c>
      <c r="P99">
        <f>SUMIFS(data!$C:$C,data!$A:$A,"="&amp;xyz!$A99,data!$B:$B,"="&amp;xyz!P$2)</f>
        <v>0</v>
      </c>
      <c r="Q99">
        <f>SUMIFS(data!$C:$C,data!$A:$A,"="&amp;xyz!$A99,data!$B:$B,"="&amp;xyz!Q$2)</f>
        <v>4</v>
      </c>
      <c r="R99">
        <f>SUMIFS(data!$C:$C,data!$A:$A,"="&amp;xyz!$A99,data!$B:$B,"="&amp;xyz!R$2)</f>
        <v>3</v>
      </c>
      <c r="S99">
        <f>SUMIFS(data!$C:$C,data!$A:$A,"="&amp;xyz!$A99,data!$B:$B,"="&amp;xyz!S$2)</f>
        <v>2</v>
      </c>
      <c r="T99">
        <f>SUMIFS(data!$C:$C,data!$A:$A,"="&amp;xyz!$A99,data!$B:$B,"="&amp;xyz!T$2)</f>
        <v>1</v>
      </c>
      <c r="U99">
        <f>SUMIFS(data!$C:$C,data!$A:$A,"="&amp;xyz!$A99,data!$B:$B,"="&amp;xyz!U$2)</f>
        <v>3</v>
      </c>
      <c r="V99">
        <f>SUMIFS(data!$C:$C,data!$A:$A,"="&amp;xyz!$A99,data!$B:$B,"="&amp;xyz!V$2)</f>
        <v>1</v>
      </c>
      <c r="W99">
        <f>SUMIFS(data!$C:$C,data!$A:$A,"="&amp;xyz!$A99,data!$B:$B,"="&amp;xyz!W$2)</f>
        <v>0</v>
      </c>
      <c r="X99">
        <f>SUMIFS(data!$C:$C,data!$A:$A,"="&amp;xyz!$A99,data!$B:$B,"="&amp;xyz!X$2)</f>
        <v>2</v>
      </c>
      <c r="Y99">
        <f>SUMIFS(data!$C:$C,data!$A:$A,"="&amp;xyz!$A99,data!$B:$B,"="&amp;xyz!Y$2)</f>
        <v>2</v>
      </c>
      <c r="Z99">
        <f>SUMIFS(data!$C:$C,data!$A:$A,"="&amp;xyz!$A99,data!$B:$B,"="&amp;xyz!Z$2)</f>
        <v>0</v>
      </c>
      <c r="AA99">
        <f>SUMIFS(data!$C:$C,data!$A:$A,"="&amp;xyz!$A99,data!$B:$B,"="&amp;xyz!AA$2)</f>
        <v>1</v>
      </c>
      <c r="AB99">
        <f>SUMIFS(data!$C:$C,data!$A:$A,"="&amp;xyz!$A99,data!$B:$B,"="&amp;xyz!AB$2)</f>
        <v>2</v>
      </c>
      <c r="AC99">
        <f>SUMIFS(data!$C:$C,data!$A:$A,"="&amp;xyz!$A99,data!$B:$B,"="&amp;xyz!AC$2)</f>
        <v>2</v>
      </c>
      <c r="AD99">
        <f>SUMIFS(data!$C:$C,data!$A:$A,"="&amp;xyz!$A99,data!$B:$B,"="&amp;xyz!AD$2)</f>
        <v>0</v>
      </c>
      <c r="AE99">
        <f>SUMIFS(data!$C:$C,data!$A:$A,"="&amp;xyz!$A99,data!$B:$B,"="&amp;xyz!AE$2)</f>
        <v>0</v>
      </c>
      <c r="AF99">
        <f>SUMIFS(data!$C:$C,data!$A:$A,"="&amp;xyz!$A99,data!$B:$B,"="&amp;xyz!AF$2)</f>
        <v>3</v>
      </c>
      <c r="AG99">
        <f>SUMIFS(data!$C:$C,data!$A:$A,"="&amp;xyz!$A99,data!$B:$B,"="&amp;xyz!AG$2)</f>
        <v>1</v>
      </c>
      <c r="AH99">
        <f>SUMIFS(data!$C:$C,data!$A:$A,"="&amp;xyz!$A99,data!$B:$B,"="&amp;xyz!AH$2)</f>
        <v>1</v>
      </c>
      <c r="AI99">
        <f>SUMIFS(data!$C:$C,data!$A:$A,"="&amp;xyz!$A99,data!$B:$B,"="&amp;xyz!AI$2)</f>
        <v>0</v>
      </c>
      <c r="AJ99">
        <f>SUMIFS(data!$C:$C,data!$A:$A,"="&amp;xyz!$A99,data!$B:$B,"="&amp;xyz!AJ$2)</f>
        <v>2</v>
      </c>
      <c r="AK99">
        <f>SUMIFS(data!$C:$C,data!$A:$A,"="&amp;xyz!$A99,data!$B:$B,"="&amp;xyz!AK$2)</f>
        <v>0</v>
      </c>
      <c r="AL99">
        <f>SUMIFS(data!$C:$C,data!$A:$A,"="&amp;xyz!$A99,data!$B:$B,"="&amp;xyz!AL$2)</f>
        <v>0</v>
      </c>
      <c r="AM99">
        <f>SUMIFS(data!$C:$C,data!$A:$A,"="&amp;xyz!$A99,data!$B:$B,"="&amp;xyz!AM$2)</f>
        <v>4</v>
      </c>
      <c r="AN99">
        <f>SUMIFS(data!$C:$C,data!$A:$A,"="&amp;xyz!$A99,data!$B:$B,"="&amp;xyz!AN$2)</f>
        <v>3</v>
      </c>
      <c r="AO99">
        <f>SUMIFS(data!$C:$C,data!$A:$A,"="&amp;xyz!$A99,data!$B:$B,"="&amp;xyz!AO$2)</f>
        <v>0</v>
      </c>
      <c r="AP99">
        <f>SUMIFS(data!$C:$C,data!$A:$A,"="&amp;xyz!$A99,data!$B:$B,"="&amp;xyz!AP$2)</f>
        <v>3</v>
      </c>
      <c r="AQ99" s="6">
        <f t="shared" si="4"/>
        <v>0.90998572881510298</v>
      </c>
    </row>
    <row r="100" spans="1:43" x14ac:dyDescent="0.3">
      <c r="A100" t="s">
        <v>70</v>
      </c>
      <c r="B100" s="6">
        <f t="shared" si="3"/>
        <v>0.69482758620689677</v>
      </c>
      <c r="C100">
        <f>SUMIFS(data!$C:$C,data!$A:$A,"="&amp;xyz!$A100,data!$B:$B,"="&amp;xyz!C$2)</f>
        <v>1</v>
      </c>
      <c r="D100">
        <f>SUMIFS(data!$C:$C,data!$A:$A,"="&amp;xyz!$A100,data!$B:$B,"="&amp;xyz!D$2)</f>
        <v>1</v>
      </c>
      <c r="E100">
        <f>SUMIFS(data!$C:$C,data!$A:$A,"="&amp;xyz!$A100,data!$B:$B,"="&amp;xyz!E$2)</f>
        <v>1</v>
      </c>
      <c r="F100">
        <f>SUMIFS(data!$C:$C,data!$A:$A,"="&amp;xyz!$A100,data!$B:$B,"="&amp;xyz!F$2)</f>
        <v>1</v>
      </c>
      <c r="G100">
        <f>SUMIFS(data!$C:$C,data!$A:$A,"="&amp;xyz!$A100,data!$B:$B,"="&amp;xyz!G$2)</f>
        <v>2</v>
      </c>
      <c r="H100">
        <f>SUMIFS(data!$C:$C,data!$A:$A,"="&amp;xyz!$A100,data!$B:$B,"="&amp;xyz!H$2)</f>
        <v>4</v>
      </c>
      <c r="I100">
        <f>SUMIFS(data!$C:$C,data!$A:$A,"="&amp;xyz!$A100,data!$B:$B,"="&amp;xyz!I$2)</f>
        <v>1</v>
      </c>
      <c r="J100">
        <f>SUMIFS(data!$C:$C,data!$A:$A,"="&amp;xyz!$A100,data!$B:$B,"="&amp;xyz!J$2)</f>
        <v>0</v>
      </c>
      <c r="K100">
        <f>SUMIFS(data!$C:$C,data!$A:$A,"="&amp;xyz!$A100,data!$B:$B,"="&amp;xyz!K$2)</f>
        <v>0</v>
      </c>
      <c r="L100">
        <f>SUMIFS(data!$C:$C,data!$A:$A,"="&amp;xyz!$A100,data!$B:$B,"="&amp;xyz!L$2)</f>
        <v>1</v>
      </c>
      <c r="M100">
        <f>SUMIFS(data!$C:$C,data!$A:$A,"="&amp;xyz!$A100,data!$B:$B,"="&amp;xyz!M$2)</f>
        <v>1</v>
      </c>
      <c r="N100">
        <f>SUMIFS(data!$C:$C,data!$A:$A,"="&amp;xyz!$A100,data!$B:$B,"="&amp;xyz!N$2)</f>
        <v>2</v>
      </c>
      <c r="O100">
        <f>SUMIFS(data!$C:$C,data!$A:$A,"="&amp;xyz!$A100,data!$B:$B,"="&amp;xyz!O$2)</f>
        <v>1</v>
      </c>
      <c r="P100">
        <f>SUMIFS(data!$C:$C,data!$A:$A,"="&amp;xyz!$A100,data!$B:$B,"="&amp;xyz!P$2)</f>
        <v>0</v>
      </c>
      <c r="Q100">
        <f>SUMIFS(data!$C:$C,data!$A:$A,"="&amp;xyz!$A100,data!$B:$B,"="&amp;xyz!Q$2)</f>
        <v>3</v>
      </c>
      <c r="R100">
        <f>SUMIFS(data!$C:$C,data!$A:$A,"="&amp;xyz!$A100,data!$B:$B,"="&amp;xyz!R$2)</f>
        <v>1</v>
      </c>
      <c r="S100">
        <f>SUMIFS(data!$C:$C,data!$A:$A,"="&amp;xyz!$A100,data!$B:$B,"="&amp;xyz!S$2)</f>
        <v>1</v>
      </c>
      <c r="T100">
        <f>SUMIFS(data!$C:$C,data!$A:$A,"="&amp;xyz!$A100,data!$B:$B,"="&amp;xyz!T$2)</f>
        <v>0</v>
      </c>
      <c r="U100">
        <f>SUMIFS(data!$C:$C,data!$A:$A,"="&amp;xyz!$A100,data!$B:$B,"="&amp;xyz!U$2)</f>
        <v>6</v>
      </c>
      <c r="V100">
        <f>SUMIFS(data!$C:$C,data!$A:$A,"="&amp;xyz!$A100,data!$B:$B,"="&amp;xyz!V$2)</f>
        <v>0</v>
      </c>
      <c r="W100">
        <f>SUMIFS(data!$C:$C,data!$A:$A,"="&amp;xyz!$A100,data!$B:$B,"="&amp;xyz!W$2)</f>
        <v>4</v>
      </c>
      <c r="X100">
        <f>SUMIFS(data!$C:$C,data!$A:$A,"="&amp;xyz!$A100,data!$B:$B,"="&amp;xyz!X$2)</f>
        <v>3</v>
      </c>
      <c r="Y100">
        <f>SUMIFS(data!$C:$C,data!$A:$A,"="&amp;xyz!$A100,data!$B:$B,"="&amp;xyz!Y$2)</f>
        <v>3</v>
      </c>
      <c r="Z100">
        <f>SUMIFS(data!$C:$C,data!$A:$A,"="&amp;xyz!$A100,data!$B:$B,"="&amp;xyz!Z$2)</f>
        <v>1</v>
      </c>
      <c r="AA100">
        <f>SUMIFS(data!$C:$C,data!$A:$A,"="&amp;xyz!$A100,data!$B:$B,"="&amp;xyz!AA$2)</f>
        <v>2</v>
      </c>
      <c r="AB100">
        <f>SUMIFS(data!$C:$C,data!$A:$A,"="&amp;xyz!$A100,data!$B:$B,"="&amp;xyz!AB$2)</f>
        <v>1</v>
      </c>
      <c r="AC100">
        <f>SUMIFS(data!$C:$C,data!$A:$A,"="&amp;xyz!$A100,data!$B:$B,"="&amp;xyz!AC$2)</f>
        <v>1</v>
      </c>
      <c r="AD100">
        <f>SUMIFS(data!$C:$C,data!$A:$A,"="&amp;xyz!$A100,data!$B:$B,"="&amp;xyz!AD$2)</f>
        <v>1</v>
      </c>
      <c r="AE100">
        <f>SUMIFS(data!$C:$C,data!$A:$A,"="&amp;xyz!$A100,data!$B:$B,"="&amp;xyz!AE$2)</f>
        <v>4</v>
      </c>
      <c r="AF100">
        <f>SUMIFS(data!$C:$C,data!$A:$A,"="&amp;xyz!$A100,data!$B:$B,"="&amp;xyz!AF$2)</f>
        <v>0</v>
      </c>
      <c r="AG100">
        <f>SUMIFS(data!$C:$C,data!$A:$A,"="&amp;xyz!$A100,data!$B:$B,"="&amp;xyz!AG$2)</f>
        <v>2</v>
      </c>
      <c r="AH100">
        <f>SUMIFS(data!$C:$C,data!$A:$A,"="&amp;xyz!$A100,data!$B:$B,"="&amp;xyz!AH$2)</f>
        <v>0</v>
      </c>
      <c r="AI100">
        <f>SUMIFS(data!$C:$C,data!$A:$A,"="&amp;xyz!$A100,data!$B:$B,"="&amp;xyz!AI$2)</f>
        <v>0</v>
      </c>
      <c r="AJ100">
        <f>SUMIFS(data!$C:$C,data!$A:$A,"="&amp;xyz!$A100,data!$B:$B,"="&amp;xyz!AJ$2)</f>
        <v>1</v>
      </c>
      <c r="AK100">
        <f>SUMIFS(data!$C:$C,data!$A:$A,"="&amp;xyz!$A100,data!$B:$B,"="&amp;xyz!AK$2)</f>
        <v>1</v>
      </c>
      <c r="AL100">
        <f>SUMIFS(data!$C:$C,data!$A:$A,"="&amp;xyz!$A100,data!$B:$B,"="&amp;xyz!AL$2)</f>
        <v>1</v>
      </c>
      <c r="AM100">
        <f>SUMIFS(data!$C:$C,data!$A:$A,"="&amp;xyz!$A100,data!$B:$B,"="&amp;xyz!AM$2)</f>
        <v>1</v>
      </c>
      <c r="AN100">
        <f>SUMIFS(data!$C:$C,data!$A:$A,"="&amp;xyz!$A100,data!$B:$B,"="&amp;xyz!AN$2)</f>
        <v>2</v>
      </c>
      <c r="AO100">
        <f>SUMIFS(data!$C:$C,data!$A:$A,"="&amp;xyz!$A100,data!$B:$B,"="&amp;xyz!AO$2)</f>
        <v>1</v>
      </c>
      <c r="AP100">
        <f>SUMIFS(data!$C:$C,data!$A:$A,"="&amp;xyz!$A100,data!$B:$B,"="&amp;xyz!AP$2)</f>
        <v>2</v>
      </c>
      <c r="AQ100" s="6">
        <f t="shared" si="4"/>
        <v>0.92329031955136487</v>
      </c>
    </row>
    <row r="101" spans="1:43" x14ac:dyDescent="0.3">
      <c r="A101" t="s">
        <v>40</v>
      </c>
      <c r="B101" s="6">
        <f t="shared" si="3"/>
        <v>0.75</v>
      </c>
      <c r="C101">
        <f>SUMIFS(data!$C:$C,data!$A:$A,"="&amp;xyz!$A101,data!$B:$B,"="&amp;xyz!C$2)</f>
        <v>1</v>
      </c>
      <c r="D101">
        <f>SUMIFS(data!$C:$C,data!$A:$A,"="&amp;xyz!$A101,data!$B:$B,"="&amp;xyz!D$2)</f>
        <v>2</v>
      </c>
      <c r="E101">
        <f>SUMIFS(data!$C:$C,data!$A:$A,"="&amp;xyz!$A101,data!$B:$B,"="&amp;xyz!E$2)</f>
        <v>1</v>
      </c>
      <c r="F101">
        <f>SUMIFS(data!$C:$C,data!$A:$A,"="&amp;xyz!$A101,data!$B:$B,"="&amp;xyz!F$2)</f>
        <v>1</v>
      </c>
      <c r="G101">
        <f>SUMIFS(data!$C:$C,data!$A:$A,"="&amp;xyz!$A101,data!$B:$B,"="&amp;xyz!G$2)</f>
        <v>0</v>
      </c>
      <c r="H101">
        <f>SUMIFS(data!$C:$C,data!$A:$A,"="&amp;xyz!$A101,data!$B:$B,"="&amp;xyz!H$2)</f>
        <v>4</v>
      </c>
      <c r="I101">
        <f>SUMIFS(data!$C:$C,data!$A:$A,"="&amp;xyz!$A101,data!$B:$B,"="&amp;xyz!I$2)</f>
        <v>4</v>
      </c>
      <c r="J101">
        <f>SUMIFS(data!$C:$C,data!$A:$A,"="&amp;xyz!$A101,data!$B:$B,"="&amp;xyz!J$2)</f>
        <v>4</v>
      </c>
      <c r="K101">
        <f>SUMIFS(data!$C:$C,data!$A:$A,"="&amp;xyz!$A101,data!$B:$B,"="&amp;xyz!K$2)</f>
        <v>0</v>
      </c>
      <c r="L101">
        <f>SUMIFS(data!$C:$C,data!$A:$A,"="&amp;xyz!$A101,data!$B:$B,"="&amp;xyz!L$2)</f>
        <v>1</v>
      </c>
      <c r="M101">
        <f>SUMIFS(data!$C:$C,data!$A:$A,"="&amp;xyz!$A101,data!$B:$B,"="&amp;xyz!M$2)</f>
        <v>1</v>
      </c>
      <c r="N101">
        <f>SUMIFS(data!$C:$C,data!$A:$A,"="&amp;xyz!$A101,data!$B:$B,"="&amp;xyz!N$2)</f>
        <v>1</v>
      </c>
      <c r="O101">
        <f>SUMIFS(data!$C:$C,data!$A:$A,"="&amp;xyz!$A101,data!$B:$B,"="&amp;xyz!O$2)</f>
        <v>2</v>
      </c>
      <c r="P101">
        <f>SUMIFS(data!$C:$C,data!$A:$A,"="&amp;xyz!$A101,data!$B:$B,"="&amp;xyz!P$2)</f>
        <v>0</v>
      </c>
      <c r="Q101">
        <f>SUMIFS(data!$C:$C,data!$A:$A,"="&amp;xyz!$A101,data!$B:$B,"="&amp;xyz!Q$2)</f>
        <v>0</v>
      </c>
      <c r="R101">
        <f>SUMIFS(data!$C:$C,data!$A:$A,"="&amp;xyz!$A101,data!$B:$B,"="&amp;xyz!R$2)</f>
        <v>5</v>
      </c>
      <c r="S101">
        <f>SUMIFS(data!$C:$C,data!$A:$A,"="&amp;xyz!$A101,data!$B:$B,"="&amp;xyz!S$2)</f>
        <v>1</v>
      </c>
      <c r="T101">
        <f>SUMIFS(data!$C:$C,data!$A:$A,"="&amp;xyz!$A101,data!$B:$B,"="&amp;xyz!T$2)</f>
        <v>1</v>
      </c>
      <c r="U101">
        <f>SUMIFS(data!$C:$C,data!$A:$A,"="&amp;xyz!$A101,data!$B:$B,"="&amp;xyz!U$2)</f>
        <v>1</v>
      </c>
      <c r="V101">
        <f>SUMIFS(data!$C:$C,data!$A:$A,"="&amp;xyz!$A101,data!$B:$B,"="&amp;xyz!V$2)</f>
        <v>1</v>
      </c>
      <c r="W101">
        <f>SUMIFS(data!$C:$C,data!$A:$A,"="&amp;xyz!$A101,data!$B:$B,"="&amp;xyz!W$2)</f>
        <v>1</v>
      </c>
      <c r="X101">
        <f>SUMIFS(data!$C:$C,data!$A:$A,"="&amp;xyz!$A101,data!$B:$B,"="&amp;xyz!X$2)</f>
        <v>2</v>
      </c>
      <c r="Y101">
        <f>SUMIFS(data!$C:$C,data!$A:$A,"="&amp;xyz!$A101,data!$B:$B,"="&amp;xyz!Y$2)</f>
        <v>2</v>
      </c>
      <c r="Z101">
        <f>SUMIFS(data!$C:$C,data!$A:$A,"="&amp;xyz!$A101,data!$B:$B,"="&amp;xyz!Z$2)</f>
        <v>0</v>
      </c>
      <c r="AA101">
        <f>SUMIFS(data!$C:$C,data!$A:$A,"="&amp;xyz!$A101,data!$B:$B,"="&amp;xyz!AA$2)</f>
        <v>2</v>
      </c>
      <c r="AB101">
        <f>SUMIFS(data!$C:$C,data!$A:$A,"="&amp;xyz!$A101,data!$B:$B,"="&amp;xyz!AB$2)</f>
        <v>0</v>
      </c>
      <c r="AC101">
        <f>SUMIFS(data!$C:$C,data!$A:$A,"="&amp;xyz!$A101,data!$B:$B,"="&amp;xyz!AC$2)</f>
        <v>2</v>
      </c>
      <c r="AD101">
        <f>SUMIFS(data!$C:$C,data!$A:$A,"="&amp;xyz!$A101,data!$B:$B,"="&amp;xyz!AD$2)</f>
        <v>0</v>
      </c>
      <c r="AE101">
        <f>SUMIFS(data!$C:$C,data!$A:$A,"="&amp;xyz!$A101,data!$B:$B,"="&amp;xyz!AE$2)</f>
        <v>0</v>
      </c>
      <c r="AF101">
        <f>SUMIFS(data!$C:$C,data!$A:$A,"="&amp;xyz!$A101,data!$B:$B,"="&amp;xyz!AF$2)</f>
        <v>1</v>
      </c>
      <c r="AG101">
        <f>SUMIFS(data!$C:$C,data!$A:$A,"="&amp;xyz!$A101,data!$B:$B,"="&amp;xyz!AG$2)</f>
        <v>0</v>
      </c>
      <c r="AH101">
        <f>SUMIFS(data!$C:$C,data!$A:$A,"="&amp;xyz!$A101,data!$B:$B,"="&amp;xyz!AH$2)</f>
        <v>0</v>
      </c>
      <c r="AI101">
        <f>SUMIFS(data!$C:$C,data!$A:$A,"="&amp;xyz!$A101,data!$B:$B,"="&amp;xyz!AI$2)</f>
        <v>0</v>
      </c>
      <c r="AJ101">
        <f>SUMIFS(data!$C:$C,data!$A:$A,"="&amp;xyz!$A101,data!$B:$B,"="&amp;xyz!AJ$2)</f>
        <v>1</v>
      </c>
      <c r="AK101">
        <f>SUMIFS(data!$C:$C,data!$A:$A,"="&amp;xyz!$A101,data!$B:$B,"="&amp;xyz!AK$2)</f>
        <v>2</v>
      </c>
      <c r="AL101">
        <f>SUMIFS(data!$C:$C,data!$A:$A,"="&amp;xyz!$A101,data!$B:$B,"="&amp;xyz!AL$2)</f>
        <v>0</v>
      </c>
      <c r="AM101">
        <f>SUMIFS(data!$C:$C,data!$A:$A,"="&amp;xyz!$A101,data!$B:$B,"="&amp;xyz!AM$2)</f>
        <v>1</v>
      </c>
      <c r="AN101">
        <f>SUMIFS(data!$C:$C,data!$A:$A,"="&amp;xyz!$A101,data!$B:$B,"="&amp;xyz!AN$2)</f>
        <v>2</v>
      </c>
      <c r="AO101">
        <f>SUMIFS(data!$C:$C,data!$A:$A,"="&amp;xyz!$A101,data!$B:$B,"="&amp;xyz!AO$2)</f>
        <v>1</v>
      </c>
      <c r="AP101">
        <f>SUMIFS(data!$C:$C,data!$A:$A,"="&amp;xyz!$A101,data!$B:$B,"="&amp;xyz!AP$2)</f>
        <v>2</v>
      </c>
      <c r="AQ101" s="6">
        <f t="shared" si="4"/>
        <v>1.0046047826039697</v>
      </c>
    </row>
    <row r="102" spans="1:43" x14ac:dyDescent="0.3">
      <c r="A102" t="s">
        <v>17</v>
      </c>
      <c r="B102" s="6">
        <f t="shared" si="3"/>
        <v>0.75425531914893618</v>
      </c>
      <c r="C102">
        <f>SUMIFS(data!$C:$C,data!$A:$A,"="&amp;xyz!$A102,data!$B:$B,"="&amp;xyz!C$2)</f>
        <v>0</v>
      </c>
      <c r="D102">
        <f>SUMIFS(data!$C:$C,data!$A:$A,"="&amp;xyz!$A102,data!$B:$B,"="&amp;xyz!D$2)</f>
        <v>2</v>
      </c>
      <c r="E102">
        <f>SUMIFS(data!$C:$C,data!$A:$A,"="&amp;xyz!$A102,data!$B:$B,"="&amp;xyz!E$2)</f>
        <v>0</v>
      </c>
      <c r="F102">
        <f>SUMIFS(data!$C:$C,data!$A:$A,"="&amp;xyz!$A102,data!$B:$B,"="&amp;xyz!F$2)</f>
        <v>2</v>
      </c>
      <c r="G102">
        <f>SUMIFS(data!$C:$C,data!$A:$A,"="&amp;xyz!$A102,data!$B:$B,"="&amp;xyz!G$2)</f>
        <v>1</v>
      </c>
      <c r="H102">
        <f>SUMIFS(data!$C:$C,data!$A:$A,"="&amp;xyz!$A102,data!$B:$B,"="&amp;xyz!H$2)</f>
        <v>1</v>
      </c>
      <c r="I102">
        <f>SUMIFS(data!$C:$C,data!$A:$A,"="&amp;xyz!$A102,data!$B:$B,"="&amp;xyz!I$2)</f>
        <v>2</v>
      </c>
      <c r="J102">
        <f>SUMIFS(data!$C:$C,data!$A:$A,"="&amp;xyz!$A102,data!$B:$B,"="&amp;xyz!J$2)</f>
        <v>1</v>
      </c>
      <c r="K102">
        <f>SUMIFS(data!$C:$C,data!$A:$A,"="&amp;xyz!$A102,data!$B:$B,"="&amp;xyz!K$2)</f>
        <v>0</v>
      </c>
      <c r="L102">
        <f>SUMIFS(data!$C:$C,data!$A:$A,"="&amp;xyz!$A102,data!$B:$B,"="&amp;xyz!L$2)</f>
        <v>0</v>
      </c>
      <c r="M102">
        <f>SUMIFS(data!$C:$C,data!$A:$A,"="&amp;xyz!$A102,data!$B:$B,"="&amp;xyz!M$2)</f>
        <v>5</v>
      </c>
      <c r="N102">
        <f>SUMIFS(data!$C:$C,data!$A:$A,"="&amp;xyz!$A102,data!$B:$B,"="&amp;xyz!N$2)</f>
        <v>0</v>
      </c>
      <c r="O102">
        <f>SUMIFS(data!$C:$C,data!$A:$A,"="&amp;xyz!$A102,data!$B:$B,"="&amp;xyz!O$2)</f>
        <v>0</v>
      </c>
      <c r="P102">
        <f>SUMIFS(data!$C:$C,data!$A:$A,"="&amp;xyz!$A102,data!$B:$B,"="&amp;xyz!P$2)</f>
        <v>1</v>
      </c>
      <c r="Q102">
        <f>SUMIFS(data!$C:$C,data!$A:$A,"="&amp;xyz!$A102,data!$B:$B,"="&amp;xyz!Q$2)</f>
        <v>1</v>
      </c>
      <c r="R102">
        <f>SUMIFS(data!$C:$C,data!$A:$A,"="&amp;xyz!$A102,data!$B:$B,"="&amp;xyz!R$2)</f>
        <v>2</v>
      </c>
      <c r="S102">
        <f>SUMIFS(data!$C:$C,data!$A:$A,"="&amp;xyz!$A102,data!$B:$B,"="&amp;xyz!S$2)</f>
        <v>0</v>
      </c>
      <c r="T102">
        <f>SUMIFS(data!$C:$C,data!$A:$A,"="&amp;xyz!$A102,data!$B:$B,"="&amp;xyz!T$2)</f>
        <v>0</v>
      </c>
      <c r="U102">
        <f>SUMIFS(data!$C:$C,data!$A:$A,"="&amp;xyz!$A102,data!$B:$B,"="&amp;xyz!U$2)</f>
        <v>1</v>
      </c>
      <c r="V102">
        <f>SUMIFS(data!$C:$C,data!$A:$A,"="&amp;xyz!$A102,data!$B:$B,"="&amp;xyz!V$2)</f>
        <v>0</v>
      </c>
      <c r="W102">
        <f>SUMIFS(data!$C:$C,data!$A:$A,"="&amp;xyz!$A102,data!$B:$B,"="&amp;xyz!W$2)</f>
        <v>2</v>
      </c>
      <c r="X102">
        <f>SUMIFS(data!$C:$C,data!$A:$A,"="&amp;xyz!$A102,data!$B:$B,"="&amp;xyz!X$2)</f>
        <v>1</v>
      </c>
      <c r="Y102">
        <f>SUMIFS(data!$C:$C,data!$A:$A,"="&amp;xyz!$A102,data!$B:$B,"="&amp;xyz!Y$2)</f>
        <v>0</v>
      </c>
      <c r="Z102">
        <f>SUMIFS(data!$C:$C,data!$A:$A,"="&amp;xyz!$A102,data!$B:$B,"="&amp;xyz!Z$2)</f>
        <v>1</v>
      </c>
      <c r="AA102">
        <f>SUMIFS(data!$C:$C,data!$A:$A,"="&amp;xyz!$A102,data!$B:$B,"="&amp;xyz!AA$2)</f>
        <v>2</v>
      </c>
      <c r="AB102">
        <f>SUMIFS(data!$C:$C,data!$A:$A,"="&amp;xyz!$A102,data!$B:$B,"="&amp;xyz!AB$2)</f>
        <v>2</v>
      </c>
      <c r="AC102">
        <f>SUMIFS(data!$C:$C,data!$A:$A,"="&amp;xyz!$A102,data!$B:$B,"="&amp;xyz!AC$2)</f>
        <v>2</v>
      </c>
      <c r="AD102">
        <f>SUMIFS(data!$C:$C,data!$A:$A,"="&amp;xyz!$A102,data!$B:$B,"="&amp;xyz!AD$2)</f>
        <v>4</v>
      </c>
      <c r="AE102">
        <f>SUMIFS(data!$C:$C,data!$A:$A,"="&amp;xyz!$A102,data!$B:$B,"="&amp;xyz!AE$2)</f>
        <v>1</v>
      </c>
      <c r="AF102">
        <f>SUMIFS(data!$C:$C,data!$A:$A,"="&amp;xyz!$A102,data!$B:$B,"="&amp;xyz!AF$2)</f>
        <v>3</v>
      </c>
      <c r="AG102">
        <f>SUMIFS(data!$C:$C,data!$A:$A,"="&amp;xyz!$A102,data!$B:$B,"="&amp;xyz!AG$2)</f>
        <v>0</v>
      </c>
      <c r="AH102">
        <f>SUMIFS(data!$C:$C,data!$A:$A,"="&amp;xyz!$A102,data!$B:$B,"="&amp;xyz!AH$2)</f>
        <v>1</v>
      </c>
      <c r="AI102">
        <f>SUMIFS(data!$C:$C,data!$A:$A,"="&amp;xyz!$A102,data!$B:$B,"="&amp;xyz!AI$2)</f>
        <v>1</v>
      </c>
      <c r="AJ102">
        <f>SUMIFS(data!$C:$C,data!$A:$A,"="&amp;xyz!$A102,data!$B:$B,"="&amp;xyz!AJ$2)</f>
        <v>1</v>
      </c>
      <c r="AK102">
        <f>SUMIFS(data!$C:$C,data!$A:$A,"="&amp;xyz!$A102,data!$B:$B,"="&amp;xyz!AK$2)</f>
        <v>1</v>
      </c>
      <c r="AL102">
        <f>SUMIFS(data!$C:$C,data!$A:$A,"="&amp;xyz!$A102,data!$B:$B,"="&amp;xyz!AL$2)</f>
        <v>0</v>
      </c>
      <c r="AM102">
        <f>SUMIFS(data!$C:$C,data!$A:$A,"="&amp;xyz!$A102,data!$B:$B,"="&amp;xyz!AM$2)</f>
        <v>2</v>
      </c>
      <c r="AN102">
        <f>SUMIFS(data!$C:$C,data!$A:$A,"="&amp;xyz!$A102,data!$B:$B,"="&amp;xyz!AN$2)</f>
        <v>3</v>
      </c>
      <c r="AO102">
        <f>SUMIFS(data!$C:$C,data!$A:$A,"="&amp;xyz!$A102,data!$B:$B,"="&amp;xyz!AO$2)</f>
        <v>0</v>
      </c>
      <c r="AP102">
        <f>SUMIFS(data!$C:$C,data!$A:$A,"="&amp;xyz!$A102,data!$B:$B,"="&amp;xyz!AP$2)</f>
        <v>1</v>
      </c>
      <c r="AQ102" s="6">
        <f t="shared" si="4"/>
        <v>0.99935557464721858</v>
      </c>
    </row>
    <row r="103" spans="1:43" x14ac:dyDescent="0.3">
      <c r="A103" t="s">
        <v>83</v>
      </c>
      <c r="B103" s="6">
        <f t="shared" si="3"/>
        <v>0.8491228070175435</v>
      </c>
      <c r="C103">
        <f>SUMIFS(data!$C:$C,data!$A:$A,"="&amp;xyz!$A103,data!$B:$B,"="&amp;xyz!C$2)</f>
        <v>0</v>
      </c>
      <c r="D103">
        <f>SUMIFS(data!$C:$C,data!$A:$A,"="&amp;xyz!$A103,data!$B:$B,"="&amp;xyz!D$2)</f>
        <v>0</v>
      </c>
      <c r="E103">
        <f>SUMIFS(data!$C:$C,data!$A:$A,"="&amp;xyz!$A103,data!$B:$B,"="&amp;xyz!E$2)</f>
        <v>2</v>
      </c>
      <c r="F103">
        <f>SUMIFS(data!$C:$C,data!$A:$A,"="&amp;xyz!$A103,data!$B:$B,"="&amp;xyz!F$2)</f>
        <v>4</v>
      </c>
      <c r="G103">
        <f>SUMIFS(data!$C:$C,data!$A:$A,"="&amp;xyz!$A103,data!$B:$B,"="&amp;xyz!G$2)</f>
        <v>1</v>
      </c>
      <c r="H103">
        <f>SUMIFS(data!$C:$C,data!$A:$A,"="&amp;xyz!$A103,data!$B:$B,"="&amp;xyz!H$2)</f>
        <v>2</v>
      </c>
      <c r="I103">
        <f>SUMIFS(data!$C:$C,data!$A:$A,"="&amp;xyz!$A103,data!$B:$B,"="&amp;xyz!I$2)</f>
        <v>4</v>
      </c>
      <c r="J103">
        <f>SUMIFS(data!$C:$C,data!$A:$A,"="&amp;xyz!$A103,data!$B:$B,"="&amp;xyz!J$2)</f>
        <v>0</v>
      </c>
      <c r="K103">
        <f>SUMIFS(data!$C:$C,data!$A:$A,"="&amp;xyz!$A103,data!$B:$B,"="&amp;xyz!K$2)</f>
        <v>0</v>
      </c>
      <c r="L103">
        <f>SUMIFS(data!$C:$C,data!$A:$A,"="&amp;xyz!$A103,data!$B:$B,"="&amp;xyz!L$2)</f>
        <v>1</v>
      </c>
      <c r="M103">
        <f>SUMIFS(data!$C:$C,data!$A:$A,"="&amp;xyz!$A103,data!$B:$B,"="&amp;xyz!M$2)</f>
        <v>0</v>
      </c>
      <c r="N103">
        <f>SUMIFS(data!$C:$C,data!$A:$A,"="&amp;xyz!$A103,data!$B:$B,"="&amp;xyz!N$2)</f>
        <v>4</v>
      </c>
      <c r="O103">
        <f>SUMIFS(data!$C:$C,data!$A:$A,"="&amp;xyz!$A103,data!$B:$B,"="&amp;xyz!O$2)</f>
        <v>5</v>
      </c>
      <c r="P103">
        <f>SUMIFS(data!$C:$C,data!$A:$A,"="&amp;xyz!$A103,data!$B:$B,"="&amp;xyz!P$2)</f>
        <v>2</v>
      </c>
      <c r="Q103">
        <f>SUMIFS(data!$C:$C,data!$A:$A,"="&amp;xyz!$A103,data!$B:$B,"="&amp;xyz!Q$2)</f>
        <v>1</v>
      </c>
      <c r="R103">
        <f>SUMIFS(data!$C:$C,data!$A:$A,"="&amp;xyz!$A103,data!$B:$B,"="&amp;xyz!R$2)</f>
        <v>2</v>
      </c>
      <c r="S103">
        <f>SUMIFS(data!$C:$C,data!$A:$A,"="&amp;xyz!$A103,data!$B:$B,"="&amp;xyz!S$2)</f>
        <v>1</v>
      </c>
      <c r="T103">
        <f>SUMIFS(data!$C:$C,data!$A:$A,"="&amp;xyz!$A103,data!$B:$B,"="&amp;xyz!T$2)</f>
        <v>2</v>
      </c>
      <c r="U103">
        <f>SUMIFS(data!$C:$C,data!$A:$A,"="&amp;xyz!$A103,data!$B:$B,"="&amp;xyz!U$2)</f>
        <v>1</v>
      </c>
      <c r="V103">
        <f>SUMIFS(data!$C:$C,data!$A:$A,"="&amp;xyz!$A103,data!$B:$B,"="&amp;xyz!V$2)</f>
        <v>2</v>
      </c>
      <c r="W103">
        <f>SUMIFS(data!$C:$C,data!$A:$A,"="&amp;xyz!$A103,data!$B:$B,"="&amp;xyz!W$2)</f>
        <v>0</v>
      </c>
      <c r="X103">
        <f>SUMIFS(data!$C:$C,data!$A:$A,"="&amp;xyz!$A103,data!$B:$B,"="&amp;xyz!X$2)</f>
        <v>2</v>
      </c>
      <c r="Y103">
        <f>SUMIFS(data!$C:$C,data!$A:$A,"="&amp;xyz!$A103,data!$B:$B,"="&amp;xyz!Y$2)</f>
        <v>4</v>
      </c>
      <c r="Z103">
        <f>SUMIFS(data!$C:$C,data!$A:$A,"="&amp;xyz!$A103,data!$B:$B,"="&amp;xyz!Z$2)</f>
        <v>0</v>
      </c>
      <c r="AA103">
        <f>SUMIFS(data!$C:$C,data!$A:$A,"="&amp;xyz!$A103,data!$B:$B,"="&amp;xyz!AA$2)</f>
        <v>0</v>
      </c>
      <c r="AB103">
        <f>SUMIFS(data!$C:$C,data!$A:$A,"="&amp;xyz!$A103,data!$B:$B,"="&amp;xyz!AB$2)</f>
        <v>2</v>
      </c>
      <c r="AC103">
        <f>SUMIFS(data!$C:$C,data!$A:$A,"="&amp;xyz!$A103,data!$B:$B,"="&amp;xyz!AC$2)</f>
        <v>1</v>
      </c>
      <c r="AD103">
        <f>SUMIFS(data!$C:$C,data!$A:$A,"="&amp;xyz!$A103,data!$B:$B,"="&amp;xyz!AD$2)</f>
        <v>1</v>
      </c>
      <c r="AE103">
        <f>SUMIFS(data!$C:$C,data!$A:$A,"="&amp;xyz!$A103,data!$B:$B,"="&amp;xyz!AE$2)</f>
        <v>0</v>
      </c>
      <c r="AF103">
        <f>SUMIFS(data!$C:$C,data!$A:$A,"="&amp;xyz!$A103,data!$B:$B,"="&amp;xyz!AF$2)</f>
        <v>1</v>
      </c>
      <c r="AG103">
        <f>SUMIFS(data!$C:$C,data!$A:$A,"="&amp;xyz!$A103,data!$B:$B,"="&amp;xyz!AG$2)</f>
        <v>0</v>
      </c>
      <c r="AH103">
        <f>SUMIFS(data!$C:$C,data!$A:$A,"="&amp;xyz!$A103,data!$B:$B,"="&amp;xyz!AH$2)</f>
        <v>0</v>
      </c>
      <c r="AI103">
        <f>SUMIFS(data!$C:$C,data!$A:$A,"="&amp;xyz!$A103,data!$B:$B,"="&amp;xyz!AI$2)</f>
        <v>0</v>
      </c>
      <c r="AJ103">
        <f>SUMIFS(data!$C:$C,data!$A:$A,"="&amp;xyz!$A103,data!$B:$B,"="&amp;xyz!AJ$2)</f>
        <v>0</v>
      </c>
      <c r="AK103">
        <f>SUMIFS(data!$C:$C,data!$A:$A,"="&amp;xyz!$A103,data!$B:$B,"="&amp;xyz!AK$2)</f>
        <v>0</v>
      </c>
      <c r="AL103">
        <f>SUMIFS(data!$C:$C,data!$A:$A,"="&amp;xyz!$A103,data!$B:$B,"="&amp;xyz!AL$2)</f>
        <v>3</v>
      </c>
      <c r="AM103">
        <f>SUMIFS(data!$C:$C,data!$A:$A,"="&amp;xyz!$A103,data!$B:$B,"="&amp;xyz!AM$2)</f>
        <v>4</v>
      </c>
      <c r="AN103">
        <f>SUMIFS(data!$C:$C,data!$A:$A,"="&amp;xyz!$A103,data!$B:$B,"="&amp;xyz!AN$2)</f>
        <v>3</v>
      </c>
      <c r="AO103">
        <f>SUMIFS(data!$C:$C,data!$A:$A,"="&amp;xyz!$A103,data!$B:$B,"="&amp;xyz!AO$2)</f>
        <v>1</v>
      </c>
      <c r="AP103">
        <f>SUMIFS(data!$C:$C,data!$A:$A,"="&amp;xyz!$A103,data!$B:$B,"="&amp;xyz!AP$2)</f>
        <v>1</v>
      </c>
      <c r="AQ103" s="6">
        <f t="shared" si="4"/>
        <v>1.0285136276282456</v>
      </c>
    </row>
    <row r="104" spans="1:43" x14ac:dyDescent="0.3">
      <c r="A104" t="s">
        <v>112</v>
      </c>
      <c r="B104" s="6">
        <f t="shared" si="3"/>
        <v>0.69716981132075462</v>
      </c>
      <c r="C104">
        <f>SUMIFS(data!$C:$C,data!$A:$A,"="&amp;xyz!$A104,data!$B:$B,"="&amp;xyz!C$2)</f>
        <v>2</v>
      </c>
      <c r="D104">
        <f>SUMIFS(data!$C:$C,data!$A:$A,"="&amp;xyz!$A104,data!$B:$B,"="&amp;xyz!D$2)</f>
        <v>1</v>
      </c>
      <c r="E104">
        <f>SUMIFS(data!$C:$C,data!$A:$A,"="&amp;xyz!$A104,data!$B:$B,"="&amp;xyz!E$2)</f>
        <v>2</v>
      </c>
      <c r="F104">
        <f>SUMIFS(data!$C:$C,data!$A:$A,"="&amp;xyz!$A104,data!$B:$B,"="&amp;xyz!F$2)</f>
        <v>2</v>
      </c>
      <c r="G104">
        <f>SUMIFS(data!$C:$C,data!$A:$A,"="&amp;xyz!$A104,data!$B:$B,"="&amp;xyz!G$2)</f>
        <v>4</v>
      </c>
      <c r="H104">
        <f>SUMIFS(data!$C:$C,data!$A:$A,"="&amp;xyz!$A104,data!$B:$B,"="&amp;xyz!H$2)</f>
        <v>3</v>
      </c>
      <c r="I104">
        <f>SUMIFS(data!$C:$C,data!$A:$A,"="&amp;xyz!$A104,data!$B:$B,"="&amp;xyz!I$2)</f>
        <v>1</v>
      </c>
      <c r="J104">
        <f>SUMIFS(data!$C:$C,data!$A:$A,"="&amp;xyz!$A104,data!$B:$B,"="&amp;xyz!J$2)</f>
        <v>2</v>
      </c>
      <c r="K104">
        <f>SUMIFS(data!$C:$C,data!$A:$A,"="&amp;xyz!$A104,data!$B:$B,"="&amp;xyz!K$2)</f>
        <v>0</v>
      </c>
      <c r="L104">
        <f>SUMIFS(data!$C:$C,data!$A:$A,"="&amp;xyz!$A104,data!$B:$B,"="&amp;xyz!L$2)</f>
        <v>1</v>
      </c>
      <c r="M104">
        <f>SUMIFS(data!$C:$C,data!$A:$A,"="&amp;xyz!$A104,data!$B:$B,"="&amp;xyz!M$2)</f>
        <v>1</v>
      </c>
      <c r="N104">
        <f>SUMIFS(data!$C:$C,data!$A:$A,"="&amp;xyz!$A104,data!$B:$B,"="&amp;xyz!N$2)</f>
        <v>2</v>
      </c>
      <c r="O104">
        <f>SUMIFS(data!$C:$C,data!$A:$A,"="&amp;xyz!$A104,data!$B:$B,"="&amp;xyz!O$2)</f>
        <v>0</v>
      </c>
      <c r="P104">
        <f>SUMIFS(data!$C:$C,data!$A:$A,"="&amp;xyz!$A104,data!$B:$B,"="&amp;xyz!P$2)</f>
        <v>0</v>
      </c>
      <c r="Q104">
        <f>SUMIFS(data!$C:$C,data!$A:$A,"="&amp;xyz!$A104,data!$B:$B,"="&amp;xyz!Q$2)</f>
        <v>0</v>
      </c>
      <c r="R104">
        <f>SUMIFS(data!$C:$C,data!$A:$A,"="&amp;xyz!$A104,data!$B:$B,"="&amp;xyz!R$2)</f>
        <v>0</v>
      </c>
      <c r="S104">
        <f>SUMIFS(data!$C:$C,data!$A:$A,"="&amp;xyz!$A104,data!$B:$B,"="&amp;xyz!S$2)</f>
        <v>2</v>
      </c>
      <c r="T104">
        <f>SUMIFS(data!$C:$C,data!$A:$A,"="&amp;xyz!$A104,data!$B:$B,"="&amp;xyz!T$2)</f>
        <v>1</v>
      </c>
      <c r="U104">
        <f>SUMIFS(data!$C:$C,data!$A:$A,"="&amp;xyz!$A104,data!$B:$B,"="&amp;xyz!U$2)</f>
        <v>1</v>
      </c>
      <c r="V104">
        <f>SUMIFS(data!$C:$C,data!$A:$A,"="&amp;xyz!$A104,data!$B:$B,"="&amp;xyz!V$2)</f>
        <v>4</v>
      </c>
      <c r="W104">
        <f>SUMIFS(data!$C:$C,data!$A:$A,"="&amp;xyz!$A104,data!$B:$B,"="&amp;xyz!W$2)</f>
        <v>1</v>
      </c>
      <c r="X104">
        <f>SUMIFS(data!$C:$C,data!$A:$A,"="&amp;xyz!$A104,data!$B:$B,"="&amp;xyz!X$2)</f>
        <v>0</v>
      </c>
      <c r="Y104">
        <f>SUMIFS(data!$C:$C,data!$A:$A,"="&amp;xyz!$A104,data!$B:$B,"="&amp;xyz!Y$2)</f>
        <v>0</v>
      </c>
      <c r="Z104">
        <f>SUMIFS(data!$C:$C,data!$A:$A,"="&amp;xyz!$A104,data!$B:$B,"="&amp;xyz!Z$2)</f>
        <v>1</v>
      </c>
      <c r="AA104">
        <f>SUMIFS(data!$C:$C,data!$A:$A,"="&amp;xyz!$A104,data!$B:$B,"="&amp;xyz!AA$2)</f>
        <v>1</v>
      </c>
      <c r="AB104">
        <f>SUMIFS(data!$C:$C,data!$A:$A,"="&amp;xyz!$A104,data!$B:$B,"="&amp;xyz!AB$2)</f>
        <v>2</v>
      </c>
      <c r="AC104">
        <f>SUMIFS(data!$C:$C,data!$A:$A,"="&amp;xyz!$A104,data!$B:$B,"="&amp;xyz!AC$2)</f>
        <v>0</v>
      </c>
      <c r="AD104">
        <f>SUMIFS(data!$C:$C,data!$A:$A,"="&amp;xyz!$A104,data!$B:$B,"="&amp;xyz!AD$2)</f>
        <v>2</v>
      </c>
      <c r="AE104">
        <f>SUMIFS(data!$C:$C,data!$A:$A,"="&amp;xyz!$A104,data!$B:$B,"="&amp;xyz!AE$2)</f>
        <v>2</v>
      </c>
      <c r="AF104">
        <f>SUMIFS(data!$C:$C,data!$A:$A,"="&amp;xyz!$A104,data!$B:$B,"="&amp;xyz!AF$2)</f>
        <v>1</v>
      </c>
      <c r="AG104">
        <f>SUMIFS(data!$C:$C,data!$A:$A,"="&amp;xyz!$A104,data!$B:$B,"="&amp;xyz!AG$2)</f>
        <v>2</v>
      </c>
      <c r="AH104">
        <f>SUMIFS(data!$C:$C,data!$A:$A,"="&amp;xyz!$A104,data!$B:$B,"="&amp;xyz!AH$2)</f>
        <v>1</v>
      </c>
      <c r="AI104">
        <f>SUMIFS(data!$C:$C,data!$A:$A,"="&amp;xyz!$A104,data!$B:$B,"="&amp;xyz!AI$2)</f>
        <v>0</v>
      </c>
      <c r="AJ104">
        <f>SUMIFS(data!$C:$C,data!$A:$A,"="&amp;xyz!$A104,data!$B:$B,"="&amp;xyz!AJ$2)</f>
        <v>4</v>
      </c>
      <c r="AK104">
        <f>SUMIFS(data!$C:$C,data!$A:$A,"="&amp;xyz!$A104,data!$B:$B,"="&amp;xyz!AK$2)</f>
        <v>2</v>
      </c>
      <c r="AL104">
        <f>SUMIFS(data!$C:$C,data!$A:$A,"="&amp;xyz!$A104,data!$B:$B,"="&amp;xyz!AL$2)</f>
        <v>2</v>
      </c>
      <c r="AM104">
        <f>SUMIFS(data!$C:$C,data!$A:$A,"="&amp;xyz!$A104,data!$B:$B,"="&amp;xyz!AM$2)</f>
        <v>0</v>
      </c>
      <c r="AN104">
        <f>SUMIFS(data!$C:$C,data!$A:$A,"="&amp;xyz!$A104,data!$B:$B,"="&amp;xyz!AN$2)</f>
        <v>2</v>
      </c>
      <c r="AO104">
        <f>SUMIFS(data!$C:$C,data!$A:$A,"="&amp;xyz!$A104,data!$B:$B,"="&amp;xyz!AO$2)</f>
        <v>0</v>
      </c>
      <c r="AP104">
        <f>SUMIFS(data!$C:$C,data!$A:$A,"="&amp;xyz!$A104,data!$B:$B,"="&amp;xyz!AP$2)</f>
        <v>1</v>
      </c>
      <c r="AQ104" s="6">
        <f t="shared" si="4"/>
        <v>0.86114599129631408</v>
      </c>
    </row>
    <row r="105" spans="1:43" x14ac:dyDescent="0.3">
      <c r="A105" t="s">
        <v>87</v>
      </c>
      <c r="B105" s="6">
        <f t="shared" si="3"/>
        <v>0.80714285714285716</v>
      </c>
      <c r="C105">
        <f>SUMIFS(data!$C:$C,data!$A:$A,"="&amp;xyz!$A105,data!$B:$B,"="&amp;xyz!C$2)</f>
        <v>0</v>
      </c>
      <c r="D105">
        <f>SUMIFS(data!$C:$C,data!$A:$A,"="&amp;xyz!$A105,data!$B:$B,"="&amp;xyz!D$2)</f>
        <v>1</v>
      </c>
      <c r="E105">
        <f>SUMIFS(data!$C:$C,data!$A:$A,"="&amp;xyz!$A105,data!$B:$B,"="&amp;xyz!E$2)</f>
        <v>2</v>
      </c>
      <c r="F105">
        <f>SUMIFS(data!$C:$C,data!$A:$A,"="&amp;xyz!$A105,data!$B:$B,"="&amp;xyz!F$2)</f>
        <v>0</v>
      </c>
      <c r="G105">
        <f>SUMIFS(data!$C:$C,data!$A:$A,"="&amp;xyz!$A105,data!$B:$B,"="&amp;xyz!G$2)</f>
        <v>3</v>
      </c>
      <c r="H105">
        <f>SUMIFS(data!$C:$C,data!$A:$A,"="&amp;xyz!$A105,data!$B:$B,"="&amp;xyz!H$2)</f>
        <v>5</v>
      </c>
      <c r="I105">
        <f>SUMIFS(data!$C:$C,data!$A:$A,"="&amp;xyz!$A105,data!$B:$B,"="&amp;xyz!I$2)</f>
        <v>0</v>
      </c>
      <c r="J105">
        <f>SUMIFS(data!$C:$C,data!$A:$A,"="&amp;xyz!$A105,data!$B:$B,"="&amp;xyz!J$2)</f>
        <v>2</v>
      </c>
      <c r="K105">
        <f>SUMIFS(data!$C:$C,data!$A:$A,"="&amp;xyz!$A105,data!$B:$B,"="&amp;xyz!K$2)</f>
        <v>0</v>
      </c>
      <c r="L105">
        <f>SUMIFS(data!$C:$C,data!$A:$A,"="&amp;xyz!$A105,data!$B:$B,"="&amp;xyz!L$2)</f>
        <v>0</v>
      </c>
      <c r="M105">
        <f>SUMIFS(data!$C:$C,data!$A:$A,"="&amp;xyz!$A105,data!$B:$B,"="&amp;xyz!M$2)</f>
        <v>0</v>
      </c>
      <c r="N105">
        <f>SUMIFS(data!$C:$C,data!$A:$A,"="&amp;xyz!$A105,data!$B:$B,"="&amp;xyz!N$2)</f>
        <v>1</v>
      </c>
      <c r="O105">
        <f>SUMIFS(data!$C:$C,data!$A:$A,"="&amp;xyz!$A105,data!$B:$B,"="&amp;xyz!O$2)</f>
        <v>0</v>
      </c>
      <c r="P105">
        <f>SUMIFS(data!$C:$C,data!$A:$A,"="&amp;xyz!$A105,data!$B:$B,"="&amp;xyz!P$2)</f>
        <v>1</v>
      </c>
      <c r="Q105">
        <f>SUMIFS(data!$C:$C,data!$A:$A,"="&amp;xyz!$A105,data!$B:$B,"="&amp;xyz!Q$2)</f>
        <v>1</v>
      </c>
      <c r="R105">
        <f>SUMIFS(data!$C:$C,data!$A:$A,"="&amp;xyz!$A105,data!$B:$B,"="&amp;xyz!R$2)</f>
        <v>0</v>
      </c>
      <c r="S105">
        <f>SUMIFS(data!$C:$C,data!$A:$A,"="&amp;xyz!$A105,data!$B:$B,"="&amp;xyz!S$2)</f>
        <v>2</v>
      </c>
      <c r="T105">
        <f>SUMIFS(data!$C:$C,data!$A:$A,"="&amp;xyz!$A105,data!$B:$B,"="&amp;xyz!T$2)</f>
        <v>0</v>
      </c>
      <c r="U105">
        <f>SUMIFS(data!$C:$C,data!$A:$A,"="&amp;xyz!$A105,data!$B:$B,"="&amp;xyz!U$2)</f>
        <v>2</v>
      </c>
      <c r="V105">
        <f>SUMIFS(data!$C:$C,data!$A:$A,"="&amp;xyz!$A105,data!$B:$B,"="&amp;xyz!V$2)</f>
        <v>1</v>
      </c>
      <c r="W105">
        <f>SUMIFS(data!$C:$C,data!$A:$A,"="&amp;xyz!$A105,data!$B:$B,"="&amp;xyz!W$2)</f>
        <v>5</v>
      </c>
      <c r="X105">
        <f>SUMIFS(data!$C:$C,data!$A:$A,"="&amp;xyz!$A105,data!$B:$B,"="&amp;xyz!X$2)</f>
        <v>5</v>
      </c>
      <c r="Y105">
        <f>SUMIFS(data!$C:$C,data!$A:$A,"="&amp;xyz!$A105,data!$B:$B,"="&amp;xyz!Y$2)</f>
        <v>3</v>
      </c>
      <c r="Z105">
        <f>SUMIFS(data!$C:$C,data!$A:$A,"="&amp;xyz!$A105,data!$B:$B,"="&amp;xyz!Z$2)</f>
        <v>1</v>
      </c>
      <c r="AA105">
        <f>SUMIFS(data!$C:$C,data!$A:$A,"="&amp;xyz!$A105,data!$B:$B,"="&amp;xyz!AA$2)</f>
        <v>2</v>
      </c>
      <c r="AB105">
        <f>SUMIFS(data!$C:$C,data!$A:$A,"="&amp;xyz!$A105,data!$B:$B,"="&amp;xyz!AB$2)</f>
        <v>2</v>
      </c>
      <c r="AC105">
        <f>SUMIFS(data!$C:$C,data!$A:$A,"="&amp;xyz!$A105,data!$B:$B,"="&amp;xyz!AC$2)</f>
        <v>2</v>
      </c>
      <c r="AD105">
        <f>SUMIFS(data!$C:$C,data!$A:$A,"="&amp;xyz!$A105,data!$B:$B,"="&amp;xyz!AD$2)</f>
        <v>1</v>
      </c>
      <c r="AE105">
        <f>SUMIFS(data!$C:$C,data!$A:$A,"="&amp;xyz!$A105,data!$B:$B,"="&amp;xyz!AE$2)</f>
        <v>3</v>
      </c>
      <c r="AF105">
        <f>SUMIFS(data!$C:$C,data!$A:$A,"="&amp;xyz!$A105,data!$B:$B,"="&amp;xyz!AF$2)</f>
        <v>3</v>
      </c>
      <c r="AG105">
        <f>SUMIFS(data!$C:$C,data!$A:$A,"="&amp;xyz!$A105,data!$B:$B,"="&amp;xyz!AG$2)</f>
        <v>2</v>
      </c>
      <c r="AH105">
        <f>SUMIFS(data!$C:$C,data!$A:$A,"="&amp;xyz!$A105,data!$B:$B,"="&amp;xyz!AH$2)</f>
        <v>2</v>
      </c>
      <c r="AI105">
        <f>SUMIFS(data!$C:$C,data!$A:$A,"="&amp;xyz!$A105,data!$B:$B,"="&amp;xyz!AI$2)</f>
        <v>1</v>
      </c>
      <c r="AJ105">
        <f>SUMIFS(data!$C:$C,data!$A:$A,"="&amp;xyz!$A105,data!$B:$B,"="&amp;xyz!AJ$2)</f>
        <v>0</v>
      </c>
      <c r="AK105">
        <f>SUMIFS(data!$C:$C,data!$A:$A,"="&amp;xyz!$A105,data!$B:$B,"="&amp;xyz!AK$2)</f>
        <v>1</v>
      </c>
      <c r="AL105">
        <f>SUMIFS(data!$C:$C,data!$A:$A,"="&amp;xyz!$A105,data!$B:$B,"="&amp;xyz!AL$2)</f>
        <v>1</v>
      </c>
      <c r="AM105">
        <f>SUMIFS(data!$C:$C,data!$A:$A,"="&amp;xyz!$A105,data!$B:$B,"="&amp;xyz!AM$2)</f>
        <v>0</v>
      </c>
      <c r="AN105">
        <f>SUMIFS(data!$C:$C,data!$A:$A,"="&amp;xyz!$A105,data!$B:$B,"="&amp;xyz!AN$2)</f>
        <v>0</v>
      </c>
      <c r="AO105">
        <f>SUMIFS(data!$C:$C,data!$A:$A,"="&amp;xyz!$A105,data!$B:$B,"="&amp;xyz!AO$2)</f>
        <v>0</v>
      </c>
      <c r="AP105">
        <f>SUMIFS(data!$C:$C,data!$A:$A,"="&amp;xyz!$A105,data!$B:$B,"="&amp;xyz!AP$2)</f>
        <v>1</v>
      </c>
      <c r="AQ105" s="6">
        <f t="shared" si="4"/>
        <v>1.0204604905473724</v>
      </c>
    </row>
    <row r="106" spans="1:43" x14ac:dyDescent="0.3">
      <c r="A106" t="s">
        <v>42</v>
      </c>
      <c r="B106" s="6">
        <f t="shared" si="3"/>
        <v>0.85000000000000009</v>
      </c>
      <c r="C106">
        <f>SUMIFS(data!$C:$C,data!$A:$A,"="&amp;xyz!$A106,data!$B:$B,"="&amp;xyz!C$2)</f>
        <v>3</v>
      </c>
      <c r="D106">
        <f>SUMIFS(data!$C:$C,data!$A:$A,"="&amp;xyz!$A106,data!$B:$B,"="&amp;xyz!D$2)</f>
        <v>1</v>
      </c>
      <c r="E106">
        <f>SUMIFS(data!$C:$C,data!$A:$A,"="&amp;xyz!$A106,data!$B:$B,"="&amp;xyz!E$2)</f>
        <v>0</v>
      </c>
      <c r="F106">
        <f>SUMIFS(data!$C:$C,data!$A:$A,"="&amp;xyz!$A106,data!$B:$B,"="&amp;xyz!F$2)</f>
        <v>1</v>
      </c>
      <c r="G106">
        <f>SUMIFS(data!$C:$C,data!$A:$A,"="&amp;xyz!$A106,data!$B:$B,"="&amp;xyz!G$2)</f>
        <v>1</v>
      </c>
      <c r="H106">
        <f>SUMIFS(data!$C:$C,data!$A:$A,"="&amp;xyz!$A106,data!$B:$B,"="&amp;xyz!H$2)</f>
        <v>1</v>
      </c>
      <c r="I106">
        <f>SUMIFS(data!$C:$C,data!$A:$A,"="&amp;xyz!$A106,data!$B:$B,"="&amp;xyz!I$2)</f>
        <v>3</v>
      </c>
      <c r="J106">
        <f>SUMIFS(data!$C:$C,data!$A:$A,"="&amp;xyz!$A106,data!$B:$B,"="&amp;xyz!J$2)</f>
        <v>0</v>
      </c>
      <c r="K106">
        <f>SUMIFS(data!$C:$C,data!$A:$A,"="&amp;xyz!$A106,data!$B:$B,"="&amp;xyz!K$2)</f>
        <v>0</v>
      </c>
      <c r="L106">
        <f>SUMIFS(data!$C:$C,data!$A:$A,"="&amp;xyz!$A106,data!$B:$B,"="&amp;xyz!L$2)</f>
        <v>1</v>
      </c>
      <c r="M106">
        <f>SUMIFS(data!$C:$C,data!$A:$A,"="&amp;xyz!$A106,data!$B:$B,"="&amp;xyz!M$2)</f>
        <v>3</v>
      </c>
      <c r="N106">
        <f>SUMIFS(data!$C:$C,data!$A:$A,"="&amp;xyz!$A106,data!$B:$B,"="&amp;xyz!N$2)</f>
        <v>0</v>
      </c>
      <c r="O106">
        <f>SUMIFS(data!$C:$C,data!$A:$A,"="&amp;xyz!$A106,data!$B:$B,"="&amp;xyz!O$2)</f>
        <v>0</v>
      </c>
      <c r="P106">
        <f>SUMIFS(data!$C:$C,data!$A:$A,"="&amp;xyz!$A106,data!$B:$B,"="&amp;xyz!P$2)</f>
        <v>1</v>
      </c>
      <c r="Q106">
        <f>SUMIFS(data!$C:$C,data!$A:$A,"="&amp;xyz!$A106,data!$B:$B,"="&amp;xyz!Q$2)</f>
        <v>1</v>
      </c>
      <c r="R106">
        <f>SUMIFS(data!$C:$C,data!$A:$A,"="&amp;xyz!$A106,data!$B:$B,"="&amp;xyz!R$2)</f>
        <v>0</v>
      </c>
      <c r="S106">
        <f>SUMIFS(data!$C:$C,data!$A:$A,"="&amp;xyz!$A106,data!$B:$B,"="&amp;xyz!S$2)</f>
        <v>1</v>
      </c>
      <c r="T106">
        <f>SUMIFS(data!$C:$C,data!$A:$A,"="&amp;xyz!$A106,data!$B:$B,"="&amp;xyz!T$2)</f>
        <v>0</v>
      </c>
      <c r="U106">
        <f>SUMIFS(data!$C:$C,data!$A:$A,"="&amp;xyz!$A106,data!$B:$B,"="&amp;xyz!U$2)</f>
        <v>4</v>
      </c>
      <c r="V106">
        <f>SUMIFS(data!$C:$C,data!$A:$A,"="&amp;xyz!$A106,data!$B:$B,"="&amp;xyz!V$2)</f>
        <v>0</v>
      </c>
      <c r="W106">
        <f>SUMIFS(data!$C:$C,data!$A:$A,"="&amp;xyz!$A106,data!$B:$B,"="&amp;xyz!W$2)</f>
        <v>0</v>
      </c>
      <c r="X106">
        <f>SUMIFS(data!$C:$C,data!$A:$A,"="&amp;xyz!$A106,data!$B:$B,"="&amp;xyz!X$2)</f>
        <v>2</v>
      </c>
      <c r="Y106">
        <f>SUMIFS(data!$C:$C,data!$A:$A,"="&amp;xyz!$A106,data!$B:$B,"="&amp;xyz!Y$2)</f>
        <v>3</v>
      </c>
      <c r="Z106">
        <f>SUMIFS(data!$C:$C,data!$A:$A,"="&amp;xyz!$A106,data!$B:$B,"="&amp;xyz!Z$2)</f>
        <v>0</v>
      </c>
      <c r="AA106">
        <f>SUMIFS(data!$C:$C,data!$A:$A,"="&amp;xyz!$A106,data!$B:$B,"="&amp;xyz!AA$2)</f>
        <v>2</v>
      </c>
      <c r="AB106">
        <f>SUMIFS(data!$C:$C,data!$A:$A,"="&amp;xyz!$A106,data!$B:$B,"="&amp;xyz!AB$2)</f>
        <v>3</v>
      </c>
      <c r="AC106">
        <f>SUMIFS(data!$C:$C,data!$A:$A,"="&amp;xyz!$A106,data!$B:$B,"="&amp;xyz!AC$2)</f>
        <v>1</v>
      </c>
      <c r="AD106">
        <f>SUMIFS(data!$C:$C,data!$A:$A,"="&amp;xyz!$A106,data!$B:$B,"="&amp;xyz!AD$2)</f>
        <v>0</v>
      </c>
      <c r="AE106">
        <f>SUMIFS(data!$C:$C,data!$A:$A,"="&amp;xyz!$A106,data!$B:$B,"="&amp;xyz!AE$2)</f>
        <v>1</v>
      </c>
      <c r="AF106">
        <f>SUMIFS(data!$C:$C,data!$A:$A,"="&amp;xyz!$A106,data!$B:$B,"="&amp;xyz!AF$2)</f>
        <v>0</v>
      </c>
      <c r="AG106">
        <f>SUMIFS(data!$C:$C,data!$A:$A,"="&amp;xyz!$A106,data!$B:$B,"="&amp;xyz!AG$2)</f>
        <v>1</v>
      </c>
      <c r="AH106">
        <f>SUMIFS(data!$C:$C,data!$A:$A,"="&amp;xyz!$A106,data!$B:$B,"="&amp;xyz!AH$2)</f>
        <v>3</v>
      </c>
      <c r="AI106">
        <f>SUMIFS(data!$C:$C,data!$A:$A,"="&amp;xyz!$A106,data!$B:$B,"="&amp;xyz!AI$2)</f>
        <v>0</v>
      </c>
      <c r="AJ106">
        <f>SUMIFS(data!$C:$C,data!$A:$A,"="&amp;xyz!$A106,data!$B:$B,"="&amp;xyz!AJ$2)</f>
        <v>3</v>
      </c>
      <c r="AK106">
        <f>SUMIFS(data!$C:$C,data!$A:$A,"="&amp;xyz!$A106,data!$B:$B,"="&amp;xyz!AK$2)</f>
        <v>4</v>
      </c>
      <c r="AL106">
        <f>SUMIFS(data!$C:$C,data!$A:$A,"="&amp;xyz!$A106,data!$B:$B,"="&amp;xyz!AL$2)</f>
        <v>1</v>
      </c>
      <c r="AM106">
        <f>SUMIFS(data!$C:$C,data!$A:$A,"="&amp;xyz!$A106,data!$B:$B,"="&amp;xyz!AM$2)</f>
        <v>0</v>
      </c>
      <c r="AN106">
        <f>SUMIFS(data!$C:$C,data!$A:$A,"="&amp;xyz!$A106,data!$B:$B,"="&amp;xyz!AN$2)</f>
        <v>4</v>
      </c>
      <c r="AO106">
        <f>SUMIFS(data!$C:$C,data!$A:$A,"="&amp;xyz!$A106,data!$B:$B,"="&amp;xyz!AO$2)</f>
        <v>2</v>
      </c>
      <c r="AP106">
        <f>SUMIFS(data!$C:$C,data!$A:$A,"="&amp;xyz!$A106,data!$B:$B,"="&amp;xyz!AP$2)</f>
        <v>1</v>
      </c>
      <c r="AQ106" s="6">
        <f t="shared" si="4"/>
        <v>1.0187142824453181</v>
      </c>
    </row>
    <row r="107" spans="1:43" x14ac:dyDescent="0.3">
      <c r="A107" t="s">
        <v>150</v>
      </c>
      <c r="B107" s="6">
        <f t="shared" si="3"/>
        <v>0.86101694915254234</v>
      </c>
      <c r="C107">
        <f>SUMIFS(data!$C:$C,data!$A:$A,"="&amp;xyz!$A107,data!$B:$B,"="&amp;xyz!C$2)</f>
        <v>0</v>
      </c>
      <c r="D107">
        <f>SUMIFS(data!$C:$C,data!$A:$A,"="&amp;xyz!$A107,data!$B:$B,"="&amp;xyz!D$2)</f>
        <v>0</v>
      </c>
      <c r="E107">
        <f>SUMIFS(data!$C:$C,data!$A:$A,"="&amp;xyz!$A107,data!$B:$B,"="&amp;xyz!E$2)</f>
        <v>0</v>
      </c>
      <c r="F107">
        <f>SUMIFS(data!$C:$C,data!$A:$A,"="&amp;xyz!$A107,data!$B:$B,"="&amp;xyz!F$2)</f>
        <v>0</v>
      </c>
      <c r="G107">
        <f>SUMIFS(data!$C:$C,data!$A:$A,"="&amp;xyz!$A107,data!$B:$B,"="&amp;xyz!G$2)</f>
        <v>1</v>
      </c>
      <c r="H107">
        <f>SUMIFS(data!$C:$C,data!$A:$A,"="&amp;xyz!$A107,data!$B:$B,"="&amp;xyz!H$2)</f>
        <v>6</v>
      </c>
      <c r="I107">
        <f>SUMIFS(data!$C:$C,data!$A:$A,"="&amp;xyz!$A107,data!$B:$B,"="&amp;xyz!I$2)</f>
        <v>1</v>
      </c>
      <c r="J107">
        <f>SUMIFS(data!$C:$C,data!$A:$A,"="&amp;xyz!$A107,data!$B:$B,"="&amp;xyz!J$2)</f>
        <v>2</v>
      </c>
      <c r="K107">
        <f>SUMIFS(data!$C:$C,data!$A:$A,"="&amp;xyz!$A107,data!$B:$B,"="&amp;xyz!K$2)</f>
        <v>0</v>
      </c>
      <c r="L107">
        <f>SUMIFS(data!$C:$C,data!$A:$A,"="&amp;xyz!$A107,data!$B:$B,"="&amp;xyz!L$2)</f>
        <v>1</v>
      </c>
      <c r="M107">
        <f>SUMIFS(data!$C:$C,data!$A:$A,"="&amp;xyz!$A107,data!$B:$B,"="&amp;xyz!M$2)</f>
        <v>0</v>
      </c>
      <c r="N107">
        <f>SUMIFS(data!$C:$C,data!$A:$A,"="&amp;xyz!$A107,data!$B:$B,"="&amp;xyz!N$2)</f>
        <v>0</v>
      </c>
      <c r="O107">
        <f>SUMIFS(data!$C:$C,data!$A:$A,"="&amp;xyz!$A107,data!$B:$B,"="&amp;xyz!O$2)</f>
        <v>5</v>
      </c>
      <c r="P107">
        <f>SUMIFS(data!$C:$C,data!$A:$A,"="&amp;xyz!$A107,data!$B:$B,"="&amp;xyz!P$2)</f>
        <v>4</v>
      </c>
      <c r="Q107">
        <f>SUMIFS(data!$C:$C,data!$A:$A,"="&amp;xyz!$A107,data!$B:$B,"="&amp;xyz!Q$2)</f>
        <v>2</v>
      </c>
      <c r="R107">
        <f>SUMIFS(data!$C:$C,data!$A:$A,"="&amp;xyz!$A107,data!$B:$B,"="&amp;xyz!R$2)</f>
        <v>1</v>
      </c>
      <c r="S107">
        <f>SUMIFS(data!$C:$C,data!$A:$A,"="&amp;xyz!$A107,data!$B:$B,"="&amp;xyz!S$2)</f>
        <v>0</v>
      </c>
      <c r="T107">
        <f>SUMIFS(data!$C:$C,data!$A:$A,"="&amp;xyz!$A107,data!$B:$B,"="&amp;xyz!T$2)</f>
        <v>3</v>
      </c>
      <c r="U107">
        <f>SUMIFS(data!$C:$C,data!$A:$A,"="&amp;xyz!$A107,data!$B:$B,"="&amp;xyz!U$2)</f>
        <v>1</v>
      </c>
      <c r="V107">
        <f>SUMIFS(data!$C:$C,data!$A:$A,"="&amp;xyz!$A107,data!$B:$B,"="&amp;xyz!V$2)</f>
        <v>2</v>
      </c>
      <c r="W107">
        <f>SUMIFS(data!$C:$C,data!$A:$A,"="&amp;xyz!$A107,data!$B:$B,"="&amp;xyz!W$2)</f>
        <v>2</v>
      </c>
      <c r="X107">
        <f>SUMIFS(data!$C:$C,data!$A:$A,"="&amp;xyz!$A107,data!$B:$B,"="&amp;xyz!X$2)</f>
        <v>2</v>
      </c>
      <c r="Y107">
        <f>SUMIFS(data!$C:$C,data!$A:$A,"="&amp;xyz!$A107,data!$B:$B,"="&amp;xyz!Y$2)</f>
        <v>0</v>
      </c>
      <c r="Z107">
        <f>SUMIFS(data!$C:$C,data!$A:$A,"="&amp;xyz!$A107,data!$B:$B,"="&amp;xyz!Z$2)</f>
        <v>2</v>
      </c>
      <c r="AA107">
        <f>SUMIFS(data!$C:$C,data!$A:$A,"="&amp;xyz!$A107,data!$B:$B,"="&amp;xyz!AA$2)</f>
        <v>0</v>
      </c>
      <c r="AB107">
        <f>SUMIFS(data!$C:$C,data!$A:$A,"="&amp;xyz!$A107,data!$B:$B,"="&amp;xyz!AB$2)</f>
        <v>2</v>
      </c>
      <c r="AC107">
        <f>SUMIFS(data!$C:$C,data!$A:$A,"="&amp;xyz!$A107,data!$B:$B,"="&amp;xyz!AC$2)</f>
        <v>0</v>
      </c>
      <c r="AD107">
        <f>SUMIFS(data!$C:$C,data!$A:$A,"="&amp;xyz!$A107,data!$B:$B,"="&amp;xyz!AD$2)</f>
        <v>1</v>
      </c>
      <c r="AE107">
        <f>SUMIFS(data!$C:$C,data!$A:$A,"="&amp;xyz!$A107,data!$B:$B,"="&amp;xyz!AE$2)</f>
        <v>1</v>
      </c>
      <c r="AF107">
        <f>SUMIFS(data!$C:$C,data!$A:$A,"="&amp;xyz!$A107,data!$B:$B,"="&amp;xyz!AF$2)</f>
        <v>0</v>
      </c>
      <c r="AG107">
        <f>SUMIFS(data!$C:$C,data!$A:$A,"="&amp;xyz!$A107,data!$B:$B,"="&amp;xyz!AG$2)</f>
        <v>1</v>
      </c>
      <c r="AH107">
        <f>SUMIFS(data!$C:$C,data!$A:$A,"="&amp;xyz!$A107,data!$B:$B,"="&amp;xyz!AH$2)</f>
        <v>7</v>
      </c>
      <c r="AI107">
        <f>SUMIFS(data!$C:$C,data!$A:$A,"="&amp;xyz!$A107,data!$B:$B,"="&amp;xyz!AI$2)</f>
        <v>1</v>
      </c>
      <c r="AJ107">
        <f>SUMIFS(data!$C:$C,data!$A:$A,"="&amp;xyz!$A107,data!$B:$B,"="&amp;xyz!AJ$2)</f>
        <v>1</v>
      </c>
      <c r="AK107">
        <f>SUMIFS(data!$C:$C,data!$A:$A,"="&amp;xyz!$A107,data!$B:$B,"="&amp;xyz!AK$2)</f>
        <v>2</v>
      </c>
      <c r="AL107">
        <f>SUMIFS(data!$C:$C,data!$A:$A,"="&amp;xyz!$A107,data!$B:$B,"="&amp;xyz!AL$2)</f>
        <v>4</v>
      </c>
      <c r="AM107">
        <f>SUMIFS(data!$C:$C,data!$A:$A,"="&amp;xyz!$A107,data!$B:$B,"="&amp;xyz!AM$2)</f>
        <v>2</v>
      </c>
      <c r="AN107">
        <f>SUMIFS(data!$C:$C,data!$A:$A,"="&amp;xyz!$A107,data!$B:$B,"="&amp;xyz!AN$2)</f>
        <v>2</v>
      </c>
      <c r="AO107">
        <f>SUMIFS(data!$C:$C,data!$A:$A,"="&amp;xyz!$A107,data!$B:$B,"="&amp;xyz!AO$2)</f>
        <v>0</v>
      </c>
      <c r="AP107">
        <f>SUMIFS(data!$C:$C,data!$A:$A,"="&amp;xyz!$A107,data!$B:$B,"="&amp;xyz!AP$2)</f>
        <v>0</v>
      </c>
      <c r="AQ107" s="6">
        <f t="shared" si="4"/>
        <v>1.1589921024102887</v>
      </c>
    </row>
    <row r="108" spans="1:43" x14ac:dyDescent="0.3">
      <c r="A108" t="s">
        <v>27</v>
      </c>
      <c r="B108" s="6">
        <f t="shared" si="3"/>
        <v>0.97758620689655162</v>
      </c>
      <c r="C108">
        <f>SUMIFS(data!$C:$C,data!$A:$A,"="&amp;xyz!$A108,data!$B:$B,"="&amp;xyz!C$2)</f>
        <v>0</v>
      </c>
      <c r="D108">
        <f>SUMIFS(data!$C:$C,data!$A:$A,"="&amp;xyz!$A108,data!$B:$B,"="&amp;xyz!D$2)</f>
        <v>1</v>
      </c>
      <c r="E108">
        <f>SUMIFS(data!$C:$C,data!$A:$A,"="&amp;xyz!$A108,data!$B:$B,"="&amp;xyz!E$2)</f>
        <v>0</v>
      </c>
      <c r="F108">
        <f>SUMIFS(data!$C:$C,data!$A:$A,"="&amp;xyz!$A108,data!$B:$B,"="&amp;xyz!F$2)</f>
        <v>3</v>
      </c>
      <c r="G108">
        <f>SUMIFS(data!$C:$C,data!$A:$A,"="&amp;xyz!$A108,data!$B:$B,"="&amp;xyz!G$2)</f>
        <v>0</v>
      </c>
      <c r="H108">
        <f>SUMIFS(data!$C:$C,data!$A:$A,"="&amp;xyz!$A108,data!$B:$B,"="&amp;xyz!H$2)</f>
        <v>2</v>
      </c>
      <c r="I108">
        <f>SUMIFS(data!$C:$C,data!$A:$A,"="&amp;xyz!$A108,data!$B:$B,"="&amp;xyz!I$2)</f>
        <v>0</v>
      </c>
      <c r="J108">
        <f>SUMIFS(data!$C:$C,data!$A:$A,"="&amp;xyz!$A108,data!$B:$B,"="&amp;xyz!J$2)</f>
        <v>2</v>
      </c>
      <c r="K108">
        <f>SUMIFS(data!$C:$C,data!$A:$A,"="&amp;xyz!$A108,data!$B:$B,"="&amp;xyz!K$2)</f>
        <v>0</v>
      </c>
      <c r="L108">
        <f>SUMIFS(data!$C:$C,data!$A:$A,"="&amp;xyz!$A108,data!$B:$B,"="&amp;xyz!L$2)</f>
        <v>0</v>
      </c>
      <c r="M108">
        <f>SUMIFS(data!$C:$C,data!$A:$A,"="&amp;xyz!$A108,data!$B:$B,"="&amp;xyz!M$2)</f>
        <v>0</v>
      </c>
      <c r="N108">
        <f>SUMIFS(data!$C:$C,data!$A:$A,"="&amp;xyz!$A108,data!$B:$B,"="&amp;xyz!N$2)</f>
        <v>0</v>
      </c>
      <c r="O108">
        <f>SUMIFS(data!$C:$C,data!$A:$A,"="&amp;xyz!$A108,data!$B:$B,"="&amp;xyz!O$2)</f>
        <v>1</v>
      </c>
      <c r="P108">
        <f>SUMIFS(data!$C:$C,data!$A:$A,"="&amp;xyz!$A108,data!$B:$B,"="&amp;xyz!P$2)</f>
        <v>1</v>
      </c>
      <c r="Q108">
        <f>SUMIFS(data!$C:$C,data!$A:$A,"="&amp;xyz!$A108,data!$B:$B,"="&amp;xyz!Q$2)</f>
        <v>0</v>
      </c>
      <c r="R108">
        <f>SUMIFS(data!$C:$C,data!$A:$A,"="&amp;xyz!$A108,data!$B:$B,"="&amp;xyz!R$2)</f>
        <v>0</v>
      </c>
      <c r="S108">
        <f>SUMIFS(data!$C:$C,data!$A:$A,"="&amp;xyz!$A108,data!$B:$B,"="&amp;xyz!S$2)</f>
        <v>4</v>
      </c>
      <c r="T108">
        <f>SUMIFS(data!$C:$C,data!$A:$A,"="&amp;xyz!$A108,data!$B:$B,"="&amp;xyz!T$2)</f>
        <v>0</v>
      </c>
      <c r="U108">
        <f>SUMIFS(data!$C:$C,data!$A:$A,"="&amp;xyz!$A108,data!$B:$B,"="&amp;xyz!U$2)</f>
        <v>0</v>
      </c>
      <c r="V108">
        <f>SUMIFS(data!$C:$C,data!$A:$A,"="&amp;xyz!$A108,data!$B:$B,"="&amp;xyz!V$2)</f>
        <v>3</v>
      </c>
      <c r="W108">
        <f>SUMIFS(data!$C:$C,data!$A:$A,"="&amp;xyz!$A108,data!$B:$B,"="&amp;xyz!W$2)</f>
        <v>4</v>
      </c>
      <c r="X108">
        <f>SUMIFS(data!$C:$C,data!$A:$A,"="&amp;xyz!$A108,data!$B:$B,"="&amp;xyz!X$2)</f>
        <v>2</v>
      </c>
      <c r="Y108">
        <f>SUMIFS(data!$C:$C,data!$A:$A,"="&amp;xyz!$A108,data!$B:$B,"="&amp;xyz!Y$2)</f>
        <v>2</v>
      </c>
      <c r="Z108">
        <f>SUMIFS(data!$C:$C,data!$A:$A,"="&amp;xyz!$A108,data!$B:$B,"="&amp;xyz!Z$2)</f>
        <v>0</v>
      </c>
      <c r="AA108">
        <f>SUMIFS(data!$C:$C,data!$A:$A,"="&amp;xyz!$A108,data!$B:$B,"="&amp;xyz!AA$2)</f>
        <v>0</v>
      </c>
      <c r="AB108">
        <f>SUMIFS(data!$C:$C,data!$A:$A,"="&amp;xyz!$A108,data!$B:$B,"="&amp;xyz!AB$2)</f>
        <v>0</v>
      </c>
      <c r="AC108">
        <f>SUMIFS(data!$C:$C,data!$A:$A,"="&amp;xyz!$A108,data!$B:$B,"="&amp;xyz!AC$2)</f>
        <v>1</v>
      </c>
      <c r="AD108">
        <f>SUMIFS(data!$C:$C,data!$A:$A,"="&amp;xyz!$A108,data!$B:$B,"="&amp;xyz!AD$2)</f>
        <v>0</v>
      </c>
      <c r="AE108">
        <f>SUMIFS(data!$C:$C,data!$A:$A,"="&amp;xyz!$A108,data!$B:$B,"="&amp;xyz!AE$2)</f>
        <v>2</v>
      </c>
      <c r="AF108">
        <f>SUMIFS(data!$C:$C,data!$A:$A,"="&amp;xyz!$A108,data!$B:$B,"="&amp;xyz!AF$2)</f>
        <v>5</v>
      </c>
      <c r="AG108">
        <f>SUMIFS(data!$C:$C,data!$A:$A,"="&amp;xyz!$A108,data!$B:$B,"="&amp;xyz!AG$2)</f>
        <v>1</v>
      </c>
      <c r="AH108">
        <f>SUMIFS(data!$C:$C,data!$A:$A,"="&amp;xyz!$A108,data!$B:$B,"="&amp;xyz!AH$2)</f>
        <v>2</v>
      </c>
      <c r="AI108">
        <f>SUMIFS(data!$C:$C,data!$A:$A,"="&amp;xyz!$A108,data!$B:$B,"="&amp;xyz!AI$2)</f>
        <v>2</v>
      </c>
      <c r="AJ108">
        <f>SUMIFS(data!$C:$C,data!$A:$A,"="&amp;xyz!$A108,data!$B:$B,"="&amp;xyz!AJ$2)</f>
        <v>2</v>
      </c>
      <c r="AK108">
        <f>SUMIFS(data!$C:$C,data!$A:$A,"="&amp;xyz!$A108,data!$B:$B,"="&amp;xyz!AK$2)</f>
        <v>3</v>
      </c>
      <c r="AL108">
        <f>SUMIFS(data!$C:$C,data!$A:$A,"="&amp;xyz!$A108,data!$B:$B,"="&amp;xyz!AL$2)</f>
        <v>0</v>
      </c>
      <c r="AM108">
        <f>SUMIFS(data!$C:$C,data!$A:$A,"="&amp;xyz!$A108,data!$B:$B,"="&amp;xyz!AM$2)</f>
        <v>0</v>
      </c>
      <c r="AN108">
        <f>SUMIFS(data!$C:$C,data!$A:$A,"="&amp;xyz!$A108,data!$B:$B,"="&amp;xyz!AN$2)</f>
        <v>7</v>
      </c>
      <c r="AO108">
        <f>SUMIFS(data!$C:$C,data!$A:$A,"="&amp;xyz!$A108,data!$B:$B,"="&amp;xyz!AO$2)</f>
        <v>5</v>
      </c>
      <c r="AP108">
        <f>SUMIFS(data!$C:$C,data!$A:$A,"="&amp;xyz!$A108,data!$B:$B,"="&amp;xyz!AP$2)</f>
        <v>3</v>
      </c>
      <c r="AQ108" s="6">
        <f t="shared" si="4"/>
        <v>1.2092310376557296</v>
      </c>
    </row>
    <row r="109" spans="1:43" x14ac:dyDescent="0.3">
      <c r="A109" t="s">
        <v>89</v>
      </c>
      <c r="B109" s="6">
        <f t="shared" si="3"/>
        <v>0.81363636363636394</v>
      </c>
      <c r="C109">
        <f>SUMIFS(data!$C:$C,data!$A:$A,"="&amp;xyz!$A109,data!$B:$B,"="&amp;xyz!C$2)</f>
        <v>1</v>
      </c>
      <c r="D109">
        <f>SUMIFS(data!$C:$C,data!$A:$A,"="&amp;xyz!$A109,data!$B:$B,"="&amp;xyz!D$2)</f>
        <v>3</v>
      </c>
      <c r="E109">
        <f>SUMIFS(data!$C:$C,data!$A:$A,"="&amp;xyz!$A109,data!$B:$B,"="&amp;xyz!E$2)</f>
        <v>1</v>
      </c>
      <c r="F109">
        <f>SUMIFS(data!$C:$C,data!$A:$A,"="&amp;xyz!$A109,data!$B:$B,"="&amp;xyz!F$2)</f>
        <v>4</v>
      </c>
      <c r="G109">
        <f>SUMIFS(data!$C:$C,data!$A:$A,"="&amp;xyz!$A109,data!$B:$B,"="&amp;xyz!G$2)</f>
        <v>3</v>
      </c>
      <c r="H109">
        <f>SUMIFS(data!$C:$C,data!$A:$A,"="&amp;xyz!$A109,data!$B:$B,"="&amp;xyz!H$2)</f>
        <v>0</v>
      </c>
      <c r="I109">
        <f>SUMIFS(data!$C:$C,data!$A:$A,"="&amp;xyz!$A109,data!$B:$B,"="&amp;xyz!I$2)</f>
        <v>0</v>
      </c>
      <c r="J109">
        <f>SUMIFS(data!$C:$C,data!$A:$A,"="&amp;xyz!$A109,data!$B:$B,"="&amp;xyz!J$2)</f>
        <v>5</v>
      </c>
      <c r="K109">
        <f>SUMIFS(data!$C:$C,data!$A:$A,"="&amp;xyz!$A109,data!$B:$B,"="&amp;xyz!K$2)</f>
        <v>0</v>
      </c>
      <c r="L109">
        <f>SUMIFS(data!$C:$C,data!$A:$A,"="&amp;xyz!$A109,data!$B:$B,"="&amp;xyz!L$2)</f>
        <v>0</v>
      </c>
      <c r="M109">
        <f>SUMIFS(data!$C:$C,data!$A:$A,"="&amp;xyz!$A109,data!$B:$B,"="&amp;xyz!M$2)</f>
        <v>3</v>
      </c>
      <c r="N109">
        <f>SUMIFS(data!$C:$C,data!$A:$A,"="&amp;xyz!$A109,data!$B:$B,"="&amp;xyz!N$2)</f>
        <v>2</v>
      </c>
      <c r="O109">
        <f>SUMIFS(data!$C:$C,data!$A:$A,"="&amp;xyz!$A109,data!$B:$B,"="&amp;xyz!O$2)</f>
        <v>0</v>
      </c>
      <c r="P109">
        <f>SUMIFS(data!$C:$C,data!$A:$A,"="&amp;xyz!$A109,data!$B:$B,"="&amp;xyz!P$2)</f>
        <v>0</v>
      </c>
      <c r="Q109">
        <f>SUMIFS(data!$C:$C,data!$A:$A,"="&amp;xyz!$A109,data!$B:$B,"="&amp;xyz!Q$2)</f>
        <v>1</v>
      </c>
      <c r="R109">
        <f>SUMIFS(data!$C:$C,data!$A:$A,"="&amp;xyz!$A109,data!$B:$B,"="&amp;xyz!R$2)</f>
        <v>2</v>
      </c>
      <c r="S109">
        <f>SUMIFS(data!$C:$C,data!$A:$A,"="&amp;xyz!$A109,data!$B:$B,"="&amp;xyz!S$2)</f>
        <v>0</v>
      </c>
      <c r="T109">
        <f>SUMIFS(data!$C:$C,data!$A:$A,"="&amp;xyz!$A109,data!$B:$B,"="&amp;xyz!T$2)</f>
        <v>1</v>
      </c>
      <c r="U109">
        <f>SUMIFS(data!$C:$C,data!$A:$A,"="&amp;xyz!$A109,data!$B:$B,"="&amp;xyz!U$2)</f>
        <v>0</v>
      </c>
      <c r="V109">
        <f>SUMIFS(data!$C:$C,data!$A:$A,"="&amp;xyz!$A109,data!$B:$B,"="&amp;xyz!V$2)</f>
        <v>2</v>
      </c>
      <c r="W109">
        <f>SUMIFS(data!$C:$C,data!$A:$A,"="&amp;xyz!$A109,data!$B:$B,"="&amp;xyz!W$2)</f>
        <v>0</v>
      </c>
      <c r="X109">
        <f>SUMIFS(data!$C:$C,data!$A:$A,"="&amp;xyz!$A109,data!$B:$B,"="&amp;xyz!X$2)</f>
        <v>0</v>
      </c>
      <c r="Y109">
        <f>SUMIFS(data!$C:$C,data!$A:$A,"="&amp;xyz!$A109,data!$B:$B,"="&amp;xyz!Y$2)</f>
        <v>0</v>
      </c>
      <c r="Z109">
        <f>SUMIFS(data!$C:$C,data!$A:$A,"="&amp;xyz!$A109,data!$B:$B,"="&amp;xyz!Z$2)</f>
        <v>0</v>
      </c>
      <c r="AA109">
        <f>SUMIFS(data!$C:$C,data!$A:$A,"="&amp;xyz!$A109,data!$B:$B,"="&amp;xyz!AA$2)</f>
        <v>1</v>
      </c>
      <c r="AB109">
        <f>SUMIFS(data!$C:$C,data!$A:$A,"="&amp;xyz!$A109,data!$B:$B,"="&amp;xyz!AB$2)</f>
        <v>1</v>
      </c>
      <c r="AC109">
        <f>SUMIFS(data!$C:$C,data!$A:$A,"="&amp;xyz!$A109,data!$B:$B,"="&amp;xyz!AC$2)</f>
        <v>0</v>
      </c>
      <c r="AD109">
        <f>SUMIFS(data!$C:$C,data!$A:$A,"="&amp;xyz!$A109,data!$B:$B,"="&amp;xyz!AD$2)</f>
        <v>1</v>
      </c>
      <c r="AE109">
        <f>SUMIFS(data!$C:$C,data!$A:$A,"="&amp;xyz!$A109,data!$B:$B,"="&amp;xyz!AE$2)</f>
        <v>0</v>
      </c>
      <c r="AF109">
        <f>SUMIFS(data!$C:$C,data!$A:$A,"="&amp;xyz!$A109,data!$B:$B,"="&amp;xyz!AF$2)</f>
        <v>1</v>
      </c>
      <c r="AG109">
        <f>SUMIFS(data!$C:$C,data!$A:$A,"="&amp;xyz!$A109,data!$B:$B,"="&amp;xyz!AG$2)</f>
        <v>1</v>
      </c>
      <c r="AH109">
        <f>SUMIFS(data!$C:$C,data!$A:$A,"="&amp;xyz!$A109,data!$B:$B,"="&amp;xyz!AH$2)</f>
        <v>1</v>
      </c>
      <c r="AI109">
        <f>SUMIFS(data!$C:$C,data!$A:$A,"="&amp;xyz!$A109,data!$B:$B,"="&amp;xyz!AI$2)</f>
        <v>0</v>
      </c>
      <c r="AJ109">
        <f>SUMIFS(data!$C:$C,data!$A:$A,"="&amp;xyz!$A109,data!$B:$B,"="&amp;xyz!AJ$2)</f>
        <v>1</v>
      </c>
      <c r="AK109">
        <f>SUMIFS(data!$C:$C,data!$A:$A,"="&amp;xyz!$A109,data!$B:$B,"="&amp;xyz!AK$2)</f>
        <v>2</v>
      </c>
      <c r="AL109">
        <f>SUMIFS(data!$C:$C,data!$A:$A,"="&amp;xyz!$A109,data!$B:$B,"="&amp;xyz!AL$2)</f>
        <v>2</v>
      </c>
      <c r="AM109">
        <f>SUMIFS(data!$C:$C,data!$A:$A,"="&amp;xyz!$A109,data!$B:$B,"="&amp;xyz!AM$2)</f>
        <v>1</v>
      </c>
      <c r="AN109">
        <f>SUMIFS(data!$C:$C,data!$A:$A,"="&amp;xyz!$A109,data!$B:$B,"="&amp;xyz!AN$2)</f>
        <v>1</v>
      </c>
      <c r="AO109">
        <f>SUMIFS(data!$C:$C,data!$A:$A,"="&amp;xyz!$A109,data!$B:$B,"="&amp;xyz!AO$2)</f>
        <v>2</v>
      </c>
      <c r="AP109">
        <f>SUMIFS(data!$C:$C,data!$A:$A,"="&amp;xyz!$A109,data!$B:$B,"="&amp;xyz!AP$2)</f>
        <v>1</v>
      </c>
      <c r="AQ109" s="6">
        <f t="shared" si="4"/>
        <v>1.1048065822730908</v>
      </c>
    </row>
    <row r="110" spans="1:43" x14ac:dyDescent="0.3">
      <c r="A110" t="s">
        <v>96</v>
      </c>
      <c r="B110" s="6">
        <f t="shared" si="3"/>
        <v>0.69411764705882339</v>
      </c>
      <c r="C110">
        <f>SUMIFS(data!$C:$C,data!$A:$A,"="&amp;xyz!$A110,data!$B:$B,"="&amp;xyz!C$2)</f>
        <v>1</v>
      </c>
      <c r="D110">
        <f>SUMIFS(data!$C:$C,data!$A:$A,"="&amp;xyz!$A110,data!$B:$B,"="&amp;xyz!D$2)</f>
        <v>3</v>
      </c>
      <c r="E110">
        <f>SUMIFS(data!$C:$C,data!$A:$A,"="&amp;xyz!$A110,data!$B:$B,"="&amp;xyz!E$2)</f>
        <v>0</v>
      </c>
      <c r="F110">
        <f>SUMIFS(data!$C:$C,data!$A:$A,"="&amp;xyz!$A110,data!$B:$B,"="&amp;xyz!F$2)</f>
        <v>0</v>
      </c>
      <c r="G110">
        <f>SUMIFS(data!$C:$C,data!$A:$A,"="&amp;xyz!$A110,data!$B:$B,"="&amp;xyz!G$2)</f>
        <v>3</v>
      </c>
      <c r="H110">
        <f>SUMIFS(data!$C:$C,data!$A:$A,"="&amp;xyz!$A110,data!$B:$B,"="&amp;xyz!H$2)</f>
        <v>1</v>
      </c>
      <c r="I110">
        <f>SUMIFS(data!$C:$C,data!$A:$A,"="&amp;xyz!$A110,data!$B:$B,"="&amp;xyz!I$2)</f>
        <v>0</v>
      </c>
      <c r="J110">
        <f>SUMIFS(data!$C:$C,data!$A:$A,"="&amp;xyz!$A110,data!$B:$B,"="&amp;xyz!J$2)</f>
        <v>0</v>
      </c>
      <c r="K110">
        <f>SUMIFS(data!$C:$C,data!$A:$A,"="&amp;xyz!$A110,data!$B:$B,"="&amp;xyz!K$2)</f>
        <v>0</v>
      </c>
      <c r="L110">
        <f>SUMIFS(data!$C:$C,data!$A:$A,"="&amp;xyz!$A110,data!$B:$B,"="&amp;xyz!L$2)</f>
        <v>2</v>
      </c>
      <c r="M110">
        <f>SUMIFS(data!$C:$C,data!$A:$A,"="&amp;xyz!$A110,data!$B:$B,"="&amp;xyz!M$2)</f>
        <v>1</v>
      </c>
      <c r="N110">
        <f>SUMIFS(data!$C:$C,data!$A:$A,"="&amp;xyz!$A110,data!$B:$B,"="&amp;xyz!N$2)</f>
        <v>0</v>
      </c>
      <c r="O110">
        <f>SUMIFS(data!$C:$C,data!$A:$A,"="&amp;xyz!$A110,data!$B:$B,"="&amp;xyz!O$2)</f>
        <v>1</v>
      </c>
      <c r="P110">
        <f>SUMIFS(data!$C:$C,data!$A:$A,"="&amp;xyz!$A110,data!$B:$B,"="&amp;xyz!P$2)</f>
        <v>1</v>
      </c>
      <c r="Q110">
        <f>SUMIFS(data!$C:$C,data!$A:$A,"="&amp;xyz!$A110,data!$B:$B,"="&amp;xyz!Q$2)</f>
        <v>1</v>
      </c>
      <c r="R110">
        <f>SUMIFS(data!$C:$C,data!$A:$A,"="&amp;xyz!$A110,data!$B:$B,"="&amp;xyz!R$2)</f>
        <v>1</v>
      </c>
      <c r="S110">
        <f>SUMIFS(data!$C:$C,data!$A:$A,"="&amp;xyz!$A110,data!$B:$B,"="&amp;xyz!S$2)</f>
        <v>4</v>
      </c>
      <c r="T110">
        <f>SUMIFS(data!$C:$C,data!$A:$A,"="&amp;xyz!$A110,data!$B:$B,"="&amp;xyz!T$2)</f>
        <v>1</v>
      </c>
      <c r="U110">
        <f>SUMIFS(data!$C:$C,data!$A:$A,"="&amp;xyz!$A110,data!$B:$B,"="&amp;xyz!U$2)</f>
        <v>0</v>
      </c>
      <c r="V110">
        <f>SUMIFS(data!$C:$C,data!$A:$A,"="&amp;xyz!$A110,data!$B:$B,"="&amp;xyz!V$2)</f>
        <v>0</v>
      </c>
      <c r="W110">
        <f>SUMIFS(data!$C:$C,data!$A:$A,"="&amp;xyz!$A110,data!$B:$B,"="&amp;xyz!W$2)</f>
        <v>3</v>
      </c>
      <c r="X110">
        <f>SUMIFS(data!$C:$C,data!$A:$A,"="&amp;xyz!$A110,data!$B:$B,"="&amp;xyz!X$2)</f>
        <v>3</v>
      </c>
      <c r="Y110">
        <f>SUMIFS(data!$C:$C,data!$A:$A,"="&amp;xyz!$A110,data!$B:$B,"="&amp;xyz!Y$2)</f>
        <v>2</v>
      </c>
      <c r="Z110">
        <f>SUMIFS(data!$C:$C,data!$A:$A,"="&amp;xyz!$A110,data!$B:$B,"="&amp;xyz!Z$2)</f>
        <v>1</v>
      </c>
      <c r="AA110">
        <f>SUMIFS(data!$C:$C,data!$A:$A,"="&amp;xyz!$A110,data!$B:$B,"="&amp;xyz!AA$2)</f>
        <v>2</v>
      </c>
      <c r="AB110">
        <f>SUMIFS(data!$C:$C,data!$A:$A,"="&amp;xyz!$A110,data!$B:$B,"="&amp;xyz!AB$2)</f>
        <v>0</v>
      </c>
      <c r="AC110">
        <f>SUMIFS(data!$C:$C,data!$A:$A,"="&amp;xyz!$A110,data!$B:$B,"="&amp;xyz!AC$2)</f>
        <v>1</v>
      </c>
      <c r="AD110">
        <f>SUMIFS(data!$C:$C,data!$A:$A,"="&amp;xyz!$A110,data!$B:$B,"="&amp;xyz!AD$2)</f>
        <v>1</v>
      </c>
      <c r="AE110">
        <f>SUMIFS(data!$C:$C,data!$A:$A,"="&amp;xyz!$A110,data!$B:$B,"="&amp;xyz!AE$2)</f>
        <v>1</v>
      </c>
      <c r="AF110">
        <f>SUMIFS(data!$C:$C,data!$A:$A,"="&amp;xyz!$A110,data!$B:$B,"="&amp;xyz!AF$2)</f>
        <v>1</v>
      </c>
      <c r="AG110">
        <f>SUMIFS(data!$C:$C,data!$A:$A,"="&amp;xyz!$A110,data!$B:$B,"="&amp;xyz!AG$2)</f>
        <v>2</v>
      </c>
      <c r="AH110">
        <f>SUMIFS(data!$C:$C,data!$A:$A,"="&amp;xyz!$A110,data!$B:$B,"="&amp;xyz!AH$2)</f>
        <v>1</v>
      </c>
      <c r="AI110">
        <f>SUMIFS(data!$C:$C,data!$A:$A,"="&amp;xyz!$A110,data!$B:$B,"="&amp;xyz!AI$2)</f>
        <v>1</v>
      </c>
      <c r="AJ110">
        <f>SUMIFS(data!$C:$C,data!$A:$A,"="&amp;xyz!$A110,data!$B:$B,"="&amp;xyz!AJ$2)</f>
        <v>1</v>
      </c>
      <c r="AK110">
        <f>SUMIFS(data!$C:$C,data!$A:$A,"="&amp;xyz!$A110,data!$B:$B,"="&amp;xyz!AK$2)</f>
        <v>1</v>
      </c>
      <c r="AL110">
        <f>SUMIFS(data!$C:$C,data!$A:$A,"="&amp;xyz!$A110,data!$B:$B,"="&amp;xyz!AL$2)</f>
        <v>0</v>
      </c>
      <c r="AM110">
        <f>SUMIFS(data!$C:$C,data!$A:$A,"="&amp;xyz!$A110,data!$B:$B,"="&amp;xyz!AM$2)</f>
        <v>4</v>
      </c>
      <c r="AN110">
        <f>SUMIFS(data!$C:$C,data!$A:$A,"="&amp;xyz!$A110,data!$B:$B,"="&amp;xyz!AN$2)</f>
        <v>3</v>
      </c>
      <c r="AO110">
        <f>SUMIFS(data!$C:$C,data!$A:$A,"="&amp;xyz!$A110,data!$B:$B,"="&amp;xyz!AO$2)</f>
        <v>2</v>
      </c>
      <c r="AP110">
        <f>SUMIFS(data!$C:$C,data!$A:$A,"="&amp;xyz!$A110,data!$B:$B,"="&amp;xyz!AP$2)</f>
        <v>1</v>
      </c>
      <c r="AQ110" s="6">
        <f t="shared" si="4"/>
        <v>0.88783837607337535</v>
      </c>
    </row>
    <row r="111" spans="1:43" x14ac:dyDescent="0.3">
      <c r="A111" t="s">
        <v>147</v>
      </c>
      <c r="B111" s="6">
        <f t="shared" si="3"/>
        <v>0.8666666666666667</v>
      </c>
      <c r="C111">
        <f>SUMIFS(data!$C:$C,data!$A:$A,"="&amp;xyz!$A111,data!$B:$B,"="&amp;xyz!C$2)</f>
        <v>1</v>
      </c>
      <c r="D111">
        <f>SUMIFS(data!$C:$C,data!$A:$A,"="&amp;xyz!$A111,data!$B:$B,"="&amp;xyz!D$2)</f>
        <v>1</v>
      </c>
      <c r="E111">
        <f>SUMIFS(data!$C:$C,data!$A:$A,"="&amp;xyz!$A111,data!$B:$B,"="&amp;xyz!E$2)</f>
        <v>0</v>
      </c>
      <c r="F111">
        <f>SUMIFS(data!$C:$C,data!$A:$A,"="&amp;xyz!$A111,data!$B:$B,"="&amp;xyz!F$2)</f>
        <v>2</v>
      </c>
      <c r="G111">
        <f>SUMIFS(data!$C:$C,data!$A:$A,"="&amp;xyz!$A111,data!$B:$B,"="&amp;xyz!G$2)</f>
        <v>0</v>
      </c>
      <c r="H111">
        <f>SUMIFS(data!$C:$C,data!$A:$A,"="&amp;xyz!$A111,data!$B:$B,"="&amp;xyz!H$2)</f>
        <v>1</v>
      </c>
      <c r="I111">
        <f>SUMIFS(data!$C:$C,data!$A:$A,"="&amp;xyz!$A111,data!$B:$B,"="&amp;xyz!I$2)</f>
        <v>2</v>
      </c>
      <c r="J111">
        <f>SUMIFS(data!$C:$C,data!$A:$A,"="&amp;xyz!$A111,data!$B:$B,"="&amp;xyz!J$2)</f>
        <v>2</v>
      </c>
      <c r="K111">
        <f>SUMIFS(data!$C:$C,data!$A:$A,"="&amp;xyz!$A111,data!$B:$B,"="&amp;xyz!K$2)</f>
        <v>0</v>
      </c>
      <c r="L111">
        <f>SUMIFS(data!$C:$C,data!$A:$A,"="&amp;xyz!$A111,data!$B:$B,"="&amp;xyz!L$2)</f>
        <v>0</v>
      </c>
      <c r="M111">
        <f>SUMIFS(data!$C:$C,data!$A:$A,"="&amp;xyz!$A111,data!$B:$B,"="&amp;xyz!M$2)</f>
        <v>0</v>
      </c>
      <c r="N111">
        <f>SUMIFS(data!$C:$C,data!$A:$A,"="&amp;xyz!$A111,data!$B:$B,"="&amp;xyz!N$2)</f>
        <v>0</v>
      </c>
      <c r="O111">
        <f>SUMIFS(data!$C:$C,data!$A:$A,"="&amp;xyz!$A111,data!$B:$B,"="&amp;xyz!O$2)</f>
        <v>0</v>
      </c>
      <c r="P111">
        <f>SUMIFS(data!$C:$C,data!$A:$A,"="&amp;xyz!$A111,data!$B:$B,"="&amp;xyz!P$2)</f>
        <v>0</v>
      </c>
      <c r="Q111">
        <f>SUMIFS(data!$C:$C,data!$A:$A,"="&amp;xyz!$A111,data!$B:$B,"="&amp;xyz!Q$2)</f>
        <v>1</v>
      </c>
      <c r="R111">
        <f>SUMIFS(data!$C:$C,data!$A:$A,"="&amp;xyz!$A111,data!$B:$B,"="&amp;xyz!R$2)</f>
        <v>0</v>
      </c>
      <c r="S111">
        <f>SUMIFS(data!$C:$C,data!$A:$A,"="&amp;xyz!$A111,data!$B:$B,"="&amp;xyz!S$2)</f>
        <v>2</v>
      </c>
      <c r="T111">
        <f>SUMIFS(data!$C:$C,data!$A:$A,"="&amp;xyz!$A111,data!$B:$B,"="&amp;xyz!T$2)</f>
        <v>4</v>
      </c>
      <c r="U111">
        <f>SUMIFS(data!$C:$C,data!$A:$A,"="&amp;xyz!$A111,data!$B:$B,"="&amp;xyz!U$2)</f>
        <v>2</v>
      </c>
      <c r="V111">
        <f>SUMIFS(data!$C:$C,data!$A:$A,"="&amp;xyz!$A111,data!$B:$B,"="&amp;xyz!V$2)</f>
        <v>1</v>
      </c>
      <c r="W111">
        <f>SUMIFS(data!$C:$C,data!$A:$A,"="&amp;xyz!$A111,data!$B:$B,"="&amp;xyz!W$2)</f>
        <v>2</v>
      </c>
      <c r="X111">
        <f>SUMIFS(data!$C:$C,data!$A:$A,"="&amp;xyz!$A111,data!$B:$B,"="&amp;xyz!X$2)</f>
        <v>2</v>
      </c>
      <c r="Y111">
        <f>SUMIFS(data!$C:$C,data!$A:$A,"="&amp;xyz!$A111,data!$B:$B,"="&amp;xyz!Y$2)</f>
        <v>3</v>
      </c>
      <c r="Z111">
        <f>SUMIFS(data!$C:$C,data!$A:$A,"="&amp;xyz!$A111,data!$B:$B,"="&amp;xyz!Z$2)</f>
        <v>0</v>
      </c>
      <c r="AA111">
        <f>SUMIFS(data!$C:$C,data!$A:$A,"="&amp;xyz!$A111,data!$B:$B,"="&amp;xyz!AA$2)</f>
        <v>1</v>
      </c>
      <c r="AB111">
        <f>SUMIFS(data!$C:$C,data!$A:$A,"="&amp;xyz!$A111,data!$B:$B,"="&amp;xyz!AB$2)</f>
        <v>0</v>
      </c>
      <c r="AC111">
        <f>SUMIFS(data!$C:$C,data!$A:$A,"="&amp;xyz!$A111,data!$B:$B,"="&amp;xyz!AC$2)</f>
        <v>0</v>
      </c>
      <c r="AD111">
        <f>SUMIFS(data!$C:$C,data!$A:$A,"="&amp;xyz!$A111,data!$B:$B,"="&amp;xyz!AD$2)</f>
        <v>2</v>
      </c>
      <c r="AE111">
        <f>SUMIFS(data!$C:$C,data!$A:$A,"="&amp;xyz!$A111,data!$B:$B,"="&amp;xyz!AE$2)</f>
        <v>1</v>
      </c>
      <c r="AF111">
        <f>SUMIFS(data!$C:$C,data!$A:$A,"="&amp;xyz!$A111,data!$B:$B,"="&amp;xyz!AF$2)</f>
        <v>1</v>
      </c>
      <c r="AG111">
        <f>SUMIFS(data!$C:$C,data!$A:$A,"="&amp;xyz!$A111,data!$B:$B,"="&amp;xyz!AG$2)</f>
        <v>2</v>
      </c>
      <c r="AH111">
        <f>SUMIFS(data!$C:$C,data!$A:$A,"="&amp;xyz!$A111,data!$B:$B,"="&amp;xyz!AH$2)</f>
        <v>0</v>
      </c>
      <c r="AI111">
        <f>SUMIFS(data!$C:$C,data!$A:$A,"="&amp;xyz!$A111,data!$B:$B,"="&amp;xyz!AI$2)</f>
        <v>2</v>
      </c>
      <c r="AJ111">
        <f>SUMIFS(data!$C:$C,data!$A:$A,"="&amp;xyz!$A111,data!$B:$B,"="&amp;xyz!AJ$2)</f>
        <v>2</v>
      </c>
      <c r="AK111">
        <f>SUMIFS(data!$C:$C,data!$A:$A,"="&amp;xyz!$A111,data!$B:$B,"="&amp;xyz!AK$2)</f>
        <v>5</v>
      </c>
      <c r="AL111">
        <f>SUMIFS(data!$C:$C,data!$A:$A,"="&amp;xyz!$A111,data!$B:$B,"="&amp;xyz!AL$2)</f>
        <v>0</v>
      </c>
      <c r="AM111">
        <f>SUMIFS(data!$C:$C,data!$A:$A,"="&amp;xyz!$A111,data!$B:$B,"="&amp;xyz!AM$2)</f>
        <v>3</v>
      </c>
      <c r="AN111">
        <f>SUMIFS(data!$C:$C,data!$A:$A,"="&amp;xyz!$A111,data!$B:$B,"="&amp;xyz!AN$2)</f>
        <v>3</v>
      </c>
      <c r="AO111">
        <f>SUMIFS(data!$C:$C,data!$A:$A,"="&amp;xyz!$A111,data!$B:$B,"="&amp;xyz!AO$2)</f>
        <v>0</v>
      </c>
      <c r="AP111">
        <f>SUMIFS(data!$C:$C,data!$A:$A,"="&amp;xyz!$A111,data!$B:$B,"="&amp;xyz!AP$2)</f>
        <v>0</v>
      </c>
      <c r="AQ111" s="6">
        <f t="shared" si="4"/>
        <v>1.0540925533894598</v>
      </c>
    </row>
    <row r="112" spans="1:43" x14ac:dyDescent="0.3">
      <c r="A112" t="s">
        <v>152</v>
      </c>
      <c r="B112" s="6">
        <f t="shared" si="3"/>
        <v>0.63775510204081642</v>
      </c>
      <c r="C112">
        <f>SUMIFS(data!$C:$C,data!$A:$A,"="&amp;xyz!$A112,data!$B:$B,"="&amp;xyz!C$2)</f>
        <v>0</v>
      </c>
      <c r="D112">
        <f>SUMIFS(data!$C:$C,data!$A:$A,"="&amp;xyz!$A112,data!$B:$B,"="&amp;xyz!D$2)</f>
        <v>2</v>
      </c>
      <c r="E112">
        <f>SUMIFS(data!$C:$C,data!$A:$A,"="&amp;xyz!$A112,data!$B:$B,"="&amp;xyz!E$2)</f>
        <v>2</v>
      </c>
      <c r="F112">
        <f>SUMIFS(data!$C:$C,data!$A:$A,"="&amp;xyz!$A112,data!$B:$B,"="&amp;xyz!F$2)</f>
        <v>1</v>
      </c>
      <c r="G112">
        <f>SUMIFS(data!$C:$C,data!$A:$A,"="&amp;xyz!$A112,data!$B:$B,"="&amp;xyz!G$2)</f>
        <v>3</v>
      </c>
      <c r="H112">
        <f>SUMIFS(data!$C:$C,data!$A:$A,"="&amp;xyz!$A112,data!$B:$B,"="&amp;xyz!H$2)</f>
        <v>3</v>
      </c>
      <c r="I112">
        <f>SUMIFS(data!$C:$C,data!$A:$A,"="&amp;xyz!$A112,data!$B:$B,"="&amp;xyz!I$2)</f>
        <v>2</v>
      </c>
      <c r="J112">
        <f>SUMIFS(data!$C:$C,data!$A:$A,"="&amp;xyz!$A112,data!$B:$B,"="&amp;xyz!J$2)</f>
        <v>2</v>
      </c>
      <c r="K112">
        <f>SUMIFS(data!$C:$C,data!$A:$A,"="&amp;xyz!$A112,data!$B:$B,"="&amp;xyz!K$2)</f>
        <v>0</v>
      </c>
      <c r="L112">
        <f>SUMIFS(data!$C:$C,data!$A:$A,"="&amp;xyz!$A112,data!$B:$B,"="&amp;xyz!L$2)</f>
        <v>1</v>
      </c>
      <c r="M112">
        <f>SUMIFS(data!$C:$C,data!$A:$A,"="&amp;xyz!$A112,data!$B:$B,"="&amp;xyz!M$2)</f>
        <v>2</v>
      </c>
      <c r="N112">
        <f>SUMIFS(data!$C:$C,data!$A:$A,"="&amp;xyz!$A112,data!$B:$B,"="&amp;xyz!N$2)</f>
        <v>2</v>
      </c>
      <c r="O112">
        <f>SUMIFS(data!$C:$C,data!$A:$A,"="&amp;xyz!$A112,data!$B:$B,"="&amp;xyz!O$2)</f>
        <v>1</v>
      </c>
      <c r="P112">
        <f>SUMIFS(data!$C:$C,data!$A:$A,"="&amp;xyz!$A112,data!$B:$B,"="&amp;xyz!P$2)</f>
        <v>1</v>
      </c>
      <c r="Q112">
        <f>SUMIFS(data!$C:$C,data!$A:$A,"="&amp;xyz!$A112,data!$B:$B,"="&amp;xyz!Q$2)</f>
        <v>2</v>
      </c>
      <c r="R112">
        <f>SUMIFS(data!$C:$C,data!$A:$A,"="&amp;xyz!$A112,data!$B:$B,"="&amp;xyz!R$2)</f>
        <v>1</v>
      </c>
      <c r="S112">
        <f>SUMIFS(data!$C:$C,data!$A:$A,"="&amp;xyz!$A112,data!$B:$B,"="&amp;xyz!S$2)</f>
        <v>0</v>
      </c>
      <c r="T112">
        <f>SUMIFS(data!$C:$C,data!$A:$A,"="&amp;xyz!$A112,data!$B:$B,"="&amp;xyz!T$2)</f>
        <v>1</v>
      </c>
      <c r="U112">
        <f>SUMIFS(data!$C:$C,data!$A:$A,"="&amp;xyz!$A112,data!$B:$B,"="&amp;xyz!U$2)</f>
        <v>0</v>
      </c>
      <c r="V112">
        <f>SUMIFS(data!$C:$C,data!$A:$A,"="&amp;xyz!$A112,data!$B:$B,"="&amp;xyz!V$2)</f>
        <v>0</v>
      </c>
      <c r="W112">
        <f>SUMIFS(data!$C:$C,data!$A:$A,"="&amp;xyz!$A112,data!$B:$B,"="&amp;xyz!W$2)</f>
        <v>2</v>
      </c>
      <c r="X112">
        <f>SUMIFS(data!$C:$C,data!$A:$A,"="&amp;xyz!$A112,data!$B:$B,"="&amp;xyz!X$2)</f>
        <v>0</v>
      </c>
      <c r="Y112">
        <f>SUMIFS(data!$C:$C,data!$A:$A,"="&amp;xyz!$A112,data!$B:$B,"="&amp;xyz!Y$2)</f>
        <v>1</v>
      </c>
      <c r="Z112">
        <f>SUMIFS(data!$C:$C,data!$A:$A,"="&amp;xyz!$A112,data!$B:$B,"="&amp;xyz!Z$2)</f>
        <v>2</v>
      </c>
      <c r="AA112">
        <f>SUMIFS(data!$C:$C,data!$A:$A,"="&amp;xyz!$A112,data!$B:$B,"="&amp;xyz!AA$2)</f>
        <v>0</v>
      </c>
      <c r="AB112">
        <f>SUMIFS(data!$C:$C,data!$A:$A,"="&amp;xyz!$A112,data!$B:$B,"="&amp;xyz!AB$2)</f>
        <v>4</v>
      </c>
      <c r="AC112">
        <f>SUMIFS(data!$C:$C,data!$A:$A,"="&amp;xyz!$A112,data!$B:$B,"="&amp;xyz!AC$2)</f>
        <v>2</v>
      </c>
      <c r="AD112">
        <f>SUMIFS(data!$C:$C,data!$A:$A,"="&amp;xyz!$A112,data!$B:$B,"="&amp;xyz!AD$2)</f>
        <v>1</v>
      </c>
      <c r="AE112">
        <f>SUMIFS(data!$C:$C,data!$A:$A,"="&amp;xyz!$A112,data!$B:$B,"="&amp;xyz!AE$2)</f>
        <v>2</v>
      </c>
      <c r="AF112">
        <f>SUMIFS(data!$C:$C,data!$A:$A,"="&amp;xyz!$A112,data!$B:$B,"="&amp;xyz!AF$2)</f>
        <v>0</v>
      </c>
      <c r="AG112">
        <f>SUMIFS(data!$C:$C,data!$A:$A,"="&amp;xyz!$A112,data!$B:$B,"="&amp;xyz!AG$2)</f>
        <v>1</v>
      </c>
      <c r="AH112">
        <f>SUMIFS(data!$C:$C,data!$A:$A,"="&amp;xyz!$A112,data!$B:$B,"="&amp;xyz!AH$2)</f>
        <v>1</v>
      </c>
      <c r="AI112">
        <f>SUMIFS(data!$C:$C,data!$A:$A,"="&amp;xyz!$A112,data!$B:$B,"="&amp;xyz!AI$2)</f>
        <v>1</v>
      </c>
      <c r="AJ112">
        <f>SUMIFS(data!$C:$C,data!$A:$A,"="&amp;xyz!$A112,data!$B:$B,"="&amp;xyz!AJ$2)</f>
        <v>1</v>
      </c>
      <c r="AK112">
        <f>SUMIFS(data!$C:$C,data!$A:$A,"="&amp;xyz!$A112,data!$B:$B,"="&amp;xyz!AK$2)</f>
        <v>2</v>
      </c>
      <c r="AL112">
        <f>SUMIFS(data!$C:$C,data!$A:$A,"="&amp;xyz!$A112,data!$B:$B,"="&amp;xyz!AL$2)</f>
        <v>1</v>
      </c>
      <c r="AM112">
        <f>SUMIFS(data!$C:$C,data!$A:$A,"="&amp;xyz!$A112,data!$B:$B,"="&amp;xyz!AM$2)</f>
        <v>1</v>
      </c>
      <c r="AN112">
        <f>SUMIFS(data!$C:$C,data!$A:$A,"="&amp;xyz!$A112,data!$B:$B,"="&amp;xyz!AN$2)</f>
        <v>1</v>
      </c>
      <c r="AO112">
        <f>SUMIFS(data!$C:$C,data!$A:$A,"="&amp;xyz!$A112,data!$B:$B,"="&amp;xyz!AO$2)</f>
        <v>0</v>
      </c>
      <c r="AP112">
        <f>SUMIFS(data!$C:$C,data!$A:$A,"="&amp;xyz!$A112,data!$B:$B,"="&amp;xyz!AP$2)</f>
        <v>0</v>
      </c>
      <c r="AQ112" s="6">
        <f t="shared" si="4"/>
        <v>0.79485095271745776</v>
      </c>
    </row>
    <row r="113" spans="1:43" x14ac:dyDescent="0.3">
      <c r="A113" t="s">
        <v>123</v>
      </c>
      <c r="B113" s="6">
        <f t="shared" si="3"/>
        <v>0.957843137254902</v>
      </c>
      <c r="C113">
        <f>SUMIFS(data!$C:$C,data!$A:$A,"="&amp;xyz!$A113,data!$B:$B,"="&amp;xyz!C$2)</f>
        <v>1</v>
      </c>
      <c r="D113">
        <f>SUMIFS(data!$C:$C,data!$A:$A,"="&amp;xyz!$A113,data!$B:$B,"="&amp;xyz!D$2)</f>
        <v>1</v>
      </c>
      <c r="E113">
        <f>SUMIFS(data!$C:$C,data!$A:$A,"="&amp;xyz!$A113,data!$B:$B,"="&amp;xyz!E$2)</f>
        <v>2</v>
      </c>
      <c r="F113">
        <f>SUMIFS(data!$C:$C,data!$A:$A,"="&amp;xyz!$A113,data!$B:$B,"="&amp;xyz!F$2)</f>
        <v>0</v>
      </c>
      <c r="G113">
        <f>SUMIFS(data!$C:$C,data!$A:$A,"="&amp;xyz!$A113,data!$B:$B,"="&amp;xyz!G$2)</f>
        <v>3</v>
      </c>
      <c r="H113">
        <f>SUMIFS(data!$C:$C,data!$A:$A,"="&amp;xyz!$A113,data!$B:$B,"="&amp;xyz!H$2)</f>
        <v>4</v>
      </c>
      <c r="I113">
        <f>SUMIFS(data!$C:$C,data!$A:$A,"="&amp;xyz!$A113,data!$B:$B,"="&amp;xyz!I$2)</f>
        <v>0</v>
      </c>
      <c r="J113">
        <f>SUMIFS(data!$C:$C,data!$A:$A,"="&amp;xyz!$A113,data!$B:$B,"="&amp;xyz!J$2)</f>
        <v>1</v>
      </c>
      <c r="K113">
        <f>SUMIFS(data!$C:$C,data!$A:$A,"="&amp;xyz!$A113,data!$B:$B,"="&amp;xyz!K$2)</f>
        <v>0</v>
      </c>
      <c r="L113">
        <f>SUMIFS(data!$C:$C,data!$A:$A,"="&amp;xyz!$A113,data!$B:$B,"="&amp;xyz!L$2)</f>
        <v>1</v>
      </c>
      <c r="M113">
        <f>SUMIFS(data!$C:$C,data!$A:$A,"="&amp;xyz!$A113,data!$B:$B,"="&amp;xyz!M$2)</f>
        <v>1</v>
      </c>
      <c r="N113">
        <f>SUMIFS(data!$C:$C,data!$A:$A,"="&amp;xyz!$A113,data!$B:$B,"="&amp;xyz!N$2)</f>
        <v>4</v>
      </c>
      <c r="O113">
        <f>SUMIFS(data!$C:$C,data!$A:$A,"="&amp;xyz!$A113,data!$B:$B,"="&amp;xyz!O$2)</f>
        <v>0</v>
      </c>
      <c r="P113">
        <f>SUMIFS(data!$C:$C,data!$A:$A,"="&amp;xyz!$A113,data!$B:$B,"="&amp;xyz!P$2)</f>
        <v>0</v>
      </c>
      <c r="Q113">
        <f>SUMIFS(data!$C:$C,data!$A:$A,"="&amp;xyz!$A113,data!$B:$B,"="&amp;xyz!Q$2)</f>
        <v>1</v>
      </c>
      <c r="R113">
        <f>SUMIFS(data!$C:$C,data!$A:$A,"="&amp;xyz!$A113,data!$B:$B,"="&amp;xyz!R$2)</f>
        <v>1</v>
      </c>
      <c r="S113">
        <f>SUMIFS(data!$C:$C,data!$A:$A,"="&amp;xyz!$A113,data!$B:$B,"="&amp;xyz!S$2)</f>
        <v>0</v>
      </c>
      <c r="T113">
        <f>SUMIFS(data!$C:$C,data!$A:$A,"="&amp;xyz!$A113,data!$B:$B,"="&amp;xyz!T$2)</f>
        <v>5</v>
      </c>
      <c r="U113">
        <f>SUMIFS(data!$C:$C,data!$A:$A,"="&amp;xyz!$A113,data!$B:$B,"="&amp;xyz!U$2)</f>
        <v>0</v>
      </c>
      <c r="V113">
        <f>SUMIFS(data!$C:$C,data!$A:$A,"="&amp;xyz!$A113,data!$B:$B,"="&amp;xyz!V$2)</f>
        <v>1</v>
      </c>
      <c r="W113">
        <f>SUMIFS(data!$C:$C,data!$A:$A,"="&amp;xyz!$A113,data!$B:$B,"="&amp;xyz!W$2)</f>
        <v>1</v>
      </c>
      <c r="X113">
        <f>SUMIFS(data!$C:$C,data!$A:$A,"="&amp;xyz!$A113,data!$B:$B,"="&amp;xyz!X$2)</f>
        <v>0</v>
      </c>
      <c r="Y113">
        <f>SUMIFS(data!$C:$C,data!$A:$A,"="&amp;xyz!$A113,data!$B:$B,"="&amp;xyz!Y$2)</f>
        <v>2</v>
      </c>
      <c r="Z113">
        <f>SUMIFS(data!$C:$C,data!$A:$A,"="&amp;xyz!$A113,data!$B:$B,"="&amp;xyz!Z$2)</f>
        <v>0</v>
      </c>
      <c r="AA113">
        <f>SUMIFS(data!$C:$C,data!$A:$A,"="&amp;xyz!$A113,data!$B:$B,"="&amp;xyz!AA$2)</f>
        <v>0</v>
      </c>
      <c r="AB113">
        <f>SUMIFS(data!$C:$C,data!$A:$A,"="&amp;xyz!$A113,data!$B:$B,"="&amp;xyz!AB$2)</f>
        <v>4</v>
      </c>
      <c r="AC113">
        <f>SUMIFS(data!$C:$C,data!$A:$A,"="&amp;xyz!$A113,data!$B:$B,"="&amp;xyz!AC$2)</f>
        <v>0</v>
      </c>
      <c r="AD113">
        <f>SUMIFS(data!$C:$C,data!$A:$A,"="&amp;xyz!$A113,data!$B:$B,"="&amp;xyz!AD$2)</f>
        <v>0</v>
      </c>
      <c r="AE113">
        <f>SUMIFS(data!$C:$C,data!$A:$A,"="&amp;xyz!$A113,data!$B:$B,"="&amp;xyz!AE$2)</f>
        <v>5</v>
      </c>
      <c r="AF113">
        <f>SUMIFS(data!$C:$C,data!$A:$A,"="&amp;xyz!$A113,data!$B:$B,"="&amp;xyz!AF$2)</f>
        <v>0</v>
      </c>
      <c r="AG113">
        <f>SUMIFS(data!$C:$C,data!$A:$A,"="&amp;xyz!$A113,data!$B:$B,"="&amp;xyz!AG$2)</f>
        <v>3</v>
      </c>
      <c r="AH113">
        <f>SUMIFS(data!$C:$C,data!$A:$A,"="&amp;xyz!$A113,data!$B:$B,"="&amp;xyz!AH$2)</f>
        <v>0</v>
      </c>
      <c r="AI113">
        <f>SUMIFS(data!$C:$C,data!$A:$A,"="&amp;xyz!$A113,data!$B:$B,"="&amp;xyz!AI$2)</f>
        <v>0</v>
      </c>
      <c r="AJ113">
        <f>SUMIFS(data!$C:$C,data!$A:$A,"="&amp;xyz!$A113,data!$B:$B,"="&amp;xyz!AJ$2)</f>
        <v>1</v>
      </c>
      <c r="AK113">
        <f>SUMIFS(data!$C:$C,data!$A:$A,"="&amp;xyz!$A113,data!$B:$B,"="&amp;xyz!AK$2)</f>
        <v>0</v>
      </c>
      <c r="AL113">
        <f>SUMIFS(data!$C:$C,data!$A:$A,"="&amp;xyz!$A113,data!$B:$B,"="&amp;xyz!AL$2)</f>
        <v>3</v>
      </c>
      <c r="AM113">
        <f>SUMIFS(data!$C:$C,data!$A:$A,"="&amp;xyz!$A113,data!$B:$B,"="&amp;xyz!AM$2)</f>
        <v>2</v>
      </c>
      <c r="AN113">
        <f>SUMIFS(data!$C:$C,data!$A:$A,"="&amp;xyz!$A113,data!$B:$B,"="&amp;xyz!AN$2)</f>
        <v>2</v>
      </c>
      <c r="AO113">
        <f>SUMIFS(data!$C:$C,data!$A:$A,"="&amp;xyz!$A113,data!$B:$B,"="&amp;xyz!AO$2)</f>
        <v>2</v>
      </c>
      <c r="AP113">
        <f>SUMIFS(data!$C:$C,data!$A:$A,"="&amp;xyz!$A113,data!$B:$B,"="&amp;xyz!AP$2)</f>
        <v>0</v>
      </c>
      <c r="AQ113" s="6">
        <f t="shared" si="4"/>
        <v>1.1912925871399387</v>
      </c>
    </row>
    <row r="114" spans="1:43" x14ac:dyDescent="0.3">
      <c r="A114" t="s">
        <v>114</v>
      </c>
      <c r="B114" s="6">
        <f t="shared" si="3"/>
        <v>0.73396226415094368</v>
      </c>
      <c r="C114">
        <f>SUMIFS(data!$C:$C,data!$A:$A,"="&amp;xyz!$A114,data!$B:$B,"="&amp;xyz!C$2)</f>
        <v>0</v>
      </c>
      <c r="D114">
        <f>SUMIFS(data!$C:$C,data!$A:$A,"="&amp;xyz!$A114,data!$B:$B,"="&amp;xyz!D$2)</f>
        <v>1</v>
      </c>
      <c r="E114">
        <f>SUMIFS(data!$C:$C,data!$A:$A,"="&amp;xyz!$A114,data!$B:$B,"="&amp;xyz!E$2)</f>
        <v>1</v>
      </c>
      <c r="F114">
        <f>SUMIFS(data!$C:$C,data!$A:$A,"="&amp;xyz!$A114,data!$B:$B,"="&amp;xyz!F$2)</f>
        <v>1</v>
      </c>
      <c r="G114">
        <f>SUMIFS(data!$C:$C,data!$A:$A,"="&amp;xyz!$A114,data!$B:$B,"="&amp;xyz!G$2)</f>
        <v>2</v>
      </c>
      <c r="H114">
        <f>SUMIFS(data!$C:$C,data!$A:$A,"="&amp;xyz!$A114,data!$B:$B,"="&amp;xyz!H$2)</f>
        <v>0</v>
      </c>
      <c r="I114">
        <f>SUMIFS(data!$C:$C,data!$A:$A,"="&amp;xyz!$A114,data!$B:$B,"="&amp;xyz!I$2)</f>
        <v>2</v>
      </c>
      <c r="J114">
        <f>SUMIFS(data!$C:$C,data!$A:$A,"="&amp;xyz!$A114,data!$B:$B,"="&amp;xyz!J$2)</f>
        <v>0</v>
      </c>
      <c r="K114">
        <f>SUMIFS(data!$C:$C,data!$A:$A,"="&amp;xyz!$A114,data!$B:$B,"="&amp;xyz!K$2)</f>
        <v>0</v>
      </c>
      <c r="L114">
        <f>SUMIFS(data!$C:$C,data!$A:$A,"="&amp;xyz!$A114,data!$B:$B,"="&amp;xyz!L$2)</f>
        <v>0</v>
      </c>
      <c r="M114">
        <f>SUMIFS(data!$C:$C,data!$A:$A,"="&amp;xyz!$A114,data!$B:$B,"="&amp;xyz!M$2)</f>
        <v>2</v>
      </c>
      <c r="N114">
        <f>SUMIFS(data!$C:$C,data!$A:$A,"="&amp;xyz!$A114,data!$B:$B,"="&amp;xyz!N$2)</f>
        <v>1</v>
      </c>
      <c r="O114">
        <f>SUMIFS(data!$C:$C,data!$A:$A,"="&amp;xyz!$A114,data!$B:$B,"="&amp;xyz!O$2)</f>
        <v>4</v>
      </c>
      <c r="P114">
        <f>SUMIFS(data!$C:$C,data!$A:$A,"="&amp;xyz!$A114,data!$B:$B,"="&amp;xyz!P$2)</f>
        <v>0</v>
      </c>
      <c r="Q114">
        <f>SUMIFS(data!$C:$C,data!$A:$A,"="&amp;xyz!$A114,data!$B:$B,"="&amp;xyz!Q$2)</f>
        <v>2</v>
      </c>
      <c r="R114">
        <f>SUMIFS(data!$C:$C,data!$A:$A,"="&amp;xyz!$A114,data!$B:$B,"="&amp;xyz!R$2)</f>
        <v>1</v>
      </c>
      <c r="S114">
        <f>SUMIFS(data!$C:$C,data!$A:$A,"="&amp;xyz!$A114,data!$B:$B,"="&amp;xyz!S$2)</f>
        <v>2</v>
      </c>
      <c r="T114">
        <f>SUMIFS(data!$C:$C,data!$A:$A,"="&amp;xyz!$A114,data!$B:$B,"="&amp;xyz!T$2)</f>
        <v>4</v>
      </c>
      <c r="U114">
        <f>SUMIFS(data!$C:$C,data!$A:$A,"="&amp;xyz!$A114,data!$B:$B,"="&amp;xyz!U$2)</f>
        <v>2</v>
      </c>
      <c r="V114">
        <f>SUMIFS(data!$C:$C,data!$A:$A,"="&amp;xyz!$A114,data!$B:$B,"="&amp;xyz!V$2)</f>
        <v>0</v>
      </c>
      <c r="W114">
        <f>SUMIFS(data!$C:$C,data!$A:$A,"="&amp;xyz!$A114,data!$B:$B,"="&amp;xyz!W$2)</f>
        <v>1</v>
      </c>
      <c r="X114">
        <f>SUMIFS(data!$C:$C,data!$A:$A,"="&amp;xyz!$A114,data!$B:$B,"="&amp;xyz!X$2)</f>
        <v>1</v>
      </c>
      <c r="Y114">
        <f>SUMIFS(data!$C:$C,data!$A:$A,"="&amp;xyz!$A114,data!$B:$B,"="&amp;xyz!Y$2)</f>
        <v>2</v>
      </c>
      <c r="Z114">
        <f>SUMIFS(data!$C:$C,data!$A:$A,"="&amp;xyz!$A114,data!$B:$B,"="&amp;xyz!Z$2)</f>
        <v>5</v>
      </c>
      <c r="AA114">
        <f>SUMIFS(data!$C:$C,data!$A:$A,"="&amp;xyz!$A114,data!$B:$B,"="&amp;xyz!AA$2)</f>
        <v>2</v>
      </c>
      <c r="AB114">
        <f>SUMIFS(data!$C:$C,data!$A:$A,"="&amp;xyz!$A114,data!$B:$B,"="&amp;xyz!AB$2)</f>
        <v>1</v>
      </c>
      <c r="AC114">
        <f>SUMIFS(data!$C:$C,data!$A:$A,"="&amp;xyz!$A114,data!$B:$B,"="&amp;xyz!AC$2)</f>
        <v>1</v>
      </c>
      <c r="AD114">
        <f>SUMIFS(data!$C:$C,data!$A:$A,"="&amp;xyz!$A114,data!$B:$B,"="&amp;xyz!AD$2)</f>
        <v>0</v>
      </c>
      <c r="AE114">
        <f>SUMIFS(data!$C:$C,data!$A:$A,"="&amp;xyz!$A114,data!$B:$B,"="&amp;xyz!AE$2)</f>
        <v>1</v>
      </c>
      <c r="AF114">
        <f>SUMIFS(data!$C:$C,data!$A:$A,"="&amp;xyz!$A114,data!$B:$B,"="&amp;xyz!AF$2)</f>
        <v>0</v>
      </c>
      <c r="AG114">
        <f>SUMIFS(data!$C:$C,data!$A:$A,"="&amp;xyz!$A114,data!$B:$B,"="&amp;xyz!AG$2)</f>
        <v>4</v>
      </c>
      <c r="AH114">
        <f>SUMIFS(data!$C:$C,data!$A:$A,"="&amp;xyz!$A114,data!$B:$B,"="&amp;xyz!AH$2)</f>
        <v>0</v>
      </c>
      <c r="AI114">
        <f>SUMIFS(data!$C:$C,data!$A:$A,"="&amp;xyz!$A114,data!$B:$B,"="&amp;xyz!AI$2)</f>
        <v>0</v>
      </c>
      <c r="AJ114">
        <f>SUMIFS(data!$C:$C,data!$A:$A,"="&amp;xyz!$A114,data!$B:$B,"="&amp;xyz!AJ$2)</f>
        <v>1</v>
      </c>
      <c r="AK114">
        <f>SUMIFS(data!$C:$C,data!$A:$A,"="&amp;xyz!$A114,data!$B:$B,"="&amp;xyz!AK$2)</f>
        <v>1</v>
      </c>
      <c r="AL114">
        <f>SUMIFS(data!$C:$C,data!$A:$A,"="&amp;xyz!$A114,data!$B:$B,"="&amp;xyz!AL$2)</f>
        <v>2</v>
      </c>
      <c r="AM114">
        <f>SUMIFS(data!$C:$C,data!$A:$A,"="&amp;xyz!$A114,data!$B:$B,"="&amp;xyz!AM$2)</f>
        <v>1</v>
      </c>
      <c r="AN114">
        <f>SUMIFS(data!$C:$C,data!$A:$A,"="&amp;xyz!$A114,data!$B:$B,"="&amp;xyz!AN$2)</f>
        <v>1</v>
      </c>
      <c r="AO114">
        <f>SUMIFS(data!$C:$C,data!$A:$A,"="&amp;xyz!$A114,data!$B:$B,"="&amp;xyz!AO$2)</f>
        <v>3</v>
      </c>
      <c r="AP114">
        <f>SUMIFS(data!$C:$C,data!$A:$A,"="&amp;xyz!$A114,data!$B:$B,"="&amp;xyz!AP$2)</f>
        <v>1</v>
      </c>
      <c r="AQ114" s="6">
        <f t="shared" si="4"/>
        <v>0.95751410211228749</v>
      </c>
    </row>
    <row r="115" spans="1:43" x14ac:dyDescent="0.3">
      <c r="A115" t="s">
        <v>13</v>
      </c>
      <c r="B115" s="6">
        <f t="shared" si="3"/>
        <v>0.83333333333333337</v>
      </c>
      <c r="C115">
        <f>SUMIFS(data!$C:$C,data!$A:$A,"="&amp;xyz!$A115,data!$B:$B,"="&amp;xyz!C$2)</f>
        <v>2</v>
      </c>
      <c r="D115">
        <f>SUMIFS(data!$C:$C,data!$A:$A,"="&amp;xyz!$A115,data!$B:$B,"="&amp;xyz!D$2)</f>
        <v>1</v>
      </c>
      <c r="E115">
        <f>SUMIFS(data!$C:$C,data!$A:$A,"="&amp;xyz!$A115,data!$B:$B,"="&amp;xyz!E$2)</f>
        <v>0</v>
      </c>
      <c r="F115">
        <f>SUMIFS(data!$C:$C,data!$A:$A,"="&amp;xyz!$A115,data!$B:$B,"="&amp;xyz!F$2)</f>
        <v>0</v>
      </c>
      <c r="G115">
        <f>SUMIFS(data!$C:$C,data!$A:$A,"="&amp;xyz!$A115,data!$B:$B,"="&amp;xyz!G$2)</f>
        <v>2</v>
      </c>
      <c r="H115">
        <f>SUMIFS(data!$C:$C,data!$A:$A,"="&amp;xyz!$A115,data!$B:$B,"="&amp;xyz!H$2)</f>
        <v>3</v>
      </c>
      <c r="I115">
        <f>SUMIFS(data!$C:$C,data!$A:$A,"="&amp;xyz!$A115,data!$B:$B,"="&amp;xyz!I$2)</f>
        <v>1</v>
      </c>
      <c r="J115">
        <f>SUMIFS(data!$C:$C,data!$A:$A,"="&amp;xyz!$A115,data!$B:$B,"="&amp;xyz!J$2)</f>
        <v>3</v>
      </c>
      <c r="K115">
        <f>SUMIFS(data!$C:$C,data!$A:$A,"="&amp;xyz!$A115,data!$B:$B,"="&amp;xyz!K$2)</f>
        <v>0</v>
      </c>
      <c r="L115">
        <f>SUMIFS(data!$C:$C,data!$A:$A,"="&amp;xyz!$A115,data!$B:$B,"="&amp;xyz!L$2)</f>
        <v>0</v>
      </c>
      <c r="M115">
        <f>SUMIFS(data!$C:$C,data!$A:$A,"="&amp;xyz!$A115,data!$B:$B,"="&amp;xyz!M$2)</f>
        <v>0</v>
      </c>
      <c r="N115">
        <f>SUMIFS(data!$C:$C,data!$A:$A,"="&amp;xyz!$A115,data!$B:$B,"="&amp;xyz!N$2)</f>
        <v>2</v>
      </c>
      <c r="O115">
        <f>SUMIFS(data!$C:$C,data!$A:$A,"="&amp;xyz!$A115,data!$B:$B,"="&amp;xyz!O$2)</f>
        <v>3</v>
      </c>
      <c r="P115">
        <f>SUMIFS(data!$C:$C,data!$A:$A,"="&amp;xyz!$A115,data!$B:$B,"="&amp;xyz!P$2)</f>
        <v>4</v>
      </c>
      <c r="Q115">
        <f>SUMIFS(data!$C:$C,data!$A:$A,"="&amp;xyz!$A115,data!$B:$B,"="&amp;xyz!Q$2)</f>
        <v>0</v>
      </c>
      <c r="R115">
        <f>SUMIFS(data!$C:$C,data!$A:$A,"="&amp;xyz!$A115,data!$B:$B,"="&amp;xyz!R$2)</f>
        <v>0</v>
      </c>
      <c r="S115">
        <f>SUMIFS(data!$C:$C,data!$A:$A,"="&amp;xyz!$A115,data!$B:$B,"="&amp;xyz!S$2)</f>
        <v>3</v>
      </c>
      <c r="T115">
        <f>SUMIFS(data!$C:$C,data!$A:$A,"="&amp;xyz!$A115,data!$B:$B,"="&amp;xyz!T$2)</f>
        <v>0</v>
      </c>
      <c r="U115">
        <f>SUMIFS(data!$C:$C,data!$A:$A,"="&amp;xyz!$A115,data!$B:$B,"="&amp;xyz!U$2)</f>
        <v>3</v>
      </c>
      <c r="V115">
        <f>SUMIFS(data!$C:$C,data!$A:$A,"="&amp;xyz!$A115,data!$B:$B,"="&amp;xyz!V$2)</f>
        <v>0</v>
      </c>
      <c r="W115">
        <f>SUMIFS(data!$C:$C,data!$A:$A,"="&amp;xyz!$A115,data!$B:$B,"="&amp;xyz!W$2)</f>
        <v>3</v>
      </c>
      <c r="X115">
        <f>SUMIFS(data!$C:$C,data!$A:$A,"="&amp;xyz!$A115,data!$B:$B,"="&amp;xyz!X$2)</f>
        <v>0</v>
      </c>
      <c r="Y115">
        <f>SUMIFS(data!$C:$C,data!$A:$A,"="&amp;xyz!$A115,data!$B:$B,"="&amp;xyz!Y$2)</f>
        <v>1</v>
      </c>
      <c r="Z115">
        <f>SUMIFS(data!$C:$C,data!$A:$A,"="&amp;xyz!$A115,data!$B:$B,"="&amp;xyz!Z$2)</f>
        <v>0</v>
      </c>
      <c r="AA115">
        <f>SUMIFS(data!$C:$C,data!$A:$A,"="&amp;xyz!$A115,data!$B:$B,"="&amp;xyz!AA$2)</f>
        <v>2</v>
      </c>
      <c r="AB115">
        <f>SUMIFS(data!$C:$C,data!$A:$A,"="&amp;xyz!$A115,data!$B:$B,"="&amp;xyz!AB$2)</f>
        <v>3</v>
      </c>
      <c r="AC115">
        <f>SUMIFS(data!$C:$C,data!$A:$A,"="&amp;xyz!$A115,data!$B:$B,"="&amp;xyz!AC$2)</f>
        <v>3</v>
      </c>
      <c r="AD115">
        <f>SUMIFS(data!$C:$C,data!$A:$A,"="&amp;xyz!$A115,data!$B:$B,"="&amp;xyz!AD$2)</f>
        <v>1</v>
      </c>
      <c r="AE115">
        <f>SUMIFS(data!$C:$C,data!$A:$A,"="&amp;xyz!$A115,data!$B:$B,"="&amp;xyz!AE$2)</f>
        <v>1</v>
      </c>
      <c r="AF115">
        <f>SUMIFS(data!$C:$C,data!$A:$A,"="&amp;xyz!$A115,data!$B:$B,"="&amp;xyz!AF$2)</f>
        <v>1</v>
      </c>
      <c r="AG115">
        <f>SUMIFS(data!$C:$C,data!$A:$A,"="&amp;xyz!$A115,data!$B:$B,"="&amp;xyz!AG$2)</f>
        <v>0</v>
      </c>
      <c r="AH115">
        <f>SUMIFS(data!$C:$C,data!$A:$A,"="&amp;xyz!$A115,data!$B:$B,"="&amp;xyz!AH$2)</f>
        <v>3</v>
      </c>
      <c r="AI115">
        <f>SUMIFS(data!$C:$C,data!$A:$A,"="&amp;xyz!$A115,data!$B:$B,"="&amp;xyz!AI$2)</f>
        <v>1</v>
      </c>
      <c r="AJ115">
        <f>SUMIFS(data!$C:$C,data!$A:$A,"="&amp;xyz!$A115,data!$B:$B,"="&amp;xyz!AJ$2)</f>
        <v>4</v>
      </c>
      <c r="AK115">
        <f>SUMIFS(data!$C:$C,data!$A:$A,"="&amp;xyz!$A115,data!$B:$B,"="&amp;xyz!AK$2)</f>
        <v>4</v>
      </c>
      <c r="AL115">
        <f>SUMIFS(data!$C:$C,data!$A:$A,"="&amp;xyz!$A115,data!$B:$B,"="&amp;xyz!AL$2)</f>
        <v>0</v>
      </c>
      <c r="AM115">
        <f>SUMIFS(data!$C:$C,data!$A:$A,"="&amp;xyz!$A115,data!$B:$B,"="&amp;xyz!AM$2)</f>
        <v>1</v>
      </c>
      <c r="AN115">
        <f>SUMIFS(data!$C:$C,data!$A:$A,"="&amp;xyz!$A115,data!$B:$B,"="&amp;xyz!AN$2)</f>
        <v>2</v>
      </c>
      <c r="AO115">
        <f>SUMIFS(data!$C:$C,data!$A:$A,"="&amp;xyz!$A115,data!$B:$B,"="&amp;xyz!AO$2)</f>
        <v>0</v>
      </c>
      <c r="AP115">
        <f>SUMIFS(data!$C:$C,data!$A:$A,"="&amp;xyz!$A115,data!$B:$B,"="&amp;xyz!AP$2)</f>
        <v>3</v>
      </c>
      <c r="AQ115" s="6">
        <f t="shared" si="4"/>
        <v>0.93064325393615033</v>
      </c>
    </row>
    <row r="116" spans="1:43" x14ac:dyDescent="0.3">
      <c r="A116" t="s">
        <v>43</v>
      </c>
      <c r="B116" s="6">
        <f t="shared" si="3"/>
        <v>0.8199999908800002</v>
      </c>
      <c r="C116">
        <f>SUMIFS(data!$C:$C,data!$A:$A,"="&amp;xyz!$A116,data!$B:$B,"="&amp;xyz!C$2)</f>
        <v>0</v>
      </c>
      <c r="D116">
        <f>SUMIFS(data!$C:$C,data!$A:$A,"="&amp;xyz!$A116,data!$B:$B,"="&amp;xyz!D$2)</f>
        <v>0</v>
      </c>
      <c r="E116">
        <f>SUMIFS(data!$C:$C,data!$A:$A,"="&amp;xyz!$A116,data!$B:$B,"="&amp;xyz!E$2)</f>
        <v>2</v>
      </c>
      <c r="F116">
        <f>SUMIFS(data!$C:$C,data!$A:$A,"="&amp;xyz!$A116,data!$B:$B,"="&amp;xyz!F$2)</f>
        <v>5</v>
      </c>
      <c r="G116">
        <f>SUMIFS(data!$C:$C,data!$A:$A,"="&amp;xyz!$A116,data!$B:$B,"="&amp;xyz!G$2)</f>
        <v>1</v>
      </c>
      <c r="H116">
        <f>SUMIFS(data!$C:$C,data!$A:$A,"="&amp;xyz!$A116,data!$B:$B,"="&amp;xyz!H$2)</f>
        <v>2</v>
      </c>
      <c r="I116">
        <f>SUMIFS(data!$C:$C,data!$A:$A,"="&amp;xyz!$A116,data!$B:$B,"="&amp;xyz!I$2)</f>
        <v>4</v>
      </c>
      <c r="J116">
        <f>SUMIFS(data!$C:$C,data!$A:$A,"="&amp;xyz!$A116,data!$B:$B,"="&amp;xyz!J$2)</f>
        <v>2</v>
      </c>
      <c r="K116">
        <f>SUMIFS(data!$C:$C,data!$A:$A,"="&amp;xyz!$A116,data!$B:$B,"="&amp;xyz!K$2)</f>
        <v>0</v>
      </c>
      <c r="L116">
        <f>SUMIFS(data!$C:$C,data!$A:$A,"="&amp;xyz!$A116,data!$B:$B,"="&amp;xyz!L$2)</f>
        <v>0</v>
      </c>
      <c r="M116">
        <f>SUMIFS(data!$C:$C,data!$A:$A,"="&amp;xyz!$A116,data!$B:$B,"="&amp;xyz!M$2)</f>
        <v>1</v>
      </c>
      <c r="N116">
        <f>SUMIFS(data!$C:$C,data!$A:$A,"="&amp;xyz!$A116,data!$B:$B,"="&amp;xyz!N$2)</f>
        <v>1</v>
      </c>
      <c r="O116">
        <f>SUMIFS(data!$C:$C,data!$A:$A,"="&amp;xyz!$A116,data!$B:$B,"="&amp;xyz!O$2)</f>
        <v>1</v>
      </c>
      <c r="P116">
        <f>SUMIFS(data!$C:$C,data!$A:$A,"="&amp;xyz!$A116,data!$B:$B,"="&amp;xyz!P$2)</f>
        <v>1</v>
      </c>
      <c r="Q116">
        <f>SUMIFS(data!$C:$C,data!$A:$A,"="&amp;xyz!$A116,data!$B:$B,"="&amp;xyz!Q$2)</f>
        <v>1</v>
      </c>
      <c r="R116">
        <f>SUMIFS(data!$C:$C,data!$A:$A,"="&amp;xyz!$A116,data!$B:$B,"="&amp;xyz!R$2)</f>
        <v>3</v>
      </c>
      <c r="S116">
        <f>SUMIFS(data!$C:$C,data!$A:$A,"="&amp;xyz!$A116,data!$B:$B,"="&amp;xyz!S$2)</f>
        <v>0</v>
      </c>
      <c r="T116">
        <f>SUMIFS(data!$C:$C,data!$A:$A,"="&amp;xyz!$A116,data!$B:$B,"="&amp;xyz!T$2)</f>
        <v>1</v>
      </c>
      <c r="U116">
        <f>SUMIFS(data!$C:$C,data!$A:$A,"="&amp;xyz!$A116,data!$B:$B,"="&amp;xyz!U$2)</f>
        <v>2</v>
      </c>
      <c r="V116">
        <f>SUMIFS(data!$C:$C,data!$A:$A,"="&amp;xyz!$A116,data!$B:$B,"="&amp;xyz!V$2)</f>
        <v>4</v>
      </c>
      <c r="W116">
        <f>SUMIFS(data!$C:$C,data!$A:$A,"="&amp;xyz!$A116,data!$B:$B,"="&amp;xyz!W$2)</f>
        <v>3</v>
      </c>
      <c r="X116">
        <f>SUMIFS(data!$C:$C,data!$A:$A,"="&amp;xyz!$A116,data!$B:$B,"="&amp;xyz!X$2)</f>
        <v>0</v>
      </c>
      <c r="Y116">
        <f>SUMIFS(data!$C:$C,data!$A:$A,"="&amp;xyz!$A116,data!$B:$B,"="&amp;xyz!Y$2)</f>
        <v>2</v>
      </c>
      <c r="Z116">
        <f>SUMIFS(data!$C:$C,data!$A:$A,"="&amp;xyz!$A116,data!$B:$B,"="&amp;xyz!Z$2)</f>
        <v>2</v>
      </c>
      <c r="AA116">
        <f>SUMIFS(data!$C:$C,data!$A:$A,"="&amp;xyz!$A116,data!$B:$B,"="&amp;xyz!AA$2)</f>
        <v>1</v>
      </c>
      <c r="AB116">
        <f>SUMIFS(data!$C:$C,data!$A:$A,"="&amp;xyz!$A116,data!$B:$B,"="&amp;xyz!AB$2)</f>
        <v>1</v>
      </c>
      <c r="AC116">
        <f>SUMIFS(data!$C:$C,data!$A:$A,"="&amp;xyz!$A116,data!$B:$B,"="&amp;xyz!AC$2)</f>
        <v>1</v>
      </c>
      <c r="AD116">
        <f>SUMIFS(data!$C:$C,data!$A:$A,"="&amp;xyz!$A116,data!$B:$B,"="&amp;xyz!AD$2)</f>
        <v>0</v>
      </c>
      <c r="AE116">
        <f>SUMIFS(data!$C:$C,data!$A:$A,"="&amp;xyz!$A116,data!$B:$B,"="&amp;xyz!AE$2)</f>
        <v>0</v>
      </c>
      <c r="AF116">
        <f>SUMIFS(data!$C:$C,data!$A:$A,"="&amp;xyz!$A116,data!$B:$B,"="&amp;xyz!AF$2)</f>
        <v>0</v>
      </c>
      <c r="AG116">
        <f>SUMIFS(data!$C:$C,data!$A:$A,"="&amp;xyz!$A116,data!$B:$B,"="&amp;xyz!AG$2)</f>
        <v>1</v>
      </c>
      <c r="AH116">
        <f>SUMIFS(data!$C:$C,data!$A:$A,"="&amp;xyz!$A116,data!$B:$B,"="&amp;xyz!AH$2)</f>
        <v>0</v>
      </c>
      <c r="AI116">
        <f>SUMIFS(data!$C:$C,data!$A:$A,"="&amp;xyz!$A116,data!$B:$B,"="&amp;xyz!AI$2)</f>
        <v>1.0000003</v>
      </c>
      <c r="AJ116">
        <f>SUMIFS(data!$C:$C,data!$A:$A,"="&amp;xyz!$A116,data!$B:$B,"="&amp;xyz!AJ$2)</f>
        <v>0</v>
      </c>
      <c r="AK116">
        <f>SUMIFS(data!$C:$C,data!$A:$A,"="&amp;xyz!$A116,data!$B:$B,"="&amp;xyz!AK$2)</f>
        <v>0</v>
      </c>
      <c r="AL116">
        <f>SUMIFS(data!$C:$C,data!$A:$A,"="&amp;xyz!$A116,data!$B:$B,"="&amp;xyz!AL$2)</f>
        <v>0</v>
      </c>
      <c r="AM116">
        <f>SUMIFS(data!$C:$C,data!$A:$A,"="&amp;xyz!$A116,data!$B:$B,"="&amp;xyz!AM$2)</f>
        <v>2</v>
      </c>
      <c r="AN116">
        <f>SUMIFS(data!$C:$C,data!$A:$A,"="&amp;xyz!$A116,data!$B:$B,"="&amp;xyz!AN$2)</f>
        <v>3</v>
      </c>
      <c r="AO116">
        <f>SUMIFS(data!$C:$C,data!$A:$A,"="&amp;xyz!$A116,data!$B:$B,"="&amp;xyz!AO$2)</f>
        <v>0</v>
      </c>
      <c r="AP116">
        <f>SUMIFS(data!$C:$C,data!$A:$A,"="&amp;xyz!$A116,data!$B:$B,"="&amp;xyz!AP$2)</f>
        <v>2</v>
      </c>
      <c r="AQ116" s="6">
        <f t="shared" si="4"/>
        <v>1.0367602324123917</v>
      </c>
    </row>
    <row r="117" spans="1:43" x14ac:dyDescent="0.3">
      <c r="A117" t="s">
        <v>154</v>
      </c>
      <c r="B117" s="6">
        <f t="shared" si="3"/>
        <v>1.0583333333333336</v>
      </c>
      <c r="C117">
        <f>SUMIFS(data!$C:$C,data!$A:$A,"="&amp;xyz!$A117,data!$B:$B,"="&amp;xyz!C$2)</f>
        <v>0</v>
      </c>
      <c r="D117">
        <f>SUMIFS(data!$C:$C,data!$A:$A,"="&amp;xyz!$A117,data!$B:$B,"="&amp;xyz!D$2)</f>
        <v>0</v>
      </c>
      <c r="E117">
        <f>SUMIFS(data!$C:$C,data!$A:$A,"="&amp;xyz!$A117,data!$B:$B,"="&amp;xyz!E$2)</f>
        <v>0</v>
      </c>
      <c r="F117">
        <f>SUMIFS(data!$C:$C,data!$A:$A,"="&amp;xyz!$A117,data!$B:$B,"="&amp;xyz!F$2)</f>
        <v>0</v>
      </c>
      <c r="G117">
        <f>SUMIFS(data!$C:$C,data!$A:$A,"="&amp;xyz!$A117,data!$B:$B,"="&amp;xyz!G$2)</f>
        <v>1</v>
      </c>
      <c r="H117">
        <f>SUMIFS(data!$C:$C,data!$A:$A,"="&amp;xyz!$A117,data!$B:$B,"="&amp;xyz!H$2)</f>
        <v>2</v>
      </c>
      <c r="I117">
        <f>SUMIFS(data!$C:$C,data!$A:$A,"="&amp;xyz!$A117,data!$B:$B,"="&amp;xyz!I$2)</f>
        <v>1</v>
      </c>
      <c r="J117">
        <f>SUMIFS(data!$C:$C,data!$A:$A,"="&amp;xyz!$A117,data!$B:$B,"="&amp;xyz!J$2)</f>
        <v>2</v>
      </c>
      <c r="K117">
        <f>SUMIFS(data!$C:$C,data!$A:$A,"="&amp;xyz!$A117,data!$B:$B,"="&amp;xyz!K$2)</f>
        <v>0</v>
      </c>
      <c r="L117">
        <f>SUMIFS(data!$C:$C,data!$A:$A,"="&amp;xyz!$A117,data!$B:$B,"="&amp;xyz!L$2)</f>
        <v>0</v>
      </c>
      <c r="M117">
        <f>SUMIFS(data!$C:$C,data!$A:$A,"="&amp;xyz!$A117,data!$B:$B,"="&amp;xyz!M$2)</f>
        <v>3</v>
      </c>
      <c r="N117">
        <f>SUMIFS(data!$C:$C,data!$A:$A,"="&amp;xyz!$A117,data!$B:$B,"="&amp;xyz!N$2)</f>
        <v>0</v>
      </c>
      <c r="O117">
        <f>SUMIFS(data!$C:$C,data!$A:$A,"="&amp;xyz!$A117,data!$B:$B,"="&amp;xyz!O$2)</f>
        <v>0</v>
      </c>
      <c r="P117">
        <f>SUMIFS(data!$C:$C,data!$A:$A,"="&amp;xyz!$A117,data!$B:$B,"="&amp;xyz!P$2)</f>
        <v>1</v>
      </c>
      <c r="Q117">
        <f>SUMIFS(data!$C:$C,data!$A:$A,"="&amp;xyz!$A117,data!$B:$B,"="&amp;xyz!Q$2)</f>
        <v>2</v>
      </c>
      <c r="R117">
        <f>SUMIFS(data!$C:$C,data!$A:$A,"="&amp;xyz!$A117,data!$B:$B,"="&amp;xyz!R$2)</f>
        <v>4</v>
      </c>
      <c r="S117">
        <f>SUMIFS(data!$C:$C,data!$A:$A,"="&amp;xyz!$A117,data!$B:$B,"="&amp;xyz!S$2)</f>
        <v>0</v>
      </c>
      <c r="T117">
        <f>SUMIFS(data!$C:$C,data!$A:$A,"="&amp;xyz!$A117,data!$B:$B,"="&amp;xyz!T$2)</f>
        <v>4</v>
      </c>
      <c r="U117">
        <f>SUMIFS(data!$C:$C,data!$A:$A,"="&amp;xyz!$A117,data!$B:$B,"="&amp;xyz!U$2)</f>
        <v>1</v>
      </c>
      <c r="V117">
        <f>SUMIFS(data!$C:$C,data!$A:$A,"="&amp;xyz!$A117,data!$B:$B,"="&amp;xyz!V$2)</f>
        <v>5</v>
      </c>
      <c r="W117">
        <f>SUMIFS(data!$C:$C,data!$A:$A,"="&amp;xyz!$A117,data!$B:$B,"="&amp;xyz!W$2)</f>
        <v>0</v>
      </c>
      <c r="X117">
        <f>SUMIFS(data!$C:$C,data!$A:$A,"="&amp;xyz!$A117,data!$B:$B,"="&amp;xyz!X$2)</f>
        <v>0</v>
      </c>
      <c r="Y117">
        <f>SUMIFS(data!$C:$C,data!$A:$A,"="&amp;xyz!$A117,data!$B:$B,"="&amp;xyz!Y$2)</f>
        <v>4</v>
      </c>
      <c r="Z117">
        <f>SUMIFS(data!$C:$C,data!$A:$A,"="&amp;xyz!$A117,data!$B:$B,"="&amp;xyz!Z$2)</f>
        <v>0</v>
      </c>
      <c r="AA117">
        <f>SUMIFS(data!$C:$C,data!$A:$A,"="&amp;xyz!$A117,data!$B:$B,"="&amp;xyz!AA$2)</f>
        <v>1</v>
      </c>
      <c r="AB117">
        <f>SUMIFS(data!$C:$C,data!$A:$A,"="&amp;xyz!$A117,data!$B:$B,"="&amp;xyz!AB$2)</f>
        <v>0</v>
      </c>
      <c r="AC117">
        <f>SUMIFS(data!$C:$C,data!$A:$A,"="&amp;xyz!$A117,data!$B:$B,"="&amp;xyz!AC$2)</f>
        <v>4</v>
      </c>
      <c r="AD117">
        <f>SUMIFS(data!$C:$C,data!$A:$A,"="&amp;xyz!$A117,data!$B:$B,"="&amp;xyz!AD$2)</f>
        <v>1</v>
      </c>
      <c r="AE117">
        <f>SUMIFS(data!$C:$C,data!$A:$A,"="&amp;xyz!$A117,data!$B:$B,"="&amp;xyz!AE$2)</f>
        <v>0</v>
      </c>
      <c r="AF117">
        <f>SUMIFS(data!$C:$C,data!$A:$A,"="&amp;xyz!$A117,data!$B:$B,"="&amp;xyz!AF$2)</f>
        <v>5</v>
      </c>
      <c r="AG117">
        <f>SUMIFS(data!$C:$C,data!$A:$A,"="&amp;xyz!$A117,data!$B:$B,"="&amp;xyz!AG$2)</f>
        <v>2</v>
      </c>
      <c r="AH117">
        <f>SUMIFS(data!$C:$C,data!$A:$A,"="&amp;xyz!$A117,data!$B:$B,"="&amp;xyz!AH$2)</f>
        <v>0</v>
      </c>
      <c r="AI117">
        <f>SUMIFS(data!$C:$C,data!$A:$A,"="&amp;xyz!$A117,data!$B:$B,"="&amp;xyz!AI$2)</f>
        <v>2</v>
      </c>
      <c r="AJ117">
        <f>SUMIFS(data!$C:$C,data!$A:$A,"="&amp;xyz!$A117,data!$B:$B,"="&amp;xyz!AJ$2)</f>
        <v>0</v>
      </c>
      <c r="AK117">
        <f>SUMIFS(data!$C:$C,data!$A:$A,"="&amp;xyz!$A117,data!$B:$B,"="&amp;xyz!AK$2)</f>
        <v>0</v>
      </c>
      <c r="AL117">
        <f>SUMIFS(data!$C:$C,data!$A:$A,"="&amp;xyz!$A117,data!$B:$B,"="&amp;xyz!AL$2)</f>
        <v>0</v>
      </c>
      <c r="AM117">
        <f>SUMIFS(data!$C:$C,data!$A:$A,"="&amp;xyz!$A117,data!$B:$B,"="&amp;xyz!AM$2)</f>
        <v>1</v>
      </c>
      <c r="AN117">
        <f>SUMIFS(data!$C:$C,data!$A:$A,"="&amp;xyz!$A117,data!$B:$B,"="&amp;xyz!AN$2)</f>
        <v>2</v>
      </c>
      <c r="AO117">
        <f>SUMIFS(data!$C:$C,data!$A:$A,"="&amp;xyz!$A117,data!$B:$B,"="&amp;xyz!AO$2)</f>
        <v>0</v>
      </c>
      <c r="AP117">
        <f>SUMIFS(data!$C:$C,data!$A:$A,"="&amp;xyz!$A117,data!$B:$B,"="&amp;xyz!AP$2)</f>
        <v>0</v>
      </c>
      <c r="AQ117" s="6">
        <f t="shared" si="4"/>
        <v>1.3101619046988875</v>
      </c>
    </row>
    <row r="118" spans="1:43" x14ac:dyDescent="0.3">
      <c r="A118" t="s">
        <v>109</v>
      </c>
      <c r="B118" s="6">
        <f t="shared" si="3"/>
        <v>1.3666666666666667</v>
      </c>
      <c r="C118">
        <f>SUMIFS(data!$C:$C,data!$A:$A,"="&amp;xyz!$A118,data!$B:$B,"="&amp;xyz!C$2)</f>
        <v>0</v>
      </c>
      <c r="D118">
        <f>SUMIFS(data!$C:$C,data!$A:$A,"="&amp;xyz!$A118,data!$B:$B,"="&amp;xyz!D$2)</f>
        <v>0</v>
      </c>
      <c r="E118">
        <f>SUMIFS(data!$C:$C,data!$A:$A,"="&amp;xyz!$A118,data!$B:$B,"="&amp;xyz!E$2)</f>
        <v>0</v>
      </c>
      <c r="F118">
        <f>SUMIFS(data!$C:$C,data!$A:$A,"="&amp;xyz!$A118,data!$B:$B,"="&amp;xyz!F$2)</f>
        <v>0</v>
      </c>
      <c r="G118">
        <f>SUMIFS(data!$C:$C,data!$A:$A,"="&amp;xyz!$A118,data!$B:$B,"="&amp;xyz!G$2)</f>
        <v>0</v>
      </c>
      <c r="H118">
        <f>SUMIFS(data!$C:$C,data!$A:$A,"="&amp;xyz!$A118,data!$B:$B,"="&amp;xyz!H$2)</f>
        <v>0</v>
      </c>
      <c r="I118">
        <f>SUMIFS(data!$C:$C,data!$A:$A,"="&amp;xyz!$A118,data!$B:$B,"="&amp;xyz!I$2)</f>
        <v>1</v>
      </c>
      <c r="J118">
        <f>SUMIFS(data!$C:$C,data!$A:$A,"="&amp;xyz!$A118,data!$B:$B,"="&amp;xyz!J$2)</f>
        <v>3</v>
      </c>
      <c r="K118">
        <f>SUMIFS(data!$C:$C,data!$A:$A,"="&amp;xyz!$A118,data!$B:$B,"="&amp;xyz!K$2)</f>
        <v>0</v>
      </c>
      <c r="L118">
        <f>SUMIFS(data!$C:$C,data!$A:$A,"="&amp;xyz!$A118,data!$B:$B,"="&amp;xyz!L$2)</f>
        <v>0</v>
      </c>
      <c r="M118">
        <f>SUMIFS(data!$C:$C,data!$A:$A,"="&amp;xyz!$A118,data!$B:$B,"="&amp;xyz!M$2)</f>
        <v>0</v>
      </c>
      <c r="N118">
        <f>SUMIFS(data!$C:$C,data!$A:$A,"="&amp;xyz!$A118,data!$B:$B,"="&amp;xyz!N$2)</f>
        <v>0</v>
      </c>
      <c r="O118">
        <f>SUMIFS(data!$C:$C,data!$A:$A,"="&amp;xyz!$A118,data!$B:$B,"="&amp;xyz!O$2)</f>
        <v>5</v>
      </c>
      <c r="P118">
        <f>SUMIFS(data!$C:$C,data!$A:$A,"="&amp;xyz!$A118,data!$B:$B,"="&amp;xyz!P$2)</f>
        <v>5</v>
      </c>
      <c r="Q118">
        <f>SUMIFS(data!$C:$C,data!$A:$A,"="&amp;xyz!$A118,data!$B:$B,"="&amp;xyz!Q$2)</f>
        <v>0</v>
      </c>
      <c r="R118">
        <f>SUMIFS(data!$C:$C,data!$A:$A,"="&amp;xyz!$A118,data!$B:$B,"="&amp;xyz!R$2)</f>
        <v>4</v>
      </c>
      <c r="S118">
        <f>SUMIFS(data!$C:$C,data!$A:$A,"="&amp;xyz!$A118,data!$B:$B,"="&amp;xyz!S$2)</f>
        <v>0</v>
      </c>
      <c r="T118">
        <f>SUMIFS(data!$C:$C,data!$A:$A,"="&amp;xyz!$A118,data!$B:$B,"="&amp;xyz!T$2)</f>
        <v>0</v>
      </c>
      <c r="U118">
        <f>SUMIFS(data!$C:$C,data!$A:$A,"="&amp;xyz!$A118,data!$B:$B,"="&amp;xyz!U$2)</f>
        <v>0</v>
      </c>
      <c r="V118">
        <f>SUMIFS(data!$C:$C,data!$A:$A,"="&amp;xyz!$A118,data!$B:$B,"="&amp;xyz!V$2)</f>
        <v>2</v>
      </c>
      <c r="W118">
        <f>SUMIFS(data!$C:$C,data!$A:$A,"="&amp;xyz!$A118,data!$B:$B,"="&amp;xyz!W$2)</f>
        <v>0</v>
      </c>
      <c r="X118">
        <f>SUMIFS(data!$C:$C,data!$A:$A,"="&amp;xyz!$A118,data!$B:$B,"="&amp;xyz!X$2)</f>
        <v>1</v>
      </c>
      <c r="Y118">
        <f>SUMIFS(data!$C:$C,data!$A:$A,"="&amp;xyz!$A118,data!$B:$B,"="&amp;xyz!Y$2)</f>
        <v>0</v>
      </c>
      <c r="Z118">
        <f>SUMIFS(data!$C:$C,data!$A:$A,"="&amp;xyz!$A118,data!$B:$B,"="&amp;xyz!Z$2)</f>
        <v>0</v>
      </c>
      <c r="AA118">
        <f>SUMIFS(data!$C:$C,data!$A:$A,"="&amp;xyz!$A118,data!$B:$B,"="&amp;xyz!AA$2)</f>
        <v>0</v>
      </c>
      <c r="AB118">
        <f>SUMIFS(data!$C:$C,data!$A:$A,"="&amp;xyz!$A118,data!$B:$B,"="&amp;xyz!AB$2)</f>
        <v>0</v>
      </c>
      <c r="AC118">
        <f>SUMIFS(data!$C:$C,data!$A:$A,"="&amp;xyz!$A118,data!$B:$B,"="&amp;xyz!AC$2)</f>
        <v>8</v>
      </c>
      <c r="AD118">
        <f>SUMIFS(data!$C:$C,data!$A:$A,"="&amp;xyz!$A118,data!$B:$B,"="&amp;xyz!AD$2)</f>
        <v>0</v>
      </c>
      <c r="AE118">
        <f>SUMIFS(data!$C:$C,data!$A:$A,"="&amp;xyz!$A118,data!$B:$B,"="&amp;xyz!AE$2)</f>
        <v>0</v>
      </c>
      <c r="AF118">
        <f>SUMIFS(data!$C:$C,data!$A:$A,"="&amp;xyz!$A118,data!$B:$B,"="&amp;xyz!AF$2)</f>
        <v>6</v>
      </c>
      <c r="AG118">
        <f>SUMIFS(data!$C:$C,data!$A:$A,"="&amp;xyz!$A118,data!$B:$B,"="&amp;xyz!AG$2)</f>
        <v>3</v>
      </c>
      <c r="AH118">
        <f>SUMIFS(data!$C:$C,data!$A:$A,"="&amp;xyz!$A118,data!$B:$B,"="&amp;xyz!AH$2)</f>
        <v>0</v>
      </c>
      <c r="AI118">
        <f>SUMIFS(data!$C:$C,data!$A:$A,"="&amp;xyz!$A118,data!$B:$B,"="&amp;xyz!AI$2)</f>
        <v>0</v>
      </c>
      <c r="AJ118">
        <f>SUMIFS(data!$C:$C,data!$A:$A,"="&amp;xyz!$A118,data!$B:$B,"="&amp;xyz!AJ$2)</f>
        <v>0</v>
      </c>
      <c r="AK118">
        <f>SUMIFS(data!$C:$C,data!$A:$A,"="&amp;xyz!$A118,data!$B:$B,"="&amp;xyz!AK$2)</f>
        <v>0</v>
      </c>
      <c r="AL118">
        <f>SUMIFS(data!$C:$C,data!$A:$A,"="&amp;xyz!$A118,data!$B:$B,"="&amp;xyz!AL$2)</f>
        <v>2</v>
      </c>
      <c r="AM118">
        <f>SUMIFS(data!$C:$C,data!$A:$A,"="&amp;xyz!$A118,data!$B:$B,"="&amp;xyz!AM$2)</f>
        <v>4</v>
      </c>
      <c r="AN118">
        <f>SUMIFS(data!$C:$C,data!$A:$A,"="&amp;xyz!$A118,data!$B:$B,"="&amp;xyz!AN$2)</f>
        <v>0</v>
      </c>
      <c r="AO118">
        <f>SUMIFS(data!$C:$C,data!$A:$A,"="&amp;xyz!$A118,data!$B:$B,"="&amp;xyz!AO$2)</f>
        <v>0</v>
      </c>
      <c r="AP118">
        <f>SUMIFS(data!$C:$C,data!$A:$A,"="&amp;xyz!$A118,data!$B:$B,"="&amp;xyz!AP$2)</f>
        <v>1</v>
      </c>
      <c r="AQ118" s="6">
        <f t="shared" si="4"/>
        <v>1.8025341803560044</v>
      </c>
    </row>
    <row r="119" spans="1:43" x14ac:dyDescent="0.3">
      <c r="A119" t="s">
        <v>53</v>
      </c>
      <c r="B119" s="6">
        <f t="shared" si="3"/>
        <v>0.91666666666666696</v>
      </c>
      <c r="C119">
        <f>SUMIFS(data!$C:$C,data!$A:$A,"="&amp;xyz!$A119,data!$B:$B,"="&amp;xyz!C$2)</f>
        <v>0</v>
      </c>
      <c r="D119">
        <f>SUMIFS(data!$C:$C,data!$A:$A,"="&amp;xyz!$A119,data!$B:$B,"="&amp;xyz!D$2)</f>
        <v>6</v>
      </c>
      <c r="E119">
        <f>SUMIFS(data!$C:$C,data!$A:$A,"="&amp;xyz!$A119,data!$B:$B,"="&amp;xyz!E$2)</f>
        <v>5</v>
      </c>
      <c r="F119">
        <f>SUMIFS(data!$C:$C,data!$A:$A,"="&amp;xyz!$A119,data!$B:$B,"="&amp;xyz!F$2)</f>
        <v>3</v>
      </c>
      <c r="G119">
        <f>SUMIFS(data!$C:$C,data!$A:$A,"="&amp;xyz!$A119,data!$B:$B,"="&amp;xyz!G$2)</f>
        <v>4</v>
      </c>
      <c r="H119">
        <f>SUMIFS(data!$C:$C,data!$A:$A,"="&amp;xyz!$A119,data!$B:$B,"="&amp;xyz!H$2)</f>
        <v>4</v>
      </c>
      <c r="I119">
        <f>SUMIFS(data!$C:$C,data!$A:$A,"="&amp;xyz!$A119,data!$B:$B,"="&amp;xyz!I$2)</f>
        <v>4</v>
      </c>
      <c r="J119">
        <f>SUMIFS(data!$C:$C,data!$A:$A,"="&amp;xyz!$A119,data!$B:$B,"="&amp;xyz!J$2)</f>
        <v>2</v>
      </c>
      <c r="K119">
        <f>SUMIFS(data!$C:$C,data!$A:$A,"="&amp;xyz!$A119,data!$B:$B,"="&amp;xyz!K$2)</f>
        <v>0</v>
      </c>
      <c r="L119">
        <f>SUMIFS(data!$C:$C,data!$A:$A,"="&amp;xyz!$A119,data!$B:$B,"="&amp;xyz!L$2)</f>
        <v>0</v>
      </c>
      <c r="M119">
        <f>SUMIFS(data!$C:$C,data!$A:$A,"="&amp;xyz!$A119,data!$B:$B,"="&amp;xyz!M$2)</f>
        <v>0</v>
      </c>
      <c r="N119">
        <f>SUMIFS(data!$C:$C,data!$A:$A,"="&amp;xyz!$A119,data!$B:$B,"="&amp;xyz!N$2)</f>
        <v>1</v>
      </c>
      <c r="O119">
        <f>SUMIFS(data!$C:$C,data!$A:$A,"="&amp;xyz!$A119,data!$B:$B,"="&amp;xyz!O$2)</f>
        <v>0</v>
      </c>
      <c r="P119">
        <f>SUMIFS(data!$C:$C,data!$A:$A,"="&amp;xyz!$A119,data!$B:$B,"="&amp;xyz!P$2)</f>
        <v>1</v>
      </c>
      <c r="Q119">
        <f>SUMIFS(data!$C:$C,data!$A:$A,"="&amp;xyz!$A119,data!$B:$B,"="&amp;xyz!Q$2)</f>
        <v>0</v>
      </c>
      <c r="R119">
        <f>SUMIFS(data!$C:$C,data!$A:$A,"="&amp;xyz!$A119,data!$B:$B,"="&amp;xyz!R$2)</f>
        <v>0</v>
      </c>
      <c r="S119">
        <f>SUMIFS(data!$C:$C,data!$A:$A,"="&amp;xyz!$A119,data!$B:$B,"="&amp;xyz!S$2)</f>
        <v>0</v>
      </c>
      <c r="T119">
        <f>SUMIFS(data!$C:$C,data!$A:$A,"="&amp;xyz!$A119,data!$B:$B,"="&amp;xyz!T$2)</f>
        <v>2</v>
      </c>
      <c r="U119">
        <f>SUMIFS(data!$C:$C,data!$A:$A,"="&amp;xyz!$A119,data!$B:$B,"="&amp;xyz!U$2)</f>
        <v>0</v>
      </c>
      <c r="V119">
        <f>SUMIFS(data!$C:$C,data!$A:$A,"="&amp;xyz!$A119,data!$B:$B,"="&amp;xyz!V$2)</f>
        <v>0</v>
      </c>
      <c r="W119">
        <f>SUMIFS(data!$C:$C,data!$A:$A,"="&amp;xyz!$A119,data!$B:$B,"="&amp;xyz!W$2)</f>
        <v>1</v>
      </c>
      <c r="X119">
        <f>SUMIFS(data!$C:$C,data!$A:$A,"="&amp;xyz!$A119,data!$B:$B,"="&amp;xyz!X$2)</f>
        <v>2</v>
      </c>
      <c r="Y119">
        <f>SUMIFS(data!$C:$C,data!$A:$A,"="&amp;xyz!$A119,data!$B:$B,"="&amp;xyz!Y$2)</f>
        <v>2</v>
      </c>
      <c r="Z119">
        <f>SUMIFS(data!$C:$C,data!$A:$A,"="&amp;xyz!$A119,data!$B:$B,"="&amp;xyz!Z$2)</f>
        <v>2</v>
      </c>
      <c r="AA119">
        <f>SUMIFS(data!$C:$C,data!$A:$A,"="&amp;xyz!$A119,data!$B:$B,"="&amp;xyz!AA$2)</f>
        <v>1</v>
      </c>
      <c r="AB119">
        <f>SUMIFS(data!$C:$C,data!$A:$A,"="&amp;xyz!$A119,data!$B:$B,"="&amp;xyz!AB$2)</f>
        <v>0</v>
      </c>
      <c r="AC119">
        <f>SUMIFS(data!$C:$C,data!$A:$A,"="&amp;xyz!$A119,data!$B:$B,"="&amp;xyz!AC$2)</f>
        <v>0</v>
      </c>
      <c r="AD119">
        <f>SUMIFS(data!$C:$C,data!$A:$A,"="&amp;xyz!$A119,data!$B:$B,"="&amp;xyz!AD$2)</f>
        <v>0</v>
      </c>
      <c r="AE119">
        <f>SUMIFS(data!$C:$C,data!$A:$A,"="&amp;xyz!$A119,data!$B:$B,"="&amp;xyz!AE$2)</f>
        <v>1</v>
      </c>
      <c r="AF119">
        <f>SUMIFS(data!$C:$C,data!$A:$A,"="&amp;xyz!$A119,data!$B:$B,"="&amp;xyz!AF$2)</f>
        <v>1</v>
      </c>
      <c r="AG119">
        <f>SUMIFS(data!$C:$C,data!$A:$A,"="&amp;xyz!$A119,data!$B:$B,"="&amp;xyz!AG$2)</f>
        <v>0</v>
      </c>
      <c r="AH119">
        <f>SUMIFS(data!$C:$C,data!$A:$A,"="&amp;xyz!$A119,data!$B:$B,"="&amp;xyz!AH$2)</f>
        <v>0</v>
      </c>
      <c r="AI119">
        <f>SUMIFS(data!$C:$C,data!$A:$A,"="&amp;xyz!$A119,data!$B:$B,"="&amp;xyz!AI$2)</f>
        <v>1</v>
      </c>
      <c r="AJ119">
        <f>SUMIFS(data!$C:$C,data!$A:$A,"="&amp;xyz!$A119,data!$B:$B,"="&amp;xyz!AJ$2)</f>
        <v>3</v>
      </c>
      <c r="AK119">
        <f>SUMIFS(data!$C:$C,data!$A:$A,"="&amp;xyz!$A119,data!$B:$B,"="&amp;xyz!AK$2)</f>
        <v>0</v>
      </c>
      <c r="AL119">
        <f>SUMIFS(data!$C:$C,data!$A:$A,"="&amp;xyz!$A119,data!$B:$B,"="&amp;xyz!AL$2)</f>
        <v>1</v>
      </c>
      <c r="AM119">
        <f>SUMIFS(data!$C:$C,data!$A:$A,"="&amp;xyz!$A119,data!$B:$B,"="&amp;xyz!AM$2)</f>
        <v>2</v>
      </c>
      <c r="AN119">
        <f>SUMIFS(data!$C:$C,data!$A:$A,"="&amp;xyz!$A119,data!$B:$B,"="&amp;xyz!AN$2)</f>
        <v>1</v>
      </c>
      <c r="AO119">
        <f>SUMIFS(data!$C:$C,data!$A:$A,"="&amp;xyz!$A119,data!$B:$B,"="&amp;xyz!AO$2)</f>
        <v>2</v>
      </c>
      <c r="AP119">
        <f>SUMIFS(data!$C:$C,data!$A:$A,"="&amp;xyz!$A119,data!$B:$B,"="&amp;xyz!AP$2)</f>
        <v>2</v>
      </c>
      <c r="AQ119" s="6">
        <f t="shared" si="4"/>
        <v>1.1567091911068086</v>
      </c>
    </row>
    <row r="120" spans="1:43" x14ac:dyDescent="0.3">
      <c r="A120" t="s">
        <v>15</v>
      </c>
      <c r="B120" s="6">
        <f t="shared" si="3"/>
        <v>0.74680851063829801</v>
      </c>
      <c r="C120">
        <f>SUMIFS(data!$C:$C,data!$A:$A,"="&amp;xyz!$A120,data!$B:$B,"="&amp;xyz!C$2)</f>
        <v>1</v>
      </c>
      <c r="D120">
        <f>SUMIFS(data!$C:$C,data!$A:$A,"="&amp;xyz!$A120,data!$B:$B,"="&amp;xyz!D$2)</f>
        <v>2</v>
      </c>
      <c r="E120">
        <f>SUMIFS(data!$C:$C,data!$A:$A,"="&amp;xyz!$A120,data!$B:$B,"="&amp;xyz!E$2)</f>
        <v>1</v>
      </c>
      <c r="F120">
        <f>SUMIFS(data!$C:$C,data!$A:$A,"="&amp;xyz!$A120,data!$B:$B,"="&amp;xyz!F$2)</f>
        <v>2</v>
      </c>
      <c r="G120">
        <f>SUMIFS(data!$C:$C,data!$A:$A,"="&amp;xyz!$A120,data!$B:$B,"="&amp;xyz!G$2)</f>
        <v>1</v>
      </c>
      <c r="H120">
        <f>SUMIFS(data!$C:$C,data!$A:$A,"="&amp;xyz!$A120,data!$B:$B,"="&amp;xyz!H$2)</f>
        <v>2</v>
      </c>
      <c r="I120">
        <f>SUMIFS(data!$C:$C,data!$A:$A,"="&amp;xyz!$A120,data!$B:$B,"="&amp;xyz!I$2)</f>
        <v>2</v>
      </c>
      <c r="J120">
        <f>SUMIFS(data!$C:$C,data!$A:$A,"="&amp;xyz!$A120,data!$B:$B,"="&amp;xyz!J$2)</f>
        <v>1</v>
      </c>
      <c r="K120">
        <f>SUMIFS(data!$C:$C,data!$A:$A,"="&amp;xyz!$A120,data!$B:$B,"="&amp;xyz!K$2)</f>
        <v>0</v>
      </c>
      <c r="L120">
        <f>SUMIFS(data!$C:$C,data!$A:$A,"="&amp;xyz!$A120,data!$B:$B,"="&amp;xyz!L$2)</f>
        <v>1</v>
      </c>
      <c r="M120">
        <f>SUMIFS(data!$C:$C,data!$A:$A,"="&amp;xyz!$A120,data!$B:$B,"="&amp;xyz!M$2)</f>
        <v>2</v>
      </c>
      <c r="N120">
        <f>SUMIFS(data!$C:$C,data!$A:$A,"="&amp;xyz!$A120,data!$B:$B,"="&amp;xyz!N$2)</f>
        <v>0</v>
      </c>
      <c r="O120">
        <f>SUMIFS(data!$C:$C,data!$A:$A,"="&amp;xyz!$A120,data!$B:$B,"="&amp;xyz!O$2)</f>
        <v>2</v>
      </c>
      <c r="P120">
        <f>SUMIFS(data!$C:$C,data!$A:$A,"="&amp;xyz!$A120,data!$B:$B,"="&amp;xyz!P$2)</f>
        <v>2</v>
      </c>
      <c r="Q120">
        <f>SUMIFS(data!$C:$C,data!$A:$A,"="&amp;xyz!$A120,data!$B:$B,"="&amp;xyz!Q$2)</f>
        <v>0</v>
      </c>
      <c r="R120">
        <f>SUMIFS(data!$C:$C,data!$A:$A,"="&amp;xyz!$A120,data!$B:$B,"="&amp;xyz!R$2)</f>
        <v>0</v>
      </c>
      <c r="S120">
        <f>SUMIFS(data!$C:$C,data!$A:$A,"="&amp;xyz!$A120,data!$B:$B,"="&amp;xyz!S$2)</f>
        <v>0</v>
      </c>
      <c r="T120">
        <f>SUMIFS(data!$C:$C,data!$A:$A,"="&amp;xyz!$A120,data!$B:$B,"="&amp;xyz!T$2)</f>
        <v>2</v>
      </c>
      <c r="U120">
        <f>SUMIFS(data!$C:$C,data!$A:$A,"="&amp;xyz!$A120,data!$B:$B,"="&amp;xyz!U$2)</f>
        <v>1</v>
      </c>
      <c r="V120">
        <f>SUMIFS(data!$C:$C,data!$A:$A,"="&amp;xyz!$A120,data!$B:$B,"="&amp;xyz!V$2)</f>
        <v>0</v>
      </c>
      <c r="W120">
        <f>SUMIFS(data!$C:$C,data!$A:$A,"="&amp;xyz!$A120,data!$B:$B,"="&amp;xyz!W$2)</f>
        <v>6</v>
      </c>
      <c r="X120">
        <f>SUMIFS(data!$C:$C,data!$A:$A,"="&amp;xyz!$A120,data!$B:$B,"="&amp;xyz!X$2)</f>
        <v>3</v>
      </c>
      <c r="Y120">
        <f>SUMIFS(data!$C:$C,data!$A:$A,"="&amp;xyz!$A120,data!$B:$B,"="&amp;xyz!Y$2)</f>
        <v>2</v>
      </c>
      <c r="Z120">
        <f>SUMIFS(data!$C:$C,data!$A:$A,"="&amp;xyz!$A120,data!$B:$B,"="&amp;xyz!Z$2)</f>
        <v>1</v>
      </c>
      <c r="AA120">
        <f>SUMIFS(data!$C:$C,data!$A:$A,"="&amp;xyz!$A120,data!$B:$B,"="&amp;xyz!AA$2)</f>
        <v>3</v>
      </c>
      <c r="AB120">
        <f>SUMIFS(data!$C:$C,data!$A:$A,"="&amp;xyz!$A120,data!$B:$B,"="&amp;xyz!AB$2)</f>
        <v>1</v>
      </c>
      <c r="AC120">
        <f>SUMIFS(data!$C:$C,data!$A:$A,"="&amp;xyz!$A120,data!$B:$B,"="&amp;xyz!AC$2)</f>
        <v>1</v>
      </c>
      <c r="AD120">
        <f>SUMIFS(data!$C:$C,data!$A:$A,"="&amp;xyz!$A120,data!$B:$B,"="&amp;xyz!AD$2)</f>
        <v>0</v>
      </c>
      <c r="AE120">
        <f>SUMIFS(data!$C:$C,data!$A:$A,"="&amp;xyz!$A120,data!$B:$B,"="&amp;xyz!AE$2)</f>
        <v>0</v>
      </c>
      <c r="AF120">
        <f>SUMIFS(data!$C:$C,data!$A:$A,"="&amp;xyz!$A120,data!$B:$B,"="&amp;xyz!AF$2)</f>
        <v>0</v>
      </c>
      <c r="AG120">
        <f>SUMIFS(data!$C:$C,data!$A:$A,"="&amp;xyz!$A120,data!$B:$B,"="&amp;xyz!AG$2)</f>
        <v>1</v>
      </c>
      <c r="AH120">
        <f>SUMIFS(data!$C:$C,data!$A:$A,"="&amp;xyz!$A120,data!$B:$B,"="&amp;xyz!AH$2)</f>
        <v>1</v>
      </c>
      <c r="AI120">
        <f>SUMIFS(data!$C:$C,data!$A:$A,"="&amp;xyz!$A120,data!$B:$B,"="&amp;xyz!AI$2)</f>
        <v>2</v>
      </c>
      <c r="AJ120">
        <f>SUMIFS(data!$C:$C,data!$A:$A,"="&amp;xyz!$A120,data!$B:$B,"="&amp;xyz!AJ$2)</f>
        <v>0</v>
      </c>
      <c r="AK120">
        <f>SUMIFS(data!$C:$C,data!$A:$A,"="&amp;xyz!$A120,data!$B:$B,"="&amp;xyz!AK$2)</f>
        <v>1</v>
      </c>
      <c r="AL120">
        <f>SUMIFS(data!$C:$C,data!$A:$A,"="&amp;xyz!$A120,data!$B:$B,"="&amp;xyz!AL$2)</f>
        <v>0</v>
      </c>
      <c r="AM120">
        <f>SUMIFS(data!$C:$C,data!$A:$A,"="&amp;xyz!$A120,data!$B:$B,"="&amp;xyz!AM$2)</f>
        <v>1</v>
      </c>
      <c r="AN120">
        <f>SUMIFS(data!$C:$C,data!$A:$A,"="&amp;xyz!$A120,data!$B:$B,"="&amp;xyz!AN$2)</f>
        <v>0</v>
      </c>
      <c r="AO120">
        <f>SUMIFS(data!$C:$C,data!$A:$A,"="&amp;xyz!$A120,data!$B:$B,"="&amp;xyz!AO$2)</f>
        <v>0</v>
      </c>
      <c r="AP120">
        <f>SUMIFS(data!$C:$C,data!$A:$A,"="&amp;xyz!$A120,data!$B:$B,"="&amp;xyz!AP$2)</f>
        <v>2</v>
      </c>
      <c r="AQ120" s="6">
        <f t="shared" si="4"/>
        <v>1.0177699390346935</v>
      </c>
    </row>
    <row r="121" spans="1:43" x14ac:dyDescent="0.3">
      <c r="A121" t="s">
        <v>101</v>
      </c>
      <c r="B121" s="6">
        <f t="shared" si="3"/>
        <v>0.77222222222222225</v>
      </c>
      <c r="C121">
        <f>SUMIFS(data!$C:$C,data!$A:$A,"="&amp;xyz!$A121,data!$B:$B,"="&amp;xyz!C$2)</f>
        <v>2</v>
      </c>
      <c r="D121">
        <f>SUMIFS(data!$C:$C,data!$A:$A,"="&amp;xyz!$A121,data!$B:$B,"="&amp;xyz!D$2)</f>
        <v>1</v>
      </c>
      <c r="E121">
        <f>SUMIFS(data!$C:$C,data!$A:$A,"="&amp;xyz!$A121,data!$B:$B,"="&amp;xyz!E$2)</f>
        <v>1</v>
      </c>
      <c r="F121">
        <f>SUMIFS(data!$C:$C,data!$A:$A,"="&amp;xyz!$A121,data!$B:$B,"="&amp;xyz!F$2)</f>
        <v>1</v>
      </c>
      <c r="G121">
        <f>SUMIFS(data!$C:$C,data!$A:$A,"="&amp;xyz!$A121,data!$B:$B,"="&amp;xyz!G$2)</f>
        <v>0</v>
      </c>
      <c r="H121">
        <f>SUMIFS(data!$C:$C,data!$A:$A,"="&amp;xyz!$A121,data!$B:$B,"="&amp;xyz!H$2)</f>
        <v>3</v>
      </c>
      <c r="I121">
        <f>SUMIFS(data!$C:$C,data!$A:$A,"="&amp;xyz!$A121,data!$B:$B,"="&amp;xyz!I$2)</f>
        <v>0</v>
      </c>
      <c r="J121">
        <f>SUMIFS(data!$C:$C,data!$A:$A,"="&amp;xyz!$A121,data!$B:$B,"="&amp;xyz!J$2)</f>
        <v>2</v>
      </c>
      <c r="K121">
        <f>SUMIFS(data!$C:$C,data!$A:$A,"="&amp;xyz!$A121,data!$B:$B,"="&amp;xyz!K$2)</f>
        <v>0</v>
      </c>
      <c r="L121">
        <f>SUMIFS(data!$C:$C,data!$A:$A,"="&amp;xyz!$A121,data!$B:$B,"="&amp;xyz!L$2)</f>
        <v>2</v>
      </c>
      <c r="M121">
        <f>SUMIFS(data!$C:$C,data!$A:$A,"="&amp;xyz!$A121,data!$B:$B,"="&amp;xyz!M$2)</f>
        <v>2</v>
      </c>
      <c r="N121">
        <f>SUMIFS(data!$C:$C,data!$A:$A,"="&amp;xyz!$A121,data!$B:$B,"="&amp;xyz!N$2)</f>
        <v>4</v>
      </c>
      <c r="O121">
        <f>SUMIFS(data!$C:$C,data!$A:$A,"="&amp;xyz!$A121,data!$B:$B,"="&amp;xyz!O$2)</f>
        <v>3</v>
      </c>
      <c r="P121">
        <f>SUMIFS(data!$C:$C,data!$A:$A,"="&amp;xyz!$A121,data!$B:$B,"="&amp;xyz!P$2)</f>
        <v>2</v>
      </c>
      <c r="Q121">
        <f>SUMIFS(data!$C:$C,data!$A:$A,"="&amp;xyz!$A121,data!$B:$B,"="&amp;xyz!Q$2)</f>
        <v>1</v>
      </c>
      <c r="R121">
        <f>SUMIFS(data!$C:$C,data!$A:$A,"="&amp;xyz!$A121,data!$B:$B,"="&amp;xyz!R$2)</f>
        <v>0</v>
      </c>
      <c r="S121">
        <f>SUMIFS(data!$C:$C,data!$A:$A,"="&amp;xyz!$A121,data!$B:$B,"="&amp;xyz!S$2)</f>
        <v>1</v>
      </c>
      <c r="T121">
        <f>SUMIFS(data!$C:$C,data!$A:$A,"="&amp;xyz!$A121,data!$B:$B,"="&amp;xyz!T$2)</f>
        <v>1</v>
      </c>
      <c r="U121">
        <f>SUMIFS(data!$C:$C,data!$A:$A,"="&amp;xyz!$A121,data!$B:$B,"="&amp;xyz!U$2)</f>
        <v>0</v>
      </c>
      <c r="V121">
        <f>SUMIFS(data!$C:$C,data!$A:$A,"="&amp;xyz!$A121,data!$B:$B,"="&amp;xyz!V$2)</f>
        <v>1</v>
      </c>
      <c r="W121">
        <f>SUMIFS(data!$C:$C,data!$A:$A,"="&amp;xyz!$A121,data!$B:$B,"="&amp;xyz!W$2)</f>
        <v>0</v>
      </c>
      <c r="X121">
        <f>SUMIFS(data!$C:$C,data!$A:$A,"="&amp;xyz!$A121,data!$B:$B,"="&amp;xyz!X$2)</f>
        <v>0</v>
      </c>
      <c r="Y121">
        <f>SUMIFS(data!$C:$C,data!$A:$A,"="&amp;xyz!$A121,data!$B:$B,"="&amp;xyz!Y$2)</f>
        <v>3</v>
      </c>
      <c r="Z121">
        <f>SUMIFS(data!$C:$C,data!$A:$A,"="&amp;xyz!$A121,data!$B:$B,"="&amp;xyz!Z$2)</f>
        <v>1</v>
      </c>
      <c r="AA121">
        <f>SUMIFS(data!$C:$C,data!$A:$A,"="&amp;xyz!$A121,data!$B:$B,"="&amp;xyz!AA$2)</f>
        <v>1</v>
      </c>
      <c r="AB121">
        <f>SUMIFS(data!$C:$C,data!$A:$A,"="&amp;xyz!$A121,data!$B:$B,"="&amp;xyz!AB$2)</f>
        <v>0</v>
      </c>
      <c r="AC121">
        <f>SUMIFS(data!$C:$C,data!$A:$A,"="&amp;xyz!$A121,data!$B:$B,"="&amp;xyz!AC$2)</f>
        <v>1</v>
      </c>
      <c r="AD121">
        <f>SUMIFS(data!$C:$C,data!$A:$A,"="&amp;xyz!$A121,data!$B:$B,"="&amp;xyz!AD$2)</f>
        <v>3</v>
      </c>
      <c r="AE121">
        <f>SUMIFS(data!$C:$C,data!$A:$A,"="&amp;xyz!$A121,data!$B:$B,"="&amp;xyz!AE$2)</f>
        <v>2</v>
      </c>
      <c r="AF121">
        <f>SUMIFS(data!$C:$C,data!$A:$A,"="&amp;xyz!$A121,data!$B:$B,"="&amp;xyz!AF$2)</f>
        <v>0</v>
      </c>
      <c r="AG121">
        <f>SUMIFS(data!$C:$C,data!$A:$A,"="&amp;xyz!$A121,data!$B:$B,"="&amp;xyz!AG$2)</f>
        <v>0</v>
      </c>
      <c r="AH121">
        <f>SUMIFS(data!$C:$C,data!$A:$A,"="&amp;xyz!$A121,data!$B:$B,"="&amp;xyz!AH$2)</f>
        <v>0</v>
      </c>
      <c r="AI121">
        <f>SUMIFS(data!$C:$C,data!$A:$A,"="&amp;xyz!$A121,data!$B:$B,"="&amp;xyz!AI$2)</f>
        <v>1</v>
      </c>
      <c r="AJ121">
        <f>SUMIFS(data!$C:$C,data!$A:$A,"="&amp;xyz!$A121,data!$B:$B,"="&amp;xyz!AJ$2)</f>
        <v>1</v>
      </c>
      <c r="AK121">
        <f>SUMIFS(data!$C:$C,data!$A:$A,"="&amp;xyz!$A121,data!$B:$B,"="&amp;xyz!AK$2)</f>
        <v>0</v>
      </c>
      <c r="AL121">
        <f>SUMIFS(data!$C:$C,data!$A:$A,"="&amp;xyz!$A121,data!$B:$B,"="&amp;xyz!AL$2)</f>
        <v>0</v>
      </c>
      <c r="AM121">
        <f>SUMIFS(data!$C:$C,data!$A:$A,"="&amp;xyz!$A121,data!$B:$B,"="&amp;xyz!AM$2)</f>
        <v>1</v>
      </c>
      <c r="AN121">
        <f>SUMIFS(data!$C:$C,data!$A:$A,"="&amp;xyz!$A121,data!$B:$B,"="&amp;xyz!AN$2)</f>
        <v>2</v>
      </c>
      <c r="AO121">
        <f>SUMIFS(data!$C:$C,data!$A:$A,"="&amp;xyz!$A121,data!$B:$B,"="&amp;xyz!AO$2)</f>
        <v>0</v>
      </c>
      <c r="AP121">
        <f>SUMIFS(data!$C:$C,data!$A:$A,"="&amp;xyz!$A121,data!$B:$B,"="&amp;xyz!AP$2)</f>
        <v>2</v>
      </c>
      <c r="AQ121" s="6">
        <f t="shared" si="4"/>
        <v>0.96929759538890692</v>
      </c>
    </row>
    <row r="122" spans="1:43" x14ac:dyDescent="0.3">
      <c r="A122" t="s">
        <v>80</v>
      </c>
      <c r="B122" s="6">
        <f t="shared" si="3"/>
        <v>1.31</v>
      </c>
      <c r="C122">
        <f>SUMIFS(data!$C:$C,data!$A:$A,"="&amp;xyz!$A122,data!$B:$B,"="&amp;xyz!C$2)</f>
        <v>3</v>
      </c>
      <c r="D122">
        <f>SUMIFS(data!$C:$C,data!$A:$A,"="&amp;xyz!$A122,data!$B:$B,"="&amp;xyz!D$2)</f>
        <v>0</v>
      </c>
      <c r="E122">
        <f>SUMIFS(data!$C:$C,data!$A:$A,"="&amp;xyz!$A122,data!$B:$B,"="&amp;xyz!E$2)</f>
        <v>0</v>
      </c>
      <c r="F122">
        <f>SUMIFS(data!$C:$C,data!$A:$A,"="&amp;xyz!$A122,data!$B:$B,"="&amp;xyz!F$2)</f>
        <v>0</v>
      </c>
      <c r="G122">
        <f>SUMIFS(data!$C:$C,data!$A:$A,"="&amp;xyz!$A122,data!$B:$B,"="&amp;xyz!G$2)</f>
        <v>5</v>
      </c>
      <c r="H122">
        <f>SUMIFS(data!$C:$C,data!$A:$A,"="&amp;xyz!$A122,data!$B:$B,"="&amp;xyz!H$2)</f>
        <v>0</v>
      </c>
      <c r="I122">
        <f>SUMIFS(data!$C:$C,data!$A:$A,"="&amp;xyz!$A122,data!$B:$B,"="&amp;xyz!I$2)</f>
        <v>3</v>
      </c>
      <c r="J122">
        <f>SUMIFS(data!$C:$C,data!$A:$A,"="&amp;xyz!$A122,data!$B:$B,"="&amp;xyz!J$2)</f>
        <v>6</v>
      </c>
      <c r="K122">
        <f>SUMIFS(data!$C:$C,data!$A:$A,"="&amp;xyz!$A122,data!$B:$B,"="&amp;xyz!K$2)</f>
        <v>0</v>
      </c>
      <c r="L122">
        <f>SUMIFS(data!$C:$C,data!$A:$A,"="&amp;xyz!$A122,data!$B:$B,"="&amp;xyz!L$2)</f>
        <v>4</v>
      </c>
      <c r="M122">
        <f>SUMIFS(data!$C:$C,data!$A:$A,"="&amp;xyz!$A122,data!$B:$B,"="&amp;xyz!M$2)</f>
        <v>0</v>
      </c>
      <c r="N122">
        <f>SUMIFS(data!$C:$C,data!$A:$A,"="&amp;xyz!$A122,data!$B:$B,"="&amp;xyz!N$2)</f>
        <v>3</v>
      </c>
      <c r="O122">
        <f>SUMIFS(data!$C:$C,data!$A:$A,"="&amp;xyz!$A122,data!$B:$B,"="&amp;xyz!O$2)</f>
        <v>0</v>
      </c>
      <c r="P122">
        <f>SUMIFS(data!$C:$C,data!$A:$A,"="&amp;xyz!$A122,data!$B:$B,"="&amp;xyz!P$2)</f>
        <v>0</v>
      </c>
      <c r="Q122">
        <f>SUMIFS(data!$C:$C,data!$A:$A,"="&amp;xyz!$A122,data!$B:$B,"="&amp;xyz!Q$2)</f>
        <v>5</v>
      </c>
      <c r="R122">
        <f>SUMIFS(data!$C:$C,data!$A:$A,"="&amp;xyz!$A122,data!$B:$B,"="&amp;xyz!R$2)</f>
        <v>0</v>
      </c>
      <c r="S122">
        <f>SUMIFS(data!$C:$C,data!$A:$A,"="&amp;xyz!$A122,data!$B:$B,"="&amp;xyz!S$2)</f>
        <v>0</v>
      </c>
      <c r="T122">
        <f>SUMIFS(data!$C:$C,data!$A:$A,"="&amp;xyz!$A122,data!$B:$B,"="&amp;xyz!T$2)</f>
        <v>3</v>
      </c>
      <c r="U122">
        <f>SUMIFS(data!$C:$C,data!$A:$A,"="&amp;xyz!$A122,data!$B:$B,"="&amp;xyz!U$2)</f>
        <v>0</v>
      </c>
      <c r="V122">
        <f>SUMIFS(data!$C:$C,data!$A:$A,"="&amp;xyz!$A122,data!$B:$B,"="&amp;xyz!V$2)</f>
        <v>4</v>
      </c>
      <c r="W122">
        <f>SUMIFS(data!$C:$C,data!$A:$A,"="&amp;xyz!$A122,data!$B:$B,"="&amp;xyz!W$2)</f>
        <v>5</v>
      </c>
      <c r="X122">
        <f>SUMIFS(data!$C:$C,data!$A:$A,"="&amp;xyz!$A122,data!$B:$B,"="&amp;xyz!X$2)</f>
        <v>1</v>
      </c>
      <c r="Y122">
        <f>SUMIFS(data!$C:$C,data!$A:$A,"="&amp;xyz!$A122,data!$B:$B,"="&amp;xyz!Y$2)</f>
        <v>4</v>
      </c>
      <c r="Z122">
        <f>SUMIFS(data!$C:$C,data!$A:$A,"="&amp;xyz!$A122,data!$B:$B,"="&amp;xyz!Z$2)</f>
        <v>0</v>
      </c>
      <c r="AA122">
        <f>SUMIFS(data!$C:$C,data!$A:$A,"="&amp;xyz!$A122,data!$B:$B,"="&amp;xyz!AA$2)</f>
        <v>0</v>
      </c>
      <c r="AB122">
        <f>SUMIFS(data!$C:$C,data!$A:$A,"="&amp;xyz!$A122,data!$B:$B,"="&amp;xyz!AB$2)</f>
        <v>0</v>
      </c>
      <c r="AC122">
        <f>SUMIFS(data!$C:$C,data!$A:$A,"="&amp;xyz!$A122,data!$B:$B,"="&amp;xyz!AC$2)</f>
        <v>0</v>
      </c>
      <c r="AD122">
        <f>SUMIFS(data!$C:$C,data!$A:$A,"="&amp;xyz!$A122,data!$B:$B,"="&amp;xyz!AD$2)</f>
        <v>0</v>
      </c>
      <c r="AE122">
        <f>SUMIFS(data!$C:$C,data!$A:$A,"="&amp;xyz!$A122,data!$B:$B,"="&amp;xyz!AE$2)</f>
        <v>0</v>
      </c>
      <c r="AF122">
        <f>SUMIFS(data!$C:$C,data!$A:$A,"="&amp;xyz!$A122,data!$B:$B,"="&amp;xyz!AF$2)</f>
        <v>0</v>
      </c>
      <c r="AG122">
        <f>SUMIFS(data!$C:$C,data!$A:$A,"="&amp;xyz!$A122,data!$B:$B,"="&amp;xyz!AG$2)</f>
        <v>0</v>
      </c>
      <c r="AH122">
        <f>SUMIFS(data!$C:$C,data!$A:$A,"="&amp;xyz!$A122,data!$B:$B,"="&amp;xyz!AH$2)</f>
        <v>0</v>
      </c>
      <c r="AI122">
        <f>SUMIFS(data!$C:$C,data!$A:$A,"="&amp;xyz!$A122,data!$B:$B,"="&amp;xyz!AI$2)</f>
        <v>0</v>
      </c>
      <c r="AJ122">
        <f>SUMIFS(data!$C:$C,data!$A:$A,"="&amp;xyz!$A122,data!$B:$B,"="&amp;xyz!AJ$2)</f>
        <v>0</v>
      </c>
      <c r="AK122">
        <f>SUMIFS(data!$C:$C,data!$A:$A,"="&amp;xyz!$A122,data!$B:$B,"="&amp;xyz!AK$2)</f>
        <v>2</v>
      </c>
      <c r="AL122">
        <f>SUMIFS(data!$C:$C,data!$A:$A,"="&amp;xyz!$A122,data!$B:$B,"="&amp;xyz!AL$2)</f>
        <v>0</v>
      </c>
      <c r="AM122">
        <f>SUMIFS(data!$C:$C,data!$A:$A,"="&amp;xyz!$A122,data!$B:$B,"="&amp;xyz!AM$2)</f>
        <v>0</v>
      </c>
      <c r="AN122">
        <f>SUMIFS(data!$C:$C,data!$A:$A,"="&amp;xyz!$A122,data!$B:$B,"="&amp;xyz!AN$2)</f>
        <v>0</v>
      </c>
      <c r="AO122">
        <f>SUMIFS(data!$C:$C,data!$A:$A,"="&amp;xyz!$A122,data!$B:$B,"="&amp;xyz!AO$2)</f>
        <v>0</v>
      </c>
      <c r="AP122">
        <f>SUMIFS(data!$C:$C,data!$A:$A,"="&amp;xyz!$A122,data!$B:$B,"="&amp;xyz!AP$2)</f>
        <v>2</v>
      </c>
      <c r="AQ122" s="6">
        <f t="shared" si="4"/>
        <v>1.5238278387177739</v>
      </c>
    </row>
    <row r="123" spans="1:43" x14ac:dyDescent="0.3">
      <c r="A123" t="s">
        <v>61</v>
      </c>
      <c r="B123" s="6">
        <f t="shared" si="3"/>
        <v>0.69615384615384601</v>
      </c>
      <c r="C123">
        <f>SUMIFS(data!$C:$C,data!$A:$A,"="&amp;xyz!$A123,data!$B:$B,"="&amp;xyz!C$2)</f>
        <v>0</v>
      </c>
      <c r="D123">
        <f>SUMIFS(data!$C:$C,data!$A:$A,"="&amp;xyz!$A123,data!$B:$B,"="&amp;xyz!D$2)</f>
        <v>1</v>
      </c>
      <c r="E123">
        <f>SUMIFS(data!$C:$C,data!$A:$A,"="&amp;xyz!$A123,data!$B:$B,"="&amp;xyz!E$2)</f>
        <v>1</v>
      </c>
      <c r="F123">
        <f>SUMIFS(data!$C:$C,data!$A:$A,"="&amp;xyz!$A123,data!$B:$B,"="&amp;xyz!F$2)</f>
        <v>1</v>
      </c>
      <c r="G123">
        <f>SUMIFS(data!$C:$C,data!$A:$A,"="&amp;xyz!$A123,data!$B:$B,"="&amp;xyz!G$2)</f>
        <v>1</v>
      </c>
      <c r="H123">
        <f>SUMIFS(data!$C:$C,data!$A:$A,"="&amp;xyz!$A123,data!$B:$B,"="&amp;xyz!H$2)</f>
        <v>2</v>
      </c>
      <c r="I123">
        <f>SUMIFS(data!$C:$C,data!$A:$A,"="&amp;xyz!$A123,data!$B:$B,"="&amp;xyz!I$2)</f>
        <v>1</v>
      </c>
      <c r="J123">
        <f>SUMIFS(data!$C:$C,data!$A:$A,"="&amp;xyz!$A123,data!$B:$B,"="&amp;xyz!J$2)</f>
        <v>4</v>
      </c>
      <c r="K123">
        <f>SUMIFS(data!$C:$C,data!$A:$A,"="&amp;xyz!$A123,data!$B:$B,"="&amp;xyz!K$2)</f>
        <v>0</v>
      </c>
      <c r="L123">
        <f>SUMIFS(data!$C:$C,data!$A:$A,"="&amp;xyz!$A123,data!$B:$B,"="&amp;xyz!L$2)</f>
        <v>1</v>
      </c>
      <c r="M123">
        <f>SUMIFS(data!$C:$C,data!$A:$A,"="&amp;xyz!$A123,data!$B:$B,"="&amp;xyz!M$2)</f>
        <v>2</v>
      </c>
      <c r="N123">
        <f>SUMIFS(data!$C:$C,data!$A:$A,"="&amp;xyz!$A123,data!$B:$B,"="&amp;xyz!N$2)</f>
        <v>0</v>
      </c>
      <c r="O123">
        <f>SUMIFS(data!$C:$C,data!$A:$A,"="&amp;xyz!$A123,data!$B:$B,"="&amp;xyz!O$2)</f>
        <v>1</v>
      </c>
      <c r="P123">
        <f>SUMIFS(data!$C:$C,data!$A:$A,"="&amp;xyz!$A123,data!$B:$B,"="&amp;xyz!P$2)</f>
        <v>0</v>
      </c>
      <c r="Q123">
        <f>SUMIFS(data!$C:$C,data!$A:$A,"="&amp;xyz!$A123,data!$B:$B,"="&amp;xyz!Q$2)</f>
        <v>2</v>
      </c>
      <c r="R123">
        <f>SUMIFS(data!$C:$C,data!$A:$A,"="&amp;xyz!$A123,data!$B:$B,"="&amp;xyz!R$2)</f>
        <v>3</v>
      </c>
      <c r="S123">
        <f>SUMIFS(data!$C:$C,data!$A:$A,"="&amp;xyz!$A123,data!$B:$B,"="&amp;xyz!S$2)</f>
        <v>3</v>
      </c>
      <c r="T123">
        <f>SUMIFS(data!$C:$C,data!$A:$A,"="&amp;xyz!$A123,data!$B:$B,"="&amp;xyz!T$2)</f>
        <v>2</v>
      </c>
      <c r="U123">
        <f>SUMIFS(data!$C:$C,data!$A:$A,"="&amp;xyz!$A123,data!$B:$B,"="&amp;xyz!U$2)</f>
        <v>1</v>
      </c>
      <c r="V123">
        <f>SUMIFS(data!$C:$C,data!$A:$A,"="&amp;xyz!$A123,data!$B:$B,"="&amp;xyz!V$2)</f>
        <v>0</v>
      </c>
      <c r="W123">
        <f>SUMIFS(data!$C:$C,data!$A:$A,"="&amp;xyz!$A123,data!$B:$B,"="&amp;xyz!W$2)</f>
        <v>0</v>
      </c>
      <c r="X123">
        <f>SUMIFS(data!$C:$C,data!$A:$A,"="&amp;xyz!$A123,data!$B:$B,"="&amp;xyz!X$2)</f>
        <v>0</v>
      </c>
      <c r="Y123">
        <f>SUMIFS(data!$C:$C,data!$A:$A,"="&amp;xyz!$A123,data!$B:$B,"="&amp;xyz!Y$2)</f>
        <v>0</v>
      </c>
      <c r="Z123">
        <f>SUMIFS(data!$C:$C,data!$A:$A,"="&amp;xyz!$A123,data!$B:$B,"="&amp;xyz!Z$2)</f>
        <v>0</v>
      </c>
      <c r="AA123">
        <f>SUMIFS(data!$C:$C,data!$A:$A,"="&amp;xyz!$A123,data!$B:$B,"="&amp;xyz!AA$2)</f>
        <v>1</v>
      </c>
      <c r="AB123">
        <f>SUMIFS(data!$C:$C,data!$A:$A,"="&amp;xyz!$A123,data!$B:$B,"="&amp;xyz!AB$2)</f>
        <v>1</v>
      </c>
      <c r="AC123">
        <f>SUMIFS(data!$C:$C,data!$A:$A,"="&amp;xyz!$A123,data!$B:$B,"="&amp;xyz!AC$2)</f>
        <v>3</v>
      </c>
      <c r="AD123">
        <f>SUMIFS(data!$C:$C,data!$A:$A,"="&amp;xyz!$A123,data!$B:$B,"="&amp;xyz!AD$2)</f>
        <v>1</v>
      </c>
      <c r="AE123">
        <f>SUMIFS(data!$C:$C,data!$A:$A,"="&amp;xyz!$A123,data!$B:$B,"="&amp;xyz!AE$2)</f>
        <v>2</v>
      </c>
      <c r="AF123">
        <f>SUMIFS(data!$C:$C,data!$A:$A,"="&amp;xyz!$A123,data!$B:$B,"="&amp;xyz!AF$2)</f>
        <v>5</v>
      </c>
      <c r="AG123">
        <f>SUMIFS(data!$C:$C,data!$A:$A,"="&amp;xyz!$A123,data!$B:$B,"="&amp;xyz!AG$2)</f>
        <v>1</v>
      </c>
      <c r="AH123">
        <f>SUMIFS(data!$C:$C,data!$A:$A,"="&amp;xyz!$A123,data!$B:$B,"="&amp;xyz!AH$2)</f>
        <v>1</v>
      </c>
      <c r="AI123">
        <f>SUMIFS(data!$C:$C,data!$A:$A,"="&amp;xyz!$A123,data!$B:$B,"="&amp;xyz!AI$2)</f>
        <v>3</v>
      </c>
      <c r="AJ123">
        <f>SUMIFS(data!$C:$C,data!$A:$A,"="&amp;xyz!$A123,data!$B:$B,"="&amp;xyz!AJ$2)</f>
        <v>0</v>
      </c>
      <c r="AK123">
        <f>SUMIFS(data!$C:$C,data!$A:$A,"="&amp;xyz!$A123,data!$B:$B,"="&amp;xyz!AK$2)</f>
        <v>1</v>
      </c>
      <c r="AL123">
        <f>SUMIFS(data!$C:$C,data!$A:$A,"="&amp;xyz!$A123,data!$B:$B,"="&amp;xyz!AL$2)</f>
        <v>1</v>
      </c>
      <c r="AM123">
        <f>SUMIFS(data!$C:$C,data!$A:$A,"="&amp;xyz!$A123,data!$B:$B,"="&amp;xyz!AM$2)</f>
        <v>1</v>
      </c>
      <c r="AN123">
        <f>SUMIFS(data!$C:$C,data!$A:$A,"="&amp;xyz!$A123,data!$B:$B,"="&amp;xyz!AN$2)</f>
        <v>2</v>
      </c>
      <c r="AO123">
        <f>SUMIFS(data!$C:$C,data!$A:$A,"="&amp;xyz!$A123,data!$B:$B,"="&amp;xyz!AO$2)</f>
        <v>1</v>
      </c>
      <c r="AP123">
        <f>SUMIFS(data!$C:$C,data!$A:$A,"="&amp;xyz!$A123,data!$B:$B,"="&amp;xyz!AP$2)</f>
        <v>2</v>
      </c>
      <c r="AQ123" s="6">
        <f t="shared" si="4"/>
        <v>0.90849762022783631</v>
      </c>
    </row>
    <row r="124" spans="1:43" x14ac:dyDescent="0.3">
      <c r="A124" t="s">
        <v>16</v>
      </c>
      <c r="B124" s="6">
        <f t="shared" si="3"/>
        <v>0.84166666666666656</v>
      </c>
      <c r="C124">
        <f>SUMIFS(data!$C:$C,data!$A:$A,"="&amp;xyz!$A124,data!$B:$B,"="&amp;xyz!C$2)</f>
        <v>1</v>
      </c>
      <c r="D124">
        <f>SUMIFS(data!$C:$C,data!$A:$A,"="&amp;xyz!$A124,data!$B:$B,"="&amp;xyz!D$2)</f>
        <v>0</v>
      </c>
      <c r="E124">
        <f>SUMIFS(data!$C:$C,data!$A:$A,"="&amp;xyz!$A124,data!$B:$B,"="&amp;xyz!E$2)</f>
        <v>5</v>
      </c>
      <c r="F124">
        <f>SUMIFS(data!$C:$C,data!$A:$A,"="&amp;xyz!$A124,data!$B:$B,"="&amp;xyz!F$2)</f>
        <v>0</v>
      </c>
      <c r="G124">
        <f>SUMIFS(data!$C:$C,data!$A:$A,"="&amp;xyz!$A124,data!$B:$B,"="&amp;xyz!G$2)</f>
        <v>2</v>
      </c>
      <c r="H124">
        <f>SUMIFS(data!$C:$C,data!$A:$A,"="&amp;xyz!$A124,data!$B:$B,"="&amp;xyz!H$2)</f>
        <v>1</v>
      </c>
      <c r="I124">
        <f>SUMIFS(data!$C:$C,data!$A:$A,"="&amp;xyz!$A124,data!$B:$B,"="&amp;xyz!I$2)</f>
        <v>1</v>
      </c>
      <c r="J124">
        <f>SUMIFS(data!$C:$C,data!$A:$A,"="&amp;xyz!$A124,data!$B:$B,"="&amp;xyz!J$2)</f>
        <v>0</v>
      </c>
      <c r="K124">
        <f>SUMIFS(data!$C:$C,data!$A:$A,"="&amp;xyz!$A124,data!$B:$B,"="&amp;xyz!K$2)</f>
        <v>0</v>
      </c>
      <c r="L124">
        <f>SUMIFS(data!$C:$C,data!$A:$A,"="&amp;xyz!$A124,data!$B:$B,"="&amp;xyz!L$2)</f>
        <v>0</v>
      </c>
      <c r="M124">
        <f>SUMIFS(data!$C:$C,data!$A:$A,"="&amp;xyz!$A124,data!$B:$B,"="&amp;xyz!M$2)</f>
        <v>2</v>
      </c>
      <c r="N124">
        <f>SUMIFS(data!$C:$C,data!$A:$A,"="&amp;xyz!$A124,data!$B:$B,"="&amp;xyz!N$2)</f>
        <v>0</v>
      </c>
      <c r="O124">
        <f>SUMIFS(data!$C:$C,data!$A:$A,"="&amp;xyz!$A124,data!$B:$B,"="&amp;xyz!O$2)</f>
        <v>2</v>
      </c>
      <c r="P124">
        <f>SUMIFS(data!$C:$C,data!$A:$A,"="&amp;xyz!$A124,data!$B:$B,"="&amp;xyz!P$2)</f>
        <v>0</v>
      </c>
      <c r="Q124">
        <f>SUMIFS(data!$C:$C,data!$A:$A,"="&amp;xyz!$A124,data!$B:$B,"="&amp;xyz!Q$2)</f>
        <v>1</v>
      </c>
      <c r="R124">
        <f>SUMIFS(data!$C:$C,data!$A:$A,"="&amp;xyz!$A124,data!$B:$B,"="&amp;xyz!R$2)</f>
        <v>0</v>
      </c>
      <c r="S124">
        <f>SUMIFS(data!$C:$C,data!$A:$A,"="&amp;xyz!$A124,data!$B:$B,"="&amp;xyz!S$2)</f>
        <v>2</v>
      </c>
      <c r="T124">
        <f>SUMIFS(data!$C:$C,data!$A:$A,"="&amp;xyz!$A124,data!$B:$B,"="&amp;xyz!T$2)</f>
        <v>1</v>
      </c>
      <c r="U124">
        <f>SUMIFS(data!$C:$C,data!$A:$A,"="&amp;xyz!$A124,data!$B:$B,"="&amp;xyz!U$2)</f>
        <v>1</v>
      </c>
      <c r="V124">
        <f>SUMIFS(data!$C:$C,data!$A:$A,"="&amp;xyz!$A124,data!$B:$B,"="&amp;xyz!V$2)</f>
        <v>1</v>
      </c>
      <c r="W124">
        <f>SUMIFS(data!$C:$C,data!$A:$A,"="&amp;xyz!$A124,data!$B:$B,"="&amp;xyz!W$2)</f>
        <v>1</v>
      </c>
      <c r="X124">
        <f>SUMIFS(data!$C:$C,data!$A:$A,"="&amp;xyz!$A124,data!$B:$B,"="&amp;xyz!X$2)</f>
        <v>1</v>
      </c>
      <c r="Y124">
        <f>SUMIFS(data!$C:$C,data!$A:$A,"="&amp;xyz!$A124,data!$B:$B,"="&amp;xyz!Y$2)</f>
        <v>0</v>
      </c>
      <c r="Z124">
        <f>SUMIFS(data!$C:$C,data!$A:$A,"="&amp;xyz!$A124,data!$B:$B,"="&amp;xyz!Z$2)</f>
        <v>1</v>
      </c>
      <c r="AA124">
        <f>SUMIFS(data!$C:$C,data!$A:$A,"="&amp;xyz!$A124,data!$B:$B,"="&amp;xyz!AA$2)</f>
        <v>0</v>
      </c>
      <c r="AB124">
        <f>SUMIFS(data!$C:$C,data!$A:$A,"="&amp;xyz!$A124,data!$B:$B,"="&amp;xyz!AB$2)</f>
        <v>2</v>
      </c>
      <c r="AC124">
        <f>SUMIFS(data!$C:$C,data!$A:$A,"="&amp;xyz!$A124,data!$B:$B,"="&amp;xyz!AC$2)</f>
        <v>3</v>
      </c>
      <c r="AD124">
        <f>SUMIFS(data!$C:$C,data!$A:$A,"="&amp;xyz!$A124,data!$B:$B,"="&amp;xyz!AD$2)</f>
        <v>2</v>
      </c>
      <c r="AE124">
        <f>SUMIFS(data!$C:$C,data!$A:$A,"="&amp;xyz!$A124,data!$B:$B,"="&amp;xyz!AE$2)</f>
        <v>1</v>
      </c>
      <c r="AF124">
        <f>SUMIFS(data!$C:$C,data!$A:$A,"="&amp;xyz!$A124,data!$B:$B,"="&amp;xyz!AF$2)</f>
        <v>2</v>
      </c>
      <c r="AG124">
        <f>SUMIFS(data!$C:$C,data!$A:$A,"="&amp;xyz!$A124,data!$B:$B,"="&amp;xyz!AG$2)</f>
        <v>0</v>
      </c>
      <c r="AH124">
        <f>SUMIFS(data!$C:$C,data!$A:$A,"="&amp;xyz!$A124,data!$B:$B,"="&amp;xyz!AH$2)</f>
        <v>6</v>
      </c>
      <c r="AI124">
        <f>SUMIFS(data!$C:$C,data!$A:$A,"="&amp;xyz!$A124,data!$B:$B,"="&amp;xyz!AI$2)</f>
        <v>0</v>
      </c>
      <c r="AJ124">
        <f>SUMIFS(data!$C:$C,data!$A:$A,"="&amp;xyz!$A124,data!$B:$B,"="&amp;xyz!AJ$2)</f>
        <v>2</v>
      </c>
      <c r="AK124">
        <f>SUMIFS(data!$C:$C,data!$A:$A,"="&amp;xyz!$A124,data!$B:$B,"="&amp;xyz!AK$2)</f>
        <v>0</v>
      </c>
      <c r="AL124">
        <f>SUMIFS(data!$C:$C,data!$A:$A,"="&amp;xyz!$A124,data!$B:$B,"="&amp;xyz!AL$2)</f>
        <v>0</v>
      </c>
      <c r="AM124">
        <f>SUMIFS(data!$C:$C,data!$A:$A,"="&amp;xyz!$A124,data!$B:$B,"="&amp;xyz!AM$2)</f>
        <v>0</v>
      </c>
      <c r="AN124">
        <f>SUMIFS(data!$C:$C,data!$A:$A,"="&amp;xyz!$A124,data!$B:$B,"="&amp;xyz!AN$2)</f>
        <v>2</v>
      </c>
      <c r="AO124">
        <f>SUMIFS(data!$C:$C,data!$A:$A,"="&amp;xyz!$A124,data!$B:$B,"="&amp;xyz!AO$2)</f>
        <v>2</v>
      </c>
      <c r="AP124">
        <f>SUMIFS(data!$C:$C,data!$A:$A,"="&amp;xyz!$A124,data!$B:$B,"="&amp;xyz!AP$2)</f>
        <v>3</v>
      </c>
      <c r="AQ124" s="6">
        <f t="shared" si="4"/>
        <v>1.135417891867919</v>
      </c>
    </row>
    <row r="125" spans="1:43" x14ac:dyDescent="0.3">
      <c r="A125" t="s">
        <v>143</v>
      </c>
      <c r="B125" s="6">
        <f t="shared" si="3"/>
        <v>0.72857142857142887</v>
      </c>
      <c r="C125">
        <f>SUMIFS(data!$C:$C,data!$A:$A,"="&amp;xyz!$A125,data!$B:$B,"="&amp;xyz!C$2)</f>
        <v>2</v>
      </c>
      <c r="D125">
        <f>SUMIFS(data!$C:$C,data!$A:$A,"="&amp;xyz!$A125,data!$B:$B,"="&amp;xyz!D$2)</f>
        <v>4</v>
      </c>
      <c r="E125">
        <f>SUMIFS(data!$C:$C,data!$A:$A,"="&amp;xyz!$A125,data!$B:$B,"="&amp;xyz!E$2)</f>
        <v>1</v>
      </c>
      <c r="F125">
        <f>SUMIFS(data!$C:$C,data!$A:$A,"="&amp;xyz!$A125,data!$B:$B,"="&amp;xyz!F$2)</f>
        <v>3</v>
      </c>
      <c r="G125">
        <f>SUMIFS(data!$C:$C,data!$A:$A,"="&amp;xyz!$A125,data!$B:$B,"="&amp;xyz!G$2)</f>
        <v>0</v>
      </c>
      <c r="H125">
        <f>SUMIFS(data!$C:$C,data!$A:$A,"="&amp;xyz!$A125,data!$B:$B,"="&amp;xyz!H$2)</f>
        <v>2</v>
      </c>
      <c r="I125">
        <f>SUMIFS(data!$C:$C,data!$A:$A,"="&amp;xyz!$A125,data!$B:$B,"="&amp;xyz!I$2)</f>
        <v>2</v>
      </c>
      <c r="J125">
        <f>SUMIFS(data!$C:$C,data!$A:$A,"="&amp;xyz!$A125,data!$B:$B,"="&amp;xyz!J$2)</f>
        <v>0</v>
      </c>
      <c r="K125">
        <f>SUMIFS(data!$C:$C,data!$A:$A,"="&amp;xyz!$A125,data!$B:$B,"="&amp;xyz!K$2)</f>
        <v>0</v>
      </c>
      <c r="L125">
        <f>SUMIFS(data!$C:$C,data!$A:$A,"="&amp;xyz!$A125,data!$B:$B,"="&amp;xyz!L$2)</f>
        <v>3</v>
      </c>
      <c r="M125">
        <f>SUMIFS(data!$C:$C,data!$A:$A,"="&amp;xyz!$A125,data!$B:$B,"="&amp;xyz!M$2)</f>
        <v>1</v>
      </c>
      <c r="N125">
        <f>SUMIFS(data!$C:$C,data!$A:$A,"="&amp;xyz!$A125,data!$B:$B,"="&amp;xyz!N$2)</f>
        <v>1</v>
      </c>
      <c r="O125">
        <f>SUMIFS(data!$C:$C,data!$A:$A,"="&amp;xyz!$A125,data!$B:$B,"="&amp;xyz!O$2)</f>
        <v>0</v>
      </c>
      <c r="P125">
        <f>SUMIFS(data!$C:$C,data!$A:$A,"="&amp;xyz!$A125,data!$B:$B,"="&amp;xyz!P$2)</f>
        <v>1</v>
      </c>
      <c r="Q125">
        <f>SUMIFS(data!$C:$C,data!$A:$A,"="&amp;xyz!$A125,data!$B:$B,"="&amp;xyz!Q$2)</f>
        <v>2</v>
      </c>
      <c r="R125">
        <f>SUMIFS(data!$C:$C,data!$A:$A,"="&amp;xyz!$A125,data!$B:$B,"="&amp;xyz!R$2)</f>
        <v>2</v>
      </c>
      <c r="S125">
        <f>SUMIFS(data!$C:$C,data!$A:$A,"="&amp;xyz!$A125,data!$B:$B,"="&amp;xyz!S$2)</f>
        <v>1</v>
      </c>
      <c r="T125">
        <f>SUMIFS(data!$C:$C,data!$A:$A,"="&amp;xyz!$A125,data!$B:$B,"="&amp;xyz!T$2)</f>
        <v>1</v>
      </c>
      <c r="U125">
        <f>SUMIFS(data!$C:$C,data!$A:$A,"="&amp;xyz!$A125,data!$B:$B,"="&amp;xyz!U$2)</f>
        <v>1</v>
      </c>
      <c r="V125">
        <f>SUMIFS(data!$C:$C,data!$A:$A,"="&amp;xyz!$A125,data!$B:$B,"="&amp;xyz!V$2)</f>
        <v>1</v>
      </c>
      <c r="W125">
        <f>SUMIFS(data!$C:$C,data!$A:$A,"="&amp;xyz!$A125,data!$B:$B,"="&amp;xyz!W$2)</f>
        <v>1</v>
      </c>
      <c r="X125">
        <f>SUMIFS(data!$C:$C,data!$A:$A,"="&amp;xyz!$A125,data!$B:$B,"="&amp;xyz!X$2)</f>
        <v>2</v>
      </c>
      <c r="Y125">
        <f>SUMIFS(data!$C:$C,data!$A:$A,"="&amp;xyz!$A125,data!$B:$B,"="&amp;xyz!Y$2)</f>
        <v>3</v>
      </c>
      <c r="Z125">
        <f>SUMIFS(data!$C:$C,data!$A:$A,"="&amp;xyz!$A125,data!$B:$B,"="&amp;xyz!Z$2)</f>
        <v>0</v>
      </c>
      <c r="AA125">
        <f>SUMIFS(data!$C:$C,data!$A:$A,"="&amp;xyz!$A125,data!$B:$B,"="&amp;xyz!AA$2)</f>
        <v>1</v>
      </c>
      <c r="AB125">
        <f>SUMIFS(data!$C:$C,data!$A:$A,"="&amp;xyz!$A125,data!$B:$B,"="&amp;xyz!AB$2)</f>
        <v>2</v>
      </c>
      <c r="AC125">
        <f>SUMIFS(data!$C:$C,data!$A:$A,"="&amp;xyz!$A125,data!$B:$B,"="&amp;xyz!AC$2)</f>
        <v>2</v>
      </c>
      <c r="AD125">
        <f>SUMIFS(data!$C:$C,data!$A:$A,"="&amp;xyz!$A125,data!$B:$B,"="&amp;xyz!AD$2)</f>
        <v>1</v>
      </c>
      <c r="AE125">
        <f>SUMIFS(data!$C:$C,data!$A:$A,"="&amp;xyz!$A125,data!$B:$B,"="&amp;xyz!AE$2)</f>
        <v>1</v>
      </c>
      <c r="AF125">
        <f>SUMIFS(data!$C:$C,data!$A:$A,"="&amp;xyz!$A125,data!$B:$B,"="&amp;xyz!AF$2)</f>
        <v>4</v>
      </c>
      <c r="AG125">
        <f>SUMIFS(data!$C:$C,data!$A:$A,"="&amp;xyz!$A125,data!$B:$B,"="&amp;xyz!AG$2)</f>
        <v>1</v>
      </c>
      <c r="AH125">
        <f>SUMIFS(data!$C:$C,data!$A:$A,"="&amp;xyz!$A125,data!$B:$B,"="&amp;xyz!AH$2)</f>
        <v>0</v>
      </c>
      <c r="AI125">
        <f>SUMIFS(data!$C:$C,data!$A:$A,"="&amp;xyz!$A125,data!$B:$B,"="&amp;xyz!AI$2)</f>
        <v>1</v>
      </c>
      <c r="AJ125">
        <f>SUMIFS(data!$C:$C,data!$A:$A,"="&amp;xyz!$A125,data!$B:$B,"="&amp;xyz!AJ$2)</f>
        <v>0</v>
      </c>
      <c r="AK125">
        <f>SUMIFS(data!$C:$C,data!$A:$A,"="&amp;xyz!$A125,data!$B:$B,"="&amp;xyz!AK$2)</f>
        <v>0</v>
      </c>
      <c r="AL125">
        <f>SUMIFS(data!$C:$C,data!$A:$A,"="&amp;xyz!$A125,data!$B:$B,"="&amp;xyz!AL$2)</f>
        <v>0</v>
      </c>
      <c r="AM125">
        <f>SUMIFS(data!$C:$C,data!$A:$A,"="&amp;xyz!$A125,data!$B:$B,"="&amp;xyz!AM$2)</f>
        <v>0</v>
      </c>
      <c r="AN125">
        <f>SUMIFS(data!$C:$C,data!$A:$A,"="&amp;xyz!$A125,data!$B:$B,"="&amp;xyz!AN$2)</f>
        <v>0</v>
      </c>
      <c r="AO125">
        <f>SUMIFS(data!$C:$C,data!$A:$A,"="&amp;xyz!$A125,data!$B:$B,"="&amp;xyz!AO$2)</f>
        <v>2</v>
      </c>
      <c r="AP125">
        <f>SUMIFS(data!$C:$C,data!$A:$A,"="&amp;xyz!$A125,data!$B:$B,"="&amp;xyz!AP$2)</f>
        <v>0</v>
      </c>
      <c r="AQ125" s="6">
        <f t="shared" si="4"/>
        <v>0.91478456899768945</v>
      </c>
    </row>
    <row r="126" spans="1:43" x14ac:dyDescent="0.3">
      <c r="A126" t="s">
        <v>144</v>
      </c>
      <c r="B126" s="6">
        <f t="shared" si="3"/>
        <v>0.86999999999999988</v>
      </c>
      <c r="C126">
        <f>SUMIFS(data!$C:$C,data!$A:$A,"="&amp;xyz!$A126,data!$B:$B,"="&amp;xyz!C$2)</f>
        <v>0</v>
      </c>
      <c r="D126">
        <f>SUMIFS(data!$C:$C,data!$A:$A,"="&amp;xyz!$A126,data!$B:$B,"="&amp;xyz!D$2)</f>
        <v>1</v>
      </c>
      <c r="E126">
        <f>SUMIFS(data!$C:$C,data!$A:$A,"="&amp;xyz!$A126,data!$B:$B,"="&amp;xyz!E$2)</f>
        <v>2</v>
      </c>
      <c r="F126">
        <f>SUMIFS(data!$C:$C,data!$A:$A,"="&amp;xyz!$A126,data!$B:$B,"="&amp;xyz!F$2)</f>
        <v>2</v>
      </c>
      <c r="G126">
        <f>SUMIFS(data!$C:$C,data!$A:$A,"="&amp;xyz!$A126,data!$B:$B,"="&amp;xyz!G$2)</f>
        <v>1</v>
      </c>
      <c r="H126">
        <f>SUMIFS(data!$C:$C,data!$A:$A,"="&amp;xyz!$A126,data!$B:$B,"="&amp;xyz!H$2)</f>
        <v>0</v>
      </c>
      <c r="I126">
        <f>SUMIFS(data!$C:$C,data!$A:$A,"="&amp;xyz!$A126,data!$B:$B,"="&amp;xyz!I$2)</f>
        <v>0</v>
      </c>
      <c r="J126">
        <f>SUMIFS(data!$C:$C,data!$A:$A,"="&amp;xyz!$A126,data!$B:$B,"="&amp;xyz!J$2)</f>
        <v>1</v>
      </c>
      <c r="K126">
        <f>SUMIFS(data!$C:$C,data!$A:$A,"="&amp;xyz!$A126,data!$B:$B,"="&amp;xyz!K$2)</f>
        <v>0</v>
      </c>
      <c r="L126">
        <f>SUMIFS(data!$C:$C,data!$A:$A,"="&amp;xyz!$A126,data!$B:$B,"="&amp;xyz!L$2)</f>
        <v>0</v>
      </c>
      <c r="M126">
        <f>SUMIFS(data!$C:$C,data!$A:$A,"="&amp;xyz!$A126,data!$B:$B,"="&amp;xyz!M$2)</f>
        <v>1</v>
      </c>
      <c r="N126">
        <f>SUMIFS(data!$C:$C,data!$A:$A,"="&amp;xyz!$A126,data!$B:$B,"="&amp;xyz!N$2)</f>
        <v>1</v>
      </c>
      <c r="O126">
        <f>SUMIFS(data!$C:$C,data!$A:$A,"="&amp;xyz!$A126,data!$B:$B,"="&amp;xyz!O$2)</f>
        <v>0</v>
      </c>
      <c r="P126">
        <f>SUMIFS(data!$C:$C,data!$A:$A,"="&amp;xyz!$A126,data!$B:$B,"="&amp;xyz!P$2)</f>
        <v>4</v>
      </c>
      <c r="Q126">
        <f>SUMIFS(data!$C:$C,data!$A:$A,"="&amp;xyz!$A126,data!$B:$B,"="&amp;xyz!Q$2)</f>
        <v>2</v>
      </c>
      <c r="R126">
        <f>SUMIFS(data!$C:$C,data!$A:$A,"="&amp;xyz!$A126,data!$B:$B,"="&amp;xyz!R$2)</f>
        <v>3</v>
      </c>
      <c r="S126">
        <f>SUMIFS(data!$C:$C,data!$A:$A,"="&amp;xyz!$A126,data!$B:$B,"="&amp;xyz!S$2)</f>
        <v>1</v>
      </c>
      <c r="T126">
        <f>SUMIFS(data!$C:$C,data!$A:$A,"="&amp;xyz!$A126,data!$B:$B,"="&amp;xyz!T$2)</f>
        <v>1</v>
      </c>
      <c r="U126">
        <f>SUMIFS(data!$C:$C,data!$A:$A,"="&amp;xyz!$A126,data!$B:$B,"="&amp;xyz!U$2)</f>
        <v>3</v>
      </c>
      <c r="V126">
        <f>SUMIFS(data!$C:$C,data!$A:$A,"="&amp;xyz!$A126,data!$B:$B,"="&amp;xyz!V$2)</f>
        <v>0</v>
      </c>
      <c r="W126">
        <f>SUMIFS(data!$C:$C,data!$A:$A,"="&amp;xyz!$A126,data!$B:$B,"="&amp;xyz!W$2)</f>
        <v>2</v>
      </c>
      <c r="X126">
        <f>SUMIFS(data!$C:$C,data!$A:$A,"="&amp;xyz!$A126,data!$B:$B,"="&amp;xyz!X$2)</f>
        <v>1</v>
      </c>
      <c r="Y126">
        <f>SUMIFS(data!$C:$C,data!$A:$A,"="&amp;xyz!$A126,data!$B:$B,"="&amp;xyz!Y$2)</f>
        <v>0</v>
      </c>
      <c r="Z126">
        <f>SUMIFS(data!$C:$C,data!$A:$A,"="&amp;xyz!$A126,data!$B:$B,"="&amp;xyz!Z$2)</f>
        <v>1</v>
      </c>
      <c r="AA126">
        <f>SUMIFS(data!$C:$C,data!$A:$A,"="&amp;xyz!$A126,data!$B:$B,"="&amp;xyz!AA$2)</f>
        <v>0</v>
      </c>
      <c r="AB126">
        <f>SUMIFS(data!$C:$C,data!$A:$A,"="&amp;xyz!$A126,data!$B:$B,"="&amp;xyz!AB$2)</f>
        <v>5</v>
      </c>
      <c r="AC126">
        <f>SUMIFS(data!$C:$C,data!$A:$A,"="&amp;xyz!$A126,data!$B:$B,"="&amp;xyz!AC$2)</f>
        <v>1</v>
      </c>
      <c r="AD126">
        <f>SUMIFS(data!$C:$C,data!$A:$A,"="&amp;xyz!$A126,data!$B:$B,"="&amp;xyz!AD$2)</f>
        <v>6</v>
      </c>
      <c r="AE126">
        <f>SUMIFS(data!$C:$C,data!$A:$A,"="&amp;xyz!$A126,data!$B:$B,"="&amp;xyz!AE$2)</f>
        <v>1</v>
      </c>
      <c r="AF126">
        <f>SUMIFS(data!$C:$C,data!$A:$A,"="&amp;xyz!$A126,data!$B:$B,"="&amp;xyz!AF$2)</f>
        <v>0</v>
      </c>
      <c r="AG126">
        <f>SUMIFS(data!$C:$C,data!$A:$A,"="&amp;xyz!$A126,data!$B:$B,"="&amp;xyz!AG$2)</f>
        <v>2</v>
      </c>
      <c r="AH126">
        <f>SUMIFS(data!$C:$C,data!$A:$A,"="&amp;xyz!$A126,data!$B:$B,"="&amp;xyz!AH$2)</f>
        <v>3</v>
      </c>
      <c r="AI126">
        <f>SUMIFS(data!$C:$C,data!$A:$A,"="&amp;xyz!$A126,data!$B:$B,"="&amp;xyz!AI$2)</f>
        <v>1</v>
      </c>
      <c r="AJ126">
        <f>SUMIFS(data!$C:$C,data!$A:$A,"="&amp;xyz!$A126,data!$B:$B,"="&amp;xyz!AJ$2)</f>
        <v>2</v>
      </c>
      <c r="AK126">
        <f>SUMIFS(data!$C:$C,data!$A:$A,"="&amp;xyz!$A126,data!$B:$B,"="&amp;xyz!AK$2)</f>
        <v>0</v>
      </c>
      <c r="AL126">
        <f>SUMIFS(data!$C:$C,data!$A:$A,"="&amp;xyz!$A126,data!$B:$B,"="&amp;xyz!AL$2)</f>
        <v>0</v>
      </c>
      <c r="AM126">
        <f>SUMIFS(data!$C:$C,data!$A:$A,"="&amp;xyz!$A126,data!$B:$B,"="&amp;xyz!AM$2)</f>
        <v>0</v>
      </c>
      <c r="AN126">
        <f>SUMIFS(data!$C:$C,data!$A:$A,"="&amp;xyz!$A126,data!$B:$B,"="&amp;xyz!AN$2)</f>
        <v>0</v>
      </c>
      <c r="AO126">
        <f>SUMIFS(data!$C:$C,data!$A:$A,"="&amp;xyz!$A126,data!$B:$B,"="&amp;xyz!AO$2)</f>
        <v>2</v>
      </c>
      <c r="AP126">
        <f>SUMIFS(data!$C:$C,data!$A:$A,"="&amp;xyz!$A126,data!$B:$B,"="&amp;xyz!AP$2)</f>
        <v>0</v>
      </c>
      <c r="AQ126" s="6">
        <f t="shared" si="4"/>
        <v>1.1564756363347641</v>
      </c>
    </row>
    <row r="127" spans="1:43" x14ac:dyDescent="0.3">
      <c r="A127" t="s">
        <v>60</v>
      </c>
      <c r="B127" s="6">
        <f t="shared" si="3"/>
        <v>0.84705882352941186</v>
      </c>
      <c r="C127">
        <f>SUMIFS(data!$C:$C,data!$A:$A,"="&amp;xyz!$A127,data!$B:$B,"="&amp;xyz!C$2)</f>
        <v>0</v>
      </c>
      <c r="D127">
        <f>SUMIFS(data!$C:$C,data!$A:$A,"="&amp;xyz!$A127,data!$B:$B,"="&amp;xyz!D$2)</f>
        <v>0</v>
      </c>
      <c r="E127">
        <f>SUMIFS(data!$C:$C,data!$A:$A,"="&amp;xyz!$A127,data!$B:$B,"="&amp;xyz!E$2)</f>
        <v>0</v>
      </c>
      <c r="F127">
        <f>SUMIFS(data!$C:$C,data!$A:$A,"="&amp;xyz!$A127,data!$B:$B,"="&amp;xyz!F$2)</f>
        <v>1</v>
      </c>
      <c r="G127">
        <f>SUMIFS(data!$C:$C,data!$A:$A,"="&amp;xyz!$A127,data!$B:$B,"="&amp;xyz!G$2)</f>
        <v>2</v>
      </c>
      <c r="H127">
        <f>SUMIFS(data!$C:$C,data!$A:$A,"="&amp;xyz!$A127,data!$B:$B,"="&amp;xyz!H$2)</f>
        <v>1</v>
      </c>
      <c r="I127">
        <f>SUMIFS(data!$C:$C,data!$A:$A,"="&amp;xyz!$A127,data!$B:$B,"="&amp;xyz!I$2)</f>
        <v>3</v>
      </c>
      <c r="J127">
        <f>SUMIFS(data!$C:$C,data!$A:$A,"="&amp;xyz!$A127,data!$B:$B,"="&amp;xyz!J$2)</f>
        <v>1</v>
      </c>
      <c r="K127">
        <f>SUMIFS(data!$C:$C,data!$A:$A,"="&amp;xyz!$A127,data!$B:$B,"="&amp;xyz!K$2)</f>
        <v>0</v>
      </c>
      <c r="L127">
        <f>SUMIFS(data!$C:$C,data!$A:$A,"="&amp;xyz!$A127,data!$B:$B,"="&amp;xyz!L$2)</f>
        <v>3</v>
      </c>
      <c r="M127">
        <f>SUMIFS(data!$C:$C,data!$A:$A,"="&amp;xyz!$A127,data!$B:$B,"="&amp;xyz!M$2)</f>
        <v>0</v>
      </c>
      <c r="N127">
        <f>SUMIFS(data!$C:$C,data!$A:$A,"="&amp;xyz!$A127,data!$B:$B,"="&amp;xyz!N$2)</f>
        <v>1</v>
      </c>
      <c r="O127">
        <f>SUMIFS(data!$C:$C,data!$A:$A,"="&amp;xyz!$A127,data!$B:$B,"="&amp;xyz!O$2)</f>
        <v>0</v>
      </c>
      <c r="P127">
        <f>SUMIFS(data!$C:$C,data!$A:$A,"="&amp;xyz!$A127,data!$B:$B,"="&amp;xyz!P$2)</f>
        <v>0</v>
      </c>
      <c r="Q127">
        <f>SUMIFS(data!$C:$C,data!$A:$A,"="&amp;xyz!$A127,data!$B:$B,"="&amp;xyz!Q$2)</f>
        <v>1</v>
      </c>
      <c r="R127">
        <f>SUMIFS(data!$C:$C,data!$A:$A,"="&amp;xyz!$A127,data!$B:$B,"="&amp;xyz!R$2)</f>
        <v>2</v>
      </c>
      <c r="S127">
        <f>SUMIFS(data!$C:$C,data!$A:$A,"="&amp;xyz!$A127,data!$B:$B,"="&amp;xyz!S$2)</f>
        <v>0</v>
      </c>
      <c r="T127">
        <f>SUMIFS(data!$C:$C,data!$A:$A,"="&amp;xyz!$A127,data!$B:$B,"="&amp;xyz!T$2)</f>
        <v>1</v>
      </c>
      <c r="U127">
        <f>SUMIFS(data!$C:$C,data!$A:$A,"="&amp;xyz!$A127,data!$B:$B,"="&amp;xyz!U$2)</f>
        <v>3</v>
      </c>
      <c r="V127">
        <f>SUMIFS(data!$C:$C,data!$A:$A,"="&amp;xyz!$A127,data!$B:$B,"="&amp;xyz!V$2)</f>
        <v>2</v>
      </c>
      <c r="W127">
        <f>SUMIFS(data!$C:$C,data!$A:$A,"="&amp;xyz!$A127,data!$B:$B,"="&amp;xyz!W$2)</f>
        <v>0</v>
      </c>
      <c r="X127">
        <f>SUMIFS(data!$C:$C,data!$A:$A,"="&amp;xyz!$A127,data!$B:$B,"="&amp;xyz!X$2)</f>
        <v>2</v>
      </c>
      <c r="Y127">
        <f>SUMIFS(data!$C:$C,data!$A:$A,"="&amp;xyz!$A127,data!$B:$B,"="&amp;xyz!Y$2)</f>
        <v>3</v>
      </c>
      <c r="Z127">
        <f>SUMIFS(data!$C:$C,data!$A:$A,"="&amp;xyz!$A127,data!$B:$B,"="&amp;xyz!Z$2)</f>
        <v>0</v>
      </c>
      <c r="AA127">
        <f>SUMIFS(data!$C:$C,data!$A:$A,"="&amp;xyz!$A127,data!$B:$B,"="&amp;xyz!AA$2)</f>
        <v>0</v>
      </c>
      <c r="AB127">
        <f>SUMIFS(data!$C:$C,data!$A:$A,"="&amp;xyz!$A127,data!$B:$B,"="&amp;xyz!AB$2)</f>
        <v>3</v>
      </c>
      <c r="AC127">
        <f>SUMIFS(data!$C:$C,data!$A:$A,"="&amp;xyz!$A127,data!$B:$B,"="&amp;xyz!AC$2)</f>
        <v>0</v>
      </c>
      <c r="AD127">
        <f>SUMIFS(data!$C:$C,data!$A:$A,"="&amp;xyz!$A127,data!$B:$B,"="&amp;xyz!AD$2)</f>
        <v>2</v>
      </c>
      <c r="AE127">
        <f>SUMIFS(data!$C:$C,data!$A:$A,"="&amp;xyz!$A127,data!$B:$B,"="&amp;xyz!AE$2)</f>
        <v>2</v>
      </c>
      <c r="AF127">
        <f>SUMIFS(data!$C:$C,data!$A:$A,"="&amp;xyz!$A127,data!$B:$B,"="&amp;xyz!AF$2)</f>
        <v>1</v>
      </c>
      <c r="AG127">
        <f>SUMIFS(data!$C:$C,data!$A:$A,"="&amp;xyz!$A127,data!$B:$B,"="&amp;xyz!AG$2)</f>
        <v>0</v>
      </c>
      <c r="AH127">
        <f>SUMIFS(data!$C:$C,data!$A:$A,"="&amp;xyz!$A127,data!$B:$B,"="&amp;xyz!AH$2)</f>
        <v>1</v>
      </c>
      <c r="AI127">
        <f>SUMIFS(data!$C:$C,data!$A:$A,"="&amp;xyz!$A127,data!$B:$B,"="&amp;xyz!AI$2)</f>
        <v>2</v>
      </c>
      <c r="AJ127">
        <f>SUMIFS(data!$C:$C,data!$A:$A,"="&amp;xyz!$A127,data!$B:$B,"="&amp;xyz!AJ$2)</f>
        <v>0</v>
      </c>
      <c r="AK127">
        <f>SUMIFS(data!$C:$C,data!$A:$A,"="&amp;xyz!$A127,data!$B:$B,"="&amp;xyz!AK$2)</f>
        <v>3</v>
      </c>
      <c r="AL127">
        <f>SUMIFS(data!$C:$C,data!$A:$A,"="&amp;xyz!$A127,data!$B:$B,"="&amp;xyz!AL$2)</f>
        <v>5</v>
      </c>
      <c r="AM127">
        <f>SUMIFS(data!$C:$C,data!$A:$A,"="&amp;xyz!$A127,data!$B:$B,"="&amp;xyz!AM$2)</f>
        <v>2</v>
      </c>
      <c r="AN127">
        <f>SUMIFS(data!$C:$C,data!$A:$A,"="&amp;xyz!$A127,data!$B:$B,"="&amp;xyz!AN$2)</f>
        <v>0</v>
      </c>
      <c r="AO127">
        <f>SUMIFS(data!$C:$C,data!$A:$A,"="&amp;xyz!$A127,data!$B:$B,"="&amp;xyz!AO$2)</f>
        <v>1</v>
      </c>
      <c r="AP127">
        <f>SUMIFS(data!$C:$C,data!$A:$A,"="&amp;xyz!$A127,data!$B:$B,"="&amp;xyz!AP$2)</f>
        <v>3</v>
      </c>
      <c r="AQ127" s="6">
        <f t="shared" si="4"/>
        <v>1.0045294162839107</v>
      </c>
    </row>
    <row r="128" spans="1:43" x14ac:dyDescent="0.3">
      <c r="A128" t="s">
        <v>126</v>
      </c>
      <c r="B128" s="6">
        <f t="shared" si="3"/>
        <v>1.7</v>
      </c>
      <c r="C128">
        <f>SUMIFS(data!$C:$C,data!$A:$A,"="&amp;xyz!$A128,data!$B:$B,"="&amp;xyz!C$2)</f>
        <v>0</v>
      </c>
      <c r="D128">
        <f>SUMIFS(data!$C:$C,data!$A:$A,"="&amp;xyz!$A128,data!$B:$B,"="&amp;xyz!D$2)</f>
        <v>0</v>
      </c>
      <c r="E128">
        <f>SUMIFS(data!$C:$C,data!$A:$A,"="&amp;xyz!$A128,data!$B:$B,"="&amp;xyz!E$2)</f>
        <v>0</v>
      </c>
      <c r="F128">
        <f>SUMIFS(data!$C:$C,data!$A:$A,"="&amp;xyz!$A128,data!$B:$B,"="&amp;xyz!F$2)</f>
        <v>0</v>
      </c>
      <c r="G128">
        <f>SUMIFS(data!$C:$C,data!$A:$A,"="&amp;xyz!$A128,data!$B:$B,"="&amp;xyz!G$2)</f>
        <v>0</v>
      </c>
      <c r="H128">
        <f>SUMIFS(data!$C:$C,data!$A:$A,"="&amp;xyz!$A128,data!$B:$B,"="&amp;xyz!H$2)</f>
        <v>0</v>
      </c>
      <c r="I128">
        <f>SUMIFS(data!$C:$C,data!$A:$A,"="&amp;xyz!$A128,data!$B:$B,"="&amp;xyz!I$2)</f>
        <v>0</v>
      </c>
      <c r="J128">
        <f>SUMIFS(data!$C:$C,data!$A:$A,"="&amp;xyz!$A128,data!$B:$B,"="&amp;xyz!J$2)</f>
        <v>0</v>
      </c>
      <c r="K128">
        <f>SUMIFS(data!$C:$C,data!$A:$A,"="&amp;xyz!$A128,data!$B:$B,"="&amp;xyz!K$2)</f>
        <v>0</v>
      </c>
      <c r="L128">
        <f>SUMIFS(data!$C:$C,data!$A:$A,"="&amp;xyz!$A128,data!$B:$B,"="&amp;xyz!L$2)</f>
        <v>0</v>
      </c>
      <c r="M128">
        <f>SUMIFS(data!$C:$C,data!$A:$A,"="&amp;xyz!$A128,data!$B:$B,"="&amp;xyz!M$2)</f>
        <v>3</v>
      </c>
      <c r="N128">
        <f>SUMIFS(data!$C:$C,data!$A:$A,"="&amp;xyz!$A128,data!$B:$B,"="&amp;xyz!N$2)</f>
        <v>0</v>
      </c>
      <c r="O128">
        <f>SUMIFS(data!$C:$C,data!$A:$A,"="&amp;xyz!$A128,data!$B:$B,"="&amp;xyz!O$2)</f>
        <v>0</v>
      </c>
      <c r="P128">
        <f>SUMIFS(data!$C:$C,data!$A:$A,"="&amp;xyz!$A128,data!$B:$B,"="&amp;xyz!P$2)</f>
        <v>0</v>
      </c>
      <c r="Q128">
        <f>SUMIFS(data!$C:$C,data!$A:$A,"="&amp;xyz!$A128,data!$B:$B,"="&amp;xyz!Q$2)</f>
        <v>0</v>
      </c>
      <c r="R128">
        <f>SUMIFS(data!$C:$C,data!$A:$A,"="&amp;xyz!$A128,data!$B:$B,"="&amp;xyz!R$2)</f>
        <v>0</v>
      </c>
      <c r="S128">
        <f>SUMIFS(data!$C:$C,data!$A:$A,"="&amp;xyz!$A128,data!$B:$B,"="&amp;xyz!S$2)</f>
        <v>0</v>
      </c>
      <c r="T128">
        <f>SUMIFS(data!$C:$C,data!$A:$A,"="&amp;xyz!$A128,data!$B:$B,"="&amp;xyz!T$2)</f>
        <v>0</v>
      </c>
      <c r="U128">
        <f>SUMIFS(data!$C:$C,data!$A:$A,"="&amp;xyz!$A128,data!$B:$B,"="&amp;xyz!U$2)</f>
        <v>0</v>
      </c>
      <c r="V128">
        <f>SUMIFS(data!$C:$C,data!$A:$A,"="&amp;xyz!$A128,data!$B:$B,"="&amp;xyz!V$2)</f>
        <v>0</v>
      </c>
      <c r="W128">
        <f>SUMIFS(data!$C:$C,data!$A:$A,"="&amp;xyz!$A128,data!$B:$B,"="&amp;xyz!W$2)</f>
        <v>0</v>
      </c>
      <c r="X128">
        <f>SUMIFS(data!$C:$C,data!$A:$A,"="&amp;xyz!$A128,data!$B:$B,"="&amp;xyz!X$2)</f>
        <v>0</v>
      </c>
      <c r="Y128">
        <f>SUMIFS(data!$C:$C,data!$A:$A,"="&amp;xyz!$A128,data!$B:$B,"="&amp;xyz!Y$2)</f>
        <v>0</v>
      </c>
      <c r="Z128">
        <f>SUMIFS(data!$C:$C,data!$A:$A,"="&amp;xyz!$A128,data!$B:$B,"="&amp;xyz!Z$2)</f>
        <v>0</v>
      </c>
      <c r="AA128">
        <f>SUMIFS(data!$C:$C,data!$A:$A,"="&amp;xyz!$A128,data!$B:$B,"="&amp;xyz!AA$2)</f>
        <v>0</v>
      </c>
      <c r="AB128">
        <f>SUMIFS(data!$C:$C,data!$A:$A,"="&amp;xyz!$A128,data!$B:$B,"="&amp;xyz!AB$2)</f>
        <v>14</v>
      </c>
      <c r="AC128">
        <f>SUMIFS(data!$C:$C,data!$A:$A,"="&amp;xyz!$A128,data!$B:$B,"="&amp;xyz!AC$2)</f>
        <v>0</v>
      </c>
      <c r="AD128">
        <f>SUMIFS(data!$C:$C,data!$A:$A,"="&amp;xyz!$A128,data!$B:$B,"="&amp;xyz!AD$2)</f>
        <v>0</v>
      </c>
      <c r="AE128">
        <f>SUMIFS(data!$C:$C,data!$A:$A,"="&amp;xyz!$A128,data!$B:$B,"="&amp;xyz!AE$2)</f>
        <v>0</v>
      </c>
      <c r="AF128">
        <f>SUMIFS(data!$C:$C,data!$A:$A,"="&amp;xyz!$A128,data!$B:$B,"="&amp;xyz!AF$2)</f>
        <v>0</v>
      </c>
      <c r="AG128">
        <f>SUMIFS(data!$C:$C,data!$A:$A,"="&amp;xyz!$A128,data!$B:$B,"="&amp;xyz!AG$2)</f>
        <v>0</v>
      </c>
      <c r="AH128">
        <f>SUMIFS(data!$C:$C,data!$A:$A,"="&amp;xyz!$A128,data!$B:$B,"="&amp;xyz!AH$2)</f>
        <v>10</v>
      </c>
      <c r="AI128">
        <f>SUMIFS(data!$C:$C,data!$A:$A,"="&amp;xyz!$A128,data!$B:$B,"="&amp;xyz!AI$2)</f>
        <v>10</v>
      </c>
      <c r="AJ128">
        <f>SUMIFS(data!$C:$C,data!$A:$A,"="&amp;xyz!$A128,data!$B:$B,"="&amp;xyz!AJ$2)</f>
        <v>0</v>
      </c>
      <c r="AK128">
        <f>SUMIFS(data!$C:$C,data!$A:$A,"="&amp;xyz!$A128,data!$B:$B,"="&amp;xyz!AK$2)</f>
        <v>10</v>
      </c>
      <c r="AL128">
        <f>SUMIFS(data!$C:$C,data!$A:$A,"="&amp;xyz!$A128,data!$B:$B,"="&amp;xyz!AL$2)</f>
        <v>0</v>
      </c>
      <c r="AM128">
        <f>SUMIFS(data!$C:$C,data!$A:$A,"="&amp;xyz!$A128,data!$B:$B,"="&amp;xyz!AM$2)</f>
        <v>0</v>
      </c>
      <c r="AN128">
        <f>SUMIFS(data!$C:$C,data!$A:$A,"="&amp;xyz!$A128,data!$B:$B,"="&amp;xyz!AN$2)</f>
        <v>0</v>
      </c>
      <c r="AO128">
        <f>SUMIFS(data!$C:$C,data!$A:$A,"="&amp;xyz!$A128,data!$B:$B,"="&amp;xyz!AO$2)</f>
        <v>10</v>
      </c>
      <c r="AP128">
        <f>SUMIFS(data!$C:$C,data!$A:$A,"="&amp;xyz!$A128,data!$B:$B,"="&amp;xyz!AP$2)</f>
        <v>0</v>
      </c>
      <c r="AQ128" s="6">
        <f t="shared" si="4"/>
        <v>2.5717290752536739</v>
      </c>
    </row>
    <row r="129" spans="1:43" x14ac:dyDescent="0.3">
      <c r="A129" t="s">
        <v>151</v>
      </c>
      <c r="B129" s="6">
        <f t="shared" si="3"/>
        <v>0.82941176470588229</v>
      </c>
      <c r="C129">
        <f>SUMIFS(data!$C:$C,data!$A:$A,"="&amp;xyz!$A129,data!$B:$B,"="&amp;xyz!C$2)</f>
        <v>2</v>
      </c>
      <c r="D129">
        <f>SUMIFS(data!$C:$C,data!$A:$A,"="&amp;xyz!$A129,data!$B:$B,"="&amp;xyz!D$2)</f>
        <v>0</v>
      </c>
      <c r="E129">
        <f>SUMIFS(data!$C:$C,data!$A:$A,"="&amp;xyz!$A129,data!$B:$B,"="&amp;xyz!E$2)</f>
        <v>1</v>
      </c>
      <c r="F129">
        <f>SUMIFS(data!$C:$C,data!$A:$A,"="&amp;xyz!$A129,data!$B:$B,"="&amp;xyz!F$2)</f>
        <v>0</v>
      </c>
      <c r="G129">
        <f>SUMIFS(data!$C:$C,data!$A:$A,"="&amp;xyz!$A129,data!$B:$B,"="&amp;xyz!G$2)</f>
        <v>0</v>
      </c>
      <c r="H129">
        <f>SUMIFS(data!$C:$C,data!$A:$A,"="&amp;xyz!$A129,data!$B:$B,"="&amp;xyz!H$2)</f>
        <v>2</v>
      </c>
      <c r="I129">
        <f>SUMIFS(data!$C:$C,data!$A:$A,"="&amp;xyz!$A129,data!$B:$B,"="&amp;xyz!I$2)</f>
        <v>2</v>
      </c>
      <c r="J129">
        <f>SUMIFS(data!$C:$C,data!$A:$A,"="&amp;xyz!$A129,data!$B:$B,"="&amp;xyz!J$2)</f>
        <v>1</v>
      </c>
      <c r="K129">
        <f>SUMIFS(data!$C:$C,data!$A:$A,"="&amp;xyz!$A129,data!$B:$B,"="&amp;xyz!K$2)</f>
        <v>0</v>
      </c>
      <c r="L129">
        <f>SUMIFS(data!$C:$C,data!$A:$A,"="&amp;xyz!$A129,data!$B:$B,"="&amp;xyz!L$2)</f>
        <v>0</v>
      </c>
      <c r="M129">
        <f>SUMIFS(data!$C:$C,data!$A:$A,"="&amp;xyz!$A129,data!$B:$B,"="&amp;xyz!M$2)</f>
        <v>1</v>
      </c>
      <c r="N129">
        <f>SUMIFS(data!$C:$C,data!$A:$A,"="&amp;xyz!$A129,data!$B:$B,"="&amp;xyz!N$2)</f>
        <v>2</v>
      </c>
      <c r="O129">
        <f>SUMIFS(data!$C:$C,data!$A:$A,"="&amp;xyz!$A129,data!$B:$B,"="&amp;xyz!O$2)</f>
        <v>3</v>
      </c>
      <c r="P129">
        <f>SUMIFS(data!$C:$C,data!$A:$A,"="&amp;xyz!$A129,data!$B:$B,"="&amp;xyz!P$2)</f>
        <v>1</v>
      </c>
      <c r="Q129">
        <f>SUMIFS(data!$C:$C,data!$A:$A,"="&amp;xyz!$A129,data!$B:$B,"="&amp;xyz!Q$2)</f>
        <v>1</v>
      </c>
      <c r="R129">
        <f>SUMIFS(data!$C:$C,data!$A:$A,"="&amp;xyz!$A129,data!$B:$B,"="&amp;xyz!R$2)</f>
        <v>0</v>
      </c>
      <c r="S129">
        <f>SUMIFS(data!$C:$C,data!$A:$A,"="&amp;xyz!$A129,data!$B:$B,"="&amp;xyz!S$2)</f>
        <v>1</v>
      </c>
      <c r="T129">
        <f>SUMIFS(data!$C:$C,data!$A:$A,"="&amp;xyz!$A129,data!$B:$B,"="&amp;xyz!T$2)</f>
        <v>1</v>
      </c>
      <c r="U129">
        <f>SUMIFS(data!$C:$C,data!$A:$A,"="&amp;xyz!$A129,data!$B:$B,"="&amp;xyz!U$2)</f>
        <v>1</v>
      </c>
      <c r="V129">
        <f>SUMIFS(data!$C:$C,data!$A:$A,"="&amp;xyz!$A129,data!$B:$B,"="&amp;xyz!V$2)</f>
        <v>5</v>
      </c>
      <c r="W129">
        <f>SUMIFS(data!$C:$C,data!$A:$A,"="&amp;xyz!$A129,data!$B:$B,"="&amp;xyz!W$2)</f>
        <v>1</v>
      </c>
      <c r="X129">
        <f>SUMIFS(data!$C:$C,data!$A:$A,"="&amp;xyz!$A129,data!$B:$B,"="&amp;xyz!X$2)</f>
        <v>1</v>
      </c>
      <c r="Y129">
        <f>SUMIFS(data!$C:$C,data!$A:$A,"="&amp;xyz!$A129,data!$B:$B,"="&amp;xyz!Y$2)</f>
        <v>0</v>
      </c>
      <c r="Z129">
        <f>SUMIFS(data!$C:$C,data!$A:$A,"="&amp;xyz!$A129,data!$B:$B,"="&amp;xyz!Z$2)</f>
        <v>2</v>
      </c>
      <c r="AA129">
        <f>SUMIFS(data!$C:$C,data!$A:$A,"="&amp;xyz!$A129,data!$B:$B,"="&amp;xyz!AA$2)</f>
        <v>0</v>
      </c>
      <c r="AB129">
        <f>SUMIFS(data!$C:$C,data!$A:$A,"="&amp;xyz!$A129,data!$B:$B,"="&amp;xyz!AB$2)</f>
        <v>0</v>
      </c>
      <c r="AC129">
        <f>SUMIFS(data!$C:$C,data!$A:$A,"="&amp;xyz!$A129,data!$B:$B,"="&amp;xyz!AC$2)</f>
        <v>2</v>
      </c>
      <c r="AD129">
        <f>SUMIFS(data!$C:$C,data!$A:$A,"="&amp;xyz!$A129,data!$B:$B,"="&amp;xyz!AD$2)</f>
        <v>1</v>
      </c>
      <c r="AE129">
        <f>SUMIFS(data!$C:$C,data!$A:$A,"="&amp;xyz!$A129,data!$B:$B,"="&amp;xyz!AE$2)</f>
        <v>0</v>
      </c>
      <c r="AF129">
        <f>SUMIFS(data!$C:$C,data!$A:$A,"="&amp;xyz!$A129,data!$B:$B,"="&amp;xyz!AF$2)</f>
        <v>7</v>
      </c>
      <c r="AG129">
        <f>SUMIFS(data!$C:$C,data!$A:$A,"="&amp;xyz!$A129,data!$B:$B,"="&amp;xyz!AG$2)</f>
        <v>3</v>
      </c>
      <c r="AH129">
        <f>SUMIFS(data!$C:$C,data!$A:$A,"="&amp;xyz!$A129,data!$B:$B,"="&amp;xyz!AH$2)</f>
        <v>0</v>
      </c>
      <c r="AI129">
        <f>SUMIFS(data!$C:$C,data!$A:$A,"="&amp;xyz!$A129,data!$B:$B,"="&amp;xyz!AI$2)</f>
        <v>2</v>
      </c>
      <c r="AJ129">
        <f>SUMIFS(data!$C:$C,data!$A:$A,"="&amp;xyz!$A129,data!$B:$B,"="&amp;xyz!AJ$2)</f>
        <v>3</v>
      </c>
      <c r="AK129">
        <f>SUMIFS(data!$C:$C,data!$A:$A,"="&amp;xyz!$A129,data!$B:$B,"="&amp;xyz!AK$2)</f>
        <v>2</v>
      </c>
      <c r="AL129">
        <f>SUMIFS(data!$C:$C,data!$A:$A,"="&amp;xyz!$A129,data!$B:$B,"="&amp;xyz!AL$2)</f>
        <v>0</v>
      </c>
      <c r="AM129">
        <f>SUMIFS(data!$C:$C,data!$A:$A,"="&amp;xyz!$A129,data!$B:$B,"="&amp;xyz!AM$2)</f>
        <v>2</v>
      </c>
      <c r="AN129">
        <f>SUMIFS(data!$C:$C,data!$A:$A,"="&amp;xyz!$A129,data!$B:$B,"="&amp;xyz!AN$2)</f>
        <v>1</v>
      </c>
      <c r="AO129">
        <f>SUMIFS(data!$C:$C,data!$A:$A,"="&amp;xyz!$A129,data!$B:$B,"="&amp;xyz!AO$2)</f>
        <v>0</v>
      </c>
      <c r="AP129">
        <f>SUMIFS(data!$C:$C,data!$A:$A,"="&amp;xyz!$A129,data!$B:$B,"="&amp;xyz!AP$2)</f>
        <v>0</v>
      </c>
      <c r="AQ129" s="6">
        <f t="shared" si="4"/>
        <v>1.1508865588113688</v>
      </c>
    </row>
    <row r="130" spans="1:43" x14ac:dyDescent="0.3">
      <c r="A130" t="s">
        <v>76</v>
      </c>
      <c r="B130" s="6">
        <f t="shared" si="3"/>
        <v>0.99</v>
      </c>
      <c r="C130">
        <f>SUMIFS(data!$C:$C,data!$A:$A,"="&amp;xyz!$A130,data!$B:$B,"="&amp;xyz!C$2)</f>
        <v>1</v>
      </c>
      <c r="D130">
        <f>SUMIFS(data!$C:$C,data!$A:$A,"="&amp;xyz!$A130,data!$B:$B,"="&amp;xyz!D$2)</f>
        <v>0</v>
      </c>
      <c r="E130">
        <f>SUMIFS(data!$C:$C,data!$A:$A,"="&amp;xyz!$A130,data!$B:$B,"="&amp;xyz!E$2)</f>
        <v>0</v>
      </c>
      <c r="F130">
        <f>SUMIFS(data!$C:$C,data!$A:$A,"="&amp;xyz!$A130,data!$B:$B,"="&amp;xyz!F$2)</f>
        <v>0</v>
      </c>
      <c r="G130">
        <f>SUMIFS(data!$C:$C,data!$A:$A,"="&amp;xyz!$A130,data!$B:$B,"="&amp;xyz!G$2)</f>
        <v>0</v>
      </c>
      <c r="H130">
        <f>SUMIFS(data!$C:$C,data!$A:$A,"="&amp;xyz!$A130,data!$B:$B,"="&amp;xyz!H$2)</f>
        <v>2</v>
      </c>
      <c r="I130">
        <f>SUMIFS(data!$C:$C,data!$A:$A,"="&amp;xyz!$A130,data!$B:$B,"="&amp;xyz!I$2)</f>
        <v>0</v>
      </c>
      <c r="J130">
        <f>SUMIFS(data!$C:$C,data!$A:$A,"="&amp;xyz!$A130,data!$B:$B,"="&amp;xyz!J$2)</f>
        <v>5</v>
      </c>
      <c r="K130">
        <f>SUMIFS(data!$C:$C,data!$A:$A,"="&amp;xyz!$A130,data!$B:$B,"="&amp;xyz!K$2)</f>
        <v>0</v>
      </c>
      <c r="L130">
        <f>SUMIFS(data!$C:$C,data!$A:$A,"="&amp;xyz!$A130,data!$B:$B,"="&amp;xyz!L$2)</f>
        <v>0</v>
      </c>
      <c r="M130">
        <f>SUMIFS(data!$C:$C,data!$A:$A,"="&amp;xyz!$A130,data!$B:$B,"="&amp;xyz!M$2)</f>
        <v>1</v>
      </c>
      <c r="N130">
        <f>SUMIFS(data!$C:$C,data!$A:$A,"="&amp;xyz!$A130,data!$B:$B,"="&amp;xyz!N$2)</f>
        <v>6</v>
      </c>
      <c r="O130">
        <f>SUMIFS(data!$C:$C,data!$A:$A,"="&amp;xyz!$A130,data!$B:$B,"="&amp;xyz!O$2)</f>
        <v>4</v>
      </c>
      <c r="P130">
        <f>SUMIFS(data!$C:$C,data!$A:$A,"="&amp;xyz!$A130,data!$B:$B,"="&amp;xyz!P$2)</f>
        <v>2</v>
      </c>
      <c r="Q130">
        <f>SUMIFS(data!$C:$C,data!$A:$A,"="&amp;xyz!$A130,data!$B:$B,"="&amp;xyz!Q$2)</f>
        <v>0</v>
      </c>
      <c r="R130">
        <f>SUMIFS(data!$C:$C,data!$A:$A,"="&amp;xyz!$A130,data!$B:$B,"="&amp;xyz!R$2)</f>
        <v>2</v>
      </c>
      <c r="S130">
        <f>SUMIFS(data!$C:$C,data!$A:$A,"="&amp;xyz!$A130,data!$B:$B,"="&amp;xyz!S$2)</f>
        <v>1</v>
      </c>
      <c r="T130">
        <f>SUMIFS(data!$C:$C,data!$A:$A,"="&amp;xyz!$A130,data!$B:$B,"="&amp;xyz!T$2)</f>
        <v>1</v>
      </c>
      <c r="U130">
        <f>SUMIFS(data!$C:$C,data!$A:$A,"="&amp;xyz!$A130,data!$B:$B,"="&amp;xyz!U$2)</f>
        <v>2</v>
      </c>
      <c r="V130">
        <f>SUMIFS(data!$C:$C,data!$A:$A,"="&amp;xyz!$A130,data!$B:$B,"="&amp;xyz!V$2)</f>
        <v>0</v>
      </c>
      <c r="W130">
        <f>SUMIFS(data!$C:$C,data!$A:$A,"="&amp;xyz!$A130,data!$B:$B,"="&amp;xyz!W$2)</f>
        <v>0</v>
      </c>
      <c r="X130">
        <f>SUMIFS(data!$C:$C,data!$A:$A,"="&amp;xyz!$A130,data!$B:$B,"="&amp;xyz!X$2)</f>
        <v>0</v>
      </c>
      <c r="Y130">
        <f>SUMIFS(data!$C:$C,data!$A:$A,"="&amp;xyz!$A130,data!$B:$B,"="&amp;xyz!Y$2)</f>
        <v>3</v>
      </c>
      <c r="Z130">
        <f>SUMIFS(data!$C:$C,data!$A:$A,"="&amp;xyz!$A130,data!$B:$B,"="&amp;xyz!Z$2)</f>
        <v>2</v>
      </c>
      <c r="AA130">
        <f>SUMIFS(data!$C:$C,data!$A:$A,"="&amp;xyz!$A130,data!$B:$B,"="&amp;xyz!AA$2)</f>
        <v>5</v>
      </c>
      <c r="AB130">
        <f>SUMIFS(data!$C:$C,data!$A:$A,"="&amp;xyz!$A130,data!$B:$B,"="&amp;xyz!AB$2)</f>
        <v>0</v>
      </c>
      <c r="AC130">
        <f>SUMIFS(data!$C:$C,data!$A:$A,"="&amp;xyz!$A130,data!$B:$B,"="&amp;xyz!AC$2)</f>
        <v>3</v>
      </c>
      <c r="AD130">
        <f>SUMIFS(data!$C:$C,data!$A:$A,"="&amp;xyz!$A130,data!$B:$B,"="&amp;xyz!AD$2)</f>
        <v>1</v>
      </c>
      <c r="AE130">
        <f>SUMIFS(data!$C:$C,data!$A:$A,"="&amp;xyz!$A130,data!$B:$B,"="&amp;xyz!AE$2)</f>
        <v>0</v>
      </c>
      <c r="AF130">
        <f>SUMIFS(data!$C:$C,data!$A:$A,"="&amp;xyz!$A130,data!$B:$B,"="&amp;xyz!AF$2)</f>
        <v>0</v>
      </c>
      <c r="AG130">
        <f>SUMIFS(data!$C:$C,data!$A:$A,"="&amp;xyz!$A130,data!$B:$B,"="&amp;xyz!AG$2)</f>
        <v>0</v>
      </c>
      <c r="AH130">
        <f>SUMIFS(data!$C:$C,data!$A:$A,"="&amp;xyz!$A130,data!$B:$B,"="&amp;xyz!AH$2)</f>
        <v>0</v>
      </c>
      <c r="AI130">
        <f>SUMIFS(data!$C:$C,data!$A:$A,"="&amp;xyz!$A130,data!$B:$B,"="&amp;xyz!AI$2)</f>
        <v>0</v>
      </c>
      <c r="AJ130">
        <f>SUMIFS(data!$C:$C,data!$A:$A,"="&amp;xyz!$A130,data!$B:$B,"="&amp;xyz!AJ$2)</f>
        <v>1</v>
      </c>
      <c r="AK130">
        <f>SUMIFS(data!$C:$C,data!$A:$A,"="&amp;xyz!$A130,data!$B:$B,"="&amp;xyz!AK$2)</f>
        <v>1</v>
      </c>
      <c r="AL130">
        <f>SUMIFS(data!$C:$C,data!$A:$A,"="&amp;xyz!$A130,data!$B:$B,"="&amp;xyz!AL$2)</f>
        <v>0</v>
      </c>
      <c r="AM130">
        <f>SUMIFS(data!$C:$C,data!$A:$A,"="&amp;xyz!$A130,data!$B:$B,"="&amp;xyz!AM$2)</f>
        <v>2</v>
      </c>
      <c r="AN130">
        <f>SUMIFS(data!$C:$C,data!$A:$A,"="&amp;xyz!$A130,data!$B:$B,"="&amp;xyz!AN$2)</f>
        <v>1</v>
      </c>
      <c r="AO130">
        <f>SUMIFS(data!$C:$C,data!$A:$A,"="&amp;xyz!$A130,data!$B:$B,"="&amp;xyz!AO$2)</f>
        <v>3</v>
      </c>
      <c r="AP130">
        <f>SUMIFS(data!$C:$C,data!$A:$A,"="&amp;xyz!$A130,data!$B:$B,"="&amp;xyz!AP$2)</f>
        <v>1</v>
      </c>
      <c r="AQ130" s="6">
        <f t="shared" si="4"/>
        <v>1.2778186541213556</v>
      </c>
    </row>
    <row r="131" spans="1:43" x14ac:dyDescent="0.3">
      <c r="A131" t="s">
        <v>46</v>
      </c>
      <c r="B131" s="6">
        <f t="shared" si="3"/>
        <v>0.93627450980392157</v>
      </c>
      <c r="C131">
        <f>SUMIFS(data!$C:$C,data!$A:$A,"="&amp;xyz!$A131,data!$B:$B,"="&amp;xyz!C$2)</f>
        <v>0</v>
      </c>
      <c r="D131">
        <f>SUMIFS(data!$C:$C,data!$A:$A,"="&amp;xyz!$A131,data!$B:$B,"="&amp;xyz!D$2)</f>
        <v>0</v>
      </c>
      <c r="E131">
        <f>SUMIFS(data!$C:$C,data!$A:$A,"="&amp;xyz!$A131,data!$B:$B,"="&amp;xyz!E$2)</f>
        <v>1</v>
      </c>
      <c r="F131">
        <f>SUMIFS(data!$C:$C,data!$A:$A,"="&amp;xyz!$A131,data!$B:$B,"="&amp;xyz!F$2)</f>
        <v>0</v>
      </c>
      <c r="G131">
        <f>SUMIFS(data!$C:$C,data!$A:$A,"="&amp;xyz!$A131,data!$B:$B,"="&amp;xyz!G$2)</f>
        <v>2</v>
      </c>
      <c r="H131">
        <f>SUMIFS(data!$C:$C,data!$A:$A,"="&amp;xyz!$A131,data!$B:$B,"="&amp;xyz!H$2)</f>
        <v>1</v>
      </c>
      <c r="I131">
        <f>SUMIFS(data!$C:$C,data!$A:$A,"="&amp;xyz!$A131,data!$B:$B,"="&amp;xyz!I$2)</f>
        <v>2</v>
      </c>
      <c r="J131">
        <f>SUMIFS(data!$C:$C,data!$A:$A,"="&amp;xyz!$A131,data!$B:$B,"="&amp;xyz!J$2)</f>
        <v>0</v>
      </c>
      <c r="K131">
        <f>SUMIFS(data!$C:$C,data!$A:$A,"="&amp;xyz!$A131,data!$B:$B,"="&amp;xyz!K$2)</f>
        <v>0</v>
      </c>
      <c r="L131">
        <f>SUMIFS(data!$C:$C,data!$A:$A,"="&amp;xyz!$A131,data!$B:$B,"="&amp;xyz!L$2)</f>
        <v>2</v>
      </c>
      <c r="M131">
        <f>SUMIFS(data!$C:$C,data!$A:$A,"="&amp;xyz!$A131,data!$B:$B,"="&amp;xyz!M$2)</f>
        <v>0</v>
      </c>
      <c r="N131">
        <f>SUMIFS(data!$C:$C,data!$A:$A,"="&amp;xyz!$A131,data!$B:$B,"="&amp;xyz!N$2)</f>
        <v>0</v>
      </c>
      <c r="O131">
        <f>SUMIFS(data!$C:$C,data!$A:$A,"="&amp;xyz!$A131,data!$B:$B,"="&amp;xyz!O$2)</f>
        <v>0</v>
      </c>
      <c r="P131">
        <f>SUMIFS(data!$C:$C,data!$A:$A,"="&amp;xyz!$A131,data!$B:$B,"="&amp;xyz!P$2)</f>
        <v>3</v>
      </c>
      <c r="Q131">
        <f>SUMIFS(data!$C:$C,data!$A:$A,"="&amp;xyz!$A131,data!$B:$B,"="&amp;xyz!Q$2)</f>
        <v>1</v>
      </c>
      <c r="R131">
        <f>SUMIFS(data!$C:$C,data!$A:$A,"="&amp;xyz!$A131,data!$B:$B,"="&amp;xyz!R$2)</f>
        <v>0</v>
      </c>
      <c r="S131">
        <f>SUMIFS(data!$C:$C,data!$A:$A,"="&amp;xyz!$A131,data!$B:$B,"="&amp;xyz!S$2)</f>
        <v>1</v>
      </c>
      <c r="T131">
        <f>SUMIFS(data!$C:$C,data!$A:$A,"="&amp;xyz!$A131,data!$B:$B,"="&amp;xyz!T$2)</f>
        <v>3</v>
      </c>
      <c r="U131">
        <f>SUMIFS(data!$C:$C,data!$A:$A,"="&amp;xyz!$A131,data!$B:$B,"="&amp;xyz!U$2)</f>
        <v>3</v>
      </c>
      <c r="V131">
        <f>SUMIFS(data!$C:$C,data!$A:$A,"="&amp;xyz!$A131,data!$B:$B,"="&amp;xyz!V$2)</f>
        <v>1</v>
      </c>
      <c r="W131">
        <f>SUMIFS(data!$C:$C,data!$A:$A,"="&amp;xyz!$A131,data!$B:$B,"="&amp;xyz!W$2)</f>
        <v>0</v>
      </c>
      <c r="X131">
        <f>SUMIFS(data!$C:$C,data!$A:$A,"="&amp;xyz!$A131,data!$B:$B,"="&amp;xyz!X$2)</f>
        <v>0</v>
      </c>
      <c r="Y131">
        <f>SUMIFS(data!$C:$C,data!$A:$A,"="&amp;xyz!$A131,data!$B:$B,"="&amp;xyz!Y$2)</f>
        <v>2</v>
      </c>
      <c r="Z131">
        <f>SUMIFS(data!$C:$C,data!$A:$A,"="&amp;xyz!$A131,data!$B:$B,"="&amp;xyz!Z$2)</f>
        <v>0</v>
      </c>
      <c r="AA131">
        <f>SUMIFS(data!$C:$C,data!$A:$A,"="&amp;xyz!$A131,data!$B:$B,"="&amp;xyz!AA$2)</f>
        <v>2</v>
      </c>
      <c r="AB131">
        <f>SUMIFS(data!$C:$C,data!$A:$A,"="&amp;xyz!$A131,data!$B:$B,"="&amp;xyz!AB$2)</f>
        <v>0</v>
      </c>
      <c r="AC131">
        <f>SUMIFS(data!$C:$C,data!$A:$A,"="&amp;xyz!$A131,data!$B:$B,"="&amp;xyz!AC$2)</f>
        <v>0</v>
      </c>
      <c r="AD131">
        <f>SUMIFS(data!$C:$C,data!$A:$A,"="&amp;xyz!$A131,data!$B:$B,"="&amp;xyz!AD$2)</f>
        <v>0</v>
      </c>
      <c r="AE131">
        <f>SUMIFS(data!$C:$C,data!$A:$A,"="&amp;xyz!$A131,data!$B:$B,"="&amp;xyz!AE$2)</f>
        <v>1</v>
      </c>
      <c r="AF131">
        <f>SUMIFS(data!$C:$C,data!$A:$A,"="&amp;xyz!$A131,data!$B:$B,"="&amp;xyz!AF$2)</f>
        <v>3</v>
      </c>
      <c r="AG131">
        <f>SUMIFS(data!$C:$C,data!$A:$A,"="&amp;xyz!$A131,data!$B:$B,"="&amp;xyz!AG$2)</f>
        <v>3</v>
      </c>
      <c r="AH131">
        <f>SUMIFS(data!$C:$C,data!$A:$A,"="&amp;xyz!$A131,data!$B:$B,"="&amp;xyz!AH$2)</f>
        <v>1</v>
      </c>
      <c r="AI131">
        <f>SUMIFS(data!$C:$C,data!$A:$A,"="&amp;xyz!$A131,data!$B:$B,"="&amp;xyz!AI$2)</f>
        <v>5</v>
      </c>
      <c r="AJ131">
        <f>SUMIFS(data!$C:$C,data!$A:$A,"="&amp;xyz!$A131,data!$B:$B,"="&amp;xyz!AJ$2)</f>
        <v>3</v>
      </c>
      <c r="AK131">
        <f>SUMIFS(data!$C:$C,data!$A:$A,"="&amp;xyz!$A131,data!$B:$B,"="&amp;xyz!AK$2)</f>
        <v>0</v>
      </c>
      <c r="AL131">
        <f>SUMIFS(data!$C:$C,data!$A:$A,"="&amp;xyz!$A131,data!$B:$B,"="&amp;xyz!AL$2)</f>
        <v>6</v>
      </c>
      <c r="AM131">
        <f>SUMIFS(data!$C:$C,data!$A:$A,"="&amp;xyz!$A131,data!$B:$B,"="&amp;xyz!AM$2)</f>
        <v>2</v>
      </c>
      <c r="AN131">
        <f>SUMIFS(data!$C:$C,data!$A:$A,"="&amp;xyz!$A131,data!$B:$B,"="&amp;xyz!AN$2)</f>
        <v>2</v>
      </c>
      <c r="AO131">
        <f>SUMIFS(data!$C:$C,data!$A:$A,"="&amp;xyz!$A131,data!$B:$B,"="&amp;xyz!AO$2)</f>
        <v>0</v>
      </c>
      <c r="AP131">
        <f>SUMIFS(data!$C:$C,data!$A:$A,"="&amp;xyz!$A131,data!$B:$B,"="&amp;xyz!AP$2)</f>
        <v>1</v>
      </c>
      <c r="AQ131" s="6">
        <f t="shared" si="4"/>
        <v>1.1645110233741767</v>
      </c>
    </row>
    <row r="132" spans="1:43" x14ac:dyDescent="0.3">
      <c r="A132" t="s">
        <v>117</v>
      </c>
      <c r="B132" s="6">
        <f t="shared" ref="B132:B158" si="5">AVEDEV(C132:AP132)/AVERAGE(C132:AP132)</f>
        <v>1.1844262295081966</v>
      </c>
      <c r="C132">
        <f>SUMIFS(data!$C:$C,data!$A:$A,"="&amp;xyz!$A132,data!$B:$B,"="&amp;xyz!C$2)</f>
        <v>0</v>
      </c>
      <c r="D132">
        <f>SUMIFS(data!$C:$C,data!$A:$A,"="&amp;xyz!$A132,data!$B:$B,"="&amp;xyz!D$2)</f>
        <v>0</v>
      </c>
      <c r="E132">
        <f>SUMIFS(data!$C:$C,data!$A:$A,"="&amp;xyz!$A132,data!$B:$B,"="&amp;xyz!E$2)</f>
        <v>0</v>
      </c>
      <c r="F132">
        <f>SUMIFS(data!$C:$C,data!$A:$A,"="&amp;xyz!$A132,data!$B:$B,"="&amp;xyz!F$2)</f>
        <v>0</v>
      </c>
      <c r="G132">
        <f>SUMIFS(data!$C:$C,data!$A:$A,"="&amp;xyz!$A132,data!$B:$B,"="&amp;xyz!G$2)</f>
        <v>1</v>
      </c>
      <c r="H132">
        <f>SUMIFS(data!$C:$C,data!$A:$A,"="&amp;xyz!$A132,data!$B:$B,"="&amp;xyz!H$2)</f>
        <v>0</v>
      </c>
      <c r="I132">
        <f>SUMIFS(data!$C:$C,data!$A:$A,"="&amp;xyz!$A132,data!$B:$B,"="&amp;xyz!I$2)</f>
        <v>9</v>
      </c>
      <c r="J132">
        <f>SUMIFS(data!$C:$C,data!$A:$A,"="&amp;xyz!$A132,data!$B:$B,"="&amp;xyz!J$2)</f>
        <v>0</v>
      </c>
      <c r="K132">
        <f>SUMIFS(data!$C:$C,data!$A:$A,"="&amp;xyz!$A132,data!$B:$B,"="&amp;xyz!K$2)</f>
        <v>0</v>
      </c>
      <c r="L132">
        <f>SUMIFS(data!$C:$C,data!$A:$A,"="&amp;xyz!$A132,data!$B:$B,"="&amp;xyz!L$2)</f>
        <v>0</v>
      </c>
      <c r="M132">
        <f>SUMIFS(data!$C:$C,data!$A:$A,"="&amp;xyz!$A132,data!$B:$B,"="&amp;xyz!M$2)</f>
        <v>0</v>
      </c>
      <c r="N132">
        <f>SUMIFS(data!$C:$C,data!$A:$A,"="&amp;xyz!$A132,data!$B:$B,"="&amp;xyz!N$2)</f>
        <v>0</v>
      </c>
      <c r="O132">
        <f>SUMIFS(data!$C:$C,data!$A:$A,"="&amp;xyz!$A132,data!$B:$B,"="&amp;xyz!O$2)</f>
        <v>0</v>
      </c>
      <c r="P132">
        <f>SUMIFS(data!$C:$C,data!$A:$A,"="&amp;xyz!$A132,data!$B:$B,"="&amp;xyz!P$2)</f>
        <v>2</v>
      </c>
      <c r="Q132">
        <f>SUMIFS(data!$C:$C,data!$A:$A,"="&amp;xyz!$A132,data!$B:$B,"="&amp;xyz!Q$2)</f>
        <v>0</v>
      </c>
      <c r="R132">
        <f>SUMIFS(data!$C:$C,data!$A:$A,"="&amp;xyz!$A132,data!$B:$B,"="&amp;xyz!R$2)</f>
        <v>6</v>
      </c>
      <c r="S132">
        <f>SUMIFS(data!$C:$C,data!$A:$A,"="&amp;xyz!$A132,data!$B:$B,"="&amp;xyz!S$2)</f>
        <v>0</v>
      </c>
      <c r="T132">
        <f>SUMIFS(data!$C:$C,data!$A:$A,"="&amp;xyz!$A132,data!$B:$B,"="&amp;xyz!T$2)</f>
        <v>0</v>
      </c>
      <c r="U132">
        <f>SUMIFS(data!$C:$C,data!$A:$A,"="&amp;xyz!$A132,data!$B:$B,"="&amp;xyz!U$2)</f>
        <v>0</v>
      </c>
      <c r="V132">
        <f>SUMIFS(data!$C:$C,data!$A:$A,"="&amp;xyz!$A132,data!$B:$B,"="&amp;xyz!V$2)</f>
        <v>9</v>
      </c>
      <c r="W132">
        <f>SUMIFS(data!$C:$C,data!$A:$A,"="&amp;xyz!$A132,data!$B:$B,"="&amp;xyz!W$2)</f>
        <v>0</v>
      </c>
      <c r="X132">
        <f>SUMIFS(data!$C:$C,data!$A:$A,"="&amp;xyz!$A132,data!$B:$B,"="&amp;xyz!X$2)</f>
        <v>2</v>
      </c>
      <c r="Y132">
        <f>SUMIFS(data!$C:$C,data!$A:$A,"="&amp;xyz!$A132,data!$B:$B,"="&amp;xyz!Y$2)</f>
        <v>5</v>
      </c>
      <c r="Z132">
        <f>SUMIFS(data!$C:$C,data!$A:$A,"="&amp;xyz!$A132,data!$B:$B,"="&amp;xyz!Z$2)</f>
        <v>0</v>
      </c>
      <c r="AA132">
        <f>SUMIFS(data!$C:$C,data!$A:$A,"="&amp;xyz!$A132,data!$B:$B,"="&amp;xyz!AA$2)</f>
        <v>5</v>
      </c>
      <c r="AB132">
        <f>SUMIFS(data!$C:$C,data!$A:$A,"="&amp;xyz!$A132,data!$B:$B,"="&amp;xyz!AB$2)</f>
        <v>0</v>
      </c>
      <c r="AC132">
        <f>SUMIFS(data!$C:$C,data!$A:$A,"="&amp;xyz!$A132,data!$B:$B,"="&amp;xyz!AC$2)</f>
        <v>2</v>
      </c>
      <c r="AD132">
        <f>SUMIFS(data!$C:$C,data!$A:$A,"="&amp;xyz!$A132,data!$B:$B,"="&amp;xyz!AD$2)</f>
        <v>2</v>
      </c>
      <c r="AE132">
        <f>SUMIFS(data!$C:$C,data!$A:$A,"="&amp;xyz!$A132,data!$B:$B,"="&amp;xyz!AE$2)</f>
        <v>3</v>
      </c>
      <c r="AF132">
        <f>SUMIFS(data!$C:$C,data!$A:$A,"="&amp;xyz!$A132,data!$B:$B,"="&amp;xyz!AF$2)</f>
        <v>2</v>
      </c>
      <c r="AG132">
        <f>SUMIFS(data!$C:$C,data!$A:$A,"="&amp;xyz!$A132,data!$B:$B,"="&amp;xyz!AG$2)</f>
        <v>0</v>
      </c>
      <c r="AH132">
        <f>SUMIFS(data!$C:$C,data!$A:$A,"="&amp;xyz!$A132,data!$B:$B,"="&amp;xyz!AH$2)</f>
        <v>0</v>
      </c>
      <c r="AI132">
        <f>SUMIFS(data!$C:$C,data!$A:$A,"="&amp;xyz!$A132,data!$B:$B,"="&amp;xyz!AI$2)</f>
        <v>5</v>
      </c>
      <c r="AJ132">
        <f>SUMIFS(data!$C:$C,data!$A:$A,"="&amp;xyz!$A132,data!$B:$B,"="&amp;xyz!AJ$2)</f>
        <v>3</v>
      </c>
      <c r="AK132">
        <f>SUMIFS(data!$C:$C,data!$A:$A,"="&amp;xyz!$A132,data!$B:$B,"="&amp;xyz!AK$2)</f>
        <v>2</v>
      </c>
      <c r="AL132">
        <f>SUMIFS(data!$C:$C,data!$A:$A,"="&amp;xyz!$A132,data!$B:$B,"="&amp;xyz!AL$2)</f>
        <v>0</v>
      </c>
      <c r="AM132">
        <f>SUMIFS(data!$C:$C,data!$A:$A,"="&amp;xyz!$A132,data!$B:$B,"="&amp;xyz!AM$2)</f>
        <v>2</v>
      </c>
      <c r="AN132">
        <f>SUMIFS(data!$C:$C,data!$A:$A,"="&amp;xyz!$A132,data!$B:$B,"="&amp;xyz!AN$2)</f>
        <v>0</v>
      </c>
      <c r="AO132">
        <f>SUMIFS(data!$C:$C,data!$A:$A,"="&amp;xyz!$A132,data!$B:$B,"="&amp;xyz!AO$2)</f>
        <v>0</v>
      </c>
      <c r="AP132">
        <f>SUMIFS(data!$C:$C,data!$A:$A,"="&amp;xyz!$A132,data!$B:$B,"="&amp;xyz!AP$2)</f>
        <v>1</v>
      </c>
      <c r="AQ132" s="6">
        <f t="shared" ref="AQ132:AQ158" si="6">_xlfn.STDEV.S(C132:AP132)/AVERAGE(C132:AP132)</f>
        <v>1.5854095320317265</v>
      </c>
    </row>
    <row r="133" spans="1:43" x14ac:dyDescent="0.3">
      <c r="A133" t="s">
        <v>69</v>
      </c>
      <c r="B133" s="6">
        <f t="shared" si="5"/>
        <v>1.1772727272727272</v>
      </c>
      <c r="C133">
        <f>SUMIFS(data!$C:$C,data!$A:$A,"="&amp;xyz!$A133,data!$B:$B,"="&amp;xyz!C$2)</f>
        <v>0</v>
      </c>
      <c r="D133">
        <f>SUMIFS(data!$C:$C,data!$A:$A,"="&amp;xyz!$A133,data!$B:$B,"="&amp;xyz!D$2)</f>
        <v>0</v>
      </c>
      <c r="E133">
        <f>SUMIFS(data!$C:$C,data!$A:$A,"="&amp;xyz!$A133,data!$B:$B,"="&amp;xyz!E$2)</f>
        <v>0</v>
      </c>
      <c r="F133">
        <f>SUMIFS(data!$C:$C,data!$A:$A,"="&amp;xyz!$A133,data!$B:$B,"="&amp;xyz!F$2)</f>
        <v>0</v>
      </c>
      <c r="G133">
        <f>SUMIFS(data!$C:$C,data!$A:$A,"="&amp;xyz!$A133,data!$B:$B,"="&amp;xyz!G$2)</f>
        <v>0</v>
      </c>
      <c r="H133">
        <f>SUMIFS(data!$C:$C,data!$A:$A,"="&amp;xyz!$A133,data!$B:$B,"="&amp;xyz!H$2)</f>
        <v>0</v>
      </c>
      <c r="I133">
        <f>SUMIFS(data!$C:$C,data!$A:$A,"="&amp;xyz!$A133,data!$B:$B,"="&amp;xyz!I$2)</f>
        <v>0</v>
      </c>
      <c r="J133">
        <f>SUMIFS(data!$C:$C,data!$A:$A,"="&amp;xyz!$A133,data!$B:$B,"="&amp;xyz!J$2)</f>
        <v>0</v>
      </c>
      <c r="K133">
        <f>SUMIFS(data!$C:$C,data!$A:$A,"="&amp;xyz!$A133,data!$B:$B,"="&amp;xyz!K$2)</f>
        <v>0</v>
      </c>
      <c r="L133">
        <f>SUMIFS(data!$C:$C,data!$A:$A,"="&amp;xyz!$A133,data!$B:$B,"="&amp;xyz!L$2)</f>
        <v>0</v>
      </c>
      <c r="M133">
        <f>SUMIFS(data!$C:$C,data!$A:$A,"="&amp;xyz!$A133,data!$B:$B,"="&amp;xyz!M$2)</f>
        <v>0</v>
      </c>
      <c r="N133">
        <f>SUMIFS(data!$C:$C,data!$A:$A,"="&amp;xyz!$A133,data!$B:$B,"="&amp;xyz!N$2)</f>
        <v>0</v>
      </c>
      <c r="O133">
        <f>SUMIFS(data!$C:$C,data!$A:$A,"="&amp;xyz!$A133,data!$B:$B,"="&amp;xyz!O$2)</f>
        <v>0</v>
      </c>
      <c r="P133">
        <f>SUMIFS(data!$C:$C,data!$A:$A,"="&amp;xyz!$A133,data!$B:$B,"="&amp;xyz!P$2)</f>
        <v>0</v>
      </c>
      <c r="Q133">
        <f>SUMIFS(data!$C:$C,data!$A:$A,"="&amp;xyz!$A133,data!$B:$B,"="&amp;xyz!Q$2)</f>
        <v>0</v>
      </c>
      <c r="R133">
        <f>SUMIFS(data!$C:$C,data!$A:$A,"="&amp;xyz!$A133,data!$B:$B,"="&amp;xyz!R$2)</f>
        <v>1</v>
      </c>
      <c r="S133">
        <f>SUMIFS(data!$C:$C,data!$A:$A,"="&amp;xyz!$A133,data!$B:$B,"="&amp;xyz!S$2)</f>
        <v>0</v>
      </c>
      <c r="T133">
        <f>SUMIFS(data!$C:$C,data!$A:$A,"="&amp;xyz!$A133,data!$B:$B,"="&amp;xyz!T$2)</f>
        <v>0</v>
      </c>
      <c r="U133">
        <f>SUMIFS(data!$C:$C,data!$A:$A,"="&amp;xyz!$A133,data!$B:$B,"="&amp;xyz!U$2)</f>
        <v>0</v>
      </c>
      <c r="V133">
        <f>SUMIFS(data!$C:$C,data!$A:$A,"="&amp;xyz!$A133,data!$B:$B,"="&amp;xyz!V$2)</f>
        <v>4</v>
      </c>
      <c r="W133">
        <f>SUMIFS(data!$C:$C,data!$A:$A,"="&amp;xyz!$A133,data!$B:$B,"="&amp;xyz!W$2)</f>
        <v>3</v>
      </c>
      <c r="X133">
        <f>SUMIFS(data!$C:$C,data!$A:$A,"="&amp;xyz!$A133,data!$B:$B,"="&amp;xyz!X$2)</f>
        <v>5</v>
      </c>
      <c r="Y133">
        <f>SUMIFS(data!$C:$C,data!$A:$A,"="&amp;xyz!$A133,data!$B:$B,"="&amp;xyz!Y$2)</f>
        <v>1</v>
      </c>
      <c r="Z133">
        <f>SUMIFS(data!$C:$C,data!$A:$A,"="&amp;xyz!$A133,data!$B:$B,"="&amp;xyz!Z$2)</f>
        <v>2</v>
      </c>
      <c r="AA133">
        <f>SUMIFS(data!$C:$C,data!$A:$A,"="&amp;xyz!$A133,data!$B:$B,"="&amp;xyz!AA$2)</f>
        <v>2</v>
      </c>
      <c r="AB133">
        <f>SUMIFS(data!$C:$C,data!$A:$A,"="&amp;xyz!$A133,data!$B:$B,"="&amp;xyz!AB$2)</f>
        <v>1</v>
      </c>
      <c r="AC133">
        <f>SUMIFS(data!$C:$C,data!$A:$A,"="&amp;xyz!$A133,data!$B:$B,"="&amp;xyz!AC$2)</f>
        <v>1</v>
      </c>
      <c r="AD133">
        <f>SUMIFS(data!$C:$C,data!$A:$A,"="&amp;xyz!$A133,data!$B:$B,"="&amp;xyz!AD$2)</f>
        <v>9</v>
      </c>
      <c r="AE133">
        <f>SUMIFS(data!$C:$C,data!$A:$A,"="&amp;xyz!$A133,data!$B:$B,"="&amp;xyz!AE$2)</f>
        <v>0</v>
      </c>
      <c r="AF133">
        <f>SUMIFS(data!$C:$C,data!$A:$A,"="&amp;xyz!$A133,data!$B:$B,"="&amp;xyz!AF$2)</f>
        <v>3</v>
      </c>
      <c r="AG133">
        <f>SUMIFS(data!$C:$C,data!$A:$A,"="&amp;xyz!$A133,data!$B:$B,"="&amp;xyz!AG$2)</f>
        <v>0</v>
      </c>
      <c r="AH133">
        <f>SUMIFS(data!$C:$C,data!$A:$A,"="&amp;xyz!$A133,data!$B:$B,"="&amp;xyz!AH$2)</f>
        <v>1</v>
      </c>
      <c r="AI133">
        <f>SUMIFS(data!$C:$C,data!$A:$A,"="&amp;xyz!$A133,data!$B:$B,"="&amp;xyz!AI$2)</f>
        <v>0</v>
      </c>
      <c r="AJ133">
        <f>SUMIFS(data!$C:$C,data!$A:$A,"="&amp;xyz!$A133,data!$B:$B,"="&amp;xyz!AJ$2)</f>
        <v>3</v>
      </c>
      <c r="AK133">
        <f>SUMIFS(data!$C:$C,data!$A:$A,"="&amp;xyz!$A133,data!$B:$B,"="&amp;xyz!AK$2)</f>
        <v>0</v>
      </c>
      <c r="AL133">
        <f>SUMIFS(data!$C:$C,data!$A:$A,"="&amp;xyz!$A133,data!$B:$B,"="&amp;xyz!AL$2)</f>
        <v>2</v>
      </c>
      <c r="AM133">
        <f>SUMIFS(data!$C:$C,data!$A:$A,"="&amp;xyz!$A133,data!$B:$B,"="&amp;xyz!AM$2)</f>
        <v>1</v>
      </c>
      <c r="AN133">
        <f>SUMIFS(data!$C:$C,data!$A:$A,"="&amp;xyz!$A133,data!$B:$B,"="&amp;xyz!AN$2)</f>
        <v>0</v>
      </c>
      <c r="AO133">
        <f>SUMIFS(data!$C:$C,data!$A:$A,"="&amp;xyz!$A133,data!$B:$B,"="&amp;xyz!AO$2)</f>
        <v>3</v>
      </c>
      <c r="AP133">
        <f>SUMIFS(data!$C:$C,data!$A:$A,"="&amp;xyz!$A133,data!$B:$B,"="&amp;xyz!AP$2)</f>
        <v>2</v>
      </c>
      <c r="AQ133" s="6">
        <f t="shared" si="6"/>
        <v>1.6699480306554635</v>
      </c>
    </row>
    <row r="134" spans="1:43" x14ac:dyDescent="0.3">
      <c r="A134" t="s">
        <v>33</v>
      </c>
      <c r="B134" s="6">
        <f t="shared" si="5"/>
        <v>1.316101694915254</v>
      </c>
      <c r="C134">
        <f>SUMIFS(data!$C:$C,data!$A:$A,"="&amp;xyz!$A134,data!$B:$B,"="&amp;xyz!C$2)</f>
        <v>4</v>
      </c>
      <c r="D134">
        <f>SUMIFS(data!$C:$C,data!$A:$A,"="&amp;xyz!$A134,data!$B:$B,"="&amp;xyz!D$2)</f>
        <v>0</v>
      </c>
      <c r="E134">
        <f>SUMIFS(data!$C:$C,data!$A:$A,"="&amp;xyz!$A134,data!$B:$B,"="&amp;xyz!E$2)</f>
        <v>0</v>
      </c>
      <c r="F134">
        <f>SUMIFS(data!$C:$C,data!$A:$A,"="&amp;xyz!$A134,data!$B:$B,"="&amp;xyz!F$2)</f>
        <v>0</v>
      </c>
      <c r="G134">
        <f>SUMIFS(data!$C:$C,data!$A:$A,"="&amp;xyz!$A134,data!$B:$B,"="&amp;xyz!G$2)</f>
        <v>0</v>
      </c>
      <c r="H134">
        <f>SUMIFS(data!$C:$C,data!$A:$A,"="&amp;xyz!$A134,data!$B:$B,"="&amp;xyz!H$2)</f>
        <v>0</v>
      </c>
      <c r="I134">
        <f>SUMIFS(data!$C:$C,data!$A:$A,"="&amp;xyz!$A134,data!$B:$B,"="&amp;xyz!I$2)</f>
        <v>0</v>
      </c>
      <c r="J134">
        <f>SUMIFS(data!$C:$C,data!$A:$A,"="&amp;xyz!$A134,data!$B:$B,"="&amp;xyz!J$2)</f>
        <v>0</v>
      </c>
      <c r="K134">
        <f>SUMIFS(data!$C:$C,data!$A:$A,"="&amp;xyz!$A134,data!$B:$B,"="&amp;xyz!K$2)</f>
        <v>0</v>
      </c>
      <c r="L134">
        <f>SUMIFS(data!$C:$C,data!$A:$A,"="&amp;xyz!$A134,data!$B:$B,"="&amp;xyz!L$2)</f>
        <v>3</v>
      </c>
      <c r="M134">
        <f>SUMIFS(data!$C:$C,data!$A:$A,"="&amp;xyz!$A134,data!$B:$B,"="&amp;xyz!M$2)</f>
        <v>0</v>
      </c>
      <c r="N134">
        <f>SUMIFS(data!$C:$C,data!$A:$A,"="&amp;xyz!$A134,data!$B:$B,"="&amp;xyz!N$2)</f>
        <v>4</v>
      </c>
      <c r="O134">
        <f>SUMIFS(data!$C:$C,data!$A:$A,"="&amp;xyz!$A134,data!$B:$B,"="&amp;xyz!O$2)</f>
        <v>5</v>
      </c>
      <c r="P134">
        <f>SUMIFS(data!$C:$C,data!$A:$A,"="&amp;xyz!$A134,data!$B:$B,"="&amp;xyz!P$2)</f>
        <v>0</v>
      </c>
      <c r="Q134">
        <f>SUMIFS(data!$C:$C,data!$A:$A,"="&amp;xyz!$A134,data!$B:$B,"="&amp;xyz!Q$2)</f>
        <v>2</v>
      </c>
      <c r="R134">
        <f>SUMIFS(data!$C:$C,data!$A:$A,"="&amp;xyz!$A134,data!$B:$B,"="&amp;xyz!R$2)</f>
        <v>0</v>
      </c>
      <c r="S134">
        <f>SUMIFS(data!$C:$C,data!$A:$A,"="&amp;xyz!$A134,data!$B:$B,"="&amp;xyz!S$2)</f>
        <v>0</v>
      </c>
      <c r="T134">
        <f>SUMIFS(data!$C:$C,data!$A:$A,"="&amp;xyz!$A134,data!$B:$B,"="&amp;xyz!T$2)</f>
        <v>6</v>
      </c>
      <c r="U134">
        <f>SUMIFS(data!$C:$C,data!$A:$A,"="&amp;xyz!$A134,data!$B:$B,"="&amp;xyz!U$2)</f>
        <v>0</v>
      </c>
      <c r="V134">
        <f>SUMIFS(data!$C:$C,data!$A:$A,"="&amp;xyz!$A134,data!$B:$B,"="&amp;xyz!V$2)</f>
        <v>0</v>
      </c>
      <c r="W134">
        <f>SUMIFS(data!$C:$C,data!$A:$A,"="&amp;xyz!$A134,data!$B:$B,"="&amp;xyz!W$2)</f>
        <v>1</v>
      </c>
      <c r="X134">
        <f>SUMIFS(data!$C:$C,data!$A:$A,"="&amp;xyz!$A134,data!$B:$B,"="&amp;xyz!X$2)</f>
        <v>0</v>
      </c>
      <c r="Y134">
        <f>SUMIFS(data!$C:$C,data!$A:$A,"="&amp;xyz!$A134,data!$B:$B,"="&amp;xyz!Y$2)</f>
        <v>5</v>
      </c>
      <c r="Z134">
        <f>SUMIFS(data!$C:$C,data!$A:$A,"="&amp;xyz!$A134,data!$B:$B,"="&amp;xyz!Z$2)</f>
        <v>3</v>
      </c>
      <c r="AA134">
        <f>SUMIFS(data!$C:$C,data!$A:$A,"="&amp;xyz!$A134,data!$B:$B,"="&amp;xyz!AA$2)</f>
        <v>0</v>
      </c>
      <c r="AB134">
        <f>SUMIFS(data!$C:$C,data!$A:$A,"="&amp;xyz!$A134,data!$B:$B,"="&amp;xyz!AB$2)</f>
        <v>5</v>
      </c>
      <c r="AC134">
        <f>SUMIFS(data!$C:$C,data!$A:$A,"="&amp;xyz!$A134,data!$B:$B,"="&amp;xyz!AC$2)</f>
        <v>0</v>
      </c>
      <c r="AD134">
        <f>SUMIFS(data!$C:$C,data!$A:$A,"="&amp;xyz!$A134,data!$B:$B,"="&amp;xyz!AD$2)</f>
        <v>5</v>
      </c>
      <c r="AE134">
        <f>SUMIFS(data!$C:$C,data!$A:$A,"="&amp;xyz!$A134,data!$B:$B,"="&amp;xyz!AE$2)</f>
        <v>0</v>
      </c>
      <c r="AF134">
        <f>SUMIFS(data!$C:$C,data!$A:$A,"="&amp;xyz!$A134,data!$B:$B,"="&amp;xyz!AF$2)</f>
        <v>0</v>
      </c>
      <c r="AG134">
        <f>SUMIFS(data!$C:$C,data!$A:$A,"="&amp;xyz!$A134,data!$B:$B,"="&amp;xyz!AG$2)</f>
        <v>0</v>
      </c>
      <c r="AH134">
        <f>SUMIFS(data!$C:$C,data!$A:$A,"="&amp;xyz!$A134,data!$B:$B,"="&amp;xyz!AH$2)</f>
        <v>0</v>
      </c>
      <c r="AI134">
        <f>SUMIFS(data!$C:$C,data!$A:$A,"="&amp;xyz!$A134,data!$B:$B,"="&amp;xyz!AI$2)</f>
        <v>5</v>
      </c>
      <c r="AJ134">
        <f>SUMIFS(data!$C:$C,data!$A:$A,"="&amp;xyz!$A134,data!$B:$B,"="&amp;xyz!AJ$2)</f>
        <v>5</v>
      </c>
      <c r="AK134">
        <f>SUMIFS(data!$C:$C,data!$A:$A,"="&amp;xyz!$A134,data!$B:$B,"="&amp;xyz!AK$2)</f>
        <v>0</v>
      </c>
      <c r="AL134">
        <f>SUMIFS(data!$C:$C,data!$A:$A,"="&amp;xyz!$A134,data!$B:$B,"="&amp;xyz!AL$2)</f>
        <v>0</v>
      </c>
      <c r="AM134">
        <f>SUMIFS(data!$C:$C,data!$A:$A,"="&amp;xyz!$A134,data!$B:$B,"="&amp;xyz!AM$2)</f>
        <v>0</v>
      </c>
      <c r="AN134">
        <f>SUMIFS(data!$C:$C,data!$A:$A,"="&amp;xyz!$A134,data!$B:$B,"="&amp;xyz!AN$2)</f>
        <v>0</v>
      </c>
      <c r="AO134">
        <f>SUMIFS(data!$C:$C,data!$A:$A,"="&amp;xyz!$A134,data!$B:$B,"="&amp;xyz!AO$2)</f>
        <v>0</v>
      </c>
      <c r="AP134">
        <f>SUMIFS(data!$C:$C,data!$A:$A,"="&amp;xyz!$A134,data!$B:$B,"="&amp;xyz!AP$2)</f>
        <v>6</v>
      </c>
      <c r="AQ134" s="6">
        <f t="shared" si="6"/>
        <v>1.4963180083991969</v>
      </c>
    </row>
    <row r="135" spans="1:43" x14ac:dyDescent="0.3">
      <c r="A135" t="s">
        <v>142</v>
      </c>
      <c r="B135" s="6">
        <f t="shared" si="5"/>
        <v>1.1127118644067797</v>
      </c>
      <c r="C135">
        <f>SUMIFS(data!$C:$C,data!$A:$A,"="&amp;xyz!$A135,data!$B:$B,"="&amp;xyz!C$2)</f>
        <v>0</v>
      </c>
      <c r="D135">
        <f>SUMIFS(data!$C:$C,data!$A:$A,"="&amp;xyz!$A135,data!$B:$B,"="&amp;xyz!D$2)</f>
        <v>0</v>
      </c>
      <c r="E135">
        <f>SUMIFS(data!$C:$C,data!$A:$A,"="&amp;xyz!$A135,data!$B:$B,"="&amp;xyz!E$2)</f>
        <v>0</v>
      </c>
      <c r="F135">
        <f>SUMIFS(data!$C:$C,data!$A:$A,"="&amp;xyz!$A135,data!$B:$B,"="&amp;xyz!F$2)</f>
        <v>2</v>
      </c>
      <c r="G135">
        <f>SUMIFS(data!$C:$C,data!$A:$A,"="&amp;xyz!$A135,data!$B:$B,"="&amp;xyz!G$2)</f>
        <v>3</v>
      </c>
      <c r="H135">
        <f>SUMIFS(data!$C:$C,data!$A:$A,"="&amp;xyz!$A135,data!$B:$B,"="&amp;xyz!H$2)</f>
        <v>2</v>
      </c>
      <c r="I135">
        <f>SUMIFS(data!$C:$C,data!$A:$A,"="&amp;xyz!$A135,data!$B:$B,"="&amp;xyz!I$2)</f>
        <v>0</v>
      </c>
      <c r="J135">
        <f>SUMIFS(data!$C:$C,data!$A:$A,"="&amp;xyz!$A135,data!$B:$B,"="&amp;xyz!J$2)</f>
        <v>0</v>
      </c>
      <c r="K135">
        <f>SUMIFS(data!$C:$C,data!$A:$A,"="&amp;xyz!$A135,data!$B:$B,"="&amp;xyz!K$2)</f>
        <v>0</v>
      </c>
      <c r="L135">
        <f>SUMIFS(data!$C:$C,data!$A:$A,"="&amp;xyz!$A135,data!$B:$B,"="&amp;xyz!L$2)</f>
        <v>0</v>
      </c>
      <c r="M135">
        <f>SUMIFS(data!$C:$C,data!$A:$A,"="&amp;xyz!$A135,data!$B:$B,"="&amp;xyz!M$2)</f>
        <v>1</v>
      </c>
      <c r="N135">
        <f>SUMIFS(data!$C:$C,data!$A:$A,"="&amp;xyz!$A135,data!$B:$B,"="&amp;xyz!N$2)</f>
        <v>3</v>
      </c>
      <c r="O135">
        <f>SUMIFS(data!$C:$C,data!$A:$A,"="&amp;xyz!$A135,data!$B:$B,"="&amp;xyz!O$2)</f>
        <v>11</v>
      </c>
      <c r="P135">
        <f>SUMIFS(data!$C:$C,data!$A:$A,"="&amp;xyz!$A135,data!$B:$B,"="&amp;xyz!P$2)</f>
        <v>1</v>
      </c>
      <c r="Q135">
        <f>SUMIFS(data!$C:$C,data!$A:$A,"="&amp;xyz!$A135,data!$B:$B,"="&amp;xyz!Q$2)</f>
        <v>0</v>
      </c>
      <c r="R135">
        <f>SUMIFS(data!$C:$C,data!$A:$A,"="&amp;xyz!$A135,data!$B:$B,"="&amp;xyz!R$2)</f>
        <v>5</v>
      </c>
      <c r="S135">
        <f>SUMIFS(data!$C:$C,data!$A:$A,"="&amp;xyz!$A135,data!$B:$B,"="&amp;xyz!S$2)</f>
        <v>0</v>
      </c>
      <c r="T135">
        <f>SUMIFS(data!$C:$C,data!$A:$A,"="&amp;xyz!$A135,data!$B:$B,"="&amp;xyz!T$2)</f>
        <v>0</v>
      </c>
      <c r="U135">
        <f>SUMIFS(data!$C:$C,data!$A:$A,"="&amp;xyz!$A135,data!$B:$B,"="&amp;xyz!U$2)</f>
        <v>0</v>
      </c>
      <c r="V135">
        <f>SUMIFS(data!$C:$C,data!$A:$A,"="&amp;xyz!$A135,data!$B:$B,"="&amp;xyz!V$2)</f>
        <v>0</v>
      </c>
      <c r="W135">
        <f>SUMIFS(data!$C:$C,data!$A:$A,"="&amp;xyz!$A135,data!$B:$B,"="&amp;xyz!W$2)</f>
        <v>0</v>
      </c>
      <c r="X135">
        <f>SUMIFS(data!$C:$C,data!$A:$A,"="&amp;xyz!$A135,data!$B:$B,"="&amp;xyz!X$2)</f>
        <v>1</v>
      </c>
      <c r="Y135">
        <f>SUMIFS(data!$C:$C,data!$A:$A,"="&amp;xyz!$A135,data!$B:$B,"="&amp;xyz!Y$2)</f>
        <v>0</v>
      </c>
      <c r="Z135">
        <f>SUMIFS(data!$C:$C,data!$A:$A,"="&amp;xyz!$A135,data!$B:$B,"="&amp;xyz!Z$2)</f>
        <v>7</v>
      </c>
      <c r="AA135">
        <f>SUMIFS(data!$C:$C,data!$A:$A,"="&amp;xyz!$A135,data!$B:$B,"="&amp;xyz!AA$2)</f>
        <v>0</v>
      </c>
      <c r="AB135">
        <f>SUMIFS(data!$C:$C,data!$A:$A,"="&amp;xyz!$A135,data!$B:$B,"="&amp;xyz!AB$2)</f>
        <v>1</v>
      </c>
      <c r="AC135">
        <f>SUMIFS(data!$C:$C,data!$A:$A,"="&amp;xyz!$A135,data!$B:$B,"="&amp;xyz!AC$2)</f>
        <v>1</v>
      </c>
      <c r="AD135">
        <f>SUMIFS(data!$C:$C,data!$A:$A,"="&amp;xyz!$A135,data!$B:$B,"="&amp;xyz!AD$2)</f>
        <v>1</v>
      </c>
      <c r="AE135">
        <f>SUMIFS(data!$C:$C,data!$A:$A,"="&amp;xyz!$A135,data!$B:$B,"="&amp;xyz!AE$2)</f>
        <v>4</v>
      </c>
      <c r="AF135">
        <f>SUMIFS(data!$C:$C,data!$A:$A,"="&amp;xyz!$A135,data!$B:$B,"="&amp;xyz!AF$2)</f>
        <v>5</v>
      </c>
      <c r="AG135">
        <f>SUMIFS(data!$C:$C,data!$A:$A,"="&amp;xyz!$A135,data!$B:$B,"="&amp;xyz!AG$2)</f>
        <v>0</v>
      </c>
      <c r="AH135">
        <f>SUMIFS(data!$C:$C,data!$A:$A,"="&amp;xyz!$A135,data!$B:$B,"="&amp;xyz!AH$2)</f>
        <v>3</v>
      </c>
      <c r="AI135">
        <f>SUMIFS(data!$C:$C,data!$A:$A,"="&amp;xyz!$A135,data!$B:$B,"="&amp;xyz!AI$2)</f>
        <v>0</v>
      </c>
      <c r="AJ135">
        <f>SUMIFS(data!$C:$C,data!$A:$A,"="&amp;xyz!$A135,data!$B:$B,"="&amp;xyz!AJ$2)</f>
        <v>2</v>
      </c>
      <c r="AK135">
        <f>SUMIFS(data!$C:$C,data!$A:$A,"="&amp;xyz!$A135,data!$B:$B,"="&amp;xyz!AK$2)</f>
        <v>2</v>
      </c>
      <c r="AL135">
        <f>SUMIFS(data!$C:$C,data!$A:$A,"="&amp;xyz!$A135,data!$B:$B,"="&amp;xyz!AL$2)</f>
        <v>0</v>
      </c>
      <c r="AM135">
        <f>SUMIFS(data!$C:$C,data!$A:$A,"="&amp;xyz!$A135,data!$B:$B,"="&amp;xyz!AM$2)</f>
        <v>3</v>
      </c>
      <c r="AN135">
        <f>SUMIFS(data!$C:$C,data!$A:$A,"="&amp;xyz!$A135,data!$B:$B,"="&amp;xyz!AN$2)</f>
        <v>0</v>
      </c>
      <c r="AO135">
        <f>SUMIFS(data!$C:$C,data!$A:$A,"="&amp;xyz!$A135,data!$B:$B,"="&amp;xyz!AO$2)</f>
        <v>1</v>
      </c>
      <c r="AP135">
        <f>SUMIFS(data!$C:$C,data!$A:$A,"="&amp;xyz!$A135,data!$B:$B,"="&amp;xyz!AP$2)</f>
        <v>0</v>
      </c>
      <c r="AQ135" s="6">
        <f t="shared" si="6"/>
        <v>1.5656015501461662</v>
      </c>
    </row>
    <row r="136" spans="1:43" x14ac:dyDescent="0.3">
      <c r="A136" t="s">
        <v>75</v>
      </c>
      <c r="B136" s="6">
        <f t="shared" si="5"/>
        <v>0.94285714285714284</v>
      </c>
      <c r="C136">
        <f>SUMIFS(data!$C:$C,data!$A:$A,"="&amp;xyz!$A136,data!$B:$B,"="&amp;xyz!C$2)</f>
        <v>0.16</v>
      </c>
      <c r="D136">
        <f>SUMIFS(data!$C:$C,data!$A:$A,"="&amp;xyz!$A136,data!$B:$B,"="&amp;xyz!D$2)</f>
        <v>0.1</v>
      </c>
      <c r="E136">
        <f>SUMIFS(data!$C:$C,data!$A:$A,"="&amp;xyz!$A136,data!$B:$B,"="&amp;xyz!E$2)</f>
        <v>0.2</v>
      </c>
      <c r="F136">
        <f>SUMIFS(data!$C:$C,data!$A:$A,"="&amp;xyz!$A136,data!$B:$B,"="&amp;xyz!F$2)</f>
        <v>0</v>
      </c>
      <c r="G136">
        <f>SUMIFS(data!$C:$C,data!$A:$A,"="&amp;xyz!$A136,data!$B:$B,"="&amp;xyz!G$2)</f>
        <v>0</v>
      </c>
      <c r="H136">
        <f>SUMIFS(data!$C:$C,data!$A:$A,"="&amp;xyz!$A136,data!$B:$B,"="&amp;xyz!H$2)</f>
        <v>0</v>
      </c>
      <c r="I136">
        <f>SUMIFS(data!$C:$C,data!$A:$A,"="&amp;xyz!$A136,data!$B:$B,"="&amp;xyz!I$2)</f>
        <v>0</v>
      </c>
      <c r="J136">
        <f>SUMIFS(data!$C:$C,data!$A:$A,"="&amp;xyz!$A136,data!$B:$B,"="&amp;xyz!J$2)</f>
        <v>0.64</v>
      </c>
      <c r="K136">
        <f>SUMIFS(data!$C:$C,data!$A:$A,"="&amp;xyz!$A136,data!$B:$B,"="&amp;xyz!K$2)</f>
        <v>0</v>
      </c>
      <c r="L136">
        <f>SUMIFS(data!$C:$C,data!$A:$A,"="&amp;xyz!$A136,data!$B:$B,"="&amp;xyz!L$2)</f>
        <v>1.06</v>
      </c>
      <c r="M136">
        <f>SUMIFS(data!$C:$C,data!$A:$A,"="&amp;xyz!$A136,data!$B:$B,"="&amp;xyz!M$2)</f>
        <v>0.2</v>
      </c>
      <c r="N136">
        <f>SUMIFS(data!$C:$C,data!$A:$A,"="&amp;xyz!$A136,data!$B:$B,"="&amp;xyz!N$2)</f>
        <v>0.24</v>
      </c>
      <c r="O136">
        <f>SUMIFS(data!$C:$C,data!$A:$A,"="&amp;xyz!$A136,data!$B:$B,"="&amp;xyz!O$2)</f>
        <v>0</v>
      </c>
      <c r="P136">
        <f>SUMIFS(data!$C:$C,data!$A:$A,"="&amp;xyz!$A136,data!$B:$B,"="&amp;xyz!P$2)</f>
        <v>0</v>
      </c>
      <c r="Q136">
        <f>SUMIFS(data!$C:$C,data!$A:$A,"="&amp;xyz!$A136,data!$B:$B,"="&amp;xyz!Q$2)</f>
        <v>0.2</v>
      </c>
      <c r="R136">
        <f>SUMIFS(data!$C:$C,data!$A:$A,"="&amp;xyz!$A136,data!$B:$B,"="&amp;xyz!R$2)</f>
        <v>0</v>
      </c>
      <c r="S136">
        <f>SUMIFS(data!$C:$C,data!$A:$A,"="&amp;xyz!$A136,data!$B:$B,"="&amp;xyz!S$2)</f>
        <v>0.1</v>
      </c>
      <c r="T136">
        <f>SUMIFS(data!$C:$C,data!$A:$A,"="&amp;xyz!$A136,data!$B:$B,"="&amp;xyz!T$2)</f>
        <v>0.74</v>
      </c>
      <c r="U136">
        <f>SUMIFS(data!$C:$C,data!$A:$A,"="&amp;xyz!$A136,data!$B:$B,"="&amp;xyz!U$2)</f>
        <v>0.16</v>
      </c>
      <c r="V136">
        <f>SUMIFS(data!$C:$C,data!$A:$A,"="&amp;xyz!$A136,data!$B:$B,"="&amp;xyz!V$2)</f>
        <v>0.3</v>
      </c>
      <c r="W136">
        <f>SUMIFS(data!$C:$C,data!$A:$A,"="&amp;xyz!$A136,data!$B:$B,"="&amp;xyz!W$2)</f>
        <v>0.14000000000000001</v>
      </c>
      <c r="X136">
        <f>SUMIFS(data!$C:$C,data!$A:$A,"="&amp;xyz!$A136,data!$B:$B,"="&amp;xyz!X$2)</f>
        <v>0.26</v>
      </c>
      <c r="Y136">
        <f>SUMIFS(data!$C:$C,data!$A:$A,"="&amp;xyz!$A136,data!$B:$B,"="&amp;xyz!Y$2)</f>
        <v>0.52</v>
      </c>
      <c r="Z136">
        <f>SUMIFS(data!$C:$C,data!$A:$A,"="&amp;xyz!$A136,data!$B:$B,"="&amp;xyz!Z$2)</f>
        <v>0</v>
      </c>
      <c r="AA136">
        <f>SUMIFS(data!$C:$C,data!$A:$A,"="&amp;xyz!$A136,data!$B:$B,"="&amp;xyz!AA$2)</f>
        <v>0.1</v>
      </c>
      <c r="AB136">
        <f>SUMIFS(data!$C:$C,data!$A:$A,"="&amp;xyz!$A136,data!$B:$B,"="&amp;xyz!AB$2)</f>
        <v>0.1</v>
      </c>
      <c r="AC136">
        <f>SUMIFS(data!$C:$C,data!$A:$A,"="&amp;xyz!$A136,data!$B:$B,"="&amp;xyz!AC$2)</f>
        <v>0.08</v>
      </c>
      <c r="AD136">
        <f>SUMIFS(data!$C:$C,data!$A:$A,"="&amp;xyz!$A136,data!$B:$B,"="&amp;xyz!AD$2)</f>
        <v>0.1</v>
      </c>
      <c r="AE136">
        <f>SUMIFS(data!$C:$C,data!$A:$A,"="&amp;xyz!$A136,data!$B:$B,"="&amp;xyz!AE$2)</f>
        <v>0.2</v>
      </c>
      <c r="AF136">
        <f>SUMIFS(data!$C:$C,data!$A:$A,"="&amp;xyz!$A136,data!$B:$B,"="&amp;xyz!AF$2)</f>
        <v>0</v>
      </c>
      <c r="AG136">
        <f>SUMIFS(data!$C:$C,data!$A:$A,"="&amp;xyz!$A136,data!$B:$B,"="&amp;xyz!AG$2)</f>
        <v>0</v>
      </c>
      <c r="AH136">
        <f>SUMIFS(data!$C:$C,data!$A:$A,"="&amp;xyz!$A136,data!$B:$B,"="&amp;xyz!AH$2)</f>
        <v>1.02</v>
      </c>
      <c r="AI136">
        <f>SUMIFS(data!$C:$C,data!$A:$A,"="&amp;xyz!$A136,data!$B:$B,"="&amp;xyz!AI$2)</f>
        <v>0.7</v>
      </c>
      <c r="AJ136">
        <f>SUMIFS(data!$C:$C,data!$A:$A,"="&amp;xyz!$A136,data!$B:$B,"="&amp;xyz!AJ$2)</f>
        <v>0.2</v>
      </c>
      <c r="AK136">
        <f>SUMIFS(data!$C:$C,data!$A:$A,"="&amp;xyz!$A136,data!$B:$B,"="&amp;xyz!AK$2)</f>
        <v>0.44000000000000006</v>
      </c>
      <c r="AL136">
        <f>SUMIFS(data!$C:$C,data!$A:$A,"="&amp;xyz!$A136,data!$B:$B,"="&amp;xyz!AL$2)</f>
        <v>0.1</v>
      </c>
      <c r="AM136">
        <f>SUMIFS(data!$C:$C,data!$A:$A,"="&amp;xyz!$A136,data!$B:$B,"="&amp;xyz!AM$2)</f>
        <v>1.04</v>
      </c>
      <c r="AN136">
        <f>SUMIFS(data!$C:$C,data!$A:$A,"="&amp;xyz!$A136,data!$B:$B,"="&amp;xyz!AN$2)</f>
        <v>0.2</v>
      </c>
      <c r="AO136">
        <f>SUMIFS(data!$C:$C,data!$A:$A,"="&amp;xyz!$A136,data!$B:$B,"="&amp;xyz!AO$2)</f>
        <v>1.28</v>
      </c>
      <c r="AP136">
        <f>SUMIFS(data!$C:$C,data!$A:$A,"="&amp;xyz!$A136,data!$B:$B,"="&amp;xyz!AP$2)</f>
        <v>0.62</v>
      </c>
      <c r="AQ136" s="6">
        <f t="shared" si="6"/>
        <v>1.2313496145955991</v>
      </c>
    </row>
    <row r="137" spans="1:43" x14ac:dyDescent="0.3">
      <c r="A137" t="s">
        <v>155</v>
      </c>
      <c r="B137" s="6">
        <f t="shared" si="5"/>
        <v>0.87545454545454571</v>
      </c>
      <c r="C137">
        <f>SUMIFS(data!$C:$C,data!$A:$A,"="&amp;xyz!$A137,data!$B:$B,"="&amp;xyz!C$2)</f>
        <v>0</v>
      </c>
      <c r="D137">
        <f>SUMIFS(data!$C:$C,data!$A:$A,"="&amp;xyz!$A137,data!$B:$B,"="&amp;xyz!D$2)</f>
        <v>0.64</v>
      </c>
      <c r="E137">
        <f>SUMIFS(data!$C:$C,data!$A:$A,"="&amp;xyz!$A137,data!$B:$B,"="&amp;xyz!E$2)</f>
        <v>0.56000000000000005</v>
      </c>
      <c r="F137">
        <f>SUMIFS(data!$C:$C,data!$A:$A,"="&amp;xyz!$A137,data!$B:$B,"="&amp;xyz!F$2)</f>
        <v>0.4</v>
      </c>
      <c r="G137">
        <f>SUMIFS(data!$C:$C,data!$A:$A,"="&amp;xyz!$A137,data!$B:$B,"="&amp;xyz!G$2)</f>
        <v>0.24</v>
      </c>
      <c r="H137">
        <f>SUMIFS(data!$C:$C,data!$A:$A,"="&amp;xyz!$A137,data!$B:$B,"="&amp;xyz!H$2)</f>
        <v>0.24</v>
      </c>
      <c r="I137">
        <f>SUMIFS(data!$C:$C,data!$A:$A,"="&amp;xyz!$A137,data!$B:$B,"="&amp;xyz!I$2)</f>
        <v>0</v>
      </c>
      <c r="J137">
        <f>SUMIFS(data!$C:$C,data!$A:$A,"="&amp;xyz!$A137,data!$B:$B,"="&amp;xyz!J$2)</f>
        <v>0</v>
      </c>
      <c r="K137">
        <f>SUMIFS(data!$C:$C,data!$A:$A,"="&amp;xyz!$A137,data!$B:$B,"="&amp;xyz!K$2)</f>
        <v>0</v>
      </c>
      <c r="L137">
        <f>SUMIFS(data!$C:$C,data!$A:$A,"="&amp;xyz!$A137,data!$B:$B,"="&amp;xyz!L$2)</f>
        <v>0.4</v>
      </c>
      <c r="M137">
        <f>SUMIFS(data!$C:$C,data!$A:$A,"="&amp;xyz!$A137,data!$B:$B,"="&amp;xyz!M$2)</f>
        <v>0</v>
      </c>
      <c r="N137">
        <f>SUMIFS(data!$C:$C,data!$A:$A,"="&amp;xyz!$A137,data!$B:$B,"="&amp;xyz!N$2)</f>
        <v>0.56000000000000005</v>
      </c>
      <c r="O137">
        <f>SUMIFS(data!$C:$C,data!$A:$A,"="&amp;xyz!$A137,data!$B:$B,"="&amp;xyz!O$2)</f>
        <v>0.64</v>
      </c>
      <c r="P137">
        <f>SUMIFS(data!$C:$C,data!$A:$A,"="&amp;xyz!$A137,data!$B:$B,"="&amp;xyz!P$2)</f>
        <v>0</v>
      </c>
      <c r="Q137">
        <f>SUMIFS(data!$C:$C,data!$A:$A,"="&amp;xyz!$A137,data!$B:$B,"="&amp;xyz!Q$2)</f>
        <v>0.84000000000000008</v>
      </c>
      <c r="R137">
        <f>SUMIFS(data!$C:$C,data!$A:$A,"="&amp;xyz!$A137,data!$B:$B,"="&amp;xyz!R$2)</f>
        <v>0.4</v>
      </c>
      <c r="S137">
        <f>SUMIFS(data!$C:$C,data!$A:$A,"="&amp;xyz!$A137,data!$B:$B,"="&amp;xyz!S$2)</f>
        <v>0.24</v>
      </c>
      <c r="T137">
        <f>SUMIFS(data!$C:$C,data!$A:$A,"="&amp;xyz!$A137,data!$B:$B,"="&amp;xyz!T$2)</f>
        <v>0.48</v>
      </c>
      <c r="U137">
        <f>SUMIFS(data!$C:$C,data!$A:$A,"="&amp;xyz!$A137,data!$B:$B,"="&amp;xyz!U$2)</f>
        <v>0.48</v>
      </c>
      <c r="V137">
        <f>SUMIFS(data!$C:$C,data!$A:$A,"="&amp;xyz!$A137,data!$B:$B,"="&amp;xyz!V$2)</f>
        <v>0</v>
      </c>
      <c r="W137">
        <f>SUMIFS(data!$C:$C,data!$A:$A,"="&amp;xyz!$A137,data!$B:$B,"="&amp;xyz!W$2)</f>
        <v>0.64</v>
      </c>
      <c r="X137">
        <f>SUMIFS(data!$C:$C,data!$A:$A,"="&amp;xyz!$A137,data!$B:$B,"="&amp;xyz!X$2)</f>
        <v>0.28000000000000003</v>
      </c>
      <c r="Y137">
        <f>SUMIFS(data!$C:$C,data!$A:$A,"="&amp;xyz!$A137,data!$B:$B,"="&amp;xyz!Y$2)</f>
        <v>0.48</v>
      </c>
      <c r="Z137">
        <f>SUMIFS(data!$C:$C,data!$A:$A,"="&amp;xyz!$A137,data!$B:$B,"="&amp;xyz!Z$2)</f>
        <v>0</v>
      </c>
      <c r="AA137">
        <f>SUMIFS(data!$C:$C,data!$A:$A,"="&amp;xyz!$A137,data!$B:$B,"="&amp;xyz!AA$2)</f>
        <v>0</v>
      </c>
      <c r="AB137">
        <f>SUMIFS(data!$C:$C,data!$A:$A,"="&amp;xyz!$A137,data!$B:$B,"="&amp;xyz!AB$2)</f>
        <v>0.84</v>
      </c>
      <c r="AC137">
        <f>SUMIFS(data!$C:$C,data!$A:$A,"="&amp;xyz!$A137,data!$B:$B,"="&amp;xyz!AC$2)</f>
        <v>0</v>
      </c>
      <c r="AD137">
        <f>SUMIFS(data!$C:$C,data!$A:$A,"="&amp;xyz!$A137,data!$B:$B,"="&amp;xyz!AD$2)</f>
        <v>0.44</v>
      </c>
      <c r="AE137">
        <f>SUMIFS(data!$C:$C,data!$A:$A,"="&amp;xyz!$A137,data!$B:$B,"="&amp;xyz!AE$2)</f>
        <v>0</v>
      </c>
      <c r="AF137">
        <f>SUMIFS(data!$C:$C,data!$A:$A,"="&amp;xyz!$A137,data!$B:$B,"="&amp;xyz!AF$2)</f>
        <v>0</v>
      </c>
      <c r="AG137">
        <f>SUMIFS(data!$C:$C,data!$A:$A,"="&amp;xyz!$A137,data!$B:$B,"="&amp;xyz!AG$2)</f>
        <v>0</v>
      </c>
      <c r="AH137">
        <f>SUMIFS(data!$C:$C,data!$A:$A,"="&amp;xyz!$A137,data!$B:$B,"="&amp;xyz!AH$2)</f>
        <v>0.4</v>
      </c>
      <c r="AI137">
        <f>SUMIFS(data!$C:$C,data!$A:$A,"="&amp;xyz!$A137,data!$B:$B,"="&amp;xyz!AI$2)</f>
        <v>0.16</v>
      </c>
      <c r="AJ137">
        <f>SUMIFS(data!$C:$C,data!$A:$A,"="&amp;xyz!$A137,data!$B:$B,"="&amp;xyz!AJ$2)</f>
        <v>0.6</v>
      </c>
      <c r="AK137">
        <f>SUMIFS(data!$C:$C,data!$A:$A,"="&amp;xyz!$A137,data!$B:$B,"="&amp;xyz!AK$2)</f>
        <v>0.08</v>
      </c>
      <c r="AL137">
        <f>SUMIFS(data!$C:$C,data!$A:$A,"="&amp;xyz!$A137,data!$B:$B,"="&amp;xyz!AL$2)</f>
        <v>0.4</v>
      </c>
      <c r="AM137">
        <f>SUMIFS(data!$C:$C,data!$A:$A,"="&amp;xyz!$A137,data!$B:$B,"="&amp;xyz!AM$2)</f>
        <v>0.56000000000000005</v>
      </c>
      <c r="AN137">
        <f>SUMIFS(data!$C:$C,data!$A:$A,"="&amp;xyz!$A137,data!$B:$B,"="&amp;xyz!AN$2)</f>
        <v>0</v>
      </c>
      <c r="AO137">
        <f>SUMIFS(data!$C:$C,data!$A:$A,"="&amp;xyz!$A137,data!$B:$B,"="&amp;xyz!AO$2)</f>
        <v>0</v>
      </c>
      <c r="AP137">
        <f>SUMIFS(data!$C:$C,data!$A:$A,"="&amp;xyz!$A137,data!$B:$B,"="&amp;xyz!AP$2)</f>
        <v>0</v>
      </c>
      <c r="AQ137" s="6">
        <f t="shared" si="6"/>
        <v>0.98882075016066173</v>
      </c>
    </row>
    <row r="138" spans="1:43" x14ac:dyDescent="0.3">
      <c r="A138" t="s">
        <v>110</v>
      </c>
      <c r="B138" s="6">
        <f t="shared" si="5"/>
        <v>0.82619047619047636</v>
      </c>
      <c r="C138">
        <f>SUMIFS(data!$C:$C,data!$A:$A,"="&amp;xyz!$A138,data!$B:$B,"="&amp;xyz!C$2)</f>
        <v>0</v>
      </c>
      <c r="D138">
        <f>SUMIFS(data!$C:$C,data!$A:$A,"="&amp;xyz!$A138,data!$B:$B,"="&amp;xyz!D$2)</f>
        <v>0</v>
      </c>
      <c r="E138">
        <f>SUMIFS(data!$C:$C,data!$A:$A,"="&amp;xyz!$A138,data!$B:$B,"="&amp;xyz!E$2)</f>
        <v>0</v>
      </c>
      <c r="F138">
        <f>SUMIFS(data!$C:$C,data!$A:$A,"="&amp;xyz!$A138,data!$B:$B,"="&amp;xyz!F$2)</f>
        <v>0</v>
      </c>
      <c r="G138">
        <f>SUMIFS(data!$C:$C,data!$A:$A,"="&amp;xyz!$A138,data!$B:$B,"="&amp;xyz!G$2)</f>
        <v>0</v>
      </c>
      <c r="H138">
        <f>SUMIFS(data!$C:$C,data!$A:$A,"="&amp;xyz!$A138,data!$B:$B,"="&amp;xyz!H$2)</f>
        <v>1</v>
      </c>
      <c r="I138">
        <f>SUMIFS(data!$C:$C,data!$A:$A,"="&amp;xyz!$A138,data!$B:$B,"="&amp;xyz!I$2)</f>
        <v>1</v>
      </c>
      <c r="J138">
        <f>SUMIFS(data!$C:$C,data!$A:$A,"="&amp;xyz!$A138,data!$B:$B,"="&amp;xyz!J$2)</f>
        <v>3</v>
      </c>
      <c r="K138">
        <f>SUMIFS(data!$C:$C,data!$A:$A,"="&amp;xyz!$A138,data!$B:$B,"="&amp;xyz!K$2)</f>
        <v>0</v>
      </c>
      <c r="L138">
        <f>SUMIFS(data!$C:$C,data!$A:$A,"="&amp;xyz!$A138,data!$B:$B,"="&amp;xyz!L$2)</f>
        <v>2</v>
      </c>
      <c r="M138">
        <f>SUMIFS(data!$C:$C,data!$A:$A,"="&amp;xyz!$A138,data!$B:$B,"="&amp;xyz!M$2)</f>
        <v>1</v>
      </c>
      <c r="N138">
        <f>SUMIFS(data!$C:$C,data!$A:$A,"="&amp;xyz!$A138,data!$B:$B,"="&amp;xyz!N$2)</f>
        <v>1</v>
      </c>
      <c r="O138">
        <f>SUMIFS(data!$C:$C,data!$A:$A,"="&amp;xyz!$A138,data!$B:$B,"="&amp;xyz!O$2)</f>
        <v>1</v>
      </c>
      <c r="P138">
        <f>SUMIFS(data!$C:$C,data!$A:$A,"="&amp;xyz!$A138,data!$B:$B,"="&amp;xyz!P$2)</f>
        <v>1</v>
      </c>
      <c r="Q138">
        <f>SUMIFS(data!$C:$C,data!$A:$A,"="&amp;xyz!$A138,data!$B:$B,"="&amp;xyz!Q$2)</f>
        <v>2</v>
      </c>
      <c r="R138">
        <f>SUMIFS(data!$C:$C,data!$A:$A,"="&amp;xyz!$A138,data!$B:$B,"="&amp;xyz!R$2)</f>
        <v>3</v>
      </c>
      <c r="S138">
        <f>SUMIFS(data!$C:$C,data!$A:$A,"="&amp;xyz!$A138,data!$B:$B,"="&amp;xyz!S$2)</f>
        <v>2</v>
      </c>
      <c r="T138">
        <f>SUMIFS(data!$C:$C,data!$A:$A,"="&amp;xyz!$A138,data!$B:$B,"="&amp;xyz!T$2)</f>
        <v>1</v>
      </c>
      <c r="U138">
        <f>SUMIFS(data!$C:$C,data!$A:$A,"="&amp;xyz!$A138,data!$B:$B,"="&amp;xyz!U$2)</f>
        <v>3</v>
      </c>
      <c r="V138">
        <f>SUMIFS(data!$C:$C,data!$A:$A,"="&amp;xyz!$A138,data!$B:$B,"="&amp;xyz!V$2)</f>
        <v>0</v>
      </c>
      <c r="W138">
        <f>SUMIFS(data!$C:$C,data!$A:$A,"="&amp;xyz!$A138,data!$B:$B,"="&amp;xyz!W$2)</f>
        <v>3</v>
      </c>
      <c r="X138">
        <f>SUMIFS(data!$C:$C,data!$A:$A,"="&amp;xyz!$A138,data!$B:$B,"="&amp;xyz!X$2)</f>
        <v>2</v>
      </c>
      <c r="Y138">
        <f>SUMIFS(data!$C:$C,data!$A:$A,"="&amp;xyz!$A138,data!$B:$B,"="&amp;xyz!Y$2)</f>
        <v>1</v>
      </c>
      <c r="Z138">
        <f>SUMIFS(data!$C:$C,data!$A:$A,"="&amp;xyz!$A138,data!$B:$B,"="&amp;xyz!Z$2)</f>
        <v>0</v>
      </c>
      <c r="AA138">
        <f>SUMIFS(data!$C:$C,data!$A:$A,"="&amp;xyz!$A138,data!$B:$B,"="&amp;xyz!AA$2)</f>
        <v>2</v>
      </c>
      <c r="AB138">
        <f>SUMIFS(data!$C:$C,data!$A:$A,"="&amp;xyz!$A138,data!$B:$B,"="&amp;xyz!AB$2)</f>
        <v>0</v>
      </c>
      <c r="AC138">
        <f>SUMIFS(data!$C:$C,data!$A:$A,"="&amp;xyz!$A138,data!$B:$B,"="&amp;xyz!AC$2)</f>
        <v>2</v>
      </c>
      <c r="AD138">
        <f>SUMIFS(data!$C:$C,data!$A:$A,"="&amp;xyz!$A138,data!$B:$B,"="&amp;xyz!AD$2)</f>
        <v>1</v>
      </c>
      <c r="AE138">
        <f>SUMIFS(data!$C:$C,data!$A:$A,"="&amp;xyz!$A138,data!$B:$B,"="&amp;xyz!AE$2)</f>
        <v>1</v>
      </c>
      <c r="AF138">
        <f>SUMIFS(data!$C:$C,data!$A:$A,"="&amp;xyz!$A138,data!$B:$B,"="&amp;xyz!AF$2)</f>
        <v>0</v>
      </c>
      <c r="AG138">
        <f>SUMIFS(data!$C:$C,data!$A:$A,"="&amp;xyz!$A138,data!$B:$B,"="&amp;xyz!AG$2)</f>
        <v>1</v>
      </c>
      <c r="AH138">
        <f>SUMIFS(data!$C:$C,data!$A:$A,"="&amp;xyz!$A138,data!$B:$B,"="&amp;xyz!AH$2)</f>
        <v>0</v>
      </c>
      <c r="AI138">
        <f>SUMIFS(data!$C:$C,data!$A:$A,"="&amp;xyz!$A138,data!$B:$B,"="&amp;xyz!AI$2)</f>
        <v>0</v>
      </c>
      <c r="AJ138">
        <f>SUMIFS(data!$C:$C,data!$A:$A,"="&amp;xyz!$A138,data!$B:$B,"="&amp;xyz!AJ$2)</f>
        <v>0</v>
      </c>
      <c r="AK138">
        <f>SUMIFS(data!$C:$C,data!$A:$A,"="&amp;xyz!$A138,data!$B:$B,"="&amp;xyz!AK$2)</f>
        <v>3</v>
      </c>
      <c r="AL138">
        <f>SUMIFS(data!$C:$C,data!$A:$A,"="&amp;xyz!$A138,data!$B:$B,"="&amp;xyz!AL$2)</f>
        <v>0</v>
      </c>
      <c r="AM138">
        <f>SUMIFS(data!$C:$C,data!$A:$A,"="&amp;xyz!$A138,data!$B:$B,"="&amp;xyz!AM$2)</f>
        <v>0</v>
      </c>
      <c r="AN138">
        <f>SUMIFS(data!$C:$C,data!$A:$A,"="&amp;xyz!$A138,data!$B:$B,"="&amp;xyz!AN$2)</f>
        <v>0</v>
      </c>
      <c r="AO138">
        <f>SUMIFS(data!$C:$C,data!$A:$A,"="&amp;xyz!$A138,data!$B:$B,"="&amp;xyz!AO$2)</f>
        <v>2</v>
      </c>
      <c r="AP138">
        <f>SUMIFS(data!$C:$C,data!$A:$A,"="&amp;xyz!$A138,data!$B:$B,"="&amp;xyz!AP$2)</f>
        <v>2</v>
      </c>
      <c r="AQ138" s="6">
        <f t="shared" si="6"/>
        <v>1.0104402963155041</v>
      </c>
    </row>
    <row r="139" spans="1:43" x14ac:dyDescent="0.3">
      <c r="A139" t="s">
        <v>14</v>
      </c>
      <c r="B139" s="6">
        <f t="shared" si="5"/>
        <v>0.90697674418604646</v>
      </c>
      <c r="C139">
        <f>SUMIFS(data!$C:$C,data!$A:$A,"="&amp;xyz!$A139,data!$B:$B,"="&amp;xyz!C$2)</f>
        <v>0</v>
      </c>
      <c r="D139">
        <f>SUMIFS(data!$C:$C,data!$A:$A,"="&amp;xyz!$A139,data!$B:$B,"="&amp;xyz!D$2)</f>
        <v>0.5</v>
      </c>
      <c r="E139">
        <f>SUMIFS(data!$C:$C,data!$A:$A,"="&amp;xyz!$A139,data!$B:$B,"="&amp;xyz!E$2)</f>
        <v>0.30000000000000004</v>
      </c>
      <c r="F139">
        <f>SUMIFS(data!$C:$C,data!$A:$A,"="&amp;xyz!$A139,data!$B:$B,"="&amp;xyz!F$2)</f>
        <v>0</v>
      </c>
      <c r="G139">
        <f>SUMIFS(data!$C:$C,data!$A:$A,"="&amp;xyz!$A139,data!$B:$B,"="&amp;xyz!G$2)</f>
        <v>0.2</v>
      </c>
      <c r="H139">
        <f>SUMIFS(data!$C:$C,data!$A:$A,"="&amp;xyz!$A139,data!$B:$B,"="&amp;xyz!H$2)</f>
        <v>2.2999999999999998</v>
      </c>
      <c r="I139">
        <f>SUMIFS(data!$C:$C,data!$A:$A,"="&amp;xyz!$A139,data!$B:$B,"="&amp;xyz!I$2)</f>
        <v>0.5</v>
      </c>
      <c r="J139">
        <f>SUMIFS(data!$C:$C,data!$A:$A,"="&amp;xyz!$A139,data!$B:$B,"="&amp;xyz!J$2)</f>
        <v>1.3</v>
      </c>
      <c r="K139">
        <f>SUMIFS(data!$C:$C,data!$A:$A,"="&amp;xyz!$A139,data!$B:$B,"="&amp;xyz!K$2)</f>
        <v>0</v>
      </c>
      <c r="L139">
        <f>SUMIFS(data!$C:$C,data!$A:$A,"="&amp;xyz!$A139,data!$B:$B,"="&amp;xyz!L$2)</f>
        <v>0.1</v>
      </c>
      <c r="M139">
        <f>SUMIFS(data!$C:$C,data!$A:$A,"="&amp;xyz!$A139,data!$B:$B,"="&amp;xyz!M$2)</f>
        <v>2</v>
      </c>
      <c r="N139">
        <f>SUMIFS(data!$C:$C,data!$A:$A,"="&amp;xyz!$A139,data!$B:$B,"="&amp;xyz!N$2)</f>
        <v>0.4</v>
      </c>
      <c r="O139">
        <f>SUMIFS(data!$C:$C,data!$A:$A,"="&amp;xyz!$A139,data!$B:$B,"="&amp;xyz!O$2)</f>
        <v>1.5</v>
      </c>
      <c r="P139">
        <f>SUMIFS(data!$C:$C,data!$A:$A,"="&amp;xyz!$A139,data!$B:$B,"="&amp;xyz!P$2)</f>
        <v>0.2</v>
      </c>
      <c r="Q139">
        <f>SUMIFS(data!$C:$C,data!$A:$A,"="&amp;xyz!$A139,data!$B:$B,"="&amp;xyz!Q$2)</f>
        <v>0.7</v>
      </c>
      <c r="R139">
        <f>SUMIFS(data!$C:$C,data!$A:$A,"="&amp;xyz!$A139,data!$B:$B,"="&amp;xyz!R$2)</f>
        <v>1.2</v>
      </c>
      <c r="S139">
        <f>SUMIFS(data!$C:$C,data!$A:$A,"="&amp;xyz!$A139,data!$B:$B,"="&amp;xyz!S$2)</f>
        <v>0.3</v>
      </c>
      <c r="T139">
        <f>SUMIFS(data!$C:$C,data!$A:$A,"="&amp;xyz!$A139,data!$B:$B,"="&amp;xyz!T$2)</f>
        <v>0.2</v>
      </c>
      <c r="U139">
        <f>SUMIFS(data!$C:$C,data!$A:$A,"="&amp;xyz!$A139,data!$B:$B,"="&amp;xyz!U$2)</f>
        <v>1.5</v>
      </c>
      <c r="V139">
        <f>SUMIFS(data!$C:$C,data!$A:$A,"="&amp;xyz!$A139,data!$B:$B,"="&amp;xyz!V$2)</f>
        <v>1.3</v>
      </c>
      <c r="W139">
        <f>SUMIFS(data!$C:$C,data!$A:$A,"="&amp;xyz!$A139,data!$B:$B,"="&amp;xyz!W$2)</f>
        <v>0</v>
      </c>
      <c r="X139">
        <f>SUMIFS(data!$C:$C,data!$A:$A,"="&amp;xyz!$A139,data!$B:$B,"="&amp;xyz!X$2)</f>
        <v>0</v>
      </c>
      <c r="Y139">
        <f>SUMIFS(data!$C:$C,data!$A:$A,"="&amp;xyz!$A139,data!$B:$B,"="&amp;xyz!Y$2)</f>
        <v>0.1</v>
      </c>
      <c r="Z139">
        <f>SUMIFS(data!$C:$C,data!$A:$A,"="&amp;xyz!$A139,data!$B:$B,"="&amp;xyz!Z$2)</f>
        <v>0</v>
      </c>
      <c r="AA139">
        <f>SUMIFS(data!$C:$C,data!$A:$A,"="&amp;xyz!$A139,data!$B:$B,"="&amp;xyz!AA$2)</f>
        <v>0.3</v>
      </c>
      <c r="AB139">
        <f>SUMIFS(data!$C:$C,data!$A:$A,"="&amp;xyz!$A139,data!$B:$B,"="&amp;xyz!AB$2)</f>
        <v>0.30000000000000004</v>
      </c>
      <c r="AC139">
        <f>SUMIFS(data!$C:$C,data!$A:$A,"="&amp;xyz!$A139,data!$B:$B,"="&amp;xyz!AC$2)</f>
        <v>0</v>
      </c>
      <c r="AD139">
        <f>SUMIFS(data!$C:$C,data!$A:$A,"="&amp;xyz!$A139,data!$B:$B,"="&amp;xyz!AD$2)</f>
        <v>0.5</v>
      </c>
      <c r="AE139">
        <f>SUMIFS(data!$C:$C,data!$A:$A,"="&amp;xyz!$A139,data!$B:$B,"="&amp;xyz!AE$2)</f>
        <v>0.7</v>
      </c>
      <c r="AF139">
        <f>SUMIFS(data!$C:$C,data!$A:$A,"="&amp;xyz!$A139,data!$B:$B,"="&amp;xyz!AF$2)</f>
        <v>0</v>
      </c>
      <c r="AG139">
        <f>SUMIFS(data!$C:$C,data!$A:$A,"="&amp;xyz!$A139,data!$B:$B,"="&amp;xyz!AG$2)</f>
        <v>0.4</v>
      </c>
      <c r="AH139">
        <f>SUMIFS(data!$C:$C,data!$A:$A,"="&amp;xyz!$A139,data!$B:$B,"="&amp;xyz!AH$2)</f>
        <v>0</v>
      </c>
      <c r="AI139">
        <f>SUMIFS(data!$C:$C,data!$A:$A,"="&amp;xyz!$A139,data!$B:$B,"="&amp;xyz!AI$2)</f>
        <v>0.5</v>
      </c>
      <c r="AJ139">
        <f>SUMIFS(data!$C:$C,data!$A:$A,"="&amp;xyz!$A139,data!$B:$B,"="&amp;xyz!AJ$2)</f>
        <v>0.7</v>
      </c>
      <c r="AK139">
        <f>SUMIFS(data!$C:$C,data!$A:$A,"="&amp;xyz!$A139,data!$B:$B,"="&amp;xyz!AK$2)</f>
        <v>0.2</v>
      </c>
      <c r="AL139">
        <f>SUMIFS(data!$C:$C,data!$A:$A,"="&amp;xyz!$A139,data!$B:$B,"="&amp;xyz!AL$2)</f>
        <v>0</v>
      </c>
      <c r="AM139">
        <f>SUMIFS(data!$C:$C,data!$A:$A,"="&amp;xyz!$A139,data!$B:$B,"="&amp;xyz!AM$2)</f>
        <v>0.1</v>
      </c>
      <c r="AN139">
        <f>SUMIFS(data!$C:$C,data!$A:$A,"="&amp;xyz!$A139,data!$B:$B,"="&amp;xyz!AN$2)</f>
        <v>1</v>
      </c>
      <c r="AO139">
        <f>SUMIFS(data!$C:$C,data!$A:$A,"="&amp;xyz!$A139,data!$B:$B,"="&amp;xyz!AO$2)</f>
        <v>0.2</v>
      </c>
      <c r="AP139">
        <f>SUMIFS(data!$C:$C,data!$A:$A,"="&amp;xyz!$A139,data!$B:$B,"="&amp;xyz!AP$2)</f>
        <v>2</v>
      </c>
      <c r="AQ139" s="6">
        <f t="shared" si="6"/>
        <v>1.1703747900212709</v>
      </c>
    </row>
    <row r="140" spans="1:43" x14ac:dyDescent="0.3">
      <c r="A140" t="s">
        <v>26</v>
      </c>
      <c r="B140" s="6">
        <f t="shared" si="5"/>
        <v>0.51543704790261669</v>
      </c>
      <c r="C140">
        <f>SUMIFS(data!$C:$C,data!$A:$A,"="&amp;xyz!$A140,data!$B:$B,"="&amp;xyz!C$2)</f>
        <v>0.5</v>
      </c>
      <c r="D140">
        <f>SUMIFS(data!$C:$C,data!$A:$A,"="&amp;xyz!$A140,data!$B:$B,"="&amp;xyz!D$2)</f>
        <v>0.4</v>
      </c>
      <c r="E140">
        <f>SUMIFS(data!$C:$C,data!$A:$A,"="&amp;xyz!$A140,data!$B:$B,"="&amp;xyz!E$2)</f>
        <v>0.90000000000000013</v>
      </c>
      <c r="F140">
        <f>SUMIFS(data!$C:$C,data!$A:$A,"="&amp;xyz!$A140,data!$B:$B,"="&amp;xyz!F$2)</f>
        <v>1.3333329999999999</v>
      </c>
      <c r="G140">
        <f>SUMIFS(data!$C:$C,data!$A:$A,"="&amp;xyz!$A140,data!$B:$B,"="&amp;xyz!G$2)</f>
        <v>1.9</v>
      </c>
      <c r="H140">
        <f>SUMIFS(data!$C:$C,data!$A:$A,"="&amp;xyz!$A140,data!$B:$B,"="&amp;xyz!H$2)</f>
        <v>1.7999999999999998</v>
      </c>
      <c r="I140">
        <f>SUMIFS(data!$C:$C,data!$A:$A,"="&amp;xyz!$A140,data!$B:$B,"="&amp;xyz!I$2)</f>
        <v>0.2</v>
      </c>
      <c r="J140">
        <f>SUMIFS(data!$C:$C,data!$A:$A,"="&amp;xyz!$A140,data!$B:$B,"="&amp;xyz!J$2)</f>
        <v>2.7000000000000011</v>
      </c>
      <c r="K140">
        <f>SUMIFS(data!$C:$C,data!$A:$A,"="&amp;xyz!$A140,data!$B:$B,"="&amp;xyz!K$2)</f>
        <v>0</v>
      </c>
      <c r="L140">
        <f>SUMIFS(data!$C:$C,data!$A:$A,"="&amp;xyz!$A140,data!$B:$B,"="&amp;xyz!L$2)</f>
        <v>2.5</v>
      </c>
      <c r="M140">
        <f>SUMIFS(data!$C:$C,data!$A:$A,"="&amp;xyz!$A140,data!$B:$B,"="&amp;xyz!M$2)</f>
        <v>0.30000000000000004</v>
      </c>
      <c r="N140">
        <f>SUMIFS(data!$C:$C,data!$A:$A,"="&amp;xyz!$A140,data!$B:$B,"="&amp;xyz!N$2)</f>
        <v>0.66666670000000006</v>
      </c>
      <c r="O140">
        <f>SUMIFS(data!$C:$C,data!$A:$A,"="&amp;xyz!$A140,data!$B:$B,"="&amp;xyz!O$2)</f>
        <v>0.6</v>
      </c>
      <c r="P140">
        <f>SUMIFS(data!$C:$C,data!$A:$A,"="&amp;xyz!$A140,data!$B:$B,"="&amp;xyz!P$2)</f>
        <v>1</v>
      </c>
      <c r="Q140">
        <f>SUMIFS(data!$C:$C,data!$A:$A,"="&amp;xyz!$A140,data!$B:$B,"="&amp;xyz!Q$2)</f>
        <v>1.8000000000000003</v>
      </c>
      <c r="R140">
        <f>SUMIFS(data!$C:$C,data!$A:$A,"="&amp;xyz!$A140,data!$B:$B,"="&amp;xyz!R$2)</f>
        <v>0.90000000000000013</v>
      </c>
      <c r="S140">
        <f>SUMIFS(data!$C:$C,data!$A:$A,"="&amp;xyz!$A140,data!$B:$B,"="&amp;xyz!S$2)</f>
        <v>1</v>
      </c>
      <c r="T140">
        <f>SUMIFS(data!$C:$C,data!$A:$A,"="&amp;xyz!$A140,data!$B:$B,"="&amp;xyz!T$2)</f>
        <v>3.3333300000000003E-2</v>
      </c>
      <c r="U140">
        <f>SUMIFS(data!$C:$C,data!$A:$A,"="&amp;xyz!$A140,data!$B:$B,"="&amp;xyz!U$2)</f>
        <v>0.56666670000000008</v>
      </c>
      <c r="V140">
        <f>SUMIFS(data!$C:$C,data!$A:$A,"="&amp;xyz!$A140,data!$B:$B,"="&amp;xyz!V$2)</f>
        <v>0.89999999999999991</v>
      </c>
      <c r="W140">
        <f>SUMIFS(data!$C:$C,data!$A:$A,"="&amp;xyz!$A140,data!$B:$B,"="&amp;xyz!W$2)</f>
        <v>1.233333</v>
      </c>
      <c r="X140">
        <f>SUMIFS(data!$C:$C,data!$A:$A,"="&amp;xyz!$A140,data!$B:$B,"="&amp;xyz!X$2)</f>
        <v>0.30000000000000004</v>
      </c>
      <c r="Y140">
        <f>SUMIFS(data!$C:$C,data!$A:$A,"="&amp;xyz!$A140,data!$B:$B,"="&amp;xyz!Y$2)</f>
        <v>1.4000000000000004</v>
      </c>
      <c r="Z140">
        <f>SUMIFS(data!$C:$C,data!$A:$A,"="&amp;xyz!$A140,data!$B:$B,"="&amp;xyz!Z$2)</f>
        <v>1.3000000000000003</v>
      </c>
      <c r="AA140">
        <f>SUMIFS(data!$C:$C,data!$A:$A,"="&amp;xyz!$A140,data!$B:$B,"="&amp;xyz!AA$2)</f>
        <v>0.9</v>
      </c>
      <c r="AB140">
        <f>SUMIFS(data!$C:$C,data!$A:$A,"="&amp;xyz!$A140,data!$B:$B,"="&amp;xyz!AB$2)</f>
        <v>1.1000000000000001</v>
      </c>
      <c r="AC140">
        <f>SUMIFS(data!$C:$C,data!$A:$A,"="&amp;xyz!$A140,data!$B:$B,"="&amp;xyz!AC$2)</f>
        <v>1.6000003</v>
      </c>
      <c r="AD140">
        <f>SUMIFS(data!$C:$C,data!$A:$A,"="&amp;xyz!$A140,data!$B:$B,"="&amp;xyz!AD$2)</f>
        <v>2.3000000000000003</v>
      </c>
      <c r="AE140">
        <f>SUMIFS(data!$C:$C,data!$A:$A,"="&amp;xyz!$A140,data!$B:$B,"="&amp;xyz!AE$2)</f>
        <v>0.30000000000000004</v>
      </c>
      <c r="AF140">
        <f>SUMIFS(data!$C:$C,data!$A:$A,"="&amp;xyz!$A140,data!$B:$B,"="&amp;xyz!AF$2)</f>
        <v>0.6</v>
      </c>
      <c r="AG140">
        <f>SUMIFS(data!$C:$C,data!$A:$A,"="&amp;xyz!$A140,data!$B:$B,"="&amp;xyz!AG$2)</f>
        <v>0.7</v>
      </c>
      <c r="AH140">
        <f>SUMIFS(data!$C:$C,data!$A:$A,"="&amp;xyz!$A140,data!$B:$B,"="&amp;xyz!AH$2)</f>
        <v>0.7</v>
      </c>
      <c r="AI140">
        <f>SUMIFS(data!$C:$C,data!$A:$A,"="&amp;xyz!$A140,data!$B:$B,"="&amp;xyz!AI$2)</f>
        <v>0.4</v>
      </c>
      <c r="AJ140">
        <f>SUMIFS(data!$C:$C,data!$A:$A,"="&amp;xyz!$A140,data!$B:$B,"="&amp;xyz!AJ$2)</f>
        <v>2.2666667000000005</v>
      </c>
      <c r="AK140">
        <f>SUMIFS(data!$C:$C,data!$A:$A,"="&amp;xyz!$A140,data!$B:$B,"="&amp;xyz!AK$2)</f>
        <v>0.8</v>
      </c>
      <c r="AL140">
        <f>SUMIFS(data!$C:$C,data!$A:$A,"="&amp;xyz!$A140,data!$B:$B,"="&amp;xyz!AL$2)</f>
        <v>1</v>
      </c>
      <c r="AM140">
        <f>SUMIFS(data!$C:$C,data!$A:$A,"="&amp;xyz!$A140,data!$B:$B,"="&amp;xyz!AM$2)</f>
        <v>1</v>
      </c>
      <c r="AN140">
        <f>SUMIFS(data!$C:$C,data!$A:$A,"="&amp;xyz!$A140,data!$B:$B,"="&amp;xyz!AN$2)</f>
        <v>1.5</v>
      </c>
      <c r="AO140">
        <f>SUMIFS(data!$C:$C,data!$A:$A,"="&amp;xyz!$A140,data!$B:$B,"="&amp;xyz!AO$2)</f>
        <v>0.6</v>
      </c>
      <c r="AP140">
        <f>SUMIFS(data!$C:$C,data!$A:$A,"="&amp;xyz!$A140,data!$B:$B,"="&amp;xyz!AP$2)</f>
        <v>1.5666670000000003</v>
      </c>
      <c r="AQ140" s="6">
        <f t="shared" si="6"/>
        <v>0.65145171895580889</v>
      </c>
    </row>
    <row r="141" spans="1:43" x14ac:dyDescent="0.3">
      <c r="A141" t="s">
        <v>125</v>
      </c>
      <c r="B141" s="6">
        <f t="shared" si="5"/>
        <v>0.8761904761904763</v>
      </c>
      <c r="C141">
        <f>SUMIFS(data!$C:$C,data!$A:$A,"="&amp;xyz!$A141,data!$B:$B,"="&amp;xyz!C$2)</f>
        <v>0</v>
      </c>
      <c r="D141">
        <f>SUMIFS(data!$C:$C,data!$A:$A,"="&amp;xyz!$A141,data!$B:$B,"="&amp;xyz!D$2)</f>
        <v>0</v>
      </c>
      <c r="E141">
        <f>SUMIFS(data!$C:$C,data!$A:$A,"="&amp;xyz!$A141,data!$B:$B,"="&amp;xyz!E$2)</f>
        <v>0</v>
      </c>
      <c r="F141">
        <f>SUMIFS(data!$C:$C,data!$A:$A,"="&amp;xyz!$A141,data!$B:$B,"="&amp;xyz!F$2)</f>
        <v>0</v>
      </c>
      <c r="G141">
        <f>SUMIFS(data!$C:$C,data!$A:$A,"="&amp;xyz!$A141,data!$B:$B,"="&amp;xyz!G$2)</f>
        <v>1</v>
      </c>
      <c r="H141">
        <f>SUMIFS(data!$C:$C,data!$A:$A,"="&amp;xyz!$A141,data!$B:$B,"="&amp;xyz!H$2)</f>
        <v>2</v>
      </c>
      <c r="I141">
        <f>SUMIFS(data!$C:$C,data!$A:$A,"="&amp;xyz!$A141,data!$B:$B,"="&amp;xyz!I$2)</f>
        <v>1</v>
      </c>
      <c r="J141">
        <f>SUMIFS(data!$C:$C,data!$A:$A,"="&amp;xyz!$A141,data!$B:$B,"="&amp;xyz!J$2)</f>
        <v>1</v>
      </c>
      <c r="K141">
        <f>SUMIFS(data!$C:$C,data!$A:$A,"="&amp;xyz!$A141,data!$B:$B,"="&amp;xyz!K$2)</f>
        <v>0</v>
      </c>
      <c r="L141">
        <f>SUMIFS(data!$C:$C,data!$A:$A,"="&amp;xyz!$A141,data!$B:$B,"="&amp;xyz!L$2)</f>
        <v>0</v>
      </c>
      <c r="M141">
        <f>SUMIFS(data!$C:$C,data!$A:$A,"="&amp;xyz!$A141,data!$B:$B,"="&amp;xyz!M$2)</f>
        <v>0</v>
      </c>
      <c r="N141">
        <f>SUMIFS(data!$C:$C,data!$A:$A,"="&amp;xyz!$A141,data!$B:$B,"="&amp;xyz!N$2)</f>
        <v>1</v>
      </c>
      <c r="O141">
        <f>SUMIFS(data!$C:$C,data!$A:$A,"="&amp;xyz!$A141,data!$B:$B,"="&amp;xyz!O$2)</f>
        <v>0</v>
      </c>
      <c r="P141">
        <f>SUMIFS(data!$C:$C,data!$A:$A,"="&amp;xyz!$A141,data!$B:$B,"="&amp;xyz!P$2)</f>
        <v>0</v>
      </c>
      <c r="Q141">
        <f>SUMIFS(data!$C:$C,data!$A:$A,"="&amp;xyz!$A141,data!$B:$B,"="&amp;xyz!Q$2)</f>
        <v>0</v>
      </c>
      <c r="R141">
        <f>SUMIFS(data!$C:$C,data!$A:$A,"="&amp;xyz!$A141,data!$B:$B,"="&amp;xyz!R$2)</f>
        <v>2</v>
      </c>
      <c r="S141">
        <f>SUMIFS(data!$C:$C,data!$A:$A,"="&amp;xyz!$A141,data!$B:$B,"="&amp;xyz!S$2)</f>
        <v>2</v>
      </c>
      <c r="T141">
        <f>SUMIFS(data!$C:$C,data!$A:$A,"="&amp;xyz!$A141,data!$B:$B,"="&amp;xyz!T$2)</f>
        <v>2</v>
      </c>
      <c r="U141">
        <f>SUMIFS(data!$C:$C,data!$A:$A,"="&amp;xyz!$A141,data!$B:$B,"="&amp;xyz!U$2)</f>
        <v>0</v>
      </c>
      <c r="V141">
        <f>SUMIFS(data!$C:$C,data!$A:$A,"="&amp;xyz!$A141,data!$B:$B,"="&amp;xyz!V$2)</f>
        <v>1</v>
      </c>
      <c r="W141">
        <f>SUMIFS(data!$C:$C,data!$A:$A,"="&amp;xyz!$A141,data!$B:$B,"="&amp;xyz!W$2)</f>
        <v>3</v>
      </c>
      <c r="X141">
        <f>SUMIFS(data!$C:$C,data!$A:$A,"="&amp;xyz!$A141,data!$B:$B,"="&amp;xyz!X$2)</f>
        <v>3</v>
      </c>
      <c r="Y141">
        <f>SUMIFS(data!$C:$C,data!$A:$A,"="&amp;xyz!$A141,data!$B:$B,"="&amp;xyz!Y$2)</f>
        <v>0</v>
      </c>
      <c r="Z141">
        <f>SUMIFS(data!$C:$C,data!$A:$A,"="&amp;xyz!$A141,data!$B:$B,"="&amp;xyz!Z$2)</f>
        <v>5</v>
      </c>
      <c r="AA141">
        <f>SUMIFS(data!$C:$C,data!$A:$A,"="&amp;xyz!$A141,data!$B:$B,"="&amp;xyz!AA$2)</f>
        <v>0</v>
      </c>
      <c r="AB141">
        <f>SUMIFS(data!$C:$C,data!$A:$A,"="&amp;xyz!$A141,data!$B:$B,"="&amp;xyz!AB$2)</f>
        <v>0</v>
      </c>
      <c r="AC141">
        <f>SUMIFS(data!$C:$C,data!$A:$A,"="&amp;xyz!$A141,data!$B:$B,"="&amp;xyz!AC$2)</f>
        <v>0</v>
      </c>
      <c r="AD141">
        <f>SUMIFS(data!$C:$C,data!$A:$A,"="&amp;xyz!$A141,data!$B:$B,"="&amp;xyz!AD$2)</f>
        <v>4</v>
      </c>
      <c r="AE141">
        <f>SUMIFS(data!$C:$C,data!$A:$A,"="&amp;xyz!$A141,data!$B:$B,"="&amp;xyz!AE$2)</f>
        <v>2</v>
      </c>
      <c r="AF141">
        <f>SUMIFS(data!$C:$C,data!$A:$A,"="&amp;xyz!$A141,data!$B:$B,"="&amp;xyz!AF$2)</f>
        <v>1</v>
      </c>
      <c r="AG141">
        <f>SUMIFS(data!$C:$C,data!$A:$A,"="&amp;xyz!$A141,data!$B:$B,"="&amp;xyz!AG$2)</f>
        <v>1</v>
      </c>
      <c r="AH141">
        <f>SUMIFS(data!$C:$C,data!$A:$A,"="&amp;xyz!$A141,data!$B:$B,"="&amp;xyz!AH$2)</f>
        <v>1</v>
      </c>
      <c r="AI141">
        <f>SUMIFS(data!$C:$C,data!$A:$A,"="&amp;xyz!$A141,data!$B:$B,"="&amp;xyz!AI$2)</f>
        <v>1</v>
      </c>
      <c r="AJ141">
        <f>SUMIFS(data!$C:$C,data!$A:$A,"="&amp;xyz!$A141,data!$B:$B,"="&amp;xyz!AJ$2)</f>
        <v>1</v>
      </c>
      <c r="AK141">
        <f>SUMIFS(data!$C:$C,data!$A:$A,"="&amp;xyz!$A141,data!$B:$B,"="&amp;xyz!AK$2)</f>
        <v>0</v>
      </c>
      <c r="AL141">
        <f>SUMIFS(data!$C:$C,data!$A:$A,"="&amp;xyz!$A141,data!$B:$B,"="&amp;xyz!AL$2)</f>
        <v>2</v>
      </c>
      <c r="AM141">
        <f>SUMIFS(data!$C:$C,data!$A:$A,"="&amp;xyz!$A141,data!$B:$B,"="&amp;xyz!AM$2)</f>
        <v>2</v>
      </c>
      <c r="AN141">
        <f>SUMIFS(data!$C:$C,data!$A:$A,"="&amp;xyz!$A141,data!$B:$B,"="&amp;xyz!AN$2)</f>
        <v>2</v>
      </c>
      <c r="AO141">
        <f>SUMIFS(data!$C:$C,data!$A:$A,"="&amp;xyz!$A141,data!$B:$B,"="&amp;xyz!AO$2)</f>
        <v>1</v>
      </c>
      <c r="AP141">
        <f>SUMIFS(data!$C:$C,data!$A:$A,"="&amp;xyz!$A141,data!$B:$B,"="&amp;xyz!AP$2)</f>
        <v>0</v>
      </c>
      <c r="AQ141" s="6">
        <f t="shared" si="6"/>
        <v>1.1604266103543515</v>
      </c>
    </row>
    <row r="142" spans="1:43" x14ac:dyDescent="0.3">
      <c r="A142" t="s">
        <v>6</v>
      </c>
      <c r="B142" s="6">
        <f t="shared" si="5"/>
        <v>0.78538461538461535</v>
      </c>
      <c r="C142">
        <f>SUMIFS(data!$C:$C,data!$A:$A,"="&amp;xyz!$A142,data!$B:$B,"="&amp;xyz!C$2)</f>
        <v>0</v>
      </c>
      <c r="D142">
        <f>SUMIFS(data!$C:$C,data!$A:$A,"="&amp;xyz!$A142,data!$B:$B,"="&amp;xyz!D$2)</f>
        <v>0</v>
      </c>
      <c r="E142">
        <f>SUMIFS(data!$C:$C,data!$A:$A,"="&amp;xyz!$A142,data!$B:$B,"="&amp;xyz!E$2)</f>
        <v>0</v>
      </c>
      <c r="F142">
        <f>SUMIFS(data!$C:$C,data!$A:$A,"="&amp;xyz!$A142,data!$B:$B,"="&amp;xyz!F$2)</f>
        <v>0</v>
      </c>
      <c r="G142">
        <f>SUMIFS(data!$C:$C,data!$A:$A,"="&amp;xyz!$A142,data!$B:$B,"="&amp;xyz!G$2)</f>
        <v>1.1000000000000001</v>
      </c>
      <c r="H142">
        <f>SUMIFS(data!$C:$C,data!$A:$A,"="&amp;xyz!$A142,data!$B:$B,"="&amp;xyz!H$2)</f>
        <v>2</v>
      </c>
      <c r="I142">
        <f>SUMIFS(data!$C:$C,data!$A:$A,"="&amp;xyz!$A142,data!$B:$B,"="&amp;xyz!I$2)</f>
        <v>2</v>
      </c>
      <c r="J142">
        <f>SUMIFS(data!$C:$C,data!$A:$A,"="&amp;xyz!$A142,data!$B:$B,"="&amp;xyz!J$2)</f>
        <v>1.6</v>
      </c>
      <c r="K142">
        <f>SUMIFS(data!$C:$C,data!$A:$A,"="&amp;xyz!$A142,data!$B:$B,"="&amp;xyz!K$2)</f>
        <v>0</v>
      </c>
      <c r="L142">
        <f>SUMIFS(data!$C:$C,data!$A:$A,"="&amp;xyz!$A142,data!$B:$B,"="&amp;xyz!L$2)</f>
        <v>0.1</v>
      </c>
      <c r="M142">
        <f>SUMIFS(data!$C:$C,data!$A:$A,"="&amp;xyz!$A142,data!$B:$B,"="&amp;xyz!M$2)</f>
        <v>1.5</v>
      </c>
      <c r="N142">
        <f>SUMIFS(data!$C:$C,data!$A:$A,"="&amp;xyz!$A142,data!$B:$B,"="&amp;xyz!N$2)</f>
        <v>0</v>
      </c>
      <c r="O142">
        <f>SUMIFS(data!$C:$C,data!$A:$A,"="&amp;xyz!$A142,data!$B:$B,"="&amp;xyz!O$2)</f>
        <v>0.5</v>
      </c>
      <c r="P142">
        <f>SUMIFS(data!$C:$C,data!$A:$A,"="&amp;xyz!$A142,data!$B:$B,"="&amp;xyz!P$2)</f>
        <v>0</v>
      </c>
      <c r="Q142">
        <f>SUMIFS(data!$C:$C,data!$A:$A,"="&amp;xyz!$A142,data!$B:$B,"="&amp;xyz!Q$2)</f>
        <v>1.6</v>
      </c>
      <c r="R142">
        <f>SUMIFS(data!$C:$C,data!$A:$A,"="&amp;xyz!$A142,data!$B:$B,"="&amp;xyz!R$2)</f>
        <v>0</v>
      </c>
      <c r="S142">
        <f>SUMIFS(data!$C:$C,data!$A:$A,"="&amp;xyz!$A142,data!$B:$B,"="&amp;xyz!S$2)</f>
        <v>0.2</v>
      </c>
      <c r="T142">
        <f>SUMIFS(data!$C:$C,data!$A:$A,"="&amp;xyz!$A142,data!$B:$B,"="&amp;xyz!T$2)</f>
        <v>1.4</v>
      </c>
      <c r="U142">
        <f>SUMIFS(data!$C:$C,data!$A:$A,"="&amp;xyz!$A142,data!$B:$B,"="&amp;xyz!U$2)</f>
        <v>0</v>
      </c>
      <c r="V142">
        <f>SUMIFS(data!$C:$C,data!$A:$A,"="&amp;xyz!$A142,data!$B:$B,"="&amp;xyz!V$2)</f>
        <v>0.4</v>
      </c>
      <c r="W142">
        <f>SUMIFS(data!$C:$C,data!$A:$A,"="&amp;xyz!$A142,data!$B:$B,"="&amp;xyz!W$2)</f>
        <v>0.4</v>
      </c>
      <c r="X142">
        <f>SUMIFS(data!$C:$C,data!$A:$A,"="&amp;xyz!$A142,data!$B:$B,"="&amp;xyz!X$2)</f>
        <v>1.2</v>
      </c>
      <c r="Y142">
        <f>SUMIFS(data!$C:$C,data!$A:$A,"="&amp;xyz!$A142,data!$B:$B,"="&amp;xyz!Y$2)</f>
        <v>1</v>
      </c>
      <c r="Z142">
        <f>SUMIFS(data!$C:$C,data!$A:$A,"="&amp;xyz!$A142,data!$B:$B,"="&amp;xyz!Z$2)</f>
        <v>1.4</v>
      </c>
      <c r="AA142">
        <f>SUMIFS(data!$C:$C,data!$A:$A,"="&amp;xyz!$A142,data!$B:$B,"="&amp;xyz!AA$2)</f>
        <v>0.2</v>
      </c>
      <c r="AB142">
        <f>SUMIFS(data!$C:$C,data!$A:$A,"="&amp;xyz!$A142,data!$B:$B,"="&amp;xyz!AB$2)</f>
        <v>1.7999999999999998</v>
      </c>
      <c r="AC142">
        <f>SUMIFS(data!$C:$C,data!$A:$A,"="&amp;xyz!$A142,data!$B:$B,"="&amp;xyz!AC$2)</f>
        <v>1</v>
      </c>
      <c r="AD142">
        <f>SUMIFS(data!$C:$C,data!$A:$A,"="&amp;xyz!$A142,data!$B:$B,"="&amp;xyz!AD$2)</f>
        <v>0.60000000000000009</v>
      </c>
      <c r="AE142">
        <f>SUMIFS(data!$C:$C,data!$A:$A,"="&amp;xyz!$A142,data!$B:$B,"="&amp;xyz!AE$2)</f>
        <v>0.2</v>
      </c>
      <c r="AF142">
        <f>SUMIFS(data!$C:$C,data!$A:$A,"="&amp;xyz!$A142,data!$B:$B,"="&amp;xyz!AF$2)</f>
        <v>0.60000000000000009</v>
      </c>
      <c r="AG142">
        <f>SUMIFS(data!$C:$C,data!$A:$A,"="&amp;xyz!$A142,data!$B:$B,"="&amp;xyz!AG$2)</f>
        <v>1.4</v>
      </c>
      <c r="AH142">
        <f>SUMIFS(data!$C:$C,data!$A:$A,"="&amp;xyz!$A142,data!$B:$B,"="&amp;xyz!AH$2)</f>
        <v>2</v>
      </c>
      <c r="AI142">
        <f>SUMIFS(data!$C:$C,data!$A:$A,"="&amp;xyz!$A142,data!$B:$B,"="&amp;xyz!AI$2)</f>
        <v>2</v>
      </c>
      <c r="AJ142">
        <f>SUMIFS(data!$C:$C,data!$A:$A,"="&amp;xyz!$A142,data!$B:$B,"="&amp;xyz!AJ$2)</f>
        <v>0.7</v>
      </c>
      <c r="AK142">
        <f>SUMIFS(data!$C:$C,data!$A:$A,"="&amp;xyz!$A142,data!$B:$B,"="&amp;xyz!AK$2)</f>
        <v>1</v>
      </c>
      <c r="AL142">
        <f>SUMIFS(data!$C:$C,data!$A:$A,"="&amp;xyz!$A142,data!$B:$B,"="&amp;xyz!AL$2)</f>
        <v>0.4</v>
      </c>
      <c r="AM142">
        <f>SUMIFS(data!$C:$C,data!$A:$A,"="&amp;xyz!$A142,data!$B:$B,"="&amp;xyz!AM$2)</f>
        <v>1</v>
      </c>
      <c r="AN142">
        <f>SUMIFS(data!$C:$C,data!$A:$A,"="&amp;xyz!$A142,data!$B:$B,"="&amp;xyz!AN$2)</f>
        <v>1</v>
      </c>
      <c r="AO142">
        <f>SUMIFS(data!$C:$C,data!$A:$A,"="&amp;xyz!$A142,data!$B:$B,"="&amp;xyz!AO$2)</f>
        <v>0</v>
      </c>
      <c r="AP142">
        <f>SUMIFS(data!$C:$C,data!$A:$A,"="&amp;xyz!$A142,data!$B:$B,"="&amp;xyz!AP$2)</f>
        <v>2.2000000000000002</v>
      </c>
      <c r="AQ142" s="6">
        <f t="shared" si="6"/>
        <v>0.89544439500315043</v>
      </c>
    </row>
    <row r="143" spans="1:43" x14ac:dyDescent="0.3">
      <c r="A143" t="s">
        <v>129</v>
      </c>
      <c r="B143" s="6">
        <f t="shared" si="5"/>
        <v>0.8912844036697245</v>
      </c>
      <c r="C143">
        <f>SUMIFS(data!$C:$C,data!$A:$A,"="&amp;xyz!$A143,data!$B:$B,"="&amp;xyz!C$2)</f>
        <v>0.08</v>
      </c>
      <c r="D143">
        <f>SUMIFS(data!$C:$C,data!$A:$A,"="&amp;xyz!$A143,data!$B:$B,"="&amp;xyz!D$2)</f>
        <v>0.4</v>
      </c>
      <c r="E143">
        <f>SUMIFS(data!$C:$C,data!$A:$A,"="&amp;xyz!$A143,data!$B:$B,"="&amp;xyz!E$2)</f>
        <v>0.12</v>
      </c>
      <c r="F143">
        <f>SUMIFS(data!$C:$C,data!$A:$A,"="&amp;xyz!$A143,data!$B:$B,"="&amp;xyz!F$2)</f>
        <v>0.32</v>
      </c>
      <c r="G143">
        <f>SUMIFS(data!$C:$C,data!$A:$A,"="&amp;xyz!$A143,data!$B:$B,"="&amp;xyz!G$2)</f>
        <v>0.12</v>
      </c>
      <c r="H143">
        <f>SUMIFS(data!$C:$C,data!$A:$A,"="&amp;xyz!$A143,data!$B:$B,"="&amp;xyz!H$2)</f>
        <v>1.1600000000000001</v>
      </c>
      <c r="I143">
        <f>SUMIFS(data!$C:$C,data!$A:$A,"="&amp;xyz!$A143,data!$B:$B,"="&amp;xyz!I$2)</f>
        <v>0.08</v>
      </c>
      <c r="J143">
        <f>SUMIFS(data!$C:$C,data!$A:$A,"="&amp;xyz!$A143,data!$B:$B,"="&amp;xyz!J$2)</f>
        <v>0.04</v>
      </c>
      <c r="K143">
        <f>SUMIFS(data!$C:$C,data!$A:$A,"="&amp;xyz!$A143,data!$B:$B,"="&amp;xyz!K$2)</f>
        <v>0</v>
      </c>
      <c r="L143">
        <f>SUMIFS(data!$C:$C,data!$A:$A,"="&amp;xyz!$A143,data!$B:$B,"="&amp;xyz!L$2)</f>
        <v>0.2</v>
      </c>
      <c r="M143">
        <f>SUMIFS(data!$C:$C,data!$A:$A,"="&amp;xyz!$A143,data!$B:$B,"="&amp;xyz!M$2)</f>
        <v>0</v>
      </c>
      <c r="N143">
        <f>SUMIFS(data!$C:$C,data!$A:$A,"="&amp;xyz!$A143,data!$B:$B,"="&amp;xyz!N$2)</f>
        <v>0</v>
      </c>
      <c r="O143">
        <f>SUMIFS(data!$C:$C,data!$A:$A,"="&amp;xyz!$A143,data!$B:$B,"="&amp;xyz!O$2)</f>
        <v>0.08</v>
      </c>
      <c r="P143">
        <f>SUMIFS(data!$C:$C,data!$A:$A,"="&amp;xyz!$A143,data!$B:$B,"="&amp;xyz!P$2)</f>
        <v>0.04</v>
      </c>
      <c r="Q143">
        <f>SUMIFS(data!$C:$C,data!$A:$A,"="&amp;xyz!$A143,data!$B:$B,"="&amp;xyz!Q$2)</f>
        <v>0</v>
      </c>
      <c r="R143">
        <f>SUMIFS(data!$C:$C,data!$A:$A,"="&amp;xyz!$A143,data!$B:$B,"="&amp;xyz!R$2)</f>
        <v>0.67999999999999994</v>
      </c>
      <c r="S143">
        <f>SUMIFS(data!$C:$C,data!$A:$A,"="&amp;xyz!$A143,data!$B:$B,"="&amp;xyz!S$2)</f>
        <v>0.08</v>
      </c>
      <c r="T143">
        <f>SUMIFS(data!$C:$C,data!$A:$A,"="&amp;xyz!$A143,data!$B:$B,"="&amp;xyz!T$2)</f>
        <v>0</v>
      </c>
      <c r="U143">
        <f>SUMIFS(data!$C:$C,data!$A:$A,"="&amp;xyz!$A143,data!$B:$B,"="&amp;xyz!U$2)</f>
        <v>0.64</v>
      </c>
      <c r="V143">
        <f>SUMIFS(data!$C:$C,data!$A:$A,"="&amp;xyz!$A143,data!$B:$B,"="&amp;xyz!V$2)</f>
        <v>0.24</v>
      </c>
      <c r="W143">
        <f>SUMIFS(data!$C:$C,data!$A:$A,"="&amp;xyz!$A143,data!$B:$B,"="&amp;xyz!W$2)</f>
        <v>0.16</v>
      </c>
      <c r="X143">
        <f>SUMIFS(data!$C:$C,data!$A:$A,"="&amp;xyz!$A143,data!$B:$B,"="&amp;xyz!X$2)</f>
        <v>0.84</v>
      </c>
      <c r="Y143">
        <f>SUMIFS(data!$C:$C,data!$A:$A,"="&amp;xyz!$A143,data!$B:$B,"="&amp;xyz!Y$2)</f>
        <v>0</v>
      </c>
      <c r="Z143">
        <f>SUMIFS(data!$C:$C,data!$A:$A,"="&amp;xyz!$A143,data!$B:$B,"="&amp;xyz!Z$2)</f>
        <v>0.56000000000000005</v>
      </c>
      <c r="AA143">
        <f>SUMIFS(data!$C:$C,data!$A:$A,"="&amp;xyz!$A143,data!$B:$B,"="&amp;xyz!AA$2)</f>
        <v>0.08</v>
      </c>
      <c r="AB143">
        <f>SUMIFS(data!$C:$C,data!$A:$A,"="&amp;xyz!$A143,data!$B:$B,"="&amp;xyz!AB$2)</f>
        <v>0.2</v>
      </c>
      <c r="AC143">
        <f>SUMIFS(data!$C:$C,data!$A:$A,"="&amp;xyz!$A143,data!$B:$B,"="&amp;xyz!AC$2)</f>
        <v>0.36</v>
      </c>
      <c r="AD143">
        <f>SUMIFS(data!$C:$C,data!$A:$A,"="&amp;xyz!$A143,data!$B:$B,"="&amp;xyz!AD$2)</f>
        <v>0.2</v>
      </c>
      <c r="AE143">
        <f>SUMIFS(data!$C:$C,data!$A:$A,"="&amp;xyz!$A143,data!$B:$B,"="&amp;xyz!AE$2)</f>
        <v>0.36</v>
      </c>
      <c r="AF143">
        <f>SUMIFS(data!$C:$C,data!$A:$A,"="&amp;xyz!$A143,data!$B:$B,"="&amp;xyz!AF$2)</f>
        <v>0.2</v>
      </c>
      <c r="AG143">
        <f>SUMIFS(data!$C:$C,data!$A:$A,"="&amp;xyz!$A143,data!$B:$B,"="&amp;xyz!AG$2)</f>
        <v>0.04</v>
      </c>
      <c r="AH143">
        <f>SUMIFS(data!$C:$C,data!$A:$A,"="&amp;xyz!$A143,data!$B:$B,"="&amp;xyz!AH$2)</f>
        <v>0.16</v>
      </c>
      <c r="AI143">
        <f>SUMIFS(data!$C:$C,data!$A:$A,"="&amp;xyz!$A143,data!$B:$B,"="&amp;xyz!AI$2)</f>
        <v>0</v>
      </c>
      <c r="AJ143">
        <f>SUMIFS(data!$C:$C,data!$A:$A,"="&amp;xyz!$A143,data!$B:$B,"="&amp;xyz!AJ$2)</f>
        <v>0.24</v>
      </c>
      <c r="AK143">
        <f>SUMIFS(data!$C:$C,data!$A:$A,"="&amp;xyz!$A143,data!$B:$B,"="&amp;xyz!AK$2)</f>
        <v>0.08</v>
      </c>
      <c r="AL143">
        <f>SUMIFS(data!$C:$C,data!$A:$A,"="&amp;xyz!$A143,data!$B:$B,"="&amp;xyz!AL$2)</f>
        <v>0</v>
      </c>
      <c r="AM143">
        <f>SUMIFS(data!$C:$C,data!$A:$A,"="&amp;xyz!$A143,data!$B:$B,"="&amp;xyz!AM$2)</f>
        <v>0.68</v>
      </c>
      <c r="AN143">
        <f>SUMIFS(data!$C:$C,data!$A:$A,"="&amp;xyz!$A143,data!$B:$B,"="&amp;xyz!AN$2)</f>
        <v>0.04</v>
      </c>
      <c r="AO143">
        <f>SUMIFS(data!$C:$C,data!$A:$A,"="&amp;xyz!$A143,data!$B:$B,"="&amp;xyz!AO$2)</f>
        <v>0.24</v>
      </c>
      <c r="AP143">
        <f>SUMIFS(data!$C:$C,data!$A:$A,"="&amp;xyz!$A143,data!$B:$B,"="&amp;xyz!AP$2)</f>
        <v>0</v>
      </c>
      <c r="AQ143" s="6">
        <f t="shared" si="6"/>
        <v>1.2241469244445695</v>
      </c>
    </row>
    <row r="144" spans="1:43" x14ac:dyDescent="0.3">
      <c r="A144" t="s">
        <v>119</v>
      </c>
      <c r="B144" s="6">
        <f t="shared" si="5"/>
        <v>0.92777789876544503</v>
      </c>
      <c r="C144">
        <f>SUMIFS(data!$C:$C,data!$A:$A,"="&amp;xyz!$A144,data!$B:$B,"="&amp;xyz!C$2)</f>
        <v>0</v>
      </c>
      <c r="D144">
        <f>SUMIFS(data!$C:$C,data!$A:$A,"="&amp;xyz!$A144,data!$B:$B,"="&amp;xyz!D$2)</f>
        <v>7.1428599999999995E-2</v>
      </c>
      <c r="E144">
        <f>SUMIFS(data!$C:$C,data!$A:$A,"="&amp;xyz!$A144,data!$B:$B,"="&amp;xyz!E$2)</f>
        <v>0</v>
      </c>
      <c r="F144">
        <f>SUMIFS(data!$C:$C,data!$A:$A,"="&amp;xyz!$A144,data!$B:$B,"="&amp;xyz!F$2)</f>
        <v>3.5714299999999997E-2</v>
      </c>
      <c r="G144">
        <f>SUMIFS(data!$C:$C,data!$A:$A,"="&amp;xyz!$A144,data!$B:$B,"="&amp;xyz!G$2)</f>
        <v>7.1428599999999995E-2</v>
      </c>
      <c r="H144">
        <f>SUMIFS(data!$C:$C,data!$A:$A,"="&amp;xyz!$A144,data!$B:$B,"="&amp;xyz!H$2)</f>
        <v>7.1428599999999995E-2</v>
      </c>
      <c r="I144">
        <f>SUMIFS(data!$C:$C,data!$A:$A,"="&amp;xyz!$A144,data!$B:$B,"="&amp;xyz!I$2)</f>
        <v>0.21428530000000001</v>
      </c>
      <c r="J144">
        <f>SUMIFS(data!$C:$C,data!$A:$A,"="&amp;xyz!$A144,data!$B:$B,"="&amp;xyz!J$2)</f>
        <v>3.5714000000000003E-2</v>
      </c>
      <c r="K144">
        <f>SUMIFS(data!$C:$C,data!$A:$A,"="&amp;xyz!$A144,data!$B:$B,"="&amp;xyz!K$2)</f>
        <v>0</v>
      </c>
      <c r="L144">
        <f>SUMIFS(data!$C:$C,data!$A:$A,"="&amp;xyz!$A144,data!$B:$B,"="&amp;xyz!L$2)</f>
        <v>0</v>
      </c>
      <c r="M144">
        <f>SUMIFS(data!$C:$C,data!$A:$A,"="&amp;xyz!$A144,data!$B:$B,"="&amp;xyz!M$2)</f>
        <v>7.1428599999999995E-2</v>
      </c>
      <c r="N144">
        <f>SUMIFS(data!$C:$C,data!$A:$A,"="&amp;xyz!$A144,data!$B:$B,"="&amp;xyz!N$2)</f>
        <v>0</v>
      </c>
      <c r="O144">
        <f>SUMIFS(data!$C:$C,data!$A:$A,"="&amp;xyz!$A144,data!$B:$B,"="&amp;xyz!O$2)</f>
        <v>3.5714299999999997E-2</v>
      </c>
      <c r="P144">
        <f>SUMIFS(data!$C:$C,data!$A:$A,"="&amp;xyz!$A144,data!$B:$B,"="&amp;xyz!P$2)</f>
        <v>0</v>
      </c>
      <c r="Q144">
        <f>SUMIFS(data!$C:$C,data!$A:$A,"="&amp;xyz!$A144,data!$B:$B,"="&amp;xyz!Q$2)</f>
        <v>0</v>
      </c>
      <c r="R144">
        <f>SUMIFS(data!$C:$C,data!$A:$A,"="&amp;xyz!$A144,data!$B:$B,"="&amp;xyz!R$2)</f>
        <v>0</v>
      </c>
      <c r="S144">
        <f>SUMIFS(data!$C:$C,data!$A:$A,"="&amp;xyz!$A144,data!$B:$B,"="&amp;xyz!S$2)</f>
        <v>7.1428599999999995E-2</v>
      </c>
      <c r="T144">
        <f>SUMIFS(data!$C:$C,data!$A:$A,"="&amp;xyz!$A144,data!$B:$B,"="&amp;xyz!T$2)</f>
        <v>3.5714299999999997E-2</v>
      </c>
      <c r="U144">
        <f>SUMIFS(data!$C:$C,data!$A:$A,"="&amp;xyz!$A144,data!$B:$B,"="&amp;xyz!U$2)</f>
        <v>3.5714299999999997E-2</v>
      </c>
      <c r="V144">
        <f>SUMIFS(data!$C:$C,data!$A:$A,"="&amp;xyz!$A144,data!$B:$B,"="&amp;xyz!V$2)</f>
        <v>0.14285729999999999</v>
      </c>
      <c r="W144">
        <f>SUMIFS(data!$C:$C,data!$A:$A,"="&amp;xyz!$A144,data!$B:$B,"="&amp;xyz!W$2)</f>
        <v>0.14285729999999999</v>
      </c>
      <c r="X144">
        <f>SUMIFS(data!$C:$C,data!$A:$A,"="&amp;xyz!$A144,data!$B:$B,"="&amp;xyz!X$2)</f>
        <v>0</v>
      </c>
      <c r="Y144">
        <f>SUMIFS(data!$C:$C,data!$A:$A,"="&amp;xyz!$A144,data!$B:$B,"="&amp;xyz!Y$2)</f>
        <v>0</v>
      </c>
      <c r="Z144">
        <f>SUMIFS(data!$C:$C,data!$A:$A,"="&amp;xyz!$A144,data!$B:$B,"="&amp;xyz!Z$2)</f>
        <v>0.21428530000000001</v>
      </c>
      <c r="AA144">
        <f>SUMIFS(data!$C:$C,data!$A:$A,"="&amp;xyz!$A144,data!$B:$B,"="&amp;xyz!AA$2)</f>
        <v>7.1428599999999995E-2</v>
      </c>
      <c r="AB144">
        <f>SUMIFS(data!$C:$C,data!$A:$A,"="&amp;xyz!$A144,data!$B:$B,"="&amp;xyz!AB$2)</f>
        <v>0.107143</v>
      </c>
      <c r="AC144">
        <f>SUMIFS(data!$C:$C,data!$A:$A,"="&amp;xyz!$A144,data!$B:$B,"="&amp;xyz!AC$2)</f>
        <v>0</v>
      </c>
      <c r="AD144">
        <f>SUMIFS(data!$C:$C,data!$A:$A,"="&amp;xyz!$A144,data!$B:$B,"="&amp;xyz!AD$2)</f>
        <v>0.10714289999999999</v>
      </c>
      <c r="AE144">
        <f>SUMIFS(data!$C:$C,data!$A:$A,"="&amp;xyz!$A144,data!$B:$B,"="&amp;xyz!AE$2)</f>
        <v>0</v>
      </c>
      <c r="AF144">
        <f>SUMIFS(data!$C:$C,data!$A:$A,"="&amp;xyz!$A144,data!$B:$B,"="&amp;xyz!AF$2)</f>
        <v>0.14285729999999999</v>
      </c>
      <c r="AG144">
        <f>SUMIFS(data!$C:$C,data!$A:$A,"="&amp;xyz!$A144,data!$B:$B,"="&amp;xyz!AG$2)</f>
        <v>0.17857130000000002</v>
      </c>
      <c r="AH144">
        <f>SUMIFS(data!$C:$C,data!$A:$A,"="&amp;xyz!$A144,data!$B:$B,"="&amp;xyz!AH$2)</f>
        <v>3.5714299999999997E-2</v>
      </c>
      <c r="AI144">
        <f>SUMIFS(data!$C:$C,data!$A:$A,"="&amp;xyz!$A144,data!$B:$B,"="&amp;xyz!AI$2)</f>
        <v>3.5714299999999997E-2</v>
      </c>
      <c r="AJ144">
        <f>SUMIFS(data!$C:$C,data!$A:$A,"="&amp;xyz!$A144,data!$B:$B,"="&amp;xyz!AJ$2)</f>
        <v>0.17857149999999999</v>
      </c>
      <c r="AK144">
        <f>SUMIFS(data!$C:$C,data!$A:$A,"="&amp;xyz!$A144,data!$B:$B,"="&amp;xyz!AK$2)</f>
        <v>0</v>
      </c>
      <c r="AL144">
        <f>SUMIFS(data!$C:$C,data!$A:$A,"="&amp;xyz!$A144,data!$B:$B,"="&amp;xyz!AL$2)</f>
        <v>0</v>
      </c>
      <c r="AM144">
        <f>SUMIFS(data!$C:$C,data!$A:$A,"="&amp;xyz!$A144,data!$B:$B,"="&amp;xyz!AM$2)</f>
        <v>0.35714299999999999</v>
      </c>
      <c r="AN144">
        <f>SUMIFS(data!$C:$C,data!$A:$A,"="&amp;xyz!$A144,data!$B:$B,"="&amp;xyz!AN$2)</f>
        <v>3.5714299999999997E-2</v>
      </c>
      <c r="AO144">
        <f>SUMIFS(data!$C:$C,data!$A:$A,"="&amp;xyz!$A144,data!$B:$B,"="&amp;xyz!AO$2)</f>
        <v>0</v>
      </c>
      <c r="AP144">
        <f>SUMIFS(data!$C:$C,data!$A:$A,"="&amp;xyz!$A144,data!$B:$B,"="&amp;xyz!AP$2)</f>
        <v>7.1428400000000003E-2</v>
      </c>
      <c r="AQ144" s="6">
        <f t="shared" si="6"/>
        <v>1.2403472833657585</v>
      </c>
    </row>
    <row r="145" spans="1:43" x14ac:dyDescent="0.3">
      <c r="A145" t="s">
        <v>44</v>
      </c>
      <c r="B145" s="6">
        <f t="shared" si="5"/>
        <v>0.78095238095238095</v>
      </c>
      <c r="C145">
        <f>SUMIFS(data!$C:$C,data!$A:$A,"="&amp;xyz!$A145,data!$B:$B,"="&amp;xyz!C$2)</f>
        <v>1</v>
      </c>
      <c r="D145">
        <f>SUMIFS(data!$C:$C,data!$A:$A,"="&amp;xyz!$A145,data!$B:$B,"="&amp;xyz!D$2)</f>
        <v>0</v>
      </c>
      <c r="E145">
        <f>SUMIFS(data!$C:$C,data!$A:$A,"="&amp;xyz!$A145,data!$B:$B,"="&amp;xyz!E$2)</f>
        <v>1</v>
      </c>
      <c r="F145">
        <f>SUMIFS(data!$C:$C,data!$A:$A,"="&amp;xyz!$A145,data!$B:$B,"="&amp;xyz!F$2)</f>
        <v>0</v>
      </c>
      <c r="G145">
        <f>SUMIFS(data!$C:$C,data!$A:$A,"="&amp;xyz!$A145,data!$B:$B,"="&amp;xyz!G$2)</f>
        <v>2</v>
      </c>
      <c r="H145">
        <f>SUMIFS(data!$C:$C,data!$A:$A,"="&amp;xyz!$A145,data!$B:$B,"="&amp;xyz!H$2)</f>
        <v>1</v>
      </c>
      <c r="I145">
        <f>SUMIFS(data!$C:$C,data!$A:$A,"="&amp;xyz!$A145,data!$B:$B,"="&amp;xyz!I$2)</f>
        <v>1</v>
      </c>
      <c r="J145">
        <f>SUMIFS(data!$C:$C,data!$A:$A,"="&amp;xyz!$A145,data!$B:$B,"="&amp;xyz!J$2)</f>
        <v>1</v>
      </c>
      <c r="K145">
        <f>SUMIFS(data!$C:$C,data!$A:$A,"="&amp;xyz!$A145,data!$B:$B,"="&amp;xyz!K$2)</f>
        <v>0</v>
      </c>
      <c r="L145">
        <f>SUMIFS(data!$C:$C,data!$A:$A,"="&amp;xyz!$A145,data!$B:$B,"="&amp;xyz!L$2)</f>
        <v>1</v>
      </c>
      <c r="M145">
        <f>SUMIFS(data!$C:$C,data!$A:$A,"="&amp;xyz!$A145,data!$B:$B,"="&amp;xyz!M$2)</f>
        <v>0</v>
      </c>
      <c r="N145">
        <f>SUMIFS(data!$C:$C,data!$A:$A,"="&amp;xyz!$A145,data!$B:$B,"="&amp;xyz!N$2)</f>
        <v>2</v>
      </c>
      <c r="O145">
        <f>SUMIFS(data!$C:$C,data!$A:$A,"="&amp;xyz!$A145,data!$B:$B,"="&amp;xyz!O$2)</f>
        <v>3</v>
      </c>
      <c r="P145">
        <f>SUMIFS(data!$C:$C,data!$A:$A,"="&amp;xyz!$A145,data!$B:$B,"="&amp;xyz!P$2)</f>
        <v>2</v>
      </c>
      <c r="Q145">
        <f>SUMIFS(data!$C:$C,data!$A:$A,"="&amp;xyz!$A145,data!$B:$B,"="&amp;xyz!Q$2)</f>
        <v>0</v>
      </c>
      <c r="R145">
        <f>SUMIFS(data!$C:$C,data!$A:$A,"="&amp;xyz!$A145,data!$B:$B,"="&amp;xyz!R$2)</f>
        <v>1</v>
      </c>
      <c r="S145">
        <f>SUMIFS(data!$C:$C,data!$A:$A,"="&amp;xyz!$A145,data!$B:$B,"="&amp;xyz!S$2)</f>
        <v>0</v>
      </c>
      <c r="T145">
        <f>SUMIFS(data!$C:$C,data!$A:$A,"="&amp;xyz!$A145,data!$B:$B,"="&amp;xyz!T$2)</f>
        <v>1</v>
      </c>
      <c r="U145">
        <f>SUMIFS(data!$C:$C,data!$A:$A,"="&amp;xyz!$A145,data!$B:$B,"="&amp;xyz!U$2)</f>
        <v>0</v>
      </c>
      <c r="V145">
        <f>SUMIFS(data!$C:$C,data!$A:$A,"="&amp;xyz!$A145,data!$B:$B,"="&amp;xyz!V$2)</f>
        <v>2</v>
      </c>
      <c r="W145">
        <f>SUMIFS(data!$C:$C,data!$A:$A,"="&amp;xyz!$A145,data!$B:$B,"="&amp;xyz!W$2)</f>
        <v>0</v>
      </c>
      <c r="X145">
        <f>SUMIFS(data!$C:$C,data!$A:$A,"="&amp;xyz!$A145,data!$B:$B,"="&amp;xyz!X$2)</f>
        <v>1</v>
      </c>
      <c r="Y145">
        <f>SUMIFS(data!$C:$C,data!$A:$A,"="&amp;xyz!$A145,data!$B:$B,"="&amp;xyz!Y$2)</f>
        <v>0</v>
      </c>
      <c r="Z145">
        <f>SUMIFS(data!$C:$C,data!$A:$A,"="&amp;xyz!$A145,data!$B:$B,"="&amp;xyz!Z$2)</f>
        <v>1</v>
      </c>
      <c r="AA145">
        <f>SUMIFS(data!$C:$C,data!$A:$A,"="&amp;xyz!$A145,data!$B:$B,"="&amp;xyz!AA$2)</f>
        <v>1</v>
      </c>
      <c r="AB145">
        <f>SUMIFS(data!$C:$C,data!$A:$A,"="&amp;xyz!$A145,data!$B:$B,"="&amp;xyz!AB$2)</f>
        <v>0</v>
      </c>
      <c r="AC145">
        <f>SUMIFS(data!$C:$C,data!$A:$A,"="&amp;xyz!$A145,data!$B:$B,"="&amp;xyz!AC$2)</f>
        <v>2</v>
      </c>
      <c r="AD145">
        <f>SUMIFS(data!$C:$C,data!$A:$A,"="&amp;xyz!$A145,data!$B:$B,"="&amp;xyz!AD$2)</f>
        <v>3</v>
      </c>
      <c r="AE145">
        <f>SUMIFS(data!$C:$C,data!$A:$A,"="&amp;xyz!$A145,data!$B:$B,"="&amp;xyz!AE$2)</f>
        <v>0</v>
      </c>
      <c r="AF145">
        <f>SUMIFS(data!$C:$C,data!$A:$A,"="&amp;xyz!$A145,data!$B:$B,"="&amp;xyz!AF$2)</f>
        <v>0</v>
      </c>
      <c r="AG145">
        <f>SUMIFS(data!$C:$C,data!$A:$A,"="&amp;xyz!$A145,data!$B:$B,"="&amp;xyz!AG$2)</f>
        <v>2</v>
      </c>
      <c r="AH145">
        <f>SUMIFS(data!$C:$C,data!$A:$A,"="&amp;xyz!$A145,data!$B:$B,"="&amp;xyz!AH$2)</f>
        <v>0</v>
      </c>
      <c r="AI145">
        <f>SUMIFS(data!$C:$C,data!$A:$A,"="&amp;xyz!$A145,data!$B:$B,"="&amp;xyz!AI$2)</f>
        <v>0</v>
      </c>
      <c r="AJ145">
        <f>SUMIFS(data!$C:$C,data!$A:$A,"="&amp;xyz!$A145,data!$B:$B,"="&amp;xyz!AJ$2)</f>
        <v>0</v>
      </c>
      <c r="AK145">
        <f>SUMIFS(data!$C:$C,data!$A:$A,"="&amp;xyz!$A145,data!$B:$B,"="&amp;xyz!AK$2)</f>
        <v>2</v>
      </c>
      <c r="AL145">
        <f>SUMIFS(data!$C:$C,data!$A:$A,"="&amp;xyz!$A145,data!$B:$B,"="&amp;xyz!AL$2)</f>
        <v>4</v>
      </c>
      <c r="AM145">
        <f>SUMIFS(data!$C:$C,data!$A:$A,"="&amp;xyz!$A145,data!$B:$B,"="&amp;xyz!AM$2)</f>
        <v>1</v>
      </c>
      <c r="AN145">
        <f>SUMIFS(data!$C:$C,data!$A:$A,"="&amp;xyz!$A145,data!$B:$B,"="&amp;xyz!AN$2)</f>
        <v>2</v>
      </c>
      <c r="AO145">
        <f>SUMIFS(data!$C:$C,data!$A:$A,"="&amp;xyz!$A145,data!$B:$B,"="&amp;xyz!AO$2)</f>
        <v>3</v>
      </c>
      <c r="AP145">
        <f>SUMIFS(data!$C:$C,data!$A:$A,"="&amp;xyz!$A145,data!$B:$B,"="&amp;xyz!AP$2)</f>
        <v>1</v>
      </c>
      <c r="AQ145" s="6">
        <f t="shared" si="6"/>
        <v>1.0104402963155041</v>
      </c>
    </row>
    <row r="146" spans="1:43" x14ac:dyDescent="0.3">
      <c r="A146" t="s">
        <v>113</v>
      </c>
      <c r="B146" s="6">
        <f t="shared" si="5"/>
        <v>0.86341463414634134</v>
      </c>
      <c r="C146">
        <f>SUMIFS(data!$C:$C,data!$A:$A,"="&amp;xyz!$A146,data!$B:$B,"="&amp;xyz!C$2)</f>
        <v>3</v>
      </c>
      <c r="D146">
        <f>SUMIFS(data!$C:$C,data!$A:$A,"="&amp;xyz!$A146,data!$B:$B,"="&amp;xyz!D$2)</f>
        <v>2</v>
      </c>
      <c r="E146">
        <f>SUMIFS(data!$C:$C,data!$A:$A,"="&amp;xyz!$A146,data!$B:$B,"="&amp;xyz!E$2)</f>
        <v>1</v>
      </c>
      <c r="F146">
        <f>SUMIFS(data!$C:$C,data!$A:$A,"="&amp;xyz!$A146,data!$B:$B,"="&amp;xyz!F$2)</f>
        <v>1</v>
      </c>
      <c r="G146">
        <f>SUMIFS(data!$C:$C,data!$A:$A,"="&amp;xyz!$A146,data!$B:$B,"="&amp;xyz!G$2)</f>
        <v>1</v>
      </c>
      <c r="H146">
        <f>SUMIFS(data!$C:$C,data!$A:$A,"="&amp;xyz!$A146,data!$B:$B,"="&amp;xyz!H$2)</f>
        <v>0</v>
      </c>
      <c r="I146">
        <f>SUMIFS(data!$C:$C,data!$A:$A,"="&amp;xyz!$A146,data!$B:$B,"="&amp;xyz!I$2)</f>
        <v>1</v>
      </c>
      <c r="J146">
        <f>SUMIFS(data!$C:$C,data!$A:$A,"="&amp;xyz!$A146,data!$B:$B,"="&amp;xyz!J$2)</f>
        <v>3</v>
      </c>
      <c r="K146">
        <f>SUMIFS(data!$C:$C,data!$A:$A,"="&amp;xyz!$A146,data!$B:$B,"="&amp;xyz!K$2)</f>
        <v>0</v>
      </c>
      <c r="L146">
        <f>SUMIFS(data!$C:$C,data!$A:$A,"="&amp;xyz!$A146,data!$B:$B,"="&amp;xyz!L$2)</f>
        <v>0</v>
      </c>
      <c r="M146">
        <f>SUMIFS(data!$C:$C,data!$A:$A,"="&amp;xyz!$A146,data!$B:$B,"="&amp;xyz!M$2)</f>
        <v>1</v>
      </c>
      <c r="N146">
        <f>SUMIFS(data!$C:$C,data!$A:$A,"="&amp;xyz!$A146,data!$B:$B,"="&amp;xyz!N$2)</f>
        <v>2</v>
      </c>
      <c r="O146">
        <f>SUMIFS(data!$C:$C,data!$A:$A,"="&amp;xyz!$A146,data!$B:$B,"="&amp;xyz!O$2)</f>
        <v>3</v>
      </c>
      <c r="P146">
        <f>SUMIFS(data!$C:$C,data!$A:$A,"="&amp;xyz!$A146,data!$B:$B,"="&amp;xyz!P$2)</f>
        <v>1</v>
      </c>
      <c r="Q146">
        <f>SUMIFS(data!$C:$C,data!$A:$A,"="&amp;xyz!$A146,data!$B:$B,"="&amp;xyz!Q$2)</f>
        <v>0</v>
      </c>
      <c r="R146">
        <f>SUMIFS(data!$C:$C,data!$A:$A,"="&amp;xyz!$A146,data!$B:$B,"="&amp;xyz!R$2)</f>
        <v>0</v>
      </c>
      <c r="S146">
        <f>SUMIFS(data!$C:$C,data!$A:$A,"="&amp;xyz!$A146,data!$B:$B,"="&amp;xyz!S$2)</f>
        <v>2</v>
      </c>
      <c r="T146">
        <f>SUMIFS(data!$C:$C,data!$A:$A,"="&amp;xyz!$A146,data!$B:$B,"="&amp;xyz!T$2)</f>
        <v>0</v>
      </c>
      <c r="U146">
        <f>SUMIFS(data!$C:$C,data!$A:$A,"="&amp;xyz!$A146,data!$B:$B,"="&amp;xyz!U$2)</f>
        <v>1</v>
      </c>
      <c r="V146">
        <f>SUMIFS(data!$C:$C,data!$A:$A,"="&amp;xyz!$A146,data!$B:$B,"="&amp;xyz!V$2)</f>
        <v>1</v>
      </c>
      <c r="W146">
        <f>SUMIFS(data!$C:$C,data!$A:$A,"="&amp;xyz!$A146,data!$B:$B,"="&amp;xyz!W$2)</f>
        <v>0</v>
      </c>
      <c r="X146">
        <f>SUMIFS(data!$C:$C,data!$A:$A,"="&amp;xyz!$A146,data!$B:$B,"="&amp;xyz!X$2)</f>
        <v>2</v>
      </c>
      <c r="Y146">
        <f>SUMIFS(data!$C:$C,data!$A:$A,"="&amp;xyz!$A146,data!$B:$B,"="&amp;xyz!Y$2)</f>
        <v>0</v>
      </c>
      <c r="Z146">
        <f>SUMIFS(data!$C:$C,data!$A:$A,"="&amp;xyz!$A146,data!$B:$B,"="&amp;xyz!Z$2)</f>
        <v>2</v>
      </c>
      <c r="AA146">
        <f>SUMIFS(data!$C:$C,data!$A:$A,"="&amp;xyz!$A146,data!$B:$B,"="&amp;xyz!AA$2)</f>
        <v>4</v>
      </c>
      <c r="AB146">
        <f>SUMIFS(data!$C:$C,data!$A:$A,"="&amp;xyz!$A146,data!$B:$B,"="&amp;xyz!AB$2)</f>
        <v>1</v>
      </c>
      <c r="AC146">
        <f>SUMIFS(data!$C:$C,data!$A:$A,"="&amp;xyz!$A146,data!$B:$B,"="&amp;xyz!AC$2)</f>
        <v>0</v>
      </c>
      <c r="AD146">
        <f>SUMIFS(data!$C:$C,data!$A:$A,"="&amp;xyz!$A146,data!$B:$B,"="&amp;xyz!AD$2)</f>
        <v>1</v>
      </c>
      <c r="AE146">
        <f>SUMIFS(data!$C:$C,data!$A:$A,"="&amp;xyz!$A146,data!$B:$B,"="&amp;xyz!AE$2)</f>
        <v>0</v>
      </c>
      <c r="AF146">
        <f>SUMIFS(data!$C:$C,data!$A:$A,"="&amp;xyz!$A146,data!$B:$B,"="&amp;xyz!AF$2)</f>
        <v>0</v>
      </c>
      <c r="AG146">
        <f>SUMIFS(data!$C:$C,data!$A:$A,"="&amp;xyz!$A146,data!$B:$B,"="&amp;xyz!AG$2)</f>
        <v>0</v>
      </c>
      <c r="AH146">
        <f>SUMIFS(data!$C:$C,data!$A:$A,"="&amp;xyz!$A146,data!$B:$B,"="&amp;xyz!AH$2)</f>
        <v>2</v>
      </c>
      <c r="AI146">
        <f>SUMIFS(data!$C:$C,data!$A:$A,"="&amp;xyz!$A146,data!$B:$B,"="&amp;xyz!AI$2)</f>
        <v>0</v>
      </c>
      <c r="AJ146">
        <f>SUMIFS(data!$C:$C,data!$A:$A,"="&amp;xyz!$A146,data!$B:$B,"="&amp;xyz!AJ$2)</f>
        <v>0</v>
      </c>
      <c r="AK146">
        <f>SUMIFS(data!$C:$C,data!$A:$A,"="&amp;xyz!$A146,data!$B:$B,"="&amp;xyz!AK$2)</f>
        <v>3</v>
      </c>
      <c r="AL146">
        <f>SUMIFS(data!$C:$C,data!$A:$A,"="&amp;xyz!$A146,data!$B:$B,"="&amp;xyz!AL$2)</f>
        <v>0</v>
      </c>
      <c r="AM146">
        <f>SUMIFS(data!$C:$C,data!$A:$A,"="&amp;xyz!$A146,data!$B:$B,"="&amp;xyz!AM$2)</f>
        <v>0</v>
      </c>
      <c r="AN146">
        <f>SUMIFS(data!$C:$C,data!$A:$A,"="&amp;xyz!$A146,data!$B:$B,"="&amp;xyz!AN$2)</f>
        <v>2</v>
      </c>
      <c r="AO146">
        <f>SUMIFS(data!$C:$C,data!$A:$A,"="&amp;xyz!$A146,data!$B:$B,"="&amp;xyz!AO$2)</f>
        <v>0</v>
      </c>
      <c r="AP146">
        <f>SUMIFS(data!$C:$C,data!$A:$A,"="&amp;xyz!$A146,data!$B:$B,"="&amp;xyz!AP$2)</f>
        <v>1</v>
      </c>
      <c r="AQ146" s="6">
        <f t="shared" si="6"/>
        <v>1.0932791190460194</v>
      </c>
    </row>
    <row r="147" spans="1:43" x14ac:dyDescent="0.3">
      <c r="A147" t="s">
        <v>74</v>
      </c>
      <c r="B147" s="6">
        <f t="shared" si="5"/>
        <v>0.97142857142857164</v>
      </c>
      <c r="C147">
        <f>SUMIFS(data!$C:$C,data!$A:$A,"="&amp;xyz!$A147,data!$B:$B,"="&amp;xyz!C$2)</f>
        <v>0</v>
      </c>
      <c r="D147">
        <f>SUMIFS(data!$C:$C,data!$A:$A,"="&amp;xyz!$A147,data!$B:$B,"="&amp;xyz!D$2)</f>
        <v>2</v>
      </c>
      <c r="E147">
        <f>SUMIFS(data!$C:$C,data!$A:$A,"="&amp;xyz!$A147,data!$B:$B,"="&amp;xyz!E$2)</f>
        <v>0</v>
      </c>
      <c r="F147">
        <f>SUMIFS(data!$C:$C,data!$A:$A,"="&amp;xyz!$A147,data!$B:$B,"="&amp;xyz!F$2)</f>
        <v>0</v>
      </c>
      <c r="G147">
        <f>SUMIFS(data!$C:$C,data!$A:$A,"="&amp;xyz!$A147,data!$B:$B,"="&amp;xyz!G$2)</f>
        <v>2</v>
      </c>
      <c r="H147">
        <f>SUMIFS(data!$C:$C,data!$A:$A,"="&amp;xyz!$A147,data!$B:$B,"="&amp;xyz!H$2)</f>
        <v>1</v>
      </c>
      <c r="I147">
        <f>SUMIFS(data!$C:$C,data!$A:$A,"="&amp;xyz!$A147,data!$B:$B,"="&amp;xyz!I$2)</f>
        <v>1</v>
      </c>
      <c r="J147">
        <f>SUMIFS(data!$C:$C,data!$A:$A,"="&amp;xyz!$A147,data!$B:$B,"="&amp;xyz!J$2)</f>
        <v>0</v>
      </c>
      <c r="K147">
        <f>SUMIFS(data!$C:$C,data!$A:$A,"="&amp;xyz!$A147,data!$B:$B,"="&amp;xyz!K$2)</f>
        <v>0</v>
      </c>
      <c r="L147">
        <f>SUMIFS(data!$C:$C,data!$A:$A,"="&amp;xyz!$A147,data!$B:$B,"="&amp;xyz!L$2)</f>
        <v>3</v>
      </c>
      <c r="M147">
        <f>SUMIFS(data!$C:$C,data!$A:$A,"="&amp;xyz!$A147,data!$B:$B,"="&amp;xyz!M$2)</f>
        <v>1</v>
      </c>
      <c r="N147">
        <f>SUMIFS(data!$C:$C,data!$A:$A,"="&amp;xyz!$A147,data!$B:$B,"="&amp;xyz!N$2)</f>
        <v>2</v>
      </c>
      <c r="O147">
        <f>SUMIFS(data!$C:$C,data!$A:$A,"="&amp;xyz!$A147,data!$B:$B,"="&amp;xyz!O$2)</f>
        <v>0</v>
      </c>
      <c r="P147">
        <f>SUMIFS(data!$C:$C,data!$A:$A,"="&amp;xyz!$A147,data!$B:$B,"="&amp;xyz!P$2)</f>
        <v>0</v>
      </c>
      <c r="Q147">
        <f>SUMIFS(data!$C:$C,data!$A:$A,"="&amp;xyz!$A147,data!$B:$B,"="&amp;xyz!Q$2)</f>
        <v>0</v>
      </c>
      <c r="R147">
        <f>SUMIFS(data!$C:$C,data!$A:$A,"="&amp;xyz!$A147,data!$B:$B,"="&amp;xyz!R$2)</f>
        <v>0</v>
      </c>
      <c r="S147">
        <f>SUMIFS(data!$C:$C,data!$A:$A,"="&amp;xyz!$A147,data!$B:$B,"="&amp;xyz!S$2)</f>
        <v>1</v>
      </c>
      <c r="T147">
        <f>SUMIFS(data!$C:$C,data!$A:$A,"="&amp;xyz!$A147,data!$B:$B,"="&amp;xyz!T$2)</f>
        <v>2</v>
      </c>
      <c r="U147">
        <f>SUMIFS(data!$C:$C,data!$A:$A,"="&amp;xyz!$A147,data!$B:$B,"="&amp;xyz!U$2)</f>
        <v>0</v>
      </c>
      <c r="V147">
        <f>SUMIFS(data!$C:$C,data!$A:$A,"="&amp;xyz!$A147,data!$B:$B,"="&amp;xyz!V$2)</f>
        <v>1</v>
      </c>
      <c r="W147">
        <f>SUMIFS(data!$C:$C,data!$A:$A,"="&amp;xyz!$A147,data!$B:$B,"="&amp;xyz!W$2)</f>
        <v>0</v>
      </c>
      <c r="X147">
        <f>SUMIFS(data!$C:$C,data!$A:$A,"="&amp;xyz!$A147,data!$B:$B,"="&amp;xyz!X$2)</f>
        <v>0</v>
      </c>
      <c r="Y147">
        <f>SUMIFS(data!$C:$C,data!$A:$A,"="&amp;xyz!$A147,data!$B:$B,"="&amp;xyz!Y$2)</f>
        <v>3</v>
      </c>
      <c r="Z147">
        <f>SUMIFS(data!$C:$C,data!$A:$A,"="&amp;xyz!$A147,data!$B:$B,"="&amp;xyz!Z$2)</f>
        <v>3</v>
      </c>
      <c r="AA147">
        <f>SUMIFS(data!$C:$C,data!$A:$A,"="&amp;xyz!$A147,data!$B:$B,"="&amp;xyz!AA$2)</f>
        <v>0</v>
      </c>
      <c r="AB147">
        <f>SUMIFS(data!$C:$C,data!$A:$A,"="&amp;xyz!$A147,data!$B:$B,"="&amp;xyz!AB$2)</f>
        <v>1</v>
      </c>
      <c r="AC147">
        <f>SUMIFS(data!$C:$C,data!$A:$A,"="&amp;xyz!$A147,data!$B:$B,"="&amp;xyz!AC$2)</f>
        <v>2</v>
      </c>
      <c r="AD147">
        <f>SUMIFS(data!$C:$C,data!$A:$A,"="&amp;xyz!$A147,data!$B:$B,"="&amp;xyz!AD$2)</f>
        <v>1</v>
      </c>
      <c r="AE147">
        <f>SUMIFS(data!$C:$C,data!$A:$A,"="&amp;xyz!$A147,data!$B:$B,"="&amp;xyz!AE$2)</f>
        <v>1</v>
      </c>
      <c r="AF147">
        <f>SUMIFS(data!$C:$C,data!$A:$A,"="&amp;xyz!$A147,data!$B:$B,"="&amp;xyz!AF$2)</f>
        <v>0</v>
      </c>
      <c r="AG147">
        <f>SUMIFS(data!$C:$C,data!$A:$A,"="&amp;xyz!$A147,data!$B:$B,"="&amp;xyz!AG$2)</f>
        <v>0</v>
      </c>
      <c r="AH147">
        <f>SUMIFS(data!$C:$C,data!$A:$A,"="&amp;xyz!$A147,data!$B:$B,"="&amp;xyz!AH$2)</f>
        <v>1</v>
      </c>
      <c r="AI147">
        <f>SUMIFS(data!$C:$C,data!$A:$A,"="&amp;xyz!$A147,data!$B:$B,"="&amp;xyz!AI$2)</f>
        <v>0</v>
      </c>
      <c r="AJ147">
        <f>SUMIFS(data!$C:$C,data!$A:$A,"="&amp;xyz!$A147,data!$B:$B,"="&amp;xyz!AJ$2)</f>
        <v>3</v>
      </c>
      <c r="AK147">
        <f>SUMIFS(data!$C:$C,data!$A:$A,"="&amp;xyz!$A147,data!$B:$B,"="&amp;xyz!AK$2)</f>
        <v>0</v>
      </c>
      <c r="AL147">
        <f>SUMIFS(data!$C:$C,data!$A:$A,"="&amp;xyz!$A147,data!$B:$B,"="&amp;xyz!AL$2)</f>
        <v>0</v>
      </c>
      <c r="AM147">
        <f>SUMIFS(data!$C:$C,data!$A:$A,"="&amp;xyz!$A147,data!$B:$B,"="&amp;xyz!AM$2)</f>
        <v>3</v>
      </c>
      <c r="AN147">
        <f>SUMIFS(data!$C:$C,data!$A:$A,"="&amp;xyz!$A147,data!$B:$B,"="&amp;xyz!AN$2)</f>
        <v>0</v>
      </c>
      <c r="AO147">
        <f>SUMIFS(data!$C:$C,data!$A:$A,"="&amp;xyz!$A147,data!$B:$B,"="&amp;xyz!AO$2)</f>
        <v>4</v>
      </c>
      <c r="AP147">
        <f>SUMIFS(data!$C:$C,data!$A:$A,"="&amp;xyz!$A147,data!$B:$B,"="&amp;xyz!AP$2)</f>
        <v>4</v>
      </c>
      <c r="AQ147" s="6">
        <f t="shared" si="6"/>
        <v>1.19984106550648</v>
      </c>
    </row>
    <row r="148" spans="1:43" x14ac:dyDescent="0.3">
      <c r="A148" t="s">
        <v>140</v>
      </c>
      <c r="B148" s="6">
        <f t="shared" si="5"/>
        <v>0.7695121951219509</v>
      </c>
      <c r="C148">
        <f>SUMIFS(data!$C:$C,data!$A:$A,"="&amp;xyz!$A148,data!$B:$B,"="&amp;xyz!C$2)</f>
        <v>0</v>
      </c>
      <c r="D148">
        <f>SUMIFS(data!$C:$C,data!$A:$A,"="&amp;xyz!$A148,data!$B:$B,"="&amp;xyz!D$2)</f>
        <v>0</v>
      </c>
      <c r="E148">
        <f>SUMIFS(data!$C:$C,data!$A:$A,"="&amp;xyz!$A148,data!$B:$B,"="&amp;xyz!E$2)</f>
        <v>0</v>
      </c>
      <c r="F148">
        <f>SUMIFS(data!$C:$C,data!$A:$A,"="&amp;xyz!$A148,data!$B:$B,"="&amp;xyz!F$2)</f>
        <v>1</v>
      </c>
      <c r="G148">
        <f>SUMIFS(data!$C:$C,data!$A:$A,"="&amp;xyz!$A148,data!$B:$B,"="&amp;xyz!G$2)</f>
        <v>1</v>
      </c>
      <c r="H148">
        <f>SUMIFS(data!$C:$C,data!$A:$A,"="&amp;xyz!$A148,data!$B:$B,"="&amp;xyz!H$2)</f>
        <v>3</v>
      </c>
      <c r="I148">
        <f>SUMIFS(data!$C:$C,data!$A:$A,"="&amp;xyz!$A148,data!$B:$B,"="&amp;xyz!I$2)</f>
        <v>6</v>
      </c>
      <c r="J148">
        <f>SUMIFS(data!$C:$C,data!$A:$A,"="&amp;xyz!$A148,data!$B:$B,"="&amp;xyz!J$2)</f>
        <v>1</v>
      </c>
      <c r="K148">
        <f>SUMIFS(data!$C:$C,data!$A:$A,"="&amp;xyz!$A148,data!$B:$B,"="&amp;xyz!K$2)</f>
        <v>0</v>
      </c>
      <c r="L148">
        <f>SUMIFS(data!$C:$C,data!$A:$A,"="&amp;xyz!$A148,data!$B:$B,"="&amp;xyz!L$2)</f>
        <v>1</v>
      </c>
      <c r="M148">
        <f>SUMIFS(data!$C:$C,data!$A:$A,"="&amp;xyz!$A148,data!$B:$B,"="&amp;xyz!M$2)</f>
        <v>0</v>
      </c>
      <c r="N148">
        <f>SUMIFS(data!$C:$C,data!$A:$A,"="&amp;xyz!$A148,data!$B:$B,"="&amp;xyz!N$2)</f>
        <v>1</v>
      </c>
      <c r="O148">
        <f>SUMIFS(data!$C:$C,data!$A:$A,"="&amp;xyz!$A148,data!$B:$B,"="&amp;xyz!O$2)</f>
        <v>1</v>
      </c>
      <c r="P148">
        <f>SUMIFS(data!$C:$C,data!$A:$A,"="&amp;xyz!$A148,data!$B:$B,"="&amp;xyz!P$2)</f>
        <v>2</v>
      </c>
      <c r="Q148">
        <f>SUMIFS(data!$C:$C,data!$A:$A,"="&amp;xyz!$A148,data!$B:$B,"="&amp;xyz!Q$2)</f>
        <v>0</v>
      </c>
      <c r="R148">
        <f>SUMIFS(data!$C:$C,data!$A:$A,"="&amp;xyz!$A148,data!$B:$B,"="&amp;xyz!R$2)</f>
        <v>0</v>
      </c>
      <c r="S148">
        <f>SUMIFS(data!$C:$C,data!$A:$A,"="&amp;xyz!$A148,data!$B:$B,"="&amp;xyz!S$2)</f>
        <v>0</v>
      </c>
      <c r="T148">
        <f>SUMIFS(data!$C:$C,data!$A:$A,"="&amp;xyz!$A148,data!$B:$B,"="&amp;xyz!T$2)</f>
        <v>0</v>
      </c>
      <c r="U148">
        <f>SUMIFS(data!$C:$C,data!$A:$A,"="&amp;xyz!$A148,data!$B:$B,"="&amp;xyz!U$2)</f>
        <v>1</v>
      </c>
      <c r="V148">
        <f>SUMIFS(data!$C:$C,data!$A:$A,"="&amp;xyz!$A148,data!$B:$B,"="&amp;xyz!V$2)</f>
        <v>0</v>
      </c>
      <c r="W148">
        <f>SUMIFS(data!$C:$C,data!$A:$A,"="&amp;xyz!$A148,data!$B:$B,"="&amp;xyz!W$2)</f>
        <v>1</v>
      </c>
      <c r="X148">
        <f>SUMIFS(data!$C:$C,data!$A:$A,"="&amp;xyz!$A148,data!$B:$B,"="&amp;xyz!X$2)</f>
        <v>3</v>
      </c>
      <c r="Y148">
        <f>SUMIFS(data!$C:$C,data!$A:$A,"="&amp;xyz!$A148,data!$B:$B,"="&amp;xyz!Y$2)</f>
        <v>2</v>
      </c>
      <c r="Z148">
        <f>SUMIFS(data!$C:$C,data!$A:$A,"="&amp;xyz!$A148,data!$B:$B,"="&amp;xyz!Z$2)</f>
        <v>2</v>
      </c>
      <c r="AA148">
        <f>SUMIFS(data!$C:$C,data!$A:$A,"="&amp;xyz!$A148,data!$B:$B,"="&amp;xyz!AA$2)</f>
        <v>0</v>
      </c>
      <c r="AB148">
        <f>SUMIFS(data!$C:$C,data!$A:$A,"="&amp;xyz!$A148,data!$B:$B,"="&amp;xyz!AB$2)</f>
        <v>0</v>
      </c>
      <c r="AC148">
        <f>SUMIFS(data!$C:$C,data!$A:$A,"="&amp;xyz!$A148,data!$B:$B,"="&amp;xyz!AC$2)</f>
        <v>1</v>
      </c>
      <c r="AD148">
        <f>SUMIFS(data!$C:$C,data!$A:$A,"="&amp;xyz!$A148,data!$B:$B,"="&amp;xyz!AD$2)</f>
        <v>1</v>
      </c>
      <c r="AE148">
        <f>SUMIFS(data!$C:$C,data!$A:$A,"="&amp;xyz!$A148,data!$B:$B,"="&amp;xyz!AE$2)</f>
        <v>1</v>
      </c>
      <c r="AF148">
        <f>SUMIFS(data!$C:$C,data!$A:$A,"="&amp;xyz!$A148,data!$B:$B,"="&amp;xyz!AF$2)</f>
        <v>1</v>
      </c>
      <c r="AG148">
        <f>SUMIFS(data!$C:$C,data!$A:$A,"="&amp;xyz!$A148,data!$B:$B,"="&amp;xyz!AG$2)</f>
        <v>2</v>
      </c>
      <c r="AH148">
        <f>SUMIFS(data!$C:$C,data!$A:$A,"="&amp;xyz!$A148,data!$B:$B,"="&amp;xyz!AH$2)</f>
        <v>0</v>
      </c>
      <c r="AI148">
        <f>SUMIFS(data!$C:$C,data!$A:$A,"="&amp;xyz!$A148,data!$B:$B,"="&amp;xyz!AI$2)</f>
        <v>3</v>
      </c>
      <c r="AJ148">
        <f>SUMIFS(data!$C:$C,data!$A:$A,"="&amp;xyz!$A148,data!$B:$B,"="&amp;xyz!AJ$2)</f>
        <v>1</v>
      </c>
      <c r="AK148">
        <f>SUMIFS(data!$C:$C,data!$A:$A,"="&amp;xyz!$A148,data!$B:$B,"="&amp;xyz!AK$2)</f>
        <v>1</v>
      </c>
      <c r="AL148">
        <f>SUMIFS(data!$C:$C,data!$A:$A,"="&amp;xyz!$A148,data!$B:$B,"="&amp;xyz!AL$2)</f>
        <v>1</v>
      </c>
      <c r="AM148">
        <f>SUMIFS(data!$C:$C,data!$A:$A,"="&amp;xyz!$A148,data!$B:$B,"="&amp;xyz!AM$2)</f>
        <v>2</v>
      </c>
      <c r="AN148">
        <f>SUMIFS(data!$C:$C,data!$A:$A,"="&amp;xyz!$A148,data!$B:$B,"="&amp;xyz!AN$2)</f>
        <v>0</v>
      </c>
      <c r="AO148">
        <f>SUMIFS(data!$C:$C,data!$A:$A,"="&amp;xyz!$A148,data!$B:$B,"="&amp;xyz!AO$2)</f>
        <v>1</v>
      </c>
      <c r="AP148">
        <f>SUMIFS(data!$C:$C,data!$A:$A,"="&amp;xyz!$A148,data!$B:$B,"="&amp;xyz!AP$2)</f>
        <v>0</v>
      </c>
      <c r="AQ148" s="6">
        <f t="shared" si="6"/>
        <v>1.1791960018793499</v>
      </c>
    </row>
    <row r="149" spans="1:43" x14ac:dyDescent="0.3">
      <c r="A149" t="s">
        <v>116</v>
      </c>
      <c r="B149" s="6">
        <f t="shared" si="5"/>
        <v>0.91904761904761867</v>
      </c>
      <c r="C149">
        <f>SUMIFS(data!$C:$C,data!$A:$A,"="&amp;xyz!$A149,data!$B:$B,"="&amp;xyz!C$2)</f>
        <v>3</v>
      </c>
      <c r="D149">
        <f>SUMIFS(data!$C:$C,data!$A:$A,"="&amp;xyz!$A149,data!$B:$B,"="&amp;xyz!D$2)</f>
        <v>2</v>
      </c>
      <c r="E149">
        <f>SUMIFS(data!$C:$C,data!$A:$A,"="&amp;xyz!$A149,data!$B:$B,"="&amp;xyz!E$2)</f>
        <v>0</v>
      </c>
      <c r="F149">
        <f>SUMIFS(data!$C:$C,data!$A:$A,"="&amp;xyz!$A149,data!$B:$B,"="&amp;xyz!F$2)</f>
        <v>0</v>
      </c>
      <c r="G149">
        <f>SUMIFS(data!$C:$C,data!$A:$A,"="&amp;xyz!$A149,data!$B:$B,"="&amp;xyz!G$2)</f>
        <v>1</v>
      </c>
      <c r="H149">
        <f>SUMIFS(data!$C:$C,data!$A:$A,"="&amp;xyz!$A149,data!$B:$B,"="&amp;xyz!H$2)</f>
        <v>0</v>
      </c>
      <c r="I149">
        <f>SUMIFS(data!$C:$C,data!$A:$A,"="&amp;xyz!$A149,data!$B:$B,"="&amp;xyz!I$2)</f>
        <v>2</v>
      </c>
      <c r="J149">
        <f>SUMIFS(data!$C:$C,data!$A:$A,"="&amp;xyz!$A149,data!$B:$B,"="&amp;xyz!J$2)</f>
        <v>1</v>
      </c>
      <c r="K149">
        <f>SUMIFS(data!$C:$C,data!$A:$A,"="&amp;xyz!$A149,data!$B:$B,"="&amp;xyz!K$2)</f>
        <v>0</v>
      </c>
      <c r="L149">
        <f>SUMIFS(data!$C:$C,data!$A:$A,"="&amp;xyz!$A149,data!$B:$B,"="&amp;xyz!L$2)</f>
        <v>1</v>
      </c>
      <c r="M149">
        <f>SUMIFS(data!$C:$C,data!$A:$A,"="&amp;xyz!$A149,data!$B:$B,"="&amp;xyz!M$2)</f>
        <v>2</v>
      </c>
      <c r="N149">
        <f>SUMIFS(data!$C:$C,data!$A:$A,"="&amp;xyz!$A149,data!$B:$B,"="&amp;xyz!N$2)</f>
        <v>2</v>
      </c>
      <c r="O149">
        <f>SUMIFS(data!$C:$C,data!$A:$A,"="&amp;xyz!$A149,data!$B:$B,"="&amp;xyz!O$2)</f>
        <v>2</v>
      </c>
      <c r="P149">
        <f>SUMIFS(data!$C:$C,data!$A:$A,"="&amp;xyz!$A149,data!$B:$B,"="&amp;xyz!P$2)</f>
        <v>1</v>
      </c>
      <c r="Q149">
        <f>SUMIFS(data!$C:$C,data!$A:$A,"="&amp;xyz!$A149,data!$B:$B,"="&amp;xyz!Q$2)</f>
        <v>3</v>
      </c>
      <c r="R149">
        <f>SUMIFS(data!$C:$C,data!$A:$A,"="&amp;xyz!$A149,data!$B:$B,"="&amp;xyz!R$2)</f>
        <v>0</v>
      </c>
      <c r="S149">
        <f>SUMIFS(data!$C:$C,data!$A:$A,"="&amp;xyz!$A149,data!$B:$B,"="&amp;xyz!S$2)</f>
        <v>2</v>
      </c>
      <c r="T149">
        <f>SUMIFS(data!$C:$C,data!$A:$A,"="&amp;xyz!$A149,data!$B:$B,"="&amp;xyz!T$2)</f>
        <v>2</v>
      </c>
      <c r="U149">
        <f>SUMIFS(data!$C:$C,data!$A:$A,"="&amp;xyz!$A149,data!$B:$B,"="&amp;xyz!U$2)</f>
        <v>0</v>
      </c>
      <c r="V149">
        <f>SUMIFS(data!$C:$C,data!$A:$A,"="&amp;xyz!$A149,data!$B:$B,"="&amp;xyz!V$2)</f>
        <v>3</v>
      </c>
      <c r="W149">
        <f>SUMIFS(data!$C:$C,data!$A:$A,"="&amp;xyz!$A149,data!$B:$B,"="&amp;xyz!W$2)</f>
        <v>1</v>
      </c>
      <c r="X149">
        <f>SUMIFS(data!$C:$C,data!$A:$A,"="&amp;xyz!$A149,data!$B:$B,"="&amp;xyz!X$2)</f>
        <v>0</v>
      </c>
      <c r="Y149">
        <f>SUMIFS(data!$C:$C,data!$A:$A,"="&amp;xyz!$A149,data!$B:$B,"="&amp;xyz!Y$2)</f>
        <v>0</v>
      </c>
      <c r="Z149">
        <f>SUMIFS(data!$C:$C,data!$A:$A,"="&amp;xyz!$A149,data!$B:$B,"="&amp;xyz!Z$2)</f>
        <v>0</v>
      </c>
      <c r="AA149">
        <f>SUMIFS(data!$C:$C,data!$A:$A,"="&amp;xyz!$A149,data!$B:$B,"="&amp;xyz!AA$2)</f>
        <v>0</v>
      </c>
      <c r="AB149">
        <f>SUMIFS(data!$C:$C,data!$A:$A,"="&amp;xyz!$A149,data!$B:$B,"="&amp;xyz!AB$2)</f>
        <v>2</v>
      </c>
      <c r="AC149">
        <f>SUMIFS(data!$C:$C,data!$A:$A,"="&amp;xyz!$A149,data!$B:$B,"="&amp;xyz!AC$2)</f>
        <v>1</v>
      </c>
      <c r="AD149">
        <f>SUMIFS(data!$C:$C,data!$A:$A,"="&amp;xyz!$A149,data!$B:$B,"="&amp;xyz!AD$2)</f>
        <v>0</v>
      </c>
      <c r="AE149">
        <f>SUMIFS(data!$C:$C,data!$A:$A,"="&amp;xyz!$A149,data!$B:$B,"="&amp;xyz!AE$2)</f>
        <v>3</v>
      </c>
      <c r="AF149">
        <f>SUMIFS(data!$C:$C,data!$A:$A,"="&amp;xyz!$A149,data!$B:$B,"="&amp;xyz!AF$2)</f>
        <v>2</v>
      </c>
      <c r="AG149">
        <f>SUMIFS(data!$C:$C,data!$A:$A,"="&amp;xyz!$A149,data!$B:$B,"="&amp;xyz!AG$2)</f>
        <v>1</v>
      </c>
      <c r="AH149">
        <f>SUMIFS(data!$C:$C,data!$A:$A,"="&amp;xyz!$A149,data!$B:$B,"="&amp;xyz!AH$2)</f>
        <v>0</v>
      </c>
      <c r="AI149">
        <f>SUMIFS(data!$C:$C,data!$A:$A,"="&amp;xyz!$A149,data!$B:$B,"="&amp;xyz!AI$2)</f>
        <v>0</v>
      </c>
      <c r="AJ149">
        <f>SUMIFS(data!$C:$C,data!$A:$A,"="&amp;xyz!$A149,data!$B:$B,"="&amp;xyz!AJ$2)</f>
        <v>4</v>
      </c>
      <c r="AK149">
        <f>SUMIFS(data!$C:$C,data!$A:$A,"="&amp;xyz!$A149,data!$B:$B,"="&amp;xyz!AK$2)</f>
        <v>0</v>
      </c>
      <c r="AL149">
        <f>SUMIFS(data!$C:$C,data!$A:$A,"="&amp;xyz!$A149,data!$B:$B,"="&amp;xyz!AL$2)</f>
        <v>0</v>
      </c>
      <c r="AM149">
        <f>SUMIFS(data!$C:$C,data!$A:$A,"="&amp;xyz!$A149,data!$B:$B,"="&amp;xyz!AM$2)</f>
        <v>0</v>
      </c>
      <c r="AN149">
        <f>SUMIFS(data!$C:$C,data!$A:$A,"="&amp;xyz!$A149,data!$B:$B,"="&amp;xyz!AN$2)</f>
        <v>0</v>
      </c>
      <c r="AO149">
        <f>SUMIFS(data!$C:$C,data!$A:$A,"="&amp;xyz!$A149,data!$B:$B,"="&amp;xyz!AO$2)</f>
        <v>0</v>
      </c>
      <c r="AP149">
        <f>SUMIFS(data!$C:$C,data!$A:$A,"="&amp;xyz!$A149,data!$B:$B,"="&amp;xyz!AP$2)</f>
        <v>1</v>
      </c>
      <c r="AQ149" s="6">
        <f t="shared" si="6"/>
        <v>1.0986568715175069</v>
      </c>
    </row>
    <row r="150" spans="1:43" x14ac:dyDescent="0.3">
      <c r="A150" t="s">
        <v>79</v>
      </c>
      <c r="B150" s="6">
        <f t="shared" si="5"/>
        <v>0.83095238095238089</v>
      </c>
      <c r="C150">
        <f>SUMIFS(data!$C:$C,data!$A:$A,"="&amp;xyz!$A150,data!$B:$B,"="&amp;xyz!C$2)</f>
        <v>0</v>
      </c>
      <c r="D150">
        <f>SUMIFS(data!$C:$C,data!$A:$A,"="&amp;xyz!$A150,data!$B:$B,"="&amp;xyz!D$2)</f>
        <v>2</v>
      </c>
      <c r="E150">
        <f>SUMIFS(data!$C:$C,data!$A:$A,"="&amp;xyz!$A150,data!$B:$B,"="&amp;xyz!E$2)</f>
        <v>0</v>
      </c>
      <c r="F150">
        <f>SUMIFS(data!$C:$C,data!$A:$A,"="&amp;xyz!$A150,data!$B:$B,"="&amp;xyz!F$2)</f>
        <v>3</v>
      </c>
      <c r="G150">
        <f>SUMIFS(data!$C:$C,data!$A:$A,"="&amp;xyz!$A150,data!$B:$B,"="&amp;xyz!G$2)</f>
        <v>1</v>
      </c>
      <c r="H150">
        <f>SUMIFS(data!$C:$C,data!$A:$A,"="&amp;xyz!$A150,data!$B:$B,"="&amp;xyz!H$2)</f>
        <v>1</v>
      </c>
      <c r="I150">
        <f>SUMIFS(data!$C:$C,data!$A:$A,"="&amp;xyz!$A150,data!$B:$B,"="&amp;xyz!I$2)</f>
        <v>0</v>
      </c>
      <c r="J150">
        <f>SUMIFS(data!$C:$C,data!$A:$A,"="&amp;xyz!$A150,data!$B:$B,"="&amp;xyz!J$2)</f>
        <v>0</v>
      </c>
      <c r="K150">
        <f>SUMIFS(data!$C:$C,data!$A:$A,"="&amp;xyz!$A150,data!$B:$B,"="&amp;xyz!K$2)</f>
        <v>0</v>
      </c>
      <c r="L150">
        <f>SUMIFS(data!$C:$C,data!$A:$A,"="&amp;xyz!$A150,data!$B:$B,"="&amp;xyz!L$2)</f>
        <v>0</v>
      </c>
      <c r="M150">
        <f>SUMIFS(data!$C:$C,data!$A:$A,"="&amp;xyz!$A150,data!$B:$B,"="&amp;xyz!M$2)</f>
        <v>0</v>
      </c>
      <c r="N150">
        <f>SUMIFS(data!$C:$C,data!$A:$A,"="&amp;xyz!$A150,data!$B:$B,"="&amp;xyz!N$2)</f>
        <v>1</v>
      </c>
      <c r="O150">
        <f>SUMIFS(data!$C:$C,data!$A:$A,"="&amp;xyz!$A150,data!$B:$B,"="&amp;xyz!O$2)</f>
        <v>2</v>
      </c>
      <c r="P150">
        <f>SUMIFS(data!$C:$C,data!$A:$A,"="&amp;xyz!$A150,data!$B:$B,"="&amp;xyz!P$2)</f>
        <v>3</v>
      </c>
      <c r="Q150">
        <f>SUMIFS(data!$C:$C,data!$A:$A,"="&amp;xyz!$A150,data!$B:$B,"="&amp;xyz!Q$2)</f>
        <v>1</v>
      </c>
      <c r="R150">
        <f>SUMIFS(data!$C:$C,data!$A:$A,"="&amp;xyz!$A150,data!$B:$B,"="&amp;xyz!R$2)</f>
        <v>0</v>
      </c>
      <c r="S150">
        <f>SUMIFS(data!$C:$C,data!$A:$A,"="&amp;xyz!$A150,data!$B:$B,"="&amp;xyz!S$2)</f>
        <v>2</v>
      </c>
      <c r="T150">
        <f>SUMIFS(data!$C:$C,data!$A:$A,"="&amp;xyz!$A150,data!$B:$B,"="&amp;xyz!T$2)</f>
        <v>2</v>
      </c>
      <c r="U150">
        <f>SUMIFS(data!$C:$C,data!$A:$A,"="&amp;xyz!$A150,data!$B:$B,"="&amp;xyz!U$2)</f>
        <v>1</v>
      </c>
      <c r="V150">
        <f>SUMIFS(data!$C:$C,data!$A:$A,"="&amp;xyz!$A150,data!$B:$B,"="&amp;xyz!V$2)</f>
        <v>0</v>
      </c>
      <c r="W150">
        <f>SUMIFS(data!$C:$C,data!$A:$A,"="&amp;xyz!$A150,data!$B:$B,"="&amp;xyz!W$2)</f>
        <v>0</v>
      </c>
      <c r="X150">
        <f>SUMIFS(data!$C:$C,data!$A:$A,"="&amp;xyz!$A150,data!$B:$B,"="&amp;xyz!X$2)</f>
        <v>0</v>
      </c>
      <c r="Y150">
        <f>SUMIFS(data!$C:$C,data!$A:$A,"="&amp;xyz!$A150,data!$B:$B,"="&amp;xyz!Y$2)</f>
        <v>2</v>
      </c>
      <c r="Z150">
        <f>SUMIFS(data!$C:$C,data!$A:$A,"="&amp;xyz!$A150,data!$B:$B,"="&amp;xyz!Z$2)</f>
        <v>1</v>
      </c>
      <c r="AA150">
        <f>SUMIFS(data!$C:$C,data!$A:$A,"="&amp;xyz!$A150,data!$B:$B,"="&amp;xyz!AA$2)</f>
        <v>5</v>
      </c>
      <c r="AB150">
        <f>SUMIFS(data!$C:$C,data!$A:$A,"="&amp;xyz!$A150,data!$B:$B,"="&amp;xyz!AB$2)</f>
        <v>0</v>
      </c>
      <c r="AC150">
        <f>SUMIFS(data!$C:$C,data!$A:$A,"="&amp;xyz!$A150,data!$B:$B,"="&amp;xyz!AC$2)</f>
        <v>0</v>
      </c>
      <c r="AD150">
        <f>SUMIFS(data!$C:$C,data!$A:$A,"="&amp;xyz!$A150,data!$B:$B,"="&amp;xyz!AD$2)</f>
        <v>3</v>
      </c>
      <c r="AE150">
        <f>SUMIFS(data!$C:$C,data!$A:$A,"="&amp;xyz!$A150,data!$B:$B,"="&amp;xyz!AE$2)</f>
        <v>0</v>
      </c>
      <c r="AF150">
        <f>SUMIFS(data!$C:$C,data!$A:$A,"="&amp;xyz!$A150,data!$B:$B,"="&amp;xyz!AF$2)</f>
        <v>1</v>
      </c>
      <c r="AG150">
        <f>SUMIFS(data!$C:$C,data!$A:$A,"="&amp;xyz!$A150,data!$B:$B,"="&amp;xyz!AG$2)</f>
        <v>0</v>
      </c>
      <c r="AH150">
        <f>SUMIFS(data!$C:$C,data!$A:$A,"="&amp;xyz!$A150,data!$B:$B,"="&amp;xyz!AH$2)</f>
        <v>1</v>
      </c>
      <c r="AI150">
        <f>SUMIFS(data!$C:$C,data!$A:$A,"="&amp;xyz!$A150,data!$B:$B,"="&amp;xyz!AI$2)</f>
        <v>1</v>
      </c>
      <c r="AJ150">
        <f>SUMIFS(data!$C:$C,data!$A:$A,"="&amp;xyz!$A150,data!$B:$B,"="&amp;xyz!AJ$2)</f>
        <v>1</v>
      </c>
      <c r="AK150">
        <f>SUMIFS(data!$C:$C,data!$A:$A,"="&amp;xyz!$A150,data!$B:$B,"="&amp;xyz!AK$2)</f>
        <v>3</v>
      </c>
      <c r="AL150">
        <f>SUMIFS(data!$C:$C,data!$A:$A,"="&amp;xyz!$A150,data!$B:$B,"="&amp;xyz!AL$2)</f>
        <v>1</v>
      </c>
      <c r="AM150">
        <f>SUMIFS(data!$C:$C,data!$A:$A,"="&amp;xyz!$A150,data!$B:$B,"="&amp;xyz!AM$2)</f>
        <v>0</v>
      </c>
      <c r="AN150">
        <f>SUMIFS(data!$C:$C,data!$A:$A,"="&amp;xyz!$A150,data!$B:$B,"="&amp;xyz!AN$2)</f>
        <v>1</v>
      </c>
      <c r="AO150">
        <f>SUMIFS(data!$C:$C,data!$A:$A,"="&amp;xyz!$A150,data!$B:$B,"="&amp;xyz!AO$2)</f>
        <v>1</v>
      </c>
      <c r="AP150">
        <f>SUMIFS(data!$C:$C,data!$A:$A,"="&amp;xyz!$A150,data!$B:$B,"="&amp;xyz!AP$2)</f>
        <v>2</v>
      </c>
      <c r="AQ150" s="6">
        <f t="shared" si="6"/>
        <v>1.1196254970128421</v>
      </c>
    </row>
    <row r="151" spans="1:43" x14ac:dyDescent="0.3">
      <c r="A151" t="s">
        <v>111</v>
      </c>
      <c r="B151" s="6">
        <f t="shared" si="5"/>
        <v>0.79534883720930249</v>
      </c>
      <c r="C151">
        <f>SUMIFS(data!$C:$C,data!$A:$A,"="&amp;xyz!$A151,data!$B:$B,"="&amp;xyz!C$2)</f>
        <v>2</v>
      </c>
      <c r="D151">
        <f>SUMIFS(data!$C:$C,data!$A:$A,"="&amp;xyz!$A151,data!$B:$B,"="&amp;xyz!D$2)</f>
        <v>2</v>
      </c>
      <c r="E151">
        <f>SUMIFS(data!$C:$C,data!$A:$A,"="&amp;xyz!$A151,data!$B:$B,"="&amp;xyz!E$2)</f>
        <v>2</v>
      </c>
      <c r="F151">
        <f>SUMIFS(data!$C:$C,data!$A:$A,"="&amp;xyz!$A151,data!$B:$B,"="&amp;xyz!F$2)</f>
        <v>2</v>
      </c>
      <c r="G151">
        <f>SUMIFS(data!$C:$C,data!$A:$A,"="&amp;xyz!$A151,data!$B:$B,"="&amp;xyz!G$2)</f>
        <v>3</v>
      </c>
      <c r="H151">
        <f>SUMIFS(data!$C:$C,data!$A:$A,"="&amp;xyz!$A151,data!$B:$B,"="&amp;xyz!H$2)</f>
        <v>1</v>
      </c>
      <c r="I151">
        <f>SUMIFS(data!$C:$C,data!$A:$A,"="&amp;xyz!$A151,data!$B:$B,"="&amp;xyz!I$2)</f>
        <v>0</v>
      </c>
      <c r="J151">
        <f>SUMIFS(data!$C:$C,data!$A:$A,"="&amp;xyz!$A151,data!$B:$B,"="&amp;xyz!J$2)</f>
        <v>1</v>
      </c>
      <c r="K151">
        <f>SUMIFS(data!$C:$C,data!$A:$A,"="&amp;xyz!$A151,data!$B:$B,"="&amp;xyz!K$2)</f>
        <v>0</v>
      </c>
      <c r="L151">
        <f>SUMIFS(data!$C:$C,data!$A:$A,"="&amp;xyz!$A151,data!$B:$B,"="&amp;xyz!L$2)</f>
        <v>0</v>
      </c>
      <c r="M151">
        <f>SUMIFS(data!$C:$C,data!$A:$A,"="&amp;xyz!$A151,data!$B:$B,"="&amp;xyz!M$2)</f>
        <v>3</v>
      </c>
      <c r="N151">
        <f>SUMIFS(data!$C:$C,data!$A:$A,"="&amp;xyz!$A151,data!$B:$B,"="&amp;xyz!N$2)</f>
        <v>3</v>
      </c>
      <c r="O151">
        <f>SUMIFS(data!$C:$C,data!$A:$A,"="&amp;xyz!$A151,data!$B:$B,"="&amp;xyz!O$2)</f>
        <v>0</v>
      </c>
      <c r="P151">
        <f>SUMIFS(data!$C:$C,data!$A:$A,"="&amp;xyz!$A151,data!$B:$B,"="&amp;xyz!P$2)</f>
        <v>0</v>
      </c>
      <c r="Q151">
        <f>SUMIFS(data!$C:$C,data!$A:$A,"="&amp;xyz!$A151,data!$B:$B,"="&amp;xyz!Q$2)</f>
        <v>0</v>
      </c>
      <c r="R151">
        <f>SUMIFS(data!$C:$C,data!$A:$A,"="&amp;xyz!$A151,data!$B:$B,"="&amp;xyz!R$2)</f>
        <v>0</v>
      </c>
      <c r="S151">
        <f>SUMIFS(data!$C:$C,data!$A:$A,"="&amp;xyz!$A151,data!$B:$B,"="&amp;xyz!S$2)</f>
        <v>2</v>
      </c>
      <c r="T151">
        <f>SUMIFS(data!$C:$C,data!$A:$A,"="&amp;xyz!$A151,data!$B:$B,"="&amp;xyz!T$2)</f>
        <v>3</v>
      </c>
      <c r="U151">
        <f>SUMIFS(data!$C:$C,data!$A:$A,"="&amp;xyz!$A151,data!$B:$B,"="&amp;xyz!U$2)</f>
        <v>1</v>
      </c>
      <c r="V151">
        <f>SUMIFS(data!$C:$C,data!$A:$A,"="&amp;xyz!$A151,data!$B:$B,"="&amp;xyz!V$2)</f>
        <v>0</v>
      </c>
      <c r="W151">
        <f>SUMIFS(data!$C:$C,data!$A:$A,"="&amp;xyz!$A151,data!$B:$B,"="&amp;xyz!W$2)</f>
        <v>1</v>
      </c>
      <c r="X151">
        <f>SUMIFS(data!$C:$C,data!$A:$A,"="&amp;xyz!$A151,data!$B:$B,"="&amp;xyz!X$2)</f>
        <v>1</v>
      </c>
      <c r="Y151">
        <f>SUMIFS(data!$C:$C,data!$A:$A,"="&amp;xyz!$A151,data!$B:$B,"="&amp;xyz!Y$2)</f>
        <v>3</v>
      </c>
      <c r="Z151">
        <f>SUMIFS(data!$C:$C,data!$A:$A,"="&amp;xyz!$A151,data!$B:$B,"="&amp;xyz!Z$2)</f>
        <v>0</v>
      </c>
      <c r="AA151">
        <f>SUMIFS(data!$C:$C,data!$A:$A,"="&amp;xyz!$A151,data!$B:$B,"="&amp;xyz!AA$2)</f>
        <v>1</v>
      </c>
      <c r="AB151">
        <f>SUMIFS(data!$C:$C,data!$A:$A,"="&amp;xyz!$A151,data!$B:$B,"="&amp;xyz!AB$2)</f>
        <v>0</v>
      </c>
      <c r="AC151">
        <f>SUMIFS(data!$C:$C,data!$A:$A,"="&amp;xyz!$A151,data!$B:$B,"="&amp;xyz!AC$2)</f>
        <v>1</v>
      </c>
      <c r="AD151">
        <f>SUMIFS(data!$C:$C,data!$A:$A,"="&amp;xyz!$A151,data!$B:$B,"="&amp;xyz!AD$2)</f>
        <v>1</v>
      </c>
      <c r="AE151">
        <f>SUMIFS(data!$C:$C,data!$A:$A,"="&amp;xyz!$A151,data!$B:$B,"="&amp;xyz!AE$2)</f>
        <v>1</v>
      </c>
      <c r="AF151">
        <f>SUMIFS(data!$C:$C,data!$A:$A,"="&amp;xyz!$A151,data!$B:$B,"="&amp;xyz!AF$2)</f>
        <v>0</v>
      </c>
      <c r="AG151">
        <f>SUMIFS(data!$C:$C,data!$A:$A,"="&amp;xyz!$A151,data!$B:$B,"="&amp;xyz!AG$2)</f>
        <v>3</v>
      </c>
      <c r="AH151">
        <f>SUMIFS(data!$C:$C,data!$A:$A,"="&amp;xyz!$A151,data!$B:$B,"="&amp;xyz!AH$2)</f>
        <v>1</v>
      </c>
      <c r="AI151">
        <f>SUMIFS(data!$C:$C,data!$A:$A,"="&amp;xyz!$A151,data!$B:$B,"="&amp;xyz!AI$2)</f>
        <v>0</v>
      </c>
      <c r="AJ151">
        <f>SUMIFS(data!$C:$C,data!$A:$A,"="&amp;xyz!$A151,data!$B:$B,"="&amp;xyz!AJ$2)</f>
        <v>1</v>
      </c>
      <c r="AK151">
        <f>SUMIFS(data!$C:$C,data!$A:$A,"="&amp;xyz!$A151,data!$B:$B,"="&amp;xyz!AK$2)</f>
        <v>0</v>
      </c>
      <c r="AL151">
        <f>SUMIFS(data!$C:$C,data!$A:$A,"="&amp;xyz!$A151,data!$B:$B,"="&amp;xyz!AL$2)</f>
        <v>2</v>
      </c>
      <c r="AM151">
        <f>SUMIFS(data!$C:$C,data!$A:$A,"="&amp;xyz!$A151,data!$B:$B,"="&amp;xyz!AM$2)</f>
        <v>0</v>
      </c>
      <c r="AN151">
        <f>SUMIFS(data!$C:$C,data!$A:$A,"="&amp;xyz!$A151,data!$B:$B,"="&amp;xyz!AN$2)</f>
        <v>0</v>
      </c>
      <c r="AO151">
        <f>SUMIFS(data!$C:$C,data!$A:$A,"="&amp;xyz!$A151,data!$B:$B,"="&amp;xyz!AO$2)</f>
        <v>1</v>
      </c>
      <c r="AP151">
        <f>SUMIFS(data!$C:$C,data!$A:$A,"="&amp;xyz!$A151,data!$B:$B,"="&amp;xyz!AP$2)</f>
        <v>1</v>
      </c>
      <c r="AQ151" s="6">
        <f t="shared" si="6"/>
        <v>0.99672885123231725</v>
      </c>
    </row>
    <row r="152" spans="1:43" x14ac:dyDescent="0.3">
      <c r="A152" t="s">
        <v>148</v>
      </c>
      <c r="B152" s="6">
        <f t="shared" si="5"/>
        <v>0.82619047619047625</v>
      </c>
      <c r="C152">
        <f>SUMIFS(data!$C:$C,data!$A:$A,"="&amp;xyz!$A152,data!$B:$B,"="&amp;xyz!C$2)</f>
        <v>2</v>
      </c>
      <c r="D152">
        <f>SUMIFS(data!$C:$C,data!$A:$A,"="&amp;xyz!$A152,data!$B:$B,"="&amp;xyz!D$2)</f>
        <v>2</v>
      </c>
      <c r="E152">
        <f>SUMIFS(data!$C:$C,data!$A:$A,"="&amp;xyz!$A152,data!$B:$B,"="&amp;xyz!E$2)</f>
        <v>1</v>
      </c>
      <c r="F152">
        <f>SUMIFS(data!$C:$C,data!$A:$A,"="&amp;xyz!$A152,data!$B:$B,"="&amp;xyz!F$2)</f>
        <v>1</v>
      </c>
      <c r="G152">
        <f>SUMIFS(data!$C:$C,data!$A:$A,"="&amp;xyz!$A152,data!$B:$B,"="&amp;xyz!G$2)</f>
        <v>0</v>
      </c>
      <c r="H152">
        <f>SUMIFS(data!$C:$C,data!$A:$A,"="&amp;xyz!$A152,data!$B:$B,"="&amp;xyz!H$2)</f>
        <v>0</v>
      </c>
      <c r="I152">
        <f>SUMIFS(data!$C:$C,data!$A:$A,"="&amp;xyz!$A152,data!$B:$B,"="&amp;xyz!I$2)</f>
        <v>0</v>
      </c>
      <c r="J152">
        <f>SUMIFS(data!$C:$C,data!$A:$A,"="&amp;xyz!$A152,data!$B:$B,"="&amp;xyz!J$2)</f>
        <v>1</v>
      </c>
      <c r="K152">
        <f>SUMIFS(data!$C:$C,data!$A:$A,"="&amp;xyz!$A152,data!$B:$B,"="&amp;xyz!K$2)</f>
        <v>0</v>
      </c>
      <c r="L152">
        <f>SUMIFS(data!$C:$C,data!$A:$A,"="&amp;xyz!$A152,data!$B:$B,"="&amp;xyz!L$2)</f>
        <v>2</v>
      </c>
      <c r="M152">
        <f>SUMIFS(data!$C:$C,data!$A:$A,"="&amp;xyz!$A152,data!$B:$B,"="&amp;xyz!M$2)</f>
        <v>2</v>
      </c>
      <c r="N152">
        <f>SUMIFS(data!$C:$C,data!$A:$A,"="&amp;xyz!$A152,data!$B:$B,"="&amp;xyz!N$2)</f>
        <v>2</v>
      </c>
      <c r="O152">
        <f>SUMIFS(data!$C:$C,data!$A:$A,"="&amp;xyz!$A152,data!$B:$B,"="&amp;xyz!O$2)</f>
        <v>0</v>
      </c>
      <c r="P152">
        <f>SUMIFS(data!$C:$C,data!$A:$A,"="&amp;xyz!$A152,data!$B:$B,"="&amp;xyz!P$2)</f>
        <v>0</v>
      </c>
      <c r="Q152">
        <f>SUMIFS(data!$C:$C,data!$A:$A,"="&amp;xyz!$A152,data!$B:$B,"="&amp;xyz!Q$2)</f>
        <v>0</v>
      </c>
      <c r="R152">
        <f>SUMIFS(data!$C:$C,data!$A:$A,"="&amp;xyz!$A152,data!$B:$B,"="&amp;xyz!R$2)</f>
        <v>1</v>
      </c>
      <c r="S152">
        <f>SUMIFS(data!$C:$C,data!$A:$A,"="&amp;xyz!$A152,data!$B:$B,"="&amp;xyz!S$2)</f>
        <v>1</v>
      </c>
      <c r="T152">
        <f>SUMIFS(data!$C:$C,data!$A:$A,"="&amp;xyz!$A152,data!$B:$B,"="&amp;xyz!T$2)</f>
        <v>0</v>
      </c>
      <c r="U152">
        <f>SUMIFS(data!$C:$C,data!$A:$A,"="&amp;xyz!$A152,data!$B:$B,"="&amp;xyz!U$2)</f>
        <v>0</v>
      </c>
      <c r="V152">
        <f>SUMIFS(data!$C:$C,data!$A:$A,"="&amp;xyz!$A152,data!$B:$B,"="&amp;xyz!V$2)</f>
        <v>4</v>
      </c>
      <c r="W152">
        <f>SUMIFS(data!$C:$C,data!$A:$A,"="&amp;xyz!$A152,data!$B:$B,"="&amp;xyz!W$2)</f>
        <v>2</v>
      </c>
      <c r="X152">
        <f>SUMIFS(data!$C:$C,data!$A:$A,"="&amp;xyz!$A152,data!$B:$B,"="&amp;xyz!X$2)</f>
        <v>0</v>
      </c>
      <c r="Y152">
        <f>SUMIFS(data!$C:$C,data!$A:$A,"="&amp;xyz!$A152,data!$B:$B,"="&amp;xyz!Y$2)</f>
        <v>0</v>
      </c>
      <c r="Z152">
        <f>SUMIFS(data!$C:$C,data!$A:$A,"="&amp;xyz!$A152,data!$B:$B,"="&amp;xyz!Z$2)</f>
        <v>1</v>
      </c>
      <c r="AA152">
        <f>SUMIFS(data!$C:$C,data!$A:$A,"="&amp;xyz!$A152,data!$B:$B,"="&amp;xyz!AA$2)</f>
        <v>2</v>
      </c>
      <c r="AB152">
        <f>SUMIFS(data!$C:$C,data!$A:$A,"="&amp;xyz!$A152,data!$B:$B,"="&amp;xyz!AB$2)</f>
        <v>2</v>
      </c>
      <c r="AC152">
        <f>SUMIFS(data!$C:$C,data!$A:$A,"="&amp;xyz!$A152,data!$B:$B,"="&amp;xyz!AC$2)</f>
        <v>1</v>
      </c>
      <c r="AD152">
        <f>SUMIFS(data!$C:$C,data!$A:$A,"="&amp;xyz!$A152,data!$B:$B,"="&amp;xyz!AD$2)</f>
        <v>1</v>
      </c>
      <c r="AE152">
        <f>SUMIFS(data!$C:$C,data!$A:$A,"="&amp;xyz!$A152,data!$B:$B,"="&amp;xyz!AE$2)</f>
        <v>1</v>
      </c>
      <c r="AF152">
        <f>SUMIFS(data!$C:$C,data!$A:$A,"="&amp;xyz!$A152,data!$B:$B,"="&amp;xyz!AF$2)</f>
        <v>3</v>
      </c>
      <c r="AG152">
        <f>SUMIFS(data!$C:$C,data!$A:$A,"="&amp;xyz!$A152,data!$B:$B,"="&amp;xyz!AG$2)</f>
        <v>1</v>
      </c>
      <c r="AH152">
        <f>SUMIFS(data!$C:$C,data!$A:$A,"="&amp;xyz!$A152,data!$B:$B,"="&amp;xyz!AH$2)</f>
        <v>0</v>
      </c>
      <c r="AI152">
        <f>SUMIFS(data!$C:$C,data!$A:$A,"="&amp;xyz!$A152,data!$B:$B,"="&amp;xyz!AI$2)</f>
        <v>0</v>
      </c>
      <c r="AJ152">
        <f>SUMIFS(data!$C:$C,data!$A:$A,"="&amp;xyz!$A152,data!$B:$B,"="&amp;xyz!AJ$2)</f>
        <v>4</v>
      </c>
      <c r="AK152">
        <f>SUMIFS(data!$C:$C,data!$A:$A,"="&amp;xyz!$A152,data!$B:$B,"="&amp;xyz!AK$2)</f>
        <v>1</v>
      </c>
      <c r="AL152">
        <f>SUMIFS(data!$C:$C,data!$A:$A,"="&amp;xyz!$A152,data!$B:$B,"="&amp;xyz!AL$2)</f>
        <v>0</v>
      </c>
      <c r="AM152">
        <f>SUMIFS(data!$C:$C,data!$A:$A,"="&amp;xyz!$A152,data!$B:$B,"="&amp;xyz!AM$2)</f>
        <v>2</v>
      </c>
      <c r="AN152">
        <f>SUMIFS(data!$C:$C,data!$A:$A,"="&amp;xyz!$A152,data!$B:$B,"="&amp;xyz!AN$2)</f>
        <v>2</v>
      </c>
      <c r="AO152">
        <f>SUMIFS(data!$C:$C,data!$A:$A,"="&amp;xyz!$A152,data!$B:$B,"="&amp;xyz!AO$2)</f>
        <v>0</v>
      </c>
      <c r="AP152">
        <f>SUMIFS(data!$C:$C,data!$A:$A,"="&amp;xyz!$A152,data!$B:$B,"="&amp;xyz!AP$2)</f>
        <v>0</v>
      </c>
      <c r="AQ152" s="6">
        <f t="shared" si="6"/>
        <v>1.0554706328815593</v>
      </c>
    </row>
    <row r="153" spans="1:43" x14ac:dyDescent="0.3">
      <c r="A153" t="s">
        <v>68</v>
      </c>
      <c r="B153" s="6">
        <f t="shared" si="5"/>
        <v>1.1573170731707316</v>
      </c>
      <c r="C153">
        <f>SUMIFS(data!$C:$C,data!$A:$A,"="&amp;xyz!$A153,data!$B:$B,"="&amp;xyz!C$2)</f>
        <v>0</v>
      </c>
      <c r="D153">
        <f>SUMIFS(data!$C:$C,data!$A:$A,"="&amp;xyz!$A153,data!$B:$B,"="&amp;xyz!D$2)</f>
        <v>0</v>
      </c>
      <c r="E153">
        <f>SUMIFS(data!$C:$C,data!$A:$A,"="&amp;xyz!$A153,data!$B:$B,"="&amp;xyz!E$2)</f>
        <v>1</v>
      </c>
      <c r="F153">
        <f>SUMIFS(data!$C:$C,data!$A:$A,"="&amp;xyz!$A153,data!$B:$B,"="&amp;xyz!F$2)</f>
        <v>1</v>
      </c>
      <c r="G153">
        <f>SUMIFS(data!$C:$C,data!$A:$A,"="&amp;xyz!$A153,data!$B:$B,"="&amp;xyz!G$2)</f>
        <v>1</v>
      </c>
      <c r="H153">
        <f>SUMIFS(data!$C:$C,data!$A:$A,"="&amp;xyz!$A153,data!$B:$B,"="&amp;xyz!H$2)</f>
        <v>3</v>
      </c>
      <c r="I153">
        <f>SUMIFS(data!$C:$C,data!$A:$A,"="&amp;xyz!$A153,data!$B:$B,"="&amp;xyz!I$2)</f>
        <v>0</v>
      </c>
      <c r="J153">
        <f>SUMIFS(data!$C:$C,data!$A:$A,"="&amp;xyz!$A153,data!$B:$B,"="&amp;xyz!J$2)</f>
        <v>0</v>
      </c>
      <c r="K153">
        <f>SUMIFS(data!$C:$C,data!$A:$A,"="&amp;xyz!$A153,data!$B:$B,"="&amp;xyz!K$2)</f>
        <v>0</v>
      </c>
      <c r="L153">
        <f>SUMIFS(data!$C:$C,data!$A:$A,"="&amp;xyz!$A153,data!$B:$B,"="&amp;xyz!L$2)</f>
        <v>0</v>
      </c>
      <c r="M153">
        <f>SUMIFS(data!$C:$C,data!$A:$A,"="&amp;xyz!$A153,data!$B:$B,"="&amp;xyz!M$2)</f>
        <v>0</v>
      </c>
      <c r="N153">
        <f>SUMIFS(data!$C:$C,data!$A:$A,"="&amp;xyz!$A153,data!$B:$B,"="&amp;xyz!N$2)</f>
        <v>0</v>
      </c>
      <c r="O153">
        <f>SUMIFS(data!$C:$C,data!$A:$A,"="&amp;xyz!$A153,data!$B:$B,"="&amp;xyz!O$2)</f>
        <v>0</v>
      </c>
      <c r="P153">
        <f>SUMIFS(data!$C:$C,data!$A:$A,"="&amp;xyz!$A153,data!$B:$B,"="&amp;xyz!P$2)</f>
        <v>0</v>
      </c>
      <c r="Q153">
        <f>SUMIFS(data!$C:$C,data!$A:$A,"="&amp;xyz!$A153,data!$B:$B,"="&amp;xyz!Q$2)</f>
        <v>2</v>
      </c>
      <c r="R153">
        <f>SUMIFS(data!$C:$C,data!$A:$A,"="&amp;xyz!$A153,data!$B:$B,"="&amp;xyz!R$2)</f>
        <v>6</v>
      </c>
      <c r="S153">
        <f>SUMIFS(data!$C:$C,data!$A:$A,"="&amp;xyz!$A153,data!$B:$B,"="&amp;xyz!S$2)</f>
        <v>3</v>
      </c>
      <c r="T153">
        <f>SUMIFS(data!$C:$C,data!$A:$A,"="&amp;xyz!$A153,data!$B:$B,"="&amp;xyz!T$2)</f>
        <v>1</v>
      </c>
      <c r="U153">
        <f>SUMIFS(data!$C:$C,data!$A:$A,"="&amp;xyz!$A153,data!$B:$B,"="&amp;xyz!U$2)</f>
        <v>5</v>
      </c>
      <c r="V153">
        <f>SUMIFS(data!$C:$C,data!$A:$A,"="&amp;xyz!$A153,data!$B:$B,"="&amp;xyz!V$2)</f>
        <v>3</v>
      </c>
      <c r="W153">
        <f>SUMIFS(data!$C:$C,data!$A:$A,"="&amp;xyz!$A153,data!$B:$B,"="&amp;xyz!W$2)</f>
        <v>0</v>
      </c>
      <c r="X153">
        <f>SUMIFS(data!$C:$C,data!$A:$A,"="&amp;xyz!$A153,data!$B:$B,"="&amp;xyz!X$2)</f>
        <v>0</v>
      </c>
      <c r="Y153">
        <f>SUMIFS(data!$C:$C,data!$A:$A,"="&amp;xyz!$A153,data!$B:$B,"="&amp;xyz!Y$2)</f>
        <v>0</v>
      </c>
      <c r="Z153">
        <f>SUMIFS(data!$C:$C,data!$A:$A,"="&amp;xyz!$A153,data!$B:$B,"="&amp;xyz!Z$2)</f>
        <v>0</v>
      </c>
      <c r="AA153">
        <f>SUMIFS(data!$C:$C,data!$A:$A,"="&amp;xyz!$A153,data!$B:$B,"="&amp;xyz!AA$2)</f>
        <v>0</v>
      </c>
      <c r="AB153">
        <f>SUMIFS(data!$C:$C,data!$A:$A,"="&amp;xyz!$A153,data!$B:$B,"="&amp;xyz!AB$2)</f>
        <v>3</v>
      </c>
      <c r="AC153">
        <f>SUMIFS(data!$C:$C,data!$A:$A,"="&amp;xyz!$A153,data!$B:$B,"="&amp;xyz!AC$2)</f>
        <v>0</v>
      </c>
      <c r="AD153">
        <f>SUMIFS(data!$C:$C,data!$A:$A,"="&amp;xyz!$A153,data!$B:$B,"="&amp;xyz!AD$2)</f>
        <v>0</v>
      </c>
      <c r="AE153">
        <f>SUMIFS(data!$C:$C,data!$A:$A,"="&amp;xyz!$A153,data!$B:$B,"="&amp;xyz!AE$2)</f>
        <v>3</v>
      </c>
      <c r="AF153">
        <f>SUMIFS(data!$C:$C,data!$A:$A,"="&amp;xyz!$A153,data!$B:$B,"="&amp;xyz!AF$2)</f>
        <v>2</v>
      </c>
      <c r="AG153">
        <f>SUMIFS(data!$C:$C,data!$A:$A,"="&amp;xyz!$A153,data!$B:$B,"="&amp;xyz!AG$2)</f>
        <v>0</v>
      </c>
      <c r="AH153">
        <f>SUMIFS(data!$C:$C,data!$A:$A,"="&amp;xyz!$A153,data!$B:$B,"="&amp;xyz!AH$2)</f>
        <v>0</v>
      </c>
      <c r="AI153">
        <f>SUMIFS(data!$C:$C,data!$A:$A,"="&amp;xyz!$A153,data!$B:$B,"="&amp;xyz!AI$2)</f>
        <v>1</v>
      </c>
      <c r="AJ153">
        <f>SUMIFS(data!$C:$C,data!$A:$A,"="&amp;xyz!$A153,data!$B:$B,"="&amp;xyz!AJ$2)</f>
        <v>0</v>
      </c>
      <c r="AK153">
        <f>SUMIFS(data!$C:$C,data!$A:$A,"="&amp;xyz!$A153,data!$B:$B,"="&amp;xyz!AK$2)</f>
        <v>0</v>
      </c>
      <c r="AL153">
        <f>SUMIFS(data!$C:$C,data!$A:$A,"="&amp;xyz!$A153,data!$B:$B,"="&amp;xyz!AL$2)</f>
        <v>0</v>
      </c>
      <c r="AM153">
        <f>SUMIFS(data!$C:$C,data!$A:$A,"="&amp;xyz!$A153,data!$B:$B,"="&amp;xyz!AM$2)</f>
        <v>0</v>
      </c>
      <c r="AN153">
        <f>SUMIFS(data!$C:$C,data!$A:$A,"="&amp;xyz!$A153,data!$B:$B,"="&amp;xyz!AN$2)</f>
        <v>3</v>
      </c>
      <c r="AO153">
        <f>SUMIFS(data!$C:$C,data!$A:$A,"="&amp;xyz!$A153,data!$B:$B,"="&amp;xyz!AO$2)</f>
        <v>2</v>
      </c>
      <c r="AP153">
        <f>SUMIFS(data!$C:$C,data!$A:$A,"="&amp;xyz!$A153,data!$B:$B,"="&amp;xyz!AP$2)</f>
        <v>1</v>
      </c>
      <c r="AQ153" s="6">
        <f t="shared" si="6"/>
        <v>1.4900637974092279</v>
      </c>
    </row>
    <row r="154" spans="1:43" x14ac:dyDescent="0.3">
      <c r="A154" t="s">
        <v>67</v>
      </c>
      <c r="B154" s="6">
        <f t="shared" si="5"/>
        <v>0.8158536585365852</v>
      </c>
      <c r="C154">
        <f>SUMIFS(data!$C:$C,data!$A:$A,"="&amp;xyz!$A154,data!$B:$B,"="&amp;xyz!C$2)</f>
        <v>1</v>
      </c>
      <c r="D154">
        <f>SUMIFS(data!$C:$C,data!$A:$A,"="&amp;xyz!$A154,data!$B:$B,"="&amp;xyz!D$2)</f>
        <v>0</v>
      </c>
      <c r="E154">
        <f>SUMIFS(data!$C:$C,data!$A:$A,"="&amp;xyz!$A154,data!$B:$B,"="&amp;xyz!E$2)</f>
        <v>2</v>
      </c>
      <c r="F154">
        <f>SUMIFS(data!$C:$C,data!$A:$A,"="&amp;xyz!$A154,data!$B:$B,"="&amp;xyz!F$2)</f>
        <v>1</v>
      </c>
      <c r="G154">
        <f>SUMIFS(data!$C:$C,data!$A:$A,"="&amp;xyz!$A154,data!$B:$B,"="&amp;xyz!G$2)</f>
        <v>0</v>
      </c>
      <c r="H154">
        <f>SUMIFS(data!$C:$C,data!$A:$A,"="&amp;xyz!$A154,data!$B:$B,"="&amp;xyz!H$2)</f>
        <v>3</v>
      </c>
      <c r="I154">
        <f>SUMIFS(data!$C:$C,data!$A:$A,"="&amp;xyz!$A154,data!$B:$B,"="&amp;xyz!I$2)</f>
        <v>0</v>
      </c>
      <c r="J154">
        <f>SUMIFS(data!$C:$C,data!$A:$A,"="&amp;xyz!$A154,data!$B:$B,"="&amp;xyz!J$2)</f>
        <v>0</v>
      </c>
      <c r="K154">
        <f>SUMIFS(data!$C:$C,data!$A:$A,"="&amp;xyz!$A154,data!$B:$B,"="&amp;xyz!K$2)</f>
        <v>0</v>
      </c>
      <c r="L154">
        <f>SUMIFS(data!$C:$C,data!$A:$A,"="&amp;xyz!$A154,data!$B:$B,"="&amp;xyz!L$2)</f>
        <v>0</v>
      </c>
      <c r="M154">
        <f>SUMIFS(data!$C:$C,data!$A:$A,"="&amp;xyz!$A154,data!$B:$B,"="&amp;xyz!M$2)</f>
        <v>0</v>
      </c>
      <c r="N154">
        <f>SUMIFS(data!$C:$C,data!$A:$A,"="&amp;xyz!$A154,data!$B:$B,"="&amp;xyz!N$2)</f>
        <v>1</v>
      </c>
      <c r="O154">
        <f>SUMIFS(data!$C:$C,data!$A:$A,"="&amp;xyz!$A154,data!$B:$B,"="&amp;xyz!O$2)</f>
        <v>2</v>
      </c>
      <c r="P154">
        <f>SUMIFS(data!$C:$C,data!$A:$A,"="&amp;xyz!$A154,data!$B:$B,"="&amp;xyz!P$2)</f>
        <v>1</v>
      </c>
      <c r="Q154">
        <f>SUMIFS(data!$C:$C,data!$A:$A,"="&amp;xyz!$A154,data!$B:$B,"="&amp;xyz!Q$2)</f>
        <v>1</v>
      </c>
      <c r="R154">
        <f>SUMIFS(data!$C:$C,data!$A:$A,"="&amp;xyz!$A154,data!$B:$B,"="&amp;xyz!R$2)</f>
        <v>2</v>
      </c>
      <c r="S154">
        <f>SUMIFS(data!$C:$C,data!$A:$A,"="&amp;xyz!$A154,data!$B:$B,"="&amp;xyz!S$2)</f>
        <v>0</v>
      </c>
      <c r="T154">
        <f>SUMIFS(data!$C:$C,data!$A:$A,"="&amp;xyz!$A154,data!$B:$B,"="&amp;xyz!T$2)</f>
        <v>0</v>
      </c>
      <c r="U154">
        <f>SUMIFS(data!$C:$C,data!$A:$A,"="&amp;xyz!$A154,data!$B:$B,"="&amp;xyz!U$2)</f>
        <v>3</v>
      </c>
      <c r="V154">
        <f>SUMIFS(data!$C:$C,data!$A:$A,"="&amp;xyz!$A154,data!$B:$B,"="&amp;xyz!V$2)</f>
        <v>3</v>
      </c>
      <c r="W154">
        <f>SUMIFS(data!$C:$C,data!$A:$A,"="&amp;xyz!$A154,data!$B:$B,"="&amp;xyz!W$2)</f>
        <v>2</v>
      </c>
      <c r="X154">
        <f>SUMIFS(data!$C:$C,data!$A:$A,"="&amp;xyz!$A154,data!$B:$B,"="&amp;xyz!X$2)</f>
        <v>0</v>
      </c>
      <c r="Y154">
        <f>SUMIFS(data!$C:$C,data!$A:$A,"="&amp;xyz!$A154,data!$B:$B,"="&amp;xyz!Y$2)</f>
        <v>3</v>
      </c>
      <c r="Z154">
        <f>SUMIFS(data!$C:$C,data!$A:$A,"="&amp;xyz!$A154,data!$B:$B,"="&amp;xyz!Z$2)</f>
        <v>1</v>
      </c>
      <c r="AA154">
        <f>SUMIFS(data!$C:$C,data!$A:$A,"="&amp;xyz!$A154,data!$B:$B,"="&amp;xyz!AA$2)</f>
        <v>3</v>
      </c>
      <c r="AB154">
        <f>SUMIFS(data!$C:$C,data!$A:$A,"="&amp;xyz!$A154,data!$B:$B,"="&amp;xyz!AB$2)</f>
        <v>0</v>
      </c>
      <c r="AC154">
        <f>SUMIFS(data!$C:$C,data!$A:$A,"="&amp;xyz!$A154,data!$B:$B,"="&amp;xyz!AC$2)</f>
        <v>1</v>
      </c>
      <c r="AD154">
        <f>SUMIFS(data!$C:$C,data!$A:$A,"="&amp;xyz!$A154,data!$B:$B,"="&amp;xyz!AD$2)</f>
        <v>1</v>
      </c>
      <c r="AE154">
        <f>SUMIFS(data!$C:$C,data!$A:$A,"="&amp;xyz!$A154,data!$B:$B,"="&amp;xyz!AE$2)</f>
        <v>1</v>
      </c>
      <c r="AF154">
        <f>SUMIFS(data!$C:$C,data!$A:$A,"="&amp;xyz!$A154,data!$B:$B,"="&amp;xyz!AF$2)</f>
        <v>1</v>
      </c>
      <c r="AG154">
        <f>SUMIFS(data!$C:$C,data!$A:$A,"="&amp;xyz!$A154,data!$B:$B,"="&amp;xyz!AG$2)</f>
        <v>0</v>
      </c>
      <c r="AH154">
        <f>SUMIFS(data!$C:$C,data!$A:$A,"="&amp;xyz!$A154,data!$B:$B,"="&amp;xyz!AH$2)</f>
        <v>0</v>
      </c>
      <c r="AI154">
        <f>SUMIFS(data!$C:$C,data!$A:$A,"="&amp;xyz!$A154,data!$B:$B,"="&amp;xyz!AI$2)</f>
        <v>1</v>
      </c>
      <c r="AJ154">
        <f>SUMIFS(data!$C:$C,data!$A:$A,"="&amp;xyz!$A154,data!$B:$B,"="&amp;xyz!AJ$2)</f>
        <v>0</v>
      </c>
      <c r="AK154">
        <f>SUMIFS(data!$C:$C,data!$A:$A,"="&amp;xyz!$A154,data!$B:$B,"="&amp;xyz!AK$2)</f>
        <v>1</v>
      </c>
      <c r="AL154">
        <f>SUMIFS(data!$C:$C,data!$A:$A,"="&amp;xyz!$A154,data!$B:$B,"="&amp;xyz!AL$2)</f>
        <v>0</v>
      </c>
      <c r="AM154">
        <f>SUMIFS(data!$C:$C,data!$A:$A,"="&amp;xyz!$A154,data!$B:$B,"="&amp;xyz!AM$2)</f>
        <v>0</v>
      </c>
      <c r="AN154">
        <f>SUMIFS(data!$C:$C,data!$A:$A,"="&amp;xyz!$A154,data!$B:$B,"="&amp;xyz!AN$2)</f>
        <v>1</v>
      </c>
      <c r="AO154">
        <f>SUMIFS(data!$C:$C,data!$A:$A,"="&amp;xyz!$A154,data!$B:$B,"="&amp;xyz!AO$2)</f>
        <v>2</v>
      </c>
      <c r="AP154">
        <f>SUMIFS(data!$C:$C,data!$A:$A,"="&amp;xyz!$A154,data!$B:$B,"="&amp;xyz!AP$2)</f>
        <v>3</v>
      </c>
      <c r="AQ154" s="6">
        <f t="shared" si="6"/>
        <v>1.0476818423495458</v>
      </c>
    </row>
    <row r="155" spans="1:43" x14ac:dyDescent="0.3">
      <c r="A155" t="s">
        <v>71</v>
      </c>
      <c r="B155" s="6">
        <f t="shared" si="5"/>
        <v>1.1085365853658533</v>
      </c>
      <c r="C155">
        <f>SUMIFS(data!$C:$C,data!$A:$A,"="&amp;xyz!$A155,data!$B:$B,"="&amp;xyz!C$2)</f>
        <v>0</v>
      </c>
      <c r="D155">
        <f>SUMIFS(data!$C:$C,data!$A:$A,"="&amp;xyz!$A155,data!$B:$B,"="&amp;xyz!D$2)</f>
        <v>0</v>
      </c>
      <c r="E155">
        <f>SUMIFS(data!$C:$C,data!$A:$A,"="&amp;xyz!$A155,data!$B:$B,"="&amp;xyz!E$2)</f>
        <v>0</v>
      </c>
      <c r="F155">
        <f>SUMIFS(data!$C:$C,data!$A:$A,"="&amp;xyz!$A155,data!$B:$B,"="&amp;xyz!F$2)</f>
        <v>0</v>
      </c>
      <c r="G155">
        <f>SUMIFS(data!$C:$C,data!$A:$A,"="&amp;xyz!$A155,data!$B:$B,"="&amp;xyz!G$2)</f>
        <v>3</v>
      </c>
      <c r="H155">
        <f>SUMIFS(data!$C:$C,data!$A:$A,"="&amp;xyz!$A155,data!$B:$B,"="&amp;xyz!H$2)</f>
        <v>0</v>
      </c>
      <c r="I155">
        <f>SUMIFS(data!$C:$C,data!$A:$A,"="&amp;xyz!$A155,data!$B:$B,"="&amp;xyz!I$2)</f>
        <v>0</v>
      </c>
      <c r="J155">
        <f>SUMIFS(data!$C:$C,data!$A:$A,"="&amp;xyz!$A155,data!$B:$B,"="&amp;xyz!J$2)</f>
        <v>0</v>
      </c>
      <c r="K155">
        <f>SUMIFS(data!$C:$C,data!$A:$A,"="&amp;xyz!$A155,data!$B:$B,"="&amp;xyz!K$2)</f>
        <v>0</v>
      </c>
      <c r="L155">
        <f>SUMIFS(data!$C:$C,data!$A:$A,"="&amp;xyz!$A155,data!$B:$B,"="&amp;xyz!L$2)</f>
        <v>3</v>
      </c>
      <c r="M155">
        <f>SUMIFS(data!$C:$C,data!$A:$A,"="&amp;xyz!$A155,data!$B:$B,"="&amp;xyz!M$2)</f>
        <v>0</v>
      </c>
      <c r="N155">
        <f>SUMIFS(data!$C:$C,data!$A:$A,"="&amp;xyz!$A155,data!$B:$B,"="&amp;xyz!N$2)</f>
        <v>5</v>
      </c>
      <c r="O155">
        <f>SUMIFS(data!$C:$C,data!$A:$A,"="&amp;xyz!$A155,data!$B:$B,"="&amp;xyz!O$2)</f>
        <v>4</v>
      </c>
      <c r="P155">
        <f>SUMIFS(data!$C:$C,data!$A:$A,"="&amp;xyz!$A155,data!$B:$B,"="&amp;xyz!P$2)</f>
        <v>4</v>
      </c>
      <c r="Q155">
        <f>SUMIFS(data!$C:$C,data!$A:$A,"="&amp;xyz!$A155,data!$B:$B,"="&amp;xyz!Q$2)</f>
        <v>1</v>
      </c>
      <c r="R155">
        <f>SUMIFS(data!$C:$C,data!$A:$A,"="&amp;xyz!$A155,data!$B:$B,"="&amp;xyz!R$2)</f>
        <v>0</v>
      </c>
      <c r="S155">
        <f>SUMIFS(data!$C:$C,data!$A:$A,"="&amp;xyz!$A155,data!$B:$B,"="&amp;xyz!S$2)</f>
        <v>0</v>
      </c>
      <c r="T155">
        <f>SUMIFS(data!$C:$C,data!$A:$A,"="&amp;xyz!$A155,data!$B:$B,"="&amp;xyz!T$2)</f>
        <v>0</v>
      </c>
      <c r="U155">
        <f>SUMIFS(data!$C:$C,data!$A:$A,"="&amp;xyz!$A155,data!$B:$B,"="&amp;xyz!U$2)</f>
        <v>2</v>
      </c>
      <c r="V155">
        <f>SUMIFS(data!$C:$C,data!$A:$A,"="&amp;xyz!$A155,data!$B:$B,"="&amp;xyz!V$2)</f>
        <v>0</v>
      </c>
      <c r="W155">
        <f>SUMIFS(data!$C:$C,data!$A:$A,"="&amp;xyz!$A155,data!$B:$B,"="&amp;xyz!W$2)</f>
        <v>0</v>
      </c>
      <c r="X155">
        <f>SUMIFS(data!$C:$C,data!$A:$A,"="&amp;xyz!$A155,data!$B:$B,"="&amp;xyz!X$2)</f>
        <v>0</v>
      </c>
      <c r="Y155">
        <f>SUMIFS(data!$C:$C,data!$A:$A,"="&amp;xyz!$A155,data!$B:$B,"="&amp;xyz!Y$2)</f>
        <v>1</v>
      </c>
      <c r="Z155">
        <f>SUMIFS(data!$C:$C,data!$A:$A,"="&amp;xyz!$A155,data!$B:$B,"="&amp;xyz!Z$2)</f>
        <v>0</v>
      </c>
      <c r="AA155">
        <f>SUMIFS(data!$C:$C,data!$A:$A,"="&amp;xyz!$A155,data!$B:$B,"="&amp;xyz!AA$2)</f>
        <v>2</v>
      </c>
      <c r="AB155">
        <f>SUMIFS(data!$C:$C,data!$A:$A,"="&amp;xyz!$A155,data!$B:$B,"="&amp;xyz!AB$2)</f>
        <v>1</v>
      </c>
      <c r="AC155">
        <f>SUMIFS(data!$C:$C,data!$A:$A,"="&amp;xyz!$A155,data!$B:$B,"="&amp;xyz!AC$2)</f>
        <v>2</v>
      </c>
      <c r="AD155">
        <f>SUMIFS(data!$C:$C,data!$A:$A,"="&amp;xyz!$A155,data!$B:$B,"="&amp;xyz!AD$2)</f>
        <v>2</v>
      </c>
      <c r="AE155">
        <f>SUMIFS(data!$C:$C,data!$A:$A,"="&amp;xyz!$A155,data!$B:$B,"="&amp;xyz!AE$2)</f>
        <v>0</v>
      </c>
      <c r="AF155">
        <f>SUMIFS(data!$C:$C,data!$A:$A,"="&amp;xyz!$A155,data!$B:$B,"="&amp;xyz!AF$2)</f>
        <v>0</v>
      </c>
      <c r="AG155">
        <f>SUMIFS(data!$C:$C,data!$A:$A,"="&amp;xyz!$A155,data!$B:$B,"="&amp;xyz!AG$2)</f>
        <v>0</v>
      </c>
      <c r="AH155">
        <f>SUMIFS(data!$C:$C,data!$A:$A,"="&amp;xyz!$A155,data!$B:$B,"="&amp;xyz!AH$2)</f>
        <v>1</v>
      </c>
      <c r="AI155">
        <f>SUMIFS(data!$C:$C,data!$A:$A,"="&amp;xyz!$A155,data!$B:$B,"="&amp;xyz!AI$2)</f>
        <v>0</v>
      </c>
      <c r="AJ155">
        <f>SUMIFS(data!$C:$C,data!$A:$A,"="&amp;xyz!$A155,data!$B:$B,"="&amp;xyz!AJ$2)</f>
        <v>3</v>
      </c>
      <c r="AK155">
        <f>SUMIFS(data!$C:$C,data!$A:$A,"="&amp;xyz!$A155,data!$B:$B,"="&amp;xyz!AK$2)</f>
        <v>0</v>
      </c>
      <c r="AL155">
        <f>SUMIFS(data!$C:$C,data!$A:$A,"="&amp;xyz!$A155,data!$B:$B,"="&amp;xyz!AL$2)</f>
        <v>0</v>
      </c>
      <c r="AM155">
        <f>SUMIFS(data!$C:$C,data!$A:$A,"="&amp;xyz!$A155,data!$B:$B,"="&amp;xyz!AM$2)</f>
        <v>4</v>
      </c>
      <c r="AN155">
        <f>SUMIFS(data!$C:$C,data!$A:$A,"="&amp;xyz!$A155,data!$B:$B,"="&amp;xyz!AN$2)</f>
        <v>1</v>
      </c>
      <c r="AO155">
        <f>SUMIFS(data!$C:$C,data!$A:$A,"="&amp;xyz!$A155,data!$B:$B,"="&amp;xyz!AO$2)</f>
        <v>1</v>
      </c>
      <c r="AP155">
        <f>SUMIFS(data!$C:$C,data!$A:$A,"="&amp;xyz!$A155,data!$B:$B,"="&amp;xyz!AP$2)</f>
        <v>1</v>
      </c>
      <c r="AQ155" s="6">
        <f t="shared" si="6"/>
        <v>1.4057863091404947</v>
      </c>
    </row>
    <row r="156" spans="1:43" x14ac:dyDescent="0.3">
      <c r="A156" t="s">
        <v>159</v>
      </c>
      <c r="B156" s="6">
        <f t="shared" si="5"/>
        <v>1.2244186046511638</v>
      </c>
      <c r="C156">
        <f>SUMIFS(data!$C:$C,data!$A:$A,"="&amp;xyz!$A156,data!$B:$B,"="&amp;xyz!C$2)</f>
        <v>0</v>
      </c>
      <c r="D156">
        <f>SUMIFS(data!$C:$C,data!$A:$A,"="&amp;xyz!$A156,data!$B:$B,"="&amp;xyz!D$2)</f>
        <v>1</v>
      </c>
      <c r="E156">
        <f>SUMIFS(data!$C:$C,data!$A:$A,"="&amp;xyz!$A156,data!$B:$B,"="&amp;xyz!E$2)</f>
        <v>0</v>
      </c>
      <c r="F156">
        <f>SUMIFS(data!$C:$C,data!$A:$A,"="&amp;xyz!$A156,data!$B:$B,"="&amp;xyz!F$2)</f>
        <v>0</v>
      </c>
      <c r="G156">
        <f>SUMIFS(data!$C:$C,data!$A:$A,"="&amp;xyz!$A156,data!$B:$B,"="&amp;xyz!G$2)</f>
        <v>7</v>
      </c>
      <c r="H156">
        <f>SUMIFS(data!$C:$C,data!$A:$A,"="&amp;xyz!$A156,data!$B:$B,"="&amp;xyz!H$2)</f>
        <v>0</v>
      </c>
      <c r="I156">
        <f>SUMIFS(data!$C:$C,data!$A:$A,"="&amp;xyz!$A156,data!$B:$B,"="&amp;xyz!I$2)</f>
        <v>0</v>
      </c>
      <c r="J156">
        <f>SUMIFS(data!$C:$C,data!$A:$A,"="&amp;xyz!$A156,data!$B:$B,"="&amp;xyz!J$2)</f>
        <v>5</v>
      </c>
      <c r="K156">
        <f>SUMIFS(data!$C:$C,data!$A:$A,"="&amp;xyz!$A156,data!$B:$B,"="&amp;xyz!K$2)</f>
        <v>0</v>
      </c>
      <c r="L156">
        <f>SUMIFS(data!$C:$C,data!$A:$A,"="&amp;xyz!$A156,data!$B:$B,"="&amp;xyz!L$2)</f>
        <v>0</v>
      </c>
      <c r="M156">
        <f>SUMIFS(data!$C:$C,data!$A:$A,"="&amp;xyz!$A156,data!$B:$B,"="&amp;xyz!M$2)</f>
        <v>1</v>
      </c>
      <c r="N156">
        <f>SUMIFS(data!$C:$C,data!$A:$A,"="&amp;xyz!$A156,data!$B:$B,"="&amp;xyz!N$2)</f>
        <v>3</v>
      </c>
      <c r="O156">
        <f>SUMIFS(data!$C:$C,data!$A:$A,"="&amp;xyz!$A156,data!$B:$B,"="&amp;xyz!O$2)</f>
        <v>0</v>
      </c>
      <c r="P156">
        <f>SUMIFS(data!$C:$C,data!$A:$A,"="&amp;xyz!$A156,data!$B:$B,"="&amp;xyz!P$2)</f>
        <v>5</v>
      </c>
      <c r="Q156">
        <f>SUMIFS(data!$C:$C,data!$A:$A,"="&amp;xyz!$A156,data!$B:$B,"="&amp;xyz!Q$2)</f>
        <v>0</v>
      </c>
      <c r="R156">
        <f>SUMIFS(data!$C:$C,data!$A:$A,"="&amp;xyz!$A156,data!$B:$B,"="&amp;xyz!R$2)</f>
        <v>4</v>
      </c>
      <c r="S156">
        <f>SUMIFS(data!$C:$C,data!$A:$A,"="&amp;xyz!$A156,data!$B:$B,"="&amp;xyz!S$2)</f>
        <v>1</v>
      </c>
      <c r="T156">
        <f>SUMIFS(data!$C:$C,data!$A:$A,"="&amp;xyz!$A156,data!$B:$B,"="&amp;xyz!T$2)</f>
        <v>4</v>
      </c>
      <c r="U156">
        <f>SUMIFS(data!$C:$C,data!$A:$A,"="&amp;xyz!$A156,data!$B:$B,"="&amp;xyz!U$2)</f>
        <v>0</v>
      </c>
      <c r="V156">
        <f>SUMIFS(data!$C:$C,data!$A:$A,"="&amp;xyz!$A156,data!$B:$B,"="&amp;xyz!V$2)</f>
        <v>2</v>
      </c>
      <c r="W156">
        <f>SUMIFS(data!$C:$C,data!$A:$A,"="&amp;xyz!$A156,data!$B:$B,"="&amp;xyz!W$2)</f>
        <v>0</v>
      </c>
      <c r="X156">
        <f>SUMIFS(data!$C:$C,data!$A:$A,"="&amp;xyz!$A156,data!$B:$B,"="&amp;xyz!X$2)</f>
        <v>4</v>
      </c>
      <c r="Y156">
        <f>SUMIFS(data!$C:$C,data!$A:$A,"="&amp;xyz!$A156,data!$B:$B,"="&amp;xyz!Y$2)</f>
        <v>0</v>
      </c>
      <c r="Z156">
        <f>SUMIFS(data!$C:$C,data!$A:$A,"="&amp;xyz!$A156,data!$B:$B,"="&amp;xyz!Z$2)</f>
        <v>1</v>
      </c>
      <c r="AA156">
        <f>SUMIFS(data!$C:$C,data!$A:$A,"="&amp;xyz!$A156,data!$B:$B,"="&amp;xyz!AA$2)</f>
        <v>2</v>
      </c>
      <c r="AB156">
        <f>SUMIFS(data!$C:$C,data!$A:$A,"="&amp;xyz!$A156,data!$B:$B,"="&amp;xyz!AB$2)</f>
        <v>0</v>
      </c>
      <c r="AC156">
        <f>SUMIFS(data!$C:$C,data!$A:$A,"="&amp;xyz!$A156,data!$B:$B,"="&amp;xyz!AC$2)</f>
        <v>0</v>
      </c>
      <c r="AD156">
        <f>SUMIFS(data!$C:$C,data!$A:$A,"="&amp;xyz!$A156,data!$B:$B,"="&amp;xyz!AD$2)</f>
        <v>1</v>
      </c>
      <c r="AE156">
        <f>SUMIFS(data!$C:$C,data!$A:$A,"="&amp;xyz!$A156,data!$B:$B,"="&amp;xyz!AE$2)</f>
        <v>0</v>
      </c>
      <c r="AF156">
        <f>SUMIFS(data!$C:$C,data!$A:$A,"="&amp;xyz!$A156,data!$B:$B,"="&amp;xyz!AF$2)</f>
        <v>0</v>
      </c>
      <c r="AG156">
        <f>SUMIFS(data!$C:$C,data!$A:$A,"="&amp;xyz!$A156,data!$B:$B,"="&amp;xyz!AG$2)</f>
        <v>1</v>
      </c>
      <c r="AH156">
        <f>SUMIFS(data!$C:$C,data!$A:$A,"="&amp;xyz!$A156,data!$B:$B,"="&amp;xyz!AH$2)</f>
        <v>0</v>
      </c>
      <c r="AI156">
        <f>SUMIFS(data!$C:$C,data!$A:$A,"="&amp;xyz!$A156,data!$B:$B,"="&amp;xyz!AI$2)</f>
        <v>0</v>
      </c>
      <c r="AJ156">
        <f>SUMIFS(data!$C:$C,data!$A:$A,"="&amp;xyz!$A156,data!$B:$B,"="&amp;xyz!AJ$2)</f>
        <v>1</v>
      </c>
      <c r="AK156">
        <f>SUMIFS(data!$C:$C,data!$A:$A,"="&amp;xyz!$A156,data!$B:$B,"="&amp;xyz!AK$2)</f>
        <v>0</v>
      </c>
      <c r="AL156">
        <f>SUMIFS(data!$C:$C,data!$A:$A,"="&amp;xyz!$A156,data!$B:$B,"="&amp;xyz!AL$2)</f>
        <v>0</v>
      </c>
      <c r="AM156">
        <f>SUMIFS(data!$C:$C,data!$A:$A,"="&amp;xyz!$A156,data!$B:$B,"="&amp;xyz!AM$2)</f>
        <v>0</v>
      </c>
      <c r="AN156">
        <f>SUMIFS(data!$C:$C,data!$A:$A,"="&amp;xyz!$A156,data!$B:$B,"="&amp;xyz!AN$2)</f>
        <v>0</v>
      </c>
      <c r="AO156">
        <f>SUMIFS(data!$C:$C,data!$A:$A,"="&amp;xyz!$A156,data!$B:$B,"="&amp;xyz!AO$2)</f>
        <v>0</v>
      </c>
      <c r="AP156">
        <f>SUMIFS(data!$C:$C,data!$A:$A,"="&amp;xyz!$A156,data!$B:$B,"="&amp;xyz!AP$2)</f>
        <v>0</v>
      </c>
      <c r="AQ156" s="6">
        <f t="shared" si="6"/>
        <v>1.6638839078254779</v>
      </c>
    </row>
    <row r="157" spans="1:43" x14ac:dyDescent="0.3">
      <c r="A157" t="s">
        <v>81</v>
      </c>
      <c r="B157" s="6">
        <f t="shared" si="5"/>
        <v>0.8761904761904763</v>
      </c>
      <c r="C157">
        <f>SUMIFS(data!$C:$C,data!$A:$A,"="&amp;xyz!$A157,data!$B:$B,"="&amp;xyz!C$2)</f>
        <v>1</v>
      </c>
      <c r="D157">
        <f>SUMIFS(data!$C:$C,data!$A:$A,"="&amp;xyz!$A157,data!$B:$B,"="&amp;xyz!D$2)</f>
        <v>1</v>
      </c>
      <c r="E157">
        <f>SUMIFS(data!$C:$C,data!$A:$A,"="&amp;xyz!$A157,data!$B:$B,"="&amp;xyz!E$2)</f>
        <v>3</v>
      </c>
      <c r="F157">
        <f>SUMIFS(data!$C:$C,data!$A:$A,"="&amp;xyz!$A157,data!$B:$B,"="&amp;xyz!F$2)</f>
        <v>0</v>
      </c>
      <c r="G157">
        <f>SUMIFS(data!$C:$C,data!$A:$A,"="&amp;xyz!$A157,data!$B:$B,"="&amp;xyz!G$2)</f>
        <v>0</v>
      </c>
      <c r="H157">
        <f>SUMIFS(data!$C:$C,data!$A:$A,"="&amp;xyz!$A157,data!$B:$B,"="&amp;xyz!H$2)</f>
        <v>1</v>
      </c>
      <c r="I157">
        <f>SUMIFS(data!$C:$C,data!$A:$A,"="&amp;xyz!$A157,data!$B:$B,"="&amp;xyz!I$2)</f>
        <v>0</v>
      </c>
      <c r="J157">
        <f>SUMIFS(data!$C:$C,data!$A:$A,"="&amp;xyz!$A157,data!$B:$B,"="&amp;xyz!J$2)</f>
        <v>2</v>
      </c>
      <c r="K157">
        <f>SUMIFS(data!$C:$C,data!$A:$A,"="&amp;xyz!$A157,data!$B:$B,"="&amp;xyz!K$2)</f>
        <v>0</v>
      </c>
      <c r="L157">
        <f>SUMIFS(data!$C:$C,data!$A:$A,"="&amp;xyz!$A157,data!$B:$B,"="&amp;xyz!L$2)</f>
        <v>0</v>
      </c>
      <c r="M157">
        <f>SUMIFS(data!$C:$C,data!$A:$A,"="&amp;xyz!$A157,data!$B:$B,"="&amp;xyz!M$2)</f>
        <v>0</v>
      </c>
      <c r="N157">
        <f>SUMIFS(data!$C:$C,data!$A:$A,"="&amp;xyz!$A157,data!$B:$B,"="&amp;xyz!N$2)</f>
        <v>2</v>
      </c>
      <c r="O157">
        <f>SUMIFS(data!$C:$C,data!$A:$A,"="&amp;xyz!$A157,data!$B:$B,"="&amp;xyz!O$2)</f>
        <v>2</v>
      </c>
      <c r="P157">
        <f>SUMIFS(data!$C:$C,data!$A:$A,"="&amp;xyz!$A157,data!$B:$B,"="&amp;xyz!P$2)</f>
        <v>4</v>
      </c>
      <c r="Q157">
        <f>SUMIFS(data!$C:$C,data!$A:$A,"="&amp;xyz!$A157,data!$B:$B,"="&amp;xyz!Q$2)</f>
        <v>1</v>
      </c>
      <c r="R157">
        <f>SUMIFS(data!$C:$C,data!$A:$A,"="&amp;xyz!$A157,data!$B:$B,"="&amp;xyz!R$2)</f>
        <v>0</v>
      </c>
      <c r="S157">
        <f>SUMIFS(data!$C:$C,data!$A:$A,"="&amp;xyz!$A157,data!$B:$B,"="&amp;xyz!S$2)</f>
        <v>2</v>
      </c>
      <c r="T157">
        <f>SUMIFS(data!$C:$C,data!$A:$A,"="&amp;xyz!$A157,data!$B:$B,"="&amp;xyz!T$2)</f>
        <v>0</v>
      </c>
      <c r="U157">
        <f>SUMIFS(data!$C:$C,data!$A:$A,"="&amp;xyz!$A157,data!$B:$B,"="&amp;xyz!U$2)</f>
        <v>1</v>
      </c>
      <c r="V157">
        <f>SUMIFS(data!$C:$C,data!$A:$A,"="&amp;xyz!$A157,data!$B:$B,"="&amp;xyz!V$2)</f>
        <v>2</v>
      </c>
      <c r="W157">
        <f>SUMIFS(data!$C:$C,data!$A:$A,"="&amp;xyz!$A157,data!$B:$B,"="&amp;xyz!W$2)</f>
        <v>1</v>
      </c>
      <c r="X157">
        <f>SUMIFS(data!$C:$C,data!$A:$A,"="&amp;xyz!$A157,data!$B:$B,"="&amp;xyz!X$2)</f>
        <v>0</v>
      </c>
      <c r="Y157">
        <f>SUMIFS(data!$C:$C,data!$A:$A,"="&amp;xyz!$A157,data!$B:$B,"="&amp;xyz!Y$2)</f>
        <v>0</v>
      </c>
      <c r="Z157">
        <f>SUMIFS(data!$C:$C,data!$A:$A,"="&amp;xyz!$A157,data!$B:$B,"="&amp;xyz!Z$2)</f>
        <v>0</v>
      </c>
      <c r="AA157">
        <f>SUMIFS(data!$C:$C,data!$A:$A,"="&amp;xyz!$A157,data!$B:$B,"="&amp;xyz!AA$2)</f>
        <v>1</v>
      </c>
      <c r="AB157">
        <f>SUMIFS(data!$C:$C,data!$A:$A,"="&amp;xyz!$A157,data!$B:$B,"="&amp;xyz!AB$2)</f>
        <v>2</v>
      </c>
      <c r="AC157">
        <f>SUMIFS(data!$C:$C,data!$A:$A,"="&amp;xyz!$A157,data!$B:$B,"="&amp;xyz!AC$2)</f>
        <v>1</v>
      </c>
      <c r="AD157">
        <f>SUMIFS(data!$C:$C,data!$A:$A,"="&amp;xyz!$A157,data!$B:$B,"="&amp;xyz!AD$2)</f>
        <v>0</v>
      </c>
      <c r="AE157">
        <f>SUMIFS(data!$C:$C,data!$A:$A,"="&amp;xyz!$A157,data!$B:$B,"="&amp;xyz!AE$2)</f>
        <v>0</v>
      </c>
      <c r="AF157">
        <f>SUMIFS(data!$C:$C,data!$A:$A,"="&amp;xyz!$A157,data!$B:$B,"="&amp;xyz!AF$2)</f>
        <v>1</v>
      </c>
      <c r="AG157">
        <f>SUMIFS(data!$C:$C,data!$A:$A,"="&amp;xyz!$A157,data!$B:$B,"="&amp;xyz!AG$2)</f>
        <v>2</v>
      </c>
      <c r="AH157">
        <f>SUMIFS(data!$C:$C,data!$A:$A,"="&amp;xyz!$A157,data!$B:$B,"="&amp;xyz!AH$2)</f>
        <v>0</v>
      </c>
      <c r="AI157">
        <f>SUMIFS(data!$C:$C,data!$A:$A,"="&amp;xyz!$A157,data!$B:$B,"="&amp;xyz!AI$2)</f>
        <v>1</v>
      </c>
      <c r="AJ157">
        <f>SUMIFS(data!$C:$C,data!$A:$A,"="&amp;xyz!$A157,data!$B:$B,"="&amp;xyz!AJ$2)</f>
        <v>0</v>
      </c>
      <c r="AK157">
        <f>SUMIFS(data!$C:$C,data!$A:$A,"="&amp;xyz!$A157,data!$B:$B,"="&amp;xyz!AK$2)</f>
        <v>3</v>
      </c>
      <c r="AL157">
        <f>SUMIFS(data!$C:$C,data!$A:$A,"="&amp;xyz!$A157,data!$B:$B,"="&amp;xyz!AL$2)</f>
        <v>0</v>
      </c>
      <c r="AM157">
        <f>SUMIFS(data!$C:$C,data!$A:$A,"="&amp;xyz!$A157,data!$B:$B,"="&amp;xyz!AM$2)</f>
        <v>3</v>
      </c>
      <c r="AN157">
        <f>SUMIFS(data!$C:$C,data!$A:$A,"="&amp;xyz!$A157,data!$B:$B,"="&amp;xyz!AN$2)</f>
        <v>4</v>
      </c>
      <c r="AO157">
        <f>SUMIFS(data!$C:$C,data!$A:$A,"="&amp;xyz!$A157,data!$B:$B,"="&amp;xyz!AO$2)</f>
        <v>0</v>
      </c>
      <c r="AP157">
        <f>SUMIFS(data!$C:$C,data!$A:$A,"="&amp;xyz!$A157,data!$B:$B,"="&amp;xyz!AP$2)</f>
        <v>1</v>
      </c>
      <c r="AQ157" s="6">
        <f t="shared" si="6"/>
        <v>1.1196254970128421</v>
      </c>
    </row>
    <row r="158" spans="1:43" x14ac:dyDescent="0.3">
      <c r="A158" t="s">
        <v>107</v>
      </c>
      <c r="B158" s="6">
        <f t="shared" si="5"/>
        <v>0.8761904761904763</v>
      </c>
      <c r="C158">
        <f>SUMIFS(data!$C:$C,data!$A:$A,"="&amp;xyz!$A158,data!$B:$B,"="&amp;xyz!C$2)</f>
        <v>0</v>
      </c>
      <c r="D158">
        <f>SUMIFS(data!$C:$C,data!$A:$A,"="&amp;xyz!$A158,data!$B:$B,"="&amp;xyz!D$2)</f>
        <v>2</v>
      </c>
      <c r="E158">
        <f>SUMIFS(data!$C:$C,data!$A:$A,"="&amp;xyz!$A158,data!$B:$B,"="&amp;xyz!E$2)</f>
        <v>0</v>
      </c>
      <c r="F158">
        <f>SUMIFS(data!$C:$C,data!$A:$A,"="&amp;xyz!$A158,data!$B:$B,"="&amp;xyz!F$2)</f>
        <v>2</v>
      </c>
      <c r="G158">
        <f>SUMIFS(data!$C:$C,data!$A:$A,"="&amp;xyz!$A158,data!$B:$B,"="&amp;xyz!G$2)</f>
        <v>0</v>
      </c>
      <c r="H158">
        <f>SUMIFS(data!$C:$C,data!$A:$A,"="&amp;xyz!$A158,data!$B:$B,"="&amp;xyz!H$2)</f>
        <v>0</v>
      </c>
      <c r="I158">
        <f>SUMIFS(data!$C:$C,data!$A:$A,"="&amp;xyz!$A158,data!$B:$B,"="&amp;xyz!I$2)</f>
        <v>1</v>
      </c>
      <c r="J158">
        <f>SUMIFS(data!$C:$C,data!$A:$A,"="&amp;xyz!$A158,data!$B:$B,"="&amp;xyz!J$2)</f>
        <v>1</v>
      </c>
      <c r="K158">
        <f>SUMIFS(data!$C:$C,data!$A:$A,"="&amp;xyz!$A158,data!$B:$B,"="&amp;xyz!K$2)</f>
        <v>0</v>
      </c>
      <c r="L158">
        <f>SUMIFS(data!$C:$C,data!$A:$A,"="&amp;xyz!$A158,data!$B:$B,"="&amp;xyz!L$2)</f>
        <v>0</v>
      </c>
      <c r="M158">
        <f>SUMIFS(data!$C:$C,data!$A:$A,"="&amp;xyz!$A158,data!$B:$B,"="&amp;xyz!M$2)</f>
        <v>0</v>
      </c>
      <c r="N158">
        <f>SUMIFS(data!$C:$C,data!$A:$A,"="&amp;xyz!$A158,data!$B:$B,"="&amp;xyz!N$2)</f>
        <v>0</v>
      </c>
      <c r="O158">
        <f>SUMIFS(data!$C:$C,data!$A:$A,"="&amp;xyz!$A158,data!$B:$B,"="&amp;xyz!O$2)</f>
        <v>0</v>
      </c>
      <c r="P158">
        <f>SUMIFS(data!$C:$C,data!$A:$A,"="&amp;xyz!$A158,data!$B:$B,"="&amp;xyz!P$2)</f>
        <v>0</v>
      </c>
      <c r="Q158">
        <f>SUMIFS(data!$C:$C,data!$A:$A,"="&amp;xyz!$A158,data!$B:$B,"="&amp;xyz!Q$2)</f>
        <v>3</v>
      </c>
      <c r="R158">
        <f>SUMIFS(data!$C:$C,data!$A:$A,"="&amp;xyz!$A158,data!$B:$B,"="&amp;xyz!R$2)</f>
        <v>1</v>
      </c>
      <c r="S158">
        <f>SUMIFS(data!$C:$C,data!$A:$A,"="&amp;xyz!$A158,data!$B:$B,"="&amp;xyz!S$2)</f>
        <v>0</v>
      </c>
      <c r="T158">
        <f>SUMIFS(data!$C:$C,data!$A:$A,"="&amp;xyz!$A158,data!$B:$B,"="&amp;xyz!T$2)</f>
        <v>2</v>
      </c>
      <c r="U158">
        <f>SUMIFS(data!$C:$C,data!$A:$A,"="&amp;xyz!$A158,data!$B:$B,"="&amp;xyz!U$2)</f>
        <v>0</v>
      </c>
      <c r="V158">
        <f>SUMIFS(data!$C:$C,data!$A:$A,"="&amp;xyz!$A158,data!$B:$B,"="&amp;xyz!V$2)</f>
        <v>6</v>
      </c>
      <c r="W158">
        <f>SUMIFS(data!$C:$C,data!$A:$A,"="&amp;xyz!$A158,data!$B:$B,"="&amp;xyz!W$2)</f>
        <v>0</v>
      </c>
      <c r="X158">
        <f>SUMIFS(data!$C:$C,data!$A:$A,"="&amp;xyz!$A158,data!$B:$B,"="&amp;xyz!X$2)</f>
        <v>1</v>
      </c>
      <c r="Y158">
        <f>SUMIFS(data!$C:$C,data!$A:$A,"="&amp;xyz!$A158,data!$B:$B,"="&amp;xyz!Y$2)</f>
        <v>1</v>
      </c>
      <c r="Z158">
        <f>SUMIFS(data!$C:$C,data!$A:$A,"="&amp;xyz!$A158,data!$B:$B,"="&amp;xyz!Z$2)</f>
        <v>1</v>
      </c>
      <c r="AA158">
        <f>SUMIFS(data!$C:$C,data!$A:$A,"="&amp;xyz!$A158,data!$B:$B,"="&amp;xyz!AA$2)</f>
        <v>2</v>
      </c>
      <c r="AB158">
        <f>SUMIFS(data!$C:$C,data!$A:$A,"="&amp;xyz!$A158,data!$B:$B,"="&amp;xyz!AB$2)</f>
        <v>0</v>
      </c>
      <c r="AC158">
        <f>SUMIFS(data!$C:$C,data!$A:$A,"="&amp;xyz!$A158,data!$B:$B,"="&amp;xyz!AC$2)</f>
        <v>0</v>
      </c>
      <c r="AD158">
        <f>SUMIFS(data!$C:$C,data!$A:$A,"="&amp;xyz!$A158,data!$B:$B,"="&amp;xyz!AD$2)</f>
        <v>1</v>
      </c>
      <c r="AE158">
        <f>SUMIFS(data!$C:$C,data!$A:$A,"="&amp;xyz!$A158,data!$B:$B,"="&amp;xyz!AE$2)</f>
        <v>1</v>
      </c>
      <c r="AF158">
        <f>SUMIFS(data!$C:$C,data!$A:$A,"="&amp;xyz!$A158,data!$B:$B,"="&amp;xyz!AF$2)</f>
        <v>3</v>
      </c>
      <c r="AG158">
        <f>SUMIFS(data!$C:$C,data!$A:$A,"="&amp;xyz!$A158,data!$B:$B,"="&amp;xyz!AG$2)</f>
        <v>2</v>
      </c>
      <c r="AH158">
        <f>SUMIFS(data!$C:$C,data!$A:$A,"="&amp;xyz!$A158,data!$B:$B,"="&amp;xyz!AH$2)</f>
        <v>1</v>
      </c>
      <c r="AI158">
        <f>SUMIFS(data!$C:$C,data!$A:$A,"="&amp;xyz!$A158,data!$B:$B,"="&amp;xyz!AI$2)</f>
        <v>1</v>
      </c>
      <c r="AJ158">
        <f>SUMIFS(data!$C:$C,data!$A:$A,"="&amp;xyz!$A158,data!$B:$B,"="&amp;xyz!AJ$2)</f>
        <v>3</v>
      </c>
      <c r="AK158">
        <f>SUMIFS(data!$C:$C,data!$A:$A,"="&amp;xyz!$A158,data!$B:$B,"="&amp;xyz!AK$2)</f>
        <v>2</v>
      </c>
      <c r="AL158">
        <f>SUMIFS(data!$C:$C,data!$A:$A,"="&amp;xyz!$A158,data!$B:$B,"="&amp;xyz!AL$2)</f>
        <v>0</v>
      </c>
      <c r="AM158">
        <f>SUMIFS(data!$C:$C,data!$A:$A,"="&amp;xyz!$A158,data!$B:$B,"="&amp;xyz!AM$2)</f>
        <v>0</v>
      </c>
      <c r="AN158">
        <f>SUMIFS(data!$C:$C,data!$A:$A,"="&amp;xyz!$A158,data!$B:$B,"="&amp;xyz!AN$2)</f>
        <v>1</v>
      </c>
      <c r="AO158">
        <f>SUMIFS(data!$C:$C,data!$A:$A,"="&amp;xyz!$A158,data!$B:$B,"="&amp;xyz!AO$2)</f>
        <v>2</v>
      </c>
      <c r="AP158">
        <f>SUMIFS(data!$C:$C,data!$A:$A,"="&amp;xyz!$A158,data!$B:$B,"="&amp;xyz!AP$2)</f>
        <v>2</v>
      </c>
      <c r="AQ158" s="6">
        <f t="shared" si="6"/>
        <v>1.19984106550648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58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209</v>
      </c>
    </row>
    <row r="2" spans="1:1" x14ac:dyDescent="0.3">
      <c r="A2" t="s">
        <v>183</v>
      </c>
    </row>
    <row r="3" spans="1:1" x14ac:dyDescent="0.3">
      <c r="A3" t="s">
        <v>184</v>
      </c>
    </row>
    <row r="4" spans="1:1" x14ac:dyDescent="0.3">
      <c r="A4" t="s">
        <v>184</v>
      </c>
    </row>
    <row r="5" spans="1:1" x14ac:dyDescent="0.3">
      <c r="A5" t="s">
        <v>184</v>
      </c>
    </row>
    <row r="6" spans="1:1" x14ac:dyDescent="0.3">
      <c r="A6" t="s">
        <v>184</v>
      </c>
    </row>
    <row r="7" spans="1:1" x14ac:dyDescent="0.3">
      <c r="A7" t="s">
        <v>184</v>
      </c>
    </row>
    <row r="8" spans="1:1" x14ac:dyDescent="0.3">
      <c r="A8" t="s">
        <v>184</v>
      </c>
    </row>
    <row r="9" spans="1:1" x14ac:dyDescent="0.3">
      <c r="A9" t="s">
        <v>184</v>
      </c>
    </row>
    <row r="10" spans="1:1" x14ac:dyDescent="0.3">
      <c r="A10" t="s">
        <v>184</v>
      </c>
    </row>
    <row r="11" spans="1:1" x14ac:dyDescent="0.3">
      <c r="A11" t="s">
        <v>184</v>
      </c>
    </row>
    <row r="12" spans="1:1" x14ac:dyDescent="0.3">
      <c r="A12" t="s">
        <v>184</v>
      </c>
    </row>
    <row r="13" spans="1:1" x14ac:dyDescent="0.3">
      <c r="A13" t="s">
        <v>184</v>
      </c>
    </row>
    <row r="14" spans="1:1" x14ac:dyDescent="0.3">
      <c r="A14" t="s">
        <v>184</v>
      </c>
    </row>
    <row r="15" spans="1:1" x14ac:dyDescent="0.3">
      <c r="A15" t="s">
        <v>184</v>
      </c>
    </row>
    <row r="16" spans="1:1" x14ac:dyDescent="0.3">
      <c r="A16" t="s">
        <v>185</v>
      </c>
    </row>
    <row r="17" spans="1:1" x14ac:dyDescent="0.3">
      <c r="A17" t="s">
        <v>185</v>
      </c>
    </row>
    <row r="18" spans="1:1" x14ac:dyDescent="0.3">
      <c r="A18" t="s">
        <v>185</v>
      </c>
    </row>
    <row r="19" spans="1:1" x14ac:dyDescent="0.3">
      <c r="A19" t="s">
        <v>185</v>
      </c>
    </row>
    <row r="20" spans="1:1" x14ac:dyDescent="0.3">
      <c r="A20" t="s">
        <v>185</v>
      </c>
    </row>
    <row r="21" spans="1:1" x14ac:dyDescent="0.3">
      <c r="A21" t="s">
        <v>185</v>
      </c>
    </row>
    <row r="22" spans="1:1" x14ac:dyDescent="0.3">
      <c r="A22" t="s">
        <v>185</v>
      </c>
    </row>
    <row r="23" spans="1:1" x14ac:dyDescent="0.3">
      <c r="A23" t="s">
        <v>185</v>
      </c>
    </row>
    <row r="24" spans="1:1" x14ac:dyDescent="0.3">
      <c r="A24" t="s">
        <v>185</v>
      </c>
    </row>
    <row r="25" spans="1:1" x14ac:dyDescent="0.3">
      <c r="A25" t="s">
        <v>185</v>
      </c>
    </row>
    <row r="26" spans="1:1" x14ac:dyDescent="0.3">
      <c r="A26" t="s">
        <v>185</v>
      </c>
    </row>
    <row r="27" spans="1:1" x14ac:dyDescent="0.3">
      <c r="A27" t="s">
        <v>186</v>
      </c>
    </row>
    <row r="28" spans="1:1" x14ac:dyDescent="0.3">
      <c r="A28" t="s">
        <v>186</v>
      </c>
    </row>
    <row r="29" spans="1:1" x14ac:dyDescent="0.3">
      <c r="A29" t="s">
        <v>186</v>
      </c>
    </row>
    <row r="30" spans="1:1" x14ac:dyDescent="0.3">
      <c r="A30" t="s">
        <v>186</v>
      </c>
    </row>
    <row r="31" spans="1:1" x14ac:dyDescent="0.3">
      <c r="A31" t="s">
        <v>186</v>
      </c>
    </row>
    <row r="32" spans="1:1" x14ac:dyDescent="0.3">
      <c r="A32" t="s">
        <v>186</v>
      </c>
    </row>
    <row r="33" spans="1:1" x14ac:dyDescent="0.3">
      <c r="A33" t="s">
        <v>186</v>
      </c>
    </row>
    <row r="34" spans="1:1" x14ac:dyDescent="0.3">
      <c r="A34" t="s">
        <v>186</v>
      </c>
    </row>
    <row r="35" spans="1:1" x14ac:dyDescent="0.3">
      <c r="A35" t="s">
        <v>186</v>
      </c>
    </row>
    <row r="36" spans="1:1" x14ac:dyDescent="0.3">
      <c r="A36" t="s">
        <v>186</v>
      </c>
    </row>
    <row r="37" spans="1:1" x14ac:dyDescent="0.3">
      <c r="A37" t="s">
        <v>187</v>
      </c>
    </row>
    <row r="38" spans="1:1" x14ac:dyDescent="0.3">
      <c r="A38" t="s">
        <v>187</v>
      </c>
    </row>
    <row r="39" spans="1:1" x14ac:dyDescent="0.3">
      <c r="A39" t="s">
        <v>187</v>
      </c>
    </row>
    <row r="40" spans="1:1" x14ac:dyDescent="0.3">
      <c r="A40" t="s">
        <v>187</v>
      </c>
    </row>
    <row r="41" spans="1:1" x14ac:dyDescent="0.3">
      <c r="A41" t="s">
        <v>187</v>
      </c>
    </row>
    <row r="42" spans="1:1" x14ac:dyDescent="0.3">
      <c r="A42" t="s">
        <v>187</v>
      </c>
    </row>
    <row r="43" spans="1:1" x14ac:dyDescent="0.3">
      <c r="A43" t="s">
        <v>187</v>
      </c>
    </row>
    <row r="44" spans="1:1" x14ac:dyDescent="0.3">
      <c r="A44" t="s">
        <v>187</v>
      </c>
    </row>
    <row r="45" spans="1:1" x14ac:dyDescent="0.3">
      <c r="A45" t="s">
        <v>187</v>
      </c>
    </row>
    <row r="46" spans="1:1" x14ac:dyDescent="0.3">
      <c r="A46" t="s">
        <v>187</v>
      </c>
    </row>
    <row r="47" spans="1:1" x14ac:dyDescent="0.3">
      <c r="A47" t="s">
        <v>187</v>
      </c>
    </row>
    <row r="48" spans="1:1" x14ac:dyDescent="0.3">
      <c r="A48" t="s">
        <v>187</v>
      </c>
    </row>
    <row r="49" spans="1:1" x14ac:dyDescent="0.3">
      <c r="A49" t="s">
        <v>187</v>
      </c>
    </row>
    <row r="50" spans="1:1" x14ac:dyDescent="0.3">
      <c r="A50" t="s">
        <v>187</v>
      </c>
    </row>
    <row r="51" spans="1:1" x14ac:dyDescent="0.3">
      <c r="A51" t="s">
        <v>188</v>
      </c>
    </row>
    <row r="52" spans="1:1" x14ac:dyDescent="0.3">
      <c r="A52" t="s">
        <v>188</v>
      </c>
    </row>
    <row r="53" spans="1:1" x14ac:dyDescent="0.3">
      <c r="A53" t="s">
        <v>188</v>
      </c>
    </row>
    <row r="54" spans="1:1" x14ac:dyDescent="0.3">
      <c r="A54" t="s">
        <v>188</v>
      </c>
    </row>
    <row r="55" spans="1:1" x14ac:dyDescent="0.3">
      <c r="A55" t="s">
        <v>188</v>
      </c>
    </row>
    <row r="56" spans="1:1" x14ac:dyDescent="0.3">
      <c r="A56" t="s">
        <v>188</v>
      </c>
    </row>
    <row r="57" spans="1:1" x14ac:dyDescent="0.3">
      <c r="A57" t="s">
        <v>188</v>
      </c>
    </row>
    <row r="58" spans="1:1" x14ac:dyDescent="0.3">
      <c r="A58" t="s">
        <v>188</v>
      </c>
    </row>
    <row r="59" spans="1:1" x14ac:dyDescent="0.3">
      <c r="A59" t="s">
        <v>188</v>
      </c>
    </row>
    <row r="60" spans="1:1" x14ac:dyDescent="0.3">
      <c r="A60" t="s">
        <v>188</v>
      </c>
    </row>
    <row r="61" spans="1:1" x14ac:dyDescent="0.3">
      <c r="A61" t="s">
        <v>188</v>
      </c>
    </row>
    <row r="62" spans="1:1" x14ac:dyDescent="0.3">
      <c r="A62" t="s">
        <v>188</v>
      </c>
    </row>
    <row r="63" spans="1:1" x14ac:dyDescent="0.3">
      <c r="A63" t="s">
        <v>188</v>
      </c>
    </row>
    <row r="64" spans="1:1" x14ac:dyDescent="0.3">
      <c r="A64" t="s">
        <v>188</v>
      </c>
    </row>
    <row r="65" spans="1:1" x14ac:dyDescent="0.3">
      <c r="A65" t="s">
        <v>188</v>
      </c>
    </row>
    <row r="66" spans="1:1" x14ac:dyDescent="0.3">
      <c r="A66" t="s">
        <v>188</v>
      </c>
    </row>
    <row r="67" spans="1:1" x14ac:dyDescent="0.3">
      <c r="A67" t="s">
        <v>189</v>
      </c>
    </row>
    <row r="68" spans="1:1" x14ac:dyDescent="0.3">
      <c r="A68" t="s">
        <v>189</v>
      </c>
    </row>
    <row r="69" spans="1:1" x14ac:dyDescent="0.3">
      <c r="A69" t="s">
        <v>189</v>
      </c>
    </row>
    <row r="70" spans="1:1" x14ac:dyDescent="0.3">
      <c r="A70" t="s">
        <v>189</v>
      </c>
    </row>
    <row r="71" spans="1:1" x14ac:dyDescent="0.3">
      <c r="A71" t="s">
        <v>189</v>
      </c>
    </row>
    <row r="72" spans="1:1" x14ac:dyDescent="0.3">
      <c r="A72" t="s">
        <v>189</v>
      </c>
    </row>
    <row r="73" spans="1:1" x14ac:dyDescent="0.3">
      <c r="A73" t="s">
        <v>189</v>
      </c>
    </row>
    <row r="74" spans="1:1" x14ac:dyDescent="0.3">
      <c r="A74" t="s">
        <v>189</v>
      </c>
    </row>
    <row r="75" spans="1:1" x14ac:dyDescent="0.3">
      <c r="A75" t="s">
        <v>189</v>
      </c>
    </row>
    <row r="76" spans="1:1" x14ac:dyDescent="0.3">
      <c r="A76" t="s">
        <v>189</v>
      </c>
    </row>
    <row r="77" spans="1:1" x14ac:dyDescent="0.3">
      <c r="A77" t="s">
        <v>189</v>
      </c>
    </row>
    <row r="78" spans="1:1" x14ac:dyDescent="0.3">
      <c r="A78" t="s">
        <v>189</v>
      </c>
    </row>
    <row r="79" spans="1:1" x14ac:dyDescent="0.3">
      <c r="A79" t="s">
        <v>189</v>
      </c>
    </row>
    <row r="80" spans="1:1" x14ac:dyDescent="0.3">
      <c r="A80" t="s">
        <v>189</v>
      </c>
    </row>
    <row r="81" spans="1:1" x14ac:dyDescent="0.3">
      <c r="A81" t="s">
        <v>189</v>
      </c>
    </row>
    <row r="82" spans="1:1" x14ac:dyDescent="0.3">
      <c r="A82" t="s">
        <v>189</v>
      </c>
    </row>
    <row r="83" spans="1:1" x14ac:dyDescent="0.3">
      <c r="A83" t="s">
        <v>190</v>
      </c>
    </row>
    <row r="84" spans="1:1" x14ac:dyDescent="0.3">
      <c r="A84" t="s">
        <v>190</v>
      </c>
    </row>
    <row r="85" spans="1:1" x14ac:dyDescent="0.3">
      <c r="A85" t="s">
        <v>190</v>
      </c>
    </row>
    <row r="86" spans="1:1" x14ac:dyDescent="0.3">
      <c r="A86" t="s">
        <v>190</v>
      </c>
    </row>
    <row r="87" spans="1:1" x14ac:dyDescent="0.3">
      <c r="A87" t="s">
        <v>190</v>
      </c>
    </row>
    <row r="88" spans="1:1" x14ac:dyDescent="0.3">
      <c r="A88" t="s">
        <v>190</v>
      </c>
    </row>
    <row r="89" spans="1:1" x14ac:dyDescent="0.3">
      <c r="A89" t="s">
        <v>191</v>
      </c>
    </row>
    <row r="90" spans="1:1" x14ac:dyDescent="0.3">
      <c r="A90" t="s">
        <v>191</v>
      </c>
    </row>
    <row r="91" spans="1:1" x14ac:dyDescent="0.3">
      <c r="A91" t="s">
        <v>192</v>
      </c>
    </row>
    <row r="92" spans="1:1" x14ac:dyDescent="0.3">
      <c r="A92" t="s">
        <v>192</v>
      </c>
    </row>
    <row r="93" spans="1:1" x14ac:dyDescent="0.3">
      <c r="A93" t="s">
        <v>192</v>
      </c>
    </row>
    <row r="94" spans="1:1" x14ac:dyDescent="0.3">
      <c r="A94" t="s">
        <v>193</v>
      </c>
    </row>
    <row r="95" spans="1:1" x14ac:dyDescent="0.3">
      <c r="A95" t="s">
        <v>193</v>
      </c>
    </row>
    <row r="96" spans="1:1" x14ac:dyDescent="0.3">
      <c r="A96" t="s">
        <v>193</v>
      </c>
    </row>
    <row r="97" spans="1:1" x14ac:dyDescent="0.3">
      <c r="A97" t="s">
        <v>193</v>
      </c>
    </row>
    <row r="98" spans="1:1" x14ac:dyDescent="0.3">
      <c r="A98" t="s">
        <v>193</v>
      </c>
    </row>
    <row r="99" spans="1:1" x14ac:dyDescent="0.3">
      <c r="A99" t="s">
        <v>193</v>
      </c>
    </row>
    <row r="100" spans="1:1" x14ac:dyDescent="0.3">
      <c r="A100" t="s">
        <v>193</v>
      </c>
    </row>
    <row r="101" spans="1:1" x14ac:dyDescent="0.3">
      <c r="A101" t="s">
        <v>194</v>
      </c>
    </row>
    <row r="102" spans="1:1" x14ac:dyDescent="0.3">
      <c r="A102" t="s">
        <v>194</v>
      </c>
    </row>
    <row r="103" spans="1:1" x14ac:dyDescent="0.3">
      <c r="A103" t="s">
        <v>194</v>
      </c>
    </row>
    <row r="104" spans="1:1" x14ac:dyDescent="0.3">
      <c r="A104" t="s">
        <v>194</v>
      </c>
    </row>
    <row r="105" spans="1:1" x14ac:dyDescent="0.3">
      <c r="A105" t="s">
        <v>194</v>
      </c>
    </row>
    <row r="106" spans="1:1" x14ac:dyDescent="0.3">
      <c r="A106" t="s">
        <v>194</v>
      </c>
    </row>
    <row r="107" spans="1:1" x14ac:dyDescent="0.3">
      <c r="A107" t="s">
        <v>195</v>
      </c>
    </row>
    <row r="108" spans="1:1" x14ac:dyDescent="0.3">
      <c r="A108" t="s">
        <v>195</v>
      </c>
    </row>
    <row r="109" spans="1:1" x14ac:dyDescent="0.3">
      <c r="A109" t="s">
        <v>195</v>
      </c>
    </row>
    <row r="110" spans="1:1" x14ac:dyDescent="0.3">
      <c r="A110" t="s">
        <v>195</v>
      </c>
    </row>
    <row r="111" spans="1:1" x14ac:dyDescent="0.3">
      <c r="A111" t="s">
        <v>195</v>
      </c>
    </row>
    <row r="112" spans="1:1" x14ac:dyDescent="0.3">
      <c r="A112" t="s">
        <v>196</v>
      </c>
    </row>
    <row r="113" spans="1:1" x14ac:dyDescent="0.3">
      <c r="A113" t="s">
        <v>196</v>
      </c>
    </row>
    <row r="114" spans="1:1" x14ac:dyDescent="0.3">
      <c r="A114" t="s">
        <v>196</v>
      </c>
    </row>
    <row r="115" spans="1:1" x14ac:dyDescent="0.3">
      <c r="A115" t="s">
        <v>196</v>
      </c>
    </row>
    <row r="116" spans="1:1" x14ac:dyDescent="0.3">
      <c r="A116" t="s">
        <v>196</v>
      </c>
    </row>
    <row r="117" spans="1:1" x14ac:dyDescent="0.3">
      <c r="A117" t="s">
        <v>197</v>
      </c>
    </row>
    <row r="118" spans="1:1" x14ac:dyDescent="0.3">
      <c r="A118" t="s">
        <v>197</v>
      </c>
    </row>
    <row r="119" spans="1:1" x14ac:dyDescent="0.3">
      <c r="A119" t="s">
        <v>198</v>
      </c>
    </row>
    <row r="120" spans="1:1" x14ac:dyDescent="0.3">
      <c r="A120" t="s">
        <v>198</v>
      </c>
    </row>
    <row r="121" spans="1:1" x14ac:dyDescent="0.3">
      <c r="A121" t="s">
        <v>198</v>
      </c>
    </row>
    <row r="122" spans="1:1" x14ac:dyDescent="0.3">
      <c r="A122" t="s">
        <v>198</v>
      </c>
    </row>
    <row r="123" spans="1:1" x14ac:dyDescent="0.3">
      <c r="A123" t="s">
        <v>198</v>
      </c>
    </row>
    <row r="124" spans="1:1" x14ac:dyDescent="0.3">
      <c r="A124" t="s">
        <v>198</v>
      </c>
    </row>
    <row r="125" spans="1:1" x14ac:dyDescent="0.3">
      <c r="A125" t="s">
        <v>198</v>
      </c>
    </row>
    <row r="126" spans="1:1" x14ac:dyDescent="0.3">
      <c r="A126" t="s">
        <v>198</v>
      </c>
    </row>
    <row r="127" spans="1:1" x14ac:dyDescent="0.3">
      <c r="A127" t="s">
        <v>199</v>
      </c>
    </row>
    <row r="128" spans="1:1" x14ac:dyDescent="0.3">
      <c r="A128" t="s">
        <v>199</v>
      </c>
    </row>
    <row r="129" spans="1:1" x14ac:dyDescent="0.3">
      <c r="A129" t="s">
        <v>199</v>
      </c>
    </row>
    <row r="130" spans="1:1" x14ac:dyDescent="0.3">
      <c r="A130" t="s">
        <v>199</v>
      </c>
    </row>
    <row r="131" spans="1:1" x14ac:dyDescent="0.3">
      <c r="A131" t="s">
        <v>199</v>
      </c>
    </row>
    <row r="132" spans="1:1" x14ac:dyDescent="0.3">
      <c r="A132" t="s">
        <v>199</v>
      </c>
    </row>
    <row r="133" spans="1:1" x14ac:dyDescent="0.3">
      <c r="A133" t="s">
        <v>199</v>
      </c>
    </row>
    <row r="134" spans="1:1" x14ac:dyDescent="0.3">
      <c r="A134" t="s">
        <v>200</v>
      </c>
    </row>
    <row r="135" spans="1:1" x14ac:dyDescent="0.3">
      <c r="A135" t="s">
        <v>200</v>
      </c>
    </row>
    <row r="136" spans="1:1" x14ac:dyDescent="0.3">
      <c r="A136" t="s">
        <v>201</v>
      </c>
    </row>
    <row r="137" spans="1:1" x14ac:dyDescent="0.3">
      <c r="A137" t="s">
        <v>201</v>
      </c>
    </row>
    <row r="138" spans="1:1" x14ac:dyDescent="0.3">
      <c r="A138" t="s">
        <v>201</v>
      </c>
    </row>
    <row r="139" spans="1:1" x14ac:dyDescent="0.3">
      <c r="A139" t="s">
        <v>202</v>
      </c>
    </row>
    <row r="140" spans="1:1" x14ac:dyDescent="0.3">
      <c r="A140" t="s">
        <v>202</v>
      </c>
    </row>
    <row r="141" spans="1:1" x14ac:dyDescent="0.3">
      <c r="A141" t="s">
        <v>202</v>
      </c>
    </row>
    <row r="142" spans="1:1" x14ac:dyDescent="0.3">
      <c r="A142" t="s">
        <v>202</v>
      </c>
    </row>
    <row r="143" spans="1:1" x14ac:dyDescent="0.3">
      <c r="A143" t="s">
        <v>203</v>
      </c>
    </row>
    <row r="144" spans="1:1" x14ac:dyDescent="0.3">
      <c r="A144" t="s">
        <v>203</v>
      </c>
    </row>
    <row r="145" spans="1:1" x14ac:dyDescent="0.3">
      <c r="A145" t="s">
        <v>204</v>
      </c>
    </row>
    <row r="146" spans="1:1" x14ac:dyDescent="0.3">
      <c r="A146" t="s">
        <v>204</v>
      </c>
    </row>
    <row r="147" spans="1:1" x14ac:dyDescent="0.3">
      <c r="A147" t="s">
        <v>205</v>
      </c>
    </row>
    <row r="148" spans="1:1" x14ac:dyDescent="0.3">
      <c r="A148" t="s">
        <v>205</v>
      </c>
    </row>
    <row r="149" spans="1:1" x14ac:dyDescent="0.3">
      <c r="A149" t="s">
        <v>206</v>
      </c>
    </row>
    <row r="150" spans="1:1" x14ac:dyDescent="0.3">
      <c r="A150" t="s">
        <v>206</v>
      </c>
    </row>
    <row r="151" spans="1:1" x14ac:dyDescent="0.3">
      <c r="A151" t="s">
        <v>206</v>
      </c>
    </row>
    <row r="152" spans="1:1" x14ac:dyDescent="0.3">
      <c r="A152" t="s">
        <v>207</v>
      </c>
    </row>
    <row r="153" spans="1:1" x14ac:dyDescent="0.3">
      <c r="A153" t="s">
        <v>207</v>
      </c>
    </row>
    <row r="154" spans="1:1" x14ac:dyDescent="0.3">
      <c r="A154" t="s">
        <v>207</v>
      </c>
    </row>
    <row r="155" spans="1:1" x14ac:dyDescent="0.3">
      <c r="A155" t="s">
        <v>207</v>
      </c>
    </row>
    <row r="156" spans="1:1" x14ac:dyDescent="0.3">
      <c r="A156" t="s">
        <v>208</v>
      </c>
    </row>
    <row r="157" spans="1:1" x14ac:dyDescent="0.3">
      <c r="A157" t="s">
        <v>208</v>
      </c>
    </row>
    <row r="158" spans="1:1" x14ac:dyDescent="0.3">
      <c r="A158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ABC-XYZ</vt:lpstr>
      <vt:lpstr>Мой abc</vt:lpstr>
      <vt:lpstr>Сводник кол-во по каждой кат.</vt:lpstr>
      <vt:lpstr>Сводник по каждому тов.</vt:lpstr>
      <vt:lpstr>data</vt:lpstr>
      <vt:lpstr>Покупки по дням</vt:lpstr>
      <vt:lpstr>сводник по ABC</vt:lpstr>
      <vt:lpstr>ABC</vt:lpstr>
      <vt:lpstr>Сводник по кол-ву ABC-XYZ</vt:lpstr>
      <vt:lpstr>группы</vt:lpstr>
      <vt:lpstr>распределение_групп_абс</vt:lpstr>
      <vt:lpstr>xyz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 ruzova</dc:creator>
  <cp:lastModifiedBy>Артур Кидрячев</cp:lastModifiedBy>
  <dcterms:created xsi:type="dcterms:W3CDTF">2024-09-01T14:06:43Z</dcterms:created>
  <dcterms:modified xsi:type="dcterms:W3CDTF">2026-01-29T13:25:47Z</dcterms:modified>
</cp:coreProperties>
</file>